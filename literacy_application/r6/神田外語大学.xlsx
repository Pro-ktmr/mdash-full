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akase-y\Desktop\（再）01_神田外語大学_リテラシー\"/>
    </mc:Choice>
  </mc:AlternateContent>
  <bookViews>
    <workbookView xWindow="0" yWindow="0" windowWidth="28800" windowHeight="11835" tabRatio="885"/>
  </bookViews>
  <sheets>
    <sheet name="様式１ー１　プログラムを構成する授業科目" sheetId="39" r:id="rId1"/>
    <sheet name="様式１ー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'様式１ー１　プログラムを構成する授業科目'!$X$16:$X$18</definedName>
    <definedName name="_xlnm._FilterDatabase" localSheetId="1" hidden="1">'様式１ー２　プログラムを構成する授業科目'!$X$16:$X$18</definedName>
    <definedName name="_xlnm._FilterDatabase" localSheetId="2" hidden="1">'様式２ 履修者等数の実績'!#REF!</definedName>
    <definedName name="_xlnm.Print_Area" localSheetId="0">'様式１ー１　プログラムを構成する授業科目'!$A$1:$U$112</definedName>
    <definedName name="_xlnm.Print_Area" localSheetId="1">'様式１ー２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<sst xmlns="http://schemas.openxmlformats.org/spreadsheetml/2006/main" count="490" uniqueCount="207">
  <si>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</si>
  <si>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</si>
  <si>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</si>
  <si>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</si>
  <si>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</si>
  <si>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</si>
  <si>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</si>
  <si>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</si>
  <si>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</si>
  <si>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</si>
  <si>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</si>
  <si>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</si>
  <si>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</si>
  <si>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</si>
  <si>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</si>
  <si>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</si>
  <si>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</si>
  <si>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</si>
  <si>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</si>
  <si>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</si>
  <si>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</si>
  <si>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</si>
  <si>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</si>
  <si>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</si>
  <si>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</si>
  <si>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</si>
  <si>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</si>
  <si>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</si>
  <si>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</si>
  <si>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</si>
  <si>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</si>
  <si>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</si>
  <si>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</si>
  <si>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</si>
  <si>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</si>
  <si>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</si>
  <si>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</si>
  <si>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</si>
  <si>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</si>
  <si>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</si>
  <si>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</si>
  <si>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</si>
  <si>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</si>
  <si>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</si>
  <si>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</si>
  <si>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</si>
  <si>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</si>
  <si>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</si>
  <si>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</si>
  <si>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</si>
  <si>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</si>
  <si>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</si>
  <si>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</si>
  <si>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</si>
  <si>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</si>
  <si>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</si>
  <si>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</si>
  <si>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</si>
  <si>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</si>
  <si>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</si>
  <si>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</si>
  <si>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</si>
  <si>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</si>
  <si>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</si>
  <si>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</si>
  <si>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</si>
  <si>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</si>
  <si>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</si>
  <si>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</si>
  <si>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</si>
  <si>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</si>
  <si>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</si>
  <si>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</si>
  <si>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</si>
  <si>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</si>
  <si>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</si>
  <si>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</si>
  <si>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</si>
  <si>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</si>
  <si>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</si>
  <si>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</si>
  <si>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</si>
  <si>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</si>
  <si>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</si>
  <si>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</si>
  <si>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</si>
  <si>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</si>
  <si>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</si>
  <si>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</si>
  <si>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</si>
  <si>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</si>
  <si>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</si>
  <si>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</si>
  <si>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</si>
  <si>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</si>
  <si>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</si>
  <si>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</si>
  <si>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</si>
  <si>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</si>
  <si>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</si>
  <si>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</si>
  <si>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</si>
  <si>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</si>
  <si>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</si>
  <si>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</si>
  <si>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</si>
  <si>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</si>
  <si>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</si>
  <si>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</si>
  <si>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</si>
  <si>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</si>
  <si>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</si>
  <si>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</si>
  <si>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</si>
  <si>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</si>
  <si>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</si>
  <si>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</si>
  <si>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</si>
  <si>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</si>
  <si>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</si>
  <si>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</si>
  <si>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</si>
  <si>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</si>
  <si>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</si>
  <si>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</si>
  <si>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</si>
  <si>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</si>
  <si>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</si>
  <si>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</si>
  <si>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</si>
  <si>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</si>
  <si>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</si>
  <si>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</si>
  <si>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</si>
  <si>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</si>
  <si>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</si>
  <si>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様式１－１</t>
    <rPh sb="0" eb="2">
      <t>ヨウシキ</t>
    </rPh>
    <phoneticPr fontId="1"/>
  </si>
  <si>
    <t>様式１－２</t>
    <rPh sb="0" eb="2">
      <t>ヨウシキ</t>
    </rPh>
    <phoneticPr fontId="1"/>
  </si>
  <si>
    <t>令和５</t>
    <rPh sb="0" eb="2">
      <t>レイワ</t>
    </rPh>
    <phoneticPr fontId="1"/>
  </si>
  <si>
    <t>外国語学部</t>
    <rPh sb="0" eb="3">
      <t>ガイコクゴ</t>
    </rPh>
    <rPh sb="3" eb="5">
      <t>ガクブ</t>
    </rPh>
    <phoneticPr fontId="1"/>
  </si>
  <si>
    <t>グローバル・リベラルアーツ学部</t>
    <rPh sb="13" eb="15">
      <t>ガクブ</t>
    </rPh>
    <phoneticPr fontId="1"/>
  </si>
  <si>
    <t>神田外語大学</t>
    <rPh sb="0" eb="4">
      <t>カンダガイゴ</t>
    </rPh>
    <rPh sb="4" eb="6">
      <t>ダイガク</t>
    </rPh>
    <phoneticPr fontId="1"/>
  </si>
  <si>
    <t>質保証・質向上委員会</t>
    <rPh sb="0" eb="3">
      <t>シツホショウ</t>
    </rPh>
    <rPh sb="4" eb="7">
      <t>シツコウジョウ</t>
    </rPh>
    <rPh sb="7" eb="10">
      <t>イインカイ</t>
    </rPh>
    <phoneticPr fontId="1"/>
  </si>
  <si>
    <t>宮内　孝久</t>
    <rPh sb="0" eb="2">
      <t>ミヤウチ</t>
    </rPh>
    <rPh sb="3" eb="5">
      <t>タカヒサ</t>
    </rPh>
    <phoneticPr fontId="1"/>
  </si>
  <si>
    <t>学長</t>
    <rPh sb="0" eb="2">
      <t>ガクチョウ</t>
    </rPh>
    <phoneticPr fontId="1"/>
  </si>
  <si>
    <t>【外国語学部】
履修者数：92名（対象在学生の10.2％）
対象4科目の単位取得率：80.5％～93.2％
(修了者の発生は来年度から)
【GLA学部】
履修者数：6名（対象在学生の5.6％）
統計学Ⅱの単位取得率：60.0％（ただし履修者数5名）／その他4科目の単位取得率：77.5％～87.5％
修了者数：5名
本プログラムは今年度後期より開始のため、来年度は年度初めのガイダンスでの周知も行い履修者の拡大を目指す。単位取得率はほとんどの科目で8割を超えており、学生は学習内容を順調に習得できている。統計学Ⅱには、履修判断に影響があると考えられる統計学Ⅰも含めた難易度の調整と接続を検討する。</t>
    <phoneticPr fontId="1"/>
  </si>
  <si>
    <t>プログラム履修者を対象としたアンケートでは、回答した学生の8割以上が本プログラムで身につく5つの力について「身についた」「ある程度身についた」と回答しており、本プログラムが目指す学修成果をあげることができていると考えられる。
9～10月に実施したため参考値ではあるが、全学生対象のアンケートにおけるプログラム履修者の回答では、「数理的な能力の入学後の変化実感」についてGLA学部生は80.0％が「大きく増えた」もしくは「増えた」と回答している一方、外国語学部生の同回答は27.3％にとどまっており、こちらの指標についても今後の推移を確認していく。</t>
    <phoneticPr fontId="1"/>
  </si>
  <si>
    <t>各科目の授業評価アンケート結果は以下の通り。
【外国語学部】
内容を「理解できた」「まあまあ理解できた」と回答した学生の割合
基礎演習Ⅰ：84.8％　基礎演習Ⅱ：66.5％
【GLA学部】
到達目標を達成できたかについて「そう思う」「ややそう思う」と回答した学生の割合
デジタル・シチズンシップ論：100％　数的思考法：96.4％
データ・サイエンス概論：72.2％　統計学Ⅰ：83.3％　統計学Ⅱ：100％
いずれの科目においても多くの学生がその内容を理解できていると考えられるが、基礎演習Ⅱやデータ・サイエンス概論については、必要な内容・水準は維持したうえでの難易度等の調整を検討する。</t>
    <phoneticPr fontId="1"/>
  </si>
  <si>
    <t>授業評価アンケートにおいて、各科目の総合評価として「評価する」「ある程度評価する」と回答した学生の割合は以下の通り。
【外国語学部】
基礎演習Ⅰ：91.8％　　基礎演習Ⅱ：85.9％
【GLA学部】
デジタル・シチズンシップ論：97.0％　　数的思考法：92.9％
データ・サイエンス概論：91.7％　　統計学Ⅰ：97.0％　　統計学Ⅱ：100％
いずれの科目も学生からの高い評価を得ているため、本プログラムの履修について他の学生にも推奨されることが期待される。</t>
    <phoneticPr fontId="1"/>
  </si>
  <si>
    <t>今年度は学生用ポータルサイトと各授業における担当教員からの情報提供に加え、大学ホームページでの情報公開によりプログラムの周知を行った。来年度はこれらに加えて年度初めに実施するガイダンスでも周知を行い、履修者数の拡大を目指す。
履修者数の推移は、本プログラムの改善・進化を担う組織である教養・基盤教育運営部会を中心に毎年度確認を行い、より効果的かつ学生にプログラムを履修する重要性が伝わる周知方法・内容について検討を行っていく。</t>
    <phoneticPr fontId="1"/>
  </si>
  <si>
    <t>本プログラムは今年度より開始されたものであり、修了者の卒業は令和6年度以降に発生する見込みである。
本学では全ての卒業生を対象とした「卒業生アンケート」を実施しているため、修了者の進路や活躍状況については、その活用により行う予定である。
また、卒業生の就職先を中心とした企業の方を対象とした「企業アンケート」も実施しているため、企業等からの評価はその活用に加えて、必要に応じたインタビューの実施により把握することを予定している。</t>
    <phoneticPr fontId="1"/>
  </si>
  <si>
    <t>外部の情報・通信系企業の方より以下のご意見をいただいた。
・数理・データサイエンス・ＡＩと社会の関わりを体系的に学べる内容である。
・実際に手を動かす演習により「データを読む、説明する、扱う」ことがなされ、基本的なデータ活用についても理解を深められる工夫がされている。
・プログラムの一部に現状学生には馴染みの薄いソフトの利用が含まれ、操作に不安を覚える受講者がいることと、データの可視化・分析には便利な反面、学習後に当該ソフトを活用する機会が少ないことに懸念が残る。
・日常的なデータ活用の機会を増やすため、より汎用的なツールで学ぶ、または学んだツールを活用する授業間連携の推進があると良い。</t>
    <phoneticPr fontId="1"/>
  </si>
  <si>
    <t>「学生アンケート等を通じた後輩等他の学生への推奨度」にも記載の通り、本プログラムを構成する科目は授業評価アンケートにおいていずれも高い評価を得ており、履修した学生は「学ぶ楽しさ」「学ぶことの意義」を感じていると考えられる。
また、プログラム履修生を対象としたアンケートでは約7割の学生がこれらを「感じた」と回答している。</t>
    <phoneticPr fontId="1"/>
  </si>
  <si>
    <t>授業評価アンケートの「教員の説明は分かりやすかったか」という質問に「そう思う」「ややそう思う」と回答した学生の割合は以下の通り。
【外国語学部】基礎演習Ⅰ：88.7％　基礎演習Ⅱ：85.0％
【GLA学部】デジタル・シチズンシップ論：100％　数的思考法：100％　データ・サイエンス概論：80.6％
統計学Ⅰ：89.4％　統計学Ⅱ：100％
いずれの科目も概ね分かりやすい説明が行われているが、学生からの質問が多かった点などはその教授方法について随時見直しを行う。またプログラムや科目の内容は、常に社会の変化や技術発展をふまえたものとなるよう点検・見直しを行っていく。</t>
    <phoneticPr fontId="1"/>
  </si>
  <si>
    <t>KUISデータサイエンス・AI基礎教育プログラム</t>
    <rPh sb="15" eb="19">
      <t>キソキョウイク</t>
    </rPh>
    <phoneticPr fontId="1"/>
  </si>
  <si>
    <t>以下に示す全ての科目の単位（合計６単位）を修得すること。
・基礎演習Ⅰ（２単位）
・基礎演習Ⅱ（２単位）
・情報基礎Ⅰ（１単位）
・情報基礎Ⅱ（１単位）</t>
    <phoneticPr fontId="1"/>
  </si>
  <si>
    <t>「デジタル・シチズンシップ論」の２単位と、以下に示すいずれかの科目の２単位の合計４単位を修得すること。
・数的思考法
・データ・サイエンス概論
・統計学Ⅰ
・統計学Ⅱ</t>
    <phoneticPr fontId="1"/>
  </si>
  <si>
    <t>・デジタル情報やAIの特性を説明することができる
・データやAIが社会の中でどのように活用されているかを説明することができる
・適切なツールを用いて具体的なデータの処理・分析を行うことができる
・具体的なデータを分析した結果を他者に説明することができる
・データやAIの活用におけるリスクや留意事項を説明することができる</t>
    <phoneticPr fontId="1"/>
  </si>
  <si>
    <t>基礎演習Ⅰ</t>
    <rPh sb="0" eb="4">
      <t>キソエンシュウ</t>
    </rPh>
    <phoneticPr fontId="1"/>
  </si>
  <si>
    <t>情報基礎Ⅰ</t>
    <rPh sb="0" eb="2">
      <t>ジョウホウ</t>
    </rPh>
    <rPh sb="2" eb="4">
      <t>キソ</t>
    </rPh>
    <phoneticPr fontId="1"/>
  </si>
  <si>
    <t>情報基礎Ⅱ</t>
    <rPh sb="0" eb="2">
      <t>ジョウホウ</t>
    </rPh>
    <rPh sb="2" eb="4">
      <t>キソ</t>
    </rPh>
    <phoneticPr fontId="1"/>
  </si>
  <si>
    <t>○</t>
  </si>
  <si>
    <t>基礎演習Ⅱ</t>
    <rPh sb="0" eb="4">
      <t>キソエンシュウ</t>
    </rPh>
    <phoneticPr fontId="1"/>
  </si>
  <si>
    <t>基礎演習Ⅱ</t>
    <rPh sb="0" eb="5">
      <t>キソエンシュウ2</t>
    </rPh>
    <phoneticPr fontId="1"/>
  </si>
  <si>
    <t>基礎演習Ⅰ</t>
    <rPh sb="0" eb="5">
      <t>キソエンシュウ1</t>
    </rPh>
    <phoneticPr fontId="1"/>
  </si>
  <si>
    <t>・ビッグデータ、IoT、AI 「基礎演習Ⅰ」（１０回目）、「情報基礎Ⅰ」（１回目）
・データ量の増加、計算機の処理性能の向上 「基礎演習Ⅰ」（７～９回目）
・第4次産業革命、Society5.0、データ駆動型社会 「情報基礎Ⅰ」（１３～１５回目）
・複数技術を組み合わせたAIサービス 「情報基礎Ⅰ」（１～３回目）
・人間の知的活動とAIの関係性 「基礎演習Ⅰ」（８・１０回目）、「情報基礎Ⅱ」（１３・１４回目）
・データを起点としたものの見方、人間の知的活動を起点としたものの見方 「基礎演習Ⅰ」（８回目）、「情報基礎Ⅱ」（１１・１２回目）</t>
    <phoneticPr fontId="1"/>
  </si>
  <si>
    <t>・AI最新技術の活用例 「基礎演習Ⅰ」（８回目）、「情報基礎Ⅰ」（１・３・４・５回目）、「情報基礎Ⅱ」（１４・１５回目）</t>
    <phoneticPr fontId="1"/>
  </si>
  <si>
    <t>・調査データ、実験データ、人の行動ログデータ、機械の稼働ログデータなど 「基礎演習Ⅱ」（７・８回目）
・1次データ、2次データ 「基礎演習Ⅱ」（６回目）</t>
    <phoneticPr fontId="1"/>
  </si>
  <si>
    <t>・データ・AI活用領域の広がり 「基礎演習Ⅰ」（１０回目）、「情報基礎Ⅰ」（１・３回目）、「情報基礎Ⅱ」（１５回目）</t>
    <phoneticPr fontId="1"/>
  </si>
  <si>
    <t>・データ可視化：複合グラフ、2軸グラフ、多次元の可視化、関係性の可視化、地図上の可視化、挙動・軌跡の可視化、リアルタイム可視化など
 「基礎演習Ⅱ」（６〜１０回目）、「情報基礎Ⅰ」（１２・１３回目）、「情報基礎Ⅱ」（８・９回目）
・データ解析：予測、グルーピング、パターン発見、最適化、シミュレーション・データ同化など
 「基礎演習Ⅱ」（１０回目）、「情報基礎Ⅱ」（１１・１２回目）</t>
    <phoneticPr fontId="1"/>
  </si>
  <si>
    <t>・データ・AI利活用事例紹介 「情報基礎Ⅰ」（１回目）、「情報基礎Ⅱ」（１４・１５回目）</t>
    <phoneticPr fontId="1"/>
  </si>
  <si>
    <t>・個人情報保護、忘れられる権利、オプトアウト 「情報基礎Ⅰ」（１４・１５回目）、「情報基礎Ⅱ」（４・５回目）
・データ倫理：プライバシー保護 「情報基礎Ⅰ」（１４・１５回目）、「情報基礎Ⅱ」（４・５回目）
・AI社会原則（公平性、説明責任、透明性、人間中心の判断） 「情報基礎Ⅱ」（１５回目）
・AIサービスの責任論 「情報基礎Ⅱ」（１５回目）
・データ・AI活用における負の事例紹介 「基礎演習Ⅰ」（９・１０回目）、「情報基礎Ⅰ」（２回目）</t>
    <phoneticPr fontId="1"/>
  </si>
  <si>
    <t>・情報セキュリティ：機密性、完全性、可用性 「情報基礎Ⅰ」（１４・１５回目）、「情報基礎Ⅱ」（４・５回目）
・匿名加工情報、暗号化、パスワード、悪意ある情報搾取
 「基礎演習Ⅰ」（１０回目）、「情報基礎Ⅰ」（１４・１５回目）、「情報基礎Ⅱ」（４・５回目）
・情報漏洩等によるセキュリティ事故の事例紹介 「情報基礎Ⅰ」（２回目）</t>
    <phoneticPr fontId="1"/>
  </si>
  <si>
    <t>・データの種類（量的変数、質的変数） 「基礎演習Ⅱ」（６～８回目）
・データのばらつき（分散、標準偏差、偏差値） 「基礎演習Ⅱ」（９回目）</t>
    <phoneticPr fontId="1"/>
  </si>
  <si>
    <t>・データ表現（棒グラフ、折線グラフ、散布図） 「基礎演習Ⅱ」（６〜１０回目）、「情報基礎Ⅰ」（１２・１３回目）、「情報基礎Ⅱ」（８〜１２回目）
・データの比較（条件をそろえた比較、処理の前後での比較）
 「基礎演習Ⅱ」（６〜１０回目）、「情報基礎Ⅰ」（１２・１３回目）、「情報基礎Ⅱ」（８〜１２回目）
・不適切なグラフ表現（チャートジャンク、不必要な視覚的要素） 「基礎演習Ⅱ」（６〜１０回目）、「情報基礎Ⅰ」（１２・１３回目）</t>
    <phoneticPr fontId="1"/>
  </si>
  <si>
    <t>・データの集計（和、平均） 「基礎演習Ⅱ」（６〜１０回目）、「情報基礎Ⅰ」（１２・１３回目）、「情報基礎Ⅱ」（８〜１２回目）
・データの並び替え、ランキング 「基礎演習Ⅱ」（６〜１０回目）、「情報基礎Ⅰ」（１２・１３回目）、「情報基礎Ⅱ」（８・９回目）
・データ解析ツール（スプレッドシート）「基礎演習Ⅱ」（６〜１０回目）、「情報基礎Ⅰ」（１２・１３回目）、「情報基礎Ⅱ」（８〜１２回目）
・表形式のデータ（csv）  「基礎演習Ⅱ」（６〜１０回目）、「情報基礎Ⅰ」（１２・１３回目）、「情報基礎Ⅱ」（８・９回目）</t>
    <phoneticPr fontId="1"/>
  </si>
  <si>
    <t>デジタル・シチズンシップ論</t>
    <rPh sb="12" eb="13">
      <t>ロン</t>
    </rPh>
    <phoneticPr fontId="1"/>
  </si>
  <si>
    <t>数的思考法</t>
    <rPh sb="0" eb="2">
      <t>スウテキ</t>
    </rPh>
    <rPh sb="2" eb="5">
      <t>シコウホウ</t>
    </rPh>
    <phoneticPr fontId="1"/>
  </si>
  <si>
    <t>データ・サイエンス概論</t>
    <rPh sb="9" eb="11">
      <t>ガイロン</t>
    </rPh>
    <phoneticPr fontId="1"/>
  </si>
  <si>
    <t>統計学Ⅰ</t>
    <rPh sb="0" eb="3">
      <t>トウケイガク</t>
    </rPh>
    <phoneticPr fontId="1"/>
  </si>
  <si>
    <t>統計学Ⅱ</t>
    <rPh sb="0" eb="3">
      <t>トウケイガク</t>
    </rPh>
    <phoneticPr fontId="1"/>
  </si>
  <si>
    <t>4‐5テキスト解析</t>
  </si>
  <si>
    <t>4-1統計および数理基礎</t>
  </si>
  <si>
    <t>・ビッグデータ、IoT、AI 「デジタル・シチズンシップ論」（４・５・１３・１４回目）
・データ量の増加、計算機の処理性能の向上、AIの非連続的進化 「デジタル・シチズンシップ論」（４・５回目）
・第4次産業革命、Society5.0、データ駆動型社会 「デジタル・シチズンシップ論」（４・５・１３・１４回目）
・複数技術を組み合わせたAIサービス 「デジタル・シチズンシップ論」（４・５・１３・１４回目）
・人間の知的活動とAIの関係性 「デジタル・シチズンシップ論」（６・７回目）
・データを起点としたものの見方、人間の知的活動を起点としたものの見方 「デジタル・シチズンシップ論」（６・７回目）</t>
    <phoneticPr fontId="1"/>
  </si>
  <si>
    <t>・AI等を活用した新しいビジネスモデル 「デジタル・シチズンシップ論」（４・５・１３・１４回目）
・AI最新技術の活用例 「デジタル・シチズンシップ論」（４・５・１３・１４回目）</t>
    <phoneticPr fontId="1"/>
  </si>
  <si>
    <t>・データ・AI活用領域の広がり 「デジタル・シチズンシップ論」（４・５回目）
・マーケティング、サービス 「データ・サイエンス概論」（６～８回目）
・仮説検証、知識発見、原因究明 「データ・サイエンス概論」（４～１５回目）</t>
    <phoneticPr fontId="1"/>
  </si>
  <si>
    <t>・データ・AI利活用事例紹介 「デジタル・シチズンシップ論」（４・５回目）</t>
    <phoneticPr fontId="1"/>
  </si>
  <si>
    <t>・個人情報保護、忘れられる権利、オプトアウト 「デジタル・シチズンシップ論」（６～１２回目）
・データ倫理：プライバシー保護 「デジタル・シチズンシップ論」（６～１２回目）
・AI社会原則（公平性、説明責任、透明性、人間中心の判断） 「デジタル・シチズンシップ論」（６～１２回目）
・データバイアス、アルゴリズムバイアス 「デジタル・シチズンシップ論」（８・９回目）
・AIサービスの責任論 「デジタル・シチズンシップ論」（１０～１２回目）
・データ・AI活用における負の事例紹介 「デジタル・シチズンシップ論」（１０～１２回目）</t>
    <phoneticPr fontId="1"/>
  </si>
  <si>
    <t>・情報セキュリティ：機密性、完全性、可用性 「デジタル・シチズンシップ論」（１０～１２回目）
・匿名加工情報、暗号化、パスワード、悪意ある情報搾取 「デジタル・シチズンシップ論」（１０～１２回目）
・情報漏洩等によるセキュリティ事故の事例紹介 「デジタル・シチズンシップ論」（１０～１２回目）</t>
    <phoneticPr fontId="1"/>
  </si>
  <si>
    <t>・データの種類 「数的思考法」（２・３回目）、「統計学Ⅰ」（３回目）、「統計学Ⅱ」（２回目）
・データの分布と代表値 「数的思考法」（１３回目）、「統計学Ⅰ」（４回目）、「統計学Ⅱ」（４～６回目）
・データのばらつき（分散、標準偏差、偏差値） 「数的思考法」（８・９回目）、「統計学Ⅰ」（４回目）、「統計学Ⅱ」（４～６回目）
・層別の必要なデータ 「データ・サイエンス概論」（３回目）
・相関と因果 「データ・サイエンス概論」（８・１０～１３回目）、「統計学Ⅰ」（５回目）
・母集団と標本抽出 「データ・サイエンス概論」（４回目）、「統計学Ⅰ」（９・１０回目）
・クロス集計表 「データ・サイエンス概論」（６・７回目）</t>
    <phoneticPr fontId="1"/>
  </si>
  <si>
    <t>・データ表現（棒グラフ、折線グラフ、散布図）
 「数的思考法」（２～１１、１４～１５回目）、「データ・サイエンス概論」（２～１５回目）
・データの比較（条件をそろえた比較、処理の前後での比較）
 「数的思考法」（２～１１、１４～１５回目）、「データ・サイエンス概論」（３～６回目）、「統計学Ⅰ」（１２～１４回目）、「統計学Ⅱ」（１０～１４回目）
・不適切なグラフ表現（チャートジャンク、不必要な視覚的要素） 「数的思考法」（２～１１回目）</t>
    <phoneticPr fontId="1"/>
  </si>
  <si>
    <t>・データの集計 「数的思考法」（２～１１、１３～１５回目）、「データ・サイエンス概論」（２～１５回目）、
 「統計学Ⅰ」（４・５・９・１０、１２～１４回目）、「統計学Ⅱ」（４～６、８～１４回目）
・データの並び替え、ランキング 「数的思考法」（２～１１、１３～１５回目）、「データ・サイエンス概論」（２～１５回目）
・データ解析ツール（スプレッドシート） 「数的思考法」（２～１５回目）、「データ・サイエンス概論」（２～１５回目）、
 「統計学Ⅰ」（４・５・９・１０、１２～１４回目）、「統計学Ⅱ」（２～６、８～１４回目）
・表形式のデータ（csv） 「数的思考法」（２～１５回目）、「データ・サイエンス概論」（２～１５回目）、
 「統計学Ⅰ」（４・５・９・１０、１２～１４回目）、「統計学Ⅱ」（２～６、８～１４回目）</t>
    <phoneticPr fontId="1"/>
  </si>
  <si>
    <t>石井　雅章</t>
    <rPh sb="0" eb="2">
      <t>イシイ</t>
    </rPh>
    <rPh sb="3" eb="4">
      <t>マサ</t>
    </rPh>
    <rPh sb="4" eb="5">
      <t>アキラ</t>
    </rPh>
    <phoneticPr fontId="1"/>
  </si>
  <si>
    <t>教育イノベーション研究センター長</t>
    <phoneticPr fontId="1"/>
  </si>
  <si>
    <t>教養・基盤教育運営部会</t>
    <phoneticPr fontId="1"/>
  </si>
  <si>
    <t>知念　渉</t>
    <phoneticPr fontId="1"/>
  </si>
  <si>
    <t>教養・基盤教育運営部会長</t>
    <phoneticPr fontId="1"/>
  </si>
  <si>
    <t>神田外語大学教養・基盤教育運営部会規則</t>
    <phoneticPr fontId="1"/>
  </si>
  <si>
    <t>当部会は、教養科目及び基盤教育科目（いずれも数理・データサイエンス・AIに関する科目を含む）をはじめとする教養教育のカリキュラム運営を通して、本学における教養・基盤教育の充実に資することを目的とする。
この目的のため当部会は、数理・データサイエンス・AIに関する科目を主に担当する教育イノベーション研究センターの教員を含む、教養科目及び基盤教育科目を担当する教員によって構成する。</t>
    <phoneticPr fontId="1"/>
  </si>
  <si>
    <t>令和５年度は以下の手段で学生へのプログラムの周知を行った。
・学生用ポータルサイトでの案内
・プログラムを構成する科目の授業内での紹介
・大学ホームページでの情報公開
令和６年度以降はこれらに加え、各学年の新年度ガイダンスにおける案内・資料共有を行うことにより、対象となる全ての学生へより確実に周知を行うとともに、積極的な履修を促す。
また、外国語学部では令和５年度以降の入学者が本プログラムの対象となることに加え、全学生を対象としているグローバル・リベラルアーツ学部は令和６年度に完成年度を迎えるため、年度の進行に伴い収容定員に対する対象学生の割合が増え、プログラム履修率も向上することを見込んでいる。</t>
    <phoneticPr fontId="1"/>
  </si>
  <si>
    <t>本プログラムは学部ごとに異なるカリキュラム・修了要件となっているが、いずれも希望する全ての学生が履修・修了できるものとなっている。
また学生への周知の際は、プログラムの履修に関する問い合わせ窓口が教務部であることを明示しており、学生からの相談があった際は担当者が対応を行っている。</t>
    <phoneticPr fontId="1"/>
  </si>
  <si>
    <t>周知については⑧に記載の通り、対象となる全ての学生に情報が行き渡る方法で行っている。
また、外国語学部のカリキュラムを構成する４つの科目はいずれもオンデマンド形式で受講するものであり、履修者数の制限なく受講することが可能である。
加えて本学では令和５年度より、学修者本位の教育を実現するための教学マネジメントの一環として、シラバス・履修科目選択・学習環境・学修成果実感等に関する課題を把握するための「授業運営アンケート」を実施しており、学生が希望通りの履修をできているかについても確認を行っている。本プログラムの構成科目は多くの学生が履修できるよう時間割等の考慮が成されているが、このアンケートで特定の科目における学生の履修しにくさやその要因が判明した場合は、教養・基盤教育運営部会、教務委員会を中心に改善の検討を行う。</t>
    <phoneticPr fontId="1"/>
  </si>
  <si>
    <t>外国語学部のプログラム構成科目である基礎演習Ⅰ・基礎演習Ⅱ（いずれも学生はオンデマンドで受講）では、より多くの学生の計画的な履修と単位修得のため、クラスごとに配置された担当教員による質問対応や、受講が遅れている学生へのリマインド、教材開発担当の教員による対面での学習相談会などを行っている。
また、受講が遅れている学生の情報は各学科・専攻の教員とも共有し、必修である専攻言語科目の担当教員が学習状況のフォローなども行っている。</t>
    <phoneticPr fontId="1"/>
  </si>
  <si>
    <t>⑪に記載した基礎演習Ⅰ・基礎演習Ⅱにおけるクラス担当教員制度・学習相談会に加え、いずれの科目でもLMSとしてGoogle Classroomを使用しており、学生はそれを通じて随時教員に質問をすることができる。
また、本学では全ての常勤教員がオフィスアワーを設けており、学生はその時間を活用して授業に関する質問・相談を行うことも可能である。</t>
    <phoneticPr fontId="1"/>
  </si>
  <si>
    <t>・調査データ、実験データ、人の行動ログデータ、機械の稼働ログデータなど
 「数的思考法」（４・５回目）、「データ・サイエンス概論」（４～８、１０～１４回目）
・1次データ、2次データ 「数的思考法」（２・３回目）、「統計学Ⅰ」（３回目）、「統計学Ⅱ」（２・３・４回目）</t>
    <phoneticPr fontId="1"/>
  </si>
  <si>
    <t>・データ解析：予測、グルーピング、パターン発見、最適化、シミュレーション・データ同化など
 「数的思考法」（４・５回目）、「データ・サイエンス概論」（９～１４回目）
・データ可視化：複合グラフ、2軸グラフ、多次元の可視化、関係性の可視化、地図上の可視化、挙動・軌跡の可視化、リアルタイム可視化など
 「数的思考法」（２〜１５回目）、「データ・サイエンス概論」（２・３・１５回目）、「統計学Ⅰ」（４・５回目）、「統計学Ⅱ」（６・７回目）
・非構造化データ処理：言語処理、画像/動画処理、音声/音楽処理など
 「デジタルシチズンシップ論」（２回目）、「データ・サイエンス概論」（１３・１４回目）</t>
    <phoneticPr fontId="1"/>
  </si>
  <si>
    <t>◆外国語学部
教　 授　 ：武田明典・青砥清一・飯島明子・吉村稔子・町田明広
准教授　 ：大宅利美・柳在廣・伊藤未帆・徳永あかね・小野塚和人
講　 師　 ：曽我部和馬・林亜美
◆グローバル・リベラルアーツ学部
教　 授　 ：石井雅章（教育イノベーション研究センター長）・植田かおり
准教授　 ：知念渉（教養・基盤教育運営部会長）・上野大祐・吉田京子　　講師：鈴木健太
◆教育イノベーション研究センター
准教授　 ：近藤秀樹　　　講師：井芹俊太郎
◆アカデミックサクセスセンター　准教授：西菜穂子
◆体育・スポーツセンター　講師：江川潤</t>
    <rPh sb="152" eb="154">
      <t>キョウヨウ</t>
    </rPh>
    <rPh sb="155" eb="157">
      <t>キバン</t>
    </rPh>
    <rPh sb="157" eb="159">
      <t>キョウイク</t>
    </rPh>
    <rPh sb="159" eb="161">
      <t>ウンエイ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</si>
</sst>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13" fillId="0" borderId="0" xfId="0" applyFont="1" applyAlignment="1">
      <alignment horizontal="center" vertical="center" shrinkToFit="1"/>
    </xf>
    <xf numFmtId="0" fontId="2" fillId="0" borderId="0" xfId="0" applyFont="1">
      <alignment vertical="center"/>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32"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zoomScaleNormal="100" zoomScaleSheetLayoutView="100" workbookViewId="0">
      <selection activeCell="D102" sqref="D10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80"/>
      <c r="B1" s="80"/>
      <c r="C1" s="80"/>
      <c r="D1" s="80"/>
      <c r="E1" s="80"/>
      <c r="F1" s="80"/>
      <c r="G1" s="80"/>
      <c r="H1" s="80"/>
      <c r="I1" s="80"/>
      <c r="J1" s="80"/>
      <c r="K1" s="80"/>
      <c r="L1" s="80"/>
      <c r="M1" s="80"/>
      <c r="N1" s="80"/>
      <c r="O1" s="80"/>
      <c r="P1" s="80"/>
      <c r="Q1" s="80"/>
      <c r="R1" s="80"/>
      <c r="S1" s="80"/>
      <c r="T1" s="141" t="s">
        <v>136</v>
      </c>
      <c r="U1" s="141"/>
      <c r="V1" s="2" t="s">
        <v>99</v>
      </c>
    </row>
    <row r="2" spans="1:24" ht="18.75" customHeight="1" x14ac:dyDescent="0.15">
      <c r="A2" s="80"/>
      <c r="B2" s="81" t="s">
        <v>98</v>
      </c>
      <c r="C2" s="142" t="s">
        <v>141</v>
      </c>
      <c r="D2" s="143"/>
      <c r="E2" s="143"/>
      <c r="F2" s="143"/>
      <c r="G2" s="143"/>
      <c r="H2" s="143"/>
      <c r="I2" s="143"/>
      <c r="J2" s="144"/>
      <c r="K2" s="82"/>
      <c r="L2" s="83"/>
      <c r="M2" s="83"/>
      <c r="N2" s="83"/>
      <c r="O2" s="83"/>
      <c r="P2" s="83"/>
      <c r="Q2" s="83"/>
      <c r="R2" s="83"/>
      <c r="S2" s="83"/>
      <c r="T2" s="83"/>
      <c r="U2" s="83"/>
    </row>
    <row r="3" spans="1:24" ht="18.75" customHeight="1" x14ac:dyDescent="0.15">
      <c r="A3" s="80"/>
      <c r="B3" s="81" t="s">
        <v>93</v>
      </c>
      <c r="C3" s="142" t="s">
        <v>154</v>
      </c>
      <c r="D3" s="143"/>
      <c r="E3" s="143"/>
      <c r="F3" s="143"/>
      <c r="G3" s="143"/>
      <c r="H3" s="143"/>
      <c r="I3" s="143"/>
      <c r="J3" s="144"/>
      <c r="K3" s="82"/>
      <c r="L3" s="83"/>
      <c r="M3" s="83"/>
      <c r="N3" s="83"/>
      <c r="O3" s="83"/>
      <c r="P3" s="83"/>
      <c r="Q3" s="83"/>
      <c r="R3" s="83"/>
      <c r="S3" s="83"/>
      <c r="T3" s="83"/>
      <c r="U3" s="83"/>
    </row>
    <row r="4" spans="1:24" ht="15" customHeight="1" x14ac:dyDescent="0.15">
      <c r="A4" s="80"/>
      <c r="B4" s="80"/>
      <c r="C4" s="80"/>
      <c r="D4" s="80"/>
      <c r="E4" s="80"/>
      <c r="F4" s="80"/>
      <c r="G4" s="80"/>
      <c r="H4" s="80"/>
      <c r="I4" s="80"/>
      <c r="J4" s="80"/>
      <c r="K4" s="80"/>
      <c r="L4" s="82"/>
      <c r="M4" s="84"/>
      <c r="N4" s="84"/>
      <c r="O4" s="84"/>
      <c r="P4" s="84"/>
      <c r="Q4" s="84"/>
      <c r="R4" s="84"/>
      <c r="S4" s="84"/>
      <c r="T4" s="84"/>
      <c r="U4" s="84"/>
    </row>
    <row r="5" spans="1:24" ht="18" customHeight="1" x14ac:dyDescent="0.15">
      <c r="A5" s="122" t="s">
        <v>37</v>
      </c>
      <c r="B5" s="122"/>
      <c r="C5" s="122"/>
      <c r="D5" s="122"/>
      <c r="E5" s="122"/>
      <c r="F5" s="122"/>
      <c r="G5" s="122"/>
      <c r="H5" s="122"/>
      <c r="I5" s="122"/>
      <c r="J5" s="122"/>
      <c r="K5" s="122"/>
      <c r="L5" s="122"/>
      <c r="M5" s="122"/>
      <c r="N5" s="122"/>
      <c r="O5" s="122"/>
      <c r="P5" s="122"/>
      <c r="Q5" s="122"/>
      <c r="R5" s="122"/>
      <c r="S5" s="122"/>
      <c r="T5" s="122"/>
      <c r="U5" s="122"/>
    </row>
    <row r="6" spans="1:24" ht="15" customHeight="1" x14ac:dyDescent="0.15">
      <c r="A6" s="80"/>
      <c r="B6" s="85"/>
      <c r="C6" s="85"/>
      <c r="D6" s="85"/>
      <c r="E6" s="85"/>
      <c r="F6" s="85"/>
      <c r="G6" s="85"/>
      <c r="H6" s="85"/>
      <c r="I6" s="85"/>
      <c r="J6" s="85"/>
      <c r="K6" s="85"/>
      <c r="L6" s="85"/>
      <c r="M6" s="85"/>
      <c r="N6" s="85"/>
      <c r="O6" s="85"/>
      <c r="P6" s="85"/>
      <c r="Q6" s="85"/>
      <c r="R6" s="85"/>
      <c r="S6" s="85"/>
      <c r="T6" s="85"/>
      <c r="U6" s="85"/>
    </row>
    <row r="7" spans="1:24" ht="15" customHeight="1" x14ac:dyDescent="0.15">
      <c r="A7" s="80" t="s">
        <v>131</v>
      </c>
      <c r="B7" s="85"/>
      <c r="C7" s="85"/>
      <c r="D7" s="85"/>
      <c r="E7" s="85"/>
      <c r="F7" s="86"/>
      <c r="G7" s="86"/>
      <c r="H7" s="86"/>
      <c r="I7" s="86"/>
      <c r="J7" s="86"/>
      <c r="K7" s="86"/>
      <c r="L7" s="158" t="s">
        <v>129</v>
      </c>
      <c r="M7" s="159"/>
      <c r="N7" s="159"/>
      <c r="O7" s="159"/>
      <c r="P7" s="159"/>
      <c r="Q7" s="159"/>
      <c r="R7" s="159"/>
      <c r="S7" s="159"/>
      <c r="T7" s="159"/>
      <c r="U7" s="160"/>
    </row>
    <row r="8" spans="1:24" ht="6" customHeight="1" x14ac:dyDescent="0.15">
      <c r="A8" s="80"/>
      <c r="B8" s="85"/>
      <c r="C8" s="85"/>
      <c r="D8" s="85"/>
      <c r="E8" s="85"/>
      <c r="F8" s="85"/>
      <c r="G8" s="85"/>
      <c r="H8" s="85"/>
      <c r="I8" s="85"/>
      <c r="J8" s="85"/>
      <c r="K8" s="85"/>
      <c r="L8" s="85"/>
      <c r="M8" s="85"/>
      <c r="N8" s="85"/>
      <c r="O8" s="85"/>
      <c r="P8" s="85"/>
      <c r="Q8" s="85"/>
      <c r="R8" s="85"/>
      <c r="S8" s="85"/>
      <c r="T8" s="85"/>
      <c r="U8" s="85"/>
    </row>
    <row r="9" spans="1:24" ht="18" customHeight="1" x14ac:dyDescent="0.15">
      <c r="A9" s="80" t="s">
        <v>132</v>
      </c>
      <c r="B9" s="80"/>
      <c r="C9" s="85"/>
      <c r="D9" s="85"/>
      <c r="E9" s="80"/>
      <c r="F9" s="80"/>
      <c r="G9" s="80"/>
      <c r="H9" s="80"/>
      <c r="I9" s="80"/>
      <c r="J9" s="80"/>
      <c r="K9" s="82"/>
      <c r="L9" s="86"/>
      <c r="M9" s="86"/>
      <c r="N9" s="86"/>
      <c r="O9" s="86"/>
      <c r="P9" s="86"/>
      <c r="Q9" s="86"/>
      <c r="R9" s="86"/>
      <c r="S9" s="86"/>
      <c r="T9" s="86"/>
      <c r="U9" s="86"/>
    </row>
    <row r="10" spans="1:24" ht="6" customHeight="1" x14ac:dyDescent="0.15">
      <c r="A10" s="80"/>
      <c r="B10" s="85"/>
      <c r="C10" s="85"/>
      <c r="D10" s="85"/>
      <c r="E10" s="85"/>
      <c r="F10" s="85"/>
      <c r="G10" s="85"/>
      <c r="H10" s="85"/>
      <c r="I10" s="85"/>
      <c r="J10" s="85"/>
      <c r="K10" s="85"/>
      <c r="L10" s="87"/>
      <c r="M10" s="85"/>
      <c r="N10" s="85"/>
      <c r="O10" s="85"/>
      <c r="P10" s="85"/>
      <c r="Q10" s="85"/>
      <c r="R10" s="85"/>
      <c r="S10" s="85"/>
      <c r="T10" s="85"/>
      <c r="U10" s="85"/>
    </row>
    <row r="11" spans="1:24" ht="18" customHeight="1" x14ac:dyDescent="0.15">
      <c r="A11" s="80"/>
      <c r="B11" s="162" t="s">
        <v>139</v>
      </c>
      <c r="C11" s="163"/>
      <c r="D11" s="163"/>
      <c r="E11" s="163"/>
      <c r="F11" s="163"/>
      <c r="G11" s="163"/>
      <c r="H11" s="163"/>
      <c r="I11" s="163"/>
      <c r="J11" s="163"/>
      <c r="K11" s="163"/>
      <c r="L11" s="163"/>
      <c r="M11" s="163"/>
      <c r="N11" s="163"/>
      <c r="O11" s="163"/>
      <c r="P11" s="163"/>
      <c r="Q11" s="163"/>
      <c r="R11" s="163"/>
      <c r="S11" s="163"/>
      <c r="T11" s="163"/>
      <c r="U11" s="164"/>
    </row>
    <row r="12" spans="1:24" ht="18" customHeight="1" x14ac:dyDescent="0.15">
      <c r="A12" s="80"/>
      <c r="B12" s="165"/>
      <c r="C12" s="166"/>
      <c r="D12" s="166"/>
      <c r="E12" s="166"/>
      <c r="F12" s="166"/>
      <c r="G12" s="166"/>
      <c r="H12" s="166"/>
      <c r="I12" s="166"/>
      <c r="J12" s="166"/>
      <c r="K12" s="166"/>
      <c r="L12" s="166"/>
      <c r="M12" s="166"/>
      <c r="N12" s="166"/>
      <c r="O12" s="166"/>
      <c r="P12" s="166"/>
      <c r="Q12" s="166"/>
      <c r="R12" s="166"/>
      <c r="S12" s="166"/>
      <c r="T12" s="166"/>
      <c r="U12" s="167"/>
    </row>
    <row r="13" spans="1:24" ht="6" customHeight="1" x14ac:dyDescent="0.15">
      <c r="A13" s="80"/>
      <c r="B13" s="85"/>
      <c r="C13" s="85"/>
      <c r="D13" s="85"/>
      <c r="E13" s="85"/>
      <c r="F13" s="85"/>
      <c r="G13" s="85"/>
      <c r="H13" s="85"/>
      <c r="I13" s="85"/>
      <c r="J13" s="85"/>
      <c r="K13" s="85"/>
      <c r="L13" s="87"/>
      <c r="M13" s="85"/>
      <c r="N13" s="85"/>
      <c r="O13" s="85"/>
      <c r="P13" s="85"/>
      <c r="Q13" s="85"/>
      <c r="R13" s="85"/>
      <c r="S13" s="85"/>
      <c r="T13" s="85"/>
      <c r="U13" s="85"/>
    </row>
    <row r="14" spans="1:24" ht="18" customHeight="1" x14ac:dyDescent="0.15">
      <c r="A14" s="80" t="s">
        <v>100</v>
      </c>
      <c r="B14" s="85"/>
      <c r="C14" s="85"/>
      <c r="D14" s="85"/>
      <c r="E14" s="82"/>
      <c r="F14" s="82"/>
      <c r="G14" s="82"/>
      <c r="H14" s="82"/>
      <c r="I14" s="82"/>
      <c r="J14" s="82"/>
      <c r="K14" s="82"/>
      <c r="L14" s="88"/>
      <c r="M14" s="88"/>
      <c r="N14" s="88"/>
      <c r="O14" s="88"/>
      <c r="P14" s="88"/>
      <c r="Q14" s="88"/>
      <c r="R14" s="88"/>
      <c r="S14" s="88"/>
      <c r="T14" s="88"/>
      <c r="U14" s="88"/>
    </row>
    <row r="15" spans="1:24" ht="18" customHeight="1" x14ac:dyDescent="0.15">
      <c r="A15" s="80"/>
      <c r="B15" s="123" t="s">
        <v>155</v>
      </c>
      <c r="C15" s="124"/>
      <c r="D15" s="124"/>
      <c r="E15" s="124"/>
      <c r="F15" s="124"/>
      <c r="G15" s="124"/>
      <c r="H15" s="124"/>
      <c r="I15" s="124"/>
      <c r="J15" s="124"/>
      <c r="K15" s="124"/>
      <c r="L15" s="124"/>
      <c r="M15" s="124"/>
      <c r="N15" s="124"/>
      <c r="O15" s="124"/>
      <c r="P15" s="124"/>
      <c r="Q15" s="124"/>
      <c r="R15" s="124"/>
      <c r="S15" s="124"/>
      <c r="T15" s="124"/>
      <c r="U15" s="125"/>
      <c r="X15" s="1" t="s">
        <v>94</v>
      </c>
    </row>
    <row r="16" spans="1:24" ht="18" customHeight="1" x14ac:dyDescent="0.15">
      <c r="A16" s="80"/>
      <c r="B16" s="126"/>
      <c r="C16" s="127"/>
      <c r="D16" s="127"/>
      <c r="E16" s="127"/>
      <c r="F16" s="127"/>
      <c r="G16" s="127"/>
      <c r="H16" s="127"/>
      <c r="I16" s="127"/>
      <c r="J16" s="127"/>
      <c r="K16" s="127"/>
      <c r="L16" s="127"/>
      <c r="M16" s="127"/>
      <c r="N16" s="127"/>
      <c r="O16" s="127"/>
      <c r="P16" s="127"/>
      <c r="Q16" s="127"/>
      <c r="R16" s="127"/>
      <c r="S16" s="127"/>
      <c r="T16" s="127"/>
      <c r="U16" s="128"/>
      <c r="X16" s="1" t="s">
        <v>114</v>
      </c>
    </row>
    <row r="17" spans="1:24" ht="18" customHeight="1" x14ac:dyDescent="0.15">
      <c r="A17" s="80"/>
      <c r="B17" s="126"/>
      <c r="C17" s="127"/>
      <c r="D17" s="127"/>
      <c r="E17" s="127"/>
      <c r="F17" s="127"/>
      <c r="G17" s="127"/>
      <c r="H17" s="127"/>
      <c r="I17" s="127"/>
      <c r="J17" s="127"/>
      <c r="K17" s="127"/>
      <c r="L17" s="127"/>
      <c r="M17" s="127"/>
      <c r="N17" s="127"/>
      <c r="O17" s="127"/>
      <c r="P17" s="127"/>
      <c r="Q17" s="127"/>
      <c r="R17" s="127"/>
      <c r="S17" s="127"/>
      <c r="T17" s="127"/>
      <c r="U17" s="128"/>
      <c r="X17" s="1" t="s">
        <v>115</v>
      </c>
    </row>
    <row r="18" spans="1:24" ht="18" customHeight="1" x14ac:dyDescent="0.15">
      <c r="A18" s="80"/>
      <c r="B18" s="126"/>
      <c r="C18" s="127"/>
      <c r="D18" s="127"/>
      <c r="E18" s="127"/>
      <c r="F18" s="127"/>
      <c r="G18" s="127"/>
      <c r="H18" s="127"/>
      <c r="I18" s="127"/>
      <c r="J18" s="127"/>
      <c r="K18" s="127"/>
      <c r="L18" s="127"/>
      <c r="M18" s="127"/>
      <c r="N18" s="127"/>
      <c r="O18" s="127"/>
      <c r="P18" s="127"/>
      <c r="Q18" s="127"/>
      <c r="R18" s="127"/>
      <c r="S18" s="127"/>
      <c r="T18" s="127"/>
      <c r="U18" s="128"/>
      <c r="X18" s="1" t="s">
        <v>116</v>
      </c>
    </row>
    <row r="19" spans="1:24" ht="18" customHeight="1" x14ac:dyDescent="0.15">
      <c r="A19" s="80"/>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15">
      <c r="A20" s="80"/>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15">
      <c r="A21" s="80"/>
      <c r="B21" s="85"/>
      <c r="C21" s="85"/>
      <c r="D21" s="85"/>
      <c r="E21" s="85"/>
      <c r="F21" s="85"/>
      <c r="G21" s="85"/>
      <c r="H21" s="85"/>
      <c r="I21" s="85"/>
      <c r="J21" s="85"/>
      <c r="K21" s="85"/>
      <c r="L21" s="85"/>
      <c r="M21" s="85"/>
      <c r="N21" s="85"/>
      <c r="O21" s="85"/>
      <c r="P21" s="85"/>
      <c r="Q21" s="85"/>
      <c r="R21" s="85"/>
      <c r="S21" s="85"/>
      <c r="T21" s="85"/>
      <c r="U21" s="85"/>
    </row>
    <row r="22" spans="1:24" ht="19.899999999999999" customHeight="1" x14ac:dyDescent="0.15">
      <c r="A22" s="80"/>
      <c r="B22" s="80" t="s">
        <v>133</v>
      </c>
      <c r="C22" s="80"/>
      <c r="D22" s="80"/>
      <c r="E22" s="89">
        <v>4</v>
      </c>
      <c r="F22" s="80" t="s">
        <v>112</v>
      </c>
      <c r="G22" s="80"/>
      <c r="H22" s="90">
        <v>6</v>
      </c>
      <c r="I22" s="85" t="s">
        <v>113</v>
      </c>
      <c r="J22" s="85"/>
      <c r="K22" s="82"/>
      <c r="L22" s="80"/>
      <c r="M22" s="82" t="s">
        <v>109</v>
      </c>
      <c r="N22" s="155" t="s">
        <v>116</v>
      </c>
      <c r="O22" s="156"/>
      <c r="P22" s="156"/>
      <c r="Q22" s="156"/>
      <c r="R22" s="156"/>
      <c r="S22" s="156"/>
      <c r="T22" s="156"/>
      <c r="U22" s="157"/>
    </row>
    <row r="23" spans="1:24" ht="7.5" customHeight="1" x14ac:dyDescent="0.15">
      <c r="A23" s="80"/>
      <c r="B23" s="85"/>
      <c r="C23" s="85"/>
      <c r="D23" s="85"/>
      <c r="E23" s="85"/>
      <c r="F23" s="85"/>
      <c r="G23" s="85"/>
      <c r="H23" s="85"/>
      <c r="I23" s="85"/>
      <c r="J23" s="85"/>
      <c r="K23" s="85"/>
      <c r="L23" s="85"/>
      <c r="M23" s="85"/>
      <c r="N23" s="85"/>
      <c r="O23" s="85"/>
      <c r="P23" s="85"/>
      <c r="Q23" s="85"/>
      <c r="R23" s="85"/>
      <c r="S23" s="85"/>
      <c r="T23" s="85"/>
      <c r="U23" s="85"/>
    </row>
    <row r="24" spans="1:24" ht="18" customHeight="1" x14ac:dyDescent="0.15">
      <c r="A24" s="132" t="s">
        <v>101</v>
      </c>
      <c r="B24" s="132"/>
      <c r="C24" s="132"/>
      <c r="D24" s="132"/>
      <c r="E24" s="132"/>
      <c r="F24" s="132"/>
      <c r="G24" s="132"/>
      <c r="H24" s="132"/>
      <c r="I24" s="132"/>
      <c r="J24" s="132"/>
      <c r="K24" s="132"/>
      <c r="L24" s="132"/>
      <c r="M24" s="132"/>
      <c r="N24" s="132"/>
      <c r="O24" s="132"/>
      <c r="P24" s="132"/>
      <c r="Q24" s="132"/>
      <c r="R24" s="132"/>
      <c r="S24" s="132"/>
      <c r="T24" s="132"/>
      <c r="U24" s="132"/>
    </row>
    <row r="25" spans="1:24" ht="18" customHeight="1" x14ac:dyDescent="0.15">
      <c r="A25" s="132"/>
      <c r="B25" s="132"/>
      <c r="C25" s="132"/>
      <c r="D25" s="132"/>
      <c r="E25" s="132"/>
      <c r="F25" s="132"/>
      <c r="G25" s="132"/>
      <c r="H25" s="132"/>
      <c r="I25" s="132"/>
      <c r="J25" s="132"/>
      <c r="K25" s="132"/>
      <c r="L25" s="132"/>
      <c r="M25" s="132"/>
      <c r="N25" s="132"/>
      <c r="O25" s="132"/>
      <c r="P25" s="132"/>
      <c r="Q25" s="132"/>
      <c r="R25" s="132"/>
      <c r="S25" s="132"/>
      <c r="T25" s="132"/>
      <c r="U25" s="132"/>
    </row>
    <row r="26" spans="1:24" ht="18" customHeight="1" x14ac:dyDescent="0.15">
      <c r="B26" s="98" t="s">
        <v>51</v>
      </c>
      <c r="C26" s="99"/>
      <c r="D26" s="99"/>
      <c r="E26" s="99"/>
      <c r="F26" s="100"/>
      <c r="G26" s="51" t="s">
        <v>77</v>
      </c>
      <c r="H26" s="50" t="s">
        <v>80</v>
      </c>
      <c r="I26" s="17" t="s">
        <v>54</v>
      </c>
      <c r="J26" s="17" t="s">
        <v>57</v>
      </c>
      <c r="K26" s="98" t="s">
        <v>51</v>
      </c>
      <c r="L26" s="99"/>
      <c r="M26" s="99"/>
      <c r="N26" s="99"/>
      <c r="O26" s="99"/>
      <c r="P26" s="99"/>
      <c r="Q26" s="100"/>
      <c r="R26" s="51" t="s">
        <v>77</v>
      </c>
      <c r="S26" s="50" t="s">
        <v>80</v>
      </c>
      <c r="T26" s="17" t="s">
        <v>54</v>
      </c>
      <c r="U26" s="17" t="s">
        <v>57</v>
      </c>
    </row>
    <row r="27" spans="1:24" ht="18" customHeight="1" x14ac:dyDescent="0.15">
      <c r="B27" s="109" t="s">
        <v>158</v>
      </c>
      <c r="C27" s="110"/>
      <c r="D27" s="110"/>
      <c r="E27" s="110"/>
      <c r="F27" s="111"/>
      <c r="G27" s="18">
        <v>2</v>
      </c>
      <c r="H27" s="18" t="s">
        <v>161</v>
      </c>
      <c r="I27" s="18" t="s">
        <v>161</v>
      </c>
      <c r="J27" s="18" t="s">
        <v>161</v>
      </c>
      <c r="K27" s="109"/>
      <c r="L27" s="110"/>
      <c r="M27" s="110"/>
      <c r="N27" s="110"/>
      <c r="O27" s="110"/>
      <c r="P27" s="110"/>
      <c r="Q27" s="111"/>
      <c r="R27" s="18"/>
      <c r="S27" s="18"/>
      <c r="T27" s="18"/>
      <c r="U27" s="18"/>
    </row>
    <row r="28" spans="1:24" ht="18" customHeight="1" x14ac:dyDescent="0.15">
      <c r="B28" s="101" t="s">
        <v>159</v>
      </c>
      <c r="C28" s="102"/>
      <c r="D28" s="102"/>
      <c r="E28" s="102"/>
      <c r="F28" s="103"/>
      <c r="G28" s="19">
        <v>1</v>
      </c>
      <c r="H28" s="19" t="s">
        <v>161</v>
      </c>
      <c r="I28" s="19" t="s">
        <v>161</v>
      </c>
      <c r="J28" s="19" t="s">
        <v>161</v>
      </c>
      <c r="K28" s="101"/>
      <c r="L28" s="102"/>
      <c r="M28" s="102"/>
      <c r="N28" s="102"/>
      <c r="O28" s="102"/>
      <c r="P28" s="102"/>
      <c r="Q28" s="103"/>
      <c r="R28" s="19"/>
      <c r="S28" s="19"/>
      <c r="T28" s="19"/>
      <c r="U28" s="19"/>
    </row>
    <row r="29" spans="1:24" ht="18" customHeight="1" x14ac:dyDescent="0.15">
      <c r="B29" s="101" t="s">
        <v>160</v>
      </c>
      <c r="C29" s="102"/>
      <c r="D29" s="102"/>
      <c r="E29" s="102"/>
      <c r="F29" s="103"/>
      <c r="G29" s="19">
        <v>1</v>
      </c>
      <c r="H29" s="19" t="s">
        <v>161</v>
      </c>
      <c r="I29" s="19" t="s">
        <v>161</v>
      </c>
      <c r="J29" s="19" t="s">
        <v>161</v>
      </c>
      <c r="K29" s="101"/>
      <c r="L29" s="102"/>
      <c r="M29" s="102"/>
      <c r="N29" s="102"/>
      <c r="O29" s="102"/>
      <c r="P29" s="102"/>
      <c r="Q29" s="103"/>
      <c r="R29" s="19"/>
      <c r="S29" s="19"/>
      <c r="T29" s="19"/>
      <c r="U29" s="19"/>
    </row>
    <row r="30" spans="1:24" ht="18" customHeight="1" x14ac:dyDescent="0.15">
      <c r="B30" s="101"/>
      <c r="C30" s="102"/>
      <c r="D30" s="102"/>
      <c r="E30" s="102"/>
      <c r="F30" s="103"/>
      <c r="G30" s="19"/>
      <c r="H30" s="19"/>
      <c r="I30" s="19"/>
      <c r="J30" s="19"/>
      <c r="K30" s="101"/>
      <c r="L30" s="102"/>
      <c r="M30" s="102"/>
      <c r="N30" s="102"/>
      <c r="O30" s="102"/>
      <c r="P30" s="102"/>
      <c r="Q30" s="103"/>
      <c r="R30" s="19"/>
      <c r="S30" s="19"/>
      <c r="T30" s="19"/>
      <c r="U30" s="19"/>
    </row>
    <row r="31" spans="1:24" ht="18" customHeight="1" x14ac:dyDescent="0.15">
      <c r="B31" s="101"/>
      <c r="C31" s="102"/>
      <c r="D31" s="102"/>
      <c r="E31" s="102"/>
      <c r="F31" s="103"/>
      <c r="G31" s="19"/>
      <c r="H31" s="19"/>
      <c r="I31" s="19"/>
      <c r="J31" s="19"/>
      <c r="K31" s="101"/>
      <c r="L31" s="102"/>
      <c r="M31" s="102"/>
      <c r="N31" s="102"/>
      <c r="O31" s="102"/>
      <c r="P31" s="102"/>
      <c r="Q31" s="103"/>
      <c r="R31" s="19"/>
      <c r="S31" s="19"/>
      <c r="T31" s="19"/>
      <c r="U31" s="19"/>
    </row>
    <row r="32" spans="1:24" ht="18" customHeight="1" x14ac:dyDescent="0.15">
      <c r="A32" s="3"/>
      <c r="B32" s="101"/>
      <c r="C32" s="102"/>
      <c r="D32" s="102"/>
      <c r="E32" s="102"/>
      <c r="F32" s="103"/>
      <c r="G32" s="19"/>
      <c r="H32" s="19"/>
      <c r="I32" s="19"/>
      <c r="J32" s="19"/>
      <c r="K32" s="101"/>
      <c r="L32" s="102"/>
      <c r="M32" s="102"/>
      <c r="N32" s="102"/>
      <c r="O32" s="102"/>
      <c r="P32" s="102"/>
      <c r="Q32" s="103"/>
      <c r="R32" s="19"/>
      <c r="S32" s="19"/>
      <c r="T32" s="19"/>
      <c r="U32" s="19"/>
    </row>
    <row r="33" spans="1:21" ht="18" customHeight="1" x14ac:dyDescent="0.15">
      <c r="A33" s="3"/>
      <c r="B33" s="104"/>
      <c r="C33" s="105"/>
      <c r="D33" s="105"/>
      <c r="E33" s="105"/>
      <c r="F33" s="106"/>
      <c r="G33" s="20"/>
      <c r="H33" s="20"/>
      <c r="I33" s="21"/>
      <c r="J33" s="21"/>
      <c r="K33" s="104"/>
      <c r="L33" s="105"/>
      <c r="M33" s="105"/>
      <c r="N33" s="105"/>
      <c r="O33" s="105"/>
      <c r="P33" s="105"/>
      <c r="Q33" s="106"/>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2" t="s">
        <v>102</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98" t="s">
        <v>51</v>
      </c>
      <c r="C37" s="99"/>
      <c r="D37" s="99"/>
      <c r="E37" s="99"/>
      <c r="F37" s="100"/>
      <c r="G37" s="51" t="s">
        <v>77</v>
      </c>
      <c r="H37" s="50" t="s">
        <v>80</v>
      </c>
      <c r="I37" s="17" t="s">
        <v>68</v>
      </c>
      <c r="J37" s="17" t="s">
        <v>69</v>
      </c>
      <c r="K37" s="98" t="s">
        <v>51</v>
      </c>
      <c r="L37" s="99"/>
      <c r="M37" s="99"/>
      <c r="N37" s="99"/>
      <c r="O37" s="99"/>
      <c r="P37" s="99"/>
      <c r="Q37" s="100"/>
      <c r="R37" s="51" t="s">
        <v>77</v>
      </c>
      <c r="S37" s="50" t="s">
        <v>80</v>
      </c>
      <c r="T37" s="17" t="s">
        <v>68</v>
      </c>
      <c r="U37" s="17" t="s">
        <v>69</v>
      </c>
    </row>
    <row r="38" spans="1:21" ht="18" customHeight="1" x14ac:dyDescent="0.15">
      <c r="B38" s="109" t="s">
        <v>158</v>
      </c>
      <c r="C38" s="110"/>
      <c r="D38" s="110"/>
      <c r="E38" s="110"/>
      <c r="F38" s="111"/>
      <c r="G38" s="18">
        <v>2</v>
      </c>
      <c r="H38" s="18" t="s">
        <v>161</v>
      </c>
      <c r="I38" s="18"/>
      <c r="J38" s="18" t="s">
        <v>161</v>
      </c>
      <c r="K38" s="109"/>
      <c r="L38" s="110"/>
      <c r="M38" s="110"/>
      <c r="N38" s="110"/>
      <c r="O38" s="110"/>
      <c r="P38" s="110"/>
      <c r="Q38" s="111"/>
      <c r="R38" s="18"/>
      <c r="S38" s="18"/>
      <c r="T38" s="18"/>
      <c r="U38" s="18"/>
    </row>
    <row r="39" spans="1:21" ht="18" customHeight="1" x14ac:dyDescent="0.15">
      <c r="B39" s="101" t="s">
        <v>162</v>
      </c>
      <c r="C39" s="102"/>
      <c r="D39" s="102"/>
      <c r="E39" s="102"/>
      <c r="F39" s="103"/>
      <c r="G39" s="19">
        <v>2</v>
      </c>
      <c r="H39" s="19" t="s">
        <v>161</v>
      </c>
      <c r="I39" s="19" t="s">
        <v>161</v>
      </c>
      <c r="J39" s="19"/>
      <c r="K39" s="101"/>
      <c r="L39" s="102"/>
      <c r="M39" s="102"/>
      <c r="N39" s="102"/>
      <c r="O39" s="102"/>
      <c r="P39" s="102"/>
      <c r="Q39" s="103"/>
      <c r="R39" s="19"/>
      <c r="S39" s="19"/>
      <c r="T39" s="19"/>
      <c r="U39" s="19"/>
    </row>
    <row r="40" spans="1:21" ht="18" customHeight="1" x14ac:dyDescent="0.15">
      <c r="B40" s="101" t="s">
        <v>159</v>
      </c>
      <c r="C40" s="102"/>
      <c r="D40" s="102"/>
      <c r="E40" s="102"/>
      <c r="F40" s="103"/>
      <c r="G40" s="19">
        <v>1</v>
      </c>
      <c r="H40" s="19" t="s">
        <v>161</v>
      </c>
      <c r="I40" s="19"/>
      <c r="J40" s="19" t="s">
        <v>161</v>
      </c>
      <c r="K40" s="101"/>
      <c r="L40" s="102"/>
      <c r="M40" s="102"/>
      <c r="N40" s="102"/>
      <c r="O40" s="102"/>
      <c r="P40" s="102"/>
      <c r="Q40" s="103"/>
      <c r="R40" s="19"/>
      <c r="S40" s="19"/>
      <c r="T40" s="19"/>
      <c r="U40" s="19"/>
    </row>
    <row r="41" spans="1:21" ht="18" customHeight="1" x14ac:dyDescent="0.15">
      <c r="B41" s="101" t="s">
        <v>160</v>
      </c>
      <c r="C41" s="102"/>
      <c r="D41" s="102"/>
      <c r="E41" s="102"/>
      <c r="F41" s="103"/>
      <c r="G41" s="19">
        <v>1</v>
      </c>
      <c r="H41" s="19" t="s">
        <v>161</v>
      </c>
      <c r="I41" s="19"/>
      <c r="J41" s="19" t="s">
        <v>161</v>
      </c>
      <c r="K41" s="101"/>
      <c r="L41" s="102"/>
      <c r="M41" s="102"/>
      <c r="N41" s="102"/>
      <c r="O41" s="102"/>
      <c r="P41" s="102"/>
      <c r="Q41" s="103"/>
      <c r="R41" s="19"/>
      <c r="S41" s="19"/>
      <c r="T41" s="19"/>
      <c r="U41" s="19"/>
    </row>
    <row r="42" spans="1:21" ht="18" customHeight="1" x14ac:dyDescent="0.15">
      <c r="B42" s="101"/>
      <c r="C42" s="102"/>
      <c r="D42" s="102"/>
      <c r="E42" s="102"/>
      <c r="F42" s="103"/>
      <c r="G42" s="19"/>
      <c r="H42" s="19"/>
      <c r="I42" s="19"/>
      <c r="J42" s="19"/>
      <c r="K42" s="101"/>
      <c r="L42" s="102"/>
      <c r="M42" s="102"/>
      <c r="N42" s="102"/>
      <c r="O42" s="102"/>
      <c r="P42" s="102"/>
      <c r="Q42" s="103"/>
      <c r="R42" s="19"/>
      <c r="S42" s="19"/>
      <c r="T42" s="19"/>
      <c r="U42" s="19"/>
    </row>
    <row r="43" spans="1:21" ht="18" customHeight="1" x14ac:dyDescent="0.15">
      <c r="B43" s="101"/>
      <c r="C43" s="102"/>
      <c r="D43" s="102"/>
      <c r="E43" s="102"/>
      <c r="F43" s="103"/>
      <c r="G43" s="19"/>
      <c r="H43" s="19"/>
      <c r="I43" s="19"/>
      <c r="J43" s="19"/>
      <c r="K43" s="101"/>
      <c r="L43" s="102"/>
      <c r="M43" s="102"/>
      <c r="N43" s="102"/>
      <c r="O43" s="102"/>
      <c r="P43" s="102"/>
      <c r="Q43" s="103"/>
      <c r="R43" s="19"/>
      <c r="S43" s="19"/>
      <c r="T43" s="19"/>
      <c r="U43" s="19"/>
    </row>
    <row r="44" spans="1:21" ht="18" customHeight="1" x14ac:dyDescent="0.15">
      <c r="B44" s="104"/>
      <c r="C44" s="105"/>
      <c r="D44" s="105"/>
      <c r="E44" s="105"/>
      <c r="F44" s="106"/>
      <c r="G44" s="20"/>
      <c r="H44" s="20"/>
      <c r="I44" s="21"/>
      <c r="J44" s="21"/>
      <c r="K44" s="104"/>
      <c r="L44" s="105"/>
      <c r="M44" s="105"/>
      <c r="N44" s="105"/>
      <c r="O44" s="105"/>
      <c r="P44" s="105"/>
      <c r="Q44" s="106"/>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2" t="s">
        <v>103</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98" t="s">
        <v>51</v>
      </c>
      <c r="C48" s="99"/>
      <c r="D48" s="99"/>
      <c r="E48" s="99"/>
      <c r="F48" s="100"/>
      <c r="G48" s="51" t="s">
        <v>77</v>
      </c>
      <c r="H48" s="50" t="s">
        <v>80</v>
      </c>
      <c r="I48" s="17" t="s">
        <v>70</v>
      </c>
      <c r="J48" s="17" t="s">
        <v>71</v>
      </c>
      <c r="K48" s="98" t="s">
        <v>51</v>
      </c>
      <c r="L48" s="99"/>
      <c r="M48" s="99"/>
      <c r="N48" s="99"/>
      <c r="O48" s="99"/>
      <c r="P48" s="99"/>
      <c r="Q48" s="100"/>
      <c r="R48" s="51" t="s">
        <v>77</v>
      </c>
      <c r="S48" s="50" t="s">
        <v>80</v>
      </c>
      <c r="T48" s="17" t="s">
        <v>70</v>
      </c>
      <c r="U48" s="17" t="s">
        <v>71</v>
      </c>
    </row>
    <row r="49" spans="1:21" ht="18" customHeight="1" x14ac:dyDescent="0.15">
      <c r="A49" s="3"/>
      <c r="B49" s="109" t="s">
        <v>163</v>
      </c>
      <c r="C49" s="110"/>
      <c r="D49" s="110"/>
      <c r="E49" s="110"/>
      <c r="F49" s="111"/>
      <c r="G49" s="18">
        <v>2</v>
      </c>
      <c r="H49" s="18" t="s">
        <v>161</v>
      </c>
      <c r="I49" s="18" t="s">
        <v>161</v>
      </c>
      <c r="J49" s="18"/>
      <c r="K49" s="109"/>
      <c r="L49" s="110"/>
      <c r="M49" s="110"/>
      <c r="N49" s="110"/>
      <c r="O49" s="110"/>
      <c r="P49" s="110"/>
      <c r="Q49" s="111"/>
      <c r="R49" s="18"/>
      <c r="S49" s="18"/>
      <c r="T49" s="18"/>
      <c r="U49" s="18"/>
    </row>
    <row r="50" spans="1:21" ht="18" customHeight="1" x14ac:dyDescent="0.15">
      <c r="A50" s="3"/>
      <c r="B50" s="101" t="s">
        <v>159</v>
      </c>
      <c r="C50" s="102"/>
      <c r="D50" s="102"/>
      <c r="E50" s="102"/>
      <c r="F50" s="103"/>
      <c r="G50" s="19">
        <v>1</v>
      </c>
      <c r="H50" s="19" t="s">
        <v>161</v>
      </c>
      <c r="I50" s="19" t="s">
        <v>161</v>
      </c>
      <c r="J50" s="19" t="s">
        <v>161</v>
      </c>
      <c r="K50" s="101"/>
      <c r="L50" s="102"/>
      <c r="M50" s="102"/>
      <c r="N50" s="102"/>
      <c r="O50" s="102"/>
      <c r="P50" s="102"/>
      <c r="Q50" s="103"/>
      <c r="R50" s="19"/>
      <c r="S50" s="19"/>
      <c r="T50" s="19"/>
      <c r="U50" s="19"/>
    </row>
    <row r="51" spans="1:21" ht="18" customHeight="1" x14ac:dyDescent="0.15">
      <c r="A51" s="3"/>
      <c r="B51" s="101" t="s">
        <v>160</v>
      </c>
      <c r="C51" s="102"/>
      <c r="D51" s="102"/>
      <c r="E51" s="102"/>
      <c r="F51" s="103"/>
      <c r="G51" s="19">
        <v>1</v>
      </c>
      <c r="H51" s="19" t="s">
        <v>161</v>
      </c>
      <c r="I51" s="19" t="s">
        <v>161</v>
      </c>
      <c r="J51" s="19" t="s">
        <v>161</v>
      </c>
      <c r="K51" s="101"/>
      <c r="L51" s="102"/>
      <c r="M51" s="102"/>
      <c r="N51" s="102"/>
      <c r="O51" s="102"/>
      <c r="P51" s="102"/>
      <c r="Q51" s="103"/>
      <c r="R51" s="19"/>
      <c r="S51" s="19"/>
      <c r="T51" s="19"/>
      <c r="U51" s="19"/>
    </row>
    <row r="52" spans="1:21" ht="18" customHeight="1" x14ac:dyDescent="0.15">
      <c r="A52" s="3"/>
      <c r="B52" s="101"/>
      <c r="C52" s="102"/>
      <c r="D52" s="102"/>
      <c r="E52" s="102"/>
      <c r="F52" s="103"/>
      <c r="G52" s="19"/>
      <c r="H52" s="19"/>
      <c r="I52" s="19"/>
      <c r="J52" s="19"/>
      <c r="K52" s="101"/>
      <c r="L52" s="102"/>
      <c r="M52" s="102"/>
      <c r="N52" s="102"/>
      <c r="O52" s="102"/>
      <c r="P52" s="102"/>
      <c r="Q52" s="103"/>
      <c r="R52" s="19"/>
      <c r="S52" s="19"/>
      <c r="T52" s="19"/>
      <c r="U52" s="19"/>
    </row>
    <row r="53" spans="1:21" ht="18" customHeight="1" x14ac:dyDescent="0.15">
      <c r="A53" s="3"/>
      <c r="B53" s="101"/>
      <c r="C53" s="102"/>
      <c r="D53" s="102"/>
      <c r="E53" s="102"/>
      <c r="F53" s="103"/>
      <c r="G53" s="19"/>
      <c r="H53" s="19"/>
      <c r="I53" s="19"/>
      <c r="J53" s="19"/>
      <c r="K53" s="101"/>
      <c r="L53" s="102"/>
      <c r="M53" s="102"/>
      <c r="N53" s="102"/>
      <c r="O53" s="102"/>
      <c r="P53" s="102"/>
      <c r="Q53" s="103"/>
      <c r="R53" s="19"/>
      <c r="S53" s="19"/>
      <c r="T53" s="19"/>
      <c r="U53" s="19"/>
    </row>
    <row r="54" spans="1:21" ht="18" customHeight="1" x14ac:dyDescent="0.15">
      <c r="A54" s="3"/>
      <c r="B54" s="101"/>
      <c r="C54" s="102"/>
      <c r="D54" s="102"/>
      <c r="E54" s="102"/>
      <c r="F54" s="103"/>
      <c r="G54" s="19"/>
      <c r="H54" s="19"/>
      <c r="I54" s="19"/>
      <c r="J54" s="19"/>
      <c r="K54" s="101"/>
      <c r="L54" s="102"/>
      <c r="M54" s="102"/>
      <c r="N54" s="102"/>
      <c r="O54" s="102"/>
      <c r="P54" s="102"/>
      <c r="Q54" s="103"/>
      <c r="R54" s="19"/>
      <c r="S54" s="19"/>
      <c r="T54" s="19"/>
      <c r="U54" s="19"/>
    </row>
    <row r="55" spans="1:21" ht="18" customHeight="1" x14ac:dyDescent="0.15">
      <c r="A55" s="3"/>
      <c r="B55" s="104"/>
      <c r="C55" s="105"/>
      <c r="D55" s="105"/>
      <c r="E55" s="105"/>
      <c r="F55" s="106"/>
      <c r="G55" s="20"/>
      <c r="H55" s="20"/>
      <c r="I55" s="21"/>
      <c r="J55" s="21"/>
      <c r="K55" s="104"/>
      <c r="L55" s="105"/>
      <c r="M55" s="105"/>
      <c r="N55" s="105"/>
      <c r="O55" s="105"/>
      <c r="P55" s="105"/>
      <c r="Q55" s="106"/>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2" t="s">
        <v>104</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98" t="s">
        <v>51</v>
      </c>
      <c r="C59" s="99"/>
      <c r="D59" s="99"/>
      <c r="E59" s="99"/>
      <c r="F59" s="100"/>
      <c r="G59" s="51" t="s">
        <v>77</v>
      </c>
      <c r="H59" s="50" t="s">
        <v>80</v>
      </c>
      <c r="I59" s="17" t="s">
        <v>56</v>
      </c>
      <c r="J59" s="17" t="s">
        <v>58</v>
      </c>
      <c r="K59" s="98" t="s">
        <v>51</v>
      </c>
      <c r="L59" s="99"/>
      <c r="M59" s="99"/>
      <c r="N59" s="99"/>
      <c r="O59" s="99"/>
      <c r="P59" s="99"/>
      <c r="Q59" s="100"/>
      <c r="R59" s="51" t="s">
        <v>77</v>
      </c>
      <c r="S59" s="50" t="s">
        <v>80</v>
      </c>
      <c r="T59" s="17" t="s">
        <v>56</v>
      </c>
      <c r="U59" s="17" t="s">
        <v>58</v>
      </c>
    </row>
    <row r="60" spans="1:21" ht="18" customHeight="1" x14ac:dyDescent="0.15">
      <c r="A60" s="3"/>
      <c r="B60" s="109" t="s">
        <v>164</v>
      </c>
      <c r="C60" s="110"/>
      <c r="D60" s="110"/>
      <c r="E60" s="110"/>
      <c r="F60" s="111"/>
      <c r="G60" s="18">
        <v>2</v>
      </c>
      <c r="H60" s="18" t="s">
        <v>161</v>
      </c>
      <c r="I60" s="18" t="s">
        <v>161</v>
      </c>
      <c r="J60" s="18" t="s">
        <v>161</v>
      </c>
      <c r="K60" s="109"/>
      <c r="L60" s="110"/>
      <c r="M60" s="110"/>
      <c r="N60" s="110"/>
      <c r="O60" s="110"/>
      <c r="P60" s="110"/>
      <c r="Q60" s="111"/>
      <c r="R60" s="18"/>
      <c r="S60" s="18"/>
      <c r="T60" s="18"/>
      <c r="U60" s="18"/>
    </row>
    <row r="61" spans="1:21" ht="18" customHeight="1" x14ac:dyDescent="0.15">
      <c r="A61" s="3"/>
      <c r="B61" s="101" t="s">
        <v>159</v>
      </c>
      <c r="C61" s="102"/>
      <c r="D61" s="102"/>
      <c r="E61" s="102"/>
      <c r="F61" s="103"/>
      <c r="G61" s="19">
        <v>1</v>
      </c>
      <c r="H61" s="19" t="s">
        <v>161</v>
      </c>
      <c r="I61" s="19" t="s">
        <v>161</v>
      </c>
      <c r="J61" s="19" t="s">
        <v>161</v>
      </c>
      <c r="K61" s="101"/>
      <c r="L61" s="102"/>
      <c r="M61" s="102"/>
      <c r="N61" s="102"/>
      <c r="O61" s="102"/>
      <c r="P61" s="102"/>
      <c r="Q61" s="103"/>
      <c r="R61" s="19"/>
      <c r="S61" s="19"/>
      <c r="T61" s="19"/>
      <c r="U61" s="19"/>
    </row>
    <row r="62" spans="1:21" ht="18" customHeight="1" x14ac:dyDescent="0.15">
      <c r="A62" s="3"/>
      <c r="B62" s="101" t="s">
        <v>160</v>
      </c>
      <c r="C62" s="102"/>
      <c r="D62" s="102"/>
      <c r="E62" s="102"/>
      <c r="F62" s="103"/>
      <c r="G62" s="19">
        <v>1</v>
      </c>
      <c r="H62" s="19" t="s">
        <v>161</v>
      </c>
      <c r="I62" s="19" t="s">
        <v>161</v>
      </c>
      <c r="J62" s="19" t="s">
        <v>161</v>
      </c>
      <c r="K62" s="101"/>
      <c r="L62" s="102"/>
      <c r="M62" s="102"/>
      <c r="N62" s="102"/>
      <c r="O62" s="102"/>
      <c r="P62" s="102"/>
      <c r="Q62" s="103"/>
      <c r="R62" s="19"/>
      <c r="S62" s="19"/>
      <c r="T62" s="19"/>
      <c r="U62" s="19"/>
    </row>
    <row r="63" spans="1:21" ht="18" customHeight="1" x14ac:dyDescent="0.15">
      <c r="A63" s="3"/>
      <c r="B63" s="101"/>
      <c r="C63" s="102"/>
      <c r="D63" s="102"/>
      <c r="E63" s="102"/>
      <c r="F63" s="103"/>
      <c r="G63" s="19"/>
      <c r="H63" s="19"/>
      <c r="I63" s="19"/>
      <c r="J63" s="19"/>
      <c r="K63" s="101"/>
      <c r="L63" s="102"/>
      <c r="M63" s="102"/>
      <c r="N63" s="102"/>
      <c r="O63" s="102"/>
      <c r="P63" s="102"/>
      <c r="Q63" s="103"/>
      <c r="R63" s="19"/>
      <c r="S63" s="19"/>
      <c r="T63" s="19"/>
      <c r="U63" s="19"/>
    </row>
    <row r="64" spans="1:21" ht="18" customHeight="1" x14ac:dyDescent="0.15">
      <c r="A64" s="3"/>
      <c r="B64" s="101"/>
      <c r="C64" s="102"/>
      <c r="D64" s="102"/>
      <c r="E64" s="102"/>
      <c r="F64" s="103"/>
      <c r="G64" s="19"/>
      <c r="H64" s="19"/>
      <c r="I64" s="19"/>
      <c r="J64" s="19"/>
      <c r="K64" s="101"/>
      <c r="L64" s="102"/>
      <c r="M64" s="102"/>
      <c r="N64" s="102"/>
      <c r="O64" s="102"/>
      <c r="P64" s="102"/>
      <c r="Q64" s="103"/>
      <c r="R64" s="19"/>
      <c r="S64" s="19"/>
      <c r="T64" s="19"/>
      <c r="U64" s="19"/>
    </row>
    <row r="65" spans="1:21" ht="18" customHeight="1" x14ac:dyDescent="0.15">
      <c r="A65" s="3"/>
      <c r="B65" s="101"/>
      <c r="C65" s="102"/>
      <c r="D65" s="102"/>
      <c r="E65" s="102"/>
      <c r="F65" s="103"/>
      <c r="G65" s="19"/>
      <c r="H65" s="19"/>
      <c r="I65" s="19"/>
      <c r="J65" s="19"/>
      <c r="K65" s="101"/>
      <c r="L65" s="102"/>
      <c r="M65" s="102"/>
      <c r="N65" s="102"/>
      <c r="O65" s="102"/>
      <c r="P65" s="102"/>
      <c r="Q65" s="103"/>
      <c r="R65" s="19"/>
      <c r="S65" s="19"/>
      <c r="T65" s="19"/>
      <c r="U65" s="19"/>
    </row>
    <row r="66" spans="1:21" ht="18" customHeight="1" x14ac:dyDescent="0.15">
      <c r="A66" s="3"/>
      <c r="B66" s="104"/>
      <c r="C66" s="105"/>
      <c r="D66" s="105"/>
      <c r="E66" s="105"/>
      <c r="F66" s="106"/>
      <c r="G66" s="20"/>
      <c r="H66" s="20"/>
      <c r="I66" s="21"/>
      <c r="J66" s="21"/>
      <c r="K66" s="104"/>
      <c r="L66" s="105"/>
      <c r="M66" s="105"/>
      <c r="N66" s="105"/>
      <c r="O66" s="105"/>
      <c r="P66" s="105"/>
      <c r="Q66" s="106"/>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12" t="s">
        <v>105</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x14ac:dyDescent="0.15">
      <c r="B70" s="98" t="s">
        <v>51</v>
      </c>
      <c r="C70" s="99"/>
      <c r="D70" s="99"/>
      <c r="E70" s="99"/>
      <c r="F70" s="51" t="s">
        <v>77</v>
      </c>
      <c r="G70" s="50" t="s">
        <v>80</v>
      </c>
      <c r="H70" s="17" t="s">
        <v>92</v>
      </c>
      <c r="I70" s="17" t="s">
        <v>72</v>
      </c>
      <c r="J70" s="17" t="s">
        <v>73</v>
      </c>
      <c r="K70" s="98" t="s">
        <v>51</v>
      </c>
      <c r="L70" s="99"/>
      <c r="M70" s="99"/>
      <c r="N70" s="99"/>
      <c r="O70" s="99"/>
      <c r="P70" s="100"/>
      <c r="Q70" s="51" t="s">
        <v>77</v>
      </c>
      <c r="R70" s="50" t="s">
        <v>80</v>
      </c>
      <c r="S70" s="17" t="s">
        <v>92</v>
      </c>
      <c r="T70" s="17" t="s">
        <v>72</v>
      </c>
      <c r="U70" s="17" t="s">
        <v>73</v>
      </c>
    </row>
    <row r="71" spans="1:21" ht="18" customHeight="1" x14ac:dyDescent="0.15">
      <c r="A71" s="3"/>
      <c r="B71" s="109" t="s">
        <v>162</v>
      </c>
      <c r="C71" s="110"/>
      <c r="D71" s="110"/>
      <c r="E71" s="110"/>
      <c r="F71" s="18">
        <v>2</v>
      </c>
      <c r="G71" s="18" t="s">
        <v>161</v>
      </c>
      <c r="H71" s="18" t="s">
        <v>161</v>
      </c>
      <c r="I71" s="18" t="s">
        <v>161</v>
      </c>
      <c r="J71" s="18" t="s">
        <v>161</v>
      </c>
      <c r="K71" s="109"/>
      <c r="L71" s="110"/>
      <c r="M71" s="110"/>
      <c r="N71" s="110"/>
      <c r="O71" s="110"/>
      <c r="P71" s="111"/>
      <c r="Q71" s="18"/>
      <c r="R71" s="18"/>
      <c r="S71" s="18"/>
      <c r="T71" s="18"/>
      <c r="U71" s="18"/>
    </row>
    <row r="72" spans="1:21" ht="18" customHeight="1" x14ac:dyDescent="0.15">
      <c r="A72" s="3"/>
      <c r="B72" s="101" t="s">
        <v>159</v>
      </c>
      <c r="C72" s="102"/>
      <c r="D72" s="102"/>
      <c r="E72" s="102"/>
      <c r="F72" s="19">
        <v>1</v>
      </c>
      <c r="G72" s="19" t="s">
        <v>161</v>
      </c>
      <c r="H72" s="19"/>
      <c r="I72" s="19" t="s">
        <v>161</v>
      </c>
      <c r="J72" s="19" t="s">
        <v>161</v>
      </c>
      <c r="K72" s="101"/>
      <c r="L72" s="102"/>
      <c r="M72" s="102"/>
      <c r="N72" s="102"/>
      <c r="O72" s="102"/>
      <c r="P72" s="103"/>
      <c r="Q72" s="19"/>
      <c r="R72" s="19"/>
      <c r="S72" s="19"/>
      <c r="T72" s="19"/>
      <c r="U72" s="19"/>
    </row>
    <row r="73" spans="1:21" ht="18" customHeight="1" x14ac:dyDescent="0.15">
      <c r="A73" s="3"/>
      <c r="B73" s="101" t="s">
        <v>160</v>
      </c>
      <c r="C73" s="102"/>
      <c r="D73" s="102"/>
      <c r="E73" s="102"/>
      <c r="F73" s="19">
        <v>1</v>
      </c>
      <c r="G73" s="19" t="s">
        <v>161</v>
      </c>
      <c r="H73" s="19"/>
      <c r="I73" s="19" t="s">
        <v>161</v>
      </c>
      <c r="J73" s="19" t="s">
        <v>161</v>
      </c>
      <c r="K73" s="101"/>
      <c r="L73" s="102"/>
      <c r="M73" s="102"/>
      <c r="N73" s="102"/>
      <c r="O73" s="102"/>
      <c r="P73" s="103"/>
      <c r="Q73" s="19"/>
      <c r="R73" s="19"/>
      <c r="S73" s="19"/>
      <c r="T73" s="19"/>
      <c r="U73" s="19"/>
    </row>
    <row r="74" spans="1:21" ht="18" customHeight="1" x14ac:dyDescent="0.15">
      <c r="A74" s="3"/>
      <c r="B74" s="101"/>
      <c r="C74" s="102"/>
      <c r="D74" s="102"/>
      <c r="E74" s="102"/>
      <c r="F74" s="19"/>
      <c r="G74" s="19"/>
      <c r="H74" s="19"/>
      <c r="I74" s="19"/>
      <c r="J74" s="19"/>
      <c r="K74" s="101"/>
      <c r="L74" s="102"/>
      <c r="M74" s="102"/>
      <c r="N74" s="102"/>
      <c r="O74" s="102"/>
      <c r="P74" s="103"/>
      <c r="Q74" s="19"/>
      <c r="R74" s="19"/>
      <c r="S74" s="19"/>
      <c r="T74" s="19"/>
      <c r="U74" s="19"/>
    </row>
    <row r="75" spans="1:21" ht="18" customHeight="1" x14ac:dyDescent="0.15">
      <c r="A75" s="3"/>
      <c r="B75" s="101"/>
      <c r="C75" s="102"/>
      <c r="D75" s="102"/>
      <c r="E75" s="102"/>
      <c r="F75" s="19"/>
      <c r="G75" s="19"/>
      <c r="H75" s="19"/>
      <c r="I75" s="19"/>
      <c r="J75" s="19"/>
      <c r="K75" s="101"/>
      <c r="L75" s="102"/>
      <c r="M75" s="102"/>
      <c r="N75" s="102"/>
      <c r="O75" s="102"/>
      <c r="P75" s="103"/>
      <c r="Q75" s="19"/>
      <c r="R75" s="19"/>
      <c r="S75" s="19"/>
      <c r="T75" s="19"/>
      <c r="U75" s="19"/>
    </row>
    <row r="76" spans="1:21" ht="18" customHeight="1" x14ac:dyDescent="0.15">
      <c r="A76" s="3"/>
      <c r="B76" s="101"/>
      <c r="C76" s="102"/>
      <c r="D76" s="102"/>
      <c r="E76" s="102"/>
      <c r="F76" s="19"/>
      <c r="G76" s="19"/>
      <c r="H76" s="19"/>
      <c r="I76" s="19"/>
      <c r="J76" s="19"/>
      <c r="K76" s="101"/>
      <c r="L76" s="102"/>
      <c r="M76" s="102"/>
      <c r="N76" s="102"/>
      <c r="O76" s="102"/>
      <c r="P76" s="103"/>
      <c r="Q76" s="19"/>
      <c r="R76" s="19"/>
      <c r="S76" s="19"/>
      <c r="T76" s="19"/>
      <c r="U76" s="19"/>
    </row>
    <row r="77" spans="1:21" ht="18" customHeight="1" x14ac:dyDescent="0.15">
      <c r="A77" s="3"/>
      <c r="B77" s="104"/>
      <c r="C77" s="105"/>
      <c r="D77" s="105"/>
      <c r="E77" s="105"/>
      <c r="F77" s="20"/>
      <c r="G77" s="20"/>
      <c r="H77" s="21"/>
      <c r="I77" s="21"/>
      <c r="J77" s="21"/>
      <c r="K77" s="104"/>
      <c r="L77" s="105"/>
      <c r="M77" s="105"/>
      <c r="N77" s="105"/>
      <c r="O77" s="105"/>
      <c r="P77" s="106"/>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98" t="s">
        <v>51</v>
      </c>
      <c r="C80" s="99"/>
      <c r="D80" s="99"/>
      <c r="E80" s="99"/>
      <c r="F80" s="100"/>
      <c r="G80" s="98" t="s">
        <v>78</v>
      </c>
      <c r="H80" s="99"/>
      <c r="I80" s="99"/>
      <c r="J80" s="100"/>
      <c r="K80" s="118" t="s">
        <v>51</v>
      </c>
      <c r="L80" s="119"/>
      <c r="M80" s="119"/>
      <c r="N80" s="119"/>
      <c r="O80" s="119"/>
      <c r="P80" s="119"/>
      <c r="Q80" s="120"/>
      <c r="R80" s="98" t="s">
        <v>78</v>
      </c>
      <c r="S80" s="99"/>
      <c r="T80" s="99"/>
      <c r="U80" s="100"/>
    </row>
    <row r="81" spans="1:21" ht="18" customHeight="1" x14ac:dyDescent="0.15">
      <c r="A81" s="3"/>
      <c r="B81" s="109"/>
      <c r="C81" s="110"/>
      <c r="D81" s="110"/>
      <c r="E81" s="110"/>
      <c r="F81" s="111"/>
      <c r="G81" s="113"/>
      <c r="H81" s="114"/>
      <c r="I81" s="114"/>
      <c r="J81" s="115"/>
      <c r="K81" s="109"/>
      <c r="L81" s="110"/>
      <c r="M81" s="110"/>
      <c r="N81" s="110"/>
      <c r="O81" s="110"/>
      <c r="P81" s="110"/>
      <c r="Q81" s="111"/>
      <c r="R81" s="113"/>
      <c r="S81" s="114"/>
      <c r="T81" s="114"/>
      <c r="U81" s="115"/>
    </row>
    <row r="82" spans="1:21" ht="18" customHeight="1" x14ac:dyDescent="0.15">
      <c r="A82" s="3"/>
      <c r="B82" s="101"/>
      <c r="C82" s="102"/>
      <c r="D82" s="102"/>
      <c r="E82" s="102"/>
      <c r="F82" s="103"/>
      <c r="G82" s="95"/>
      <c r="H82" s="96"/>
      <c r="I82" s="96"/>
      <c r="J82" s="97"/>
      <c r="K82" s="101"/>
      <c r="L82" s="102"/>
      <c r="M82" s="102"/>
      <c r="N82" s="102"/>
      <c r="O82" s="102"/>
      <c r="P82" s="102"/>
      <c r="Q82" s="103"/>
      <c r="R82" s="95"/>
      <c r="S82" s="96"/>
      <c r="T82" s="96"/>
      <c r="U82" s="97"/>
    </row>
    <row r="83" spans="1:21" ht="18" customHeight="1" x14ac:dyDescent="0.15">
      <c r="A83" s="3"/>
      <c r="B83" s="101"/>
      <c r="C83" s="102"/>
      <c r="D83" s="102"/>
      <c r="E83" s="102"/>
      <c r="F83" s="103"/>
      <c r="G83" s="95"/>
      <c r="H83" s="96"/>
      <c r="I83" s="96"/>
      <c r="J83" s="97"/>
      <c r="K83" s="101"/>
      <c r="L83" s="102"/>
      <c r="M83" s="102"/>
      <c r="N83" s="102"/>
      <c r="O83" s="102"/>
      <c r="P83" s="102"/>
      <c r="Q83" s="103"/>
      <c r="R83" s="95"/>
      <c r="S83" s="96"/>
      <c r="T83" s="96"/>
      <c r="U83" s="97"/>
    </row>
    <row r="84" spans="1:21" ht="18" customHeight="1" x14ac:dyDescent="0.15">
      <c r="A84" s="3"/>
      <c r="B84" s="101"/>
      <c r="C84" s="102"/>
      <c r="D84" s="102"/>
      <c r="E84" s="102"/>
      <c r="F84" s="103"/>
      <c r="G84" s="95"/>
      <c r="H84" s="96"/>
      <c r="I84" s="96"/>
      <c r="J84" s="97"/>
      <c r="K84" s="101"/>
      <c r="L84" s="102"/>
      <c r="M84" s="102"/>
      <c r="N84" s="102"/>
      <c r="O84" s="102"/>
      <c r="P84" s="102"/>
      <c r="Q84" s="103"/>
      <c r="R84" s="95"/>
      <c r="S84" s="96"/>
      <c r="T84" s="96"/>
      <c r="U84" s="97"/>
    </row>
    <row r="85" spans="1:21" ht="18" customHeight="1" x14ac:dyDescent="0.15">
      <c r="A85" s="3"/>
      <c r="B85" s="101"/>
      <c r="C85" s="102"/>
      <c r="D85" s="102"/>
      <c r="E85" s="102"/>
      <c r="F85" s="103"/>
      <c r="G85" s="95"/>
      <c r="H85" s="96"/>
      <c r="I85" s="96"/>
      <c r="J85" s="97"/>
      <c r="K85" s="101"/>
      <c r="L85" s="102"/>
      <c r="M85" s="102"/>
      <c r="N85" s="102"/>
      <c r="O85" s="102"/>
      <c r="P85" s="102"/>
      <c r="Q85" s="103"/>
      <c r="R85" s="95"/>
      <c r="S85" s="96"/>
      <c r="T85" s="96"/>
      <c r="U85" s="97"/>
    </row>
    <row r="86" spans="1:21" ht="18" customHeight="1" x14ac:dyDescent="0.15">
      <c r="A86" s="3"/>
      <c r="B86" s="101"/>
      <c r="C86" s="102"/>
      <c r="D86" s="102"/>
      <c r="E86" s="102"/>
      <c r="F86" s="103"/>
      <c r="G86" s="95"/>
      <c r="H86" s="96"/>
      <c r="I86" s="96"/>
      <c r="J86" s="97"/>
      <c r="K86" s="101"/>
      <c r="L86" s="102"/>
      <c r="M86" s="102"/>
      <c r="N86" s="102"/>
      <c r="O86" s="102"/>
      <c r="P86" s="102"/>
      <c r="Q86" s="103"/>
      <c r="R86" s="95"/>
      <c r="S86" s="96"/>
      <c r="T86" s="96"/>
      <c r="U86" s="97"/>
    </row>
    <row r="87" spans="1:21" ht="18" customHeight="1" x14ac:dyDescent="0.15">
      <c r="A87" s="3"/>
      <c r="B87" s="104"/>
      <c r="C87" s="105"/>
      <c r="D87" s="105"/>
      <c r="E87" s="105"/>
      <c r="F87" s="106"/>
      <c r="G87" s="136"/>
      <c r="H87" s="137"/>
      <c r="I87" s="137"/>
      <c r="J87" s="138"/>
      <c r="K87" s="104"/>
      <c r="L87" s="105"/>
      <c r="M87" s="105"/>
      <c r="N87" s="105"/>
      <c r="O87" s="105"/>
      <c r="P87" s="105"/>
      <c r="Q87" s="106"/>
      <c r="R87" s="136"/>
      <c r="S87" s="137"/>
      <c r="T87" s="137"/>
      <c r="U87" s="138"/>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39" t="s">
        <v>52</v>
      </c>
      <c r="C90" s="140"/>
      <c r="D90" s="98" t="s">
        <v>53</v>
      </c>
      <c r="E90" s="99"/>
      <c r="F90" s="99"/>
      <c r="G90" s="99"/>
      <c r="H90" s="99"/>
      <c r="I90" s="99"/>
      <c r="J90" s="99"/>
      <c r="K90" s="99"/>
      <c r="L90" s="99"/>
      <c r="M90" s="99"/>
      <c r="N90" s="99"/>
      <c r="O90" s="99"/>
      <c r="P90" s="99"/>
      <c r="Q90" s="99"/>
      <c r="R90" s="99"/>
      <c r="S90" s="99"/>
      <c r="T90" s="99"/>
      <c r="U90" s="100"/>
    </row>
    <row r="91" spans="1:21" ht="97.5" customHeight="1" x14ac:dyDescent="0.15">
      <c r="B91" s="116" t="s">
        <v>59</v>
      </c>
      <c r="C91" s="23" t="s">
        <v>54</v>
      </c>
      <c r="D91" s="149" t="s">
        <v>165</v>
      </c>
      <c r="E91" s="150"/>
      <c r="F91" s="150"/>
      <c r="G91" s="150"/>
      <c r="H91" s="150"/>
      <c r="I91" s="150"/>
      <c r="J91" s="150"/>
      <c r="K91" s="150"/>
      <c r="L91" s="150"/>
      <c r="M91" s="150"/>
      <c r="N91" s="150"/>
      <c r="O91" s="150"/>
      <c r="P91" s="150"/>
      <c r="Q91" s="150"/>
      <c r="R91" s="150"/>
      <c r="S91" s="150"/>
      <c r="T91" s="150"/>
      <c r="U91" s="151"/>
    </row>
    <row r="92" spans="1:21" ht="97.5" customHeight="1" x14ac:dyDescent="0.15">
      <c r="B92" s="121"/>
      <c r="C92" s="24" t="s">
        <v>74</v>
      </c>
      <c r="D92" s="161" t="s">
        <v>166</v>
      </c>
      <c r="E92" s="147"/>
      <c r="F92" s="147"/>
      <c r="G92" s="147"/>
      <c r="H92" s="147"/>
      <c r="I92" s="147"/>
      <c r="J92" s="147"/>
      <c r="K92" s="147"/>
      <c r="L92" s="147"/>
      <c r="M92" s="147"/>
      <c r="N92" s="147"/>
      <c r="O92" s="147"/>
      <c r="P92" s="147"/>
      <c r="Q92" s="147"/>
      <c r="R92" s="147"/>
      <c r="S92" s="147"/>
      <c r="T92" s="147"/>
      <c r="U92" s="148"/>
    </row>
    <row r="93" spans="1:21" ht="97.5" customHeight="1" x14ac:dyDescent="0.15">
      <c r="B93" s="116" t="s">
        <v>60</v>
      </c>
      <c r="C93" s="25" t="s">
        <v>68</v>
      </c>
      <c r="D93" s="149" t="s">
        <v>167</v>
      </c>
      <c r="E93" s="150"/>
      <c r="F93" s="150"/>
      <c r="G93" s="150"/>
      <c r="H93" s="150"/>
      <c r="I93" s="150"/>
      <c r="J93" s="150"/>
      <c r="K93" s="150"/>
      <c r="L93" s="150"/>
      <c r="M93" s="150"/>
      <c r="N93" s="150"/>
      <c r="O93" s="150"/>
      <c r="P93" s="150"/>
      <c r="Q93" s="150"/>
      <c r="R93" s="150"/>
      <c r="S93" s="150"/>
      <c r="T93" s="150"/>
      <c r="U93" s="151"/>
    </row>
    <row r="94" spans="1:21" ht="97.5" customHeight="1" x14ac:dyDescent="0.15">
      <c r="B94" s="117"/>
      <c r="C94" s="26" t="s">
        <v>69</v>
      </c>
      <c r="D94" s="161" t="s">
        <v>168</v>
      </c>
      <c r="E94" s="147"/>
      <c r="F94" s="147"/>
      <c r="G94" s="147"/>
      <c r="H94" s="147"/>
      <c r="I94" s="147"/>
      <c r="J94" s="147"/>
      <c r="K94" s="147"/>
      <c r="L94" s="147"/>
      <c r="M94" s="147"/>
      <c r="N94" s="147"/>
      <c r="O94" s="147"/>
      <c r="P94" s="147"/>
      <c r="Q94" s="147"/>
      <c r="R94" s="147"/>
      <c r="S94" s="147"/>
      <c r="T94" s="147"/>
      <c r="U94" s="148"/>
    </row>
    <row r="95" spans="1:21" ht="97.5" customHeight="1" x14ac:dyDescent="0.15">
      <c r="B95" s="116" t="s">
        <v>61</v>
      </c>
      <c r="C95" s="25" t="s">
        <v>70</v>
      </c>
      <c r="D95" s="149" t="s">
        <v>169</v>
      </c>
      <c r="E95" s="150"/>
      <c r="F95" s="150"/>
      <c r="G95" s="150"/>
      <c r="H95" s="150"/>
      <c r="I95" s="150"/>
      <c r="J95" s="150"/>
      <c r="K95" s="150"/>
      <c r="L95" s="150"/>
      <c r="M95" s="150"/>
      <c r="N95" s="150"/>
      <c r="O95" s="150"/>
      <c r="P95" s="150"/>
      <c r="Q95" s="150"/>
      <c r="R95" s="150"/>
      <c r="S95" s="150"/>
      <c r="T95" s="150"/>
      <c r="U95" s="151"/>
    </row>
    <row r="96" spans="1:21" ht="97.5" customHeight="1" x14ac:dyDescent="0.15">
      <c r="B96" s="117"/>
      <c r="C96" s="27" t="s">
        <v>71</v>
      </c>
      <c r="D96" s="161" t="s">
        <v>170</v>
      </c>
      <c r="E96" s="147"/>
      <c r="F96" s="147"/>
      <c r="G96" s="147"/>
      <c r="H96" s="147"/>
      <c r="I96" s="147"/>
      <c r="J96" s="147"/>
      <c r="K96" s="147"/>
      <c r="L96" s="147"/>
      <c r="M96" s="147"/>
      <c r="N96" s="147"/>
      <c r="O96" s="147"/>
      <c r="P96" s="147"/>
      <c r="Q96" s="147"/>
      <c r="R96" s="147"/>
      <c r="S96" s="147"/>
      <c r="T96" s="147"/>
      <c r="U96" s="148"/>
    </row>
    <row r="97" spans="1:33" ht="97.5" customHeight="1" x14ac:dyDescent="0.15">
      <c r="B97" s="116" t="s">
        <v>75</v>
      </c>
      <c r="C97" s="23" t="s">
        <v>56</v>
      </c>
      <c r="D97" s="149" t="s">
        <v>171</v>
      </c>
      <c r="E97" s="150"/>
      <c r="F97" s="150"/>
      <c r="G97" s="150"/>
      <c r="H97" s="150"/>
      <c r="I97" s="150"/>
      <c r="J97" s="150"/>
      <c r="K97" s="150"/>
      <c r="L97" s="150"/>
      <c r="M97" s="150"/>
      <c r="N97" s="150"/>
      <c r="O97" s="150"/>
      <c r="P97" s="150"/>
      <c r="Q97" s="150"/>
      <c r="R97" s="150"/>
      <c r="S97" s="150"/>
      <c r="T97" s="150"/>
      <c r="U97" s="151"/>
    </row>
    <row r="98" spans="1:33" ht="97.5" customHeight="1" x14ac:dyDescent="0.15">
      <c r="B98" s="117"/>
      <c r="C98" s="26" t="s">
        <v>58</v>
      </c>
      <c r="D98" s="146" t="s">
        <v>172</v>
      </c>
      <c r="E98" s="147"/>
      <c r="F98" s="147"/>
      <c r="G98" s="147"/>
      <c r="H98" s="147"/>
      <c r="I98" s="147"/>
      <c r="J98" s="147"/>
      <c r="K98" s="147"/>
      <c r="L98" s="147"/>
      <c r="M98" s="147"/>
      <c r="N98" s="147"/>
      <c r="O98" s="147"/>
      <c r="P98" s="147"/>
      <c r="Q98" s="147"/>
      <c r="R98" s="147"/>
      <c r="S98" s="147"/>
      <c r="T98" s="147"/>
      <c r="U98" s="148"/>
    </row>
    <row r="99" spans="1:33" ht="97.5" customHeight="1" x14ac:dyDescent="0.15">
      <c r="B99" s="116" t="s">
        <v>76</v>
      </c>
      <c r="C99" s="25" t="s">
        <v>55</v>
      </c>
      <c r="D99" s="149" t="s">
        <v>173</v>
      </c>
      <c r="E99" s="150"/>
      <c r="F99" s="150"/>
      <c r="G99" s="150"/>
      <c r="H99" s="150"/>
      <c r="I99" s="150"/>
      <c r="J99" s="150"/>
      <c r="K99" s="150"/>
      <c r="L99" s="150"/>
      <c r="M99" s="150"/>
      <c r="N99" s="150"/>
      <c r="O99" s="150"/>
      <c r="P99" s="150"/>
      <c r="Q99" s="150"/>
      <c r="R99" s="150"/>
      <c r="S99" s="150"/>
      <c r="T99" s="150"/>
      <c r="U99" s="151"/>
    </row>
    <row r="100" spans="1:33" ht="97.5" customHeight="1" x14ac:dyDescent="0.15">
      <c r="B100" s="121"/>
      <c r="C100" s="28" t="s">
        <v>72</v>
      </c>
      <c r="D100" s="152" t="s">
        <v>174</v>
      </c>
      <c r="E100" s="153"/>
      <c r="F100" s="153"/>
      <c r="G100" s="153"/>
      <c r="H100" s="153"/>
      <c r="I100" s="153"/>
      <c r="J100" s="153"/>
      <c r="K100" s="153"/>
      <c r="L100" s="153"/>
      <c r="M100" s="153"/>
      <c r="N100" s="153"/>
      <c r="O100" s="153"/>
      <c r="P100" s="153"/>
      <c r="Q100" s="153"/>
      <c r="R100" s="153"/>
      <c r="S100" s="153"/>
      <c r="T100" s="153"/>
      <c r="U100" s="154"/>
    </row>
    <row r="101" spans="1:33" ht="97.5" customHeight="1" x14ac:dyDescent="0.15">
      <c r="B101" s="117"/>
      <c r="C101" s="27" t="s">
        <v>73</v>
      </c>
      <c r="D101" s="146" t="s">
        <v>175</v>
      </c>
      <c r="E101" s="147"/>
      <c r="F101" s="147"/>
      <c r="G101" s="147"/>
      <c r="H101" s="147"/>
      <c r="I101" s="147"/>
      <c r="J101" s="147"/>
      <c r="K101" s="147"/>
      <c r="L101" s="147"/>
      <c r="M101" s="147"/>
      <c r="N101" s="147"/>
      <c r="O101" s="147"/>
      <c r="P101" s="147"/>
      <c r="Q101" s="147"/>
      <c r="R101" s="147"/>
      <c r="S101" s="147"/>
      <c r="T101" s="147"/>
      <c r="U101" s="148"/>
    </row>
    <row r="102" spans="1:33" ht="6" customHeight="1" x14ac:dyDescent="0.15"/>
    <row r="103" spans="1:33" ht="18.75" customHeight="1" x14ac:dyDescent="0.15">
      <c r="A103" s="1" t="s">
        <v>108</v>
      </c>
    </row>
    <row r="104" spans="1:33" ht="81.75" customHeight="1" x14ac:dyDescent="0.15">
      <c r="B104" s="133" t="s">
        <v>157</v>
      </c>
      <c r="C104" s="134"/>
      <c r="D104" s="134"/>
      <c r="E104" s="134"/>
      <c r="F104" s="134"/>
      <c r="G104" s="134"/>
      <c r="H104" s="134"/>
      <c r="I104" s="134"/>
      <c r="J104" s="134"/>
      <c r="K104" s="134"/>
      <c r="L104" s="134"/>
      <c r="M104" s="134"/>
      <c r="N104" s="134"/>
      <c r="O104" s="134"/>
      <c r="P104" s="134"/>
      <c r="Q104" s="134"/>
      <c r="R104" s="134"/>
      <c r="S104" s="134"/>
      <c r="T104" s="134"/>
      <c r="U104" s="135"/>
    </row>
    <row r="106" spans="1:33" ht="18.75" customHeight="1" x14ac:dyDescent="0.15">
      <c r="A106" s="78" t="s">
        <v>124</v>
      </c>
      <c r="B106" s="79"/>
      <c r="C106" s="79"/>
      <c r="D106" s="79"/>
      <c r="E106" s="79"/>
      <c r="F106" s="79"/>
      <c r="G106" s="79"/>
      <c r="H106" s="79"/>
      <c r="I106" s="79"/>
      <c r="J106" s="79"/>
      <c r="K106" s="79"/>
      <c r="L106" s="79"/>
      <c r="M106" s="79"/>
      <c r="N106" s="79"/>
      <c r="O106" s="79"/>
      <c r="P106" s="79"/>
      <c r="Q106" s="79"/>
      <c r="R106" s="79"/>
      <c r="S106" s="79"/>
      <c r="T106" s="79"/>
      <c r="U106" s="79"/>
    </row>
    <row r="107" spans="1:33" ht="18.75" customHeight="1" x14ac:dyDescent="0.15">
      <c r="A107" s="78" t="s">
        <v>126</v>
      </c>
      <c r="B107" s="78"/>
      <c r="C107" s="78"/>
      <c r="D107" s="78"/>
      <c r="E107" s="78"/>
      <c r="F107" s="78"/>
      <c r="G107" s="78"/>
      <c r="H107" s="78"/>
      <c r="I107" s="78"/>
      <c r="J107" s="78"/>
      <c r="K107" s="78"/>
      <c r="L107" s="78"/>
      <c r="M107" s="78"/>
      <c r="N107" s="78"/>
      <c r="O107" s="78"/>
      <c r="P107" s="78"/>
      <c r="Q107" s="78"/>
      <c r="R107" s="78"/>
      <c r="S107" s="78"/>
      <c r="T107" s="78"/>
      <c r="U107" s="78"/>
      <c r="V107" s="2"/>
      <c r="W107" s="2"/>
      <c r="X107" s="2"/>
      <c r="Y107" s="2"/>
      <c r="Z107" s="2"/>
      <c r="AA107" s="2"/>
      <c r="AB107" s="2"/>
      <c r="AC107" s="2"/>
      <c r="AD107" s="2"/>
      <c r="AE107" s="2"/>
      <c r="AF107" s="2"/>
      <c r="AG107" s="2"/>
    </row>
    <row r="108" spans="1:33" ht="18.75" customHeight="1" x14ac:dyDescent="0.15">
      <c r="A108" s="78"/>
      <c r="B108" s="145" t="s">
        <v>130</v>
      </c>
      <c r="C108" s="145"/>
      <c r="D108" s="145"/>
      <c r="E108" s="145"/>
      <c r="F108" s="145"/>
      <c r="G108" s="145"/>
      <c r="H108" s="145"/>
      <c r="I108" s="145"/>
      <c r="J108" s="145"/>
      <c r="K108" s="145"/>
      <c r="L108" s="145"/>
      <c r="M108" s="145"/>
      <c r="N108" s="145"/>
      <c r="O108" s="145"/>
      <c r="P108" s="145"/>
      <c r="Q108" s="145"/>
      <c r="R108" s="145"/>
      <c r="S108" s="145"/>
      <c r="T108" s="145"/>
      <c r="U108" s="145"/>
      <c r="V108" s="71"/>
      <c r="W108" s="71"/>
      <c r="X108" s="71"/>
      <c r="Y108" s="71"/>
      <c r="Z108" s="71"/>
      <c r="AA108" s="71"/>
      <c r="AB108" s="71"/>
      <c r="AC108" s="71"/>
      <c r="AD108" s="71"/>
      <c r="AE108" s="71"/>
      <c r="AF108" s="71"/>
      <c r="AG108" s="71"/>
    </row>
    <row r="109" spans="1:33" ht="37.15" customHeight="1" x14ac:dyDescent="0.15">
      <c r="A109" s="78"/>
      <c r="B109" s="145"/>
      <c r="C109" s="145"/>
      <c r="D109" s="145"/>
      <c r="E109" s="145"/>
      <c r="F109" s="145"/>
      <c r="G109" s="145"/>
      <c r="H109" s="145"/>
      <c r="I109" s="145"/>
      <c r="J109" s="145"/>
      <c r="K109" s="145"/>
      <c r="L109" s="145"/>
      <c r="M109" s="145"/>
      <c r="N109" s="145"/>
      <c r="O109" s="145"/>
      <c r="P109" s="145"/>
      <c r="Q109" s="145"/>
      <c r="R109" s="145"/>
      <c r="S109" s="145"/>
      <c r="T109" s="145"/>
      <c r="U109" s="145"/>
      <c r="V109" s="71"/>
      <c r="W109" s="71"/>
      <c r="X109" s="71"/>
      <c r="Y109" s="71"/>
      <c r="Z109" s="71"/>
      <c r="AA109" s="71"/>
      <c r="AB109" s="71"/>
      <c r="AC109" s="71"/>
      <c r="AD109" s="71"/>
      <c r="AE109" s="71"/>
      <c r="AF109" s="71"/>
      <c r="AG109" s="71"/>
    </row>
    <row r="110" spans="1:33" ht="18.75" customHeight="1" x14ac:dyDescent="0.15">
      <c r="A110" s="78"/>
      <c r="B110" s="94" t="s">
        <v>125</v>
      </c>
      <c r="C110" s="94"/>
      <c r="D110" s="94"/>
      <c r="E110" s="94"/>
      <c r="F110" s="94"/>
      <c r="G110" s="94"/>
      <c r="H110" s="94"/>
      <c r="I110" s="94"/>
      <c r="J110" s="94"/>
      <c r="K110" s="94"/>
      <c r="L110" s="94"/>
      <c r="M110" s="94"/>
      <c r="N110" s="94"/>
      <c r="O110" s="94"/>
      <c r="P110" s="94"/>
      <c r="Q110" s="94"/>
      <c r="R110" s="94"/>
      <c r="S110" s="94"/>
      <c r="T110" s="94"/>
      <c r="U110" s="94"/>
      <c r="V110" s="71"/>
      <c r="W110" s="71"/>
      <c r="X110" s="71"/>
      <c r="Y110" s="71"/>
      <c r="Z110" s="71"/>
      <c r="AA110" s="71"/>
      <c r="AB110" s="71"/>
      <c r="AC110" s="71"/>
      <c r="AD110" s="71"/>
      <c r="AE110" s="71"/>
      <c r="AF110" s="71"/>
      <c r="AG110" s="71"/>
    </row>
    <row r="111" spans="1:33" ht="18.75" customHeight="1" x14ac:dyDescent="0.15">
      <c r="A111" s="78"/>
      <c r="B111" s="107" t="s">
        <v>53</v>
      </c>
      <c r="C111" s="107"/>
      <c r="D111" s="107"/>
      <c r="E111" s="107"/>
      <c r="F111" s="107"/>
      <c r="G111" s="107"/>
      <c r="H111" s="107"/>
      <c r="I111" s="107"/>
      <c r="J111" s="107"/>
      <c r="K111" s="107"/>
      <c r="L111" s="107"/>
      <c r="M111" s="107"/>
      <c r="N111" s="107"/>
      <c r="O111" s="107"/>
      <c r="P111" s="107"/>
      <c r="Q111" s="107"/>
      <c r="R111" s="107"/>
      <c r="S111" s="107"/>
      <c r="T111" s="107"/>
      <c r="U111" s="107"/>
      <c r="V111" s="70"/>
      <c r="W111" s="70"/>
      <c r="X111" s="70"/>
      <c r="Y111" s="70"/>
      <c r="Z111" s="70"/>
      <c r="AA111" s="70"/>
      <c r="AB111" s="70"/>
      <c r="AC111" s="70"/>
      <c r="AD111" s="70"/>
      <c r="AE111" s="70"/>
      <c r="AF111" s="70"/>
      <c r="AG111" s="70"/>
    </row>
    <row r="112" spans="1:33" ht="132" customHeight="1" x14ac:dyDescent="0.15">
      <c r="A112" s="78"/>
      <c r="B112" s="108"/>
      <c r="C112" s="108"/>
      <c r="D112" s="108"/>
      <c r="E112" s="108"/>
      <c r="F112" s="108"/>
      <c r="G112" s="108"/>
      <c r="H112" s="108"/>
      <c r="I112" s="108"/>
      <c r="J112" s="108"/>
      <c r="K112" s="108"/>
      <c r="L112" s="108"/>
      <c r="M112" s="108"/>
      <c r="N112" s="108"/>
      <c r="O112" s="108"/>
      <c r="P112" s="108"/>
      <c r="Q112" s="108"/>
      <c r="R112" s="108"/>
      <c r="S112" s="108"/>
      <c r="T112" s="108"/>
      <c r="U112" s="108"/>
      <c r="V112" s="72"/>
      <c r="W112" s="72"/>
      <c r="X112" s="72"/>
      <c r="Y112" s="72"/>
      <c r="Z112" s="72"/>
      <c r="AA112" s="72"/>
      <c r="AB112" s="72"/>
      <c r="AC112" s="72"/>
      <c r="AD112" s="72"/>
      <c r="AE112" s="72"/>
      <c r="AF112" s="72"/>
      <c r="AG112" s="72"/>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zoomScale="80" zoomScaleNormal="100" zoomScaleSheetLayoutView="80" workbookViewId="0">
      <selection activeCell="K30" sqref="K30:Q30"/>
    </sheetView>
  </sheetViews>
  <sheetFormatPr defaultColWidth="9" defaultRowHeight="18.75" customHeight="1" x14ac:dyDescent="0.15"/>
  <cols>
    <col min="1" max="1" width="2.5" style="77" customWidth="1"/>
    <col min="2" max="2" width="16.5" style="77" customWidth="1"/>
    <col min="3" max="21" width="5.625" style="77" customWidth="1"/>
    <col min="22" max="22" width="9" style="77"/>
    <col min="23" max="23" width="3.625" style="77" customWidth="1"/>
    <col min="24" max="24" width="48.625" style="77" hidden="1" customWidth="1"/>
    <col min="25" max="16384" width="9" style="77"/>
  </cols>
  <sheetData>
    <row r="1" spans="1:24" ht="18.600000000000001" customHeight="1" x14ac:dyDescent="0.15">
      <c r="A1" s="80"/>
      <c r="B1" s="80"/>
      <c r="C1" s="80"/>
      <c r="D1" s="80"/>
      <c r="E1" s="80"/>
      <c r="F1" s="80"/>
      <c r="G1" s="80"/>
      <c r="H1" s="80"/>
      <c r="I1" s="80"/>
      <c r="J1" s="80"/>
      <c r="K1" s="80"/>
      <c r="L1" s="80"/>
      <c r="M1" s="80"/>
      <c r="N1" s="80"/>
      <c r="O1" s="80"/>
      <c r="P1" s="80"/>
      <c r="Q1" s="80"/>
      <c r="R1" s="80"/>
      <c r="S1" s="80"/>
      <c r="T1" s="141" t="s">
        <v>137</v>
      </c>
      <c r="U1" s="141"/>
      <c r="V1" s="2" t="s">
        <v>99</v>
      </c>
    </row>
    <row r="2" spans="1:24" ht="18.75" customHeight="1" x14ac:dyDescent="0.15">
      <c r="A2" s="80"/>
      <c r="B2" s="91" t="s">
        <v>98</v>
      </c>
      <c r="C2" s="142" t="s">
        <v>141</v>
      </c>
      <c r="D2" s="143"/>
      <c r="E2" s="143"/>
      <c r="F2" s="143"/>
      <c r="G2" s="143"/>
      <c r="H2" s="143"/>
      <c r="I2" s="143"/>
      <c r="J2" s="144"/>
      <c r="K2" s="82"/>
      <c r="L2" s="83"/>
      <c r="M2" s="83"/>
      <c r="N2" s="83"/>
      <c r="O2" s="83"/>
      <c r="P2" s="83"/>
      <c r="Q2" s="83"/>
      <c r="R2" s="83"/>
      <c r="S2" s="83"/>
      <c r="T2" s="83"/>
      <c r="U2" s="83"/>
    </row>
    <row r="3" spans="1:24" ht="18.75" customHeight="1" x14ac:dyDescent="0.15">
      <c r="A3" s="80"/>
      <c r="B3" s="91" t="s">
        <v>93</v>
      </c>
      <c r="C3" s="142" t="s">
        <v>154</v>
      </c>
      <c r="D3" s="143"/>
      <c r="E3" s="143"/>
      <c r="F3" s="143"/>
      <c r="G3" s="143"/>
      <c r="H3" s="143"/>
      <c r="I3" s="143"/>
      <c r="J3" s="144"/>
      <c r="K3" s="82"/>
      <c r="L3" s="83"/>
      <c r="M3" s="83"/>
      <c r="N3" s="83"/>
      <c r="O3" s="83"/>
      <c r="P3" s="83"/>
      <c r="Q3" s="83"/>
      <c r="R3" s="83"/>
      <c r="S3" s="83"/>
      <c r="T3" s="83"/>
      <c r="U3" s="83"/>
    </row>
    <row r="4" spans="1:24" ht="15" customHeight="1" x14ac:dyDescent="0.15">
      <c r="A4" s="80"/>
      <c r="B4" s="80"/>
      <c r="C4" s="80"/>
      <c r="D4" s="80"/>
      <c r="E4" s="80"/>
      <c r="F4" s="80"/>
      <c r="G4" s="80"/>
      <c r="H4" s="80"/>
      <c r="I4" s="80"/>
      <c r="J4" s="80"/>
      <c r="K4" s="80"/>
      <c r="L4" s="82"/>
      <c r="M4" s="84"/>
      <c r="N4" s="84"/>
      <c r="O4" s="84"/>
      <c r="P4" s="84"/>
      <c r="Q4" s="84"/>
      <c r="R4" s="84"/>
      <c r="S4" s="84"/>
      <c r="T4" s="84"/>
      <c r="U4" s="84"/>
    </row>
    <row r="5" spans="1:24" ht="18" customHeight="1" x14ac:dyDescent="0.15">
      <c r="A5" s="122" t="s">
        <v>37</v>
      </c>
      <c r="B5" s="122"/>
      <c r="C5" s="122"/>
      <c r="D5" s="122"/>
      <c r="E5" s="122"/>
      <c r="F5" s="122"/>
      <c r="G5" s="122"/>
      <c r="H5" s="122"/>
      <c r="I5" s="122"/>
      <c r="J5" s="122"/>
      <c r="K5" s="122"/>
      <c r="L5" s="122"/>
      <c r="M5" s="122"/>
      <c r="N5" s="122"/>
      <c r="O5" s="122"/>
      <c r="P5" s="122"/>
      <c r="Q5" s="122"/>
      <c r="R5" s="122"/>
      <c r="S5" s="122"/>
      <c r="T5" s="122"/>
      <c r="U5" s="122"/>
    </row>
    <row r="6" spans="1:24" ht="15" customHeight="1" x14ac:dyDescent="0.15">
      <c r="A6" s="80"/>
      <c r="B6" s="85"/>
      <c r="C6" s="85"/>
      <c r="D6" s="85"/>
      <c r="E6" s="85"/>
      <c r="F6" s="85"/>
      <c r="G6" s="85"/>
      <c r="H6" s="85"/>
      <c r="I6" s="85"/>
      <c r="J6" s="85"/>
      <c r="K6" s="85"/>
      <c r="L6" s="85"/>
      <c r="M6" s="85"/>
      <c r="N6" s="85"/>
      <c r="O6" s="85"/>
      <c r="P6" s="85"/>
      <c r="Q6" s="85"/>
      <c r="R6" s="85"/>
      <c r="S6" s="85"/>
      <c r="T6" s="85"/>
      <c r="U6" s="85"/>
    </row>
    <row r="7" spans="1:24" ht="15" customHeight="1" x14ac:dyDescent="0.15">
      <c r="A7" s="80" t="s">
        <v>131</v>
      </c>
      <c r="B7" s="85"/>
      <c r="C7" s="85"/>
      <c r="D7" s="85"/>
      <c r="E7" s="85"/>
      <c r="F7" s="86"/>
      <c r="G7" s="86"/>
      <c r="H7" s="86"/>
      <c r="I7" s="86"/>
      <c r="J7" s="86"/>
      <c r="K7" s="86"/>
      <c r="L7" s="158" t="s">
        <v>129</v>
      </c>
      <c r="M7" s="159"/>
      <c r="N7" s="159"/>
      <c r="O7" s="159"/>
      <c r="P7" s="159"/>
      <c r="Q7" s="159"/>
      <c r="R7" s="159"/>
      <c r="S7" s="159"/>
      <c r="T7" s="159"/>
      <c r="U7" s="160"/>
    </row>
    <row r="8" spans="1:24" ht="6" customHeight="1" x14ac:dyDescent="0.15">
      <c r="A8" s="80"/>
      <c r="B8" s="85"/>
      <c r="C8" s="85"/>
      <c r="D8" s="85"/>
      <c r="E8" s="85"/>
      <c r="F8" s="85"/>
      <c r="G8" s="85"/>
      <c r="H8" s="85"/>
      <c r="I8" s="85"/>
      <c r="J8" s="85"/>
      <c r="K8" s="85"/>
      <c r="L8" s="85"/>
      <c r="M8" s="85"/>
      <c r="N8" s="85"/>
      <c r="O8" s="85"/>
      <c r="P8" s="85"/>
      <c r="Q8" s="85"/>
      <c r="R8" s="85"/>
      <c r="S8" s="85"/>
      <c r="T8" s="85"/>
      <c r="U8" s="85"/>
    </row>
    <row r="9" spans="1:24" ht="18" customHeight="1" x14ac:dyDescent="0.15">
      <c r="A9" s="80" t="s">
        <v>132</v>
      </c>
      <c r="B9" s="80"/>
      <c r="C9" s="85"/>
      <c r="D9" s="85"/>
      <c r="E9" s="80"/>
      <c r="F9" s="80"/>
      <c r="G9" s="80"/>
      <c r="H9" s="80"/>
      <c r="I9" s="80"/>
      <c r="J9" s="80"/>
      <c r="K9" s="82"/>
      <c r="L9" s="86"/>
      <c r="M9" s="86"/>
      <c r="N9" s="86"/>
      <c r="O9" s="86"/>
      <c r="P9" s="86"/>
      <c r="Q9" s="86"/>
      <c r="R9" s="86"/>
      <c r="S9" s="86"/>
      <c r="T9" s="86"/>
      <c r="U9" s="86"/>
    </row>
    <row r="10" spans="1:24" ht="6" customHeight="1" x14ac:dyDescent="0.15">
      <c r="A10" s="80"/>
      <c r="B10" s="85"/>
      <c r="C10" s="85"/>
      <c r="D10" s="85"/>
      <c r="E10" s="85"/>
      <c r="F10" s="85"/>
      <c r="G10" s="85"/>
      <c r="H10" s="85"/>
      <c r="I10" s="85"/>
      <c r="J10" s="85"/>
      <c r="K10" s="85"/>
      <c r="L10" s="87"/>
      <c r="M10" s="85"/>
      <c r="N10" s="85"/>
      <c r="O10" s="85"/>
      <c r="P10" s="85"/>
      <c r="Q10" s="85"/>
      <c r="R10" s="85"/>
      <c r="S10" s="85"/>
      <c r="T10" s="85"/>
      <c r="U10" s="85"/>
    </row>
    <row r="11" spans="1:24" ht="18" customHeight="1" x14ac:dyDescent="0.15">
      <c r="A11" s="80"/>
      <c r="B11" s="162" t="s">
        <v>140</v>
      </c>
      <c r="C11" s="163"/>
      <c r="D11" s="163"/>
      <c r="E11" s="163"/>
      <c r="F11" s="163"/>
      <c r="G11" s="163"/>
      <c r="H11" s="163"/>
      <c r="I11" s="163"/>
      <c r="J11" s="163"/>
      <c r="K11" s="163"/>
      <c r="L11" s="163"/>
      <c r="M11" s="163"/>
      <c r="N11" s="163"/>
      <c r="O11" s="163"/>
      <c r="P11" s="163"/>
      <c r="Q11" s="163"/>
      <c r="R11" s="163"/>
      <c r="S11" s="163"/>
      <c r="T11" s="163"/>
      <c r="U11" s="164"/>
    </row>
    <row r="12" spans="1:24" ht="18" customHeight="1" x14ac:dyDescent="0.15">
      <c r="A12" s="80"/>
      <c r="B12" s="165"/>
      <c r="C12" s="166"/>
      <c r="D12" s="166"/>
      <c r="E12" s="166"/>
      <c r="F12" s="166"/>
      <c r="G12" s="166"/>
      <c r="H12" s="166"/>
      <c r="I12" s="166"/>
      <c r="J12" s="166"/>
      <c r="K12" s="166"/>
      <c r="L12" s="166"/>
      <c r="M12" s="166"/>
      <c r="N12" s="166"/>
      <c r="O12" s="166"/>
      <c r="P12" s="166"/>
      <c r="Q12" s="166"/>
      <c r="R12" s="166"/>
      <c r="S12" s="166"/>
      <c r="T12" s="166"/>
      <c r="U12" s="167"/>
    </row>
    <row r="13" spans="1:24" ht="6" customHeight="1" x14ac:dyDescent="0.15">
      <c r="A13" s="80"/>
      <c r="B13" s="85"/>
      <c r="C13" s="85"/>
      <c r="D13" s="85"/>
      <c r="E13" s="85"/>
      <c r="F13" s="85"/>
      <c r="G13" s="85"/>
      <c r="H13" s="85"/>
      <c r="I13" s="85"/>
      <c r="J13" s="85"/>
      <c r="K13" s="85"/>
      <c r="L13" s="87"/>
      <c r="M13" s="85"/>
      <c r="N13" s="85"/>
      <c r="O13" s="85"/>
      <c r="P13" s="85"/>
      <c r="Q13" s="85"/>
      <c r="R13" s="85"/>
      <c r="S13" s="85"/>
      <c r="T13" s="85"/>
      <c r="U13" s="85"/>
    </row>
    <row r="14" spans="1:24" ht="18" customHeight="1" x14ac:dyDescent="0.15">
      <c r="A14" s="80" t="s">
        <v>100</v>
      </c>
      <c r="B14" s="85"/>
      <c r="C14" s="85"/>
      <c r="D14" s="85"/>
      <c r="E14" s="82"/>
      <c r="F14" s="82"/>
      <c r="G14" s="82"/>
      <c r="H14" s="82"/>
      <c r="I14" s="82"/>
      <c r="J14" s="82"/>
      <c r="K14" s="82"/>
      <c r="L14" s="88"/>
      <c r="M14" s="88"/>
      <c r="N14" s="88"/>
      <c r="O14" s="88"/>
      <c r="P14" s="88"/>
      <c r="Q14" s="88"/>
      <c r="R14" s="88"/>
      <c r="S14" s="88"/>
      <c r="T14" s="88"/>
      <c r="U14" s="88"/>
    </row>
    <row r="15" spans="1:24" ht="18" customHeight="1" x14ac:dyDescent="0.15">
      <c r="A15" s="80"/>
      <c r="B15" s="123" t="s">
        <v>156</v>
      </c>
      <c r="C15" s="124"/>
      <c r="D15" s="124"/>
      <c r="E15" s="124"/>
      <c r="F15" s="124"/>
      <c r="G15" s="124"/>
      <c r="H15" s="124"/>
      <c r="I15" s="124"/>
      <c r="J15" s="124"/>
      <c r="K15" s="124"/>
      <c r="L15" s="124"/>
      <c r="M15" s="124"/>
      <c r="N15" s="124"/>
      <c r="O15" s="124"/>
      <c r="P15" s="124"/>
      <c r="Q15" s="124"/>
      <c r="R15" s="124"/>
      <c r="S15" s="124"/>
      <c r="T15" s="124"/>
      <c r="U15" s="125"/>
      <c r="X15" s="77" t="s">
        <v>94</v>
      </c>
    </row>
    <row r="16" spans="1:24" ht="18" customHeight="1" x14ac:dyDescent="0.15">
      <c r="A16" s="80"/>
      <c r="B16" s="126"/>
      <c r="C16" s="127"/>
      <c r="D16" s="127"/>
      <c r="E16" s="127"/>
      <c r="F16" s="127"/>
      <c r="G16" s="127"/>
      <c r="H16" s="127"/>
      <c r="I16" s="127"/>
      <c r="J16" s="127"/>
      <c r="K16" s="127"/>
      <c r="L16" s="127"/>
      <c r="M16" s="127"/>
      <c r="N16" s="127"/>
      <c r="O16" s="127"/>
      <c r="P16" s="127"/>
      <c r="Q16" s="127"/>
      <c r="R16" s="127"/>
      <c r="S16" s="127"/>
      <c r="T16" s="127"/>
      <c r="U16" s="128"/>
      <c r="X16" s="77" t="s">
        <v>114</v>
      </c>
    </row>
    <row r="17" spans="1:24" ht="18" customHeight="1" x14ac:dyDescent="0.15">
      <c r="A17" s="80"/>
      <c r="B17" s="126"/>
      <c r="C17" s="127"/>
      <c r="D17" s="127"/>
      <c r="E17" s="127"/>
      <c r="F17" s="127"/>
      <c r="G17" s="127"/>
      <c r="H17" s="127"/>
      <c r="I17" s="127"/>
      <c r="J17" s="127"/>
      <c r="K17" s="127"/>
      <c r="L17" s="127"/>
      <c r="M17" s="127"/>
      <c r="N17" s="127"/>
      <c r="O17" s="127"/>
      <c r="P17" s="127"/>
      <c r="Q17" s="127"/>
      <c r="R17" s="127"/>
      <c r="S17" s="127"/>
      <c r="T17" s="127"/>
      <c r="U17" s="128"/>
      <c r="X17" s="77" t="s">
        <v>115</v>
      </c>
    </row>
    <row r="18" spans="1:24" ht="18" customHeight="1" x14ac:dyDescent="0.15">
      <c r="A18" s="80"/>
      <c r="B18" s="126"/>
      <c r="C18" s="127"/>
      <c r="D18" s="127"/>
      <c r="E18" s="127"/>
      <c r="F18" s="127"/>
      <c r="G18" s="127"/>
      <c r="H18" s="127"/>
      <c r="I18" s="127"/>
      <c r="J18" s="127"/>
      <c r="K18" s="127"/>
      <c r="L18" s="127"/>
      <c r="M18" s="127"/>
      <c r="N18" s="127"/>
      <c r="O18" s="127"/>
      <c r="P18" s="127"/>
      <c r="Q18" s="127"/>
      <c r="R18" s="127"/>
      <c r="S18" s="127"/>
      <c r="T18" s="127"/>
      <c r="U18" s="128"/>
      <c r="X18" s="77" t="s">
        <v>116</v>
      </c>
    </row>
    <row r="19" spans="1:24" ht="18" customHeight="1" x14ac:dyDescent="0.15">
      <c r="A19" s="80"/>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15">
      <c r="A20" s="80"/>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15">
      <c r="A21" s="80"/>
      <c r="B21" s="85"/>
      <c r="C21" s="85"/>
      <c r="D21" s="85"/>
      <c r="E21" s="85"/>
      <c r="F21" s="85"/>
      <c r="G21" s="85"/>
      <c r="H21" s="85"/>
      <c r="I21" s="85"/>
      <c r="J21" s="85"/>
      <c r="K21" s="85"/>
      <c r="L21" s="85"/>
      <c r="M21" s="85"/>
      <c r="N21" s="85"/>
      <c r="O21" s="85"/>
      <c r="P21" s="85"/>
      <c r="Q21" s="85"/>
      <c r="R21" s="85"/>
      <c r="S21" s="85"/>
      <c r="T21" s="85"/>
      <c r="U21" s="85"/>
    </row>
    <row r="22" spans="1:24" ht="19.899999999999999" customHeight="1" x14ac:dyDescent="0.15">
      <c r="A22" s="80"/>
      <c r="B22" s="80" t="s">
        <v>133</v>
      </c>
      <c r="C22" s="80"/>
      <c r="D22" s="80"/>
      <c r="E22" s="89">
        <v>2</v>
      </c>
      <c r="F22" s="80" t="s">
        <v>112</v>
      </c>
      <c r="G22" s="80"/>
      <c r="H22" s="90">
        <v>4</v>
      </c>
      <c r="I22" s="85" t="s">
        <v>113</v>
      </c>
      <c r="J22" s="85"/>
      <c r="K22" s="82"/>
      <c r="L22" s="80"/>
      <c r="M22" s="82" t="s">
        <v>109</v>
      </c>
      <c r="N22" s="155" t="s">
        <v>116</v>
      </c>
      <c r="O22" s="156"/>
      <c r="P22" s="156"/>
      <c r="Q22" s="156"/>
      <c r="R22" s="156"/>
      <c r="S22" s="156"/>
      <c r="T22" s="156"/>
      <c r="U22" s="157"/>
    </row>
    <row r="23" spans="1:24" ht="7.5" customHeight="1" x14ac:dyDescent="0.15">
      <c r="A23" s="80"/>
      <c r="B23" s="85"/>
      <c r="C23" s="85"/>
      <c r="D23" s="85"/>
      <c r="E23" s="85"/>
      <c r="F23" s="85"/>
      <c r="G23" s="85"/>
      <c r="H23" s="85"/>
      <c r="I23" s="85"/>
      <c r="J23" s="85"/>
      <c r="K23" s="85"/>
      <c r="L23" s="85"/>
      <c r="M23" s="85"/>
      <c r="N23" s="85"/>
      <c r="O23" s="85"/>
      <c r="P23" s="85"/>
      <c r="Q23" s="85"/>
      <c r="R23" s="85"/>
      <c r="S23" s="85"/>
      <c r="T23" s="85"/>
      <c r="U23" s="85"/>
    </row>
    <row r="24" spans="1:24" ht="18" customHeight="1" x14ac:dyDescent="0.15">
      <c r="A24" s="132" t="s">
        <v>101</v>
      </c>
      <c r="B24" s="132"/>
      <c r="C24" s="132"/>
      <c r="D24" s="132"/>
      <c r="E24" s="132"/>
      <c r="F24" s="132"/>
      <c r="G24" s="132"/>
      <c r="H24" s="132"/>
      <c r="I24" s="132"/>
      <c r="J24" s="132"/>
      <c r="K24" s="132"/>
      <c r="L24" s="132"/>
      <c r="M24" s="132"/>
      <c r="N24" s="132"/>
      <c r="O24" s="132"/>
      <c r="P24" s="132"/>
      <c r="Q24" s="132"/>
      <c r="R24" s="132"/>
      <c r="S24" s="132"/>
      <c r="T24" s="132"/>
      <c r="U24" s="132"/>
    </row>
    <row r="25" spans="1:24" ht="18" customHeight="1" x14ac:dyDescent="0.15">
      <c r="A25" s="132"/>
      <c r="B25" s="132"/>
      <c r="C25" s="132"/>
      <c r="D25" s="132"/>
      <c r="E25" s="132"/>
      <c r="F25" s="132"/>
      <c r="G25" s="132"/>
      <c r="H25" s="132"/>
      <c r="I25" s="132"/>
      <c r="J25" s="132"/>
      <c r="K25" s="132"/>
      <c r="L25" s="132"/>
      <c r="M25" s="132"/>
      <c r="N25" s="132"/>
      <c r="O25" s="132"/>
      <c r="P25" s="132"/>
      <c r="Q25" s="132"/>
      <c r="R25" s="132"/>
      <c r="S25" s="132"/>
      <c r="T25" s="132"/>
      <c r="U25" s="132"/>
    </row>
    <row r="26" spans="1:24" ht="18" customHeight="1" x14ac:dyDescent="0.15">
      <c r="B26" s="98" t="s">
        <v>51</v>
      </c>
      <c r="C26" s="99"/>
      <c r="D26" s="99"/>
      <c r="E26" s="99"/>
      <c r="F26" s="100"/>
      <c r="G26" s="51" t="s">
        <v>77</v>
      </c>
      <c r="H26" s="50" t="s">
        <v>80</v>
      </c>
      <c r="I26" s="17" t="s">
        <v>54</v>
      </c>
      <c r="J26" s="17" t="s">
        <v>57</v>
      </c>
      <c r="K26" s="98" t="s">
        <v>51</v>
      </c>
      <c r="L26" s="99"/>
      <c r="M26" s="99"/>
      <c r="N26" s="99"/>
      <c r="O26" s="99"/>
      <c r="P26" s="99"/>
      <c r="Q26" s="100"/>
      <c r="R26" s="51" t="s">
        <v>77</v>
      </c>
      <c r="S26" s="50" t="s">
        <v>80</v>
      </c>
      <c r="T26" s="17" t="s">
        <v>54</v>
      </c>
      <c r="U26" s="17" t="s">
        <v>57</v>
      </c>
    </row>
    <row r="27" spans="1:24" ht="18" customHeight="1" x14ac:dyDescent="0.15">
      <c r="B27" s="109" t="s">
        <v>176</v>
      </c>
      <c r="C27" s="110"/>
      <c r="D27" s="110"/>
      <c r="E27" s="110"/>
      <c r="F27" s="111"/>
      <c r="G27" s="18">
        <v>2</v>
      </c>
      <c r="H27" s="18" t="s">
        <v>161</v>
      </c>
      <c r="I27" s="18" t="s">
        <v>161</v>
      </c>
      <c r="J27" s="18" t="s">
        <v>161</v>
      </c>
      <c r="K27" s="109"/>
      <c r="L27" s="110"/>
      <c r="M27" s="110"/>
      <c r="N27" s="110"/>
      <c r="O27" s="110"/>
      <c r="P27" s="110"/>
      <c r="Q27" s="111"/>
      <c r="R27" s="18"/>
      <c r="S27" s="18"/>
      <c r="T27" s="18"/>
      <c r="U27" s="18"/>
    </row>
    <row r="28" spans="1:24" ht="18" customHeight="1" x14ac:dyDescent="0.15">
      <c r="B28" s="101"/>
      <c r="C28" s="102"/>
      <c r="D28" s="102"/>
      <c r="E28" s="102"/>
      <c r="F28" s="103"/>
      <c r="G28" s="19"/>
      <c r="H28" s="19"/>
      <c r="I28" s="19"/>
      <c r="J28" s="19"/>
      <c r="K28" s="101"/>
      <c r="L28" s="102"/>
      <c r="M28" s="102"/>
      <c r="N28" s="102"/>
      <c r="O28" s="102"/>
      <c r="P28" s="102"/>
      <c r="Q28" s="103"/>
      <c r="R28" s="19"/>
      <c r="S28" s="19"/>
      <c r="T28" s="19"/>
      <c r="U28" s="19"/>
    </row>
    <row r="29" spans="1:24" ht="18" customHeight="1" x14ac:dyDescent="0.15">
      <c r="B29" s="101"/>
      <c r="C29" s="102"/>
      <c r="D29" s="102"/>
      <c r="E29" s="102"/>
      <c r="F29" s="103"/>
      <c r="G29" s="19"/>
      <c r="H29" s="19"/>
      <c r="I29" s="19"/>
      <c r="J29" s="19"/>
      <c r="K29" s="101"/>
      <c r="L29" s="102"/>
      <c r="M29" s="102"/>
      <c r="N29" s="102"/>
      <c r="O29" s="102"/>
      <c r="P29" s="102"/>
      <c r="Q29" s="103"/>
      <c r="R29" s="19"/>
      <c r="S29" s="19"/>
      <c r="T29" s="19"/>
      <c r="U29" s="19"/>
    </row>
    <row r="30" spans="1:24" ht="18" customHeight="1" x14ac:dyDescent="0.15">
      <c r="B30" s="101"/>
      <c r="C30" s="102"/>
      <c r="D30" s="102"/>
      <c r="E30" s="102"/>
      <c r="F30" s="103"/>
      <c r="G30" s="19"/>
      <c r="H30" s="19"/>
      <c r="I30" s="19"/>
      <c r="J30" s="19"/>
      <c r="K30" s="101"/>
      <c r="L30" s="102"/>
      <c r="M30" s="102"/>
      <c r="N30" s="102"/>
      <c r="O30" s="102"/>
      <c r="P30" s="102"/>
      <c r="Q30" s="103"/>
      <c r="R30" s="19"/>
      <c r="S30" s="19"/>
      <c r="T30" s="19"/>
      <c r="U30" s="19"/>
    </row>
    <row r="31" spans="1:24" ht="18" customHeight="1" x14ac:dyDescent="0.15">
      <c r="B31" s="101"/>
      <c r="C31" s="102"/>
      <c r="D31" s="102"/>
      <c r="E31" s="102"/>
      <c r="F31" s="103"/>
      <c r="G31" s="19"/>
      <c r="H31" s="19"/>
      <c r="I31" s="19"/>
      <c r="J31" s="19"/>
      <c r="K31" s="101"/>
      <c r="L31" s="102"/>
      <c r="M31" s="102"/>
      <c r="N31" s="102"/>
      <c r="O31" s="102"/>
      <c r="P31" s="102"/>
      <c r="Q31" s="103"/>
      <c r="R31" s="19"/>
      <c r="S31" s="19"/>
      <c r="T31" s="19"/>
      <c r="U31" s="19"/>
    </row>
    <row r="32" spans="1:24" ht="18" customHeight="1" x14ac:dyDescent="0.15">
      <c r="A32" s="76"/>
      <c r="B32" s="101"/>
      <c r="C32" s="102"/>
      <c r="D32" s="102"/>
      <c r="E32" s="102"/>
      <c r="F32" s="103"/>
      <c r="G32" s="19"/>
      <c r="H32" s="19"/>
      <c r="I32" s="19"/>
      <c r="J32" s="19"/>
      <c r="K32" s="101"/>
      <c r="L32" s="102"/>
      <c r="M32" s="102"/>
      <c r="N32" s="102"/>
      <c r="O32" s="102"/>
      <c r="P32" s="102"/>
      <c r="Q32" s="103"/>
      <c r="R32" s="19"/>
      <c r="S32" s="19"/>
      <c r="T32" s="19"/>
      <c r="U32" s="19"/>
    </row>
    <row r="33" spans="1:21" ht="18" customHeight="1" x14ac:dyDescent="0.15">
      <c r="A33" s="76"/>
      <c r="B33" s="104"/>
      <c r="C33" s="105"/>
      <c r="D33" s="105"/>
      <c r="E33" s="105"/>
      <c r="F33" s="106"/>
      <c r="G33" s="20"/>
      <c r="H33" s="20"/>
      <c r="I33" s="21"/>
      <c r="J33" s="21"/>
      <c r="K33" s="104"/>
      <c r="L33" s="105"/>
      <c r="M33" s="105"/>
      <c r="N33" s="105"/>
      <c r="O33" s="105"/>
      <c r="P33" s="105"/>
      <c r="Q33" s="106"/>
      <c r="R33" s="20"/>
      <c r="S33" s="20"/>
      <c r="T33" s="21"/>
      <c r="U33" s="21"/>
    </row>
    <row r="34" spans="1:21" ht="7.5" customHeight="1" x14ac:dyDescent="0.15">
      <c r="A34" s="76"/>
      <c r="B34" s="6"/>
      <c r="C34" s="6"/>
      <c r="D34" s="6"/>
      <c r="E34" s="76"/>
      <c r="F34" s="76"/>
      <c r="G34" s="76"/>
      <c r="H34" s="76"/>
      <c r="I34" s="6"/>
      <c r="J34" s="6"/>
      <c r="K34" s="6"/>
      <c r="L34" s="6"/>
      <c r="M34" s="6"/>
      <c r="N34" s="6"/>
      <c r="O34" s="6"/>
      <c r="P34" s="6"/>
      <c r="Q34" s="6"/>
      <c r="R34" s="6"/>
      <c r="S34" s="6"/>
      <c r="T34" s="6"/>
      <c r="U34" s="76"/>
    </row>
    <row r="35" spans="1:21" ht="18" customHeight="1" x14ac:dyDescent="0.15">
      <c r="A35" s="112" t="s">
        <v>102</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98" t="s">
        <v>51</v>
      </c>
      <c r="C37" s="99"/>
      <c r="D37" s="99"/>
      <c r="E37" s="99"/>
      <c r="F37" s="100"/>
      <c r="G37" s="51" t="s">
        <v>77</v>
      </c>
      <c r="H37" s="50" t="s">
        <v>80</v>
      </c>
      <c r="I37" s="17" t="s">
        <v>68</v>
      </c>
      <c r="J37" s="17" t="s">
        <v>69</v>
      </c>
      <c r="K37" s="98" t="s">
        <v>51</v>
      </c>
      <c r="L37" s="99"/>
      <c r="M37" s="99"/>
      <c r="N37" s="99"/>
      <c r="O37" s="99"/>
      <c r="P37" s="99"/>
      <c r="Q37" s="100"/>
      <c r="R37" s="51" t="s">
        <v>77</v>
      </c>
      <c r="S37" s="50" t="s">
        <v>80</v>
      </c>
      <c r="T37" s="17" t="s">
        <v>68</v>
      </c>
      <c r="U37" s="17" t="s">
        <v>69</v>
      </c>
    </row>
    <row r="38" spans="1:21" ht="18" customHeight="1" x14ac:dyDescent="0.15">
      <c r="B38" s="109" t="s">
        <v>176</v>
      </c>
      <c r="C38" s="110"/>
      <c r="D38" s="110"/>
      <c r="E38" s="110"/>
      <c r="F38" s="111"/>
      <c r="G38" s="18">
        <v>2</v>
      </c>
      <c r="H38" s="18" t="s">
        <v>161</v>
      </c>
      <c r="I38" s="18"/>
      <c r="J38" s="18" t="s">
        <v>161</v>
      </c>
      <c r="K38" s="109"/>
      <c r="L38" s="110"/>
      <c r="M38" s="110"/>
      <c r="N38" s="110"/>
      <c r="O38" s="110"/>
      <c r="P38" s="110"/>
      <c r="Q38" s="111"/>
      <c r="R38" s="18"/>
      <c r="S38" s="18"/>
      <c r="T38" s="18"/>
      <c r="U38" s="18"/>
    </row>
    <row r="39" spans="1:21" ht="18" customHeight="1" x14ac:dyDescent="0.15">
      <c r="B39" s="101" t="s">
        <v>177</v>
      </c>
      <c r="C39" s="102"/>
      <c r="D39" s="102"/>
      <c r="E39" s="102"/>
      <c r="F39" s="103"/>
      <c r="G39" s="19">
        <v>2</v>
      </c>
      <c r="H39" s="19"/>
      <c r="I39" s="19" t="s">
        <v>161</v>
      </c>
      <c r="J39" s="19"/>
      <c r="K39" s="101"/>
      <c r="L39" s="102"/>
      <c r="M39" s="102"/>
      <c r="N39" s="102"/>
      <c r="O39" s="102"/>
      <c r="P39" s="102"/>
      <c r="Q39" s="103"/>
      <c r="R39" s="19"/>
      <c r="S39" s="19"/>
      <c r="T39" s="19"/>
      <c r="U39" s="19"/>
    </row>
    <row r="40" spans="1:21" ht="18" customHeight="1" x14ac:dyDescent="0.15">
      <c r="B40" s="101" t="s">
        <v>178</v>
      </c>
      <c r="C40" s="102"/>
      <c r="D40" s="102"/>
      <c r="E40" s="102"/>
      <c r="F40" s="103"/>
      <c r="G40" s="19">
        <v>2</v>
      </c>
      <c r="H40" s="19"/>
      <c r="I40" s="19" t="s">
        <v>161</v>
      </c>
      <c r="J40" s="19" t="s">
        <v>161</v>
      </c>
      <c r="K40" s="101"/>
      <c r="L40" s="102"/>
      <c r="M40" s="102"/>
      <c r="N40" s="102"/>
      <c r="O40" s="102"/>
      <c r="P40" s="102"/>
      <c r="Q40" s="103"/>
      <c r="R40" s="19"/>
      <c r="S40" s="19"/>
      <c r="T40" s="19"/>
      <c r="U40" s="19"/>
    </row>
    <row r="41" spans="1:21" ht="18" customHeight="1" x14ac:dyDescent="0.15">
      <c r="B41" s="101" t="s">
        <v>179</v>
      </c>
      <c r="C41" s="102"/>
      <c r="D41" s="102"/>
      <c r="E41" s="102"/>
      <c r="F41" s="103"/>
      <c r="G41" s="19">
        <v>2</v>
      </c>
      <c r="H41" s="19"/>
      <c r="I41" s="19" t="s">
        <v>161</v>
      </c>
      <c r="J41" s="19"/>
      <c r="K41" s="101"/>
      <c r="L41" s="102"/>
      <c r="M41" s="102"/>
      <c r="N41" s="102"/>
      <c r="O41" s="102"/>
      <c r="P41" s="102"/>
      <c r="Q41" s="103"/>
      <c r="R41" s="19"/>
      <c r="S41" s="19"/>
      <c r="T41" s="19"/>
      <c r="U41" s="19"/>
    </row>
    <row r="42" spans="1:21" ht="18" customHeight="1" x14ac:dyDescent="0.15">
      <c r="B42" s="101" t="s">
        <v>180</v>
      </c>
      <c r="C42" s="102"/>
      <c r="D42" s="102"/>
      <c r="E42" s="102"/>
      <c r="F42" s="103"/>
      <c r="G42" s="19">
        <v>2</v>
      </c>
      <c r="H42" s="19"/>
      <c r="I42" s="19" t="s">
        <v>161</v>
      </c>
      <c r="J42" s="19"/>
      <c r="K42" s="101"/>
      <c r="L42" s="102"/>
      <c r="M42" s="102"/>
      <c r="N42" s="102"/>
      <c r="O42" s="102"/>
      <c r="P42" s="102"/>
      <c r="Q42" s="103"/>
      <c r="R42" s="19"/>
      <c r="S42" s="19"/>
      <c r="T42" s="19"/>
      <c r="U42" s="19"/>
    </row>
    <row r="43" spans="1:21" ht="18" customHeight="1" x14ac:dyDescent="0.15">
      <c r="B43" s="101"/>
      <c r="C43" s="102"/>
      <c r="D43" s="102"/>
      <c r="E43" s="102"/>
      <c r="F43" s="103"/>
      <c r="G43" s="19"/>
      <c r="H43" s="19"/>
      <c r="I43" s="19"/>
      <c r="J43" s="19"/>
      <c r="K43" s="101"/>
      <c r="L43" s="102"/>
      <c r="M43" s="102"/>
      <c r="N43" s="102"/>
      <c r="O43" s="102"/>
      <c r="P43" s="102"/>
      <c r="Q43" s="103"/>
      <c r="R43" s="19"/>
      <c r="S43" s="19"/>
      <c r="T43" s="19"/>
      <c r="U43" s="19"/>
    </row>
    <row r="44" spans="1:21" ht="18" customHeight="1" x14ac:dyDescent="0.15">
      <c r="B44" s="104"/>
      <c r="C44" s="105"/>
      <c r="D44" s="105"/>
      <c r="E44" s="105"/>
      <c r="F44" s="106"/>
      <c r="G44" s="20"/>
      <c r="H44" s="20"/>
      <c r="I44" s="21"/>
      <c r="J44" s="21"/>
      <c r="K44" s="104"/>
      <c r="L44" s="105"/>
      <c r="M44" s="105"/>
      <c r="N44" s="105"/>
      <c r="O44" s="105"/>
      <c r="P44" s="105"/>
      <c r="Q44" s="106"/>
      <c r="R44" s="20"/>
      <c r="S44" s="20"/>
      <c r="T44" s="21"/>
      <c r="U44" s="21"/>
    </row>
    <row r="45" spans="1:21" ht="7.5" customHeight="1" x14ac:dyDescent="0.15">
      <c r="A45" s="76"/>
      <c r="B45" s="6"/>
      <c r="C45" s="6"/>
      <c r="D45" s="6"/>
      <c r="E45" s="76"/>
      <c r="F45" s="76"/>
      <c r="G45" s="76"/>
      <c r="H45" s="76"/>
      <c r="I45" s="6"/>
      <c r="J45" s="6"/>
      <c r="K45" s="6"/>
      <c r="L45" s="6"/>
      <c r="M45" s="6"/>
      <c r="N45" s="6"/>
      <c r="O45" s="6"/>
      <c r="P45" s="6"/>
      <c r="Q45" s="6"/>
      <c r="R45" s="6"/>
      <c r="S45" s="6"/>
      <c r="T45" s="6"/>
      <c r="U45" s="76"/>
    </row>
    <row r="46" spans="1:21" ht="18" customHeight="1" x14ac:dyDescent="0.15">
      <c r="A46" s="112" t="s">
        <v>103</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98" t="s">
        <v>51</v>
      </c>
      <c r="C48" s="99"/>
      <c r="D48" s="99"/>
      <c r="E48" s="99"/>
      <c r="F48" s="100"/>
      <c r="G48" s="51" t="s">
        <v>77</v>
      </c>
      <c r="H48" s="50" t="s">
        <v>80</v>
      </c>
      <c r="I48" s="17" t="s">
        <v>70</v>
      </c>
      <c r="J48" s="17" t="s">
        <v>71</v>
      </c>
      <c r="K48" s="98" t="s">
        <v>51</v>
      </c>
      <c r="L48" s="99"/>
      <c r="M48" s="99"/>
      <c r="N48" s="99"/>
      <c r="O48" s="99"/>
      <c r="P48" s="99"/>
      <c r="Q48" s="100"/>
      <c r="R48" s="51" t="s">
        <v>77</v>
      </c>
      <c r="S48" s="50" t="s">
        <v>80</v>
      </c>
      <c r="T48" s="17" t="s">
        <v>70</v>
      </c>
      <c r="U48" s="17" t="s">
        <v>71</v>
      </c>
    </row>
    <row r="49" spans="1:21" ht="18" customHeight="1" x14ac:dyDescent="0.15">
      <c r="A49" s="76"/>
      <c r="B49" s="109" t="s">
        <v>176</v>
      </c>
      <c r="C49" s="110"/>
      <c r="D49" s="110"/>
      <c r="E49" s="110"/>
      <c r="F49" s="111"/>
      <c r="G49" s="18">
        <v>2</v>
      </c>
      <c r="H49" s="18" t="s">
        <v>161</v>
      </c>
      <c r="I49" s="18" t="s">
        <v>161</v>
      </c>
      <c r="J49" s="18" t="s">
        <v>161</v>
      </c>
      <c r="K49" s="109"/>
      <c r="L49" s="110"/>
      <c r="M49" s="110"/>
      <c r="N49" s="110"/>
      <c r="O49" s="110"/>
      <c r="P49" s="110"/>
      <c r="Q49" s="111"/>
      <c r="R49" s="18"/>
      <c r="S49" s="18"/>
      <c r="T49" s="18"/>
      <c r="U49" s="18"/>
    </row>
    <row r="50" spans="1:21" ht="18" customHeight="1" x14ac:dyDescent="0.15">
      <c r="A50" s="76"/>
      <c r="B50" s="101" t="s">
        <v>177</v>
      </c>
      <c r="C50" s="102"/>
      <c r="D50" s="102"/>
      <c r="E50" s="102"/>
      <c r="F50" s="103"/>
      <c r="G50" s="19">
        <v>2</v>
      </c>
      <c r="H50" s="19"/>
      <c r="I50" s="19" t="s">
        <v>161</v>
      </c>
      <c r="J50" s="19"/>
      <c r="K50" s="101"/>
      <c r="L50" s="102"/>
      <c r="M50" s="102"/>
      <c r="N50" s="102"/>
      <c r="O50" s="102"/>
      <c r="P50" s="102"/>
      <c r="Q50" s="103"/>
      <c r="R50" s="19"/>
      <c r="S50" s="19"/>
      <c r="T50" s="19"/>
      <c r="U50" s="19"/>
    </row>
    <row r="51" spans="1:21" ht="18" customHeight="1" x14ac:dyDescent="0.15">
      <c r="A51" s="76"/>
      <c r="B51" s="101" t="s">
        <v>178</v>
      </c>
      <c r="C51" s="102"/>
      <c r="D51" s="102"/>
      <c r="E51" s="102"/>
      <c r="F51" s="103"/>
      <c r="G51" s="19">
        <v>2</v>
      </c>
      <c r="H51" s="19"/>
      <c r="I51" s="19" t="s">
        <v>161</v>
      </c>
      <c r="J51" s="19"/>
      <c r="K51" s="101"/>
      <c r="L51" s="102"/>
      <c r="M51" s="102"/>
      <c r="N51" s="102"/>
      <c r="O51" s="102"/>
      <c r="P51" s="102"/>
      <c r="Q51" s="103"/>
      <c r="R51" s="19"/>
      <c r="S51" s="19"/>
      <c r="T51" s="19"/>
      <c r="U51" s="19"/>
    </row>
    <row r="52" spans="1:21" ht="18" customHeight="1" x14ac:dyDescent="0.15">
      <c r="A52" s="76"/>
      <c r="B52" s="101" t="s">
        <v>179</v>
      </c>
      <c r="C52" s="102"/>
      <c r="D52" s="102"/>
      <c r="E52" s="102"/>
      <c r="F52" s="103"/>
      <c r="G52" s="19">
        <v>2</v>
      </c>
      <c r="H52" s="19"/>
      <c r="I52" s="19" t="s">
        <v>161</v>
      </c>
      <c r="J52" s="19"/>
      <c r="K52" s="101"/>
      <c r="L52" s="102"/>
      <c r="M52" s="102"/>
      <c r="N52" s="102"/>
      <c r="O52" s="102"/>
      <c r="P52" s="102"/>
      <c r="Q52" s="103"/>
      <c r="R52" s="19"/>
      <c r="S52" s="19"/>
      <c r="T52" s="19"/>
      <c r="U52" s="19"/>
    </row>
    <row r="53" spans="1:21" ht="18" customHeight="1" x14ac:dyDescent="0.15">
      <c r="A53" s="76"/>
      <c r="B53" s="101" t="s">
        <v>180</v>
      </c>
      <c r="C53" s="102"/>
      <c r="D53" s="102"/>
      <c r="E53" s="102"/>
      <c r="F53" s="103"/>
      <c r="G53" s="19">
        <v>2</v>
      </c>
      <c r="H53" s="19"/>
      <c r="I53" s="19" t="s">
        <v>161</v>
      </c>
      <c r="J53" s="19"/>
      <c r="K53" s="101"/>
      <c r="L53" s="102"/>
      <c r="M53" s="102"/>
      <c r="N53" s="102"/>
      <c r="O53" s="102"/>
      <c r="P53" s="102"/>
      <c r="Q53" s="103"/>
      <c r="R53" s="19"/>
      <c r="S53" s="19"/>
      <c r="T53" s="19"/>
      <c r="U53" s="19"/>
    </row>
    <row r="54" spans="1:21" ht="18" customHeight="1" x14ac:dyDescent="0.15">
      <c r="A54" s="76"/>
      <c r="B54" s="101"/>
      <c r="C54" s="102"/>
      <c r="D54" s="102"/>
      <c r="E54" s="102"/>
      <c r="F54" s="103"/>
      <c r="G54" s="19"/>
      <c r="H54" s="19"/>
      <c r="I54" s="19"/>
      <c r="J54" s="19"/>
      <c r="K54" s="101"/>
      <c r="L54" s="102"/>
      <c r="M54" s="102"/>
      <c r="N54" s="102"/>
      <c r="O54" s="102"/>
      <c r="P54" s="102"/>
      <c r="Q54" s="103"/>
      <c r="R54" s="19"/>
      <c r="S54" s="19"/>
      <c r="T54" s="19"/>
      <c r="U54" s="19"/>
    </row>
    <row r="55" spans="1:21" ht="18" customHeight="1" x14ac:dyDescent="0.15">
      <c r="A55" s="76"/>
      <c r="B55" s="104"/>
      <c r="C55" s="105"/>
      <c r="D55" s="105"/>
      <c r="E55" s="105"/>
      <c r="F55" s="106"/>
      <c r="G55" s="20"/>
      <c r="H55" s="20"/>
      <c r="I55" s="21"/>
      <c r="J55" s="21"/>
      <c r="K55" s="104"/>
      <c r="L55" s="105"/>
      <c r="M55" s="105"/>
      <c r="N55" s="105"/>
      <c r="O55" s="105"/>
      <c r="P55" s="105"/>
      <c r="Q55" s="106"/>
      <c r="R55" s="20"/>
      <c r="S55" s="20"/>
      <c r="T55" s="21"/>
      <c r="U55" s="21"/>
    </row>
    <row r="56" spans="1:21" ht="7.5" customHeight="1" x14ac:dyDescent="0.15">
      <c r="B56" s="75"/>
      <c r="C56" s="75"/>
      <c r="D56" s="75"/>
      <c r="E56" s="75"/>
      <c r="F56" s="75"/>
      <c r="G56" s="75"/>
      <c r="H56" s="75"/>
      <c r="I56" s="75"/>
      <c r="J56" s="75"/>
      <c r="K56" s="75"/>
      <c r="L56" s="75"/>
      <c r="M56" s="75"/>
      <c r="N56" s="75"/>
      <c r="O56" s="75"/>
      <c r="P56" s="75"/>
      <c r="Q56" s="75"/>
      <c r="R56" s="75"/>
      <c r="S56" s="75"/>
      <c r="T56" s="75"/>
    </row>
    <row r="57" spans="1:21" ht="18" customHeight="1" x14ac:dyDescent="0.15">
      <c r="A57" s="112" t="s">
        <v>104</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98" t="s">
        <v>51</v>
      </c>
      <c r="C59" s="99"/>
      <c r="D59" s="99"/>
      <c r="E59" s="99"/>
      <c r="F59" s="100"/>
      <c r="G59" s="51" t="s">
        <v>77</v>
      </c>
      <c r="H59" s="50" t="s">
        <v>80</v>
      </c>
      <c r="I59" s="17" t="s">
        <v>56</v>
      </c>
      <c r="J59" s="17" t="s">
        <v>58</v>
      </c>
      <c r="K59" s="98" t="s">
        <v>51</v>
      </c>
      <c r="L59" s="99"/>
      <c r="M59" s="99"/>
      <c r="N59" s="99"/>
      <c r="O59" s="99"/>
      <c r="P59" s="99"/>
      <c r="Q59" s="100"/>
      <c r="R59" s="51" t="s">
        <v>77</v>
      </c>
      <c r="S59" s="50" t="s">
        <v>80</v>
      </c>
      <c r="T59" s="17" t="s">
        <v>56</v>
      </c>
      <c r="U59" s="17" t="s">
        <v>58</v>
      </c>
    </row>
    <row r="60" spans="1:21" ht="18" customHeight="1" x14ac:dyDescent="0.15">
      <c r="A60" s="76"/>
      <c r="B60" s="109" t="s">
        <v>176</v>
      </c>
      <c r="C60" s="110"/>
      <c r="D60" s="110"/>
      <c r="E60" s="110"/>
      <c r="F60" s="111"/>
      <c r="G60" s="18">
        <v>2</v>
      </c>
      <c r="H60" s="18" t="s">
        <v>161</v>
      </c>
      <c r="I60" s="18" t="s">
        <v>161</v>
      </c>
      <c r="J60" s="18" t="s">
        <v>161</v>
      </c>
      <c r="K60" s="109"/>
      <c r="L60" s="110"/>
      <c r="M60" s="110"/>
      <c r="N60" s="110"/>
      <c r="O60" s="110"/>
      <c r="P60" s="110"/>
      <c r="Q60" s="111"/>
      <c r="R60" s="18"/>
      <c r="S60" s="18"/>
      <c r="T60" s="18"/>
      <c r="U60" s="18"/>
    </row>
    <row r="61" spans="1:21" ht="18" customHeight="1" x14ac:dyDescent="0.15">
      <c r="A61" s="76"/>
      <c r="B61" s="101"/>
      <c r="C61" s="102"/>
      <c r="D61" s="102"/>
      <c r="E61" s="102"/>
      <c r="F61" s="103"/>
      <c r="G61" s="19"/>
      <c r="H61" s="19"/>
      <c r="I61" s="19"/>
      <c r="J61" s="19"/>
      <c r="K61" s="101"/>
      <c r="L61" s="102"/>
      <c r="M61" s="102"/>
      <c r="N61" s="102"/>
      <c r="O61" s="102"/>
      <c r="P61" s="102"/>
      <c r="Q61" s="103"/>
      <c r="R61" s="19"/>
      <c r="S61" s="19"/>
      <c r="T61" s="19"/>
      <c r="U61" s="19"/>
    </row>
    <row r="62" spans="1:21" ht="18" customHeight="1" x14ac:dyDescent="0.15">
      <c r="A62" s="76"/>
      <c r="B62" s="101"/>
      <c r="C62" s="102"/>
      <c r="D62" s="102"/>
      <c r="E62" s="102"/>
      <c r="F62" s="103"/>
      <c r="G62" s="19"/>
      <c r="H62" s="19"/>
      <c r="I62" s="19"/>
      <c r="J62" s="19"/>
      <c r="K62" s="101"/>
      <c r="L62" s="102"/>
      <c r="M62" s="102"/>
      <c r="N62" s="102"/>
      <c r="O62" s="102"/>
      <c r="P62" s="102"/>
      <c r="Q62" s="103"/>
      <c r="R62" s="19"/>
      <c r="S62" s="19"/>
      <c r="T62" s="19"/>
      <c r="U62" s="19"/>
    </row>
    <row r="63" spans="1:21" ht="18" customHeight="1" x14ac:dyDescent="0.15">
      <c r="A63" s="76"/>
      <c r="B63" s="101"/>
      <c r="C63" s="102"/>
      <c r="D63" s="102"/>
      <c r="E63" s="102"/>
      <c r="F63" s="103"/>
      <c r="G63" s="19"/>
      <c r="H63" s="19"/>
      <c r="I63" s="19"/>
      <c r="J63" s="19"/>
      <c r="K63" s="101"/>
      <c r="L63" s="102"/>
      <c r="M63" s="102"/>
      <c r="N63" s="102"/>
      <c r="O63" s="102"/>
      <c r="P63" s="102"/>
      <c r="Q63" s="103"/>
      <c r="R63" s="19"/>
      <c r="S63" s="19"/>
      <c r="T63" s="19"/>
      <c r="U63" s="19"/>
    </row>
    <row r="64" spans="1:21" ht="18" customHeight="1" x14ac:dyDescent="0.15">
      <c r="A64" s="76"/>
      <c r="B64" s="101"/>
      <c r="C64" s="102"/>
      <c r="D64" s="102"/>
      <c r="E64" s="102"/>
      <c r="F64" s="103"/>
      <c r="G64" s="19"/>
      <c r="H64" s="19"/>
      <c r="I64" s="19"/>
      <c r="J64" s="19"/>
      <c r="K64" s="101"/>
      <c r="L64" s="102"/>
      <c r="M64" s="102"/>
      <c r="N64" s="102"/>
      <c r="O64" s="102"/>
      <c r="P64" s="102"/>
      <c r="Q64" s="103"/>
      <c r="R64" s="19"/>
      <c r="S64" s="19"/>
      <c r="T64" s="19"/>
      <c r="U64" s="19"/>
    </row>
    <row r="65" spans="1:21" ht="18" customHeight="1" x14ac:dyDescent="0.15">
      <c r="A65" s="76"/>
      <c r="B65" s="101"/>
      <c r="C65" s="102"/>
      <c r="D65" s="102"/>
      <c r="E65" s="102"/>
      <c r="F65" s="103"/>
      <c r="G65" s="19"/>
      <c r="H65" s="19"/>
      <c r="I65" s="19"/>
      <c r="J65" s="19"/>
      <c r="K65" s="101"/>
      <c r="L65" s="102"/>
      <c r="M65" s="102"/>
      <c r="N65" s="102"/>
      <c r="O65" s="102"/>
      <c r="P65" s="102"/>
      <c r="Q65" s="103"/>
      <c r="R65" s="19"/>
      <c r="S65" s="19"/>
      <c r="T65" s="19"/>
      <c r="U65" s="19"/>
    </row>
    <row r="66" spans="1:21" ht="18" customHeight="1" x14ac:dyDescent="0.15">
      <c r="A66" s="76"/>
      <c r="B66" s="104"/>
      <c r="C66" s="105"/>
      <c r="D66" s="105"/>
      <c r="E66" s="105"/>
      <c r="F66" s="106"/>
      <c r="G66" s="20"/>
      <c r="H66" s="20"/>
      <c r="I66" s="21"/>
      <c r="J66" s="21"/>
      <c r="K66" s="104"/>
      <c r="L66" s="105"/>
      <c r="M66" s="105"/>
      <c r="N66" s="105"/>
      <c r="O66" s="105"/>
      <c r="P66" s="105"/>
      <c r="Q66" s="106"/>
      <c r="R66" s="20"/>
      <c r="S66" s="20"/>
      <c r="T66" s="21"/>
      <c r="U66" s="21"/>
    </row>
    <row r="67" spans="1:21" ht="7.5" customHeight="1" x14ac:dyDescent="0.15">
      <c r="B67" s="75"/>
      <c r="C67" s="75"/>
      <c r="D67" s="75"/>
      <c r="E67" s="75"/>
      <c r="F67" s="75"/>
      <c r="G67" s="75"/>
      <c r="H67" s="75"/>
      <c r="I67" s="75"/>
      <c r="J67" s="75"/>
      <c r="K67" s="75"/>
      <c r="L67" s="75"/>
      <c r="M67" s="75"/>
      <c r="N67" s="75"/>
      <c r="O67" s="75"/>
      <c r="P67" s="75"/>
      <c r="Q67" s="75"/>
      <c r="R67" s="75"/>
      <c r="S67" s="75"/>
      <c r="T67" s="75"/>
    </row>
    <row r="68" spans="1:21" ht="18" customHeight="1" x14ac:dyDescent="0.15">
      <c r="A68" s="112" t="s">
        <v>105</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x14ac:dyDescent="0.15">
      <c r="B70" s="98" t="s">
        <v>51</v>
      </c>
      <c r="C70" s="99"/>
      <c r="D70" s="99"/>
      <c r="E70" s="99"/>
      <c r="F70" s="51" t="s">
        <v>77</v>
      </c>
      <c r="G70" s="50" t="s">
        <v>80</v>
      </c>
      <c r="H70" s="17" t="s">
        <v>92</v>
      </c>
      <c r="I70" s="17" t="s">
        <v>72</v>
      </c>
      <c r="J70" s="17" t="s">
        <v>73</v>
      </c>
      <c r="K70" s="98" t="s">
        <v>51</v>
      </c>
      <c r="L70" s="99"/>
      <c r="M70" s="99"/>
      <c r="N70" s="99"/>
      <c r="O70" s="99"/>
      <c r="P70" s="100"/>
      <c r="Q70" s="51" t="s">
        <v>77</v>
      </c>
      <c r="R70" s="50" t="s">
        <v>80</v>
      </c>
      <c r="S70" s="17" t="s">
        <v>92</v>
      </c>
      <c r="T70" s="17" t="s">
        <v>72</v>
      </c>
      <c r="U70" s="17" t="s">
        <v>73</v>
      </c>
    </row>
    <row r="71" spans="1:21" ht="18" customHeight="1" x14ac:dyDescent="0.15">
      <c r="A71" s="76"/>
      <c r="B71" s="109" t="s">
        <v>177</v>
      </c>
      <c r="C71" s="110"/>
      <c r="D71" s="110"/>
      <c r="E71" s="110"/>
      <c r="F71" s="18">
        <v>2</v>
      </c>
      <c r="G71" s="18"/>
      <c r="H71" s="18" t="s">
        <v>161</v>
      </c>
      <c r="I71" s="18" t="s">
        <v>161</v>
      </c>
      <c r="J71" s="18" t="s">
        <v>161</v>
      </c>
      <c r="K71" s="109"/>
      <c r="L71" s="110"/>
      <c r="M71" s="110"/>
      <c r="N71" s="110"/>
      <c r="O71" s="110"/>
      <c r="P71" s="111"/>
      <c r="Q71" s="18"/>
      <c r="R71" s="18"/>
      <c r="S71" s="18"/>
      <c r="T71" s="18"/>
      <c r="U71" s="18"/>
    </row>
    <row r="72" spans="1:21" ht="18" customHeight="1" x14ac:dyDescent="0.15">
      <c r="A72" s="76"/>
      <c r="B72" s="101" t="s">
        <v>178</v>
      </c>
      <c r="C72" s="102"/>
      <c r="D72" s="102"/>
      <c r="E72" s="102"/>
      <c r="F72" s="19">
        <v>2</v>
      </c>
      <c r="G72" s="19"/>
      <c r="H72" s="19" t="s">
        <v>161</v>
      </c>
      <c r="I72" s="19" t="s">
        <v>161</v>
      </c>
      <c r="J72" s="19" t="s">
        <v>161</v>
      </c>
      <c r="K72" s="101"/>
      <c r="L72" s="102"/>
      <c r="M72" s="102"/>
      <c r="N72" s="102"/>
      <c r="O72" s="102"/>
      <c r="P72" s="103"/>
      <c r="Q72" s="19"/>
      <c r="R72" s="19"/>
      <c r="S72" s="19"/>
      <c r="T72" s="19"/>
      <c r="U72" s="19"/>
    </row>
    <row r="73" spans="1:21" ht="18" customHeight="1" x14ac:dyDescent="0.15">
      <c r="A73" s="76"/>
      <c r="B73" s="101" t="s">
        <v>179</v>
      </c>
      <c r="C73" s="102"/>
      <c r="D73" s="102"/>
      <c r="E73" s="102"/>
      <c r="F73" s="19">
        <v>2</v>
      </c>
      <c r="G73" s="19"/>
      <c r="H73" s="19" t="s">
        <v>161</v>
      </c>
      <c r="I73" s="19" t="s">
        <v>161</v>
      </c>
      <c r="J73" s="19" t="s">
        <v>161</v>
      </c>
      <c r="K73" s="101"/>
      <c r="L73" s="102"/>
      <c r="M73" s="102"/>
      <c r="N73" s="102"/>
      <c r="O73" s="102"/>
      <c r="P73" s="103"/>
      <c r="Q73" s="19"/>
      <c r="R73" s="19"/>
      <c r="S73" s="19"/>
      <c r="T73" s="19"/>
      <c r="U73" s="19"/>
    </row>
    <row r="74" spans="1:21" ht="18" customHeight="1" x14ac:dyDescent="0.15">
      <c r="A74" s="76"/>
      <c r="B74" s="101" t="s">
        <v>180</v>
      </c>
      <c r="C74" s="102"/>
      <c r="D74" s="102"/>
      <c r="E74" s="102"/>
      <c r="F74" s="19">
        <v>2</v>
      </c>
      <c r="G74" s="19"/>
      <c r="H74" s="19" t="s">
        <v>161</v>
      </c>
      <c r="I74" s="19" t="s">
        <v>161</v>
      </c>
      <c r="J74" s="19" t="s">
        <v>161</v>
      </c>
      <c r="K74" s="101"/>
      <c r="L74" s="102"/>
      <c r="M74" s="102"/>
      <c r="N74" s="102"/>
      <c r="O74" s="102"/>
      <c r="P74" s="103"/>
      <c r="Q74" s="19"/>
      <c r="R74" s="19"/>
      <c r="S74" s="19"/>
      <c r="T74" s="19"/>
      <c r="U74" s="19"/>
    </row>
    <row r="75" spans="1:21" ht="18" customHeight="1" x14ac:dyDescent="0.15">
      <c r="A75" s="76"/>
      <c r="B75" s="101"/>
      <c r="C75" s="102"/>
      <c r="D75" s="102"/>
      <c r="E75" s="102"/>
      <c r="F75" s="19"/>
      <c r="G75" s="19"/>
      <c r="H75" s="19"/>
      <c r="I75" s="19"/>
      <c r="J75" s="19"/>
      <c r="K75" s="101"/>
      <c r="L75" s="102"/>
      <c r="M75" s="102"/>
      <c r="N75" s="102"/>
      <c r="O75" s="102"/>
      <c r="P75" s="103"/>
      <c r="Q75" s="19"/>
      <c r="R75" s="19"/>
      <c r="S75" s="19"/>
      <c r="T75" s="19"/>
      <c r="U75" s="19"/>
    </row>
    <row r="76" spans="1:21" ht="18" customHeight="1" x14ac:dyDescent="0.15">
      <c r="A76" s="76"/>
      <c r="B76" s="101"/>
      <c r="C76" s="102"/>
      <c r="D76" s="102"/>
      <c r="E76" s="102"/>
      <c r="F76" s="19"/>
      <c r="G76" s="19"/>
      <c r="H76" s="19"/>
      <c r="I76" s="19"/>
      <c r="J76" s="19"/>
      <c r="K76" s="101"/>
      <c r="L76" s="102"/>
      <c r="M76" s="102"/>
      <c r="N76" s="102"/>
      <c r="O76" s="102"/>
      <c r="P76" s="103"/>
      <c r="Q76" s="19"/>
      <c r="R76" s="19"/>
      <c r="S76" s="19"/>
      <c r="T76" s="19"/>
      <c r="U76" s="19"/>
    </row>
    <row r="77" spans="1:21" ht="18" customHeight="1" x14ac:dyDescent="0.15">
      <c r="A77" s="76"/>
      <c r="B77" s="104"/>
      <c r="C77" s="105"/>
      <c r="D77" s="105"/>
      <c r="E77" s="105"/>
      <c r="F77" s="20"/>
      <c r="G77" s="20"/>
      <c r="H77" s="21"/>
      <c r="I77" s="21"/>
      <c r="J77" s="21"/>
      <c r="K77" s="104"/>
      <c r="L77" s="105"/>
      <c r="M77" s="105"/>
      <c r="N77" s="105"/>
      <c r="O77" s="105"/>
      <c r="P77" s="106"/>
      <c r="Q77" s="20"/>
      <c r="R77" s="20"/>
      <c r="S77" s="21"/>
      <c r="T77" s="21"/>
      <c r="U77" s="21"/>
    </row>
    <row r="78" spans="1:21" ht="7.5" customHeight="1" x14ac:dyDescent="0.15">
      <c r="B78" s="75"/>
      <c r="C78" s="75"/>
      <c r="D78" s="75"/>
      <c r="E78" s="75"/>
      <c r="F78" s="75"/>
      <c r="G78" s="75"/>
      <c r="H78" s="75"/>
      <c r="I78" s="75"/>
      <c r="J78" s="75"/>
      <c r="K78" s="75"/>
      <c r="L78" s="75"/>
      <c r="M78" s="75"/>
      <c r="N78" s="75"/>
      <c r="O78" s="75"/>
      <c r="P78" s="75"/>
      <c r="Q78" s="75"/>
      <c r="R78" s="75"/>
      <c r="S78" s="75"/>
      <c r="T78" s="75"/>
    </row>
    <row r="79" spans="1:21" ht="18" customHeight="1" x14ac:dyDescent="0.15">
      <c r="A79" s="77" t="s">
        <v>106</v>
      </c>
      <c r="I79" s="76"/>
      <c r="J79" s="76"/>
      <c r="K79" s="76"/>
      <c r="L79" s="76"/>
      <c r="M79" s="76"/>
      <c r="N79" s="76"/>
      <c r="O79" s="76"/>
      <c r="P79" s="76"/>
      <c r="Q79" s="76"/>
      <c r="R79" s="76"/>
      <c r="S79" s="76"/>
      <c r="T79" s="76"/>
      <c r="U79" s="76"/>
    </row>
    <row r="80" spans="1:21" ht="18" customHeight="1" x14ac:dyDescent="0.15">
      <c r="B80" s="98" t="s">
        <v>51</v>
      </c>
      <c r="C80" s="99"/>
      <c r="D80" s="99"/>
      <c r="E80" s="99"/>
      <c r="F80" s="100"/>
      <c r="G80" s="98" t="s">
        <v>78</v>
      </c>
      <c r="H80" s="99"/>
      <c r="I80" s="99"/>
      <c r="J80" s="100"/>
      <c r="K80" s="118" t="s">
        <v>51</v>
      </c>
      <c r="L80" s="119"/>
      <c r="M80" s="119"/>
      <c r="N80" s="119"/>
      <c r="O80" s="119"/>
      <c r="P80" s="119"/>
      <c r="Q80" s="120"/>
      <c r="R80" s="98" t="s">
        <v>78</v>
      </c>
      <c r="S80" s="99"/>
      <c r="T80" s="99"/>
      <c r="U80" s="100"/>
    </row>
    <row r="81" spans="1:21" ht="18" customHeight="1" x14ac:dyDescent="0.15">
      <c r="A81" s="76"/>
      <c r="B81" s="109" t="s">
        <v>178</v>
      </c>
      <c r="C81" s="110"/>
      <c r="D81" s="110"/>
      <c r="E81" s="110"/>
      <c r="F81" s="111"/>
      <c r="G81" s="113" t="s">
        <v>181</v>
      </c>
      <c r="H81" s="114"/>
      <c r="I81" s="114"/>
      <c r="J81" s="115"/>
      <c r="K81" s="109"/>
      <c r="L81" s="110"/>
      <c r="M81" s="110"/>
      <c r="N81" s="110"/>
      <c r="O81" s="110"/>
      <c r="P81" s="110"/>
      <c r="Q81" s="111"/>
      <c r="R81" s="113"/>
      <c r="S81" s="114"/>
      <c r="T81" s="114"/>
      <c r="U81" s="115"/>
    </row>
    <row r="82" spans="1:21" ht="18" customHeight="1" x14ac:dyDescent="0.15">
      <c r="A82" s="76"/>
      <c r="B82" s="101" t="s">
        <v>179</v>
      </c>
      <c r="C82" s="102"/>
      <c r="D82" s="102"/>
      <c r="E82" s="102"/>
      <c r="F82" s="103"/>
      <c r="G82" s="95" t="s">
        <v>182</v>
      </c>
      <c r="H82" s="96"/>
      <c r="I82" s="96"/>
      <c r="J82" s="97"/>
      <c r="K82" s="101"/>
      <c r="L82" s="102"/>
      <c r="M82" s="102"/>
      <c r="N82" s="102"/>
      <c r="O82" s="102"/>
      <c r="P82" s="102"/>
      <c r="Q82" s="103"/>
      <c r="R82" s="95"/>
      <c r="S82" s="96"/>
      <c r="T82" s="96"/>
      <c r="U82" s="97"/>
    </row>
    <row r="83" spans="1:21" ht="18" customHeight="1" x14ac:dyDescent="0.15">
      <c r="A83" s="76"/>
      <c r="B83" s="101" t="s">
        <v>180</v>
      </c>
      <c r="C83" s="102"/>
      <c r="D83" s="102"/>
      <c r="E83" s="102"/>
      <c r="F83" s="103"/>
      <c r="G83" s="95" t="s">
        <v>182</v>
      </c>
      <c r="H83" s="96"/>
      <c r="I83" s="96"/>
      <c r="J83" s="97"/>
      <c r="K83" s="101"/>
      <c r="L83" s="102"/>
      <c r="M83" s="102"/>
      <c r="N83" s="102"/>
      <c r="O83" s="102"/>
      <c r="P83" s="102"/>
      <c r="Q83" s="103"/>
      <c r="R83" s="95"/>
      <c r="S83" s="96"/>
      <c r="T83" s="96"/>
      <c r="U83" s="97"/>
    </row>
    <row r="84" spans="1:21" ht="18" customHeight="1" x14ac:dyDescent="0.15">
      <c r="A84" s="76"/>
      <c r="B84" s="101"/>
      <c r="C84" s="102"/>
      <c r="D84" s="102"/>
      <c r="E84" s="102"/>
      <c r="F84" s="103"/>
      <c r="G84" s="95"/>
      <c r="H84" s="96"/>
      <c r="I84" s="96"/>
      <c r="J84" s="97"/>
      <c r="K84" s="101"/>
      <c r="L84" s="102"/>
      <c r="M84" s="102"/>
      <c r="N84" s="102"/>
      <c r="O84" s="102"/>
      <c r="P84" s="102"/>
      <c r="Q84" s="103"/>
      <c r="R84" s="95"/>
      <c r="S84" s="96"/>
      <c r="T84" s="96"/>
      <c r="U84" s="97"/>
    </row>
    <row r="85" spans="1:21" ht="18" customHeight="1" x14ac:dyDescent="0.15">
      <c r="A85" s="76"/>
      <c r="B85" s="101"/>
      <c r="C85" s="102"/>
      <c r="D85" s="102"/>
      <c r="E85" s="102"/>
      <c r="F85" s="103"/>
      <c r="G85" s="95"/>
      <c r="H85" s="96"/>
      <c r="I85" s="96"/>
      <c r="J85" s="97"/>
      <c r="K85" s="101"/>
      <c r="L85" s="102"/>
      <c r="M85" s="102"/>
      <c r="N85" s="102"/>
      <c r="O85" s="102"/>
      <c r="P85" s="102"/>
      <c r="Q85" s="103"/>
      <c r="R85" s="95"/>
      <c r="S85" s="96"/>
      <c r="T85" s="96"/>
      <c r="U85" s="97"/>
    </row>
    <row r="86" spans="1:21" ht="18" customHeight="1" x14ac:dyDescent="0.15">
      <c r="A86" s="76"/>
      <c r="B86" s="101"/>
      <c r="C86" s="102"/>
      <c r="D86" s="102"/>
      <c r="E86" s="102"/>
      <c r="F86" s="103"/>
      <c r="G86" s="95"/>
      <c r="H86" s="96"/>
      <c r="I86" s="96"/>
      <c r="J86" s="97"/>
      <c r="K86" s="101"/>
      <c r="L86" s="102"/>
      <c r="M86" s="102"/>
      <c r="N86" s="102"/>
      <c r="O86" s="102"/>
      <c r="P86" s="102"/>
      <c r="Q86" s="103"/>
      <c r="R86" s="95"/>
      <c r="S86" s="96"/>
      <c r="T86" s="96"/>
      <c r="U86" s="97"/>
    </row>
    <row r="87" spans="1:21" ht="18" customHeight="1" x14ac:dyDescent="0.15">
      <c r="A87" s="76"/>
      <c r="B87" s="104"/>
      <c r="C87" s="105"/>
      <c r="D87" s="105"/>
      <c r="E87" s="105"/>
      <c r="F87" s="106"/>
      <c r="G87" s="136"/>
      <c r="H87" s="137"/>
      <c r="I87" s="137"/>
      <c r="J87" s="138"/>
      <c r="K87" s="104"/>
      <c r="L87" s="105"/>
      <c r="M87" s="105"/>
      <c r="N87" s="105"/>
      <c r="O87" s="105"/>
      <c r="P87" s="105"/>
      <c r="Q87" s="106"/>
      <c r="R87" s="136"/>
      <c r="S87" s="137"/>
      <c r="T87" s="137"/>
      <c r="U87" s="138"/>
    </row>
    <row r="88" spans="1:21" ht="18" customHeight="1" x14ac:dyDescent="0.15">
      <c r="A88" s="76"/>
      <c r="B88" s="6"/>
      <c r="C88" s="6"/>
      <c r="D88" s="6"/>
      <c r="E88" s="6"/>
      <c r="F88" s="6"/>
      <c r="G88" s="22"/>
      <c r="H88" s="22"/>
      <c r="I88" s="22"/>
      <c r="J88" s="22"/>
      <c r="K88" s="6"/>
      <c r="L88" s="6"/>
      <c r="M88" s="6"/>
      <c r="N88" s="6"/>
      <c r="O88" s="6"/>
      <c r="P88" s="6"/>
      <c r="Q88" s="6"/>
      <c r="R88" s="22"/>
      <c r="S88" s="22"/>
      <c r="T88" s="22"/>
      <c r="U88" s="22"/>
    </row>
    <row r="89" spans="1:21" ht="18.75" customHeight="1" x14ac:dyDescent="0.15">
      <c r="A89" s="77" t="s">
        <v>107</v>
      </c>
    </row>
    <row r="90" spans="1:21" ht="18.75" customHeight="1" x14ac:dyDescent="0.15">
      <c r="B90" s="139" t="s">
        <v>52</v>
      </c>
      <c r="C90" s="140"/>
      <c r="D90" s="98" t="s">
        <v>53</v>
      </c>
      <c r="E90" s="99"/>
      <c r="F90" s="99"/>
      <c r="G90" s="99"/>
      <c r="H90" s="99"/>
      <c r="I90" s="99"/>
      <c r="J90" s="99"/>
      <c r="K90" s="99"/>
      <c r="L90" s="99"/>
      <c r="M90" s="99"/>
      <c r="N90" s="99"/>
      <c r="O90" s="99"/>
      <c r="P90" s="99"/>
      <c r="Q90" s="99"/>
      <c r="R90" s="99"/>
      <c r="S90" s="99"/>
      <c r="T90" s="99"/>
      <c r="U90" s="100"/>
    </row>
    <row r="91" spans="1:21" ht="97.5" customHeight="1" x14ac:dyDescent="0.15">
      <c r="B91" s="116" t="s">
        <v>59</v>
      </c>
      <c r="C91" s="23" t="s">
        <v>54</v>
      </c>
      <c r="D91" s="149" t="s">
        <v>183</v>
      </c>
      <c r="E91" s="150"/>
      <c r="F91" s="150"/>
      <c r="G91" s="150"/>
      <c r="H91" s="150"/>
      <c r="I91" s="150"/>
      <c r="J91" s="150"/>
      <c r="K91" s="150"/>
      <c r="L91" s="150"/>
      <c r="M91" s="150"/>
      <c r="N91" s="150"/>
      <c r="O91" s="150"/>
      <c r="P91" s="150"/>
      <c r="Q91" s="150"/>
      <c r="R91" s="150"/>
      <c r="S91" s="150"/>
      <c r="T91" s="150"/>
      <c r="U91" s="151"/>
    </row>
    <row r="92" spans="1:21" ht="97.5" customHeight="1" x14ac:dyDescent="0.15">
      <c r="B92" s="121"/>
      <c r="C92" s="24" t="s">
        <v>74</v>
      </c>
      <c r="D92" s="146" t="s">
        <v>184</v>
      </c>
      <c r="E92" s="147"/>
      <c r="F92" s="147"/>
      <c r="G92" s="147"/>
      <c r="H92" s="147"/>
      <c r="I92" s="147"/>
      <c r="J92" s="147"/>
      <c r="K92" s="147"/>
      <c r="L92" s="147"/>
      <c r="M92" s="147"/>
      <c r="N92" s="147"/>
      <c r="O92" s="147"/>
      <c r="P92" s="147"/>
      <c r="Q92" s="147"/>
      <c r="R92" s="147"/>
      <c r="S92" s="147"/>
      <c r="T92" s="147"/>
      <c r="U92" s="148"/>
    </row>
    <row r="93" spans="1:21" ht="97.5" customHeight="1" x14ac:dyDescent="0.15">
      <c r="B93" s="116" t="s">
        <v>60</v>
      </c>
      <c r="C93" s="25" t="s">
        <v>68</v>
      </c>
      <c r="D93" s="149" t="s">
        <v>204</v>
      </c>
      <c r="E93" s="150"/>
      <c r="F93" s="150"/>
      <c r="G93" s="150"/>
      <c r="H93" s="150"/>
      <c r="I93" s="150"/>
      <c r="J93" s="150"/>
      <c r="K93" s="150"/>
      <c r="L93" s="150"/>
      <c r="M93" s="150"/>
      <c r="N93" s="150"/>
      <c r="O93" s="150"/>
      <c r="P93" s="150"/>
      <c r="Q93" s="150"/>
      <c r="R93" s="150"/>
      <c r="S93" s="150"/>
      <c r="T93" s="150"/>
      <c r="U93" s="151"/>
    </row>
    <row r="94" spans="1:21" ht="97.5" customHeight="1" x14ac:dyDescent="0.15">
      <c r="B94" s="117"/>
      <c r="C94" s="26" t="s">
        <v>69</v>
      </c>
      <c r="D94" s="146" t="s">
        <v>185</v>
      </c>
      <c r="E94" s="147"/>
      <c r="F94" s="147"/>
      <c r="G94" s="147"/>
      <c r="H94" s="147"/>
      <c r="I94" s="147"/>
      <c r="J94" s="147"/>
      <c r="K94" s="147"/>
      <c r="L94" s="147"/>
      <c r="M94" s="147"/>
      <c r="N94" s="147"/>
      <c r="O94" s="147"/>
      <c r="P94" s="147"/>
      <c r="Q94" s="147"/>
      <c r="R94" s="147"/>
      <c r="S94" s="147"/>
      <c r="T94" s="147"/>
      <c r="U94" s="148"/>
    </row>
    <row r="95" spans="1:21" ht="97.5" customHeight="1" x14ac:dyDescent="0.15">
      <c r="B95" s="116" t="s">
        <v>61</v>
      </c>
      <c r="C95" s="25" t="s">
        <v>70</v>
      </c>
      <c r="D95" s="149" t="s">
        <v>205</v>
      </c>
      <c r="E95" s="150"/>
      <c r="F95" s="150"/>
      <c r="G95" s="150"/>
      <c r="H95" s="150"/>
      <c r="I95" s="150"/>
      <c r="J95" s="150"/>
      <c r="K95" s="150"/>
      <c r="L95" s="150"/>
      <c r="M95" s="150"/>
      <c r="N95" s="150"/>
      <c r="O95" s="150"/>
      <c r="P95" s="150"/>
      <c r="Q95" s="150"/>
      <c r="R95" s="150"/>
      <c r="S95" s="150"/>
      <c r="T95" s="150"/>
      <c r="U95" s="151"/>
    </row>
    <row r="96" spans="1:21" ht="97.5" customHeight="1" x14ac:dyDescent="0.15">
      <c r="B96" s="117"/>
      <c r="C96" s="27" t="s">
        <v>71</v>
      </c>
      <c r="D96" s="161" t="s">
        <v>186</v>
      </c>
      <c r="E96" s="147"/>
      <c r="F96" s="147"/>
      <c r="G96" s="147"/>
      <c r="H96" s="147"/>
      <c r="I96" s="147"/>
      <c r="J96" s="147"/>
      <c r="K96" s="147"/>
      <c r="L96" s="147"/>
      <c r="M96" s="147"/>
      <c r="N96" s="147"/>
      <c r="O96" s="147"/>
      <c r="P96" s="147"/>
      <c r="Q96" s="147"/>
      <c r="R96" s="147"/>
      <c r="S96" s="147"/>
      <c r="T96" s="147"/>
      <c r="U96" s="148"/>
    </row>
    <row r="97" spans="1:33" ht="97.5" customHeight="1" x14ac:dyDescent="0.15">
      <c r="B97" s="116" t="s">
        <v>75</v>
      </c>
      <c r="C97" s="23" t="s">
        <v>56</v>
      </c>
      <c r="D97" s="149" t="s">
        <v>187</v>
      </c>
      <c r="E97" s="150"/>
      <c r="F97" s="150"/>
      <c r="G97" s="150"/>
      <c r="H97" s="150"/>
      <c r="I97" s="150"/>
      <c r="J97" s="150"/>
      <c r="K97" s="150"/>
      <c r="L97" s="150"/>
      <c r="M97" s="150"/>
      <c r="N97" s="150"/>
      <c r="O97" s="150"/>
      <c r="P97" s="150"/>
      <c r="Q97" s="150"/>
      <c r="R97" s="150"/>
      <c r="S97" s="150"/>
      <c r="T97" s="150"/>
      <c r="U97" s="151"/>
    </row>
    <row r="98" spans="1:33" ht="97.5" customHeight="1" x14ac:dyDescent="0.15">
      <c r="B98" s="117"/>
      <c r="C98" s="26" t="s">
        <v>58</v>
      </c>
      <c r="D98" s="146" t="s">
        <v>188</v>
      </c>
      <c r="E98" s="147"/>
      <c r="F98" s="147"/>
      <c r="G98" s="147"/>
      <c r="H98" s="147"/>
      <c r="I98" s="147"/>
      <c r="J98" s="147"/>
      <c r="K98" s="147"/>
      <c r="L98" s="147"/>
      <c r="M98" s="147"/>
      <c r="N98" s="147"/>
      <c r="O98" s="147"/>
      <c r="P98" s="147"/>
      <c r="Q98" s="147"/>
      <c r="R98" s="147"/>
      <c r="S98" s="147"/>
      <c r="T98" s="147"/>
      <c r="U98" s="148"/>
    </row>
    <row r="99" spans="1:33" ht="97.5" customHeight="1" x14ac:dyDescent="0.15">
      <c r="B99" s="116" t="s">
        <v>76</v>
      </c>
      <c r="C99" s="25" t="s">
        <v>55</v>
      </c>
      <c r="D99" s="149" t="s">
        <v>189</v>
      </c>
      <c r="E99" s="150"/>
      <c r="F99" s="150"/>
      <c r="G99" s="150"/>
      <c r="H99" s="150"/>
      <c r="I99" s="150"/>
      <c r="J99" s="150"/>
      <c r="K99" s="150"/>
      <c r="L99" s="150"/>
      <c r="M99" s="150"/>
      <c r="N99" s="150"/>
      <c r="O99" s="150"/>
      <c r="P99" s="150"/>
      <c r="Q99" s="150"/>
      <c r="R99" s="150"/>
      <c r="S99" s="150"/>
      <c r="T99" s="150"/>
      <c r="U99" s="151"/>
    </row>
    <row r="100" spans="1:33" ht="97.5" customHeight="1" x14ac:dyDescent="0.15">
      <c r="B100" s="121"/>
      <c r="C100" s="28" t="s">
        <v>72</v>
      </c>
      <c r="D100" s="152" t="s">
        <v>190</v>
      </c>
      <c r="E100" s="153"/>
      <c r="F100" s="153"/>
      <c r="G100" s="153"/>
      <c r="H100" s="153"/>
      <c r="I100" s="153"/>
      <c r="J100" s="153"/>
      <c r="K100" s="153"/>
      <c r="L100" s="153"/>
      <c r="M100" s="153"/>
      <c r="N100" s="153"/>
      <c r="O100" s="153"/>
      <c r="P100" s="153"/>
      <c r="Q100" s="153"/>
      <c r="R100" s="153"/>
      <c r="S100" s="153"/>
      <c r="T100" s="153"/>
      <c r="U100" s="154"/>
    </row>
    <row r="101" spans="1:33" ht="97.5" customHeight="1" x14ac:dyDescent="0.15">
      <c r="B101" s="117"/>
      <c r="C101" s="27" t="s">
        <v>73</v>
      </c>
      <c r="D101" s="146" t="s">
        <v>191</v>
      </c>
      <c r="E101" s="147"/>
      <c r="F101" s="147"/>
      <c r="G101" s="147"/>
      <c r="H101" s="147"/>
      <c r="I101" s="147"/>
      <c r="J101" s="147"/>
      <c r="K101" s="147"/>
      <c r="L101" s="147"/>
      <c r="M101" s="147"/>
      <c r="N101" s="147"/>
      <c r="O101" s="147"/>
      <c r="P101" s="147"/>
      <c r="Q101" s="147"/>
      <c r="R101" s="147"/>
      <c r="S101" s="147"/>
      <c r="T101" s="147"/>
      <c r="U101" s="148"/>
    </row>
    <row r="102" spans="1:33" ht="6" customHeight="1" x14ac:dyDescent="0.15"/>
    <row r="103" spans="1:33" ht="18.75" customHeight="1" x14ac:dyDescent="0.15">
      <c r="A103" s="77" t="s">
        <v>108</v>
      </c>
    </row>
    <row r="104" spans="1:33" ht="81.75" customHeight="1" x14ac:dyDescent="0.15">
      <c r="B104" s="133" t="s">
        <v>157</v>
      </c>
      <c r="C104" s="134"/>
      <c r="D104" s="134"/>
      <c r="E104" s="134"/>
      <c r="F104" s="134"/>
      <c r="G104" s="134"/>
      <c r="H104" s="134"/>
      <c r="I104" s="134"/>
      <c r="J104" s="134"/>
      <c r="K104" s="134"/>
      <c r="L104" s="134"/>
      <c r="M104" s="134"/>
      <c r="N104" s="134"/>
      <c r="O104" s="134"/>
      <c r="P104" s="134"/>
      <c r="Q104" s="134"/>
      <c r="R104" s="134"/>
      <c r="S104" s="134"/>
      <c r="T104" s="134"/>
      <c r="U104" s="135"/>
    </row>
    <row r="106" spans="1:33" ht="18.75" customHeight="1" x14ac:dyDescent="0.15">
      <c r="A106" s="78" t="s">
        <v>124</v>
      </c>
      <c r="B106" s="79"/>
      <c r="C106" s="79"/>
      <c r="D106" s="79"/>
      <c r="E106" s="79"/>
      <c r="F106" s="79"/>
      <c r="G106" s="79"/>
      <c r="H106" s="79"/>
      <c r="I106" s="79"/>
      <c r="J106" s="79"/>
      <c r="K106" s="79"/>
      <c r="L106" s="79"/>
      <c r="M106" s="79"/>
      <c r="N106" s="79"/>
      <c r="O106" s="79"/>
      <c r="P106" s="79"/>
      <c r="Q106" s="79"/>
      <c r="R106" s="79"/>
      <c r="S106" s="79"/>
      <c r="T106" s="79"/>
      <c r="U106" s="79"/>
    </row>
    <row r="107" spans="1:33" ht="18.75" customHeight="1" x14ac:dyDescent="0.15">
      <c r="A107" s="78" t="s">
        <v>126</v>
      </c>
      <c r="B107" s="78"/>
      <c r="C107" s="78"/>
      <c r="D107" s="78"/>
      <c r="E107" s="78"/>
      <c r="F107" s="78"/>
      <c r="G107" s="78"/>
      <c r="H107" s="78"/>
      <c r="I107" s="78"/>
      <c r="J107" s="78"/>
      <c r="K107" s="78"/>
      <c r="L107" s="78"/>
      <c r="M107" s="78"/>
      <c r="N107" s="78"/>
      <c r="O107" s="78"/>
      <c r="P107" s="78"/>
      <c r="Q107" s="78"/>
      <c r="R107" s="78"/>
      <c r="S107" s="78"/>
      <c r="T107" s="78"/>
      <c r="U107" s="78"/>
      <c r="V107" s="2"/>
      <c r="W107" s="2"/>
      <c r="X107" s="2"/>
      <c r="Y107" s="2"/>
      <c r="Z107" s="2"/>
      <c r="AA107" s="2"/>
      <c r="AB107" s="2"/>
      <c r="AC107" s="2"/>
      <c r="AD107" s="2"/>
      <c r="AE107" s="2"/>
      <c r="AF107" s="2"/>
      <c r="AG107" s="2"/>
    </row>
    <row r="108" spans="1:33" ht="18.75" customHeight="1" x14ac:dyDescent="0.15">
      <c r="A108" s="78"/>
      <c r="B108" s="145" t="s">
        <v>130</v>
      </c>
      <c r="C108" s="145"/>
      <c r="D108" s="145"/>
      <c r="E108" s="145"/>
      <c r="F108" s="145"/>
      <c r="G108" s="145"/>
      <c r="H108" s="145"/>
      <c r="I108" s="145"/>
      <c r="J108" s="145"/>
      <c r="K108" s="145"/>
      <c r="L108" s="145"/>
      <c r="M108" s="145"/>
      <c r="N108" s="145"/>
      <c r="O108" s="145"/>
      <c r="P108" s="145"/>
      <c r="Q108" s="145"/>
      <c r="R108" s="145"/>
      <c r="S108" s="145"/>
      <c r="T108" s="145"/>
      <c r="U108" s="145"/>
      <c r="V108" s="71"/>
      <c r="W108" s="71"/>
      <c r="X108" s="71"/>
      <c r="Y108" s="71"/>
      <c r="Z108" s="71"/>
      <c r="AA108" s="71"/>
      <c r="AB108" s="71"/>
      <c r="AC108" s="71"/>
      <c r="AD108" s="71"/>
      <c r="AE108" s="71"/>
      <c r="AF108" s="71"/>
      <c r="AG108" s="71"/>
    </row>
    <row r="109" spans="1:33" ht="37.15" customHeight="1" x14ac:dyDescent="0.15">
      <c r="A109" s="78"/>
      <c r="B109" s="145"/>
      <c r="C109" s="145"/>
      <c r="D109" s="145"/>
      <c r="E109" s="145"/>
      <c r="F109" s="145"/>
      <c r="G109" s="145"/>
      <c r="H109" s="145"/>
      <c r="I109" s="145"/>
      <c r="J109" s="145"/>
      <c r="K109" s="145"/>
      <c r="L109" s="145"/>
      <c r="M109" s="145"/>
      <c r="N109" s="145"/>
      <c r="O109" s="145"/>
      <c r="P109" s="145"/>
      <c r="Q109" s="145"/>
      <c r="R109" s="145"/>
      <c r="S109" s="145"/>
      <c r="T109" s="145"/>
      <c r="U109" s="145"/>
      <c r="V109" s="71"/>
      <c r="W109" s="71"/>
      <c r="X109" s="71"/>
      <c r="Y109" s="71"/>
      <c r="Z109" s="71"/>
      <c r="AA109" s="71"/>
      <c r="AB109" s="71"/>
      <c r="AC109" s="71"/>
      <c r="AD109" s="71"/>
      <c r="AE109" s="71"/>
      <c r="AF109" s="71"/>
      <c r="AG109" s="71"/>
    </row>
    <row r="110" spans="1:33" ht="18.75" customHeight="1" x14ac:dyDescent="0.15">
      <c r="A110" s="78"/>
      <c r="B110" s="94" t="s">
        <v>125</v>
      </c>
      <c r="C110" s="94"/>
      <c r="D110" s="94"/>
      <c r="E110" s="94"/>
      <c r="F110" s="94"/>
      <c r="G110" s="94"/>
      <c r="H110" s="94"/>
      <c r="I110" s="94"/>
      <c r="J110" s="94"/>
      <c r="K110" s="94"/>
      <c r="L110" s="94"/>
      <c r="M110" s="94"/>
      <c r="N110" s="94"/>
      <c r="O110" s="94"/>
      <c r="P110" s="94"/>
      <c r="Q110" s="94"/>
      <c r="R110" s="94"/>
      <c r="S110" s="94"/>
      <c r="T110" s="94"/>
      <c r="U110" s="94"/>
      <c r="V110" s="71"/>
      <c r="W110" s="71"/>
      <c r="X110" s="71"/>
      <c r="Y110" s="71"/>
      <c r="Z110" s="71"/>
      <c r="AA110" s="71"/>
      <c r="AB110" s="71"/>
      <c r="AC110" s="71"/>
      <c r="AD110" s="71"/>
      <c r="AE110" s="71"/>
      <c r="AF110" s="71"/>
      <c r="AG110" s="71"/>
    </row>
    <row r="111" spans="1:33" ht="18.75" customHeight="1" x14ac:dyDescent="0.15">
      <c r="A111" s="78"/>
      <c r="B111" s="107" t="s">
        <v>53</v>
      </c>
      <c r="C111" s="107"/>
      <c r="D111" s="107"/>
      <c r="E111" s="107"/>
      <c r="F111" s="107"/>
      <c r="G111" s="107"/>
      <c r="H111" s="107"/>
      <c r="I111" s="107"/>
      <c r="J111" s="107"/>
      <c r="K111" s="107"/>
      <c r="L111" s="107"/>
      <c r="M111" s="107"/>
      <c r="N111" s="107"/>
      <c r="O111" s="107"/>
      <c r="P111" s="107"/>
      <c r="Q111" s="107"/>
      <c r="R111" s="107"/>
      <c r="S111" s="107"/>
      <c r="T111" s="107"/>
      <c r="U111" s="107"/>
      <c r="V111" s="70"/>
      <c r="W111" s="70"/>
      <c r="X111" s="70"/>
      <c r="Y111" s="70"/>
      <c r="Z111" s="70"/>
      <c r="AA111" s="70"/>
      <c r="AB111" s="70"/>
      <c r="AC111" s="70"/>
      <c r="AD111" s="70"/>
      <c r="AE111" s="70"/>
      <c r="AF111" s="70"/>
      <c r="AG111" s="70"/>
    </row>
    <row r="112" spans="1:33" ht="132" customHeight="1" x14ac:dyDescent="0.15">
      <c r="A112" s="78"/>
      <c r="B112" s="108"/>
      <c r="C112" s="108"/>
      <c r="D112" s="108"/>
      <c r="E112" s="108"/>
      <c r="F112" s="108"/>
      <c r="G112" s="108"/>
      <c r="H112" s="108"/>
      <c r="I112" s="108"/>
      <c r="J112" s="108"/>
      <c r="K112" s="108"/>
      <c r="L112" s="108"/>
      <c r="M112" s="108"/>
      <c r="N112" s="108"/>
      <c r="O112" s="108"/>
      <c r="P112" s="108"/>
      <c r="Q112" s="108"/>
      <c r="R112" s="108"/>
      <c r="S112" s="108"/>
      <c r="T112" s="108"/>
      <c r="U112" s="108"/>
      <c r="V112" s="72"/>
      <c r="W112" s="72"/>
      <c r="X112" s="72"/>
      <c r="Y112" s="72"/>
      <c r="Z112" s="72"/>
      <c r="AA112" s="72"/>
      <c r="AB112" s="72"/>
      <c r="AC112" s="72"/>
      <c r="AD112" s="72"/>
      <c r="AE112" s="72"/>
      <c r="AF112" s="72"/>
      <c r="AG112" s="72"/>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formula1>$X$16:$X$18</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U34 U45 E34:H34 E45:H45">
      <formula1>"全学開講,一部開講"</formula1>
    </dataValidation>
    <dataValidation type="list" allowBlank="1" showInputMessage="1" showErrorMessage="1" sqref="H27:J33 S27:U33 R71:U77 S38:U44 H38:J44 S49:U55 H49:J55 S60:U66 H60:J66 G71:J77">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90" zoomScaleNormal="100" zoomScaleSheetLayoutView="90" workbookViewId="0">
      <selection activeCell="B14" sqref="B14"/>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80"/>
      <c r="B1" s="80"/>
      <c r="C1" s="80"/>
      <c r="D1" s="80"/>
      <c r="E1" s="80"/>
      <c r="F1" s="80"/>
      <c r="G1" s="80"/>
      <c r="H1" s="80"/>
      <c r="I1" s="80"/>
      <c r="J1" s="80"/>
      <c r="K1" s="80"/>
      <c r="L1" s="80"/>
      <c r="M1" s="80"/>
      <c r="N1" s="80"/>
      <c r="O1" s="80"/>
      <c r="P1" s="80"/>
      <c r="Q1" s="80"/>
      <c r="R1" s="80"/>
      <c r="S1" s="80" t="s">
        <v>97</v>
      </c>
    </row>
    <row r="2" spans="1:21" ht="18" customHeight="1" x14ac:dyDescent="0.15">
      <c r="A2" s="80"/>
      <c r="B2" s="80"/>
      <c r="C2" s="80"/>
      <c r="D2" s="80"/>
      <c r="E2" s="80"/>
      <c r="F2" s="80"/>
      <c r="G2" s="80"/>
      <c r="H2" s="80"/>
      <c r="I2" s="80"/>
      <c r="J2" s="80"/>
      <c r="K2" s="80"/>
      <c r="L2" s="80"/>
      <c r="M2" s="80"/>
      <c r="N2" s="80"/>
      <c r="O2" s="80"/>
      <c r="P2" s="80"/>
      <c r="Q2" s="169" t="str">
        <f>'様式１ー１　プログラムを構成する授業科目'!C2</f>
        <v>神田外語大学</v>
      </c>
      <c r="R2" s="169"/>
      <c r="S2" s="169"/>
    </row>
    <row r="3" spans="1:21" ht="18" customHeight="1" x14ac:dyDescent="0.15">
      <c r="A3" s="122" t="s">
        <v>46</v>
      </c>
      <c r="B3" s="122"/>
      <c r="C3" s="122"/>
      <c r="D3" s="122"/>
      <c r="E3" s="122"/>
      <c r="F3" s="122"/>
      <c r="G3" s="122"/>
      <c r="H3" s="122"/>
      <c r="I3" s="122"/>
      <c r="J3" s="122"/>
      <c r="K3" s="122"/>
      <c r="L3" s="122"/>
      <c r="M3" s="122"/>
      <c r="N3" s="122"/>
      <c r="O3" s="122"/>
      <c r="P3" s="122"/>
      <c r="Q3" s="122"/>
      <c r="R3" s="122"/>
      <c r="S3" s="122"/>
    </row>
    <row r="4" spans="1:21" ht="7.5" customHeight="1" x14ac:dyDescent="0.15">
      <c r="A4" s="85"/>
      <c r="B4" s="85"/>
      <c r="C4" s="85"/>
      <c r="D4" s="85"/>
      <c r="E4" s="85"/>
      <c r="F4" s="85"/>
      <c r="G4" s="85"/>
      <c r="H4" s="85"/>
      <c r="I4" s="85"/>
      <c r="J4" s="85"/>
      <c r="K4" s="85"/>
      <c r="L4" s="85"/>
      <c r="M4" s="85"/>
      <c r="N4" s="85"/>
      <c r="O4" s="85"/>
      <c r="P4" s="85"/>
      <c r="Q4" s="85"/>
      <c r="R4" s="85"/>
      <c r="S4" s="85"/>
    </row>
    <row r="5" spans="1:21" ht="18" customHeight="1" x14ac:dyDescent="0.15">
      <c r="A5" s="80" t="s">
        <v>79</v>
      </c>
      <c r="B5" s="80"/>
      <c r="C5" s="170" t="s">
        <v>138</v>
      </c>
      <c r="D5" s="171"/>
      <c r="E5" s="85" t="s">
        <v>50</v>
      </c>
      <c r="F5" s="85"/>
      <c r="G5" s="85"/>
      <c r="H5" s="85"/>
      <c r="I5" s="85"/>
      <c r="J5" s="85"/>
      <c r="K5" s="85"/>
      <c r="L5" s="85"/>
      <c r="M5" s="85"/>
      <c r="N5" s="85"/>
      <c r="O5" s="85"/>
      <c r="P5" s="85"/>
      <c r="Q5" s="85"/>
      <c r="R5" s="83"/>
      <c r="S5" s="83"/>
    </row>
    <row r="6" spans="1:21" ht="7.15" customHeight="1" x14ac:dyDescent="0.15">
      <c r="A6" s="80"/>
      <c r="B6" s="80"/>
      <c r="C6" s="92"/>
      <c r="D6" s="92"/>
      <c r="E6" s="85"/>
      <c r="F6" s="85"/>
      <c r="G6" s="85"/>
      <c r="H6" s="85"/>
      <c r="I6" s="85"/>
      <c r="J6" s="85"/>
      <c r="K6" s="85"/>
      <c r="L6" s="85"/>
      <c r="M6" s="85"/>
      <c r="N6" s="85"/>
      <c r="O6" s="85"/>
      <c r="P6" s="85"/>
      <c r="Q6" s="85"/>
      <c r="R6" s="83"/>
      <c r="S6" s="83"/>
    </row>
    <row r="7" spans="1:21" ht="18" customHeight="1" x14ac:dyDescent="0.15">
      <c r="A7" s="80" t="s">
        <v>117</v>
      </c>
      <c r="B7" s="80"/>
      <c r="C7" s="92"/>
      <c r="D7" s="92"/>
      <c r="E7" s="85" t="s">
        <v>118</v>
      </c>
      <c r="F7" s="89">
        <v>1199</v>
      </c>
      <c r="G7" s="87" t="s">
        <v>119</v>
      </c>
      <c r="H7" s="85" t="s">
        <v>120</v>
      </c>
      <c r="I7" s="89">
        <v>2978</v>
      </c>
      <c r="J7" s="87" t="s">
        <v>119</v>
      </c>
      <c r="K7" s="82" t="s">
        <v>121</v>
      </c>
      <c r="L7" s="85" t="s">
        <v>122</v>
      </c>
      <c r="M7" s="89">
        <f>F7+I7</f>
        <v>4177</v>
      </c>
      <c r="N7" s="85" t="s">
        <v>1</v>
      </c>
      <c r="O7" s="87" t="s">
        <v>123</v>
      </c>
      <c r="P7" s="85"/>
      <c r="Q7" s="85"/>
      <c r="R7" s="83"/>
      <c r="S7" s="83"/>
    </row>
    <row r="8" spans="1:21" ht="6" customHeight="1" x14ac:dyDescent="0.15">
      <c r="A8" s="85"/>
      <c r="B8" s="85"/>
      <c r="C8" s="85"/>
      <c r="D8" s="85"/>
      <c r="E8" s="85"/>
      <c r="F8" s="85"/>
      <c r="G8" s="85"/>
      <c r="H8" s="85"/>
      <c r="I8" s="85"/>
      <c r="J8" s="85"/>
      <c r="K8" s="85"/>
      <c r="L8" s="85"/>
      <c r="M8" s="85"/>
      <c r="N8" s="85"/>
      <c r="O8" s="85"/>
      <c r="P8" s="85"/>
      <c r="Q8" s="85"/>
      <c r="R8" s="85"/>
      <c r="S8" s="85"/>
    </row>
    <row r="9" spans="1:21" ht="18" customHeight="1" x14ac:dyDescent="0.15">
      <c r="A9" s="80" t="s">
        <v>134</v>
      </c>
      <c r="B9" s="85"/>
      <c r="C9" s="85"/>
      <c r="D9" s="85"/>
      <c r="E9" s="85"/>
      <c r="F9" s="85"/>
      <c r="G9" s="85"/>
      <c r="H9" s="85"/>
      <c r="I9" s="85"/>
      <c r="J9" s="85"/>
      <c r="K9" s="85"/>
      <c r="L9" s="85"/>
      <c r="M9" s="85"/>
      <c r="N9" s="85"/>
      <c r="O9" s="85"/>
      <c r="P9" s="85"/>
      <c r="Q9" s="85"/>
      <c r="R9" s="85"/>
      <c r="S9" s="85"/>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2" t="s">
        <v>43</v>
      </c>
      <c r="C11" s="182" t="s">
        <v>82</v>
      </c>
      <c r="D11" s="174" t="s">
        <v>45</v>
      </c>
      <c r="E11" s="176" t="s">
        <v>38</v>
      </c>
      <c r="F11" s="168" t="s">
        <v>111</v>
      </c>
      <c r="G11" s="168"/>
      <c r="H11" s="168" t="s">
        <v>81</v>
      </c>
      <c r="I11" s="168"/>
      <c r="J11" s="168" t="s">
        <v>47</v>
      </c>
      <c r="K11" s="168"/>
      <c r="L11" s="168" t="s">
        <v>48</v>
      </c>
      <c r="M11" s="168"/>
      <c r="N11" s="168" t="s">
        <v>91</v>
      </c>
      <c r="O11" s="168"/>
      <c r="P11" s="168" t="s">
        <v>49</v>
      </c>
      <c r="Q11" s="168"/>
      <c r="R11" s="178" t="s">
        <v>34</v>
      </c>
      <c r="S11" s="180" t="s">
        <v>31</v>
      </c>
      <c r="U11" s="2"/>
    </row>
    <row r="12" spans="1:21" ht="16.899999999999999" customHeight="1" x14ac:dyDescent="0.15">
      <c r="B12" s="173"/>
      <c r="C12" s="183"/>
      <c r="D12" s="175"/>
      <c r="E12" s="177"/>
      <c r="F12" s="64" t="s">
        <v>90</v>
      </c>
      <c r="G12" s="64" t="s">
        <v>28</v>
      </c>
      <c r="H12" s="64" t="s">
        <v>90</v>
      </c>
      <c r="I12" s="64" t="s">
        <v>28</v>
      </c>
      <c r="J12" s="64" t="s">
        <v>90</v>
      </c>
      <c r="K12" s="64" t="s">
        <v>28</v>
      </c>
      <c r="L12" s="64" t="s">
        <v>90</v>
      </c>
      <c r="M12" s="64" t="s">
        <v>28</v>
      </c>
      <c r="N12" s="64" t="s">
        <v>90</v>
      </c>
      <c r="O12" s="64" t="s">
        <v>28</v>
      </c>
      <c r="P12" s="64" t="s">
        <v>90</v>
      </c>
      <c r="Q12" s="65" t="s">
        <v>28</v>
      </c>
      <c r="R12" s="179"/>
      <c r="S12" s="181"/>
      <c r="U12" s="2"/>
    </row>
    <row r="13" spans="1:21" ht="18" customHeight="1" x14ac:dyDescent="0.15">
      <c r="A13" s="6"/>
      <c r="B13" s="66" t="s">
        <v>139</v>
      </c>
      <c r="C13" s="52">
        <v>3978</v>
      </c>
      <c r="D13" s="53">
        <v>861</v>
      </c>
      <c r="E13" s="54">
        <v>3693</v>
      </c>
      <c r="F13" s="54">
        <v>92</v>
      </c>
      <c r="G13" s="54">
        <v>0</v>
      </c>
      <c r="H13" s="54"/>
      <c r="I13" s="54"/>
      <c r="J13" s="54"/>
      <c r="K13" s="54"/>
      <c r="L13" s="54"/>
      <c r="M13" s="54"/>
      <c r="N13" s="54"/>
      <c r="O13" s="54"/>
      <c r="P13" s="54"/>
      <c r="Q13" s="67"/>
      <c r="R13" s="53">
        <f t="shared" ref="R13:R32" si="0">F13+H13+J13+L13+N13+P13</f>
        <v>92</v>
      </c>
      <c r="S13" s="68">
        <f t="shared" ref="S13:S33" si="1">R13/E13</f>
        <v>2.4911995667479016E-2</v>
      </c>
    </row>
    <row r="14" spans="1:21" ht="18" customHeight="1" x14ac:dyDescent="0.15">
      <c r="A14" s="6"/>
      <c r="B14" s="11" t="s">
        <v>140</v>
      </c>
      <c r="C14" s="55">
        <v>199</v>
      </c>
      <c r="D14" s="56">
        <v>60</v>
      </c>
      <c r="E14" s="57">
        <v>180</v>
      </c>
      <c r="F14" s="58">
        <v>6</v>
      </c>
      <c r="G14" s="58">
        <v>5</v>
      </c>
      <c r="H14" s="58"/>
      <c r="I14" s="58"/>
      <c r="J14" s="58"/>
      <c r="K14" s="58"/>
      <c r="L14" s="58"/>
      <c r="M14" s="58"/>
      <c r="N14" s="58"/>
      <c r="O14" s="58"/>
      <c r="P14" s="58"/>
      <c r="Q14" s="55"/>
      <c r="R14" s="56">
        <f t="shared" si="0"/>
        <v>6</v>
      </c>
      <c r="S14" s="16">
        <f t="shared" si="1"/>
        <v>3.3333333333333333E-2</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32</v>
      </c>
      <c r="C33" s="61">
        <f t="shared" ref="C33" si="2">SUM(C13:C32)</f>
        <v>4177</v>
      </c>
      <c r="D33" s="62">
        <f t="shared" ref="D33:R33" si="3">SUM(D13:D32)</f>
        <v>921</v>
      </c>
      <c r="E33" s="63">
        <f t="shared" si="3"/>
        <v>3873</v>
      </c>
      <c r="F33" s="63">
        <f t="shared" si="3"/>
        <v>98</v>
      </c>
      <c r="G33" s="63">
        <f t="shared" ref="G33:H33" si="4">SUM(G13:G32)</f>
        <v>5</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98</v>
      </c>
      <c r="S33" s="9">
        <f t="shared" si="1"/>
        <v>2.5303382390911438E-2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H13" sqref="H13"/>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62</v>
      </c>
      <c r="I1" s="30" t="s">
        <v>96</v>
      </c>
    </row>
    <row r="2" spans="1:9" ht="18.75" customHeight="1" x14ac:dyDescent="0.15">
      <c r="G2" s="30" t="s">
        <v>98</v>
      </c>
      <c r="H2" s="98" t="str">
        <f>'様式１ー１　プログラムを構成する授業科目'!C2</f>
        <v>神田外語大学</v>
      </c>
      <c r="I2" s="100"/>
    </row>
    <row r="3" spans="1:9" ht="18.75" customHeight="1" x14ac:dyDescent="0.15">
      <c r="G3" s="30"/>
      <c r="H3" s="10"/>
      <c r="I3" s="10"/>
    </row>
    <row r="4" spans="1:9" ht="18.600000000000001" customHeight="1" x14ac:dyDescent="0.15">
      <c r="A4" s="185" t="s">
        <v>35</v>
      </c>
      <c r="B4" s="185"/>
      <c r="C4" s="185"/>
      <c r="D4" s="185"/>
      <c r="E4" s="185"/>
      <c r="F4" s="185"/>
      <c r="G4" s="185"/>
      <c r="H4" s="185"/>
      <c r="I4" s="185"/>
    </row>
    <row r="5" spans="1:9" ht="13.15" customHeight="1" x14ac:dyDescent="0.15">
      <c r="B5" s="3"/>
      <c r="C5" s="3"/>
      <c r="D5" s="3"/>
      <c r="E5" s="3"/>
      <c r="F5" s="3"/>
      <c r="G5" s="3"/>
      <c r="H5" s="3"/>
      <c r="I5" s="3"/>
    </row>
    <row r="6" spans="1:9" ht="18" customHeight="1" x14ac:dyDescent="0.15">
      <c r="A6" s="1" t="s">
        <v>0</v>
      </c>
      <c r="B6" s="10" t="s">
        <v>85</v>
      </c>
      <c r="C6" s="206" t="s">
        <v>86</v>
      </c>
      <c r="D6" s="206"/>
      <c r="E6" s="29">
        <v>224</v>
      </c>
      <c r="F6" s="3" t="s">
        <v>1</v>
      </c>
      <c r="G6" s="3" t="s">
        <v>2</v>
      </c>
      <c r="H6" s="29">
        <v>205</v>
      </c>
      <c r="I6" s="10" t="s">
        <v>1</v>
      </c>
    </row>
    <row r="7" spans="1:9" ht="12" customHeight="1" x14ac:dyDescent="0.15">
      <c r="C7" s="2"/>
      <c r="D7" s="2"/>
      <c r="E7" s="2"/>
      <c r="F7" s="2"/>
      <c r="G7" s="2"/>
      <c r="H7" s="2"/>
      <c r="I7" s="33"/>
    </row>
    <row r="8" spans="1:9" ht="18" customHeight="1" x14ac:dyDescent="0.15">
      <c r="A8" s="1" t="s">
        <v>3</v>
      </c>
      <c r="B8" s="10" t="s">
        <v>87</v>
      </c>
      <c r="E8" s="3"/>
      <c r="F8" s="3"/>
      <c r="G8" s="3"/>
      <c r="H8" s="29">
        <v>9</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30" t="s">
        <v>41</v>
      </c>
      <c r="C11" s="200" t="s">
        <v>192</v>
      </c>
      <c r="D11" s="203"/>
      <c r="E11" s="204"/>
      <c r="F11" s="33"/>
      <c r="G11" s="30" t="s">
        <v>10</v>
      </c>
      <c r="H11" s="200" t="s">
        <v>193</v>
      </c>
      <c r="I11" s="205"/>
    </row>
    <row r="12" spans="1:9" ht="10.15" customHeight="1" x14ac:dyDescent="0.15">
      <c r="B12" s="30"/>
      <c r="C12" s="10"/>
      <c r="D12" s="33"/>
      <c r="E12" s="33"/>
      <c r="F12" s="33"/>
      <c r="G12" s="30"/>
      <c r="H12" s="10"/>
      <c r="I12" s="33"/>
    </row>
    <row r="13" spans="1:9" ht="18" customHeight="1" x14ac:dyDescent="0.15">
      <c r="A13" s="1" t="s">
        <v>7</v>
      </c>
      <c r="B13" s="10" t="s">
        <v>83</v>
      </c>
      <c r="C13" s="3"/>
      <c r="D13" s="3"/>
      <c r="E13" s="3"/>
      <c r="F13" s="3"/>
      <c r="G13" s="3"/>
      <c r="H13" s="3"/>
      <c r="I13" s="3"/>
    </row>
    <row r="14" spans="1:9" ht="18" customHeight="1" x14ac:dyDescent="0.15">
      <c r="B14" s="200" t="s">
        <v>194</v>
      </c>
      <c r="C14" s="201"/>
      <c r="D14" s="201"/>
      <c r="E14" s="201"/>
      <c r="F14" s="201"/>
      <c r="G14" s="201"/>
      <c r="H14" s="201"/>
      <c r="I14" s="202"/>
    </row>
    <row r="15" spans="1:9" ht="9" customHeight="1" x14ac:dyDescent="0.15">
      <c r="B15" s="3"/>
      <c r="C15" s="3"/>
      <c r="D15" s="3"/>
      <c r="E15" s="3"/>
      <c r="F15" s="3"/>
      <c r="G15" s="3"/>
      <c r="H15" s="3"/>
      <c r="I15" s="3"/>
    </row>
    <row r="16" spans="1:9" ht="18" customHeight="1" x14ac:dyDescent="0.15">
      <c r="B16" s="30" t="s">
        <v>41</v>
      </c>
      <c r="C16" s="200" t="s">
        <v>195</v>
      </c>
      <c r="D16" s="203"/>
      <c r="E16" s="204"/>
      <c r="F16" s="33"/>
      <c r="G16" s="30" t="s">
        <v>10</v>
      </c>
      <c r="H16" s="200" t="s">
        <v>196</v>
      </c>
      <c r="I16" s="204"/>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86" t="s">
        <v>197</v>
      </c>
      <c r="C19" s="187"/>
      <c r="D19" s="187"/>
      <c r="E19" s="187"/>
      <c r="F19" s="187"/>
      <c r="G19" s="187"/>
      <c r="H19" s="187"/>
      <c r="I19" s="188"/>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189" t="s">
        <v>198</v>
      </c>
      <c r="C22" s="190"/>
      <c r="D22" s="190"/>
      <c r="E22" s="190"/>
      <c r="F22" s="190"/>
      <c r="G22" s="190"/>
      <c r="H22" s="190"/>
      <c r="I22" s="191"/>
    </row>
    <row r="23" spans="1:9" ht="18.75" customHeight="1" x14ac:dyDescent="0.15">
      <c r="A23" s="14"/>
      <c r="B23" s="192"/>
      <c r="C23" s="193"/>
      <c r="D23" s="193"/>
      <c r="E23" s="193"/>
      <c r="F23" s="193"/>
      <c r="G23" s="193"/>
      <c r="H23" s="193"/>
      <c r="I23" s="194"/>
    </row>
    <row r="24" spans="1:9" ht="18.75" customHeight="1" x14ac:dyDescent="0.15">
      <c r="A24" s="14"/>
      <c r="B24" s="192"/>
      <c r="C24" s="193"/>
      <c r="D24" s="193"/>
      <c r="E24" s="193"/>
      <c r="F24" s="193"/>
      <c r="G24" s="193"/>
      <c r="H24" s="193"/>
      <c r="I24" s="194"/>
    </row>
    <row r="25" spans="1:9" ht="18.75" customHeight="1" x14ac:dyDescent="0.15">
      <c r="A25" s="14"/>
      <c r="B25" s="192"/>
      <c r="C25" s="193"/>
      <c r="D25" s="193"/>
      <c r="E25" s="193"/>
      <c r="F25" s="193"/>
      <c r="G25" s="193"/>
      <c r="H25" s="193"/>
      <c r="I25" s="194"/>
    </row>
    <row r="26" spans="1:9" ht="18.75" customHeight="1" x14ac:dyDescent="0.15">
      <c r="A26" s="14"/>
      <c r="B26" s="192"/>
      <c r="C26" s="193"/>
      <c r="D26" s="193"/>
      <c r="E26" s="193"/>
      <c r="F26" s="193"/>
      <c r="G26" s="193"/>
      <c r="H26" s="193"/>
      <c r="I26" s="194"/>
    </row>
    <row r="27" spans="1:9" ht="18.75" customHeight="1" x14ac:dyDescent="0.15">
      <c r="A27" s="14"/>
      <c r="B27" s="192"/>
      <c r="C27" s="193"/>
      <c r="D27" s="193"/>
      <c r="E27" s="193"/>
      <c r="F27" s="193"/>
      <c r="G27" s="193"/>
      <c r="H27" s="193"/>
      <c r="I27" s="194"/>
    </row>
    <row r="28" spans="1:9" ht="18.75" customHeight="1" x14ac:dyDescent="0.15">
      <c r="A28" s="14"/>
      <c r="B28" s="192"/>
      <c r="C28" s="193"/>
      <c r="D28" s="193"/>
      <c r="E28" s="193"/>
      <c r="F28" s="193"/>
      <c r="G28" s="193"/>
      <c r="H28" s="193"/>
      <c r="I28" s="194"/>
    </row>
    <row r="29" spans="1:9" ht="18.75" customHeight="1" x14ac:dyDescent="0.15">
      <c r="A29" s="14"/>
      <c r="B29" s="192"/>
      <c r="C29" s="193"/>
      <c r="D29" s="193"/>
      <c r="E29" s="193"/>
      <c r="F29" s="193"/>
      <c r="G29" s="193"/>
      <c r="H29" s="193"/>
      <c r="I29" s="194"/>
    </row>
    <row r="30" spans="1:9" ht="18.75" customHeight="1" x14ac:dyDescent="0.15">
      <c r="A30" s="14"/>
      <c r="B30" s="195"/>
      <c r="C30" s="196"/>
      <c r="D30" s="196"/>
      <c r="E30" s="196"/>
      <c r="F30" s="196"/>
      <c r="G30" s="196"/>
      <c r="H30" s="196"/>
      <c r="I30" s="194"/>
    </row>
    <row r="31" spans="1:9" ht="18.75" customHeight="1" x14ac:dyDescent="0.15">
      <c r="A31" s="14"/>
      <c r="B31" s="195"/>
      <c r="C31" s="196"/>
      <c r="D31" s="196"/>
      <c r="E31" s="196"/>
      <c r="F31" s="196"/>
      <c r="G31" s="196"/>
      <c r="H31" s="196"/>
      <c r="I31" s="194"/>
    </row>
    <row r="32" spans="1:9" ht="18.75" customHeight="1" x14ac:dyDescent="0.15">
      <c r="A32" s="14"/>
      <c r="B32" s="197"/>
      <c r="C32" s="198"/>
      <c r="D32" s="198"/>
      <c r="E32" s="198"/>
      <c r="F32" s="198"/>
      <c r="G32" s="198"/>
      <c r="H32" s="198"/>
      <c r="I32" s="199"/>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9" t="s">
        <v>206</v>
      </c>
      <c r="C35" s="190"/>
      <c r="D35" s="190"/>
      <c r="E35" s="190"/>
      <c r="F35" s="190"/>
      <c r="G35" s="190"/>
      <c r="H35" s="190"/>
      <c r="I35" s="191"/>
    </row>
    <row r="36" spans="1:9" ht="18.75" customHeight="1" x14ac:dyDescent="0.15">
      <c r="A36" s="14"/>
      <c r="B36" s="195"/>
      <c r="C36" s="196"/>
      <c r="D36" s="196"/>
      <c r="E36" s="196"/>
      <c r="F36" s="196"/>
      <c r="G36" s="196"/>
      <c r="H36" s="196"/>
      <c r="I36" s="194"/>
    </row>
    <row r="37" spans="1:9" ht="18.75" customHeight="1" x14ac:dyDescent="0.15">
      <c r="A37" s="14"/>
      <c r="B37" s="195"/>
      <c r="C37" s="196"/>
      <c r="D37" s="196"/>
      <c r="E37" s="196"/>
      <c r="F37" s="196"/>
      <c r="G37" s="196"/>
      <c r="H37" s="196"/>
      <c r="I37" s="194"/>
    </row>
    <row r="38" spans="1:9" ht="18.75" customHeight="1" x14ac:dyDescent="0.15">
      <c r="A38" s="14"/>
      <c r="B38" s="195"/>
      <c r="C38" s="196"/>
      <c r="D38" s="196"/>
      <c r="E38" s="196"/>
      <c r="F38" s="196"/>
      <c r="G38" s="196"/>
      <c r="H38" s="196"/>
      <c r="I38" s="194"/>
    </row>
    <row r="39" spans="1:9" ht="18.75" customHeight="1" x14ac:dyDescent="0.15">
      <c r="A39" s="14"/>
      <c r="B39" s="195"/>
      <c r="C39" s="196"/>
      <c r="D39" s="196"/>
      <c r="E39" s="196"/>
      <c r="F39" s="196"/>
      <c r="G39" s="196"/>
      <c r="H39" s="196"/>
      <c r="I39" s="194"/>
    </row>
    <row r="40" spans="1:9" ht="18.75" customHeight="1" x14ac:dyDescent="0.15">
      <c r="A40" s="14"/>
      <c r="B40" s="195"/>
      <c r="C40" s="196"/>
      <c r="D40" s="196"/>
      <c r="E40" s="196"/>
      <c r="F40" s="196"/>
      <c r="G40" s="196"/>
      <c r="H40" s="196"/>
      <c r="I40" s="194"/>
    </row>
    <row r="41" spans="1:9" ht="18.75" customHeight="1" x14ac:dyDescent="0.15">
      <c r="A41" s="14"/>
      <c r="B41" s="195"/>
      <c r="C41" s="196"/>
      <c r="D41" s="196"/>
      <c r="E41" s="196"/>
      <c r="F41" s="196"/>
      <c r="G41" s="196"/>
      <c r="H41" s="196"/>
      <c r="I41" s="194"/>
    </row>
    <row r="42" spans="1:9" ht="18.75" customHeight="1" x14ac:dyDescent="0.15">
      <c r="A42" s="14"/>
      <c r="B42" s="195"/>
      <c r="C42" s="196"/>
      <c r="D42" s="196"/>
      <c r="E42" s="196"/>
      <c r="F42" s="196"/>
      <c r="G42" s="196"/>
      <c r="H42" s="196"/>
      <c r="I42" s="194"/>
    </row>
    <row r="43" spans="1:9" ht="18.75" customHeight="1" x14ac:dyDescent="0.15">
      <c r="A43" s="14"/>
      <c r="B43" s="195"/>
      <c r="C43" s="196"/>
      <c r="D43" s="196"/>
      <c r="E43" s="196"/>
      <c r="F43" s="196"/>
      <c r="G43" s="196"/>
      <c r="H43" s="196"/>
      <c r="I43" s="194"/>
    </row>
    <row r="44" spans="1:9" ht="18.75" customHeight="1" x14ac:dyDescent="0.15">
      <c r="A44" s="14"/>
      <c r="B44" s="195"/>
      <c r="C44" s="196"/>
      <c r="D44" s="196"/>
      <c r="E44" s="196"/>
      <c r="F44" s="196"/>
      <c r="G44" s="196"/>
      <c r="H44" s="196"/>
      <c r="I44" s="194"/>
    </row>
    <row r="45" spans="1:9" ht="18.75" customHeight="1" x14ac:dyDescent="0.15">
      <c r="A45" s="14"/>
      <c r="B45" s="195"/>
      <c r="C45" s="196"/>
      <c r="D45" s="196"/>
      <c r="E45" s="196"/>
      <c r="F45" s="196"/>
      <c r="G45" s="196"/>
      <c r="H45" s="196"/>
      <c r="I45" s="194"/>
    </row>
    <row r="46" spans="1:9" ht="18.75" customHeight="1" x14ac:dyDescent="0.15">
      <c r="A46" s="14"/>
      <c r="B46" s="197"/>
      <c r="C46" s="198"/>
      <c r="D46" s="198"/>
      <c r="E46" s="198"/>
      <c r="F46" s="198"/>
      <c r="G46" s="198"/>
      <c r="H46" s="198"/>
      <c r="I46" s="199"/>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34" t="s">
        <v>127</v>
      </c>
      <c r="C49" s="228">
        <f>'様式２ 履修者等数の実績'!S33</f>
        <v>2.5303382390911438E-2</v>
      </c>
      <c r="D49" s="228"/>
      <c r="E49" s="34" t="s">
        <v>63</v>
      </c>
      <c r="F49" s="228">
        <v>0.08</v>
      </c>
      <c r="G49" s="228"/>
      <c r="H49" s="34" t="s">
        <v>64</v>
      </c>
      <c r="I49" s="35">
        <v>0.16</v>
      </c>
      <c r="J49" s="1"/>
      <c r="M49" s="1"/>
      <c r="N49" s="36"/>
    </row>
    <row r="50" spans="1:15" s="3" customFormat="1" ht="18.75" customHeight="1" x14ac:dyDescent="0.15">
      <c r="B50" s="37" t="s">
        <v>84</v>
      </c>
      <c r="C50" s="211">
        <v>0.25</v>
      </c>
      <c r="D50" s="211"/>
      <c r="E50" s="37" t="s">
        <v>128</v>
      </c>
      <c r="F50" s="211">
        <v>0.27</v>
      </c>
      <c r="G50" s="211"/>
      <c r="H50" s="37" t="s">
        <v>65</v>
      </c>
      <c r="I50" s="38">
        <f>'様式２ 履修者等数の実績'!E33</f>
        <v>3873</v>
      </c>
      <c r="J50" s="1"/>
      <c r="M50" s="1"/>
      <c r="N50" s="36"/>
    </row>
    <row r="51" spans="1:15" ht="18.75" customHeight="1" x14ac:dyDescent="0.15">
      <c r="A51" s="1"/>
      <c r="B51" s="208" t="s">
        <v>66</v>
      </c>
      <c r="C51" s="209"/>
      <c r="D51" s="209"/>
      <c r="E51" s="209"/>
      <c r="F51" s="209"/>
      <c r="G51" s="209"/>
      <c r="H51" s="209"/>
      <c r="I51" s="210"/>
      <c r="N51" s="36"/>
      <c r="O51" s="3"/>
    </row>
    <row r="52" spans="1:15" ht="18.75" customHeight="1" x14ac:dyDescent="0.15">
      <c r="A52" s="1"/>
      <c r="B52" s="229" t="s">
        <v>199</v>
      </c>
      <c r="C52" s="230"/>
      <c r="D52" s="230"/>
      <c r="E52" s="230"/>
      <c r="F52" s="230"/>
      <c r="G52" s="230"/>
      <c r="H52" s="230"/>
      <c r="I52" s="231"/>
      <c r="N52" s="36"/>
      <c r="O52" s="3"/>
    </row>
    <row r="53" spans="1:15" ht="18.75" customHeight="1" x14ac:dyDescent="0.15">
      <c r="A53" s="1"/>
      <c r="B53" s="232"/>
      <c r="C53" s="233"/>
      <c r="D53" s="233"/>
      <c r="E53" s="233"/>
      <c r="F53" s="233"/>
      <c r="G53" s="233"/>
      <c r="H53" s="233"/>
      <c r="I53" s="234"/>
      <c r="N53" s="36"/>
      <c r="O53" s="3"/>
    </row>
    <row r="54" spans="1:15" ht="18.75" customHeight="1" x14ac:dyDescent="0.15">
      <c r="A54" s="1"/>
      <c r="B54" s="232"/>
      <c r="C54" s="233"/>
      <c r="D54" s="233"/>
      <c r="E54" s="233"/>
      <c r="F54" s="233"/>
      <c r="G54" s="233"/>
      <c r="H54" s="233"/>
      <c r="I54" s="234"/>
    </row>
    <row r="55" spans="1:15" ht="18.75" customHeight="1" x14ac:dyDescent="0.15">
      <c r="A55" s="1"/>
      <c r="B55" s="232"/>
      <c r="C55" s="233"/>
      <c r="D55" s="233"/>
      <c r="E55" s="233"/>
      <c r="F55" s="233"/>
      <c r="G55" s="233"/>
      <c r="H55" s="233"/>
      <c r="I55" s="234"/>
    </row>
    <row r="56" spans="1:15" ht="18.75" customHeight="1" x14ac:dyDescent="0.15">
      <c r="A56" s="1"/>
      <c r="B56" s="232"/>
      <c r="C56" s="233"/>
      <c r="D56" s="233"/>
      <c r="E56" s="233"/>
      <c r="F56" s="233"/>
      <c r="G56" s="233"/>
      <c r="H56" s="233"/>
      <c r="I56" s="234"/>
    </row>
    <row r="57" spans="1:15" ht="18.75" customHeight="1" x14ac:dyDescent="0.15">
      <c r="A57" s="1"/>
      <c r="B57" s="232"/>
      <c r="C57" s="233"/>
      <c r="D57" s="233"/>
      <c r="E57" s="233"/>
      <c r="F57" s="233"/>
      <c r="G57" s="233"/>
      <c r="H57" s="233"/>
      <c r="I57" s="234"/>
    </row>
    <row r="58" spans="1:15" ht="18.75" customHeight="1" x14ac:dyDescent="0.15">
      <c r="A58" s="1"/>
      <c r="B58" s="232"/>
      <c r="C58" s="233"/>
      <c r="D58" s="233"/>
      <c r="E58" s="233"/>
      <c r="F58" s="233"/>
      <c r="G58" s="233"/>
      <c r="H58" s="233"/>
      <c r="I58" s="234"/>
    </row>
    <row r="59" spans="1:15" ht="18.75" customHeight="1" x14ac:dyDescent="0.15">
      <c r="A59" s="1"/>
      <c r="B59" s="232"/>
      <c r="C59" s="233"/>
      <c r="D59" s="233"/>
      <c r="E59" s="233"/>
      <c r="F59" s="233"/>
      <c r="G59" s="233"/>
      <c r="H59" s="233"/>
      <c r="I59" s="234"/>
    </row>
    <row r="60" spans="1:15" ht="18.75" customHeight="1" x14ac:dyDescent="0.15">
      <c r="A60" s="1"/>
      <c r="B60" s="232"/>
      <c r="C60" s="233"/>
      <c r="D60" s="233"/>
      <c r="E60" s="233"/>
      <c r="F60" s="233"/>
      <c r="G60" s="233"/>
      <c r="H60" s="233"/>
      <c r="I60" s="234"/>
    </row>
    <row r="61" spans="1:15" ht="18.75" customHeight="1" x14ac:dyDescent="0.15">
      <c r="A61" s="1"/>
      <c r="B61" s="232"/>
      <c r="C61" s="233"/>
      <c r="D61" s="233"/>
      <c r="E61" s="233"/>
      <c r="F61" s="233"/>
      <c r="G61" s="233"/>
      <c r="H61" s="233"/>
      <c r="I61" s="234"/>
    </row>
    <row r="62" spans="1:15" ht="18.75" customHeight="1" x14ac:dyDescent="0.15">
      <c r="A62" s="1"/>
      <c r="B62" s="232"/>
      <c r="C62" s="233"/>
      <c r="D62" s="233"/>
      <c r="E62" s="233"/>
      <c r="F62" s="233"/>
      <c r="G62" s="233"/>
      <c r="H62" s="233"/>
      <c r="I62" s="234"/>
    </row>
    <row r="63" spans="1:15" ht="18.75" customHeight="1" x14ac:dyDescent="0.15">
      <c r="A63" s="1"/>
      <c r="B63" s="235"/>
      <c r="C63" s="236"/>
      <c r="D63" s="236"/>
      <c r="E63" s="236"/>
      <c r="F63" s="236"/>
      <c r="G63" s="236"/>
      <c r="H63" s="236"/>
      <c r="I63" s="237"/>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12" t="s">
        <v>200</v>
      </c>
      <c r="C66" s="213"/>
      <c r="D66" s="213"/>
      <c r="E66" s="213"/>
      <c r="F66" s="213"/>
      <c r="G66" s="213"/>
      <c r="H66" s="213"/>
      <c r="I66" s="214"/>
    </row>
    <row r="67" spans="1:9" ht="18.75" customHeight="1" x14ac:dyDescent="0.15">
      <c r="A67" s="4"/>
      <c r="B67" s="215"/>
      <c r="C67" s="216"/>
      <c r="D67" s="216"/>
      <c r="E67" s="216"/>
      <c r="F67" s="216"/>
      <c r="G67" s="216"/>
      <c r="H67" s="216"/>
      <c r="I67" s="217"/>
    </row>
    <row r="68" spans="1:9" ht="18.75" customHeight="1" x14ac:dyDescent="0.15">
      <c r="A68" s="4"/>
      <c r="B68" s="215"/>
      <c r="C68" s="216"/>
      <c r="D68" s="216"/>
      <c r="E68" s="216"/>
      <c r="F68" s="216"/>
      <c r="G68" s="216"/>
      <c r="H68" s="216"/>
      <c r="I68" s="217"/>
    </row>
    <row r="69" spans="1:9" ht="18.75" customHeight="1" x14ac:dyDescent="0.15">
      <c r="A69" s="4"/>
      <c r="B69" s="215"/>
      <c r="C69" s="216"/>
      <c r="D69" s="216"/>
      <c r="E69" s="216"/>
      <c r="F69" s="216"/>
      <c r="G69" s="216"/>
      <c r="H69" s="216"/>
      <c r="I69" s="217"/>
    </row>
    <row r="70" spans="1:9" ht="18.75" customHeight="1" x14ac:dyDescent="0.15">
      <c r="A70" s="4"/>
      <c r="B70" s="215"/>
      <c r="C70" s="216"/>
      <c r="D70" s="216"/>
      <c r="E70" s="216"/>
      <c r="F70" s="216"/>
      <c r="G70" s="216"/>
      <c r="H70" s="216"/>
      <c r="I70" s="217"/>
    </row>
    <row r="71" spans="1:9" ht="18.75" customHeight="1" x14ac:dyDescent="0.15">
      <c r="A71" s="4"/>
      <c r="B71" s="215"/>
      <c r="C71" s="216"/>
      <c r="D71" s="216"/>
      <c r="E71" s="216"/>
      <c r="F71" s="216"/>
      <c r="G71" s="216"/>
      <c r="H71" s="216"/>
      <c r="I71" s="217"/>
    </row>
    <row r="72" spans="1:9" ht="18.75" customHeight="1" x14ac:dyDescent="0.15">
      <c r="A72" s="4"/>
      <c r="B72" s="215"/>
      <c r="C72" s="216"/>
      <c r="D72" s="216"/>
      <c r="E72" s="216"/>
      <c r="F72" s="216"/>
      <c r="G72" s="216"/>
      <c r="H72" s="216"/>
      <c r="I72" s="217"/>
    </row>
    <row r="73" spans="1:9" ht="18.75" customHeight="1" x14ac:dyDescent="0.15">
      <c r="A73" s="4"/>
      <c r="B73" s="215"/>
      <c r="C73" s="216"/>
      <c r="D73" s="216"/>
      <c r="E73" s="216"/>
      <c r="F73" s="216"/>
      <c r="G73" s="216"/>
      <c r="H73" s="216"/>
      <c r="I73" s="217"/>
    </row>
    <row r="74" spans="1:9" ht="18.75" customHeight="1" x14ac:dyDescent="0.15">
      <c r="A74" s="4"/>
      <c r="B74" s="215"/>
      <c r="C74" s="216"/>
      <c r="D74" s="216"/>
      <c r="E74" s="216"/>
      <c r="F74" s="216"/>
      <c r="G74" s="216"/>
      <c r="H74" s="216"/>
      <c r="I74" s="217"/>
    </row>
    <row r="75" spans="1:9" ht="18.75" customHeight="1" x14ac:dyDescent="0.15">
      <c r="A75" s="4"/>
      <c r="B75" s="215"/>
      <c r="C75" s="216"/>
      <c r="D75" s="216"/>
      <c r="E75" s="216"/>
      <c r="F75" s="216"/>
      <c r="G75" s="216"/>
      <c r="H75" s="216"/>
      <c r="I75" s="217"/>
    </row>
    <row r="76" spans="1:9" ht="18.75" customHeight="1" x14ac:dyDescent="0.15">
      <c r="A76" s="4"/>
      <c r="B76" s="215"/>
      <c r="C76" s="216"/>
      <c r="D76" s="216"/>
      <c r="E76" s="216"/>
      <c r="F76" s="216"/>
      <c r="G76" s="216"/>
      <c r="H76" s="216"/>
      <c r="I76" s="217"/>
    </row>
    <row r="77" spans="1:9" ht="18.75" customHeight="1" x14ac:dyDescent="0.15">
      <c r="A77" s="4"/>
      <c r="B77" s="218"/>
      <c r="C77" s="219"/>
      <c r="D77" s="219"/>
      <c r="E77" s="219"/>
      <c r="F77" s="219"/>
      <c r="G77" s="219"/>
      <c r="H77" s="219"/>
      <c r="I77" s="220"/>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12" t="s">
        <v>201</v>
      </c>
      <c r="C80" s="213"/>
      <c r="D80" s="213"/>
      <c r="E80" s="213"/>
      <c r="F80" s="213"/>
      <c r="G80" s="213"/>
      <c r="H80" s="213"/>
      <c r="I80" s="221"/>
    </row>
    <row r="81" spans="1:9" ht="18.75" customHeight="1" x14ac:dyDescent="0.15">
      <c r="A81" s="1"/>
      <c r="B81" s="222"/>
      <c r="C81" s="223"/>
      <c r="D81" s="223"/>
      <c r="E81" s="223"/>
      <c r="F81" s="223"/>
      <c r="G81" s="223"/>
      <c r="H81" s="223"/>
      <c r="I81" s="224"/>
    </row>
    <row r="82" spans="1:9" ht="18.75" customHeight="1" x14ac:dyDescent="0.15">
      <c r="A82" s="1"/>
      <c r="B82" s="222"/>
      <c r="C82" s="223"/>
      <c r="D82" s="223"/>
      <c r="E82" s="223"/>
      <c r="F82" s="223"/>
      <c r="G82" s="223"/>
      <c r="H82" s="223"/>
      <c r="I82" s="224"/>
    </row>
    <row r="83" spans="1:9" ht="18.75" customHeight="1" x14ac:dyDescent="0.15">
      <c r="A83" s="1"/>
      <c r="B83" s="222"/>
      <c r="C83" s="223"/>
      <c r="D83" s="223"/>
      <c r="E83" s="223"/>
      <c r="F83" s="223"/>
      <c r="G83" s="223"/>
      <c r="H83" s="223"/>
      <c r="I83" s="224"/>
    </row>
    <row r="84" spans="1:9" ht="18.75" customHeight="1" x14ac:dyDescent="0.15">
      <c r="A84" s="1"/>
      <c r="B84" s="222"/>
      <c r="C84" s="223"/>
      <c r="D84" s="223"/>
      <c r="E84" s="223"/>
      <c r="F84" s="223"/>
      <c r="G84" s="223"/>
      <c r="H84" s="223"/>
      <c r="I84" s="224"/>
    </row>
    <row r="85" spans="1:9" ht="18.75" customHeight="1" x14ac:dyDescent="0.15">
      <c r="A85" s="1"/>
      <c r="B85" s="222"/>
      <c r="C85" s="223"/>
      <c r="D85" s="223"/>
      <c r="E85" s="223"/>
      <c r="F85" s="223"/>
      <c r="G85" s="223"/>
      <c r="H85" s="223"/>
      <c r="I85" s="224"/>
    </row>
    <row r="86" spans="1:9" ht="18.75" customHeight="1" x14ac:dyDescent="0.15">
      <c r="A86" s="1"/>
      <c r="B86" s="222"/>
      <c r="C86" s="223"/>
      <c r="D86" s="223"/>
      <c r="E86" s="223"/>
      <c r="F86" s="223"/>
      <c r="G86" s="223"/>
      <c r="H86" s="223"/>
      <c r="I86" s="224"/>
    </row>
    <row r="87" spans="1:9" ht="18.75" customHeight="1" x14ac:dyDescent="0.15">
      <c r="A87" s="1"/>
      <c r="B87" s="222"/>
      <c r="C87" s="223"/>
      <c r="D87" s="223"/>
      <c r="E87" s="223"/>
      <c r="F87" s="223"/>
      <c r="G87" s="223"/>
      <c r="H87" s="223"/>
      <c r="I87" s="224"/>
    </row>
    <row r="88" spans="1:9" ht="18.75" customHeight="1" x14ac:dyDescent="0.15">
      <c r="A88" s="1"/>
      <c r="B88" s="222"/>
      <c r="C88" s="223"/>
      <c r="D88" s="223"/>
      <c r="E88" s="223"/>
      <c r="F88" s="223"/>
      <c r="G88" s="223"/>
      <c r="H88" s="223"/>
      <c r="I88" s="224"/>
    </row>
    <row r="89" spans="1:9" ht="18.75" customHeight="1" x14ac:dyDescent="0.15">
      <c r="A89" s="1"/>
      <c r="B89" s="222"/>
      <c r="C89" s="223"/>
      <c r="D89" s="223"/>
      <c r="E89" s="223"/>
      <c r="F89" s="223"/>
      <c r="G89" s="223"/>
      <c r="H89" s="223"/>
      <c r="I89" s="224"/>
    </row>
    <row r="90" spans="1:9" ht="18.75" customHeight="1" x14ac:dyDescent="0.15">
      <c r="A90" s="4"/>
      <c r="B90" s="222"/>
      <c r="C90" s="223"/>
      <c r="D90" s="223"/>
      <c r="E90" s="223"/>
      <c r="F90" s="223"/>
      <c r="G90" s="223"/>
      <c r="H90" s="223"/>
      <c r="I90" s="224"/>
    </row>
    <row r="91" spans="1:9" ht="18.75" customHeight="1" x14ac:dyDescent="0.15">
      <c r="A91" s="4"/>
      <c r="B91" s="225"/>
      <c r="C91" s="226"/>
      <c r="D91" s="226"/>
      <c r="E91" s="226"/>
      <c r="F91" s="226"/>
      <c r="G91" s="226"/>
      <c r="H91" s="226"/>
      <c r="I91" s="227"/>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189" t="s">
        <v>202</v>
      </c>
      <c r="C94" s="190"/>
      <c r="D94" s="190"/>
      <c r="E94" s="190"/>
      <c r="F94" s="190"/>
      <c r="G94" s="190"/>
      <c r="H94" s="190"/>
      <c r="I94" s="191"/>
    </row>
    <row r="95" spans="1:9" ht="18.75" customHeight="1" x14ac:dyDescent="0.15">
      <c r="A95" s="1"/>
      <c r="B95" s="195"/>
      <c r="C95" s="196"/>
      <c r="D95" s="196"/>
      <c r="E95" s="196"/>
      <c r="F95" s="196"/>
      <c r="G95" s="196"/>
      <c r="H95" s="196"/>
      <c r="I95" s="194"/>
    </row>
    <row r="96" spans="1:9" ht="18.75" customHeight="1" x14ac:dyDescent="0.15">
      <c r="A96" s="1"/>
      <c r="B96" s="195"/>
      <c r="C96" s="196"/>
      <c r="D96" s="196"/>
      <c r="E96" s="196"/>
      <c r="F96" s="196"/>
      <c r="G96" s="196"/>
      <c r="H96" s="196"/>
      <c r="I96" s="194"/>
    </row>
    <row r="97" spans="1:9" ht="18.75" customHeight="1" x14ac:dyDescent="0.15">
      <c r="A97" s="1"/>
      <c r="B97" s="195"/>
      <c r="C97" s="196"/>
      <c r="D97" s="196"/>
      <c r="E97" s="196"/>
      <c r="F97" s="196"/>
      <c r="G97" s="196"/>
      <c r="H97" s="196"/>
      <c r="I97" s="194"/>
    </row>
    <row r="98" spans="1:9" ht="18.75" customHeight="1" x14ac:dyDescent="0.15">
      <c r="A98" s="1"/>
      <c r="B98" s="195"/>
      <c r="C98" s="196"/>
      <c r="D98" s="196"/>
      <c r="E98" s="196"/>
      <c r="F98" s="196"/>
      <c r="G98" s="196"/>
      <c r="H98" s="196"/>
      <c r="I98" s="194"/>
    </row>
    <row r="99" spans="1:9" ht="18.75" customHeight="1" x14ac:dyDescent="0.15">
      <c r="A99" s="1"/>
      <c r="B99" s="195"/>
      <c r="C99" s="196"/>
      <c r="D99" s="196"/>
      <c r="E99" s="196"/>
      <c r="F99" s="196"/>
      <c r="G99" s="196"/>
      <c r="H99" s="196"/>
      <c r="I99" s="194"/>
    </row>
    <row r="100" spans="1:9" ht="18.75" customHeight="1" x14ac:dyDescent="0.15">
      <c r="A100" s="1"/>
      <c r="B100" s="195"/>
      <c r="C100" s="196"/>
      <c r="D100" s="196"/>
      <c r="E100" s="196"/>
      <c r="F100" s="196"/>
      <c r="G100" s="196"/>
      <c r="H100" s="196"/>
      <c r="I100" s="194"/>
    </row>
    <row r="101" spans="1:9" ht="18.75" customHeight="1" x14ac:dyDescent="0.15">
      <c r="A101" s="1"/>
      <c r="B101" s="195"/>
      <c r="C101" s="196"/>
      <c r="D101" s="196"/>
      <c r="E101" s="196"/>
      <c r="F101" s="196"/>
      <c r="G101" s="196"/>
      <c r="H101" s="196"/>
      <c r="I101" s="194"/>
    </row>
    <row r="102" spans="1:9" ht="18.75" customHeight="1" x14ac:dyDescent="0.15">
      <c r="A102" s="1"/>
      <c r="B102" s="195"/>
      <c r="C102" s="196"/>
      <c r="D102" s="196"/>
      <c r="E102" s="196"/>
      <c r="F102" s="196"/>
      <c r="G102" s="196"/>
      <c r="H102" s="196"/>
      <c r="I102" s="194"/>
    </row>
    <row r="103" spans="1:9" ht="18.75" customHeight="1" x14ac:dyDescent="0.15">
      <c r="A103" s="1"/>
      <c r="B103" s="195"/>
      <c r="C103" s="196"/>
      <c r="D103" s="196"/>
      <c r="E103" s="196"/>
      <c r="F103" s="196"/>
      <c r="G103" s="196"/>
      <c r="H103" s="196"/>
      <c r="I103" s="194"/>
    </row>
    <row r="104" spans="1:9" ht="18.75" customHeight="1" x14ac:dyDescent="0.15">
      <c r="A104" s="1"/>
      <c r="B104" s="195"/>
      <c r="C104" s="196"/>
      <c r="D104" s="196"/>
      <c r="E104" s="196"/>
      <c r="F104" s="196"/>
      <c r="G104" s="196"/>
      <c r="H104" s="196"/>
      <c r="I104" s="194"/>
    </row>
    <row r="105" spans="1:9" ht="18.75" customHeight="1" x14ac:dyDescent="0.15">
      <c r="A105" s="4"/>
      <c r="B105" s="197"/>
      <c r="C105" s="198"/>
      <c r="D105" s="198"/>
      <c r="E105" s="198"/>
      <c r="F105" s="198"/>
      <c r="G105" s="198"/>
      <c r="H105" s="198"/>
      <c r="I105" s="199"/>
    </row>
    <row r="106" spans="1:9" ht="7.5" customHeight="1" x14ac:dyDescent="0.15">
      <c r="A106" s="4"/>
      <c r="B106" s="4"/>
      <c r="C106" s="4"/>
      <c r="D106" s="4"/>
      <c r="E106" s="4"/>
      <c r="F106" s="4"/>
      <c r="G106" s="4"/>
      <c r="H106" s="4"/>
      <c r="I106" s="4"/>
    </row>
    <row r="107" spans="1:9" ht="18.75" customHeight="1" x14ac:dyDescent="0.15">
      <c r="A107" s="1" t="s">
        <v>29</v>
      </c>
      <c r="B107" s="207" t="s">
        <v>44</v>
      </c>
      <c r="C107" s="207"/>
      <c r="D107" s="207"/>
      <c r="E107" s="207"/>
      <c r="F107" s="207"/>
      <c r="G107" s="207"/>
      <c r="H107" s="207"/>
      <c r="I107" s="207"/>
    </row>
    <row r="108" spans="1:9" ht="18.75" customHeight="1" x14ac:dyDescent="0.15">
      <c r="A108" s="4"/>
      <c r="B108" s="189" t="s">
        <v>203</v>
      </c>
      <c r="C108" s="190"/>
      <c r="D108" s="190"/>
      <c r="E108" s="190"/>
      <c r="F108" s="190"/>
      <c r="G108" s="190"/>
      <c r="H108" s="190"/>
      <c r="I108" s="191"/>
    </row>
    <row r="109" spans="1:9" ht="18.75" customHeight="1" x14ac:dyDescent="0.15">
      <c r="A109" s="4"/>
      <c r="B109" s="195"/>
      <c r="C109" s="196"/>
      <c r="D109" s="196"/>
      <c r="E109" s="196"/>
      <c r="F109" s="196"/>
      <c r="G109" s="196"/>
      <c r="H109" s="196"/>
      <c r="I109" s="194"/>
    </row>
    <row r="110" spans="1:9" ht="18.75" customHeight="1" x14ac:dyDescent="0.15">
      <c r="A110" s="4"/>
      <c r="B110" s="195"/>
      <c r="C110" s="196"/>
      <c r="D110" s="196"/>
      <c r="E110" s="196"/>
      <c r="F110" s="196"/>
      <c r="G110" s="196"/>
      <c r="H110" s="196"/>
      <c r="I110" s="194"/>
    </row>
    <row r="111" spans="1:9" ht="18.75" customHeight="1" x14ac:dyDescent="0.15">
      <c r="A111" s="4"/>
      <c r="B111" s="195"/>
      <c r="C111" s="196"/>
      <c r="D111" s="196"/>
      <c r="E111" s="196"/>
      <c r="F111" s="196"/>
      <c r="G111" s="196"/>
      <c r="H111" s="196"/>
      <c r="I111" s="194"/>
    </row>
    <row r="112" spans="1:9" ht="18.75" customHeight="1" x14ac:dyDescent="0.15">
      <c r="A112" s="4"/>
      <c r="B112" s="195"/>
      <c r="C112" s="196"/>
      <c r="D112" s="196"/>
      <c r="E112" s="196"/>
      <c r="F112" s="196"/>
      <c r="G112" s="196"/>
      <c r="H112" s="196"/>
      <c r="I112" s="194"/>
    </row>
    <row r="113" spans="1:9" ht="18.75" customHeight="1" x14ac:dyDescent="0.15">
      <c r="A113" s="4"/>
      <c r="B113" s="195"/>
      <c r="C113" s="196"/>
      <c r="D113" s="196"/>
      <c r="E113" s="196"/>
      <c r="F113" s="196"/>
      <c r="G113" s="196"/>
      <c r="H113" s="196"/>
      <c r="I113" s="194"/>
    </row>
    <row r="114" spans="1:9" ht="18.75" customHeight="1" x14ac:dyDescent="0.15">
      <c r="A114" s="4"/>
      <c r="B114" s="195"/>
      <c r="C114" s="196"/>
      <c r="D114" s="196"/>
      <c r="E114" s="196"/>
      <c r="F114" s="196"/>
      <c r="G114" s="196"/>
      <c r="H114" s="196"/>
      <c r="I114" s="194"/>
    </row>
    <row r="115" spans="1:9" ht="18.75" customHeight="1" x14ac:dyDescent="0.15">
      <c r="A115" s="4"/>
      <c r="B115" s="195"/>
      <c r="C115" s="196"/>
      <c r="D115" s="196"/>
      <c r="E115" s="196"/>
      <c r="F115" s="196"/>
      <c r="G115" s="196"/>
      <c r="H115" s="196"/>
      <c r="I115" s="194"/>
    </row>
    <row r="116" spans="1:9" ht="18.75" customHeight="1" x14ac:dyDescent="0.15">
      <c r="A116" s="4"/>
      <c r="B116" s="195"/>
      <c r="C116" s="196"/>
      <c r="D116" s="196"/>
      <c r="E116" s="196"/>
      <c r="F116" s="196"/>
      <c r="G116" s="196"/>
      <c r="H116" s="196"/>
      <c r="I116" s="194"/>
    </row>
    <row r="117" spans="1:9" ht="18.75" customHeight="1" x14ac:dyDescent="0.15">
      <c r="A117" s="4"/>
      <c r="B117" s="195"/>
      <c r="C117" s="196"/>
      <c r="D117" s="196"/>
      <c r="E117" s="196"/>
      <c r="F117" s="196"/>
      <c r="G117" s="196"/>
      <c r="H117" s="196"/>
      <c r="I117" s="194"/>
    </row>
    <row r="118" spans="1:9" ht="18.75" customHeight="1" x14ac:dyDescent="0.15">
      <c r="A118" s="4"/>
      <c r="B118" s="195"/>
      <c r="C118" s="196"/>
      <c r="D118" s="196"/>
      <c r="E118" s="196"/>
      <c r="F118" s="196"/>
      <c r="G118" s="196"/>
      <c r="H118" s="196"/>
      <c r="I118" s="194"/>
    </row>
    <row r="119" spans="1:9" ht="18.75" customHeight="1" x14ac:dyDescent="0.15">
      <c r="A119" s="4"/>
      <c r="B119" s="197"/>
      <c r="C119" s="198"/>
      <c r="D119" s="198"/>
      <c r="E119" s="198"/>
      <c r="F119" s="198"/>
      <c r="G119" s="198"/>
      <c r="H119" s="198"/>
      <c r="I119" s="199"/>
    </row>
    <row r="120" spans="1:9" ht="7.5" customHeight="1" x14ac:dyDescent="0.15">
      <c r="A120" s="4"/>
      <c r="B120" s="39"/>
      <c r="C120" s="39"/>
      <c r="D120" s="39"/>
      <c r="E120" s="39"/>
      <c r="F120" s="39"/>
      <c r="G120" s="39"/>
      <c r="H120" s="39"/>
      <c r="I120" s="39"/>
    </row>
    <row r="121" spans="1:9" ht="18.75" customHeight="1" x14ac:dyDescent="0.15">
      <c r="A121" s="69"/>
      <c r="B121" s="184"/>
      <c r="C121" s="184"/>
      <c r="D121" s="184"/>
      <c r="E121" s="184"/>
      <c r="F121" s="184"/>
      <c r="G121" s="184"/>
      <c r="H121" s="184"/>
      <c r="I121" s="184"/>
    </row>
    <row r="122" spans="1:9" ht="18.75" customHeight="1" x14ac:dyDescent="0.15">
      <c r="A122" s="69"/>
      <c r="B122" s="184"/>
      <c r="C122" s="184"/>
      <c r="D122" s="184"/>
      <c r="E122" s="184"/>
      <c r="F122" s="184"/>
      <c r="G122" s="184"/>
      <c r="H122" s="184"/>
      <c r="I122" s="184"/>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
  <sheetViews>
    <sheetView showZeros="0" view="pageBreakPreview" zoomScale="80" zoomScaleNormal="100" zoomScaleSheetLayoutView="80" workbookViewId="0">
      <selection activeCell="E14" sqref="E14:I14"/>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1" ht="18.75" customHeight="1" x14ac:dyDescent="0.15">
      <c r="A1" s="1" t="s">
        <v>67</v>
      </c>
      <c r="I1" s="30" t="s">
        <v>95</v>
      </c>
    </row>
    <row r="2" spans="1:11" ht="18.75" customHeight="1" x14ac:dyDescent="0.15">
      <c r="H2" s="30" t="s">
        <v>98</v>
      </c>
      <c r="I2" s="29" t="str">
        <f>'様式１ー１　プログラムを構成する授業科目'!C2</f>
        <v>神田外語大学</v>
      </c>
    </row>
    <row r="3" spans="1:11" ht="18.75" customHeight="1" x14ac:dyDescent="0.15">
      <c r="A3" s="185" t="s">
        <v>27</v>
      </c>
      <c r="B3" s="185"/>
      <c r="C3" s="185"/>
      <c r="D3" s="185"/>
      <c r="E3" s="185"/>
      <c r="F3" s="185"/>
      <c r="G3" s="185"/>
      <c r="H3" s="185"/>
      <c r="I3" s="185"/>
    </row>
    <row r="4" spans="1:11" ht="18.75" customHeight="1" x14ac:dyDescent="0.15">
      <c r="A4" s="5"/>
      <c r="B4" s="5"/>
      <c r="C4" s="5"/>
      <c r="D4" s="5"/>
      <c r="E4" s="5"/>
      <c r="F4" s="5"/>
      <c r="G4" s="5"/>
      <c r="H4" s="5"/>
      <c r="I4" s="5"/>
    </row>
    <row r="5" spans="1:11" ht="18.75" customHeight="1" x14ac:dyDescent="0.15">
      <c r="A5" s="1" t="s">
        <v>0</v>
      </c>
      <c r="B5" s="10" t="s">
        <v>89</v>
      </c>
      <c r="C5" s="5"/>
      <c r="D5" s="5"/>
      <c r="E5" s="5"/>
      <c r="F5" s="5"/>
      <c r="G5" s="5"/>
      <c r="H5" s="5"/>
      <c r="I5" s="5"/>
    </row>
    <row r="6" spans="1:11" ht="26.25" customHeight="1" x14ac:dyDescent="0.15">
      <c r="A6" s="5"/>
      <c r="B6" s="200" t="s">
        <v>142</v>
      </c>
      <c r="C6" s="245"/>
      <c r="D6" s="245"/>
      <c r="E6" s="245"/>
      <c r="F6" s="245"/>
      <c r="G6" s="245"/>
      <c r="H6" s="205"/>
      <c r="I6" s="3"/>
    </row>
    <row r="7" spans="1:11" ht="9" customHeight="1" x14ac:dyDescent="0.15">
      <c r="A7" s="5"/>
      <c r="B7" s="10"/>
      <c r="C7" s="10"/>
      <c r="D7" s="10"/>
      <c r="E7" s="10"/>
      <c r="F7" s="10"/>
      <c r="G7" s="10"/>
      <c r="H7" s="10"/>
      <c r="I7" s="3"/>
    </row>
    <row r="8" spans="1:11" ht="18.75" customHeight="1" x14ac:dyDescent="0.15">
      <c r="A8" s="5"/>
      <c r="B8" s="3"/>
      <c r="C8" s="3"/>
      <c r="D8" s="30" t="s">
        <v>41</v>
      </c>
      <c r="E8" s="31" t="s">
        <v>143</v>
      </c>
      <c r="F8" s="3"/>
      <c r="G8" s="30" t="s">
        <v>10</v>
      </c>
      <c r="H8" s="31" t="s">
        <v>144</v>
      </c>
      <c r="I8" s="3"/>
    </row>
    <row r="9" spans="1:11" ht="7.5" customHeight="1" x14ac:dyDescent="0.15">
      <c r="A9" s="5"/>
      <c r="B9" s="5"/>
      <c r="C9" s="5"/>
      <c r="D9" s="5"/>
      <c r="E9" s="5"/>
      <c r="F9" s="5"/>
      <c r="G9" s="5"/>
      <c r="H9" s="5"/>
      <c r="I9" s="5"/>
    </row>
    <row r="10" spans="1:11" ht="18.75" customHeight="1" x14ac:dyDescent="0.15">
      <c r="A10" s="1" t="s">
        <v>3</v>
      </c>
      <c r="B10" s="1" t="s">
        <v>26</v>
      </c>
      <c r="C10" s="4"/>
      <c r="D10" s="4"/>
      <c r="E10" s="4"/>
      <c r="F10" s="4"/>
      <c r="G10" s="4"/>
      <c r="H10" s="4"/>
      <c r="I10" s="4"/>
    </row>
    <row r="11" spans="1:11" ht="18.75" customHeight="1" x14ac:dyDescent="0.15">
      <c r="B11" s="98" t="s">
        <v>23</v>
      </c>
      <c r="C11" s="99"/>
      <c r="D11" s="100"/>
      <c r="E11" s="99" t="s">
        <v>25</v>
      </c>
      <c r="F11" s="99"/>
      <c r="G11" s="99"/>
      <c r="H11" s="99"/>
      <c r="I11" s="100"/>
    </row>
    <row r="12" spans="1:11" ht="26.25" customHeight="1" x14ac:dyDescent="0.15">
      <c r="B12" s="40" t="s">
        <v>13</v>
      </c>
      <c r="C12" s="47"/>
      <c r="D12" s="41"/>
      <c r="E12" s="48"/>
      <c r="F12" s="48"/>
      <c r="G12" s="48"/>
      <c r="H12" s="48"/>
      <c r="I12" s="41"/>
    </row>
    <row r="13" spans="1:11" ht="210.75" customHeight="1" x14ac:dyDescent="0.15">
      <c r="B13" s="42"/>
      <c r="C13" s="243" t="s">
        <v>14</v>
      </c>
      <c r="D13" s="244"/>
      <c r="E13" s="240" t="s">
        <v>145</v>
      </c>
      <c r="F13" s="241"/>
      <c r="G13" s="241"/>
      <c r="H13" s="241"/>
      <c r="I13" s="242"/>
    </row>
    <row r="14" spans="1:11" ht="210.75" customHeight="1" x14ac:dyDescent="0.15">
      <c r="B14" s="42"/>
      <c r="C14" s="238" t="s">
        <v>15</v>
      </c>
      <c r="D14" s="239"/>
      <c r="E14" s="240" t="s">
        <v>146</v>
      </c>
      <c r="F14" s="241"/>
      <c r="G14" s="241"/>
      <c r="H14" s="241"/>
      <c r="I14" s="242"/>
      <c r="K14" s="93"/>
    </row>
    <row r="15" spans="1:11" ht="210.75" customHeight="1" x14ac:dyDescent="0.15">
      <c r="B15" s="42"/>
      <c r="C15" s="243" t="s">
        <v>16</v>
      </c>
      <c r="D15" s="244"/>
      <c r="E15" s="240" t="s">
        <v>147</v>
      </c>
      <c r="F15" s="241"/>
      <c r="G15" s="241"/>
      <c r="H15" s="241"/>
      <c r="I15" s="242"/>
      <c r="K15" s="93"/>
    </row>
    <row r="16" spans="1:11" ht="210.75" customHeight="1" x14ac:dyDescent="0.15">
      <c r="B16" s="42"/>
      <c r="C16" s="243" t="s">
        <v>17</v>
      </c>
      <c r="D16" s="244"/>
      <c r="E16" s="240" t="s">
        <v>148</v>
      </c>
      <c r="F16" s="241"/>
      <c r="G16" s="241"/>
      <c r="H16" s="241"/>
      <c r="I16" s="242"/>
      <c r="K16" s="93"/>
    </row>
    <row r="17" spans="2:11" ht="210.75" customHeight="1" x14ac:dyDescent="0.15">
      <c r="B17" s="43"/>
      <c r="C17" s="246" t="s">
        <v>18</v>
      </c>
      <c r="D17" s="247"/>
      <c r="E17" s="248" t="s">
        <v>149</v>
      </c>
      <c r="F17" s="249"/>
      <c r="G17" s="249"/>
      <c r="H17" s="249"/>
      <c r="I17" s="250"/>
      <c r="K17" s="93"/>
    </row>
    <row r="18" spans="2:11" ht="24" customHeight="1" x14ac:dyDescent="0.15">
      <c r="B18" s="40" t="s">
        <v>19</v>
      </c>
      <c r="C18" s="44"/>
      <c r="D18" s="45"/>
      <c r="E18" s="46"/>
      <c r="F18" s="46"/>
      <c r="G18" s="46"/>
      <c r="H18" s="46"/>
      <c r="I18" s="49"/>
      <c r="K18" s="93"/>
    </row>
    <row r="19" spans="2:11" ht="218.25" customHeight="1" x14ac:dyDescent="0.15">
      <c r="B19" s="42"/>
      <c r="C19" s="243" t="s">
        <v>20</v>
      </c>
      <c r="D19" s="244"/>
      <c r="E19" s="241" t="s">
        <v>150</v>
      </c>
      <c r="F19" s="241"/>
      <c r="G19" s="241"/>
      <c r="H19" s="241"/>
      <c r="I19" s="242"/>
      <c r="K19" s="93"/>
    </row>
    <row r="20" spans="2:11" ht="218.25" customHeight="1" x14ac:dyDescent="0.15">
      <c r="B20" s="43"/>
      <c r="C20" s="246" t="s">
        <v>21</v>
      </c>
      <c r="D20" s="247"/>
      <c r="E20" s="249" t="s">
        <v>151</v>
      </c>
      <c r="F20" s="249"/>
      <c r="G20" s="249"/>
      <c r="H20" s="249"/>
      <c r="I20" s="250"/>
      <c r="K20" s="93"/>
    </row>
    <row r="21" spans="2:11" ht="218.25" customHeight="1" x14ac:dyDescent="0.15">
      <c r="B21" s="256" t="s">
        <v>22</v>
      </c>
      <c r="C21" s="257"/>
      <c r="D21" s="258"/>
      <c r="E21" s="259" t="s">
        <v>152</v>
      </c>
      <c r="F21" s="259"/>
      <c r="G21" s="259"/>
      <c r="H21" s="259"/>
      <c r="I21" s="260"/>
      <c r="K21" s="93"/>
    </row>
    <row r="22" spans="2:11" ht="218.25" customHeight="1" x14ac:dyDescent="0.15">
      <c r="B22" s="251" t="s">
        <v>135</v>
      </c>
      <c r="C22" s="252"/>
      <c r="D22" s="253"/>
      <c r="E22" s="254" t="s">
        <v>153</v>
      </c>
      <c r="F22" s="254"/>
      <c r="G22" s="254"/>
      <c r="H22" s="254"/>
      <c r="I22" s="255"/>
      <c r="K22" s="93"/>
    </row>
    <row r="23" spans="2:11" ht="22.5" customHeight="1" x14ac:dyDescent="0.15">
      <c r="B23" s="4"/>
      <c r="C23" s="4"/>
      <c r="D23" s="4"/>
      <c r="E23" s="4"/>
      <c r="F23" s="4"/>
      <c r="G23" s="4"/>
      <c r="H23" s="4"/>
      <c r="I23" s="4"/>
    </row>
    <row r="24" spans="2:11" ht="22.5" customHeight="1" x14ac:dyDescent="0.15">
      <c r="B24" s="4"/>
      <c r="C24" s="4"/>
      <c r="D24" s="4"/>
      <c r="E24" s="4"/>
      <c r="F24" s="4"/>
      <c r="G24" s="4"/>
      <c r="H24" s="4"/>
      <c r="I24" s="4"/>
    </row>
    <row r="25" spans="2:11" ht="22.5" customHeight="1" x14ac:dyDescent="0.15">
      <c r="B25" s="4"/>
      <c r="C25" s="4"/>
      <c r="D25" s="4"/>
      <c r="E25" s="4"/>
      <c r="F25" s="4"/>
      <c r="G25" s="4"/>
      <c r="H25" s="4"/>
      <c r="I25" s="4"/>
    </row>
    <row r="26" spans="2:11" ht="22.5" customHeight="1" x14ac:dyDescent="0.15">
      <c r="B26" s="4"/>
      <c r="C26" s="4"/>
      <c r="D26" s="4"/>
      <c r="E26" s="4"/>
      <c r="F26" s="4"/>
      <c r="G26" s="4"/>
      <c r="H26" s="4"/>
      <c r="I26" s="4"/>
    </row>
    <row r="27" spans="2:11" ht="22.5" customHeight="1" x14ac:dyDescent="0.15">
      <c r="B27" s="4"/>
      <c r="C27" s="4"/>
      <c r="D27" s="4"/>
      <c r="E27" s="4"/>
      <c r="F27" s="4"/>
      <c r="G27" s="4"/>
      <c r="H27" s="4"/>
      <c r="I27" s="4"/>
    </row>
    <row r="28" spans="2:11" ht="22.5" customHeight="1" x14ac:dyDescent="0.15">
      <c r="B28" s="14"/>
      <c r="C28" s="14"/>
      <c r="D28" s="14"/>
      <c r="E28" s="14"/>
      <c r="F28" s="14"/>
      <c r="G28" s="14"/>
      <c r="H28" s="14"/>
      <c r="I28" s="14"/>
    </row>
    <row r="29" spans="2:11" ht="22.5" customHeight="1" x14ac:dyDescent="0.15">
      <c r="B29" s="14"/>
      <c r="C29" s="14"/>
      <c r="D29" s="14"/>
      <c r="E29" s="14"/>
      <c r="F29" s="14"/>
      <c r="G29" s="14"/>
      <c r="H29" s="14"/>
      <c r="I29" s="14"/>
    </row>
    <row r="30" spans="2:11"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様式１ー１　プログラムを構成する授業科目</vt:lpstr>
      <vt:lpstr>様式１ー２　プログラムを構成する授業科目</vt:lpstr>
      <vt:lpstr>様式２ 履修者等数の実績</vt:lpstr>
      <vt:lpstr>様式３ 教育の質・履修者数を向上させるための体制・計画</vt:lpstr>
      <vt:lpstr>様式４　自己点検・評価</vt:lpstr>
      <vt:lpstr>'様式１ー１　プログラムを構成する授業科目'!Print_Area</vt:lpstr>
      <vt:lpstr>'様式１ー２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高瀬　雄一郎</cp:lastModifiedBy>
  <cp:lastPrinted>2024-06-14T02:18:14Z</cp:lastPrinted>
  <dcterms:created xsi:type="dcterms:W3CDTF">2011-06-14T05:32:50Z</dcterms:created>
  <dcterms:modified xsi:type="dcterms:W3CDTF">2024-06-14T02:36:22Z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