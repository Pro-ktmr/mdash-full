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24226"/>
  <mc:AlternateContent xmlns:mc="http://schemas.openxmlformats.org/markup-compatibility/2006">
    <mc:Choice Requires="x15">
      <x15ac:absPath xmlns:x15ac="http://schemas.microsoft.com/office/spreadsheetml/2010/11/ac" url="\\nas.shodai.ac.jp\教務課\25_データサイエンス教育センター\認定制度実施要項\202406修正提出用\"/>
    </mc:Choice>
  </mc:AlternateContent>
  <xr:revisionPtr revIDLastSave="0" documentId="13_ncr:1_{DE957AB2-10A9-4F2D-B9CD-BE214745FDEC}" xr6:coauthVersionLast="47" xr6:coauthVersionMax="47" xr10:uidLastSave="{00000000-0000-0000-0000-000000000000}"/>
  <bookViews>
    <workbookView xWindow="-120" yWindow="-120" windowWidth="29040" windowHeight="15720" tabRatio="885" activeTab="2"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<sst xmlns="http://schemas.openxmlformats.org/spreadsheetml/2006/main" count="319" uniqueCount="188">
  <si>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</si>
  <si>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</si>
  <si>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</si>
  <si>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</si>
  <si>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</si>
  <si>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</si>
  <si>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</si>
  <si>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</si>
  <si>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</si>
  <si>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</si>
  <si>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</si>
  <si>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</si>
  <si>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</si>
  <si>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</si>
  <si>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</si>
  <si>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</si>
  <si>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</si>
  <si>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</si>
  <si>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</si>
  <si>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</si>
  <si>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</si>
  <si>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</si>
  <si>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</si>
  <si>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</si>
  <si>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</si>
  <si>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</si>
  <si>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</si>
  <si>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</si>
  <si>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</si>
  <si>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</si>
  <si>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</si>
  <si>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</si>
  <si>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</si>
  <si>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</si>
  <si>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</si>
  <si>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</si>
  <si>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</si>
  <si>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</si>
  <si>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</si>
  <si>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</si>
  <si>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</si>
  <si>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</si>
  <si>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</si>
  <si>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</si>
  <si>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</si>
  <si>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</si>
  <si>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</si>
  <si>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</si>
  <si>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</si>
  <si>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</si>
  <si>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</si>
  <si>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</si>
  <si>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</si>
  <si>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</si>
  <si>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</si>
  <si>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</si>
  <si>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</si>
  <si>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</si>
  <si>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</si>
  <si>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</si>
  <si>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</si>
  <si>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</si>
  <si>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</si>
  <si>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</si>
  <si>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</si>
  <si>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</si>
  <si>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</si>
  <si>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</si>
  <si>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</si>
  <si>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</si>
  <si>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</si>
  <si>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</si>
  <si>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</si>
  <si>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</si>
  <si>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</si>
  <si>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</si>
  <si>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</si>
  <si>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</si>
  <si>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</si>
  <si>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</si>
  <si>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</si>
  <si>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</si>
  <si>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</si>
  <si>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</si>
  <si>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</si>
  <si>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</si>
  <si>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</si>
  <si>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</si>
  <si>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</si>
  <si>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</si>
  <si>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</si>
  <si>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</si>
  <si>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</si>
  <si>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</si>
  <si>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</si>
  <si>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</si>
  <si>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</si>
  <si>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</si>
  <si>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</si>
  <si>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</si>
  <si>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</si>
  <si>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</si>
  <si>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</si>
  <si>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</si>
  <si>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</si>
  <si>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</si>
  <si>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</si>
  <si>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</si>
  <si>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</si>
  <si>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</si>
  <si>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</si>
  <si>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</si>
  <si>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</si>
  <si>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</si>
  <si>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</si>
  <si>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</si>
  <si>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</si>
  <si>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</si>
  <si>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</si>
  <si>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</si>
  <si>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</si>
  <si>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</si>
  <si>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</si>
  <si>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</si>
  <si>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</si>
  <si>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</si>
  <si>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</si>
  <si>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</si>
  <si>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</si>
  <si>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</si>
  <si>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</si>
  <si>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</si>
  <si>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</si>
  <si>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</si>
  <si>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</si>
  <si>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横浜商科大学</t>
    <phoneticPr fontId="1"/>
  </si>
  <si>
    <t>データサイエンス教育プログラム</t>
    <phoneticPr fontId="1"/>
  </si>
  <si>
    <t>学部・学科によって、修了要件は相違しない</t>
  </si>
  <si>
    <t>ビジネスとAI</t>
    <phoneticPr fontId="1"/>
  </si>
  <si>
    <t>情報社会の倫理</t>
    <phoneticPr fontId="1"/>
  </si>
  <si>
    <t>データサイエンス入門</t>
    <phoneticPr fontId="1"/>
  </si>
  <si>
    <t>ICTリテラシー2</t>
    <phoneticPr fontId="1"/>
  </si>
  <si>
    <t>ICTリテラシー1</t>
    <phoneticPr fontId="1"/>
  </si>
  <si>
    <t>○</t>
  </si>
  <si>
    <t>データ・AIによる社会の変化を自ら認識し、データ活用を事例とともに説明することができる。
社会で様々なデータが活用されていることを理解し、データ活用による具体的な問題解決事例を説明することができる。
情報倫理の必要性を理解した上で適切なセキュリティ対策を実践することができる。
データ利活用の様々な事例を学び、社会における課題解決のために基礎的なデータ活用を実践することができる。</t>
    <phoneticPr fontId="1"/>
  </si>
  <si>
    <t>浮田　善文</t>
    <phoneticPr fontId="1"/>
  </si>
  <si>
    <t>データサイエンス教育センター長</t>
    <phoneticPr fontId="1"/>
  </si>
  <si>
    <t>横浜商科大学データサイエンス教育センター運営要領</t>
    <phoneticPr fontId="1"/>
  </si>
  <si>
    <t>学長</t>
    <phoneticPr fontId="1"/>
  </si>
  <si>
    <t>内部質保証推進会議</t>
    <phoneticPr fontId="1"/>
  </si>
  <si>
    <t>横浜商科大学データサイエンス教育プログラムでは、全科目共通で実施している学期末の授業アンケートで学修成果を把握し、学生の成績評価と合わせて教育内容の妥当性について定量的に分析している。
授業アンケートでは、データサイエンス教育プログラムの5科目全体で「総合的にみて、この授業は満足できるものでしたか。5段階評価：5（大変満足）～1（大変不満）」という設問に、「5」「4」「3」を回答した割合は96.9%であった。また「5」と「4」を回答した割合は73.8%であり、データサイエンスに関心を持って取り組む姿勢は高くなったと評価できる。
また授業アンケートにおいて、データサイエンス教育プログラムの5科目全体で「この授業で身についた知識・能力を選択してください」という設問において、受講学生に11項目から複数選択してもらったところ、選択数が多い順に上位4項目は「専門的知識を問題解決に活用できる」「論理的に思考することができる」「多様な価値を理解することができる」「社会の課題を発見することができる」であった。これらは本プログラムで掲げる学生が身に付けられる能力と一致した項目であり、本プログラムの学修成果が出ていることが確認できる。
次年度以降は、プログラムで掲げる目標への到達を直接測ることができる設問を含む新たなアンケートを作成し、本プログラムの全5科目の学期末にアンケートを実施する。</t>
    <phoneticPr fontId="1"/>
  </si>
  <si>
    <t>学期末の授業アンケートでは、データサイエンス教育プログラムの5科目全体で「【複数選択】この授業で身についた知識・能力を選択してください」という設問において、幅広い教養とモラルを身につけている 18.4%、商学の専門的な基礎知識・技能を身につけている 26.0%、多様な価値を理解することができる 30.4%、社会の課題を発見することができる 29.1%、論理的に思考することができる 34.2%、専門的知識を問題解決に活用できる 35.0%、自分の考えを他者に伝えることができる 27.7%、他者の考えを受け入れることができる 22.9%、社会に貢献する意欲を持っている 15.6%、主体的に行動する意欲を持っている 20.0%、他者と協力する態度を持っている 18.6%、であった。学修成果の欄でも述べたが、本プログラムで掲げる学修目標に一致した項目の値が高く、必要な能力を一定程度身に付けられていると考えられる。
また授業アンケートでは「基礎的なＰＣソフトを利用したデータ加工や、各種ツールの活用に必要な技術を取得することができた」「AIの仕組みをある程度理解し過度な期待を持たなくなったので良かった。AIに対して興味を持つきっかけになった」などの自由記述を得ている。
1年次必修科目である「ICTリテラシー1」「ICTリテラシー2」では週1回の担当教員とSAによるミーティングを実施し、そこで出た意見を授業運営に随時反映し、理解度を高める工夫・改善を務めている。また、SAは学内の研修を受講することで適切な学習支援ができるようにしている。今後も、授業内容の改善を図るとともに、学生の理解度と社会的ニーズの双方を踏まえて、学生の理解度をより向上させるよう改善を図る必要がある。</t>
    <phoneticPr fontId="1"/>
  </si>
  <si>
    <t>授業アンケートにおいて、後輩学生への推奨といった設問は設定していないが、本学では後輩への授業の推奨や学修支援を行う存在としてSA制度があげられる。本プログラムに含まれる「ICTリテラシー1」「ICTリテラシー2」には、各クラス1名のSAを配置している。2023年度の秋学期に、SAの説明会を実施したところ、1年次生33名が参加し、このうち13名が次年度のSA・メンターとして採用された。このため、後輩などへの本プログラムの推奨度は、一定程度はあると考えられる。
来年度以降は、本プログラムの後輩等他の学生への推奨度についての設問も含めたアンケートを設計、実施する予定である。</t>
    <rPh sb="159" eb="160">
      <t>メイ</t>
    </rPh>
    <rPh sb="204" eb="205">
      <t>ホン</t>
    </rPh>
    <phoneticPr fontId="1"/>
  </si>
  <si>
    <t>必修科目である「ICTリテラシー1」「ICTリテラシー2」では、1クラスのサイズを30人程度に設定し、クラスごとに1名のSAをつけることで、学生が質問しやすい環境を構築している。また、全クラスで統一した授業資料を用い、必要に応じて担当教員間および担当SA間で情報共有することで、統一した内容・水準を維持することを心掛けている。加えて、週1回の担当教員とSAによるミーティングを実施し、そこで出た意見を授業運営に随時反映することで、より「分かりやすい」授業を実施した。
また授業アンケートでは、「SAによるサポートがあり、分からないところもすぐに解決することが出来た」「SAのサポートがあり、出来ていないことをすぐに質問することが出来ることがとても良かった」「教員だけでなくSAのサポートがあり、課題などより良いものに出来た」「グループで分からないところを教え合ったり、SAがすぐにかけつけて教えてくれたりした」などの自由記述を得ている。</t>
    <phoneticPr fontId="1"/>
  </si>
  <si>
    <t>2023年から開始したため、まだプログラム修了で卒業した者は出ていない。また、企業等の評価についてであるが、本学の業務委託契約先である株式会社アールシーエーから「本プログラムにより、ただICT関連のツールを上辺だけ浚ったのではなく、データとは何であるかを理解した学生が輩出されることが期待できる。また、SA制度によりただ教わるだけではなく教える経験を有する学生が、より高いスキルを身につけていることも期待できる。」との評価をいただいている。</t>
    <phoneticPr fontId="1"/>
  </si>
  <si>
    <t>産業界において実際に業務に使われる実データの提供はまだ受けていないが、実データは本プログラム教育において重要であるため、今後、企業の実データ分析を授業に取り入れる予定である。現在は、本学学内で生成されたデータを用いて学生にデータ分析をさせている。また一例として、株式会社アールシーエーから、データの処理の際に必要に応じてGoogleのSaaSアプリ群とMicrosoft365のアプリ群を柔軟に使い分ける教育手法などについて好意的な評価を得ており、引き続きデータ処理ができる人材を育成していきたい。</t>
    <phoneticPr fontId="1"/>
  </si>
  <si>
    <t>全学科に本プログラム対象科目を配置していることから、希望するすべての学生が受講可能である。</t>
  </si>
  <si>
    <t>全学科に本プログラム対象科目を配置していることから、学生全員が受講可能である。
入学直後のガイダンス及び1年次春学期必修科目内での履修推奨に加え、本プログラム対象科目の開講学期に合わせ、学期初めのガイダンスにて周知を行うとともに、本学ホームページ上に本教育プログラムのサイトを作成している。</t>
  </si>
  <si>
    <t>対象科目を担当する教員のオフィスアワーで質問を受け付けている。また、本学ではBYODによりノートPC必携化を行っていることから、情報メディア課の窓口に常時「ヘルプデスク」を開設し、技術的な質問対応やノートPC修理時の貸出対応などを行っている。</t>
  </si>
  <si>
    <t>令和5年度新入学生から開始したプログラムであり、「ICTリテラシー1」及び「ICTリテラシー2」の2科目については、全学科において1年次必修科目として開講している。
経営情報学科情報マネジメントコースにおいては、「ビジネスとAI」「情報社会の倫理」を必修科目として、また「データサイエンス入門」は選択科目であるが履修指定科目として、3科目とも1年次に全員が履修する仕組みを講じている。
商学科、観光マネジメント学科、及び経営情報学科スポーツマネジメントコースにおいては、「ビジネスとAI」「情報社会の倫理」「データサイエンス入門」は選択科目であるが、履修ガイダンスにて履修を強く推奨している。</t>
    <rPh sb="144" eb="146">
      <t>ニュウモン</t>
    </rPh>
    <rPh sb="262" eb="264">
      <t>ニュウモン</t>
    </rPh>
    <phoneticPr fontId="1"/>
  </si>
  <si>
    <t>学期末の授業アンケートでは、「総合的にみて、この授業は満足できるものでしたか。5段階評価：5（大変満足）～1（大変不満）」という設問に、「5」「4」「3」を回答した割合は96.9%であった。また「5」と「4」を回答した割合は73.8%であり、「学ぶ楽しさ」「学ぶことの意義」を理解させることは、一定程度達成することができた。
これは、ICTリテラシーの毎回の授業で実施するタイピングテストの1年次生全員の実データを活用する身近なテーマを設定したこと、自分で実施したアンケートをもとにした分析、実例をもとにした情報の適切な活用など、主体的に取り組みやすい授業設計を行ったことによるものと考えられる。
また授業アンケートでは「講義の例や取り上げるものでは、学生の興味関心のあるものをピックアップしているので、楽しく、わかりやすく授業を受けることができました」などの自由記述を得ている。</t>
    <phoneticPr fontId="1"/>
  </si>
  <si>
    <t>横浜商科大学データサイエンス教育プログラムは全学科において、「ICTリテラシー1」「ICTリテラシー2」「ビジネスとAI」「情報社会の倫理」「データサイエンス入門」の5科目を開講し、5科目すべてを合格した学生に対し修了証としてオープンバッジを発行するものである。プログラム開始初年度である2023（令和5）年度は、全学科で「ICTリテラシー1」と「ICTリテラシー2」を必修科目として開講した。経営情報学科情報マネジメントコースでは「ビジネスとAI」と「情報社会の倫理」を必修科目として、「データサイエンス入門」を履修指定（選択）科目として開講した。他の学科については、「ビジネスとAI」「情報社会の倫理」「データサイエンス入門」は選択科目として開講した。
2023（令和5）年度の1年次生（計345名）の各科目の履修・修得状況は以下の通りである。
今年度5科目すべての単位を修得し本プログラムを修了した1年次生は、商学科1名、経営情報学科16名の計17名であった。また、4科目単位修得した1年次生は96名、3科目単位修得した1年次生は216名である。今後も引き続き、本プログラムの残りの科目の履修を強く推奨することで、多くの学生が2年次に本プログラムを修了するよう働きかけを行う。</t>
    <rPh sb="157" eb="160">
      <t>ゼンガッカ</t>
    </rPh>
    <rPh sb="346" eb="347">
      <t>ケイ</t>
    </rPh>
    <rPh sb="350" eb="351">
      <t>メイ</t>
    </rPh>
    <rPh sb="353" eb="356">
      <t>カクカモク</t>
    </rPh>
    <phoneticPr fontId="1"/>
  </si>
  <si>
    <t>本プログラムにおける「ICTリテラシー1」「ICTリテラシー2」は全学科で1年次必修科目であるため、最終的な単位修得率は100%を目指している。令和5(2023)年度の単位修得率は94.5%であり、目標に近い値を達成することができた。経営情報学科情報マネジメントコースでは「情報社会の倫理」および「ビジネスとAI」が必修科目であるため、経営情報学科ではこの2科目の履修率はそれぞれ50.5%、38.5%となっているが、他学科では選択科目であるため、それぞれ24.0%、16.9%となっている。また、経営情報学科情報マネジメントコースでは、「データサイエンス入門」を履修指定科目としており、経営情報学科の履修率は31.9%となっているが、他学科では4.7%となっている。
今後は、データサイエンス教育プログラムの修了には該当の5科目すべての単位修得が必要であることを周知徹底するとともに、選択科目となっている3科目については、履修率、単位修得率の向上に向け、履修必須化を含む組織的な取り組みを検討する。</t>
  </si>
  <si>
    <t>羽田　功</t>
    <rPh sb="0" eb="2">
      <t>ハダ</t>
    </rPh>
    <rPh sb="3" eb="4">
      <t>イサオ</t>
    </rPh>
    <phoneticPr fontId="1"/>
  </si>
  <si>
    <t>データサイエンス教育センター</t>
    <phoneticPr fontId="1"/>
  </si>
  <si>
    <t>浮田　善文</t>
    <rPh sb="0" eb="2">
      <t>ウキタ</t>
    </rPh>
    <rPh sb="3" eb="5">
      <t>ヨシフミ</t>
    </rPh>
    <phoneticPr fontId="1"/>
  </si>
  <si>
    <t>横浜商科大学では、数理・データサイエンス及びAI教育を推進するため、データサイエンス教育センターを令和5年3月に設置し、データサイエンス教育に係る全学的な取り組みの企画立案や取り組みを実施している。
横浜商科大学データサイエンス教育プログラム（以下、「本教育プログラム」）は、学生の専門分野に関わらず、社会で様々なデータが活用されていることを理解し、社会における課題解決のための基礎的なデータ活用を実践する力を身につけることを目的として実施する教育プログラムである。
本教育プログラムの円滑な実施及び運営を行うため、データサイエンス教育センターで実施計画の策定や修了証の発行等の実施に関する事項に加え、自己点検・評価の実施や改善方策の検討を行う。</t>
    <rPh sb="42" eb="44">
      <t>キョウイク</t>
    </rPh>
    <rPh sb="49" eb="51">
      <t>レイワ</t>
    </rPh>
    <rPh sb="52" eb="53">
      <t>ネン</t>
    </rPh>
    <rPh sb="54" eb="55">
      <t>ガツ</t>
    </rPh>
    <rPh sb="56" eb="58">
      <t>セッチ</t>
    </rPh>
    <rPh sb="68" eb="70">
      <t>キョウイク</t>
    </rPh>
    <rPh sb="71" eb="72">
      <t>カカワ</t>
    </rPh>
    <rPh sb="73" eb="76">
      <t>ゼンガクテキ</t>
    </rPh>
    <rPh sb="77" eb="78">
      <t>ト</t>
    </rPh>
    <rPh sb="79" eb="80">
      <t>ク</t>
    </rPh>
    <rPh sb="82" eb="86">
      <t>キカクリツアン</t>
    </rPh>
    <rPh sb="87" eb="88">
      <t>ト</t>
    </rPh>
    <rPh sb="89" eb="90">
      <t>ク</t>
    </rPh>
    <rPh sb="92" eb="94">
      <t>ジッシ</t>
    </rPh>
    <rPh sb="100" eb="106">
      <t>ヨコハマショウカダイガク</t>
    </rPh>
    <rPh sb="114" eb="116">
      <t>キョウイク</t>
    </rPh>
    <rPh sb="122" eb="124">
      <t>イカ</t>
    </rPh>
    <rPh sb="126" eb="129">
      <t>ホンキョウイク</t>
    </rPh>
    <rPh sb="138" eb="140">
      <t>ガクセイ</t>
    </rPh>
    <rPh sb="141" eb="143">
      <t>センモン</t>
    </rPh>
    <rPh sb="143" eb="145">
      <t>ブンヤ</t>
    </rPh>
    <rPh sb="146" eb="147">
      <t>カカ</t>
    </rPh>
    <rPh sb="151" eb="153">
      <t>シャカイ</t>
    </rPh>
    <rPh sb="154" eb="156">
      <t>サマザマ</t>
    </rPh>
    <rPh sb="161" eb="163">
      <t>カツヨウ</t>
    </rPh>
    <rPh sb="171" eb="173">
      <t>リカイ</t>
    </rPh>
    <rPh sb="175" eb="177">
      <t>シャカイ</t>
    </rPh>
    <rPh sb="181" eb="185">
      <t>カダイカイケツ</t>
    </rPh>
    <rPh sb="189" eb="192">
      <t>キソテキ</t>
    </rPh>
    <rPh sb="196" eb="198">
      <t>カツヨウ</t>
    </rPh>
    <rPh sb="199" eb="201">
      <t>ジッセン</t>
    </rPh>
    <rPh sb="203" eb="204">
      <t>チカラ</t>
    </rPh>
    <rPh sb="205" eb="206">
      <t>ミ</t>
    </rPh>
    <rPh sb="213" eb="215">
      <t>モクテキ</t>
    </rPh>
    <rPh sb="218" eb="220">
      <t>ジッシ</t>
    </rPh>
    <rPh sb="222" eb="224">
      <t>キョウイク</t>
    </rPh>
    <rPh sb="234" eb="235">
      <t>ホン</t>
    </rPh>
    <rPh sb="235" eb="237">
      <t>キョウイク</t>
    </rPh>
    <rPh sb="243" eb="245">
      <t>エンカツ</t>
    </rPh>
    <rPh sb="246" eb="248">
      <t>ジッシ</t>
    </rPh>
    <rPh sb="248" eb="249">
      <t>オヨ</t>
    </rPh>
    <rPh sb="250" eb="252">
      <t>ウンエイ</t>
    </rPh>
    <rPh sb="253" eb="254">
      <t>オコナ</t>
    </rPh>
    <rPh sb="266" eb="268">
      <t>キョウイク</t>
    </rPh>
    <rPh sb="273" eb="277">
      <t>ジッシケイカク</t>
    </rPh>
    <rPh sb="278" eb="280">
      <t>サクテイ</t>
    </rPh>
    <rPh sb="281" eb="284">
      <t>シュウリョウショウ</t>
    </rPh>
    <rPh sb="285" eb="287">
      <t>ハッコウ</t>
    </rPh>
    <rPh sb="287" eb="288">
      <t>ナド</t>
    </rPh>
    <rPh sb="289" eb="291">
      <t>ジッシ</t>
    </rPh>
    <rPh sb="292" eb="293">
      <t>カン</t>
    </rPh>
    <rPh sb="295" eb="297">
      <t>ジコウ</t>
    </rPh>
    <rPh sb="298" eb="299">
      <t>クワ</t>
    </rPh>
    <rPh sb="301" eb="305">
      <t>ジコテンケン</t>
    </rPh>
    <rPh sb="306" eb="308">
      <t>ヒョウカ</t>
    </rPh>
    <rPh sb="309" eb="311">
      <t>ジッシ</t>
    </rPh>
    <rPh sb="312" eb="314">
      <t>カイゼン</t>
    </rPh>
    <rPh sb="314" eb="316">
      <t>ホウサク</t>
    </rPh>
    <rPh sb="317" eb="319">
      <t>ケントウ</t>
    </rPh>
    <rPh sb="320" eb="321">
      <t>オコナ</t>
    </rPh>
    <phoneticPr fontId="1"/>
  </si>
  <si>
    <t>商学部の全学科に本プログラム対象科目を配置していることから、学生全員が受講可能である。
本プログラム対象科目に含まれる「ICTリテラシー1」と「ICTリテラシー2」では、1クラスのサイズを30名程度に設定し、クラスごとに1名のSAをつけることで、学生が授業時間内外でサポートを受けやすい環境を構築している。</t>
    <rPh sb="44" eb="45">
      <t>ホン</t>
    </rPh>
    <rPh sb="50" eb="54">
      <t>タイショウカモク</t>
    </rPh>
    <rPh sb="55" eb="56">
      <t>フク</t>
    </rPh>
    <rPh sb="123" eb="125">
      <t>ガクセイ</t>
    </rPh>
    <rPh sb="126" eb="132">
      <t>ジュギョウジカンナイガイ</t>
    </rPh>
    <rPh sb="138" eb="139">
      <t>ウ</t>
    </rPh>
    <rPh sb="143" eb="145">
      <t>カンキョウ</t>
    </rPh>
    <rPh sb="146" eb="148">
      <t>コウチク</t>
    </rPh>
    <phoneticPr fontId="1"/>
  </si>
  <si>
    <t>【情報社会の倫理／第５回・第６回・第７回・第１４回】
・AI等を活用した新しいビジネスモデル（シェアリングエコノミー、商品のレコメンデーションなど）
【ビジネスとAI／第２回・第１２回・第１４回】
・AI最新技術の活用例
・AI等を活用した新しいビジネスモデル（シェアリングエコノミー、商品のレコメンデーションなど）</t>
    <rPh sb="30" eb="31">
      <t>ナド</t>
    </rPh>
    <rPh sb="32" eb="34">
      <t>カツヨウ</t>
    </rPh>
    <rPh sb="36" eb="37">
      <t>アタラ</t>
    </rPh>
    <rPh sb="59" eb="61">
      <t>ショウヒン</t>
    </rPh>
    <rPh sb="102" eb="104">
      <t>サイシン</t>
    </rPh>
    <rPh sb="104" eb="106">
      <t>ギジュツ</t>
    </rPh>
    <rPh sb="107" eb="110">
      <t>カツヨウレイ</t>
    </rPh>
    <phoneticPr fontId="1"/>
  </si>
  <si>
    <t>【データサイエンス入門／第１回・第２回・第４回】
・ビッグデータ、IoT、AI
・データ量の増加、計算機の処理能力の向上、AIの非連続的進化
【情報社会の倫理／第１回・第２回・第７回・第１４回】
・ビッグデータ、IoT、AI
・第4次産業革命、Society 5.0、データ駆動型社会
【ビジネスとAI／第１回】
・人間の知的活動とAIの関係性</t>
    <rPh sb="12" eb="13">
      <t>ダイ</t>
    </rPh>
    <rPh sb="14" eb="15">
      <t>カイ</t>
    </rPh>
    <rPh sb="44" eb="45">
      <t>リョウ</t>
    </rPh>
    <rPh sb="46" eb="48">
      <t>ゾウカ</t>
    </rPh>
    <rPh sb="49" eb="52">
      <t>ケイサンキ</t>
    </rPh>
    <rPh sb="53" eb="57">
      <t>ショリノウリョク</t>
    </rPh>
    <rPh sb="58" eb="60">
      <t>コウジョウ</t>
    </rPh>
    <rPh sb="64" eb="68">
      <t>ヒレンゾクテキ</t>
    </rPh>
    <rPh sb="68" eb="70">
      <t>シンカ</t>
    </rPh>
    <rPh sb="137" eb="140">
      <t>クドウガタ</t>
    </rPh>
    <rPh sb="140" eb="142">
      <t>シャカイ</t>
    </rPh>
    <rPh sb="158" eb="160">
      <t>ニンゲン</t>
    </rPh>
    <rPh sb="161" eb="163">
      <t>チテキ</t>
    </rPh>
    <rPh sb="163" eb="165">
      <t>カツドウ</t>
    </rPh>
    <rPh sb="169" eb="172">
      <t>カンケイセイ</t>
    </rPh>
    <phoneticPr fontId="1"/>
  </si>
  <si>
    <t>【データサイエンス入門／第２回・第３回・第１４回】
・調査データ、実験データ、人の行動ログデータ、機械の稼働ログデータなど
・構造化データ、非構造化データ（文章、画像/動画、音声/音楽など）
・データのオープン化（オープンデータ）
【ビジネスとAI／第２回・第６回・第７回・第１０回・第１１回】
・調査データ、実験データ、人の行動ログデータ、機械の稼働ログデータなど
・データ作成（ビッグデータとアノテーション）</t>
    <rPh sb="27" eb="29">
      <t>チョウサ</t>
    </rPh>
    <rPh sb="33" eb="35">
      <t>ジッケン</t>
    </rPh>
    <rPh sb="39" eb="40">
      <t>ヒト</t>
    </rPh>
    <rPh sb="41" eb="43">
      <t>コウドウ</t>
    </rPh>
    <rPh sb="49" eb="51">
      <t>キカイ</t>
    </rPh>
    <rPh sb="52" eb="54">
      <t>カドウ</t>
    </rPh>
    <rPh sb="63" eb="66">
      <t>コウゾウカ</t>
    </rPh>
    <rPh sb="70" eb="71">
      <t>ヒ</t>
    </rPh>
    <rPh sb="71" eb="74">
      <t>コウゾウカ</t>
    </rPh>
    <rPh sb="78" eb="80">
      <t>ブンショウ</t>
    </rPh>
    <rPh sb="84" eb="86">
      <t>ドウガ</t>
    </rPh>
    <rPh sb="87" eb="89">
      <t>オンセイ</t>
    </rPh>
    <rPh sb="90" eb="92">
      <t>オンガク</t>
    </rPh>
    <rPh sb="188" eb="190">
      <t>サクセイ</t>
    </rPh>
    <phoneticPr fontId="1"/>
  </si>
  <si>
    <t>浮田　善文　データサイエンス教育センター長/経営情報学科長/教授　
小島　敏明  商学部長/教授　
田中　辰雄　商学部経営情報学科情報マネジメントコース・教授
榎本　真俊　商学部経営情報学科情報マネジメントコース・准教授
柳田　義継　総合教養センター・教授
髙﨑　航也　情報室長/特任准教授　
村澤　裕一　学務本部長/学生総合支援部教務課事務部長代理　
矢内　朝佳  学生総合支援部教務課ティームリーダー　</t>
    <phoneticPr fontId="1"/>
  </si>
  <si>
    <t>【データサイエンス入門／第３回・第５回・第１３回・第１４回】
・データ解析：予測、グルーピング、パターン発見、最適化、モデル化とシミュレーション・データ同化など
・データ可視化：複合グラフ、2軸グラフ、多次元の可視化、関係性の可視化、地図上の可視化、挙動・軌跡の可視化、リアルタイム可視化など
【ビジネスとAI／第４回・第５回・第８回・第９回・第１０回・第１２回】
・特化型AIと汎用AI、今のAIで出来ることと出来ないこと、AIとビッグデータ
・認識技術、ルールベース、自動化技術</t>
    <rPh sb="16" eb="17">
      <t>ダイ</t>
    </rPh>
    <rPh sb="18" eb="19">
      <t>カイ</t>
    </rPh>
    <rPh sb="35" eb="37">
      <t>カイセキ</t>
    </rPh>
    <rPh sb="38" eb="40">
      <t>ヨソク</t>
    </rPh>
    <rPh sb="52" eb="54">
      <t>ハッケン</t>
    </rPh>
    <rPh sb="55" eb="58">
      <t>サイテキカ</t>
    </rPh>
    <rPh sb="62" eb="63">
      <t>カ</t>
    </rPh>
    <rPh sb="76" eb="78">
      <t>ドウカ</t>
    </rPh>
    <rPh sb="89" eb="91">
      <t>フクゴウ</t>
    </rPh>
    <rPh sb="96" eb="97">
      <t>ジク</t>
    </rPh>
    <rPh sb="101" eb="104">
      <t>タジゲン</t>
    </rPh>
    <rPh sb="105" eb="108">
      <t>カシカ</t>
    </rPh>
    <rPh sb="109" eb="112">
      <t>カンケイセイ</t>
    </rPh>
    <rPh sb="113" eb="116">
      <t>カシカ</t>
    </rPh>
    <rPh sb="117" eb="120">
      <t>チズジョウ</t>
    </rPh>
    <rPh sb="121" eb="124">
      <t>カシカ</t>
    </rPh>
    <rPh sb="177" eb="178">
      <t>ダイ</t>
    </rPh>
    <rPh sb="180" eb="181">
      <t>カイ</t>
    </rPh>
    <rPh sb="184" eb="187">
      <t>トッカガタ</t>
    </rPh>
    <rPh sb="190" eb="192">
      <t>ハンヨウ</t>
    </rPh>
    <rPh sb="195" eb="196">
      <t>イマ</t>
    </rPh>
    <rPh sb="200" eb="202">
      <t>デキ</t>
    </rPh>
    <rPh sb="206" eb="208">
      <t>デキ</t>
    </rPh>
    <rPh sb="224" eb="228">
      <t>ニンシキギジュツ</t>
    </rPh>
    <rPh sb="236" eb="241">
      <t>ジドウカギジュツ</t>
    </rPh>
    <phoneticPr fontId="1"/>
  </si>
  <si>
    <t>【データサイエンス入門／第１回・第２回・第３回】
・データサイエンスのサイクル（課題抽出と定式化、データの取得・管理・加工、探索的データ解析、データ解析と推論、結果の共有・伝達、課題解決に向けた提案）
・教育、芸術、流通、製造、金融、サービス、インフラ、公共、ヘルスケア等におけるデータ・AI利活用事例紹介
【ビジネスとAI／第６回・第７回・第１３回】
・教育、芸術、流通、製造、金融、サービス、インフラ、公共、ヘルスケア等におけるデータ・AI利活用事例紹介</t>
    <rPh sb="14" eb="15">
      <t>カイ</t>
    </rPh>
    <rPh sb="16" eb="17">
      <t>ダイ</t>
    </rPh>
    <rPh sb="20" eb="21">
      <t>ダイ</t>
    </rPh>
    <rPh sb="22" eb="23">
      <t>カイ</t>
    </rPh>
    <rPh sb="40" eb="44">
      <t>カダイチュウシュツ</t>
    </rPh>
    <rPh sb="45" eb="48">
      <t>テイシキカ</t>
    </rPh>
    <rPh sb="53" eb="55">
      <t>シュトク</t>
    </rPh>
    <rPh sb="56" eb="58">
      <t>カンリ</t>
    </rPh>
    <rPh sb="59" eb="61">
      <t>カコウ</t>
    </rPh>
    <rPh sb="62" eb="65">
      <t>タンサクテキ</t>
    </rPh>
    <rPh sb="68" eb="70">
      <t>カイセキ</t>
    </rPh>
    <rPh sb="74" eb="76">
      <t>カイセキ</t>
    </rPh>
    <rPh sb="77" eb="79">
      <t>スイロン</t>
    </rPh>
    <rPh sb="80" eb="82">
      <t>ケッカ</t>
    </rPh>
    <rPh sb="83" eb="85">
      <t>キョウユウ</t>
    </rPh>
    <rPh sb="86" eb="88">
      <t>デンタツ</t>
    </rPh>
    <rPh sb="89" eb="93">
      <t>カダイカイケツ</t>
    </rPh>
    <rPh sb="94" eb="95">
      <t>ム</t>
    </rPh>
    <rPh sb="97" eb="99">
      <t>テイアン</t>
    </rPh>
    <rPh sb="178" eb="180">
      <t>キョウイク</t>
    </rPh>
    <rPh sb="181" eb="183">
      <t>ゲイジュツ</t>
    </rPh>
    <rPh sb="184" eb="186">
      <t>リュウツウ</t>
    </rPh>
    <rPh sb="187" eb="189">
      <t>セイゾウ</t>
    </rPh>
    <rPh sb="190" eb="192">
      <t>キンユウ</t>
    </rPh>
    <rPh sb="203" eb="205">
      <t>コウキョウ</t>
    </rPh>
    <rPh sb="211" eb="212">
      <t>ナド</t>
    </rPh>
    <rPh sb="222" eb="225">
      <t>リカツヨウ</t>
    </rPh>
    <rPh sb="225" eb="229">
      <t>ジレイショウカイ</t>
    </rPh>
    <phoneticPr fontId="1"/>
  </si>
  <si>
    <t>【情報社会の倫理／第５回・第６回・第７回・第１１回・第１２回・第１３回】
・情報セキュリティの３要素（機密性、完全性、可用性）
・匿名加工情報、暗号化と復号、ユーザ認証とパスワード、アクセス制御、悪意ある情報搾取
・情報漏洩等によるセキュリティ事故の事例紹介
【ICTリテラシー1／第３回・第１４回】
・ユーザ認証とパスワード
【ICTリテラシー2／第１３回】
・ユーザ認証とパスワード、情報漏洩等によるセキュリティ事故の事例紹介</t>
    <rPh sb="9" eb="10">
      <t>ダイ</t>
    </rPh>
    <rPh sb="11" eb="12">
      <t>カイ</t>
    </rPh>
    <rPh sb="38" eb="40">
      <t>ジョウホウ</t>
    </rPh>
    <rPh sb="48" eb="50">
      <t>ヨウソ</t>
    </rPh>
    <rPh sb="51" eb="54">
      <t>キミツセイ</t>
    </rPh>
    <rPh sb="55" eb="58">
      <t>カンゼンセイ</t>
    </rPh>
    <rPh sb="59" eb="62">
      <t>カヨウセイ</t>
    </rPh>
    <rPh sb="65" eb="67">
      <t>トクメイ</t>
    </rPh>
    <rPh sb="67" eb="71">
      <t>カコウジョウホウ</t>
    </rPh>
    <rPh sb="72" eb="75">
      <t>アンゴウカ</t>
    </rPh>
    <rPh sb="76" eb="78">
      <t>フクゴウ</t>
    </rPh>
    <rPh sb="82" eb="84">
      <t>ニンショウ</t>
    </rPh>
    <rPh sb="95" eb="97">
      <t>セイギョ</t>
    </rPh>
    <rPh sb="98" eb="100">
      <t>アクイ</t>
    </rPh>
    <rPh sb="102" eb="104">
      <t>ジョウホウ</t>
    </rPh>
    <rPh sb="104" eb="106">
      <t>サクシュ</t>
    </rPh>
    <rPh sb="108" eb="112">
      <t>ジョウホウロウエイ</t>
    </rPh>
    <rPh sb="112" eb="113">
      <t>ナド</t>
    </rPh>
    <rPh sb="122" eb="124">
      <t>ジコ</t>
    </rPh>
    <rPh sb="125" eb="129">
      <t>ジレイショウカイ</t>
    </rPh>
    <rPh sb="185" eb="187">
      <t>ニンショウ</t>
    </rPh>
    <phoneticPr fontId="1"/>
  </si>
  <si>
    <t>【データサイエンス入門／第４回・第５回・第７回・第８回・第９回・第１０回・第１１回・第１２回・第１３回・第１４回】
・データの種類（量的変数、質的変数）
・データの分布（ヒストグラム）と代表値（平均値、中央値、最頻値）、代表値の性質の違い
・データのばらつき（分散、標準偏差、偏差値）、外れ値、相関と因果（相関係数、疑似相関）
・母集団と標本抽出、全数調査、クロス集計表、分割表、相関係数行列、統計情報の正しい理解（誇張表現に惑わされない）
【ICTリテラシー1／第１１回・第１２回】
・母集団と標本抽出（アンケート調査）</t>
    <rPh sb="52" eb="53">
      <t>ダイ</t>
    </rPh>
    <rPh sb="55" eb="56">
      <t>カイ</t>
    </rPh>
    <rPh sb="165" eb="168">
      <t>ボシュウダン</t>
    </rPh>
    <rPh sb="169" eb="171">
      <t>ヒョウホン</t>
    </rPh>
    <rPh sb="171" eb="173">
      <t>チュウシュツ</t>
    </rPh>
    <rPh sb="174" eb="178">
      <t>ゼンスウチョウサ</t>
    </rPh>
    <rPh sb="182" eb="185">
      <t>シュウケイヒョウ</t>
    </rPh>
    <rPh sb="186" eb="189">
      <t>ブンカツヒョウ</t>
    </rPh>
    <rPh sb="190" eb="194">
      <t>ソウカンケイスウ</t>
    </rPh>
    <rPh sb="194" eb="196">
      <t>ギョウレツ</t>
    </rPh>
    <rPh sb="197" eb="201">
      <t>トウケイジョウホウ</t>
    </rPh>
    <rPh sb="202" eb="203">
      <t>タダ</t>
    </rPh>
    <rPh sb="205" eb="207">
      <t>リカイ</t>
    </rPh>
    <rPh sb="208" eb="212">
      <t>コチョウヒョウゲン</t>
    </rPh>
    <rPh sb="213" eb="214">
      <t>マド</t>
    </rPh>
    <rPh sb="244" eb="247">
      <t>ボシュウダン</t>
    </rPh>
    <rPh sb="248" eb="250">
      <t>ヒョウホン</t>
    </rPh>
    <rPh sb="250" eb="252">
      <t>チュウシュツ</t>
    </rPh>
    <rPh sb="258" eb="260">
      <t>チョウサ</t>
    </rPh>
    <phoneticPr fontId="1"/>
  </si>
  <si>
    <t>【データサイエンス入門／第３回・第４回・第５回・第６回】
・データ表現（棒グラフ、折線グラフ、散布図、ヒートマップ、箱ひげ図）
・データの比較、優れた可視化事例の紹介
【ICTリテラシー1／第５回】
・相手に的確かつ正確に情報を伝える技術や考え方（スライド作成、プレゼンテーションなど）
【ICTリテラシー2／第２回・第３回・第４回・第５回・第６回・第７回】
・データ表現(棒グラフ、折れ線グラフ)
・優れた可視化事例の紹介</t>
    <rPh sb="33" eb="35">
      <t>ヒョウゲン</t>
    </rPh>
    <rPh sb="47" eb="50">
      <t>サンプズ</t>
    </rPh>
    <rPh sb="58" eb="59">
      <t>ハコ</t>
    </rPh>
    <rPh sb="61" eb="62">
      <t>ズ</t>
    </rPh>
    <rPh sb="69" eb="71">
      <t>ヒカク</t>
    </rPh>
    <rPh sb="101" eb="103">
      <t>アイテ</t>
    </rPh>
    <rPh sb="104" eb="106">
      <t>テキカク</t>
    </rPh>
    <rPh sb="108" eb="110">
      <t>セイカク</t>
    </rPh>
    <rPh sb="111" eb="113">
      <t>ジョウホウ</t>
    </rPh>
    <rPh sb="114" eb="115">
      <t>ツタ</t>
    </rPh>
    <rPh sb="117" eb="119">
      <t>ギジュツ</t>
    </rPh>
    <rPh sb="120" eb="121">
      <t>カンガ</t>
    </rPh>
    <rPh sb="122" eb="123">
      <t>カタ</t>
    </rPh>
    <rPh sb="128" eb="130">
      <t>サクセイ</t>
    </rPh>
    <rPh sb="184" eb="186">
      <t>ヒョウゲン</t>
    </rPh>
    <rPh sb="201" eb="202">
      <t>スグ</t>
    </rPh>
    <rPh sb="204" eb="207">
      <t>カシカ</t>
    </rPh>
    <rPh sb="207" eb="209">
      <t>ジレイ</t>
    </rPh>
    <rPh sb="210" eb="212">
      <t>ショウカイ</t>
    </rPh>
    <phoneticPr fontId="1"/>
  </si>
  <si>
    <t>【データサイエンス入門／第３回・第５回・第６回・第７回・第８回・第９回・第１０回・第１１回・第１２回】
・データの取得、データの集計（和、平均）
・データの並べ替え、ランキング、表形式のデータ(csv)
【ICTリテラシー1／第１３回】
・データ解析ツール（スプレッドシート）
【ICTリテラシー2／第２回・第３回・第７回】
・データの集計（和、平均）、データの並び替え、ランキング
・データ解析ツール（スプレッドシート）、表形式のデータ(csv)</t>
    <rPh sb="57" eb="59">
      <t>シュトク</t>
    </rPh>
    <rPh sb="64" eb="66">
      <t>シュウケイ</t>
    </rPh>
    <rPh sb="67" eb="68">
      <t>ワ</t>
    </rPh>
    <rPh sb="69" eb="71">
      <t>ヘイキン</t>
    </rPh>
    <rPh sb="123" eb="125">
      <t>カイセキ</t>
    </rPh>
    <rPh sb="168" eb="170">
      <t>シュウケイ</t>
    </rPh>
    <rPh sb="171" eb="172">
      <t>ワ</t>
    </rPh>
    <rPh sb="173" eb="175">
      <t>ヘイキン</t>
    </rPh>
    <rPh sb="181" eb="182">
      <t>ナラ</t>
    </rPh>
    <rPh sb="183" eb="184">
      <t>カ</t>
    </rPh>
    <rPh sb="196" eb="198">
      <t>カイセキ</t>
    </rPh>
    <rPh sb="212" eb="215">
      <t>ヒョウケイシキ</t>
    </rPh>
    <phoneticPr fontId="1"/>
  </si>
  <si>
    <t>【情報社会の倫理／第１回・第４回・第５回・第６回・第７回・第８回・第９回・第１０回・第１４回】
・倫理的・法的・社会的課題（ELSI：Ethical, Legal and Social Issues）、個人情報保護
・データ倫理：データのねつ造、改ざん、盗用、プライバシー保護
【ビジネスとAI／第２回・第３回・第６回・第７回・第１２回】
・AIサービスの責任論
・データ・AI活用における負の事例紹介
【ICTリテラシー2／第１２回】
・データ倫理：データのねつ造、改ざん、盗用、プライバシー保護</t>
    <rPh sb="49" eb="52">
      <t>リンリテキ</t>
    </rPh>
    <rPh sb="53" eb="55">
      <t>ホウテキ</t>
    </rPh>
    <rPh sb="56" eb="59">
      <t>シャカイテキ</t>
    </rPh>
    <rPh sb="59" eb="61">
      <t>カダイ</t>
    </rPh>
    <rPh sb="101" eb="107">
      <t>コジンジョウホウホゴ</t>
    </rPh>
    <rPh sb="112" eb="114">
      <t>リンリ</t>
    </rPh>
    <rPh sb="121" eb="122">
      <t>ゾウ</t>
    </rPh>
    <rPh sb="123" eb="124">
      <t>カイ</t>
    </rPh>
    <rPh sb="127" eb="129">
      <t>トウヨウ</t>
    </rPh>
    <rPh sb="136" eb="138">
      <t>ホゴ</t>
    </rPh>
    <rPh sb="148" eb="149">
      <t>ダイ</t>
    </rPh>
    <rPh sb="150" eb="151">
      <t>カイ</t>
    </rPh>
    <rPh sb="152" eb="153">
      <t>ダイ</t>
    </rPh>
    <rPh sb="154" eb="155">
      <t>カイ</t>
    </rPh>
    <rPh sb="178" eb="181">
      <t>セキニンロン</t>
    </rPh>
    <rPh sb="189" eb="191">
      <t>カツヨウ</t>
    </rPh>
    <rPh sb="195" eb="196">
      <t>フ</t>
    </rPh>
    <rPh sb="197" eb="199">
      <t>ジレイ</t>
    </rPh>
    <rPh sb="199" eb="201">
      <t>ショウカイ</t>
    </rPh>
    <phoneticPr fontId="1"/>
  </si>
  <si>
    <t>【データサイエンス入門／第１回・第２回・第３回】
・データ・AI活用領域の広がり（生産、消費、文化活動など）、研究開発、調達、製造、物流、販売、マーケティング、サービスなど
【情報社会の倫理／第３回・第４回】
・研究開発、調達、製造、物流、販売、マーケティング、サービスなど
【ビジネスとAI／第３回】
・対話、コンテンツ生成、翻訳・要約・執筆支援、コーディング支援など生成AIの活用
【ICTリテラシー2／第７回】
・仮説検証、知識発見、原因究明、計画策定、判断支援</t>
    <rPh sb="16" eb="17">
      <t>ダイ</t>
    </rPh>
    <rPh sb="18" eb="19">
      <t>カイ</t>
    </rPh>
    <rPh sb="20" eb="21">
      <t>ダイ</t>
    </rPh>
    <rPh sb="22" eb="23">
      <t>カイ</t>
    </rPh>
    <rPh sb="32" eb="36">
      <t>カツヨウリョウイキ</t>
    </rPh>
    <rPh sb="37" eb="38">
      <t>ヒロ</t>
    </rPh>
    <rPh sb="41" eb="43">
      <t>セイサン</t>
    </rPh>
    <rPh sb="44" eb="46">
      <t>ショウヒ</t>
    </rPh>
    <rPh sb="47" eb="51">
      <t>ブンカカツドウ</t>
    </rPh>
    <rPh sb="55" eb="59">
      <t>ケンキュウカイハツ</t>
    </rPh>
    <rPh sb="60" eb="62">
      <t>チョウタツ</t>
    </rPh>
    <rPh sb="63" eb="65">
      <t>セイゾウ</t>
    </rPh>
    <rPh sb="66" eb="68">
      <t>ブツリュウ</t>
    </rPh>
    <rPh sb="69" eb="71">
      <t>ハンバイ</t>
    </rPh>
    <rPh sb="153" eb="155">
      <t>タイワ</t>
    </rPh>
    <rPh sb="161" eb="163">
      <t>セイセイ</t>
    </rPh>
    <rPh sb="164" eb="166">
      <t>ホンヤク</t>
    </rPh>
    <rPh sb="167" eb="169">
      <t>ヨウヤク</t>
    </rPh>
    <rPh sb="170" eb="172">
      <t>シッピツ</t>
    </rPh>
    <rPh sb="172" eb="174">
      <t>シエン</t>
    </rPh>
    <rPh sb="181" eb="183">
      <t>シエン</t>
    </rPh>
    <rPh sb="185" eb="187">
      <t>セイセイ</t>
    </rPh>
    <rPh sb="190" eb="192">
      <t>カツヨウ</t>
    </rPh>
    <rPh sb="210" eb="214">
      <t>カセツケンショウ</t>
    </rPh>
    <rPh sb="215" eb="219">
      <t>チシキハッケン</t>
    </rPh>
    <rPh sb="220" eb="222">
      <t>ゲンイン</t>
    </rPh>
    <rPh sb="222" eb="224">
      <t>キュウメイ</t>
    </rPh>
    <rPh sb="225" eb="229">
      <t>ケイカクサクテイ</t>
    </rPh>
    <rPh sb="230" eb="234">
      <t>ハンダンシエン</t>
    </rPh>
    <phoneticPr fontId="1"/>
  </si>
  <si>
    <t>4‐8データ活用実践（教師あり学習）</t>
  </si>
  <si>
    <t>「ビジネスとAI」の授業では、AIがビジネスで用いられている事例について説明する回で、生成AIがどのような技術で小説や絵画、イラスト等を作成するのかについて説明を行っている。また、世間で生成AIで作成されたものがどのように評価されているのかという観点で議論を行っている。さらに、生成AIの登場により人間の仕事にどのような変化が起きているのかという点について解説を行っている。</t>
    <phoneticPr fontId="1"/>
  </si>
  <si>
    <t>令和5</t>
    <rPh sb="0" eb="2">
      <t>レイワ</t>
    </rPh>
    <phoneticPr fontId="1"/>
  </si>
  <si>
    <t>令和７年度予定</t>
    <phoneticPr fontId="1"/>
  </si>
  <si>
    <t>次の5科目の計10単位を取得すること
「ICTリテラシー1」「ICTリテラシー2」「ビジネスとAI」「情報社会の倫理」「データサイエンス入門」</t>
    <rPh sb="6" eb="7">
      <t>ケイ</t>
    </rPh>
    <phoneticPr fontId="1"/>
  </si>
  <si>
    <t>商学部商学科</t>
    <rPh sb="0" eb="3">
      <t>ショウガクブ</t>
    </rPh>
    <phoneticPr fontId="1"/>
  </si>
  <si>
    <t>商学部観光マネジメント学科</t>
    <phoneticPr fontId="1"/>
  </si>
  <si>
    <t>商学部経営情報学科</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</si>
</sst>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4">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0" xfId="0" applyFont="1" applyAlignment="1">
      <alignment horizontal="center" vertical="center" shrinkToFit="1"/>
    </xf>
    <xf numFmtId="0" fontId="13" fillId="0" borderId="48" xfId="0" applyFont="1" applyBorder="1" applyAlignment="1">
      <alignment horizontal="left" vertical="center" shrinkToFit="1"/>
    </xf>
    <xf numFmtId="0" fontId="13" fillId="0" borderId="20" xfId="0" applyFont="1" applyBorder="1" applyAlignment="1">
      <alignment horizontal="left" vertical="center" shrinkToFit="1"/>
    </xf>
    <xf numFmtId="9" fontId="2" fillId="0" borderId="1" xfId="0" applyNumberFormat="1" applyFont="1" applyBorder="1" applyAlignment="1">
      <alignment horizontal="center" vertical="center" shrinkToFit="1"/>
    </xf>
    <xf numFmtId="0" fontId="12" fillId="0" borderId="6" xfId="0" applyFont="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12" fillId="0" borderId="1" xfId="0" applyFont="1" applyBorder="1" applyAlignment="1">
      <alignment horizontal="center" vertical="center"/>
    </xf>
    <xf numFmtId="0" fontId="15" fillId="0" borderId="1" xfId="0" applyFont="1" applyBorder="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7" xfId="0" applyFont="1" applyBorder="1" applyAlignment="1">
      <alignment vertical="center" wrapText="1"/>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2" fillId="0" borderId="0" xfId="0" applyFont="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5" fillId="0" borderId="2"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4</xdr:col>
      <xdr:colOff>129540</xdr:colOff>
      <xdr:row>12</xdr:row>
      <xdr:rowOff>1417320</xdr:rowOff>
    </xdr:from>
    <xdr:to>
      <xdr:col>8</xdr:col>
      <xdr:colOff>1930358</xdr:colOff>
      <xdr:row>12</xdr:row>
      <xdr:rowOff>4259580</xdr:rowOff>
    </xdr:to>
    <xdr:pic>
      <xdr:nvPicPr>
        <xdr:cNvPr id="4" name="図 3">
          <a:extLst>
            <a:ext uri="{FF2B5EF4-FFF2-40B4-BE49-F238E27FC236}">
              <a16:creationId xmlns:a16="http://schemas.microsoft.com/office/drawing/2014/main" id="{0633669C-2EB7-F837-DB4A-71D2A06596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25040" y="4168140"/>
          <a:ext cx="7089098" cy="28422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view="pageBreakPreview" topLeftCell="A63" zoomScale="80" zoomScaleNormal="100" zoomScaleSheetLayoutView="80" workbookViewId="0">
      <selection activeCell="B15" sqref="B15:U20"/>
    </sheetView>
  </sheetViews>
  <sheetFormatPr defaultColWidth="9" defaultRowHeight="18.75" customHeight="1" x14ac:dyDescent="0.2"/>
  <cols>
    <col min="1" max="1" width="2.453125" style="1" customWidth="1"/>
    <col min="2" max="2" width="16.453125" style="1" customWidth="1"/>
    <col min="3" max="21" width="5.6328125" style="1" customWidth="1"/>
    <col min="22" max="22" width="9" style="1"/>
    <col min="23" max="23" width="3.6328125" style="1" customWidth="1"/>
    <col min="24" max="24" width="48.6328125" style="1" hidden="1" customWidth="1"/>
    <col min="25" max="16384" width="9" style="1"/>
  </cols>
  <sheetData>
    <row r="1" spans="1:24" ht="18.649999999999999" customHeight="1" x14ac:dyDescent="0.2">
      <c r="A1" s="74"/>
      <c r="B1" s="74"/>
      <c r="C1" s="74"/>
      <c r="D1" s="74"/>
      <c r="E1" s="74"/>
      <c r="F1" s="74"/>
      <c r="G1" s="74"/>
      <c r="H1" s="74"/>
      <c r="I1" s="74"/>
      <c r="J1" s="74"/>
      <c r="K1" s="74"/>
      <c r="L1" s="74"/>
      <c r="M1" s="74"/>
      <c r="N1" s="74"/>
      <c r="O1" s="74"/>
      <c r="P1" s="74"/>
      <c r="Q1" s="74"/>
      <c r="R1" s="74"/>
      <c r="S1" s="74"/>
      <c r="T1" s="134" t="s">
        <v>12</v>
      </c>
      <c r="U1" s="134"/>
      <c r="V1" s="2" t="s">
        <v>99</v>
      </c>
    </row>
    <row r="2" spans="1:24" ht="18.75" customHeight="1" x14ac:dyDescent="0.2">
      <c r="A2" s="74"/>
      <c r="B2" s="76" t="s">
        <v>98</v>
      </c>
      <c r="C2" s="135" t="s">
        <v>135</v>
      </c>
      <c r="D2" s="136"/>
      <c r="E2" s="136"/>
      <c r="F2" s="136"/>
      <c r="G2" s="136"/>
      <c r="H2" s="136"/>
      <c r="I2" s="136"/>
      <c r="J2" s="137"/>
      <c r="K2" s="75"/>
      <c r="L2" s="77"/>
      <c r="M2" s="77"/>
      <c r="N2" s="77"/>
      <c r="O2" s="77"/>
      <c r="P2" s="77"/>
      <c r="Q2" s="77"/>
      <c r="R2" s="77"/>
      <c r="S2" s="77"/>
      <c r="T2" s="77"/>
      <c r="U2" s="77"/>
    </row>
    <row r="3" spans="1:24" ht="18.75" customHeight="1" x14ac:dyDescent="0.2">
      <c r="A3" s="74"/>
      <c r="B3" s="76" t="s">
        <v>93</v>
      </c>
      <c r="C3" s="135" t="s">
        <v>136</v>
      </c>
      <c r="D3" s="136"/>
      <c r="E3" s="136"/>
      <c r="F3" s="136"/>
      <c r="G3" s="136"/>
      <c r="H3" s="136"/>
      <c r="I3" s="136"/>
      <c r="J3" s="137"/>
      <c r="K3" s="75"/>
      <c r="L3" s="77"/>
      <c r="M3" s="77"/>
      <c r="N3" s="77"/>
      <c r="O3" s="77"/>
      <c r="P3" s="77"/>
      <c r="Q3" s="77"/>
      <c r="R3" s="77"/>
      <c r="S3" s="77"/>
      <c r="T3" s="77"/>
      <c r="U3" s="77"/>
    </row>
    <row r="4" spans="1:24" ht="15" customHeight="1" x14ac:dyDescent="0.2">
      <c r="A4" s="74"/>
      <c r="B4" s="74"/>
      <c r="C4" s="74"/>
      <c r="D4" s="74"/>
      <c r="E4" s="74"/>
      <c r="F4" s="74"/>
      <c r="G4" s="74"/>
      <c r="H4" s="74"/>
      <c r="I4" s="74"/>
      <c r="J4" s="74"/>
      <c r="K4" s="74"/>
      <c r="L4" s="75"/>
      <c r="M4" s="78"/>
      <c r="N4" s="78"/>
      <c r="O4" s="78"/>
      <c r="P4" s="78"/>
      <c r="Q4" s="78"/>
      <c r="R4" s="78"/>
      <c r="S4" s="78"/>
      <c r="T4" s="78"/>
      <c r="U4" s="78"/>
    </row>
    <row r="5" spans="1:24" ht="18" customHeight="1" x14ac:dyDescent="0.2">
      <c r="A5" s="115" t="s">
        <v>38</v>
      </c>
      <c r="B5" s="115"/>
      <c r="C5" s="115"/>
      <c r="D5" s="115"/>
      <c r="E5" s="115"/>
      <c r="F5" s="115"/>
      <c r="G5" s="115"/>
      <c r="H5" s="115"/>
      <c r="I5" s="115"/>
      <c r="J5" s="115"/>
      <c r="K5" s="115"/>
      <c r="L5" s="115"/>
      <c r="M5" s="115"/>
      <c r="N5" s="115"/>
      <c r="O5" s="115"/>
      <c r="P5" s="115"/>
      <c r="Q5" s="115"/>
      <c r="R5" s="115"/>
      <c r="S5" s="115"/>
      <c r="T5" s="115"/>
      <c r="U5" s="115"/>
    </row>
    <row r="6" spans="1:24" ht="15" customHeight="1" x14ac:dyDescent="0.2">
      <c r="A6" s="74"/>
      <c r="B6" s="79"/>
      <c r="C6" s="79"/>
      <c r="D6" s="79"/>
      <c r="E6" s="79"/>
      <c r="F6" s="79"/>
      <c r="G6" s="79"/>
      <c r="H6" s="79"/>
      <c r="I6" s="79"/>
      <c r="J6" s="79"/>
      <c r="K6" s="79"/>
      <c r="L6" s="79"/>
      <c r="M6" s="79"/>
      <c r="N6" s="79"/>
      <c r="O6" s="79"/>
      <c r="P6" s="79"/>
      <c r="Q6" s="79"/>
      <c r="R6" s="79"/>
      <c r="S6" s="79"/>
      <c r="T6" s="79"/>
      <c r="U6" s="79"/>
    </row>
    <row r="7" spans="1:24" ht="15" customHeight="1" x14ac:dyDescent="0.2">
      <c r="A7" s="74" t="s">
        <v>130</v>
      </c>
      <c r="B7" s="79"/>
      <c r="C7" s="79"/>
      <c r="D7" s="79"/>
      <c r="E7" s="79"/>
      <c r="F7" s="73"/>
      <c r="G7" s="73"/>
      <c r="H7" s="73"/>
      <c r="I7" s="73"/>
      <c r="J7" s="73"/>
      <c r="K7" s="73"/>
      <c r="L7" s="151" t="s">
        <v>137</v>
      </c>
      <c r="M7" s="152"/>
      <c r="N7" s="152"/>
      <c r="O7" s="152"/>
      <c r="P7" s="152"/>
      <c r="Q7" s="152"/>
      <c r="R7" s="152"/>
      <c r="S7" s="152"/>
      <c r="T7" s="152"/>
      <c r="U7" s="153"/>
    </row>
    <row r="8" spans="1:24" ht="6" customHeight="1" x14ac:dyDescent="0.2">
      <c r="A8" s="74"/>
      <c r="B8" s="79"/>
      <c r="C8" s="79"/>
      <c r="D8" s="79"/>
      <c r="E8" s="79"/>
      <c r="F8" s="79"/>
      <c r="G8" s="79"/>
      <c r="H8" s="79"/>
      <c r="I8" s="79"/>
      <c r="J8" s="79"/>
      <c r="K8" s="79"/>
      <c r="L8" s="79"/>
      <c r="M8" s="79"/>
      <c r="N8" s="79"/>
      <c r="O8" s="79"/>
      <c r="P8" s="79"/>
      <c r="Q8" s="79"/>
      <c r="R8" s="79"/>
      <c r="S8" s="79"/>
      <c r="T8" s="79"/>
      <c r="U8" s="79"/>
    </row>
    <row r="9" spans="1:24" ht="18" customHeight="1" x14ac:dyDescent="0.2">
      <c r="A9" s="74" t="s">
        <v>131</v>
      </c>
      <c r="B9" s="74"/>
      <c r="C9" s="79"/>
      <c r="D9" s="79"/>
      <c r="E9" s="74"/>
      <c r="F9" s="74"/>
      <c r="G9" s="74"/>
      <c r="H9" s="74"/>
      <c r="I9" s="74"/>
      <c r="J9" s="74"/>
      <c r="K9" s="75"/>
      <c r="L9" s="73"/>
      <c r="M9" s="73"/>
      <c r="N9" s="73"/>
      <c r="O9" s="73"/>
      <c r="P9" s="73"/>
      <c r="Q9" s="73"/>
      <c r="R9" s="73"/>
      <c r="S9" s="73"/>
      <c r="T9" s="73"/>
      <c r="U9" s="73"/>
    </row>
    <row r="10" spans="1:24" ht="6" customHeight="1" x14ac:dyDescent="0.2">
      <c r="A10" s="74"/>
      <c r="B10" s="79"/>
      <c r="C10" s="79"/>
      <c r="D10" s="79"/>
      <c r="E10" s="79"/>
      <c r="F10" s="79"/>
      <c r="G10" s="79"/>
      <c r="H10" s="79"/>
      <c r="I10" s="79"/>
      <c r="J10" s="79"/>
      <c r="K10" s="79"/>
      <c r="L10" s="80"/>
      <c r="M10" s="79"/>
      <c r="N10" s="79"/>
      <c r="O10" s="79"/>
      <c r="P10" s="79"/>
      <c r="Q10" s="79"/>
      <c r="R10" s="79"/>
      <c r="S10" s="79"/>
      <c r="T10" s="79"/>
      <c r="U10" s="79"/>
    </row>
    <row r="11" spans="1:24" ht="18" customHeight="1" x14ac:dyDescent="0.2">
      <c r="A11" s="74"/>
      <c r="B11" s="154"/>
      <c r="C11" s="155"/>
      <c r="D11" s="155"/>
      <c r="E11" s="155"/>
      <c r="F11" s="155"/>
      <c r="G11" s="155"/>
      <c r="H11" s="155"/>
      <c r="I11" s="155"/>
      <c r="J11" s="155"/>
      <c r="K11" s="155"/>
      <c r="L11" s="155"/>
      <c r="M11" s="155"/>
      <c r="N11" s="155"/>
      <c r="O11" s="155"/>
      <c r="P11" s="155"/>
      <c r="Q11" s="155"/>
      <c r="R11" s="155"/>
      <c r="S11" s="155"/>
      <c r="T11" s="155"/>
      <c r="U11" s="156"/>
    </row>
    <row r="12" spans="1:24" ht="18" customHeight="1" x14ac:dyDescent="0.2">
      <c r="A12" s="74"/>
      <c r="B12" s="157"/>
      <c r="C12" s="158"/>
      <c r="D12" s="158"/>
      <c r="E12" s="158"/>
      <c r="F12" s="158"/>
      <c r="G12" s="158"/>
      <c r="H12" s="158"/>
      <c r="I12" s="158"/>
      <c r="J12" s="158"/>
      <c r="K12" s="158"/>
      <c r="L12" s="158"/>
      <c r="M12" s="158"/>
      <c r="N12" s="158"/>
      <c r="O12" s="158"/>
      <c r="P12" s="158"/>
      <c r="Q12" s="158"/>
      <c r="R12" s="158"/>
      <c r="S12" s="158"/>
      <c r="T12" s="158"/>
      <c r="U12" s="159"/>
    </row>
    <row r="13" spans="1:24" ht="6" customHeight="1" x14ac:dyDescent="0.2">
      <c r="A13" s="74"/>
      <c r="B13" s="79"/>
      <c r="C13" s="79"/>
      <c r="D13" s="79"/>
      <c r="E13" s="79"/>
      <c r="F13" s="79"/>
      <c r="G13" s="79"/>
      <c r="H13" s="79"/>
      <c r="I13" s="79"/>
      <c r="J13" s="79"/>
      <c r="K13" s="79"/>
      <c r="L13" s="80"/>
      <c r="M13" s="79"/>
      <c r="N13" s="79"/>
      <c r="O13" s="79"/>
      <c r="P13" s="79"/>
      <c r="Q13" s="79"/>
      <c r="R13" s="79"/>
      <c r="S13" s="79"/>
      <c r="T13" s="79"/>
      <c r="U13" s="79"/>
    </row>
    <row r="14" spans="1:24" ht="18" customHeight="1" x14ac:dyDescent="0.2">
      <c r="A14" s="74" t="s">
        <v>100</v>
      </c>
      <c r="B14" s="79"/>
      <c r="C14" s="79"/>
      <c r="D14" s="79"/>
      <c r="E14" s="75"/>
      <c r="F14" s="75"/>
      <c r="G14" s="75"/>
      <c r="H14" s="75"/>
      <c r="I14" s="75"/>
      <c r="J14" s="75"/>
      <c r="K14" s="75"/>
      <c r="L14" s="81"/>
      <c r="M14" s="81"/>
      <c r="N14" s="81"/>
      <c r="O14" s="81"/>
      <c r="P14" s="81"/>
      <c r="Q14" s="81"/>
      <c r="R14" s="81"/>
      <c r="S14" s="81"/>
      <c r="T14" s="81"/>
      <c r="U14" s="81"/>
    </row>
    <row r="15" spans="1:24" ht="18" customHeight="1" x14ac:dyDescent="0.2">
      <c r="A15" s="74"/>
      <c r="B15" s="116" t="s">
        <v>184</v>
      </c>
      <c r="C15" s="117"/>
      <c r="D15" s="117"/>
      <c r="E15" s="117"/>
      <c r="F15" s="117"/>
      <c r="G15" s="117"/>
      <c r="H15" s="117"/>
      <c r="I15" s="117"/>
      <c r="J15" s="117"/>
      <c r="K15" s="117"/>
      <c r="L15" s="117"/>
      <c r="M15" s="117"/>
      <c r="N15" s="117"/>
      <c r="O15" s="117"/>
      <c r="P15" s="117"/>
      <c r="Q15" s="117"/>
      <c r="R15" s="117"/>
      <c r="S15" s="117"/>
      <c r="T15" s="117"/>
      <c r="U15" s="118"/>
      <c r="X15" s="1" t="s">
        <v>94</v>
      </c>
    </row>
    <row r="16" spans="1:24" ht="18" customHeight="1" x14ac:dyDescent="0.2">
      <c r="A16" s="74"/>
      <c r="B16" s="119"/>
      <c r="C16" s="120"/>
      <c r="D16" s="120"/>
      <c r="E16" s="120"/>
      <c r="F16" s="120"/>
      <c r="G16" s="120"/>
      <c r="H16" s="120"/>
      <c r="I16" s="120"/>
      <c r="J16" s="120"/>
      <c r="K16" s="120"/>
      <c r="L16" s="120"/>
      <c r="M16" s="120"/>
      <c r="N16" s="120"/>
      <c r="O16" s="120"/>
      <c r="P16" s="120"/>
      <c r="Q16" s="120"/>
      <c r="R16" s="120"/>
      <c r="S16" s="120"/>
      <c r="T16" s="120"/>
      <c r="U16" s="121"/>
      <c r="X16" s="1" t="s">
        <v>114</v>
      </c>
    </row>
    <row r="17" spans="1:24" ht="18" customHeight="1" x14ac:dyDescent="0.2">
      <c r="A17" s="74"/>
      <c r="B17" s="119"/>
      <c r="C17" s="120"/>
      <c r="D17" s="120"/>
      <c r="E17" s="120"/>
      <c r="F17" s="120"/>
      <c r="G17" s="120"/>
      <c r="H17" s="120"/>
      <c r="I17" s="120"/>
      <c r="J17" s="120"/>
      <c r="K17" s="120"/>
      <c r="L17" s="120"/>
      <c r="M17" s="120"/>
      <c r="N17" s="120"/>
      <c r="O17" s="120"/>
      <c r="P17" s="120"/>
      <c r="Q17" s="120"/>
      <c r="R17" s="120"/>
      <c r="S17" s="120"/>
      <c r="T17" s="120"/>
      <c r="U17" s="121"/>
      <c r="X17" s="1" t="s">
        <v>115</v>
      </c>
    </row>
    <row r="18" spans="1:24" ht="18" customHeight="1" x14ac:dyDescent="0.2">
      <c r="A18" s="74"/>
      <c r="B18" s="119"/>
      <c r="C18" s="120"/>
      <c r="D18" s="120"/>
      <c r="E18" s="120"/>
      <c r="F18" s="120"/>
      <c r="G18" s="120"/>
      <c r="H18" s="120"/>
      <c r="I18" s="120"/>
      <c r="J18" s="120"/>
      <c r="K18" s="120"/>
      <c r="L18" s="120"/>
      <c r="M18" s="120"/>
      <c r="N18" s="120"/>
      <c r="O18" s="120"/>
      <c r="P18" s="120"/>
      <c r="Q18" s="120"/>
      <c r="R18" s="120"/>
      <c r="S18" s="120"/>
      <c r="T18" s="120"/>
      <c r="U18" s="121"/>
      <c r="X18" s="1" t="s">
        <v>116</v>
      </c>
    </row>
    <row r="19" spans="1:24" ht="18" customHeight="1" x14ac:dyDescent="0.2">
      <c r="A19" s="74"/>
      <c r="B19" s="119"/>
      <c r="C19" s="120"/>
      <c r="D19" s="120"/>
      <c r="E19" s="120"/>
      <c r="F19" s="120"/>
      <c r="G19" s="120"/>
      <c r="H19" s="120"/>
      <c r="I19" s="120"/>
      <c r="J19" s="120"/>
      <c r="K19" s="120"/>
      <c r="L19" s="120"/>
      <c r="M19" s="120"/>
      <c r="N19" s="120"/>
      <c r="O19" s="120"/>
      <c r="P19" s="120"/>
      <c r="Q19" s="120"/>
      <c r="R19" s="120"/>
      <c r="S19" s="120"/>
      <c r="T19" s="120"/>
      <c r="U19" s="121"/>
    </row>
    <row r="20" spans="1:24" ht="18" customHeight="1" x14ac:dyDescent="0.2">
      <c r="A20" s="74"/>
      <c r="B20" s="122"/>
      <c r="C20" s="123"/>
      <c r="D20" s="123"/>
      <c r="E20" s="123"/>
      <c r="F20" s="123"/>
      <c r="G20" s="123"/>
      <c r="H20" s="123"/>
      <c r="I20" s="123"/>
      <c r="J20" s="123"/>
      <c r="K20" s="123"/>
      <c r="L20" s="123"/>
      <c r="M20" s="123"/>
      <c r="N20" s="123"/>
      <c r="O20" s="123"/>
      <c r="P20" s="123"/>
      <c r="Q20" s="123"/>
      <c r="R20" s="123"/>
      <c r="S20" s="123"/>
      <c r="T20" s="123"/>
      <c r="U20" s="124"/>
    </row>
    <row r="21" spans="1:24" ht="7.5" customHeight="1" x14ac:dyDescent="0.2">
      <c r="A21" s="74"/>
      <c r="B21" s="79"/>
      <c r="C21" s="79"/>
      <c r="D21" s="79"/>
      <c r="E21" s="79"/>
      <c r="F21" s="79"/>
      <c r="G21" s="79"/>
      <c r="H21" s="79"/>
      <c r="I21" s="79"/>
      <c r="J21" s="79"/>
      <c r="K21" s="79"/>
      <c r="L21" s="79"/>
      <c r="M21" s="79"/>
      <c r="N21" s="79"/>
      <c r="O21" s="79"/>
      <c r="P21" s="79"/>
      <c r="Q21" s="79"/>
      <c r="R21" s="79"/>
      <c r="S21" s="79"/>
      <c r="T21" s="79"/>
      <c r="U21" s="79"/>
    </row>
    <row r="22" spans="1:24" ht="19.899999999999999" customHeight="1" x14ac:dyDescent="0.2">
      <c r="A22" s="74"/>
      <c r="B22" s="74" t="s">
        <v>132</v>
      </c>
      <c r="C22" s="74"/>
      <c r="D22" s="74"/>
      <c r="E22" s="76">
        <v>5</v>
      </c>
      <c r="F22" s="74" t="s">
        <v>112</v>
      </c>
      <c r="G22" s="74"/>
      <c r="H22" s="76">
        <v>10</v>
      </c>
      <c r="I22" s="79" t="s">
        <v>113</v>
      </c>
      <c r="J22" s="79"/>
      <c r="K22" s="75"/>
      <c r="L22" s="74"/>
      <c r="M22" s="75" t="s">
        <v>109</v>
      </c>
      <c r="N22" s="148" t="s">
        <v>116</v>
      </c>
      <c r="O22" s="149"/>
      <c r="P22" s="149"/>
      <c r="Q22" s="149"/>
      <c r="R22" s="149"/>
      <c r="S22" s="149"/>
      <c r="T22" s="149"/>
      <c r="U22" s="150"/>
    </row>
    <row r="23" spans="1:24" ht="7.5" customHeight="1" x14ac:dyDescent="0.2">
      <c r="A23" s="74"/>
      <c r="B23" s="79"/>
      <c r="C23" s="79"/>
      <c r="D23" s="79"/>
      <c r="E23" s="79"/>
      <c r="F23" s="79"/>
      <c r="G23" s="79"/>
      <c r="H23" s="79"/>
      <c r="I23" s="79"/>
      <c r="J23" s="79"/>
      <c r="K23" s="79"/>
      <c r="L23" s="79"/>
      <c r="M23" s="79"/>
      <c r="N23" s="79"/>
      <c r="O23" s="79"/>
      <c r="P23" s="79"/>
      <c r="Q23" s="79"/>
      <c r="R23" s="79"/>
      <c r="S23" s="79"/>
      <c r="T23" s="79"/>
      <c r="U23" s="79"/>
    </row>
    <row r="24" spans="1:24" ht="18" customHeight="1" x14ac:dyDescent="0.2">
      <c r="A24" s="125" t="s">
        <v>101</v>
      </c>
      <c r="B24" s="125"/>
      <c r="C24" s="125"/>
      <c r="D24" s="125"/>
      <c r="E24" s="125"/>
      <c r="F24" s="125"/>
      <c r="G24" s="125"/>
      <c r="H24" s="125"/>
      <c r="I24" s="125"/>
      <c r="J24" s="125"/>
      <c r="K24" s="125"/>
      <c r="L24" s="125"/>
      <c r="M24" s="125"/>
      <c r="N24" s="125"/>
      <c r="O24" s="125"/>
      <c r="P24" s="125"/>
      <c r="Q24" s="125"/>
      <c r="R24" s="125"/>
      <c r="S24" s="125"/>
      <c r="T24" s="125"/>
      <c r="U24" s="125"/>
    </row>
    <row r="25" spans="1:24" ht="18" customHeight="1" x14ac:dyDescent="0.2">
      <c r="A25" s="125"/>
      <c r="B25" s="125"/>
      <c r="C25" s="125"/>
      <c r="D25" s="125"/>
      <c r="E25" s="125"/>
      <c r="F25" s="125"/>
      <c r="G25" s="125"/>
      <c r="H25" s="125"/>
      <c r="I25" s="125"/>
      <c r="J25" s="125"/>
      <c r="K25" s="125"/>
      <c r="L25" s="125"/>
      <c r="M25" s="125"/>
      <c r="N25" s="125"/>
      <c r="O25" s="125"/>
      <c r="P25" s="125"/>
      <c r="Q25" s="125"/>
      <c r="R25" s="125"/>
      <c r="S25" s="125"/>
      <c r="T25" s="125"/>
      <c r="U25" s="125"/>
    </row>
    <row r="26" spans="1:24" ht="18" customHeight="1" x14ac:dyDescent="0.2">
      <c r="B26" s="91" t="s">
        <v>52</v>
      </c>
      <c r="C26" s="92"/>
      <c r="D26" s="92"/>
      <c r="E26" s="92"/>
      <c r="F26" s="93"/>
      <c r="G26" s="50" t="s">
        <v>77</v>
      </c>
      <c r="H26" s="49" t="s">
        <v>80</v>
      </c>
      <c r="I26" s="17" t="s">
        <v>55</v>
      </c>
      <c r="J26" s="17" t="s">
        <v>58</v>
      </c>
      <c r="K26" s="91" t="s">
        <v>52</v>
      </c>
      <c r="L26" s="92"/>
      <c r="M26" s="92"/>
      <c r="N26" s="92"/>
      <c r="O26" s="92"/>
      <c r="P26" s="92"/>
      <c r="Q26" s="93"/>
      <c r="R26" s="50" t="s">
        <v>77</v>
      </c>
      <c r="S26" s="49" t="s">
        <v>80</v>
      </c>
      <c r="T26" s="17" t="s">
        <v>55</v>
      </c>
      <c r="U26" s="17" t="s">
        <v>58</v>
      </c>
    </row>
    <row r="27" spans="1:24" ht="18" customHeight="1" x14ac:dyDescent="0.2">
      <c r="B27" s="102" t="s">
        <v>140</v>
      </c>
      <c r="C27" s="103"/>
      <c r="D27" s="103"/>
      <c r="E27" s="103"/>
      <c r="F27" s="104"/>
      <c r="G27" s="18">
        <v>2</v>
      </c>
      <c r="H27" s="18" t="s">
        <v>143</v>
      </c>
      <c r="I27" s="18" t="s">
        <v>143</v>
      </c>
      <c r="J27" s="18"/>
      <c r="K27" s="102"/>
      <c r="L27" s="103"/>
      <c r="M27" s="103"/>
      <c r="N27" s="103"/>
      <c r="O27" s="103"/>
      <c r="P27" s="103"/>
      <c r="Q27" s="104"/>
      <c r="R27" s="18"/>
      <c r="S27" s="18"/>
      <c r="T27" s="18"/>
      <c r="U27" s="18"/>
    </row>
    <row r="28" spans="1:24" ht="18" customHeight="1" x14ac:dyDescent="0.2">
      <c r="B28" s="94" t="s">
        <v>139</v>
      </c>
      <c r="C28" s="95"/>
      <c r="D28" s="95"/>
      <c r="E28" s="95"/>
      <c r="F28" s="96"/>
      <c r="G28" s="19">
        <v>2</v>
      </c>
      <c r="H28" s="19" t="s">
        <v>143</v>
      </c>
      <c r="I28" s="19" t="s">
        <v>143</v>
      </c>
      <c r="J28" s="19" t="s">
        <v>143</v>
      </c>
      <c r="K28" s="94"/>
      <c r="L28" s="95"/>
      <c r="M28" s="95"/>
      <c r="N28" s="95"/>
      <c r="O28" s="95"/>
      <c r="P28" s="95"/>
      <c r="Q28" s="96"/>
      <c r="R28" s="19"/>
      <c r="S28" s="19"/>
      <c r="T28" s="19"/>
      <c r="U28" s="19"/>
    </row>
    <row r="29" spans="1:24" ht="18" customHeight="1" x14ac:dyDescent="0.2">
      <c r="B29" s="94" t="s">
        <v>138</v>
      </c>
      <c r="C29" s="95"/>
      <c r="D29" s="95"/>
      <c r="E29" s="95"/>
      <c r="F29" s="96"/>
      <c r="G29" s="19">
        <v>2</v>
      </c>
      <c r="H29" s="19" t="s">
        <v>143</v>
      </c>
      <c r="I29" s="19" t="s">
        <v>143</v>
      </c>
      <c r="J29" s="19" t="s">
        <v>143</v>
      </c>
      <c r="K29" s="94"/>
      <c r="L29" s="95"/>
      <c r="M29" s="95"/>
      <c r="N29" s="95"/>
      <c r="O29" s="95"/>
      <c r="P29" s="95"/>
      <c r="Q29" s="96"/>
      <c r="R29" s="19"/>
      <c r="S29" s="19"/>
      <c r="T29" s="19"/>
      <c r="U29" s="19"/>
    </row>
    <row r="30" spans="1:24" ht="18" customHeight="1" x14ac:dyDescent="0.2">
      <c r="B30" s="94"/>
      <c r="C30" s="95"/>
      <c r="D30" s="95"/>
      <c r="E30" s="95"/>
      <c r="F30" s="96"/>
      <c r="G30" s="19"/>
      <c r="H30" s="19"/>
      <c r="I30" s="19"/>
      <c r="J30" s="19"/>
      <c r="K30" s="94"/>
      <c r="L30" s="95"/>
      <c r="M30" s="95"/>
      <c r="N30" s="95"/>
      <c r="O30" s="95"/>
      <c r="P30" s="95"/>
      <c r="Q30" s="96"/>
      <c r="R30" s="19"/>
      <c r="S30" s="19"/>
      <c r="T30" s="19"/>
      <c r="U30" s="19"/>
    </row>
    <row r="31" spans="1:24" ht="18" customHeight="1" x14ac:dyDescent="0.2">
      <c r="B31" s="94"/>
      <c r="C31" s="95"/>
      <c r="D31" s="95"/>
      <c r="E31" s="95"/>
      <c r="F31" s="96"/>
      <c r="G31" s="19"/>
      <c r="H31" s="19"/>
      <c r="I31" s="19"/>
      <c r="J31" s="19"/>
      <c r="K31" s="94"/>
      <c r="L31" s="95"/>
      <c r="M31" s="95"/>
      <c r="N31" s="95"/>
      <c r="O31" s="95"/>
      <c r="P31" s="95"/>
      <c r="Q31" s="96"/>
      <c r="R31" s="19"/>
      <c r="S31" s="19"/>
      <c r="T31" s="19"/>
      <c r="U31" s="19"/>
    </row>
    <row r="32" spans="1:24" ht="18" customHeight="1" x14ac:dyDescent="0.2">
      <c r="A32" s="3"/>
      <c r="B32" s="94"/>
      <c r="C32" s="95"/>
      <c r="D32" s="95"/>
      <c r="E32" s="95"/>
      <c r="F32" s="96"/>
      <c r="G32" s="19"/>
      <c r="H32" s="19"/>
      <c r="I32" s="19"/>
      <c r="J32" s="19"/>
      <c r="K32" s="94"/>
      <c r="L32" s="95"/>
      <c r="M32" s="95"/>
      <c r="N32" s="95"/>
      <c r="O32" s="95"/>
      <c r="P32" s="95"/>
      <c r="Q32" s="96"/>
      <c r="R32" s="19"/>
      <c r="S32" s="19"/>
      <c r="T32" s="19"/>
      <c r="U32" s="19"/>
    </row>
    <row r="33" spans="1:21" ht="18" customHeight="1" x14ac:dyDescent="0.2">
      <c r="A33" s="3"/>
      <c r="B33" s="97"/>
      <c r="C33" s="98"/>
      <c r="D33" s="98"/>
      <c r="E33" s="98"/>
      <c r="F33" s="99"/>
      <c r="G33" s="20"/>
      <c r="H33" s="20"/>
      <c r="I33" s="21"/>
      <c r="J33" s="21"/>
      <c r="K33" s="97"/>
      <c r="L33" s="98"/>
      <c r="M33" s="98"/>
      <c r="N33" s="98"/>
      <c r="O33" s="98"/>
      <c r="P33" s="98"/>
      <c r="Q33" s="99"/>
      <c r="R33" s="20"/>
      <c r="S33" s="20"/>
      <c r="T33" s="21"/>
      <c r="U33" s="21"/>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05" t="s">
        <v>102</v>
      </c>
      <c r="B35" s="105"/>
      <c r="C35" s="105"/>
      <c r="D35" s="105"/>
      <c r="E35" s="105"/>
      <c r="F35" s="105"/>
      <c r="G35" s="105"/>
      <c r="H35" s="105"/>
      <c r="I35" s="105"/>
      <c r="J35" s="105"/>
      <c r="K35" s="105"/>
      <c r="L35" s="105"/>
      <c r="M35" s="105"/>
      <c r="N35" s="105"/>
      <c r="O35" s="105"/>
      <c r="P35" s="105"/>
      <c r="Q35" s="105"/>
      <c r="R35" s="105"/>
      <c r="S35" s="105"/>
      <c r="T35" s="105"/>
      <c r="U35" s="105"/>
    </row>
    <row r="36" spans="1:21" ht="18" customHeight="1" x14ac:dyDescent="0.2">
      <c r="A36" s="105"/>
      <c r="B36" s="105"/>
      <c r="C36" s="105"/>
      <c r="D36" s="105"/>
      <c r="E36" s="105"/>
      <c r="F36" s="105"/>
      <c r="G36" s="105"/>
      <c r="H36" s="105"/>
      <c r="I36" s="105"/>
      <c r="J36" s="105"/>
      <c r="K36" s="105"/>
      <c r="L36" s="105"/>
      <c r="M36" s="105"/>
      <c r="N36" s="105"/>
      <c r="O36" s="105"/>
      <c r="P36" s="105"/>
      <c r="Q36" s="105"/>
      <c r="R36" s="105"/>
      <c r="S36" s="105"/>
      <c r="T36" s="105"/>
      <c r="U36" s="105"/>
    </row>
    <row r="37" spans="1:21" ht="18" customHeight="1" x14ac:dyDescent="0.2">
      <c r="B37" s="91" t="s">
        <v>52</v>
      </c>
      <c r="C37" s="92"/>
      <c r="D37" s="92"/>
      <c r="E37" s="92"/>
      <c r="F37" s="93"/>
      <c r="G37" s="50" t="s">
        <v>77</v>
      </c>
      <c r="H37" s="49" t="s">
        <v>80</v>
      </c>
      <c r="I37" s="17" t="s">
        <v>68</v>
      </c>
      <c r="J37" s="17" t="s">
        <v>69</v>
      </c>
      <c r="K37" s="91" t="s">
        <v>52</v>
      </c>
      <c r="L37" s="92"/>
      <c r="M37" s="92"/>
      <c r="N37" s="92"/>
      <c r="O37" s="92"/>
      <c r="P37" s="92"/>
      <c r="Q37" s="93"/>
      <c r="R37" s="50" t="s">
        <v>77</v>
      </c>
      <c r="S37" s="49" t="s">
        <v>80</v>
      </c>
      <c r="T37" s="17" t="s">
        <v>68</v>
      </c>
      <c r="U37" s="17" t="s">
        <v>69</v>
      </c>
    </row>
    <row r="38" spans="1:21" ht="18" customHeight="1" x14ac:dyDescent="0.2">
      <c r="B38" s="102" t="s">
        <v>140</v>
      </c>
      <c r="C38" s="103"/>
      <c r="D38" s="103"/>
      <c r="E38" s="103"/>
      <c r="F38" s="104"/>
      <c r="G38" s="18">
        <v>2</v>
      </c>
      <c r="H38" s="18" t="s">
        <v>143</v>
      </c>
      <c r="I38" s="18" t="s">
        <v>143</v>
      </c>
      <c r="J38" s="18" t="s">
        <v>143</v>
      </c>
      <c r="K38" s="102"/>
      <c r="L38" s="103"/>
      <c r="M38" s="103"/>
      <c r="N38" s="103"/>
      <c r="O38" s="103"/>
      <c r="P38" s="103"/>
      <c r="Q38" s="104"/>
      <c r="R38" s="18"/>
      <c r="S38" s="18"/>
      <c r="T38" s="18"/>
      <c r="U38" s="18"/>
    </row>
    <row r="39" spans="1:21" ht="18" customHeight="1" x14ac:dyDescent="0.2">
      <c r="B39" s="94" t="s">
        <v>139</v>
      </c>
      <c r="C39" s="95"/>
      <c r="D39" s="95"/>
      <c r="E39" s="95"/>
      <c r="F39" s="96"/>
      <c r="G39" s="19">
        <v>2</v>
      </c>
      <c r="H39" s="19" t="s">
        <v>143</v>
      </c>
      <c r="I39" s="19"/>
      <c r="J39" s="19" t="s">
        <v>143</v>
      </c>
      <c r="K39" s="94"/>
      <c r="L39" s="95"/>
      <c r="M39" s="95"/>
      <c r="N39" s="95"/>
      <c r="O39" s="95"/>
      <c r="P39" s="95"/>
      <c r="Q39" s="96"/>
      <c r="R39" s="19"/>
      <c r="S39" s="19"/>
      <c r="T39" s="19"/>
      <c r="U39" s="19"/>
    </row>
    <row r="40" spans="1:21" ht="18" customHeight="1" x14ac:dyDescent="0.2">
      <c r="B40" s="94" t="s">
        <v>138</v>
      </c>
      <c r="C40" s="95"/>
      <c r="D40" s="95"/>
      <c r="E40" s="95"/>
      <c r="F40" s="96"/>
      <c r="G40" s="19">
        <v>2</v>
      </c>
      <c r="H40" s="19" t="s">
        <v>143</v>
      </c>
      <c r="I40" s="19" t="s">
        <v>143</v>
      </c>
      <c r="J40" s="19" t="s">
        <v>143</v>
      </c>
      <c r="K40" s="94"/>
      <c r="L40" s="95"/>
      <c r="M40" s="95"/>
      <c r="N40" s="95"/>
      <c r="O40" s="95"/>
      <c r="P40" s="95"/>
      <c r="Q40" s="96"/>
      <c r="R40" s="19"/>
      <c r="S40" s="19"/>
      <c r="T40" s="19"/>
      <c r="U40" s="19"/>
    </row>
    <row r="41" spans="1:21" ht="18" customHeight="1" x14ac:dyDescent="0.2">
      <c r="B41" s="94" t="s">
        <v>141</v>
      </c>
      <c r="C41" s="95"/>
      <c r="D41" s="95"/>
      <c r="E41" s="95"/>
      <c r="F41" s="96"/>
      <c r="G41" s="19">
        <v>2</v>
      </c>
      <c r="H41" s="19" t="s">
        <v>143</v>
      </c>
      <c r="I41" s="19"/>
      <c r="J41" s="19" t="s">
        <v>143</v>
      </c>
      <c r="K41" s="94"/>
      <c r="L41" s="95"/>
      <c r="M41" s="95"/>
      <c r="N41" s="95"/>
      <c r="O41" s="95"/>
      <c r="P41" s="95"/>
      <c r="Q41" s="96"/>
      <c r="R41" s="19"/>
      <c r="S41" s="19"/>
      <c r="T41" s="19"/>
      <c r="U41" s="19"/>
    </row>
    <row r="42" spans="1:21" ht="18" customHeight="1" x14ac:dyDescent="0.2">
      <c r="B42" s="94"/>
      <c r="C42" s="95"/>
      <c r="D42" s="95"/>
      <c r="E42" s="95"/>
      <c r="F42" s="96"/>
      <c r="G42" s="19"/>
      <c r="H42" s="19"/>
      <c r="I42" s="19"/>
      <c r="J42" s="19"/>
      <c r="K42" s="94"/>
      <c r="L42" s="95"/>
      <c r="M42" s="95"/>
      <c r="N42" s="95"/>
      <c r="O42" s="95"/>
      <c r="P42" s="95"/>
      <c r="Q42" s="96"/>
      <c r="R42" s="19"/>
      <c r="S42" s="19"/>
      <c r="T42" s="19"/>
      <c r="U42" s="19"/>
    </row>
    <row r="43" spans="1:21" ht="18" customHeight="1" x14ac:dyDescent="0.2">
      <c r="B43" s="94"/>
      <c r="C43" s="95"/>
      <c r="D43" s="95"/>
      <c r="E43" s="95"/>
      <c r="F43" s="96"/>
      <c r="G43" s="19"/>
      <c r="H43" s="19"/>
      <c r="I43" s="19"/>
      <c r="J43" s="19"/>
      <c r="K43" s="94"/>
      <c r="L43" s="95"/>
      <c r="M43" s="95"/>
      <c r="N43" s="95"/>
      <c r="O43" s="95"/>
      <c r="P43" s="95"/>
      <c r="Q43" s="96"/>
      <c r="R43" s="19"/>
      <c r="S43" s="19"/>
      <c r="T43" s="19"/>
      <c r="U43" s="19"/>
    </row>
    <row r="44" spans="1:21" ht="18" customHeight="1" x14ac:dyDescent="0.2">
      <c r="B44" s="97"/>
      <c r="C44" s="98"/>
      <c r="D44" s="98"/>
      <c r="E44" s="98"/>
      <c r="F44" s="99"/>
      <c r="G44" s="20"/>
      <c r="H44" s="20"/>
      <c r="I44" s="21"/>
      <c r="J44" s="21"/>
      <c r="K44" s="97"/>
      <c r="L44" s="98"/>
      <c r="M44" s="98"/>
      <c r="N44" s="98"/>
      <c r="O44" s="98"/>
      <c r="P44" s="98"/>
      <c r="Q44" s="99"/>
      <c r="R44" s="20"/>
      <c r="S44" s="20"/>
      <c r="T44" s="21"/>
      <c r="U44" s="21"/>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05" t="s">
        <v>103</v>
      </c>
      <c r="B46" s="105"/>
      <c r="C46" s="105"/>
      <c r="D46" s="105"/>
      <c r="E46" s="105"/>
      <c r="F46" s="105"/>
      <c r="G46" s="105"/>
      <c r="H46" s="105"/>
      <c r="I46" s="105"/>
      <c r="J46" s="105"/>
      <c r="K46" s="105"/>
      <c r="L46" s="105"/>
      <c r="M46" s="105"/>
      <c r="N46" s="105"/>
      <c r="O46" s="105"/>
      <c r="P46" s="105"/>
      <c r="Q46" s="105"/>
      <c r="R46" s="105"/>
      <c r="S46" s="105"/>
      <c r="T46" s="105"/>
      <c r="U46" s="105"/>
    </row>
    <row r="47" spans="1:21" ht="18" customHeight="1" x14ac:dyDescent="0.2">
      <c r="A47" s="105"/>
      <c r="B47" s="105"/>
      <c r="C47" s="105"/>
      <c r="D47" s="105"/>
      <c r="E47" s="105"/>
      <c r="F47" s="105"/>
      <c r="G47" s="105"/>
      <c r="H47" s="105"/>
      <c r="I47" s="105"/>
      <c r="J47" s="105"/>
      <c r="K47" s="105"/>
      <c r="L47" s="105"/>
      <c r="M47" s="105"/>
      <c r="N47" s="105"/>
      <c r="O47" s="105"/>
      <c r="P47" s="105"/>
      <c r="Q47" s="105"/>
      <c r="R47" s="105"/>
      <c r="S47" s="105"/>
      <c r="T47" s="105"/>
      <c r="U47" s="105"/>
    </row>
    <row r="48" spans="1:21" ht="18" customHeight="1" x14ac:dyDescent="0.2">
      <c r="B48" s="91" t="s">
        <v>52</v>
      </c>
      <c r="C48" s="92"/>
      <c r="D48" s="92"/>
      <c r="E48" s="92"/>
      <c r="F48" s="93"/>
      <c r="G48" s="50" t="s">
        <v>77</v>
      </c>
      <c r="H48" s="49" t="s">
        <v>80</v>
      </c>
      <c r="I48" s="17" t="s">
        <v>70</v>
      </c>
      <c r="J48" s="17" t="s">
        <v>71</v>
      </c>
      <c r="K48" s="91" t="s">
        <v>52</v>
      </c>
      <c r="L48" s="92"/>
      <c r="M48" s="92"/>
      <c r="N48" s="92"/>
      <c r="O48" s="92"/>
      <c r="P48" s="92"/>
      <c r="Q48" s="93"/>
      <c r="R48" s="50" t="s">
        <v>77</v>
      </c>
      <c r="S48" s="49" t="s">
        <v>80</v>
      </c>
      <c r="T48" s="17" t="s">
        <v>70</v>
      </c>
      <c r="U48" s="17" t="s">
        <v>71</v>
      </c>
    </row>
    <row r="49" spans="1:21" ht="18" customHeight="1" x14ac:dyDescent="0.2">
      <c r="A49" s="3"/>
      <c r="B49" s="102" t="s">
        <v>140</v>
      </c>
      <c r="C49" s="103"/>
      <c r="D49" s="103"/>
      <c r="E49" s="103"/>
      <c r="F49" s="104"/>
      <c r="G49" s="18">
        <v>2</v>
      </c>
      <c r="H49" s="18" t="s">
        <v>143</v>
      </c>
      <c r="I49" s="18" t="s">
        <v>143</v>
      </c>
      <c r="J49" s="18" t="s">
        <v>143</v>
      </c>
      <c r="K49" s="102"/>
      <c r="L49" s="103"/>
      <c r="M49" s="103"/>
      <c r="N49" s="103"/>
      <c r="O49" s="103"/>
      <c r="P49" s="103"/>
      <c r="Q49" s="104"/>
      <c r="R49" s="18"/>
      <c r="S49" s="18"/>
      <c r="T49" s="18"/>
      <c r="U49" s="18"/>
    </row>
    <row r="50" spans="1:21" ht="18" customHeight="1" x14ac:dyDescent="0.2">
      <c r="A50" s="3"/>
      <c r="B50" s="94" t="s">
        <v>138</v>
      </c>
      <c r="C50" s="95"/>
      <c r="D50" s="95"/>
      <c r="E50" s="95"/>
      <c r="F50" s="96"/>
      <c r="G50" s="19">
        <v>2</v>
      </c>
      <c r="H50" s="19" t="s">
        <v>143</v>
      </c>
      <c r="I50" s="19" t="s">
        <v>143</v>
      </c>
      <c r="J50" s="19" t="s">
        <v>143</v>
      </c>
      <c r="K50" s="94"/>
      <c r="L50" s="95"/>
      <c r="M50" s="95"/>
      <c r="N50" s="95"/>
      <c r="O50" s="95"/>
      <c r="P50" s="95"/>
      <c r="Q50" s="96"/>
      <c r="R50" s="19"/>
      <c r="S50" s="19"/>
      <c r="T50" s="19"/>
      <c r="U50" s="19"/>
    </row>
    <row r="51" spans="1:21" ht="18" customHeight="1" x14ac:dyDescent="0.2">
      <c r="A51" s="3"/>
      <c r="B51" s="94"/>
      <c r="C51" s="95"/>
      <c r="D51" s="95"/>
      <c r="E51" s="95"/>
      <c r="F51" s="96"/>
      <c r="G51" s="19"/>
      <c r="H51" s="19"/>
      <c r="I51" s="19"/>
      <c r="J51" s="19"/>
      <c r="K51" s="94"/>
      <c r="L51" s="95"/>
      <c r="M51" s="95"/>
      <c r="N51" s="95"/>
      <c r="O51" s="95"/>
      <c r="P51" s="95"/>
      <c r="Q51" s="96"/>
      <c r="R51" s="19"/>
      <c r="S51" s="19"/>
      <c r="T51" s="19"/>
      <c r="U51" s="19"/>
    </row>
    <row r="52" spans="1:21" ht="18" customHeight="1" x14ac:dyDescent="0.2">
      <c r="A52" s="3"/>
      <c r="B52" s="94"/>
      <c r="C52" s="95"/>
      <c r="D52" s="95"/>
      <c r="E52" s="95"/>
      <c r="F52" s="96"/>
      <c r="G52" s="19"/>
      <c r="H52" s="19"/>
      <c r="I52" s="19"/>
      <c r="J52" s="19"/>
      <c r="K52" s="94"/>
      <c r="L52" s="95"/>
      <c r="M52" s="95"/>
      <c r="N52" s="95"/>
      <c r="O52" s="95"/>
      <c r="P52" s="95"/>
      <c r="Q52" s="96"/>
      <c r="R52" s="19"/>
      <c r="S52" s="19"/>
      <c r="T52" s="19"/>
      <c r="U52" s="19"/>
    </row>
    <row r="53" spans="1:21" ht="18" customHeight="1" x14ac:dyDescent="0.2">
      <c r="A53" s="3"/>
      <c r="B53" s="94"/>
      <c r="C53" s="95"/>
      <c r="D53" s="95"/>
      <c r="E53" s="95"/>
      <c r="F53" s="96"/>
      <c r="G53" s="19"/>
      <c r="H53" s="19"/>
      <c r="I53" s="19"/>
      <c r="J53" s="19"/>
      <c r="K53" s="94"/>
      <c r="L53" s="95"/>
      <c r="M53" s="95"/>
      <c r="N53" s="95"/>
      <c r="O53" s="95"/>
      <c r="P53" s="95"/>
      <c r="Q53" s="96"/>
      <c r="R53" s="19"/>
      <c r="S53" s="19"/>
      <c r="T53" s="19"/>
      <c r="U53" s="19"/>
    </row>
    <row r="54" spans="1:21" ht="18" customHeight="1" x14ac:dyDescent="0.2">
      <c r="A54" s="3"/>
      <c r="B54" s="94"/>
      <c r="C54" s="95"/>
      <c r="D54" s="95"/>
      <c r="E54" s="95"/>
      <c r="F54" s="96"/>
      <c r="G54" s="19"/>
      <c r="H54" s="19"/>
      <c r="I54" s="19"/>
      <c r="J54" s="19"/>
      <c r="K54" s="94"/>
      <c r="L54" s="95"/>
      <c r="M54" s="95"/>
      <c r="N54" s="95"/>
      <c r="O54" s="95"/>
      <c r="P54" s="95"/>
      <c r="Q54" s="96"/>
      <c r="R54" s="19"/>
      <c r="S54" s="19"/>
      <c r="T54" s="19"/>
      <c r="U54" s="19"/>
    </row>
    <row r="55" spans="1:21" ht="18" customHeight="1" x14ac:dyDescent="0.2">
      <c r="A55" s="3"/>
      <c r="B55" s="97"/>
      <c r="C55" s="98"/>
      <c r="D55" s="98"/>
      <c r="E55" s="98"/>
      <c r="F55" s="99"/>
      <c r="G55" s="20"/>
      <c r="H55" s="20"/>
      <c r="I55" s="21"/>
      <c r="J55" s="21"/>
      <c r="K55" s="97"/>
      <c r="L55" s="98"/>
      <c r="M55" s="98"/>
      <c r="N55" s="98"/>
      <c r="O55" s="98"/>
      <c r="P55" s="98"/>
      <c r="Q55" s="99"/>
      <c r="R55" s="20"/>
      <c r="S55" s="20"/>
      <c r="T55" s="21"/>
      <c r="U55" s="21"/>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105" t="s">
        <v>104</v>
      </c>
      <c r="B57" s="105"/>
      <c r="C57" s="105"/>
      <c r="D57" s="105"/>
      <c r="E57" s="105"/>
      <c r="F57" s="105"/>
      <c r="G57" s="105"/>
      <c r="H57" s="105"/>
      <c r="I57" s="105"/>
      <c r="J57" s="105"/>
      <c r="K57" s="105"/>
      <c r="L57" s="105"/>
      <c r="M57" s="105"/>
      <c r="N57" s="105"/>
      <c r="O57" s="105"/>
      <c r="P57" s="105"/>
      <c r="Q57" s="105"/>
      <c r="R57" s="105"/>
      <c r="S57" s="105"/>
      <c r="T57" s="105"/>
      <c r="U57" s="105"/>
    </row>
    <row r="58" spans="1:21" ht="18" customHeight="1" x14ac:dyDescent="0.2">
      <c r="A58" s="105"/>
      <c r="B58" s="105"/>
      <c r="C58" s="105"/>
      <c r="D58" s="105"/>
      <c r="E58" s="105"/>
      <c r="F58" s="105"/>
      <c r="G58" s="105"/>
      <c r="H58" s="105"/>
      <c r="I58" s="105"/>
      <c r="J58" s="105"/>
      <c r="K58" s="105"/>
      <c r="L58" s="105"/>
      <c r="M58" s="105"/>
      <c r="N58" s="105"/>
      <c r="O58" s="105"/>
      <c r="P58" s="105"/>
      <c r="Q58" s="105"/>
      <c r="R58" s="105"/>
      <c r="S58" s="105"/>
      <c r="T58" s="105"/>
      <c r="U58" s="105"/>
    </row>
    <row r="59" spans="1:21" ht="18" customHeight="1" x14ac:dyDescent="0.2">
      <c r="B59" s="91" t="s">
        <v>52</v>
      </c>
      <c r="C59" s="92"/>
      <c r="D59" s="92"/>
      <c r="E59" s="92"/>
      <c r="F59" s="93"/>
      <c r="G59" s="50" t="s">
        <v>77</v>
      </c>
      <c r="H59" s="49" t="s">
        <v>80</v>
      </c>
      <c r="I59" s="17" t="s">
        <v>57</v>
      </c>
      <c r="J59" s="17" t="s">
        <v>59</v>
      </c>
      <c r="K59" s="91" t="s">
        <v>52</v>
      </c>
      <c r="L59" s="92"/>
      <c r="M59" s="92"/>
      <c r="N59" s="92"/>
      <c r="O59" s="92"/>
      <c r="P59" s="92"/>
      <c r="Q59" s="93"/>
      <c r="R59" s="50" t="s">
        <v>77</v>
      </c>
      <c r="S59" s="49" t="s">
        <v>80</v>
      </c>
      <c r="T59" s="17" t="s">
        <v>57</v>
      </c>
      <c r="U59" s="17" t="s">
        <v>59</v>
      </c>
    </row>
    <row r="60" spans="1:21" ht="18" customHeight="1" x14ac:dyDescent="0.2">
      <c r="A60" s="3"/>
      <c r="B60" s="102" t="s">
        <v>139</v>
      </c>
      <c r="C60" s="103"/>
      <c r="D60" s="103"/>
      <c r="E60" s="103"/>
      <c r="F60" s="104"/>
      <c r="G60" s="18">
        <v>2</v>
      </c>
      <c r="H60" s="18" t="s">
        <v>143</v>
      </c>
      <c r="I60" s="18" t="s">
        <v>143</v>
      </c>
      <c r="J60" s="18" t="s">
        <v>143</v>
      </c>
      <c r="K60" s="102"/>
      <c r="L60" s="103"/>
      <c r="M60" s="103"/>
      <c r="N60" s="103"/>
      <c r="O60" s="103"/>
      <c r="P60" s="103"/>
      <c r="Q60" s="104"/>
      <c r="R60" s="18"/>
      <c r="S60" s="18"/>
      <c r="T60" s="18"/>
      <c r="U60" s="18"/>
    </row>
    <row r="61" spans="1:21" ht="18" customHeight="1" x14ac:dyDescent="0.2">
      <c r="A61" s="3"/>
      <c r="B61" s="94" t="s">
        <v>138</v>
      </c>
      <c r="C61" s="95"/>
      <c r="D61" s="95"/>
      <c r="E61" s="95"/>
      <c r="F61" s="96"/>
      <c r="G61" s="19">
        <v>2</v>
      </c>
      <c r="H61" s="19" t="s">
        <v>143</v>
      </c>
      <c r="I61" s="19" t="s">
        <v>143</v>
      </c>
      <c r="J61" s="19"/>
      <c r="K61" s="94"/>
      <c r="L61" s="95"/>
      <c r="M61" s="95"/>
      <c r="N61" s="95"/>
      <c r="O61" s="95"/>
      <c r="P61" s="95"/>
      <c r="Q61" s="96"/>
      <c r="R61" s="19"/>
      <c r="S61" s="19"/>
      <c r="T61" s="19"/>
      <c r="U61" s="19"/>
    </row>
    <row r="62" spans="1:21" ht="18" customHeight="1" x14ac:dyDescent="0.2">
      <c r="A62" s="3"/>
      <c r="B62" s="94" t="s">
        <v>142</v>
      </c>
      <c r="C62" s="95"/>
      <c r="D62" s="95"/>
      <c r="E62" s="95"/>
      <c r="F62" s="96"/>
      <c r="G62" s="19">
        <v>2</v>
      </c>
      <c r="H62" s="19" t="s">
        <v>143</v>
      </c>
      <c r="I62" s="19"/>
      <c r="J62" s="19" t="s">
        <v>143</v>
      </c>
      <c r="K62" s="94"/>
      <c r="L62" s="95"/>
      <c r="M62" s="95"/>
      <c r="N62" s="95"/>
      <c r="O62" s="95"/>
      <c r="P62" s="95"/>
      <c r="Q62" s="96"/>
      <c r="R62" s="19"/>
      <c r="S62" s="19"/>
      <c r="T62" s="19"/>
      <c r="U62" s="19"/>
    </row>
    <row r="63" spans="1:21" ht="18" customHeight="1" x14ac:dyDescent="0.2">
      <c r="A63" s="3"/>
      <c r="B63" s="94" t="s">
        <v>141</v>
      </c>
      <c r="C63" s="95"/>
      <c r="D63" s="95"/>
      <c r="E63" s="95"/>
      <c r="F63" s="96"/>
      <c r="G63" s="19">
        <v>2</v>
      </c>
      <c r="H63" s="19" t="s">
        <v>143</v>
      </c>
      <c r="I63" s="19" t="s">
        <v>143</v>
      </c>
      <c r="J63" s="19" t="s">
        <v>143</v>
      </c>
      <c r="K63" s="94"/>
      <c r="L63" s="95"/>
      <c r="M63" s="95"/>
      <c r="N63" s="95"/>
      <c r="O63" s="95"/>
      <c r="P63" s="95"/>
      <c r="Q63" s="96"/>
      <c r="R63" s="19"/>
      <c r="S63" s="19"/>
      <c r="T63" s="19"/>
      <c r="U63" s="19"/>
    </row>
    <row r="64" spans="1:21" ht="18" customHeight="1" x14ac:dyDescent="0.2">
      <c r="A64" s="3"/>
      <c r="B64" s="94"/>
      <c r="C64" s="95"/>
      <c r="D64" s="95"/>
      <c r="E64" s="95"/>
      <c r="F64" s="96"/>
      <c r="G64" s="19"/>
      <c r="H64" s="19"/>
      <c r="I64" s="19"/>
      <c r="J64" s="19"/>
      <c r="K64" s="94"/>
      <c r="L64" s="95"/>
      <c r="M64" s="95"/>
      <c r="N64" s="95"/>
      <c r="O64" s="95"/>
      <c r="P64" s="95"/>
      <c r="Q64" s="96"/>
      <c r="R64" s="19"/>
      <c r="S64" s="19"/>
      <c r="T64" s="19"/>
      <c r="U64" s="19"/>
    </row>
    <row r="65" spans="1:21" ht="18" customHeight="1" x14ac:dyDescent="0.2">
      <c r="A65" s="3"/>
      <c r="B65" s="94"/>
      <c r="C65" s="95"/>
      <c r="D65" s="95"/>
      <c r="E65" s="95"/>
      <c r="F65" s="96"/>
      <c r="G65" s="19"/>
      <c r="H65" s="19"/>
      <c r="I65" s="19"/>
      <c r="J65" s="19"/>
      <c r="K65" s="94"/>
      <c r="L65" s="95"/>
      <c r="M65" s="95"/>
      <c r="N65" s="95"/>
      <c r="O65" s="95"/>
      <c r="P65" s="95"/>
      <c r="Q65" s="96"/>
      <c r="R65" s="19"/>
      <c r="S65" s="19"/>
      <c r="T65" s="19"/>
      <c r="U65" s="19"/>
    </row>
    <row r="66" spans="1:21" ht="18" customHeight="1" x14ac:dyDescent="0.2">
      <c r="A66" s="3"/>
      <c r="B66" s="97"/>
      <c r="C66" s="98"/>
      <c r="D66" s="98"/>
      <c r="E66" s="98"/>
      <c r="F66" s="99"/>
      <c r="G66" s="20"/>
      <c r="H66" s="20"/>
      <c r="I66" s="21"/>
      <c r="J66" s="21"/>
      <c r="K66" s="97"/>
      <c r="L66" s="98"/>
      <c r="M66" s="98"/>
      <c r="N66" s="98"/>
      <c r="O66" s="98"/>
      <c r="P66" s="98"/>
      <c r="Q66" s="99"/>
      <c r="R66" s="20"/>
      <c r="S66" s="20"/>
      <c r="T66" s="21"/>
      <c r="U66" s="21"/>
    </row>
    <row r="67" spans="1:21" ht="7.5" customHeight="1" x14ac:dyDescent="0.2">
      <c r="B67" s="14"/>
      <c r="C67" s="14"/>
      <c r="D67" s="14"/>
      <c r="E67" s="14"/>
      <c r="F67" s="14"/>
      <c r="G67" s="14"/>
      <c r="H67" s="14"/>
      <c r="I67" s="14"/>
      <c r="J67" s="14"/>
      <c r="K67" s="14"/>
      <c r="L67" s="14"/>
      <c r="M67" s="14"/>
      <c r="N67" s="14"/>
      <c r="O67" s="14"/>
      <c r="P67" s="14"/>
      <c r="Q67" s="14"/>
      <c r="R67" s="14"/>
      <c r="S67" s="14"/>
      <c r="T67" s="14"/>
    </row>
    <row r="68" spans="1:21" ht="18" customHeight="1" x14ac:dyDescent="0.2">
      <c r="A68" s="105" t="s">
        <v>105</v>
      </c>
      <c r="B68" s="105"/>
      <c r="C68" s="105"/>
      <c r="D68" s="105"/>
      <c r="E68" s="105"/>
      <c r="F68" s="105"/>
      <c r="G68" s="105"/>
      <c r="H68" s="105"/>
      <c r="I68" s="105"/>
      <c r="J68" s="105"/>
      <c r="K68" s="105"/>
      <c r="L68" s="105"/>
      <c r="M68" s="105"/>
      <c r="N68" s="105"/>
      <c r="O68" s="105"/>
      <c r="P68" s="105"/>
      <c r="Q68" s="105"/>
      <c r="R68" s="105"/>
      <c r="S68" s="105"/>
      <c r="T68" s="105"/>
      <c r="U68" s="105"/>
    </row>
    <row r="69" spans="1:21" ht="18" customHeight="1" x14ac:dyDescent="0.2">
      <c r="A69" s="105"/>
      <c r="B69" s="105"/>
      <c r="C69" s="105"/>
      <c r="D69" s="105"/>
      <c r="E69" s="105"/>
      <c r="F69" s="105"/>
      <c r="G69" s="105"/>
      <c r="H69" s="105"/>
      <c r="I69" s="105"/>
      <c r="J69" s="105"/>
      <c r="K69" s="105"/>
      <c r="L69" s="105"/>
      <c r="M69" s="105"/>
      <c r="N69" s="105"/>
      <c r="O69" s="105"/>
      <c r="P69" s="105"/>
      <c r="Q69" s="105"/>
      <c r="R69" s="105"/>
      <c r="S69" s="105"/>
      <c r="T69" s="105"/>
      <c r="U69" s="105"/>
    </row>
    <row r="70" spans="1:21" ht="18" customHeight="1" x14ac:dyDescent="0.2">
      <c r="B70" s="91" t="s">
        <v>52</v>
      </c>
      <c r="C70" s="92"/>
      <c r="D70" s="92"/>
      <c r="E70" s="92"/>
      <c r="F70" s="50" t="s">
        <v>77</v>
      </c>
      <c r="G70" s="49" t="s">
        <v>80</v>
      </c>
      <c r="H70" s="17" t="s">
        <v>92</v>
      </c>
      <c r="I70" s="17" t="s">
        <v>72</v>
      </c>
      <c r="J70" s="17" t="s">
        <v>73</v>
      </c>
      <c r="K70" s="91" t="s">
        <v>52</v>
      </c>
      <c r="L70" s="92"/>
      <c r="M70" s="92"/>
      <c r="N70" s="92"/>
      <c r="O70" s="92"/>
      <c r="P70" s="93"/>
      <c r="Q70" s="50" t="s">
        <v>77</v>
      </c>
      <c r="R70" s="49" t="s">
        <v>80</v>
      </c>
      <c r="S70" s="17" t="s">
        <v>92</v>
      </c>
      <c r="T70" s="17" t="s">
        <v>72</v>
      </c>
      <c r="U70" s="17" t="s">
        <v>73</v>
      </c>
    </row>
    <row r="71" spans="1:21" ht="18" customHeight="1" x14ac:dyDescent="0.2">
      <c r="A71" s="3"/>
      <c r="B71" s="102" t="s">
        <v>140</v>
      </c>
      <c r="C71" s="103"/>
      <c r="D71" s="103"/>
      <c r="E71" s="103"/>
      <c r="F71" s="18">
        <v>2</v>
      </c>
      <c r="G71" s="18" t="s">
        <v>143</v>
      </c>
      <c r="H71" s="18" t="s">
        <v>143</v>
      </c>
      <c r="I71" s="18" t="s">
        <v>143</v>
      </c>
      <c r="J71" s="18" t="s">
        <v>143</v>
      </c>
      <c r="K71" s="102"/>
      <c r="L71" s="103"/>
      <c r="M71" s="103"/>
      <c r="N71" s="103"/>
      <c r="O71" s="103"/>
      <c r="P71" s="104"/>
      <c r="Q71" s="18"/>
      <c r="R71" s="18"/>
      <c r="S71" s="18"/>
      <c r="T71" s="18"/>
      <c r="U71" s="18"/>
    </row>
    <row r="72" spans="1:21" ht="18" customHeight="1" x14ac:dyDescent="0.2">
      <c r="A72" s="3"/>
      <c r="B72" s="94" t="s">
        <v>142</v>
      </c>
      <c r="C72" s="95"/>
      <c r="D72" s="95"/>
      <c r="E72" s="95"/>
      <c r="F72" s="19">
        <v>2</v>
      </c>
      <c r="G72" s="19" t="s">
        <v>143</v>
      </c>
      <c r="H72" s="19" t="s">
        <v>143</v>
      </c>
      <c r="I72" s="19" t="s">
        <v>143</v>
      </c>
      <c r="J72" s="19" t="s">
        <v>143</v>
      </c>
      <c r="K72" s="94"/>
      <c r="L72" s="95"/>
      <c r="M72" s="95"/>
      <c r="N72" s="95"/>
      <c r="O72" s="95"/>
      <c r="P72" s="96"/>
      <c r="Q72" s="19"/>
      <c r="R72" s="19"/>
      <c r="S72" s="19"/>
      <c r="T72" s="19"/>
      <c r="U72" s="19"/>
    </row>
    <row r="73" spans="1:21" ht="18" customHeight="1" x14ac:dyDescent="0.2">
      <c r="A73" s="3"/>
      <c r="B73" s="94" t="s">
        <v>141</v>
      </c>
      <c r="C73" s="95"/>
      <c r="D73" s="95"/>
      <c r="E73" s="95"/>
      <c r="F73" s="19">
        <v>2</v>
      </c>
      <c r="G73" s="19" t="s">
        <v>143</v>
      </c>
      <c r="H73" s="19"/>
      <c r="I73" s="19" t="s">
        <v>143</v>
      </c>
      <c r="J73" s="19" t="s">
        <v>143</v>
      </c>
      <c r="K73" s="94"/>
      <c r="L73" s="95"/>
      <c r="M73" s="95"/>
      <c r="N73" s="95"/>
      <c r="O73" s="95"/>
      <c r="P73" s="96"/>
      <c r="Q73" s="19"/>
      <c r="R73" s="19"/>
      <c r="S73" s="19"/>
      <c r="T73" s="19"/>
      <c r="U73" s="19"/>
    </row>
    <row r="74" spans="1:21" ht="18" customHeight="1" x14ac:dyDescent="0.2">
      <c r="A74" s="3"/>
      <c r="B74" s="94"/>
      <c r="C74" s="95"/>
      <c r="D74" s="95"/>
      <c r="E74" s="95"/>
      <c r="F74" s="19"/>
      <c r="G74" s="19"/>
      <c r="H74" s="19"/>
      <c r="I74" s="19"/>
      <c r="J74" s="19"/>
      <c r="K74" s="94"/>
      <c r="L74" s="95"/>
      <c r="M74" s="95"/>
      <c r="N74" s="95"/>
      <c r="O74" s="95"/>
      <c r="P74" s="96"/>
      <c r="Q74" s="19"/>
      <c r="R74" s="19"/>
      <c r="S74" s="19"/>
      <c r="T74" s="19"/>
      <c r="U74" s="19"/>
    </row>
    <row r="75" spans="1:21" ht="18" customHeight="1" x14ac:dyDescent="0.2">
      <c r="A75" s="3"/>
      <c r="B75" s="94"/>
      <c r="C75" s="95"/>
      <c r="D75" s="95"/>
      <c r="E75" s="95"/>
      <c r="F75" s="19"/>
      <c r="G75" s="19"/>
      <c r="H75" s="19"/>
      <c r="I75" s="19"/>
      <c r="J75" s="19"/>
      <c r="K75" s="94"/>
      <c r="L75" s="95"/>
      <c r="M75" s="95"/>
      <c r="N75" s="95"/>
      <c r="O75" s="95"/>
      <c r="P75" s="96"/>
      <c r="Q75" s="19"/>
      <c r="R75" s="19"/>
      <c r="S75" s="19"/>
      <c r="T75" s="19"/>
      <c r="U75" s="19"/>
    </row>
    <row r="76" spans="1:21" ht="18" customHeight="1" x14ac:dyDescent="0.2">
      <c r="A76" s="3"/>
      <c r="B76" s="94"/>
      <c r="C76" s="95"/>
      <c r="D76" s="95"/>
      <c r="E76" s="95"/>
      <c r="F76" s="19"/>
      <c r="G76" s="19"/>
      <c r="H76" s="19"/>
      <c r="I76" s="19"/>
      <c r="J76" s="19"/>
      <c r="K76" s="94"/>
      <c r="L76" s="95"/>
      <c r="M76" s="95"/>
      <c r="N76" s="95"/>
      <c r="O76" s="95"/>
      <c r="P76" s="96"/>
      <c r="Q76" s="19"/>
      <c r="R76" s="19"/>
      <c r="S76" s="19"/>
      <c r="T76" s="19"/>
      <c r="U76" s="19"/>
    </row>
    <row r="77" spans="1:21" ht="18" customHeight="1" x14ac:dyDescent="0.2">
      <c r="A77" s="3"/>
      <c r="B77" s="97"/>
      <c r="C77" s="98"/>
      <c r="D77" s="98"/>
      <c r="E77" s="98"/>
      <c r="F77" s="20"/>
      <c r="G77" s="20"/>
      <c r="H77" s="21"/>
      <c r="I77" s="21"/>
      <c r="J77" s="21"/>
      <c r="K77" s="97"/>
      <c r="L77" s="98"/>
      <c r="M77" s="98"/>
      <c r="N77" s="98"/>
      <c r="O77" s="98"/>
      <c r="P77" s="99"/>
      <c r="Q77" s="20"/>
      <c r="R77" s="20"/>
      <c r="S77" s="21"/>
      <c r="T77" s="21"/>
      <c r="U77" s="21"/>
    </row>
    <row r="78" spans="1:21" ht="7.5" customHeight="1" x14ac:dyDescent="0.2">
      <c r="B78" s="14"/>
      <c r="C78" s="14"/>
      <c r="D78" s="14"/>
      <c r="E78" s="14"/>
      <c r="F78" s="14"/>
      <c r="G78" s="14"/>
      <c r="H78" s="14"/>
      <c r="I78" s="14"/>
      <c r="J78" s="14"/>
      <c r="K78" s="14"/>
      <c r="L78" s="14"/>
      <c r="M78" s="14"/>
      <c r="N78" s="14"/>
      <c r="O78" s="14"/>
      <c r="P78" s="14"/>
      <c r="Q78" s="14"/>
      <c r="R78" s="14"/>
      <c r="S78" s="14"/>
      <c r="T78" s="14"/>
    </row>
    <row r="79" spans="1:21" ht="18" customHeight="1" x14ac:dyDescent="0.2">
      <c r="A79" s="1" t="s">
        <v>106</v>
      </c>
      <c r="I79" s="3"/>
      <c r="J79" s="3"/>
      <c r="K79" s="3"/>
      <c r="L79" s="3"/>
      <c r="M79" s="3"/>
      <c r="N79" s="3"/>
      <c r="O79" s="3"/>
      <c r="P79" s="3"/>
      <c r="Q79" s="3"/>
      <c r="R79" s="3"/>
      <c r="S79" s="3"/>
      <c r="T79" s="3"/>
      <c r="U79" s="3"/>
    </row>
    <row r="80" spans="1:21" ht="18" customHeight="1" x14ac:dyDescent="0.2">
      <c r="B80" s="91" t="s">
        <v>52</v>
      </c>
      <c r="C80" s="92"/>
      <c r="D80" s="92"/>
      <c r="E80" s="92"/>
      <c r="F80" s="93"/>
      <c r="G80" s="91" t="s">
        <v>78</v>
      </c>
      <c r="H80" s="92"/>
      <c r="I80" s="92"/>
      <c r="J80" s="93"/>
      <c r="K80" s="111" t="s">
        <v>52</v>
      </c>
      <c r="L80" s="112"/>
      <c r="M80" s="112"/>
      <c r="N80" s="112"/>
      <c r="O80" s="112"/>
      <c r="P80" s="112"/>
      <c r="Q80" s="113"/>
      <c r="R80" s="91" t="s">
        <v>78</v>
      </c>
      <c r="S80" s="92"/>
      <c r="T80" s="92"/>
      <c r="U80" s="93"/>
    </row>
    <row r="81" spans="1:21" ht="18" customHeight="1" x14ac:dyDescent="0.2">
      <c r="A81" s="3"/>
      <c r="B81" s="102" t="s">
        <v>140</v>
      </c>
      <c r="C81" s="103"/>
      <c r="D81" s="103"/>
      <c r="E81" s="103"/>
      <c r="F81" s="104"/>
      <c r="G81" s="106" t="s">
        <v>180</v>
      </c>
      <c r="H81" s="107"/>
      <c r="I81" s="107"/>
      <c r="J81" s="108"/>
      <c r="K81" s="102"/>
      <c r="L81" s="103"/>
      <c r="M81" s="103"/>
      <c r="N81" s="103"/>
      <c r="O81" s="103"/>
      <c r="P81" s="103"/>
      <c r="Q81" s="104"/>
      <c r="R81" s="106"/>
      <c r="S81" s="107"/>
      <c r="T81" s="107"/>
      <c r="U81" s="108"/>
    </row>
    <row r="82" spans="1:21" ht="18" customHeight="1" x14ac:dyDescent="0.2">
      <c r="A82" s="3"/>
      <c r="B82" s="94"/>
      <c r="C82" s="95"/>
      <c r="D82" s="95"/>
      <c r="E82" s="95"/>
      <c r="F82" s="96"/>
      <c r="G82" s="88"/>
      <c r="H82" s="89"/>
      <c r="I82" s="89"/>
      <c r="J82" s="90"/>
      <c r="K82" s="94"/>
      <c r="L82" s="95"/>
      <c r="M82" s="95"/>
      <c r="N82" s="95"/>
      <c r="O82" s="95"/>
      <c r="P82" s="95"/>
      <c r="Q82" s="96"/>
      <c r="R82" s="88"/>
      <c r="S82" s="89"/>
      <c r="T82" s="89"/>
      <c r="U82" s="90"/>
    </row>
    <row r="83" spans="1:21" ht="18" customHeight="1" x14ac:dyDescent="0.2">
      <c r="A83" s="3"/>
      <c r="B83" s="94"/>
      <c r="C83" s="95"/>
      <c r="D83" s="95"/>
      <c r="E83" s="95"/>
      <c r="F83" s="96"/>
      <c r="G83" s="88"/>
      <c r="H83" s="89"/>
      <c r="I83" s="89"/>
      <c r="J83" s="90"/>
      <c r="K83" s="94"/>
      <c r="L83" s="95"/>
      <c r="M83" s="95"/>
      <c r="N83" s="95"/>
      <c r="O83" s="95"/>
      <c r="P83" s="95"/>
      <c r="Q83" s="96"/>
      <c r="R83" s="88"/>
      <c r="S83" s="89"/>
      <c r="T83" s="89"/>
      <c r="U83" s="90"/>
    </row>
    <row r="84" spans="1:21" ht="18" customHeight="1" x14ac:dyDescent="0.2">
      <c r="A84" s="3"/>
      <c r="B84" s="94"/>
      <c r="C84" s="95"/>
      <c r="D84" s="95"/>
      <c r="E84" s="95"/>
      <c r="F84" s="96"/>
      <c r="G84" s="88"/>
      <c r="H84" s="89"/>
      <c r="I84" s="89"/>
      <c r="J84" s="90"/>
      <c r="K84" s="94"/>
      <c r="L84" s="95"/>
      <c r="M84" s="95"/>
      <c r="N84" s="95"/>
      <c r="O84" s="95"/>
      <c r="P84" s="95"/>
      <c r="Q84" s="96"/>
      <c r="R84" s="88"/>
      <c r="S84" s="89"/>
      <c r="T84" s="89"/>
      <c r="U84" s="90"/>
    </row>
    <row r="85" spans="1:21" ht="18" customHeight="1" x14ac:dyDescent="0.2">
      <c r="A85" s="3"/>
      <c r="B85" s="94"/>
      <c r="C85" s="95"/>
      <c r="D85" s="95"/>
      <c r="E85" s="95"/>
      <c r="F85" s="96"/>
      <c r="G85" s="88"/>
      <c r="H85" s="89"/>
      <c r="I85" s="89"/>
      <c r="J85" s="90"/>
      <c r="K85" s="94"/>
      <c r="L85" s="95"/>
      <c r="M85" s="95"/>
      <c r="N85" s="95"/>
      <c r="O85" s="95"/>
      <c r="P85" s="95"/>
      <c r="Q85" s="96"/>
      <c r="R85" s="88"/>
      <c r="S85" s="89"/>
      <c r="T85" s="89"/>
      <c r="U85" s="90"/>
    </row>
    <row r="86" spans="1:21" ht="18" customHeight="1" x14ac:dyDescent="0.2">
      <c r="A86" s="3"/>
      <c r="B86" s="94"/>
      <c r="C86" s="95"/>
      <c r="D86" s="95"/>
      <c r="E86" s="95"/>
      <c r="F86" s="96"/>
      <c r="G86" s="88"/>
      <c r="H86" s="89"/>
      <c r="I86" s="89"/>
      <c r="J86" s="90"/>
      <c r="K86" s="94"/>
      <c r="L86" s="95"/>
      <c r="M86" s="95"/>
      <c r="N86" s="95"/>
      <c r="O86" s="95"/>
      <c r="P86" s="95"/>
      <c r="Q86" s="96"/>
      <c r="R86" s="88"/>
      <c r="S86" s="89"/>
      <c r="T86" s="89"/>
      <c r="U86" s="90"/>
    </row>
    <row r="87" spans="1:21" ht="18" customHeight="1" x14ac:dyDescent="0.2">
      <c r="A87" s="3"/>
      <c r="B87" s="97"/>
      <c r="C87" s="98"/>
      <c r="D87" s="98"/>
      <c r="E87" s="98"/>
      <c r="F87" s="99"/>
      <c r="G87" s="129"/>
      <c r="H87" s="130"/>
      <c r="I87" s="130"/>
      <c r="J87" s="131"/>
      <c r="K87" s="97"/>
      <c r="L87" s="98"/>
      <c r="M87" s="98"/>
      <c r="N87" s="98"/>
      <c r="O87" s="98"/>
      <c r="P87" s="98"/>
      <c r="Q87" s="99"/>
      <c r="R87" s="129"/>
      <c r="S87" s="130"/>
      <c r="T87" s="130"/>
      <c r="U87" s="131"/>
    </row>
    <row r="88" spans="1:21" ht="18" customHeight="1" x14ac:dyDescent="0.2">
      <c r="A88" s="3"/>
      <c r="B88" s="6"/>
      <c r="C88" s="6"/>
      <c r="D88" s="6"/>
      <c r="E88" s="6"/>
      <c r="F88" s="6"/>
      <c r="G88" s="22"/>
      <c r="H88" s="22"/>
      <c r="I88" s="22"/>
      <c r="J88" s="22"/>
      <c r="K88" s="6"/>
      <c r="L88" s="6"/>
      <c r="M88" s="6"/>
      <c r="N88" s="6"/>
      <c r="O88" s="6"/>
      <c r="P88" s="6"/>
      <c r="Q88" s="6"/>
      <c r="R88" s="22"/>
      <c r="S88" s="22"/>
      <c r="T88" s="22"/>
      <c r="U88" s="22"/>
    </row>
    <row r="89" spans="1:21" ht="18.75" customHeight="1" x14ac:dyDescent="0.2">
      <c r="A89" s="1" t="s">
        <v>107</v>
      </c>
    </row>
    <row r="90" spans="1:21" ht="18.75" customHeight="1" x14ac:dyDescent="0.2">
      <c r="B90" s="132" t="s">
        <v>53</v>
      </c>
      <c r="C90" s="133"/>
      <c r="D90" s="91" t="s">
        <v>54</v>
      </c>
      <c r="E90" s="92"/>
      <c r="F90" s="92"/>
      <c r="G90" s="92"/>
      <c r="H90" s="92"/>
      <c r="I90" s="92"/>
      <c r="J90" s="92"/>
      <c r="K90" s="92"/>
      <c r="L90" s="92"/>
      <c r="M90" s="92"/>
      <c r="N90" s="92"/>
      <c r="O90" s="92"/>
      <c r="P90" s="92"/>
      <c r="Q90" s="92"/>
      <c r="R90" s="92"/>
      <c r="S90" s="92"/>
      <c r="T90" s="92"/>
      <c r="U90" s="93"/>
    </row>
    <row r="91" spans="1:21" ht="97.5" customHeight="1" x14ac:dyDescent="0.2">
      <c r="B91" s="109" t="s">
        <v>60</v>
      </c>
      <c r="C91" s="23" t="s">
        <v>55</v>
      </c>
      <c r="D91" s="142" t="s">
        <v>169</v>
      </c>
      <c r="E91" s="143"/>
      <c r="F91" s="143"/>
      <c r="G91" s="143"/>
      <c r="H91" s="143"/>
      <c r="I91" s="143"/>
      <c r="J91" s="143"/>
      <c r="K91" s="143"/>
      <c r="L91" s="143"/>
      <c r="M91" s="143"/>
      <c r="N91" s="143"/>
      <c r="O91" s="143"/>
      <c r="P91" s="143"/>
      <c r="Q91" s="143"/>
      <c r="R91" s="143"/>
      <c r="S91" s="143"/>
      <c r="T91" s="143"/>
      <c r="U91" s="144"/>
    </row>
    <row r="92" spans="1:21" ht="97.5" customHeight="1" x14ac:dyDescent="0.2">
      <c r="B92" s="114"/>
      <c r="C92" s="24" t="s">
        <v>74</v>
      </c>
      <c r="D92" s="139" t="s">
        <v>168</v>
      </c>
      <c r="E92" s="140"/>
      <c r="F92" s="140"/>
      <c r="G92" s="140"/>
      <c r="H92" s="140"/>
      <c r="I92" s="140"/>
      <c r="J92" s="140"/>
      <c r="K92" s="140"/>
      <c r="L92" s="140"/>
      <c r="M92" s="140"/>
      <c r="N92" s="140"/>
      <c r="O92" s="140"/>
      <c r="P92" s="140"/>
      <c r="Q92" s="140"/>
      <c r="R92" s="140"/>
      <c r="S92" s="140"/>
      <c r="T92" s="140"/>
      <c r="U92" s="141"/>
    </row>
    <row r="93" spans="1:21" ht="97.5" customHeight="1" x14ac:dyDescent="0.2">
      <c r="B93" s="109" t="s">
        <v>61</v>
      </c>
      <c r="C93" s="25" t="s">
        <v>68</v>
      </c>
      <c r="D93" s="142" t="s">
        <v>170</v>
      </c>
      <c r="E93" s="143"/>
      <c r="F93" s="143"/>
      <c r="G93" s="143"/>
      <c r="H93" s="143"/>
      <c r="I93" s="143"/>
      <c r="J93" s="143"/>
      <c r="K93" s="143"/>
      <c r="L93" s="143"/>
      <c r="M93" s="143"/>
      <c r="N93" s="143"/>
      <c r="O93" s="143"/>
      <c r="P93" s="143"/>
      <c r="Q93" s="143"/>
      <c r="R93" s="143"/>
      <c r="S93" s="143"/>
      <c r="T93" s="143"/>
      <c r="U93" s="144"/>
    </row>
    <row r="94" spans="1:21" ht="97.5" customHeight="1" x14ac:dyDescent="0.2">
      <c r="B94" s="110"/>
      <c r="C94" s="26" t="s">
        <v>69</v>
      </c>
      <c r="D94" s="139" t="s">
        <v>179</v>
      </c>
      <c r="E94" s="140"/>
      <c r="F94" s="140"/>
      <c r="G94" s="140"/>
      <c r="H94" s="140"/>
      <c r="I94" s="140"/>
      <c r="J94" s="140"/>
      <c r="K94" s="140"/>
      <c r="L94" s="140"/>
      <c r="M94" s="140"/>
      <c r="N94" s="140"/>
      <c r="O94" s="140"/>
      <c r="P94" s="140"/>
      <c r="Q94" s="140"/>
      <c r="R94" s="140"/>
      <c r="S94" s="140"/>
      <c r="T94" s="140"/>
      <c r="U94" s="141"/>
    </row>
    <row r="95" spans="1:21" ht="97.5" customHeight="1" x14ac:dyDescent="0.2">
      <c r="B95" s="109" t="s">
        <v>62</v>
      </c>
      <c r="C95" s="25" t="s">
        <v>70</v>
      </c>
      <c r="D95" s="142" t="s">
        <v>172</v>
      </c>
      <c r="E95" s="143"/>
      <c r="F95" s="143"/>
      <c r="G95" s="143"/>
      <c r="H95" s="143"/>
      <c r="I95" s="143"/>
      <c r="J95" s="143"/>
      <c r="K95" s="143"/>
      <c r="L95" s="143"/>
      <c r="M95" s="143"/>
      <c r="N95" s="143"/>
      <c r="O95" s="143"/>
      <c r="P95" s="143"/>
      <c r="Q95" s="143"/>
      <c r="R95" s="143"/>
      <c r="S95" s="143"/>
      <c r="T95" s="143"/>
      <c r="U95" s="144"/>
    </row>
    <row r="96" spans="1:21" ht="97.5" customHeight="1" x14ac:dyDescent="0.2">
      <c r="B96" s="110"/>
      <c r="C96" s="27" t="s">
        <v>71</v>
      </c>
      <c r="D96" s="139" t="s">
        <v>173</v>
      </c>
      <c r="E96" s="140"/>
      <c r="F96" s="140"/>
      <c r="G96" s="140"/>
      <c r="H96" s="140"/>
      <c r="I96" s="140"/>
      <c r="J96" s="140"/>
      <c r="K96" s="140"/>
      <c r="L96" s="140"/>
      <c r="M96" s="140"/>
      <c r="N96" s="140"/>
      <c r="O96" s="140"/>
      <c r="P96" s="140"/>
      <c r="Q96" s="140"/>
      <c r="R96" s="140"/>
      <c r="S96" s="140"/>
      <c r="T96" s="140"/>
      <c r="U96" s="141"/>
    </row>
    <row r="97" spans="1:33" ht="97.5" customHeight="1" x14ac:dyDescent="0.2">
      <c r="B97" s="109" t="s">
        <v>75</v>
      </c>
      <c r="C97" s="23" t="s">
        <v>57</v>
      </c>
      <c r="D97" s="142" t="s">
        <v>178</v>
      </c>
      <c r="E97" s="143"/>
      <c r="F97" s="143"/>
      <c r="G97" s="143"/>
      <c r="H97" s="143"/>
      <c r="I97" s="143"/>
      <c r="J97" s="143"/>
      <c r="K97" s="143"/>
      <c r="L97" s="143"/>
      <c r="M97" s="143"/>
      <c r="N97" s="143"/>
      <c r="O97" s="143"/>
      <c r="P97" s="143"/>
      <c r="Q97" s="143"/>
      <c r="R97" s="143"/>
      <c r="S97" s="143"/>
      <c r="T97" s="143"/>
      <c r="U97" s="144"/>
    </row>
    <row r="98" spans="1:33" ht="97.5" customHeight="1" x14ac:dyDescent="0.2">
      <c r="B98" s="110"/>
      <c r="C98" s="26" t="s">
        <v>59</v>
      </c>
      <c r="D98" s="139" t="s">
        <v>174</v>
      </c>
      <c r="E98" s="140"/>
      <c r="F98" s="140"/>
      <c r="G98" s="140"/>
      <c r="H98" s="140"/>
      <c r="I98" s="140"/>
      <c r="J98" s="140"/>
      <c r="K98" s="140"/>
      <c r="L98" s="140"/>
      <c r="M98" s="140"/>
      <c r="N98" s="140"/>
      <c r="O98" s="140"/>
      <c r="P98" s="140"/>
      <c r="Q98" s="140"/>
      <c r="R98" s="140"/>
      <c r="S98" s="140"/>
      <c r="T98" s="140"/>
      <c r="U98" s="141"/>
    </row>
    <row r="99" spans="1:33" ht="97.5" customHeight="1" x14ac:dyDescent="0.2">
      <c r="B99" s="109" t="s">
        <v>76</v>
      </c>
      <c r="C99" s="25" t="s">
        <v>56</v>
      </c>
      <c r="D99" s="142" t="s">
        <v>175</v>
      </c>
      <c r="E99" s="143"/>
      <c r="F99" s="143"/>
      <c r="G99" s="143"/>
      <c r="H99" s="143"/>
      <c r="I99" s="143"/>
      <c r="J99" s="143"/>
      <c r="K99" s="143"/>
      <c r="L99" s="143"/>
      <c r="M99" s="143"/>
      <c r="N99" s="143"/>
      <c r="O99" s="143"/>
      <c r="P99" s="143"/>
      <c r="Q99" s="143"/>
      <c r="R99" s="143"/>
      <c r="S99" s="143"/>
      <c r="T99" s="143"/>
      <c r="U99" s="144"/>
    </row>
    <row r="100" spans="1:33" ht="97.5" customHeight="1" x14ac:dyDescent="0.2">
      <c r="B100" s="114"/>
      <c r="C100" s="28" t="s">
        <v>72</v>
      </c>
      <c r="D100" s="145" t="s">
        <v>176</v>
      </c>
      <c r="E100" s="146"/>
      <c r="F100" s="146"/>
      <c r="G100" s="146"/>
      <c r="H100" s="146"/>
      <c r="I100" s="146"/>
      <c r="J100" s="146"/>
      <c r="K100" s="146"/>
      <c r="L100" s="146"/>
      <c r="M100" s="146"/>
      <c r="N100" s="146"/>
      <c r="O100" s="146"/>
      <c r="P100" s="146"/>
      <c r="Q100" s="146"/>
      <c r="R100" s="146"/>
      <c r="S100" s="146"/>
      <c r="T100" s="146"/>
      <c r="U100" s="147"/>
    </row>
    <row r="101" spans="1:33" ht="97.5" customHeight="1" x14ac:dyDescent="0.2">
      <c r="B101" s="110"/>
      <c r="C101" s="27" t="s">
        <v>73</v>
      </c>
      <c r="D101" s="139" t="s">
        <v>177</v>
      </c>
      <c r="E101" s="140"/>
      <c r="F101" s="140"/>
      <c r="G101" s="140"/>
      <c r="H101" s="140"/>
      <c r="I101" s="140"/>
      <c r="J101" s="140"/>
      <c r="K101" s="140"/>
      <c r="L101" s="140"/>
      <c r="M101" s="140"/>
      <c r="N101" s="140"/>
      <c r="O101" s="140"/>
      <c r="P101" s="140"/>
      <c r="Q101" s="140"/>
      <c r="R101" s="140"/>
      <c r="S101" s="140"/>
      <c r="T101" s="140"/>
      <c r="U101" s="141"/>
    </row>
    <row r="102" spans="1:33" ht="6" customHeight="1" x14ac:dyDescent="0.2"/>
    <row r="103" spans="1:33" ht="18.75" customHeight="1" x14ac:dyDescent="0.2">
      <c r="A103" s="1" t="s">
        <v>108</v>
      </c>
    </row>
    <row r="104" spans="1:33" ht="81.75" customHeight="1" x14ac:dyDescent="0.2">
      <c r="B104" s="126" t="s">
        <v>144</v>
      </c>
      <c r="C104" s="127"/>
      <c r="D104" s="127"/>
      <c r="E104" s="127"/>
      <c r="F104" s="127"/>
      <c r="G104" s="127"/>
      <c r="H104" s="127"/>
      <c r="I104" s="127"/>
      <c r="J104" s="127"/>
      <c r="K104" s="127"/>
      <c r="L104" s="127"/>
      <c r="M104" s="127"/>
      <c r="N104" s="127"/>
      <c r="O104" s="127"/>
      <c r="P104" s="127"/>
      <c r="Q104" s="127"/>
      <c r="R104" s="127"/>
      <c r="S104" s="127"/>
      <c r="T104" s="127"/>
      <c r="U104" s="128"/>
    </row>
    <row r="106" spans="1:33" ht="18.75" customHeight="1" x14ac:dyDescent="0.2">
      <c r="A106" s="73" t="s">
        <v>124</v>
      </c>
      <c r="B106" s="74"/>
      <c r="C106" s="74"/>
      <c r="D106" s="74"/>
      <c r="E106" s="74"/>
      <c r="F106" s="74"/>
      <c r="G106" s="74"/>
      <c r="H106" s="74"/>
      <c r="I106" s="74"/>
      <c r="J106" s="74"/>
      <c r="K106" s="74"/>
      <c r="L106" s="74"/>
      <c r="M106" s="74"/>
      <c r="N106" s="74"/>
      <c r="O106" s="74"/>
      <c r="P106" s="74"/>
      <c r="Q106" s="74"/>
      <c r="R106" s="74"/>
      <c r="S106" s="74"/>
      <c r="T106" s="74"/>
      <c r="U106" s="74"/>
    </row>
    <row r="107" spans="1:33" ht="18.75" customHeight="1" x14ac:dyDescent="0.2">
      <c r="A107" s="73" t="s">
        <v>126</v>
      </c>
      <c r="B107" s="73"/>
      <c r="C107" s="73"/>
      <c r="D107" s="73"/>
      <c r="E107" s="73"/>
      <c r="F107" s="73"/>
      <c r="G107" s="73"/>
      <c r="H107" s="73"/>
      <c r="I107" s="73"/>
      <c r="J107" s="73"/>
      <c r="K107" s="73"/>
      <c r="L107" s="73"/>
      <c r="M107" s="73"/>
      <c r="N107" s="73"/>
      <c r="O107" s="73"/>
      <c r="P107" s="73"/>
      <c r="Q107" s="73"/>
      <c r="R107" s="73"/>
      <c r="S107" s="73"/>
      <c r="T107" s="73"/>
      <c r="U107" s="73"/>
      <c r="V107" s="2"/>
      <c r="W107" s="2"/>
      <c r="X107" s="2"/>
      <c r="Y107" s="2"/>
      <c r="Z107" s="2"/>
      <c r="AA107" s="2"/>
      <c r="AB107" s="2"/>
      <c r="AC107" s="2"/>
      <c r="AD107" s="2"/>
      <c r="AE107" s="2"/>
      <c r="AF107" s="2"/>
      <c r="AG107" s="2"/>
    </row>
    <row r="108" spans="1:33" ht="18.75" customHeight="1" x14ac:dyDescent="0.2">
      <c r="A108" s="73"/>
      <c r="B108" s="138" t="s">
        <v>129</v>
      </c>
      <c r="C108" s="138"/>
      <c r="D108" s="138"/>
      <c r="E108" s="138"/>
      <c r="F108" s="138"/>
      <c r="G108" s="138"/>
      <c r="H108" s="138"/>
      <c r="I108" s="138"/>
      <c r="J108" s="138"/>
      <c r="K108" s="138"/>
      <c r="L108" s="138"/>
      <c r="M108" s="138"/>
      <c r="N108" s="138"/>
      <c r="O108" s="138"/>
      <c r="P108" s="138"/>
      <c r="Q108" s="138"/>
      <c r="R108" s="138"/>
      <c r="S108" s="138"/>
      <c r="T108" s="138"/>
      <c r="U108" s="138"/>
      <c r="V108" s="69"/>
      <c r="W108" s="69"/>
      <c r="X108" s="69"/>
      <c r="Y108" s="69"/>
      <c r="Z108" s="69"/>
      <c r="AA108" s="69"/>
      <c r="AB108" s="69"/>
      <c r="AC108" s="69"/>
      <c r="AD108" s="69"/>
      <c r="AE108" s="69"/>
      <c r="AF108" s="69"/>
      <c r="AG108" s="69"/>
    </row>
    <row r="109" spans="1:33" ht="37.15" customHeight="1" x14ac:dyDescent="0.2">
      <c r="A109" s="73"/>
      <c r="B109" s="138"/>
      <c r="C109" s="138"/>
      <c r="D109" s="138"/>
      <c r="E109" s="138"/>
      <c r="F109" s="138"/>
      <c r="G109" s="138"/>
      <c r="H109" s="138"/>
      <c r="I109" s="138"/>
      <c r="J109" s="138"/>
      <c r="K109" s="138"/>
      <c r="L109" s="138"/>
      <c r="M109" s="138"/>
      <c r="N109" s="138"/>
      <c r="O109" s="138"/>
      <c r="P109" s="138"/>
      <c r="Q109" s="138"/>
      <c r="R109" s="138"/>
      <c r="S109" s="138"/>
      <c r="T109" s="138"/>
      <c r="U109" s="138"/>
      <c r="V109" s="69"/>
      <c r="W109" s="69"/>
      <c r="X109" s="69"/>
      <c r="Y109" s="69"/>
      <c r="Z109" s="69"/>
      <c r="AA109" s="69"/>
      <c r="AB109" s="69"/>
      <c r="AC109" s="69"/>
      <c r="AD109" s="69"/>
      <c r="AE109" s="69"/>
      <c r="AF109" s="69"/>
      <c r="AG109" s="69"/>
    </row>
    <row r="110" spans="1:33" ht="18.75" customHeight="1" x14ac:dyDescent="0.2">
      <c r="A110" s="73"/>
      <c r="B110" s="87" t="s">
        <v>125</v>
      </c>
      <c r="C110" s="87"/>
      <c r="D110" s="87"/>
      <c r="E110" s="87"/>
      <c r="F110" s="87"/>
      <c r="G110" s="87"/>
      <c r="H110" s="87"/>
      <c r="I110" s="87"/>
      <c r="J110" s="87"/>
      <c r="K110" s="87"/>
      <c r="L110" s="87"/>
      <c r="M110" s="87"/>
      <c r="N110" s="87"/>
      <c r="O110" s="87"/>
      <c r="P110" s="87"/>
      <c r="Q110" s="87"/>
      <c r="R110" s="87"/>
      <c r="S110" s="87"/>
      <c r="T110" s="87"/>
      <c r="U110" s="87"/>
      <c r="V110" s="69"/>
      <c r="W110" s="69"/>
      <c r="X110" s="69"/>
      <c r="Y110" s="69"/>
      <c r="Z110" s="69"/>
      <c r="AA110" s="69"/>
      <c r="AB110" s="69"/>
      <c r="AC110" s="69"/>
      <c r="AD110" s="69"/>
      <c r="AE110" s="69"/>
      <c r="AF110" s="69"/>
      <c r="AG110" s="69"/>
    </row>
    <row r="111" spans="1:33" ht="18.75" customHeight="1" x14ac:dyDescent="0.2">
      <c r="A111" s="73"/>
      <c r="B111" s="100" t="s">
        <v>54</v>
      </c>
      <c r="C111" s="100"/>
      <c r="D111" s="100"/>
      <c r="E111" s="100"/>
      <c r="F111" s="100"/>
      <c r="G111" s="100"/>
      <c r="H111" s="100"/>
      <c r="I111" s="100"/>
      <c r="J111" s="100"/>
      <c r="K111" s="100"/>
      <c r="L111" s="100"/>
      <c r="M111" s="100"/>
      <c r="N111" s="100"/>
      <c r="O111" s="100"/>
      <c r="P111" s="100"/>
      <c r="Q111" s="100"/>
      <c r="R111" s="100"/>
      <c r="S111" s="100"/>
      <c r="T111" s="100"/>
      <c r="U111" s="100"/>
      <c r="V111" s="68"/>
      <c r="W111" s="68"/>
      <c r="X111" s="68"/>
      <c r="Y111" s="68"/>
      <c r="Z111" s="68"/>
      <c r="AA111" s="68"/>
      <c r="AB111" s="68"/>
      <c r="AC111" s="68"/>
      <c r="AD111" s="68"/>
      <c r="AE111" s="68"/>
      <c r="AF111" s="68"/>
      <c r="AG111" s="68"/>
    </row>
    <row r="112" spans="1:33" ht="132" customHeight="1" x14ac:dyDescent="0.2">
      <c r="A112" s="73"/>
      <c r="B112" s="101" t="s">
        <v>181</v>
      </c>
      <c r="C112" s="101"/>
      <c r="D112" s="101"/>
      <c r="E112" s="101"/>
      <c r="F112" s="101"/>
      <c r="G112" s="101"/>
      <c r="H112" s="101"/>
      <c r="I112" s="101"/>
      <c r="J112" s="101"/>
      <c r="K112" s="101"/>
      <c r="L112" s="101"/>
      <c r="M112" s="101"/>
      <c r="N112" s="101"/>
      <c r="O112" s="101"/>
      <c r="P112" s="101"/>
      <c r="Q112" s="101"/>
      <c r="R112" s="101"/>
      <c r="S112" s="101"/>
      <c r="T112" s="101"/>
      <c r="U112" s="101"/>
      <c r="V112" s="70"/>
      <c r="W112" s="70"/>
      <c r="X112" s="70"/>
      <c r="Y112" s="70"/>
      <c r="Z112" s="70"/>
      <c r="AA112" s="70"/>
      <c r="AB112" s="70"/>
      <c r="AC112" s="70"/>
      <c r="AD112" s="70"/>
      <c r="AE112" s="70"/>
      <c r="AF112" s="70"/>
      <c r="AG112" s="70"/>
    </row>
    <row r="114" ht="18" customHeight="1" x14ac:dyDescent="0.2"/>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 right="0.7" top="0.75" bottom="0.75" header="0.3" footer="0.3"/>
  <pageSetup paperSize="9" scale="70"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F20" sqref="F20"/>
    </sheetView>
  </sheetViews>
  <sheetFormatPr defaultColWidth="9" defaultRowHeight="18.75" customHeight="1" x14ac:dyDescent="0.2"/>
  <cols>
    <col min="1" max="1" width="2.7265625" style="1" customWidth="1"/>
    <col min="2" max="2" width="20.7265625" style="1" customWidth="1"/>
    <col min="3" max="18" width="6.08984375" style="1" customWidth="1"/>
    <col min="19" max="19" width="6.6328125" style="1" customWidth="1"/>
    <col min="20" max="16384" width="9" style="1"/>
  </cols>
  <sheetData>
    <row r="1" spans="1:21" ht="18" customHeight="1" x14ac:dyDescent="0.2">
      <c r="A1" s="74"/>
      <c r="B1" s="74"/>
      <c r="C1" s="74"/>
      <c r="D1" s="74"/>
      <c r="E1" s="74"/>
      <c r="F1" s="74"/>
      <c r="G1" s="74"/>
      <c r="H1" s="74"/>
      <c r="I1" s="74"/>
      <c r="J1" s="74"/>
      <c r="K1" s="74"/>
      <c r="L1" s="74"/>
      <c r="M1" s="74"/>
      <c r="N1" s="74"/>
      <c r="O1" s="74"/>
      <c r="P1" s="74"/>
      <c r="Q1" s="74"/>
      <c r="R1" s="74"/>
      <c r="S1" s="74" t="s">
        <v>97</v>
      </c>
    </row>
    <row r="2" spans="1:21" ht="18" customHeight="1" x14ac:dyDescent="0.2">
      <c r="A2" s="74"/>
      <c r="B2" s="74"/>
      <c r="C2" s="74"/>
      <c r="D2" s="74"/>
      <c r="E2" s="74"/>
      <c r="F2" s="74"/>
      <c r="G2" s="74"/>
      <c r="H2" s="74"/>
      <c r="I2" s="74"/>
      <c r="J2" s="74"/>
      <c r="K2" s="74"/>
      <c r="L2" s="74"/>
      <c r="M2" s="74"/>
      <c r="N2" s="74"/>
      <c r="O2" s="74"/>
      <c r="P2" s="74"/>
      <c r="Q2" s="161" t="str">
        <f>'様式１　プログラムを構成する授業科目'!C2</f>
        <v>横浜商科大学</v>
      </c>
      <c r="R2" s="161"/>
      <c r="S2" s="161"/>
    </row>
    <row r="3" spans="1:21" ht="18" customHeight="1" x14ac:dyDescent="0.2">
      <c r="A3" s="115" t="s">
        <v>47</v>
      </c>
      <c r="B3" s="115"/>
      <c r="C3" s="115"/>
      <c r="D3" s="115"/>
      <c r="E3" s="115"/>
      <c r="F3" s="115"/>
      <c r="G3" s="115"/>
      <c r="H3" s="115"/>
      <c r="I3" s="115"/>
      <c r="J3" s="115"/>
      <c r="K3" s="115"/>
      <c r="L3" s="115"/>
      <c r="M3" s="115"/>
      <c r="N3" s="115"/>
      <c r="O3" s="115"/>
      <c r="P3" s="115"/>
      <c r="Q3" s="115"/>
      <c r="R3" s="115"/>
      <c r="S3" s="115"/>
    </row>
    <row r="4" spans="1:21" ht="7.5" customHeight="1" x14ac:dyDescent="0.2">
      <c r="A4" s="79"/>
      <c r="B4" s="79"/>
      <c r="C4" s="79"/>
      <c r="D4" s="79"/>
      <c r="E4" s="79"/>
      <c r="F4" s="79"/>
      <c r="G4" s="79"/>
      <c r="H4" s="79"/>
      <c r="I4" s="79"/>
      <c r="J4" s="79"/>
      <c r="K4" s="79"/>
      <c r="L4" s="79"/>
      <c r="M4" s="79"/>
      <c r="N4" s="79"/>
      <c r="O4" s="79"/>
      <c r="P4" s="79"/>
      <c r="Q4" s="79"/>
      <c r="R4" s="79"/>
      <c r="S4" s="79"/>
    </row>
    <row r="5" spans="1:21" ht="18" customHeight="1" x14ac:dyDescent="0.2">
      <c r="A5" s="74" t="s">
        <v>79</v>
      </c>
      <c r="B5" s="74"/>
      <c r="C5" s="162" t="s">
        <v>182</v>
      </c>
      <c r="D5" s="163"/>
      <c r="E5" s="79" t="s">
        <v>51</v>
      </c>
      <c r="F5" s="79"/>
      <c r="G5" s="79"/>
      <c r="H5" s="79"/>
      <c r="I5" s="79"/>
      <c r="J5" s="79"/>
      <c r="K5" s="79"/>
      <c r="L5" s="79"/>
      <c r="M5" s="79"/>
      <c r="N5" s="79"/>
      <c r="O5" s="79"/>
      <c r="P5" s="79"/>
      <c r="Q5" s="79"/>
      <c r="R5" s="77"/>
      <c r="S5" s="77"/>
    </row>
    <row r="6" spans="1:21" ht="7.15" customHeight="1" x14ac:dyDescent="0.2">
      <c r="A6" s="74"/>
      <c r="B6" s="74"/>
      <c r="C6" s="83"/>
      <c r="D6" s="83"/>
      <c r="E6" s="79"/>
      <c r="F6" s="79"/>
      <c r="G6" s="79"/>
      <c r="H6" s="79"/>
      <c r="I6" s="79"/>
      <c r="J6" s="79"/>
      <c r="K6" s="79"/>
      <c r="L6" s="79"/>
      <c r="M6" s="79"/>
      <c r="N6" s="79"/>
      <c r="O6" s="79"/>
      <c r="P6" s="79"/>
      <c r="Q6" s="79"/>
      <c r="R6" s="77"/>
      <c r="S6" s="77"/>
    </row>
    <row r="7" spans="1:21" ht="18" customHeight="1" x14ac:dyDescent="0.2">
      <c r="A7" s="74" t="s">
        <v>117</v>
      </c>
      <c r="B7" s="74"/>
      <c r="C7" s="83"/>
      <c r="D7" s="83"/>
      <c r="E7" s="79" t="s">
        <v>118</v>
      </c>
      <c r="F7" s="82">
        <v>1103</v>
      </c>
      <c r="G7" s="80" t="s">
        <v>119</v>
      </c>
      <c r="H7" s="79" t="s">
        <v>120</v>
      </c>
      <c r="I7" s="82">
        <v>251</v>
      </c>
      <c r="J7" s="80" t="s">
        <v>119</v>
      </c>
      <c r="K7" s="75" t="s">
        <v>121</v>
      </c>
      <c r="L7" s="79" t="s">
        <v>122</v>
      </c>
      <c r="M7" s="82">
        <f>F7+I7</f>
        <v>1354</v>
      </c>
      <c r="N7" s="79" t="s">
        <v>1</v>
      </c>
      <c r="O7" s="80" t="s">
        <v>123</v>
      </c>
      <c r="P7" s="79"/>
      <c r="Q7" s="79"/>
      <c r="R7" s="77"/>
      <c r="S7" s="77"/>
    </row>
    <row r="8" spans="1:21" ht="6" customHeight="1" x14ac:dyDescent="0.2">
      <c r="A8" s="79"/>
      <c r="B8" s="79"/>
      <c r="C8" s="79"/>
      <c r="D8" s="79"/>
      <c r="E8" s="79"/>
      <c r="F8" s="79"/>
      <c r="G8" s="79"/>
      <c r="H8" s="79"/>
      <c r="I8" s="79"/>
      <c r="J8" s="79"/>
      <c r="K8" s="79"/>
      <c r="L8" s="79"/>
      <c r="M8" s="79"/>
      <c r="N8" s="79"/>
      <c r="O8" s="79"/>
      <c r="P8" s="79"/>
      <c r="Q8" s="79"/>
      <c r="R8" s="79"/>
      <c r="S8" s="79"/>
    </row>
    <row r="9" spans="1:21" ht="18" customHeight="1" x14ac:dyDescent="0.2">
      <c r="A9" s="74" t="s">
        <v>133</v>
      </c>
      <c r="B9" s="79"/>
      <c r="C9" s="79"/>
      <c r="D9" s="79"/>
      <c r="E9" s="79"/>
      <c r="F9" s="79"/>
      <c r="G9" s="79"/>
      <c r="H9" s="79"/>
      <c r="I9" s="79"/>
      <c r="J9" s="79"/>
      <c r="K9" s="79"/>
      <c r="L9" s="79"/>
      <c r="M9" s="79"/>
      <c r="N9" s="79"/>
      <c r="O9" s="79"/>
      <c r="P9" s="79"/>
      <c r="Q9" s="79"/>
      <c r="R9" s="79"/>
      <c r="S9" s="79"/>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64" t="s">
        <v>44</v>
      </c>
      <c r="C11" s="174" t="s">
        <v>82</v>
      </c>
      <c r="D11" s="166" t="s">
        <v>46</v>
      </c>
      <c r="E11" s="168" t="s">
        <v>39</v>
      </c>
      <c r="F11" s="160" t="s">
        <v>111</v>
      </c>
      <c r="G11" s="160"/>
      <c r="H11" s="160" t="s">
        <v>81</v>
      </c>
      <c r="I11" s="160"/>
      <c r="J11" s="160" t="s">
        <v>48</v>
      </c>
      <c r="K11" s="160"/>
      <c r="L11" s="160" t="s">
        <v>49</v>
      </c>
      <c r="M11" s="160"/>
      <c r="N11" s="160" t="s">
        <v>91</v>
      </c>
      <c r="O11" s="160"/>
      <c r="P11" s="160" t="s">
        <v>50</v>
      </c>
      <c r="Q11" s="160"/>
      <c r="R11" s="170" t="s">
        <v>35</v>
      </c>
      <c r="S11" s="172" t="s">
        <v>32</v>
      </c>
      <c r="U11" s="2"/>
    </row>
    <row r="12" spans="1:21" ht="16.899999999999999" customHeight="1" x14ac:dyDescent="0.2">
      <c r="B12" s="165"/>
      <c r="C12" s="175"/>
      <c r="D12" s="167"/>
      <c r="E12" s="169"/>
      <c r="F12" s="63" t="s">
        <v>90</v>
      </c>
      <c r="G12" s="63" t="s">
        <v>29</v>
      </c>
      <c r="H12" s="63" t="s">
        <v>90</v>
      </c>
      <c r="I12" s="63" t="s">
        <v>29</v>
      </c>
      <c r="J12" s="63" t="s">
        <v>90</v>
      </c>
      <c r="K12" s="63" t="s">
        <v>29</v>
      </c>
      <c r="L12" s="63" t="s">
        <v>90</v>
      </c>
      <c r="M12" s="63" t="s">
        <v>29</v>
      </c>
      <c r="N12" s="63" t="s">
        <v>90</v>
      </c>
      <c r="O12" s="63" t="s">
        <v>29</v>
      </c>
      <c r="P12" s="63" t="s">
        <v>90</v>
      </c>
      <c r="Q12" s="64" t="s">
        <v>29</v>
      </c>
      <c r="R12" s="171"/>
      <c r="S12" s="173"/>
      <c r="U12" s="2"/>
    </row>
    <row r="13" spans="1:21" ht="18" customHeight="1" x14ac:dyDescent="0.2">
      <c r="A13" s="6"/>
      <c r="B13" s="84" t="s">
        <v>185</v>
      </c>
      <c r="C13" s="51">
        <v>757</v>
      </c>
      <c r="D13" s="52">
        <v>145</v>
      </c>
      <c r="E13" s="53">
        <v>592</v>
      </c>
      <c r="F13" s="53">
        <v>187</v>
      </c>
      <c r="G13" s="53">
        <v>1</v>
      </c>
      <c r="H13" s="53"/>
      <c r="I13" s="53"/>
      <c r="J13" s="53"/>
      <c r="K13" s="53"/>
      <c r="L13" s="53"/>
      <c r="M13" s="53"/>
      <c r="N13" s="53"/>
      <c r="O13" s="53"/>
      <c r="P13" s="53"/>
      <c r="Q13" s="65"/>
      <c r="R13" s="52">
        <f t="shared" ref="R13:R32" si="0">F13+H13+J13+L13+N13+P13</f>
        <v>187</v>
      </c>
      <c r="S13" s="66">
        <f t="shared" ref="S13:S33" si="1">R13/E13</f>
        <v>0.3158783783783784</v>
      </c>
    </row>
    <row r="14" spans="1:21" ht="18" customHeight="1" x14ac:dyDescent="0.2">
      <c r="A14" s="6"/>
      <c r="B14" s="85" t="s">
        <v>186</v>
      </c>
      <c r="C14" s="54">
        <v>239</v>
      </c>
      <c r="D14" s="55">
        <v>70</v>
      </c>
      <c r="E14" s="56">
        <v>288</v>
      </c>
      <c r="F14" s="57">
        <v>63</v>
      </c>
      <c r="G14" s="57">
        <v>0</v>
      </c>
      <c r="H14" s="57"/>
      <c r="I14" s="57"/>
      <c r="J14" s="57"/>
      <c r="K14" s="57"/>
      <c r="L14" s="57"/>
      <c r="M14" s="57"/>
      <c r="N14" s="57"/>
      <c r="O14" s="57"/>
      <c r="P14" s="57"/>
      <c r="Q14" s="54"/>
      <c r="R14" s="55">
        <f t="shared" si="0"/>
        <v>63</v>
      </c>
      <c r="S14" s="16">
        <f t="shared" si="1"/>
        <v>0.21875</v>
      </c>
    </row>
    <row r="15" spans="1:21" ht="18" customHeight="1" x14ac:dyDescent="0.2">
      <c r="A15" s="6"/>
      <c r="B15" s="85" t="s">
        <v>187</v>
      </c>
      <c r="C15" s="54">
        <v>358</v>
      </c>
      <c r="D15" s="55">
        <v>80</v>
      </c>
      <c r="E15" s="56">
        <v>320</v>
      </c>
      <c r="F15" s="57">
        <v>93</v>
      </c>
      <c r="G15" s="57">
        <v>16</v>
      </c>
      <c r="H15" s="57"/>
      <c r="I15" s="57"/>
      <c r="J15" s="57"/>
      <c r="K15" s="57"/>
      <c r="L15" s="57"/>
      <c r="M15" s="57"/>
      <c r="N15" s="57"/>
      <c r="O15" s="57"/>
      <c r="P15" s="57"/>
      <c r="Q15" s="54"/>
      <c r="R15" s="55">
        <f t="shared" si="0"/>
        <v>93</v>
      </c>
      <c r="S15" s="8">
        <f t="shared" si="1"/>
        <v>0.29062500000000002</v>
      </c>
    </row>
    <row r="16" spans="1:21" ht="18" customHeight="1" x14ac:dyDescent="0.2">
      <c r="A16" s="6"/>
      <c r="B16" s="11"/>
      <c r="C16" s="54"/>
      <c r="D16" s="55"/>
      <c r="E16" s="56"/>
      <c r="F16" s="57"/>
      <c r="G16" s="57"/>
      <c r="H16" s="57"/>
      <c r="I16" s="57"/>
      <c r="J16" s="57"/>
      <c r="K16" s="57"/>
      <c r="L16" s="57"/>
      <c r="M16" s="57"/>
      <c r="N16" s="57"/>
      <c r="O16" s="57"/>
      <c r="P16" s="57"/>
      <c r="Q16" s="54"/>
      <c r="R16" s="55">
        <f t="shared" si="0"/>
        <v>0</v>
      </c>
      <c r="S16" s="8" t="e">
        <f t="shared" si="1"/>
        <v>#DIV/0!</v>
      </c>
    </row>
    <row r="17" spans="1:19" ht="18" customHeight="1" x14ac:dyDescent="0.2">
      <c r="A17" s="6"/>
      <c r="B17" s="11"/>
      <c r="C17" s="54"/>
      <c r="D17" s="55"/>
      <c r="E17" s="56"/>
      <c r="F17" s="57"/>
      <c r="G17" s="57"/>
      <c r="H17" s="57"/>
      <c r="I17" s="57"/>
      <c r="J17" s="57"/>
      <c r="K17" s="57"/>
      <c r="L17" s="57"/>
      <c r="M17" s="57"/>
      <c r="N17" s="57"/>
      <c r="O17" s="57"/>
      <c r="P17" s="57"/>
      <c r="Q17" s="54"/>
      <c r="R17" s="55">
        <f t="shared" si="0"/>
        <v>0</v>
      </c>
      <c r="S17" s="8" t="e">
        <f t="shared" si="1"/>
        <v>#DIV/0!</v>
      </c>
    </row>
    <row r="18" spans="1:19" ht="18" customHeight="1" x14ac:dyDescent="0.2">
      <c r="A18" s="6"/>
      <c r="B18" s="11"/>
      <c r="C18" s="54"/>
      <c r="D18" s="55"/>
      <c r="E18" s="56"/>
      <c r="F18" s="57"/>
      <c r="G18" s="57"/>
      <c r="H18" s="57"/>
      <c r="I18" s="57"/>
      <c r="J18" s="57"/>
      <c r="K18" s="57"/>
      <c r="L18" s="57"/>
      <c r="M18" s="57"/>
      <c r="N18" s="57"/>
      <c r="O18" s="57"/>
      <c r="P18" s="57"/>
      <c r="Q18" s="54"/>
      <c r="R18" s="55">
        <f t="shared" si="0"/>
        <v>0</v>
      </c>
      <c r="S18" s="8" t="e">
        <f t="shared" si="1"/>
        <v>#DIV/0!</v>
      </c>
    </row>
    <row r="19" spans="1:19" ht="18" customHeight="1" x14ac:dyDescent="0.2">
      <c r="A19" s="6"/>
      <c r="B19" s="11"/>
      <c r="C19" s="54"/>
      <c r="D19" s="55"/>
      <c r="E19" s="56"/>
      <c r="F19" s="57"/>
      <c r="G19" s="57"/>
      <c r="H19" s="57"/>
      <c r="I19" s="57"/>
      <c r="J19" s="57"/>
      <c r="K19" s="57"/>
      <c r="L19" s="57"/>
      <c r="M19" s="57"/>
      <c r="N19" s="57"/>
      <c r="O19" s="57"/>
      <c r="P19" s="57"/>
      <c r="Q19" s="54"/>
      <c r="R19" s="55">
        <f t="shared" si="0"/>
        <v>0</v>
      </c>
      <c r="S19" s="8" t="e">
        <f t="shared" si="1"/>
        <v>#DIV/0!</v>
      </c>
    </row>
    <row r="20" spans="1:19" ht="18" customHeight="1" x14ac:dyDescent="0.2">
      <c r="A20" s="6"/>
      <c r="B20" s="11"/>
      <c r="C20" s="54"/>
      <c r="D20" s="55"/>
      <c r="E20" s="56"/>
      <c r="F20" s="57"/>
      <c r="G20" s="57"/>
      <c r="H20" s="57"/>
      <c r="I20" s="57"/>
      <c r="J20" s="57"/>
      <c r="K20" s="57"/>
      <c r="L20" s="57"/>
      <c r="M20" s="57"/>
      <c r="N20" s="57"/>
      <c r="O20" s="57"/>
      <c r="P20" s="57"/>
      <c r="Q20" s="54"/>
      <c r="R20" s="55">
        <f t="shared" si="0"/>
        <v>0</v>
      </c>
      <c r="S20" s="8" t="e">
        <f t="shared" si="1"/>
        <v>#DIV/0!</v>
      </c>
    </row>
    <row r="21" spans="1:19" ht="18" customHeight="1" x14ac:dyDescent="0.2">
      <c r="A21" s="6"/>
      <c r="B21" s="11"/>
      <c r="C21" s="54"/>
      <c r="D21" s="55"/>
      <c r="E21" s="56"/>
      <c r="F21" s="57"/>
      <c r="G21" s="57"/>
      <c r="H21" s="57"/>
      <c r="I21" s="57"/>
      <c r="J21" s="57"/>
      <c r="K21" s="57"/>
      <c r="L21" s="57"/>
      <c r="M21" s="57"/>
      <c r="N21" s="57"/>
      <c r="O21" s="57"/>
      <c r="P21" s="57"/>
      <c r="Q21" s="54"/>
      <c r="R21" s="55">
        <f t="shared" si="0"/>
        <v>0</v>
      </c>
      <c r="S21" s="8" t="e">
        <f t="shared" si="1"/>
        <v>#DIV/0!</v>
      </c>
    </row>
    <row r="22" spans="1:19" ht="18" customHeight="1" x14ac:dyDescent="0.2">
      <c r="A22" s="6"/>
      <c r="B22" s="11"/>
      <c r="C22" s="54"/>
      <c r="D22" s="55"/>
      <c r="E22" s="56"/>
      <c r="F22" s="57"/>
      <c r="G22" s="57"/>
      <c r="H22" s="57"/>
      <c r="I22" s="57"/>
      <c r="J22" s="57"/>
      <c r="K22" s="57"/>
      <c r="L22" s="57"/>
      <c r="M22" s="57"/>
      <c r="N22" s="57"/>
      <c r="O22" s="57"/>
      <c r="P22" s="57"/>
      <c r="Q22" s="54"/>
      <c r="R22" s="55">
        <f t="shared" si="0"/>
        <v>0</v>
      </c>
      <c r="S22" s="8" t="e">
        <f t="shared" si="1"/>
        <v>#DIV/0!</v>
      </c>
    </row>
    <row r="23" spans="1:19" ht="18" customHeight="1" x14ac:dyDescent="0.2">
      <c r="A23" s="6"/>
      <c r="B23" s="11"/>
      <c r="C23" s="54"/>
      <c r="D23" s="55"/>
      <c r="E23" s="56"/>
      <c r="F23" s="57"/>
      <c r="G23" s="57"/>
      <c r="H23" s="57"/>
      <c r="I23" s="57"/>
      <c r="J23" s="57"/>
      <c r="K23" s="57"/>
      <c r="L23" s="57"/>
      <c r="M23" s="57"/>
      <c r="N23" s="57"/>
      <c r="O23" s="57"/>
      <c r="P23" s="57"/>
      <c r="Q23" s="54"/>
      <c r="R23" s="55">
        <f t="shared" si="0"/>
        <v>0</v>
      </c>
      <c r="S23" s="8" t="e">
        <f t="shared" si="1"/>
        <v>#DIV/0!</v>
      </c>
    </row>
    <row r="24" spans="1:19" ht="18" customHeight="1" x14ac:dyDescent="0.2">
      <c r="A24" s="6"/>
      <c r="B24" s="11"/>
      <c r="C24" s="54"/>
      <c r="D24" s="55"/>
      <c r="E24" s="56"/>
      <c r="F24" s="57"/>
      <c r="G24" s="57"/>
      <c r="H24" s="57"/>
      <c r="I24" s="57"/>
      <c r="J24" s="57"/>
      <c r="K24" s="57"/>
      <c r="L24" s="57"/>
      <c r="M24" s="57"/>
      <c r="N24" s="57"/>
      <c r="O24" s="57"/>
      <c r="P24" s="57"/>
      <c r="Q24" s="54"/>
      <c r="R24" s="55">
        <f t="shared" si="0"/>
        <v>0</v>
      </c>
      <c r="S24" s="8" t="e">
        <f t="shared" si="1"/>
        <v>#DIV/0!</v>
      </c>
    </row>
    <row r="25" spans="1:19" ht="18" customHeight="1" x14ac:dyDescent="0.2">
      <c r="A25" s="6"/>
      <c r="B25" s="11"/>
      <c r="C25" s="54"/>
      <c r="D25" s="55"/>
      <c r="E25" s="56"/>
      <c r="F25" s="57"/>
      <c r="G25" s="57"/>
      <c r="H25" s="57"/>
      <c r="I25" s="57"/>
      <c r="J25" s="57"/>
      <c r="K25" s="57"/>
      <c r="L25" s="57"/>
      <c r="M25" s="57"/>
      <c r="N25" s="57"/>
      <c r="O25" s="57"/>
      <c r="P25" s="57"/>
      <c r="Q25" s="54"/>
      <c r="R25" s="55">
        <f t="shared" si="0"/>
        <v>0</v>
      </c>
      <c r="S25" s="8" t="e">
        <f t="shared" si="1"/>
        <v>#DIV/0!</v>
      </c>
    </row>
    <row r="26" spans="1:19" ht="18" customHeight="1" x14ac:dyDescent="0.2">
      <c r="A26" s="6"/>
      <c r="B26" s="11"/>
      <c r="C26" s="54"/>
      <c r="D26" s="55"/>
      <c r="E26" s="56"/>
      <c r="F26" s="57"/>
      <c r="G26" s="57"/>
      <c r="H26" s="57"/>
      <c r="I26" s="57"/>
      <c r="J26" s="57"/>
      <c r="K26" s="57"/>
      <c r="L26" s="57"/>
      <c r="M26" s="57"/>
      <c r="N26" s="57"/>
      <c r="O26" s="57"/>
      <c r="P26" s="57"/>
      <c r="Q26" s="54"/>
      <c r="R26" s="55">
        <f t="shared" si="0"/>
        <v>0</v>
      </c>
      <c r="S26" s="8" t="e">
        <f t="shared" si="1"/>
        <v>#DIV/0!</v>
      </c>
    </row>
    <row r="27" spans="1:19" ht="18" customHeight="1" x14ac:dyDescent="0.2">
      <c r="A27" s="6"/>
      <c r="B27" s="11"/>
      <c r="C27" s="54"/>
      <c r="D27" s="55"/>
      <c r="E27" s="56"/>
      <c r="F27" s="57"/>
      <c r="G27" s="57"/>
      <c r="H27" s="57"/>
      <c r="I27" s="57"/>
      <c r="J27" s="57"/>
      <c r="K27" s="57"/>
      <c r="L27" s="57"/>
      <c r="M27" s="57"/>
      <c r="N27" s="57"/>
      <c r="O27" s="57"/>
      <c r="P27" s="57"/>
      <c r="Q27" s="54"/>
      <c r="R27" s="55">
        <f t="shared" si="0"/>
        <v>0</v>
      </c>
      <c r="S27" s="8" t="e">
        <f t="shared" si="1"/>
        <v>#DIV/0!</v>
      </c>
    </row>
    <row r="28" spans="1:19" ht="18" customHeight="1" x14ac:dyDescent="0.2">
      <c r="A28" s="6"/>
      <c r="B28" s="11"/>
      <c r="C28" s="54"/>
      <c r="D28" s="55"/>
      <c r="E28" s="56"/>
      <c r="F28" s="57"/>
      <c r="G28" s="57"/>
      <c r="H28" s="57"/>
      <c r="I28" s="57"/>
      <c r="J28" s="57"/>
      <c r="K28" s="57"/>
      <c r="L28" s="57"/>
      <c r="M28" s="57"/>
      <c r="N28" s="57"/>
      <c r="O28" s="57"/>
      <c r="P28" s="57"/>
      <c r="Q28" s="54"/>
      <c r="R28" s="55">
        <f t="shared" si="0"/>
        <v>0</v>
      </c>
      <c r="S28" s="8" t="e">
        <f t="shared" si="1"/>
        <v>#DIV/0!</v>
      </c>
    </row>
    <row r="29" spans="1:19" ht="18" customHeight="1" x14ac:dyDescent="0.2">
      <c r="A29" s="6"/>
      <c r="B29" s="11"/>
      <c r="C29" s="54"/>
      <c r="D29" s="55"/>
      <c r="E29" s="56"/>
      <c r="F29" s="57"/>
      <c r="G29" s="57"/>
      <c r="H29" s="57"/>
      <c r="I29" s="57"/>
      <c r="J29" s="57"/>
      <c r="K29" s="57"/>
      <c r="L29" s="57"/>
      <c r="M29" s="57"/>
      <c r="N29" s="57"/>
      <c r="O29" s="57"/>
      <c r="P29" s="57"/>
      <c r="Q29" s="54"/>
      <c r="R29" s="55">
        <f t="shared" si="0"/>
        <v>0</v>
      </c>
      <c r="S29" s="8" t="e">
        <f t="shared" si="1"/>
        <v>#DIV/0!</v>
      </c>
    </row>
    <row r="30" spans="1:19" ht="18" customHeight="1" x14ac:dyDescent="0.2">
      <c r="A30" s="6"/>
      <c r="B30" s="11"/>
      <c r="C30" s="54"/>
      <c r="D30" s="58"/>
      <c r="E30" s="56"/>
      <c r="F30" s="57"/>
      <c r="G30" s="57"/>
      <c r="H30" s="57"/>
      <c r="I30" s="57"/>
      <c r="J30" s="57"/>
      <c r="K30" s="57"/>
      <c r="L30" s="57"/>
      <c r="M30" s="57"/>
      <c r="N30" s="57"/>
      <c r="O30" s="57"/>
      <c r="P30" s="57"/>
      <c r="Q30" s="54"/>
      <c r="R30" s="58">
        <f t="shared" si="0"/>
        <v>0</v>
      </c>
      <c r="S30" s="8" t="e">
        <f t="shared" si="1"/>
        <v>#DIV/0!</v>
      </c>
    </row>
    <row r="31" spans="1:19" ht="18" customHeight="1" x14ac:dyDescent="0.2">
      <c r="A31" s="6"/>
      <c r="B31" s="11"/>
      <c r="C31" s="54"/>
      <c r="D31" s="58"/>
      <c r="E31" s="56"/>
      <c r="F31" s="57"/>
      <c r="G31" s="57"/>
      <c r="H31" s="57"/>
      <c r="I31" s="57"/>
      <c r="J31" s="57"/>
      <c r="K31" s="57"/>
      <c r="L31" s="57"/>
      <c r="M31" s="57"/>
      <c r="N31" s="57"/>
      <c r="O31" s="57"/>
      <c r="P31" s="57"/>
      <c r="Q31" s="54"/>
      <c r="R31" s="58">
        <f t="shared" si="0"/>
        <v>0</v>
      </c>
      <c r="S31" s="8" t="e">
        <f t="shared" si="1"/>
        <v>#DIV/0!</v>
      </c>
    </row>
    <row r="32" spans="1:19" ht="18" customHeight="1" thickBot="1" x14ac:dyDescent="0.25">
      <c r="A32" s="6"/>
      <c r="B32" s="12"/>
      <c r="C32" s="51"/>
      <c r="D32" s="59"/>
      <c r="E32" s="53"/>
      <c r="F32" s="53"/>
      <c r="G32" s="53"/>
      <c r="H32" s="53"/>
      <c r="I32" s="53"/>
      <c r="J32" s="53"/>
      <c r="K32" s="53"/>
      <c r="L32" s="53"/>
      <c r="M32" s="53"/>
      <c r="N32" s="53"/>
      <c r="O32" s="53"/>
      <c r="P32" s="53"/>
      <c r="Q32" s="54"/>
      <c r="R32" s="59">
        <f t="shared" si="0"/>
        <v>0</v>
      </c>
      <c r="S32" s="7" t="e">
        <f t="shared" si="1"/>
        <v>#DIV/0!</v>
      </c>
    </row>
    <row r="33" spans="2:19" ht="18" customHeight="1" thickTop="1" x14ac:dyDescent="0.2">
      <c r="B33" s="13" t="s">
        <v>33</v>
      </c>
      <c r="C33" s="60">
        <f t="shared" ref="C33" si="2">SUM(C13:C32)</f>
        <v>1354</v>
      </c>
      <c r="D33" s="61">
        <f t="shared" ref="D33:R33" si="3">SUM(D13:D32)</f>
        <v>295</v>
      </c>
      <c r="E33" s="62">
        <f t="shared" si="3"/>
        <v>1200</v>
      </c>
      <c r="F33" s="62">
        <f t="shared" si="3"/>
        <v>343</v>
      </c>
      <c r="G33" s="62">
        <f t="shared" ref="G33:H33" si="4">SUM(G13:G32)</f>
        <v>17</v>
      </c>
      <c r="H33" s="62">
        <f t="shared" si="4"/>
        <v>0</v>
      </c>
      <c r="I33" s="62">
        <f t="shared" ref="I33:J33" si="5">SUM(I13:I32)</f>
        <v>0</v>
      </c>
      <c r="J33" s="62">
        <f t="shared" si="5"/>
        <v>0</v>
      </c>
      <c r="K33" s="62">
        <f t="shared" ref="K33:O33" si="6">SUM(K13:K32)</f>
        <v>0</v>
      </c>
      <c r="L33" s="62">
        <f t="shared" si="6"/>
        <v>0</v>
      </c>
      <c r="M33" s="62">
        <f t="shared" si="6"/>
        <v>0</v>
      </c>
      <c r="N33" s="62">
        <f t="shared" si="6"/>
        <v>0</v>
      </c>
      <c r="O33" s="62">
        <f t="shared" si="6"/>
        <v>0</v>
      </c>
      <c r="P33" s="62">
        <f t="shared" ref="P33:Q33" si="7">SUM(P13:P32)</f>
        <v>0</v>
      </c>
      <c r="Q33" s="60">
        <f t="shared" si="7"/>
        <v>0</v>
      </c>
      <c r="R33" s="61">
        <f t="shared" si="3"/>
        <v>343</v>
      </c>
      <c r="S33" s="9">
        <f t="shared" si="1"/>
        <v>0.28583333333333333</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6"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tabSelected="1" view="pageBreakPreview" topLeftCell="A86" zoomScaleNormal="100" zoomScaleSheetLayoutView="100" workbookViewId="0">
      <selection activeCell="B94" sqref="B94:I105"/>
    </sheetView>
  </sheetViews>
  <sheetFormatPr defaultColWidth="11.36328125" defaultRowHeight="18.75" customHeight="1" x14ac:dyDescent="0.2"/>
  <cols>
    <col min="1" max="1" width="2.7265625" style="32" customWidth="1"/>
    <col min="2" max="2" width="16.6328125" style="1" customWidth="1"/>
    <col min="3" max="3" width="8.90625" style="1" customWidth="1"/>
    <col min="4" max="4" width="2.26953125" style="1" customWidth="1"/>
    <col min="5" max="5" width="16.6328125" style="1" customWidth="1"/>
    <col min="6" max="6" width="4.36328125" style="1" customWidth="1"/>
    <col min="7" max="7" width="9" style="1" customWidth="1"/>
    <col min="8" max="8" width="16.6328125" style="1" customWidth="1"/>
    <col min="9" max="9" width="12.08984375" style="1" customWidth="1"/>
    <col min="10" max="16384" width="11.36328125" style="1"/>
  </cols>
  <sheetData>
    <row r="1" spans="1:9" ht="18.75" customHeight="1" x14ac:dyDescent="0.2">
      <c r="A1" s="32" t="s">
        <v>63</v>
      </c>
      <c r="I1" s="30" t="s">
        <v>96</v>
      </c>
    </row>
    <row r="2" spans="1:9" ht="18.75" customHeight="1" x14ac:dyDescent="0.2">
      <c r="G2" s="30" t="s">
        <v>98</v>
      </c>
      <c r="H2" s="91" t="str">
        <f>'様式１　プログラムを構成する授業科目'!C2</f>
        <v>横浜商科大学</v>
      </c>
      <c r="I2" s="93"/>
    </row>
    <row r="3" spans="1:9" ht="18.75" customHeight="1" x14ac:dyDescent="0.2">
      <c r="G3" s="30"/>
      <c r="H3" s="10"/>
      <c r="I3" s="10"/>
    </row>
    <row r="4" spans="1:9" ht="18.649999999999999" customHeight="1" x14ac:dyDescent="0.2">
      <c r="A4" s="177" t="s">
        <v>36</v>
      </c>
      <c r="B4" s="177"/>
      <c r="C4" s="177"/>
      <c r="D4" s="177"/>
      <c r="E4" s="177"/>
      <c r="F4" s="177"/>
      <c r="G4" s="177"/>
      <c r="H4" s="177"/>
      <c r="I4" s="177"/>
    </row>
    <row r="5" spans="1:9" ht="13.15" customHeight="1" x14ac:dyDescent="0.2">
      <c r="B5" s="3"/>
      <c r="C5" s="3"/>
      <c r="D5" s="3"/>
      <c r="E5" s="3"/>
      <c r="F5" s="3"/>
      <c r="G5" s="3"/>
      <c r="H5" s="3"/>
      <c r="I5" s="3"/>
    </row>
    <row r="6" spans="1:9" ht="18" customHeight="1" x14ac:dyDescent="0.2">
      <c r="A6" s="1" t="s">
        <v>0</v>
      </c>
      <c r="B6" s="10" t="s">
        <v>85</v>
      </c>
      <c r="C6" s="198" t="s">
        <v>86</v>
      </c>
      <c r="D6" s="198"/>
      <c r="E6" s="29">
        <v>41</v>
      </c>
      <c r="F6" s="3" t="s">
        <v>1</v>
      </c>
      <c r="G6" s="3" t="s">
        <v>2</v>
      </c>
      <c r="H6" s="29">
        <v>52</v>
      </c>
      <c r="I6" s="10" t="s">
        <v>1</v>
      </c>
    </row>
    <row r="7" spans="1:9" ht="12" customHeight="1" x14ac:dyDescent="0.2">
      <c r="C7" s="2"/>
      <c r="D7" s="2"/>
      <c r="E7" s="2"/>
      <c r="F7" s="2"/>
      <c r="G7" s="2"/>
      <c r="H7" s="2"/>
      <c r="I7" s="33"/>
    </row>
    <row r="8" spans="1:9" ht="18" customHeight="1" x14ac:dyDescent="0.2">
      <c r="A8" s="1" t="s">
        <v>3</v>
      </c>
      <c r="B8" s="10" t="s">
        <v>87</v>
      </c>
      <c r="E8" s="3"/>
      <c r="F8" s="3"/>
      <c r="G8" s="3"/>
      <c r="H8" s="29">
        <v>11</v>
      </c>
      <c r="I8" s="10" t="s">
        <v>1</v>
      </c>
    </row>
    <row r="9" spans="1:9" ht="9" customHeight="1" x14ac:dyDescent="0.2">
      <c r="B9" s="3"/>
      <c r="C9" s="3"/>
      <c r="D9" s="3"/>
      <c r="E9" s="3"/>
      <c r="F9" s="3"/>
      <c r="G9" s="3"/>
      <c r="H9" s="3"/>
      <c r="I9" s="3"/>
    </row>
    <row r="10" spans="1:9" ht="18" customHeight="1" x14ac:dyDescent="0.2">
      <c r="A10" s="1" t="s">
        <v>4</v>
      </c>
      <c r="B10" s="10" t="s">
        <v>88</v>
      </c>
      <c r="C10" s="3"/>
      <c r="D10" s="3"/>
      <c r="E10" s="3"/>
      <c r="F10" s="3"/>
      <c r="G10" s="3"/>
      <c r="H10" s="3"/>
      <c r="I10" s="3"/>
    </row>
    <row r="11" spans="1:9" ht="18" customHeight="1" x14ac:dyDescent="0.2">
      <c r="B11" s="30" t="s">
        <v>42</v>
      </c>
      <c r="C11" s="192" t="s">
        <v>145</v>
      </c>
      <c r="D11" s="195"/>
      <c r="E11" s="196"/>
      <c r="F11" s="33"/>
      <c r="G11" s="30" t="s">
        <v>10</v>
      </c>
      <c r="H11" s="197" t="s">
        <v>146</v>
      </c>
      <c r="I11" s="196"/>
    </row>
    <row r="12" spans="1:9" ht="10.15" customHeight="1" x14ac:dyDescent="0.2">
      <c r="B12" s="30"/>
      <c r="C12" s="10"/>
      <c r="D12" s="33"/>
      <c r="E12" s="33"/>
      <c r="F12" s="33"/>
      <c r="G12" s="30"/>
      <c r="H12" s="10"/>
      <c r="I12" s="33"/>
    </row>
    <row r="13" spans="1:9" ht="18" customHeight="1" x14ac:dyDescent="0.2">
      <c r="A13" s="1" t="s">
        <v>7</v>
      </c>
      <c r="B13" s="10" t="s">
        <v>83</v>
      </c>
      <c r="C13" s="3"/>
      <c r="D13" s="3"/>
      <c r="E13" s="3"/>
      <c r="F13" s="3"/>
      <c r="G13" s="3"/>
      <c r="H13" s="3"/>
      <c r="I13" s="3"/>
    </row>
    <row r="14" spans="1:9" ht="18" customHeight="1" x14ac:dyDescent="0.2">
      <c r="B14" s="192" t="s">
        <v>164</v>
      </c>
      <c r="C14" s="193"/>
      <c r="D14" s="193"/>
      <c r="E14" s="193"/>
      <c r="F14" s="193"/>
      <c r="G14" s="193"/>
      <c r="H14" s="193"/>
      <c r="I14" s="194"/>
    </row>
    <row r="15" spans="1:9" ht="9" customHeight="1" x14ac:dyDescent="0.2">
      <c r="B15" s="3"/>
      <c r="C15" s="3"/>
      <c r="D15" s="3"/>
      <c r="E15" s="3"/>
      <c r="F15" s="3"/>
      <c r="G15" s="3"/>
      <c r="H15" s="3"/>
      <c r="I15" s="3"/>
    </row>
    <row r="16" spans="1:9" ht="18" customHeight="1" x14ac:dyDescent="0.2">
      <c r="B16" s="30" t="s">
        <v>42</v>
      </c>
      <c r="C16" s="192" t="s">
        <v>165</v>
      </c>
      <c r="D16" s="195"/>
      <c r="E16" s="196"/>
      <c r="F16" s="33"/>
      <c r="G16" s="30" t="s">
        <v>10</v>
      </c>
      <c r="H16" s="197" t="s">
        <v>146</v>
      </c>
      <c r="I16" s="196"/>
    </row>
    <row r="17" spans="1:9" ht="18" customHeight="1" x14ac:dyDescent="0.2">
      <c r="B17" s="3"/>
      <c r="C17" s="3"/>
      <c r="D17" s="3"/>
      <c r="E17" s="3"/>
      <c r="F17" s="3"/>
      <c r="G17" s="3"/>
      <c r="H17" s="3"/>
      <c r="I17" s="3"/>
    </row>
    <row r="18" spans="1:9" ht="18.75" customHeight="1" x14ac:dyDescent="0.2">
      <c r="A18" s="1" t="s">
        <v>5</v>
      </c>
      <c r="B18" s="1" t="s">
        <v>41</v>
      </c>
      <c r="I18" s="3"/>
    </row>
    <row r="19" spans="1:9" ht="18.75" customHeight="1" x14ac:dyDescent="0.2">
      <c r="A19" s="1"/>
      <c r="B19" s="178" t="s">
        <v>147</v>
      </c>
      <c r="C19" s="179"/>
      <c r="D19" s="179"/>
      <c r="E19" s="179"/>
      <c r="F19" s="179"/>
      <c r="G19" s="179"/>
      <c r="H19" s="179"/>
      <c r="I19" s="180"/>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4"/>
      <c r="B22" s="181" t="s">
        <v>166</v>
      </c>
      <c r="C22" s="182"/>
      <c r="D22" s="182"/>
      <c r="E22" s="182"/>
      <c r="F22" s="182"/>
      <c r="G22" s="182"/>
      <c r="H22" s="182"/>
      <c r="I22" s="183"/>
    </row>
    <row r="23" spans="1:9" ht="18.75" customHeight="1" x14ac:dyDescent="0.2">
      <c r="A23" s="14"/>
      <c r="B23" s="184"/>
      <c r="C23" s="185"/>
      <c r="D23" s="185"/>
      <c r="E23" s="185"/>
      <c r="F23" s="185"/>
      <c r="G23" s="185"/>
      <c r="H23" s="185"/>
      <c r="I23" s="186"/>
    </row>
    <row r="24" spans="1:9" ht="18.75" customHeight="1" x14ac:dyDescent="0.2">
      <c r="A24" s="14"/>
      <c r="B24" s="184"/>
      <c r="C24" s="185"/>
      <c r="D24" s="185"/>
      <c r="E24" s="185"/>
      <c r="F24" s="185"/>
      <c r="G24" s="185"/>
      <c r="H24" s="185"/>
      <c r="I24" s="186"/>
    </row>
    <row r="25" spans="1:9" ht="18.75" customHeight="1" x14ac:dyDescent="0.2">
      <c r="A25" s="14"/>
      <c r="B25" s="184"/>
      <c r="C25" s="185"/>
      <c r="D25" s="185"/>
      <c r="E25" s="185"/>
      <c r="F25" s="185"/>
      <c r="G25" s="185"/>
      <c r="H25" s="185"/>
      <c r="I25" s="186"/>
    </row>
    <row r="26" spans="1:9" ht="18.75" customHeight="1" x14ac:dyDescent="0.2">
      <c r="A26" s="14"/>
      <c r="B26" s="184"/>
      <c r="C26" s="185"/>
      <c r="D26" s="185"/>
      <c r="E26" s="185"/>
      <c r="F26" s="185"/>
      <c r="G26" s="185"/>
      <c r="H26" s="185"/>
      <c r="I26" s="186"/>
    </row>
    <row r="27" spans="1:9" ht="18.75" customHeight="1" x14ac:dyDescent="0.2">
      <c r="A27" s="14"/>
      <c r="B27" s="184"/>
      <c r="C27" s="185"/>
      <c r="D27" s="185"/>
      <c r="E27" s="185"/>
      <c r="F27" s="185"/>
      <c r="G27" s="185"/>
      <c r="H27" s="185"/>
      <c r="I27" s="186"/>
    </row>
    <row r="28" spans="1:9" ht="18.75" customHeight="1" x14ac:dyDescent="0.2">
      <c r="A28" s="14"/>
      <c r="B28" s="184"/>
      <c r="C28" s="185"/>
      <c r="D28" s="185"/>
      <c r="E28" s="185"/>
      <c r="F28" s="185"/>
      <c r="G28" s="185"/>
      <c r="H28" s="185"/>
      <c r="I28" s="186"/>
    </row>
    <row r="29" spans="1:9" ht="18.75" customHeight="1" x14ac:dyDescent="0.2">
      <c r="A29" s="14"/>
      <c r="B29" s="184"/>
      <c r="C29" s="185"/>
      <c r="D29" s="185"/>
      <c r="E29" s="185"/>
      <c r="F29" s="185"/>
      <c r="G29" s="185"/>
      <c r="H29" s="185"/>
      <c r="I29" s="186"/>
    </row>
    <row r="30" spans="1:9" ht="18.75" customHeight="1" x14ac:dyDescent="0.2">
      <c r="A30" s="14"/>
      <c r="B30" s="187"/>
      <c r="C30" s="188"/>
      <c r="D30" s="188"/>
      <c r="E30" s="188"/>
      <c r="F30" s="188"/>
      <c r="G30" s="188"/>
      <c r="H30" s="188"/>
      <c r="I30" s="186"/>
    </row>
    <row r="31" spans="1:9" ht="18.75" customHeight="1" x14ac:dyDescent="0.2">
      <c r="A31" s="14"/>
      <c r="B31" s="187"/>
      <c r="C31" s="188"/>
      <c r="D31" s="188"/>
      <c r="E31" s="188"/>
      <c r="F31" s="188"/>
      <c r="G31" s="188"/>
      <c r="H31" s="188"/>
      <c r="I31" s="186"/>
    </row>
    <row r="32" spans="1:9" ht="18.75" customHeight="1" x14ac:dyDescent="0.2">
      <c r="A32" s="14"/>
      <c r="B32" s="189"/>
      <c r="C32" s="190"/>
      <c r="D32" s="190"/>
      <c r="E32" s="190"/>
      <c r="F32" s="190"/>
      <c r="G32" s="190"/>
      <c r="H32" s="190"/>
      <c r="I32" s="191"/>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8.75" customHeight="1" x14ac:dyDescent="0.2">
      <c r="A35" s="14"/>
      <c r="B35" s="181" t="s">
        <v>171</v>
      </c>
      <c r="C35" s="182"/>
      <c r="D35" s="182"/>
      <c r="E35" s="182"/>
      <c r="F35" s="182"/>
      <c r="G35" s="182"/>
      <c r="H35" s="182"/>
      <c r="I35" s="183"/>
    </row>
    <row r="36" spans="1:9" ht="18.75" customHeight="1" x14ac:dyDescent="0.2">
      <c r="A36" s="14"/>
      <c r="B36" s="187"/>
      <c r="C36" s="188"/>
      <c r="D36" s="188"/>
      <c r="E36" s="188"/>
      <c r="F36" s="188"/>
      <c r="G36" s="188"/>
      <c r="H36" s="188"/>
      <c r="I36" s="186"/>
    </row>
    <row r="37" spans="1:9" ht="18.75" customHeight="1" x14ac:dyDescent="0.2">
      <c r="A37" s="14"/>
      <c r="B37" s="187"/>
      <c r="C37" s="188"/>
      <c r="D37" s="188"/>
      <c r="E37" s="188"/>
      <c r="F37" s="188"/>
      <c r="G37" s="188"/>
      <c r="H37" s="188"/>
      <c r="I37" s="186"/>
    </row>
    <row r="38" spans="1:9" ht="18.75" customHeight="1" x14ac:dyDescent="0.2">
      <c r="A38" s="14"/>
      <c r="B38" s="187"/>
      <c r="C38" s="188"/>
      <c r="D38" s="188"/>
      <c r="E38" s="188"/>
      <c r="F38" s="188"/>
      <c r="G38" s="188"/>
      <c r="H38" s="188"/>
      <c r="I38" s="186"/>
    </row>
    <row r="39" spans="1:9" ht="18.75" customHeight="1" x14ac:dyDescent="0.2">
      <c r="A39" s="14"/>
      <c r="B39" s="187"/>
      <c r="C39" s="188"/>
      <c r="D39" s="188"/>
      <c r="E39" s="188"/>
      <c r="F39" s="188"/>
      <c r="G39" s="188"/>
      <c r="H39" s="188"/>
      <c r="I39" s="186"/>
    </row>
    <row r="40" spans="1:9" ht="18.75" customHeight="1" x14ac:dyDescent="0.2">
      <c r="A40" s="14"/>
      <c r="B40" s="187"/>
      <c r="C40" s="188"/>
      <c r="D40" s="188"/>
      <c r="E40" s="188"/>
      <c r="F40" s="188"/>
      <c r="G40" s="188"/>
      <c r="H40" s="188"/>
      <c r="I40" s="186"/>
    </row>
    <row r="41" spans="1:9" ht="18.75" customHeight="1" x14ac:dyDescent="0.2">
      <c r="A41" s="14"/>
      <c r="B41" s="187"/>
      <c r="C41" s="188"/>
      <c r="D41" s="188"/>
      <c r="E41" s="188"/>
      <c r="F41" s="188"/>
      <c r="G41" s="188"/>
      <c r="H41" s="188"/>
      <c r="I41" s="186"/>
    </row>
    <row r="42" spans="1:9" ht="18.75" customHeight="1" x14ac:dyDescent="0.2">
      <c r="A42" s="14"/>
      <c r="B42" s="187"/>
      <c r="C42" s="188"/>
      <c r="D42" s="188"/>
      <c r="E42" s="188"/>
      <c r="F42" s="188"/>
      <c r="G42" s="188"/>
      <c r="H42" s="188"/>
      <c r="I42" s="186"/>
    </row>
    <row r="43" spans="1:9" ht="18.75" customHeight="1" x14ac:dyDescent="0.2">
      <c r="A43" s="14"/>
      <c r="B43" s="187"/>
      <c r="C43" s="188"/>
      <c r="D43" s="188"/>
      <c r="E43" s="188"/>
      <c r="F43" s="188"/>
      <c r="G43" s="188"/>
      <c r="H43" s="188"/>
      <c r="I43" s="186"/>
    </row>
    <row r="44" spans="1:9" ht="18.75" customHeight="1" x14ac:dyDescent="0.2">
      <c r="A44" s="14"/>
      <c r="B44" s="187"/>
      <c r="C44" s="188"/>
      <c r="D44" s="188"/>
      <c r="E44" s="188"/>
      <c r="F44" s="188"/>
      <c r="G44" s="188"/>
      <c r="H44" s="188"/>
      <c r="I44" s="186"/>
    </row>
    <row r="45" spans="1:9" ht="18.75" customHeight="1" x14ac:dyDescent="0.2">
      <c r="A45" s="14"/>
      <c r="B45" s="187"/>
      <c r="C45" s="188"/>
      <c r="D45" s="188"/>
      <c r="E45" s="188"/>
      <c r="F45" s="188"/>
      <c r="G45" s="188"/>
      <c r="H45" s="188"/>
      <c r="I45" s="186"/>
    </row>
    <row r="46" spans="1:9" ht="18.75" customHeight="1" x14ac:dyDescent="0.2">
      <c r="A46" s="14"/>
      <c r="B46" s="189"/>
      <c r="C46" s="190"/>
      <c r="D46" s="190"/>
      <c r="E46" s="190"/>
      <c r="F46" s="190"/>
      <c r="G46" s="190"/>
      <c r="H46" s="190"/>
      <c r="I46" s="191"/>
    </row>
    <row r="47" spans="1:9" ht="7.5" customHeight="1" x14ac:dyDescent="0.2">
      <c r="A47" s="4"/>
      <c r="B47" s="4"/>
      <c r="C47" s="4"/>
      <c r="D47" s="4"/>
      <c r="E47" s="4"/>
      <c r="F47" s="4"/>
      <c r="G47" s="4"/>
      <c r="H47" s="4"/>
      <c r="I47" s="4"/>
    </row>
    <row r="48" spans="1:9" ht="18.75" customHeight="1" x14ac:dyDescent="0.2">
      <c r="A48" s="1" t="s">
        <v>31</v>
      </c>
      <c r="B48" s="1" t="s">
        <v>110</v>
      </c>
    </row>
    <row r="49" spans="1:15" s="3" customFormat="1" ht="18.75" customHeight="1" x14ac:dyDescent="0.2">
      <c r="B49" s="34" t="s">
        <v>127</v>
      </c>
      <c r="C49" s="220">
        <f>'様式２ 履修者等数の実績'!S33</f>
        <v>0.28583333333333333</v>
      </c>
      <c r="D49" s="220"/>
      <c r="E49" s="34" t="s">
        <v>64</v>
      </c>
      <c r="F49" s="220">
        <v>0.5</v>
      </c>
      <c r="G49" s="220"/>
      <c r="H49" s="34" t="s">
        <v>183</v>
      </c>
      <c r="I49" s="86">
        <v>0.68</v>
      </c>
      <c r="J49" s="1"/>
      <c r="M49" s="1"/>
      <c r="N49" s="35"/>
    </row>
    <row r="50" spans="1:15" s="3" customFormat="1" ht="18.75" customHeight="1" x14ac:dyDescent="0.2">
      <c r="B50" s="36" t="s">
        <v>84</v>
      </c>
      <c r="C50" s="203">
        <v>0.85</v>
      </c>
      <c r="D50" s="203"/>
      <c r="E50" s="36" t="s">
        <v>128</v>
      </c>
      <c r="F50" s="203">
        <v>0.9</v>
      </c>
      <c r="G50" s="203"/>
      <c r="H50" s="36" t="s">
        <v>65</v>
      </c>
      <c r="I50" s="37">
        <f>'様式２ 履修者等数の実績'!E33</f>
        <v>1200</v>
      </c>
      <c r="J50" s="1"/>
      <c r="M50" s="1"/>
      <c r="N50" s="35"/>
    </row>
    <row r="51" spans="1:15" ht="18.75" customHeight="1" x14ac:dyDescent="0.2">
      <c r="A51" s="1"/>
      <c r="B51" s="200" t="s">
        <v>66</v>
      </c>
      <c r="C51" s="201"/>
      <c r="D51" s="201"/>
      <c r="E51" s="201"/>
      <c r="F51" s="201"/>
      <c r="G51" s="201"/>
      <c r="H51" s="201"/>
      <c r="I51" s="202"/>
      <c r="N51" s="35"/>
      <c r="O51" s="3"/>
    </row>
    <row r="52" spans="1:15" ht="18.75" customHeight="1" x14ac:dyDescent="0.2">
      <c r="A52" s="1"/>
      <c r="B52" s="221" t="s">
        <v>159</v>
      </c>
      <c r="C52" s="222"/>
      <c r="D52" s="222"/>
      <c r="E52" s="222"/>
      <c r="F52" s="222"/>
      <c r="G52" s="222"/>
      <c r="H52" s="222"/>
      <c r="I52" s="223"/>
      <c r="N52" s="35"/>
      <c r="O52" s="3"/>
    </row>
    <row r="53" spans="1:15" ht="18.75" customHeight="1" x14ac:dyDescent="0.2">
      <c r="A53" s="1"/>
      <c r="B53" s="224"/>
      <c r="C53" s="225"/>
      <c r="D53" s="225"/>
      <c r="E53" s="225"/>
      <c r="F53" s="225"/>
      <c r="G53" s="225"/>
      <c r="H53" s="225"/>
      <c r="I53" s="226"/>
      <c r="N53" s="35"/>
      <c r="O53" s="3"/>
    </row>
    <row r="54" spans="1:15" ht="18.75" customHeight="1" x14ac:dyDescent="0.2">
      <c r="A54" s="1"/>
      <c r="B54" s="224"/>
      <c r="C54" s="225"/>
      <c r="D54" s="225"/>
      <c r="E54" s="225"/>
      <c r="F54" s="225"/>
      <c r="G54" s="225"/>
      <c r="H54" s="225"/>
      <c r="I54" s="226"/>
    </row>
    <row r="55" spans="1:15" ht="18.75" customHeight="1" x14ac:dyDescent="0.2">
      <c r="A55" s="1"/>
      <c r="B55" s="224"/>
      <c r="C55" s="225"/>
      <c r="D55" s="225"/>
      <c r="E55" s="225"/>
      <c r="F55" s="225"/>
      <c r="G55" s="225"/>
      <c r="H55" s="225"/>
      <c r="I55" s="226"/>
    </row>
    <row r="56" spans="1:15" ht="18.75" customHeight="1" x14ac:dyDescent="0.2">
      <c r="A56" s="1"/>
      <c r="B56" s="224"/>
      <c r="C56" s="225"/>
      <c r="D56" s="225"/>
      <c r="E56" s="225"/>
      <c r="F56" s="225"/>
      <c r="G56" s="225"/>
      <c r="H56" s="225"/>
      <c r="I56" s="226"/>
    </row>
    <row r="57" spans="1:15" ht="18.75" customHeight="1" x14ac:dyDescent="0.2">
      <c r="A57" s="1"/>
      <c r="B57" s="224"/>
      <c r="C57" s="225"/>
      <c r="D57" s="225"/>
      <c r="E57" s="225"/>
      <c r="F57" s="225"/>
      <c r="G57" s="225"/>
      <c r="H57" s="225"/>
      <c r="I57" s="226"/>
    </row>
    <row r="58" spans="1:15" ht="18.75" customHeight="1" x14ac:dyDescent="0.2">
      <c r="A58" s="1"/>
      <c r="B58" s="224"/>
      <c r="C58" s="225"/>
      <c r="D58" s="225"/>
      <c r="E58" s="225"/>
      <c r="F58" s="225"/>
      <c r="G58" s="225"/>
      <c r="H58" s="225"/>
      <c r="I58" s="226"/>
    </row>
    <row r="59" spans="1:15" ht="18.75" customHeight="1" x14ac:dyDescent="0.2">
      <c r="A59" s="1"/>
      <c r="B59" s="224"/>
      <c r="C59" s="225"/>
      <c r="D59" s="225"/>
      <c r="E59" s="225"/>
      <c r="F59" s="225"/>
      <c r="G59" s="225"/>
      <c r="H59" s="225"/>
      <c r="I59" s="226"/>
    </row>
    <row r="60" spans="1:15" ht="18.75" customHeight="1" x14ac:dyDescent="0.2">
      <c r="A60" s="1"/>
      <c r="B60" s="224"/>
      <c r="C60" s="225"/>
      <c r="D60" s="225"/>
      <c r="E60" s="225"/>
      <c r="F60" s="225"/>
      <c r="G60" s="225"/>
      <c r="H60" s="225"/>
      <c r="I60" s="226"/>
    </row>
    <row r="61" spans="1:15" ht="18.75" customHeight="1" x14ac:dyDescent="0.2">
      <c r="A61" s="1"/>
      <c r="B61" s="224"/>
      <c r="C61" s="225"/>
      <c r="D61" s="225"/>
      <c r="E61" s="225"/>
      <c r="F61" s="225"/>
      <c r="G61" s="225"/>
      <c r="H61" s="225"/>
      <c r="I61" s="226"/>
    </row>
    <row r="62" spans="1:15" ht="18.75" customHeight="1" x14ac:dyDescent="0.2">
      <c r="A62" s="1"/>
      <c r="B62" s="224"/>
      <c r="C62" s="225"/>
      <c r="D62" s="225"/>
      <c r="E62" s="225"/>
      <c r="F62" s="225"/>
      <c r="G62" s="225"/>
      <c r="H62" s="225"/>
      <c r="I62" s="226"/>
    </row>
    <row r="63" spans="1:15" ht="18.75" customHeight="1" x14ac:dyDescent="0.2">
      <c r="A63" s="1"/>
      <c r="B63" s="227"/>
      <c r="C63" s="228"/>
      <c r="D63" s="228"/>
      <c r="E63" s="228"/>
      <c r="F63" s="228"/>
      <c r="G63" s="228"/>
      <c r="H63" s="228"/>
      <c r="I63" s="229"/>
    </row>
    <row r="64" spans="1:15" ht="7.5" customHeight="1" x14ac:dyDescent="0.2">
      <c r="A64" s="14"/>
      <c r="B64" s="14"/>
      <c r="C64" s="14"/>
      <c r="D64" s="14"/>
      <c r="E64" s="14"/>
      <c r="F64" s="14"/>
      <c r="G64" s="14"/>
      <c r="H64" s="14"/>
      <c r="I64" s="14"/>
    </row>
    <row r="65" spans="1:9" ht="18.75" customHeight="1" x14ac:dyDescent="0.2">
      <c r="A65" s="15" t="s">
        <v>34</v>
      </c>
      <c r="B65" s="1" t="s">
        <v>37</v>
      </c>
      <c r="I65" s="15"/>
    </row>
    <row r="66" spans="1:9" ht="18.75" customHeight="1" x14ac:dyDescent="0.2">
      <c r="A66" s="4"/>
      <c r="B66" s="204" t="s">
        <v>156</v>
      </c>
      <c r="C66" s="205"/>
      <c r="D66" s="205"/>
      <c r="E66" s="205"/>
      <c r="F66" s="205"/>
      <c r="G66" s="205"/>
      <c r="H66" s="205"/>
      <c r="I66" s="206"/>
    </row>
    <row r="67" spans="1:9" ht="18.75" customHeight="1" x14ac:dyDescent="0.2">
      <c r="A67" s="4"/>
      <c r="B67" s="207"/>
      <c r="C67" s="208"/>
      <c r="D67" s="208"/>
      <c r="E67" s="208"/>
      <c r="F67" s="208"/>
      <c r="G67" s="208"/>
      <c r="H67" s="208"/>
      <c r="I67" s="209"/>
    </row>
    <row r="68" spans="1:9" ht="18.75" customHeight="1" x14ac:dyDescent="0.2">
      <c r="A68" s="4"/>
      <c r="B68" s="207"/>
      <c r="C68" s="208"/>
      <c r="D68" s="208"/>
      <c r="E68" s="208"/>
      <c r="F68" s="208"/>
      <c r="G68" s="208"/>
      <c r="H68" s="208"/>
      <c r="I68" s="209"/>
    </row>
    <row r="69" spans="1:9" ht="18.75" customHeight="1" x14ac:dyDescent="0.2">
      <c r="A69" s="4"/>
      <c r="B69" s="207"/>
      <c r="C69" s="208"/>
      <c r="D69" s="208"/>
      <c r="E69" s="208"/>
      <c r="F69" s="208"/>
      <c r="G69" s="208"/>
      <c r="H69" s="208"/>
      <c r="I69" s="209"/>
    </row>
    <row r="70" spans="1:9" ht="18.75" customHeight="1" x14ac:dyDescent="0.2">
      <c r="A70" s="4"/>
      <c r="B70" s="207"/>
      <c r="C70" s="208"/>
      <c r="D70" s="208"/>
      <c r="E70" s="208"/>
      <c r="F70" s="208"/>
      <c r="G70" s="208"/>
      <c r="H70" s="208"/>
      <c r="I70" s="209"/>
    </row>
    <row r="71" spans="1:9" ht="18.75" customHeight="1" x14ac:dyDescent="0.2">
      <c r="A71" s="4"/>
      <c r="B71" s="207"/>
      <c r="C71" s="208"/>
      <c r="D71" s="208"/>
      <c r="E71" s="208"/>
      <c r="F71" s="208"/>
      <c r="G71" s="208"/>
      <c r="H71" s="208"/>
      <c r="I71" s="209"/>
    </row>
    <row r="72" spans="1:9" ht="18.75" customHeight="1" x14ac:dyDescent="0.2">
      <c r="A72" s="4"/>
      <c r="B72" s="207"/>
      <c r="C72" s="208"/>
      <c r="D72" s="208"/>
      <c r="E72" s="208"/>
      <c r="F72" s="208"/>
      <c r="G72" s="208"/>
      <c r="H72" s="208"/>
      <c r="I72" s="209"/>
    </row>
    <row r="73" spans="1:9" ht="18.75" customHeight="1" x14ac:dyDescent="0.2">
      <c r="A73" s="4"/>
      <c r="B73" s="207"/>
      <c r="C73" s="208"/>
      <c r="D73" s="208"/>
      <c r="E73" s="208"/>
      <c r="F73" s="208"/>
      <c r="G73" s="208"/>
      <c r="H73" s="208"/>
      <c r="I73" s="209"/>
    </row>
    <row r="74" spans="1:9" ht="18.75" customHeight="1" x14ac:dyDescent="0.2">
      <c r="A74" s="4"/>
      <c r="B74" s="207"/>
      <c r="C74" s="208"/>
      <c r="D74" s="208"/>
      <c r="E74" s="208"/>
      <c r="F74" s="208"/>
      <c r="G74" s="208"/>
      <c r="H74" s="208"/>
      <c r="I74" s="209"/>
    </row>
    <row r="75" spans="1:9" ht="18.75" customHeight="1" x14ac:dyDescent="0.2">
      <c r="A75" s="4"/>
      <c r="B75" s="207"/>
      <c r="C75" s="208"/>
      <c r="D75" s="208"/>
      <c r="E75" s="208"/>
      <c r="F75" s="208"/>
      <c r="G75" s="208"/>
      <c r="H75" s="208"/>
      <c r="I75" s="209"/>
    </row>
    <row r="76" spans="1:9" ht="18.75" customHeight="1" x14ac:dyDescent="0.2">
      <c r="A76" s="4"/>
      <c r="B76" s="207"/>
      <c r="C76" s="208"/>
      <c r="D76" s="208"/>
      <c r="E76" s="208"/>
      <c r="F76" s="208"/>
      <c r="G76" s="208"/>
      <c r="H76" s="208"/>
      <c r="I76" s="209"/>
    </row>
    <row r="77" spans="1:9" ht="18.75" customHeight="1" x14ac:dyDescent="0.2">
      <c r="A77" s="4"/>
      <c r="B77" s="210"/>
      <c r="C77" s="211"/>
      <c r="D77" s="211"/>
      <c r="E77" s="211"/>
      <c r="F77" s="211"/>
      <c r="G77" s="211"/>
      <c r="H77" s="211"/>
      <c r="I77" s="212"/>
    </row>
    <row r="78" spans="1:9" ht="7.5" customHeight="1" x14ac:dyDescent="0.2">
      <c r="A78" s="4"/>
      <c r="B78" s="4"/>
      <c r="C78" s="4"/>
      <c r="D78" s="4"/>
      <c r="E78" s="4"/>
      <c r="F78" s="4"/>
      <c r="G78" s="4"/>
      <c r="H78" s="4"/>
      <c r="I78" s="4"/>
    </row>
    <row r="79" spans="1:9" ht="18.75" customHeight="1" x14ac:dyDescent="0.2">
      <c r="A79" s="1" t="s">
        <v>11</v>
      </c>
      <c r="B79" s="1" t="s">
        <v>40</v>
      </c>
    </row>
    <row r="80" spans="1:9" ht="18.75" customHeight="1" x14ac:dyDescent="0.2">
      <c r="A80" s="1"/>
      <c r="B80" s="204" t="s">
        <v>157</v>
      </c>
      <c r="C80" s="205"/>
      <c r="D80" s="205"/>
      <c r="E80" s="205"/>
      <c r="F80" s="205"/>
      <c r="G80" s="205"/>
      <c r="H80" s="205"/>
      <c r="I80" s="213"/>
    </row>
    <row r="81" spans="1:9" ht="18.75" customHeight="1" x14ac:dyDescent="0.2">
      <c r="A81" s="1"/>
      <c r="B81" s="214"/>
      <c r="C81" s="215"/>
      <c r="D81" s="215"/>
      <c r="E81" s="215"/>
      <c r="F81" s="215"/>
      <c r="G81" s="215"/>
      <c r="H81" s="215"/>
      <c r="I81" s="216"/>
    </row>
    <row r="82" spans="1:9" ht="18.75" customHeight="1" x14ac:dyDescent="0.2">
      <c r="A82" s="1"/>
      <c r="B82" s="214"/>
      <c r="C82" s="215"/>
      <c r="D82" s="215"/>
      <c r="E82" s="215"/>
      <c r="F82" s="215"/>
      <c r="G82" s="215"/>
      <c r="H82" s="215"/>
      <c r="I82" s="216"/>
    </row>
    <row r="83" spans="1:9" ht="18.75" customHeight="1" x14ac:dyDescent="0.2">
      <c r="A83" s="1"/>
      <c r="B83" s="214"/>
      <c r="C83" s="215"/>
      <c r="D83" s="215"/>
      <c r="E83" s="215"/>
      <c r="F83" s="215"/>
      <c r="G83" s="215"/>
      <c r="H83" s="215"/>
      <c r="I83" s="216"/>
    </row>
    <row r="84" spans="1:9" ht="18.75" customHeight="1" x14ac:dyDescent="0.2">
      <c r="A84" s="1"/>
      <c r="B84" s="214"/>
      <c r="C84" s="215"/>
      <c r="D84" s="215"/>
      <c r="E84" s="215"/>
      <c r="F84" s="215"/>
      <c r="G84" s="215"/>
      <c r="H84" s="215"/>
      <c r="I84" s="216"/>
    </row>
    <row r="85" spans="1:9" ht="18.75" customHeight="1" x14ac:dyDescent="0.2">
      <c r="A85" s="1"/>
      <c r="B85" s="214"/>
      <c r="C85" s="215"/>
      <c r="D85" s="215"/>
      <c r="E85" s="215"/>
      <c r="F85" s="215"/>
      <c r="G85" s="215"/>
      <c r="H85" s="215"/>
      <c r="I85" s="216"/>
    </row>
    <row r="86" spans="1:9" ht="18.75" customHeight="1" x14ac:dyDescent="0.2">
      <c r="A86" s="1"/>
      <c r="B86" s="214"/>
      <c r="C86" s="215"/>
      <c r="D86" s="215"/>
      <c r="E86" s="215"/>
      <c r="F86" s="215"/>
      <c r="G86" s="215"/>
      <c r="H86" s="215"/>
      <c r="I86" s="216"/>
    </row>
    <row r="87" spans="1:9" ht="18.75" customHeight="1" x14ac:dyDescent="0.2">
      <c r="A87" s="1"/>
      <c r="B87" s="214"/>
      <c r="C87" s="215"/>
      <c r="D87" s="215"/>
      <c r="E87" s="215"/>
      <c r="F87" s="215"/>
      <c r="G87" s="215"/>
      <c r="H87" s="215"/>
      <c r="I87" s="216"/>
    </row>
    <row r="88" spans="1:9" ht="18.75" customHeight="1" x14ac:dyDescent="0.2">
      <c r="A88" s="1"/>
      <c r="B88" s="214"/>
      <c r="C88" s="215"/>
      <c r="D88" s="215"/>
      <c r="E88" s="215"/>
      <c r="F88" s="215"/>
      <c r="G88" s="215"/>
      <c r="H88" s="215"/>
      <c r="I88" s="216"/>
    </row>
    <row r="89" spans="1:9" ht="18.75" customHeight="1" x14ac:dyDescent="0.2">
      <c r="A89" s="1"/>
      <c r="B89" s="214"/>
      <c r="C89" s="215"/>
      <c r="D89" s="215"/>
      <c r="E89" s="215"/>
      <c r="F89" s="215"/>
      <c r="G89" s="215"/>
      <c r="H89" s="215"/>
      <c r="I89" s="216"/>
    </row>
    <row r="90" spans="1:9" ht="18.75" customHeight="1" x14ac:dyDescent="0.2">
      <c r="A90" s="4"/>
      <c r="B90" s="214"/>
      <c r="C90" s="215"/>
      <c r="D90" s="215"/>
      <c r="E90" s="215"/>
      <c r="F90" s="215"/>
      <c r="G90" s="215"/>
      <c r="H90" s="215"/>
      <c r="I90" s="216"/>
    </row>
    <row r="91" spans="1:9" ht="18.75" customHeight="1" x14ac:dyDescent="0.2">
      <c r="A91" s="4"/>
      <c r="B91" s="217"/>
      <c r="C91" s="218"/>
      <c r="D91" s="218"/>
      <c r="E91" s="218"/>
      <c r="F91" s="218"/>
      <c r="G91" s="218"/>
      <c r="H91" s="218"/>
      <c r="I91" s="219"/>
    </row>
    <row r="92" spans="1:9" ht="7.5" customHeight="1" x14ac:dyDescent="0.2">
      <c r="A92" s="4"/>
      <c r="B92" s="4"/>
      <c r="C92" s="4"/>
      <c r="D92" s="4"/>
      <c r="E92" s="4"/>
      <c r="F92" s="4"/>
      <c r="G92" s="4"/>
      <c r="H92" s="4"/>
      <c r="I92" s="4"/>
    </row>
    <row r="93" spans="1:9" ht="18.75" customHeight="1" x14ac:dyDescent="0.2">
      <c r="A93" s="1" t="s">
        <v>43</v>
      </c>
      <c r="B93" s="1" t="s">
        <v>13</v>
      </c>
    </row>
    <row r="94" spans="1:9" ht="18.75" customHeight="1" x14ac:dyDescent="0.2">
      <c r="A94" s="1"/>
      <c r="B94" s="181" t="s">
        <v>167</v>
      </c>
      <c r="C94" s="182"/>
      <c r="D94" s="182"/>
      <c r="E94" s="182"/>
      <c r="F94" s="182"/>
      <c r="G94" s="182"/>
      <c r="H94" s="182"/>
      <c r="I94" s="183"/>
    </row>
    <row r="95" spans="1:9" ht="18.75" customHeight="1" x14ac:dyDescent="0.2">
      <c r="A95" s="1"/>
      <c r="B95" s="187"/>
      <c r="C95" s="188"/>
      <c r="D95" s="188"/>
      <c r="E95" s="188"/>
      <c r="F95" s="188"/>
      <c r="G95" s="188"/>
      <c r="H95" s="188"/>
      <c r="I95" s="186"/>
    </row>
    <row r="96" spans="1:9" ht="18.75" customHeight="1" x14ac:dyDescent="0.2">
      <c r="A96" s="1"/>
      <c r="B96" s="187"/>
      <c r="C96" s="188"/>
      <c r="D96" s="188"/>
      <c r="E96" s="188"/>
      <c r="F96" s="188"/>
      <c r="G96" s="188"/>
      <c r="H96" s="188"/>
      <c r="I96" s="186"/>
    </row>
    <row r="97" spans="1:9" ht="18.75" customHeight="1" x14ac:dyDescent="0.2">
      <c r="A97" s="1"/>
      <c r="B97" s="187"/>
      <c r="C97" s="188"/>
      <c r="D97" s="188"/>
      <c r="E97" s="188"/>
      <c r="F97" s="188"/>
      <c r="G97" s="188"/>
      <c r="H97" s="188"/>
      <c r="I97" s="186"/>
    </row>
    <row r="98" spans="1:9" ht="18.75" customHeight="1" x14ac:dyDescent="0.2">
      <c r="A98" s="1"/>
      <c r="B98" s="187"/>
      <c r="C98" s="188"/>
      <c r="D98" s="188"/>
      <c r="E98" s="188"/>
      <c r="F98" s="188"/>
      <c r="G98" s="188"/>
      <c r="H98" s="188"/>
      <c r="I98" s="186"/>
    </row>
    <row r="99" spans="1:9" ht="18.75" customHeight="1" x14ac:dyDescent="0.2">
      <c r="A99" s="1"/>
      <c r="B99" s="187"/>
      <c r="C99" s="188"/>
      <c r="D99" s="188"/>
      <c r="E99" s="188"/>
      <c r="F99" s="188"/>
      <c r="G99" s="188"/>
      <c r="H99" s="188"/>
      <c r="I99" s="186"/>
    </row>
    <row r="100" spans="1:9" ht="18.75" customHeight="1" x14ac:dyDescent="0.2">
      <c r="A100" s="1"/>
      <c r="B100" s="187"/>
      <c r="C100" s="188"/>
      <c r="D100" s="188"/>
      <c r="E100" s="188"/>
      <c r="F100" s="188"/>
      <c r="G100" s="188"/>
      <c r="H100" s="188"/>
      <c r="I100" s="186"/>
    </row>
    <row r="101" spans="1:9" ht="18.75" customHeight="1" x14ac:dyDescent="0.2">
      <c r="A101" s="1"/>
      <c r="B101" s="187"/>
      <c r="C101" s="188"/>
      <c r="D101" s="188"/>
      <c r="E101" s="188"/>
      <c r="F101" s="188"/>
      <c r="G101" s="188"/>
      <c r="H101" s="188"/>
      <c r="I101" s="186"/>
    </row>
    <row r="102" spans="1:9" ht="18.75" customHeight="1" x14ac:dyDescent="0.2">
      <c r="A102" s="1"/>
      <c r="B102" s="187"/>
      <c r="C102" s="188"/>
      <c r="D102" s="188"/>
      <c r="E102" s="188"/>
      <c r="F102" s="188"/>
      <c r="G102" s="188"/>
      <c r="H102" s="188"/>
      <c r="I102" s="186"/>
    </row>
    <row r="103" spans="1:9" ht="18.75" customHeight="1" x14ac:dyDescent="0.2">
      <c r="A103" s="1"/>
      <c r="B103" s="187"/>
      <c r="C103" s="188"/>
      <c r="D103" s="188"/>
      <c r="E103" s="188"/>
      <c r="F103" s="188"/>
      <c r="G103" s="188"/>
      <c r="H103" s="188"/>
      <c r="I103" s="186"/>
    </row>
    <row r="104" spans="1:9" ht="18.75" customHeight="1" x14ac:dyDescent="0.2">
      <c r="A104" s="1"/>
      <c r="B104" s="187"/>
      <c r="C104" s="188"/>
      <c r="D104" s="188"/>
      <c r="E104" s="188"/>
      <c r="F104" s="188"/>
      <c r="G104" s="188"/>
      <c r="H104" s="188"/>
      <c r="I104" s="186"/>
    </row>
    <row r="105" spans="1:9" ht="18.75" customHeight="1" x14ac:dyDescent="0.2">
      <c r="A105" s="4"/>
      <c r="B105" s="189"/>
      <c r="C105" s="190"/>
      <c r="D105" s="190"/>
      <c r="E105" s="190"/>
      <c r="F105" s="190"/>
      <c r="G105" s="190"/>
      <c r="H105" s="190"/>
      <c r="I105" s="191"/>
    </row>
    <row r="106" spans="1:9" ht="7.5" customHeight="1" x14ac:dyDescent="0.2">
      <c r="A106" s="4"/>
      <c r="B106" s="4"/>
      <c r="C106" s="4"/>
      <c r="D106" s="4"/>
      <c r="E106" s="4"/>
      <c r="F106" s="4"/>
      <c r="G106" s="4"/>
      <c r="H106" s="4"/>
      <c r="I106" s="4"/>
    </row>
    <row r="107" spans="1:9" ht="18.75" customHeight="1" x14ac:dyDescent="0.2">
      <c r="A107" s="1" t="s">
        <v>30</v>
      </c>
      <c r="B107" s="199" t="s">
        <v>45</v>
      </c>
      <c r="C107" s="199"/>
      <c r="D107" s="199"/>
      <c r="E107" s="199"/>
      <c r="F107" s="199"/>
      <c r="G107" s="199"/>
      <c r="H107" s="199"/>
      <c r="I107" s="199"/>
    </row>
    <row r="108" spans="1:9" ht="18.75" customHeight="1" x14ac:dyDescent="0.2">
      <c r="A108" s="4"/>
      <c r="B108" s="181" t="s">
        <v>158</v>
      </c>
      <c r="C108" s="182"/>
      <c r="D108" s="182"/>
      <c r="E108" s="182"/>
      <c r="F108" s="182"/>
      <c r="G108" s="182"/>
      <c r="H108" s="182"/>
      <c r="I108" s="183"/>
    </row>
    <row r="109" spans="1:9" ht="18.75" customHeight="1" x14ac:dyDescent="0.2">
      <c r="A109" s="4"/>
      <c r="B109" s="187"/>
      <c r="C109" s="188"/>
      <c r="D109" s="188"/>
      <c r="E109" s="188"/>
      <c r="F109" s="188"/>
      <c r="G109" s="188"/>
      <c r="H109" s="188"/>
      <c r="I109" s="186"/>
    </row>
    <row r="110" spans="1:9" ht="18.75" customHeight="1" x14ac:dyDescent="0.2">
      <c r="A110" s="4"/>
      <c r="B110" s="187"/>
      <c r="C110" s="188"/>
      <c r="D110" s="188"/>
      <c r="E110" s="188"/>
      <c r="F110" s="188"/>
      <c r="G110" s="188"/>
      <c r="H110" s="188"/>
      <c r="I110" s="186"/>
    </row>
    <row r="111" spans="1:9" ht="18.75" customHeight="1" x14ac:dyDescent="0.2">
      <c r="A111" s="4"/>
      <c r="B111" s="187"/>
      <c r="C111" s="188"/>
      <c r="D111" s="188"/>
      <c r="E111" s="188"/>
      <c r="F111" s="188"/>
      <c r="G111" s="188"/>
      <c r="H111" s="188"/>
      <c r="I111" s="186"/>
    </row>
    <row r="112" spans="1:9" ht="18.75" customHeight="1" x14ac:dyDescent="0.2">
      <c r="A112" s="4"/>
      <c r="B112" s="187"/>
      <c r="C112" s="188"/>
      <c r="D112" s="188"/>
      <c r="E112" s="188"/>
      <c r="F112" s="188"/>
      <c r="G112" s="188"/>
      <c r="H112" s="188"/>
      <c r="I112" s="186"/>
    </row>
    <row r="113" spans="1:9" ht="18.75" customHeight="1" x14ac:dyDescent="0.2">
      <c r="A113" s="4"/>
      <c r="B113" s="187"/>
      <c r="C113" s="188"/>
      <c r="D113" s="188"/>
      <c r="E113" s="188"/>
      <c r="F113" s="188"/>
      <c r="G113" s="188"/>
      <c r="H113" s="188"/>
      <c r="I113" s="186"/>
    </row>
    <row r="114" spans="1:9" ht="18.75" customHeight="1" x14ac:dyDescent="0.2">
      <c r="A114" s="4"/>
      <c r="B114" s="187"/>
      <c r="C114" s="188"/>
      <c r="D114" s="188"/>
      <c r="E114" s="188"/>
      <c r="F114" s="188"/>
      <c r="G114" s="188"/>
      <c r="H114" s="188"/>
      <c r="I114" s="186"/>
    </row>
    <row r="115" spans="1:9" ht="18.75" customHeight="1" x14ac:dyDescent="0.2">
      <c r="A115" s="4"/>
      <c r="B115" s="187"/>
      <c r="C115" s="188"/>
      <c r="D115" s="188"/>
      <c r="E115" s="188"/>
      <c r="F115" s="188"/>
      <c r="G115" s="188"/>
      <c r="H115" s="188"/>
      <c r="I115" s="186"/>
    </row>
    <row r="116" spans="1:9" ht="18.75" customHeight="1" x14ac:dyDescent="0.2">
      <c r="A116" s="4"/>
      <c r="B116" s="187"/>
      <c r="C116" s="188"/>
      <c r="D116" s="188"/>
      <c r="E116" s="188"/>
      <c r="F116" s="188"/>
      <c r="G116" s="188"/>
      <c r="H116" s="188"/>
      <c r="I116" s="186"/>
    </row>
    <row r="117" spans="1:9" ht="18.75" customHeight="1" x14ac:dyDescent="0.2">
      <c r="A117" s="4"/>
      <c r="B117" s="187"/>
      <c r="C117" s="188"/>
      <c r="D117" s="188"/>
      <c r="E117" s="188"/>
      <c r="F117" s="188"/>
      <c r="G117" s="188"/>
      <c r="H117" s="188"/>
      <c r="I117" s="186"/>
    </row>
    <row r="118" spans="1:9" ht="18.75" customHeight="1" x14ac:dyDescent="0.2">
      <c r="A118" s="4"/>
      <c r="B118" s="187"/>
      <c r="C118" s="188"/>
      <c r="D118" s="188"/>
      <c r="E118" s="188"/>
      <c r="F118" s="188"/>
      <c r="G118" s="188"/>
      <c r="H118" s="188"/>
      <c r="I118" s="186"/>
    </row>
    <row r="119" spans="1:9" ht="18.75" customHeight="1" x14ac:dyDescent="0.2">
      <c r="A119" s="4"/>
      <c r="B119" s="189"/>
      <c r="C119" s="190"/>
      <c r="D119" s="190"/>
      <c r="E119" s="190"/>
      <c r="F119" s="190"/>
      <c r="G119" s="190"/>
      <c r="H119" s="190"/>
      <c r="I119" s="191"/>
    </row>
    <row r="120" spans="1:9" ht="7.5" customHeight="1" x14ac:dyDescent="0.2">
      <c r="A120" s="4"/>
      <c r="B120" s="38"/>
      <c r="C120" s="38"/>
      <c r="D120" s="38"/>
      <c r="E120" s="38"/>
      <c r="F120" s="38"/>
      <c r="G120" s="38"/>
      <c r="H120" s="38"/>
      <c r="I120" s="38"/>
    </row>
    <row r="121" spans="1:9" ht="18.75" customHeight="1" x14ac:dyDescent="0.2">
      <c r="A121" s="67"/>
      <c r="B121" s="176"/>
      <c r="C121" s="176"/>
      <c r="D121" s="176"/>
      <c r="E121" s="176"/>
      <c r="F121" s="176"/>
      <c r="G121" s="176"/>
      <c r="H121" s="176"/>
      <c r="I121" s="176"/>
    </row>
    <row r="122" spans="1:9" ht="18.75" customHeight="1" x14ac:dyDescent="0.2">
      <c r="A122" s="67"/>
      <c r="B122" s="176"/>
      <c r="C122" s="176"/>
      <c r="D122" s="176"/>
      <c r="E122" s="176"/>
      <c r="F122" s="176"/>
      <c r="G122" s="176"/>
      <c r="H122" s="176"/>
      <c r="I122" s="176"/>
    </row>
    <row r="123" spans="1:9" ht="18.75" customHeight="1" x14ac:dyDescent="0.2">
      <c r="A123" s="4"/>
      <c r="B123" s="71"/>
      <c r="C123" s="71"/>
      <c r="D123" s="71"/>
      <c r="E123" s="71"/>
      <c r="F123" s="71"/>
      <c r="G123" s="71"/>
      <c r="H123" s="71"/>
      <c r="I123" s="72"/>
    </row>
    <row r="124" spans="1:9" ht="18.75" customHeight="1" x14ac:dyDescent="0.2">
      <c r="A124" s="4"/>
      <c r="B124" s="72"/>
      <c r="C124" s="72"/>
      <c r="D124" s="72"/>
      <c r="E124" s="72"/>
      <c r="F124" s="72"/>
      <c r="G124" s="72"/>
      <c r="H124" s="72"/>
      <c r="I124" s="72"/>
    </row>
    <row r="125" spans="1:9" ht="18.75" customHeight="1" x14ac:dyDescent="0.2">
      <c r="A125" s="4"/>
      <c r="B125" s="72"/>
      <c r="C125" s="72"/>
      <c r="D125" s="72"/>
      <c r="E125" s="72"/>
      <c r="F125" s="72"/>
      <c r="G125" s="72"/>
      <c r="H125" s="72"/>
      <c r="I125" s="72"/>
    </row>
    <row r="126" spans="1:9" ht="18.75" customHeight="1" x14ac:dyDescent="0.2">
      <c r="A126" s="4"/>
      <c r="B126" s="72"/>
      <c r="C126" s="72"/>
      <c r="D126" s="72"/>
      <c r="E126" s="72"/>
      <c r="F126" s="72"/>
      <c r="G126" s="72"/>
      <c r="H126" s="72"/>
      <c r="I126" s="72"/>
    </row>
    <row r="127" spans="1:9" ht="18.75" customHeight="1" x14ac:dyDescent="0.2">
      <c r="A127" s="4"/>
      <c r="B127" s="72"/>
      <c r="C127" s="72"/>
      <c r="D127" s="72"/>
      <c r="E127" s="72"/>
      <c r="F127" s="72"/>
      <c r="G127" s="72"/>
      <c r="H127" s="72"/>
      <c r="I127" s="72"/>
    </row>
    <row r="128" spans="1:9" ht="18.75" customHeight="1" x14ac:dyDescent="0.2">
      <c r="A128" s="4"/>
      <c r="B128" s="72"/>
      <c r="C128" s="72"/>
      <c r="D128" s="72"/>
      <c r="E128" s="72"/>
      <c r="F128" s="72"/>
      <c r="G128" s="72"/>
      <c r="H128" s="72"/>
      <c r="I128" s="72"/>
    </row>
    <row r="129" spans="1:9" ht="18.75" customHeight="1" x14ac:dyDescent="0.2">
      <c r="A129" s="4"/>
      <c r="B129" s="72"/>
      <c r="C129" s="72"/>
      <c r="D129" s="72"/>
      <c r="E129" s="72"/>
      <c r="F129" s="72"/>
      <c r="G129" s="72"/>
      <c r="H129" s="72"/>
      <c r="I129" s="72"/>
    </row>
    <row r="130" spans="1:9" ht="18.75" customHeight="1" x14ac:dyDescent="0.2">
      <c r="A130" s="4"/>
      <c r="B130" s="72"/>
      <c r="C130" s="72"/>
      <c r="D130" s="72"/>
      <c r="E130" s="72"/>
      <c r="F130" s="72"/>
      <c r="G130" s="72"/>
      <c r="H130" s="72"/>
      <c r="I130" s="72"/>
    </row>
    <row r="131" spans="1:9" ht="18.75" customHeight="1" x14ac:dyDescent="0.2">
      <c r="A131" s="4"/>
      <c r="B131" s="72"/>
      <c r="C131" s="72"/>
      <c r="D131" s="72"/>
      <c r="E131" s="72"/>
      <c r="F131" s="72"/>
      <c r="G131" s="72"/>
      <c r="H131" s="72"/>
      <c r="I131" s="72"/>
    </row>
    <row r="132" spans="1:9" ht="18.75" customHeight="1" x14ac:dyDescent="0.2">
      <c r="A132" s="4"/>
      <c r="B132" s="72"/>
      <c r="C132" s="72"/>
      <c r="D132" s="72"/>
      <c r="E132" s="72"/>
      <c r="F132" s="72"/>
      <c r="G132" s="72"/>
      <c r="H132" s="72"/>
      <c r="I132" s="72"/>
    </row>
    <row r="133" spans="1:9" ht="14" x14ac:dyDescent="0.2">
      <c r="A133" s="4"/>
      <c r="B133" s="72"/>
      <c r="C133" s="72"/>
      <c r="D133" s="72"/>
      <c r="E133" s="72"/>
      <c r="F133" s="72"/>
      <c r="G133" s="72"/>
      <c r="H133" s="72"/>
      <c r="I133" s="72"/>
    </row>
    <row r="134" spans="1:9" ht="7.5" customHeight="1" x14ac:dyDescent="0.2">
      <c r="A134" s="4"/>
      <c r="B134" s="72"/>
      <c r="C134" s="72"/>
      <c r="D134" s="72"/>
      <c r="E134" s="72"/>
      <c r="F134" s="72"/>
      <c r="G134" s="72"/>
      <c r="H134" s="72"/>
      <c r="I134" s="72"/>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1"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10" zoomScale="80" zoomScaleNormal="100" zoomScaleSheetLayoutView="80" workbookViewId="0">
      <selection activeCell="E15" sqref="E15:I15"/>
    </sheetView>
  </sheetViews>
  <sheetFormatPr defaultColWidth="11.36328125" defaultRowHeight="22.5" customHeight="1" x14ac:dyDescent="0.2"/>
  <cols>
    <col min="1" max="3" width="2.7265625" style="1" customWidth="1"/>
    <col min="4" max="4" width="22.26953125" style="1" customWidth="1"/>
    <col min="5" max="5" width="30.7265625" style="1" customWidth="1"/>
    <col min="6" max="7" width="7.7265625" style="1" customWidth="1"/>
    <col min="8" max="9" width="30.7265625" style="1" customWidth="1"/>
    <col min="10" max="10" width="4.08984375" style="1" customWidth="1"/>
    <col min="11" max="16384" width="11.36328125" style="1"/>
  </cols>
  <sheetData>
    <row r="1" spans="1:9" ht="18.75" customHeight="1" x14ac:dyDescent="0.2">
      <c r="A1" s="1" t="s">
        <v>67</v>
      </c>
      <c r="I1" s="30" t="s">
        <v>95</v>
      </c>
    </row>
    <row r="2" spans="1:9" ht="18.75" customHeight="1" x14ac:dyDescent="0.2">
      <c r="H2" s="30" t="s">
        <v>98</v>
      </c>
      <c r="I2" s="29" t="str">
        <f>'様式１　プログラムを構成する授業科目'!C2</f>
        <v>横浜商科大学</v>
      </c>
    </row>
    <row r="3" spans="1:9" ht="18.75" customHeight="1" x14ac:dyDescent="0.2">
      <c r="A3" s="177" t="s">
        <v>28</v>
      </c>
      <c r="B3" s="177"/>
      <c r="C3" s="177"/>
      <c r="D3" s="177"/>
      <c r="E3" s="177"/>
      <c r="F3" s="177"/>
      <c r="G3" s="177"/>
      <c r="H3" s="177"/>
      <c r="I3" s="177"/>
    </row>
    <row r="4" spans="1:9" ht="18.75" customHeight="1" x14ac:dyDescent="0.2">
      <c r="A4" s="5"/>
      <c r="B4" s="5"/>
      <c r="C4" s="5"/>
      <c r="D4" s="5"/>
      <c r="E4" s="5"/>
      <c r="F4" s="5"/>
      <c r="G4" s="5"/>
      <c r="H4" s="5"/>
      <c r="I4" s="5"/>
    </row>
    <row r="5" spans="1:9" ht="18.75" customHeight="1" x14ac:dyDescent="0.2">
      <c r="A5" s="1" t="s">
        <v>0</v>
      </c>
      <c r="B5" s="10" t="s">
        <v>89</v>
      </c>
      <c r="C5" s="5"/>
      <c r="D5" s="5"/>
      <c r="E5" s="5"/>
      <c r="F5" s="5"/>
      <c r="G5" s="5"/>
      <c r="H5" s="5"/>
      <c r="I5" s="5"/>
    </row>
    <row r="6" spans="1:9" ht="26.25" customHeight="1" x14ac:dyDescent="0.2">
      <c r="A6" s="5"/>
      <c r="B6" s="192" t="s">
        <v>149</v>
      </c>
      <c r="C6" s="237"/>
      <c r="D6" s="237"/>
      <c r="E6" s="237"/>
      <c r="F6" s="237"/>
      <c r="G6" s="237"/>
      <c r="H6" s="238"/>
      <c r="I6" s="3"/>
    </row>
    <row r="7" spans="1:9" ht="9" customHeight="1" x14ac:dyDescent="0.2">
      <c r="A7" s="5"/>
      <c r="B7" s="10"/>
      <c r="C7" s="10"/>
      <c r="D7" s="10"/>
      <c r="E7" s="10"/>
      <c r="F7" s="10"/>
      <c r="G7" s="10"/>
      <c r="H7" s="10"/>
      <c r="I7" s="3"/>
    </row>
    <row r="8" spans="1:9" ht="18.75" customHeight="1" x14ac:dyDescent="0.2">
      <c r="A8" s="5"/>
      <c r="B8" s="3"/>
      <c r="C8" s="3"/>
      <c r="D8" s="30" t="s">
        <v>42</v>
      </c>
      <c r="E8" s="31" t="s">
        <v>163</v>
      </c>
      <c r="F8" s="3"/>
      <c r="G8" s="30" t="s">
        <v>10</v>
      </c>
      <c r="H8" s="31" t="s">
        <v>148</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91" t="s">
        <v>24</v>
      </c>
      <c r="C11" s="92"/>
      <c r="D11" s="93"/>
      <c r="E11" s="92" t="s">
        <v>26</v>
      </c>
      <c r="F11" s="92"/>
      <c r="G11" s="92"/>
      <c r="H11" s="92"/>
      <c r="I11" s="93"/>
    </row>
    <row r="12" spans="1:9" ht="26.25" customHeight="1" x14ac:dyDescent="0.2">
      <c r="B12" s="39" t="s">
        <v>14</v>
      </c>
      <c r="C12" s="46"/>
      <c r="D12" s="40"/>
      <c r="E12" s="47"/>
      <c r="F12" s="47"/>
      <c r="G12" s="47"/>
      <c r="H12" s="47"/>
      <c r="I12" s="40"/>
    </row>
    <row r="13" spans="1:9" ht="409.15" customHeight="1" x14ac:dyDescent="0.2">
      <c r="B13" s="41"/>
      <c r="C13" s="235" t="s">
        <v>15</v>
      </c>
      <c r="D13" s="236"/>
      <c r="E13" s="232" t="s">
        <v>161</v>
      </c>
      <c r="F13" s="233"/>
      <c r="G13" s="233"/>
      <c r="H13" s="233"/>
      <c r="I13" s="234"/>
    </row>
    <row r="14" spans="1:9" ht="210.75" customHeight="1" x14ac:dyDescent="0.2">
      <c r="B14" s="41"/>
      <c r="C14" s="230" t="s">
        <v>16</v>
      </c>
      <c r="D14" s="231"/>
      <c r="E14" s="232" t="s">
        <v>150</v>
      </c>
      <c r="F14" s="233"/>
      <c r="G14" s="233"/>
      <c r="H14" s="233"/>
      <c r="I14" s="234"/>
    </row>
    <row r="15" spans="1:9" ht="229.9" customHeight="1" x14ac:dyDescent="0.2">
      <c r="B15" s="41"/>
      <c r="C15" s="235" t="s">
        <v>17</v>
      </c>
      <c r="D15" s="236"/>
      <c r="E15" s="232" t="s">
        <v>151</v>
      </c>
      <c r="F15" s="233"/>
      <c r="G15" s="233"/>
      <c r="H15" s="233"/>
      <c r="I15" s="234"/>
    </row>
    <row r="16" spans="1:9" ht="208.5" customHeight="1" x14ac:dyDescent="0.2">
      <c r="B16" s="41"/>
      <c r="C16" s="235" t="s">
        <v>18</v>
      </c>
      <c r="D16" s="236"/>
      <c r="E16" s="232" t="s">
        <v>152</v>
      </c>
      <c r="F16" s="233"/>
      <c r="G16" s="233"/>
      <c r="H16" s="233"/>
      <c r="I16" s="234"/>
    </row>
    <row r="17" spans="2:9" ht="210.75" hidden="1" customHeight="1" x14ac:dyDescent="0.2">
      <c r="B17" s="42"/>
      <c r="C17" s="239" t="s">
        <v>19</v>
      </c>
      <c r="D17" s="240"/>
      <c r="E17" s="241" t="s">
        <v>162</v>
      </c>
      <c r="F17" s="242"/>
      <c r="G17" s="242"/>
      <c r="H17" s="242"/>
      <c r="I17" s="243"/>
    </row>
    <row r="18" spans="2:9" ht="24" customHeight="1" x14ac:dyDescent="0.2">
      <c r="B18" s="39" t="s">
        <v>20</v>
      </c>
      <c r="C18" s="43"/>
      <c r="D18" s="44"/>
      <c r="E18" s="45"/>
      <c r="F18" s="45"/>
      <c r="G18" s="45"/>
      <c r="H18" s="45"/>
      <c r="I18" s="48"/>
    </row>
    <row r="19" spans="2:9" ht="218.25" customHeight="1" x14ac:dyDescent="0.2">
      <c r="B19" s="41"/>
      <c r="C19" s="235" t="s">
        <v>21</v>
      </c>
      <c r="D19" s="236"/>
      <c r="E19" s="233" t="s">
        <v>154</v>
      </c>
      <c r="F19" s="233"/>
      <c r="G19" s="233"/>
      <c r="H19" s="233"/>
      <c r="I19" s="234"/>
    </row>
    <row r="20" spans="2:9" ht="218.25" customHeight="1" x14ac:dyDescent="0.2">
      <c r="B20" s="42"/>
      <c r="C20" s="239" t="s">
        <v>22</v>
      </c>
      <c r="D20" s="240"/>
      <c r="E20" s="242" t="s">
        <v>155</v>
      </c>
      <c r="F20" s="242"/>
      <c r="G20" s="242"/>
      <c r="H20" s="242"/>
      <c r="I20" s="243"/>
    </row>
    <row r="21" spans="2:9" ht="218.25" customHeight="1" x14ac:dyDescent="0.2">
      <c r="B21" s="249" t="s">
        <v>23</v>
      </c>
      <c r="C21" s="250"/>
      <c r="D21" s="251"/>
      <c r="E21" s="252" t="s">
        <v>160</v>
      </c>
      <c r="F21" s="252"/>
      <c r="G21" s="252"/>
      <c r="H21" s="252"/>
      <c r="I21" s="253"/>
    </row>
    <row r="22" spans="2:9" ht="218.25" customHeight="1" x14ac:dyDescent="0.2">
      <c r="B22" s="244" t="s">
        <v>134</v>
      </c>
      <c r="C22" s="245"/>
      <c r="D22" s="246"/>
      <c r="E22" s="247" t="s">
        <v>153</v>
      </c>
      <c r="F22" s="247"/>
      <c r="G22" s="247"/>
      <c r="H22" s="247"/>
      <c r="I22" s="248"/>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8"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矢内 朝佳</cp:lastModifiedBy>
  <cp:lastPrinted>2024-05-07T02:41:14Z</cp:lastPrinted>
  <dcterms:created xsi:type="dcterms:W3CDTF">2011-06-14T05:32:50Z</dcterms:created>
  <dcterms:modified xsi:type="dcterms:W3CDTF">2024-06-18T02:52:30Z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