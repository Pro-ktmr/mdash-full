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NASEDTC\edtc\☆教育開発支援センター\6.全学AI教育推進会議\数理・データサイエンス・AI教育プログラム認定制度（リテラシーレベル）\申請書類（20240513）\大阪学院大学\（再）01_大阪学院大学\"/>
    </mc:Choice>
  </mc:AlternateContent>
  <xr:revisionPtr revIDLastSave="0" documentId="13_ncr:1_{BBBBD6F2-3C5A-4C8E-9BC0-FB69611D40C0}" xr6:coauthVersionLast="47" xr6:coauthVersionMax="47" xr10:uidLastSave="{00000000-0000-0000-0000-000000000000}"/>
  <bookViews>
    <workbookView xWindow="-110" yWindow="-110" windowWidth="34620" windowHeight="1402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教育の質・履修者数を向上させるための体制・計画'!$A$1:$I$118</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R14" i="40" l="1"/>
  <c r="S14" i="40" s="1"/>
  <c r="M7" i="40" l="1"/>
  <c r="I2" i="42"/>
  <c r="H2" i="41"/>
  <c r="Q2" i="40"/>
  <c r="I33" i="40" l="1"/>
  <c r="M33" i="40"/>
  <c r="P33" i="40"/>
  <c r="Q33" i="40"/>
  <c r="O33" i="40"/>
  <c r="N33" i="40"/>
  <c r="L33" i="40"/>
  <c r="J33" i="40"/>
  <c r="K33" i="40"/>
  <c r="H33" i="40"/>
  <c r="R15" i="40" l="1"/>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 r="C49" i="41" s="1"/>
</calcChain>
</file>

<file path=xl/sharedStrings.xml><?xml version="1.0" encoding="utf-8"?>
<sst xmlns="http://schemas.openxmlformats.org/spreadsheetml/2006/main" count="304" uniqueCount="191">
  <si>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</si>
  <si>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</si>
  <si>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</si>
  <si>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</si>
  <si>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</si>
  <si>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</si>
  <si>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</si>
  <si>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</si>
  <si>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</si>
  <si>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</si>
  <si>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</si>
  <si>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</si>
  <si>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</si>
  <si>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</si>
  <si>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</si>
  <si>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</si>
  <si>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</si>
  <si>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</si>
  <si>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</si>
  <si>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</si>
  <si>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</si>
  <si>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</si>
  <si>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</si>
  <si>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</si>
  <si>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</si>
  <si>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</si>
  <si>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</si>
  <si>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</si>
  <si>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</si>
  <si>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</si>
  <si>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</si>
  <si>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</si>
  <si>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</si>
  <si>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</si>
  <si>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</si>
  <si>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</si>
  <si>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</si>
  <si>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</si>
  <si>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</si>
  <si>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</si>
  <si>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</si>
  <si>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</si>
  <si>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</si>
  <si>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</si>
  <si>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</si>
  <si>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</si>
  <si>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</si>
  <si>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</si>
  <si>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</si>
  <si>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</si>
  <si>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</si>
  <si>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</si>
  <si>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</si>
  <si>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</si>
  <si>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</si>
  <si>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</si>
  <si>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</si>
  <si>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</si>
  <si>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</si>
  <si>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</si>
  <si>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</si>
  <si>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</si>
  <si>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</si>
  <si>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</si>
  <si>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</si>
  <si>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</si>
  <si>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</si>
  <si>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</si>
  <si>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</si>
  <si>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</si>
  <si>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</si>
  <si>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</si>
  <si>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</si>
  <si>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</si>
  <si>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</si>
  <si>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</si>
  <si>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</si>
  <si>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</si>
  <si>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</si>
  <si>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</si>
  <si>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</si>
  <si>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</si>
  <si>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</si>
  <si>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</si>
  <si>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</si>
  <si>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</si>
  <si>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</si>
  <si>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</si>
  <si>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</si>
  <si>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</si>
  <si>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</si>
  <si>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</si>
  <si>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</si>
  <si>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</si>
  <si>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</si>
  <si>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</si>
  <si>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</si>
  <si>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</si>
  <si>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</si>
  <si>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</si>
  <si>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</si>
  <si>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</si>
  <si>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</si>
  <si>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</si>
  <si>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</si>
  <si>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</si>
  <si>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</si>
  <si>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</si>
  <si>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</si>
  <si>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</si>
  <si>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</si>
  <si>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</si>
  <si>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</si>
  <si>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</si>
  <si>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</si>
  <si>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</si>
  <si>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</si>
  <si>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</si>
  <si>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</si>
  <si>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</si>
  <si>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</si>
  <si>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</si>
  <si>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</si>
  <si>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</si>
  <si>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</si>
  <si>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</si>
  <si>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</si>
  <si>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</si>
  <si>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</si>
  <si>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</si>
  <si>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</si>
  <si>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</si>
  <si>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</si>
  <si>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</si>
  <si>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</si>
  <si>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</si>
  <si>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大阪学院大学</t>
    <rPh sb="0" eb="6">
      <t>オオサカ</t>
    </rPh>
    <phoneticPr fontId="1"/>
  </si>
  <si>
    <t>OGU数理・データサイエンス・AI教育プログラム</t>
    <rPh sb="3" eb="5">
      <t>スウリ</t>
    </rPh>
    <rPh sb="17" eb="19">
      <t>キョウイク</t>
    </rPh>
    <phoneticPr fontId="1"/>
  </si>
  <si>
    <t>学部・学科によって、修了要件は相違しない</t>
  </si>
  <si>
    <t>○</t>
  </si>
  <si>
    <t>ＡＩ入門演習</t>
    <phoneticPr fontId="1"/>
  </si>
  <si>
    <t>4‐3データ構造とプログラミング基礎</t>
  </si>
  <si>
    <t>4‐7データハンドリング</t>
  </si>
  <si>
    <t>4‐8データ活用実践（教師あり学習）</t>
  </si>
  <si>
    <t>4‐9データ活用実践（教師なし学習）</t>
  </si>
  <si>
    <t>・AI等を活用した新しいビジネスモデル（商品のレコメンデーションなど）「AI活用入門A」（4回目）</t>
  </si>
  <si>
    <t>・調査データ、実験データ「AI活用入門A」（3回目）</t>
  </si>
  <si>
    <t>AI利活用事例紹介「AI活用入門B」（6回目）</t>
  </si>
  <si>
    <t>・暗号化、パスワード「AI活用入門A」（7回目）
・情報セキュリティ：機密性、完全性、可用性「AI活用入門B」（7回目）</t>
    <phoneticPr fontId="1"/>
  </si>
  <si>
    <t>白川　雄三</t>
    <rPh sb="0" eb="5">
      <t>シラカワ</t>
    </rPh>
    <phoneticPr fontId="1"/>
  </si>
  <si>
    <t>全学AI教育推進会議（専門部会）</t>
    <rPh sb="0" eb="16">
      <t>ゼンガク</t>
    </rPh>
    <phoneticPr fontId="1"/>
  </si>
  <si>
    <t>議長</t>
    <rPh sb="0" eb="2">
      <t>ギチョウ</t>
    </rPh>
    <phoneticPr fontId="1"/>
  </si>
  <si>
    <t>本学における「数理・データサイエンス・AI教育」の推進にあたっては、令和元（2019）年11月1日に教育開発支援センターを担当部局として時限的な検討組織（全学AI教育推進会議）が設置された。令和2（2020）年4月に共通科目に3つのAI関連科目が設置された後、推進会議の機能は、大阪学院大学・大阪学院大学短期大学部 教育開発支援センター規程第6条第5項 「センター会議は、必要に応じて専門部会を設けることができる。」に基づき、教育開発支援センター会議の下に設ける専門部会へ引き継がれた。現在は「全学AI教育推進会議（専門部会）」として引き続き、教育開発支援センターが運営中である。教育開発支援センターは、この専門部会の運営を通じ、「OGU数理・データサイエンス・AI教育プログラム」の企画・運営およびプログラム改善に向けた提言を行うことで、本学における「数理・データサイエンス・AI教育」を改善・進化させることを目的としている。</t>
    <phoneticPr fontId="1"/>
  </si>
  <si>
    <t>今後、学生アンケートに「後輩等他の学生への推奨度」を測定する項目を導入して、計測する予定である。</t>
    <phoneticPr fontId="1"/>
  </si>
  <si>
    <t>現在、教育プログラムが開始されたばかりであり、修了者の進路、活躍状況、企業等の評価はできていない。今後、このプログラムを履修して修了証を取得した学生の卒業後の進路・就職状況を把握するシステムを構築する予定である。</t>
    <phoneticPr fontId="1"/>
  </si>
  <si>
    <t>・ChatGPTや画像生成AIを実際に使用するデモンストレーションを行った。「AI活用入門A」
・知的財産権に留意して生成AIを利用する必要があることを強調した。「AI活用入門B」</t>
    <rPh sb="11" eb="13">
      <t>セイセイ</t>
    </rPh>
    <phoneticPr fontId="1"/>
  </si>
  <si>
    <t>全学的な履修者数、履修率の向上については、令和6（2024）年度より、「AI活用入門A」1クラスを3クラスに、「AI活用入門B」1クラスを3クラスに、合計6クラスへ増加した。これにより履修者数を大幅に増加させることができる。</t>
    <phoneticPr fontId="1"/>
  </si>
  <si>
    <t>本学では、平成21（2009）年7月に企業経営に携わる大阪学院大学卒業生を主な会員として、「大阪学院フェニックス倶楽部」が設立された。倶楽部の設立以降、会員相互の交流を通じ、在学生のキャリア形成支援、地域社会への貢献活動を実践しており、近年は「社長直伝プログラム」、「後継者育成支援講座」、「ビジネス交流会」などが活発に行われている。そこで、「大阪学院フェニックス倶楽部」からの本プログラムへの意見聴収や、外部評価の機会を得ることにより、産業界からの視点を含めた教育プログラムの改善に役立てたい。</t>
    <rPh sb="0" eb="2">
      <t>ホンガク</t>
    </rPh>
    <rPh sb="118" eb="120">
      <t>キンネン</t>
    </rPh>
    <rPh sb="157" eb="159">
      <t>カッパツ</t>
    </rPh>
    <rPh sb="160" eb="161">
      <t>オコナ</t>
    </rPh>
    <rPh sb="199" eb="201">
      <t>チョウシュウ</t>
    </rPh>
    <rPh sb="219" eb="222">
      <t>サンギョウカイ</t>
    </rPh>
    <rPh sb="225" eb="227">
      <t>シテン</t>
    </rPh>
    <rPh sb="228" eb="229">
      <t>フク</t>
    </rPh>
    <rPh sb="239" eb="241">
      <t>カイゼン</t>
    </rPh>
    <rPh sb="242" eb="244">
      <t>ヤクダ</t>
    </rPh>
    <phoneticPr fontId="1"/>
  </si>
  <si>
    <t>「OGU数理・データサイエンス・AI教育プログラム」を構成する科目「AI活用入門A」（1単位）と「AI活用入門B」（1単位）の合計2単位を修得すること。「AI入門演習」（2単位）の履修は任意とする。</t>
    <rPh sb="4" eb="6">
      <t>スウリ</t>
    </rPh>
    <rPh sb="18" eb="20">
      <t>キョウイク</t>
    </rPh>
    <rPh sb="27" eb="29">
      <t>コウセイ</t>
    </rPh>
    <rPh sb="79" eb="81">
      <t>ニュウモン</t>
    </rPh>
    <rPh sb="86" eb="88">
      <t>タンイ</t>
    </rPh>
    <phoneticPr fontId="1"/>
  </si>
  <si>
    <t>・第4次産業革命、Society5.0、データ駆動型社会「AI活用入門A」（2回目）
・ビッグデータ、IoT、AI、ロボット「AI活用入門B」（1回目）</t>
    <rPh sb="25" eb="26">
      <t>ガタ</t>
    </rPh>
    <phoneticPr fontId="1"/>
  </si>
  <si>
    <t>・非構造化データ処理：画像処理、音声処理「AI活用入門B」（3回目及び4回目）</t>
    <rPh sb="1" eb="2">
      <t>ヒ</t>
    </rPh>
    <rPh sb="2" eb="5">
      <t>コウゾウカ</t>
    </rPh>
    <rPh sb="8" eb="10">
      <t>ショリ</t>
    </rPh>
    <rPh sb="11" eb="15">
      <t>ガゾウショリ</t>
    </rPh>
    <rPh sb="16" eb="20">
      <t>オンセイショリ</t>
    </rPh>
    <phoneticPr fontId="1"/>
  </si>
  <si>
    <t>・データ倫理：データのねつ造、改ざん、盗用、プライバシー保護「AI活用入門A」（7回目）
・個人情報保護、EU一般データ保護規則（GDPR）「AI活用入門B｝（7回目）</t>
    <phoneticPr fontId="1"/>
  </si>
  <si>
    <t>・データ表現（棒グラフ、折れ線グラフ、散布図）「AI活用入門A」（6回目）
・データの図表表現（チャート化）「AI活用入門B」（5回目）</t>
    <rPh sb="43" eb="45">
      <t>ズヒョウ</t>
    </rPh>
    <rPh sb="52" eb="53">
      <t>カ</t>
    </rPh>
    <phoneticPr fontId="1"/>
  </si>
  <si>
    <t>・データの集計・データ解析ツール（スプレッドシート）「AI活用入門A」（6回目）
・データ解析ツール（スプレッドシート）「AI活用入門B」（6回目）</t>
    <rPh sb="45" eb="47">
      <t>カイセキ</t>
    </rPh>
    <phoneticPr fontId="1"/>
  </si>
  <si>
    <t>本学で使用しているLMS「OGU-Caddie」の質問システムにより、授業時間外でも質問可能である。また、学生へのサポートは、技術面は学内パソコンサポート施設である「MELOP」で、学修面は学習支援室があたる。令和6（2024）年度より、「AI活用入門A」および「AI活用入門B」を担当する教員が学習支援室に在室することにより、授業時間外においても個別サポートが随時可能である。（「OGU-Caddie」は、大阪学院大学におけるLearning Management Systemで、e-Learningを実施するための機能である。学生がスマートフォンやパソコンでインターネットを使用して学修するための受講機能や教員が学生を管理するための管理機能を備えている。）</t>
    <phoneticPr fontId="1"/>
  </si>
  <si>
    <t>学生へのサポートは、技術面は学内パソコンサポート施設である「MELOP」で、学修面は学習支援室がこれにあたる。</t>
    <rPh sb="38" eb="40">
      <t>ガクシュウ</t>
    </rPh>
    <rPh sb="40" eb="41">
      <t>メン</t>
    </rPh>
    <phoneticPr fontId="1"/>
  </si>
  <si>
    <t>授業において、実際にChatGPTや画像生成AIを使用することにより、学生の興味を引くと共に、「学ぶ楽しさ」を理解させる。また、こうしたAIが実際に企業において利用されていることを教えて、この技術が社会に役立つことを理解させて、「学ぶことの意義」をも理解させる。</t>
    <phoneticPr fontId="1"/>
  </si>
  <si>
    <t>「OGU数理・データサイエンス・AI教育プログラム」は令和5（2023）年度から開始され、プログラム履修者は23年度生の117名である。また、プログラム修了条件となる「AI活用入門A」および「AI活用入門B」の両方の合格者は、117名のうち16名（合格率13.7％）であった。これは、このプログラムが開始されたばかりであるので、学生にあまり認知されていないためであると言える。今後、オリエンテーションなどを通じて、周知徹底を図っていきたい。また、「OGU数理・データサイエンス・AI教育プログラム」を修了した23年度生16名に対し、修了証を発行したが、今後「オープンバッジ」の導入も含め、学生の将来に役立つよう、検討を進める。</t>
    <rPh sb="63" eb="64">
      <t>メイ</t>
    </rPh>
    <phoneticPr fontId="1"/>
  </si>
  <si>
    <t>令和5（2023）年度の授業評価アンケートによると「AI活用入門A」における学生の理解度は、5段階の中で3.9である。この値は平均以上であるが、さらに向上させていきたい。「AI活用入門B」における学生の理解度は、「AI活用入門A」と同じく5段階の中で3.9である。しかし、最終レポートの内容における学生の考察は、あまり深く踏み込んだものとはなっていなかったため、個々のスキルアップがなされるように指導していきたい。「AI入門演習」では、学生の理解度は受講者全員が5段階中の5と回答した。この高いスコアを維持できるよう努めたい。</t>
    <rPh sb="0" eb="2">
      <t>レイワ</t>
    </rPh>
    <rPh sb="9" eb="11">
      <t>ネンド</t>
    </rPh>
    <rPh sb="143" eb="145">
      <t>ナイヨウ</t>
    </rPh>
    <rPh sb="149" eb="151">
      <t>ガクセイ</t>
    </rPh>
    <rPh sb="152" eb="154">
      <t>コウサツ</t>
    </rPh>
    <rPh sb="159" eb="160">
      <t>フカ</t>
    </rPh>
    <rPh sb="161" eb="162">
      <t>フ</t>
    </rPh>
    <rPh sb="163" eb="164">
      <t>コ</t>
    </rPh>
    <rPh sb="210" eb="212">
      <t>ニュウモン</t>
    </rPh>
    <rPh sb="218" eb="220">
      <t>ガクセイ</t>
    </rPh>
    <phoneticPr fontId="1"/>
  </si>
  <si>
    <t>・現在、後期に1クラスずつ開講されている「AI活用入門A」と「AI活用入門B」を、令和6（2024）年度より3クラスずつ開講し、履修者数の増加を図る。
・令和7（2025）年度からは現在後期のみに開講されているこれらの科目を、前期にも開講し、さらなる履修者数の増加を図る。
・「AI活用入門A」と「AI活用入門B」の両方を合格すると修了証が交付され、この修了証交付を学修への動機付けとして、履修者数の増加を図る。
・「AI入門演習」においては、「AI活用入門A」と「AI活用入門B」の履修を前提とし、人工知能技術の中核的技術である、機械学習の技術を中心に紹介し、簡単な演習を通して人工知能の技術について理解を深めていき、より高度な授業も履修できることを周知し、さらなる受講者数の増加を図る。
・「様式2」では情報学部の履修者が0名となっている。改善方策として、情報学部の専攻科目「人工知能基礎」に先行して履修すべき科目として「AI活用入門A」と「AI活用入門B」を履修するよう、情報学部1年次生の履修登録時に指導する。</t>
    <phoneticPr fontId="1"/>
  </si>
  <si>
    <t>・「OGU数理・データサイエンス・AI教育プログラム」を構成する3科目は、全て、学部・学科を問わず全学生に対して提供されている「共通科目」の「実務基礎」区分に位置づけられている。
・令和6（2024）年度は教員増員によるクラス増を行うが、最終的に履修者を100％に近づけるため、令和7（2025）年度以降において、オンライン形式での開講や、一部カリキュラムにおける必修化についても検討する。
・開講クラス数を増加することにより、必修科目と重なって履修できなかった学生が履修可能となり、履修機会の増加が図られる。
・「全学AI教育推進会議（専門部会）」において、当プログラム科目の学生の受講希望状況を注視し、受講を希望する全ての学生が履修登録できるよう開講コマ数や開講方法について検討・調整する予定である。</t>
    <rPh sb="28" eb="30">
      <t>コウセイ</t>
    </rPh>
    <rPh sb="64" eb="68">
      <t>キョウツウカモク</t>
    </rPh>
    <rPh sb="91" eb="93">
      <t>レイワ</t>
    </rPh>
    <rPh sb="100" eb="102">
      <t>ネンド</t>
    </rPh>
    <rPh sb="103" eb="105">
      <t>キョウイン</t>
    </rPh>
    <rPh sb="105" eb="107">
      <t>ゾウイン</t>
    </rPh>
    <rPh sb="113" eb="114">
      <t>ゾウ</t>
    </rPh>
    <rPh sb="115" eb="116">
      <t>オコナ</t>
    </rPh>
    <rPh sb="119" eb="122">
      <t>サイシュウテキ</t>
    </rPh>
    <rPh sb="132" eb="133">
      <t>チカ</t>
    </rPh>
    <rPh sb="139" eb="141">
      <t>レイワ</t>
    </rPh>
    <rPh sb="148" eb="150">
      <t>ネンド</t>
    </rPh>
    <rPh sb="150" eb="152">
      <t>イコウ</t>
    </rPh>
    <rPh sb="331" eb="335">
      <t>カイコウホウホウ</t>
    </rPh>
    <rPh sb="339" eb="341">
      <t>ケントウ</t>
    </rPh>
    <rPh sb="346" eb="348">
      <t>ヨテイ</t>
    </rPh>
    <phoneticPr fontId="1"/>
  </si>
  <si>
    <t>大阪学院大学・大阪学院大学短期大学部 教育開発支援センター規程</t>
    <phoneticPr fontId="1"/>
  </si>
  <si>
    <t>AI活用入門A</t>
    <phoneticPr fontId="1"/>
  </si>
  <si>
    <t>AI活用入門B</t>
    <phoneticPr fontId="1"/>
  </si>
  <si>
    <t>「OGU数理・データサイエンス・AI教育プログラム」では、これからの社会が求める次の能力を身に付けることを目標とする。具体的には①新しい価値の創造に主体的に関わる力、②AIリテラシー力、③情報活用力である。また、次の3点を学修成果としている。
１．数理・データサイエンスやAIについての基礎的知識を修得し、さらにこれらを日常の生活、仕事等の場で使いこなすことができる基礎的素養を主体的に身に付ける。
２．現代における数理・データサイエンス・AIの役割について理解して、説明できる。
３．数理・データサイエンスやAIを利活用する際の留意すべき事項（個人情報、データ倫理など）を理解して、説明できる。</t>
    <phoneticPr fontId="1"/>
  </si>
  <si>
    <t>・データの分布、データのばらつき「AI活用入門A」（6回目）
・脱落を含むデータ、観測データに含まれる誤差の扱い「AI活用入門B」（5回目）</t>
    <phoneticPr fontId="1"/>
  </si>
  <si>
    <t>・データ・AI活用領域の広がり（消費、文化活動など）「AI活用入門A」（4回目）
・研究開発、判断支援「AI活用入門B」（6回目）</t>
    <phoneticPr fontId="1"/>
  </si>
  <si>
    <t>令和5</t>
    <rPh sb="0" eb="2">
      <t>レイワ</t>
    </rPh>
    <phoneticPr fontId="1"/>
  </si>
  <si>
    <t>・教授会において、ゼミナール担当教員に対し、担当学生への呼びかけを依頼する。
・「OGU数理・データサイエンス・AI教育プログラム」に関する情報が一元的に取得できるよう、令和6（2024）年4月上旬より、公式ホームページに「OGU数理・データサイエンス・AI教育プログラム」専用ページを設置している。
・「OGU数理・データサイエンス・AI教育プログラム」の案内チラシを作成し、オリエンテーション時に配付する。1年次第1タームに開講する初年次教育科目「フレッシュマンスキル」の第7回目授業に授業担当者が訪問してプレゼンテーションを行い、後期の履修を促す。
・「2025 CAMPUS GUIDE」（大学案内）において「OGU数理・データサイエンス・AI教育プログラム」について掲載し、受験生に対して周知を図る。
・併設高等学校との高大連携制度を活用し、イベント等を通して併設高等学校の生徒に対し本学の「OGU数理・データサイエンス・AI教育プログラム」について周知を図る。</t>
    <phoneticPr fontId="1"/>
  </si>
  <si>
    <t>学修成果の把握、可視化について、直接評価と間接評価をあわせて多面的に行っている。試験、提出課題、ルーブリック、授業評価等による総合評価（100点満点）により把握している。直接評価としては、試験や小テストを行っている。特にLMSであるOGU-Caddieを使用した小テストは「AI活用入門A」及び「AI活用入門B」において、毎回行っている。また間接評価としては、学生による授業評価とルーブリック評価を行っている。「AI入門演習」は少人数を前提とした実践中心の授業内容となっている。この特性を活かして、個々の学生の理解度を直接確認しながら演習を進めている。また、知識の定着と確認のため、毎回小テストもしくは実験レポートを課している。</t>
    <phoneticPr fontId="1"/>
  </si>
  <si>
    <t>「全学AI教育推進会議（専門部会）」において教育プログラムの改善の検討を行い、LMSであるOGU-Caddieや動画を活用することで、授業のハイブリッド化を積極的に推進し、学生の注意を効果的に惹きつける。教育改善活動として、教育開発支援センター主催により令和5（2023）年度第1回FD・SD講演会を「AIの進化と大学の教育・研究」と題して開催し、学内教職員の理解を深める機会とした。また、同年11月には「数理・データサイエンス・AI教育強化拠点コンソーシアム」近畿ブロックへ加入した。さらに文部科学省から発表された「大学・高専における生成AIの教学面の取扱いについて」を受け、教職員向け、在学生向けの方針を策定し、公表、周知している。</t>
    <phoneticPr fontId="1"/>
  </si>
  <si>
    <t>教育開発支援センター所長</t>
    <rPh sb="0" eb="10">
      <t>キョウイク</t>
    </rPh>
    <rPh sb="10" eb="12">
      <t>ショチョウ</t>
    </rPh>
    <phoneticPr fontId="1"/>
  </si>
  <si>
    <t>教育開発支援センター</t>
    <rPh sb="0" eb="10">
      <t>キョウイク</t>
    </rPh>
    <phoneticPr fontId="1"/>
  </si>
  <si>
    <t>白川　雄三（教育開発支援センター所長、経済学部教授）
後藤　登（教育開発支援センター副所長、経営学部教授）
後藤　晃範（教育開発支援センター副所長、短期大学部経営実務科教授）
上原　邦昭（教育開発支援センター所員、経営学部教授）
佐野　薫（教育開発支援センター所員、経済学部准教授）
神谷　善弘（教育開発支援センター所員、外国語学部准教授）
中　則夫（教育開発支援センター所員、国際学部准教授）</t>
    <rPh sb="27" eb="31">
      <t>ゴトウ</t>
    </rPh>
    <rPh sb="32" eb="42">
      <t>キョウイク</t>
    </rPh>
    <rPh sb="42" eb="45">
      <t>フクショチョウ</t>
    </rPh>
    <rPh sb="46" eb="50">
      <t>ケイエイガクブ</t>
    </rPh>
    <rPh sb="50" eb="52">
      <t>キョウジュ</t>
    </rPh>
    <rPh sb="54" eb="59">
      <t>ゴトウ</t>
    </rPh>
    <rPh sb="74" eb="79">
      <t>タンキダイガクブ</t>
    </rPh>
    <rPh sb="79" eb="84">
      <t>ケイエイジツムカ</t>
    </rPh>
    <rPh sb="84" eb="86">
      <t>キョウジュ</t>
    </rPh>
    <rPh sb="94" eb="104">
      <t>キョウイク</t>
    </rPh>
    <rPh sb="104" eb="106">
      <t>ショイン</t>
    </rPh>
    <rPh sb="115" eb="119">
      <t>サノ</t>
    </rPh>
    <rPh sb="120" eb="130">
      <t>キョウイク</t>
    </rPh>
    <rPh sb="130" eb="132">
      <t>ショイン</t>
    </rPh>
    <rPh sb="133" eb="137">
      <t>ケイザイガクブ</t>
    </rPh>
    <rPh sb="137" eb="140">
      <t>ジュン</t>
    </rPh>
    <rPh sb="142" eb="147">
      <t>カミヤ</t>
    </rPh>
    <rPh sb="148" eb="158">
      <t>キョウイク</t>
    </rPh>
    <rPh sb="158" eb="160">
      <t>ショイン</t>
    </rPh>
    <rPh sb="161" eb="166">
      <t>ガイコクゴガクブ</t>
    </rPh>
    <rPh sb="166" eb="169">
      <t>ジュン</t>
    </rPh>
    <rPh sb="171" eb="175">
      <t>ナカ</t>
    </rPh>
    <rPh sb="176" eb="186">
      <t>キョウイク</t>
    </rPh>
    <rPh sb="186" eb="188">
      <t>ショイン</t>
    </rPh>
    <rPh sb="189" eb="193">
      <t>コクサイガクブ</t>
    </rPh>
    <rPh sb="193" eb="196">
      <t>ジュン</t>
    </rPh>
    <phoneticPr fontId="1"/>
  </si>
  <si>
    <t>商学部</t>
    <rPh sb="0" eb="3">
      <t>ショウガクブ</t>
    </rPh>
    <phoneticPr fontId="18"/>
  </si>
  <si>
    <t>経営学部</t>
    <rPh sb="0" eb="4">
      <t>ケイエイガクブ</t>
    </rPh>
    <phoneticPr fontId="18"/>
  </si>
  <si>
    <t>経済学部</t>
    <rPh sb="0" eb="4">
      <t>ケイザイガクブ</t>
    </rPh>
    <phoneticPr fontId="18"/>
  </si>
  <si>
    <t>法学部</t>
    <rPh sb="0" eb="3">
      <t>ホウガクブ</t>
    </rPh>
    <phoneticPr fontId="1"/>
  </si>
  <si>
    <t>外国語学部</t>
    <rPh sb="0" eb="5">
      <t>ガイコクゴガクブ</t>
    </rPh>
    <phoneticPr fontId="18"/>
  </si>
  <si>
    <t>国際学部</t>
    <rPh sb="0" eb="4">
      <t>コクサイガクブ</t>
    </rPh>
    <phoneticPr fontId="18"/>
  </si>
  <si>
    <t>情報学部</t>
    <rPh sb="0" eb="4">
      <t>ジョウホウガクブ</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</si>
</sst>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Ｐゴシック"/>
      <family val="3"/>
      <charset val="128"/>
    </font>
    <font>
      <sz val="6"/>
      <color rgb="FF000000"/>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7" fillId="0" borderId="48" xfId="0" applyFont="1" applyBorder="1" applyAlignment="1">
      <alignment horizontal="left" vertical="center" shrinkToFit="1"/>
    </xf>
    <xf numFmtId="38" fontId="17" fillId="0" borderId="45" xfId="2" applyFont="1" applyBorder="1" applyAlignment="1">
      <alignment vertical="center" shrinkToFit="1"/>
    </xf>
    <xf numFmtId="38" fontId="17" fillId="0" borderId="0" xfId="2" applyFont="1" applyAlignment="1">
      <alignment vertical="center" shrinkToFit="1"/>
    </xf>
    <xf numFmtId="38" fontId="17" fillId="0" borderId="5" xfId="2" applyFont="1" applyBorder="1" applyAlignment="1">
      <alignment vertical="center" shrinkToFit="1"/>
    </xf>
    <xf numFmtId="0" fontId="17" fillId="0" borderId="20" xfId="0" applyFont="1" applyBorder="1" applyAlignment="1">
      <alignment horizontal="left" vertical="center" shrinkToFit="1"/>
    </xf>
    <xf numFmtId="38" fontId="17" fillId="0" borderId="20" xfId="2" applyFont="1" applyBorder="1" applyAlignment="1">
      <alignment vertical="center" shrinkToFit="1"/>
    </xf>
    <xf numFmtId="38" fontId="17" fillId="0" borderId="19" xfId="2" applyFont="1" applyBorder="1" applyAlignment="1">
      <alignment vertical="center" shrinkToFit="1"/>
    </xf>
    <xf numFmtId="38" fontId="17" fillId="0" borderId="18" xfId="2" applyFont="1" applyBorder="1" applyAlignment="1">
      <alignment vertical="center" shrinkToFit="1"/>
    </xf>
    <xf numFmtId="38" fontId="17" fillId="0" borderId="46" xfId="2" applyFont="1" applyBorder="1" applyAlignment="1">
      <alignment vertical="center" shrinkToFit="1"/>
    </xf>
    <xf numFmtId="9" fontId="2" fillId="0" borderId="45"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17" xfId="0" applyFont="1" applyBorder="1" applyAlignment="1">
      <alignment horizontal="left"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2" fillId="0" borderId="0" xfId="0" applyFont="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7" fillId="0" borderId="2" xfId="0" applyFont="1" applyBorder="1" applyAlignment="1">
      <alignment vertical="center" wrapText="1" shrinkToFit="1"/>
    </xf>
    <xf numFmtId="0" fontId="7" fillId="0" borderId="3" xfId="0" applyFont="1" applyBorder="1" applyAlignment="1">
      <alignment vertical="center" wrapText="1" shrinkToFit="1"/>
    </xf>
    <xf numFmtId="0" fontId="7"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32" xfId="0" applyNumberFormat="1" applyFont="1" applyBorder="1" applyAlignment="1">
      <alignment horizontal="left" vertical="center"/>
    </xf>
    <xf numFmtId="49" fontId="3" fillId="0" borderId="29"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95" zoomScaleNormal="100" zoomScaleSheetLayoutView="100" workbookViewId="0">
      <selection activeCell="O120" sqref="O120"/>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3"/>
      <c r="B1" s="73"/>
      <c r="C1" s="73"/>
      <c r="D1" s="73"/>
      <c r="E1" s="73"/>
      <c r="F1" s="73"/>
      <c r="G1" s="73"/>
      <c r="H1" s="73"/>
      <c r="I1" s="73"/>
      <c r="J1" s="73"/>
      <c r="K1" s="73"/>
      <c r="L1" s="73"/>
      <c r="M1" s="73"/>
      <c r="N1" s="73"/>
      <c r="O1" s="73"/>
      <c r="P1" s="73"/>
      <c r="Q1" s="73"/>
      <c r="R1" s="73"/>
      <c r="S1" s="73"/>
      <c r="T1" s="147" t="s">
        <v>12</v>
      </c>
      <c r="U1" s="147"/>
      <c r="V1" s="2" t="s">
        <v>100</v>
      </c>
    </row>
    <row r="2" spans="1:24" ht="18.75" customHeight="1" x14ac:dyDescent="0.2">
      <c r="A2" s="73"/>
      <c r="B2" s="75" t="s">
        <v>99</v>
      </c>
      <c r="C2" s="148" t="s">
        <v>136</v>
      </c>
      <c r="D2" s="149"/>
      <c r="E2" s="149"/>
      <c r="F2" s="149"/>
      <c r="G2" s="149"/>
      <c r="H2" s="149"/>
      <c r="I2" s="149"/>
      <c r="J2" s="150"/>
      <c r="K2" s="74"/>
      <c r="L2" s="76"/>
      <c r="M2" s="76"/>
      <c r="N2" s="76"/>
      <c r="O2" s="76"/>
      <c r="P2" s="76"/>
      <c r="Q2" s="76"/>
      <c r="R2" s="76"/>
      <c r="S2" s="76"/>
      <c r="T2" s="76"/>
      <c r="U2" s="76"/>
    </row>
    <row r="3" spans="1:24" ht="18.75" customHeight="1" x14ac:dyDescent="0.2">
      <c r="A3" s="73"/>
      <c r="B3" s="75" t="s">
        <v>94</v>
      </c>
      <c r="C3" s="148" t="s">
        <v>137</v>
      </c>
      <c r="D3" s="149"/>
      <c r="E3" s="149"/>
      <c r="F3" s="149"/>
      <c r="G3" s="149"/>
      <c r="H3" s="149"/>
      <c r="I3" s="149"/>
      <c r="J3" s="150"/>
      <c r="K3" s="74"/>
      <c r="L3" s="76"/>
      <c r="M3" s="76"/>
      <c r="N3" s="76"/>
      <c r="O3" s="76"/>
      <c r="P3" s="76"/>
      <c r="Q3" s="76"/>
      <c r="R3" s="76"/>
      <c r="S3" s="76"/>
      <c r="T3" s="76"/>
      <c r="U3" s="76"/>
    </row>
    <row r="4" spans="1:24" ht="15" customHeight="1" x14ac:dyDescent="0.2">
      <c r="A4" s="73"/>
      <c r="B4" s="73"/>
      <c r="C4" s="73"/>
      <c r="D4" s="73"/>
      <c r="E4" s="73"/>
      <c r="F4" s="73"/>
      <c r="G4" s="73"/>
      <c r="H4" s="73"/>
      <c r="I4" s="73"/>
      <c r="J4" s="73"/>
      <c r="K4" s="73"/>
      <c r="L4" s="74"/>
      <c r="M4" s="77"/>
      <c r="N4" s="77"/>
      <c r="O4" s="77"/>
      <c r="P4" s="77"/>
      <c r="Q4" s="77"/>
      <c r="R4" s="77"/>
      <c r="S4" s="77"/>
      <c r="T4" s="77"/>
      <c r="U4" s="77"/>
    </row>
    <row r="5" spans="1:24" ht="18" customHeight="1" x14ac:dyDescent="0.2">
      <c r="A5" s="128" t="s">
        <v>38</v>
      </c>
      <c r="B5" s="128"/>
      <c r="C5" s="128"/>
      <c r="D5" s="128"/>
      <c r="E5" s="128"/>
      <c r="F5" s="128"/>
      <c r="G5" s="128"/>
      <c r="H5" s="128"/>
      <c r="I5" s="128"/>
      <c r="J5" s="128"/>
      <c r="K5" s="128"/>
      <c r="L5" s="128"/>
      <c r="M5" s="128"/>
      <c r="N5" s="128"/>
      <c r="O5" s="128"/>
      <c r="P5" s="128"/>
      <c r="Q5" s="128"/>
      <c r="R5" s="128"/>
      <c r="S5" s="128"/>
      <c r="T5" s="128"/>
      <c r="U5" s="128"/>
    </row>
    <row r="6" spans="1:24" ht="15" customHeight="1" x14ac:dyDescent="0.2">
      <c r="A6" s="73"/>
      <c r="B6" s="78"/>
      <c r="C6" s="78"/>
      <c r="D6" s="78"/>
      <c r="E6" s="78"/>
      <c r="F6" s="78"/>
      <c r="G6" s="78"/>
      <c r="H6" s="78"/>
      <c r="I6" s="78"/>
      <c r="J6" s="78"/>
      <c r="K6" s="78"/>
      <c r="L6" s="78"/>
      <c r="M6" s="78"/>
      <c r="N6" s="78"/>
      <c r="O6" s="78"/>
      <c r="P6" s="78"/>
      <c r="Q6" s="78"/>
      <c r="R6" s="78"/>
      <c r="S6" s="78"/>
      <c r="T6" s="78"/>
      <c r="U6" s="78"/>
    </row>
    <row r="7" spans="1:24" ht="15" customHeight="1" x14ac:dyDescent="0.2">
      <c r="A7" s="73" t="s">
        <v>131</v>
      </c>
      <c r="B7" s="78"/>
      <c r="C7" s="78"/>
      <c r="D7" s="78"/>
      <c r="E7" s="78"/>
      <c r="F7" s="72"/>
      <c r="G7" s="72"/>
      <c r="H7" s="72"/>
      <c r="I7" s="72"/>
      <c r="J7" s="72"/>
      <c r="K7" s="72"/>
      <c r="L7" s="164" t="s">
        <v>138</v>
      </c>
      <c r="M7" s="165"/>
      <c r="N7" s="165"/>
      <c r="O7" s="165"/>
      <c r="P7" s="165"/>
      <c r="Q7" s="165"/>
      <c r="R7" s="165"/>
      <c r="S7" s="165"/>
      <c r="T7" s="165"/>
      <c r="U7" s="166"/>
    </row>
    <row r="8" spans="1:24" ht="6" customHeight="1" x14ac:dyDescent="0.2">
      <c r="A8" s="73"/>
      <c r="B8" s="78"/>
      <c r="C8" s="78"/>
      <c r="D8" s="78"/>
      <c r="E8" s="78"/>
      <c r="F8" s="78"/>
      <c r="G8" s="78"/>
      <c r="H8" s="78"/>
      <c r="I8" s="78"/>
      <c r="J8" s="78"/>
      <c r="K8" s="78"/>
      <c r="L8" s="78"/>
      <c r="M8" s="78"/>
      <c r="N8" s="78"/>
      <c r="O8" s="78"/>
      <c r="P8" s="78"/>
      <c r="Q8" s="78"/>
      <c r="R8" s="78"/>
      <c r="S8" s="78"/>
      <c r="T8" s="78"/>
      <c r="U8" s="78"/>
    </row>
    <row r="9" spans="1:24" ht="18" customHeight="1" x14ac:dyDescent="0.2">
      <c r="A9" s="73" t="s">
        <v>132</v>
      </c>
      <c r="B9" s="73"/>
      <c r="C9" s="78"/>
      <c r="D9" s="78"/>
      <c r="E9" s="73"/>
      <c r="F9" s="73"/>
      <c r="G9" s="73"/>
      <c r="H9" s="73"/>
      <c r="I9" s="73"/>
      <c r="J9" s="73"/>
      <c r="K9" s="74"/>
      <c r="L9" s="72"/>
      <c r="M9" s="72"/>
      <c r="N9" s="72"/>
      <c r="O9" s="72"/>
      <c r="P9" s="72"/>
      <c r="Q9" s="72"/>
      <c r="R9" s="72"/>
      <c r="S9" s="72"/>
      <c r="T9" s="72"/>
      <c r="U9" s="72"/>
    </row>
    <row r="10" spans="1:24" ht="6" customHeight="1" x14ac:dyDescent="0.2">
      <c r="A10" s="73"/>
      <c r="B10" s="78"/>
      <c r="C10" s="78"/>
      <c r="D10" s="78"/>
      <c r="E10" s="78"/>
      <c r="F10" s="78"/>
      <c r="G10" s="78"/>
      <c r="H10" s="78"/>
      <c r="I10" s="78"/>
      <c r="J10" s="78"/>
      <c r="K10" s="78"/>
      <c r="L10" s="79"/>
      <c r="M10" s="78"/>
      <c r="N10" s="78"/>
      <c r="O10" s="78"/>
      <c r="P10" s="78"/>
      <c r="Q10" s="78"/>
      <c r="R10" s="78"/>
      <c r="S10" s="78"/>
      <c r="T10" s="78"/>
      <c r="U10" s="78"/>
    </row>
    <row r="11" spans="1:24" ht="18" customHeight="1" x14ac:dyDescent="0.2">
      <c r="A11" s="73"/>
      <c r="B11" s="169"/>
      <c r="C11" s="170"/>
      <c r="D11" s="170"/>
      <c r="E11" s="170"/>
      <c r="F11" s="170"/>
      <c r="G11" s="170"/>
      <c r="H11" s="170"/>
      <c r="I11" s="170"/>
      <c r="J11" s="170"/>
      <c r="K11" s="170"/>
      <c r="L11" s="170"/>
      <c r="M11" s="170"/>
      <c r="N11" s="170"/>
      <c r="O11" s="170"/>
      <c r="P11" s="170"/>
      <c r="Q11" s="170"/>
      <c r="R11" s="170"/>
      <c r="S11" s="170"/>
      <c r="T11" s="170"/>
      <c r="U11" s="171"/>
    </row>
    <row r="12" spans="1:24" ht="18" customHeight="1" x14ac:dyDescent="0.2">
      <c r="A12" s="73"/>
      <c r="B12" s="172"/>
      <c r="C12" s="173"/>
      <c r="D12" s="173"/>
      <c r="E12" s="173"/>
      <c r="F12" s="173"/>
      <c r="G12" s="173"/>
      <c r="H12" s="173"/>
      <c r="I12" s="173"/>
      <c r="J12" s="173"/>
      <c r="K12" s="173"/>
      <c r="L12" s="173"/>
      <c r="M12" s="173"/>
      <c r="N12" s="173"/>
      <c r="O12" s="173"/>
      <c r="P12" s="173"/>
      <c r="Q12" s="173"/>
      <c r="R12" s="173"/>
      <c r="S12" s="173"/>
      <c r="T12" s="173"/>
      <c r="U12" s="174"/>
    </row>
    <row r="13" spans="1:24" ht="6" customHeight="1" x14ac:dyDescent="0.2">
      <c r="A13" s="73"/>
      <c r="B13" s="78"/>
      <c r="C13" s="78"/>
      <c r="D13" s="78"/>
      <c r="E13" s="78"/>
      <c r="F13" s="78"/>
      <c r="G13" s="78"/>
      <c r="H13" s="78"/>
      <c r="I13" s="78"/>
      <c r="J13" s="78"/>
      <c r="K13" s="78"/>
      <c r="L13" s="79"/>
      <c r="M13" s="78"/>
      <c r="N13" s="78"/>
      <c r="O13" s="78"/>
      <c r="P13" s="78"/>
      <c r="Q13" s="78"/>
      <c r="R13" s="78"/>
      <c r="S13" s="78"/>
      <c r="T13" s="78"/>
      <c r="U13" s="78"/>
    </row>
    <row r="14" spans="1:24" ht="18" customHeight="1" x14ac:dyDescent="0.2">
      <c r="A14" s="73" t="s">
        <v>101</v>
      </c>
      <c r="B14" s="78"/>
      <c r="C14" s="78"/>
      <c r="D14" s="78"/>
      <c r="E14" s="74"/>
      <c r="F14" s="74"/>
      <c r="G14" s="74"/>
      <c r="H14" s="74"/>
      <c r="I14" s="74"/>
      <c r="J14" s="74"/>
      <c r="K14" s="74"/>
      <c r="L14" s="80"/>
      <c r="M14" s="80"/>
      <c r="N14" s="80"/>
      <c r="O14" s="80"/>
      <c r="P14" s="80"/>
      <c r="Q14" s="80"/>
      <c r="R14" s="80"/>
      <c r="S14" s="80"/>
      <c r="T14" s="80"/>
      <c r="U14" s="80"/>
    </row>
    <row r="15" spans="1:24" ht="18" customHeight="1" x14ac:dyDescent="0.2">
      <c r="A15" s="73"/>
      <c r="B15" s="129" t="s">
        <v>158</v>
      </c>
      <c r="C15" s="130"/>
      <c r="D15" s="130"/>
      <c r="E15" s="130"/>
      <c r="F15" s="130"/>
      <c r="G15" s="130"/>
      <c r="H15" s="130"/>
      <c r="I15" s="130"/>
      <c r="J15" s="130"/>
      <c r="K15" s="130"/>
      <c r="L15" s="130"/>
      <c r="M15" s="130"/>
      <c r="N15" s="130"/>
      <c r="O15" s="130"/>
      <c r="P15" s="130"/>
      <c r="Q15" s="130"/>
      <c r="R15" s="130"/>
      <c r="S15" s="130"/>
      <c r="T15" s="130"/>
      <c r="U15" s="131"/>
      <c r="X15" s="1" t="s">
        <v>95</v>
      </c>
    </row>
    <row r="16" spans="1:24" ht="18" customHeight="1" x14ac:dyDescent="0.2">
      <c r="A16" s="73"/>
      <c r="B16" s="132"/>
      <c r="C16" s="133"/>
      <c r="D16" s="133"/>
      <c r="E16" s="133"/>
      <c r="F16" s="133"/>
      <c r="G16" s="133"/>
      <c r="H16" s="133"/>
      <c r="I16" s="133"/>
      <c r="J16" s="133"/>
      <c r="K16" s="133"/>
      <c r="L16" s="133"/>
      <c r="M16" s="133"/>
      <c r="N16" s="133"/>
      <c r="O16" s="133"/>
      <c r="P16" s="133"/>
      <c r="Q16" s="133"/>
      <c r="R16" s="133"/>
      <c r="S16" s="133"/>
      <c r="T16" s="133"/>
      <c r="U16" s="134"/>
      <c r="X16" s="1" t="s">
        <v>115</v>
      </c>
    </row>
    <row r="17" spans="1:24" ht="18" customHeight="1" x14ac:dyDescent="0.2">
      <c r="A17" s="73"/>
      <c r="B17" s="132"/>
      <c r="C17" s="133"/>
      <c r="D17" s="133"/>
      <c r="E17" s="133"/>
      <c r="F17" s="133"/>
      <c r="G17" s="133"/>
      <c r="H17" s="133"/>
      <c r="I17" s="133"/>
      <c r="J17" s="133"/>
      <c r="K17" s="133"/>
      <c r="L17" s="133"/>
      <c r="M17" s="133"/>
      <c r="N17" s="133"/>
      <c r="O17" s="133"/>
      <c r="P17" s="133"/>
      <c r="Q17" s="133"/>
      <c r="R17" s="133"/>
      <c r="S17" s="133"/>
      <c r="T17" s="133"/>
      <c r="U17" s="134"/>
      <c r="X17" s="1" t="s">
        <v>116</v>
      </c>
    </row>
    <row r="18" spans="1:24" ht="18" customHeight="1" x14ac:dyDescent="0.2">
      <c r="A18" s="73"/>
      <c r="B18" s="132"/>
      <c r="C18" s="133"/>
      <c r="D18" s="133"/>
      <c r="E18" s="133"/>
      <c r="F18" s="133"/>
      <c r="G18" s="133"/>
      <c r="H18" s="133"/>
      <c r="I18" s="133"/>
      <c r="J18" s="133"/>
      <c r="K18" s="133"/>
      <c r="L18" s="133"/>
      <c r="M18" s="133"/>
      <c r="N18" s="133"/>
      <c r="O18" s="133"/>
      <c r="P18" s="133"/>
      <c r="Q18" s="133"/>
      <c r="R18" s="133"/>
      <c r="S18" s="133"/>
      <c r="T18" s="133"/>
      <c r="U18" s="134"/>
      <c r="X18" s="1" t="s">
        <v>117</v>
      </c>
    </row>
    <row r="19" spans="1:24" ht="18" customHeight="1" x14ac:dyDescent="0.2">
      <c r="A19" s="73"/>
      <c r="B19" s="132"/>
      <c r="C19" s="133"/>
      <c r="D19" s="133"/>
      <c r="E19" s="133"/>
      <c r="F19" s="133"/>
      <c r="G19" s="133"/>
      <c r="H19" s="133"/>
      <c r="I19" s="133"/>
      <c r="J19" s="133"/>
      <c r="K19" s="133"/>
      <c r="L19" s="133"/>
      <c r="M19" s="133"/>
      <c r="N19" s="133"/>
      <c r="O19" s="133"/>
      <c r="P19" s="133"/>
      <c r="Q19" s="133"/>
      <c r="R19" s="133"/>
      <c r="S19" s="133"/>
      <c r="T19" s="133"/>
      <c r="U19" s="134"/>
    </row>
    <row r="20" spans="1:24" ht="18" customHeight="1" x14ac:dyDescent="0.2">
      <c r="A20" s="73"/>
      <c r="B20" s="135"/>
      <c r="C20" s="136"/>
      <c r="D20" s="136"/>
      <c r="E20" s="136"/>
      <c r="F20" s="136"/>
      <c r="G20" s="136"/>
      <c r="H20" s="136"/>
      <c r="I20" s="136"/>
      <c r="J20" s="136"/>
      <c r="K20" s="136"/>
      <c r="L20" s="136"/>
      <c r="M20" s="136"/>
      <c r="N20" s="136"/>
      <c r="O20" s="136"/>
      <c r="P20" s="136"/>
      <c r="Q20" s="136"/>
      <c r="R20" s="136"/>
      <c r="S20" s="136"/>
      <c r="T20" s="136"/>
      <c r="U20" s="137"/>
    </row>
    <row r="21" spans="1:24" ht="7.5" customHeight="1" x14ac:dyDescent="0.2">
      <c r="A21" s="73"/>
      <c r="B21" s="78"/>
      <c r="C21" s="78"/>
      <c r="D21" s="78"/>
      <c r="E21" s="78"/>
      <c r="F21" s="78"/>
      <c r="G21" s="78"/>
      <c r="H21" s="78"/>
      <c r="I21" s="78"/>
      <c r="J21" s="78"/>
      <c r="K21" s="78"/>
      <c r="L21" s="78"/>
      <c r="M21" s="78"/>
      <c r="N21" s="78"/>
      <c r="O21" s="78"/>
      <c r="P21" s="78"/>
      <c r="Q21" s="78"/>
      <c r="R21" s="78"/>
      <c r="S21" s="78"/>
      <c r="T21" s="78"/>
      <c r="U21" s="78"/>
    </row>
    <row r="22" spans="1:24" ht="20" customHeight="1" x14ac:dyDescent="0.2">
      <c r="A22" s="73"/>
      <c r="B22" s="73" t="s">
        <v>133</v>
      </c>
      <c r="C22" s="73"/>
      <c r="D22" s="73"/>
      <c r="E22" s="81">
        <v>2</v>
      </c>
      <c r="F22" s="73" t="s">
        <v>113</v>
      </c>
      <c r="G22" s="73"/>
      <c r="H22" s="82">
        <v>2</v>
      </c>
      <c r="I22" s="78" t="s">
        <v>114</v>
      </c>
      <c r="J22" s="78"/>
      <c r="K22" s="74"/>
      <c r="L22" s="73"/>
      <c r="M22" s="74" t="s">
        <v>110</v>
      </c>
      <c r="N22" s="161" t="s">
        <v>117</v>
      </c>
      <c r="O22" s="162"/>
      <c r="P22" s="162"/>
      <c r="Q22" s="162"/>
      <c r="R22" s="162"/>
      <c r="S22" s="162"/>
      <c r="T22" s="162"/>
      <c r="U22" s="163"/>
    </row>
    <row r="23" spans="1:24" ht="7.5" customHeight="1" x14ac:dyDescent="0.2">
      <c r="A23" s="73"/>
      <c r="B23" s="78"/>
      <c r="C23" s="78"/>
      <c r="D23" s="78"/>
      <c r="E23" s="78"/>
      <c r="F23" s="78"/>
      <c r="G23" s="78"/>
      <c r="H23" s="78"/>
      <c r="I23" s="78"/>
      <c r="J23" s="78"/>
      <c r="K23" s="78"/>
      <c r="L23" s="78"/>
      <c r="M23" s="78"/>
      <c r="N23" s="78"/>
      <c r="O23" s="78"/>
      <c r="P23" s="78"/>
      <c r="Q23" s="78"/>
      <c r="R23" s="78"/>
      <c r="S23" s="78"/>
      <c r="T23" s="78"/>
      <c r="U23" s="78"/>
    </row>
    <row r="24" spans="1:24" ht="18" customHeight="1" x14ac:dyDescent="0.2">
      <c r="A24" s="138" t="s">
        <v>102</v>
      </c>
      <c r="B24" s="138"/>
      <c r="C24" s="138"/>
      <c r="D24" s="138"/>
      <c r="E24" s="138"/>
      <c r="F24" s="138"/>
      <c r="G24" s="138"/>
      <c r="H24" s="138"/>
      <c r="I24" s="138"/>
      <c r="J24" s="138"/>
      <c r="K24" s="138"/>
      <c r="L24" s="138"/>
      <c r="M24" s="138"/>
      <c r="N24" s="138"/>
      <c r="O24" s="138"/>
      <c r="P24" s="138"/>
      <c r="Q24" s="138"/>
      <c r="R24" s="138"/>
      <c r="S24" s="138"/>
      <c r="T24" s="138"/>
      <c r="U24" s="138"/>
    </row>
    <row r="25" spans="1:24" ht="18" customHeight="1" x14ac:dyDescent="0.2">
      <c r="A25" s="138"/>
      <c r="B25" s="138"/>
      <c r="C25" s="138"/>
      <c r="D25" s="138"/>
      <c r="E25" s="138"/>
      <c r="F25" s="138"/>
      <c r="G25" s="138"/>
      <c r="H25" s="138"/>
      <c r="I25" s="138"/>
      <c r="J25" s="138"/>
      <c r="K25" s="138"/>
      <c r="L25" s="138"/>
      <c r="M25" s="138"/>
      <c r="N25" s="138"/>
      <c r="O25" s="138"/>
      <c r="P25" s="138"/>
      <c r="Q25" s="138"/>
      <c r="R25" s="138"/>
      <c r="S25" s="138"/>
      <c r="T25" s="138"/>
      <c r="U25" s="138"/>
    </row>
    <row r="26" spans="1:24" ht="18" customHeight="1" x14ac:dyDescent="0.2">
      <c r="B26" s="98" t="s">
        <v>52</v>
      </c>
      <c r="C26" s="99"/>
      <c r="D26" s="99"/>
      <c r="E26" s="99"/>
      <c r="F26" s="100"/>
      <c r="G26" s="50" t="s">
        <v>78</v>
      </c>
      <c r="H26" s="49" t="s">
        <v>81</v>
      </c>
      <c r="I26" s="16" t="s">
        <v>55</v>
      </c>
      <c r="J26" s="16" t="s">
        <v>58</v>
      </c>
      <c r="K26" s="98" t="s">
        <v>52</v>
      </c>
      <c r="L26" s="99"/>
      <c r="M26" s="99"/>
      <c r="N26" s="99"/>
      <c r="O26" s="99"/>
      <c r="P26" s="99"/>
      <c r="Q26" s="100"/>
      <c r="R26" s="50" t="s">
        <v>78</v>
      </c>
      <c r="S26" s="49" t="s">
        <v>81</v>
      </c>
      <c r="T26" s="16" t="s">
        <v>55</v>
      </c>
      <c r="U26" s="16" t="s">
        <v>58</v>
      </c>
    </row>
    <row r="27" spans="1:24" ht="18" customHeight="1" x14ac:dyDescent="0.2">
      <c r="B27" s="109" t="s">
        <v>172</v>
      </c>
      <c r="C27" s="110"/>
      <c r="D27" s="110"/>
      <c r="E27" s="110"/>
      <c r="F27" s="111"/>
      <c r="G27" s="17">
        <v>1</v>
      </c>
      <c r="H27" s="17" t="s">
        <v>139</v>
      </c>
      <c r="I27" s="17" t="s">
        <v>139</v>
      </c>
      <c r="J27" s="17" t="s">
        <v>139</v>
      </c>
      <c r="K27" s="109"/>
      <c r="L27" s="110"/>
      <c r="M27" s="110"/>
      <c r="N27" s="110"/>
      <c r="O27" s="110"/>
      <c r="P27" s="110"/>
      <c r="Q27" s="111"/>
      <c r="R27" s="17"/>
      <c r="S27" s="17"/>
      <c r="T27" s="17"/>
      <c r="U27" s="17"/>
    </row>
    <row r="28" spans="1:24" ht="18" customHeight="1" x14ac:dyDescent="0.2">
      <c r="B28" s="101" t="s">
        <v>173</v>
      </c>
      <c r="C28" s="102"/>
      <c r="D28" s="102"/>
      <c r="E28" s="102"/>
      <c r="F28" s="103"/>
      <c r="G28" s="18">
        <v>1</v>
      </c>
      <c r="H28" s="18" t="s">
        <v>139</v>
      </c>
      <c r="I28" s="18" t="s">
        <v>139</v>
      </c>
      <c r="J28" s="18"/>
      <c r="K28" s="101"/>
      <c r="L28" s="102"/>
      <c r="M28" s="102"/>
      <c r="N28" s="102"/>
      <c r="O28" s="102"/>
      <c r="P28" s="102"/>
      <c r="Q28" s="103"/>
      <c r="R28" s="18"/>
      <c r="S28" s="18"/>
      <c r="T28" s="18"/>
      <c r="U28" s="18"/>
    </row>
    <row r="29" spans="1:24" ht="18" customHeight="1" x14ac:dyDescent="0.2">
      <c r="B29" s="101"/>
      <c r="C29" s="102"/>
      <c r="D29" s="102"/>
      <c r="E29" s="102"/>
      <c r="F29" s="103"/>
      <c r="G29" s="18"/>
      <c r="H29" s="18"/>
      <c r="I29" s="18"/>
      <c r="J29" s="18"/>
      <c r="K29" s="101"/>
      <c r="L29" s="102"/>
      <c r="M29" s="102"/>
      <c r="N29" s="102"/>
      <c r="O29" s="102"/>
      <c r="P29" s="102"/>
      <c r="Q29" s="103"/>
      <c r="R29" s="18"/>
      <c r="S29" s="18"/>
      <c r="T29" s="18"/>
      <c r="U29" s="18"/>
    </row>
    <row r="30" spans="1:24" ht="18" customHeight="1" x14ac:dyDescent="0.2">
      <c r="B30" s="101"/>
      <c r="C30" s="102"/>
      <c r="D30" s="102"/>
      <c r="E30" s="102"/>
      <c r="F30" s="103"/>
      <c r="G30" s="18"/>
      <c r="H30" s="18"/>
      <c r="I30" s="18"/>
      <c r="J30" s="18"/>
      <c r="K30" s="101"/>
      <c r="L30" s="102"/>
      <c r="M30" s="102"/>
      <c r="N30" s="102"/>
      <c r="O30" s="102"/>
      <c r="P30" s="102"/>
      <c r="Q30" s="103"/>
      <c r="R30" s="18"/>
      <c r="S30" s="18"/>
      <c r="T30" s="18"/>
      <c r="U30" s="18"/>
    </row>
    <row r="31" spans="1:24" ht="18" customHeight="1" x14ac:dyDescent="0.2">
      <c r="B31" s="101"/>
      <c r="C31" s="102"/>
      <c r="D31" s="102"/>
      <c r="E31" s="102"/>
      <c r="F31" s="103"/>
      <c r="G31" s="18"/>
      <c r="H31" s="18"/>
      <c r="I31" s="18"/>
      <c r="J31" s="18"/>
      <c r="K31" s="101"/>
      <c r="L31" s="102"/>
      <c r="M31" s="102"/>
      <c r="N31" s="102"/>
      <c r="O31" s="102"/>
      <c r="P31" s="102"/>
      <c r="Q31" s="103"/>
      <c r="R31" s="18"/>
      <c r="S31" s="18"/>
      <c r="T31" s="18"/>
      <c r="U31" s="18"/>
    </row>
    <row r="32" spans="1:24" ht="18" customHeight="1" x14ac:dyDescent="0.2">
      <c r="A32" s="3"/>
      <c r="B32" s="101"/>
      <c r="C32" s="102"/>
      <c r="D32" s="102"/>
      <c r="E32" s="102"/>
      <c r="F32" s="103"/>
      <c r="G32" s="18"/>
      <c r="H32" s="18"/>
      <c r="I32" s="18"/>
      <c r="J32" s="18"/>
      <c r="K32" s="101"/>
      <c r="L32" s="102"/>
      <c r="M32" s="102"/>
      <c r="N32" s="102"/>
      <c r="O32" s="102"/>
      <c r="P32" s="102"/>
      <c r="Q32" s="103"/>
      <c r="R32" s="18"/>
      <c r="S32" s="18"/>
      <c r="T32" s="18"/>
      <c r="U32" s="18"/>
    </row>
    <row r="33" spans="1:21" ht="18" customHeight="1" x14ac:dyDescent="0.2">
      <c r="A33" s="3"/>
      <c r="B33" s="104"/>
      <c r="C33" s="105"/>
      <c r="D33" s="105"/>
      <c r="E33" s="105"/>
      <c r="F33" s="106"/>
      <c r="G33" s="19"/>
      <c r="H33" s="19"/>
      <c r="I33" s="20"/>
      <c r="J33" s="20"/>
      <c r="K33" s="104"/>
      <c r="L33" s="105"/>
      <c r="M33" s="105"/>
      <c r="N33" s="105"/>
      <c r="O33" s="105"/>
      <c r="P33" s="105"/>
      <c r="Q33" s="106"/>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7" t="s">
        <v>103</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2">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2">
      <c r="B37" s="98" t="s">
        <v>52</v>
      </c>
      <c r="C37" s="99"/>
      <c r="D37" s="99"/>
      <c r="E37" s="99"/>
      <c r="F37" s="100"/>
      <c r="G37" s="50" t="s">
        <v>78</v>
      </c>
      <c r="H37" s="49" t="s">
        <v>81</v>
      </c>
      <c r="I37" s="16" t="s">
        <v>69</v>
      </c>
      <c r="J37" s="16" t="s">
        <v>70</v>
      </c>
      <c r="K37" s="98" t="s">
        <v>52</v>
      </c>
      <c r="L37" s="99"/>
      <c r="M37" s="99"/>
      <c r="N37" s="99"/>
      <c r="O37" s="99"/>
      <c r="P37" s="99"/>
      <c r="Q37" s="100"/>
      <c r="R37" s="50" t="s">
        <v>78</v>
      </c>
      <c r="S37" s="49" t="s">
        <v>81</v>
      </c>
      <c r="T37" s="16" t="s">
        <v>69</v>
      </c>
      <c r="U37" s="16" t="s">
        <v>70</v>
      </c>
    </row>
    <row r="38" spans="1:21" ht="18" customHeight="1" x14ac:dyDescent="0.2">
      <c r="B38" s="109" t="s">
        <v>172</v>
      </c>
      <c r="C38" s="110"/>
      <c r="D38" s="110"/>
      <c r="E38" s="110"/>
      <c r="F38" s="111"/>
      <c r="G38" s="17">
        <v>1</v>
      </c>
      <c r="H38" s="17" t="s">
        <v>139</v>
      </c>
      <c r="I38" s="17" t="s">
        <v>139</v>
      </c>
      <c r="J38" s="17" t="s">
        <v>139</v>
      </c>
      <c r="K38" s="109"/>
      <c r="L38" s="110"/>
      <c r="M38" s="110"/>
      <c r="N38" s="110"/>
      <c r="O38" s="110"/>
      <c r="P38" s="110"/>
      <c r="Q38" s="111"/>
      <c r="R38" s="17"/>
      <c r="S38" s="17"/>
      <c r="T38" s="17"/>
      <c r="U38" s="17"/>
    </row>
    <row r="39" spans="1:21" ht="18" customHeight="1" x14ac:dyDescent="0.2">
      <c r="B39" s="101" t="s">
        <v>173</v>
      </c>
      <c r="C39" s="102"/>
      <c r="D39" s="102"/>
      <c r="E39" s="102"/>
      <c r="F39" s="103"/>
      <c r="G39" s="18">
        <v>1</v>
      </c>
      <c r="H39" s="18" t="s">
        <v>139</v>
      </c>
      <c r="I39" s="18"/>
      <c r="J39" s="18" t="s">
        <v>139</v>
      </c>
      <c r="K39" s="101"/>
      <c r="L39" s="102"/>
      <c r="M39" s="102"/>
      <c r="N39" s="102"/>
      <c r="O39" s="102"/>
      <c r="P39" s="102"/>
      <c r="Q39" s="103"/>
      <c r="R39" s="18"/>
      <c r="S39" s="18"/>
      <c r="T39" s="18"/>
      <c r="U39" s="18"/>
    </row>
    <row r="40" spans="1:21" ht="18" customHeight="1" x14ac:dyDescent="0.2">
      <c r="B40" s="101"/>
      <c r="C40" s="102"/>
      <c r="D40" s="102"/>
      <c r="E40" s="102"/>
      <c r="F40" s="103"/>
      <c r="G40" s="18"/>
      <c r="H40" s="18"/>
      <c r="I40" s="18"/>
      <c r="J40" s="18"/>
      <c r="K40" s="101"/>
      <c r="L40" s="102"/>
      <c r="M40" s="102"/>
      <c r="N40" s="102"/>
      <c r="O40" s="102"/>
      <c r="P40" s="102"/>
      <c r="Q40" s="103"/>
      <c r="R40" s="18"/>
      <c r="S40" s="18"/>
      <c r="T40" s="18"/>
      <c r="U40" s="18"/>
    </row>
    <row r="41" spans="1:21" ht="18" customHeight="1" x14ac:dyDescent="0.2">
      <c r="B41" s="101"/>
      <c r="C41" s="102"/>
      <c r="D41" s="102"/>
      <c r="E41" s="102"/>
      <c r="F41" s="103"/>
      <c r="G41" s="18"/>
      <c r="H41" s="18"/>
      <c r="I41" s="18"/>
      <c r="J41" s="18"/>
      <c r="K41" s="101"/>
      <c r="L41" s="102"/>
      <c r="M41" s="102"/>
      <c r="N41" s="102"/>
      <c r="O41" s="102"/>
      <c r="P41" s="102"/>
      <c r="Q41" s="103"/>
      <c r="R41" s="18"/>
      <c r="S41" s="18"/>
      <c r="T41" s="18"/>
      <c r="U41" s="18"/>
    </row>
    <row r="42" spans="1:21" ht="18" customHeight="1" x14ac:dyDescent="0.2">
      <c r="B42" s="101"/>
      <c r="C42" s="102"/>
      <c r="D42" s="102"/>
      <c r="E42" s="102"/>
      <c r="F42" s="103"/>
      <c r="G42" s="18"/>
      <c r="H42" s="18"/>
      <c r="I42" s="18"/>
      <c r="J42" s="18"/>
      <c r="K42" s="101"/>
      <c r="L42" s="102"/>
      <c r="M42" s="102"/>
      <c r="N42" s="102"/>
      <c r="O42" s="102"/>
      <c r="P42" s="102"/>
      <c r="Q42" s="103"/>
      <c r="R42" s="18"/>
      <c r="S42" s="18"/>
      <c r="T42" s="18"/>
      <c r="U42" s="18"/>
    </row>
    <row r="43" spans="1:21" ht="18" customHeight="1" x14ac:dyDescent="0.2">
      <c r="B43" s="101"/>
      <c r="C43" s="102"/>
      <c r="D43" s="102"/>
      <c r="E43" s="102"/>
      <c r="F43" s="103"/>
      <c r="G43" s="18"/>
      <c r="H43" s="18"/>
      <c r="I43" s="18"/>
      <c r="J43" s="18"/>
      <c r="K43" s="101"/>
      <c r="L43" s="102"/>
      <c r="M43" s="102"/>
      <c r="N43" s="102"/>
      <c r="O43" s="102"/>
      <c r="P43" s="102"/>
      <c r="Q43" s="103"/>
      <c r="R43" s="18"/>
      <c r="S43" s="18"/>
      <c r="T43" s="18"/>
      <c r="U43" s="18"/>
    </row>
    <row r="44" spans="1:21" ht="18" customHeight="1" x14ac:dyDescent="0.2">
      <c r="B44" s="104"/>
      <c r="C44" s="105"/>
      <c r="D44" s="105"/>
      <c r="E44" s="105"/>
      <c r="F44" s="106"/>
      <c r="G44" s="19"/>
      <c r="H44" s="19"/>
      <c r="I44" s="20"/>
      <c r="J44" s="20"/>
      <c r="K44" s="104"/>
      <c r="L44" s="105"/>
      <c r="M44" s="105"/>
      <c r="N44" s="105"/>
      <c r="O44" s="105"/>
      <c r="P44" s="105"/>
      <c r="Q44" s="106"/>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7" t="s">
        <v>104</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2">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2">
      <c r="B48" s="98" t="s">
        <v>52</v>
      </c>
      <c r="C48" s="99"/>
      <c r="D48" s="99"/>
      <c r="E48" s="99"/>
      <c r="F48" s="100"/>
      <c r="G48" s="50" t="s">
        <v>78</v>
      </c>
      <c r="H48" s="49" t="s">
        <v>81</v>
      </c>
      <c r="I48" s="16" t="s">
        <v>71</v>
      </c>
      <c r="J48" s="16" t="s">
        <v>72</v>
      </c>
      <c r="K48" s="98" t="s">
        <v>52</v>
      </c>
      <c r="L48" s="99"/>
      <c r="M48" s="99"/>
      <c r="N48" s="99"/>
      <c r="O48" s="99"/>
      <c r="P48" s="99"/>
      <c r="Q48" s="100"/>
      <c r="R48" s="50" t="s">
        <v>78</v>
      </c>
      <c r="S48" s="49" t="s">
        <v>81</v>
      </c>
      <c r="T48" s="16" t="s">
        <v>71</v>
      </c>
      <c r="U48" s="16" t="s">
        <v>72</v>
      </c>
    </row>
    <row r="49" spans="1:21" ht="18" customHeight="1" x14ac:dyDescent="0.2">
      <c r="A49" s="3"/>
      <c r="B49" s="109" t="s">
        <v>173</v>
      </c>
      <c r="C49" s="110"/>
      <c r="D49" s="110"/>
      <c r="E49" s="110"/>
      <c r="F49" s="111"/>
      <c r="G49" s="17">
        <v>1</v>
      </c>
      <c r="H49" s="17" t="s">
        <v>139</v>
      </c>
      <c r="I49" s="17" t="s">
        <v>139</v>
      </c>
      <c r="J49" s="17" t="s">
        <v>139</v>
      </c>
      <c r="K49" s="109"/>
      <c r="L49" s="110"/>
      <c r="M49" s="110"/>
      <c r="N49" s="110"/>
      <c r="O49" s="110"/>
      <c r="P49" s="110"/>
      <c r="Q49" s="111"/>
      <c r="R49" s="17"/>
      <c r="S49" s="17"/>
      <c r="T49" s="17"/>
      <c r="U49" s="17"/>
    </row>
    <row r="50" spans="1:21" ht="18" customHeight="1" x14ac:dyDescent="0.2">
      <c r="A50" s="3"/>
      <c r="B50" s="101"/>
      <c r="C50" s="102"/>
      <c r="D50" s="102"/>
      <c r="E50" s="102"/>
      <c r="F50" s="103"/>
      <c r="G50" s="18"/>
      <c r="H50" s="18"/>
      <c r="I50" s="18"/>
      <c r="J50" s="18"/>
      <c r="K50" s="101"/>
      <c r="L50" s="102"/>
      <c r="M50" s="102"/>
      <c r="N50" s="102"/>
      <c r="O50" s="102"/>
      <c r="P50" s="102"/>
      <c r="Q50" s="103"/>
      <c r="R50" s="18"/>
      <c r="S50" s="18"/>
      <c r="T50" s="18"/>
      <c r="U50" s="18"/>
    </row>
    <row r="51" spans="1:21" ht="18" customHeight="1" x14ac:dyDescent="0.2">
      <c r="A51" s="3"/>
      <c r="B51" s="101"/>
      <c r="C51" s="102"/>
      <c r="D51" s="102"/>
      <c r="E51" s="102"/>
      <c r="F51" s="103"/>
      <c r="G51" s="18"/>
      <c r="H51" s="18"/>
      <c r="I51" s="18"/>
      <c r="J51" s="18"/>
      <c r="K51" s="101"/>
      <c r="L51" s="102"/>
      <c r="M51" s="102"/>
      <c r="N51" s="102"/>
      <c r="O51" s="102"/>
      <c r="P51" s="102"/>
      <c r="Q51" s="103"/>
      <c r="R51" s="18"/>
      <c r="S51" s="18"/>
      <c r="T51" s="18"/>
      <c r="U51" s="18"/>
    </row>
    <row r="52" spans="1:21" ht="18" customHeight="1" x14ac:dyDescent="0.2">
      <c r="A52" s="3"/>
      <c r="B52" s="101"/>
      <c r="C52" s="102"/>
      <c r="D52" s="102"/>
      <c r="E52" s="102"/>
      <c r="F52" s="103"/>
      <c r="G52" s="18"/>
      <c r="H52" s="18"/>
      <c r="I52" s="18"/>
      <c r="J52" s="18"/>
      <c r="K52" s="101"/>
      <c r="L52" s="102"/>
      <c r="M52" s="102"/>
      <c r="N52" s="102"/>
      <c r="O52" s="102"/>
      <c r="P52" s="102"/>
      <c r="Q52" s="103"/>
      <c r="R52" s="18"/>
      <c r="S52" s="18"/>
      <c r="T52" s="18"/>
      <c r="U52" s="18"/>
    </row>
    <row r="53" spans="1:21" ht="18" customHeight="1" x14ac:dyDescent="0.2">
      <c r="A53" s="3"/>
      <c r="B53" s="101"/>
      <c r="C53" s="102"/>
      <c r="D53" s="102"/>
      <c r="E53" s="102"/>
      <c r="F53" s="103"/>
      <c r="G53" s="18"/>
      <c r="H53" s="18"/>
      <c r="I53" s="18"/>
      <c r="J53" s="18"/>
      <c r="K53" s="101"/>
      <c r="L53" s="102"/>
      <c r="M53" s="102"/>
      <c r="N53" s="102"/>
      <c r="O53" s="102"/>
      <c r="P53" s="102"/>
      <c r="Q53" s="103"/>
      <c r="R53" s="18"/>
      <c r="S53" s="18"/>
      <c r="T53" s="18"/>
      <c r="U53" s="18"/>
    </row>
    <row r="54" spans="1:21" ht="18" customHeight="1" x14ac:dyDescent="0.2">
      <c r="A54" s="3"/>
      <c r="B54" s="101"/>
      <c r="C54" s="102"/>
      <c r="D54" s="102"/>
      <c r="E54" s="102"/>
      <c r="F54" s="103"/>
      <c r="G54" s="18"/>
      <c r="H54" s="18"/>
      <c r="I54" s="18"/>
      <c r="J54" s="18"/>
      <c r="K54" s="101"/>
      <c r="L54" s="102"/>
      <c r="M54" s="102"/>
      <c r="N54" s="102"/>
      <c r="O54" s="102"/>
      <c r="P54" s="102"/>
      <c r="Q54" s="103"/>
      <c r="R54" s="18"/>
      <c r="S54" s="18"/>
      <c r="T54" s="18"/>
      <c r="U54" s="18"/>
    </row>
    <row r="55" spans="1:21" ht="18" customHeight="1" x14ac:dyDescent="0.2">
      <c r="A55" s="3"/>
      <c r="B55" s="104"/>
      <c r="C55" s="105"/>
      <c r="D55" s="105"/>
      <c r="E55" s="105"/>
      <c r="F55" s="106"/>
      <c r="G55" s="19"/>
      <c r="H55" s="19"/>
      <c r="I55" s="20"/>
      <c r="J55" s="20"/>
      <c r="K55" s="104"/>
      <c r="L55" s="105"/>
      <c r="M55" s="105"/>
      <c r="N55" s="105"/>
      <c r="O55" s="105"/>
      <c r="P55" s="105"/>
      <c r="Q55" s="106"/>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7" t="s">
        <v>105</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2">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2">
      <c r="B59" s="98" t="s">
        <v>52</v>
      </c>
      <c r="C59" s="99"/>
      <c r="D59" s="99"/>
      <c r="E59" s="99"/>
      <c r="F59" s="100"/>
      <c r="G59" s="50" t="s">
        <v>78</v>
      </c>
      <c r="H59" s="49" t="s">
        <v>81</v>
      </c>
      <c r="I59" s="16" t="s">
        <v>57</v>
      </c>
      <c r="J59" s="16" t="s">
        <v>59</v>
      </c>
      <c r="K59" s="98" t="s">
        <v>52</v>
      </c>
      <c r="L59" s="99"/>
      <c r="M59" s="99"/>
      <c r="N59" s="99"/>
      <c r="O59" s="99"/>
      <c r="P59" s="99"/>
      <c r="Q59" s="100"/>
      <c r="R59" s="50" t="s">
        <v>78</v>
      </c>
      <c r="S59" s="49" t="s">
        <v>81</v>
      </c>
      <c r="T59" s="16" t="s">
        <v>57</v>
      </c>
      <c r="U59" s="16" t="s">
        <v>59</v>
      </c>
    </row>
    <row r="60" spans="1:21" ht="18" customHeight="1" x14ac:dyDescent="0.2">
      <c r="A60" s="3"/>
      <c r="B60" s="109" t="s">
        <v>172</v>
      </c>
      <c r="C60" s="110"/>
      <c r="D60" s="110"/>
      <c r="E60" s="110"/>
      <c r="F60" s="111"/>
      <c r="G60" s="17">
        <v>1</v>
      </c>
      <c r="H60" s="17" t="s">
        <v>139</v>
      </c>
      <c r="I60" s="17" t="s">
        <v>139</v>
      </c>
      <c r="J60" s="17" t="s">
        <v>139</v>
      </c>
      <c r="K60" s="109"/>
      <c r="L60" s="110"/>
      <c r="M60" s="110"/>
      <c r="N60" s="110"/>
      <c r="O60" s="110"/>
      <c r="P60" s="110"/>
      <c r="Q60" s="111"/>
      <c r="R60" s="17"/>
      <c r="S60" s="17"/>
      <c r="T60" s="17"/>
      <c r="U60" s="17"/>
    </row>
    <row r="61" spans="1:21" ht="18" customHeight="1" x14ac:dyDescent="0.2">
      <c r="A61" s="3"/>
      <c r="B61" s="101" t="s">
        <v>173</v>
      </c>
      <c r="C61" s="102"/>
      <c r="D61" s="102"/>
      <c r="E61" s="102"/>
      <c r="F61" s="103"/>
      <c r="G61" s="18">
        <v>1</v>
      </c>
      <c r="H61" s="18" t="s">
        <v>139</v>
      </c>
      <c r="I61" s="18" t="s">
        <v>139</v>
      </c>
      <c r="J61" s="18" t="s">
        <v>139</v>
      </c>
      <c r="K61" s="101"/>
      <c r="L61" s="102"/>
      <c r="M61" s="102"/>
      <c r="N61" s="102"/>
      <c r="O61" s="102"/>
      <c r="P61" s="102"/>
      <c r="Q61" s="103"/>
      <c r="R61" s="18"/>
      <c r="S61" s="18"/>
      <c r="T61" s="18"/>
      <c r="U61" s="18"/>
    </row>
    <row r="62" spans="1:21" ht="18" customHeight="1" x14ac:dyDescent="0.2">
      <c r="A62" s="3"/>
      <c r="B62" s="101"/>
      <c r="C62" s="102"/>
      <c r="D62" s="102"/>
      <c r="E62" s="102"/>
      <c r="F62" s="103"/>
      <c r="G62" s="18"/>
      <c r="H62" s="18"/>
      <c r="I62" s="18"/>
      <c r="J62" s="18"/>
      <c r="K62" s="101"/>
      <c r="L62" s="102"/>
      <c r="M62" s="102"/>
      <c r="N62" s="102"/>
      <c r="O62" s="102"/>
      <c r="P62" s="102"/>
      <c r="Q62" s="103"/>
      <c r="R62" s="18"/>
      <c r="S62" s="18"/>
      <c r="T62" s="18"/>
      <c r="U62" s="18"/>
    </row>
    <row r="63" spans="1:21" ht="18" customHeight="1" x14ac:dyDescent="0.2">
      <c r="A63" s="3"/>
      <c r="B63" s="101"/>
      <c r="C63" s="102"/>
      <c r="D63" s="102"/>
      <c r="E63" s="102"/>
      <c r="F63" s="103"/>
      <c r="G63" s="18"/>
      <c r="H63" s="18"/>
      <c r="I63" s="18"/>
      <c r="J63" s="18"/>
      <c r="K63" s="101"/>
      <c r="L63" s="102"/>
      <c r="M63" s="102"/>
      <c r="N63" s="102"/>
      <c r="O63" s="102"/>
      <c r="P63" s="102"/>
      <c r="Q63" s="103"/>
      <c r="R63" s="18"/>
      <c r="S63" s="18"/>
      <c r="T63" s="18"/>
      <c r="U63" s="18"/>
    </row>
    <row r="64" spans="1:21" ht="18" customHeight="1" x14ac:dyDescent="0.2">
      <c r="A64" s="3"/>
      <c r="B64" s="101"/>
      <c r="C64" s="102"/>
      <c r="D64" s="102"/>
      <c r="E64" s="102"/>
      <c r="F64" s="103"/>
      <c r="G64" s="18"/>
      <c r="H64" s="18"/>
      <c r="I64" s="18"/>
      <c r="J64" s="18"/>
      <c r="K64" s="101"/>
      <c r="L64" s="102"/>
      <c r="M64" s="102"/>
      <c r="N64" s="102"/>
      <c r="O64" s="102"/>
      <c r="P64" s="102"/>
      <c r="Q64" s="103"/>
      <c r="R64" s="18"/>
      <c r="S64" s="18"/>
      <c r="T64" s="18"/>
      <c r="U64" s="18"/>
    </row>
    <row r="65" spans="1:21" ht="18" customHeight="1" x14ac:dyDescent="0.2">
      <c r="A65" s="3"/>
      <c r="B65" s="101"/>
      <c r="C65" s="102"/>
      <c r="D65" s="102"/>
      <c r="E65" s="102"/>
      <c r="F65" s="103"/>
      <c r="G65" s="18"/>
      <c r="H65" s="18"/>
      <c r="I65" s="18"/>
      <c r="J65" s="18"/>
      <c r="K65" s="101"/>
      <c r="L65" s="102"/>
      <c r="M65" s="102"/>
      <c r="N65" s="102"/>
      <c r="O65" s="102"/>
      <c r="P65" s="102"/>
      <c r="Q65" s="103"/>
      <c r="R65" s="18"/>
      <c r="S65" s="18"/>
      <c r="T65" s="18"/>
      <c r="U65" s="18"/>
    </row>
    <row r="66" spans="1:21" ht="18" customHeight="1" x14ac:dyDescent="0.2">
      <c r="A66" s="3"/>
      <c r="B66" s="104"/>
      <c r="C66" s="105"/>
      <c r="D66" s="105"/>
      <c r="E66" s="105"/>
      <c r="F66" s="106"/>
      <c r="G66" s="19"/>
      <c r="H66" s="19"/>
      <c r="I66" s="20"/>
      <c r="J66" s="20"/>
      <c r="K66" s="104"/>
      <c r="L66" s="105"/>
      <c r="M66" s="105"/>
      <c r="N66" s="105"/>
      <c r="O66" s="105"/>
      <c r="P66" s="105"/>
      <c r="Q66" s="106"/>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7" t="s">
        <v>106</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2">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2">
      <c r="B70" s="98" t="s">
        <v>52</v>
      </c>
      <c r="C70" s="99"/>
      <c r="D70" s="99"/>
      <c r="E70" s="99"/>
      <c r="F70" s="50" t="s">
        <v>78</v>
      </c>
      <c r="G70" s="49" t="s">
        <v>81</v>
      </c>
      <c r="H70" s="16" t="s">
        <v>93</v>
      </c>
      <c r="I70" s="16" t="s">
        <v>73</v>
      </c>
      <c r="J70" s="16" t="s">
        <v>74</v>
      </c>
      <c r="K70" s="98" t="s">
        <v>52</v>
      </c>
      <c r="L70" s="99"/>
      <c r="M70" s="99"/>
      <c r="N70" s="99"/>
      <c r="O70" s="99"/>
      <c r="P70" s="100"/>
      <c r="Q70" s="50" t="s">
        <v>78</v>
      </c>
      <c r="R70" s="49" t="s">
        <v>81</v>
      </c>
      <c r="S70" s="16" t="s">
        <v>93</v>
      </c>
      <c r="T70" s="16" t="s">
        <v>73</v>
      </c>
      <c r="U70" s="16" t="s">
        <v>74</v>
      </c>
    </row>
    <row r="71" spans="1:21" ht="18" customHeight="1" x14ac:dyDescent="0.2">
      <c r="A71" s="3"/>
      <c r="B71" s="115" t="s">
        <v>172</v>
      </c>
      <c r="C71" s="116"/>
      <c r="D71" s="116"/>
      <c r="E71" s="117"/>
      <c r="F71" s="17">
        <v>1</v>
      </c>
      <c r="G71" s="17" t="s">
        <v>139</v>
      </c>
      <c r="H71" s="17" t="s">
        <v>139</v>
      </c>
      <c r="I71" s="17" t="s">
        <v>139</v>
      </c>
      <c r="J71" s="17" t="s">
        <v>139</v>
      </c>
      <c r="K71" s="109"/>
      <c r="L71" s="110"/>
      <c r="M71" s="110"/>
      <c r="N71" s="110"/>
      <c r="O71" s="110"/>
      <c r="P71" s="111"/>
      <c r="Q71" s="17"/>
      <c r="R71" s="17"/>
      <c r="S71" s="17"/>
      <c r="T71" s="17"/>
      <c r="U71" s="17"/>
    </row>
    <row r="72" spans="1:21" ht="18" customHeight="1" x14ac:dyDescent="0.2">
      <c r="A72" s="3"/>
      <c r="B72" s="118" t="s">
        <v>173</v>
      </c>
      <c r="C72" s="119"/>
      <c r="D72" s="119"/>
      <c r="E72" s="120"/>
      <c r="F72" s="18">
        <v>1</v>
      </c>
      <c r="G72" s="18" t="s">
        <v>139</v>
      </c>
      <c r="H72" s="18" t="s">
        <v>139</v>
      </c>
      <c r="I72" s="18" t="s">
        <v>139</v>
      </c>
      <c r="J72" s="18" t="s">
        <v>139</v>
      </c>
      <c r="K72" s="101"/>
      <c r="L72" s="102"/>
      <c r="M72" s="102"/>
      <c r="N72" s="102"/>
      <c r="O72" s="102"/>
      <c r="P72" s="103"/>
      <c r="Q72" s="18"/>
      <c r="R72" s="18"/>
      <c r="S72" s="18"/>
      <c r="T72" s="18"/>
      <c r="U72" s="18"/>
    </row>
    <row r="73" spans="1:21" ht="18" customHeight="1" x14ac:dyDescent="0.2">
      <c r="A73" s="3"/>
      <c r="B73" s="101"/>
      <c r="C73" s="102"/>
      <c r="D73" s="102"/>
      <c r="E73" s="102"/>
      <c r="F73" s="18"/>
      <c r="G73" s="18"/>
      <c r="H73" s="18"/>
      <c r="I73" s="18"/>
      <c r="J73" s="18"/>
      <c r="K73" s="101"/>
      <c r="L73" s="102"/>
      <c r="M73" s="102"/>
      <c r="N73" s="102"/>
      <c r="O73" s="102"/>
      <c r="P73" s="103"/>
      <c r="Q73" s="18"/>
      <c r="R73" s="18"/>
      <c r="S73" s="18"/>
      <c r="T73" s="18"/>
      <c r="U73" s="18"/>
    </row>
    <row r="74" spans="1:21" ht="18" customHeight="1" x14ac:dyDescent="0.2">
      <c r="A74" s="3"/>
      <c r="B74" s="101"/>
      <c r="C74" s="102"/>
      <c r="D74" s="102"/>
      <c r="E74" s="102"/>
      <c r="F74" s="18"/>
      <c r="G74" s="18"/>
      <c r="H74" s="18"/>
      <c r="I74" s="18"/>
      <c r="J74" s="18"/>
      <c r="K74" s="101"/>
      <c r="L74" s="102"/>
      <c r="M74" s="102"/>
      <c r="N74" s="102"/>
      <c r="O74" s="102"/>
      <c r="P74" s="103"/>
      <c r="Q74" s="18"/>
      <c r="R74" s="18"/>
      <c r="S74" s="18"/>
      <c r="T74" s="18"/>
      <c r="U74" s="18"/>
    </row>
    <row r="75" spans="1:21" ht="18" customHeight="1" x14ac:dyDescent="0.2">
      <c r="A75" s="3"/>
      <c r="B75" s="101"/>
      <c r="C75" s="102"/>
      <c r="D75" s="102"/>
      <c r="E75" s="102"/>
      <c r="F75" s="18"/>
      <c r="G75" s="18"/>
      <c r="H75" s="18"/>
      <c r="I75" s="18"/>
      <c r="J75" s="18"/>
      <c r="K75" s="101"/>
      <c r="L75" s="102"/>
      <c r="M75" s="102"/>
      <c r="N75" s="102"/>
      <c r="O75" s="102"/>
      <c r="P75" s="103"/>
      <c r="Q75" s="18"/>
      <c r="R75" s="18"/>
      <c r="S75" s="18"/>
      <c r="T75" s="18"/>
      <c r="U75" s="18"/>
    </row>
    <row r="76" spans="1:21" ht="18" customHeight="1" x14ac:dyDescent="0.2">
      <c r="A76" s="3"/>
      <c r="B76" s="101"/>
      <c r="C76" s="102"/>
      <c r="D76" s="102"/>
      <c r="E76" s="102"/>
      <c r="F76" s="18"/>
      <c r="G76" s="18"/>
      <c r="H76" s="18"/>
      <c r="I76" s="18"/>
      <c r="J76" s="18"/>
      <c r="K76" s="101"/>
      <c r="L76" s="102"/>
      <c r="M76" s="102"/>
      <c r="N76" s="102"/>
      <c r="O76" s="102"/>
      <c r="P76" s="103"/>
      <c r="Q76" s="18"/>
      <c r="R76" s="18"/>
      <c r="S76" s="18"/>
      <c r="T76" s="18"/>
      <c r="U76" s="18"/>
    </row>
    <row r="77" spans="1:21" ht="18" customHeight="1" x14ac:dyDescent="0.2">
      <c r="A77" s="3"/>
      <c r="B77" s="104"/>
      <c r="C77" s="105"/>
      <c r="D77" s="105"/>
      <c r="E77" s="105"/>
      <c r="F77" s="19"/>
      <c r="G77" s="19"/>
      <c r="H77" s="20"/>
      <c r="I77" s="20"/>
      <c r="J77" s="20"/>
      <c r="K77" s="104"/>
      <c r="L77" s="105"/>
      <c r="M77" s="105"/>
      <c r="N77" s="105"/>
      <c r="O77" s="105"/>
      <c r="P77" s="106"/>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98" t="s">
        <v>52</v>
      </c>
      <c r="C80" s="99"/>
      <c r="D80" s="99"/>
      <c r="E80" s="99"/>
      <c r="F80" s="100"/>
      <c r="G80" s="98" t="s">
        <v>79</v>
      </c>
      <c r="H80" s="99"/>
      <c r="I80" s="99"/>
      <c r="J80" s="100"/>
      <c r="K80" s="123" t="s">
        <v>52</v>
      </c>
      <c r="L80" s="124"/>
      <c r="M80" s="124"/>
      <c r="N80" s="124"/>
      <c r="O80" s="124"/>
      <c r="P80" s="124"/>
      <c r="Q80" s="125"/>
      <c r="R80" s="98" t="s">
        <v>79</v>
      </c>
      <c r="S80" s="99"/>
      <c r="T80" s="99"/>
      <c r="U80" s="100"/>
    </row>
    <row r="81" spans="1:21" ht="18" customHeight="1" x14ac:dyDescent="0.2">
      <c r="A81" s="3"/>
      <c r="B81" s="109" t="s">
        <v>140</v>
      </c>
      <c r="C81" s="110"/>
      <c r="D81" s="110"/>
      <c r="E81" s="110"/>
      <c r="F81" s="111"/>
      <c r="G81" s="112" t="s">
        <v>141</v>
      </c>
      <c r="H81" s="113"/>
      <c r="I81" s="113"/>
      <c r="J81" s="114"/>
      <c r="K81" s="109"/>
      <c r="L81" s="110"/>
      <c r="M81" s="110"/>
      <c r="N81" s="110"/>
      <c r="O81" s="110"/>
      <c r="P81" s="110"/>
      <c r="Q81" s="111"/>
      <c r="R81" s="112"/>
      <c r="S81" s="113"/>
      <c r="T81" s="113"/>
      <c r="U81" s="114"/>
    </row>
    <row r="82" spans="1:21" ht="18" customHeight="1" x14ac:dyDescent="0.2">
      <c r="A82" s="3"/>
      <c r="B82" s="101" t="s">
        <v>140</v>
      </c>
      <c r="C82" s="102"/>
      <c r="D82" s="102"/>
      <c r="E82" s="102"/>
      <c r="F82" s="103"/>
      <c r="G82" s="95" t="s">
        <v>142</v>
      </c>
      <c r="H82" s="96"/>
      <c r="I82" s="96"/>
      <c r="J82" s="97"/>
      <c r="K82" s="101"/>
      <c r="L82" s="102"/>
      <c r="M82" s="102"/>
      <c r="N82" s="102"/>
      <c r="O82" s="102"/>
      <c r="P82" s="102"/>
      <c r="Q82" s="103"/>
      <c r="R82" s="95"/>
      <c r="S82" s="96"/>
      <c r="T82" s="96"/>
      <c r="U82" s="97"/>
    </row>
    <row r="83" spans="1:21" ht="18" customHeight="1" x14ac:dyDescent="0.2">
      <c r="A83" s="3"/>
      <c r="B83" s="101" t="s">
        <v>140</v>
      </c>
      <c r="C83" s="102"/>
      <c r="D83" s="102"/>
      <c r="E83" s="102"/>
      <c r="F83" s="103"/>
      <c r="G83" s="95" t="s">
        <v>143</v>
      </c>
      <c r="H83" s="96"/>
      <c r="I83" s="96"/>
      <c r="J83" s="97"/>
      <c r="K83" s="101"/>
      <c r="L83" s="102"/>
      <c r="M83" s="102"/>
      <c r="N83" s="102"/>
      <c r="O83" s="102"/>
      <c r="P83" s="102"/>
      <c r="Q83" s="103"/>
      <c r="R83" s="95"/>
      <c r="S83" s="96"/>
      <c r="T83" s="96"/>
      <c r="U83" s="97"/>
    </row>
    <row r="84" spans="1:21" ht="18" customHeight="1" x14ac:dyDescent="0.2">
      <c r="A84" s="3"/>
      <c r="B84" s="101" t="s">
        <v>140</v>
      </c>
      <c r="C84" s="102"/>
      <c r="D84" s="102"/>
      <c r="E84" s="102"/>
      <c r="F84" s="103"/>
      <c r="G84" s="95" t="s">
        <v>144</v>
      </c>
      <c r="H84" s="96"/>
      <c r="I84" s="96"/>
      <c r="J84" s="97"/>
      <c r="K84" s="101"/>
      <c r="L84" s="102"/>
      <c r="M84" s="102"/>
      <c r="N84" s="102"/>
      <c r="O84" s="102"/>
      <c r="P84" s="102"/>
      <c r="Q84" s="103"/>
      <c r="R84" s="95"/>
      <c r="S84" s="96"/>
      <c r="T84" s="96"/>
      <c r="U84" s="97"/>
    </row>
    <row r="85" spans="1:21" ht="18" customHeight="1" x14ac:dyDescent="0.2">
      <c r="A85" s="3"/>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2">
      <c r="A86" s="3"/>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2">
      <c r="A87" s="3"/>
      <c r="B87" s="104"/>
      <c r="C87" s="105"/>
      <c r="D87" s="105"/>
      <c r="E87" s="105"/>
      <c r="F87" s="106"/>
      <c r="G87" s="142"/>
      <c r="H87" s="143"/>
      <c r="I87" s="143"/>
      <c r="J87" s="144"/>
      <c r="K87" s="104"/>
      <c r="L87" s="105"/>
      <c r="M87" s="105"/>
      <c r="N87" s="105"/>
      <c r="O87" s="105"/>
      <c r="P87" s="105"/>
      <c r="Q87" s="106"/>
      <c r="R87" s="142"/>
      <c r="S87" s="143"/>
      <c r="T87" s="143"/>
      <c r="U87" s="144"/>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108</v>
      </c>
    </row>
    <row r="90" spans="1:21" ht="18.75" customHeight="1" x14ac:dyDescent="0.2">
      <c r="B90" s="145" t="s">
        <v>53</v>
      </c>
      <c r="C90" s="146"/>
      <c r="D90" s="98" t="s">
        <v>54</v>
      </c>
      <c r="E90" s="99"/>
      <c r="F90" s="99"/>
      <c r="G90" s="99"/>
      <c r="H90" s="99"/>
      <c r="I90" s="99"/>
      <c r="J90" s="99"/>
      <c r="K90" s="99"/>
      <c r="L90" s="99"/>
      <c r="M90" s="99"/>
      <c r="N90" s="99"/>
      <c r="O90" s="99"/>
      <c r="P90" s="99"/>
      <c r="Q90" s="99"/>
      <c r="R90" s="99"/>
      <c r="S90" s="99"/>
      <c r="T90" s="99"/>
      <c r="U90" s="100"/>
    </row>
    <row r="91" spans="1:21" ht="97.5" customHeight="1" x14ac:dyDescent="0.2">
      <c r="B91" s="121" t="s">
        <v>60</v>
      </c>
      <c r="C91" s="22" t="s">
        <v>55</v>
      </c>
      <c r="D91" s="155" t="s">
        <v>159</v>
      </c>
      <c r="E91" s="156"/>
      <c r="F91" s="156"/>
      <c r="G91" s="156"/>
      <c r="H91" s="156"/>
      <c r="I91" s="156"/>
      <c r="J91" s="156"/>
      <c r="K91" s="156"/>
      <c r="L91" s="156"/>
      <c r="M91" s="156"/>
      <c r="N91" s="156"/>
      <c r="O91" s="156"/>
      <c r="P91" s="156"/>
      <c r="Q91" s="156"/>
      <c r="R91" s="156"/>
      <c r="S91" s="156"/>
      <c r="T91" s="156"/>
      <c r="U91" s="157"/>
    </row>
    <row r="92" spans="1:21" ht="97.5" customHeight="1" x14ac:dyDescent="0.2">
      <c r="B92" s="126"/>
      <c r="C92" s="23" t="s">
        <v>75</v>
      </c>
      <c r="D92" s="167" t="s">
        <v>145</v>
      </c>
      <c r="E92" s="153"/>
      <c r="F92" s="153"/>
      <c r="G92" s="153"/>
      <c r="H92" s="153"/>
      <c r="I92" s="153"/>
      <c r="J92" s="153"/>
      <c r="K92" s="153"/>
      <c r="L92" s="153"/>
      <c r="M92" s="153"/>
      <c r="N92" s="153"/>
      <c r="O92" s="153"/>
      <c r="P92" s="153"/>
      <c r="Q92" s="153"/>
      <c r="R92" s="153"/>
      <c r="S92" s="153"/>
      <c r="T92" s="153"/>
      <c r="U92" s="154"/>
    </row>
    <row r="93" spans="1:21" ht="97.5" customHeight="1" x14ac:dyDescent="0.2">
      <c r="B93" s="121" t="s">
        <v>61</v>
      </c>
      <c r="C93" s="24" t="s">
        <v>69</v>
      </c>
      <c r="D93" s="168" t="s">
        <v>146</v>
      </c>
      <c r="E93" s="156"/>
      <c r="F93" s="156"/>
      <c r="G93" s="156"/>
      <c r="H93" s="156"/>
      <c r="I93" s="156"/>
      <c r="J93" s="156"/>
      <c r="K93" s="156"/>
      <c r="L93" s="156"/>
      <c r="M93" s="156"/>
      <c r="N93" s="156"/>
      <c r="O93" s="156"/>
      <c r="P93" s="156"/>
      <c r="Q93" s="156"/>
      <c r="R93" s="156"/>
      <c r="S93" s="156"/>
      <c r="T93" s="156"/>
      <c r="U93" s="157"/>
    </row>
    <row r="94" spans="1:21" ht="97.5" customHeight="1" x14ac:dyDescent="0.2">
      <c r="B94" s="122"/>
      <c r="C94" s="25" t="s">
        <v>70</v>
      </c>
      <c r="D94" s="152" t="s">
        <v>176</v>
      </c>
      <c r="E94" s="153"/>
      <c r="F94" s="153"/>
      <c r="G94" s="153"/>
      <c r="H94" s="153"/>
      <c r="I94" s="153"/>
      <c r="J94" s="153"/>
      <c r="K94" s="153"/>
      <c r="L94" s="153"/>
      <c r="M94" s="153"/>
      <c r="N94" s="153"/>
      <c r="O94" s="153"/>
      <c r="P94" s="153"/>
      <c r="Q94" s="153"/>
      <c r="R94" s="153"/>
      <c r="S94" s="153"/>
      <c r="T94" s="153"/>
      <c r="U94" s="154"/>
    </row>
    <row r="95" spans="1:21" ht="97.5" customHeight="1" x14ac:dyDescent="0.2">
      <c r="B95" s="121" t="s">
        <v>62</v>
      </c>
      <c r="C95" s="24" t="s">
        <v>71</v>
      </c>
      <c r="D95" s="168" t="s">
        <v>160</v>
      </c>
      <c r="E95" s="156"/>
      <c r="F95" s="156"/>
      <c r="G95" s="156"/>
      <c r="H95" s="156"/>
      <c r="I95" s="156"/>
      <c r="J95" s="156"/>
      <c r="K95" s="156"/>
      <c r="L95" s="156"/>
      <c r="M95" s="156"/>
      <c r="N95" s="156"/>
      <c r="O95" s="156"/>
      <c r="P95" s="156"/>
      <c r="Q95" s="156"/>
      <c r="R95" s="156"/>
      <c r="S95" s="156"/>
      <c r="T95" s="156"/>
      <c r="U95" s="157"/>
    </row>
    <row r="96" spans="1:21" ht="97.5" customHeight="1" x14ac:dyDescent="0.2">
      <c r="B96" s="122"/>
      <c r="C96" s="26" t="s">
        <v>72</v>
      </c>
      <c r="D96" s="167" t="s">
        <v>147</v>
      </c>
      <c r="E96" s="153"/>
      <c r="F96" s="153"/>
      <c r="G96" s="153"/>
      <c r="H96" s="153"/>
      <c r="I96" s="153"/>
      <c r="J96" s="153"/>
      <c r="K96" s="153"/>
      <c r="L96" s="153"/>
      <c r="M96" s="153"/>
      <c r="N96" s="153"/>
      <c r="O96" s="153"/>
      <c r="P96" s="153"/>
      <c r="Q96" s="153"/>
      <c r="R96" s="153"/>
      <c r="S96" s="153"/>
      <c r="T96" s="153"/>
      <c r="U96" s="154"/>
    </row>
    <row r="97" spans="1:33" ht="97.5" customHeight="1" x14ac:dyDescent="0.2">
      <c r="B97" s="121" t="s">
        <v>76</v>
      </c>
      <c r="C97" s="22" t="s">
        <v>57</v>
      </c>
      <c r="D97" s="155" t="s">
        <v>161</v>
      </c>
      <c r="E97" s="156"/>
      <c r="F97" s="156"/>
      <c r="G97" s="156"/>
      <c r="H97" s="156"/>
      <c r="I97" s="156"/>
      <c r="J97" s="156"/>
      <c r="K97" s="156"/>
      <c r="L97" s="156"/>
      <c r="M97" s="156"/>
      <c r="N97" s="156"/>
      <c r="O97" s="156"/>
      <c r="P97" s="156"/>
      <c r="Q97" s="156"/>
      <c r="R97" s="156"/>
      <c r="S97" s="156"/>
      <c r="T97" s="156"/>
      <c r="U97" s="157"/>
    </row>
    <row r="98" spans="1:33" ht="97.5" customHeight="1" x14ac:dyDescent="0.2">
      <c r="B98" s="122"/>
      <c r="C98" s="25" t="s">
        <v>59</v>
      </c>
      <c r="D98" s="152" t="s">
        <v>148</v>
      </c>
      <c r="E98" s="153"/>
      <c r="F98" s="153"/>
      <c r="G98" s="153"/>
      <c r="H98" s="153"/>
      <c r="I98" s="153"/>
      <c r="J98" s="153"/>
      <c r="K98" s="153"/>
      <c r="L98" s="153"/>
      <c r="M98" s="153"/>
      <c r="N98" s="153"/>
      <c r="O98" s="153"/>
      <c r="P98" s="153"/>
      <c r="Q98" s="153"/>
      <c r="R98" s="153"/>
      <c r="S98" s="153"/>
      <c r="T98" s="153"/>
      <c r="U98" s="154"/>
    </row>
    <row r="99" spans="1:33" ht="97.5" customHeight="1" x14ac:dyDescent="0.2">
      <c r="B99" s="121" t="s">
        <v>77</v>
      </c>
      <c r="C99" s="24" t="s">
        <v>56</v>
      </c>
      <c r="D99" s="155" t="s">
        <v>175</v>
      </c>
      <c r="E99" s="156"/>
      <c r="F99" s="156"/>
      <c r="G99" s="156"/>
      <c r="H99" s="156"/>
      <c r="I99" s="156"/>
      <c r="J99" s="156"/>
      <c r="K99" s="156"/>
      <c r="L99" s="156"/>
      <c r="M99" s="156"/>
      <c r="N99" s="156"/>
      <c r="O99" s="156"/>
      <c r="P99" s="156"/>
      <c r="Q99" s="156"/>
      <c r="R99" s="156"/>
      <c r="S99" s="156"/>
      <c r="T99" s="156"/>
      <c r="U99" s="157"/>
    </row>
    <row r="100" spans="1:33" ht="97.5" customHeight="1" x14ac:dyDescent="0.2">
      <c r="B100" s="126"/>
      <c r="C100" s="27" t="s">
        <v>73</v>
      </c>
      <c r="D100" s="158" t="s">
        <v>162</v>
      </c>
      <c r="E100" s="159"/>
      <c r="F100" s="159"/>
      <c r="G100" s="159"/>
      <c r="H100" s="159"/>
      <c r="I100" s="159"/>
      <c r="J100" s="159"/>
      <c r="K100" s="159"/>
      <c r="L100" s="159"/>
      <c r="M100" s="159"/>
      <c r="N100" s="159"/>
      <c r="O100" s="159"/>
      <c r="P100" s="159"/>
      <c r="Q100" s="159"/>
      <c r="R100" s="159"/>
      <c r="S100" s="159"/>
      <c r="T100" s="159"/>
      <c r="U100" s="160"/>
    </row>
    <row r="101" spans="1:33" ht="97.5" customHeight="1" x14ac:dyDescent="0.2">
      <c r="B101" s="122"/>
      <c r="C101" s="26" t="s">
        <v>74</v>
      </c>
      <c r="D101" s="152" t="s">
        <v>163</v>
      </c>
      <c r="E101" s="153"/>
      <c r="F101" s="153"/>
      <c r="G101" s="153"/>
      <c r="H101" s="153"/>
      <c r="I101" s="153"/>
      <c r="J101" s="153"/>
      <c r="K101" s="153"/>
      <c r="L101" s="153"/>
      <c r="M101" s="153"/>
      <c r="N101" s="153"/>
      <c r="O101" s="153"/>
      <c r="P101" s="153"/>
      <c r="Q101" s="153"/>
      <c r="R101" s="153"/>
      <c r="S101" s="153"/>
      <c r="T101" s="153"/>
      <c r="U101" s="154"/>
    </row>
    <row r="102" spans="1:33" ht="6" customHeight="1" x14ac:dyDescent="0.2"/>
    <row r="103" spans="1:33" ht="18.75" customHeight="1" x14ac:dyDescent="0.2">
      <c r="A103" s="1" t="s">
        <v>109</v>
      </c>
    </row>
    <row r="104" spans="1:33" ht="81.75" customHeight="1" x14ac:dyDescent="0.2">
      <c r="B104" s="139" t="s">
        <v>174</v>
      </c>
      <c r="C104" s="140"/>
      <c r="D104" s="140"/>
      <c r="E104" s="140"/>
      <c r="F104" s="140"/>
      <c r="G104" s="140"/>
      <c r="H104" s="140"/>
      <c r="I104" s="140"/>
      <c r="J104" s="140"/>
      <c r="K104" s="140"/>
      <c r="L104" s="140"/>
      <c r="M104" s="140"/>
      <c r="N104" s="140"/>
      <c r="O104" s="140"/>
      <c r="P104" s="140"/>
      <c r="Q104" s="140"/>
      <c r="R104" s="140"/>
      <c r="S104" s="140"/>
      <c r="T104" s="140"/>
      <c r="U104" s="141"/>
    </row>
    <row r="106" spans="1:33" ht="18.75" customHeight="1" x14ac:dyDescent="0.2">
      <c r="A106" s="72" t="s">
        <v>125</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2">
      <c r="A107" s="72" t="s">
        <v>127</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2">
      <c r="A108" s="72"/>
      <c r="B108" s="151" t="s">
        <v>130</v>
      </c>
      <c r="C108" s="151"/>
      <c r="D108" s="151"/>
      <c r="E108" s="151"/>
      <c r="F108" s="151"/>
      <c r="G108" s="151"/>
      <c r="H108" s="151"/>
      <c r="I108" s="151"/>
      <c r="J108" s="151"/>
      <c r="K108" s="151"/>
      <c r="L108" s="151"/>
      <c r="M108" s="151"/>
      <c r="N108" s="151"/>
      <c r="O108" s="151"/>
      <c r="P108" s="151"/>
      <c r="Q108" s="151"/>
      <c r="R108" s="151"/>
      <c r="S108" s="151"/>
      <c r="T108" s="151"/>
      <c r="U108" s="151"/>
      <c r="V108" s="68"/>
      <c r="W108" s="68"/>
      <c r="X108" s="68"/>
      <c r="Y108" s="68"/>
      <c r="Z108" s="68"/>
      <c r="AA108" s="68"/>
      <c r="AB108" s="68"/>
      <c r="AC108" s="68"/>
      <c r="AD108" s="68"/>
      <c r="AE108" s="68"/>
      <c r="AF108" s="68"/>
      <c r="AG108" s="68"/>
    </row>
    <row r="109" spans="1:33" ht="37.25" customHeight="1" x14ac:dyDescent="0.2">
      <c r="A109" s="72"/>
      <c r="B109" s="151"/>
      <c r="C109" s="151"/>
      <c r="D109" s="151"/>
      <c r="E109" s="151"/>
      <c r="F109" s="151"/>
      <c r="G109" s="151"/>
      <c r="H109" s="151"/>
      <c r="I109" s="151"/>
      <c r="J109" s="151"/>
      <c r="K109" s="151"/>
      <c r="L109" s="151"/>
      <c r="M109" s="151"/>
      <c r="N109" s="151"/>
      <c r="O109" s="151"/>
      <c r="P109" s="151"/>
      <c r="Q109" s="151"/>
      <c r="R109" s="151"/>
      <c r="S109" s="151"/>
      <c r="T109" s="151"/>
      <c r="U109" s="151"/>
      <c r="V109" s="68"/>
      <c r="W109" s="68"/>
      <c r="X109" s="68"/>
      <c r="Y109" s="68"/>
      <c r="Z109" s="68"/>
      <c r="AA109" s="68"/>
      <c r="AB109" s="68"/>
      <c r="AC109" s="68"/>
      <c r="AD109" s="68"/>
      <c r="AE109" s="68"/>
      <c r="AF109" s="68"/>
      <c r="AG109" s="68"/>
    </row>
    <row r="110" spans="1:33" ht="18.75" customHeight="1" x14ac:dyDescent="0.2">
      <c r="A110" s="72"/>
      <c r="B110" s="94" t="s">
        <v>126</v>
      </c>
      <c r="C110" s="94"/>
      <c r="D110" s="94"/>
      <c r="E110" s="94"/>
      <c r="F110" s="94"/>
      <c r="G110" s="94"/>
      <c r="H110" s="94"/>
      <c r="I110" s="94"/>
      <c r="J110" s="94"/>
      <c r="K110" s="94"/>
      <c r="L110" s="94"/>
      <c r="M110" s="94"/>
      <c r="N110" s="94"/>
      <c r="O110" s="94"/>
      <c r="P110" s="94"/>
      <c r="Q110" s="94"/>
      <c r="R110" s="94"/>
      <c r="S110" s="94"/>
      <c r="T110" s="94"/>
      <c r="U110" s="94"/>
      <c r="V110" s="68"/>
      <c r="W110" s="68"/>
      <c r="X110" s="68"/>
      <c r="Y110" s="68"/>
      <c r="Z110" s="68"/>
      <c r="AA110" s="68"/>
      <c r="AB110" s="68"/>
      <c r="AC110" s="68"/>
      <c r="AD110" s="68"/>
      <c r="AE110" s="68"/>
      <c r="AF110" s="68"/>
      <c r="AG110" s="68"/>
    </row>
    <row r="111" spans="1:33" ht="18.75" customHeight="1" x14ac:dyDescent="0.2">
      <c r="A111" s="72"/>
      <c r="B111" s="107" t="s">
        <v>54</v>
      </c>
      <c r="C111" s="107"/>
      <c r="D111" s="107"/>
      <c r="E111" s="107"/>
      <c r="F111" s="107"/>
      <c r="G111" s="107"/>
      <c r="H111" s="107"/>
      <c r="I111" s="107"/>
      <c r="J111" s="107"/>
      <c r="K111" s="107"/>
      <c r="L111" s="107"/>
      <c r="M111" s="107"/>
      <c r="N111" s="107"/>
      <c r="O111" s="107"/>
      <c r="P111" s="107"/>
      <c r="Q111" s="107"/>
      <c r="R111" s="107"/>
      <c r="S111" s="107"/>
      <c r="T111" s="107"/>
      <c r="U111" s="107"/>
      <c r="V111" s="67"/>
      <c r="W111" s="67"/>
      <c r="X111" s="67"/>
      <c r="Y111" s="67"/>
      <c r="Z111" s="67"/>
      <c r="AA111" s="67"/>
      <c r="AB111" s="67"/>
      <c r="AC111" s="67"/>
      <c r="AD111" s="67"/>
      <c r="AE111" s="67"/>
      <c r="AF111" s="67"/>
      <c r="AG111" s="67"/>
    </row>
    <row r="112" spans="1:33" ht="132" customHeight="1" x14ac:dyDescent="0.2">
      <c r="A112" s="72"/>
      <c r="B112" s="108" t="s">
        <v>155</v>
      </c>
      <c r="C112" s="108"/>
      <c r="D112" s="108"/>
      <c r="E112" s="108"/>
      <c r="F112" s="108"/>
      <c r="G112" s="108"/>
      <c r="H112" s="108"/>
      <c r="I112" s="108"/>
      <c r="J112" s="108"/>
      <c r="K112" s="108"/>
      <c r="L112" s="108"/>
      <c r="M112" s="108"/>
      <c r="N112" s="108"/>
      <c r="O112" s="108"/>
      <c r="P112" s="108"/>
      <c r="Q112" s="108"/>
      <c r="R112" s="108"/>
      <c r="S112" s="108"/>
      <c r="T112" s="108"/>
      <c r="U112" s="108"/>
      <c r="V112" s="69"/>
      <c r="W112" s="69"/>
      <c r="X112" s="69"/>
      <c r="Y112" s="69"/>
      <c r="Z112" s="69"/>
      <c r="AA112" s="69"/>
      <c r="AB112" s="69"/>
      <c r="AC112" s="69"/>
      <c r="AD112" s="69"/>
      <c r="AE112" s="69"/>
      <c r="AF112" s="69"/>
      <c r="AG112" s="69"/>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71:E71"/>
    <mergeCell ref="B72:E72"/>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R71:U77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C20" sqref="C20:G20"/>
    </sheetView>
  </sheetViews>
  <sheetFormatPr defaultColWidth="9" defaultRowHeight="18.75" customHeight="1" x14ac:dyDescent="0.2"/>
  <cols>
    <col min="1" max="1" width="2.81640625" style="1" customWidth="1"/>
    <col min="2" max="2" width="20.81640625" style="1" customWidth="1"/>
    <col min="3" max="18" width="6.08984375" style="1" customWidth="1"/>
    <col min="19" max="19" width="6.6328125" style="1" customWidth="1"/>
    <col min="20" max="16384" width="9" style="1"/>
  </cols>
  <sheetData>
    <row r="1" spans="1:21" ht="18" customHeight="1" x14ac:dyDescent="0.2">
      <c r="A1" s="73"/>
      <c r="B1" s="73"/>
      <c r="C1" s="73"/>
      <c r="D1" s="73"/>
      <c r="E1" s="73"/>
      <c r="F1" s="73"/>
      <c r="G1" s="73"/>
      <c r="H1" s="73"/>
      <c r="I1" s="73"/>
      <c r="J1" s="73"/>
      <c r="K1" s="73"/>
      <c r="L1" s="73"/>
      <c r="M1" s="73"/>
      <c r="N1" s="73"/>
      <c r="O1" s="73"/>
      <c r="P1" s="73"/>
      <c r="Q1" s="73"/>
      <c r="R1" s="73"/>
      <c r="S1" s="73" t="s">
        <v>98</v>
      </c>
    </row>
    <row r="2" spans="1:21" ht="18" customHeight="1" x14ac:dyDescent="0.2">
      <c r="A2" s="73"/>
      <c r="B2" s="73"/>
      <c r="C2" s="73"/>
      <c r="D2" s="73"/>
      <c r="E2" s="73"/>
      <c r="F2" s="73"/>
      <c r="G2" s="73"/>
      <c r="H2" s="73"/>
      <c r="I2" s="73"/>
      <c r="J2" s="73"/>
      <c r="K2" s="73"/>
      <c r="L2" s="73"/>
      <c r="M2" s="73"/>
      <c r="N2" s="73"/>
      <c r="O2" s="73"/>
      <c r="P2" s="73"/>
      <c r="Q2" s="176" t="str">
        <f>'様式１　プログラムを構成する授業科目'!C2</f>
        <v>大阪学院大学</v>
      </c>
      <c r="R2" s="176"/>
      <c r="S2" s="176"/>
    </row>
    <row r="3" spans="1:21" ht="18" customHeight="1" x14ac:dyDescent="0.2">
      <c r="A3" s="128" t="s">
        <v>47</v>
      </c>
      <c r="B3" s="128"/>
      <c r="C3" s="128"/>
      <c r="D3" s="128"/>
      <c r="E3" s="128"/>
      <c r="F3" s="128"/>
      <c r="G3" s="128"/>
      <c r="H3" s="128"/>
      <c r="I3" s="128"/>
      <c r="J3" s="128"/>
      <c r="K3" s="128"/>
      <c r="L3" s="128"/>
      <c r="M3" s="128"/>
      <c r="N3" s="128"/>
      <c r="O3" s="128"/>
      <c r="P3" s="128"/>
      <c r="Q3" s="128"/>
      <c r="R3" s="128"/>
      <c r="S3" s="128"/>
    </row>
    <row r="4" spans="1:21" ht="7.5" customHeight="1" x14ac:dyDescent="0.2">
      <c r="A4" s="78"/>
      <c r="B4" s="78"/>
      <c r="C4" s="78"/>
      <c r="D4" s="78"/>
      <c r="E4" s="78"/>
      <c r="F4" s="78"/>
      <c r="G4" s="78"/>
      <c r="H4" s="78"/>
      <c r="I4" s="78"/>
      <c r="J4" s="78"/>
      <c r="K4" s="78"/>
      <c r="L4" s="78"/>
      <c r="M4" s="78"/>
      <c r="N4" s="78"/>
      <c r="O4" s="78"/>
      <c r="P4" s="78"/>
      <c r="Q4" s="78"/>
      <c r="R4" s="78"/>
      <c r="S4" s="78"/>
    </row>
    <row r="5" spans="1:21" ht="18" customHeight="1" x14ac:dyDescent="0.2">
      <c r="A5" s="73" t="s">
        <v>80</v>
      </c>
      <c r="B5" s="73"/>
      <c r="C5" s="177" t="s">
        <v>177</v>
      </c>
      <c r="D5" s="178"/>
      <c r="E5" s="78" t="s">
        <v>51</v>
      </c>
      <c r="F5" s="78"/>
      <c r="G5" s="78"/>
      <c r="H5" s="78"/>
      <c r="I5" s="78"/>
      <c r="J5" s="78"/>
      <c r="K5" s="78"/>
      <c r="L5" s="78"/>
      <c r="M5" s="78"/>
      <c r="N5" s="78"/>
      <c r="O5" s="78"/>
      <c r="P5" s="78"/>
      <c r="Q5" s="78"/>
      <c r="R5" s="76"/>
      <c r="S5" s="76"/>
    </row>
    <row r="6" spans="1:21" ht="7.25" customHeight="1" x14ac:dyDescent="0.2">
      <c r="A6" s="73"/>
      <c r="B6" s="73"/>
      <c r="C6" s="83"/>
      <c r="D6" s="83"/>
      <c r="E6" s="78"/>
      <c r="F6" s="78"/>
      <c r="G6" s="78"/>
      <c r="H6" s="78"/>
      <c r="I6" s="78"/>
      <c r="J6" s="78"/>
      <c r="K6" s="78"/>
      <c r="L6" s="78"/>
      <c r="M6" s="78"/>
      <c r="N6" s="78"/>
      <c r="O6" s="78"/>
      <c r="P6" s="78"/>
      <c r="Q6" s="78"/>
      <c r="R6" s="76"/>
      <c r="S6" s="76"/>
    </row>
    <row r="7" spans="1:21" ht="18" customHeight="1" x14ac:dyDescent="0.2">
      <c r="A7" s="73" t="s">
        <v>118</v>
      </c>
      <c r="B7" s="73"/>
      <c r="C7" s="83"/>
      <c r="D7" s="83"/>
      <c r="E7" s="78" t="s">
        <v>119</v>
      </c>
      <c r="F7" s="81">
        <v>4281</v>
      </c>
      <c r="G7" s="79" t="s">
        <v>120</v>
      </c>
      <c r="H7" s="78" t="s">
        <v>121</v>
      </c>
      <c r="I7" s="81">
        <v>1551</v>
      </c>
      <c r="J7" s="79" t="s">
        <v>120</v>
      </c>
      <c r="K7" s="74" t="s">
        <v>122</v>
      </c>
      <c r="L7" s="78" t="s">
        <v>123</v>
      </c>
      <c r="M7" s="81">
        <f>F7+I7</f>
        <v>5832</v>
      </c>
      <c r="N7" s="78" t="s">
        <v>1</v>
      </c>
      <c r="O7" s="79" t="s">
        <v>124</v>
      </c>
      <c r="P7" s="78"/>
      <c r="Q7" s="78"/>
      <c r="R7" s="76"/>
      <c r="S7" s="76"/>
    </row>
    <row r="8" spans="1:21" ht="6" customHeight="1" x14ac:dyDescent="0.2">
      <c r="A8" s="78"/>
      <c r="B8" s="78"/>
      <c r="C8" s="78"/>
      <c r="D8" s="78"/>
      <c r="E8" s="78"/>
      <c r="F8" s="78"/>
      <c r="G8" s="78"/>
      <c r="H8" s="78"/>
      <c r="I8" s="78"/>
      <c r="J8" s="78"/>
      <c r="K8" s="78"/>
      <c r="L8" s="78"/>
      <c r="M8" s="78"/>
      <c r="N8" s="78"/>
      <c r="O8" s="78"/>
      <c r="P8" s="78"/>
      <c r="Q8" s="78"/>
      <c r="R8" s="78"/>
      <c r="S8" s="78"/>
    </row>
    <row r="9" spans="1:21" ht="18" customHeight="1" x14ac:dyDescent="0.2">
      <c r="A9" s="73" t="s">
        <v>134</v>
      </c>
      <c r="B9" s="78"/>
      <c r="C9" s="78"/>
      <c r="D9" s="78"/>
      <c r="E9" s="78"/>
      <c r="F9" s="78"/>
      <c r="G9" s="78"/>
      <c r="H9" s="78"/>
      <c r="I9" s="78"/>
      <c r="J9" s="78"/>
      <c r="K9" s="78"/>
      <c r="L9" s="78"/>
      <c r="M9" s="78"/>
      <c r="N9" s="78"/>
      <c r="O9" s="78"/>
      <c r="P9" s="78"/>
      <c r="Q9" s="78"/>
      <c r="R9" s="78"/>
      <c r="S9" s="78"/>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9" t="s">
        <v>44</v>
      </c>
      <c r="C11" s="189" t="s">
        <v>83</v>
      </c>
      <c r="D11" s="181" t="s">
        <v>46</v>
      </c>
      <c r="E11" s="183" t="s">
        <v>39</v>
      </c>
      <c r="F11" s="175" t="s">
        <v>112</v>
      </c>
      <c r="G11" s="175"/>
      <c r="H11" s="175" t="s">
        <v>82</v>
      </c>
      <c r="I11" s="175"/>
      <c r="J11" s="175" t="s">
        <v>48</v>
      </c>
      <c r="K11" s="175"/>
      <c r="L11" s="175" t="s">
        <v>49</v>
      </c>
      <c r="M11" s="175"/>
      <c r="N11" s="175" t="s">
        <v>92</v>
      </c>
      <c r="O11" s="175"/>
      <c r="P11" s="175" t="s">
        <v>50</v>
      </c>
      <c r="Q11" s="175"/>
      <c r="R11" s="185" t="s">
        <v>35</v>
      </c>
      <c r="S11" s="187" t="s">
        <v>32</v>
      </c>
      <c r="U11" s="2"/>
    </row>
    <row r="12" spans="1:21" ht="17" customHeight="1" x14ac:dyDescent="0.2">
      <c r="B12" s="180"/>
      <c r="C12" s="190"/>
      <c r="D12" s="182"/>
      <c r="E12" s="184"/>
      <c r="F12" s="63" t="s">
        <v>91</v>
      </c>
      <c r="G12" s="63" t="s">
        <v>29</v>
      </c>
      <c r="H12" s="63" t="s">
        <v>91</v>
      </c>
      <c r="I12" s="63" t="s">
        <v>29</v>
      </c>
      <c r="J12" s="63" t="s">
        <v>91</v>
      </c>
      <c r="K12" s="63" t="s">
        <v>29</v>
      </c>
      <c r="L12" s="63" t="s">
        <v>91</v>
      </c>
      <c r="M12" s="63" t="s">
        <v>29</v>
      </c>
      <c r="N12" s="63" t="s">
        <v>91</v>
      </c>
      <c r="O12" s="63" t="s">
        <v>29</v>
      </c>
      <c r="P12" s="63" t="s">
        <v>91</v>
      </c>
      <c r="Q12" s="64" t="s">
        <v>29</v>
      </c>
      <c r="R12" s="186"/>
      <c r="S12" s="188"/>
      <c r="U12" s="2"/>
    </row>
    <row r="13" spans="1:21" ht="18" customHeight="1" x14ac:dyDescent="0.2">
      <c r="A13" s="6"/>
      <c r="B13" s="84" t="s">
        <v>184</v>
      </c>
      <c r="C13" s="85">
        <v>690</v>
      </c>
      <c r="D13" s="86">
        <v>150</v>
      </c>
      <c r="E13" s="87">
        <v>600</v>
      </c>
      <c r="F13" s="87">
        <v>14</v>
      </c>
      <c r="G13" s="87">
        <v>2</v>
      </c>
      <c r="H13" s="53"/>
      <c r="I13" s="53"/>
      <c r="J13" s="53"/>
      <c r="K13" s="53"/>
      <c r="L13" s="53"/>
      <c r="M13" s="53"/>
      <c r="N13" s="53"/>
      <c r="O13" s="53"/>
      <c r="P13" s="53"/>
      <c r="Q13" s="65"/>
      <c r="R13" s="52">
        <f t="shared" ref="R13:R32" si="0">F13+H13+J13+L13+N13+P13</f>
        <v>14</v>
      </c>
      <c r="S13" s="93">
        <f t="shared" ref="S13:S33" si="1">R13/E13</f>
        <v>2.3333333333333334E-2</v>
      </c>
    </row>
    <row r="14" spans="1:21" ht="18" customHeight="1" x14ac:dyDescent="0.2">
      <c r="A14" s="6"/>
      <c r="B14" s="88" t="s">
        <v>185</v>
      </c>
      <c r="C14" s="89">
        <v>1709</v>
      </c>
      <c r="D14" s="90">
        <v>380</v>
      </c>
      <c r="E14" s="91">
        <v>1520</v>
      </c>
      <c r="F14" s="92">
        <v>45</v>
      </c>
      <c r="G14" s="92">
        <v>3</v>
      </c>
      <c r="H14" s="57"/>
      <c r="I14" s="57"/>
      <c r="J14" s="57"/>
      <c r="K14" s="57"/>
      <c r="L14" s="57"/>
      <c r="M14" s="57"/>
      <c r="N14" s="57"/>
      <c r="O14" s="57"/>
      <c r="P14" s="57"/>
      <c r="Q14" s="54"/>
      <c r="R14" s="55">
        <f t="shared" ref="R14" si="2">F14+H14+J14+L14+N14+P14</f>
        <v>45</v>
      </c>
      <c r="S14" s="8">
        <f t="shared" ref="S14" si="3">R14/E14</f>
        <v>2.9605263157894735E-2</v>
      </c>
    </row>
    <row r="15" spans="1:21" ht="18" customHeight="1" x14ac:dyDescent="0.2">
      <c r="A15" s="6"/>
      <c r="B15" s="88" t="s">
        <v>186</v>
      </c>
      <c r="C15" s="89">
        <v>1634</v>
      </c>
      <c r="D15" s="90">
        <v>400</v>
      </c>
      <c r="E15" s="91">
        <v>1600</v>
      </c>
      <c r="F15" s="92">
        <v>48</v>
      </c>
      <c r="G15" s="92">
        <v>11</v>
      </c>
      <c r="H15" s="57"/>
      <c r="I15" s="57"/>
      <c r="J15" s="57"/>
      <c r="K15" s="57"/>
      <c r="L15" s="57"/>
      <c r="M15" s="57"/>
      <c r="N15" s="57"/>
      <c r="O15" s="57"/>
      <c r="P15" s="57"/>
      <c r="Q15" s="54"/>
      <c r="R15" s="55">
        <f t="shared" si="0"/>
        <v>48</v>
      </c>
      <c r="S15" s="8">
        <f t="shared" si="1"/>
        <v>0.03</v>
      </c>
    </row>
    <row r="16" spans="1:21" ht="18" customHeight="1" x14ac:dyDescent="0.2">
      <c r="A16" s="6"/>
      <c r="B16" s="88" t="s">
        <v>187</v>
      </c>
      <c r="C16" s="89">
        <v>598</v>
      </c>
      <c r="D16" s="90">
        <v>150</v>
      </c>
      <c r="E16" s="91">
        <v>600</v>
      </c>
      <c r="F16" s="92">
        <v>3</v>
      </c>
      <c r="G16" s="92">
        <v>0</v>
      </c>
      <c r="H16" s="57"/>
      <c r="I16" s="57"/>
      <c r="J16" s="57"/>
      <c r="K16" s="57"/>
      <c r="L16" s="57"/>
      <c r="M16" s="57"/>
      <c r="N16" s="57"/>
      <c r="O16" s="57"/>
      <c r="P16" s="57"/>
      <c r="Q16" s="54"/>
      <c r="R16" s="55">
        <f t="shared" si="0"/>
        <v>3</v>
      </c>
      <c r="S16" s="8">
        <f t="shared" si="1"/>
        <v>5.0000000000000001E-3</v>
      </c>
    </row>
    <row r="17" spans="1:19" ht="18" customHeight="1" x14ac:dyDescent="0.2">
      <c r="A17" s="6"/>
      <c r="B17" s="88" t="s">
        <v>188</v>
      </c>
      <c r="C17" s="89">
        <v>421</v>
      </c>
      <c r="D17" s="90">
        <v>120</v>
      </c>
      <c r="E17" s="91">
        <v>480</v>
      </c>
      <c r="F17" s="92">
        <v>5</v>
      </c>
      <c r="G17" s="92">
        <v>0</v>
      </c>
      <c r="H17" s="57"/>
      <c r="I17" s="57"/>
      <c r="J17" s="57"/>
      <c r="K17" s="57"/>
      <c r="L17" s="57"/>
      <c r="M17" s="57"/>
      <c r="N17" s="57"/>
      <c r="O17" s="57"/>
      <c r="P17" s="57"/>
      <c r="Q17" s="54"/>
      <c r="R17" s="55">
        <f t="shared" si="0"/>
        <v>5</v>
      </c>
      <c r="S17" s="8">
        <f t="shared" si="1"/>
        <v>1.0416666666666666E-2</v>
      </c>
    </row>
    <row r="18" spans="1:19" ht="18" customHeight="1" x14ac:dyDescent="0.2">
      <c r="A18" s="6"/>
      <c r="B18" s="88" t="s">
        <v>189</v>
      </c>
      <c r="C18" s="89">
        <v>313</v>
      </c>
      <c r="D18" s="90">
        <v>80</v>
      </c>
      <c r="E18" s="91">
        <v>320</v>
      </c>
      <c r="F18" s="92">
        <v>2</v>
      </c>
      <c r="G18" s="92">
        <v>0</v>
      </c>
      <c r="H18" s="57"/>
      <c r="I18" s="57"/>
      <c r="J18" s="57"/>
      <c r="K18" s="57"/>
      <c r="L18" s="57"/>
      <c r="M18" s="57"/>
      <c r="N18" s="57"/>
      <c r="O18" s="57"/>
      <c r="P18" s="57"/>
      <c r="Q18" s="54"/>
      <c r="R18" s="55">
        <f t="shared" si="0"/>
        <v>2</v>
      </c>
      <c r="S18" s="8">
        <f t="shared" si="1"/>
        <v>6.2500000000000003E-3</v>
      </c>
    </row>
    <row r="19" spans="1:19" ht="18" customHeight="1" x14ac:dyDescent="0.2">
      <c r="A19" s="6"/>
      <c r="B19" s="88" t="s">
        <v>190</v>
      </c>
      <c r="C19" s="89">
        <v>467</v>
      </c>
      <c r="D19" s="90">
        <v>100</v>
      </c>
      <c r="E19" s="91">
        <v>400</v>
      </c>
      <c r="F19" s="92">
        <v>0</v>
      </c>
      <c r="G19" s="92">
        <v>0</v>
      </c>
      <c r="H19" s="57"/>
      <c r="I19" s="57"/>
      <c r="J19" s="57"/>
      <c r="K19" s="57"/>
      <c r="L19" s="57"/>
      <c r="M19" s="57"/>
      <c r="N19" s="57"/>
      <c r="O19" s="57"/>
      <c r="P19" s="57"/>
      <c r="Q19" s="54"/>
      <c r="R19" s="55">
        <f t="shared" si="0"/>
        <v>0</v>
      </c>
      <c r="S19" s="8">
        <f t="shared" si="1"/>
        <v>0</v>
      </c>
    </row>
    <row r="20" spans="1:19" ht="18" customHeight="1" x14ac:dyDescent="0.2">
      <c r="A20" s="6"/>
      <c r="B20" s="88"/>
      <c r="C20" s="89"/>
      <c r="D20" s="90"/>
      <c r="E20" s="91"/>
      <c r="F20" s="92"/>
      <c r="G20" s="92"/>
      <c r="H20" s="57"/>
      <c r="I20" s="57"/>
      <c r="J20" s="57"/>
      <c r="K20" s="57"/>
      <c r="L20" s="57"/>
      <c r="M20" s="57"/>
      <c r="N20" s="57"/>
      <c r="O20" s="57"/>
      <c r="P20" s="57"/>
      <c r="Q20" s="54"/>
      <c r="R20" s="55">
        <f t="shared" si="0"/>
        <v>0</v>
      </c>
      <c r="S20" s="8" t="e">
        <f t="shared" si="1"/>
        <v>#DIV/0!</v>
      </c>
    </row>
    <row r="21" spans="1:19" ht="18" customHeight="1" x14ac:dyDescent="0.2">
      <c r="A21" s="6"/>
      <c r="B21" s="88"/>
      <c r="C21" s="89"/>
      <c r="D21" s="90"/>
      <c r="E21" s="91"/>
      <c r="F21" s="92"/>
      <c r="G21" s="92"/>
      <c r="H21" s="57"/>
      <c r="I21" s="57"/>
      <c r="J21" s="57"/>
      <c r="K21" s="57"/>
      <c r="L21" s="57"/>
      <c r="M21" s="57"/>
      <c r="N21" s="57"/>
      <c r="O21" s="57"/>
      <c r="P21" s="57"/>
      <c r="Q21" s="54"/>
      <c r="R21" s="55">
        <f t="shared" si="0"/>
        <v>0</v>
      </c>
      <c r="S21" s="8" t="e">
        <f t="shared" si="1"/>
        <v>#DIV/0!</v>
      </c>
    </row>
    <row r="22" spans="1:19" ht="18" customHeight="1" x14ac:dyDescent="0.2">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2">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2">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2">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2">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2">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2">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2">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2">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2">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5">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2">
      <c r="B33" s="13" t="s">
        <v>33</v>
      </c>
      <c r="C33" s="60">
        <f t="shared" ref="C33" si="4">SUM(C13:C32)</f>
        <v>5832</v>
      </c>
      <c r="D33" s="61">
        <f t="shared" ref="D33:R33" si="5">SUM(D13:D32)</f>
        <v>1380</v>
      </c>
      <c r="E33" s="62">
        <f t="shared" si="5"/>
        <v>5520</v>
      </c>
      <c r="F33" s="62">
        <f t="shared" si="5"/>
        <v>117</v>
      </c>
      <c r="G33" s="62">
        <f t="shared" ref="G33:H33" si="6">SUM(G13:G32)</f>
        <v>16</v>
      </c>
      <c r="H33" s="62">
        <f t="shared" si="6"/>
        <v>0</v>
      </c>
      <c r="I33" s="62">
        <f t="shared" ref="I33:J33" si="7">SUM(I13:I32)</f>
        <v>0</v>
      </c>
      <c r="J33" s="62">
        <f t="shared" si="7"/>
        <v>0</v>
      </c>
      <c r="K33" s="62">
        <f t="shared" ref="K33:O33" si="8">SUM(K13:K32)</f>
        <v>0</v>
      </c>
      <c r="L33" s="62">
        <f t="shared" si="8"/>
        <v>0</v>
      </c>
      <c r="M33" s="62">
        <f t="shared" si="8"/>
        <v>0</v>
      </c>
      <c r="N33" s="62">
        <f t="shared" si="8"/>
        <v>0</v>
      </c>
      <c r="O33" s="62">
        <f t="shared" si="8"/>
        <v>0</v>
      </c>
      <c r="P33" s="62">
        <f t="shared" ref="P33:Q33" si="9">SUM(P13:P32)</f>
        <v>0</v>
      </c>
      <c r="Q33" s="60">
        <f t="shared" si="9"/>
        <v>0</v>
      </c>
      <c r="R33" s="61">
        <f t="shared" si="5"/>
        <v>117</v>
      </c>
      <c r="S33" s="9">
        <f t="shared" si="1"/>
        <v>2.1195652173913043E-2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3"/>
  <sheetViews>
    <sheetView showZeros="0" view="pageBreakPreview" topLeftCell="A107" zoomScaleNormal="100" zoomScaleSheetLayoutView="100" workbookViewId="0">
      <selection activeCell="L90" sqref="L90"/>
    </sheetView>
  </sheetViews>
  <sheetFormatPr defaultColWidth="11.36328125" defaultRowHeight="18.75" customHeight="1" x14ac:dyDescent="0.2"/>
  <cols>
    <col min="1" max="1" width="2.81640625" style="31"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1" t="s">
        <v>63</v>
      </c>
      <c r="I1" s="29" t="s">
        <v>97</v>
      </c>
    </row>
    <row r="2" spans="1:9" ht="18.75" customHeight="1" x14ac:dyDescent="0.2">
      <c r="G2" s="29" t="s">
        <v>99</v>
      </c>
      <c r="H2" s="98" t="str">
        <f>'様式１　プログラムを構成する授業科目'!C2</f>
        <v>大阪学院大学</v>
      </c>
      <c r="I2" s="100"/>
    </row>
    <row r="3" spans="1:9" ht="18.75" customHeight="1" x14ac:dyDescent="0.2">
      <c r="G3" s="29"/>
      <c r="H3" s="10"/>
      <c r="I3" s="10"/>
    </row>
    <row r="4" spans="1:9" ht="18.649999999999999" customHeight="1" x14ac:dyDescent="0.2">
      <c r="A4" s="192" t="s">
        <v>36</v>
      </c>
      <c r="B4" s="192"/>
      <c r="C4" s="192"/>
      <c r="D4" s="192"/>
      <c r="E4" s="192"/>
      <c r="F4" s="192"/>
      <c r="G4" s="192"/>
      <c r="H4" s="192"/>
      <c r="I4" s="192"/>
    </row>
    <row r="5" spans="1:9" ht="13.25" customHeight="1" x14ac:dyDescent="0.2">
      <c r="B5" s="3"/>
      <c r="C5" s="3"/>
      <c r="D5" s="3"/>
      <c r="E5" s="3"/>
      <c r="F5" s="3"/>
      <c r="G5" s="3"/>
      <c r="H5" s="3"/>
      <c r="I5" s="3"/>
    </row>
    <row r="6" spans="1:9" ht="18" customHeight="1" x14ac:dyDescent="0.2">
      <c r="A6" s="1" t="s">
        <v>0</v>
      </c>
      <c r="B6" s="10" t="s">
        <v>86</v>
      </c>
      <c r="C6" s="212" t="s">
        <v>87</v>
      </c>
      <c r="D6" s="212"/>
      <c r="E6" s="28">
        <v>160</v>
      </c>
      <c r="F6" s="3" t="s">
        <v>1</v>
      </c>
      <c r="G6" s="3" t="s">
        <v>2</v>
      </c>
      <c r="H6" s="28">
        <v>137</v>
      </c>
      <c r="I6" s="10" t="s">
        <v>1</v>
      </c>
    </row>
    <row r="7" spans="1:9" ht="12" customHeight="1" x14ac:dyDescent="0.2">
      <c r="C7" s="2"/>
      <c r="D7" s="2"/>
      <c r="E7" s="2"/>
      <c r="F7" s="2"/>
      <c r="G7" s="2"/>
      <c r="H7" s="2"/>
      <c r="I7" s="32"/>
    </row>
    <row r="8" spans="1:9" ht="18" customHeight="1" x14ac:dyDescent="0.2">
      <c r="A8" s="1" t="s">
        <v>3</v>
      </c>
      <c r="B8" s="10" t="s">
        <v>88</v>
      </c>
      <c r="E8" s="3"/>
      <c r="F8" s="3"/>
      <c r="G8" s="3"/>
      <c r="H8" s="28">
        <v>4</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29" t="s">
        <v>42</v>
      </c>
      <c r="C11" s="207" t="s">
        <v>149</v>
      </c>
      <c r="D11" s="210"/>
      <c r="E11" s="211"/>
      <c r="F11" s="32"/>
      <c r="G11" s="29" t="s">
        <v>10</v>
      </c>
      <c r="H11" s="207" t="s">
        <v>181</v>
      </c>
      <c r="I11" s="211"/>
    </row>
    <row r="12" spans="1:9" ht="10.25" customHeight="1" x14ac:dyDescent="0.2">
      <c r="B12" s="29"/>
      <c r="C12" s="10"/>
      <c r="D12" s="32"/>
      <c r="E12" s="32"/>
      <c r="F12" s="32"/>
      <c r="G12" s="29"/>
      <c r="H12" s="10"/>
      <c r="I12" s="32"/>
    </row>
    <row r="13" spans="1:9" ht="18" customHeight="1" x14ac:dyDescent="0.2">
      <c r="A13" s="1" t="s">
        <v>7</v>
      </c>
      <c r="B13" s="10" t="s">
        <v>84</v>
      </c>
      <c r="C13" s="3"/>
      <c r="D13" s="3"/>
      <c r="E13" s="3"/>
      <c r="F13" s="3"/>
      <c r="G13" s="3"/>
      <c r="H13" s="3"/>
      <c r="I13" s="3"/>
    </row>
    <row r="14" spans="1:9" ht="18" customHeight="1" x14ac:dyDescent="0.2">
      <c r="B14" s="207" t="s">
        <v>182</v>
      </c>
      <c r="C14" s="208"/>
      <c r="D14" s="208"/>
      <c r="E14" s="208"/>
      <c r="F14" s="208"/>
      <c r="G14" s="208"/>
      <c r="H14" s="208"/>
      <c r="I14" s="209"/>
    </row>
    <row r="15" spans="1:9" ht="9" customHeight="1" x14ac:dyDescent="0.2">
      <c r="B15" s="3"/>
      <c r="C15" s="3"/>
      <c r="D15" s="3"/>
      <c r="E15" s="3"/>
      <c r="F15" s="3"/>
      <c r="G15" s="3"/>
      <c r="H15" s="3"/>
      <c r="I15" s="3"/>
    </row>
    <row r="16" spans="1:9" ht="18" customHeight="1" x14ac:dyDescent="0.2">
      <c r="B16" s="29" t="s">
        <v>42</v>
      </c>
      <c r="C16" s="207" t="s">
        <v>149</v>
      </c>
      <c r="D16" s="210"/>
      <c r="E16" s="211"/>
      <c r="F16" s="32"/>
      <c r="G16" s="29" t="s">
        <v>10</v>
      </c>
      <c r="H16" s="207" t="s">
        <v>181</v>
      </c>
      <c r="I16" s="211"/>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93" t="s">
        <v>171</v>
      </c>
      <c r="C19" s="194"/>
      <c r="D19" s="194"/>
      <c r="E19" s="194"/>
      <c r="F19" s="194"/>
      <c r="G19" s="194"/>
      <c r="H19" s="194"/>
      <c r="I19" s="195"/>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96" t="s">
        <v>152</v>
      </c>
      <c r="C22" s="197"/>
      <c r="D22" s="197"/>
      <c r="E22" s="197"/>
      <c r="F22" s="197"/>
      <c r="G22" s="197"/>
      <c r="H22" s="197"/>
      <c r="I22" s="198"/>
    </row>
    <row r="23" spans="1:9" ht="18.75" customHeight="1" x14ac:dyDescent="0.2">
      <c r="A23" s="14"/>
      <c r="B23" s="199"/>
      <c r="C23" s="200"/>
      <c r="D23" s="200"/>
      <c r="E23" s="200"/>
      <c r="F23" s="200"/>
      <c r="G23" s="200"/>
      <c r="H23" s="200"/>
      <c r="I23" s="201"/>
    </row>
    <row r="24" spans="1:9" ht="18.75" customHeight="1" x14ac:dyDescent="0.2">
      <c r="A24" s="14"/>
      <c r="B24" s="199"/>
      <c r="C24" s="200"/>
      <c r="D24" s="200"/>
      <c r="E24" s="200"/>
      <c r="F24" s="200"/>
      <c r="G24" s="200"/>
      <c r="H24" s="200"/>
      <c r="I24" s="201"/>
    </row>
    <row r="25" spans="1:9" ht="18.75" customHeight="1" x14ac:dyDescent="0.2">
      <c r="A25" s="14"/>
      <c r="B25" s="199"/>
      <c r="C25" s="200"/>
      <c r="D25" s="200"/>
      <c r="E25" s="200"/>
      <c r="F25" s="200"/>
      <c r="G25" s="200"/>
      <c r="H25" s="200"/>
      <c r="I25" s="201"/>
    </row>
    <row r="26" spans="1:9" ht="18.75" customHeight="1" x14ac:dyDescent="0.2">
      <c r="A26" s="14"/>
      <c r="B26" s="199"/>
      <c r="C26" s="200"/>
      <c r="D26" s="200"/>
      <c r="E26" s="200"/>
      <c r="F26" s="200"/>
      <c r="G26" s="200"/>
      <c r="H26" s="200"/>
      <c r="I26" s="201"/>
    </row>
    <row r="27" spans="1:9" ht="18.75" customHeight="1" x14ac:dyDescent="0.2">
      <c r="A27" s="14"/>
      <c r="B27" s="199"/>
      <c r="C27" s="200"/>
      <c r="D27" s="200"/>
      <c r="E27" s="200"/>
      <c r="F27" s="200"/>
      <c r="G27" s="200"/>
      <c r="H27" s="200"/>
      <c r="I27" s="201"/>
    </row>
    <row r="28" spans="1:9" ht="18.75" customHeight="1" x14ac:dyDescent="0.2">
      <c r="A28" s="14"/>
      <c r="B28" s="199"/>
      <c r="C28" s="200"/>
      <c r="D28" s="200"/>
      <c r="E28" s="200"/>
      <c r="F28" s="200"/>
      <c r="G28" s="200"/>
      <c r="H28" s="200"/>
      <c r="I28" s="201"/>
    </row>
    <row r="29" spans="1:9" ht="18.75" customHeight="1" x14ac:dyDescent="0.2">
      <c r="A29" s="14"/>
      <c r="B29" s="199"/>
      <c r="C29" s="200"/>
      <c r="D29" s="200"/>
      <c r="E29" s="200"/>
      <c r="F29" s="200"/>
      <c r="G29" s="200"/>
      <c r="H29" s="200"/>
      <c r="I29" s="201"/>
    </row>
    <row r="30" spans="1:9" ht="18.75" customHeight="1" x14ac:dyDescent="0.2">
      <c r="A30" s="14"/>
      <c r="B30" s="202"/>
      <c r="C30" s="203"/>
      <c r="D30" s="203"/>
      <c r="E30" s="203"/>
      <c r="F30" s="203"/>
      <c r="G30" s="203"/>
      <c r="H30" s="203"/>
      <c r="I30" s="201"/>
    </row>
    <row r="31" spans="1:9" ht="18.75" customHeight="1" x14ac:dyDescent="0.2">
      <c r="A31" s="14"/>
      <c r="B31" s="202"/>
      <c r="C31" s="203"/>
      <c r="D31" s="203"/>
      <c r="E31" s="203"/>
      <c r="F31" s="203"/>
      <c r="G31" s="203"/>
      <c r="H31" s="203"/>
      <c r="I31" s="201"/>
    </row>
    <row r="32" spans="1:9" ht="18.75" customHeight="1" x14ac:dyDescent="0.2">
      <c r="A32" s="14"/>
      <c r="B32" s="204"/>
      <c r="C32" s="205"/>
      <c r="D32" s="205"/>
      <c r="E32" s="205"/>
      <c r="F32" s="205"/>
      <c r="G32" s="205"/>
      <c r="H32" s="205"/>
      <c r="I32" s="206"/>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96" t="s">
        <v>183</v>
      </c>
      <c r="C35" s="197"/>
      <c r="D35" s="197"/>
      <c r="E35" s="197"/>
      <c r="F35" s="197"/>
      <c r="G35" s="197"/>
      <c r="H35" s="197"/>
      <c r="I35" s="198"/>
    </row>
    <row r="36" spans="1:9" ht="18.75" customHeight="1" x14ac:dyDescent="0.2">
      <c r="A36" s="14"/>
      <c r="B36" s="202"/>
      <c r="C36" s="203"/>
      <c r="D36" s="203"/>
      <c r="E36" s="203"/>
      <c r="F36" s="203"/>
      <c r="G36" s="203"/>
      <c r="H36" s="203"/>
      <c r="I36" s="201"/>
    </row>
    <row r="37" spans="1:9" ht="18.75" customHeight="1" x14ac:dyDescent="0.2">
      <c r="A37" s="14"/>
      <c r="B37" s="202"/>
      <c r="C37" s="203"/>
      <c r="D37" s="203"/>
      <c r="E37" s="203"/>
      <c r="F37" s="203"/>
      <c r="G37" s="203"/>
      <c r="H37" s="203"/>
      <c r="I37" s="201"/>
    </row>
    <row r="38" spans="1:9" ht="18.75" customHeight="1" x14ac:dyDescent="0.2">
      <c r="A38" s="14"/>
      <c r="B38" s="202"/>
      <c r="C38" s="203"/>
      <c r="D38" s="203"/>
      <c r="E38" s="203"/>
      <c r="F38" s="203"/>
      <c r="G38" s="203"/>
      <c r="H38" s="203"/>
      <c r="I38" s="201"/>
    </row>
    <row r="39" spans="1:9" ht="18.75" customHeight="1" x14ac:dyDescent="0.2">
      <c r="A39" s="14"/>
      <c r="B39" s="202"/>
      <c r="C39" s="203"/>
      <c r="D39" s="203"/>
      <c r="E39" s="203"/>
      <c r="F39" s="203"/>
      <c r="G39" s="203"/>
      <c r="H39" s="203"/>
      <c r="I39" s="201"/>
    </row>
    <row r="40" spans="1:9" ht="18.75" customHeight="1" x14ac:dyDescent="0.2">
      <c r="A40" s="14"/>
      <c r="B40" s="202"/>
      <c r="C40" s="203"/>
      <c r="D40" s="203"/>
      <c r="E40" s="203"/>
      <c r="F40" s="203"/>
      <c r="G40" s="203"/>
      <c r="H40" s="203"/>
      <c r="I40" s="201"/>
    </row>
    <row r="41" spans="1:9" ht="18.75" customHeight="1" x14ac:dyDescent="0.2">
      <c r="A41" s="14"/>
      <c r="B41" s="202"/>
      <c r="C41" s="203"/>
      <c r="D41" s="203"/>
      <c r="E41" s="203"/>
      <c r="F41" s="203"/>
      <c r="G41" s="203"/>
      <c r="H41" s="203"/>
      <c r="I41" s="201"/>
    </row>
    <row r="42" spans="1:9" ht="18.75" customHeight="1" x14ac:dyDescent="0.2">
      <c r="A42" s="14"/>
      <c r="B42" s="202"/>
      <c r="C42" s="203"/>
      <c r="D42" s="203"/>
      <c r="E42" s="203"/>
      <c r="F42" s="203"/>
      <c r="G42" s="203"/>
      <c r="H42" s="203"/>
      <c r="I42" s="201"/>
    </row>
    <row r="43" spans="1:9" ht="18.75" customHeight="1" x14ac:dyDescent="0.2">
      <c r="A43" s="14"/>
      <c r="B43" s="202"/>
      <c r="C43" s="203"/>
      <c r="D43" s="203"/>
      <c r="E43" s="203"/>
      <c r="F43" s="203"/>
      <c r="G43" s="203"/>
      <c r="H43" s="203"/>
      <c r="I43" s="201"/>
    </row>
    <row r="44" spans="1:9" ht="18.75" customHeight="1" x14ac:dyDescent="0.2">
      <c r="A44" s="14"/>
      <c r="B44" s="202"/>
      <c r="C44" s="203"/>
      <c r="D44" s="203"/>
      <c r="E44" s="203"/>
      <c r="F44" s="203"/>
      <c r="G44" s="203"/>
      <c r="H44" s="203"/>
      <c r="I44" s="201"/>
    </row>
    <row r="45" spans="1:9" ht="18.75" customHeight="1" x14ac:dyDescent="0.2">
      <c r="A45" s="14"/>
      <c r="B45" s="202"/>
      <c r="C45" s="203"/>
      <c r="D45" s="203"/>
      <c r="E45" s="203"/>
      <c r="F45" s="203"/>
      <c r="G45" s="203"/>
      <c r="H45" s="203"/>
      <c r="I45" s="201"/>
    </row>
    <row r="46" spans="1:9" ht="18.75" customHeight="1" x14ac:dyDescent="0.2">
      <c r="A46" s="14"/>
      <c r="B46" s="204"/>
      <c r="C46" s="205"/>
      <c r="D46" s="205"/>
      <c r="E46" s="205"/>
      <c r="F46" s="205"/>
      <c r="G46" s="205"/>
      <c r="H46" s="205"/>
      <c r="I46" s="206"/>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3" t="s">
        <v>128</v>
      </c>
      <c r="C49" s="234">
        <f>'様式２ 履修者等数の実績'!S33</f>
        <v>2.1195652173913043E-2</v>
      </c>
      <c r="D49" s="234"/>
      <c r="E49" s="33" t="s">
        <v>64</v>
      </c>
      <c r="F49" s="234">
        <v>0.3</v>
      </c>
      <c r="G49" s="234"/>
      <c r="H49" s="33" t="s">
        <v>65</v>
      </c>
      <c r="I49" s="34">
        <v>0.5</v>
      </c>
      <c r="J49" s="1"/>
      <c r="M49" s="1"/>
      <c r="N49" s="35"/>
    </row>
    <row r="50" spans="1:15" s="3" customFormat="1" ht="18.75" customHeight="1" x14ac:dyDescent="0.2">
      <c r="B50" s="36" t="s">
        <v>85</v>
      </c>
      <c r="C50" s="217">
        <v>0.8</v>
      </c>
      <c r="D50" s="217"/>
      <c r="E50" s="36" t="s">
        <v>129</v>
      </c>
      <c r="F50" s="217">
        <v>1</v>
      </c>
      <c r="G50" s="217"/>
      <c r="H50" s="36" t="s">
        <v>66</v>
      </c>
      <c r="I50" s="37">
        <f>'様式２ 履修者等数の実績'!E33</f>
        <v>5520</v>
      </c>
      <c r="J50" s="1"/>
      <c r="M50" s="1"/>
      <c r="N50" s="35"/>
    </row>
    <row r="51" spans="1:15" ht="18.75" customHeight="1" x14ac:dyDescent="0.2">
      <c r="A51" s="1"/>
      <c r="B51" s="214" t="s">
        <v>67</v>
      </c>
      <c r="C51" s="215"/>
      <c r="D51" s="215"/>
      <c r="E51" s="215"/>
      <c r="F51" s="215"/>
      <c r="G51" s="215"/>
      <c r="H51" s="215"/>
      <c r="I51" s="216"/>
      <c r="N51" s="35"/>
      <c r="O51" s="3"/>
    </row>
    <row r="52" spans="1:15" ht="18.75" customHeight="1" x14ac:dyDescent="0.2">
      <c r="A52" s="1"/>
      <c r="B52" s="235" t="s">
        <v>169</v>
      </c>
      <c r="C52" s="236"/>
      <c r="D52" s="236"/>
      <c r="E52" s="236"/>
      <c r="F52" s="236"/>
      <c r="G52" s="236"/>
      <c r="H52" s="236"/>
      <c r="I52" s="237"/>
      <c r="N52" s="35"/>
      <c r="O52" s="3"/>
    </row>
    <row r="53" spans="1:15" ht="18.75" customHeight="1" x14ac:dyDescent="0.2">
      <c r="A53" s="1"/>
      <c r="B53" s="238"/>
      <c r="C53" s="239"/>
      <c r="D53" s="239"/>
      <c r="E53" s="239"/>
      <c r="F53" s="239"/>
      <c r="G53" s="239"/>
      <c r="H53" s="239"/>
      <c r="I53" s="240"/>
      <c r="N53" s="35"/>
      <c r="O53" s="3"/>
    </row>
    <row r="54" spans="1:15" ht="18.75" customHeight="1" x14ac:dyDescent="0.2">
      <c r="A54" s="1"/>
      <c r="B54" s="238"/>
      <c r="C54" s="239"/>
      <c r="D54" s="239"/>
      <c r="E54" s="239"/>
      <c r="F54" s="239"/>
      <c r="G54" s="239"/>
      <c r="H54" s="239"/>
      <c r="I54" s="240"/>
    </row>
    <row r="55" spans="1:15" ht="18.75" customHeight="1" x14ac:dyDescent="0.2">
      <c r="A55" s="1"/>
      <c r="B55" s="238"/>
      <c r="C55" s="239"/>
      <c r="D55" s="239"/>
      <c r="E55" s="239"/>
      <c r="F55" s="239"/>
      <c r="G55" s="239"/>
      <c r="H55" s="239"/>
      <c r="I55" s="240"/>
    </row>
    <row r="56" spans="1:15" ht="18.75" customHeight="1" x14ac:dyDescent="0.2">
      <c r="A56" s="1"/>
      <c r="B56" s="238"/>
      <c r="C56" s="239"/>
      <c r="D56" s="239"/>
      <c r="E56" s="239"/>
      <c r="F56" s="239"/>
      <c r="G56" s="239"/>
      <c r="H56" s="239"/>
      <c r="I56" s="240"/>
    </row>
    <row r="57" spans="1:15" ht="18.75" customHeight="1" x14ac:dyDescent="0.2">
      <c r="A57" s="1"/>
      <c r="B57" s="238"/>
      <c r="C57" s="239"/>
      <c r="D57" s="239"/>
      <c r="E57" s="239"/>
      <c r="F57" s="239"/>
      <c r="G57" s="239"/>
      <c r="H57" s="239"/>
      <c r="I57" s="240"/>
    </row>
    <row r="58" spans="1:15" ht="18.75" customHeight="1" x14ac:dyDescent="0.2">
      <c r="A58" s="1"/>
      <c r="B58" s="238"/>
      <c r="C58" s="239"/>
      <c r="D58" s="239"/>
      <c r="E58" s="239"/>
      <c r="F58" s="239"/>
      <c r="G58" s="239"/>
      <c r="H58" s="239"/>
      <c r="I58" s="240"/>
    </row>
    <row r="59" spans="1:15" ht="18.75" customHeight="1" x14ac:dyDescent="0.2">
      <c r="A59" s="1"/>
      <c r="B59" s="238"/>
      <c r="C59" s="239"/>
      <c r="D59" s="239"/>
      <c r="E59" s="239"/>
      <c r="F59" s="239"/>
      <c r="G59" s="239"/>
      <c r="H59" s="239"/>
      <c r="I59" s="240"/>
    </row>
    <row r="60" spans="1:15" ht="18.75" customHeight="1" x14ac:dyDescent="0.2">
      <c r="A60" s="1"/>
      <c r="B60" s="238"/>
      <c r="C60" s="239"/>
      <c r="D60" s="239"/>
      <c r="E60" s="239"/>
      <c r="F60" s="239"/>
      <c r="G60" s="239"/>
      <c r="H60" s="239"/>
      <c r="I60" s="240"/>
    </row>
    <row r="61" spans="1:15" ht="18.75" customHeight="1" x14ac:dyDescent="0.2">
      <c r="A61" s="1"/>
      <c r="B61" s="238"/>
      <c r="C61" s="239"/>
      <c r="D61" s="239"/>
      <c r="E61" s="239"/>
      <c r="F61" s="239"/>
      <c r="G61" s="239"/>
      <c r="H61" s="239"/>
      <c r="I61" s="240"/>
    </row>
    <row r="62" spans="1:15" ht="18.75" customHeight="1" x14ac:dyDescent="0.2">
      <c r="A62" s="1"/>
      <c r="B62" s="238"/>
      <c r="C62" s="239"/>
      <c r="D62" s="239"/>
      <c r="E62" s="239"/>
      <c r="F62" s="239"/>
      <c r="G62" s="239"/>
      <c r="H62" s="239"/>
      <c r="I62" s="240"/>
    </row>
    <row r="63" spans="1:15" ht="18.75" customHeight="1" x14ac:dyDescent="0.2">
      <c r="A63" s="1"/>
      <c r="B63" s="241"/>
      <c r="C63" s="242"/>
      <c r="D63" s="242"/>
      <c r="E63" s="242"/>
      <c r="F63" s="242"/>
      <c r="G63" s="242"/>
      <c r="H63" s="242"/>
      <c r="I63" s="243"/>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18" t="s">
        <v>170</v>
      </c>
      <c r="C66" s="219"/>
      <c r="D66" s="219"/>
      <c r="E66" s="219"/>
      <c r="F66" s="219"/>
      <c r="G66" s="219"/>
      <c r="H66" s="219"/>
      <c r="I66" s="220"/>
    </row>
    <row r="67" spans="1:9" ht="18.75" customHeight="1" x14ac:dyDescent="0.2">
      <c r="A67" s="4"/>
      <c r="B67" s="221"/>
      <c r="C67" s="222"/>
      <c r="D67" s="222"/>
      <c r="E67" s="222"/>
      <c r="F67" s="222"/>
      <c r="G67" s="222"/>
      <c r="H67" s="222"/>
      <c r="I67" s="223"/>
    </row>
    <row r="68" spans="1:9" ht="18.75" customHeight="1" x14ac:dyDescent="0.2">
      <c r="A68" s="4"/>
      <c r="B68" s="221"/>
      <c r="C68" s="222"/>
      <c r="D68" s="222"/>
      <c r="E68" s="222"/>
      <c r="F68" s="222"/>
      <c r="G68" s="222"/>
      <c r="H68" s="222"/>
      <c r="I68" s="223"/>
    </row>
    <row r="69" spans="1:9" ht="18.75" customHeight="1" x14ac:dyDescent="0.2">
      <c r="A69" s="4"/>
      <c r="B69" s="221"/>
      <c r="C69" s="222"/>
      <c r="D69" s="222"/>
      <c r="E69" s="222"/>
      <c r="F69" s="222"/>
      <c r="G69" s="222"/>
      <c r="H69" s="222"/>
      <c r="I69" s="223"/>
    </row>
    <row r="70" spans="1:9" ht="18.75" customHeight="1" x14ac:dyDescent="0.2">
      <c r="A70" s="4"/>
      <c r="B70" s="221"/>
      <c r="C70" s="222"/>
      <c r="D70" s="222"/>
      <c r="E70" s="222"/>
      <c r="F70" s="222"/>
      <c r="G70" s="222"/>
      <c r="H70" s="222"/>
      <c r="I70" s="223"/>
    </row>
    <row r="71" spans="1:9" ht="18.75" customHeight="1" x14ac:dyDescent="0.2">
      <c r="A71" s="4"/>
      <c r="B71" s="221"/>
      <c r="C71" s="222"/>
      <c r="D71" s="222"/>
      <c r="E71" s="222"/>
      <c r="F71" s="222"/>
      <c r="G71" s="222"/>
      <c r="H71" s="222"/>
      <c r="I71" s="223"/>
    </row>
    <row r="72" spans="1:9" ht="18.75" customHeight="1" x14ac:dyDescent="0.2">
      <c r="A72" s="4"/>
      <c r="B72" s="221"/>
      <c r="C72" s="222"/>
      <c r="D72" s="222"/>
      <c r="E72" s="222"/>
      <c r="F72" s="222"/>
      <c r="G72" s="222"/>
      <c r="H72" s="222"/>
      <c r="I72" s="223"/>
    </row>
    <row r="73" spans="1:9" ht="18.75" customHeight="1" x14ac:dyDescent="0.2">
      <c r="A73" s="4"/>
      <c r="B73" s="221"/>
      <c r="C73" s="222"/>
      <c r="D73" s="222"/>
      <c r="E73" s="222"/>
      <c r="F73" s="222"/>
      <c r="G73" s="222"/>
      <c r="H73" s="222"/>
      <c r="I73" s="223"/>
    </row>
    <row r="74" spans="1:9" ht="18.75" customHeight="1" x14ac:dyDescent="0.2">
      <c r="A74" s="4"/>
      <c r="B74" s="221"/>
      <c r="C74" s="222"/>
      <c r="D74" s="222"/>
      <c r="E74" s="222"/>
      <c r="F74" s="222"/>
      <c r="G74" s="222"/>
      <c r="H74" s="222"/>
      <c r="I74" s="223"/>
    </row>
    <row r="75" spans="1:9" ht="18.75" customHeight="1" x14ac:dyDescent="0.2">
      <c r="A75" s="4"/>
      <c r="B75" s="221"/>
      <c r="C75" s="222"/>
      <c r="D75" s="222"/>
      <c r="E75" s="222"/>
      <c r="F75" s="222"/>
      <c r="G75" s="222"/>
      <c r="H75" s="222"/>
      <c r="I75" s="223"/>
    </row>
    <row r="76" spans="1:9" ht="18.75" customHeight="1" x14ac:dyDescent="0.2">
      <c r="A76" s="4"/>
      <c r="B76" s="221"/>
      <c r="C76" s="222"/>
      <c r="D76" s="222"/>
      <c r="E76" s="222"/>
      <c r="F76" s="222"/>
      <c r="G76" s="222"/>
      <c r="H76" s="222"/>
      <c r="I76" s="223"/>
    </row>
    <row r="77" spans="1:9" ht="18.75" customHeight="1" x14ac:dyDescent="0.2">
      <c r="A77" s="4"/>
      <c r="B77" s="224"/>
      <c r="C77" s="225"/>
      <c r="D77" s="225"/>
      <c r="E77" s="225"/>
      <c r="F77" s="225"/>
      <c r="G77" s="225"/>
      <c r="H77" s="225"/>
      <c r="I77" s="226"/>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18" t="s">
        <v>178</v>
      </c>
      <c r="C80" s="219"/>
      <c r="D80" s="219"/>
      <c r="E80" s="219"/>
      <c r="F80" s="219"/>
      <c r="G80" s="219"/>
      <c r="H80" s="219"/>
      <c r="I80" s="227"/>
    </row>
    <row r="81" spans="1:9" ht="18.75" customHeight="1" x14ac:dyDescent="0.2">
      <c r="A81" s="1"/>
      <c r="B81" s="228"/>
      <c r="C81" s="229"/>
      <c r="D81" s="229"/>
      <c r="E81" s="229"/>
      <c r="F81" s="229"/>
      <c r="G81" s="229"/>
      <c r="H81" s="229"/>
      <c r="I81" s="230"/>
    </row>
    <row r="82" spans="1:9" ht="18.75" customHeight="1" x14ac:dyDescent="0.2">
      <c r="A82" s="1"/>
      <c r="B82" s="228"/>
      <c r="C82" s="229"/>
      <c r="D82" s="229"/>
      <c r="E82" s="229"/>
      <c r="F82" s="229"/>
      <c r="G82" s="229"/>
      <c r="H82" s="229"/>
      <c r="I82" s="230"/>
    </row>
    <row r="83" spans="1:9" ht="18.75" customHeight="1" x14ac:dyDescent="0.2">
      <c r="A83" s="1"/>
      <c r="B83" s="228"/>
      <c r="C83" s="229"/>
      <c r="D83" s="229"/>
      <c r="E83" s="229"/>
      <c r="F83" s="229"/>
      <c r="G83" s="229"/>
      <c r="H83" s="229"/>
      <c r="I83" s="230"/>
    </row>
    <row r="84" spans="1:9" ht="18.75" customHeight="1" x14ac:dyDescent="0.2">
      <c r="A84" s="1"/>
      <c r="B84" s="228"/>
      <c r="C84" s="229"/>
      <c r="D84" s="229"/>
      <c r="E84" s="229"/>
      <c r="F84" s="229"/>
      <c r="G84" s="229"/>
      <c r="H84" s="229"/>
      <c r="I84" s="230"/>
    </row>
    <row r="85" spans="1:9" ht="18.75" customHeight="1" x14ac:dyDescent="0.2">
      <c r="A85" s="1"/>
      <c r="B85" s="228"/>
      <c r="C85" s="229"/>
      <c r="D85" s="229"/>
      <c r="E85" s="229"/>
      <c r="F85" s="229"/>
      <c r="G85" s="229"/>
      <c r="H85" s="229"/>
      <c r="I85" s="230"/>
    </row>
    <row r="86" spans="1:9" ht="18.75" customHeight="1" x14ac:dyDescent="0.2">
      <c r="A86" s="1"/>
      <c r="B86" s="228"/>
      <c r="C86" s="229"/>
      <c r="D86" s="229"/>
      <c r="E86" s="229"/>
      <c r="F86" s="229"/>
      <c r="G86" s="229"/>
      <c r="H86" s="229"/>
      <c r="I86" s="230"/>
    </row>
    <row r="87" spans="1:9" ht="18.75" customHeight="1" x14ac:dyDescent="0.2">
      <c r="A87" s="1"/>
      <c r="B87" s="228"/>
      <c r="C87" s="229"/>
      <c r="D87" s="229"/>
      <c r="E87" s="229"/>
      <c r="F87" s="229"/>
      <c r="G87" s="229"/>
      <c r="H87" s="229"/>
      <c r="I87" s="230"/>
    </row>
    <row r="88" spans="1:9" ht="18.75" customHeight="1" x14ac:dyDescent="0.2">
      <c r="A88" s="1"/>
      <c r="B88" s="228"/>
      <c r="C88" s="229"/>
      <c r="D88" s="229"/>
      <c r="E88" s="229"/>
      <c r="F88" s="229"/>
      <c r="G88" s="229"/>
      <c r="H88" s="229"/>
      <c r="I88" s="230"/>
    </row>
    <row r="89" spans="1:9" ht="18.75" customHeight="1" x14ac:dyDescent="0.2">
      <c r="A89" s="1"/>
      <c r="B89" s="228"/>
      <c r="C89" s="229"/>
      <c r="D89" s="229"/>
      <c r="E89" s="229"/>
      <c r="F89" s="229"/>
      <c r="G89" s="229"/>
      <c r="H89" s="229"/>
      <c r="I89" s="230"/>
    </row>
    <row r="90" spans="1:9" ht="18.75" customHeight="1" x14ac:dyDescent="0.2">
      <c r="A90" s="4"/>
      <c r="B90" s="228"/>
      <c r="C90" s="229"/>
      <c r="D90" s="229"/>
      <c r="E90" s="229"/>
      <c r="F90" s="229"/>
      <c r="G90" s="229"/>
      <c r="H90" s="229"/>
      <c r="I90" s="230"/>
    </row>
    <row r="91" spans="1:9" ht="18.75" customHeight="1" x14ac:dyDescent="0.2">
      <c r="A91" s="4"/>
      <c r="B91" s="231"/>
      <c r="C91" s="232"/>
      <c r="D91" s="232"/>
      <c r="E91" s="232"/>
      <c r="F91" s="232"/>
      <c r="G91" s="232"/>
      <c r="H91" s="232"/>
      <c r="I91" s="233"/>
    </row>
    <row r="92" spans="1:9" ht="18.75" customHeight="1" x14ac:dyDescent="0.2">
      <c r="A92" s="1" t="s">
        <v>43</v>
      </c>
      <c r="B92" s="1" t="s">
        <v>13</v>
      </c>
    </row>
    <row r="93" spans="1:9" ht="18.75" customHeight="1" x14ac:dyDescent="0.2">
      <c r="A93" s="1"/>
      <c r="B93" s="196" t="s">
        <v>165</v>
      </c>
      <c r="C93" s="197"/>
      <c r="D93" s="197"/>
      <c r="E93" s="197"/>
      <c r="F93" s="197"/>
      <c r="G93" s="197"/>
      <c r="H93" s="197"/>
      <c r="I93" s="198"/>
    </row>
    <row r="94" spans="1:9" ht="18.75" customHeight="1" x14ac:dyDescent="0.2">
      <c r="A94" s="1"/>
      <c r="B94" s="202"/>
      <c r="C94" s="203"/>
      <c r="D94" s="203"/>
      <c r="E94" s="203"/>
      <c r="F94" s="203"/>
      <c r="G94" s="203"/>
      <c r="H94" s="203"/>
      <c r="I94" s="201"/>
    </row>
    <row r="95" spans="1:9" ht="18.75" customHeight="1" x14ac:dyDescent="0.2">
      <c r="A95" s="1"/>
      <c r="B95" s="202"/>
      <c r="C95" s="203"/>
      <c r="D95" s="203"/>
      <c r="E95" s="203"/>
      <c r="F95" s="203"/>
      <c r="G95" s="203"/>
      <c r="H95" s="203"/>
      <c r="I95" s="201"/>
    </row>
    <row r="96" spans="1:9" ht="18.75" customHeight="1" x14ac:dyDescent="0.2">
      <c r="A96" s="1"/>
      <c r="B96" s="202"/>
      <c r="C96" s="203"/>
      <c r="D96" s="203"/>
      <c r="E96" s="203"/>
      <c r="F96" s="203"/>
      <c r="G96" s="203"/>
      <c r="H96" s="203"/>
      <c r="I96" s="201"/>
    </row>
    <row r="97" spans="1:9" ht="18.75" customHeight="1" x14ac:dyDescent="0.2">
      <c r="A97" s="1"/>
      <c r="B97" s="202"/>
      <c r="C97" s="203"/>
      <c r="D97" s="203"/>
      <c r="E97" s="203"/>
      <c r="F97" s="203"/>
      <c r="G97" s="203"/>
      <c r="H97" s="203"/>
      <c r="I97" s="201"/>
    </row>
    <row r="98" spans="1:9" ht="18.75" customHeight="1" x14ac:dyDescent="0.2">
      <c r="A98" s="1"/>
      <c r="B98" s="202"/>
      <c r="C98" s="203"/>
      <c r="D98" s="203"/>
      <c r="E98" s="203"/>
      <c r="F98" s="203"/>
      <c r="G98" s="203"/>
      <c r="H98" s="203"/>
      <c r="I98" s="201"/>
    </row>
    <row r="99" spans="1:9" ht="18.75" customHeight="1" x14ac:dyDescent="0.2">
      <c r="A99" s="1"/>
      <c r="B99" s="202"/>
      <c r="C99" s="203"/>
      <c r="D99" s="203"/>
      <c r="E99" s="203"/>
      <c r="F99" s="203"/>
      <c r="G99" s="203"/>
      <c r="H99" s="203"/>
      <c r="I99" s="201"/>
    </row>
    <row r="100" spans="1:9" ht="18.75" customHeight="1" x14ac:dyDescent="0.2">
      <c r="A100" s="1"/>
      <c r="B100" s="202"/>
      <c r="C100" s="203"/>
      <c r="D100" s="203"/>
      <c r="E100" s="203"/>
      <c r="F100" s="203"/>
      <c r="G100" s="203"/>
      <c r="H100" s="203"/>
      <c r="I100" s="201"/>
    </row>
    <row r="101" spans="1:9" ht="18.75" customHeight="1" x14ac:dyDescent="0.2">
      <c r="A101" s="1"/>
      <c r="B101" s="202"/>
      <c r="C101" s="203"/>
      <c r="D101" s="203"/>
      <c r="E101" s="203"/>
      <c r="F101" s="203"/>
      <c r="G101" s="203"/>
      <c r="H101" s="203"/>
      <c r="I101" s="201"/>
    </row>
    <row r="102" spans="1:9" ht="18.75" customHeight="1" x14ac:dyDescent="0.2">
      <c r="A102" s="1"/>
      <c r="B102" s="202"/>
      <c r="C102" s="203"/>
      <c r="D102" s="203"/>
      <c r="E102" s="203"/>
      <c r="F102" s="203"/>
      <c r="G102" s="203"/>
      <c r="H102" s="203"/>
      <c r="I102" s="201"/>
    </row>
    <row r="103" spans="1:9" ht="18.75" customHeight="1" x14ac:dyDescent="0.2">
      <c r="A103" s="1"/>
      <c r="B103" s="202"/>
      <c r="C103" s="203"/>
      <c r="D103" s="203"/>
      <c r="E103" s="203"/>
      <c r="F103" s="203"/>
      <c r="G103" s="203"/>
      <c r="H103" s="203"/>
      <c r="I103" s="201"/>
    </row>
    <row r="104" spans="1:9" ht="18.75" customHeight="1" x14ac:dyDescent="0.2">
      <c r="A104" s="4"/>
      <c r="B104" s="204"/>
      <c r="C104" s="205"/>
      <c r="D104" s="205"/>
      <c r="E104" s="205"/>
      <c r="F104" s="205"/>
      <c r="G104" s="205"/>
      <c r="H104" s="205"/>
      <c r="I104" s="206"/>
    </row>
    <row r="105" spans="1:9" ht="7.5" customHeight="1" x14ac:dyDescent="0.2">
      <c r="A105" s="4"/>
      <c r="B105" s="4"/>
      <c r="C105" s="4"/>
      <c r="D105" s="4"/>
      <c r="E105" s="4"/>
      <c r="F105" s="4"/>
      <c r="G105" s="4"/>
      <c r="H105" s="4"/>
      <c r="I105" s="4"/>
    </row>
    <row r="106" spans="1:9" ht="18.75" customHeight="1" x14ac:dyDescent="0.2">
      <c r="A106" s="1" t="s">
        <v>30</v>
      </c>
      <c r="B106" s="213" t="s">
        <v>45</v>
      </c>
      <c r="C106" s="213"/>
      <c r="D106" s="213"/>
      <c r="E106" s="213"/>
      <c r="F106" s="213"/>
      <c r="G106" s="213"/>
      <c r="H106" s="213"/>
      <c r="I106" s="213"/>
    </row>
    <row r="107" spans="1:9" ht="18.75" customHeight="1" x14ac:dyDescent="0.2">
      <c r="A107" s="4"/>
      <c r="B107" s="196" t="s">
        <v>164</v>
      </c>
      <c r="C107" s="197"/>
      <c r="D107" s="197"/>
      <c r="E107" s="197"/>
      <c r="F107" s="197"/>
      <c r="G107" s="197"/>
      <c r="H107" s="197"/>
      <c r="I107" s="198"/>
    </row>
    <row r="108" spans="1:9" ht="18.75" customHeight="1" x14ac:dyDescent="0.2">
      <c r="A108" s="4"/>
      <c r="B108" s="202"/>
      <c r="C108" s="203"/>
      <c r="D108" s="203"/>
      <c r="E108" s="203"/>
      <c r="F108" s="203"/>
      <c r="G108" s="203"/>
      <c r="H108" s="203"/>
      <c r="I108" s="201"/>
    </row>
    <row r="109" spans="1:9" ht="18.75" customHeight="1" x14ac:dyDescent="0.2">
      <c r="A109" s="4"/>
      <c r="B109" s="202"/>
      <c r="C109" s="203"/>
      <c r="D109" s="203"/>
      <c r="E109" s="203"/>
      <c r="F109" s="203"/>
      <c r="G109" s="203"/>
      <c r="H109" s="203"/>
      <c r="I109" s="201"/>
    </row>
    <row r="110" spans="1:9" ht="18.75" customHeight="1" x14ac:dyDescent="0.2">
      <c r="A110" s="4"/>
      <c r="B110" s="202"/>
      <c r="C110" s="203"/>
      <c r="D110" s="203"/>
      <c r="E110" s="203"/>
      <c r="F110" s="203"/>
      <c r="G110" s="203"/>
      <c r="H110" s="203"/>
      <c r="I110" s="201"/>
    </row>
    <row r="111" spans="1:9" ht="18.75" customHeight="1" x14ac:dyDescent="0.2">
      <c r="A111" s="4"/>
      <c r="B111" s="202"/>
      <c r="C111" s="203"/>
      <c r="D111" s="203"/>
      <c r="E111" s="203"/>
      <c r="F111" s="203"/>
      <c r="G111" s="203"/>
      <c r="H111" s="203"/>
      <c r="I111" s="201"/>
    </row>
    <row r="112" spans="1:9" ht="18.75" customHeight="1" x14ac:dyDescent="0.2">
      <c r="A112" s="4"/>
      <c r="B112" s="202"/>
      <c r="C112" s="203"/>
      <c r="D112" s="203"/>
      <c r="E112" s="203"/>
      <c r="F112" s="203"/>
      <c r="G112" s="203"/>
      <c r="H112" s="203"/>
      <c r="I112" s="201"/>
    </row>
    <row r="113" spans="1:9" ht="18.75" customHeight="1" x14ac:dyDescent="0.2">
      <c r="A113" s="4"/>
      <c r="B113" s="202"/>
      <c r="C113" s="203"/>
      <c r="D113" s="203"/>
      <c r="E113" s="203"/>
      <c r="F113" s="203"/>
      <c r="G113" s="203"/>
      <c r="H113" s="203"/>
      <c r="I113" s="201"/>
    </row>
    <row r="114" spans="1:9" ht="18.75" customHeight="1" x14ac:dyDescent="0.2">
      <c r="A114" s="4"/>
      <c r="B114" s="202"/>
      <c r="C114" s="203"/>
      <c r="D114" s="203"/>
      <c r="E114" s="203"/>
      <c r="F114" s="203"/>
      <c r="G114" s="203"/>
      <c r="H114" s="203"/>
      <c r="I114" s="201"/>
    </row>
    <row r="115" spans="1:9" ht="18.75" customHeight="1" x14ac:dyDescent="0.2">
      <c r="A115" s="4"/>
      <c r="B115" s="202"/>
      <c r="C115" s="203"/>
      <c r="D115" s="203"/>
      <c r="E115" s="203"/>
      <c r="F115" s="203"/>
      <c r="G115" s="203"/>
      <c r="H115" s="203"/>
      <c r="I115" s="201"/>
    </row>
    <row r="116" spans="1:9" ht="18.75" customHeight="1" x14ac:dyDescent="0.2">
      <c r="A116" s="4"/>
      <c r="B116" s="202"/>
      <c r="C116" s="203"/>
      <c r="D116" s="203"/>
      <c r="E116" s="203"/>
      <c r="F116" s="203"/>
      <c r="G116" s="203"/>
      <c r="H116" s="203"/>
      <c r="I116" s="201"/>
    </row>
    <row r="117" spans="1:9" ht="18.75" customHeight="1" x14ac:dyDescent="0.2">
      <c r="A117" s="4"/>
      <c r="B117" s="202"/>
      <c r="C117" s="203"/>
      <c r="D117" s="203"/>
      <c r="E117" s="203"/>
      <c r="F117" s="203"/>
      <c r="G117" s="203"/>
      <c r="H117" s="203"/>
      <c r="I117" s="201"/>
    </row>
    <row r="118" spans="1:9" ht="18.75" customHeight="1" x14ac:dyDescent="0.2">
      <c r="A118" s="4"/>
      <c r="B118" s="204"/>
      <c r="C118" s="205"/>
      <c r="D118" s="205"/>
      <c r="E118" s="205"/>
      <c r="F118" s="205"/>
      <c r="G118" s="205"/>
      <c r="H118" s="205"/>
      <c r="I118" s="206"/>
    </row>
    <row r="119" spans="1:9" ht="7.5" customHeight="1" x14ac:dyDescent="0.2">
      <c r="A119" s="4"/>
      <c r="B119" s="38"/>
      <c r="C119" s="38"/>
      <c r="D119" s="38"/>
      <c r="E119" s="38"/>
      <c r="F119" s="38"/>
      <c r="G119" s="38"/>
      <c r="H119" s="38"/>
      <c r="I119" s="38"/>
    </row>
    <row r="120" spans="1:9" ht="18.75" customHeight="1" x14ac:dyDescent="0.2">
      <c r="A120" s="66"/>
      <c r="B120" s="191"/>
      <c r="C120" s="191"/>
      <c r="D120" s="191"/>
      <c r="E120" s="191"/>
      <c r="F120" s="191"/>
      <c r="G120" s="191"/>
      <c r="H120" s="191"/>
      <c r="I120" s="191"/>
    </row>
    <row r="121" spans="1:9" ht="18.75" customHeight="1" x14ac:dyDescent="0.2">
      <c r="A121" s="66"/>
      <c r="B121" s="191"/>
      <c r="C121" s="191"/>
      <c r="D121" s="191"/>
      <c r="E121" s="191"/>
      <c r="F121" s="191"/>
      <c r="G121" s="191"/>
      <c r="H121" s="191"/>
      <c r="I121" s="191"/>
    </row>
    <row r="122" spans="1:9" ht="18.75" customHeight="1" x14ac:dyDescent="0.2">
      <c r="A122" s="4"/>
      <c r="B122" s="70"/>
      <c r="C122" s="70"/>
      <c r="D122" s="70"/>
      <c r="E122" s="70"/>
      <c r="F122" s="70"/>
      <c r="G122" s="70"/>
      <c r="H122" s="70"/>
      <c r="I122" s="71"/>
    </row>
    <row r="123" spans="1:9" ht="18.75" customHeight="1" x14ac:dyDescent="0.2">
      <c r="A123" s="4"/>
      <c r="B123" s="71"/>
      <c r="C123" s="71"/>
      <c r="D123" s="71"/>
      <c r="E123" s="71"/>
      <c r="F123" s="71"/>
      <c r="G123" s="71"/>
      <c r="H123" s="71"/>
      <c r="I123" s="71"/>
    </row>
    <row r="124" spans="1:9" ht="18.75" customHeight="1" x14ac:dyDescent="0.2">
      <c r="A124" s="4"/>
      <c r="B124" s="71"/>
      <c r="C124" s="71"/>
      <c r="D124" s="71"/>
      <c r="E124" s="71"/>
      <c r="F124" s="71"/>
      <c r="G124" s="71"/>
      <c r="H124" s="71"/>
      <c r="I124" s="71"/>
    </row>
    <row r="125" spans="1:9" ht="18.75" customHeight="1" x14ac:dyDescent="0.2">
      <c r="A125" s="4"/>
      <c r="B125" s="71"/>
      <c r="C125" s="71"/>
      <c r="D125" s="71"/>
      <c r="E125" s="71"/>
      <c r="F125" s="71"/>
      <c r="G125" s="71"/>
      <c r="H125" s="71"/>
      <c r="I125" s="71"/>
    </row>
    <row r="126" spans="1:9" ht="18.75" customHeight="1" x14ac:dyDescent="0.2">
      <c r="A126" s="4"/>
      <c r="B126" s="71"/>
      <c r="C126" s="71"/>
      <c r="D126" s="71"/>
      <c r="E126" s="71"/>
      <c r="F126" s="71"/>
      <c r="G126" s="71"/>
      <c r="H126" s="71"/>
      <c r="I126" s="71"/>
    </row>
    <row r="127" spans="1:9" ht="18.75" customHeight="1" x14ac:dyDescent="0.2">
      <c r="A127" s="4"/>
      <c r="B127" s="71"/>
      <c r="C127" s="71"/>
      <c r="D127" s="71"/>
      <c r="E127" s="71"/>
      <c r="F127" s="71"/>
      <c r="G127" s="71"/>
      <c r="H127" s="71"/>
      <c r="I127" s="71"/>
    </row>
    <row r="128" spans="1:9" ht="18.75" customHeight="1" x14ac:dyDescent="0.2">
      <c r="A128" s="4"/>
      <c r="B128" s="71"/>
      <c r="C128" s="71"/>
      <c r="D128" s="71"/>
      <c r="E128" s="71"/>
      <c r="F128" s="71"/>
      <c r="G128" s="71"/>
      <c r="H128" s="71"/>
      <c r="I128" s="71"/>
    </row>
    <row r="129" spans="1:9" ht="18.75" customHeight="1" x14ac:dyDescent="0.2">
      <c r="A129" s="4"/>
      <c r="B129" s="71"/>
      <c r="C129" s="71"/>
      <c r="D129" s="71"/>
      <c r="E129" s="71"/>
      <c r="F129" s="71"/>
      <c r="G129" s="71"/>
      <c r="H129" s="71"/>
      <c r="I129" s="71"/>
    </row>
    <row r="130" spans="1:9" ht="18.75" customHeight="1" x14ac:dyDescent="0.2">
      <c r="A130" s="4"/>
      <c r="B130" s="71"/>
      <c r="C130" s="71"/>
      <c r="D130" s="71"/>
      <c r="E130" s="71"/>
      <c r="F130" s="71"/>
      <c r="G130" s="71"/>
      <c r="H130" s="71"/>
      <c r="I130" s="71"/>
    </row>
    <row r="131" spans="1:9" ht="18.75" customHeight="1" x14ac:dyDescent="0.2">
      <c r="A131" s="4"/>
      <c r="B131" s="71"/>
      <c r="C131" s="71"/>
      <c r="D131" s="71"/>
      <c r="E131" s="71"/>
      <c r="F131" s="71"/>
      <c r="G131" s="71"/>
      <c r="H131" s="71"/>
      <c r="I131" s="71"/>
    </row>
    <row r="132" spans="1:9" ht="14" x14ac:dyDescent="0.2">
      <c r="A132" s="4"/>
      <c r="B132" s="71"/>
      <c r="C132" s="71"/>
      <c r="D132" s="71"/>
      <c r="E132" s="71"/>
      <c r="F132" s="71"/>
      <c r="G132" s="71"/>
      <c r="H132" s="71"/>
      <c r="I132" s="71"/>
    </row>
    <row r="133" spans="1:9" ht="7.5" customHeight="1" x14ac:dyDescent="0.2">
      <c r="A133" s="4"/>
      <c r="B133" s="71"/>
      <c r="C133" s="71"/>
      <c r="D133" s="71"/>
      <c r="E133" s="71"/>
      <c r="F133" s="71"/>
      <c r="G133" s="71"/>
      <c r="H133" s="71"/>
      <c r="I133" s="71"/>
    </row>
  </sheetData>
  <mergeCells count="23">
    <mergeCell ref="F50:G50"/>
    <mergeCell ref="B66:I77"/>
    <mergeCell ref="B80:I91"/>
    <mergeCell ref="C49:D49"/>
    <mergeCell ref="C50:D50"/>
    <mergeCell ref="F49:G49"/>
    <mergeCell ref="B52:I63"/>
    <mergeCell ref="B120:I121"/>
    <mergeCell ref="H2:I2"/>
    <mergeCell ref="A4:I4"/>
    <mergeCell ref="B19:I19"/>
    <mergeCell ref="B22:I32"/>
    <mergeCell ref="B35:I46"/>
    <mergeCell ref="B14:I14"/>
    <mergeCell ref="C16:E16"/>
    <mergeCell ref="H16:I16"/>
    <mergeCell ref="C11:E11"/>
    <mergeCell ref="H11:I11"/>
    <mergeCell ref="C6:D6"/>
    <mergeCell ref="B93:I104"/>
    <mergeCell ref="B106:I106"/>
    <mergeCell ref="B107:I118"/>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6" zoomScaleNormal="100" zoomScaleSheetLayoutView="100" workbookViewId="0">
      <selection activeCell="B6" sqref="B6:I6"/>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68</v>
      </c>
      <c r="I1" s="29" t="s">
        <v>96</v>
      </c>
    </row>
    <row r="2" spans="1:9" ht="18.75" customHeight="1" x14ac:dyDescent="0.2">
      <c r="H2" s="29" t="s">
        <v>99</v>
      </c>
      <c r="I2" s="28" t="str">
        <f>'様式１　プログラムを構成する授業科目'!C2</f>
        <v>大阪学院大学</v>
      </c>
    </row>
    <row r="3" spans="1:9" ht="18.75" customHeight="1" x14ac:dyDescent="0.2">
      <c r="A3" s="192" t="s">
        <v>28</v>
      </c>
      <c r="B3" s="192"/>
      <c r="C3" s="192"/>
      <c r="D3" s="192"/>
      <c r="E3" s="192"/>
      <c r="F3" s="192"/>
      <c r="G3" s="192"/>
      <c r="H3" s="192"/>
      <c r="I3" s="192"/>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07" t="s">
        <v>150</v>
      </c>
      <c r="C6" s="208"/>
      <c r="D6" s="208"/>
      <c r="E6" s="208"/>
      <c r="F6" s="208"/>
      <c r="G6" s="208"/>
      <c r="H6" s="208"/>
      <c r="I6" s="209"/>
    </row>
    <row r="7" spans="1:9" ht="9" customHeight="1" x14ac:dyDescent="0.2">
      <c r="A7" s="5"/>
      <c r="B7" s="10"/>
      <c r="C7" s="10"/>
      <c r="D7" s="10"/>
      <c r="E7" s="10"/>
      <c r="F7" s="10"/>
      <c r="G7" s="10"/>
      <c r="H7" s="10"/>
      <c r="I7" s="3"/>
    </row>
    <row r="8" spans="1:9" ht="18.75" customHeight="1" x14ac:dyDescent="0.2">
      <c r="A8" s="5"/>
      <c r="B8" s="3"/>
      <c r="C8" s="3"/>
      <c r="D8" s="29" t="s">
        <v>42</v>
      </c>
      <c r="E8" s="30" t="s">
        <v>149</v>
      </c>
      <c r="F8" s="3"/>
      <c r="G8" s="29" t="s">
        <v>10</v>
      </c>
      <c r="H8" s="30" t="s">
        <v>151</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8" t="s">
        <v>24</v>
      </c>
      <c r="C11" s="99"/>
      <c r="D11" s="100"/>
      <c r="E11" s="99" t="s">
        <v>26</v>
      </c>
      <c r="F11" s="99"/>
      <c r="G11" s="99"/>
      <c r="H11" s="99"/>
      <c r="I11" s="100"/>
    </row>
    <row r="12" spans="1:9" ht="26.25" customHeight="1" x14ac:dyDescent="0.2">
      <c r="B12" s="39" t="s">
        <v>14</v>
      </c>
      <c r="C12" s="46"/>
      <c r="D12" s="40"/>
      <c r="E12" s="47"/>
      <c r="F12" s="47"/>
      <c r="G12" s="47"/>
      <c r="H12" s="47"/>
      <c r="I12" s="40"/>
    </row>
    <row r="13" spans="1:9" ht="210.75" customHeight="1" x14ac:dyDescent="0.2">
      <c r="B13" s="41"/>
      <c r="C13" s="249" t="s">
        <v>15</v>
      </c>
      <c r="D13" s="250"/>
      <c r="E13" s="246" t="s">
        <v>167</v>
      </c>
      <c r="F13" s="247"/>
      <c r="G13" s="247"/>
      <c r="H13" s="247"/>
      <c r="I13" s="248"/>
    </row>
    <row r="14" spans="1:9" ht="210.75" customHeight="1" x14ac:dyDescent="0.2">
      <c r="B14" s="41"/>
      <c r="C14" s="244" t="s">
        <v>16</v>
      </c>
      <c r="D14" s="245"/>
      <c r="E14" s="246" t="s">
        <v>179</v>
      </c>
      <c r="F14" s="247"/>
      <c r="G14" s="247"/>
      <c r="H14" s="247"/>
      <c r="I14" s="248"/>
    </row>
    <row r="15" spans="1:9" ht="210.75" customHeight="1" x14ac:dyDescent="0.2">
      <c r="B15" s="41"/>
      <c r="C15" s="249" t="s">
        <v>17</v>
      </c>
      <c r="D15" s="250"/>
      <c r="E15" s="246" t="s">
        <v>168</v>
      </c>
      <c r="F15" s="247"/>
      <c r="G15" s="247"/>
      <c r="H15" s="247"/>
      <c r="I15" s="248"/>
    </row>
    <row r="16" spans="1:9" ht="210.75" customHeight="1" x14ac:dyDescent="0.2">
      <c r="B16" s="41"/>
      <c r="C16" s="249" t="s">
        <v>18</v>
      </c>
      <c r="D16" s="250"/>
      <c r="E16" s="246" t="s">
        <v>153</v>
      </c>
      <c r="F16" s="247"/>
      <c r="G16" s="247"/>
      <c r="H16" s="247"/>
      <c r="I16" s="248"/>
    </row>
    <row r="17" spans="2:9" ht="210.75" customHeight="1" x14ac:dyDescent="0.2">
      <c r="B17" s="42"/>
      <c r="C17" s="251" t="s">
        <v>19</v>
      </c>
      <c r="D17" s="252"/>
      <c r="E17" s="253" t="s">
        <v>156</v>
      </c>
      <c r="F17" s="254"/>
      <c r="G17" s="254"/>
      <c r="H17" s="254"/>
      <c r="I17" s="255"/>
    </row>
    <row r="18" spans="2:9" ht="24" customHeight="1" x14ac:dyDescent="0.2">
      <c r="B18" s="39" t="s">
        <v>20</v>
      </c>
      <c r="C18" s="43"/>
      <c r="D18" s="44"/>
      <c r="E18" s="45"/>
      <c r="F18" s="45"/>
      <c r="G18" s="45"/>
      <c r="H18" s="45"/>
      <c r="I18" s="48"/>
    </row>
    <row r="19" spans="2:9" ht="218.25" customHeight="1" x14ac:dyDescent="0.2">
      <c r="B19" s="41"/>
      <c r="C19" s="249" t="s">
        <v>21</v>
      </c>
      <c r="D19" s="250"/>
      <c r="E19" s="247" t="s">
        <v>154</v>
      </c>
      <c r="F19" s="247"/>
      <c r="G19" s="247"/>
      <c r="H19" s="247"/>
      <c r="I19" s="248"/>
    </row>
    <row r="20" spans="2:9" ht="218.25" customHeight="1" x14ac:dyDescent="0.2">
      <c r="B20" s="42"/>
      <c r="C20" s="251" t="s">
        <v>22</v>
      </c>
      <c r="D20" s="252"/>
      <c r="E20" s="254" t="s">
        <v>157</v>
      </c>
      <c r="F20" s="254"/>
      <c r="G20" s="254"/>
      <c r="H20" s="254"/>
      <c r="I20" s="255"/>
    </row>
    <row r="21" spans="2:9" ht="218.25" customHeight="1" x14ac:dyDescent="0.2">
      <c r="B21" s="261" t="s">
        <v>23</v>
      </c>
      <c r="C21" s="262"/>
      <c r="D21" s="263"/>
      <c r="E21" s="264" t="s">
        <v>166</v>
      </c>
      <c r="F21" s="264"/>
      <c r="G21" s="264"/>
      <c r="H21" s="264"/>
      <c r="I21" s="265"/>
    </row>
    <row r="22" spans="2:9" ht="218.25" customHeight="1" x14ac:dyDescent="0.2">
      <c r="B22" s="256" t="s">
        <v>135</v>
      </c>
      <c r="C22" s="257"/>
      <c r="D22" s="258"/>
      <c r="E22" s="259" t="s">
        <v>180</v>
      </c>
      <c r="F22" s="259"/>
      <c r="G22" s="259"/>
      <c r="H22" s="259"/>
      <c r="I22" s="26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I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akiko kanasaki</cp:lastModifiedBy>
  <cp:lastPrinted>2024-06-17T12:34:38Z</cp:lastPrinted>
  <dcterms:created xsi:type="dcterms:W3CDTF">2011-06-14T05:32:50Z</dcterms:created>
  <dcterms:modified xsi:type="dcterms:W3CDTF">2024-06-17T12:35:49Z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