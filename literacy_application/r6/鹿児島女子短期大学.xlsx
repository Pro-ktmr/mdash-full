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24226"/>
  <mc:AlternateContent xmlns:mc="http://schemas.openxmlformats.org/markup-compatibility/2006">
    <mc:Choice Requires="x15">
      <x15ac:absPath xmlns:x15ac="http://schemas.microsoft.com/office/spreadsheetml/2010/11/ac" url="C:\Users\lucky\Documents\SOHO\クラリテ\10461081_数理・データサイエンス・ＡＩ教育プログラム認定制度の確認業務\各大学データ\240513鹿児島女子短期大学\（再）鹿児島女子短期大学\"/>
    </mc:Choice>
  </mc:AlternateContent>
  <xr:revisionPtr revIDLastSave="0" documentId="13_ncr:1_{E6301165-ECC4-4F1A-A1C3-649DAB1D00CC}" xr6:coauthVersionLast="47" xr6:coauthVersionMax="47" xr10:uidLastSave="{00000000-0000-0000-0000-000000000000}"/>
  <bookViews>
    <workbookView xWindow="-108" yWindow="-108" windowWidth="23256" windowHeight="12456" tabRatio="885" firstSheet="2" activeTab="4" xr2:uid="{00000000-000D-0000-FFFF-FFFF00000000}"/>
  </bookViews>
  <sheets>
    <sheet name="様式１-１　プログラムを構成する授業科目 (児教・食栄)" sheetId="47" r:id="rId1"/>
    <sheet name="様式１-2　プログラムを構成する授業科目 (福祉)" sheetId="48" r:id="rId2"/>
    <sheet name="様式１-3　プログラムを構成する授業科目（教養学科 )" sheetId="46" r:id="rId3"/>
    <sheet name="様式２ 履修者等数の実績" sheetId="40" r:id="rId4"/>
    <sheet name="様式３ 教育の質・履修者数を向上させるための体制・計画" sheetId="41" r:id="rId5"/>
    <sheet name="様式４　自己点検・評価" sheetId="42" r:id="rId6"/>
  </sheets>
  <definedNames>
    <definedName name="_xlnm._FilterDatabase" localSheetId="0" hidden="1">'様式１-１　プログラムを構成する授業科目 (児教・食栄)'!$X$16:$X$18</definedName>
    <definedName name="_xlnm._FilterDatabase" localSheetId="1" hidden="1">'様式１-2　プログラムを構成する授業科目 (福祉)'!$X$16:$X$18</definedName>
    <definedName name="_xlnm._FilterDatabase" localSheetId="2" hidden="1">'様式１-3　プログラムを構成する授業科目（教養学科 )'!$X$16:$X$18</definedName>
    <definedName name="_xlnm._FilterDatabase" localSheetId="3" hidden="1">'様式２ 履修者等数の実績'!#REF!</definedName>
    <definedName name="_xlnm.Print_Area" localSheetId="0">'様式１-１　プログラムを構成する授業科目 (児教・食栄)'!$A$1:$U$112</definedName>
    <definedName name="_xlnm.Print_Area" localSheetId="1">'様式１-2　プログラムを構成する授業科目 (福祉)'!$A$1:$U$112</definedName>
    <definedName name="_xlnm.Print_Area" localSheetId="2">'様式１-3　プログラムを構成する授業科目（教養学科 )'!$A$1:$U$112</definedName>
    <definedName name="_xlnm.Print_Area" localSheetId="3">'様式２ 履修者等数の実績'!$A$1:$S$33</definedName>
    <definedName name="_xlnm.Print_Area" localSheetId="4">'様式３ 教育の質・履修者数を向上させるための体制・計画'!$A$1:$I$119</definedName>
    <definedName name="_xlnm.Print_Area" localSheetId="5">'様式４　自己点検・評価'!$A$1:$I$22</definedName>
    <definedName name="_xlnm.Print_Titles" localSheetId="5">'様式４　自己点検・評価'!$11:$11</definedName>
  </definedNames>
  <calcPr calcId="191029"/>
</workbook>
</file>

<file path=xl/calcChain.xml><?xml version="1.0" encoding="utf-8"?>
<calcChain xmlns="http://schemas.openxmlformats.org/spreadsheetml/2006/main">
  <c r="I50" i="41" l="1"/>
  <c r="C49" i="41"/>
  <c r="S33" i="40"/>
  <c r="F33" i="40" l="1"/>
  <c r="E33" i="40"/>
  <c r="M7" i="40" l="1"/>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D33" i="40" l="1"/>
  <c r="S32" i="40"/>
  <c r="S31" i="40"/>
  <c r="S30" i="40"/>
  <c r="S29" i="40"/>
  <c r="S28" i="40"/>
  <c r="S27" i="40"/>
  <c r="S26" i="40"/>
  <c r="S25" i="40"/>
  <c r="S24" i="40"/>
  <c r="S23" i="40"/>
  <c r="S22" i="40"/>
  <c r="S21" i="40"/>
  <c r="S20" i="40"/>
  <c r="S19" i="40"/>
  <c r="S18" i="40"/>
  <c r="S17" i="40"/>
  <c r="S16" i="40"/>
  <c r="S15" i="40"/>
  <c r="S14" i="40"/>
  <c r="R33" i="40" l="1"/>
</calcChain>
</file>

<file path=xl/sharedStrings.xml><?xml version="1.0" encoding="utf-8"?>
<sst xmlns="http://schemas.openxmlformats.org/spreadsheetml/2006/main" count="641" uniqueCount="219">
  <si>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</si>
  <si>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</si>
  <si>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</si>
  <si>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</si>
  <si>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</si>
  <si>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</si>
  <si>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</si>
  <si>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</si>
  <si>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</si>
  <si>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</si>
  <si>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</si>
  <si>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</si>
  <si>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</si>
  <si>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</si>
  <si>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</si>
  <si>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</si>
  <si>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</si>
  <si>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</si>
  <si>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</si>
  <si>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</si>
  <si>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</si>
  <si>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</si>
  <si>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</si>
  <si>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</si>
  <si>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</si>
  <si>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</si>
  <si>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</si>
  <si>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</si>
  <si>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</si>
  <si>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</si>
  <si>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</si>
  <si>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</si>
  <si>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</si>
  <si>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</si>
  <si>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</si>
  <si>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</si>
  <si>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</si>
  <si>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</si>
  <si>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</si>
  <si>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</si>
  <si>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</si>
  <si>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</si>
  <si>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</si>
  <si>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</si>
  <si>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</si>
  <si>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</si>
  <si>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</si>
  <si>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</si>
  <si>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</si>
  <si>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</si>
  <si>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</si>
  <si>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</si>
  <si>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</si>
  <si>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</si>
  <si>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</si>
  <si>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</si>
  <si>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</si>
  <si>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</si>
  <si>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</si>
  <si>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</si>
  <si>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</si>
  <si>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</si>
  <si>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</si>
  <si>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</si>
  <si>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</si>
  <si>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</si>
  <si>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</si>
  <si>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</si>
  <si>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</si>
  <si>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</si>
  <si>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</si>
  <si>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</si>
  <si>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</si>
  <si>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</si>
  <si>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</si>
  <si>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</si>
  <si>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</si>
  <si>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</si>
  <si>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</si>
  <si>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</si>
  <si>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</si>
  <si>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</si>
  <si>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</si>
  <si>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</si>
  <si>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</si>
  <si>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</si>
  <si>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</si>
  <si>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</si>
  <si>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</si>
  <si>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</si>
  <si>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</si>
  <si>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</si>
  <si>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</si>
  <si>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</si>
  <si>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</si>
  <si>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</si>
  <si>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</si>
  <si>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</si>
  <si>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</si>
  <si>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</si>
  <si>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</si>
  <si>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</si>
  <si>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</si>
  <si>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</si>
  <si>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</si>
  <si>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</si>
  <si>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</si>
  <si>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</si>
  <si>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</si>
  <si>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</si>
  <si>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</si>
  <si>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</si>
  <si>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</si>
  <si>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</si>
  <si>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</si>
  <si>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</si>
  <si>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</si>
  <si>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</si>
  <si>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</si>
  <si>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</si>
  <si>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</si>
  <si>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</si>
  <si>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</si>
  <si>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</si>
  <si>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</si>
  <si>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</si>
  <si>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</si>
  <si>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</si>
  <si>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</si>
  <si>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t>学部・学科によって、修了要件は相違する</t>
  </si>
  <si>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</si>
  <si>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</si>
  <si>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</si>
  <si>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</si>
  <si>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</si>
  <si>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</si>
  <si>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鹿児島女子短期大学</t>
    <rPh sb="0" eb="9">
      <t>カゴシマジョシタンキダイガク</t>
    </rPh>
    <phoneticPr fontId="1"/>
  </si>
  <si>
    <t>児童教育学科</t>
    <rPh sb="0" eb="6">
      <t>ジドウキョウイクガッカ</t>
    </rPh>
    <phoneticPr fontId="1"/>
  </si>
  <si>
    <t>令和５</t>
    <rPh sb="0" eb="2">
      <t>レイワ</t>
    </rPh>
    <phoneticPr fontId="1"/>
  </si>
  <si>
    <t>生活科学科生活福祉専攻</t>
    <rPh sb="0" eb="2">
      <t>セイカツ</t>
    </rPh>
    <rPh sb="2" eb="3">
      <t>カ</t>
    </rPh>
    <rPh sb="3" eb="4">
      <t>ガク</t>
    </rPh>
    <rPh sb="4" eb="5">
      <t>カ</t>
    </rPh>
    <rPh sb="5" eb="11">
      <t>セイカツフクシセンコウ</t>
    </rPh>
    <phoneticPr fontId="1"/>
  </si>
  <si>
    <t>生活科学科食物栄養学専攻</t>
    <rPh sb="0" eb="5">
      <t>セイカツカガクカ</t>
    </rPh>
    <rPh sb="5" eb="12">
      <t>ショクモツエイヨウガクセンコウ</t>
    </rPh>
    <phoneticPr fontId="1"/>
  </si>
  <si>
    <t>教養学科</t>
    <rPh sb="0" eb="2">
      <t>キョウヨウ</t>
    </rPh>
    <rPh sb="2" eb="4">
      <t>ガッカ</t>
    </rPh>
    <phoneticPr fontId="1"/>
  </si>
  <si>
    <t>AI社会論</t>
    <phoneticPr fontId="1"/>
  </si>
  <si>
    <t>○</t>
  </si>
  <si>
    <t>データサイエンス概論</t>
    <phoneticPr fontId="1"/>
  </si>
  <si>
    <t>児童教育学科、生活科学科食物栄養学専攻</t>
    <rPh sb="0" eb="6">
      <t>ジドウキョウイクガッカ</t>
    </rPh>
    <rPh sb="7" eb="19">
      <t>セイカツカガクカショクモツエイヨウガクセンコウ</t>
    </rPh>
    <phoneticPr fontId="1"/>
  </si>
  <si>
    <t>教養学科</t>
    <rPh sb="0" eb="4">
      <t>キョウヨウガッカ</t>
    </rPh>
    <phoneticPr fontId="1"/>
  </si>
  <si>
    <t>情報活用</t>
    <rPh sb="0" eb="2">
      <t>ジョウホウ</t>
    </rPh>
    <rPh sb="2" eb="4">
      <t>カツヨウ</t>
    </rPh>
    <phoneticPr fontId="1"/>
  </si>
  <si>
    <t>データサイエンス演習</t>
    <rPh sb="8" eb="10">
      <t>エンシュウ</t>
    </rPh>
    <phoneticPr fontId="1"/>
  </si>
  <si>
    <t>ＡＩプログラミング</t>
    <phoneticPr fontId="1"/>
  </si>
  <si>
    <t>4-1統計および数理基礎</t>
  </si>
  <si>
    <t>4‐2アルゴリズム基礎</t>
  </si>
  <si>
    <t>4‐3データ構造とプログラミング基礎</t>
  </si>
  <si>
    <t>村若　修</t>
    <rPh sb="0" eb="1">
      <t>ムラ</t>
    </rPh>
    <rPh sb="1" eb="2">
      <t>ワカ</t>
    </rPh>
    <rPh sb="3" eb="4">
      <t>オサム</t>
    </rPh>
    <phoneticPr fontId="1"/>
  </si>
  <si>
    <t>　本教育プログラム構成科目は、一般教養科目と専門科目で構成されている。一般教養科目は、希望する受講生が全員受講できるように、前期と後期に同じ科目を配置している。専門科目は、児童教育学科、教養学科は卒業必修科目で全員が受講することになる。また、生活科学科は、選択科目であるが専門科目のため他の科目と重複することはなく、希望する学生は全員受講可能である。</t>
    <rPh sb="15" eb="17">
      <t>イッパン</t>
    </rPh>
    <rPh sb="17" eb="19">
      <t>キョウヨウ</t>
    </rPh>
    <rPh sb="19" eb="21">
      <t>カモク</t>
    </rPh>
    <rPh sb="22" eb="24">
      <t>センモン</t>
    </rPh>
    <rPh sb="24" eb="26">
      <t>カモク</t>
    </rPh>
    <rPh sb="27" eb="29">
      <t>コウセイ</t>
    </rPh>
    <rPh sb="35" eb="41">
      <t>イッパンキョウヨウカモク</t>
    </rPh>
    <rPh sb="43" eb="45">
      <t>キボウ</t>
    </rPh>
    <rPh sb="47" eb="50">
      <t>ジュコウセイ</t>
    </rPh>
    <rPh sb="51" eb="53">
      <t>ゼンイン</t>
    </rPh>
    <rPh sb="53" eb="55">
      <t>ジュコウ</t>
    </rPh>
    <rPh sb="62" eb="64">
      <t>ゼンキ</t>
    </rPh>
    <rPh sb="65" eb="67">
      <t>コウキ</t>
    </rPh>
    <rPh sb="68" eb="69">
      <t>オナ</t>
    </rPh>
    <rPh sb="70" eb="72">
      <t>カモク</t>
    </rPh>
    <rPh sb="73" eb="75">
      <t>ハイチ</t>
    </rPh>
    <rPh sb="80" eb="82">
      <t>センモン</t>
    </rPh>
    <rPh sb="82" eb="84">
      <t>カモク</t>
    </rPh>
    <rPh sb="86" eb="92">
      <t>ジドウキョウイクガッカ</t>
    </rPh>
    <rPh sb="93" eb="95">
      <t>キョウヨウ</t>
    </rPh>
    <rPh sb="95" eb="97">
      <t>ガッカ</t>
    </rPh>
    <rPh sb="98" eb="100">
      <t>ソツギョウ</t>
    </rPh>
    <rPh sb="100" eb="102">
      <t>ヒッシュウ</t>
    </rPh>
    <rPh sb="102" eb="104">
      <t>カモク</t>
    </rPh>
    <rPh sb="105" eb="107">
      <t>ゼンイン</t>
    </rPh>
    <rPh sb="108" eb="110">
      <t>ジュコウ</t>
    </rPh>
    <rPh sb="121" eb="123">
      <t>セイカツ</t>
    </rPh>
    <rPh sb="123" eb="125">
      <t>カガク</t>
    </rPh>
    <rPh sb="125" eb="126">
      <t>カ</t>
    </rPh>
    <rPh sb="128" eb="130">
      <t>センタク</t>
    </rPh>
    <rPh sb="130" eb="132">
      <t>カモク</t>
    </rPh>
    <rPh sb="136" eb="138">
      <t>センモン</t>
    </rPh>
    <rPh sb="138" eb="140">
      <t>カモク</t>
    </rPh>
    <rPh sb="143" eb="144">
      <t>タ</t>
    </rPh>
    <rPh sb="145" eb="147">
      <t>カモク</t>
    </rPh>
    <rPh sb="148" eb="150">
      <t>チョウフク</t>
    </rPh>
    <rPh sb="158" eb="160">
      <t>キボウ</t>
    </rPh>
    <rPh sb="162" eb="164">
      <t>ガクセイ</t>
    </rPh>
    <rPh sb="165" eb="167">
      <t>ゼンイン</t>
    </rPh>
    <rPh sb="167" eb="169">
      <t>ジュコウ</t>
    </rPh>
    <rPh sb="169" eb="171">
      <t>カノウ</t>
    </rPh>
    <phoneticPr fontId="1"/>
  </si>
  <si>
    <t>本学では推奨度は確認していないが、履修者全員に対して実施している授業理解度アンケートにおいて、後輩学生への履修時の心構えや関連して履修すべき科目等について確認している。その結果は本教育プログラムの専用ページに掲載し、後輩学生への履修時の参考情報として活用している。</t>
    <phoneticPr fontId="1"/>
  </si>
  <si>
    <t>村若　修</t>
    <rPh sb="0" eb="1">
      <t>ムラ</t>
    </rPh>
    <rPh sb="1" eb="2">
      <t>ワカ</t>
    </rPh>
    <rPh sb="3" eb="4">
      <t>オサム</t>
    </rPh>
    <phoneticPr fontId="1"/>
  </si>
  <si>
    <t>村若　修</t>
    <phoneticPr fontId="1"/>
  </si>
  <si>
    <t xml:space="preserve">副学長　教授　村若　修
教養学科長　教授　近藤　朗
児童教育学科　准教授　渡邉光浩
教養学科　助教　根本大志
教務課長　今村哲郎
</t>
    <rPh sb="0" eb="3">
      <t>フクガクチョウ</t>
    </rPh>
    <rPh sb="4" eb="6">
      <t>キョウジュ</t>
    </rPh>
    <rPh sb="7" eb="8">
      <t>ムラ</t>
    </rPh>
    <rPh sb="8" eb="9">
      <t>ワカ</t>
    </rPh>
    <rPh sb="10" eb="11">
      <t>オサム</t>
    </rPh>
    <rPh sb="12" eb="17">
      <t>キョウヨウガッカチョウ</t>
    </rPh>
    <rPh sb="18" eb="20">
      <t>キョウジュ</t>
    </rPh>
    <rPh sb="21" eb="23">
      <t>コンドウ</t>
    </rPh>
    <rPh sb="24" eb="25">
      <t>ロウ</t>
    </rPh>
    <rPh sb="26" eb="32">
      <t>ジドウキョウイクガッカ</t>
    </rPh>
    <rPh sb="37" eb="41">
      <t>ワタナベミツヒロ</t>
    </rPh>
    <rPh sb="42" eb="44">
      <t>キョウヨウ</t>
    </rPh>
    <rPh sb="44" eb="46">
      <t>ガッカ</t>
    </rPh>
    <rPh sb="47" eb="49">
      <t>ジョキョウ</t>
    </rPh>
    <rPh sb="50" eb="52">
      <t>ネモト</t>
    </rPh>
    <rPh sb="52" eb="54">
      <t>タイシ</t>
    </rPh>
    <rPh sb="55" eb="58">
      <t>キョウムカ</t>
    </rPh>
    <rPh sb="58" eb="59">
      <t>チョウ</t>
    </rPh>
    <rPh sb="60" eb="62">
      <t>イマムラ</t>
    </rPh>
    <rPh sb="62" eb="64">
      <t>テツロウ</t>
    </rPh>
    <phoneticPr fontId="1"/>
  </si>
  <si>
    <t>学長</t>
    <rPh sb="0" eb="2">
      <t>ガクチョウ</t>
    </rPh>
    <phoneticPr fontId="1"/>
  </si>
  <si>
    <t>学長</t>
    <rPh sb="0" eb="2">
      <t>ガクチョウ</t>
    </rPh>
    <phoneticPr fontId="1"/>
  </si>
  <si>
    <t>データサイエンス概論</t>
    <rPh sb="8" eb="10">
      <t>ガイロン</t>
    </rPh>
    <phoneticPr fontId="1"/>
  </si>
  <si>
    <t>・データを適切に収集・分析し、情報として活用することができる。
・統計学の基礎知識を習得でき、統計学的手法を用いてデータ分析に活用することができる。
・情報社会におけるデータの流れやAIの活用について理解することができる。</t>
    <rPh sb="5" eb="7">
      <t xml:space="preserve">テキセツニ </t>
    </rPh>
    <rPh sb="8" eb="10">
      <t xml:space="preserve">シュウシュウ </t>
    </rPh>
    <rPh sb="11" eb="13">
      <t xml:space="preserve">ブンセキシ </t>
    </rPh>
    <rPh sb="15" eb="17">
      <t xml:space="preserve">ジョウホウ </t>
    </rPh>
    <rPh sb="20" eb="22">
      <t xml:space="preserve">カツヨウ </t>
    </rPh>
    <rPh sb="33" eb="36">
      <t xml:space="preserve">トウケイガク </t>
    </rPh>
    <rPh sb="37" eb="41">
      <t xml:space="preserve">キソチシキ </t>
    </rPh>
    <rPh sb="42" eb="44">
      <t xml:space="preserve">シュウトク </t>
    </rPh>
    <rPh sb="47" eb="51">
      <t xml:space="preserve">トウケイガクテキ </t>
    </rPh>
    <rPh sb="51" eb="53">
      <t xml:space="preserve">シュホウ </t>
    </rPh>
    <rPh sb="54" eb="55">
      <t xml:space="preserve">モチイテ </t>
    </rPh>
    <rPh sb="76" eb="80">
      <t xml:space="preserve">ジョウホウシャカイニ </t>
    </rPh>
    <rPh sb="88" eb="89">
      <t xml:space="preserve">ナガレ </t>
    </rPh>
    <rPh sb="94" eb="96">
      <t xml:space="preserve">カツヨウ </t>
    </rPh>
    <rPh sb="100" eb="102">
      <t xml:space="preserve">リカイ カツヨウ </t>
    </rPh>
    <phoneticPr fontId="1"/>
  </si>
  <si>
    <t>①1年前期または1年後期に、一般教養科目「AI社会論」または「データサイエンス概論」のいずれかを履修すること（選択必修2単位）。
②「情報機器演習」（1年前期）履修すること（必修2単位）。
　上記の①と②を満たすことにより、卒業時に「鹿児島女子短期大学デジタル教育プログラム」修了証が授与される。
③一般教養科目「データサイエンス演習2単位」または「AIプログラミング2単位」のいずれかを履修することで、本学独自による「鹿児島女子短期大学デジタル教育プログラム・プラス」修了証が授与される。</t>
    <rPh sb="96" eb="98">
      <t>ジョウキ</t>
    </rPh>
    <rPh sb="168" eb="170">
      <t>タンイ</t>
    </rPh>
    <rPh sb="185" eb="187">
      <t>タンイ</t>
    </rPh>
    <rPh sb="202" eb="204">
      <t>ホンガク</t>
    </rPh>
    <rPh sb="204" eb="206">
      <t>ドクジ</t>
    </rPh>
    <phoneticPr fontId="1"/>
  </si>
  <si>
    <t>情報機器演習</t>
    <rPh sb="0" eb="6">
      <t>ジョウホウキキエンシュウ</t>
    </rPh>
    <phoneticPr fontId="1"/>
  </si>
  <si>
    <t>情報機器演習</t>
    <rPh sb="0" eb="2">
      <t>ジョウホウ</t>
    </rPh>
    <rPh sb="2" eb="4">
      <t>キキ</t>
    </rPh>
    <rPh sb="4" eb="6">
      <t>エンシュウ</t>
    </rPh>
    <phoneticPr fontId="1"/>
  </si>
  <si>
    <t>情報処理</t>
    <rPh sb="0" eb="2">
      <t>ジョウホウ</t>
    </rPh>
    <rPh sb="2" eb="4">
      <t>ショリ</t>
    </rPh>
    <phoneticPr fontId="1"/>
  </si>
  <si>
    <t>情報処理</t>
    <rPh sb="0" eb="4">
      <t>ジョウホウショリ</t>
    </rPh>
    <phoneticPr fontId="1"/>
  </si>
  <si>
    <t>様式１-１</t>
    <rPh sb="0" eb="2">
      <t>ヨウシキ</t>
    </rPh>
    <phoneticPr fontId="1"/>
  </si>
  <si>
    <t>様式１-２</t>
    <rPh sb="0" eb="2">
      <t>ヨウシキ</t>
    </rPh>
    <phoneticPr fontId="1"/>
  </si>
  <si>
    <t>様式１-３</t>
    <rPh sb="0" eb="2">
      <t>ヨウシキ</t>
    </rPh>
    <phoneticPr fontId="1"/>
  </si>
  <si>
    <t>鹿児島女子短期大学</t>
    <rPh sb="0" eb="5">
      <t>カゴシマジョシ</t>
    </rPh>
    <rPh sb="5" eb="9">
      <t>タンキダイガク</t>
    </rPh>
    <phoneticPr fontId="1"/>
  </si>
  <si>
    <t>、</t>
    <phoneticPr fontId="1"/>
  </si>
  <si>
    <t>本学では本教育プログラムを令和５年度入学生より開始している。令和６年度入学生に対しては、新入生オリエンテーションにおいて、積極的に履修を進めているが、令和５年度の履修率５６％（１年生３０３名中１７０名が履修）に対し、令和６年度前期時点の履修率は５０％（１年生２６１名中１３０名が履修）である。なお、本学では、前期と後期に当該プログラムに必要な一般教養科目を配置しており、後期の履修に際し、今後、各学科・専攻において周知徹底を図っていきたい。</t>
    <rPh sb="23" eb="25">
      <t>カイシ</t>
    </rPh>
    <rPh sb="30" eb="32">
      <t>レイワ</t>
    </rPh>
    <rPh sb="33" eb="35">
      <t>ネンド</t>
    </rPh>
    <rPh sb="35" eb="38">
      <t>ニュウガクセイ</t>
    </rPh>
    <rPh sb="39" eb="40">
      <t>タイ</t>
    </rPh>
    <rPh sb="44" eb="47">
      <t>シンニュウセイ</t>
    </rPh>
    <rPh sb="61" eb="64">
      <t>セッキョクテキ</t>
    </rPh>
    <rPh sb="65" eb="67">
      <t>リシュウ</t>
    </rPh>
    <rPh sb="68" eb="69">
      <t>スス</t>
    </rPh>
    <rPh sb="83" eb="84">
      <t>リツ</t>
    </rPh>
    <rPh sb="95" eb="96">
      <t>チュウ</t>
    </rPh>
    <rPh sb="99" eb="100">
      <t>メイ</t>
    </rPh>
    <rPh sb="101" eb="103">
      <t>リシュウ</t>
    </rPh>
    <rPh sb="108" eb="110">
      <t>レイワ</t>
    </rPh>
    <rPh sb="111" eb="113">
      <t>ネンド</t>
    </rPh>
    <rPh sb="113" eb="115">
      <t>ゼンキ</t>
    </rPh>
    <rPh sb="115" eb="117">
      <t>ジテン</t>
    </rPh>
    <rPh sb="118" eb="120">
      <t>リシュウ</t>
    </rPh>
    <rPh sb="120" eb="121">
      <t>リツ</t>
    </rPh>
    <rPh sb="149" eb="151">
      <t>ホンガク</t>
    </rPh>
    <rPh sb="154" eb="156">
      <t>ゼンキ</t>
    </rPh>
    <rPh sb="157" eb="159">
      <t>コウキ</t>
    </rPh>
    <rPh sb="160" eb="162">
      <t>トウガイ</t>
    </rPh>
    <rPh sb="168" eb="170">
      <t>ヒツヨウ</t>
    </rPh>
    <rPh sb="171" eb="177">
      <t>イッパンキョウヨウカモク</t>
    </rPh>
    <rPh sb="178" eb="180">
      <t>ハイチ</t>
    </rPh>
    <rPh sb="185" eb="187">
      <t>コウキ</t>
    </rPh>
    <rPh sb="188" eb="190">
      <t>リシュウ</t>
    </rPh>
    <rPh sb="191" eb="192">
      <t>サイ</t>
    </rPh>
    <rPh sb="194" eb="196">
      <t>コンゴ</t>
    </rPh>
    <rPh sb="197" eb="200">
      <t>カクガッカ</t>
    </rPh>
    <rPh sb="201" eb="203">
      <t>センコウ</t>
    </rPh>
    <rPh sb="207" eb="209">
      <t>シュウチ</t>
    </rPh>
    <rPh sb="209" eb="211">
      <t>テッテイ</t>
    </rPh>
    <rPh sb="212" eb="213">
      <t>ハカ</t>
    </rPh>
    <phoneticPr fontId="1"/>
  </si>
  <si>
    <t xml:space="preserve">まだ修了者のほとんどが在学中であり、進路は決定していないが、修了者の中には、情報関連分野の企業への就職を志望する学生も出てきている。情報関連分野以外の民間企業や公務員志望の学生においても本教育プログラムで学んだ知識を活かせると考えているようである。
</t>
    <phoneticPr fontId="1"/>
  </si>
  <si>
    <t>本プログラムに対して産業界から直接意見をもらうといったことはこれまで行っていない。しかし、本学で年１回開催している地域連携会議において、キャリア教育を通して産業界との交流が見込まれており、意見を求める機会を設けたいと考えている。</t>
    <rPh sb="45" eb="47">
      <t>ホンガク</t>
    </rPh>
    <rPh sb="48" eb="49">
      <t>ネン</t>
    </rPh>
    <rPh sb="50" eb="51">
      <t>カイ</t>
    </rPh>
    <rPh sb="51" eb="53">
      <t>カイサイ</t>
    </rPh>
    <rPh sb="57" eb="59">
      <t>チイキ</t>
    </rPh>
    <rPh sb="59" eb="61">
      <t>レンケイ</t>
    </rPh>
    <rPh sb="61" eb="63">
      <t>カイギ</t>
    </rPh>
    <phoneticPr fontId="1"/>
  </si>
  <si>
    <t>本プログラムの授業科目の導入において、時事的なトピックを交えて、数理・データサイエンス・AIを学ぶ意義等について理解を深めるよう取り組んでいる。</t>
    <phoneticPr fontId="1"/>
  </si>
  <si>
    <t xml:space="preserve">内容・水準の維持・向上については、「数理・データサイエンス・AI リテラシーレベルのモデルカリキュラム」に基づきリテラシーレベルの内容の確実な習得を計画するとともに、モデルカリキュラムの「オプション」内容をできる限り盛り込み、学生が実際に手を動かしながら実感できる演習を充実させることで、分かりやすい授業となるよう改善を進める。
</t>
    <phoneticPr fontId="1"/>
  </si>
  <si>
    <t>　多くの学生に無理なく本教育プログラムを履修してもらうため、本教育プログラムを構成している科目のうち、卒業要件で選択科目としている一般教養科目については、専門科目と授業時間が重複しないよう一般教養選択枠を時間割上に配置し配慮をしている。
　本教育プログラムは、前期と後期に同一の一般教養科目を配置し、いづれかの学期から単位取得できる時間割となっている。授業時間以外でも担当教員がオフィスアワー等を利用して対面で学生の質疑応答に当たることができる。
　また、PCやネットワーク環境に関する質問やサポートは、情報ネットワーク室員でも常時受け付けており、効率的かつ効果的なサポート体制となっている。</t>
    <rPh sb="65" eb="69">
      <t>イッパンキョウヨウ</t>
    </rPh>
    <rPh sb="77" eb="79">
      <t>センモン</t>
    </rPh>
    <rPh sb="79" eb="81">
      <t>カモク</t>
    </rPh>
    <rPh sb="94" eb="96">
      <t>イッパン</t>
    </rPh>
    <rPh sb="96" eb="98">
      <t>キョウヨウ</t>
    </rPh>
    <rPh sb="98" eb="100">
      <t>センタク</t>
    </rPh>
    <rPh sb="100" eb="101">
      <t>ワク</t>
    </rPh>
    <rPh sb="107" eb="109">
      <t>ハイチ</t>
    </rPh>
    <rPh sb="130" eb="132">
      <t>ゼンキ</t>
    </rPh>
    <rPh sb="133" eb="135">
      <t>コウキ</t>
    </rPh>
    <rPh sb="136" eb="138">
      <t>ドウイツ</t>
    </rPh>
    <rPh sb="139" eb="145">
      <t>イッパンキョウヨウカモク</t>
    </rPh>
    <rPh sb="146" eb="148">
      <t>ハイチ</t>
    </rPh>
    <rPh sb="155" eb="157">
      <t>ガッキ</t>
    </rPh>
    <rPh sb="159" eb="161">
      <t>タンイ</t>
    </rPh>
    <rPh sb="161" eb="163">
      <t>シュトク</t>
    </rPh>
    <rPh sb="166" eb="169">
      <t>ジカンワリ</t>
    </rPh>
    <rPh sb="184" eb="186">
      <t>タントウ</t>
    </rPh>
    <rPh sb="196" eb="197">
      <t>トウ</t>
    </rPh>
    <rPh sb="198" eb="200">
      <t>リヨウ</t>
    </rPh>
    <rPh sb="205" eb="207">
      <t>ガクセイ</t>
    </rPh>
    <rPh sb="213" eb="214">
      <t>ア</t>
    </rPh>
    <rPh sb="252" eb="254">
      <t>ジョウホウ</t>
    </rPh>
    <rPh sb="260" eb="261">
      <t>シツ</t>
    </rPh>
    <rPh sb="261" eb="262">
      <t>イン</t>
    </rPh>
    <phoneticPr fontId="1"/>
  </si>
  <si>
    <t>・データ解析:予測、グルーピング、パターン発見、最適化、シミュレーション、データ同化など：AI社会論（7,8,9回目）
・データ可視化:複合グラフ、2軸グラフ、多次元の可視化、関係性の可視化、地図上の可視化、挙動・軌跡の可視化、リアルタイム可視化など：AI社会論（4回目）、データサイエンス概論（7.8.9回目）
・非構造化データ処理:言語処理、画像/動画処理、音声/音楽処理など ：AI社会論（5,6,7回目）
・特化型AIと汎用AI、今のAIで出来ることと出来ないこと、AIとビッグデータ ：AI社会論（5,6,10回目）、
・認識技術、ルールベース、自動化技術：AI社会論（5,6回目）</t>
    <rPh sb="64" eb="65">
      <t>メ</t>
    </rPh>
    <rPh sb="145" eb="146">
      <t>メ</t>
    </rPh>
    <rPh sb="165" eb="166">
      <t>メ</t>
    </rPh>
    <rPh sb="217" eb="218">
      <t>メ</t>
    </rPh>
    <rPh sb="278" eb="279">
      <t>メ</t>
    </rPh>
    <rPh sb="312" eb="313">
      <t>メ</t>
    </rPh>
    <phoneticPr fontId="1"/>
  </si>
  <si>
    <t>・データ・AI活用領域の広がり(生産、消費、文化活動など) ：ＡＩ社会論（3.4回目）、データサイエンス概論（2,3回目）
・研究開発、調達、製造、物流、販売、マーケティング、サービスなど：データサイエンス概論（2,3回目）
・仮説検証、知識発見、原因究明、計画策定、判断支援、活動代替、新規生成など：データサイエンス概論（2,3回目）</t>
    <rPh sb="62" eb="63">
      <t>メ</t>
    </rPh>
    <rPh sb="116" eb="117">
      <t>メ</t>
    </rPh>
    <rPh sb="173" eb="174">
      <t>メ</t>
    </rPh>
    <phoneticPr fontId="1"/>
  </si>
  <si>
    <t>・データサイエンスのサイクル(課題抽出と定式化、データの取得・管理・加工、探索的データ解析、データ解析と推論、結果の共有・伝達、課題解決に向けた提案)：ＡＩ社会論（6.7.8回目）、データサイエンス概論（2,3,4,15回目）
・流通、製造、金融、サービス、インフラ、公共、ヘルスケア等におけるデータ・AI利活用事例紹介：ＡＩ社会論（13回目）、データサイエンス概論（第7,8,9,15回）</t>
    <rPh sb="111" eb="112">
      <t>メ</t>
    </rPh>
    <phoneticPr fontId="1"/>
  </si>
  <si>
    <t>・調査データ、実験データ、人の行動ログデータ、機械の稼働ログデータなど；データサイエンス概論（7回目）
・1次データ、2次データ、データのメタ化：データサイエンス概論（7,8,9回目）
・構造化データ、非構造化データ(文章、画像/動画、音声/音楽など) ：データサイエンス概論（10回目）
・データ作成(ビッグデータとアノテーション) ：ＡＩ社会論（10.11回目）、データサイエンス概論（2,15回目）
・データのオープン化(オープンデータ)：データサイエンス概論（15回目）</t>
    <rPh sb="56" eb="57">
      <t>メ</t>
    </rPh>
    <rPh sb="100" eb="101">
      <t>メ</t>
    </rPh>
    <rPh sb="155" eb="156">
      <t>メ</t>
    </rPh>
    <rPh sb="217" eb="218">
      <t>メ</t>
    </rPh>
    <rPh sb="258" eb="259">
      <t>メ</t>
    </rPh>
    <phoneticPr fontId="1"/>
  </si>
  <si>
    <t>・AI等を活用した新しいビジネスモデル（シェアリングエコノミー、商品のレコメンデーションなど）：AI社会論（12,13,14回目）
・AI最新技術の活用例（深層生成モデル。敵対的生成ネットワーク、強化学習、転移学習など）：AI社会論（12,13,14回目）、データサイエンス概論（3回目）</t>
    <rPh sb="63" eb="64">
      <t>メ</t>
    </rPh>
    <rPh sb="126" eb="127">
      <t>メ</t>
    </rPh>
    <rPh sb="142" eb="143">
      <t>メ</t>
    </rPh>
    <phoneticPr fontId="1"/>
  </si>
  <si>
    <t>鹿児島女子短期大学</t>
    <rPh sb="0" eb="9">
      <t>カゴシマジョシタンキダイガク</t>
    </rPh>
    <phoneticPr fontId="1"/>
  </si>
  <si>
    <t>・ビッグデータ、IoT、AI、ロボット：AI社会論（7回目）、データサイエンス概論（4回目）
・データ量の増加、計算機の処理性能の向上、AIの非連続的進化：AI社会論（7,8回目）、データサイエンス概論（4回目）、情報機器演習（2回目）
・第４次産業革命、Society5.0、データ駆動型社会：AI社会論（9回目）、データサイエンス概論（2,4回目）、情報機器演習（2回目）
・複数技術を組み合わせたAIサービス：AI社会論（5,6,13回目）、データサイエンス概論（3回目）
・人間の知的活動とAIの関係性：AI社会論（14回目）、データサイエンス概論（3回目）
・データを起点としたものの見方、人間の知的活動を起点としたものの見方：AI社会論（9,10,11回目）、データサイエンス概論（3,4回目）</t>
    <rPh sb="44" eb="45">
      <t>メ</t>
    </rPh>
    <rPh sb="104" eb="105">
      <t>メ</t>
    </rPh>
    <rPh sb="109" eb="111">
      <t>キキ</t>
    </rPh>
    <rPh sb="111" eb="113">
      <t>エンシュウ</t>
    </rPh>
    <rPh sb="116" eb="117">
      <t>メ</t>
    </rPh>
    <rPh sb="174" eb="175">
      <t>メ</t>
    </rPh>
    <rPh sb="237" eb="238">
      <t>メ</t>
    </rPh>
    <rPh sb="281" eb="282">
      <t>メ</t>
    </rPh>
    <rPh sb="351" eb="352">
      <t>メ</t>
    </rPh>
    <phoneticPr fontId="1"/>
  </si>
  <si>
    <t>・ELSI(Ethical, Legal and Social Issues) ：AI社会論（2,3回目）
・個人情報保護、EU一般データ保護規則(GDPR)、忘れられる権利、オプトアウト ：AI社会論（12回目）、情報機器演習（4.14回目）
・データ倫理:データのねつ造、改ざん、盗用、プライバシー保護 ：AI社会論（9,12回目）、情報機器演習（4.14回目）
・AI社会原則(公平性、説明責任、透明性、人間中心の判断) ：AI社会論（12,13回目）
・データバイアス、アルゴリズムバイアス：AI社会論（9,10,11回目）
・AIサービスの責任論：AI社会論（7,13回目）
・データ・AI活用における負の事例紹介：AI社会論（5,6,13回目）</t>
    <rPh sb="51" eb="52">
      <t>メ</t>
    </rPh>
    <rPh sb="105" eb="106">
      <t>メ</t>
    </rPh>
    <rPh sb="166" eb="167">
      <t>メ</t>
    </rPh>
    <rPh sb="227" eb="228">
      <t>メ</t>
    </rPh>
    <rPh sb="264" eb="265">
      <t>メ</t>
    </rPh>
    <rPh sb="290" eb="291">
      <t>メ</t>
    </rPh>
    <rPh sb="326" eb="327">
      <t>メ</t>
    </rPh>
    <phoneticPr fontId="1"/>
  </si>
  <si>
    <t>・情報セキュリティ:機密性、完全性、可用性：AI社会論（9,12回目）、情報機器演習（4.14回目）
・匿名加工情報、暗号化、パスワード、悪意ある情報搾取：AI社会論（9,12回目）、情報機器演習（4.14回目）
・情報漏洩等によるセキュリティ事故の事例紹介：AI社会論（9,12回目）、情報機器演習（4.14回目）</t>
    <phoneticPr fontId="1"/>
  </si>
  <si>
    <t>・データの種類(量的変数、質的変数) ：データサイエンス概論（10回目）、データサイエンス演習（2回目）、情報機器演習（10.11.12回目）
・データの分布(ヒストグラム)と代表値(平均値、中央値、最頻値) ：データサイエンス概論（2.5.11回目）、情報機器演習（10.11.12回目）
・代表値の性質の違い(実社会では平均値=最頻値でないことが多い) ：データサイエンス概論（5.11回目）
・データのばらつき(分散、標準偏差、偏差値)：データサイエンス概論（12回目）、データサイエンス演習（6回目）
・観測データに含まれる誤差の扱い：データサイエンス概論（10回目）、データサイエンス演習（5回目）
・打ち切りや脱落を含むデータ、層別の必要なデータ：データサイエンス概論（10回目）、データサイエンス演習（第2回目）
・相関と因果(相関係数、擬似相関、交絡) ・母集団と標本抽出(国勢調査、アンケート調査、全数調査、単純無作為抽出、層別抽出、多段抽出) ：データサイエンス概論（13、15回目）、データサイエンス演習（6,13,14,15回目）
・クロス集計表、分割表、相関係数行列、散布図行列 ：データサイエンス概論（5回目）、データサイエンス演習（6回目）、情報機器演習（10.11.12回目）
・統計情報の正しい理解(誇張表現に惑わされない)：データサイエンス概論（2.4回目）</t>
    <rPh sb="34" eb="35">
      <t>メ</t>
    </rPh>
    <rPh sb="50" eb="51">
      <t>メ</t>
    </rPh>
    <rPh sb="55" eb="57">
      <t>キキ</t>
    </rPh>
    <rPh sb="57" eb="59">
      <t>エンシュウ</t>
    </rPh>
    <rPh sb="124" eb="125">
      <t>メ</t>
    </rPh>
    <rPh sb="196" eb="197">
      <t>メ</t>
    </rPh>
    <rPh sb="236" eb="237">
      <t>メ</t>
    </rPh>
    <rPh sb="252" eb="253">
      <t>メ</t>
    </rPh>
    <rPh sb="286" eb="287">
      <t>メ</t>
    </rPh>
    <rPh sb="302" eb="303">
      <t>メ</t>
    </rPh>
    <rPh sb="344" eb="345">
      <t>メ</t>
    </rPh>
    <rPh sb="361" eb="362">
      <t>メ</t>
    </rPh>
    <rPh sb="450" eb="451">
      <t>メ</t>
    </rPh>
    <rPh sb="475" eb="476">
      <t>メ</t>
    </rPh>
    <rPh sb="517" eb="518">
      <t>メ</t>
    </rPh>
    <rPh sb="533" eb="534">
      <t>メ</t>
    </rPh>
    <rPh sb="595" eb="596">
      <t>メ</t>
    </rPh>
    <phoneticPr fontId="1"/>
  </si>
  <si>
    <t>・データ表現(棒グラフ、折線グラフ、散布図、ヒートマップ) ：データサイエンス概論（8回目）、情報機器演習（10.11.12回目）、データサイエンス演習（3回目）
・データの図表表現(チャート化) ：データサイエンス概論（9回目）、情報機器演習（10.11.12回目）、データサイエンス演習（5回目）
・データの比較(条件をそろえた比較、処理の前後での比較、A/Bテスト) ：データサイエンス概論（14回目）、データサイエンス演習（5回目）
・不適切なグラフ表現(チャートジャンク、不必要な視覚的要素) ：データサイエンス概論（7回目）、データサイエンス演習（2回目）
・優れた可視化事例の紹介(可視化することによって新たな気づきがあった事例など)：データサイエンス概論（第7、8、9回）、データサイエンス演習（第7回）</t>
    <rPh sb="44" eb="45">
      <t>メ</t>
    </rPh>
    <rPh sb="79" eb="80">
      <t>メ</t>
    </rPh>
    <rPh sb="113" eb="114">
      <t>メ</t>
    </rPh>
    <rPh sb="148" eb="149">
      <t>メ</t>
    </rPh>
    <rPh sb="202" eb="203">
      <t>メ</t>
    </rPh>
    <rPh sb="218" eb="219">
      <t>メ</t>
    </rPh>
    <rPh sb="266" eb="267">
      <t>メ</t>
    </rPh>
    <rPh sb="282" eb="283">
      <t>メ</t>
    </rPh>
    <phoneticPr fontId="1"/>
  </si>
  <si>
    <t>・データの集計(和、平均)：情報機器演習（10回目）、データサイエンス演習（第2,3,4,5,6回）
・データの並び替え、ランキング：情報機器演習（10回目）、データサイエンス演習（第2,3,4,5,6回）
・データ解析ツール(スプレッドシート) ：情報機器演習（10回目）、データサイエンス演習（第2,3,4,5,6回）
・表形式のデータ(csv)：情報機器演習（10回目）、データサイエンス演習（第2,3,4,5,6回）</t>
    <phoneticPr fontId="1"/>
  </si>
  <si>
    <t>・ビッグデータ、IoT、AI、ロボット：AI社会論（7回目）、データサイエンス概論（4回目）
・データ量の増加、計算機の処理性能の向上、AIの非連続的進化：AI社会論（7,8回目）、データサイエンス概論（4回目）、情報処理（2回目）
・第４次産業革命、Society5.0、データ駆動型社会：AI社会論（9回目）、データサイエンス概論（2,4回目）、情報処理（2回目）
・複数技術を組み合わせたAIサービス：AI社会論（5,6,13回目）、データサイエンス概論（3回目）
・人間の知的活動とAIの関係性：AI社会論（14回目）、データサイエンス概論（3回目）
・データを起点としたものの見方、人間の知的活動を起点としたものの見方：AI社会論（9,10,11回目）、データサイエンス概論（3,4回目）</t>
    <rPh sb="44" eb="45">
      <t>メ</t>
    </rPh>
    <rPh sb="104" eb="105">
      <t>メ</t>
    </rPh>
    <rPh sb="109" eb="111">
      <t>ショリ</t>
    </rPh>
    <rPh sb="114" eb="115">
      <t>メ</t>
    </rPh>
    <rPh sb="172" eb="173">
      <t>メ</t>
    </rPh>
    <rPh sb="177" eb="179">
      <t>ショリ</t>
    </rPh>
    <rPh sb="233" eb="234">
      <t>メ</t>
    </rPh>
    <rPh sb="277" eb="278">
      <t>メ</t>
    </rPh>
    <rPh sb="347" eb="348">
      <t>メ</t>
    </rPh>
    <phoneticPr fontId="1"/>
  </si>
  <si>
    <t>・ELSI(Ethical, Legal and Social Issues) ：AI社会論（2,3回目）
・個人情報保護、EU一般データ保護規則(GDPR)、忘れられる権利、オプトアウト ：AI社会論（12回目）、情報処理（14回目）
・データ倫理:データのねつ造、改ざん、盗用、プライバシー保護 ：AI社会論（9,12回目）、情報処理（14回目）
・AI社会原則(公平性、説明責任、透明性、人間中心の判断) ：AI社会論（12,13回目）
・データバイアス、アルゴリズムバイアス：AI社会論（9,10,11回目）
・AIサービスの責任論：AI社会論（7,13回目）
・データ・AI活用における負の事例紹介：AI社会論（5,6,13回目）</t>
    <rPh sb="51" eb="52">
      <t>メ</t>
    </rPh>
    <rPh sb="105" eb="106">
      <t>メ</t>
    </rPh>
    <rPh sb="162" eb="163">
      <t>メ</t>
    </rPh>
    <rPh sb="219" eb="220">
      <t>メ</t>
    </rPh>
    <rPh sb="256" eb="257">
      <t>メ</t>
    </rPh>
    <rPh sb="282" eb="283">
      <t>メ</t>
    </rPh>
    <rPh sb="318" eb="319">
      <t>メ</t>
    </rPh>
    <phoneticPr fontId="1"/>
  </si>
  <si>
    <t>・情報セキュリティ:機密性、完全性、可用性：AI社会論（9,12回目）、情報処理（14回目）
・匿名加工情報、暗号化、パスワード、悪意ある情報搾取：AI社会論（9,12回目）、情報処理（14回目）
・情報漏洩等によるセキュリティ事故の事例紹介：AI社会論（9,12回目）、情報処理（14回目）</t>
    <rPh sb="38" eb="40">
      <t>ショリ</t>
    </rPh>
    <rPh sb="44" eb="45">
      <t>メ</t>
    </rPh>
    <phoneticPr fontId="1"/>
  </si>
  <si>
    <t>・データの種類(量的変数、質的変数) ：データサイエンス概論（10回目）、データサイエンス演習（2回目）、情報処理（10.11.12回目）
・データの分布(ヒストグラム)と代表値(平均値、中央値、最頻値) ：データサイエンス概論（2.5.11回目）、情報処理（10.11.12回目）
・代表値の性質の違い(実社会では平均値=最頻値でないことが多い) ：データサイエンス概論（5.11回目）
・データのばらつき(分散、標準偏差、偏差値)：データサイエンス概論（12回目）、データサイエンス演習（6回目）
・観測データに含まれる誤差の扱い：データサイエンス概論（10回目）、データサイエンス演習（5回目）
・打ち切りや脱落を含むデータ、層別の必要なデータ：データサイエンス概論（10回目）、データサイエンス演習（第2回目）
・相関と因果(相関係数、擬似相関、交絡) ・母集団と標本抽出(国勢調査、アンケート調査、全数調査、単純無作為抽出、層別抽出、多段抽出) ：データサイエンス概論（13、15回目）、データサイエンス演習（6,13,14,15回目）
・クロス集計表、分割表、相関係数行列、散布図行列 ：データサイエンス概論（5回目）、データサイエンス演習（6回目）、情報処理（10.11.12回目）
・統計情報の正しい理解(誇張表現に惑わされない)：データサイエンス概論（2.4回目）</t>
    <rPh sb="34" eb="35">
      <t>メ</t>
    </rPh>
    <rPh sb="50" eb="51">
      <t>メ</t>
    </rPh>
    <rPh sb="122" eb="123">
      <t>メ</t>
    </rPh>
    <rPh sb="192" eb="193">
      <t>メ</t>
    </rPh>
    <rPh sb="232" eb="233">
      <t>メ</t>
    </rPh>
    <rPh sb="248" eb="249">
      <t>メ</t>
    </rPh>
    <rPh sb="282" eb="283">
      <t>メ</t>
    </rPh>
    <rPh sb="298" eb="299">
      <t>メ</t>
    </rPh>
    <rPh sb="340" eb="341">
      <t>メ</t>
    </rPh>
    <rPh sb="357" eb="358">
      <t>メ</t>
    </rPh>
    <rPh sb="446" eb="447">
      <t>メ</t>
    </rPh>
    <rPh sb="471" eb="472">
      <t>メ</t>
    </rPh>
    <rPh sb="513" eb="514">
      <t>メ</t>
    </rPh>
    <rPh sb="529" eb="530">
      <t>メ</t>
    </rPh>
    <rPh sb="589" eb="590">
      <t>メ</t>
    </rPh>
    <phoneticPr fontId="1"/>
  </si>
  <si>
    <t>・データ表現(棒グラフ、折線グラフ、散布図、ヒートマップ) ：データサイエンス概論（8回目）、情報処理（10.11.12回目）、データサイエンス演習（3回目）
・データの図表表現(チャート化) ：データサイエンス概論（9回目）、情報処理（10.11.12回目）、データサイエンス演習（5回目）
・データの比較(条件をそろえた比較、処理の前後での比較、A/Bテスト) ：データサイエンス概論（14回目）、データサイエンス演習（5回目）
・不適切なグラフ表現(チャートジャンク、不必要な視覚的要素) ：データサイエンス概論（7回目）、データサイエンス演習（2回目）
・優れた可視化事例の紹介(可視化することによって新たな気づきがあった事例など)：データサイエンス概論（第7、8、9回）、データサイエンス演習（第7回）</t>
    <rPh sb="44" eb="45">
      <t>メ</t>
    </rPh>
    <rPh sb="77" eb="78">
      <t>メ</t>
    </rPh>
    <rPh sb="111" eb="112">
      <t>メ</t>
    </rPh>
    <rPh sb="144" eb="145">
      <t>メ</t>
    </rPh>
    <rPh sb="198" eb="199">
      <t>メ</t>
    </rPh>
    <rPh sb="214" eb="215">
      <t>メ</t>
    </rPh>
    <rPh sb="262" eb="263">
      <t>メ</t>
    </rPh>
    <rPh sb="278" eb="279">
      <t>メ</t>
    </rPh>
    <phoneticPr fontId="1"/>
  </si>
  <si>
    <t>・データの集計(和、平均)：情報処理（10.11.12回目）、データサイエンス演習（第2,3,4,5,6回）
・データの並び替え、ランキング：情報処理（10.11.12回目）、データサイエンス演習（第2,3,4,5,6回）
・データ解析ツール(スプレッドシート) ：情報処理（10.11.12回目）、データサイエンス演習（第2,3,4,5,6回）
・表形式のデータ(csv)：情報処理（10.11.12回目）、データサイエンス演習（第2,3,4,5,6回）</t>
    <phoneticPr fontId="1"/>
  </si>
  <si>
    <t>生活科学科生活福祉専攻</t>
    <rPh sb="0" eb="2">
      <t>セイカツ</t>
    </rPh>
    <rPh sb="2" eb="4">
      <t>カガク</t>
    </rPh>
    <rPh sb="4" eb="11">
      <t>カセイカツフクシセンコウ</t>
    </rPh>
    <phoneticPr fontId="1"/>
  </si>
  <si>
    <t>・ビッグデータ、IoT、AI、ロボット：AI社会論（7回目）、データサイエンス概論（4回目）
・データ量の増加、計算機の処理性能の向上、AIの非連続的進化：AI社会論（7,8回目）、データサイエンス概論（4回目）、情報活用（5回目）
・第４次産業革命、Society5.0、データ駆動型社会：AI社会論（9回目）、データサイエンス概論（2,4回目）
・複数技術を組み合わせたAIサービス：AI社会論（5,6,13回目）、データサイエンス概論（3回目）、情報活用（2回目）
・人間の知的活動とAIの関係性：AI社会論（14回目）、データサイエンス概論（3回目）、情報活用（3回目）
・データを起点としたものの見方、人間の知的活動を起点としたものの見方：AI社会論（9,10,11回目）、データサイエンス概論（3,4回目）</t>
    <rPh sb="44" eb="45">
      <t>メ</t>
    </rPh>
    <rPh sb="104" eb="105">
      <t>メ</t>
    </rPh>
    <rPh sb="114" eb="115">
      <t>メ</t>
    </rPh>
    <rPh sb="172" eb="173">
      <t>メ</t>
    </rPh>
    <rPh sb="223" eb="224">
      <t>メ</t>
    </rPh>
    <rPh sb="233" eb="234">
      <t>メ</t>
    </rPh>
    <rPh sb="277" eb="278">
      <t>メ</t>
    </rPh>
    <rPh sb="287" eb="288">
      <t>メ</t>
    </rPh>
    <rPh sb="357" eb="358">
      <t>メ</t>
    </rPh>
    <phoneticPr fontId="1"/>
  </si>
  <si>
    <t xml:space="preserve">
・AI等を活用した新しいビジネスモデル（シェアリングエコノミー、商品のレコメンデーションなど）：AI社会論（12,13,14回目）
・AI最新技術の活用例（深層生成モデル。敵対的生成ネットワーク、強化学習、転移学習など）：AI社会論（12,13,14回目）、データサイエンス概論（3回目）</t>
    <rPh sb="64" eb="65">
      <t>メ</t>
    </rPh>
    <rPh sb="127" eb="128">
      <t>メ</t>
    </rPh>
    <rPh sb="143" eb="144">
      <t>メ</t>
    </rPh>
    <phoneticPr fontId="1"/>
  </si>
  <si>
    <t xml:space="preserve">
・調査データ、実験データ、人の行動ログデータ、機械の稼働ログデータなど；データサイエンス概論（7回目）
・1次データ、2次データ、データのメタ化：データサイエンス概論（7,8,9回目）
・構造化データ、非構造化データ(文章、画像/動画、音声/音楽など) ：データサイエンス概論（10回目）
・データ作成(ビッグデータとアノテーション) ：ＡＩ社会論（10.11回目）、データサイエンス概論（2,15回目）
・データのオープン化(オープンデータ)：データサイエンス概論（15回目）</t>
    <rPh sb="57" eb="58">
      <t>メ</t>
    </rPh>
    <rPh sb="101" eb="102">
      <t>メ</t>
    </rPh>
    <rPh sb="156" eb="157">
      <t>メ</t>
    </rPh>
    <rPh sb="218" eb="219">
      <t>メ</t>
    </rPh>
    <rPh sb="259" eb="260">
      <t>メ</t>
    </rPh>
    <phoneticPr fontId="1"/>
  </si>
  <si>
    <t>・ELSI(Ethical, Legal and Social Issues) ：AI社会論（2,3回目）
・個人情報保護、EU一般データ保護規則(GDPR)、忘れられる権利、オプトアウト ：AI社会論（12回目）、情報活用（2回目）
・データ倫理:データのねつ造、改ざん、盗用、プライバシー保護 ：AI社会論（9,12回目）、情報活用（2回目）
・AI社会原則(公平性、説明責任、透明性、人間中心の判断) ：AI社会論（12,13回目）
・データバイアス、アルゴリズムバイアス：AI社会論（9,10,11回目）
・AIサービスの責任論：AI社会論（7,13回目）
・データ・AI活用における負の事例紹介：AI社会論（5,6,13回目）</t>
    <rPh sb="51" eb="52">
      <t>メ</t>
    </rPh>
    <rPh sb="105" eb="106">
      <t>メ</t>
    </rPh>
    <rPh sb="115" eb="116">
      <t>メ</t>
    </rPh>
    <rPh sb="161" eb="162">
      <t>メ</t>
    </rPh>
    <rPh sb="171" eb="172">
      <t>メ</t>
    </rPh>
    <rPh sb="217" eb="218">
      <t>メ</t>
    </rPh>
    <rPh sb="254" eb="255">
      <t>メ</t>
    </rPh>
    <rPh sb="280" eb="281">
      <t>メ</t>
    </rPh>
    <rPh sb="316" eb="317">
      <t>メ</t>
    </rPh>
    <phoneticPr fontId="1"/>
  </si>
  <si>
    <t>・情報セキュリティ:機密性、完全性、可用性：AI社会論（9,12回目）、情報活用（2,3回目）
・匿名加工情報、暗号化、パスワード、悪意ある情報搾取：AI社会論（9,12回目）、情報活用（2,3回目）
・情報漏洩等によるセキュリティ事故の事例紹介：AI社会論（9,12回目）、情報活用（2,3回目）</t>
    <rPh sb="45" eb="46">
      <t>メ</t>
    </rPh>
    <rPh sb="98" eb="99">
      <t>メ</t>
    </rPh>
    <rPh sb="147" eb="148">
      <t>メ</t>
    </rPh>
    <phoneticPr fontId="1"/>
  </si>
  <si>
    <t>・データの種類(量的変数、質的変数) ：データサイエンス概論（10回目）、データサイエンス演習（2回目）
・データの分布(ヒストグラム)と代表値(平均値、中央値、最頻値) ：データサイエンス概論（2.5.11回目）
・代表値の性質の違い(実社会では平均値=最頻値でないことが多い) ：データサイエンス概論（5.11回目）
・データのばらつき(分散、標準偏差、偏差値)：データサイエンス概論（12回目）、データサイエンス演習（6回目）
・観測データに含まれる誤差の扱い：データサイエンス概論（10回目）、データサイエンス演習（5回目）
・打ち切りや脱落を含むデータ、層別の必要なデータ：データサイエンス概論（10回目）、データサイエンス演習（第2回目）
・相関と因果(相関係数、擬似相関、交絡) ・母集団と標本抽出(国勢調査、アンケート調査、全数調査、単純無作為抽出、層別抽出、多段抽出) ：データサイエンス概論（13、15回目）、データサイエンス演習（6,13,14,15回目）
・クロス集計表、分割表、相関係数行列、散布図行列 ：データサイエンス概論（5回目）、データサイエンス演習（6回目）、情報活用（9.10.11回目）
・統計情報の正しい理解(誇張表現に惑わされない)：データサイエンス概論（2.4回目）</t>
    <rPh sb="34" eb="35">
      <t>メ</t>
    </rPh>
    <rPh sb="50" eb="51">
      <t>メ</t>
    </rPh>
    <rPh sb="105" eb="106">
      <t>メ</t>
    </rPh>
    <rPh sb="158" eb="159">
      <t>メ</t>
    </rPh>
    <rPh sb="198" eb="199">
      <t>メ</t>
    </rPh>
    <rPh sb="214" eb="215">
      <t>メ</t>
    </rPh>
    <rPh sb="248" eb="249">
      <t>メ</t>
    </rPh>
    <rPh sb="264" eb="265">
      <t>メ</t>
    </rPh>
    <rPh sb="306" eb="307">
      <t>メ</t>
    </rPh>
    <rPh sb="323" eb="324">
      <t>メ</t>
    </rPh>
    <rPh sb="412" eb="413">
      <t>メ</t>
    </rPh>
    <rPh sb="437" eb="438">
      <t>メ</t>
    </rPh>
    <rPh sb="479" eb="480">
      <t>メ</t>
    </rPh>
    <rPh sb="495" eb="496">
      <t>メ</t>
    </rPh>
    <rPh sb="511" eb="512">
      <t>メ</t>
    </rPh>
    <rPh sb="554" eb="555">
      <t>メ</t>
    </rPh>
    <phoneticPr fontId="1"/>
  </si>
  <si>
    <t>・データ表現(棒グラフ、折線グラフ、散布図、ヒートマップ) ：データサイエンス概論（8回目）、情報活用（9.10.11回目）、データサイエンス演習（3回目）
・データの図表表現(チャート化) ：データサイエンス概論（9回目）、情報活用（9.10.11回目）、データサイエンス演習（5回目）
・データの比較(条件をそろえた比較、処理の前後での比較、A/Bテスト) ：データサイエンス概論（14回目）、データサイエンス演習（5回目）
・不適切なグラフ表現(チャートジャンク、不必要な視覚的要素) ：データサイエンス概論（7回目）、データサイエンス演習（2回目）
・優れた可視化事例の紹介(可視化することによって新たな気づきがあった事例など)：データサイエンス概論（第7、8、9回）、データサイエンス演習（第7回）</t>
    <rPh sb="44" eb="45">
      <t>メ</t>
    </rPh>
    <rPh sb="76" eb="77">
      <t>メ</t>
    </rPh>
    <rPh sb="110" eb="111">
      <t>メ</t>
    </rPh>
    <rPh sb="142" eb="143">
      <t>メ</t>
    </rPh>
    <rPh sb="196" eb="197">
      <t>メ</t>
    </rPh>
    <rPh sb="212" eb="213">
      <t>メ</t>
    </rPh>
    <rPh sb="260" eb="261">
      <t>メ</t>
    </rPh>
    <rPh sb="276" eb="277">
      <t>メ</t>
    </rPh>
    <phoneticPr fontId="1"/>
  </si>
  <si>
    <t>・データの集計(和、平均)：情報活用（第9,10,11回）、データサイエンス演習（第2,3,4,5,6回）
・データの並び替え、ランキング：情報活用（第9,10,11回）、データサイエンス演習（第2,3,4,5,6回）
・データ解析ツール(スプレッドシート) ：情報活用（第9,10,11回）、データサイエンス演習（第2,3,4,5,6回）
・表形式のデータ(csv)：情報活用（第9,10,11回）、データサイエンス演習（第2,3,4,5,6回）</t>
    <phoneticPr fontId="1"/>
  </si>
  <si>
    <t>①1年前期または1年後期に、一般教養科目「AI社会論」または「データサイエンス概論」のいずれかを履修すること（選択必修2単位）。
②「情報活用」（1年前期）を履修すること（必修2単位）。
　上記の①と②を満たすことにより、卒業時に「鹿児島女子短期大学デジタル教育プログラム」修了証が授与される。
③一般教養科目「データサイエンス演習2単位」または「AIプログラミング2単位」のいずれかを履修することで、本学独自による「鹿児島女子短期大学デジタル教育プログラム・プラス」修了証が授与される。</t>
    <rPh sb="67" eb="69">
      <t>ジョウホウ</t>
    </rPh>
    <rPh sb="69" eb="71">
      <t>カツヨウ</t>
    </rPh>
    <rPh sb="95" eb="97">
      <t>ジョウキ</t>
    </rPh>
    <rPh sb="167" eb="169">
      <t>タンイ</t>
    </rPh>
    <rPh sb="184" eb="186">
      <t>タンイ</t>
    </rPh>
    <rPh sb="201" eb="203">
      <t>ホンガク</t>
    </rPh>
    <rPh sb="203" eb="205">
      <t>ドクジ</t>
    </rPh>
    <phoneticPr fontId="1"/>
  </si>
  <si>
    <t>①1年前期または1年後期に、一般教養科目「AI社会論」または「データサイエンス概論」のいずれかを履修すること（選択必修2単位）。
②「情報処理」（1年後期）を履修すること（必修1単位）。
　上記の①と②を満たすことにより、卒業時に「鹿児島女子短期大学デジタル教育プログラム」修了証が授与される。
③一般教養科目「データサイエンス演習2単位」または「AIプログラミング2単位」のいずれかを履修することで、本学独自による「鹿児島女子短期大学デジタル教育プログラム・プラス」修了証が授与される。</t>
    <rPh sb="74" eb="75">
      <t>ネン</t>
    </rPh>
    <rPh sb="75" eb="77">
      <t>コウキ</t>
    </rPh>
    <rPh sb="95" eb="97">
      <t>ジョウキ</t>
    </rPh>
    <rPh sb="167" eb="169">
      <t>タンイ</t>
    </rPh>
    <rPh sb="184" eb="186">
      <t>タンイ</t>
    </rPh>
    <rPh sb="201" eb="203">
      <t>ホンガク</t>
    </rPh>
    <rPh sb="203" eb="205">
      <t>ドクジ</t>
    </rPh>
    <phoneticPr fontId="1"/>
  </si>
  <si>
    <t>　教員ごとにオフィスアワーを設けており、学生は授業時間以外にも質疑応答を行うことができる。また、本学でオンライン教育ツールとして導入しているGoogle ClassroomやMicrosoftTeamsのチャット機能を利用して教員と学生間のやりとりも可能である。また、授業の資料等は授業前および終了後に、適宜、前述したオンライン教育ツールの共有フォルダに担当教員がアップロードする。それを活用して、学生は授業の予習、復習が可能となっている。</t>
    <phoneticPr fontId="1"/>
  </si>
  <si>
    <t>ICTによる地域活性化を担う女子学生のためのデジタル教育プログラム</t>
    <phoneticPr fontId="1"/>
  </si>
  <si>
    <t>　本教育プログラムの周知は、新入生オリエンテーションにおいて、プログラムの目的と概要等を記載したチラシを配布のうえ、説明を行っている。
　また、本学のホームページ（https://www.jkajyo.ac.jp/information/id4632/）にも本教育プログラムの情報を掲載し、学生が履修科目や修了認定等の情報を確認しやすい環境を整備している。</t>
    <rPh sb="42" eb="43">
      <t>トウ</t>
    </rPh>
    <rPh sb="44" eb="46">
      <t>キサイ</t>
    </rPh>
    <rPh sb="52" eb="54">
      <t>ハイフ</t>
    </rPh>
    <rPh sb="61" eb="62">
      <t>オコナ</t>
    </rPh>
    <phoneticPr fontId="1"/>
  </si>
  <si>
    <t>鹿児島女子短期大学教学マネジメント会議、鹿児島女子短期大学数理・データサイエンス・AI教育推進委員会（旧：鹿児島女子短期大学数理・データサイエンス・AI教育推進部会）</t>
    <rPh sb="0" eb="9">
      <t>カゴシマジョシタンキダイガク</t>
    </rPh>
    <rPh sb="9" eb="11">
      <t>キョウガク</t>
    </rPh>
    <rPh sb="17" eb="19">
      <t>カイギ</t>
    </rPh>
    <rPh sb="20" eb="29">
      <t>カゴシマジョシタンキダイガク</t>
    </rPh>
    <rPh sb="51" eb="52">
      <t>キュウ</t>
    </rPh>
    <rPh sb="53" eb="62">
      <t>カゴシマジョシタンキダイガク</t>
    </rPh>
    <rPh sb="80" eb="82">
      <t>ブカイ</t>
    </rPh>
    <phoneticPr fontId="1"/>
  </si>
  <si>
    <t>鹿児島女子短期大学教学マネジメント会議規程、鹿児島女子短期大学数理・データサイエンス・AI教育推進委員会規程（旧：鹿児島女子短期大学数理・データサイエンス・AI教育推進部会に関する申合せ）</t>
    <rPh sb="0" eb="9">
      <t>カゴシマジョシタンキダイガク</t>
    </rPh>
    <rPh sb="9" eb="11">
      <t>キョウガク</t>
    </rPh>
    <rPh sb="17" eb="19">
      <t>カイギ</t>
    </rPh>
    <rPh sb="19" eb="21">
      <t>キテイ</t>
    </rPh>
    <rPh sb="22" eb="31">
      <t>カゴシマジョシタンキダイガク</t>
    </rPh>
    <rPh sb="52" eb="54">
      <t>キテイ</t>
    </rPh>
    <rPh sb="55" eb="56">
      <t>キュウ</t>
    </rPh>
    <rPh sb="57" eb="66">
      <t>カゴシマジョシタンキダイガク</t>
    </rPh>
    <rPh sb="84" eb="86">
      <t>ブカイ</t>
    </rPh>
    <rPh sb="87" eb="88">
      <t>カン</t>
    </rPh>
    <rPh sb="90" eb="92">
      <t>モウシアワ</t>
    </rPh>
    <phoneticPr fontId="1"/>
  </si>
  <si>
    <t>　数理・データサイエンス・ＡＩへの関心を高め、かつ、数理・データサイエンス・ＡＩを適切に理解し、それを活用する基礎的な能力を育成すること、並びに、「鹿児島女子短期大学ICTによる地域活性化を担う女子学生のためのデジタル教育プログラム」の検討、編成等に関する事項を審議するものである。なお、本プログラムを立ち上げるにあたっては、教学マネジメント会議において検討し、具体的な内容策定については教学マネジメント会議の下に数理・データサイエンス・AI教育推進部会（通称MDASH WG）を設置していたが、令和６年４月１日に当該MDASH WGを数理・データサイエンス・AI教育推進委員会に格上げし、より重要な学内体制の位置付けとした。</t>
    <rPh sb="144" eb="145">
      <t>ホン</t>
    </rPh>
    <rPh sb="151" eb="152">
      <t>タ</t>
    </rPh>
    <rPh sb="153" eb="154">
      <t>ア</t>
    </rPh>
    <rPh sb="163" eb="165">
      <t>キョウガク</t>
    </rPh>
    <rPh sb="171" eb="173">
      <t>カイギ</t>
    </rPh>
    <rPh sb="177" eb="179">
      <t>ケントウ</t>
    </rPh>
    <rPh sb="181" eb="184">
      <t>グタイテキ</t>
    </rPh>
    <rPh sb="185" eb="187">
      <t>ナイヨウ</t>
    </rPh>
    <rPh sb="187" eb="189">
      <t>サクテイ</t>
    </rPh>
    <rPh sb="205" eb="206">
      <t>シタ</t>
    </rPh>
    <rPh sb="228" eb="230">
      <t>ツウショウ</t>
    </rPh>
    <rPh sb="240" eb="242">
      <t>セッチ</t>
    </rPh>
    <rPh sb="248" eb="250">
      <t>レイワ</t>
    </rPh>
    <rPh sb="251" eb="252">
      <t>ネン</t>
    </rPh>
    <rPh sb="253" eb="254">
      <t>ツキ</t>
    </rPh>
    <rPh sb="255" eb="256">
      <t>ヒ</t>
    </rPh>
    <rPh sb="257" eb="259">
      <t>トウガイ</t>
    </rPh>
    <rPh sb="290" eb="292">
      <t>カクア</t>
    </rPh>
    <rPh sb="297" eb="299">
      <t>ジュウヨウ</t>
    </rPh>
    <rPh sb="300" eb="302">
      <t>ガクナイ</t>
    </rPh>
    <rPh sb="302" eb="304">
      <t>タイセイ</t>
    </rPh>
    <rPh sb="305" eb="308">
      <t>イチヅ</t>
    </rPh>
    <phoneticPr fontId="1"/>
  </si>
  <si>
    <t>　上記の目標を実現するために、令和５年度より新入生オリエンテーションにおいて、「鹿児島女子短期大学ICTによる地域活性化を担う女子学生のためのデジタル教育プログラム」の必要性を説明するとともに、履修を推奨している。また、修了生に対しては修了証を授与することをアピールしている。プログラムの構成は、卒業要件となる選択科目と必修科目の組み合わせとなっており、令和５年度の履修生は１７０名で、１年生３０３名に対する履修率は５６％であった。令和６年度の新入生オリエンテーションにおいても、当該プログラムの必要性を説明し、履修率の向上に努めているが、令和６年度入学生の履修率５０％（１年生２６１名中１３０名が履修）である。なお、本学では、前期と後期に当該プログラムに必要な一般教養科目を配置しており、後期の履修状況により履修率の向上が見込まれる。後期の履修に際し、今後、各学科・専攻において履修率向上に向けて周知徹底を図っていきたい。</t>
    <rPh sb="22" eb="25">
      <t>シンニュウセイ</t>
    </rPh>
    <rPh sb="40" eb="49">
      <t>カゴシマジョシタンキダイガク</t>
    </rPh>
    <rPh sb="110" eb="112">
      <t>シュウリョウ</t>
    </rPh>
    <rPh sb="114" eb="115">
      <t>タイ</t>
    </rPh>
    <rPh sb="118" eb="121">
      <t>シュウリョウショウ</t>
    </rPh>
    <rPh sb="122" eb="124">
      <t>ジュヨ</t>
    </rPh>
    <rPh sb="144" eb="146">
      <t>コウセイ</t>
    </rPh>
    <rPh sb="148" eb="150">
      <t>ソツギョウ</t>
    </rPh>
    <rPh sb="150" eb="152">
      <t>ヨウケン</t>
    </rPh>
    <rPh sb="157" eb="159">
      <t>カモク</t>
    </rPh>
    <rPh sb="160" eb="162">
      <t>ヒッシュウ</t>
    </rPh>
    <rPh sb="162" eb="164">
      <t>カモク</t>
    </rPh>
    <rPh sb="165" eb="166">
      <t>ク</t>
    </rPh>
    <rPh sb="167" eb="168">
      <t>ア</t>
    </rPh>
    <rPh sb="177" eb="179">
      <t>レイワ</t>
    </rPh>
    <rPh sb="180" eb="182">
      <t>ネンド</t>
    </rPh>
    <rPh sb="183" eb="186">
      <t>リシュウセイ</t>
    </rPh>
    <rPh sb="190" eb="191">
      <t>メイ</t>
    </rPh>
    <rPh sb="194" eb="196">
      <t>ネンセイ</t>
    </rPh>
    <rPh sb="199" eb="200">
      <t>メイ</t>
    </rPh>
    <rPh sb="201" eb="202">
      <t>タイ</t>
    </rPh>
    <rPh sb="204" eb="206">
      <t>リシュウ</t>
    </rPh>
    <rPh sb="206" eb="207">
      <t>リツ</t>
    </rPh>
    <rPh sb="216" eb="218">
      <t>レイワ</t>
    </rPh>
    <rPh sb="219" eb="221">
      <t>ネンド</t>
    </rPh>
    <rPh sb="222" eb="225">
      <t>シンニュウセイ</t>
    </rPh>
    <rPh sb="240" eb="242">
      <t>トウガイ</t>
    </rPh>
    <rPh sb="248" eb="251">
      <t>ヒツヨウセイ</t>
    </rPh>
    <rPh sb="252" eb="254">
      <t>セツメイ</t>
    </rPh>
    <rPh sb="256" eb="258">
      <t>リシュウ</t>
    </rPh>
    <rPh sb="258" eb="259">
      <t>リツ</t>
    </rPh>
    <rPh sb="260" eb="262">
      <t>コウジョウ</t>
    </rPh>
    <rPh sb="263" eb="264">
      <t>ツト</t>
    </rPh>
    <rPh sb="275" eb="278">
      <t>ニュウガクセイ</t>
    </rPh>
    <rPh sb="345" eb="347">
      <t>コウキ</t>
    </rPh>
    <rPh sb="348" eb="350">
      <t>リシュウ</t>
    </rPh>
    <rPh sb="350" eb="352">
      <t>ジョウキョウ</t>
    </rPh>
    <rPh sb="355" eb="357">
      <t>リシュウ</t>
    </rPh>
    <rPh sb="357" eb="358">
      <t>リツ</t>
    </rPh>
    <rPh sb="359" eb="361">
      <t>コウジョウ</t>
    </rPh>
    <rPh sb="362" eb="364">
      <t>ミコ</t>
    </rPh>
    <rPh sb="390" eb="392">
      <t>リシュウ</t>
    </rPh>
    <rPh sb="392" eb="393">
      <t>リツ</t>
    </rPh>
    <rPh sb="393" eb="395">
      <t>コウジョウ</t>
    </rPh>
    <rPh sb="396" eb="397">
      <t>ム</t>
    </rPh>
    <phoneticPr fontId="1"/>
  </si>
  <si>
    <t>鹿児島女子短期大学点検・評価委員会、鹿児島女子短期大学数理・データサイエンス・AI教育推進委員会（旧：鹿児島女子短期大学数理・データサイエンス・AI教育推進部会）</t>
    <rPh sb="9" eb="11">
      <t>テンケン</t>
    </rPh>
    <rPh sb="12" eb="14">
      <t>ヒョウカ</t>
    </rPh>
    <rPh sb="14" eb="17">
      <t>イインカイ</t>
    </rPh>
    <rPh sb="49" eb="50">
      <t>キュウ</t>
    </rPh>
    <phoneticPr fontId="1"/>
  </si>
  <si>
    <t>鹿児島女子短期大学数理・データサイエンス・AI教育推進委員会（旧：鹿児島女子短期大学数理・データサイエンス・AI教育推進部会）において、プログラムの履修状況・単位取得状況を分析する。また、授業支援システムの学習記録から課題毎の提出率等を把握したうえで課題の難易度の適正化をするなど、修得状況の改善に活用している。</t>
    <phoneticPr fontId="1"/>
  </si>
  <si>
    <t>鹿児島女子短期大学数理・データサイエンス・AI教育推進委員会（旧：鹿児島女子短期大学数理・データサイエンス・AI教育推進部会）において、授業評価の得点分布を分析することで全体的な理解度を把握するほか、授業支援システムの学習記録から課題毎の提出率等を分析し、学習内容（スキルセット）毎の理解度を把握することができる。これらの結果を本教育プログラムの改善に活用している。</t>
    <phoneticPr fontId="1"/>
  </si>
  <si>
    <t>本教育プログラムの履修者全員に対して授業理解度アンケートを実施しており、鹿児島女子短期大学数理・データサイエンス・AI教育推進委員会（旧：鹿児島女子短期大学数理・データサイエンス・AI教育推進部会）及びＩＲ室において学生の理解度を分析し、授業改善に活用している。</t>
    <rPh sb="99" eb="100">
      <t>オヨ</t>
    </rPh>
    <rPh sb="103" eb="104">
      <t>シツ</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</si>
</sst>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7"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9"/>
      <name val="ＭＳ Ｐゴシック"/>
      <family val="3"/>
      <charset val="128"/>
      <scheme val="minor"/>
    </font>
    <font>
      <sz val="14"/>
      <name val="ＭＳ Ｐゴシック"/>
      <family val="3"/>
      <charset val="128"/>
      <scheme val="minor"/>
    </font>
    <font>
      <sz val="10"/>
      <name val="ＭＳ Ｐゴシック"/>
      <family val="3"/>
      <charset val="128"/>
      <scheme val="minor"/>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378">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0" xfId="1" applyFont="1" applyAlignment="1">
      <alignment horizontal="center" vertical="center"/>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0" fontId="10"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2" fillId="0" borderId="0" xfId="0" applyFont="1">
      <alignment vertical="center"/>
    </xf>
    <xf numFmtId="0" fontId="12" fillId="0" borderId="0" xfId="0" applyFont="1" applyAlignment="1">
      <alignment horizontal="right" vertical="center"/>
    </xf>
    <xf numFmtId="0" fontId="12" fillId="0" borderId="0" xfId="0" applyFont="1" applyAlignment="1">
      <alignment vertical="center" shrinkToFit="1"/>
    </xf>
    <xf numFmtId="0" fontId="12" fillId="0" borderId="0" xfId="0" applyFont="1" applyAlignment="1">
      <alignment horizontal="left" vertical="center" shrinkToFit="1"/>
    </xf>
    <xf numFmtId="0" fontId="12" fillId="0" borderId="0" xfId="0" applyFont="1" applyAlignment="1">
      <alignment horizontal="center" vertical="center"/>
    </xf>
    <xf numFmtId="0" fontId="11" fillId="0" borderId="0" xfId="0" applyFont="1">
      <alignment vertical="center"/>
    </xf>
    <xf numFmtId="0" fontId="12" fillId="0" borderId="0" xfId="0" applyFont="1" applyAlignment="1">
      <alignment horizontal="left" vertical="center"/>
    </xf>
    <xf numFmtId="0" fontId="11" fillId="0" borderId="0" xfId="0" applyFont="1" applyAlignment="1">
      <alignment horizontal="center" vertical="center"/>
    </xf>
    <xf numFmtId="0" fontId="12" fillId="0" borderId="1" xfId="0" applyFont="1" applyBorder="1">
      <alignment vertical="center"/>
    </xf>
    <xf numFmtId="0" fontId="12" fillId="0" borderId="0" xfId="0" applyFont="1" applyAlignment="1">
      <alignment horizontal="center" vertical="center" shrinkToFit="1"/>
    </xf>
    <xf numFmtId="0" fontId="12" fillId="0" borderId="1" xfId="0" applyFont="1" applyBorder="1" applyAlignment="1">
      <alignment horizontal="right" vertical="center"/>
    </xf>
    <xf numFmtId="9" fontId="2" fillId="0" borderId="14" xfId="0" applyNumberFormat="1" applyFont="1" applyBorder="1" applyAlignment="1">
      <alignment vertical="center" shrinkToFit="1"/>
    </xf>
    <xf numFmtId="0" fontId="12" fillId="3" borderId="0" xfId="0" applyFont="1" applyFill="1">
      <alignment vertical="center"/>
    </xf>
    <xf numFmtId="0" fontId="12" fillId="3" borderId="1" xfId="0" applyFont="1" applyFill="1" applyBorder="1" applyAlignment="1">
      <alignment horizontal="center" vertical="center"/>
    </xf>
    <xf numFmtId="0" fontId="12" fillId="3" borderId="0" xfId="0" applyFont="1" applyFill="1" applyAlignment="1">
      <alignment vertical="center" shrinkToFit="1"/>
    </xf>
    <xf numFmtId="0" fontId="12" fillId="3" borderId="0" xfId="0" applyFont="1" applyFill="1" applyAlignment="1">
      <alignment horizontal="left" vertical="center" shrinkToFit="1"/>
    </xf>
    <xf numFmtId="0" fontId="12" fillId="3" borderId="0" xfId="0" applyFont="1" applyFill="1" applyAlignment="1">
      <alignment horizontal="center" vertical="center"/>
    </xf>
    <xf numFmtId="0" fontId="11" fillId="3" borderId="0" xfId="0" applyFont="1" applyFill="1">
      <alignment vertical="center"/>
    </xf>
    <xf numFmtId="0" fontId="12" fillId="3" borderId="0" xfId="0" applyFont="1" applyFill="1" applyAlignment="1">
      <alignment horizontal="left" vertical="center"/>
    </xf>
    <xf numFmtId="0" fontId="11" fillId="3" borderId="0" xfId="0" applyFont="1" applyFill="1" applyAlignment="1">
      <alignment horizontal="center" vertical="center"/>
    </xf>
    <xf numFmtId="0" fontId="12" fillId="3" borderId="1" xfId="0" applyFont="1" applyFill="1" applyBorder="1">
      <alignment vertical="center"/>
    </xf>
    <xf numFmtId="0" fontId="12" fillId="3" borderId="1" xfId="0" applyFont="1" applyFill="1" applyBorder="1" applyAlignment="1">
      <alignment horizontal="right" vertical="center"/>
    </xf>
    <xf numFmtId="0" fontId="12" fillId="3" borderId="20" xfId="0" applyFont="1" applyFill="1" applyBorder="1" applyAlignment="1">
      <alignment horizontal="center" vertical="center" shrinkToFit="1"/>
    </xf>
    <xf numFmtId="9" fontId="2" fillId="0" borderId="1" xfId="0" applyNumberFormat="1" applyFont="1" applyBorder="1" applyAlignment="1">
      <alignment horizontal="center" vertical="center" shrinkToFit="1"/>
    </xf>
    <xf numFmtId="0" fontId="2" fillId="0" borderId="1" xfId="0" applyFont="1" applyBorder="1" applyAlignment="1">
      <alignment horizontal="center" vertical="center" shrinkToFit="1"/>
    </xf>
    <xf numFmtId="0" fontId="2" fillId="0" borderId="1" xfId="0" applyFont="1" applyBorder="1" applyAlignment="1">
      <alignment horizontal="center" vertical="center" wrapText="1" shrinkToFit="1"/>
    </xf>
    <xf numFmtId="0" fontId="12" fillId="3" borderId="0" xfId="0" applyFont="1" applyFill="1" applyAlignment="1">
      <alignment horizontal="right" vertical="center"/>
    </xf>
    <xf numFmtId="0" fontId="12" fillId="0" borderId="1" xfId="0" applyFont="1" applyBorder="1" applyAlignment="1">
      <alignment horizontal="center" vertical="center"/>
    </xf>
    <xf numFmtId="0" fontId="14" fillId="3" borderId="1" xfId="0" applyFont="1" applyFill="1" applyBorder="1" applyAlignment="1">
      <alignment horizontal="center" vertical="center" shrinkToFit="1"/>
    </xf>
    <xf numFmtId="0" fontId="14" fillId="3" borderId="4" xfId="0" applyFont="1" applyFill="1" applyBorder="1" applyAlignment="1">
      <alignment horizontal="center" vertical="center" shrinkToFit="1"/>
    </xf>
    <xf numFmtId="49" fontId="14" fillId="3" borderId="1" xfId="0" applyNumberFormat="1" applyFont="1" applyFill="1" applyBorder="1" applyAlignment="1">
      <alignment horizontal="center" vertical="center"/>
    </xf>
    <xf numFmtId="0" fontId="12" fillId="3" borderId="14" xfId="0" applyFont="1" applyFill="1" applyBorder="1" applyAlignment="1">
      <alignment horizontal="center" vertical="center" shrinkToFit="1"/>
    </xf>
    <xf numFmtId="0" fontId="12" fillId="3" borderId="13" xfId="0" applyFont="1" applyFill="1" applyBorder="1" applyAlignment="1">
      <alignment horizontal="center" vertical="center" shrinkToFit="1"/>
    </xf>
    <xf numFmtId="0" fontId="12" fillId="3" borderId="35" xfId="0" applyFont="1" applyFill="1" applyBorder="1" applyAlignment="1">
      <alignment horizontal="center" vertical="center" shrinkToFit="1"/>
    </xf>
    <xf numFmtId="0" fontId="12" fillId="3" borderId="0" xfId="0" applyFont="1" applyFill="1" applyAlignment="1">
      <alignment vertical="top" wrapText="1"/>
    </xf>
    <xf numFmtId="0" fontId="12" fillId="3" borderId="37" xfId="0" applyFont="1" applyFill="1" applyBorder="1" applyAlignment="1">
      <alignment vertical="center" shrinkToFit="1"/>
    </xf>
    <xf numFmtId="0" fontId="12" fillId="3" borderId="48" xfId="0" applyFont="1" applyFill="1" applyBorder="1" applyAlignment="1">
      <alignment horizontal="center" vertical="center" shrinkToFit="1"/>
    </xf>
    <xf numFmtId="0" fontId="12" fillId="3" borderId="18" xfId="0" applyFont="1" applyFill="1" applyBorder="1" applyAlignment="1">
      <alignment vertical="center" shrinkToFit="1"/>
    </xf>
    <xf numFmtId="0" fontId="12" fillId="3" borderId="19" xfId="0" applyFont="1" applyFill="1" applyBorder="1" applyAlignment="1">
      <alignment vertical="center" shrinkToFit="1"/>
    </xf>
    <xf numFmtId="0" fontId="11" fillId="3" borderId="17" xfId="0" applyFont="1" applyFill="1" applyBorder="1" applyAlignment="1">
      <alignment vertical="center" shrinkToFit="1"/>
    </xf>
    <xf numFmtId="0" fontId="12" fillId="3" borderId="0" xfId="0" applyFont="1" applyFill="1" applyAlignment="1">
      <alignment horizontal="center" vertical="center" shrinkToFit="1"/>
    </xf>
    <xf numFmtId="49" fontId="14" fillId="3" borderId="43" xfId="0" applyNumberFormat="1" applyFont="1" applyFill="1" applyBorder="1" applyAlignment="1">
      <alignment horizontal="center" vertical="center"/>
    </xf>
    <xf numFmtId="49" fontId="14" fillId="3" borderId="44" xfId="0" applyNumberFormat="1" applyFont="1" applyFill="1" applyBorder="1" applyAlignment="1">
      <alignment horizontal="center" vertical="center"/>
    </xf>
    <xf numFmtId="49" fontId="14" fillId="3" borderId="39" xfId="0" applyNumberFormat="1" applyFont="1" applyFill="1" applyBorder="1" applyAlignment="1">
      <alignment horizontal="center" vertical="center"/>
    </xf>
    <xf numFmtId="49" fontId="14" fillId="3" borderId="26" xfId="0" applyNumberFormat="1" applyFont="1" applyFill="1" applyBorder="1" applyAlignment="1">
      <alignment horizontal="center" vertical="center"/>
    </xf>
    <xf numFmtId="49" fontId="14" fillId="3" borderId="42" xfId="0" applyNumberFormat="1" applyFont="1" applyFill="1" applyBorder="1" applyAlignment="1">
      <alignment horizontal="center" vertical="center"/>
    </xf>
    <xf numFmtId="49" fontId="14" fillId="3" borderId="28" xfId="0" applyNumberFormat="1" applyFont="1" applyFill="1" applyBorder="1" applyAlignment="1">
      <alignment horizontal="center" vertical="center"/>
    </xf>
    <xf numFmtId="0" fontId="11" fillId="3" borderId="0" xfId="0" applyFont="1" applyFill="1" applyAlignment="1">
      <alignment vertical="center" wrapText="1"/>
    </xf>
    <xf numFmtId="49" fontId="11" fillId="3" borderId="0" xfId="0" applyNumberFormat="1" applyFont="1" applyFill="1" applyAlignment="1">
      <alignment vertical="center" shrinkToFit="1"/>
    </xf>
    <xf numFmtId="0" fontId="14" fillId="0" borderId="1" xfId="0" applyFont="1" applyBorder="1" applyAlignment="1">
      <alignment horizontal="center" vertical="center" shrinkToFit="1"/>
    </xf>
    <xf numFmtId="0" fontId="14" fillId="0" borderId="4" xfId="0" applyFont="1" applyBorder="1" applyAlignment="1">
      <alignment horizontal="center" vertical="center" shrinkToFit="1"/>
    </xf>
    <xf numFmtId="49" fontId="14" fillId="0" borderId="1" xfId="0" applyNumberFormat="1" applyFont="1" applyBorder="1" applyAlignment="1">
      <alignment horizontal="center" vertical="center"/>
    </xf>
    <xf numFmtId="0" fontId="12" fillId="0" borderId="14" xfId="0" applyFont="1" applyBorder="1" applyAlignment="1">
      <alignment horizontal="center" vertical="center" shrinkToFit="1"/>
    </xf>
    <xf numFmtId="0" fontId="12" fillId="0" borderId="20" xfId="0" applyFont="1" applyBorder="1" applyAlignment="1">
      <alignment horizontal="center" vertical="center" shrinkToFit="1"/>
    </xf>
    <xf numFmtId="0" fontId="12" fillId="0" borderId="13" xfId="0" applyFont="1" applyBorder="1" applyAlignment="1">
      <alignment horizontal="center" vertical="center" shrinkToFit="1"/>
    </xf>
    <xf numFmtId="0" fontId="12" fillId="0" borderId="35" xfId="0" applyFont="1" applyBorder="1" applyAlignment="1">
      <alignment horizontal="center" vertical="center" shrinkToFit="1"/>
    </xf>
    <xf numFmtId="0" fontId="12" fillId="0" borderId="0" xfId="0" applyFont="1" applyAlignment="1">
      <alignment vertical="top" wrapText="1"/>
    </xf>
    <xf numFmtId="0" fontId="12" fillId="0" borderId="37" xfId="0" applyFont="1" applyBorder="1" applyAlignment="1">
      <alignment vertical="center" shrinkToFit="1"/>
    </xf>
    <xf numFmtId="0" fontId="12" fillId="0" borderId="48" xfId="0" applyFont="1" applyBorder="1" applyAlignment="1">
      <alignment horizontal="center" vertical="center" shrinkToFit="1"/>
    </xf>
    <xf numFmtId="0" fontId="12" fillId="0" borderId="18" xfId="0" applyFont="1" applyBorder="1" applyAlignment="1">
      <alignment vertical="center" shrinkToFit="1"/>
    </xf>
    <xf numFmtId="0" fontId="12" fillId="0" borderId="19" xfId="0" applyFont="1" applyBorder="1" applyAlignment="1">
      <alignment vertical="center" shrinkToFit="1"/>
    </xf>
    <xf numFmtId="0" fontId="11" fillId="0" borderId="17" xfId="0" applyFont="1" applyBorder="1" applyAlignment="1">
      <alignment vertical="center" shrinkToFit="1"/>
    </xf>
    <xf numFmtId="49" fontId="14" fillId="0" borderId="43" xfId="0" applyNumberFormat="1" applyFont="1" applyBorder="1" applyAlignment="1">
      <alignment horizontal="center" vertical="center"/>
    </xf>
    <xf numFmtId="49" fontId="14" fillId="0" borderId="44" xfId="0" applyNumberFormat="1" applyFont="1" applyBorder="1" applyAlignment="1">
      <alignment horizontal="center" vertical="center"/>
    </xf>
    <xf numFmtId="49" fontId="14" fillId="0" borderId="39" xfId="0" applyNumberFormat="1" applyFont="1" applyBorder="1" applyAlignment="1">
      <alignment horizontal="center" vertical="center"/>
    </xf>
    <xf numFmtId="49" fontId="14" fillId="0" borderId="26" xfId="0" applyNumberFormat="1" applyFont="1" applyBorder="1" applyAlignment="1">
      <alignment horizontal="center" vertical="center"/>
    </xf>
    <xf numFmtId="49" fontId="14" fillId="0" borderId="42" xfId="0" applyNumberFormat="1" applyFont="1" applyBorder="1" applyAlignment="1">
      <alignment horizontal="center" vertical="center"/>
    </xf>
    <xf numFmtId="49" fontId="14" fillId="0" borderId="28" xfId="0" applyNumberFormat="1" applyFont="1" applyBorder="1" applyAlignment="1">
      <alignment horizontal="center"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12" fillId="3" borderId="0" xfId="0" applyFont="1" applyFill="1" applyAlignment="1">
      <alignment horizontal="right" vertical="center"/>
    </xf>
    <xf numFmtId="0" fontId="12" fillId="3" borderId="2" xfId="0" applyFont="1" applyFill="1" applyBorder="1" applyAlignment="1">
      <alignment horizontal="center" vertical="center"/>
    </xf>
    <xf numFmtId="0" fontId="12" fillId="3" borderId="3" xfId="0" applyFont="1" applyFill="1" applyBorder="1" applyAlignment="1">
      <alignment horizontal="center" vertical="center"/>
    </xf>
    <xf numFmtId="0" fontId="12" fillId="3" borderId="4" xfId="0" applyFont="1" applyFill="1" applyBorder="1" applyAlignment="1">
      <alignment horizontal="center" vertical="center"/>
    </xf>
    <xf numFmtId="0" fontId="16" fillId="3" borderId="2" xfId="0" applyFont="1" applyFill="1" applyBorder="1" applyAlignment="1">
      <alignment horizontal="left" vertical="center" wrapText="1"/>
    </xf>
    <xf numFmtId="0" fontId="16" fillId="3" borderId="3" xfId="0" applyFont="1" applyFill="1" applyBorder="1" applyAlignment="1">
      <alignment horizontal="left" vertical="center" wrapText="1"/>
    </xf>
    <xf numFmtId="0" fontId="16" fillId="3" borderId="4" xfId="0" applyFont="1" applyFill="1" applyBorder="1" applyAlignment="1">
      <alignment horizontal="left" vertical="center" wrapText="1"/>
    </xf>
    <xf numFmtId="0" fontId="15" fillId="3" borderId="0" xfId="0" applyFont="1" applyFill="1" applyAlignment="1">
      <alignment horizontal="center" vertical="center"/>
    </xf>
    <xf numFmtId="0" fontId="11" fillId="3" borderId="2" xfId="0" applyFont="1" applyFill="1" applyBorder="1" applyAlignment="1">
      <alignment horizontal="center" vertical="center"/>
    </xf>
    <xf numFmtId="0" fontId="11" fillId="3" borderId="3" xfId="0" applyFont="1" applyFill="1" applyBorder="1" applyAlignment="1">
      <alignment horizontal="center" vertical="center"/>
    </xf>
    <xf numFmtId="0" fontId="11" fillId="3" borderId="4" xfId="0" applyFont="1" applyFill="1" applyBorder="1" applyAlignment="1">
      <alignment horizontal="center" vertical="center"/>
    </xf>
    <xf numFmtId="0" fontId="12" fillId="3" borderId="7" xfId="0" applyFont="1" applyFill="1" applyBorder="1" applyAlignment="1">
      <alignment horizontal="left" vertical="center" wrapText="1"/>
    </xf>
    <xf numFmtId="0" fontId="12" fillId="3" borderId="8" xfId="0" applyFont="1" applyFill="1" applyBorder="1" applyAlignment="1">
      <alignment horizontal="left" vertical="center" wrapText="1"/>
    </xf>
    <xf numFmtId="0" fontId="12" fillId="3" borderId="9" xfId="0" applyFont="1" applyFill="1" applyBorder="1" applyAlignment="1">
      <alignment horizontal="left" vertical="center" wrapText="1"/>
    </xf>
    <xf numFmtId="0" fontId="12" fillId="3" borderId="11" xfId="0" applyFont="1" applyFill="1" applyBorder="1" applyAlignment="1">
      <alignment horizontal="left" vertical="center" wrapText="1"/>
    </xf>
    <xf numFmtId="0" fontId="12" fillId="3" borderId="6" xfId="0" applyFont="1" applyFill="1" applyBorder="1" applyAlignment="1">
      <alignment horizontal="left" vertical="center" wrapText="1"/>
    </xf>
    <xf numFmtId="0" fontId="12" fillId="3" borderId="12" xfId="0" applyFont="1" applyFill="1" applyBorder="1" applyAlignment="1">
      <alignment horizontal="left" vertical="center" wrapText="1"/>
    </xf>
    <xf numFmtId="0" fontId="12" fillId="3" borderId="18" xfId="0" applyFont="1" applyFill="1" applyBorder="1" applyAlignment="1">
      <alignment vertical="center" shrinkToFit="1"/>
    </xf>
    <xf numFmtId="0" fontId="12" fillId="3" borderId="19" xfId="0" applyFont="1" applyFill="1" applyBorder="1" applyAlignment="1">
      <alignment vertical="center" shrinkToFit="1"/>
    </xf>
    <xf numFmtId="0" fontId="12" fillId="3" borderId="17" xfId="0" applyFont="1" applyFill="1" applyBorder="1" applyAlignment="1">
      <alignment vertical="center" shrinkToFit="1"/>
    </xf>
    <xf numFmtId="0" fontId="12" fillId="3" borderId="7" xfId="0" applyFont="1" applyFill="1" applyBorder="1" applyAlignment="1">
      <alignment horizontal="left" vertical="top" wrapText="1" shrinkToFit="1"/>
    </xf>
    <xf numFmtId="0" fontId="12" fillId="3" borderId="8" xfId="0" applyFont="1" applyFill="1" applyBorder="1" applyAlignment="1">
      <alignment horizontal="left" vertical="top" wrapText="1" shrinkToFit="1"/>
    </xf>
    <xf numFmtId="0" fontId="12" fillId="3" borderId="9" xfId="0" applyFont="1" applyFill="1" applyBorder="1" applyAlignment="1">
      <alignment horizontal="left" vertical="top" wrapText="1" shrinkToFit="1"/>
    </xf>
    <xf numFmtId="0" fontId="12" fillId="3" borderId="5" xfId="0" applyFont="1" applyFill="1" applyBorder="1" applyAlignment="1">
      <alignment horizontal="left" vertical="top" wrapText="1" shrinkToFit="1"/>
    </xf>
    <xf numFmtId="0" fontId="12" fillId="3" borderId="0" xfId="0" applyFont="1" applyFill="1" applyAlignment="1">
      <alignment horizontal="left" vertical="top" wrapText="1" shrinkToFit="1"/>
    </xf>
    <xf numFmtId="0" fontId="12" fillId="3" borderId="10" xfId="0" applyFont="1" applyFill="1" applyBorder="1" applyAlignment="1">
      <alignment horizontal="left" vertical="top" wrapText="1" shrinkToFit="1"/>
    </xf>
    <xf numFmtId="0" fontId="12" fillId="3" borderId="11" xfId="0" applyFont="1" applyFill="1" applyBorder="1" applyAlignment="1">
      <alignment horizontal="left" vertical="top" wrapText="1" shrinkToFit="1"/>
    </xf>
    <xf numFmtId="0" fontId="12" fillId="3" borderId="6" xfId="0" applyFont="1" applyFill="1" applyBorder="1" applyAlignment="1">
      <alignment horizontal="left" vertical="top" wrapText="1" shrinkToFit="1"/>
    </xf>
    <xf numFmtId="0" fontId="12" fillId="3" borderId="12" xfId="0" applyFont="1" applyFill="1" applyBorder="1" applyAlignment="1">
      <alignment horizontal="left" vertical="top" wrapText="1" shrinkToFit="1"/>
    </xf>
    <xf numFmtId="0" fontId="11" fillId="3" borderId="2" xfId="0" applyFont="1" applyFill="1" applyBorder="1" applyAlignment="1">
      <alignment horizontal="center" vertical="center" shrinkToFit="1"/>
    </xf>
    <xf numFmtId="0" fontId="11" fillId="3" borderId="3" xfId="0" applyFont="1" applyFill="1" applyBorder="1" applyAlignment="1">
      <alignment horizontal="center" vertical="center" shrinkToFit="1"/>
    </xf>
    <xf numFmtId="0" fontId="11" fillId="3" borderId="4" xfId="0" applyFont="1" applyFill="1" applyBorder="1" applyAlignment="1">
      <alignment horizontal="center" vertical="center" shrinkToFit="1"/>
    </xf>
    <xf numFmtId="0" fontId="12" fillId="3" borderId="0" xfId="0" applyFont="1" applyFill="1" applyAlignment="1">
      <alignment vertical="center" wrapText="1"/>
    </xf>
    <xf numFmtId="0" fontId="12" fillId="3" borderId="29" xfId="0" applyFont="1" applyFill="1" applyBorder="1" applyAlignment="1">
      <alignment vertical="center" shrinkToFit="1"/>
    </xf>
    <xf numFmtId="0" fontId="12" fillId="3" borderId="31" xfId="0" applyFont="1" applyFill="1" applyBorder="1" applyAlignment="1">
      <alignment vertical="center" shrinkToFit="1"/>
    </xf>
    <xf numFmtId="0" fontId="12" fillId="3" borderId="30" xfId="0" applyFont="1" applyFill="1" applyBorder="1" applyAlignment="1">
      <alignment vertical="center" shrinkToFit="1"/>
    </xf>
    <xf numFmtId="0" fontId="12" fillId="3" borderId="32" xfId="0" applyFont="1" applyFill="1" applyBorder="1" applyAlignment="1">
      <alignment vertical="center" shrinkToFit="1"/>
    </xf>
    <xf numFmtId="0" fontId="12" fillId="3" borderId="33" xfId="0" applyFont="1" applyFill="1" applyBorder="1" applyAlignment="1">
      <alignment vertical="center" shrinkToFit="1"/>
    </xf>
    <xf numFmtId="0" fontId="12" fillId="3" borderId="34" xfId="0" applyFont="1" applyFill="1" applyBorder="1" applyAlignment="1">
      <alignment vertical="center" shrinkToFit="1"/>
    </xf>
    <xf numFmtId="0" fontId="11" fillId="3" borderId="31" xfId="0" applyFont="1" applyFill="1" applyBorder="1" applyAlignment="1">
      <alignment vertical="center" shrinkToFit="1"/>
    </xf>
    <xf numFmtId="0" fontId="12" fillId="3" borderId="7" xfId="0" applyFont="1" applyFill="1" applyBorder="1" applyAlignment="1">
      <alignment horizontal="center" vertical="center"/>
    </xf>
    <xf numFmtId="0" fontId="12" fillId="3" borderId="8" xfId="0" applyFont="1" applyFill="1" applyBorder="1" applyAlignment="1">
      <alignment horizontal="center" vertical="center"/>
    </xf>
    <xf numFmtId="0" fontId="12" fillId="3" borderId="9" xfId="0" applyFont="1" applyFill="1" applyBorder="1" applyAlignment="1">
      <alignment horizontal="center" vertical="center"/>
    </xf>
    <xf numFmtId="0" fontId="11" fillId="3" borderId="19" xfId="0" applyFont="1" applyFill="1" applyBorder="1" applyAlignment="1">
      <alignment vertical="center" shrinkToFit="1"/>
    </xf>
    <xf numFmtId="0" fontId="12" fillId="3" borderId="18" xfId="0" applyFont="1" applyFill="1" applyBorder="1" applyAlignment="1">
      <alignment horizontal="left" vertical="center" shrinkToFit="1"/>
    </xf>
    <xf numFmtId="0" fontId="12" fillId="3" borderId="19" xfId="0" applyFont="1" applyFill="1" applyBorder="1" applyAlignment="1">
      <alignment horizontal="left" vertical="center" shrinkToFit="1"/>
    </xf>
    <xf numFmtId="0" fontId="12" fillId="3" borderId="17" xfId="0" applyFont="1" applyFill="1" applyBorder="1" applyAlignment="1">
      <alignment horizontal="left" vertical="center" shrinkToFit="1"/>
    </xf>
    <xf numFmtId="0" fontId="12" fillId="3" borderId="18" xfId="0" applyFont="1" applyFill="1" applyBorder="1" applyAlignment="1">
      <alignment horizontal="center" vertical="center" shrinkToFit="1"/>
    </xf>
    <xf numFmtId="0" fontId="12" fillId="3" borderId="19" xfId="0" applyFont="1" applyFill="1" applyBorder="1" applyAlignment="1">
      <alignment horizontal="center" vertical="center" shrinkToFit="1"/>
    </xf>
    <xf numFmtId="0" fontId="12" fillId="3" borderId="17" xfId="0" applyFont="1" applyFill="1" applyBorder="1" applyAlignment="1">
      <alignment horizontal="center" vertical="center" shrinkToFit="1"/>
    </xf>
    <xf numFmtId="0" fontId="12" fillId="3" borderId="29" xfId="0" applyFont="1" applyFill="1" applyBorder="1" applyAlignment="1">
      <alignment horizontal="left" vertical="center" shrinkToFit="1"/>
    </xf>
    <xf numFmtId="0" fontId="12" fillId="3" borderId="31" xfId="0" applyFont="1" applyFill="1" applyBorder="1" applyAlignment="1">
      <alignment horizontal="left" vertical="center" shrinkToFit="1"/>
    </xf>
    <xf numFmtId="0" fontId="12" fillId="3" borderId="30" xfId="0" applyFont="1" applyFill="1" applyBorder="1" applyAlignment="1">
      <alignment horizontal="left" vertical="center" shrinkToFit="1"/>
    </xf>
    <xf numFmtId="0" fontId="12" fillId="3" borderId="29" xfId="0" applyFont="1" applyFill="1" applyBorder="1" applyAlignment="1">
      <alignment horizontal="center" vertical="center" shrinkToFit="1"/>
    </xf>
    <xf numFmtId="0" fontId="12" fillId="3" borderId="31" xfId="0" applyFont="1" applyFill="1" applyBorder="1" applyAlignment="1">
      <alignment horizontal="center" vertical="center" shrinkToFit="1"/>
    </xf>
    <xf numFmtId="0" fontId="12" fillId="3" borderId="30" xfId="0" applyFont="1" applyFill="1" applyBorder="1" applyAlignment="1">
      <alignment horizontal="center" vertical="center" shrinkToFit="1"/>
    </xf>
    <xf numFmtId="0" fontId="12" fillId="3" borderId="32" xfId="0" applyFont="1" applyFill="1" applyBorder="1" applyAlignment="1">
      <alignment horizontal="center" vertical="center" shrinkToFit="1"/>
    </xf>
    <xf numFmtId="0" fontId="12" fillId="3" borderId="33" xfId="0" applyFont="1" applyFill="1" applyBorder="1" applyAlignment="1">
      <alignment horizontal="center" vertical="center" shrinkToFit="1"/>
    </xf>
    <xf numFmtId="0" fontId="12" fillId="3" borderId="34" xfId="0" applyFont="1" applyFill="1" applyBorder="1" applyAlignment="1">
      <alignment horizontal="center" vertical="center" shrinkToFit="1"/>
    </xf>
    <xf numFmtId="0" fontId="16" fillId="3" borderId="2" xfId="0" applyFont="1" applyFill="1" applyBorder="1" applyAlignment="1">
      <alignment horizontal="center" vertical="center" shrinkToFit="1"/>
    </xf>
    <xf numFmtId="0" fontId="16" fillId="3" borderId="4" xfId="0" applyFont="1" applyFill="1" applyBorder="1" applyAlignment="1">
      <alignment horizontal="center" vertical="center" shrinkToFit="1"/>
    </xf>
    <xf numFmtId="0" fontId="14" fillId="3" borderId="40" xfId="0" applyFont="1" applyFill="1" applyBorder="1" applyAlignment="1">
      <alignment vertical="center" wrapText="1"/>
    </xf>
    <xf numFmtId="0" fontId="14" fillId="3" borderId="41" xfId="0" applyFont="1" applyFill="1" applyBorder="1" applyAlignment="1">
      <alignment vertical="center" wrapText="1"/>
    </xf>
    <xf numFmtId="49" fontId="14" fillId="3" borderId="29" xfId="0" applyNumberFormat="1" applyFont="1" applyFill="1" applyBorder="1" applyAlignment="1">
      <alignment horizontal="left" vertical="center" wrapText="1"/>
    </xf>
    <xf numFmtId="49" fontId="14" fillId="3" borderId="31" xfId="0" applyNumberFormat="1" applyFont="1" applyFill="1" applyBorder="1" applyAlignment="1">
      <alignment horizontal="left" vertical="center"/>
    </xf>
    <xf numFmtId="49" fontId="14" fillId="3" borderId="30" xfId="0" applyNumberFormat="1" applyFont="1" applyFill="1" applyBorder="1" applyAlignment="1">
      <alignment horizontal="left" vertical="center"/>
    </xf>
    <xf numFmtId="49" fontId="14" fillId="3" borderId="32" xfId="0" applyNumberFormat="1" applyFont="1" applyFill="1" applyBorder="1" applyAlignment="1">
      <alignment horizontal="left" vertical="center" wrapText="1"/>
    </xf>
    <xf numFmtId="49" fontId="14" fillId="3" borderId="33" xfId="0" applyNumberFormat="1" applyFont="1" applyFill="1" applyBorder="1" applyAlignment="1">
      <alignment horizontal="left" vertical="center"/>
    </xf>
    <xf numFmtId="49" fontId="14" fillId="3" borderId="34" xfId="0" applyNumberFormat="1" applyFont="1" applyFill="1" applyBorder="1" applyAlignment="1">
      <alignment horizontal="left" vertical="center"/>
    </xf>
    <xf numFmtId="0" fontId="14" fillId="3" borderId="27" xfId="0" applyFont="1" applyFill="1" applyBorder="1" applyAlignment="1">
      <alignment vertical="center" wrapText="1"/>
    </xf>
    <xf numFmtId="0" fontId="11" fillId="3" borderId="6" xfId="0" applyFont="1" applyFill="1" applyBorder="1" applyAlignment="1">
      <alignment horizontal="left" vertical="center" wrapText="1"/>
    </xf>
    <xf numFmtId="0" fontId="11" fillId="3" borderId="1" xfId="0" applyFont="1" applyFill="1" applyBorder="1" applyAlignment="1">
      <alignment horizontal="center" vertical="center"/>
    </xf>
    <xf numFmtId="0" fontId="14" fillId="3" borderId="1" xfId="0" applyFont="1" applyFill="1" applyBorder="1" applyAlignment="1">
      <alignment vertical="center" wrapText="1"/>
    </xf>
    <xf numFmtId="49" fontId="14" fillId="3" borderId="18" xfId="0" applyNumberFormat="1" applyFont="1" applyFill="1" applyBorder="1" applyAlignment="1">
      <alignment horizontal="left" vertical="center" wrapText="1"/>
    </xf>
    <xf numFmtId="49" fontId="14" fillId="3" borderId="19" xfId="0" applyNumberFormat="1" applyFont="1" applyFill="1" applyBorder="1" applyAlignment="1">
      <alignment horizontal="left" vertical="center"/>
    </xf>
    <xf numFmtId="49" fontId="14" fillId="3" borderId="17" xfId="0" applyNumberFormat="1" applyFont="1" applyFill="1" applyBorder="1" applyAlignment="1">
      <alignment horizontal="left" vertical="center"/>
    </xf>
    <xf numFmtId="0" fontId="12" fillId="3" borderId="2" xfId="0" applyFont="1" applyFill="1" applyBorder="1" applyAlignment="1">
      <alignment vertical="center" wrapText="1" shrinkToFit="1"/>
    </xf>
    <xf numFmtId="0" fontId="12" fillId="3" borderId="3" xfId="0" applyFont="1" applyFill="1" applyBorder="1" applyAlignment="1">
      <alignment vertical="center" wrapText="1" shrinkToFit="1"/>
    </xf>
    <xf numFmtId="0" fontId="12" fillId="3" borderId="4" xfId="0" applyFont="1" applyFill="1" applyBorder="1" applyAlignment="1">
      <alignment vertical="center" wrapText="1" shrinkToFit="1"/>
    </xf>
    <xf numFmtId="0" fontId="11" fillId="3" borderId="0" xfId="0" applyFont="1" applyFill="1" applyAlignment="1">
      <alignment horizontal="left" vertical="center" wrapText="1"/>
    </xf>
    <xf numFmtId="0" fontId="11" fillId="0" borderId="31" xfId="0" applyFont="1" applyBorder="1" applyAlignment="1">
      <alignment vertical="center" shrinkToFit="1"/>
    </xf>
    <xf numFmtId="0" fontId="11" fillId="0" borderId="19" xfId="0" applyFont="1" applyBorder="1" applyAlignment="1">
      <alignment vertical="center" shrinkToFit="1"/>
    </xf>
    <xf numFmtId="49" fontId="14" fillId="0" borderId="29" xfId="0" applyNumberFormat="1" applyFont="1" applyBorder="1" applyAlignment="1">
      <alignment horizontal="left" vertical="center" wrapText="1"/>
    </xf>
    <xf numFmtId="49" fontId="14" fillId="0" borderId="31" xfId="0" applyNumberFormat="1" applyFont="1" applyBorder="1" applyAlignment="1">
      <alignment horizontal="left" vertical="center"/>
    </xf>
    <xf numFmtId="49" fontId="14" fillId="0" borderId="30" xfId="0" applyNumberFormat="1" applyFont="1" applyBorder="1" applyAlignment="1">
      <alignment horizontal="left" vertical="center"/>
    </xf>
    <xf numFmtId="49" fontId="14" fillId="0" borderId="32" xfId="0" applyNumberFormat="1" applyFont="1" applyBorder="1" applyAlignment="1">
      <alignment horizontal="left" vertical="center" wrapText="1"/>
    </xf>
    <xf numFmtId="49" fontId="14" fillId="0" borderId="33" xfId="0" applyNumberFormat="1" applyFont="1" applyBorder="1" applyAlignment="1">
      <alignment horizontal="left" vertical="center"/>
    </xf>
    <xf numFmtId="49" fontId="14" fillId="0" borderId="34" xfId="0" applyNumberFormat="1" applyFont="1" applyBorder="1" applyAlignment="1">
      <alignment horizontal="left" vertical="center"/>
    </xf>
    <xf numFmtId="49" fontId="14" fillId="0" borderId="18" xfId="0" applyNumberFormat="1" applyFont="1" applyBorder="1" applyAlignment="1">
      <alignment horizontal="left" vertical="center" wrapText="1"/>
    </xf>
    <xf numFmtId="49" fontId="14" fillId="0" borderId="19" xfId="0" applyNumberFormat="1" applyFont="1" applyBorder="1" applyAlignment="1">
      <alignment horizontal="left" vertical="center"/>
    </xf>
    <xf numFmtId="49" fontId="14" fillId="0" borderId="17" xfId="0" applyNumberFormat="1" applyFont="1" applyBorder="1" applyAlignment="1">
      <alignment horizontal="left" vertical="center"/>
    </xf>
    <xf numFmtId="0" fontId="11" fillId="0" borderId="6" xfId="0" applyFont="1" applyBorder="1" applyAlignment="1">
      <alignment horizontal="left" vertical="center" wrapText="1"/>
    </xf>
    <xf numFmtId="0" fontId="11" fillId="0" borderId="1" xfId="0" applyFont="1" applyBorder="1" applyAlignment="1">
      <alignment horizontal="center" vertical="center"/>
    </xf>
    <xf numFmtId="0" fontId="14" fillId="0" borderId="1" xfId="0" applyFont="1" applyBorder="1" applyAlignment="1">
      <alignment vertical="center" wrapText="1"/>
    </xf>
    <xf numFmtId="0" fontId="14" fillId="0" borderId="40" xfId="0" applyFont="1" applyBorder="1" applyAlignment="1">
      <alignment vertical="center" wrapText="1"/>
    </xf>
    <xf numFmtId="0" fontId="14" fillId="0" borderId="27" xfId="0" applyFont="1" applyBorder="1" applyAlignment="1">
      <alignment vertical="center" wrapText="1"/>
    </xf>
    <xf numFmtId="0" fontId="14" fillId="0" borderId="41" xfId="0" applyFont="1" applyBorder="1" applyAlignment="1">
      <alignment vertical="center" wrapText="1"/>
    </xf>
    <xf numFmtId="0" fontId="12" fillId="0" borderId="2" xfId="0" applyFont="1" applyBorder="1" applyAlignment="1">
      <alignment vertical="center" wrapText="1" shrinkToFit="1"/>
    </xf>
    <xf numFmtId="0" fontId="12" fillId="0" borderId="3" xfId="0" applyFont="1" applyBorder="1" applyAlignment="1">
      <alignment vertical="center" wrapText="1" shrinkToFit="1"/>
    </xf>
    <xf numFmtId="0" fontId="12" fillId="0" borderId="4" xfId="0" applyFont="1" applyBorder="1" applyAlignment="1">
      <alignment vertical="center" wrapText="1" shrinkToFit="1"/>
    </xf>
    <xf numFmtId="0" fontId="11" fillId="0" borderId="0" xfId="0" applyFont="1" applyAlignment="1">
      <alignment horizontal="left" vertical="center" wrapText="1"/>
    </xf>
    <xf numFmtId="0" fontId="12" fillId="0" borderId="32" xfId="0" applyFont="1" applyBorder="1" applyAlignment="1">
      <alignment vertical="center" shrinkToFit="1"/>
    </xf>
    <xf numFmtId="0" fontId="12" fillId="0" borderId="33" xfId="0" applyFont="1" applyBorder="1" applyAlignment="1">
      <alignment vertical="center" shrinkToFit="1"/>
    </xf>
    <xf numFmtId="0" fontId="12" fillId="0" borderId="34" xfId="0" applyFont="1" applyBorder="1" applyAlignment="1">
      <alignment vertical="center" shrinkToFit="1"/>
    </xf>
    <xf numFmtId="0" fontId="12" fillId="0" borderId="32" xfId="0" applyFont="1" applyBorder="1" applyAlignment="1">
      <alignment horizontal="center" vertical="center" shrinkToFit="1"/>
    </xf>
    <xf numFmtId="0" fontId="12" fillId="0" borderId="33" xfId="0" applyFont="1" applyBorder="1" applyAlignment="1">
      <alignment horizontal="center" vertical="center" shrinkToFit="1"/>
    </xf>
    <xf numFmtId="0" fontId="12" fillId="0" borderId="34" xfId="0" applyFont="1" applyBorder="1" applyAlignment="1">
      <alignment horizontal="center" vertical="center" shrinkToFit="1"/>
    </xf>
    <xf numFmtId="0" fontId="16" fillId="0" borderId="2" xfId="0" applyFont="1" applyBorder="1" applyAlignment="1">
      <alignment horizontal="center" vertical="center" shrinkToFit="1"/>
    </xf>
    <xf numFmtId="0" fontId="16" fillId="0" borderId="4" xfId="0"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2" fillId="0" borderId="18" xfId="0" applyFont="1" applyBorder="1" applyAlignment="1">
      <alignment vertical="center" shrinkToFit="1"/>
    </xf>
    <xf numFmtId="0" fontId="12" fillId="0" borderId="19" xfId="0" applyFont="1" applyBorder="1" applyAlignment="1">
      <alignment vertical="center" shrinkToFit="1"/>
    </xf>
    <xf numFmtId="0" fontId="12" fillId="0" borderId="17" xfId="0" applyFont="1" applyBorder="1" applyAlignment="1">
      <alignment vertical="center" shrinkToFit="1"/>
    </xf>
    <xf numFmtId="0" fontId="12" fillId="0" borderId="18" xfId="0" applyFont="1" applyBorder="1" applyAlignment="1">
      <alignment horizontal="center" vertical="center" shrinkToFit="1"/>
    </xf>
    <xf numFmtId="0" fontId="12" fillId="0" borderId="19" xfId="0" applyFont="1" applyBorder="1" applyAlignment="1">
      <alignment horizontal="center" vertical="center" shrinkToFit="1"/>
    </xf>
    <xf numFmtId="0" fontId="12" fillId="0" borderId="17" xfId="0" applyFont="1" applyBorder="1" applyAlignment="1">
      <alignment horizontal="center" vertical="center" shrinkToFit="1"/>
    </xf>
    <xf numFmtId="0" fontId="12" fillId="0" borderId="18" xfId="0" applyFont="1" applyBorder="1" applyAlignment="1">
      <alignment horizontal="left" vertical="center" shrinkToFit="1"/>
    </xf>
    <xf numFmtId="0" fontId="12" fillId="0" borderId="19" xfId="0" applyFont="1" applyBorder="1" applyAlignment="1">
      <alignment horizontal="left" vertical="center" shrinkToFit="1"/>
    </xf>
    <xf numFmtId="0" fontId="12" fillId="0" borderId="17" xfId="0" applyFont="1" applyBorder="1" applyAlignment="1">
      <alignment horizontal="left" vertical="center" shrinkToFit="1"/>
    </xf>
    <xf numFmtId="0" fontId="12" fillId="0" borderId="29" xfId="0" applyFont="1" applyBorder="1" applyAlignment="1">
      <alignment vertical="center" shrinkToFit="1"/>
    </xf>
    <xf numFmtId="0" fontId="12" fillId="0" borderId="31" xfId="0" applyFont="1" applyBorder="1" applyAlignment="1">
      <alignment vertical="center" shrinkToFit="1"/>
    </xf>
    <xf numFmtId="0" fontId="12" fillId="0" borderId="30" xfId="0" applyFont="1" applyBorder="1" applyAlignment="1">
      <alignment vertical="center" shrinkToFit="1"/>
    </xf>
    <xf numFmtId="0" fontId="12" fillId="0" borderId="29" xfId="0" applyFont="1" applyBorder="1" applyAlignment="1">
      <alignment horizontal="left" vertical="center" shrinkToFit="1"/>
    </xf>
    <xf numFmtId="0" fontId="12" fillId="0" borderId="31" xfId="0" applyFont="1" applyBorder="1" applyAlignment="1">
      <alignment horizontal="left" vertical="center" shrinkToFit="1"/>
    </xf>
    <xf numFmtId="0" fontId="12" fillId="0" borderId="30" xfId="0" applyFont="1" applyBorder="1" applyAlignment="1">
      <alignment horizontal="left" vertical="center" shrinkToFit="1"/>
    </xf>
    <xf numFmtId="0" fontId="12" fillId="0" borderId="29" xfId="0" applyFont="1" applyBorder="1" applyAlignment="1">
      <alignment horizontal="center" vertical="center" shrinkToFit="1"/>
    </xf>
    <xf numFmtId="0" fontId="12" fillId="0" borderId="31" xfId="0" applyFont="1" applyBorder="1" applyAlignment="1">
      <alignment horizontal="center" vertical="center" shrinkToFit="1"/>
    </xf>
    <xf numFmtId="0" fontId="12" fillId="0" borderId="30" xfId="0" applyFont="1" applyBorder="1" applyAlignment="1">
      <alignment horizontal="center" vertical="center" shrinkToFit="1"/>
    </xf>
    <xf numFmtId="0" fontId="12" fillId="0" borderId="7" xfId="0" applyFont="1" applyBorder="1" applyAlignment="1">
      <alignment horizontal="center" vertical="center"/>
    </xf>
    <xf numFmtId="0" fontId="12" fillId="0" borderId="8" xfId="0" applyFont="1" applyBorder="1" applyAlignment="1">
      <alignment horizontal="center" vertical="center"/>
    </xf>
    <xf numFmtId="0" fontId="12" fillId="0" borderId="9" xfId="0" applyFont="1" applyBorder="1" applyAlignment="1">
      <alignment horizontal="center" vertical="center"/>
    </xf>
    <xf numFmtId="0" fontId="12" fillId="0" borderId="0" xfId="0" applyFont="1" applyAlignment="1">
      <alignment vertical="center" wrapText="1"/>
    </xf>
    <xf numFmtId="0" fontId="12" fillId="0" borderId="7" xfId="0" applyFont="1" applyBorder="1" applyAlignment="1">
      <alignment horizontal="left" vertical="top" wrapText="1" shrinkToFit="1"/>
    </xf>
    <xf numFmtId="0" fontId="12" fillId="0" borderId="8" xfId="0" applyFont="1" applyBorder="1" applyAlignment="1">
      <alignment horizontal="left" vertical="top" wrapText="1" shrinkToFit="1"/>
    </xf>
    <xf numFmtId="0" fontId="12" fillId="0" borderId="9" xfId="0" applyFont="1" applyBorder="1" applyAlignment="1">
      <alignment horizontal="left" vertical="top" wrapText="1" shrinkToFit="1"/>
    </xf>
    <xf numFmtId="0" fontId="12" fillId="0" borderId="5" xfId="0" applyFont="1" applyBorder="1" applyAlignment="1">
      <alignment horizontal="left" vertical="top" wrapText="1" shrinkToFit="1"/>
    </xf>
    <xf numFmtId="0" fontId="12" fillId="0" borderId="0" xfId="0" applyFont="1" applyAlignment="1">
      <alignment horizontal="left" vertical="top" wrapText="1" shrinkToFit="1"/>
    </xf>
    <xf numFmtId="0" fontId="12" fillId="0" borderId="10" xfId="0" applyFont="1" applyBorder="1" applyAlignment="1">
      <alignment horizontal="left" vertical="top" wrapText="1" shrinkToFit="1"/>
    </xf>
    <xf numFmtId="0" fontId="12" fillId="0" borderId="11" xfId="0" applyFont="1" applyBorder="1" applyAlignment="1">
      <alignment horizontal="left" vertical="top" wrapText="1" shrinkToFit="1"/>
    </xf>
    <xf numFmtId="0" fontId="12" fillId="0" borderId="6" xfId="0" applyFont="1" applyBorder="1" applyAlignment="1">
      <alignment horizontal="left" vertical="top" wrapText="1" shrinkToFit="1"/>
    </xf>
    <xf numFmtId="0" fontId="12" fillId="0" borderId="12" xfId="0" applyFont="1" applyBorder="1" applyAlignment="1">
      <alignment horizontal="left" vertical="top" wrapText="1" shrinkToFit="1"/>
    </xf>
    <xf numFmtId="0" fontId="11" fillId="0" borderId="2" xfId="0" applyFont="1" applyBorder="1" applyAlignment="1">
      <alignment horizontal="center" vertical="center" shrinkToFit="1"/>
    </xf>
    <xf numFmtId="0" fontId="11" fillId="0" borderId="3" xfId="0" applyFont="1" applyBorder="1" applyAlignment="1">
      <alignment horizontal="center" vertical="center" shrinkToFit="1"/>
    </xf>
    <xf numFmtId="0" fontId="11" fillId="0" borderId="4" xfId="0" applyFont="1" applyBorder="1" applyAlignment="1">
      <alignment horizontal="center" vertical="center" shrinkToFit="1"/>
    </xf>
    <xf numFmtId="0" fontId="12" fillId="0" borderId="0" xfId="0" applyFont="1" applyAlignment="1">
      <alignment horizontal="right" vertical="center"/>
    </xf>
    <xf numFmtId="0" fontId="15" fillId="0" borderId="0" xfId="0" applyFont="1" applyAlignment="1">
      <alignment horizontal="center"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2" fillId="0" borderId="7" xfId="0" applyFont="1" applyBorder="1" applyAlignment="1">
      <alignment horizontal="left" vertical="center" wrapText="1"/>
    </xf>
    <xf numFmtId="0" fontId="12" fillId="0" borderId="8" xfId="0" applyFont="1" applyBorder="1" applyAlignment="1">
      <alignment horizontal="left" vertical="center" wrapText="1"/>
    </xf>
    <xf numFmtId="0" fontId="12" fillId="0" borderId="9" xfId="0" applyFont="1" applyBorder="1" applyAlignment="1">
      <alignment horizontal="left" vertical="center" wrapText="1"/>
    </xf>
    <xf numFmtId="0" fontId="12" fillId="0" borderId="11" xfId="0" applyFont="1" applyBorder="1" applyAlignment="1">
      <alignment horizontal="left" vertical="center" wrapText="1"/>
    </xf>
    <xf numFmtId="0" fontId="12" fillId="0" borderId="6" xfId="0" applyFont="1" applyBorder="1" applyAlignment="1">
      <alignment horizontal="left" vertical="center" wrapText="1"/>
    </xf>
    <xf numFmtId="0" fontId="12" fillId="0" borderId="12" xfId="0" applyFont="1" applyBorder="1" applyAlignment="1">
      <alignment horizontal="left" vertical="center" wrapText="1"/>
    </xf>
    <xf numFmtId="0" fontId="2" fillId="0" borderId="14" xfId="0" applyFont="1" applyBorder="1" applyAlignment="1">
      <alignment horizontal="center" vertical="center"/>
    </xf>
    <xf numFmtId="0" fontId="12" fillId="0" borderId="1" xfId="0" applyFont="1" applyBorder="1" applyAlignment="1">
      <alignment horizontal="center" vertical="center"/>
    </xf>
    <xf numFmtId="0" fontId="12" fillId="0" borderId="2" xfId="0" applyFont="1" applyBorder="1" applyAlignment="1">
      <alignment horizontal="center" vertical="center" shrinkToFit="1"/>
    </xf>
    <xf numFmtId="0" fontId="1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10" fillId="0" borderId="0" xfId="0" applyFont="1" applyAlignment="1">
      <alignment horizontal="left" vertical="center" wrapText="1"/>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6" fillId="0" borderId="0" xfId="0" applyFont="1" applyAlignment="1">
      <alignment horizontal="center" vertical="center"/>
    </xf>
    <xf numFmtId="0" fontId="2" fillId="0" borderId="2" xfId="0" applyFont="1" applyBorder="1" applyAlignment="1">
      <alignment vertical="center" wrapText="1"/>
    </xf>
    <xf numFmtId="0" fontId="2" fillId="0" borderId="3" xfId="0" applyFont="1" applyBorder="1" applyAlignment="1">
      <alignment vertical="center" wrapText="1"/>
    </xf>
    <xf numFmtId="0" fontId="2" fillId="0" borderId="4" xfId="0" applyFont="1" applyBorder="1" applyAlignment="1">
      <alignment vertical="center" wrapTex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wrapText="1"/>
    </xf>
    <xf numFmtId="0" fontId="5" fillId="0" borderId="3" xfId="0" applyFont="1" applyBorder="1" applyAlignment="1">
      <alignment vertical="center" wrapText="1"/>
    </xf>
    <xf numFmtId="0" fontId="5" fillId="0" borderId="4" xfId="0" applyFont="1" applyBorder="1" applyAlignment="1">
      <alignment vertical="center" wrapText="1"/>
    </xf>
    <xf numFmtId="0" fontId="2" fillId="0" borderId="2" xfId="0" applyFont="1" applyBorder="1" applyAlignment="1">
      <alignment horizontal="lef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12" fillId="0" borderId="11" xfId="0" applyFont="1" applyBorder="1" applyAlignment="1">
      <alignment vertical="center" wrapText="1"/>
    </xf>
    <xf numFmtId="0" fontId="12" fillId="0" borderId="6" xfId="0" applyFont="1" applyBorder="1" applyAlignment="1">
      <alignment vertical="center" wrapText="1"/>
    </xf>
    <xf numFmtId="0" fontId="1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18" xfId="0" applyFont="1" applyBorder="1" applyAlignment="1">
      <alignment vertical="top" wrapText="1" shrinkToFit="1"/>
    </xf>
    <xf numFmtId="0" fontId="2" fillId="0" borderId="32" xfId="0" applyFont="1" applyBorder="1" applyAlignment="1">
      <alignment vertical="top" wrapText="1" shrinkToFit="1"/>
    </xf>
    <xf numFmtId="0" fontId="2" fillId="0" borderId="16" xfId="0" applyFont="1" applyBorder="1">
      <alignment vertical="center"/>
    </xf>
    <xf numFmtId="0" fontId="5" fillId="0" borderId="17" xfId="0" applyFont="1" applyBorder="1">
      <alignment vertical="center"/>
    </xf>
    <xf numFmtId="0" fontId="2" fillId="0" borderId="3" xfId="0" applyFont="1" applyBorder="1" applyAlignment="1">
      <alignment horizontal="center" vertical="center"/>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cellXfs>
  <cellStyles count="3">
    <cellStyle name="パーセント" xfId="1" builtinId="5"/>
    <cellStyle name="桁区切り" xfId="2" builtinId="6"/>
    <cellStyle name="標準" xfId="0" builtinId="0"/>
  </cellStyles>
  <dxfs count="6">
    <dxf>
      <font>
        <color theme="0" tint="-0.34998626667073579"/>
      </font>
      <fill>
        <patternFill>
          <bgColor theme="0" tint="-0.34998626667073579"/>
        </patternFill>
      </fill>
    </dxf>
    <dxf>
      <fill>
        <patternFill>
          <bgColor theme="0" tint="-0.34998626667073579"/>
        </patternFill>
      </fill>
    </dxf>
    <dxf>
      <font>
        <color theme="0" tint="-0.34998626667073579"/>
      </font>
      <fill>
        <patternFill>
          <bgColor theme="0" tint="-0.34998626667073579"/>
        </patternFill>
      </fill>
    </dxf>
    <dxf>
      <fill>
        <patternFill>
          <bgColor theme="0" tint="-0.34998626667073579"/>
        </patternFill>
      </fill>
    </dxf>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E8632-B053-4256-81AA-3A97953E754E}">
  <sheetPr>
    <pageSetUpPr fitToPage="1"/>
  </sheetPr>
  <dimension ref="A1:AG114"/>
  <sheetViews>
    <sheetView showZeros="0" view="pageBreakPreview" zoomScaleNormal="100" zoomScaleSheetLayoutView="100" workbookViewId="0">
      <selection activeCell="B15" sqref="B15:U20"/>
    </sheetView>
  </sheetViews>
  <sheetFormatPr defaultColWidth="9" defaultRowHeight="18.75" customHeight="1" x14ac:dyDescent="0.2"/>
  <cols>
    <col min="1" max="1" width="2.44140625" style="66" customWidth="1"/>
    <col min="2" max="2" width="16.44140625" style="66" customWidth="1"/>
    <col min="3" max="21" width="5.6640625" style="66" customWidth="1"/>
    <col min="22" max="22" width="9" style="66"/>
    <col min="23" max="23" width="3.6640625" style="66" customWidth="1"/>
    <col min="24" max="24" width="48.6640625" style="66" hidden="1" customWidth="1"/>
    <col min="25" max="16384" width="9" style="66"/>
  </cols>
  <sheetData>
    <row r="1" spans="1:24" ht="18.600000000000001" customHeight="1" x14ac:dyDescent="0.2">
      <c r="T1" s="124" t="s">
        <v>168</v>
      </c>
      <c r="U1" s="124"/>
      <c r="V1" s="71" t="s">
        <v>99</v>
      </c>
    </row>
    <row r="2" spans="1:24" ht="18.75" customHeight="1" x14ac:dyDescent="0.2">
      <c r="B2" s="67" t="s">
        <v>98</v>
      </c>
      <c r="C2" s="125" t="s">
        <v>136</v>
      </c>
      <c r="D2" s="126"/>
      <c r="E2" s="126"/>
      <c r="F2" s="126"/>
      <c r="G2" s="126"/>
      <c r="H2" s="126"/>
      <c r="I2" s="126"/>
      <c r="J2" s="127"/>
      <c r="K2" s="80"/>
      <c r="L2" s="68"/>
      <c r="M2" s="68"/>
      <c r="N2" s="68"/>
      <c r="O2" s="68"/>
      <c r="P2" s="68"/>
      <c r="Q2" s="68"/>
      <c r="R2" s="68"/>
      <c r="S2" s="68"/>
      <c r="T2" s="68"/>
      <c r="U2" s="68"/>
    </row>
    <row r="3" spans="1:24" ht="28.5" customHeight="1" x14ac:dyDescent="0.2">
      <c r="B3" s="67" t="s">
        <v>93</v>
      </c>
      <c r="C3" s="128" t="s">
        <v>209</v>
      </c>
      <c r="D3" s="129"/>
      <c r="E3" s="129"/>
      <c r="F3" s="129"/>
      <c r="G3" s="129"/>
      <c r="H3" s="129"/>
      <c r="I3" s="129"/>
      <c r="J3" s="130"/>
      <c r="K3" s="80"/>
      <c r="L3" s="68"/>
      <c r="M3" s="68"/>
      <c r="N3" s="68"/>
      <c r="O3" s="68"/>
      <c r="P3" s="68"/>
      <c r="Q3" s="68"/>
      <c r="R3" s="68"/>
      <c r="S3" s="68"/>
      <c r="T3" s="68"/>
      <c r="U3" s="68"/>
    </row>
    <row r="4" spans="1:24" ht="15" customHeight="1" x14ac:dyDescent="0.2">
      <c r="L4" s="80"/>
      <c r="M4" s="69"/>
      <c r="N4" s="69"/>
      <c r="O4" s="69"/>
      <c r="P4" s="69"/>
      <c r="Q4" s="69"/>
      <c r="R4" s="69"/>
      <c r="S4" s="69"/>
      <c r="T4" s="69"/>
      <c r="U4" s="69"/>
    </row>
    <row r="5" spans="1:24" ht="18" customHeight="1" x14ac:dyDescent="0.2">
      <c r="A5" s="131" t="s">
        <v>37</v>
      </c>
      <c r="B5" s="131"/>
      <c r="C5" s="131"/>
      <c r="D5" s="131"/>
      <c r="E5" s="131"/>
      <c r="F5" s="131"/>
      <c r="G5" s="131"/>
      <c r="H5" s="131"/>
      <c r="I5" s="131"/>
      <c r="J5" s="131"/>
      <c r="K5" s="131"/>
      <c r="L5" s="131"/>
      <c r="M5" s="131"/>
      <c r="N5" s="131"/>
      <c r="O5" s="131"/>
      <c r="P5" s="131"/>
      <c r="Q5" s="131"/>
      <c r="R5" s="131"/>
      <c r="S5" s="131"/>
      <c r="T5" s="131"/>
      <c r="U5" s="131"/>
    </row>
    <row r="6" spans="1:24" ht="15" customHeight="1" x14ac:dyDescent="0.2">
      <c r="B6" s="70"/>
      <c r="C6" s="70"/>
      <c r="D6" s="70"/>
      <c r="E6" s="70"/>
      <c r="F6" s="70"/>
      <c r="G6" s="70"/>
      <c r="H6" s="70"/>
      <c r="I6" s="70"/>
      <c r="J6" s="70"/>
      <c r="K6" s="70"/>
      <c r="L6" s="70"/>
      <c r="M6" s="70"/>
      <c r="N6" s="70"/>
      <c r="O6" s="70"/>
      <c r="P6" s="70"/>
      <c r="Q6" s="70"/>
      <c r="R6" s="70"/>
      <c r="S6" s="70"/>
      <c r="T6" s="70"/>
      <c r="U6" s="70"/>
    </row>
    <row r="7" spans="1:24" ht="15" customHeight="1" x14ac:dyDescent="0.2">
      <c r="A7" s="66" t="s">
        <v>131</v>
      </c>
      <c r="B7" s="70"/>
      <c r="C7" s="70"/>
      <c r="D7" s="70"/>
      <c r="E7" s="70"/>
      <c r="F7" s="71"/>
      <c r="G7" s="71"/>
      <c r="H7" s="71"/>
      <c r="I7" s="71"/>
      <c r="J7" s="71"/>
      <c r="K7" s="71"/>
      <c r="L7" s="132" t="s">
        <v>129</v>
      </c>
      <c r="M7" s="133"/>
      <c r="N7" s="133"/>
      <c r="O7" s="133"/>
      <c r="P7" s="133"/>
      <c r="Q7" s="133"/>
      <c r="R7" s="133"/>
      <c r="S7" s="133"/>
      <c r="T7" s="133"/>
      <c r="U7" s="134"/>
    </row>
    <row r="8" spans="1:24" ht="6" customHeight="1" x14ac:dyDescent="0.2">
      <c r="B8" s="70"/>
      <c r="C8" s="70"/>
      <c r="D8" s="70"/>
      <c r="E8" s="70"/>
      <c r="F8" s="70"/>
      <c r="G8" s="70"/>
      <c r="H8" s="70"/>
      <c r="I8" s="70"/>
      <c r="J8" s="70"/>
      <c r="K8" s="70"/>
      <c r="L8" s="70"/>
      <c r="M8" s="70"/>
      <c r="N8" s="70"/>
      <c r="O8" s="70"/>
      <c r="P8" s="70"/>
      <c r="Q8" s="70"/>
      <c r="R8" s="70"/>
      <c r="S8" s="70"/>
      <c r="T8" s="70"/>
      <c r="U8" s="70"/>
    </row>
    <row r="9" spans="1:24" ht="18" customHeight="1" x14ac:dyDescent="0.2">
      <c r="A9" s="66" t="s">
        <v>132</v>
      </c>
      <c r="C9" s="70"/>
      <c r="D9" s="70"/>
      <c r="K9" s="80"/>
      <c r="L9" s="71"/>
      <c r="M9" s="71"/>
      <c r="N9" s="71"/>
      <c r="O9" s="71"/>
      <c r="P9" s="71"/>
      <c r="Q9" s="71"/>
      <c r="R9" s="71"/>
      <c r="S9" s="71"/>
      <c r="T9" s="71"/>
      <c r="U9" s="71"/>
    </row>
    <row r="10" spans="1:24" ht="6" customHeight="1" x14ac:dyDescent="0.2">
      <c r="B10" s="70"/>
      <c r="C10" s="70"/>
      <c r="D10" s="70"/>
      <c r="E10" s="70"/>
      <c r="F10" s="70"/>
      <c r="G10" s="70"/>
      <c r="H10" s="70"/>
      <c r="I10" s="70"/>
      <c r="J10" s="70"/>
      <c r="K10" s="70"/>
      <c r="L10" s="72"/>
      <c r="M10" s="70"/>
      <c r="N10" s="70"/>
      <c r="O10" s="70"/>
      <c r="P10" s="70"/>
      <c r="Q10" s="70"/>
      <c r="R10" s="70"/>
      <c r="S10" s="70"/>
      <c r="T10" s="70"/>
      <c r="U10" s="70"/>
    </row>
    <row r="11" spans="1:24" ht="18" customHeight="1" x14ac:dyDescent="0.2">
      <c r="B11" s="135" t="s">
        <v>145</v>
      </c>
      <c r="C11" s="136"/>
      <c r="D11" s="136"/>
      <c r="E11" s="136"/>
      <c r="F11" s="136"/>
      <c r="G11" s="136"/>
      <c r="H11" s="136"/>
      <c r="I11" s="136"/>
      <c r="J11" s="136"/>
      <c r="K11" s="136"/>
      <c r="L11" s="136"/>
      <c r="M11" s="136"/>
      <c r="N11" s="136"/>
      <c r="O11" s="136"/>
      <c r="P11" s="136"/>
      <c r="Q11" s="136"/>
      <c r="R11" s="136"/>
      <c r="S11" s="136"/>
      <c r="T11" s="136"/>
      <c r="U11" s="137"/>
    </row>
    <row r="12" spans="1:24" ht="18" customHeight="1" x14ac:dyDescent="0.2">
      <c r="B12" s="138"/>
      <c r="C12" s="139"/>
      <c r="D12" s="139"/>
      <c r="E12" s="139"/>
      <c r="F12" s="139"/>
      <c r="G12" s="139"/>
      <c r="H12" s="139"/>
      <c r="I12" s="139"/>
      <c r="J12" s="139"/>
      <c r="K12" s="139"/>
      <c r="L12" s="139"/>
      <c r="M12" s="139"/>
      <c r="N12" s="139"/>
      <c r="O12" s="139"/>
      <c r="P12" s="139"/>
      <c r="Q12" s="139"/>
      <c r="R12" s="139"/>
      <c r="S12" s="139"/>
      <c r="T12" s="139"/>
      <c r="U12" s="140"/>
    </row>
    <row r="13" spans="1:24" ht="6" customHeight="1" x14ac:dyDescent="0.2">
      <c r="B13" s="70"/>
      <c r="C13" s="70"/>
      <c r="D13" s="70"/>
      <c r="E13" s="70"/>
      <c r="F13" s="70"/>
      <c r="G13" s="70"/>
      <c r="H13" s="70"/>
      <c r="I13" s="70"/>
      <c r="J13" s="70"/>
      <c r="K13" s="70"/>
      <c r="L13" s="72"/>
      <c r="M13" s="70"/>
      <c r="N13" s="70"/>
      <c r="O13" s="70"/>
      <c r="P13" s="70"/>
      <c r="Q13" s="70"/>
      <c r="R13" s="70"/>
      <c r="S13" s="70"/>
      <c r="T13" s="70"/>
      <c r="U13" s="70"/>
    </row>
    <row r="14" spans="1:24" ht="18" customHeight="1" x14ac:dyDescent="0.2">
      <c r="A14" s="66" t="s">
        <v>100</v>
      </c>
      <c r="B14" s="70"/>
      <c r="C14" s="70"/>
      <c r="D14" s="70"/>
      <c r="E14" s="80"/>
      <c r="F14" s="80"/>
      <c r="G14" s="80"/>
      <c r="H14" s="80"/>
      <c r="I14" s="80"/>
      <c r="J14" s="80"/>
      <c r="K14" s="80"/>
      <c r="L14" s="73"/>
      <c r="M14" s="73"/>
      <c r="N14" s="73"/>
      <c r="O14" s="73"/>
      <c r="P14" s="73"/>
      <c r="Q14" s="73"/>
      <c r="R14" s="73"/>
      <c r="S14" s="73"/>
      <c r="T14" s="73"/>
      <c r="U14" s="73"/>
    </row>
    <row r="15" spans="1:24" ht="18" customHeight="1" x14ac:dyDescent="0.2">
      <c r="B15" s="144" t="s">
        <v>163</v>
      </c>
      <c r="C15" s="145"/>
      <c r="D15" s="145"/>
      <c r="E15" s="145"/>
      <c r="F15" s="145"/>
      <c r="G15" s="145"/>
      <c r="H15" s="145"/>
      <c r="I15" s="145"/>
      <c r="J15" s="145"/>
      <c r="K15" s="145"/>
      <c r="L15" s="145"/>
      <c r="M15" s="145"/>
      <c r="N15" s="145"/>
      <c r="O15" s="145"/>
      <c r="P15" s="145"/>
      <c r="Q15" s="145"/>
      <c r="R15" s="145"/>
      <c r="S15" s="145"/>
      <c r="T15" s="145"/>
      <c r="U15" s="146"/>
      <c r="X15" s="66" t="s">
        <v>94</v>
      </c>
    </row>
    <row r="16" spans="1:24" ht="18" customHeight="1" x14ac:dyDescent="0.2">
      <c r="B16" s="147"/>
      <c r="C16" s="148"/>
      <c r="D16" s="148"/>
      <c r="E16" s="148"/>
      <c r="F16" s="148"/>
      <c r="G16" s="148"/>
      <c r="H16" s="148"/>
      <c r="I16" s="148"/>
      <c r="J16" s="148"/>
      <c r="K16" s="148"/>
      <c r="L16" s="148"/>
      <c r="M16" s="148"/>
      <c r="N16" s="148"/>
      <c r="O16" s="148"/>
      <c r="P16" s="148"/>
      <c r="Q16" s="148"/>
      <c r="R16" s="148"/>
      <c r="S16" s="148"/>
      <c r="T16" s="148"/>
      <c r="U16" s="149"/>
      <c r="X16" s="66" t="s">
        <v>114</v>
      </c>
    </row>
    <row r="17" spans="1:24" ht="18" customHeight="1" x14ac:dyDescent="0.2">
      <c r="B17" s="147"/>
      <c r="C17" s="148"/>
      <c r="D17" s="148"/>
      <c r="E17" s="148"/>
      <c r="F17" s="148"/>
      <c r="G17" s="148"/>
      <c r="H17" s="148"/>
      <c r="I17" s="148"/>
      <c r="J17" s="148"/>
      <c r="K17" s="148"/>
      <c r="L17" s="148"/>
      <c r="M17" s="148"/>
      <c r="N17" s="148"/>
      <c r="O17" s="148"/>
      <c r="P17" s="148"/>
      <c r="Q17" s="148"/>
      <c r="R17" s="148"/>
      <c r="S17" s="148"/>
      <c r="T17" s="148"/>
      <c r="U17" s="149"/>
      <c r="X17" s="66" t="s">
        <v>115</v>
      </c>
    </row>
    <row r="18" spans="1:24" ht="18" customHeight="1" x14ac:dyDescent="0.2">
      <c r="B18" s="147"/>
      <c r="C18" s="148"/>
      <c r="D18" s="148"/>
      <c r="E18" s="148"/>
      <c r="F18" s="148"/>
      <c r="G18" s="148"/>
      <c r="H18" s="148"/>
      <c r="I18" s="148"/>
      <c r="J18" s="148"/>
      <c r="K18" s="148"/>
      <c r="L18" s="148"/>
      <c r="M18" s="148"/>
      <c r="N18" s="148"/>
      <c r="O18" s="148"/>
      <c r="P18" s="148"/>
      <c r="Q18" s="148"/>
      <c r="R18" s="148"/>
      <c r="S18" s="148"/>
      <c r="T18" s="148"/>
      <c r="U18" s="149"/>
      <c r="X18" s="66" t="s">
        <v>116</v>
      </c>
    </row>
    <row r="19" spans="1:24" ht="18" customHeight="1" x14ac:dyDescent="0.2">
      <c r="B19" s="147"/>
      <c r="C19" s="148"/>
      <c r="D19" s="148"/>
      <c r="E19" s="148"/>
      <c r="F19" s="148"/>
      <c r="G19" s="148"/>
      <c r="H19" s="148"/>
      <c r="I19" s="148"/>
      <c r="J19" s="148"/>
      <c r="K19" s="148"/>
      <c r="L19" s="148"/>
      <c r="M19" s="148"/>
      <c r="N19" s="148"/>
      <c r="O19" s="148"/>
      <c r="P19" s="148"/>
      <c r="Q19" s="148"/>
      <c r="R19" s="148"/>
      <c r="S19" s="148"/>
      <c r="T19" s="148"/>
      <c r="U19" s="149"/>
    </row>
    <row r="20" spans="1:24" ht="18" customHeight="1" x14ac:dyDescent="0.2">
      <c r="B20" s="150"/>
      <c r="C20" s="151"/>
      <c r="D20" s="151"/>
      <c r="E20" s="151"/>
      <c r="F20" s="151"/>
      <c r="G20" s="151"/>
      <c r="H20" s="151"/>
      <c r="I20" s="151"/>
      <c r="J20" s="151"/>
      <c r="K20" s="151"/>
      <c r="L20" s="151"/>
      <c r="M20" s="151"/>
      <c r="N20" s="151"/>
      <c r="O20" s="151"/>
      <c r="P20" s="151"/>
      <c r="Q20" s="151"/>
      <c r="R20" s="151"/>
      <c r="S20" s="151"/>
      <c r="T20" s="151"/>
      <c r="U20" s="152"/>
    </row>
    <row r="21" spans="1:24" ht="7.5" customHeight="1" x14ac:dyDescent="0.2">
      <c r="B21" s="70"/>
      <c r="C21" s="70"/>
      <c r="D21" s="70"/>
      <c r="E21" s="70"/>
      <c r="F21" s="70"/>
      <c r="G21" s="70"/>
      <c r="H21" s="70"/>
      <c r="I21" s="70"/>
      <c r="J21" s="70"/>
      <c r="K21" s="70"/>
      <c r="L21" s="70"/>
      <c r="M21" s="70"/>
      <c r="N21" s="70"/>
      <c r="O21" s="70"/>
      <c r="P21" s="70"/>
      <c r="Q21" s="70"/>
      <c r="R21" s="70"/>
      <c r="S21" s="70"/>
      <c r="T21" s="70"/>
      <c r="U21" s="70"/>
    </row>
    <row r="22" spans="1:24" ht="20.100000000000001" customHeight="1" x14ac:dyDescent="0.2">
      <c r="B22" s="66" t="s">
        <v>133</v>
      </c>
      <c r="E22" s="74">
        <v>2</v>
      </c>
      <c r="F22" s="66" t="s">
        <v>112</v>
      </c>
      <c r="H22" s="75">
        <v>4</v>
      </c>
      <c r="I22" s="70" t="s">
        <v>113</v>
      </c>
      <c r="J22" s="70"/>
      <c r="K22" s="80"/>
      <c r="M22" s="80" t="s">
        <v>109</v>
      </c>
      <c r="N22" s="153" t="s">
        <v>114</v>
      </c>
      <c r="O22" s="154"/>
      <c r="P22" s="154"/>
      <c r="Q22" s="154"/>
      <c r="R22" s="154"/>
      <c r="S22" s="154"/>
      <c r="T22" s="154"/>
      <c r="U22" s="155"/>
    </row>
    <row r="23" spans="1:24" ht="7.5" customHeight="1" x14ac:dyDescent="0.2">
      <c r="B23" s="70"/>
      <c r="C23" s="70"/>
      <c r="D23" s="70"/>
      <c r="E23" s="70"/>
      <c r="F23" s="70"/>
      <c r="G23" s="70"/>
      <c r="H23" s="70"/>
      <c r="I23" s="70"/>
      <c r="J23" s="70"/>
      <c r="K23" s="70"/>
      <c r="L23" s="70"/>
      <c r="M23" s="70"/>
      <c r="N23" s="70"/>
      <c r="O23" s="70"/>
      <c r="P23" s="70"/>
      <c r="Q23" s="70"/>
      <c r="R23" s="70"/>
      <c r="S23" s="70"/>
      <c r="T23" s="70"/>
      <c r="U23" s="70"/>
    </row>
    <row r="24" spans="1:24" ht="18" customHeight="1" x14ac:dyDescent="0.2">
      <c r="A24" s="156" t="s">
        <v>101</v>
      </c>
      <c r="B24" s="156"/>
      <c r="C24" s="156"/>
      <c r="D24" s="156"/>
      <c r="E24" s="156"/>
      <c r="F24" s="156"/>
      <c r="G24" s="156"/>
      <c r="H24" s="156"/>
      <c r="I24" s="156"/>
      <c r="J24" s="156"/>
      <c r="K24" s="156"/>
      <c r="L24" s="156"/>
      <c r="M24" s="156"/>
      <c r="N24" s="156"/>
      <c r="O24" s="156"/>
      <c r="P24" s="156"/>
      <c r="Q24" s="156"/>
      <c r="R24" s="156"/>
      <c r="S24" s="156"/>
      <c r="T24" s="156"/>
      <c r="U24" s="156"/>
    </row>
    <row r="25" spans="1:24" ht="18" customHeight="1" x14ac:dyDescent="0.2">
      <c r="A25" s="156"/>
      <c r="B25" s="156"/>
      <c r="C25" s="156"/>
      <c r="D25" s="156"/>
      <c r="E25" s="156"/>
      <c r="F25" s="156"/>
      <c r="G25" s="156"/>
      <c r="H25" s="156"/>
      <c r="I25" s="156"/>
      <c r="J25" s="156"/>
      <c r="K25" s="156"/>
      <c r="L25" s="156"/>
      <c r="M25" s="156"/>
      <c r="N25" s="156"/>
      <c r="O25" s="156"/>
      <c r="P25" s="156"/>
      <c r="Q25" s="156"/>
      <c r="R25" s="156"/>
      <c r="S25" s="156"/>
      <c r="T25" s="156"/>
      <c r="U25" s="156"/>
    </row>
    <row r="26" spans="1:24" ht="18" customHeight="1" x14ac:dyDescent="0.2">
      <c r="B26" s="125" t="s">
        <v>51</v>
      </c>
      <c r="C26" s="126"/>
      <c r="D26" s="126"/>
      <c r="E26" s="126"/>
      <c r="F26" s="127"/>
      <c r="G26" s="82" t="s">
        <v>77</v>
      </c>
      <c r="H26" s="83" t="s">
        <v>80</v>
      </c>
      <c r="I26" s="84" t="s">
        <v>54</v>
      </c>
      <c r="J26" s="84" t="s">
        <v>57</v>
      </c>
      <c r="K26" s="125" t="s">
        <v>51</v>
      </c>
      <c r="L26" s="126"/>
      <c r="M26" s="126"/>
      <c r="N26" s="126"/>
      <c r="O26" s="126"/>
      <c r="P26" s="126"/>
      <c r="Q26" s="127"/>
      <c r="R26" s="82" t="s">
        <v>77</v>
      </c>
      <c r="S26" s="83" t="s">
        <v>80</v>
      </c>
      <c r="T26" s="84" t="s">
        <v>54</v>
      </c>
      <c r="U26" s="84" t="s">
        <v>57</v>
      </c>
    </row>
    <row r="27" spans="1:24" ht="18" customHeight="1" x14ac:dyDescent="0.2">
      <c r="B27" s="157" t="s">
        <v>142</v>
      </c>
      <c r="C27" s="158"/>
      <c r="D27" s="158"/>
      <c r="E27" s="158"/>
      <c r="F27" s="159"/>
      <c r="G27" s="85">
        <v>2</v>
      </c>
      <c r="H27" s="85"/>
      <c r="I27" s="85" t="s">
        <v>143</v>
      </c>
      <c r="J27" s="85" t="s">
        <v>143</v>
      </c>
      <c r="K27" s="157"/>
      <c r="L27" s="158"/>
      <c r="M27" s="158"/>
      <c r="N27" s="158"/>
      <c r="O27" s="158"/>
      <c r="P27" s="158"/>
      <c r="Q27" s="159"/>
      <c r="R27" s="85"/>
      <c r="S27" s="85"/>
      <c r="T27" s="85"/>
      <c r="U27" s="85"/>
    </row>
    <row r="28" spans="1:24" ht="18" customHeight="1" x14ac:dyDescent="0.2">
      <c r="B28" s="141" t="s">
        <v>144</v>
      </c>
      <c r="C28" s="142"/>
      <c r="D28" s="142"/>
      <c r="E28" s="142"/>
      <c r="F28" s="143"/>
      <c r="G28" s="76">
        <v>2</v>
      </c>
      <c r="H28" s="76"/>
      <c r="I28" s="76" t="s">
        <v>143</v>
      </c>
      <c r="J28" s="76" t="s">
        <v>143</v>
      </c>
      <c r="K28" s="141"/>
      <c r="L28" s="142"/>
      <c r="M28" s="142"/>
      <c r="N28" s="142"/>
      <c r="O28" s="142"/>
      <c r="P28" s="142"/>
      <c r="Q28" s="143"/>
      <c r="R28" s="76"/>
      <c r="S28" s="76"/>
      <c r="T28" s="76"/>
      <c r="U28" s="76"/>
    </row>
    <row r="29" spans="1:24" ht="18" customHeight="1" x14ac:dyDescent="0.2">
      <c r="B29" s="141" t="s">
        <v>164</v>
      </c>
      <c r="C29" s="142"/>
      <c r="D29" s="142"/>
      <c r="E29" s="142"/>
      <c r="F29" s="143"/>
      <c r="G29" s="76">
        <v>2</v>
      </c>
      <c r="H29" s="76" t="s">
        <v>143</v>
      </c>
      <c r="I29" s="76" t="s">
        <v>143</v>
      </c>
      <c r="J29" s="76"/>
      <c r="K29" s="141"/>
      <c r="L29" s="142"/>
      <c r="M29" s="142"/>
      <c r="N29" s="142"/>
      <c r="O29" s="142"/>
      <c r="P29" s="142"/>
      <c r="Q29" s="143"/>
      <c r="R29" s="76"/>
      <c r="S29" s="76"/>
      <c r="T29" s="76"/>
      <c r="U29" s="76"/>
    </row>
    <row r="30" spans="1:24" ht="18" customHeight="1" x14ac:dyDescent="0.2">
      <c r="B30" s="141"/>
      <c r="C30" s="142"/>
      <c r="D30" s="142"/>
      <c r="E30" s="142"/>
      <c r="F30" s="143"/>
      <c r="G30" s="76"/>
      <c r="H30" s="76"/>
      <c r="I30" s="76"/>
      <c r="J30" s="76"/>
      <c r="K30" s="141"/>
      <c r="L30" s="142"/>
      <c r="M30" s="142"/>
      <c r="N30" s="142"/>
      <c r="O30" s="142"/>
      <c r="P30" s="142"/>
      <c r="Q30" s="143"/>
      <c r="R30" s="76"/>
      <c r="S30" s="76"/>
      <c r="T30" s="76"/>
      <c r="U30" s="76"/>
    </row>
    <row r="31" spans="1:24" ht="18" customHeight="1" x14ac:dyDescent="0.2">
      <c r="B31" s="141"/>
      <c r="C31" s="142"/>
      <c r="D31" s="142"/>
      <c r="E31" s="142"/>
      <c r="F31" s="143"/>
      <c r="G31" s="76"/>
      <c r="H31" s="76"/>
      <c r="I31" s="76"/>
      <c r="J31" s="76"/>
      <c r="K31" s="141"/>
      <c r="L31" s="142"/>
      <c r="M31" s="142"/>
      <c r="N31" s="142"/>
      <c r="O31" s="142"/>
      <c r="P31" s="142"/>
      <c r="Q31" s="143"/>
      <c r="R31" s="76"/>
      <c r="S31" s="76"/>
      <c r="T31" s="76"/>
      <c r="U31" s="76"/>
    </row>
    <row r="32" spans="1:24" ht="18" customHeight="1" x14ac:dyDescent="0.2">
      <c r="A32" s="70"/>
      <c r="B32" s="141"/>
      <c r="C32" s="142"/>
      <c r="D32" s="142"/>
      <c r="E32" s="142"/>
      <c r="F32" s="143"/>
      <c r="G32" s="76"/>
      <c r="H32" s="76"/>
      <c r="I32" s="76"/>
      <c r="J32" s="76"/>
      <c r="K32" s="141"/>
      <c r="L32" s="142"/>
      <c r="M32" s="142"/>
      <c r="N32" s="142"/>
      <c r="O32" s="142"/>
      <c r="P32" s="142"/>
      <c r="Q32" s="143"/>
      <c r="R32" s="76"/>
      <c r="S32" s="76"/>
      <c r="T32" s="76"/>
      <c r="U32" s="76"/>
    </row>
    <row r="33" spans="1:21" ht="18" customHeight="1" x14ac:dyDescent="0.2">
      <c r="A33" s="70"/>
      <c r="B33" s="160"/>
      <c r="C33" s="161"/>
      <c r="D33" s="161"/>
      <c r="E33" s="161"/>
      <c r="F33" s="162"/>
      <c r="G33" s="86"/>
      <c r="H33" s="86"/>
      <c r="I33" s="87"/>
      <c r="J33" s="87"/>
      <c r="K33" s="160"/>
      <c r="L33" s="161"/>
      <c r="M33" s="161"/>
      <c r="N33" s="161"/>
      <c r="O33" s="161"/>
      <c r="P33" s="161"/>
      <c r="Q33" s="162"/>
      <c r="R33" s="86"/>
      <c r="S33" s="86"/>
      <c r="T33" s="87"/>
      <c r="U33" s="87"/>
    </row>
    <row r="34" spans="1:21" ht="7.5" customHeight="1" x14ac:dyDescent="0.2">
      <c r="A34" s="70"/>
      <c r="B34" s="68"/>
      <c r="C34" s="68"/>
      <c r="D34" s="68"/>
      <c r="E34" s="70"/>
      <c r="F34" s="70"/>
      <c r="G34" s="70"/>
      <c r="H34" s="70"/>
      <c r="I34" s="68"/>
      <c r="J34" s="68"/>
      <c r="K34" s="68"/>
      <c r="L34" s="68"/>
      <c r="M34" s="68"/>
      <c r="N34" s="68"/>
      <c r="O34" s="68"/>
      <c r="P34" s="68"/>
      <c r="Q34" s="68"/>
      <c r="R34" s="68"/>
      <c r="S34" s="68"/>
      <c r="T34" s="68"/>
      <c r="U34" s="70"/>
    </row>
    <row r="35" spans="1:21" ht="18" customHeight="1" x14ac:dyDescent="0.2">
      <c r="A35" s="156" t="s">
        <v>102</v>
      </c>
      <c r="B35" s="156"/>
      <c r="C35" s="156"/>
      <c r="D35" s="156"/>
      <c r="E35" s="156"/>
      <c r="F35" s="156"/>
      <c r="G35" s="156"/>
      <c r="H35" s="156"/>
      <c r="I35" s="156"/>
      <c r="J35" s="156"/>
      <c r="K35" s="156"/>
      <c r="L35" s="156"/>
      <c r="M35" s="156"/>
      <c r="N35" s="156"/>
      <c r="O35" s="156"/>
      <c r="P35" s="156"/>
      <c r="Q35" s="156"/>
      <c r="R35" s="156"/>
      <c r="S35" s="156"/>
      <c r="T35" s="156"/>
      <c r="U35" s="156"/>
    </row>
    <row r="36" spans="1:21" ht="18" customHeight="1" x14ac:dyDescent="0.2">
      <c r="A36" s="156"/>
      <c r="B36" s="156"/>
      <c r="C36" s="156"/>
      <c r="D36" s="156"/>
      <c r="E36" s="156"/>
      <c r="F36" s="156"/>
      <c r="G36" s="156"/>
      <c r="H36" s="156"/>
      <c r="I36" s="156"/>
      <c r="J36" s="156"/>
      <c r="K36" s="156"/>
      <c r="L36" s="156"/>
      <c r="M36" s="156"/>
      <c r="N36" s="156"/>
      <c r="O36" s="156"/>
      <c r="P36" s="156"/>
      <c r="Q36" s="156"/>
      <c r="R36" s="156"/>
      <c r="S36" s="156"/>
      <c r="T36" s="156"/>
      <c r="U36" s="156"/>
    </row>
    <row r="37" spans="1:21" ht="18" customHeight="1" x14ac:dyDescent="0.2">
      <c r="B37" s="125" t="s">
        <v>51</v>
      </c>
      <c r="C37" s="126"/>
      <c r="D37" s="126"/>
      <c r="E37" s="126"/>
      <c r="F37" s="127"/>
      <c r="G37" s="82" t="s">
        <v>77</v>
      </c>
      <c r="H37" s="83" t="s">
        <v>80</v>
      </c>
      <c r="I37" s="84" t="s">
        <v>68</v>
      </c>
      <c r="J37" s="84" t="s">
        <v>69</v>
      </c>
      <c r="K37" s="125" t="s">
        <v>51</v>
      </c>
      <c r="L37" s="126"/>
      <c r="M37" s="126"/>
      <c r="N37" s="126"/>
      <c r="O37" s="126"/>
      <c r="P37" s="126"/>
      <c r="Q37" s="127"/>
      <c r="R37" s="82" t="s">
        <v>77</v>
      </c>
      <c r="S37" s="83" t="s">
        <v>80</v>
      </c>
      <c r="T37" s="84" t="s">
        <v>68</v>
      </c>
      <c r="U37" s="84" t="s">
        <v>69</v>
      </c>
    </row>
    <row r="38" spans="1:21" ht="18" customHeight="1" x14ac:dyDescent="0.2">
      <c r="B38" s="157" t="s">
        <v>142</v>
      </c>
      <c r="C38" s="158"/>
      <c r="D38" s="158"/>
      <c r="E38" s="158"/>
      <c r="F38" s="159"/>
      <c r="G38" s="85">
        <v>2</v>
      </c>
      <c r="H38" s="85"/>
      <c r="I38" s="85" t="s">
        <v>143</v>
      </c>
      <c r="J38" s="85" t="s">
        <v>143</v>
      </c>
      <c r="K38" s="157"/>
      <c r="L38" s="158"/>
      <c r="M38" s="158"/>
      <c r="N38" s="158"/>
      <c r="O38" s="158"/>
      <c r="P38" s="158"/>
      <c r="Q38" s="159"/>
      <c r="R38" s="85"/>
      <c r="S38" s="85"/>
      <c r="T38" s="85"/>
      <c r="U38" s="85"/>
    </row>
    <row r="39" spans="1:21" ht="18" customHeight="1" x14ac:dyDescent="0.2">
      <c r="B39" s="141" t="s">
        <v>144</v>
      </c>
      <c r="C39" s="142"/>
      <c r="D39" s="142"/>
      <c r="E39" s="142"/>
      <c r="F39" s="143"/>
      <c r="G39" s="76">
        <v>2</v>
      </c>
      <c r="H39" s="76"/>
      <c r="I39" s="76" t="s">
        <v>143</v>
      </c>
      <c r="J39" s="76" t="s">
        <v>143</v>
      </c>
      <c r="K39" s="141"/>
      <c r="L39" s="142"/>
      <c r="M39" s="142"/>
      <c r="N39" s="142"/>
      <c r="O39" s="142"/>
      <c r="P39" s="142"/>
      <c r="Q39" s="143"/>
      <c r="R39" s="76"/>
      <c r="S39" s="76"/>
      <c r="T39" s="76"/>
      <c r="U39" s="76"/>
    </row>
    <row r="40" spans="1:21" ht="18" customHeight="1" x14ac:dyDescent="0.2">
      <c r="B40" s="141"/>
      <c r="C40" s="142"/>
      <c r="D40" s="142"/>
      <c r="E40" s="142"/>
      <c r="F40" s="143"/>
      <c r="G40" s="76"/>
      <c r="H40" s="76"/>
      <c r="I40" s="76"/>
      <c r="J40" s="76"/>
      <c r="K40" s="141"/>
      <c r="L40" s="142"/>
      <c r="M40" s="142"/>
      <c r="N40" s="142"/>
      <c r="O40" s="142"/>
      <c r="P40" s="142"/>
      <c r="Q40" s="143"/>
      <c r="R40" s="76"/>
      <c r="S40" s="76"/>
      <c r="T40" s="76"/>
      <c r="U40" s="76"/>
    </row>
    <row r="41" spans="1:21" ht="18" customHeight="1" x14ac:dyDescent="0.2">
      <c r="B41" s="141"/>
      <c r="C41" s="142"/>
      <c r="D41" s="142"/>
      <c r="E41" s="142"/>
      <c r="F41" s="143"/>
      <c r="G41" s="76"/>
      <c r="H41" s="76"/>
      <c r="I41" s="76"/>
      <c r="J41" s="76"/>
      <c r="K41" s="141"/>
      <c r="L41" s="142"/>
      <c r="M41" s="142"/>
      <c r="N41" s="142"/>
      <c r="O41" s="142"/>
      <c r="P41" s="142"/>
      <c r="Q41" s="143"/>
      <c r="R41" s="76"/>
      <c r="S41" s="76"/>
      <c r="T41" s="76"/>
      <c r="U41" s="76"/>
    </row>
    <row r="42" spans="1:21" ht="18" customHeight="1" x14ac:dyDescent="0.2">
      <c r="B42" s="141"/>
      <c r="C42" s="142"/>
      <c r="D42" s="142"/>
      <c r="E42" s="142"/>
      <c r="F42" s="143"/>
      <c r="G42" s="76"/>
      <c r="H42" s="76"/>
      <c r="I42" s="76"/>
      <c r="J42" s="76"/>
      <c r="K42" s="141"/>
      <c r="L42" s="142"/>
      <c r="M42" s="142"/>
      <c r="N42" s="142"/>
      <c r="O42" s="142"/>
      <c r="P42" s="142"/>
      <c r="Q42" s="143"/>
      <c r="R42" s="76"/>
      <c r="S42" s="76"/>
      <c r="T42" s="76"/>
      <c r="U42" s="76"/>
    </row>
    <row r="43" spans="1:21" ht="18" customHeight="1" x14ac:dyDescent="0.2">
      <c r="B43" s="141"/>
      <c r="C43" s="142"/>
      <c r="D43" s="142"/>
      <c r="E43" s="142"/>
      <c r="F43" s="143"/>
      <c r="G43" s="76"/>
      <c r="H43" s="76"/>
      <c r="I43" s="76"/>
      <c r="J43" s="76"/>
      <c r="K43" s="141"/>
      <c r="L43" s="142"/>
      <c r="M43" s="142"/>
      <c r="N43" s="142"/>
      <c r="O43" s="142"/>
      <c r="P43" s="142"/>
      <c r="Q43" s="143"/>
      <c r="R43" s="76"/>
      <c r="S43" s="76"/>
      <c r="T43" s="76"/>
      <c r="U43" s="76"/>
    </row>
    <row r="44" spans="1:21" ht="18" customHeight="1" x14ac:dyDescent="0.2">
      <c r="B44" s="160"/>
      <c r="C44" s="161"/>
      <c r="D44" s="161"/>
      <c r="E44" s="161"/>
      <c r="F44" s="162"/>
      <c r="G44" s="86"/>
      <c r="H44" s="86"/>
      <c r="I44" s="87"/>
      <c r="J44" s="87"/>
      <c r="K44" s="160"/>
      <c r="L44" s="161"/>
      <c r="M44" s="161"/>
      <c r="N44" s="161"/>
      <c r="O44" s="161"/>
      <c r="P44" s="161"/>
      <c r="Q44" s="162"/>
      <c r="R44" s="86"/>
      <c r="S44" s="86"/>
      <c r="T44" s="87"/>
      <c r="U44" s="87"/>
    </row>
    <row r="45" spans="1:21" ht="7.5" customHeight="1" x14ac:dyDescent="0.2">
      <c r="A45" s="70"/>
      <c r="B45" s="68"/>
      <c r="C45" s="68"/>
      <c r="D45" s="68"/>
      <c r="E45" s="70"/>
      <c r="F45" s="70"/>
      <c r="G45" s="70"/>
      <c r="H45" s="70"/>
      <c r="I45" s="68"/>
      <c r="J45" s="68"/>
      <c r="K45" s="68"/>
      <c r="L45" s="68"/>
      <c r="M45" s="68"/>
      <c r="N45" s="68"/>
      <c r="O45" s="68"/>
      <c r="P45" s="68"/>
      <c r="Q45" s="68"/>
      <c r="R45" s="68"/>
      <c r="S45" s="68"/>
      <c r="T45" s="68"/>
      <c r="U45" s="70"/>
    </row>
    <row r="46" spans="1:21" ht="18" customHeight="1" x14ac:dyDescent="0.2">
      <c r="A46" s="156" t="s">
        <v>103</v>
      </c>
      <c r="B46" s="156"/>
      <c r="C46" s="156"/>
      <c r="D46" s="156"/>
      <c r="E46" s="156"/>
      <c r="F46" s="156"/>
      <c r="G46" s="156"/>
      <c r="H46" s="156"/>
      <c r="I46" s="156"/>
      <c r="J46" s="156"/>
      <c r="K46" s="156"/>
      <c r="L46" s="156"/>
      <c r="M46" s="156"/>
      <c r="N46" s="156"/>
      <c r="O46" s="156"/>
      <c r="P46" s="156"/>
      <c r="Q46" s="156"/>
      <c r="R46" s="156"/>
      <c r="S46" s="156"/>
      <c r="T46" s="156"/>
      <c r="U46" s="156"/>
    </row>
    <row r="47" spans="1:21" ht="18" customHeight="1" x14ac:dyDescent="0.2">
      <c r="A47" s="156"/>
      <c r="B47" s="156"/>
      <c r="C47" s="156"/>
      <c r="D47" s="156"/>
      <c r="E47" s="156"/>
      <c r="F47" s="156"/>
      <c r="G47" s="156"/>
      <c r="H47" s="156"/>
      <c r="I47" s="156"/>
      <c r="J47" s="156"/>
      <c r="K47" s="156"/>
      <c r="L47" s="156"/>
      <c r="M47" s="156"/>
      <c r="N47" s="156"/>
      <c r="O47" s="156"/>
      <c r="P47" s="156"/>
      <c r="Q47" s="156"/>
      <c r="R47" s="156"/>
      <c r="S47" s="156"/>
      <c r="T47" s="156"/>
      <c r="U47" s="156"/>
    </row>
    <row r="48" spans="1:21" ht="18" customHeight="1" x14ac:dyDescent="0.2">
      <c r="B48" s="125" t="s">
        <v>51</v>
      </c>
      <c r="C48" s="126"/>
      <c r="D48" s="126"/>
      <c r="E48" s="126"/>
      <c r="F48" s="127"/>
      <c r="G48" s="82" t="s">
        <v>77</v>
      </c>
      <c r="H48" s="83" t="s">
        <v>80</v>
      </c>
      <c r="I48" s="84" t="s">
        <v>70</v>
      </c>
      <c r="J48" s="84" t="s">
        <v>71</v>
      </c>
      <c r="K48" s="125" t="s">
        <v>51</v>
      </c>
      <c r="L48" s="126"/>
      <c r="M48" s="126"/>
      <c r="N48" s="126"/>
      <c r="O48" s="126"/>
      <c r="P48" s="126"/>
      <c r="Q48" s="127"/>
      <c r="R48" s="82" t="s">
        <v>77</v>
      </c>
      <c r="S48" s="83" t="s">
        <v>80</v>
      </c>
      <c r="T48" s="84" t="s">
        <v>70</v>
      </c>
      <c r="U48" s="84" t="s">
        <v>71</v>
      </c>
    </row>
    <row r="49" spans="1:21" ht="18" customHeight="1" x14ac:dyDescent="0.2">
      <c r="A49" s="70"/>
      <c r="B49" s="141" t="s">
        <v>142</v>
      </c>
      <c r="C49" s="142"/>
      <c r="D49" s="142"/>
      <c r="E49" s="142"/>
      <c r="F49" s="143"/>
      <c r="G49" s="85">
        <v>2</v>
      </c>
      <c r="H49" s="85"/>
      <c r="I49" s="85" t="s">
        <v>143</v>
      </c>
      <c r="J49" s="85" t="s">
        <v>143</v>
      </c>
      <c r="K49" s="157"/>
      <c r="L49" s="158"/>
      <c r="M49" s="158"/>
      <c r="N49" s="158"/>
      <c r="O49" s="158"/>
      <c r="P49" s="158"/>
      <c r="Q49" s="159"/>
      <c r="R49" s="85"/>
      <c r="S49" s="85"/>
      <c r="T49" s="85"/>
      <c r="U49" s="85"/>
    </row>
    <row r="50" spans="1:21" ht="18" customHeight="1" x14ac:dyDescent="0.2">
      <c r="A50" s="70"/>
      <c r="B50" s="141" t="s">
        <v>161</v>
      </c>
      <c r="C50" s="142"/>
      <c r="D50" s="142"/>
      <c r="E50" s="142"/>
      <c r="F50" s="143"/>
      <c r="G50" s="76">
        <v>2</v>
      </c>
      <c r="H50" s="76"/>
      <c r="I50" s="76" t="s">
        <v>143</v>
      </c>
      <c r="J50" s="76" t="s">
        <v>143</v>
      </c>
      <c r="K50" s="141"/>
      <c r="L50" s="142"/>
      <c r="M50" s="142"/>
      <c r="N50" s="142"/>
      <c r="O50" s="142"/>
      <c r="P50" s="142"/>
      <c r="Q50" s="143"/>
      <c r="R50" s="76"/>
      <c r="S50" s="76"/>
      <c r="T50" s="76"/>
      <c r="U50" s="76"/>
    </row>
    <row r="51" spans="1:21" ht="18" customHeight="1" x14ac:dyDescent="0.2">
      <c r="A51" s="70"/>
      <c r="B51" s="141"/>
      <c r="C51" s="142"/>
      <c r="D51" s="142"/>
      <c r="E51" s="142"/>
      <c r="F51" s="143"/>
      <c r="G51" s="76"/>
      <c r="H51" s="76"/>
      <c r="I51" s="76"/>
      <c r="J51" s="76"/>
      <c r="K51" s="141"/>
      <c r="L51" s="142"/>
      <c r="M51" s="142"/>
      <c r="N51" s="142"/>
      <c r="O51" s="142"/>
      <c r="P51" s="142"/>
      <c r="Q51" s="143"/>
      <c r="R51" s="76"/>
      <c r="S51" s="76"/>
      <c r="T51" s="76"/>
      <c r="U51" s="76"/>
    </row>
    <row r="52" spans="1:21" ht="18" customHeight="1" x14ac:dyDescent="0.2">
      <c r="A52" s="70"/>
      <c r="B52" s="141"/>
      <c r="C52" s="142"/>
      <c r="D52" s="142"/>
      <c r="E52" s="142"/>
      <c r="F52" s="143"/>
      <c r="G52" s="76"/>
      <c r="H52" s="76"/>
      <c r="I52" s="76"/>
      <c r="J52" s="76"/>
      <c r="K52" s="141"/>
      <c r="L52" s="142"/>
      <c r="M52" s="142"/>
      <c r="N52" s="142"/>
      <c r="O52" s="142"/>
      <c r="P52" s="142"/>
      <c r="Q52" s="143"/>
      <c r="R52" s="76"/>
      <c r="S52" s="76"/>
      <c r="T52" s="76"/>
      <c r="U52" s="76"/>
    </row>
    <row r="53" spans="1:21" ht="18" customHeight="1" x14ac:dyDescent="0.2">
      <c r="A53" s="70"/>
      <c r="B53" s="141"/>
      <c r="C53" s="142"/>
      <c r="D53" s="142"/>
      <c r="E53" s="142"/>
      <c r="F53" s="143"/>
      <c r="G53" s="76"/>
      <c r="H53" s="76"/>
      <c r="I53" s="76"/>
      <c r="J53" s="76"/>
      <c r="K53" s="141"/>
      <c r="L53" s="142"/>
      <c r="M53" s="142"/>
      <c r="N53" s="142"/>
      <c r="O53" s="142"/>
      <c r="P53" s="142"/>
      <c r="Q53" s="143"/>
      <c r="R53" s="76"/>
      <c r="S53" s="76"/>
      <c r="T53" s="76"/>
      <c r="U53" s="76"/>
    </row>
    <row r="54" spans="1:21" ht="18" customHeight="1" x14ac:dyDescent="0.2">
      <c r="A54" s="70"/>
      <c r="B54" s="141"/>
      <c r="C54" s="142"/>
      <c r="D54" s="142"/>
      <c r="E54" s="142"/>
      <c r="F54" s="143"/>
      <c r="G54" s="76"/>
      <c r="H54" s="76"/>
      <c r="I54" s="76"/>
      <c r="J54" s="76"/>
      <c r="K54" s="141"/>
      <c r="L54" s="142"/>
      <c r="M54" s="142"/>
      <c r="N54" s="142"/>
      <c r="O54" s="142"/>
      <c r="P54" s="142"/>
      <c r="Q54" s="143"/>
      <c r="R54" s="76"/>
      <c r="S54" s="76"/>
      <c r="T54" s="76"/>
      <c r="U54" s="76"/>
    </row>
    <row r="55" spans="1:21" ht="18" customHeight="1" x14ac:dyDescent="0.2">
      <c r="A55" s="70"/>
      <c r="B55" s="160"/>
      <c r="C55" s="161"/>
      <c r="D55" s="161"/>
      <c r="E55" s="161"/>
      <c r="F55" s="162"/>
      <c r="G55" s="86"/>
      <c r="H55" s="86"/>
      <c r="I55" s="87"/>
      <c r="J55" s="87"/>
      <c r="K55" s="160"/>
      <c r="L55" s="161"/>
      <c r="M55" s="161"/>
      <c r="N55" s="161"/>
      <c r="O55" s="161"/>
      <c r="P55" s="161"/>
      <c r="Q55" s="162"/>
      <c r="R55" s="86"/>
      <c r="S55" s="86"/>
      <c r="T55" s="87"/>
      <c r="U55" s="87"/>
    </row>
    <row r="56" spans="1:21" ht="7.5" customHeight="1" x14ac:dyDescent="0.2">
      <c r="B56" s="88"/>
      <c r="C56" s="88"/>
      <c r="D56" s="88"/>
      <c r="E56" s="88"/>
      <c r="F56" s="88"/>
      <c r="G56" s="88"/>
      <c r="H56" s="88"/>
      <c r="I56" s="88"/>
      <c r="J56" s="88"/>
      <c r="K56" s="88"/>
      <c r="L56" s="88"/>
      <c r="M56" s="88"/>
      <c r="N56" s="88"/>
      <c r="O56" s="88"/>
      <c r="P56" s="88"/>
      <c r="Q56" s="88"/>
      <c r="R56" s="88"/>
      <c r="S56" s="88"/>
      <c r="T56" s="88"/>
    </row>
    <row r="57" spans="1:21" ht="18" customHeight="1" x14ac:dyDescent="0.2">
      <c r="A57" s="156" t="s">
        <v>104</v>
      </c>
      <c r="B57" s="156"/>
      <c r="C57" s="156"/>
      <c r="D57" s="156"/>
      <c r="E57" s="156"/>
      <c r="F57" s="156"/>
      <c r="G57" s="156"/>
      <c r="H57" s="156"/>
      <c r="I57" s="156"/>
      <c r="J57" s="156"/>
      <c r="K57" s="156"/>
      <c r="L57" s="156"/>
      <c r="M57" s="156"/>
      <c r="N57" s="156"/>
      <c r="O57" s="156"/>
      <c r="P57" s="156"/>
      <c r="Q57" s="156"/>
      <c r="R57" s="156"/>
      <c r="S57" s="156"/>
      <c r="T57" s="156"/>
      <c r="U57" s="156"/>
    </row>
    <row r="58" spans="1:21" ht="18" customHeight="1" x14ac:dyDescent="0.2">
      <c r="A58" s="156"/>
      <c r="B58" s="156"/>
      <c r="C58" s="156"/>
      <c r="D58" s="156"/>
      <c r="E58" s="156"/>
      <c r="F58" s="156"/>
      <c r="G58" s="156"/>
      <c r="H58" s="156"/>
      <c r="I58" s="156"/>
      <c r="J58" s="156"/>
      <c r="K58" s="156"/>
      <c r="L58" s="156"/>
      <c r="M58" s="156"/>
      <c r="N58" s="156"/>
      <c r="O58" s="156"/>
      <c r="P58" s="156"/>
      <c r="Q58" s="156"/>
      <c r="R58" s="156"/>
      <c r="S58" s="156"/>
      <c r="T58" s="156"/>
      <c r="U58" s="156"/>
    </row>
    <row r="59" spans="1:21" ht="18" customHeight="1" x14ac:dyDescent="0.2">
      <c r="B59" s="125" t="s">
        <v>51</v>
      </c>
      <c r="C59" s="126"/>
      <c r="D59" s="126"/>
      <c r="E59" s="126"/>
      <c r="F59" s="127"/>
      <c r="G59" s="82" t="s">
        <v>77</v>
      </c>
      <c r="H59" s="83" t="s">
        <v>80</v>
      </c>
      <c r="I59" s="84" t="s">
        <v>56</v>
      </c>
      <c r="J59" s="84" t="s">
        <v>58</v>
      </c>
      <c r="K59" s="125" t="s">
        <v>51</v>
      </c>
      <c r="L59" s="126"/>
      <c r="M59" s="126"/>
      <c r="N59" s="126"/>
      <c r="O59" s="126"/>
      <c r="P59" s="126"/>
      <c r="Q59" s="127"/>
      <c r="R59" s="82" t="s">
        <v>77</v>
      </c>
      <c r="S59" s="83" t="s">
        <v>80</v>
      </c>
      <c r="T59" s="84" t="s">
        <v>56</v>
      </c>
      <c r="U59" s="84" t="s">
        <v>58</v>
      </c>
    </row>
    <row r="60" spans="1:21" ht="18" customHeight="1" x14ac:dyDescent="0.2">
      <c r="A60" s="70"/>
      <c r="B60" s="157" t="s">
        <v>142</v>
      </c>
      <c r="C60" s="158"/>
      <c r="D60" s="158"/>
      <c r="E60" s="158"/>
      <c r="F60" s="159"/>
      <c r="G60" s="85">
        <v>2</v>
      </c>
      <c r="H60" s="85"/>
      <c r="I60" s="85" t="s">
        <v>143</v>
      </c>
      <c r="J60" s="76" t="s">
        <v>143</v>
      </c>
      <c r="K60" s="157"/>
      <c r="L60" s="158"/>
      <c r="M60" s="158"/>
      <c r="N60" s="158"/>
      <c r="O60" s="158"/>
      <c r="P60" s="158"/>
      <c r="Q60" s="159"/>
      <c r="R60" s="85"/>
      <c r="S60" s="85"/>
      <c r="T60" s="85"/>
      <c r="U60" s="85"/>
    </row>
    <row r="61" spans="1:21" ht="18" customHeight="1" x14ac:dyDescent="0.2">
      <c r="A61" s="70"/>
      <c r="B61" s="141" t="s">
        <v>165</v>
      </c>
      <c r="C61" s="142"/>
      <c r="D61" s="142"/>
      <c r="E61" s="142"/>
      <c r="F61" s="143"/>
      <c r="G61" s="76">
        <v>2</v>
      </c>
      <c r="H61" s="76" t="s">
        <v>143</v>
      </c>
      <c r="I61" s="76" t="s">
        <v>143</v>
      </c>
      <c r="J61" s="76" t="s">
        <v>143</v>
      </c>
      <c r="K61" s="141"/>
      <c r="L61" s="142"/>
      <c r="M61" s="142"/>
      <c r="N61" s="142"/>
      <c r="O61" s="142"/>
      <c r="P61" s="142"/>
      <c r="Q61" s="143"/>
      <c r="R61" s="76"/>
      <c r="S61" s="76"/>
      <c r="T61" s="76"/>
      <c r="U61" s="76"/>
    </row>
    <row r="62" spans="1:21" ht="18" customHeight="1" x14ac:dyDescent="0.2">
      <c r="A62" s="70"/>
      <c r="B62" s="141"/>
      <c r="C62" s="142"/>
      <c r="D62" s="142"/>
      <c r="E62" s="142"/>
      <c r="F62" s="143"/>
      <c r="G62" s="76"/>
      <c r="H62" s="76"/>
      <c r="I62" s="76"/>
      <c r="J62" s="76"/>
      <c r="K62" s="141"/>
      <c r="L62" s="142"/>
      <c r="M62" s="142"/>
      <c r="N62" s="142"/>
      <c r="O62" s="142"/>
      <c r="P62" s="142"/>
      <c r="Q62" s="143"/>
      <c r="R62" s="76"/>
      <c r="S62" s="76"/>
      <c r="T62" s="76"/>
      <c r="U62" s="76"/>
    </row>
    <row r="63" spans="1:21" ht="18" customHeight="1" x14ac:dyDescent="0.2">
      <c r="A63" s="70"/>
      <c r="B63" s="141"/>
      <c r="C63" s="142"/>
      <c r="D63" s="142"/>
      <c r="E63" s="142"/>
      <c r="F63" s="143"/>
      <c r="G63" s="76"/>
      <c r="H63" s="76"/>
      <c r="I63" s="76"/>
      <c r="J63" s="76"/>
      <c r="K63" s="141"/>
      <c r="L63" s="142"/>
      <c r="M63" s="142"/>
      <c r="N63" s="142"/>
      <c r="O63" s="142"/>
      <c r="P63" s="142"/>
      <c r="Q63" s="143"/>
      <c r="R63" s="76"/>
      <c r="S63" s="76"/>
      <c r="T63" s="76"/>
      <c r="U63" s="76"/>
    </row>
    <row r="64" spans="1:21" ht="18" customHeight="1" x14ac:dyDescent="0.2">
      <c r="A64" s="70"/>
      <c r="B64" s="141"/>
      <c r="C64" s="142"/>
      <c r="D64" s="142"/>
      <c r="E64" s="142"/>
      <c r="F64" s="143"/>
      <c r="G64" s="76"/>
      <c r="H64" s="76"/>
      <c r="I64" s="76"/>
      <c r="J64" s="76"/>
      <c r="K64" s="141"/>
      <c r="L64" s="142"/>
      <c r="M64" s="142"/>
      <c r="N64" s="142"/>
      <c r="O64" s="142"/>
      <c r="P64" s="142"/>
      <c r="Q64" s="143"/>
      <c r="R64" s="76"/>
      <c r="S64" s="76"/>
      <c r="T64" s="76"/>
      <c r="U64" s="76"/>
    </row>
    <row r="65" spans="1:21" ht="18" customHeight="1" x14ac:dyDescent="0.2">
      <c r="A65" s="70"/>
      <c r="B65" s="141"/>
      <c r="C65" s="142"/>
      <c r="D65" s="142"/>
      <c r="E65" s="142"/>
      <c r="F65" s="143"/>
      <c r="G65" s="76"/>
      <c r="H65" s="76"/>
      <c r="I65" s="76"/>
      <c r="J65" s="76"/>
      <c r="K65" s="141"/>
      <c r="L65" s="142"/>
      <c r="M65" s="142"/>
      <c r="N65" s="142"/>
      <c r="O65" s="142"/>
      <c r="P65" s="142"/>
      <c r="Q65" s="143"/>
      <c r="R65" s="76"/>
      <c r="S65" s="76"/>
      <c r="T65" s="76"/>
      <c r="U65" s="76"/>
    </row>
    <row r="66" spans="1:21" ht="18" customHeight="1" x14ac:dyDescent="0.2">
      <c r="A66" s="70"/>
      <c r="B66" s="160"/>
      <c r="C66" s="161"/>
      <c r="D66" s="161"/>
      <c r="E66" s="161"/>
      <c r="F66" s="162"/>
      <c r="G66" s="86"/>
      <c r="H66" s="86"/>
      <c r="I66" s="87"/>
      <c r="J66" s="87"/>
      <c r="K66" s="160"/>
      <c r="L66" s="161"/>
      <c r="M66" s="161"/>
      <c r="N66" s="161"/>
      <c r="O66" s="161"/>
      <c r="P66" s="161"/>
      <c r="Q66" s="162"/>
      <c r="R66" s="86"/>
      <c r="S66" s="86"/>
      <c r="T66" s="87"/>
      <c r="U66" s="87"/>
    </row>
    <row r="67" spans="1:21" ht="7.5" customHeight="1" x14ac:dyDescent="0.2">
      <c r="B67" s="88"/>
      <c r="C67" s="88"/>
      <c r="D67" s="88"/>
      <c r="E67" s="88"/>
      <c r="F67" s="88"/>
      <c r="G67" s="88"/>
      <c r="H67" s="88"/>
      <c r="I67" s="88"/>
      <c r="J67" s="88"/>
      <c r="K67" s="88"/>
      <c r="L67" s="88"/>
      <c r="M67" s="88"/>
      <c r="N67" s="88"/>
      <c r="O67" s="88"/>
      <c r="P67" s="88"/>
      <c r="Q67" s="88"/>
      <c r="R67" s="88"/>
      <c r="S67" s="88"/>
      <c r="T67" s="88"/>
    </row>
    <row r="68" spans="1:21" ht="18" customHeight="1" x14ac:dyDescent="0.2">
      <c r="A68" s="156" t="s">
        <v>105</v>
      </c>
      <c r="B68" s="156"/>
      <c r="C68" s="156"/>
      <c r="D68" s="156"/>
      <c r="E68" s="156"/>
      <c r="F68" s="156"/>
      <c r="G68" s="156"/>
      <c r="H68" s="156"/>
      <c r="I68" s="156"/>
      <c r="J68" s="156"/>
      <c r="K68" s="156"/>
      <c r="L68" s="156"/>
      <c r="M68" s="156"/>
      <c r="N68" s="156"/>
      <c r="O68" s="156"/>
      <c r="P68" s="156"/>
      <c r="Q68" s="156"/>
      <c r="R68" s="156"/>
      <c r="S68" s="156"/>
      <c r="T68" s="156"/>
      <c r="U68" s="156"/>
    </row>
    <row r="69" spans="1:21" ht="18" customHeight="1" x14ac:dyDescent="0.2">
      <c r="A69" s="156"/>
      <c r="B69" s="156"/>
      <c r="C69" s="156"/>
      <c r="D69" s="156"/>
      <c r="E69" s="156"/>
      <c r="F69" s="156"/>
      <c r="G69" s="156"/>
      <c r="H69" s="156"/>
      <c r="I69" s="156"/>
      <c r="J69" s="156"/>
      <c r="K69" s="156"/>
      <c r="L69" s="156"/>
      <c r="M69" s="156"/>
      <c r="N69" s="156"/>
      <c r="O69" s="156"/>
      <c r="P69" s="156"/>
      <c r="Q69" s="156"/>
      <c r="R69" s="156"/>
      <c r="S69" s="156"/>
      <c r="T69" s="156"/>
      <c r="U69" s="156"/>
    </row>
    <row r="70" spans="1:21" ht="18" customHeight="1" x14ac:dyDescent="0.2">
      <c r="B70" s="125" t="s">
        <v>51</v>
      </c>
      <c r="C70" s="126"/>
      <c r="D70" s="126"/>
      <c r="E70" s="126"/>
      <c r="F70" s="82" t="s">
        <v>77</v>
      </c>
      <c r="G70" s="83" t="s">
        <v>80</v>
      </c>
      <c r="H70" s="84" t="s">
        <v>92</v>
      </c>
      <c r="I70" s="84" t="s">
        <v>72</v>
      </c>
      <c r="J70" s="84" t="s">
        <v>73</v>
      </c>
      <c r="K70" s="125" t="s">
        <v>51</v>
      </c>
      <c r="L70" s="126"/>
      <c r="M70" s="126"/>
      <c r="N70" s="126"/>
      <c r="O70" s="126"/>
      <c r="P70" s="127"/>
      <c r="Q70" s="82" t="s">
        <v>77</v>
      </c>
      <c r="R70" s="83" t="s">
        <v>80</v>
      </c>
      <c r="S70" s="84" t="s">
        <v>92</v>
      </c>
      <c r="T70" s="84" t="s">
        <v>72</v>
      </c>
      <c r="U70" s="84" t="s">
        <v>73</v>
      </c>
    </row>
    <row r="71" spans="1:21" ht="18" customHeight="1" x14ac:dyDescent="0.2">
      <c r="A71" s="70"/>
      <c r="B71" s="157" t="s">
        <v>144</v>
      </c>
      <c r="C71" s="163"/>
      <c r="D71" s="163"/>
      <c r="E71" s="89"/>
      <c r="F71" s="90">
        <v>2</v>
      </c>
      <c r="G71" s="90"/>
      <c r="H71" s="90" t="s">
        <v>143</v>
      </c>
      <c r="I71" s="90" t="s">
        <v>143</v>
      </c>
      <c r="J71" s="90"/>
      <c r="K71" s="157"/>
      <c r="L71" s="158"/>
      <c r="M71" s="158"/>
      <c r="N71" s="158"/>
      <c r="O71" s="158"/>
      <c r="P71" s="159"/>
      <c r="Q71" s="85"/>
      <c r="R71" s="85"/>
      <c r="S71" s="85"/>
      <c r="T71" s="85"/>
      <c r="U71" s="85"/>
    </row>
    <row r="72" spans="1:21" ht="18" customHeight="1" x14ac:dyDescent="0.2">
      <c r="A72" s="70"/>
      <c r="B72" s="91" t="s">
        <v>165</v>
      </c>
      <c r="C72" s="92"/>
      <c r="D72" s="92"/>
      <c r="E72" s="92"/>
      <c r="F72" s="76">
        <v>2</v>
      </c>
      <c r="G72" s="76" t="s">
        <v>143</v>
      </c>
      <c r="H72" s="76" t="s">
        <v>143</v>
      </c>
      <c r="I72" s="76" t="s">
        <v>143</v>
      </c>
      <c r="J72" s="76" t="s">
        <v>143</v>
      </c>
      <c r="K72" s="141"/>
      <c r="L72" s="142"/>
      <c r="M72" s="142"/>
      <c r="N72" s="142"/>
      <c r="O72" s="142"/>
      <c r="P72" s="143"/>
      <c r="Q72" s="76"/>
      <c r="R72" s="76"/>
      <c r="S72" s="76"/>
      <c r="T72" s="76"/>
      <c r="U72" s="76"/>
    </row>
    <row r="73" spans="1:21" ht="18" customHeight="1" x14ac:dyDescent="0.2">
      <c r="A73" s="70"/>
      <c r="B73" s="141" t="s">
        <v>148</v>
      </c>
      <c r="C73" s="167"/>
      <c r="D73" s="167"/>
      <c r="E73" s="93"/>
      <c r="F73" s="76">
        <v>2</v>
      </c>
      <c r="G73" s="76"/>
      <c r="H73" s="76" t="s">
        <v>143</v>
      </c>
      <c r="I73" s="76" t="s">
        <v>143</v>
      </c>
      <c r="J73" s="76" t="s">
        <v>143</v>
      </c>
      <c r="K73" s="141"/>
      <c r="L73" s="142"/>
      <c r="M73" s="142"/>
      <c r="N73" s="142"/>
      <c r="O73" s="142"/>
      <c r="P73" s="143"/>
      <c r="Q73" s="76"/>
      <c r="R73" s="76"/>
      <c r="S73" s="76"/>
      <c r="T73" s="76"/>
      <c r="U73" s="76"/>
    </row>
    <row r="74" spans="1:21" ht="18" customHeight="1" x14ac:dyDescent="0.2">
      <c r="A74" s="70"/>
      <c r="B74" s="91"/>
      <c r="C74" s="92"/>
      <c r="D74" s="92"/>
      <c r="E74" s="92"/>
      <c r="F74" s="76"/>
      <c r="G74" s="76"/>
      <c r="H74" s="76"/>
      <c r="I74" s="76"/>
      <c r="J74" s="76"/>
      <c r="K74" s="141"/>
      <c r="L74" s="142"/>
      <c r="M74" s="142"/>
      <c r="N74" s="142"/>
      <c r="O74" s="142"/>
      <c r="P74" s="143"/>
      <c r="Q74" s="76"/>
      <c r="R74" s="76"/>
      <c r="S74" s="76"/>
      <c r="T74" s="76"/>
      <c r="U74" s="76"/>
    </row>
    <row r="75" spans="1:21" ht="18" customHeight="1" x14ac:dyDescent="0.2">
      <c r="A75" s="70"/>
      <c r="B75" s="141"/>
      <c r="C75" s="142"/>
      <c r="D75" s="142"/>
      <c r="E75" s="142"/>
      <c r="F75" s="76"/>
      <c r="G75" s="76"/>
      <c r="H75" s="76"/>
      <c r="I75" s="76"/>
      <c r="J75" s="76"/>
      <c r="K75" s="141"/>
      <c r="L75" s="142"/>
      <c r="M75" s="142"/>
      <c r="N75" s="142"/>
      <c r="O75" s="142"/>
      <c r="P75" s="143"/>
      <c r="Q75" s="76"/>
      <c r="R75" s="76"/>
      <c r="S75" s="76"/>
      <c r="T75" s="76"/>
      <c r="U75" s="76"/>
    </row>
    <row r="76" spans="1:21" ht="18" customHeight="1" x14ac:dyDescent="0.2">
      <c r="A76" s="70"/>
      <c r="B76" s="141"/>
      <c r="C76" s="142"/>
      <c r="D76" s="142"/>
      <c r="E76" s="142"/>
      <c r="F76" s="76"/>
      <c r="G76" s="76"/>
      <c r="H76" s="76"/>
      <c r="I76" s="76"/>
      <c r="J76" s="76"/>
      <c r="K76" s="141"/>
      <c r="L76" s="142"/>
      <c r="M76" s="142"/>
      <c r="N76" s="142"/>
      <c r="O76" s="142"/>
      <c r="P76" s="143"/>
      <c r="Q76" s="76"/>
      <c r="R76" s="76"/>
      <c r="S76" s="76"/>
      <c r="T76" s="76"/>
      <c r="U76" s="76"/>
    </row>
    <row r="77" spans="1:21" ht="18" customHeight="1" x14ac:dyDescent="0.2">
      <c r="A77" s="70"/>
      <c r="B77" s="160"/>
      <c r="C77" s="161"/>
      <c r="D77" s="161"/>
      <c r="E77" s="161"/>
      <c r="F77" s="86"/>
      <c r="G77" s="86"/>
      <c r="H77" s="87"/>
      <c r="I77" s="87"/>
      <c r="J77" s="87"/>
      <c r="K77" s="160"/>
      <c r="L77" s="161"/>
      <c r="M77" s="161"/>
      <c r="N77" s="161"/>
      <c r="O77" s="161"/>
      <c r="P77" s="162"/>
      <c r="Q77" s="86"/>
      <c r="R77" s="86"/>
      <c r="S77" s="87"/>
      <c r="T77" s="87"/>
      <c r="U77" s="87"/>
    </row>
    <row r="78" spans="1:21" ht="7.5" customHeight="1" x14ac:dyDescent="0.2">
      <c r="B78" s="88"/>
      <c r="C78" s="88"/>
      <c r="D78" s="88"/>
      <c r="E78" s="88"/>
      <c r="F78" s="88"/>
      <c r="G78" s="88"/>
      <c r="H78" s="88"/>
      <c r="I78" s="88"/>
      <c r="J78" s="88"/>
      <c r="K78" s="88"/>
      <c r="L78" s="88"/>
      <c r="M78" s="88"/>
      <c r="N78" s="88"/>
      <c r="O78" s="88"/>
      <c r="P78" s="88"/>
      <c r="Q78" s="88"/>
      <c r="R78" s="88"/>
      <c r="S78" s="88"/>
      <c r="T78" s="88"/>
    </row>
    <row r="79" spans="1:21" ht="18" customHeight="1" x14ac:dyDescent="0.2">
      <c r="A79" s="66" t="s">
        <v>106</v>
      </c>
      <c r="I79" s="70"/>
      <c r="J79" s="70"/>
      <c r="K79" s="70"/>
      <c r="L79" s="70"/>
      <c r="M79" s="70"/>
      <c r="N79" s="70"/>
      <c r="O79" s="70"/>
      <c r="P79" s="70"/>
      <c r="Q79" s="70"/>
      <c r="R79" s="70"/>
      <c r="S79" s="70"/>
      <c r="T79" s="70"/>
      <c r="U79" s="70"/>
    </row>
    <row r="80" spans="1:21" ht="18" customHeight="1" x14ac:dyDescent="0.2">
      <c r="B80" s="125" t="s">
        <v>51</v>
      </c>
      <c r="C80" s="126"/>
      <c r="D80" s="126"/>
      <c r="E80" s="126"/>
      <c r="F80" s="127"/>
      <c r="G80" s="125" t="s">
        <v>78</v>
      </c>
      <c r="H80" s="126"/>
      <c r="I80" s="126"/>
      <c r="J80" s="127"/>
      <c r="K80" s="164" t="s">
        <v>51</v>
      </c>
      <c r="L80" s="165"/>
      <c r="M80" s="165"/>
      <c r="N80" s="165"/>
      <c r="O80" s="165"/>
      <c r="P80" s="165"/>
      <c r="Q80" s="166"/>
      <c r="R80" s="125" t="s">
        <v>78</v>
      </c>
      <c r="S80" s="126"/>
      <c r="T80" s="126"/>
      <c r="U80" s="127"/>
    </row>
    <row r="81" spans="1:21" ht="18" customHeight="1" x14ac:dyDescent="0.2">
      <c r="A81" s="70"/>
      <c r="B81" s="157" t="s">
        <v>149</v>
      </c>
      <c r="C81" s="158"/>
      <c r="D81" s="158"/>
      <c r="E81" s="158"/>
      <c r="F81" s="159"/>
      <c r="G81" s="174" t="s">
        <v>150</v>
      </c>
      <c r="H81" s="175"/>
      <c r="I81" s="175"/>
      <c r="J81" s="176"/>
      <c r="K81" s="157"/>
      <c r="L81" s="158"/>
      <c r="M81" s="158"/>
      <c r="N81" s="158"/>
      <c r="O81" s="158"/>
      <c r="P81" s="158"/>
      <c r="Q81" s="159"/>
      <c r="R81" s="177"/>
      <c r="S81" s="178"/>
      <c r="T81" s="178"/>
      <c r="U81" s="179"/>
    </row>
    <row r="82" spans="1:21" ht="18" customHeight="1" x14ac:dyDescent="0.2">
      <c r="A82" s="70"/>
      <c r="B82" s="141" t="s">
        <v>149</v>
      </c>
      <c r="C82" s="142"/>
      <c r="D82" s="142"/>
      <c r="E82" s="142"/>
      <c r="F82" s="143"/>
      <c r="G82" s="168" t="s">
        <v>151</v>
      </c>
      <c r="H82" s="169"/>
      <c r="I82" s="169"/>
      <c r="J82" s="170"/>
      <c r="K82" s="141"/>
      <c r="L82" s="142"/>
      <c r="M82" s="142"/>
      <c r="N82" s="142"/>
      <c r="O82" s="142"/>
      <c r="P82" s="142"/>
      <c r="Q82" s="143"/>
      <c r="R82" s="171"/>
      <c r="S82" s="172"/>
      <c r="T82" s="172"/>
      <c r="U82" s="173"/>
    </row>
    <row r="83" spans="1:21" ht="18" customHeight="1" x14ac:dyDescent="0.2">
      <c r="A83" s="70"/>
      <c r="B83" s="141" t="s">
        <v>149</v>
      </c>
      <c r="C83" s="142"/>
      <c r="D83" s="142"/>
      <c r="E83" s="142"/>
      <c r="F83" s="143"/>
      <c r="G83" s="168" t="s">
        <v>152</v>
      </c>
      <c r="H83" s="169"/>
      <c r="I83" s="169"/>
      <c r="J83" s="170"/>
      <c r="K83" s="141"/>
      <c r="L83" s="142"/>
      <c r="M83" s="142"/>
      <c r="N83" s="142"/>
      <c r="O83" s="142"/>
      <c r="P83" s="142"/>
      <c r="Q83" s="143"/>
      <c r="R83" s="171"/>
      <c r="S83" s="172"/>
      <c r="T83" s="172"/>
      <c r="U83" s="173"/>
    </row>
    <row r="84" spans="1:21" ht="18" customHeight="1" x14ac:dyDescent="0.2">
      <c r="A84" s="70"/>
      <c r="B84" s="141"/>
      <c r="C84" s="142"/>
      <c r="D84" s="142"/>
      <c r="E84" s="142"/>
      <c r="F84" s="143"/>
      <c r="G84" s="171"/>
      <c r="H84" s="172"/>
      <c r="I84" s="172"/>
      <c r="J84" s="173"/>
      <c r="K84" s="141"/>
      <c r="L84" s="142"/>
      <c r="M84" s="142"/>
      <c r="N84" s="142"/>
      <c r="O84" s="142"/>
      <c r="P84" s="142"/>
      <c r="Q84" s="143"/>
      <c r="R84" s="171"/>
      <c r="S84" s="172"/>
      <c r="T84" s="172"/>
      <c r="U84" s="173"/>
    </row>
    <row r="85" spans="1:21" ht="18" customHeight="1" x14ac:dyDescent="0.2">
      <c r="A85" s="70"/>
      <c r="B85" s="141"/>
      <c r="C85" s="142"/>
      <c r="D85" s="142"/>
      <c r="E85" s="142"/>
      <c r="F85" s="143"/>
      <c r="G85" s="171"/>
      <c r="H85" s="172"/>
      <c r="I85" s="172"/>
      <c r="J85" s="173"/>
      <c r="K85" s="141"/>
      <c r="L85" s="142"/>
      <c r="M85" s="142"/>
      <c r="N85" s="142"/>
      <c r="O85" s="142"/>
      <c r="P85" s="142"/>
      <c r="Q85" s="143"/>
      <c r="R85" s="171"/>
      <c r="S85" s="172"/>
      <c r="T85" s="172"/>
      <c r="U85" s="173"/>
    </row>
    <row r="86" spans="1:21" ht="18" customHeight="1" x14ac:dyDescent="0.2">
      <c r="A86" s="70"/>
      <c r="B86" s="141"/>
      <c r="C86" s="142"/>
      <c r="D86" s="142"/>
      <c r="E86" s="142"/>
      <c r="F86" s="143"/>
      <c r="G86" s="171"/>
      <c r="H86" s="172"/>
      <c r="I86" s="172"/>
      <c r="J86" s="173"/>
      <c r="K86" s="141"/>
      <c r="L86" s="142"/>
      <c r="M86" s="142"/>
      <c r="N86" s="142"/>
      <c r="O86" s="142"/>
      <c r="P86" s="142"/>
      <c r="Q86" s="143"/>
      <c r="R86" s="171"/>
      <c r="S86" s="172"/>
      <c r="T86" s="172"/>
      <c r="U86" s="173"/>
    </row>
    <row r="87" spans="1:21" ht="18" customHeight="1" x14ac:dyDescent="0.2">
      <c r="A87" s="70"/>
      <c r="B87" s="160"/>
      <c r="C87" s="161"/>
      <c r="D87" s="161"/>
      <c r="E87" s="161"/>
      <c r="F87" s="162"/>
      <c r="G87" s="180"/>
      <c r="H87" s="181"/>
      <c r="I87" s="181"/>
      <c r="J87" s="182"/>
      <c r="K87" s="160"/>
      <c r="L87" s="161"/>
      <c r="M87" s="161"/>
      <c r="N87" s="161"/>
      <c r="O87" s="161"/>
      <c r="P87" s="161"/>
      <c r="Q87" s="162"/>
      <c r="R87" s="180"/>
      <c r="S87" s="181"/>
      <c r="T87" s="181"/>
      <c r="U87" s="182"/>
    </row>
    <row r="88" spans="1:21" ht="18" customHeight="1" x14ac:dyDescent="0.2">
      <c r="A88" s="70"/>
      <c r="B88" s="68"/>
      <c r="C88" s="68"/>
      <c r="D88" s="68"/>
      <c r="E88" s="68"/>
      <c r="F88" s="68"/>
      <c r="G88" s="94"/>
      <c r="H88" s="94"/>
      <c r="I88" s="94"/>
      <c r="J88" s="94"/>
      <c r="K88" s="68"/>
      <c r="L88" s="68"/>
      <c r="M88" s="68"/>
      <c r="N88" s="68"/>
      <c r="O88" s="68"/>
      <c r="P88" s="68"/>
      <c r="Q88" s="68"/>
      <c r="R88" s="94"/>
      <c r="S88" s="94"/>
      <c r="T88" s="94"/>
      <c r="U88" s="94"/>
    </row>
    <row r="89" spans="1:21" ht="18.75" customHeight="1" x14ac:dyDescent="0.2">
      <c r="A89" s="66" t="s">
        <v>107</v>
      </c>
    </row>
    <row r="90" spans="1:21" ht="18.75" customHeight="1" x14ac:dyDescent="0.2">
      <c r="B90" s="183" t="s">
        <v>52</v>
      </c>
      <c r="C90" s="184"/>
      <c r="D90" s="125" t="s">
        <v>53</v>
      </c>
      <c r="E90" s="126"/>
      <c r="F90" s="126"/>
      <c r="G90" s="126"/>
      <c r="H90" s="126"/>
      <c r="I90" s="126"/>
      <c r="J90" s="126"/>
      <c r="K90" s="126"/>
      <c r="L90" s="126"/>
      <c r="M90" s="126"/>
      <c r="N90" s="126"/>
      <c r="O90" s="126"/>
      <c r="P90" s="126"/>
      <c r="Q90" s="126"/>
      <c r="R90" s="126"/>
      <c r="S90" s="126"/>
      <c r="T90" s="126"/>
      <c r="U90" s="127"/>
    </row>
    <row r="91" spans="1:21" ht="99" customHeight="1" x14ac:dyDescent="0.2">
      <c r="B91" s="185" t="s">
        <v>59</v>
      </c>
      <c r="C91" s="95" t="s">
        <v>54</v>
      </c>
      <c r="D91" s="187" t="s">
        <v>185</v>
      </c>
      <c r="E91" s="188"/>
      <c r="F91" s="188"/>
      <c r="G91" s="188"/>
      <c r="H91" s="188"/>
      <c r="I91" s="188"/>
      <c r="J91" s="188"/>
      <c r="K91" s="188"/>
      <c r="L91" s="188"/>
      <c r="M91" s="188"/>
      <c r="N91" s="188"/>
      <c r="O91" s="188"/>
      <c r="P91" s="188"/>
      <c r="Q91" s="188"/>
      <c r="R91" s="188"/>
      <c r="S91" s="188"/>
      <c r="T91" s="188"/>
      <c r="U91" s="189"/>
    </row>
    <row r="92" spans="1:21" ht="48.75" customHeight="1" x14ac:dyDescent="0.2">
      <c r="B92" s="193"/>
      <c r="C92" s="96" t="s">
        <v>74</v>
      </c>
      <c r="D92" s="190" t="s">
        <v>183</v>
      </c>
      <c r="E92" s="191"/>
      <c r="F92" s="191"/>
      <c r="G92" s="191"/>
      <c r="H92" s="191"/>
      <c r="I92" s="191"/>
      <c r="J92" s="191"/>
      <c r="K92" s="191"/>
      <c r="L92" s="191"/>
      <c r="M92" s="191"/>
      <c r="N92" s="191"/>
      <c r="O92" s="191"/>
      <c r="P92" s="191"/>
      <c r="Q92" s="191"/>
      <c r="R92" s="191"/>
      <c r="S92" s="191"/>
      <c r="T92" s="191"/>
      <c r="U92" s="192"/>
    </row>
    <row r="93" spans="1:21" ht="80.25" customHeight="1" x14ac:dyDescent="0.2">
      <c r="B93" s="185" t="s">
        <v>60</v>
      </c>
      <c r="C93" s="97" t="s">
        <v>68</v>
      </c>
      <c r="D93" s="187" t="s">
        <v>182</v>
      </c>
      <c r="E93" s="188"/>
      <c r="F93" s="188"/>
      <c r="G93" s="188"/>
      <c r="H93" s="188"/>
      <c r="I93" s="188"/>
      <c r="J93" s="188"/>
      <c r="K93" s="188"/>
      <c r="L93" s="188"/>
      <c r="M93" s="188"/>
      <c r="N93" s="188"/>
      <c r="O93" s="188"/>
      <c r="P93" s="188"/>
      <c r="Q93" s="188"/>
      <c r="R93" s="188"/>
      <c r="S93" s="188"/>
      <c r="T93" s="188"/>
      <c r="U93" s="189"/>
    </row>
    <row r="94" spans="1:21" ht="60" customHeight="1" x14ac:dyDescent="0.2">
      <c r="B94" s="186"/>
      <c r="C94" s="98" t="s">
        <v>69</v>
      </c>
      <c r="D94" s="190" t="s">
        <v>180</v>
      </c>
      <c r="E94" s="191"/>
      <c r="F94" s="191"/>
      <c r="G94" s="191"/>
      <c r="H94" s="191"/>
      <c r="I94" s="191"/>
      <c r="J94" s="191"/>
      <c r="K94" s="191"/>
      <c r="L94" s="191"/>
      <c r="M94" s="191"/>
      <c r="N94" s="191"/>
      <c r="O94" s="191"/>
      <c r="P94" s="191"/>
      <c r="Q94" s="191"/>
      <c r="R94" s="191"/>
      <c r="S94" s="191"/>
      <c r="T94" s="191"/>
      <c r="U94" s="192"/>
    </row>
    <row r="95" spans="1:21" ht="99.75" customHeight="1" x14ac:dyDescent="0.2">
      <c r="B95" s="185" t="s">
        <v>61</v>
      </c>
      <c r="C95" s="97" t="s">
        <v>70</v>
      </c>
      <c r="D95" s="187" t="s">
        <v>179</v>
      </c>
      <c r="E95" s="188"/>
      <c r="F95" s="188"/>
      <c r="G95" s="188"/>
      <c r="H95" s="188"/>
      <c r="I95" s="188"/>
      <c r="J95" s="188"/>
      <c r="K95" s="188"/>
      <c r="L95" s="188"/>
      <c r="M95" s="188"/>
      <c r="N95" s="188"/>
      <c r="O95" s="188"/>
      <c r="P95" s="188"/>
      <c r="Q95" s="188"/>
      <c r="R95" s="188"/>
      <c r="S95" s="188"/>
      <c r="T95" s="188"/>
      <c r="U95" s="189"/>
    </row>
    <row r="96" spans="1:21" ht="67.5" customHeight="1" x14ac:dyDescent="0.2">
      <c r="B96" s="186"/>
      <c r="C96" s="99" t="s">
        <v>71</v>
      </c>
      <c r="D96" s="190" t="s">
        <v>181</v>
      </c>
      <c r="E96" s="191"/>
      <c r="F96" s="191"/>
      <c r="G96" s="191"/>
      <c r="H96" s="191"/>
      <c r="I96" s="191"/>
      <c r="J96" s="191"/>
      <c r="K96" s="191"/>
      <c r="L96" s="191"/>
      <c r="M96" s="191"/>
      <c r="N96" s="191"/>
      <c r="O96" s="191"/>
      <c r="P96" s="191"/>
      <c r="Q96" s="191"/>
      <c r="R96" s="191"/>
      <c r="S96" s="191"/>
      <c r="T96" s="191"/>
      <c r="U96" s="192"/>
    </row>
    <row r="97" spans="1:33" ht="109.5" customHeight="1" x14ac:dyDescent="0.2">
      <c r="B97" s="185" t="s">
        <v>75</v>
      </c>
      <c r="C97" s="95" t="s">
        <v>56</v>
      </c>
      <c r="D97" s="187" t="s">
        <v>186</v>
      </c>
      <c r="E97" s="188"/>
      <c r="F97" s="188"/>
      <c r="G97" s="188"/>
      <c r="H97" s="188"/>
      <c r="I97" s="188"/>
      <c r="J97" s="188"/>
      <c r="K97" s="188"/>
      <c r="L97" s="188"/>
      <c r="M97" s="188"/>
      <c r="N97" s="188"/>
      <c r="O97" s="188"/>
      <c r="P97" s="188"/>
      <c r="Q97" s="188"/>
      <c r="R97" s="188"/>
      <c r="S97" s="188"/>
      <c r="T97" s="188"/>
      <c r="U97" s="189"/>
    </row>
    <row r="98" spans="1:33" ht="59.25" customHeight="1" x14ac:dyDescent="0.2">
      <c r="B98" s="186"/>
      <c r="C98" s="98" t="s">
        <v>58</v>
      </c>
      <c r="D98" s="190" t="s">
        <v>187</v>
      </c>
      <c r="E98" s="191"/>
      <c r="F98" s="191"/>
      <c r="G98" s="191"/>
      <c r="H98" s="191"/>
      <c r="I98" s="191"/>
      <c r="J98" s="191"/>
      <c r="K98" s="191"/>
      <c r="L98" s="191"/>
      <c r="M98" s="191"/>
      <c r="N98" s="191"/>
      <c r="O98" s="191"/>
      <c r="P98" s="191"/>
      <c r="Q98" s="191"/>
      <c r="R98" s="191"/>
      <c r="S98" s="191"/>
      <c r="T98" s="191"/>
      <c r="U98" s="192"/>
    </row>
    <row r="99" spans="1:33" ht="141" customHeight="1" x14ac:dyDescent="0.2">
      <c r="B99" s="185" t="s">
        <v>76</v>
      </c>
      <c r="C99" s="97" t="s">
        <v>55</v>
      </c>
      <c r="D99" s="187" t="s">
        <v>188</v>
      </c>
      <c r="E99" s="188"/>
      <c r="F99" s="188"/>
      <c r="G99" s="188"/>
      <c r="H99" s="188"/>
      <c r="I99" s="188"/>
      <c r="J99" s="188"/>
      <c r="K99" s="188"/>
      <c r="L99" s="188"/>
      <c r="M99" s="188"/>
      <c r="N99" s="188"/>
      <c r="O99" s="188"/>
      <c r="P99" s="188"/>
      <c r="Q99" s="188"/>
      <c r="R99" s="188"/>
      <c r="S99" s="188"/>
      <c r="T99" s="188"/>
      <c r="U99" s="189"/>
    </row>
    <row r="100" spans="1:33" ht="87.75" customHeight="1" x14ac:dyDescent="0.2">
      <c r="B100" s="193"/>
      <c r="C100" s="100" t="s">
        <v>72</v>
      </c>
      <c r="D100" s="197" t="s">
        <v>189</v>
      </c>
      <c r="E100" s="198"/>
      <c r="F100" s="198"/>
      <c r="G100" s="198"/>
      <c r="H100" s="198"/>
      <c r="I100" s="198"/>
      <c r="J100" s="198"/>
      <c r="K100" s="198"/>
      <c r="L100" s="198"/>
      <c r="M100" s="198"/>
      <c r="N100" s="198"/>
      <c r="O100" s="198"/>
      <c r="P100" s="198"/>
      <c r="Q100" s="198"/>
      <c r="R100" s="198"/>
      <c r="S100" s="198"/>
      <c r="T100" s="198"/>
      <c r="U100" s="199"/>
    </row>
    <row r="101" spans="1:33" ht="80.25" customHeight="1" x14ac:dyDescent="0.2">
      <c r="B101" s="186"/>
      <c r="C101" s="99" t="s">
        <v>73</v>
      </c>
      <c r="D101" s="190" t="s">
        <v>190</v>
      </c>
      <c r="E101" s="191"/>
      <c r="F101" s="191"/>
      <c r="G101" s="191"/>
      <c r="H101" s="191"/>
      <c r="I101" s="191"/>
      <c r="J101" s="191"/>
      <c r="K101" s="191"/>
      <c r="L101" s="191"/>
      <c r="M101" s="191"/>
      <c r="N101" s="191"/>
      <c r="O101" s="191"/>
      <c r="P101" s="191"/>
      <c r="Q101" s="191"/>
      <c r="R101" s="191"/>
      <c r="S101" s="191"/>
      <c r="T101" s="191"/>
      <c r="U101" s="192"/>
    </row>
    <row r="102" spans="1:33" ht="6" customHeight="1" x14ac:dyDescent="0.2"/>
    <row r="103" spans="1:33" ht="18.75" customHeight="1" x14ac:dyDescent="0.2">
      <c r="A103" s="66" t="s">
        <v>108</v>
      </c>
    </row>
    <row r="104" spans="1:33" ht="81.75" customHeight="1" x14ac:dyDescent="0.2">
      <c r="B104" s="200" t="s">
        <v>162</v>
      </c>
      <c r="C104" s="201"/>
      <c r="D104" s="201"/>
      <c r="E104" s="201"/>
      <c r="F104" s="201"/>
      <c r="G104" s="201"/>
      <c r="H104" s="201"/>
      <c r="I104" s="201"/>
      <c r="J104" s="201"/>
      <c r="K104" s="201"/>
      <c r="L104" s="201"/>
      <c r="M104" s="201"/>
      <c r="N104" s="201"/>
      <c r="O104" s="201"/>
      <c r="P104" s="201"/>
      <c r="Q104" s="201"/>
      <c r="R104" s="201"/>
      <c r="S104" s="201"/>
      <c r="T104" s="201"/>
      <c r="U104" s="202"/>
    </row>
    <row r="106" spans="1:33" ht="18.75" customHeight="1" x14ac:dyDescent="0.2">
      <c r="A106" s="71" t="s">
        <v>124</v>
      </c>
    </row>
    <row r="107" spans="1:33" ht="18.75" customHeight="1" x14ac:dyDescent="0.2">
      <c r="A107" s="71" t="s">
        <v>126</v>
      </c>
      <c r="B107" s="71"/>
      <c r="C107" s="71"/>
      <c r="D107" s="71"/>
      <c r="E107" s="71"/>
      <c r="F107" s="71"/>
      <c r="G107" s="71"/>
      <c r="H107" s="71"/>
      <c r="I107" s="71"/>
      <c r="J107" s="71"/>
      <c r="K107" s="71"/>
      <c r="L107" s="71"/>
      <c r="M107" s="71"/>
      <c r="N107" s="71"/>
      <c r="O107" s="71"/>
      <c r="P107" s="71"/>
      <c r="Q107" s="71"/>
      <c r="R107" s="71"/>
      <c r="S107" s="71"/>
      <c r="T107" s="71"/>
      <c r="U107" s="71"/>
      <c r="V107" s="71"/>
      <c r="W107" s="71"/>
      <c r="X107" s="71"/>
      <c r="Y107" s="71"/>
      <c r="Z107" s="71"/>
      <c r="AA107" s="71"/>
      <c r="AB107" s="71"/>
      <c r="AC107" s="71"/>
      <c r="AD107" s="71"/>
      <c r="AE107" s="71"/>
      <c r="AF107" s="71"/>
      <c r="AG107" s="71"/>
    </row>
    <row r="108" spans="1:33" ht="18.75" customHeight="1" x14ac:dyDescent="0.2">
      <c r="A108" s="71"/>
      <c r="B108" s="203" t="s">
        <v>130</v>
      </c>
      <c r="C108" s="203"/>
      <c r="D108" s="203"/>
      <c r="E108" s="203"/>
      <c r="F108" s="203"/>
      <c r="G108" s="203"/>
      <c r="H108" s="203"/>
      <c r="I108" s="203"/>
      <c r="J108" s="203"/>
      <c r="K108" s="203"/>
      <c r="L108" s="203"/>
      <c r="M108" s="203"/>
      <c r="N108" s="203"/>
      <c r="O108" s="203"/>
      <c r="P108" s="203"/>
      <c r="Q108" s="203"/>
      <c r="R108" s="203"/>
      <c r="S108" s="203"/>
      <c r="T108" s="203"/>
      <c r="U108" s="203"/>
      <c r="V108" s="101"/>
      <c r="W108" s="101"/>
      <c r="X108" s="101"/>
      <c r="Y108" s="101"/>
      <c r="Z108" s="101"/>
      <c r="AA108" s="101"/>
      <c r="AB108" s="101"/>
      <c r="AC108" s="101"/>
      <c r="AD108" s="101"/>
      <c r="AE108" s="101"/>
      <c r="AF108" s="101"/>
      <c r="AG108" s="101"/>
    </row>
    <row r="109" spans="1:33" ht="37.35" customHeight="1" x14ac:dyDescent="0.2">
      <c r="A109" s="71"/>
      <c r="B109" s="203"/>
      <c r="C109" s="203"/>
      <c r="D109" s="203"/>
      <c r="E109" s="203"/>
      <c r="F109" s="203"/>
      <c r="G109" s="203"/>
      <c r="H109" s="203"/>
      <c r="I109" s="203"/>
      <c r="J109" s="203"/>
      <c r="K109" s="203"/>
      <c r="L109" s="203"/>
      <c r="M109" s="203"/>
      <c r="N109" s="203"/>
      <c r="O109" s="203"/>
      <c r="P109" s="203"/>
      <c r="Q109" s="203"/>
      <c r="R109" s="203"/>
      <c r="S109" s="203"/>
      <c r="T109" s="203"/>
      <c r="U109" s="203"/>
      <c r="V109" s="101"/>
      <c r="W109" s="101"/>
      <c r="X109" s="101"/>
      <c r="Y109" s="101"/>
      <c r="Z109" s="101"/>
      <c r="AA109" s="101"/>
      <c r="AB109" s="101"/>
      <c r="AC109" s="101"/>
      <c r="AD109" s="101"/>
      <c r="AE109" s="101"/>
      <c r="AF109" s="101"/>
      <c r="AG109" s="101"/>
    </row>
    <row r="110" spans="1:33" ht="18.75" customHeight="1" x14ac:dyDescent="0.2">
      <c r="A110" s="71"/>
      <c r="B110" s="194" t="s">
        <v>125</v>
      </c>
      <c r="C110" s="194"/>
      <c r="D110" s="194"/>
      <c r="E110" s="194"/>
      <c r="F110" s="194"/>
      <c r="G110" s="194"/>
      <c r="H110" s="194"/>
      <c r="I110" s="194"/>
      <c r="J110" s="194"/>
      <c r="K110" s="194"/>
      <c r="L110" s="194"/>
      <c r="M110" s="194"/>
      <c r="N110" s="194"/>
      <c r="O110" s="194"/>
      <c r="P110" s="194"/>
      <c r="Q110" s="194"/>
      <c r="R110" s="194"/>
      <c r="S110" s="194"/>
      <c r="T110" s="194"/>
      <c r="U110" s="194"/>
      <c r="V110" s="101"/>
      <c r="W110" s="101"/>
      <c r="X110" s="101"/>
      <c r="Y110" s="101"/>
      <c r="Z110" s="101"/>
      <c r="AA110" s="101"/>
      <c r="AB110" s="101"/>
      <c r="AC110" s="101"/>
      <c r="AD110" s="101"/>
      <c r="AE110" s="101"/>
      <c r="AF110" s="101"/>
      <c r="AG110" s="101"/>
    </row>
    <row r="111" spans="1:33" ht="18.75" customHeight="1" x14ac:dyDescent="0.2">
      <c r="A111" s="71"/>
      <c r="B111" s="195" t="s">
        <v>53</v>
      </c>
      <c r="C111" s="195"/>
      <c r="D111" s="195"/>
      <c r="E111" s="195"/>
      <c r="F111" s="195"/>
      <c r="G111" s="195"/>
      <c r="H111" s="195"/>
      <c r="I111" s="195"/>
      <c r="J111" s="195"/>
      <c r="K111" s="195"/>
      <c r="L111" s="195"/>
      <c r="M111" s="195"/>
      <c r="N111" s="195"/>
      <c r="O111" s="195"/>
      <c r="P111" s="195"/>
      <c r="Q111" s="195"/>
      <c r="R111" s="195"/>
      <c r="S111" s="195"/>
      <c r="T111" s="195"/>
      <c r="U111" s="195"/>
      <c r="V111" s="71"/>
      <c r="W111" s="71"/>
      <c r="X111" s="71"/>
      <c r="Y111" s="71"/>
      <c r="Z111" s="71"/>
      <c r="AA111" s="71"/>
      <c r="AB111" s="71"/>
      <c r="AC111" s="71"/>
      <c r="AD111" s="71"/>
      <c r="AE111" s="71"/>
      <c r="AF111" s="71"/>
      <c r="AG111" s="71"/>
    </row>
    <row r="112" spans="1:33" ht="132" customHeight="1" x14ac:dyDescent="0.2">
      <c r="A112" s="71"/>
      <c r="B112" s="196"/>
      <c r="C112" s="196"/>
      <c r="D112" s="196"/>
      <c r="E112" s="196"/>
      <c r="F112" s="196"/>
      <c r="G112" s="196"/>
      <c r="H112" s="196"/>
      <c r="I112" s="196"/>
      <c r="J112" s="196"/>
      <c r="K112" s="196"/>
      <c r="L112" s="196"/>
      <c r="M112" s="196"/>
      <c r="N112" s="196"/>
      <c r="O112" s="196"/>
      <c r="P112" s="196"/>
      <c r="Q112" s="196"/>
      <c r="R112" s="196"/>
      <c r="S112" s="196"/>
      <c r="T112" s="196"/>
      <c r="U112" s="196"/>
      <c r="V112" s="102"/>
      <c r="W112" s="102"/>
      <c r="X112" s="102"/>
      <c r="Y112" s="102"/>
      <c r="Z112" s="102"/>
      <c r="AA112" s="102"/>
      <c r="AB112" s="102"/>
      <c r="AC112" s="102"/>
      <c r="AD112" s="102"/>
      <c r="AE112" s="102"/>
      <c r="AF112" s="102"/>
      <c r="AG112" s="102"/>
    </row>
    <row r="114" ht="18" customHeight="1" x14ac:dyDescent="0.2"/>
  </sheetData>
  <mergeCells count="146">
    <mergeCell ref="B110:U110"/>
    <mergeCell ref="B111:U111"/>
    <mergeCell ref="B112:U112"/>
    <mergeCell ref="B99:B101"/>
    <mergeCell ref="D99:U99"/>
    <mergeCell ref="D100:U100"/>
    <mergeCell ref="D101:U101"/>
    <mergeCell ref="B104:U104"/>
    <mergeCell ref="B108:U109"/>
    <mergeCell ref="B95:B96"/>
    <mergeCell ref="D95:U95"/>
    <mergeCell ref="D96:U96"/>
    <mergeCell ref="B97:B98"/>
    <mergeCell ref="D97:U97"/>
    <mergeCell ref="D98:U98"/>
    <mergeCell ref="B91:B92"/>
    <mergeCell ref="D91:U91"/>
    <mergeCell ref="D92:U92"/>
    <mergeCell ref="B93:B94"/>
    <mergeCell ref="D93:U93"/>
    <mergeCell ref="D94:U94"/>
    <mergeCell ref="B87:F87"/>
    <mergeCell ref="G87:J87"/>
    <mergeCell ref="K87:Q87"/>
    <mergeCell ref="R87:U87"/>
    <mergeCell ref="B90:C90"/>
    <mergeCell ref="D90:U90"/>
    <mergeCell ref="B85:F85"/>
    <mergeCell ref="G85:J85"/>
    <mergeCell ref="K85:Q85"/>
    <mergeCell ref="R85:U85"/>
    <mergeCell ref="B86:F86"/>
    <mergeCell ref="G86:J86"/>
    <mergeCell ref="K86:Q86"/>
    <mergeCell ref="R86:U86"/>
    <mergeCell ref="B83:F83"/>
    <mergeCell ref="G83:J83"/>
    <mergeCell ref="K83:Q83"/>
    <mergeCell ref="R83:U83"/>
    <mergeCell ref="B84:F84"/>
    <mergeCell ref="G84:J84"/>
    <mergeCell ref="K84:Q84"/>
    <mergeCell ref="R84:U84"/>
    <mergeCell ref="B81:F81"/>
    <mergeCell ref="G81:J81"/>
    <mergeCell ref="K81:Q81"/>
    <mergeCell ref="R81:U81"/>
    <mergeCell ref="B82:F82"/>
    <mergeCell ref="G82:J82"/>
    <mergeCell ref="K82:Q82"/>
    <mergeCell ref="R82:U82"/>
    <mergeCell ref="B77:E77"/>
    <mergeCell ref="K77:P77"/>
    <mergeCell ref="B80:F80"/>
    <mergeCell ref="G80:J80"/>
    <mergeCell ref="K80:Q80"/>
    <mergeCell ref="R80:U80"/>
    <mergeCell ref="K73:P73"/>
    <mergeCell ref="K74:P74"/>
    <mergeCell ref="B75:E75"/>
    <mergeCell ref="K75:P75"/>
    <mergeCell ref="B76:E76"/>
    <mergeCell ref="K76:P76"/>
    <mergeCell ref="B73:D73"/>
    <mergeCell ref="A68:U69"/>
    <mergeCell ref="B70:E70"/>
    <mergeCell ref="K70:P70"/>
    <mergeCell ref="K71:P71"/>
    <mergeCell ref="K72:P72"/>
    <mergeCell ref="B64:F64"/>
    <mergeCell ref="K64:Q64"/>
    <mergeCell ref="B65:F65"/>
    <mergeCell ref="K65:Q65"/>
    <mergeCell ref="B66:F66"/>
    <mergeCell ref="K66:Q66"/>
    <mergeCell ref="B71:D71"/>
    <mergeCell ref="B61:F61"/>
    <mergeCell ref="K61:Q61"/>
    <mergeCell ref="B62:F62"/>
    <mergeCell ref="K62:Q62"/>
    <mergeCell ref="B63:F63"/>
    <mergeCell ref="K63:Q63"/>
    <mergeCell ref="B55:F55"/>
    <mergeCell ref="K55:Q55"/>
    <mergeCell ref="A57:U58"/>
    <mergeCell ref="B59:F59"/>
    <mergeCell ref="K59:Q59"/>
    <mergeCell ref="B60:F60"/>
    <mergeCell ref="K60:Q60"/>
    <mergeCell ref="B52:F52"/>
    <mergeCell ref="K52:Q52"/>
    <mergeCell ref="B53:F53"/>
    <mergeCell ref="K53:Q53"/>
    <mergeCell ref="B54:F54"/>
    <mergeCell ref="K54:Q54"/>
    <mergeCell ref="B49:F49"/>
    <mergeCell ref="K49:Q49"/>
    <mergeCell ref="B50:F50"/>
    <mergeCell ref="K50:Q50"/>
    <mergeCell ref="B51:F51"/>
    <mergeCell ref="K51:Q51"/>
    <mergeCell ref="B43:F43"/>
    <mergeCell ref="K43:Q43"/>
    <mergeCell ref="B44:F44"/>
    <mergeCell ref="K44:Q44"/>
    <mergeCell ref="A46:U47"/>
    <mergeCell ref="B48:F48"/>
    <mergeCell ref="K48:Q48"/>
    <mergeCell ref="B40:F40"/>
    <mergeCell ref="K40:Q40"/>
    <mergeCell ref="B41:F41"/>
    <mergeCell ref="K41:Q41"/>
    <mergeCell ref="B42:F42"/>
    <mergeCell ref="K42:Q42"/>
    <mergeCell ref="A35:U36"/>
    <mergeCell ref="B37:F37"/>
    <mergeCell ref="K37:Q37"/>
    <mergeCell ref="B38:F38"/>
    <mergeCell ref="K38:Q38"/>
    <mergeCell ref="B39:F39"/>
    <mergeCell ref="K39:Q39"/>
    <mergeCell ref="B31:F31"/>
    <mergeCell ref="K31:Q31"/>
    <mergeCell ref="B32:F32"/>
    <mergeCell ref="K32:Q32"/>
    <mergeCell ref="B33:F33"/>
    <mergeCell ref="K33:Q33"/>
    <mergeCell ref="B30:F30"/>
    <mergeCell ref="K30:Q30"/>
    <mergeCell ref="B15:U20"/>
    <mergeCell ref="N22:U22"/>
    <mergeCell ref="A24:U25"/>
    <mergeCell ref="B26:F26"/>
    <mergeCell ref="K26:Q26"/>
    <mergeCell ref="B27:F27"/>
    <mergeCell ref="K27:Q27"/>
    <mergeCell ref="T1:U1"/>
    <mergeCell ref="C2:J2"/>
    <mergeCell ref="C3:J3"/>
    <mergeCell ref="A5:U5"/>
    <mergeCell ref="L7:U7"/>
    <mergeCell ref="B11:U12"/>
    <mergeCell ref="B28:F28"/>
    <mergeCell ref="K28:Q28"/>
    <mergeCell ref="B29:F29"/>
    <mergeCell ref="K29:Q29"/>
  </mergeCells>
  <phoneticPr fontId="1"/>
  <conditionalFormatting sqref="B11:U12">
    <cfRule type="expression" dxfId="5" priority="1">
      <formula>$L$7="学部・学科によって、修了要件は相違しない"</formula>
    </cfRule>
    <cfRule type="expression" dxfId="4" priority="2">
      <formula>$L$9="学部・学科によって、修了要件は相違しない"</formula>
    </cfRule>
  </conditionalFormatting>
  <dataValidations count="5">
    <dataValidation type="list" allowBlank="1" showInputMessage="1" showErrorMessage="1" sqref="N22:U22" xr:uid="{675D5D45-89B7-4651-8AC8-92C589D50F53}">
      <formula1>$X$16:$X$18</formula1>
    </dataValidation>
    <dataValidation type="list" allowBlank="1" showInputMessage="1" showErrorMessage="1" sqref="G81:G88 R81:R88 H81:J82 H85:J88 S85:U88 S81:U82" xr:uid="{8A91A3DB-62A2-4D9E-8E98-ED9B0A718CF4}">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L14 L7:U7" xr:uid="{EDD4665B-63E8-474E-9990-B9E59FF804AA}">
      <formula1>"学部・学科によって、修了要件は相違する,学部・学科によって、修了要件は相違しない"</formula1>
    </dataValidation>
    <dataValidation type="list" allowBlank="1" showInputMessage="1" showErrorMessage="1" sqref="U34 U45 E34:H34 E45:H45" xr:uid="{2F0ECFD9-E31C-4264-9ABB-CBC1994F97C0}">
      <formula1>"全学開講,一部開講"</formula1>
    </dataValidation>
    <dataValidation type="list" allowBlank="1" showInputMessage="1" showErrorMessage="1" sqref="R71:U77 S27:U33 H60:J66 S38:U44 H38:J44 S49:U55 H27:J33 S60:U66 H49:J55 G71:J77" xr:uid="{9770DD37-6580-433E-9513-0185B11BF3E3}">
      <formula1>"○"</formula1>
    </dataValidation>
  </dataValidations>
  <printOptions horizontalCentered="1"/>
  <pageMargins left="0.78740157480314965" right="0.78740157480314965" top="0.78740157480314965" bottom="0.19685039370078741" header="0.31496062992125984" footer="0.19685039370078741"/>
  <pageSetup paperSize="9" scale="67" fitToHeight="0" orientation="portrait" r:id="rId1"/>
  <headerFooter>
    <oddHeader>&amp;C数理・データサイエンス・AI教育プログラム認定制度【リテラシーレベル】令和６年度申請用</oddHeader>
  </headerFooter>
  <rowBreaks count="2" manualBreakCount="2">
    <brk id="67" max="20" man="1"/>
    <brk id="98"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EF59B-9AD1-4E13-A77C-5CE78AB0487D}">
  <sheetPr>
    <pageSetUpPr fitToPage="1"/>
  </sheetPr>
  <dimension ref="A1:AG114"/>
  <sheetViews>
    <sheetView showZeros="0" view="pageBreakPreview" topLeftCell="A7" zoomScaleNormal="100" zoomScaleSheetLayoutView="100" workbookViewId="0">
      <selection activeCell="K31" sqref="K31:Q31"/>
    </sheetView>
  </sheetViews>
  <sheetFormatPr defaultColWidth="9" defaultRowHeight="18.75" customHeight="1" x14ac:dyDescent="0.2"/>
  <cols>
    <col min="1" max="1" width="2.44140625" style="66" customWidth="1"/>
    <col min="2" max="2" width="16.44140625" style="66" customWidth="1"/>
    <col min="3" max="21" width="5.6640625" style="66" customWidth="1"/>
    <col min="22" max="22" width="9" style="66"/>
    <col min="23" max="23" width="3.6640625" style="66" customWidth="1"/>
    <col min="24" max="24" width="48.6640625" style="66" hidden="1" customWidth="1"/>
    <col min="25" max="16384" width="9" style="66"/>
  </cols>
  <sheetData>
    <row r="1" spans="1:24" ht="18.600000000000001" customHeight="1" x14ac:dyDescent="0.2">
      <c r="T1" s="124" t="s">
        <v>169</v>
      </c>
      <c r="U1" s="124"/>
      <c r="V1" s="71" t="s">
        <v>99</v>
      </c>
    </row>
    <row r="2" spans="1:24" ht="18.75" customHeight="1" x14ac:dyDescent="0.2">
      <c r="B2" s="67" t="s">
        <v>98</v>
      </c>
      <c r="C2" s="125" t="s">
        <v>136</v>
      </c>
      <c r="D2" s="126"/>
      <c r="E2" s="126"/>
      <c r="F2" s="126"/>
      <c r="G2" s="126"/>
      <c r="H2" s="126"/>
      <c r="I2" s="126"/>
      <c r="J2" s="127"/>
      <c r="K2" s="80"/>
      <c r="L2" s="68"/>
      <c r="M2" s="68"/>
      <c r="N2" s="68"/>
      <c r="O2" s="68"/>
      <c r="P2" s="68"/>
      <c r="Q2" s="68"/>
      <c r="R2" s="68"/>
      <c r="S2" s="68"/>
      <c r="T2" s="68"/>
      <c r="U2" s="68"/>
    </row>
    <row r="3" spans="1:24" ht="27.75" customHeight="1" x14ac:dyDescent="0.2">
      <c r="B3" s="67" t="s">
        <v>93</v>
      </c>
      <c r="C3" s="128" t="s">
        <v>209</v>
      </c>
      <c r="D3" s="129"/>
      <c r="E3" s="129"/>
      <c r="F3" s="129"/>
      <c r="G3" s="129"/>
      <c r="H3" s="129"/>
      <c r="I3" s="129"/>
      <c r="J3" s="130"/>
      <c r="K3" s="80"/>
      <c r="L3" s="68"/>
      <c r="M3" s="68"/>
      <c r="N3" s="68"/>
      <c r="O3" s="68"/>
      <c r="P3" s="68"/>
      <c r="Q3" s="68"/>
      <c r="R3" s="68"/>
      <c r="S3" s="68"/>
      <c r="T3" s="68"/>
      <c r="U3" s="68"/>
    </row>
    <row r="4" spans="1:24" ht="15" customHeight="1" x14ac:dyDescent="0.2">
      <c r="L4" s="80"/>
      <c r="M4" s="69"/>
      <c r="N4" s="69"/>
      <c r="O4" s="69"/>
      <c r="P4" s="69"/>
      <c r="Q4" s="69"/>
      <c r="R4" s="69"/>
      <c r="S4" s="69"/>
      <c r="T4" s="69"/>
      <c r="U4" s="69"/>
    </row>
    <row r="5" spans="1:24" ht="18" customHeight="1" x14ac:dyDescent="0.2">
      <c r="A5" s="131" t="s">
        <v>37</v>
      </c>
      <c r="B5" s="131"/>
      <c r="C5" s="131"/>
      <c r="D5" s="131"/>
      <c r="E5" s="131"/>
      <c r="F5" s="131"/>
      <c r="G5" s="131"/>
      <c r="H5" s="131"/>
      <c r="I5" s="131"/>
      <c r="J5" s="131"/>
      <c r="K5" s="131"/>
      <c r="L5" s="131"/>
      <c r="M5" s="131"/>
      <c r="N5" s="131"/>
      <c r="O5" s="131"/>
      <c r="P5" s="131"/>
      <c r="Q5" s="131"/>
      <c r="R5" s="131"/>
      <c r="S5" s="131"/>
      <c r="T5" s="131"/>
      <c r="U5" s="131"/>
    </row>
    <row r="6" spans="1:24" ht="15" customHeight="1" x14ac:dyDescent="0.2">
      <c r="B6" s="70"/>
      <c r="C6" s="70"/>
      <c r="D6" s="70"/>
      <c r="E6" s="70"/>
      <c r="F6" s="70"/>
      <c r="G6" s="70"/>
      <c r="H6" s="70"/>
      <c r="I6" s="70"/>
      <c r="J6" s="70"/>
      <c r="K6" s="70"/>
      <c r="L6" s="70"/>
      <c r="M6" s="70"/>
      <c r="N6" s="70"/>
      <c r="O6" s="70"/>
      <c r="P6" s="70"/>
      <c r="Q6" s="70"/>
      <c r="R6" s="70"/>
      <c r="S6" s="70"/>
      <c r="T6" s="70"/>
      <c r="U6" s="70"/>
    </row>
    <row r="7" spans="1:24" ht="15" customHeight="1" x14ac:dyDescent="0.2">
      <c r="A7" s="66" t="s">
        <v>131</v>
      </c>
      <c r="B7" s="70"/>
      <c r="C7" s="70"/>
      <c r="D7" s="70"/>
      <c r="E7" s="70"/>
      <c r="F7" s="71"/>
      <c r="G7" s="71"/>
      <c r="H7" s="71"/>
      <c r="I7" s="71"/>
      <c r="J7" s="71"/>
      <c r="K7" s="71"/>
      <c r="L7" s="132" t="s">
        <v>129</v>
      </c>
      <c r="M7" s="133"/>
      <c r="N7" s="133"/>
      <c r="O7" s="133"/>
      <c r="P7" s="133"/>
      <c r="Q7" s="133"/>
      <c r="R7" s="133"/>
      <c r="S7" s="133"/>
      <c r="T7" s="133"/>
      <c r="U7" s="134"/>
    </row>
    <row r="8" spans="1:24" ht="6" customHeight="1" x14ac:dyDescent="0.2">
      <c r="B8" s="70"/>
      <c r="C8" s="70"/>
      <c r="D8" s="70"/>
      <c r="E8" s="70"/>
      <c r="F8" s="70"/>
      <c r="G8" s="70"/>
      <c r="H8" s="70"/>
      <c r="I8" s="70"/>
      <c r="J8" s="70"/>
      <c r="K8" s="70"/>
      <c r="L8" s="70"/>
      <c r="M8" s="70"/>
      <c r="N8" s="70"/>
      <c r="O8" s="70"/>
      <c r="P8" s="70"/>
      <c r="Q8" s="70"/>
      <c r="R8" s="70"/>
      <c r="S8" s="70"/>
      <c r="T8" s="70"/>
      <c r="U8" s="70"/>
    </row>
    <row r="9" spans="1:24" ht="18" customHeight="1" x14ac:dyDescent="0.2">
      <c r="A9" s="66" t="s">
        <v>132</v>
      </c>
      <c r="C9" s="70"/>
      <c r="D9" s="70"/>
      <c r="K9" s="80"/>
      <c r="L9" s="71"/>
      <c r="M9" s="71"/>
      <c r="N9" s="71"/>
      <c r="O9" s="71"/>
      <c r="P9" s="71"/>
      <c r="Q9" s="71"/>
      <c r="R9" s="71"/>
      <c r="S9" s="71"/>
      <c r="T9" s="71"/>
      <c r="U9" s="71"/>
    </row>
    <row r="10" spans="1:24" ht="6" customHeight="1" x14ac:dyDescent="0.2">
      <c r="B10" s="70"/>
      <c r="C10" s="70"/>
      <c r="D10" s="70"/>
      <c r="E10" s="70"/>
      <c r="F10" s="70"/>
      <c r="G10" s="70"/>
      <c r="H10" s="70"/>
      <c r="I10" s="70"/>
      <c r="J10" s="70"/>
      <c r="K10" s="70"/>
      <c r="L10" s="72"/>
      <c r="M10" s="70"/>
      <c r="N10" s="70"/>
      <c r="O10" s="70"/>
      <c r="P10" s="70"/>
      <c r="Q10" s="70"/>
      <c r="R10" s="70"/>
      <c r="S10" s="70"/>
      <c r="T10" s="70"/>
      <c r="U10" s="70"/>
    </row>
    <row r="11" spans="1:24" ht="18" customHeight="1" x14ac:dyDescent="0.2">
      <c r="B11" s="135" t="s">
        <v>197</v>
      </c>
      <c r="C11" s="136"/>
      <c r="D11" s="136"/>
      <c r="E11" s="136"/>
      <c r="F11" s="136"/>
      <c r="G11" s="136"/>
      <c r="H11" s="136"/>
      <c r="I11" s="136"/>
      <c r="J11" s="136"/>
      <c r="K11" s="136"/>
      <c r="L11" s="136"/>
      <c r="M11" s="136"/>
      <c r="N11" s="136"/>
      <c r="O11" s="136"/>
      <c r="P11" s="136"/>
      <c r="Q11" s="136"/>
      <c r="R11" s="136"/>
      <c r="S11" s="136"/>
      <c r="T11" s="136"/>
      <c r="U11" s="137"/>
    </row>
    <row r="12" spans="1:24" ht="18" customHeight="1" x14ac:dyDescent="0.2">
      <c r="B12" s="138"/>
      <c r="C12" s="139"/>
      <c r="D12" s="139"/>
      <c r="E12" s="139"/>
      <c r="F12" s="139"/>
      <c r="G12" s="139"/>
      <c r="H12" s="139"/>
      <c r="I12" s="139"/>
      <c r="J12" s="139"/>
      <c r="K12" s="139"/>
      <c r="L12" s="139"/>
      <c r="M12" s="139"/>
      <c r="N12" s="139"/>
      <c r="O12" s="139"/>
      <c r="P12" s="139"/>
      <c r="Q12" s="139"/>
      <c r="R12" s="139"/>
      <c r="S12" s="139"/>
      <c r="T12" s="139"/>
      <c r="U12" s="140"/>
    </row>
    <row r="13" spans="1:24" ht="6" customHeight="1" x14ac:dyDescent="0.2">
      <c r="B13" s="70"/>
      <c r="C13" s="70"/>
      <c r="D13" s="70"/>
      <c r="E13" s="70"/>
      <c r="F13" s="70"/>
      <c r="G13" s="70"/>
      <c r="H13" s="70"/>
      <c r="I13" s="70"/>
      <c r="J13" s="70"/>
      <c r="K13" s="70"/>
      <c r="L13" s="72"/>
      <c r="M13" s="70"/>
      <c r="N13" s="70"/>
      <c r="O13" s="70"/>
      <c r="P13" s="70"/>
      <c r="Q13" s="70"/>
      <c r="R13" s="70"/>
      <c r="S13" s="70"/>
      <c r="T13" s="70"/>
      <c r="U13" s="70"/>
    </row>
    <row r="14" spans="1:24" ht="18" customHeight="1" x14ac:dyDescent="0.2">
      <c r="A14" s="66" t="s">
        <v>100</v>
      </c>
      <c r="B14" s="70"/>
      <c r="C14" s="70"/>
      <c r="D14" s="70"/>
      <c r="E14" s="80"/>
      <c r="F14" s="80"/>
      <c r="G14" s="80"/>
      <c r="H14" s="80"/>
      <c r="I14" s="80"/>
      <c r="J14" s="80"/>
      <c r="K14" s="80"/>
      <c r="L14" s="73"/>
      <c r="M14" s="73"/>
      <c r="N14" s="73"/>
      <c r="O14" s="73"/>
      <c r="P14" s="73"/>
      <c r="Q14" s="73"/>
      <c r="R14" s="73"/>
      <c r="S14" s="73"/>
      <c r="T14" s="73"/>
      <c r="U14" s="73"/>
    </row>
    <row r="15" spans="1:24" ht="18" customHeight="1" x14ac:dyDescent="0.2">
      <c r="B15" s="144" t="s">
        <v>207</v>
      </c>
      <c r="C15" s="145"/>
      <c r="D15" s="145"/>
      <c r="E15" s="145"/>
      <c r="F15" s="145"/>
      <c r="G15" s="145"/>
      <c r="H15" s="145"/>
      <c r="I15" s="145"/>
      <c r="J15" s="145"/>
      <c r="K15" s="145"/>
      <c r="L15" s="145"/>
      <c r="M15" s="145"/>
      <c r="N15" s="145"/>
      <c r="O15" s="145"/>
      <c r="P15" s="145"/>
      <c r="Q15" s="145"/>
      <c r="R15" s="145"/>
      <c r="S15" s="145"/>
      <c r="T15" s="145"/>
      <c r="U15" s="146"/>
      <c r="X15" s="66" t="s">
        <v>94</v>
      </c>
    </row>
    <row r="16" spans="1:24" ht="18" customHeight="1" x14ac:dyDescent="0.2">
      <c r="B16" s="147"/>
      <c r="C16" s="148"/>
      <c r="D16" s="148"/>
      <c r="E16" s="148"/>
      <c r="F16" s="148"/>
      <c r="G16" s="148"/>
      <c r="H16" s="148"/>
      <c r="I16" s="148"/>
      <c r="J16" s="148"/>
      <c r="K16" s="148"/>
      <c r="L16" s="148"/>
      <c r="M16" s="148"/>
      <c r="N16" s="148"/>
      <c r="O16" s="148"/>
      <c r="P16" s="148"/>
      <c r="Q16" s="148"/>
      <c r="R16" s="148"/>
      <c r="S16" s="148"/>
      <c r="T16" s="148"/>
      <c r="U16" s="149"/>
      <c r="X16" s="66" t="s">
        <v>114</v>
      </c>
    </row>
    <row r="17" spans="1:24" ht="18" customHeight="1" x14ac:dyDescent="0.2">
      <c r="B17" s="147"/>
      <c r="C17" s="148"/>
      <c r="D17" s="148"/>
      <c r="E17" s="148"/>
      <c r="F17" s="148"/>
      <c r="G17" s="148"/>
      <c r="H17" s="148"/>
      <c r="I17" s="148"/>
      <c r="J17" s="148"/>
      <c r="K17" s="148"/>
      <c r="L17" s="148"/>
      <c r="M17" s="148"/>
      <c r="N17" s="148"/>
      <c r="O17" s="148"/>
      <c r="P17" s="148"/>
      <c r="Q17" s="148"/>
      <c r="R17" s="148"/>
      <c r="S17" s="148"/>
      <c r="T17" s="148"/>
      <c r="U17" s="149"/>
      <c r="X17" s="66" t="s">
        <v>115</v>
      </c>
    </row>
    <row r="18" spans="1:24" ht="18" customHeight="1" x14ac:dyDescent="0.2">
      <c r="B18" s="147"/>
      <c r="C18" s="148"/>
      <c r="D18" s="148"/>
      <c r="E18" s="148"/>
      <c r="F18" s="148"/>
      <c r="G18" s="148"/>
      <c r="H18" s="148"/>
      <c r="I18" s="148"/>
      <c r="J18" s="148"/>
      <c r="K18" s="148"/>
      <c r="L18" s="148"/>
      <c r="M18" s="148"/>
      <c r="N18" s="148"/>
      <c r="O18" s="148"/>
      <c r="P18" s="148"/>
      <c r="Q18" s="148"/>
      <c r="R18" s="148"/>
      <c r="S18" s="148"/>
      <c r="T18" s="148"/>
      <c r="U18" s="149"/>
      <c r="X18" s="66" t="s">
        <v>116</v>
      </c>
    </row>
    <row r="19" spans="1:24" ht="18" customHeight="1" x14ac:dyDescent="0.2">
      <c r="B19" s="147"/>
      <c r="C19" s="148"/>
      <c r="D19" s="148"/>
      <c r="E19" s="148"/>
      <c r="F19" s="148"/>
      <c r="G19" s="148"/>
      <c r="H19" s="148"/>
      <c r="I19" s="148"/>
      <c r="J19" s="148"/>
      <c r="K19" s="148"/>
      <c r="L19" s="148"/>
      <c r="M19" s="148"/>
      <c r="N19" s="148"/>
      <c r="O19" s="148"/>
      <c r="P19" s="148"/>
      <c r="Q19" s="148"/>
      <c r="R19" s="148"/>
      <c r="S19" s="148"/>
      <c r="T19" s="148"/>
      <c r="U19" s="149"/>
    </row>
    <row r="20" spans="1:24" ht="18" customHeight="1" x14ac:dyDescent="0.2">
      <c r="B20" s="150"/>
      <c r="C20" s="151"/>
      <c r="D20" s="151"/>
      <c r="E20" s="151"/>
      <c r="F20" s="151"/>
      <c r="G20" s="151"/>
      <c r="H20" s="151"/>
      <c r="I20" s="151"/>
      <c r="J20" s="151"/>
      <c r="K20" s="151"/>
      <c r="L20" s="151"/>
      <c r="M20" s="151"/>
      <c r="N20" s="151"/>
      <c r="O20" s="151"/>
      <c r="P20" s="151"/>
      <c r="Q20" s="151"/>
      <c r="R20" s="151"/>
      <c r="S20" s="151"/>
      <c r="T20" s="151"/>
      <c r="U20" s="152"/>
    </row>
    <row r="21" spans="1:24" ht="7.5" customHeight="1" x14ac:dyDescent="0.2">
      <c r="B21" s="70"/>
      <c r="C21" s="70"/>
      <c r="D21" s="70"/>
      <c r="E21" s="70"/>
      <c r="F21" s="70"/>
      <c r="G21" s="70"/>
      <c r="H21" s="70"/>
      <c r="I21" s="70"/>
      <c r="J21" s="70"/>
      <c r="K21" s="70"/>
      <c r="L21" s="70"/>
      <c r="M21" s="70"/>
      <c r="N21" s="70"/>
      <c r="O21" s="70"/>
      <c r="P21" s="70"/>
      <c r="Q21" s="70"/>
      <c r="R21" s="70"/>
      <c r="S21" s="70"/>
      <c r="T21" s="70"/>
      <c r="U21" s="70"/>
    </row>
    <row r="22" spans="1:24" ht="20.100000000000001" customHeight="1" x14ac:dyDescent="0.2">
      <c r="B22" s="66" t="s">
        <v>133</v>
      </c>
      <c r="E22" s="74">
        <v>2</v>
      </c>
      <c r="F22" s="66" t="s">
        <v>112</v>
      </c>
      <c r="H22" s="75">
        <v>3</v>
      </c>
      <c r="I22" s="70" t="s">
        <v>113</v>
      </c>
      <c r="J22" s="70"/>
      <c r="K22" s="80"/>
      <c r="M22" s="80" t="s">
        <v>109</v>
      </c>
      <c r="N22" s="153" t="s">
        <v>114</v>
      </c>
      <c r="O22" s="154"/>
      <c r="P22" s="154"/>
      <c r="Q22" s="154"/>
      <c r="R22" s="154"/>
      <c r="S22" s="154"/>
      <c r="T22" s="154"/>
      <c r="U22" s="155"/>
    </row>
    <row r="23" spans="1:24" ht="7.5" customHeight="1" x14ac:dyDescent="0.2">
      <c r="B23" s="70"/>
      <c r="C23" s="70"/>
      <c r="D23" s="70"/>
      <c r="E23" s="70"/>
      <c r="F23" s="70"/>
      <c r="G23" s="70"/>
      <c r="H23" s="70"/>
      <c r="I23" s="70"/>
      <c r="J23" s="70"/>
      <c r="K23" s="70"/>
      <c r="L23" s="70"/>
      <c r="M23" s="70"/>
      <c r="N23" s="70"/>
      <c r="O23" s="70"/>
      <c r="P23" s="70"/>
      <c r="Q23" s="70"/>
      <c r="R23" s="70"/>
      <c r="S23" s="70"/>
      <c r="T23" s="70"/>
      <c r="U23" s="70"/>
    </row>
    <row r="24" spans="1:24" ht="18" customHeight="1" x14ac:dyDescent="0.2">
      <c r="A24" s="156" t="s">
        <v>101</v>
      </c>
      <c r="B24" s="156"/>
      <c r="C24" s="156"/>
      <c r="D24" s="156"/>
      <c r="E24" s="156"/>
      <c r="F24" s="156"/>
      <c r="G24" s="156"/>
      <c r="H24" s="156"/>
      <c r="I24" s="156"/>
      <c r="J24" s="156"/>
      <c r="K24" s="156"/>
      <c r="L24" s="156"/>
      <c r="M24" s="156"/>
      <c r="N24" s="156"/>
      <c r="O24" s="156"/>
      <c r="P24" s="156"/>
      <c r="Q24" s="156"/>
      <c r="R24" s="156"/>
      <c r="S24" s="156"/>
      <c r="T24" s="156"/>
      <c r="U24" s="156"/>
    </row>
    <row r="25" spans="1:24" ht="18" customHeight="1" x14ac:dyDescent="0.2">
      <c r="A25" s="156"/>
      <c r="B25" s="156"/>
      <c r="C25" s="156"/>
      <c r="D25" s="156"/>
      <c r="E25" s="156"/>
      <c r="F25" s="156"/>
      <c r="G25" s="156"/>
      <c r="H25" s="156"/>
      <c r="I25" s="156"/>
      <c r="J25" s="156"/>
      <c r="K25" s="156"/>
      <c r="L25" s="156"/>
      <c r="M25" s="156"/>
      <c r="N25" s="156"/>
      <c r="O25" s="156"/>
      <c r="P25" s="156"/>
      <c r="Q25" s="156"/>
      <c r="R25" s="156"/>
      <c r="S25" s="156"/>
      <c r="T25" s="156"/>
      <c r="U25" s="156"/>
    </row>
    <row r="26" spans="1:24" ht="18" customHeight="1" x14ac:dyDescent="0.2">
      <c r="B26" s="125" t="s">
        <v>51</v>
      </c>
      <c r="C26" s="126"/>
      <c r="D26" s="126"/>
      <c r="E26" s="126"/>
      <c r="F26" s="127"/>
      <c r="G26" s="82" t="s">
        <v>77</v>
      </c>
      <c r="H26" s="83" t="s">
        <v>80</v>
      </c>
      <c r="I26" s="84" t="s">
        <v>54</v>
      </c>
      <c r="J26" s="84" t="s">
        <v>57</v>
      </c>
      <c r="K26" s="125" t="s">
        <v>51</v>
      </c>
      <c r="L26" s="126"/>
      <c r="M26" s="126"/>
      <c r="N26" s="126"/>
      <c r="O26" s="126"/>
      <c r="P26" s="126"/>
      <c r="Q26" s="127"/>
      <c r="R26" s="82" t="s">
        <v>77</v>
      </c>
      <c r="S26" s="83" t="s">
        <v>80</v>
      </c>
      <c r="T26" s="84" t="s">
        <v>54</v>
      </c>
      <c r="U26" s="84" t="s">
        <v>57</v>
      </c>
    </row>
    <row r="27" spans="1:24" ht="18" customHeight="1" x14ac:dyDescent="0.2">
      <c r="B27" s="157" t="s">
        <v>142</v>
      </c>
      <c r="C27" s="158"/>
      <c r="D27" s="158"/>
      <c r="E27" s="158"/>
      <c r="F27" s="159"/>
      <c r="G27" s="85">
        <v>2</v>
      </c>
      <c r="H27" s="85"/>
      <c r="I27" s="85" t="s">
        <v>143</v>
      </c>
      <c r="J27" s="85" t="s">
        <v>143</v>
      </c>
      <c r="K27" s="157"/>
      <c r="L27" s="158"/>
      <c r="M27" s="158"/>
      <c r="N27" s="158"/>
      <c r="O27" s="158"/>
      <c r="P27" s="158"/>
      <c r="Q27" s="159"/>
      <c r="R27" s="85"/>
      <c r="S27" s="85"/>
      <c r="T27" s="85"/>
      <c r="U27" s="85"/>
    </row>
    <row r="28" spans="1:24" ht="18" customHeight="1" x14ac:dyDescent="0.2">
      <c r="B28" s="141" t="s">
        <v>144</v>
      </c>
      <c r="C28" s="142"/>
      <c r="D28" s="142"/>
      <c r="E28" s="142"/>
      <c r="F28" s="143"/>
      <c r="G28" s="76">
        <v>2</v>
      </c>
      <c r="H28" s="76"/>
      <c r="I28" s="76" t="s">
        <v>143</v>
      </c>
      <c r="J28" s="76" t="s">
        <v>143</v>
      </c>
      <c r="K28" s="141"/>
      <c r="L28" s="142"/>
      <c r="M28" s="142"/>
      <c r="N28" s="142"/>
      <c r="O28" s="142"/>
      <c r="P28" s="142"/>
      <c r="Q28" s="143"/>
      <c r="R28" s="76"/>
      <c r="S28" s="76"/>
      <c r="T28" s="76"/>
      <c r="U28" s="76"/>
    </row>
    <row r="29" spans="1:24" ht="18" customHeight="1" x14ac:dyDescent="0.2">
      <c r="B29" s="141" t="s">
        <v>166</v>
      </c>
      <c r="C29" s="142"/>
      <c r="D29" s="142"/>
      <c r="E29" s="142"/>
      <c r="F29" s="143"/>
      <c r="G29" s="76">
        <v>1</v>
      </c>
      <c r="H29" s="76" t="s">
        <v>143</v>
      </c>
      <c r="I29" s="76" t="s">
        <v>143</v>
      </c>
      <c r="J29" s="76"/>
      <c r="K29" s="141"/>
      <c r="L29" s="142"/>
      <c r="M29" s="142"/>
      <c r="N29" s="142"/>
      <c r="O29" s="142"/>
      <c r="P29" s="142"/>
      <c r="Q29" s="143"/>
      <c r="R29" s="76"/>
      <c r="S29" s="76"/>
      <c r="T29" s="76"/>
      <c r="U29" s="76"/>
    </row>
    <row r="30" spans="1:24" ht="18" customHeight="1" x14ac:dyDescent="0.2">
      <c r="B30" s="141"/>
      <c r="C30" s="142"/>
      <c r="D30" s="142"/>
      <c r="E30" s="142"/>
      <c r="F30" s="143"/>
      <c r="G30" s="76"/>
      <c r="H30" s="76"/>
      <c r="I30" s="76"/>
      <c r="J30" s="76"/>
      <c r="K30" s="141"/>
      <c r="L30" s="142"/>
      <c r="M30" s="142"/>
      <c r="N30" s="142"/>
      <c r="O30" s="142"/>
      <c r="P30" s="142"/>
      <c r="Q30" s="143"/>
      <c r="R30" s="76"/>
      <c r="S30" s="76"/>
      <c r="T30" s="76"/>
      <c r="U30" s="76"/>
    </row>
    <row r="31" spans="1:24" ht="18" customHeight="1" x14ac:dyDescent="0.2">
      <c r="B31" s="141"/>
      <c r="C31" s="142"/>
      <c r="D31" s="142"/>
      <c r="E31" s="142"/>
      <c r="F31" s="143"/>
      <c r="G31" s="76"/>
      <c r="H31" s="76"/>
      <c r="I31" s="76"/>
      <c r="J31" s="76"/>
      <c r="K31" s="141"/>
      <c r="L31" s="142"/>
      <c r="M31" s="142"/>
      <c r="N31" s="142"/>
      <c r="O31" s="142"/>
      <c r="P31" s="142"/>
      <c r="Q31" s="143"/>
      <c r="R31" s="76"/>
      <c r="S31" s="76"/>
      <c r="T31" s="76"/>
      <c r="U31" s="76"/>
    </row>
    <row r="32" spans="1:24" ht="18" customHeight="1" x14ac:dyDescent="0.2">
      <c r="A32" s="70"/>
      <c r="B32" s="141"/>
      <c r="C32" s="142"/>
      <c r="D32" s="142"/>
      <c r="E32" s="142"/>
      <c r="F32" s="143"/>
      <c r="G32" s="76"/>
      <c r="H32" s="76"/>
      <c r="I32" s="76"/>
      <c r="J32" s="76"/>
      <c r="K32" s="141"/>
      <c r="L32" s="142"/>
      <c r="M32" s="142"/>
      <c r="N32" s="142"/>
      <c r="O32" s="142"/>
      <c r="P32" s="142"/>
      <c r="Q32" s="143"/>
      <c r="R32" s="76"/>
      <c r="S32" s="76"/>
      <c r="T32" s="76"/>
      <c r="U32" s="76"/>
    </row>
    <row r="33" spans="1:21" ht="18" customHeight="1" x14ac:dyDescent="0.2">
      <c r="A33" s="70"/>
      <c r="B33" s="160"/>
      <c r="C33" s="161"/>
      <c r="D33" s="161"/>
      <c r="E33" s="161"/>
      <c r="F33" s="162"/>
      <c r="G33" s="86"/>
      <c r="H33" s="86"/>
      <c r="I33" s="87"/>
      <c r="J33" s="87"/>
      <c r="K33" s="160"/>
      <c r="L33" s="161"/>
      <c r="M33" s="161"/>
      <c r="N33" s="161"/>
      <c r="O33" s="161"/>
      <c r="P33" s="161"/>
      <c r="Q33" s="162"/>
      <c r="R33" s="86"/>
      <c r="S33" s="86"/>
      <c r="T33" s="87"/>
      <c r="U33" s="87"/>
    </row>
    <row r="34" spans="1:21" ht="7.5" customHeight="1" x14ac:dyDescent="0.2">
      <c r="A34" s="70"/>
      <c r="B34" s="68"/>
      <c r="C34" s="68"/>
      <c r="D34" s="68"/>
      <c r="E34" s="70"/>
      <c r="F34" s="70"/>
      <c r="G34" s="70"/>
      <c r="H34" s="70"/>
      <c r="I34" s="68"/>
      <c r="J34" s="68"/>
      <c r="K34" s="68"/>
      <c r="L34" s="68"/>
      <c r="M34" s="68"/>
      <c r="N34" s="68"/>
      <c r="O34" s="68"/>
      <c r="P34" s="68"/>
      <c r="Q34" s="68"/>
      <c r="R34" s="68"/>
      <c r="S34" s="68"/>
      <c r="T34" s="68"/>
      <c r="U34" s="70"/>
    </row>
    <row r="35" spans="1:21" ht="18" customHeight="1" x14ac:dyDescent="0.2">
      <c r="A35" s="156" t="s">
        <v>102</v>
      </c>
      <c r="B35" s="156"/>
      <c r="C35" s="156"/>
      <c r="D35" s="156"/>
      <c r="E35" s="156"/>
      <c r="F35" s="156"/>
      <c r="G35" s="156"/>
      <c r="H35" s="156"/>
      <c r="I35" s="156"/>
      <c r="J35" s="156"/>
      <c r="K35" s="156"/>
      <c r="L35" s="156"/>
      <c r="M35" s="156"/>
      <c r="N35" s="156"/>
      <c r="O35" s="156"/>
      <c r="P35" s="156"/>
      <c r="Q35" s="156"/>
      <c r="R35" s="156"/>
      <c r="S35" s="156"/>
      <c r="T35" s="156"/>
      <c r="U35" s="156"/>
    </row>
    <row r="36" spans="1:21" ht="18" customHeight="1" x14ac:dyDescent="0.2">
      <c r="A36" s="156"/>
      <c r="B36" s="156"/>
      <c r="C36" s="156"/>
      <c r="D36" s="156"/>
      <c r="E36" s="156"/>
      <c r="F36" s="156"/>
      <c r="G36" s="156"/>
      <c r="H36" s="156"/>
      <c r="I36" s="156"/>
      <c r="J36" s="156"/>
      <c r="K36" s="156"/>
      <c r="L36" s="156"/>
      <c r="M36" s="156"/>
      <c r="N36" s="156"/>
      <c r="O36" s="156"/>
      <c r="P36" s="156"/>
      <c r="Q36" s="156"/>
      <c r="R36" s="156"/>
      <c r="S36" s="156"/>
      <c r="T36" s="156"/>
      <c r="U36" s="156"/>
    </row>
    <row r="37" spans="1:21" ht="18" customHeight="1" x14ac:dyDescent="0.2">
      <c r="B37" s="125" t="s">
        <v>51</v>
      </c>
      <c r="C37" s="126"/>
      <c r="D37" s="126"/>
      <c r="E37" s="126"/>
      <c r="F37" s="127"/>
      <c r="G37" s="82" t="s">
        <v>77</v>
      </c>
      <c r="H37" s="83" t="s">
        <v>80</v>
      </c>
      <c r="I37" s="84" t="s">
        <v>68</v>
      </c>
      <c r="J37" s="84" t="s">
        <v>69</v>
      </c>
      <c r="K37" s="125" t="s">
        <v>51</v>
      </c>
      <c r="L37" s="126"/>
      <c r="M37" s="126"/>
      <c r="N37" s="126"/>
      <c r="O37" s="126"/>
      <c r="P37" s="126"/>
      <c r="Q37" s="127"/>
      <c r="R37" s="82" t="s">
        <v>77</v>
      </c>
      <c r="S37" s="83" t="s">
        <v>80</v>
      </c>
      <c r="T37" s="84" t="s">
        <v>68</v>
      </c>
      <c r="U37" s="84" t="s">
        <v>69</v>
      </c>
    </row>
    <row r="38" spans="1:21" ht="18" customHeight="1" x14ac:dyDescent="0.2">
      <c r="B38" s="157" t="s">
        <v>142</v>
      </c>
      <c r="C38" s="158"/>
      <c r="D38" s="158"/>
      <c r="E38" s="158"/>
      <c r="F38" s="159"/>
      <c r="G38" s="85">
        <v>2</v>
      </c>
      <c r="H38" s="85"/>
      <c r="I38" s="85" t="s">
        <v>143</v>
      </c>
      <c r="J38" s="85" t="s">
        <v>143</v>
      </c>
      <c r="K38" s="157"/>
      <c r="L38" s="158"/>
      <c r="M38" s="158"/>
      <c r="N38" s="158"/>
      <c r="O38" s="158"/>
      <c r="P38" s="158"/>
      <c r="Q38" s="159"/>
      <c r="R38" s="85"/>
      <c r="S38" s="85"/>
      <c r="T38" s="85"/>
      <c r="U38" s="85"/>
    </row>
    <row r="39" spans="1:21" ht="18" customHeight="1" x14ac:dyDescent="0.2">
      <c r="B39" s="141" t="s">
        <v>144</v>
      </c>
      <c r="C39" s="142"/>
      <c r="D39" s="142"/>
      <c r="E39" s="142"/>
      <c r="F39" s="143"/>
      <c r="G39" s="76">
        <v>2</v>
      </c>
      <c r="H39" s="76"/>
      <c r="I39" s="76" t="s">
        <v>143</v>
      </c>
      <c r="J39" s="76" t="s">
        <v>143</v>
      </c>
      <c r="K39" s="141"/>
      <c r="L39" s="142"/>
      <c r="M39" s="142"/>
      <c r="N39" s="142"/>
      <c r="O39" s="142"/>
      <c r="P39" s="142"/>
      <c r="Q39" s="143"/>
      <c r="R39" s="76"/>
      <c r="S39" s="76"/>
      <c r="T39" s="76"/>
      <c r="U39" s="76"/>
    </row>
    <row r="40" spans="1:21" ht="18" customHeight="1" x14ac:dyDescent="0.2">
      <c r="B40" s="141"/>
      <c r="C40" s="142"/>
      <c r="D40" s="142"/>
      <c r="E40" s="142"/>
      <c r="F40" s="143"/>
      <c r="G40" s="76"/>
      <c r="H40" s="76"/>
      <c r="I40" s="76"/>
      <c r="J40" s="76"/>
      <c r="K40" s="141"/>
      <c r="L40" s="142"/>
      <c r="M40" s="142"/>
      <c r="N40" s="142"/>
      <c r="O40" s="142"/>
      <c r="P40" s="142"/>
      <c r="Q40" s="143"/>
      <c r="R40" s="76"/>
      <c r="S40" s="76"/>
      <c r="T40" s="76"/>
      <c r="U40" s="76"/>
    </row>
    <row r="41" spans="1:21" ht="18" customHeight="1" x14ac:dyDescent="0.2">
      <c r="B41" s="141"/>
      <c r="C41" s="142"/>
      <c r="D41" s="142"/>
      <c r="E41" s="142"/>
      <c r="F41" s="143"/>
      <c r="G41" s="76"/>
      <c r="H41" s="76"/>
      <c r="I41" s="76"/>
      <c r="J41" s="76"/>
      <c r="K41" s="141"/>
      <c r="L41" s="142"/>
      <c r="M41" s="142"/>
      <c r="N41" s="142"/>
      <c r="O41" s="142"/>
      <c r="P41" s="142"/>
      <c r="Q41" s="143"/>
      <c r="R41" s="76"/>
      <c r="S41" s="76"/>
      <c r="T41" s="76"/>
      <c r="U41" s="76"/>
    </row>
    <row r="42" spans="1:21" ht="18" customHeight="1" x14ac:dyDescent="0.2">
      <c r="B42" s="141"/>
      <c r="C42" s="142"/>
      <c r="D42" s="142"/>
      <c r="E42" s="142"/>
      <c r="F42" s="143"/>
      <c r="G42" s="76"/>
      <c r="H42" s="76"/>
      <c r="I42" s="76"/>
      <c r="J42" s="76"/>
      <c r="K42" s="141"/>
      <c r="L42" s="142"/>
      <c r="M42" s="142"/>
      <c r="N42" s="142"/>
      <c r="O42" s="142"/>
      <c r="P42" s="142"/>
      <c r="Q42" s="143"/>
      <c r="R42" s="76"/>
      <c r="S42" s="76"/>
      <c r="T42" s="76"/>
      <c r="U42" s="76"/>
    </row>
    <row r="43" spans="1:21" ht="18" customHeight="1" x14ac:dyDescent="0.2">
      <c r="B43" s="141"/>
      <c r="C43" s="142"/>
      <c r="D43" s="142"/>
      <c r="E43" s="142"/>
      <c r="F43" s="143"/>
      <c r="G43" s="76"/>
      <c r="H43" s="76"/>
      <c r="I43" s="76"/>
      <c r="J43" s="76"/>
      <c r="K43" s="141"/>
      <c r="L43" s="142"/>
      <c r="M43" s="142"/>
      <c r="N43" s="142"/>
      <c r="O43" s="142"/>
      <c r="P43" s="142"/>
      <c r="Q43" s="143"/>
      <c r="R43" s="76"/>
      <c r="S43" s="76"/>
      <c r="T43" s="76"/>
      <c r="U43" s="76"/>
    </row>
    <row r="44" spans="1:21" ht="18" customHeight="1" x14ac:dyDescent="0.2">
      <c r="B44" s="160"/>
      <c r="C44" s="161"/>
      <c r="D44" s="161"/>
      <c r="E44" s="161"/>
      <c r="F44" s="162"/>
      <c r="G44" s="86"/>
      <c r="H44" s="86"/>
      <c r="I44" s="87"/>
      <c r="J44" s="87"/>
      <c r="K44" s="160"/>
      <c r="L44" s="161"/>
      <c r="M44" s="161"/>
      <c r="N44" s="161"/>
      <c r="O44" s="161"/>
      <c r="P44" s="161"/>
      <c r="Q44" s="162"/>
      <c r="R44" s="86"/>
      <c r="S44" s="86"/>
      <c r="T44" s="87"/>
      <c r="U44" s="87"/>
    </row>
    <row r="45" spans="1:21" ht="7.5" customHeight="1" x14ac:dyDescent="0.2">
      <c r="A45" s="70"/>
      <c r="B45" s="68"/>
      <c r="C45" s="68"/>
      <c r="D45" s="68"/>
      <c r="E45" s="70"/>
      <c r="F45" s="70"/>
      <c r="G45" s="70"/>
      <c r="H45" s="70"/>
      <c r="I45" s="68"/>
      <c r="J45" s="68"/>
      <c r="K45" s="68"/>
      <c r="L45" s="68"/>
      <c r="M45" s="68"/>
      <c r="N45" s="68"/>
      <c r="O45" s="68"/>
      <c r="P45" s="68"/>
      <c r="Q45" s="68"/>
      <c r="R45" s="68"/>
      <c r="S45" s="68"/>
      <c r="T45" s="68"/>
      <c r="U45" s="70"/>
    </row>
    <row r="46" spans="1:21" ht="18" customHeight="1" x14ac:dyDescent="0.2">
      <c r="A46" s="156" t="s">
        <v>103</v>
      </c>
      <c r="B46" s="156"/>
      <c r="C46" s="156"/>
      <c r="D46" s="156"/>
      <c r="E46" s="156"/>
      <c r="F46" s="156"/>
      <c r="G46" s="156"/>
      <c r="H46" s="156"/>
      <c r="I46" s="156"/>
      <c r="J46" s="156"/>
      <c r="K46" s="156"/>
      <c r="L46" s="156"/>
      <c r="M46" s="156"/>
      <c r="N46" s="156"/>
      <c r="O46" s="156"/>
      <c r="P46" s="156"/>
      <c r="Q46" s="156"/>
      <c r="R46" s="156"/>
      <c r="S46" s="156"/>
      <c r="T46" s="156"/>
      <c r="U46" s="156"/>
    </row>
    <row r="47" spans="1:21" ht="18" customHeight="1" x14ac:dyDescent="0.2">
      <c r="A47" s="156"/>
      <c r="B47" s="156"/>
      <c r="C47" s="156"/>
      <c r="D47" s="156"/>
      <c r="E47" s="156"/>
      <c r="F47" s="156"/>
      <c r="G47" s="156"/>
      <c r="H47" s="156"/>
      <c r="I47" s="156"/>
      <c r="J47" s="156"/>
      <c r="K47" s="156"/>
      <c r="L47" s="156"/>
      <c r="M47" s="156"/>
      <c r="N47" s="156"/>
      <c r="O47" s="156"/>
      <c r="P47" s="156"/>
      <c r="Q47" s="156"/>
      <c r="R47" s="156"/>
      <c r="S47" s="156"/>
      <c r="T47" s="156"/>
      <c r="U47" s="156"/>
    </row>
    <row r="48" spans="1:21" ht="18" customHeight="1" x14ac:dyDescent="0.2">
      <c r="B48" s="125" t="s">
        <v>51</v>
      </c>
      <c r="C48" s="126"/>
      <c r="D48" s="126"/>
      <c r="E48" s="126"/>
      <c r="F48" s="127"/>
      <c r="G48" s="82" t="s">
        <v>77</v>
      </c>
      <c r="H48" s="83" t="s">
        <v>80</v>
      </c>
      <c r="I48" s="84" t="s">
        <v>70</v>
      </c>
      <c r="J48" s="84" t="s">
        <v>71</v>
      </c>
      <c r="K48" s="125" t="s">
        <v>51</v>
      </c>
      <c r="L48" s="126"/>
      <c r="M48" s="126"/>
      <c r="N48" s="126"/>
      <c r="O48" s="126"/>
      <c r="P48" s="126"/>
      <c r="Q48" s="127"/>
      <c r="R48" s="82" t="s">
        <v>77</v>
      </c>
      <c r="S48" s="83" t="s">
        <v>80</v>
      </c>
      <c r="T48" s="84" t="s">
        <v>70</v>
      </c>
      <c r="U48" s="84" t="s">
        <v>71</v>
      </c>
    </row>
    <row r="49" spans="1:21" ht="18" customHeight="1" x14ac:dyDescent="0.2">
      <c r="A49" s="70"/>
      <c r="B49" s="141" t="s">
        <v>142</v>
      </c>
      <c r="C49" s="142"/>
      <c r="D49" s="142"/>
      <c r="E49" s="142"/>
      <c r="F49" s="143"/>
      <c r="G49" s="85">
        <v>2</v>
      </c>
      <c r="H49" s="85"/>
      <c r="I49" s="85" t="s">
        <v>143</v>
      </c>
      <c r="J49" s="85" t="s">
        <v>143</v>
      </c>
      <c r="K49" s="157"/>
      <c r="L49" s="158"/>
      <c r="M49" s="158"/>
      <c r="N49" s="158"/>
      <c r="O49" s="158"/>
      <c r="P49" s="158"/>
      <c r="Q49" s="159"/>
      <c r="R49" s="85"/>
      <c r="S49" s="85"/>
      <c r="T49" s="85"/>
      <c r="U49" s="85"/>
    </row>
    <row r="50" spans="1:21" ht="18" customHeight="1" x14ac:dyDescent="0.2">
      <c r="A50" s="70"/>
      <c r="B50" s="141" t="s">
        <v>161</v>
      </c>
      <c r="C50" s="142"/>
      <c r="D50" s="142"/>
      <c r="E50" s="142"/>
      <c r="F50" s="143"/>
      <c r="G50" s="76">
        <v>2</v>
      </c>
      <c r="H50" s="76"/>
      <c r="I50" s="76" t="s">
        <v>143</v>
      </c>
      <c r="J50" s="76" t="s">
        <v>143</v>
      </c>
      <c r="K50" s="141"/>
      <c r="L50" s="142"/>
      <c r="M50" s="142"/>
      <c r="N50" s="142"/>
      <c r="O50" s="142"/>
      <c r="P50" s="142"/>
      <c r="Q50" s="143"/>
      <c r="R50" s="76"/>
      <c r="S50" s="76"/>
      <c r="T50" s="76"/>
      <c r="U50" s="76"/>
    </row>
    <row r="51" spans="1:21" ht="18" customHeight="1" x14ac:dyDescent="0.2">
      <c r="A51" s="70"/>
      <c r="B51" s="141"/>
      <c r="C51" s="142"/>
      <c r="D51" s="142"/>
      <c r="E51" s="142"/>
      <c r="F51" s="143"/>
      <c r="G51" s="76"/>
      <c r="H51" s="76"/>
      <c r="I51" s="76"/>
      <c r="J51" s="76"/>
      <c r="K51" s="141"/>
      <c r="L51" s="142"/>
      <c r="M51" s="142"/>
      <c r="N51" s="142"/>
      <c r="O51" s="142"/>
      <c r="P51" s="142"/>
      <c r="Q51" s="143"/>
      <c r="R51" s="76"/>
      <c r="S51" s="76"/>
      <c r="T51" s="76"/>
      <c r="U51" s="76"/>
    </row>
    <row r="52" spans="1:21" ht="18" customHeight="1" x14ac:dyDescent="0.2">
      <c r="A52" s="70"/>
      <c r="B52" s="141"/>
      <c r="C52" s="142"/>
      <c r="D52" s="142"/>
      <c r="E52" s="142"/>
      <c r="F52" s="143"/>
      <c r="G52" s="76"/>
      <c r="H52" s="76"/>
      <c r="I52" s="76"/>
      <c r="J52" s="76"/>
      <c r="K52" s="141"/>
      <c r="L52" s="142"/>
      <c r="M52" s="142"/>
      <c r="N52" s="142"/>
      <c r="O52" s="142"/>
      <c r="P52" s="142"/>
      <c r="Q52" s="143"/>
      <c r="R52" s="76"/>
      <c r="S52" s="76"/>
      <c r="T52" s="76"/>
      <c r="U52" s="76"/>
    </row>
    <row r="53" spans="1:21" ht="18" customHeight="1" x14ac:dyDescent="0.2">
      <c r="A53" s="70"/>
      <c r="B53" s="141"/>
      <c r="C53" s="142"/>
      <c r="D53" s="142"/>
      <c r="E53" s="142"/>
      <c r="F53" s="143"/>
      <c r="G53" s="76"/>
      <c r="H53" s="76"/>
      <c r="I53" s="76"/>
      <c r="J53" s="76"/>
      <c r="K53" s="141"/>
      <c r="L53" s="142"/>
      <c r="M53" s="142"/>
      <c r="N53" s="142"/>
      <c r="O53" s="142"/>
      <c r="P53" s="142"/>
      <c r="Q53" s="143"/>
      <c r="R53" s="76"/>
      <c r="S53" s="76"/>
      <c r="T53" s="76"/>
      <c r="U53" s="76"/>
    </row>
    <row r="54" spans="1:21" ht="18" customHeight="1" x14ac:dyDescent="0.2">
      <c r="A54" s="70"/>
      <c r="B54" s="141"/>
      <c r="C54" s="142"/>
      <c r="D54" s="142"/>
      <c r="E54" s="142"/>
      <c r="F54" s="143"/>
      <c r="G54" s="76"/>
      <c r="H54" s="76"/>
      <c r="I54" s="76"/>
      <c r="J54" s="76"/>
      <c r="K54" s="141"/>
      <c r="L54" s="142"/>
      <c r="M54" s="142"/>
      <c r="N54" s="142"/>
      <c r="O54" s="142"/>
      <c r="P54" s="142"/>
      <c r="Q54" s="143"/>
      <c r="R54" s="76"/>
      <c r="S54" s="76"/>
      <c r="T54" s="76"/>
      <c r="U54" s="76"/>
    </row>
    <row r="55" spans="1:21" ht="18" customHeight="1" x14ac:dyDescent="0.2">
      <c r="A55" s="70"/>
      <c r="B55" s="160"/>
      <c r="C55" s="161"/>
      <c r="D55" s="161"/>
      <c r="E55" s="161"/>
      <c r="F55" s="162"/>
      <c r="G55" s="86"/>
      <c r="H55" s="86"/>
      <c r="I55" s="87"/>
      <c r="J55" s="87"/>
      <c r="K55" s="160"/>
      <c r="L55" s="161"/>
      <c r="M55" s="161"/>
      <c r="N55" s="161"/>
      <c r="O55" s="161"/>
      <c r="P55" s="161"/>
      <c r="Q55" s="162"/>
      <c r="R55" s="86"/>
      <c r="S55" s="86"/>
      <c r="T55" s="87"/>
      <c r="U55" s="87"/>
    </row>
    <row r="56" spans="1:21" ht="7.5" customHeight="1" x14ac:dyDescent="0.2">
      <c r="B56" s="88"/>
      <c r="C56" s="88"/>
      <c r="D56" s="88"/>
      <c r="E56" s="88"/>
      <c r="F56" s="88"/>
      <c r="G56" s="88"/>
      <c r="H56" s="88"/>
      <c r="I56" s="88"/>
      <c r="J56" s="88"/>
      <c r="K56" s="88"/>
      <c r="L56" s="88"/>
      <c r="M56" s="88"/>
      <c r="N56" s="88"/>
      <c r="O56" s="88"/>
      <c r="P56" s="88"/>
      <c r="Q56" s="88"/>
      <c r="R56" s="88"/>
      <c r="S56" s="88"/>
      <c r="T56" s="88"/>
    </row>
    <row r="57" spans="1:21" ht="18" customHeight="1" x14ac:dyDescent="0.2">
      <c r="A57" s="156" t="s">
        <v>104</v>
      </c>
      <c r="B57" s="156"/>
      <c r="C57" s="156"/>
      <c r="D57" s="156"/>
      <c r="E57" s="156"/>
      <c r="F57" s="156"/>
      <c r="G57" s="156"/>
      <c r="H57" s="156"/>
      <c r="I57" s="156"/>
      <c r="J57" s="156"/>
      <c r="K57" s="156"/>
      <c r="L57" s="156"/>
      <c r="M57" s="156"/>
      <c r="N57" s="156"/>
      <c r="O57" s="156"/>
      <c r="P57" s="156"/>
      <c r="Q57" s="156"/>
      <c r="R57" s="156"/>
      <c r="S57" s="156"/>
      <c r="T57" s="156"/>
      <c r="U57" s="156"/>
    </row>
    <row r="58" spans="1:21" ht="18" customHeight="1" x14ac:dyDescent="0.2">
      <c r="A58" s="156"/>
      <c r="B58" s="156"/>
      <c r="C58" s="156"/>
      <c r="D58" s="156"/>
      <c r="E58" s="156"/>
      <c r="F58" s="156"/>
      <c r="G58" s="156"/>
      <c r="H58" s="156"/>
      <c r="I58" s="156"/>
      <c r="J58" s="156"/>
      <c r="K58" s="156"/>
      <c r="L58" s="156"/>
      <c r="M58" s="156"/>
      <c r="N58" s="156"/>
      <c r="O58" s="156"/>
      <c r="P58" s="156"/>
      <c r="Q58" s="156"/>
      <c r="R58" s="156"/>
      <c r="S58" s="156"/>
      <c r="T58" s="156"/>
      <c r="U58" s="156"/>
    </row>
    <row r="59" spans="1:21" ht="18" customHeight="1" x14ac:dyDescent="0.2">
      <c r="B59" s="125" t="s">
        <v>51</v>
      </c>
      <c r="C59" s="126"/>
      <c r="D59" s="126"/>
      <c r="E59" s="126"/>
      <c r="F59" s="127"/>
      <c r="G59" s="82" t="s">
        <v>77</v>
      </c>
      <c r="H59" s="83" t="s">
        <v>80</v>
      </c>
      <c r="I59" s="84" t="s">
        <v>56</v>
      </c>
      <c r="J59" s="84" t="s">
        <v>58</v>
      </c>
      <c r="K59" s="125" t="s">
        <v>51</v>
      </c>
      <c r="L59" s="126"/>
      <c r="M59" s="126"/>
      <c r="N59" s="126"/>
      <c r="O59" s="126"/>
      <c r="P59" s="126"/>
      <c r="Q59" s="127"/>
      <c r="R59" s="82" t="s">
        <v>77</v>
      </c>
      <c r="S59" s="83" t="s">
        <v>80</v>
      </c>
      <c r="T59" s="84" t="s">
        <v>56</v>
      </c>
      <c r="U59" s="84" t="s">
        <v>58</v>
      </c>
    </row>
    <row r="60" spans="1:21" ht="18" customHeight="1" x14ac:dyDescent="0.2">
      <c r="A60" s="70"/>
      <c r="B60" s="157" t="s">
        <v>142</v>
      </c>
      <c r="C60" s="158"/>
      <c r="D60" s="158"/>
      <c r="E60" s="158"/>
      <c r="F60" s="159"/>
      <c r="G60" s="85">
        <v>2</v>
      </c>
      <c r="H60" s="85"/>
      <c r="I60" s="85" t="s">
        <v>143</v>
      </c>
      <c r="J60" s="76" t="s">
        <v>143</v>
      </c>
      <c r="K60" s="157"/>
      <c r="L60" s="158"/>
      <c r="M60" s="158"/>
      <c r="N60" s="158"/>
      <c r="O60" s="158"/>
      <c r="P60" s="158"/>
      <c r="Q60" s="159"/>
      <c r="R60" s="85"/>
      <c r="S60" s="85"/>
      <c r="T60" s="85"/>
      <c r="U60" s="85"/>
    </row>
    <row r="61" spans="1:21" ht="18" customHeight="1" x14ac:dyDescent="0.2">
      <c r="A61" s="70"/>
      <c r="B61" s="141" t="s">
        <v>166</v>
      </c>
      <c r="C61" s="142"/>
      <c r="D61" s="142"/>
      <c r="E61" s="142"/>
      <c r="F61" s="143"/>
      <c r="G61" s="76">
        <v>1</v>
      </c>
      <c r="H61" s="76" t="s">
        <v>143</v>
      </c>
      <c r="I61" s="76" t="s">
        <v>143</v>
      </c>
      <c r="J61" s="76" t="s">
        <v>143</v>
      </c>
      <c r="K61" s="141"/>
      <c r="L61" s="142"/>
      <c r="M61" s="142"/>
      <c r="N61" s="142"/>
      <c r="O61" s="142"/>
      <c r="P61" s="142"/>
      <c r="Q61" s="143"/>
      <c r="R61" s="76"/>
      <c r="S61" s="76"/>
      <c r="T61" s="76"/>
      <c r="U61" s="76"/>
    </row>
    <row r="62" spans="1:21" ht="18" customHeight="1" x14ac:dyDescent="0.2">
      <c r="A62" s="70"/>
      <c r="B62" s="141"/>
      <c r="C62" s="142"/>
      <c r="D62" s="142"/>
      <c r="E62" s="142"/>
      <c r="F62" s="143"/>
      <c r="G62" s="76"/>
      <c r="H62" s="76"/>
      <c r="I62" s="76"/>
      <c r="J62" s="76"/>
      <c r="K62" s="141"/>
      <c r="L62" s="142"/>
      <c r="M62" s="142"/>
      <c r="N62" s="142"/>
      <c r="O62" s="142"/>
      <c r="P62" s="142"/>
      <c r="Q62" s="143"/>
      <c r="R62" s="76"/>
      <c r="S62" s="76"/>
      <c r="T62" s="76"/>
      <c r="U62" s="76"/>
    </row>
    <row r="63" spans="1:21" ht="18" customHeight="1" x14ac:dyDescent="0.2">
      <c r="A63" s="70"/>
      <c r="B63" s="141"/>
      <c r="C63" s="142"/>
      <c r="D63" s="142"/>
      <c r="E63" s="142"/>
      <c r="F63" s="143"/>
      <c r="G63" s="76"/>
      <c r="H63" s="76"/>
      <c r="I63" s="76"/>
      <c r="J63" s="76"/>
      <c r="K63" s="141"/>
      <c r="L63" s="142"/>
      <c r="M63" s="142"/>
      <c r="N63" s="142"/>
      <c r="O63" s="142"/>
      <c r="P63" s="142"/>
      <c r="Q63" s="143"/>
      <c r="R63" s="76"/>
      <c r="S63" s="76"/>
      <c r="T63" s="76"/>
      <c r="U63" s="76"/>
    </row>
    <row r="64" spans="1:21" ht="18" customHeight="1" x14ac:dyDescent="0.2">
      <c r="A64" s="70"/>
      <c r="B64" s="141"/>
      <c r="C64" s="142"/>
      <c r="D64" s="142"/>
      <c r="E64" s="142"/>
      <c r="F64" s="143"/>
      <c r="G64" s="76"/>
      <c r="H64" s="76"/>
      <c r="I64" s="76"/>
      <c r="J64" s="76"/>
      <c r="K64" s="141"/>
      <c r="L64" s="142"/>
      <c r="M64" s="142"/>
      <c r="N64" s="142"/>
      <c r="O64" s="142"/>
      <c r="P64" s="142"/>
      <c r="Q64" s="143"/>
      <c r="R64" s="76"/>
      <c r="S64" s="76"/>
      <c r="T64" s="76"/>
      <c r="U64" s="76"/>
    </row>
    <row r="65" spans="1:21" ht="18" customHeight="1" x14ac:dyDescent="0.2">
      <c r="A65" s="70"/>
      <c r="B65" s="141"/>
      <c r="C65" s="142"/>
      <c r="D65" s="142"/>
      <c r="E65" s="142"/>
      <c r="F65" s="143"/>
      <c r="G65" s="76"/>
      <c r="H65" s="76"/>
      <c r="I65" s="76"/>
      <c r="J65" s="76"/>
      <c r="K65" s="141"/>
      <c r="L65" s="142"/>
      <c r="M65" s="142"/>
      <c r="N65" s="142"/>
      <c r="O65" s="142"/>
      <c r="P65" s="142"/>
      <c r="Q65" s="143"/>
      <c r="R65" s="76"/>
      <c r="S65" s="76"/>
      <c r="T65" s="76"/>
      <c r="U65" s="76"/>
    </row>
    <row r="66" spans="1:21" ht="18" customHeight="1" x14ac:dyDescent="0.2">
      <c r="A66" s="70"/>
      <c r="B66" s="160"/>
      <c r="C66" s="161"/>
      <c r="D66" s="161"/>
      <c r="E66" s="161"/>
      <c r="F66" s="162"/>
      <c r="G66" s="86"/>
      <c r="H66" s="86"/>
      <c r="I66" s="87"/>
      <c r="J66" s="87"/>
      <c r="K66" s="160"/>
      <c r="L66" s="161"/>
      <c r="M66" s="161"/>
      <c r="N66" s="161"/>
      <c r="O66" s="161"/>
      <c r="P66" s="161"/>
      <c r="Q66" s="162"/>
      <c r="R66" s="86"/>
      <c r="S66" s="86"/>
      <c r="T66" s="87"/>
      <c r="U66" s="87"/>
    </row>
    <row r="67" spans="1:21" ht="7.5" customHeight="1" x14ac:dyDescent="0.2">
      <c r="B67" s="88"/>
      <c r="C67" s="88"/>
      <c r="D67" s="88"/>
      <c r="E67" s="88"/>
      <c r="F67" s="88"/>
      <c r="G67" s="88"/>
      <c r="H67" s="88"/>
      <c r="I67" s="88"/>
      <c r="J67" s="88"/>
      <c r="K67" s="88"/>
      <c r="L67" s="88"/>
      <c r="M67" s="88"/>
      <c r="N67" s="88"/>
      <c r="O67" s="88"/>
      <c r="P67" s="88"/>
      <c r="Q67" s="88"/>
      <c r="R67" s="88"/>
      <c r="S67" s="88"/>
      <c r="T67" s="88"/>
    </row>
    <row r="68" spans="1:21" ht="18" customHeight="1" x14ac:dyDescent="0.2">
      <c r="A68" s="156" t="s">
        <v>105</v>
      </c>
      <c r="B68" s="156"/>
      <c r="C68" s="156"/>
      <c r="D68" s="156"/>
      <c r="E68" s="156"/>
      <c r="F68" s="156"/>
      <c r="G68" s="156"/>
      <c r="H68" s="156"/>
      <c r="I68" s="156"/>
      <c r="J68" s="156"/>
      <c r="K68" s="156"/>
      <c r="L68" s="156"/>
      <c r="M68" s="156"/>
      <c r="N68" s="156"/>
      <c r="O68" s="156"/>
      <c r="P68" s="156"/>
      <c r="Q68" s="156"/>
      <c r="R68" s="156"/>
      <c r="S68" s="156"/>
      <c r="T68" s="156"/>
      <c r="U68" s="156"/>
    </row>
    <row r="69" spans="1:21" ht="18" customHeight="1" x14ac:dyDescent="0.2">
      <c r="A69" s="156"/>
      <c r="B69" s="156"/>
      <c r="C69" s="156"/>
      <c r="D69" s="156"/>
      <c r="E69" s="156"/>
      <c r="F69" s="156"/>
      <c r="G69" s="156"/>
      <c r="H69" s="156"/>
      <c r="I69" s="156"/>
      <c r="J69" s="156"/>
      <c r="K69" s="156"/>
      <c r="L69" s="156"/>
      <c r="M69" s="156"/>
      <c r="N69" s="156"/>
      <c r="O69" s="156"/>
      <c r="P69" s="156"/>
      <c r="Q69" s="156"/>
      <c r="R69" s="156"/>
      <c r="S69" s="156"/>
      <c r="T69" s="156"/>
      <c r="U69" s="156"/>
    </row>
    <row r="70" spans="1:21" ht="18" customHeight="1" x14ac:dyDescent="0.2">
      <c r="B70" s="125" t="s">
        <v>51</v>
      </c>
      <c r="C70" s="126"/>
      <c r="D70" s="126"/>
      <c r="E70" s="126"/>
      <c r="F70" s="82" t="s">
        <v>77</v>
      </c>
      <c r="G70" s="83" t="s">
        <v>80</v>
      </c>
      <c r="H70" s="84" t="s">
        <v>92</v>
      </c>
      <c r="I70" s="84" t="s">
        <v>72</v>
      </c>
      <c r="J70" s="84" t="s">
        <v>73</v>
      </c>
      <c r="K70" s="125" t="s">
        <v>51</v>
      </c>
      <c r="L70" s="126"/>
      <c r="M70" s="126"/>
      <c r="N70" s="126"/>
      <c r="O70" s="126"/>
      <c r="P70" s="127"/>
      <c r="Q70" s="82" t="s">
        <v>77</v>
      </c>
      <c r="R70" s="83" t="s">
        <v>80</v>
      </c>
      <c r="S70" s="84" t="s">
        <v>92</v>
      </c>
      <c r="T70" s="84" t="s">
        <v>72</v>
      </c>
      <c r="U70" s="84" t="s">
        <v>73</v>
      </c>
    </row>
    <row r="71" spans="1:21" ht="18" customHeight="1" x14ac:dyDescent="0.2">
      <c r="A71" s="70"/>
      <c r="B71" s="157" t="s">
        <v>144</v>
      </c>
      <c r="C71" s="204"/>
      <c r="D71" s="204"/>
      <c r="E71" s="89"/>
      <c r="F71" s="90">
        <v>2</v>
      </c>
      <c r="G71" s="90"/>
      <c r="H71" s="90" t="s">
        <v>143</v>
      </c>
      <c r="I71" s="90" t="s">
        <v>143</v>
      </c>
      <c r="J71" s="90"/>
      <c r="K71" s="157"/>
      <c r="L71" s="158"/>
      <c r="M71" s="158"/>
      <c r="N71" s="158"/>
      <c r="O71" s="158"/>
      <c r="P71" s="159"/>
      <c r="Q71" s="85"/>
      <c r="R71" s="85"/>
      <c r="S71" s="85"/>
      <c r="T71" s="85"/>
      <c r="U71" s="85"/>
    </row>
    <row r="72" spans="1:21" ht="18" customHeight="1" x14ac:dyDescent="0.2">
      <c r="A72" s="70"/>
      <c r="B72" s="91" t="s">
        <v>167</v>
      </c>
      <c r="C72" s="92"/>
      <c r="D72" s="92"/>
      <c r="E72" s="92"/>
      <c r="F72" s="76">
        <v>1</v>
      </c>
      <c r="G72" s="76" t="s">
        <v>143</v>
      </c>
      <c r="H72" s="76" t="s">
        <v>143</v>
      </c>
      <c r="I72" s="76" t="s">
        <v>143</v>
      </c>
      <c r="J72" s="76" t="s">
        <v>143</v>
      </c>
      <c r="K72" s="141"/>
      <c r="L72" s="142"/>
      <c r="M72" s="142"/>
      <c r="N72" s="142"/>
      <c r="O72" s="142"/>
      <c r="P72" s="143"/>
      <c r="Q72" s="76"/>
      <c r="R72" s="76"/>
      <c r="S72" s="76"/>
      <c r="T72" s="76"/>
      <c r="U72" s="76"/>
    </row>
    <row r="73" spans="1:21" ht="18" customHeight="1" x14ac:dyDescent="0.2">
      <c r="A73" s="70"/>
      <c r="B73" s="141" t="s">
        <v>148</v>
      </c>
      <c r="C73" s="205"/>
      <c r="D73" s="205"/>
      <c r="E73" s="93"/>
      <c r="F73" s="76">
        <v>2</v>
      </c>
      <c r="G73" s="76"/>
      <c r="H73" s="76" t="s">
        <v>143</v>
      </c>
      <c r="I73" s="76" t="s">
        <v>143</v>
      </c>
      <c r="J73" s="76" t="s">
        <v>143</v>
      </c>
      <c r="K73" s="141"/>
      <c r="L73" s="142"/>
      <c r="M73" s="142"/>
      <c r="N73" s="142"/>
      <c r="O73" s="142"/>
      <c r="P73" s="143"/>
      <c r="Q73" s="76"/>
      <c r="R73" s="76"/>
      <c r="S73" s="76"/>
      <c r="T73" s="76"/>
      <c r="U73" s="76"/>
    </row>
    <row r="74" spans="1:21" ht="18" customHeight="1" x14ac:dyDescent="0.2">
      <c r="A74" s="70"/>
      <c r="B74" s="91"/>
      <c r="C74" s="92"/>
      <c r="D74" s="92"/>
      <c r="E74" s="92"/>
      <c r="F74" s="76"/>
      <c r="G74" s="76"/>
      <c r="H74" s="76"/>
      <c r="I74" s="76"/>
      <c r="J74" s="76"/>
      <c r="K74" s="141"/>
      <c r="L74" s="142"/>
      <c r="M74" s="142"/>
      <c r="N74" s="142"/>
      <c r="O74" s="142"/>
      <c r="P74" s="143"/>
      <c r="Q74" s="76"/>
      <c r="R74" s="76"/>
      <c r="S74" s="76"/>
      <c r="T74" s="76"/>
      <c r="U74" s="76"/>
    </row>
    <row r="75" spans="1:21" ht="18" customHeight="1" x14ac:dyDescent="0.2">
      <c r="A75" s="70"/>
      <c r="B75" s="141"/>
      <c r="C75" s="142"/>
      <c r="D75" s="142"/>
      <c r="E75" s="142"/>
      <c r="F75" s="76"/>
      <c r="G75" s="76"/>
      <c r="H75" s="76"/>
      <c r="I75" s="76"/>
      <c r="J75" s="76"/>
      <c r="K75" s="141"/>
      <c r="L75" s="142"/>
      <c r="M75" s="142"/>
      <c r="N75" s="142"/>
      <c r="O75" s="142"/>
      <c r="P75" s="143"/>
      <c r="Q75" s="76"/>
      <c r="R75" s="76"/>
      <c r="S75" s="76"/>
      <c r="T75" s="76"/>
      <c r="U75" s="76"/>
    </row>
    <row r="76" spans="1:21" ht="18" customHeight="1" x14ac:dyDescent="0.2">
      <c r="A76" s="70"/>
      <c r="B76" s="141"/>
      <c r="C76" s="142"/>
      <c r="D76" s="142"/>
      <c r="E76" s="142"/>
      <c r="F76" s="76"/>
      <c r="G76" s="76"/>
      <c r="H76" s="76"/>
      <c r="I76" s="76"/>
      <c r="J76" s="76"/>
      <c r="K76" s="141"/>
      <c r="L76" s="142"/>
      <c r="M76" s="142"/>
      <c r="N76" s="142"/>
      <c r="O76" s="142"/>
      <c r="P76" s="143"/>
      <c r="Q76" s="76"/>
      <c r="R76" s="76"/>
      <c r="S76" s="76"/>
      <c r="T76" s="76"/>
      <c r="U76" s="76"/>
    </row>
    <row r="77" spans="1:21" ht="18" customHeight="1" x14ac:dyDescent="0.2">
      <c r="A77" s="70"/>
      <c r="B77" s="160"/>
      <c r="C77" s="161"/>
      <c r="D77" s="161"/>
      <c r="E77" s="161"/>
      <c r="F77" s="86"/>
      <c r="G77" s="86"/>
      <c r="H77" s="87"/>
      <c r="I77" s="87"/>
      <c r="J77" s="87"/>
      <c r="K77" s="160"/>
      <c r="L77" s="161"/>
      <c r="M77" s="161"/>
      <c r="N77" s="161"/>
      <c r="O77" s="161"/>
      <c r="P77" s="162"/>
      <c r="Q77" s="86"/>
      <c r="R77" s="86"/>
      <c r="S77" s="87"/>
      <c r="T77" s="87"/>
      <c r="U77" s="87"/>
    </row>
    <row r="78" spans="1:21" ht="7.5" customHeight="1" x14ac:dyDescent="0.2">
      <c r="B78" s="88"/>
      <c r="C78" s="88"/>
      <c r="D78" s="88"/>
      <c r="E78" s="88"/>
      <c r="F78" s="88"/>
      <c r="G78" s="88"/>
      <c r="H78" s="88"/>
      <c r="I78" s="88"/>
      <c r="J78" s="88"/>
      <c r="K78" s="88"/>
      <c r="L78" s="88"/>
      <c r="M78" s="88"/>
      <c r="N78" s="88"/>
      <c r="O78" s="88"/>
      <c r="P78" s="88"/>
      <c r="Q78" s="88"/>
      <c r="R78" s="88"/>
      <c r="S78" s="88"/>
      <c r="T78" s="88"/>
    </row>
    <row r="79" spans="1:21" ht="18" customHeight="1" x14ac:dyDescent="0.2">
      <c r="A79" s="66" t="s">
        <v>106</v>
      </c>
      <c r="I79" s="70"/>
      <c r="J79" s="70"/>
      <c r="K79" s="70"/>
      <c r="L79" s="70"/>
      <c r="M79" s="70"/>
      <c r="N79" s="70"/>
      <c r="O79" s="70"/>
      <c r="P79" s="70"/>
      <c r="Q79" s="70"/>
      <c r="R79" s="70"/>
      <c r="S79" s="70"/>
      <c r="T79" s="70"/>
      <c r="U79" s="70"/>
    </row>
    <row r="80" spans="1:21" ht="18" customHeight="1" x14ac:dyDescent="0.2">
      <c r="B80" s="125" t="s">
        <v>51</v>
      </c>
      <c r="C80" s="126"/>
      <c r="D80" s="126"/>
      <c r="E80" s="126"/>
      <c r="F80" s="127"/>
      <c r="G80" s="125" t="s">
        <v>78</v>
      </c>
      <c r="H80" s="126"/>
      <c r="I80" s="126"/>
      <c r="J80" s="127"/>
      <c r="K80" s="164" t="s">
        <v>51</v>
      </c>
      <c r="L80" s="165"/>
      <c r="M80" s="165"/>
      <c r="N80" s="165"/>
      <c r="O80" s="165"/>
      <c r="P80" s="165"/>
      <c r="Q80" s="166"/>
      <c r="R80" s="125" t="s">
        <v>78</v>
      </c>
      <c r="S80" s="126"/>
      <c r="T80" s="126"/>
      <c r="U80" s="127"/>
    </row>
    <row r="81" spans="1:21" ht="18" customHeight="1" x14ac:dyDescent="0.2">
      <c r="A81" s="70"/>
      <c r="B81" s="157" t="s">
        <v>149</v>
      </c>
      <c r="C81" s="158"/>
      <c r="D81" s="158"/>
      <c r="E81" s="158"/>
      <c r="F81" s="159"/>
      <c r="G81" s="174" t="s">
        <v>150</v>
      </c>
      <c r="H81" s="175"/>
      <c r="I81" s="175"/>
      <c r="J81" s="176"/>
      <c r="K81" s="157"/>
      <c r="L81" s="158"/>
      <c r="M81" s="158"/>
      <c r="N81" s="158"/>
      <c r="O81" s="158"/>
      <c r="P81" s="158"/>
      <c r="Q81" s="159"/>
      <c r="R81" s="177"/>
      <c r="S81" s="178"/>
      <c r="T81" s="178"/>
      <c r="U81" s="179"/>
    </row>
    <row r="82" spans="1:21" ht="18" customHeight="1" x14ac:dyDescent="0.2">
      <c r="A82" s="70"/>
      <c r="B82" s="141" t="s">
        <v>149</v>
      </c>
      <c r="C82" s="142"/>
      <c r="D82" s="142"/>
      <c r="E82" s="142"/>
      <c r="F82" s="143"/>
      <c r="G82" s="168" t="s">
        <v>151</v>
      </c>
      <c r="H82" s="169"/>
      <c r="I82" s="169"/>
      <c r="J82" s="170"/>
      <c r="K82" s="141"/>
      <c r="L82" s="142"/>
      <c r="M82" s="142"/>
      <c r="N82" s="142"/>
      <c r="O82" s="142"/>
      <c r="P82" s="142"/>
      <c r="Q82" s="143"/>
      <c r="R82" s="171"/>
      <c r="S82" s="172"/>
      <c r="T82" s="172"/>
      <c r="U82" s="173"/>
    </row>
    <row r="83" spans="1:21" ht="18" customHeight="1" x14ac:dyDescent="0.2">
      <c r="A83" s="70"/>
      <c r="B83" s="141" t="s">
        <v>149</v>
      </c>
      <c r="C83" s="142"/>
      <c r="D83" s="142"/>
      <c r="E83" s="142"/>
      <c r="F83" s="143"/>
      <c r="G83" s="168" t="s">
        <v>152</v>
      </c>
      <c r="H83" s="169"/>
      <c r="I83" s="169"/>
      <c r="J83" s="170"/>
      <c r="K83" s="141"/>
      <c r="L83" s="142"/>
      <c r="M83" s="142"/>
      <c r="N83" s="142"/>
      <c r="O83" s="142"/>
      <c r="P83" s="142"/>
      <c r="Q83" s="143"/>
      <c r="R83" s="171"/>
      <c r="S83" s="172"/>
      <c r="T83" s="172"/>
      <c r="U83" s="173"/>
    </row>
    <row r="84" spans="1:21" ht="18" customHeight="1" x14ac:dyDescent="0.2">
      <c r="A84" s="70"/>
      <c r="B84" s="141"/>
      <c r="C84" s="142"/>
      <c r="D84" s="142"/>
      <c r="E84" s="142"/>
      <c r="F84" s="143"/>
      <c r="G84" s="171"/>
      <c r="H84" s="172"/>
      <c r="I84" s="172"/>
      <c r="J84" s="173"/>
      <c r="K84" s="141"/>
      <c r="L84" s="142"/>
      <c r="M84" s="142"/>
      <c r="N84" s="142"/>
      <c r="O84" s="142"/>
      <c r="P84" s="142"/>
      <c r="Q84" s="143"/>
      <c r="R84" s="171"/>
      <c r="S84" s="172"/>
      <c r="T84" s="172"/>
      <c r="U84" s="173"/>
    </row>
    <row r="85" spans="1:21" ht="18" customHeight="1" x14ac:dyDescent="0.2">
      <c r="A85" s="70"/>
      <c r="B85" s="141"/>
      <c r="C85" s="142"/>
      <c r="D85" s="142"/>
      <c r="E85" s="142"/>
      <c r="F85" s="143"/>
      <c r="G85" s="171"/>
      <c r="H85" s="172"/>
      <c r="I85" s="172"/>
      <c r="J85" s="173"/>
      <c r="K85" s="141"/>
      <c r="L85" s="142"/>
      <c r="M85" s="142"/>
      <c r="N85" s="142"/>
      <c r="O85" s="142"/>
      <c r="P85" s="142"/>
      <c r="Q85" s="143"/>
      <c r="R85" s="171"/>
      <c r="S85" s="172"/>
      <c r="T85" s="172"/>
      <c r="U85" s="173"/>
    </row>
    <row r="86" spans="1:21" ht="18" customHeight="1" x14ac:dyDescent="0.2">
      <c r="A86" s="70"/>
      <c r="B86" s="141"/>
      <c r="C86" s="142"/>
      <c r="D86" s="142"/>
      <c r="E86" s="142"/>
      <c r="F86" s="143"/>
      <c r="G86" s="171"/>
      <c r="H86" s="172"/>
      <c r="I86" s="172"/>
      <c r="J86" s="173"/>
      <c r="K86" s="141"/>
      <c r="L86" s="142"/>
      <c r="M86" s="142"/>
      <c r="N86" s="142"/>
      <c r="O86" s="142"/>
      <c r="P86" s="142"/>
      <c r="Q86" s="143"/>
      <c r="R86" s="171"/>
      <c r="S86" s="172"/>
      <c r="T86" s="172"/>
      <c r="U86" s="173"/>
    </row>
    <row r="87" spans="1:21" ht="18" customHeight="1" x14ac:dyDescent="0.2">
      <c r="A87" s="70"/>
      <c r="B87" s="160"/>
      <c r="C87" s="161"/>
      <c r="D87" s="161"/>
      <c r="E87" s="161"/>
      <c r="F87" s="162"/>
      <c r="G87" s="180"/>
      <c r="H87" s="181"/>
      <c r="I87" s="181"/>
      <c r="J87" s="182"/>
      <c r="K87" s="160"/>
      <c r="L87" s="161"/>
      <c r="M87" s="161"/>
      <c r="N87" s="161"/>
      <c r="O87" s="161"/>
      <c r="P87" s="161"/>
      <c r="Q87" s="162"/>
      <c r="R87" s="180"/>
      <c r="S87" s="181"/>
      <c r="T87" s="181"/>
      <c r="U87" s="182"/>
    </row>
    <row r="88" spans="1:21" ht="18" customHeight="1" x14ac:dyDescent="0.2">
      <c r="A88" s="70"/>
      <c r="B88" s="68"/>
      <c r="C88" s="68"/>
      <c r="D88" s="68"/>
      <c r="E88" s="68"/>
      <c r="F88" s="68"/>
      <c r="G88" s="94"/>
      <c r="H88" s="94"/>
      <c r="I88" s="94"/>
      <c r="J88" s="94"/>
      <c r="K88" s="68"/>
      <c r="L88" s="68"/>
      <c r="M88" s="68"/>
      <c r="N88" s="68"/>
      <c r="O88" s="68"/>
      <c r="P88" s="68"/>
      <c r="Q88" s="68"/>
      <c r="R88" s="94"/>
      <c r="S88" s="94"/>
      <c r="T88" s="94"/>
      <c r="U88" s="94"/>
    </row>
    <row r="89" spans="1:21" ht="18.75" customHeight="1" x14ac:dyDescent="0.2">
      <c r="A89" s="66" t="s">
        <v>107</v>
      </c>
    </row>
    <row r="90" spans="1:21" ht="18.75" customHeight="1" x14ac:dyDescent="0.2">
      <c r="B90" s="183" t="s">
        <v>52</v>
      </c>
      <c r="C90" s="184"/>
      <c r="D90" s="125" t="s">
        <v>53</v>
      </c>
      <c r="E90" s="126"/>
      <c r="F90" s="126"/>
      <c r="G90" s="126"/>
      <c r="H90" s="126"/>
      <c r="I90" s="126"/>
      <c r="J90" s="126"/>
      <c r="K90" s="126"/>
      <c r="L90" s="126"/>
      <c r="M90" s="126"/>
      <c r="N90" s="126"/>
      <c r="O90" s="126"/>
      <c r="P90" s="126"/>
      <c r="Q90" s="126"/>
      <c r="R90" s="126"/>
      <c r="S90" s="126"/>
      <c r="T90" s="126"/>
      <c r="U90" s="127"/>
    </row>
    <row r="91" spans="1:21" ht="92.25" customHeight="1" x14ac:dyDescent="0.2">
      <c r="B91" s="185" t="s">
        <v>59</v>
      </c>
      <c r="C91" s="95" t="s">
        <v>54</v>
      </c>
      <c r="D91" s="206" t="s">
        <v>191</v>
      </c>
      <c r="E91" s="207"/>
      <c r="F91" s="207"/>
      <c r="G91" s="207"/>
      <c r="H91" s="207"/>
      <c r="I91" s="207"/>
      <c r="J91" s="207"/>
      <c r="K91" s="207"/>
      <c r="L91" s="207"/>
      <c r="M91" s="207"/>
      <c r="N91" s="207"/>
      <c r="O91" s="207"/>
      <c r="P91" s="207"/>
      <c r="Q91" s="207"/>
      <c r="R91" s="207"/>
      <c r="S91" s="207"/>
      <c r="T91" s="207"/>
      <c r="U91" s="208"/>
    </row>
    <row r="92" spans="1:21" ht="47.25" customHeight="1" x14ac:dyDescent="0.2">
      <c r="B92" s="193"/>
      <c r="C92" s="96" t="s">
        <v>74</v>
      </c>
      <c r="D92" s="209" t="s">
        <v>183</v>
      </c>
      <c r="E92" s="210"/>
      <c r="F92" s="210"/>
      <c r="G92" s="210"/>
      <c r="H92" s="210"/>
      <c r="I92" s="210"/>
      <c r="J92" s="210"/>
      <c r="K92" s="210"/>
      <c r="L92" s="210"/>
      <c r="M92" s="210"/>
      <c r="N92" s="210"/>
      <c r="O92" s="210"/>
      <c r="P92" s="210"/>
      <c r="Q92" s="210"/>
      <c r="R92" s="210"/>
      <c r="S92" s="210"/>
      <c r="T92" s="210"/>
      <c r="U92" s="211"/>
    </row>
    <row r="93" spans="1:21" ht="78" customHeight="1" x14ac:dyDescent="0.2">
      <c r="B93" s="185" t="s">
        <v>60</v>
      </c>
      <c r="C93" s="97" t="s">
        <v>68</v>
      </c>
      <c r="D93" s="206" t="s">
        <v>182</v>
      </c>
      <c r="E93" s="207"/>
      <c r="F93" s="207"/>
      <c r="G93" s="207"/>
      <c r="H93" s="207"/>
      <c r="I93" s="207"/>
      <c r="J93" s="207"/>
      <c r="K93" s="207"/>
      <c r="L93" s="207"/>
      <c r="M93" s="207"/>
      <c r="N93" s="207"/>
      <c r="O93" s="207"/>
      <c r="P93" s="207"/>
      <c r="Q93" s="207"/>
      <c r="R93" s="207"/>
      <c r="S93" s="207"/>
      <c r="T93" s="207"/>
      <c r="U93" s="208"/>
    </row>
    <row r="94" spans="1:21" ht="55.5" customHeight="1" x14ac:dyDescent="0.2">
      <c r="B94" s="186"/>
      <c r="C94" s="98" t="s">
        <v>69</v>
      </c>
      <c r="D94" s="209" t="s">
        <v>180</v>
      </c>
      <c r="E94" s="210"/>
      <c r="F94" s="210"/>
      <c r="G94" s="210"/>
      <c r="H94" s="210"/>
      <c r="I94" s="210"/>
      <c r="J94" s="210"/>
      <c r="K94" s="210"/>
      <c r="L94" s="210"/>
      <c r="M94" s="210"/>
      <c r="N94" s="210"/>
      <c r="O94" s="210"/>
      <c r="P94" s="210"/>
      <c r="Q94" s="210"/>
      <c r="R94" s="210"/>
      <c r="S94" s="210"/>
      <c r="T94" s="210"/>
      <c r="U94" s="211"/>
    </row>
    <row r="95" spans="1:21" ht="83.25" customHeight="1" x14ac:dyDescent="0.2">
      <c r="B95" s="185" t="s">
        <v>61</v>
      </c>
      <c r="C95" s="97" t="s">
        <v>70</v>
      </c>
      <c r="D95" s="206" t="s">
        <v>179</v>
      </c>
      <c r="E95" s="207"/>
      <c r="F95" s="207"/>
      <c r="G95" s="207"/>
      <c r="H95" s="207"/>
      <c r="I95" s="207"/>
      <c r="J95" s="207"/>
      <c r="K95" s="207"/>
      <c r="L95" s="207"/>
      <c r="M95" s="207"/>
      <c r="N95" s="207"/>
      <c r="O95" s="207"/>
      <c r="P95" s="207"/>
      <c r="Q95" s="207"/>
      <c r="R95" s="207"/>
      <c r="S95" s="207"/>
      <c r="T95" s="207"/>
      <c r="U95" s="208"/>
    </row>
    <row r="96" spans="1:21" ht="59.25" customHeight="1" x14ac:dyDescent="0.2">
      <c r="B96" s="186"/>
      <c r="C96" s="99" t="s">
        <v>71</v>
      </c>
      <c r="D96" s="209" t="s">
        <v>181</v>
      </c>
      <c r="E96" s="210"/>
      <c r="F96" s="210"/>
      <c r="G96" s="210"/>
      <c r="H96" s="210"/>
      <c r="I96" s="210"/>
      <c r="J96" s="210"/>
      <c r="K96" s="210"/>
      <c r="L96" s="210"/>
      <c r="M96" s="210"/>
      <c r="N96" s="210"/>
      <c r="O96" s="210"/>
      <c r="P96" s="210"/>
      <c r="Q96" s="210"/>
      <c r="R96" s="210"/>
      <c r="S96" s="210"/>
      <c r="T96" s="210"/>
      <c r="U96" s="211"/>
    </row>
    <row r="97" spans="1:33" ht="99" customHeight="1" x14ac:dyDescent="0.2">
      <c r="B97" s="185" t="s">
        <v>75</v>
      </c>
      <c r="C97" s="95" t="s">
        <v>56</v>
      </c>
      <c r="D97" s="206" t="s">
        <v>192</v>
      </c>
      <c r="E97" s="207"/>
      <c r="F97" s="207"/>
      <c r="G97" s="207"/>
      <c r="H97" s="207"/>
      <c r="I97" s="207"/>
      <c r="J97" s="207"/>
      <c r="K97" s="207"/>
      <c r="L97" s="207"/>
      <c r="M97" s="207"/>
      <c r="N97" s="207"/>
      <c r="O97" s="207"/>
      <c r="P97" s="207"/>
      <c r="Q97" s="207"/>
      <c r="R97" s="207"/>
      <c r="S97" s="207"/>
      <c r="T97" s="207"/>
      <c r="U97" s="208"/>
    </row>
    <row r="98" spans="1:33" ht="57.75" customHeight="1" x14ac:dyDescent="0.2">
      <c r="B98" s="186"/>
      <c r="C98" s="98" t="s">
        <v>58</v>
      </c>
      <c r="D98" s="209" t="s">
        <v>193</v>
      </c>
      <c r="E98" s="210"/>
      <c r="F98" s="210"/>
      <c r="G98" s="210"/>
      <c r="H98" s="210"/>
      <c r="I98" s="210"/>
      <c r="J98" s="210"/>
      <c r="K98" s="210"/>
      <c r="L98" s="210"/>
      <c r="M98" s="210"/>
      <c r="N98" s="210"/>
      <c r="O98" s="210"/>
      <c r="P98" s="210"/>
      <c r="Q98" s="210"/>
      <c r="R98" s="210"/>
      <c r="S98" s="210"/>
      <c r="T98" s="210"/>
      <c r="U98" s="211"/>
    </row>
    <row r="99" spans="1:33" ht="148.5" customHeight="1" x14ac:dyDescent="0.2">
      <c r="B99" s="185" t="s">
        <v>76</v>
      </c>
      <c r="C99" s="97" t="s">
        <v>55</v>
      </c>
      <c r="D99" s="206" t="s">
        <v>194</v>
      </c>
      <c r="E99" s="207"/>
      <c r="F99" s="207"/>
      <c r="G99" s="207"/>
      <c r="H99" s="207"/>
      <c r="I99" s="207"/>
      <c r="J99" s="207"/>
      <c r="K99" s="207"/>
      <c r="L99" s="207"/>
      <c r="M99" s="207"/>
      <c r="N99" s="207"/>
      <c r="O99" s="207"/>
      <c r="P99" s="207"/>
      <c r="Q99" s="207"/>
      <c r="R99" s="207"/>
      <c r="S99" s="207"/>
      <c r="T99" s="207"/>
      <c r="U99" s="208"/>
    </row>
    <row r="100" spans="1:33" ht="88.5" customHeight="1" x14ac:dyDescent="0.2">
      <c r="B100" s="193"/>
      <c r="C100" s="100" t="s">
        <v>72</v>
      </c>
      <c r="D100" s="212" t="s">
        <v>195</v>
      </c>
      <c r="E100" s="213"/>
      <c r="F100" s="213"/>
      <c r="G100" s="213"/>
      <c r="H100" s="213"/>
      <c r="I100" s="213"/>
      <c r="J100" s="213"/>
      <c r="K100" s="213"/>
      <c r="L100" s="213"/>
      <c r="M100" s="213"/>
      <c r="N100" s="213"/>
      <c r="O100" s="213"/>
      <c r="P100" s="213"/>
      <c r="Q100" s="213"/>
      <c r="R100" s="213"/>
      <c r="S100" s="213"/>
      <c r="T100" s="213"/>
      <c r="U100" s="214"/>
    </row>
    <row r="101" spans="1:33" ht="65.25" customHeight="1" x14ac:dyDescent="0.2">
      <c r="B101" s="186"/>
      <c r="C101" s="99" t="s">
        <v>73</v>
      </c>
      <c r="D101" s="209" t="s">
        <v>196</v>
      </c>
      <c r="E101" s="210"/>
      <c r="F101" s="210"/>
      <c r="G101" s="210"/>
      <c r="H101" s="210"/>
      <c r="I101" s="210"/>
      <c r="J101" s="210"/>
      <c r="K101" s="210"/>
      <c r="L101" s="210"/>
      <c r="M101" s="210"/>
      <c r="N101" s="210"/>
      <c r="O101" s="210"/>
      <c r="P101" s="210"/>
      <c r="Q101" s="210"/>
      <c r="R101" s="210"/>
      <c r="S101" s="210"/>
      <c r="T101" s="210"/>
      <c r="U101" s="211"/>
    </row>
    <row r="102" spans="1:33" ht="6" customHeight="1" x14ac:dyDescent="0.2"/>
    <row r="103" spans="1:33" ht="18.75" customHeight="1" x14ac:dyDescent="0.2">
      <c r="A103" s="66" t="s">
        <v>108</v>
      </c>
    </row>
    <row r="104" spans="1:33" ht="81.75" customHeight="1" x14ac:dyDescent="0.2">
      <c r="B104" s="200" t="s">
        <v>162</v>
      </c>
      <c r="C104" s="201"/>
      <c r="D104" s="201"/>
      <c r="E104" s="201"/>
      <c r="F104" s="201"/>
      <c r="G104" s="201"/>
      <c r="H104" s="201"/>
      <c r="I104" s="201"/>
      <c r="J104" s="201"/>
      <c r="K104" s="201"/>
      <c r="L104" s="201"/>
      <c r="M104" s="201"/>
      <c r="N104" s="201"/>
      <c r="O104" s="201"/>
      <c r="P104" s="201"/>
      <c r="Q104" s="201"/>
      <c r="R104" s="201"/>
      <c r="S104" s="201"/>
      <c r="T104" s="201"/>
      <c r="U104" s="202"/>
    </row>
    <row r="106" spans="1:33" ht="18.75" customHeight="1" x14ac:dyDescent="0.2">
      <c r="A106" s="71" t="s">
        <v>124</v>
      </c>
    </row>
    <row r="107" spans="1:33" ht="18.75" customHeight="1" x14ac:dyDescent="0.2">
      <c r="A107" s="71" t="s">
        <v>126</v>
      </c>
      <c r="B107" s="71"/>
      <c r="C107" s="71"/>
      <c r="D107" s="71"/>
      <c r="E107" s="71"/>
      <c r="F107" s="71"/>
      <c r="G107" s="71"/>
      <c r="H107" s="71"/>
      <c r="I107" s="71"/>
      <c r="J107" s="71"/>
      <c r="K107" s="71"/>
      <c r="L107" s="71"/>
      <c r="M107" s="71"/>
      <c r="N107" s="71"/>
      <c r="O107" s="71"/>
      <c r="P107" s="71"/>
      <c r="Q107" s="71"/>
      <c r="R107" s="71"/>
      <c r="S107" s="71"/>
      <c r="T107" s="71"/>
      <c r="U107" s="71"/>
      <c r="V107" s="71"/>
      <c r="W107" s="71"/>
      <c r="X107" s="71"/>
      <c r="Y107" s="71"/>
      <c r="Z107" s="71"/>
      <c r="AA107" s="71"/>
      <c r="AB107" s="71"/>
      <c r="AC107" s="71"/>
      <c r="AD107" s="71"/>
      <c r="AE107" s="71"/>
      <c r="AF107" s="71"/>
      <c r="AG107" s="71"/>
    </row>
    <row r="108" spans="1:33" ht="18.75" customHeight="1" x14ac:dyDescent="0.2">
      <c r="A108" s="71"/>
      <c r="B108" s="203" t="s">
        <v>130</v>
      </c>
      <c r="C108" s="203"/>
      <c r="D108" s="203"/>
      <c r="E108" s="203"/>
      <c r="F108" s="203"/>
      <c r="G108" s="203"/>
      <c r="H108" s="203"/>
      <c r="I108" s="203"/>
      <c r="J108" s="203"/>
      <c r="K108" s="203"/>
      <c r="L108" s="203"/>
      <c r="M108" s="203"/>
      <c r="N108" s="203"/>
      <c r="O108" s="203"/>
      <c r="P108" s="203"/>
      <c r="Q108" s="203"/>
      <c r="R108" s="203"/>
      <c r="S108" s="203"/>
      <c r="T108" s="203"/>
      <c r="U108" s="203"/>
      <c r="V108" s="101"/>
      <c r="W108" s="101"/>
      <c r="X108" s="101"/>
      <c r="Y108" s="101"/>
      <c r="Z108" s="101"/>
      <c r="AA108" s="101"/>
      <c r="AB108" s="101"/>
      <c r="AC108" s="101"/>
      <c r="AD108" s="101"/>
      <c r="AE108" s="101"/>
      <c r="AF108" s="101"/>
      <c r="AG108" s="101"/>
    </row>
    <row r="109" spans="1:33" ht="37.35" customHeight="1" x14ac:dyDescent="0.2">
      <c r="A109" s="71"/>
      <c r="B109" s="203"/>
      <c r="C109" s="203"/>
      <c r="D109" s="203"/>
      <c r="E109" s="203"/>
      <c r="F109" s="203"/>
      <c r="G109" s="203"/>
      <c r="H109" s="203"/>
      <c r="I109" s="203"/>
      <c r="J109" s="203"/>
      <c r="K109" s="203"/>
      <c r="L109" s="203"/>
      <c r="M109" s="203"/>
      <c r="N109" s="203"/>
      <c r="O109" s="203"/>
      <c r="P109" s="203"/>
      <c r="Q109" s="203"/>
      <c r="R109" s="203"/>
      <c r="S109" s="203"/>
      <c r="T109" s="203"/>
      <c r="U109" s="203"/>
      <c r="V109" s="101"/>
      <c r="W109" s="101"/>
      <c r="X109" s="101"/>
      <c r="Y109" s="101"/>
      <c r="Z109" s="101"/>
      <c r="AA109" s="101"/>
      <c r="AB109" s="101"/>
      <c r="AC109" s="101"/>
      <c r="AD109" s="101"/>
      <c r="AE109" s="101"/>
      <c r="AF109" s="101"/>
      <c r="AG109" s="101"/>
    </row>
    <row r="110" spans="1:33" ht="18.75" customHeight="1" x14ac:dyDescent="0.2">
      <c r="A110" s="71"/>
      <c r="B110" s="194" t="s">
        <v>125</v>
      </c>
      <c r="C110" s="194"/>
      <c r="D110" s="194"/>
      <c r="E110" s="194"/>
      <c r="F110" s="194"/>
      <c r="G110" s="194"/>
      <c r="H110" s="194"/>
      <c r="I110" s="194"/>
      <c r="J110" s="194"/>
      <c r="K110" s="194"/>
      <c r="L110" s="194"/>
      <c r="M110" s="194"/>
      <c r="N110" s="194"/>
      <c r="O110" s="194"/>
      <c r="P110" s="194"/>
      <c r="Q110" s="194"/>
      <c r="R110" s="194"/>
      <c r="S110" s="194"/>
      <c r="T110" s="194"/>
      <c r="U110" s="194"/>
      <c r="V110" s="101"/>
      <c r="W110" s="101"/>
      <c r="X110" s="101"/>
      <c r="Y110" s="101"/>
      <c r="Z110" s="101"/>
      <c r="AA110" s="101"/>
      <c r="AB110" s="101"/>
      <c r="AC110" s="101"/>
      <c r="AD110" s="101"/>
      <c r="AE110" s="101"/>
      <c r="AF110" s="101"/>
      <c r="AG110" s="101"/>
    </row>
    <row r="111" spans="1:33" ht="18.75" customHeight="1" x14ac:dyDescent="0.2">
      <c r="A111" s="71"/>
      <c r="B111" s="195" t="s">
        <v>53</v>
      </c>
      <c r="C111" s="195"/>
      <c r="D111" s="195"/>
      <c r="E111" s="195"/>
      <c r="F111" s="195"/>
      <c r="G111" s="195"/>
      <c r="H111" s="195"/>
      <c r="I111" s="195"/>
      <c r="J111" s="195"/>
      <c r="K111" s="195"/>
      <c r="L111" s="195"/>
      <c r="M111" s="195"/>
      <c r="N111" s="195"/>
      <c r="O111" s="195"/>
      <c r="P111" s="195"/>
      <c r="Q111" s="195"/>
      <c r="R111" s="195"/>
      <c r="S111" s="195"/>
      <c r="T111" s="195"/>
      <c r="U111" s="195"/>
      <c r="V111" s="71"/>
      <c r="W111" s="71"/>
      <c r="X111" s="71"/>
      <c r="Y111" s="71"/>
      <c r="Z111" s="71"/>
      <c r="AA111" s="71"/>
      <c r="AB111" s="71"/>
      <c r="AC111" s="71"/>
      <c r="AD111" s="71"/>
      <c r="AE111" s="71"/>
      <c r="AF111" s="71"/>
      <c r="AG111" s="71"/>
    </row>
    <row r="112" spans="1:33" ht="132" customHeight="1" x14ac:dyDescent="0.2">
      <c r="A112" s="71"/>
      <c r="B112" s="196"/>
      <c r="C112" s="196"/>
      <c r="D112" s="196"/>
      <c r="E112" s="196"/>
      <c r="F112" s="196"/>
      <c r="G112" s="196"/>
      <c r="H112" s="196"/>
      <c r="I112" s="196"/>
      <c r="J112" s="196"/>
      <c r="K112" s="196"/>
      <c r="L112" s="196"/>
      <c r="M112" s="196"/>
      <c r="N112" s="196"/>
      <c r="O112" s="196"/>
      <c r="P112" s="196"/>
      <c r="Q112" s="196"/>
      <c r="R112" s="196"/>
      <c r="S112" s="196"/>
      <c r="T112" s="196"/>
      <c r="U112" s="196"/>
      <c r="V112" s="102"/>
      <c r="W112" s="102"/>
      <c r="X112" s="102"/>
      <c r="Y112" s="102"/>
      <c r="Z112" s="102"/>
      <c r="AA112" s="102"/>
      <c r="AB112" s="102"/>
      <c r="AC112" s="102"/>
      <c r="AD112" s="102"/>
      <c r="AE112" s="102"/>
      <c r="AF112" s="102"/>
      <c r="AG112" s="102"/>
    </row>
    <row r="114" ht="18" customHeight="1" x14ac:dyDescent="0.2"/>
  </sheetData>
  <mergeCells count="146">
    <mergeCell ref="B110:U110"/>
    <mergeCell ref="B111:U111"/>
    <mergeCell ref="B112:U112"/>
    <mergeCell ref="B99:B101"/>
    <mergeCell ref="D99:U99"/>
    <mergeCell ref="D100:U100"/>
    <mergeCell ref="D101:U101"/>
    <mergeCell ref="B104:U104"/>
    <mergeCell ref="B108:U109"/>
    <mergeCell ref="B95:B96"/>
    <mergeCell ref="D95:U95"/>
    <mergeCell ref="D96:U96"/>
    <mergeCell ref="B97:B98"/>
    <mergeCell ref="D97:U97"/>
    <mergeCell ref="D98:U98"/>
    <mergeCell ref="B91:B92"/>
    <mergeCell ref="D91:U91"/>
    <mergeCell ref="D92:U92"/>
    <mergeCell ref="B93:B94"/>
    <mergeCell ref="D93:U93"/>
    <mergeCell ref="D94:U94"/>
    <mergeCell ref="B87:F87"/>
    <mergeCell ref="G87:J87"/>
    <mergeCell ref="K87:Q87"/>
    <mergeCell ref="R87:U87"/>
    <mergeCell ref="B90:C90"/>
    <mergeCell ref="D90:U90"/>
    <mergeCell ref="B85:F85"/>
    <mergeCell ref="G85:J85"/>
    <mergeCell ref="K85:Q85"/>
    <mergeCell ref="R85:U85"/>
    <mergeCell ref="B86:F86"/>
    <mergeCell ref="G86:J86"/>
    <mergeCell ref="K86:Q86"/>
    <mergeCell ref="R86:U86"/>
    <mergeCell ref="B83:F83"/>
    <mergeCell ref="G83:J83"/>
    <mergeCell ref="K83:Q83"/>
    <mergeCell ref="R83:U83"/>
    <mergeCell ref="B84:F84"/>
    <mergeCell ref="G84:J84"/>
    <mergeCell ref="K84:Q84"/>
    <mergeCell ref="R84:U84"/>
    <mergeCell ref="B81:F81"/>
    <mergeCell ref="G81:J81"/>
    <mergeCell ref="K81:Q81"/>
    <mergeCell ref="R81:U81"/>
    <mergeCell ref="B82:F82"/>
    <mergeCell ref="G82:J82"/>
    <mergeCell ref="K82:Q82"/>
    <mergeCell ref="R82:U82"/>
    <mergeCell ref="B77:E77"/>
    <mergeCell ref="K77:P77"/>
    <mergeCell ref="B80:F80"/>
    <mergeCell ref="G80:J80"/>
    <mergeCell ref="K80:Q80"/>
    <mergeCell ref="R80:U80"/>
    <mergeCell ref="K73:P73"/>
    <mergeCell ref="K74:P74"/>
    <mergeCell ref="B75:E75"/>
    <mergeCell ref="K75:P75"/>
    <mergeCell ref="B76:E76"/>
    <mergeCell ref="K76:P76"/>
    <mergeCell ref="B73:D73"/>
    <mergeCell ref="A68:U69"/>
    <mergeCell ref="B70:E70"/>
    <mergeCell ref="K70:P70"/>
    <mergeCell ref="K71:P71"/>
    <mergeCell ref="K72:P72"/>
    <mergeCell ref="B64:F64"/>
    <mergeCell ref="K64:Q64"/>
    <mergeCell ref="B65:F65"/>
    <mergeCell ref="K65:Q65"/>
    <mergeCell ref="B66:F66"/>
    <mergeCell ref="K66:Q66"/>
    <mergeCell ref="B71:D71"/>
    <mergeCell ref="B61:F61"/>
    <mergeCell ref="K61:Q61"/>
    <mergeCell ref="B62:F62"/>
    <mergeCell ref="K62:Q62"/>
    <mergeCell ref="B63:F63"/>
    <mergeCell ref="K63:Q63"/>
    <mergeCell ref="B55:F55"/>
    <mergeCell ref="K55:Q55"/>
    <mergeCell ref="A57:U58"/>
    <mergeCell ref="B59:F59"/>
    <mergeCell ref="K59:Q59"/>
    <mergeCell ref="B60:F60"/>
    <mergeCell ref="K60:Q60"/>
    <mergeCell ref="B52:F52"/>
    <mergeCell ref="K52:Q52"/>
    <mergeCell ref="B53:F53"/>
    <mergeCell ref="K53:Q53"/>
    <mergeCell ref="B54:F54"/>
    <mergeCell ref="K54:Q54"/>
    <mergeCell ref="B49:F49"/>
    <mergeCell ref="K49:Q49"/>
    <mergeCell ref="B50:F50"/>
    <mergeCell ref="K50:Q50"/>
    <mergeCell ref="B51:F51"/>
    <mergeCell ref="K51:Q51"/>
    <mergeCell ref="B43:F43"/>
    <mergeCell ref="K43:Q43"/>
    <mergeCell ref="B44:F44"/>
    <mergeCell ref="K44:Q44"/>
    <mergeCell ref="A46:U47"/>
    <mergeCell ref="B48:F48"/>
    <mergeCell ref="K48:Q48"/>
    <mergeCell ref="B40:F40"/>
    <mergeCell ref="K40:Q40"/>
    <mergeCell ref="B41:F41"/>
    <mergeCell ref="K41:Q41"/>
    <mergeCell ref="B42:F42"/>
    <mergeCell ref="K42:Q42"/>
    <mergeCell ref="A35:U36"/>
    <mergeCell ref="B37:F37"/>
    <mergeCell ref="K37:Q37"/>
    <mergeCell ref="B38:F38"/>
    <mergeCell ref="K38:Q38"/>
    <mergeCell ref="B39:F39"/>
    <mergeCell ref="K39:Q39"/>
    <mergeCell ref="B31:F31"/>
    <mergeCell ref="K31:Q31"/>
    <mergeCell ref="B32:F32"/>
    <mergeCell ref="K32:Q32"/>
    <mergeCell ref="B33:F33"/>
    <mergeCell ref="K33:Q33"/>
    <mergeCell ref="B30:F30"/>
    <mergeCell ref="K30:Q30"/>
    <mergeCell ref="B15:U20"/>
    <mergeCell ref="N22:U22"/>
    <mergeCell ref="A24:U25"/>
    <mergeCell ref="B26:F26"/>
    <mergeCell ref="K26:Q26"/>
    <mergeCell ref="B27:F27"/>
    <mergeCell ref="K27:Q27"/>
    <mergeCell ref="T1:U1"/>
    <mergeCell ref="C2:J2"/>
    <mergeCell ref="C3:J3"/>
    <mergeCell ref="A5:U5"/>
    <mergeCell ref="L7:U7"/>
    <mergeCell ref="B11:U12"/>
    <mergeCell ref="B28:F28"/>
    <mergeCell ref="K28:Q28"/>
    <mergeCell ref="B29:F29"/>
    <mergeCell ref="K29:Q29"/>
  </mergeCells>
  <phoneticPr fontId="1"/>
  <conditionalFormatting sqref="B11:U12">
    <cfRule type="expression" dxfId="3" priority="1">
      <formula>$L$7="学部・学科によって、修了要件は相違しない"</formula>
    </cfRule>
    <cfRule type="expression" dxfId="2" priority="2">
      <formula>$L$9="学部・学科によって、修了要件は相違しない"</formula>
    </cfRule>
  </conditionalFormatting>
  <dataValidations count="5">
    <dataValidation type="list" allowBlank="1" showInputMessage="1" showErrorMessage="1" sqref="R71:U77 S27:U33 H60:J66 S38:U44 H38:J44 S49:U55 H27:J33 S60:U66 H49:J55 G71:J77" xr:uid="{8134E95F-FD88-460F-A8C7-995BE4B37A60}">
      <formula1>"○"</formula1>
    </dataValidation>
    <dataValidation type="list" allowBlank="1" showInputMessage="1" showErrorMessage="1" sqref="U34 U45 E34:H34 E45:H45" xr:uid="{75FDA950-C0DB-4C29-9FEF-E295E759C621}">
      <formula1>"全学開講,一部開講"</formula1>
    </dataValidation>
    <dataValidation type="list" allowBlank="1" showInputMessage="1" showErrorMessage="1" sqref="L14 L7:U7" xr:uid="{F16E789D-8CCD-4461-8AFF-EC859A7B2E7E}">
      <formula1>"学部・学科によって、修了要件は相違する,学部・学科によって、修了要件は相違しない"</formula1>
    </dataValidation>
    <dataValidation type="list" allowBlank="1" showInputMessage="1" showErrorMessage="1" sqref="G81:G88 R81:R88 H81:J82 H85:J88 S85:U88 S81:U82" xr:uid="{F26CCD60-AF55-4143-893C-450DDA16C7B6}">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76E8438B-2DEF-43DD-A55F-A49C0C905BF9}">
      <formula1>$X$16:$X$18</formula1>
    </dataValidation>
  </dataValidations>
  <printOptions horizontalCentered="1"/>
  <pageMargins left="0.78740157480314965" right="0.78740157480314965" top="0.78740157480314965" bottom="0.19685039370078741" header="0.31496062992125984" footer="0.19685039370078741"/>
  <pageSetup paperSize="9" scale="67" fitToHeight="0" orientation="portrait" r:id="rId1"/>
  <headerFooter>
    <oddHeader>&amp;C数理・データサイエンス・AI教育プログラム認定制度【リテラシーレベル】令和６年度申請用</oddHeader>
  </headerFooter>
  <rowBreaks count="2" manualBreakCount="2">
    <brk id="67" max="16383" man="1"/>
    <brk id="98" max="20"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8B8DE-CA1E-4C27-82B9-005D3D35FE50}">
  <sheetPr>
    <pageSetUpPr fitToPage="1"/>
  </sheetPr>
  <dimension ref="A1:AG114"/>
  <sheetViews>
    <sheetView showZeros="0" view="pageBreakPreview" topLeftCell="A13" zoomScaleNormal="100" zoomScaleSheetLayoutView="100" workbookViewId="0">
      <selection activeCell="Y29" sqref="Y29"/>
    </sheetView>
  </sheetViews>
  <sheetFormatPr defaultColWidth="9" defaultRowHeight="18.75" customHeight="1" x14ac:dyDescent="0.2"/>
  <cols>
    <col min="1" max="1" width="2.44140625" style="54" customWidth="1"/>
    <col min="2" max="2" width="16.44140625" style="54" customWidth="1"/>
    <col min="3" max="21" width="5.6640625" style="54" customWidth="1"/>
    <col min="22" max="22" width="9" style="54"/>
    <col min="23" max="23" width="3.6640625" style="54" customWidth="1"/>
    <col min="24" max="24" width="48.6640625" style="54" hidden="1" customWidth="1"/>
    <col min="25" max="16384" width="9" style="54"/>
  </cols>
  <sheetData>
    <row r="1" spans="1:24" ht="18.600000000000001" customHeight="1" x14ac:dyDescent="0.2">
      <c r="T1" s="270" t="s">
        <v>170</v>
      </c>
      <c r="U1" s="270"/>
      <c r="V1" s="59" t="s">
        <v>99</v>
      </c>
    </row>
    <row r="2" spans="1:24" ht="18.75" customHeight="1" x14ac:dyDescent="0.2">
      <c r="B2" s="81" t="s">
        <v>98</v>
      </c>
      <c r="C2" s="233" t="s">
        <v>136</v>
      </c>
      <c r="D2" s="234"/>
      <c r="E2" s="234"/>
      <c r="F2" s="234"/>
      <c r="G2" s="234"/>
      <c r="H2" s="234"/>
      <c r="I2" s="234"/>
      <c r="J2" s="235"/>
      <c r="K2" s="55"/>
      <c r="L2" s="56"/>
      <c r="M2" s="56"/>
      <c r="N2" s="56"/>
      <c r="O2" s="56"/>
      <c r="P2" s="56"/>
      <c r="Q2" s="56"/>
      <c r="R2" s="56"/>
      <c r="S2" s="56"/>
      <c r="T2" s="56"/>
      <c r="U2" s="56"/>
    </row>
    <row r="3" spans="1:24" ht="24.75" customHeight="1" x14ac:dyDescent="0.2">
      <c r="B3" s="81" t="s">
        <v>93</v>
      </c>
      <c r="C3" s="128" t="s">
        <v>209</v>
      </c>
      <c r="D3" s="129"/>
      <c r="E3" s="129"/>
      <c r="F3" s="129"/>
      <c r="G3" s="129"/>
      <c r="H3" s="129"/>
      <c r="I3" s="129"/>
      <c r="J3" s="130"/>
      <c r="K3" s="55"/>
      <c r="L3" s="56"/>
      <c r="M3" s="56"/>
      <c r="N3" s="56"/>
      <c r="O3" s="56"/>
      <c r="P3" s="56"/>
      <c r="Q3" s="56"/>
      <c r="R3" s="56"/>
      <c r="S3" s="56"/>
      <c r="T3" s="56"/>
      <c r="U3" s="56"/>
    </row>
    <row r="4" spans="1:24" ht="15" customHeight="1" x14ac:dyDescent="0.2">
      <c r="L4" s="55"/>
      <c r="M4" s="57"/>
      <c r="N4" s="57"/>
      <c r="O4" s="57"/>
      <c r="P4" s="57"/>
      <c r="Q4" s="57"/>
      <c r="R4" s="57"/>
      <c r="S4" s="57"/>
      <c r="T4" s="57"/>
      <c r="U4" s="57"/>
    </row>
    <row r="5" spans="1:24" ht="18" customHeight="1" x14ac:dyDescent="0.2">
      <c r="A5" s="271" t="s">
        <v>37</v>
      </c>
      <c r="B5" s="271"/>
      <c r="C5" s="271"/>
      <c r="D5" s="271"/>
      <c r="E5" s="271"/>
      <c r="F5" s="271"/>
      <c r="G5" s="271"/>
      <c r="H5" s="271"/>
      <c r="I5" s="271"/>
      <c r="J5" s="271"/>
      <c r="K5" s="271"/>
      <c r="L5" s="271"/>
      <c r="M5" s="271"/>
      <c r="N5" s="271"/>
      <c r="O5" s="271"/>
      <c r="P5" s="271"/>
      <c r="Q5" s="271"/>
      <c r="R5" s="271"/>
      <c r="S5" s="271"/>
      <c r="T5" s="271"/>
      <c r="U5" s="271"/>
    </row>
    <row r="6" spans="1:24" ht="15" customHeight="1" x14ac:dyDescent="0.2">
      <c r="B6" s="58"/>
      <c r="C6" s="58"/>
      <c r="D6" s="58"/>
      <c r="E6" s="58"/>
      <c r="F6" s="58"/>
      <c r="G6" s="58"/>
      <c r="H6" s="58"/>
      <c r="I6" s="58"/>
      <c r="J6" s="58"/>
      <c r="K6" s="58"/>
      <c r="L6" s="58"/>
      <c r="M6" s="58"/>
      <c r="N6" s="58"/>
      <c r="O6" s="58"/>
      <c r="P6" s="58"/>
      <c r="Q6" s="58"/>
      <c r="R6" s="58"/>
      <c r="S6" s="58"/>
      <c r="T6" s="58"/>
      <c r="U6" s="58"/>
    </row>
    <row r="7" spans="1:24" ht="15" customHeight="1" x14ac:dyDescent="0.2">
      <c r="A7" s="54" t="s">
        <v>131</v>
      </c>
      <c r="B7" s="58"/>
      <c r="C7" s="58"/>
      <c r="D7" s="58"/>
      <c r="E7" s="58"/>
      <c r="F7" s="59"/>
      <c r="G7" s="59"/>
      <c r="H7" s="59"/>
      <c r="I7" s="59"/>
      <c r="J7" s="59"/>
      <c r="K7" s="59"/>
      <c r="L7" s="272" t="s">
        <v>129</v>
      </c>
      <c r="M7" s="273"/>
      <c r="N7" s="273"/>
      <c r="O7" s="273"/>
      <c r="P7" s="273"/>
      <c r="Q7" s="273"/>
      <c r="R7" s="273"/>
      <c r="S7" s="273"/>
      <c r="T7" s="273"/>
      <c r="U7" s="274"/>
    </row>
    <row r="8" spans="1:24" ht="6" customHeight="1" x14ac:dyDescent="0.2">
      <c r="B8" s="58"/>
      <c r="C8" s="58"/>
      <c r="D8" s="58"/>
      <c r="E8" s="58"/>
      <c r="F8" s="58"/>
      <c r="G8" s="58"/>
      <c r="H8" s="58"/>
      <c r="I8" s="58"/>
      <c r="J8" s="58"/>
      <c r="K8" s="58"/>
      <c r="L8" s="58"/>
      <c r="M8" s="58"/>
      <c r="N8" s="58"/>
      <c r="O8" s="58"/>
      <c r="P8" s="58"/>
      <c r="Q8" s="58"/>
      <c r="R8" s="58"/>
      <c r="S8" s="58"/>
      <c r="T8" s="58"/>
      <c r="U8" s="58"/>
    </row>
    <row r="9" spans="1:24" ht="18" customHeight="1" x14ac:dyDescent="0.2">
      <c r="A9" s="54" t="s">
        <v>132</v>
      </c>
      <c r="C9" s="58"/>
      <c r="D9" s="58"/>
      <c r="K9" s="55"/>
      <c r="L9" s="59"/>
      <c r="M9" s="59"/>
      <c r="N9" s="59"/>
      <c r="O9" s="59"/>
      <c r="P9" s="59"/>
      <c r="Q9" s="59"/>
      <c r="R9" s="59"/>
      <c r="S9" s="59"/>
      <c r="T9" s="59"/>
      <c r="U9" s="59"/>
    </row>
    <row r="10" spans="1:24" ht="6" customHeight="1" x14ac:dyDescent="0.2">
      <c r="B10" s="58"/>
      <c r="C10" s="58"/>
      <c r="D10" s="58"/>
      <c r="E10" s="58"/>
      <c r="F10" s="58"/>
      <c r="G10" s="58"/>
      <c r="H10" s="58"/>
      <c r="I10" s="58"/>
      <c r="J10" s="58"/>
      <c r="K10" s="58"/>
      <c r="L10" s="60"/>
      <c r="M10" s="58"/>
      <c r="N10" s="58"/>
      <c r="O10" s="58"/>
      <c r="P10" s="58"/>
      <c r="Q10" s="58"/>
      <c r="R10" s="58"/>
      <c r="S10" s="58"/>
      <c r="T10" s="58"/>
      <c r="U10" s="58"/>
    </row>
    <row r="11" spans="1:24" ht="18" customHeight="1" x14ac:dyDescent="0.2">
      <c r="B11" s="275" t="s">
        <v>146</v>
      </c>
      <c r="C11" s="276"/>
      <c r="D11" s="276"/>
      <c r="E11" s="276"/>
      <c r="F11" s="276"/>
      <c r="G11" s="276"/>
      <c r="H11" s="276"/>
      <c r="I11" s="276"/>
      <c r="J11" s="276"/>
      <c r="K11" s="276"/>
      <c r="L11" s="276"/>
      <c r="M11" s="276"/>
      <c r="N11" s="276"/>
      <c r="O11" s="276"/>
      <c r="P11" s="276"/>
      <c r="Q11" s="276"/>
      <c r="R11" s="276"/>
      <c r="S11" s="276"/>
      <c r="T11" s="276"/>
      <c r="U11" s="277"/>
    </row>
    <row r="12" spans="1:24" ht="18" customHeight="1" x14ac:dyDescent="0.2">
      <c r="B12" s="278"/>
      <c r="C12" s="279"/>
      <c r="D12" s="279"/>
      <c r="E12" s="279"/>
      <c r="F12" s="279"/>
      <c r="G12" s="279"/>
      <c r="H12" s="279"/>
      <c r="I12" s="279"/>
      <c r="J12" s="279"/>
      <c r="K12" s="279"/>
      <c r="L12" s="279"/>
      <c r="M12" s="279"/>
      <c r="N12" s="279"/>
      <c r="O12" s="279"/>
      <c r="P12" s="279"/>
      <c r="Q12" s="279"/>
      <c r="R12" s="279"/>
      <c r="S12" s="279"/>
      <c r="T12" s="279"/>
      <c r="U12" s="280"/>
    </row>
    <row r="13" spans="1:24" ht="6" customHeight="1" x14ac:dyDescent="0.2">
      <c r="B13" s="58"/>
      <c r="C13" s="58"/>
      <c r="D13" s="58"/>
      <c r="E13" s="58"/>
      <c r="F13" s="58"/>
      <c r="G13" s="58"/>
      <c r="H13" s="58"/>
      <c r="I13" s="58"/>
      <c r="J13" s="58"/>
      <c r="K13" s="58"/>
      <c r="L13" s="60"/>
      <c r="M13" s="58"/>
      <c r="N13" s="58"/>
      <c r="O13" s="58"/>
      <c r="P13" s="58"/>
      <c r="Q13" s="58"/>
      <c r="R13" s="58"/>
      <c r="S13" s="58"/>
      <c r="T13" s="58"/>
      <c r="U13" s="58"/>
    </row>
    <row r="14" spans="1:24" ht="18" customHeight="1" x14ac:dyDescent="0.2">
      <c r="A14" s="54" t="s">
        <v>100</v>
      </c>
      <c r="B14" s="58"/>
      <c r="C14" s="58"/>
      <c r="D14" s="58"/>
      <c r="E14" s="55"/>
      <c r="F14" s="55"/>
      <c r="G14" s="55"/>
      <c r="H14" s="55"/>
      <c r="I14" s="55"/>
      <c r="J14" s="55"/>
      <c r="K14" s="55"/>
      <c r="L14" s="61"/>
      <c r="M14" s="61"/>
      <c r="N14" s="61"/>
      <c r="O14" s="61"/>
      <c r="P14" s="61"/>
      <c r="Q14" s="61"/>
      <c r="R14" s="61"/>
      <c r="S14" s="61"/>
      <c r="T14" s="61"/>
      <c r="U14" s="61"/>
    </row>
    <row r="15" spans="1:24" ht="18" customHeight="1" x14ac:dyDescent="0.2">
      <c r="B15" s="258" t="s">
        <v>206</v>
      </c>
      <c r="C15" s="259"/>
      <c r="D15" s="259"/>
      <c r="E15" s="259"/>
      <c r="F15" s="259"/>
      <c r="G15" s="259"/>
      <c r="H15" s="259"/>
      <c r="I15" s="259"/>
      <c r="J15" s="259"/>
      <c r="K15" s="259"/>
      <c r="L15" s="259"/>
      <c r="M15" s="259"/>
      <c r="N15" s="259"/>
      <c r="O15" s="259"/>
      <c r="P15" s="259"/>
      <c r="Q15" s="259"/>
      <c r="R15" s="259"/>
      <c r="S15" s="259"/>
      <c r="T15" s="259"/>
      <c r="U15" s="260"/>
      <c r="X15" s="54" t="s">
        <v>94</v>
      </c>
    </row>
    <row r="16" spans="1:24" ht="18" customHeight="1" x14ac:dyDescent="0.2">
      <c r="B16" s="261"/>
      <c r="C16" s="262"/>
      <c r="D16" s="262"/>
      <c r="E16" s="262"/>
      <c r="F16" s="262"/>
      <c r="G16" s="262"/>
      <c r="H16" s="262"/>
      <c r="I16" s="262"/>
      <c r="J16" s="262"/>
      <c r="K16" s="262"/>
      <c r="L16" s="262"/>
      <c r="M16" s="262"/>
      <c r="N16" s="262"/>
      <c r="O16" s="262"/>
      <c r="P16" s="262"/>
      <c r="Q16" s="262"/>
      <c r="R16" s="262"/>
      <c r="S16" s="262"/>
      <c r="T16" s="262"/>
      <c r="U16" s="263"/>
      <c r="X16" s="54" t="s">
        <v>114</v>
      </c>
    </row>
    <row r="17" spans="1:24" ht="18" customHeight="1" x14ac:dyDescent="0.2">
      <c r="B17" s="261"/>
      <c r="C17" s="262"/>
      <c r="D17" s="262"/>
      <c r="E17" s="262"/>
      <c r="F17" s="262"/>
      <c r="G17" s="262"/>
      <c r="H17" s="262"/>
      <c r="I17" s="262"/>
      <c r="J17" s="262"/>
      <c r="K17" s="262"/>
      <c r="L17" s="262"/>
      <c r="M17" s="262"/>
      <c r="N17" s="262"/>
      <c r="O17" s="262"/>
      <c r="P17" s="262"/>
      <c r="Q17" s="262"/>
      <c r="R17" s="262"/>
      <c r="S17" s="262"/>
      <c r="T17" s="262"/>
      <c r="U17" s="263"/>
      <c r="X17" s="54" t="s">
        <v>115</v>
      </c>
    </row>
    <row r="18" spans="1:24" ht="18" customHeight="1" x14ac:dyDescent="0.2">
      <c r="B18" s="261"/>
      <c r="C18" s="262"/>
      <c r="D18" s="262"/>
      <c r="E18" s="262"/>
      <c r="F18" s="262"/>
      <c r="G18" s="262"/>
      <c r="H18" s="262"/>
      <c r="I18" s="262"/>
      <c r="J18" s="262"/>
      <c r="K18" s="262"/>
      <c r="L18" s="262"/>
      <c r="M18" s="262"/>
      <c r="N18" s="262"/>
      <c r="O18" s="262"/>
      <c r="P18" s="262"/>
      <c r="Q18" s="262"/>
      <c r="R18" s="262"/>
      <c r="S18" s="262"/>
      <c r="T18" s="262"/>
      <c r="U18" s="263"/>
      <c r="X18" s="54" t="s">
        <v>116</v>
      </c>
    </row>
    <row r="19" spans="1:24" ht="18" customHeight="1" x14ac:dyDescent="0.2">
      <c r="B19" s="261"/>
      <c r="C19" s="262"/>
      <c r="D19" s="262"/>
      <c r="E19" s="262"/>
      <c r="F19" s="262"/>
      <c r="G19" s="262"/>
      <c r="H19" s="262"/>
      <c r="I19" s="262"/>
      <c r="J19" s="262"/>
      <c r="K19" s="262"/>
      <c r="L19" s="262"/>
      <c r="M19" s="262"/>
      <c r="N19" s="262"/>
      <c r="O19" s="262"/>
      <c r="P19" s="262"/>
      <c r="Q19" s="262"/>
      <c r="R19" s="262"/>
      <c r="S19" s="262"/>
      <c r="T19" s="262"/>
      <c r="U19" s="263"/>
    </row>
    <row r="20" spans="1:24" ht="18" customHeight="1" x14ac:dyDescent="0.2">
      <c r="B20" s="264"/>
      <c r="C20" s="265"/>
      <c r="D20" s="265"/>
      <c r="E20" s="265"/>
      <c r="F20" s="265"/>
      <c r="G20" s="265"/>
      <c r="H20" s="265"/>
      <c r="I20" s="265"/>
      <c r="J20" s="265"/>
      <c r="K20" s="265"/>
      <c r="L20" s="265"/>
      <c r="M20" s="265"/>
      <c r="N20" s="265"/>
      <c r="O20" s="265"/>
      <c r="P20" s="265"/>
      <c r="Q20" s="265"/>
      <c r="R20" s="265"/>
      <c r="S20" s="265"/>
      <c r="T20" s="265"/>
      <c r="U20" s="266"/>
    </row>
    <row r="21" spans="1:24" ht="7.5" customHeight="1" x14ac:dyDescent="0.2">
      <c r="B21" s="58"/>
      <c r="C21" s="58"/>
      <c r="D21" s="58"/>
      <c r="E21" s="58"/>
      <c r="F21" s="58"/>
      <c r="G21" s="58"/>
      <c r="H21" s="58"/>
      <c r="I21" s="58"/>
      <c r="J21" s="58"/>
      <c r="K21" s="58"/>
      <c r="L21" s="58"/>
      <c r="M21" s="58"/>
      <c r="N21" s="58"/>
      <c r="O21" s="58"/>
      <c r="P21" s="58"/>
      <c r="Q21" s="58"/>
      <c r="R21" s="58"/>
      <c r="S21" s="58"/>
      <c r="T21" s="58"/>
      <c r="U21" s="58"/>
    </row>
    <row r="22" spans="1:24" ht="20.100000000000001" customHeight="1" x14ac:dyDescent="0.2">
      <c r="B22" s="54" t="s">
        <v>133</v>
      </c>
      <c r="E22" s="62">
        <v>2</v>
      </c>
      <c r="F22" s="54" t="s">
        <v>112</v>
      </c>
      <c r="H22" s="64">
        <v>4</v>
      </c>
      <c r="I22" s="58" t="s">
        <v>113</v>
      </c>
      <c r="J22" s="58"/>
      <c r="K22" s="55"/>
      <c r="M22" s="55" t="s">
        <v>109</v>
      </c>
      <c r="N22" s="267" t="s">
        <v>114</v>
      </c>
      <c r="O22" s="268"/>
      <c r="P22" s="268"/>
      <c r="Q22" s="268"/>
      <c r="R22" s="268"/>
      <c r="S22" s="268"/>
      <c r="T22" s="268"/>
      <c r="U22" s="269"/>
    </row>
    <row r="23" spans="1:24" ht="7.5" customHeight="1" x14ac:dyDescent="0.2">
      <c r="B23" s="58"/>
      <c r="C23" s="58"/>
      <c r="D23" s="58"/>
      <c r="E23" s="58"/>
      <c r="F23" s="58"/>
      <c r="G23" s="58"/>
      <c r="H23" s="58"/>
      <c r="I23" s="58"/>
      <c r="J23" s="58"/>
      <c r="K23" s="58"/>
      <c r="L23" s="58"/>
      <c r="M23" s="58"/>
      <c r="N23" s="58"/>
      <c r="O23" s="58"/>
      <c r="P23" s="58"/>
      <c r="Q23" s="58"/>
      <c r="R23" s="58"/>
      <c r="S23" s="58"/>
      <c r="T23" s="58"/>
      <c r="U23" s="58"/>
    </row>
    <row r="24" spans="1:24" ht="18" customHeight="1" x14ac:dyDescent="0.2">
      <c r="A24" s="257" t="s">
        <v>101</v>
      </c>
      <c r="B24" s="257"/>
      <c r="C24" s="257"/>
      <c r="D24" s="257"/>
      <c r="E24" s="257"/>
      <c r="F24" s="257"/>
      <c r="G24" s="257"/>
      <c r="H24" s="257"/>
      <c r="I24" s="257"/>
      <c r="J24" s="257"/>
      <c r="K24" s="257"/>
      <c r="L24" s="257"/>
      <c r="M24" s="257"/>
      <c r="N24" s="257"/>
      <c r="O24" s="257"/>
      <c r="P24" s="257"/>
      <c r="Q24" s="257"/>
      <c r="R24" s="257"/>
      <c r="S24" s="257"/>
      <c r="T24" s="257"/>
      <c r="U24" s="257"/>
    </row>
    <row r="25" spans="1:24" ht="18" customHeight="1" x14ac:dyDescent="0.2">
      <c r="A25" s="257"/>
      <c r="B25" s="257"/>
      <c r="C25" s="257"/>
      <c r="D25" s="257"/>
      <c r="E25" s="257"/>
      <c r="F25" s="257"/>
      <c r="G25" s="257"/>
      <c r="H25" s="257"/>
      <c r="I25" s="257"/>
      <c r="J25" s="257"/>
      <c r="K25" s="257"/>
      <c r="L25" s="257"/>
      <c r="M25" s="257"/>
      <c r="N25" s="257"/>
      <c r="O25" s="257"/>
      <c r="P25" s="257"/>
      <c r="Q25" s="257"/>
      <c r="R25" s="257"/>
      <c r="S25" s="257"/>
      <c r="T25" s="257"/>
      <c r="U25" s="257"/>
    </row>
    <row r="26" spans="1:24" ht="18" customHeight="1" x14ac:dyDescent="0.2">
      <c r="B26" s="233" t="s">
        <v>51</v>
      </c>
      <c r="C26" s="234"/>
      <c r="D26" s="234"/>
      <c r="E26" s="234"/>
      <c r="F26" s="235"/>
      <c r="G26" s="103" t="s">
        <v>77</v>
      </c>
      <c r="H26" s="104" t="s">
        <v>80</v>
      </c>
      <c r="I26" s="105" t="s">
        <v>54</v>
      </c>
      <c r="J26" s="105" t="s">
        <v>57</v>
      </c>
      <c r="K26" s="233" t="s">
        <v>51</v>
      </c>
      <c r="L26" s="234"/>
      <c r="M26" s="234"/>
      <c r="N26" s="234"/>
      <c r="O26" s="234"/>
      <c r="P26" s="234"/>
      <c r="Q26" s="235"/>
      <c r="R26" s="103" t="s">
        <v>77</v>
      </c>
      <c r="S26" s="104" t="s">
        <v>80</v>
      </c>
      <c r="T26" s="105" t="s">
        <v>54</v>
      </c>
      <c r="U26" s="105" t="s">
        <v>57</v>
      </c>
    </row>
    <row r="27" spans="1:24" ht="18" customHeight="1" x14ac:dyDescent="0.2">
      <c r="B27" s="245" t="s">
        <v>142</v>
      </c>
      <c r="C27" s="246"/>
      <c r="D27" s="246"/>
      <c r="E27" s="246"/>
      <c r="F27" s="247"/>
      <c r="G27" s="106">
        <v>2</v>
      </c>
      <c r="H27" s="106"/>
      <c r="I27" s="106" t="s">
        <v>143</v>
      </c>
      <c r="J27" s="106" t="s">
        <v>143</v>
      </c>
      <c r="K27" s="245"/>
      <c r="L27" s="246"/>
      <c r="M27" s="246"/>
      <c r="N27" s="246"/>
      <c r="O27" s="246"/>
      <c r="P27" s="246"/>
      <c r="Q27" s="247"/>
      <c r="R27" s="106"/>
      <c r="S27" s="106"/>
      <c r="T27" s="106"/>
      <c r="U27" s="106"/>
    </row>
    <row r="28" spans="1:24" ht="18" customHeight="1" x14ac:dyDescent="0.2">
      <c r="B28" s="236" t="s">
        <v>144</v>
      </c>
      <c r="C28" s="237"/>
      <c r="D28" s="237"/>
      <c r="E28" s="237"/>
      <c r="F28" s="238"/>
      <c r="G28" s="107">
        <v>2</v>
      </c>
      <c r="H28" s="107"/>
      <c r="I28" s="107" t="s">
        <v>143</v>
      </c>
      <c r="J28" s="76" t="s">
        <v>143</v>
      </c>
      <c r="K28" s="236"/>
      <c r="L28" s="237"/>
      <c r="M28" s="237"/>
      <c r="N28" s="237"/>
      <c r="O28" s="237"/>
      <c r="P28" s="237"/>
      <c r="Q28" s="238"/>
      <c r="R28" s="107"/>
      <c r="S28" s="107"/>
      <c r="T28" s="107"/>
      <c r="U28" s="107"/>
    </row>
    <row r="29" spans="1:24" ht="18" customHeight="1" x14ac:dyDescent="0.2">
      <c r="B29" s="236" t="s">
        <v>147</v>
      </c>
      <c r="C29" s="237"/>
      <c r="D29" s="237"/>
      <c r="E29" s="237"/>
      <c r="F29" s="238"/>
      <c r="G29" s="107">
        <v>2</v>
      </c>
      <c r="H29" s="107" t="s">
        <v>143</v>
      </c>
      <c r="I29" s="107" t="s">
        <v>143</v>
      </c>
      <c r="J29" s="76"/>
      <c r="K29" s="236"/>
      <c r="L29" s="237"/>
      <c r="M29" s="237"/>
      <c r="N29" s="237"/>
      <c r="O29" s="237"/>
      <c r="P29" s="237"/>
      <c r="Q29" s="238"/>
      <c r="R29" s="107"/>
      <c r="S29" s="107"/>
      <c r="T29" s="107"/>
      <c r="U29" s="107"/>
    </row>
    <row r="30" spans="1:24" ht="18" customHeight="1" x14ac:dyDescent="0.2">
      <c r="B30" s="236"/>
      <c r="C30" s="237"/>
      <c r="D30" s="237"/>
      <c r="E30" s="237"/>
      <c r="F30" s="238"/>
      <c r="G30" s="107"/>
      <c r="H30" s="107"/>
      <c r="I30" s="107"/>
      <c r="J30" s="107"/>
      <c r="K30" s="236"/>
      <c r="L30" s="237"/>
      <c r="M30" s="237"/>
      <c r="N30" s="237"/>
      <c r="O30" s="237"/>
      <c r="P30" s="237"/>
      <c r="Q30" s="238"/>
      <c r="R30" s="107"/>
      <c r="S30" s="107"/>
      <c r="T30" s="107"/>
      <c r="U30" s="107"/>
    </row>
    <row r="31" spans="1:24" ht="18" customHeight="1" x14ac:dyDescent="0.2">
      <c r="B31" s="236"/>
      <c r="C31" s="237"/>
      <c r="D31" s="237"/>
      <c r="E31" s="237"/>
      <c r="F31" s="238"/>
      <c r="G31" s="107"/>
      <c r="H31" s="107"/>
      <c r="I31" s="107"/>
      <c r="J31" s="107"/>
      <c r="K31" s="236"/>
      <c r="L31" s="237"/>
      <c r="M31" s="237"/>
      <c r="N31" s="237"/>
      <c r="O31" s="237"/>
      <c r="P31" s="237"/>
      <c r="Q31" s="238"/>
      <c r="R31" s="107"/>
      <c r="S31" s="107"/>
      <c r="T31" s="107"/>
      <c r="U31" s="107"/>
    </row>
    <row r="32" spans="1:24" ht="18" customHeight="1" x14ac:dyDescent="0.2">
      <c r="A32" s="58"/>
      <c r="B32" s="236"/>
      <c r="C32" s="237"/>
      <c r="D32" s="237"/>
      <c r="E32" s="237"/>
      <c r="F32" s="238"/>
      <c r="G32" s="107"/>
      <c r="H32" s="107"/>
      <c r="I32" s="107"/>
      <c r="J32" s="107"/>
      <c r="K32" s="236"/>
      <c r="L32" s="237"/>
      <c r="M32" s="237"/>
      <c r="N32" s="237"/>
      <c r="O32" s="237"/>
      <c r="P32" s="237"/>
      <c r="Q32" s="238"/>
      <c r="R32" s="107"/>
      <c r="S32" s="107"/>
      <c r="T32" s="107"/>
      <c r="U32" s="107"/>
    </row>
    <row r="33" spans="1:21" ht="18" customHeight="1" x14ac:dyDescent="0.2">
      <c r="A33" s="58"/>
      <c r="B33" s="225"/>
      <c r="C33" s="226"/>
      <c r="D33" s="226"/>
      <c r="E33" s="226"/>
      <c r="F33" s="227"/>
      <c r="G33" s="108"/>
      <c r="H33" s="108"/>
      <c r="I33" s="109"/>
      <c r="J33" s="109"/>
      <c r="K33" s="225"/>
      <c r="L33" s="226"/>
      <c r="M33" s="226"/>
      <c r="N33" s="226"/>
      <c r="O33" s="226"/>
      <c r="P33" s="226"/>
      <c r="Q33" s="227"/>
      <c r="R33" s="108"/>
      <c r="S33" s="108"/>
      <c r="T33" s="109"/>
      <c r="U33" s="109"/>
    </row>
    <row r="34" spans="1:21" ht="7.5" customHeight="1" x14ac:dyDescent="0.2">
      <c r="A34" s="58"/>
      <c r="B34" s="56"/>
      <c r="C34" s="56"/>
      <c r="D34" s="56"/>
      <c r="E34" s="58"/>
      <c r="F34" s="58"/>
      <c r="G34" s="58"/>
      <c r="H34" s="58"/>
      <c r="I34" s="56"/>
      <c r="J34" s="56"/>
      <c r="K34" s="56"/>
      <c r="L34" s="56"/>
      <c r="M34" s="56"/>
      <c r="N34" s="56"/>
      <c r="O34" s="56"/>
      <c r="P34" s="56"/>
      <c r="Q34" s="56"/>
      <c r="R34" s="56"/>
      <c r="S34" s="56"/>
      <c r="T34" s="56"/>
      <c r="U34" s="58"/>
    </row>
    <row r="35" spans="1:21" ht="18" customHeight="1" x14ac:dyDescent="0.2">
      <c r="A35" s="257" t="s">
        <v>102</v>
      </c>
      <c r="B35" s="257"/>
      <c r="C35" s="257"/>
      <c r="D35" s="257"/>
      <c r="E35" s="257"/>
      <c r="F35" s="257"/>
      <c r="G35" s="257"/>
      <c r="H35" s="257"/>
      <c r="I35" s="257"/>
      <c r="J35" s="257"/>
      <c r="K35" s="257"/>
      <c r="L35" s="257"/>
      <c r="M35" s="257"/>
      <c r="N35" s="257"/>
      <c r="O35" s="257"/>
      <c r="P35" s="257"/>
      <c r="Q35" s="257"/>
      <c r="R35" s="257"/>
      <c r="S35" s="257"/>
      <c r="T35" s="257"/>
      <c r="U35" s="257"/>
    </row>
    <row r="36" spans="1:21" ht="18" customHeight="1" x14ac:dyDescent="0.2">
      <c r="A36" s="257"/>
      <c r="B36" s="257"/>
      <c r="C36" s="257"/>
      <c r="D36" s="257"/>
      <c r="E36" s="257"/>
      <c r="F36" s="257"/>
      <c r="G36" s="257"/>
      <c r="H36" s="257"/>
      <c r="I36" s="257"/>
      <c r="J36" s="257"/>
      <c r="K36" s="257"/>
      <c r="L36" s="257"/>
      <c r="M36" s="257"/>
      <c r="N36" s="257"/>
      <c r="O36" s="257"/>
      <c r="P36" s="257"/>
      <c r="Q36" s="257"/>
      <c r="R36" s="257"/>
      <c r="S36" s="257"/>
      <c r="T36" s="257"/>
      <c r="U36" s="257"/>
    </row>
    <row r="37" spans="1:21" ht="18" customHeight="1" x14ac:dyDescent="0.2">
      <c r="B37" s="233" t="s">
        <v>51</v>
      </c>
      <c r="C37" s="234"/>
      <c r="D37" s="234"/>
      <c r="E37" s="234"/>
      <c r="F37" s="235"/>
      <c r="G37" s="103" t="s">
        <v>77</v>
      </c>
      <c r="H37" s="104" t="s">
        <v>80</v>
      </c>
      <c r="I37" s="105" t="s">
        <v>68</v>
      </c>
      <c r="J37" s="105" t="s">
        <v>69</v>
      </c>
      <c r="K37" s="233" t="s">
        <v>51</v>
      </c>
      <c r="L37" s="234"/>
      <c r="M37" s="234"/>
      <c r="N37" s="234"/>
      <c r="O37" s="234"/>
      <c r="P37" s="234"/>
      <c r="Q37" s="235"/>
      <c r="R37" s="103" t="s">
        <v>77</v>
      </c>
      <c r="S37" s="104" t="s">
        <v>80</v>
      </c>
      <c r="T37" s="105" t="s">
        <v>68</v>
      </c>
      <c r="U37" s="105" t="s">
        <v>69</v>
      </c>
    </row>
    <row r="38" spans="1:21" ht="18" customHeight="1" x14ac:dyDescent="0.2">
      <c r="B38" s="157" t="s">
        <v>142</v>
      </c>
      <c r="C38" s="158"/>
      <c r="D38" s="158"/>
      <c r="E38" s="158"/>
      <c r="F38" s="159"/>
      <c r="G38" s="85">
        <v>2</v>
      </c>
      <c r="H38" s="85"/>
      <c r="I38" s="85" t="s">
        <v>143</v>
      </c>
      <c r="J38" s="85" t="s">
        <v>143</v>
      </c>
      <c r="K38" s="245"/>
      <c r="L38" s="246"/>
      <c r="M38" s="246"/>
      <c r="N38" s="246"/>
      <c r="O38" s="246"/>
      <c r="P38" s="246"/>
      <c r="Q38" s="247"/>
      <c r="R38" s="106"/>
      <c r="S38" s="106"/>
      <c r="T38" s="106"/>
      <c r="U38" s="106"/>
    </row>
    <row r="39" spans="1:21" ht="18" customHeight="1" x14ac:dyDescent="0.2">
      <c r="B39" s="236" t="s">
        <v>144</v>
      </c>
      <c r="C39" s="237"/>
      <c r="D39" s="237"/>
      <c r="E39" s="237"/>
      <c r="F39" s="238"/>
      <c r="G39" s="107">
        <v>2</v>
      </c>
      <c r="H39" s="76"/>
      <c r="I39" s="76" t="s">
        <v>143</v>
      </c>
      <c r="J39" s="76" t="s">
        <v>143</v>
      </c>
      <c r="K39" s="236"/>
      <c r="L39" s="237"/>
      <c r="M39" s="237"/>
      <c r="N39" s="237"/>
      <c r="O39" s="237"/>
      <c r="P39" s="237"/>
      <c r="Q39" s="238"/>
      <c r="R39" s="107"/>
      <c r="S39" s="107"/>
      <c r="T39" s="107"/>
      <c r="U39" s="107"/>
    </row>
    <row r="40" spans="1:21" ht="18" customHeight="1" x14ac:dyDescent="0.2">
      <c r="B40" s="236"/>
      <c r="C40" s="237"/>
      <c r="D40" s="237"/>
      <c r="E40" s="237"/>
      <c r="F40" s="238"/>
      <c r="G40" s="107"/>
      <c r="H40" s="107"/>
      <c r="I40" s="107"/>
      <c r="J40" s="107"/>
      <c r="K40" s="236"/>
      <c r="L40" s="237"/>
      <c r="M40" s="237"/>
      <c r="N40" s="237"/>
      <c r="O40" s="237"/>
      <c r="P40" s="237"/>
      <c r="Q40" s="238"/>
      <c r="R40" s="107"/>
      <c r="S40" s="107"/>
      <c r="T40" s="107"/>
      <c r="U40" s="107"/>
    </row>
    <row r="41" spans="1:21" ht="18" customHeight="1" x14ac:dyDescent="0.2">
      <c r="B41" s="236"/>
      <c r="C41" s="237"/>
      <c r="D41" s="237"/>
      <c r="E41" s="237"/>
      <c r="F41" s="238"/>
      <c r="G41" s="107"/>
      <c r="H41" s="107"/>
      <c r="I41" s="107"/>
      <c r="J41" s="107"/>
      <c r="K41" s="236"/>
      <c r="L41" s="237"/>
      <c r="M41" s="237"/>
      <c r="N41" s="237"/>
      <c r="O41" s="237"/>
      <c r="P41" s="237"/>
      <c r="Q41" s="238"/>
      <c r="R41" s="107"/>
      <c r="S41" s="107"/>
      <c r="T41" s="107"/>
      <c r="U41" s="107"/>
    </row>
    <row r="42" spans="1:21" ht="18" customHeight="1" x14ac:dyDescent="0.2">
      <c r="B42" s="236"/>
      <c r="C42" s="237"/>
      <c r="D42" s="237"/>
      <c r="E42" s="237"/>
      <c r="F42" s="238"/>
      <c r="G42" s="107"/>
      <c r="H42" s="107"/>
      <c r="I42" s="107"/>
      <c r="J42" s="107"/>
      <c r="K42" s="236"/>
      <c r="L42" s="237"/>
      <c r="M42" s="237"/>
      <c r="N42" s="237"/>
      <c r="O42" s="237"/>
      <c r="P42" s="237"/>
      <c r="Q42" s="238"/>
      <c r="R42" s="107"/>
      <c r="S42" s="107"/>
      <c r="T42" s="107"/>
      <c r="U42" s="107"/>
    </row>
    <row r="43" spans="1:21" ht="18" customHeight="1" x14ac:dyDescent="0.2">
      <c r="B43" s="236"/>
      <c r="C43" s="237"/>
      <c r="D43" s="237"/>
      <c r="E43" s="237"/>
      <c r="F43" s="238"/>
      <c r="G43" s="107"/>
      <c r="H43" s="107"/>
      <c r="I43" s="107"/>
      <c r="J43" s="107"/>
      <c r="K43" s="236"/>
      <c r="L43" s="237"/>
      <c r="M43" s="237"/>
      <c r="N43" s="237"/>
      <c r="O43" s="237"/>
      <c r="P43" s="237"/>
      <c r="Q43" s="238"/>
      <c r="R43" s="107"/>
      <c r="S43" s="107"/>
      <c r="T43" s="107"/>
      <c r="U43" s="107"/>
    </row>
    <row r="44" spans="1:21" ht="18" customHeight="1" x14ac:dyDescent="0.2">
      <c r="B44" s="225"/>
      <c r="C44" s="226"/>
      <c r="D44" s="226"/>
      <c r="E44" s="226"/>
      <c r="F44" s="227"/>
      <c r="G44" s="108"/>
      <c r="H44" s="108"/>
      <c r="I44" s="109"/>
      <c r="J44" s="109"/>
      <c r="K44" s="225"/>
      <c r="L44" s="226"/>
      <c r="M44" s="226"/>
      <c r="N44" s="226"/>
      <c r="O44" s="226"/>
      <c r="P44" s="226"/>
      <c r="Q44" s="227"/>
      <c r="R44" s="108"/>
      <c r="S44" s="108"/>
      <c r="T44" s="109"/>
      <c r="U44" s="109"/>
    </row>
    <row r="45" spans="1:21" ht="7.5" customHeight="1" x14ac:dyDescent="0.2">
      <c r="A45" s="58"/>
      <c r="B45" s="56"/>
      <c r="C45" s="56"/>
      <c r="D45" s="56"/>
      <c r="E45" s="58"/>
      <c r="F45" s="58"/>
      <c r="G45" s="58"/>
      <c r="H45" s="58"/>
      <c r="I45" s="56"/>
      <c r="J45" s="56"/>
      <c r="K45" s="56"/>
      <c r="L45" s="56"/>
      <c r="M45" s="56"/>
      <c r="N45" s="56"/>
      <c r="O45" s="56"/>
      <c r="P45" s="56"/>
      <c r="Q45" s="56"/>
      <c r="R45" s="56"/>
      <c r="S45" s="56"/>
      <c r="T45" s="56"/>
      <c r="U45" s="58"/>
    </row>
    <row r="46" spans="1:21" ht="18" customHeight="1" x14ac:dyDescent="0.2">
      <c r="A46" s="257" t="s">
        <v>103</v>
      </c>
      <c r="B46" s="257"/>
      <c r="C46" s="257"/>
      <c r="D46" s="257"/>
      <c r="E46" s="257"/>
      <c r="F46" s="257"/>
      <c r="G46" s="257"/>
      <c r="H46" s="257"/>
      <c r="I46" s="257"/>
      <c r="J46" s="257"/>
      <c r="K46" s="257"/>
      <c r="L46" s="257"/>
      <c r="M46" s="257"/>
      <c r="N46" s="257"/>
      <c r="O46" s="257"/>
      <c r="P46" s="257"/>
      <c r="Q46" s="257"/>
      <c r="R46" s="257"/>
      <c r="S46" s="257"/>
      <c r="T46" s="257"/>
      <c r="U46" s="257"/>
    </row>
    <row r="47" spans="1:21" ht="18" customHeight="1" x14ac:dyDescent="0.2">
      <c r="A47" s="257"/>
      <c r="B47" s="257"/>
      <c r="C47" s="257"/>
      <c r="D47" s="257"/>
      <c r="E47" s="257"/>
      <c r="F47" s="257"/>
      <c r="G47" s="257"/>
      <c r="H47" s="257"/>
      <c r="I47" s="257"/>
      <c r="J47" s="257"/>
      <c r="K47" s="257"/>
      <c r="L47" s="257"/>
      <c r="M47" s="257"/>
      <c r="N47" s="257"/>
      <c r="O47" s="257"/>
      <c r="P47" s="257"/>
      <c r="Q47" s="257"/>
      <c r="R47" s="257"/>
      <c r="S47" s="257"/>
      <c r="T47" s="257"/>
      <c r="U47" s="257"/>
    </row>
    <row r="48" spans="1:21" ht="18" customHeight="1" x14ac:dyDescent="0.2">
      <c r="B48" s="233" t="s">
        <v>51</v>
      </c>
      <c r="C48" s="234"/>
      <c r="D48" s="234"/>
      <c r="E48" s="234"/>
      <c r="F48" s="235"/>
      <c r="G48" s="103" t="s">
        <v>77</v>
      </c>
      <c r="H48" s="104" t="s">
        <v>80</v>
      </c>
      <c r="I48" s="105" t="s">
        <v>70</v>
      </c>
      <c r="J48" s="105" t="s">
        <v>71</v>
      </c>
      <c r="K48" s="233" t="s">
        <v>51</v>
      </c>
      <c r="L48" s="234"/>
      <c r="M48" s="234"/>
      <c r="N48" s="234"/>
      <c r="O48" s="234"/>
      <c r="P48" s="234"/>
      <c r="Q48" s="235"/>
      <c r="R48" s="103" t="s">
        <v>77</v>
      </c>
      <c r="S48" s="104" t="s">
        <v>80</v>
      </c>
      <c r="T48" s="105" t="s">
        <v>70</v>
      </c>
      <c r="U48" s="105" t="s">
        <v>71</v>
      </c>
    </row>
    <row r="49" spans="1:21" ht="18" customHeight="1" x14ac:dyDescent="0.2">
      <c r="A49" s="58"/>
      <c r="B49" s="236" t="s">
        <v>142</v>
      </c>
      <c r="C49" s="237"/>
      <c r="D49" s="237"/>
      <c r="E49" s="237"/>
      <c r="F49" s="238"/>
      <c r="G49" s="106">
        <v>2</v>
      </c>
      <c r="H49" s="106"/>
      <c r="I49" s="85" t="s">
        <v>143</v>
      </c>
      <c r="J49" s="85" t="s">
        <v>143</v>
      </c>
      <c r="K49" s="245"/>
      <c r="L49" s="246"/>
      <c r="M49" s="246"/>
      <c r="N49" s="246"/>
      <c r="O49" s="246"/>
      <c r="P49" s="246"/>
      <c r="Q49" s="247"/>
      <c r="R49" s="106"/>
      <c r="S49" s="106"/>
      <c r="T49" s="106"/>
      <c r="U49" s="106"/>
    </row>
    <row r="50" spans="1:21" ht="18" customHeight="1" x14ac:dyDescent="0.2">
      <c r="A50" s="58"/>
      <c r="B50" s="236" t="s">
        <v>161</v>
      </c>
      <c r="C50" s="237"/>
      <c r="D50" s="237"/>
      <c r="E50" s="237"/>
      <c r="F50" s="238"/>
      <c r="G50" s="107">
        <v>2</v>
      </c>
      <c r="H50" s="107"/>
      <c r="I50" s="76" t="s">
        <v>143</v>
      </c>
      <c r="J50" s="76" t="s">
        <v>143</v>
      </c>
      <c r="K50" s="236"/>
      <c r="L50" s="237"/>
      <c r="M50" s="237"/>
      <c r="N50" s="237"/>
      <c r="O50" s="237"/>
      <c r="P50" s="237"/>
      <c r="Q50" s="238"/>
      <c r="R50" s="107"/>
      <c r="S50" s="107"/>
      <c r="T50" s="107"/>
      <c r="U50" s="107"/>
    </row>
    <row r="51" spans="1:21" ht="18" customHeight="1" x14ac:dyDescent="0.2">
      <c r="A51" s="58"/>
      <c r="B51" s="141"/>
      <c r="C51" s="142"/>
      <c r="D51" s="142"/>
      <c r="E51" s="142"/>
      <c r="F51" s="143"/>
      <c r="G51" s="76"/>
      <c r="H51" s="76"/>
      <c r="I51" s="76"/>
      <c r="J51" s="76"/>
      <c r="K51" s="236"/>
      <c r="L51" s="237"/>
      <c r="M51" s="237"/>
      <c r="N51" s="237"/>
      <c r="O51" s="237"/>
      <c r="P51" s="237"/>
      <c r="Q51" s="238"/>
      <c r="R51" s="107"/>
      <c r="S51" s="107"/>
      <c r="T51" s="107"/>
      <c r="U51" s="107"/>
    </row>
    <row r="52" spans="1:21" ht="18" customHeight="1" x14ac:dyDescent="0.2">
      <c r="A52" s="58"/>
      <c r="B52" s="236"/>
      <c r="C52" s="237"/>
      <c r="D52" s="237"/>
      <c r="E52" s="237"/>
      <c r="F52" s="238"/>
      <c r="G52" s="107"/>
      <c r="H52" s="107"/>
      <c r="I52" s="107"/>
      <c r="J52" s="107"/>
      <c r="K52" s="236"/>
      <c r="L52" s="237"/>
      <c r="M52" s="237"/>
      <c r="N52" s="237"/>
      <c r="O52" s="237"/>
      <c r="P52" s="237"/>
      <c r="Q52" s="238"/>
      <c r="R52" s="107"/>
      <c r="S52" s="107"/>
      <c r="T52" s="107"/>
      <c r="U52" s="107"/>
    </row>
    <row r="53" spans="1:21" ht="18" customHeight="1" x14ac:dyDescent="0.2">
      <c r="A53" s="58"/>
      <c r="B53" s="236"/>
      <c r="C53" s="237"/>
      <c r="D53" s="237"/>
      <c r="E53" s="237"/>
      <c r="F53" s="238"/>
      <c r="G53" s="107"/>
      <c r="H53" s="107"/>
      <c r="I53" s="107"/>
      <c r="J53" s="107"/>
      <c r="K53" s="236"/>
      <c r="L53" s="237"/>
      <c r="M53" s="237"/>
      <c r="N53" s="237"/>
      <c r="O53" s="237"/>
      <c r="P53" s="237"/>
      <c r="Q53" s="238"/>
      <c r="R53" s="107"/>
      <c r="S53" s="107"/>
      <c r="T53" s="107"/>
      <c r="U53" s="107"/>
    </row>
    <row r="54" spans="1:21" ht="18" customHeight="1" x14ac:dyDescent="0.2">
      <c r="A54" s="58"/>
      <c r="B54" s="236"/>
      <c r="C54" s="237"/>
      <c r="D54" s="237"/>
      <c r="E54" s="237"/>
      <c r="F54" s="238"/>
      <c r="G54" s="107"/>
      <c r="H54" s="107"/>
      <c r="I54" s="107"/>
      <c r="J54" s="107"/>
      <c r="K54" s="236"/>
      <c r="L54" s="237"/>
      <c r="M54" s="237"/>
      <c r="N54" s="237"/>
      <c r="O54" s="237"/>
      <c r="P54" s="237"/>
      <c r="Q54" s="238"/>
      <c r="R54" s="107"/>
      <c r="S54" s="107"/>
      <c r="T54" s="107"/>
      <c r="U54" s="107"/>
    </row>
    <row r="55" spans="1:21" ht="18" customHeight="1" x14ac:dyDescent="0.2">
      <c r="A55" s="58"/>
      <c r="B55" s="225"/>
      <c r="C55" s="226"/>
      <c r="D55" s="226"/>
      <c r="E55" s="226"/>
      <c r="F55" s="227"/>
      <c r="G55" s="108"/>
      <c r="H55" s="108"/>
      <c r="I55" s="109"/>
      <c r="J55" s="109"/>
      <c r="K55" s="225"/>
      <c r="L55" s="226"/>
      <c r="M55" s="226"/>
      <c r="N55" s="226"/>
      <c r="O55" s="226"/>
      <c r="P55" s="226"/>
      <c r="Q55" s="227"/>
      <c r="R55" s="108"/>
      <c r="S55" s="108"/>
      <c r="T55" s="109"/>
      <c r="U55" s="109"/>
    </row>
    <row r="56" spans="1:21" ht="7.5" customHeight="1" x14ac:dyDescent="0.2">
      <c r="B56" s="110"/>
      <c r="C56" s="110"/>
      <c r="D56" s="110"/>
      <c r="E56" s="110"/>
      <c r="F56" s="110"/>
      <c r="G56" s="110"/>
      <c r="H56" s="110"/>
      <c r="I56" s="110"/>
      <c r="J56" s="110"/>
      <c r="K56" s="110"/>
      <c r="L56" s="110"/>
      <c r="M56" s="110"/>
      <c r="N56" s="110"/>
      <c r="O56" s="110"/>
      <c r="P56" s="110"/>
      <c r="Q56" s="110"/>
      <c r="R56" s="110"/>
      <c r="S56" s="110"/>
      <c r="T56" s="110"/>
    </row>
    <row r="57" spans="1:21" ht="18" customHeight="1" x14ac:dyDescent="0.2">
      <c r="A57" s="257" t="s">
        <v>104</v>
      </c>
      <c r="B57" s="257"/>
      <c r="C57" s="257"/>
      <c r="D57" s="257"/>
      <c r="E57" s="257"/>
      <c r="F57" s="257"/>
      <c r="G57" s="257"/>
      <c r="H57" s="257"/>
      <c r="I57" s="257"/>
      <c r="J57" s="257"/>
      <c r="K57" s="257"/>
      <c r="L57" s="257"/>
      <c r="M57" s="257"/>
      <c r="N57" s="257"/>
      <c r="O57" s="257"/>
      <c r="P57" s="257"/>
      <c r="Q57" s="257"/>
      <c r="R57" s="257"/>
      <c r="S57" s="257"/>
      <c r="T57" s="257"/>
      <c r="U57" s="257"/>
    </row>
    <row r="58" spans="1:21" ht="18" customHeight="1" x14ac:dyDescent="0.2">
      <c r="A58" s="257"/>
      <c r="B58" s="257"/>
      <c r="C58" s="257"/>
      <c r="D58" s="257"/>
      <c r="E58" s="257"/>
      <c r="F58" s="257"/>
      <c r="G58" s="257"/>
      <c r="H58" s="257"/>
      <c r="I58" s="257"/>
      <c r="J58" s="257"/>
      <c r="K58" s="257"/>
      <c r="L58" s="257"/>
      <c r="M58" s="257"/>
      <c r="N58" s="257"/>
      <c r="O58" s="257"/>
      <c r="P58" s="257"/>
      <c r="Q58" s="257"/>
      <c r="R58" s="257"/>
      <c r="S58" s="257"/>
      <c r="T58" s="257"/>
      <c r="U58" s="257"/>
    </row>
    <row r="59" spans="1:21" ht="18" customHeight="1" x14ac:dyDescent="0.2">
      <c r="B59" s="233" t="s">
        <v>51</v>
      </c>
      <c r="C59" s="234"/>
      <c r="D59" s="234"/>
      <c r="E59" s="234"/>
      <c r="F59" s="235"/>
      <c r="G59" s="103" t="s">
        <v>77</v>
      </c>
      <c r="H59" s="104" t="s">
        <v>80</v>
      </c>
      <c r="I59" s="105" t="s">
        <v>56</v>
      </c>
      <c r="J59" s="105" t="s">
        <v>58</v>
      </c>
      <c r="K59" s="233" t="s">
        <v>51</v>
      </c>
      <c r="L59" s="234"/>
      <c r="M59" s="234"/>
      <c r="N59" s="234"/>
      <c r="O59" s="234"/>
      <c r="P59" s="234"/>
      <c r="Q59" s="235"/>
      <c r="R59" s="103" t="s">
        <v>77</v>
      </c>
      <c r="S59" s="104" t="s">
        <v>80</v>
      </c>
      <c r="T59" s="105" t="s">
        <v>56</v>
      </c>
      <c r="U59" s="105" t="s">
        <v>58</v>
      </c>
    </row>
    <row r="60" spans="1:21" ht="18" customHeight="1" x14ac:dyDescent="0.2">
      <c r="A60" s="58"/>
      <c r="B60" s="245" t="s">
        <v>142</v>
      </c>
      <c r="C60" s="246"/>
      <c r="D60" s="246"/>
      <c r="E60" s="246"/>
      <c r="F60" s="247"/>
      <c r="G60" s="106">
        <v>2</v>
      </c>
      <c r="H60" s="106"/>
      <c r="I60" s="106" t="s">
        <v>143</v>
      </c>
      <c r="J60" s="107" t="s">
        <v>143</v>
      </c>
      <c r="K60" s="245"/>
      <c r="L60" s="246"/>
      <c r="M60" s="246"/>
      <c r="N60" s="246"/>
      <c r="O60" s="246"/>
      <c r="P60" s="246"/>
      <c r="Q60" s="247"/>
      <c r="R60" s="106"/>
      <c r="S60" s="106"/>
      <c r="T60" s="106"/>
      <c r="U60" s="106"/>
    </row>
    <row r="61" spans="1:21" ht="18" customHeight="1" x14ac:dyDescent="0.2">
      <c r="A61" s="58"/>
      <c r="B61" s="236" t="s">
        <v>147</v>
      </c>
      <c r="C61" s="237"/>
      <c r="D61" s="237"/>
      <c r="E61" s="237"/>
      <c r="F61" s="238"/>
      <c r="G61" s="107">
        <v>2</v>
      </c>
      <c r="H61" s="107" t="s">
        <v>143</v>
      </c>
      <c r="I61" s="76" t="s">
        <v>143</v>
      </c>
      <c r="J61" s="107" t="s">
        <v>143</v>
      </c>
      <c r="K61" s="236"/>
      <c r="L61" s="237"/>
      <c r="M61" s="237"/>
      <c r="N61" s="237"/>
      <c r="O61" s="237"/>
      <c r="P61" s="237"/>
      <c r="Q61" s="238"/>
      <c r="R61" s="107"/>
      <c r="S61" s="107"/>
      <c r="T61" s="107"/>
      <c r="U61" s="107"/>
    </row>
    <row r="62" spans="1:21" ht="18" customHeight="1" x14ac:dyDescent="0.2">
      <c r="A62" s="58"/>
      <c r="B62" s="236"/>
      <c r="C62" s="237"/>
      <c r="D62" s="237"/>
      <c r="E62" s="237"/>
      <c r="F62" s="238"/>
      <c r="G62" s="107"/>
      <c r="H62" s="107"/>
      <c r="I62" s="107"/>
      <c r="J62" s="107"/>
      <c r="K62" s="236"/>
      <c r="L62" s="237"/>
      <c r="M62" s="237"/>
      <c r="N62" s="237"/>
      <c r="O62" s="237"/>
      <c r="P62" s="237"/>
      <c r="Q62" s="238"/>
      <c r="R62" s="107"/>
      <c r="S62" s="107"/>
      <c r="T62" s="107"/>
      <c r="U62" s="107"/>
    </row>
    <row r="63" spans="1:21" ht="18" customHeight="1" x14ac:dyDescent="0.2">
      <c r="A63" s="58"/>
      <c r="B63" s="236"/>
      <c r="C63" s="237"/>
      <c r="D63" s="237"/>
      <c r="E63" s="237"/>
      <c r="F63" s="238"/>
      <c r="G63" s="107"/>
      <c r="H63" s="107"/>
      <c r="I63" s="107"/>
      <c r="J63" s="107"/>
      <c r="K63" s="236"/>
      <c r="L63" s="237"/>
      <c r="M63" s="237"/>
      <c r="N63" s="237"/>
      <c r="O63" s="237"/>
      <c r="P63" s="237"/>
      <c r="Q63" s="238"/>
      <c r="R63" s="107"/>
      <c r="S63" s="107"/>
      <c r="T63" s="107"/>
      <c r="U63" s="107"/>
    </row>
    <row r="64" spans="1:21" ht="18" customHeight="1" x14ac:dyDescent="0.2">
      <c r="A64" s="58"/>
      <c r="B64" s="236"/>
      <c r="C64" s="237"/>
      <c r="D64" s="237"/>
      <c r="E64" s="237"/>
      <c r="F64" s="238"/>
      <c r="G64" s="107"/>
      <c r="H64" s="107"/>
      <c r="I64" s="107"/>
      <c r="J64" s="107"/>
      <c r="K64" s="236"/>
      <c r="L64" s="237"/>
      <c r="M64" s="237"/>
      <c r="N64" s="237"/>
      <c r="O64" s="237"/>
      <c r="P64" s="237"/>
      <c r="Q64" s="238"/>
      <c r="R64" s="107"/>
      <c r="S64" s="107"/>
      <c r="T64" s="107"/>
      <c r="U64" s="107"/>
    </row>
    <row r="65" spans="1:21" ht="18" customHeight="1" x14ac:dyDescent="0.2">
      <c r="A65" s="58"/>
      <c r="B65" s="236"/>
      <c r="C65" s="237"/>
      <c r="D65" s="237"/>
      <c r="E65" s="237"/>
      <c r="F65" s="238"/>
      <c r="G65" s="107"/>
      <c r="H65" s="107"/>
      <c r="I65" s="107"/>
      <c r="J65" s="107"/>
      <c r="K65" s="236"/>
      <c r="L65" s="237"/>
      <c r="M65" s="237"/>
      <c r="N65" s="237"/>
      <c r="O65" s="237"/>
      <c r="P65" s="237"/>
      <c r="Q65" s="238"/>
      <c r="R65" s="107"/>
      <c r="S65" s="107"/>
      <c r="T65" s="107"/>
      <c r="U65" s="107"/>
    </row>
    <row r="66" spans="1:21" ht="18" customHeight="1" x14ac:dyDescent="0.2">
      <c r="A66" s="58"/>
      <c r="B66" s="225"/>
      <c r="C66" s="226"/>
      <c r="D66" s="226"/>
      <c r="E66" s="226"/>
      <c r="F66" s="227"/>
      <c r="G66" s="108"/>
      <c r="H66" s="108"/>
      <c r="I66" s="109"/>
      <c r="J66" s="109"/>
      <c r="K66" s="225"/>
      <c r="L66" s="226"/>
      <c r="M66" s="226"/>
      <c r="N66" s="226"/>
      <c r="O66" s="226"/>
      <c r="P66" s="226"/>
      <c r="Q66" s="227"/>
      <c r="R66" s="108"/>
      <c r="S66" s="108"/>
      <c r="T66" s="109"/>
      <c r="U66" s="109"/>
    </row>
    <row r="67" spans="1:21" ht="7.5" customHeight="1" x14ac:dyDescent="0.2">
      <c r="B67" s="110"/>
      <c r="C67" s="110"/>
      <c r="D67" s="110"/>
      <c r="E67" s="110"/>
      <c r="F67" s="110"/>
      <c r="G67" s="110"/>
      <c r="H67" s="110"/>
      <c r="I67" s="110"/>
      <c r="J67" s="110"/>
      <c r="K67" s="110"/>
      <c r="L67" s="110"/>
      <c r="M67" s="110"/>
      <c r="N67" s="110"/>
      <c r="O67" s="110"/>
      <c r="P67" s="110"/>
      <c r="Q67" s="110"/>
      <c r="R67" s="110"/>
      <c r="S67" s="110"/>
      <c r="T67" s="110"/>
    </row>
    <row r="68" spans="1:21" ht="18" customHeight="1" x14ac:dyDescent="0.2">
      <c r="A68" s="257" t="s">
        <v>105</v>
      </c>
      <c r="B68" s="257"/>
      <c r="C68" s="257"/>
      <c r="D68" s="257"/>
      <c r="E68" s="257"/>
      <c r="F68" s="257"/>
      <c r="G68" s="257"/>
      <c r="H68" s="257"/>
      <c r="I68" s="257"/>
      <c r="J68" s="257"/>
      <c r="K68" s="257"/>
      <c r="L68" s="257"/>
      <c r="M68" s="257"/>
      <c r="N68" s="257"/>
      <c r="O68" s="257"/>
      <c r="P68" s="257"/>
      <c r="Q68" s="257"/>
      <c r="R68" s="257"/>
      <c r="S68" s="257"/>
      <c r="T68" s="257"/>
      <c r="U68" s="257"/>
    </row>
    <row r="69" spans="1:21" ht="18" customHeight="1" x14ac:dyDescent="0.2">
      <c r="A69" s="257"/>
      <c r="B69" s="257"/>
      <c r="C69" s="257"/>
      <c r="D69" s="257"/>
      <c r="E69" s="257"/>
      <c r="F69" s="257"/>
      <c r="G69" s="257"/>
      <c r="H69" s="257"/>
      <c r="I69" s="257"/>
      <c r="J69" s="257"/>
      <c r="K69" s="257"/>
      <c r="L69" s="257"/>
      <c r="M69" s="257"/>
      <c r="N69" s="257"/>
      <c r="O69" s="257"/>
      <c r="P69" s="257"/>
      <c r="Q69" s="257"/>
      <c r="R69" s="257"/>
      <c r="S69" s="257"/>
      <c r="T69" s="257"/>
      <c r="U69" s="257"/>
    </row>
    <row r="70" spans="1:21" ht="18" customHeight="1" x14ac:dyDescent="0.2">
      <c r="B70" s="233" t="s">
        <v>51</v>
      </c>
      <c r="C70" s="234"/>
      <c r="D70" s="234"/>
      <c r="E70" s="234"/>
      <c r="F70" s="103" t="s">
        <v>77</v>
      </c>
      <c r="G70" s="104" t="s">
        <v>80</v>
      </c>
      <c r="H70" s="105" t="s">
        <v>92</v>
      </c>
      <c r="I70" s="105" t="s">
        <v>72</v>
      </c>
      <c r="J70" s="105" t="s">
        <v>73</v>
      </c>
      <c r="K70" s="233" t="s">
        <v>51</v>
      </c>
      <c r="L70" s="234"/>
      <c r="M70" s="234"/>
      <c r="N70" s="234"/>
      <c r="O70" s="234"/>
      <c r="P70" s="235"/>
      <c r="Q70" s="103" t="s">
        <v>77</v>
      </c>
      <c r="R70" s="104" t="s">
        <v>80</v>
      </c>
      <c r="S70" s="105" t="s">
        <v>92</v>
      </c>
      <c r="T70" s="105" t="s">
        <v>72</v>
      </c>
      <c r="U70" s="105" t="s">
        <v>73</v>
      </c>
    </row>
    <row r="71" spans="1:21" ht="18" customHeight="1" x14ac:dyDescent="0.2">
      <c r="A71" s="58"/>
      <c r="B71" s="245" t="s">
        <v>144</v>
      </c>
      <c r="C71" s="204"/>
      <c r="D71" s="204"/>
      <c r="E71" s="111"/>
      <c r="F71" s="112">
        <v>2</v>
      </c>
      <c r="G71" s="112"/>
      <c r="H71" s="112" t="s">
        <v>143</v>
      </c>
      <c r="I71" s="112" t="s">
        <v>143</v>
      </c>
      <c r="J71" s="112"/>
      <c r="K71" s="245"/>
      <c r="L71" s="246"/>
      <c r="M71" s="246"/>
      <c r="N71" s="246"/>
      <c r="O71" s="246"/>
      <c r="P71" s="247"/>
      <c r="Q71" s="106"/>
      <c r="R71" s="106"/>
      <c r="S71" s="106"/>
      <c r="T71" s="106"/>
      <c r="U71" s="106"/>
    </row>
    <row r="72" spans="1:21" ht="18" customHeight="1" x14ac:dyDescent="0.2">
      <c r="A72" s="58"/>
      <c r="B72" s="113" t="s">
        <v>147</v>
      </c>
      <c r="C72" s="114"/>
      <c r="D72" s="114"/>
      <c r="E72" s="114"/>
      <c r="F72" s="107">
        <v>2</v>
      </c>
      <c r="G72" s="107" t="s">
        <v>143</v>
      </c>
      <c r="H72" s="107" t="s">
        <v>143</v>
      </c>
      <c r="I72" s="107" t="s">
        <v>143</v>
      </c>
      <c r="J72" s="107" t="s">
        <v>143</v>
      </c>
      <c r="K72" s="236"/>
      <c r="L72" s="237"/>
      <c r="M72" s="237"/>
      <c r="N72" s="237"/>
      <c r="O72" s="237"/>
      <c r="P72" s="238"/>
      <c r="Q72" s="107"/>
      <c r="R72" s="107"/>
      <c r="S72" s="107"/>
      <c r="T72" s="107"/>
      <c r="U72" s="107"/>
    </row>
    <row r="73" spans="1:21" ht="18" customHeight="1" x14ac:dyDescent="0.2">
      <c r="A73" s="58"/>
      <c r="B73" s="236" t="s">
        <v>148</v>
      </c>
      <c r="C73" s="205"/>
      <c r="D73" s="205"/>
      <c r="E73" s="115"/>
      <c r="F73" s="107">
        <v>2</v>
      </c>
      <c r="G73" s="107"/>
      <c r="H73" s="107" t="s">
        <v>143</v>
      </c>
      <c r="I73" s="107" t="s">
        <v>143</v>
      </c>
      <c r="J73" s="107" t="s">
        <v>143</v>
      </c>
      <c r="K73" s="236"/>
      <c r="L73" s="237"/>
      <c r="M73" s="237"/>
      <c r="N73" s="237"/>
      <c r="O73" s="237"/>
      <c r="P73" s="238"/>
      <c r="Q73" s="107"/>
      <c r="R73" s="107"/>
      <c r="S73" s="107"/>
      <c r="T73" s="107"/>
      <c r="U73" s="107"/>
    </row>
    <row r="74" spans="1:21" ht="18" customHeight="1" x14ac:dyDescent="0.2">
      <c r="A74" s="58"/>
      <c r="B74" s="113"/>
      <c r="C74" s="114"/>
      <c r="D74" s="114"/>
      <c r="E74" s="114"/>
      <c r="F74" s="107"/>
      <c r="G74" s="107"/>
      <c r="H74" s="107"/>
      <c r="I74" s="107"/>
      <c r="J74" s="107"/>
      <c r="K74" s="236"/>
      <c r="L74" s="237"/>
      <c r="M74" s="237"/>
      <c r="N74" s="237"/>
      <c r="O74" s="237"/>
      <c r="P74" s="238"/>
      <c r="Q74" s="107"/>
      <c r="R74" s="107"/>
      <c r="S74" s="107"/>
      <c r="T74" s="107"/>
      <c r="U74" s="107"/>
    </row>
    <row r="75" spans="1:21" ht="18" customHeight="1" x14ac:dyDescent="0.2">
      <c r="A75" s="58"/>
      <c r="B75" s="236"/>
      <c r="C75" s="237"/>
      <c r="D75" s="237"/>
      <c r="E75" s="237"/>
      <c r="F75" s="107"/>
      <c r="G75" s="107"/>
      <c r="H75" s="107"/>
      <c r="I75" s="107"/>
      <c r="J75" s="107"/>
      <c r="K75" s="236"/>
      <c r="L75" s="237"/>
      <c r="M75" s="237"/>
      <c r="N75" s="237"/>
      <c r="O75" s="237"/>
      <c r="P75" s="238"/>
      <c r="Q75" s="107"/>
      <c r="R75" s="107"/>
      <c r="S75" s="107"/>
      <c r="T75" s="107"/>
      <c r="U75" s="107"/>
    </row>
    <row r="76" spans="1:21" ht="18" customHeight="1" x14ac:dyDescent="0.2">
      <c r="A76" s="58"/>
      <c r="B76" s="236"/>
      <c r="C76" s="237"/>
      <c r="D76" s="237"/>
      <c r="E76" s="237"/>
      <c r="F76" s="107"/>
      <c r="G76" s="107"/>
      <c r="H76" s="107"/>
      <c r="I76" s="107"/>
      <c r="J76" s="107"/>
      <c r="K76" s="236"/>
      <c r="L76" s="237"/>
      <c r="M76" s="237"/>
      <c r="N76" s="237"/>
      <c r="O76" s="237"/>
      <c r="P76" s="238"/>
      <c r="Q76" s="107"/>
      <c r="R76" s="107"/>
      <c r="S76" s="107"/>
      <c r="T76" s="107"/>
      <c r="U76" s="107"/>
    </row>
    <row r="77" spans="1:21" ht="18" customHeight="1" x14ac:dyDescent="0.2">
      <c r="A77" s="58"/>
      <c r="B77" s="225"/>
      <c r="C77" s="226"/>
      <c r="D77" s="226"/>
      <c r="E77" s="226"/>
      <c r="F77" s="108"/>
      <c r="G77" s="108"/>
      <c r="H77" s="109"/>
      <c r="I77" s="109"/>
      <c r="J77" s="109"/>
      <c r="K77" s="225"/>
      <c r="L77" s="226"/>
      <c r="M77" s="226"/>
      <c r="N77" s="226"/>
      <c r="O77" s="226"/>
      <c r="P77" s="227"/>
      <c r="Q77" s="108"/>
      <c r="R77" s="108"/>
      <c r="S77" s="109"/>
      <c r="T77" s="109"/>
      <c r="U77" s="109"/>
    </row>
    <row r="78" spans="1:21" ht="7.5" customHeight="1" x14ac:dyDescent="0.2">
      <c r="B78" s="110"/>
      <c r="C78" s="110"/>
      <c r="D78" s="110"/>
      <c r="E78" s="110"/>
      <c r="F78" s="110"/>
      <c r="G78" s="110"/>
      <c r="H78" s="110"/>
      <c r="I78" s="110"/>
      <c r="J78" s="110"/>
      <c r="K78" s="110"/>
      <c r="L78" s="110"/>
      <c r="M78" s="110"/>
      <c r="N78" s="110"/>
      <c r="O78" s="110"/>
      <c r="P78" s="110"/>
      <c r="Q78" s="110"/>
      <c r="R78" s="110"/>
      <c r="S78" s="110"/>
      <c r="T78" s="110"/>
    </row>
    <row r="79" spans="1:21" ht="18" customHeight="1" x14ac:dyDescent="0.2">
      <c r="A79" s="54" t="s">
        <v>106</v>
      </c>
      <c r="I79" s="58"/>
      <c r="J79" s="58"/>
      <c r="K79" s="58"/>
      <c r="L79" s="58"/>
      <c r="M79" s="58"/>
      <c r="N79" s="58"/>
      <c r="O79" s="58"/>
      <c r="P79" s="58"/>
      <c r="Q79" s="58"/>
      <c r="R79" s="58"/>
      <c r="S79" s="58"/>
      <c r="T79" s="58"/>
      <c r="U79" s="58"/>
    </row>
    <row r="80" spans="1:21" ht="18" customHeight="1" x14ac:dyDescent="0.2">
      <c r="B80" s="233" t="s">
        <v>51</v>
      </c>
      <c r="C80" s="234"/>
      <c r="D80" s="234"/>
      <c r="E80" s="234"/>
      <c r="F80" s="235"/>
      <c r="G80" s="233" t="s">
        <v>78</v>
      </c>
      <c r="H80" s="234"/>
      <c r="I80" s="234"/>
      <c r="J80" s="235"/>
      <c r="K80" s="254" t="s">
        <v>51</v>
      </c>
      <c r="L80" s="255"/>
      <c r="M80" s="255"/>
      <c r="N80" s="255"/>
      <c r="O80" s="255"/>
      <c r="P80" s="255"/>
      <c r="Q80" s="256"/>
      <c r="R80" s="233" t="s">
        <v>78</v>
      </c>
      <c r="S80" s="234"/>
      <c r="T80" s="234"/>
      <c r="U80" s="235"/>
    </row>
    <row r="81" spans="1:21" ht="18" customHeight="1" x14ac:dyDescent="0.2">
      <c r="A81" s="58"/>
      <c r="B81" s="245" t="s">
        <v>149</v>
      </c>
      <c r="C81" s="246"/>
      <c r="D81" s="246"/>
      <c r="E81" s="246"/>
      <c r="F81" s="247"/>
      <c r="G81" s="248" t="s">
        <v>150</v>
      </c>
      <c r="H81" s="249"/>
      <c r="I81" s="249"/>
      <c r="J81" s="250"/>
      <c r="K81" s="245"/>
      <c r="L81" s="246"/>
      <c r="M81" s="246"/>
      <c r="N81" s="246"/>
      <c r="O81" s="246"/>
      <c r="P81" s="246"/>
      <c r="Q81" s="247"/>
      <c r="R81" s="251"/>
      <c r="S81" s="252"/>
      <c r="T81" s="252"/>
      <c r="U81" s="253"/>
    </row>
    <row r="82" spans="1:21" ht="18" customHeight="1" x14ac:dyDescent="0.2">
      <c r="A82" s="58"/>
      <c r="B82" s="236" t="s">
        <v>149</v>
      </c>
      <c r="C82" s="237"/>
      <c r="D82" s="237"/>
      <c r="E82" s="237"/>
      <c r="F82" s="238"/>
      <c r="G82" s="242" t="s">
        <v>151</v>
      </c>
      <c r="H82" s="243"/>
      <c r="I82" s="243"/>
      <c r="J82" s="244"/>
      <c r="K82" s="236"/>
      <c r="L82" s="237"/>
      <c r="M82" s="237"/>
      <c r="N82" s="237"/>
      <c r="O82" s="237"/>
      <c r="P82" s="237"/>
      <c r="Q82" s="238"/>
      <c r="R82" s="239"/>
      <c r="S82" s="240"/>
      <c r="T82" s="240"/>
      <c r="U82" s="241"/>
    </row>
    <row r="83" spans="1:21" ht="18" customHeight="1" x14ac:dyDescent="0.2">
      <c r="A83" s="58"/>
      <c r="B83" s="236" t="s">
        <v>149</v>
      </c>
      <c r="C83" s="237"/>
      <c r="D83" s="237"/>
      <c r="E83" s="237"/>
      <c r="F83" s="238"/>
      <c r="G83" s="242" t="s">
        <v>152</v>
      </c>
      <c r="H83" s="243"/>
      <c r="I83" s="243"/>
      <c r="J83" s="244"/>
      <c r="K83" s="236"/>
      <c r="L83" s="237"/>
      <c r="M83" s="237"/>
      <c r="N83" s="237"/>
      <c r="O83" s="237"/>
      <c r="P83" s="237"/>
      <c r="Q83" s="238"/>
      <c r="R83" s="239"/>
      <c r="S83" s="240"/>
      <c r="T83" s="240"/>
      <c r="U83" s="241"/>
    </row>
    <row r="84" spans="1:21" ht="18" customHeight="1" x14ac:dyDescent="0.2">
      <c r="A84" s="58"/>
      <c r="B84" s="236"/>
      <c r="C84" s="237"/>
      <c r="D84" s="237"/>
      <c r="E84" s="237"/>
      <c r="F84" s="238"/>
      <c r="G84" s="239"/>
      <c r="H84" s="240"/>
      <c r="I84" s="240"/>
      <c r="J84" s="241"/>
      <c r="K84" s="236"/>
      <c r="L84" s="237"/>
      <c r="M84" s="237"/>
      <c r="N84" s="237"/>
      <c r="O84" s="237"/>
      <c r="P84" s="237"/>
      <c r="Q84" s="238"/>
      <c r="R84" s="239"/>
      <c r="S84" s="240"/>
      <c r="T84" s="240"/>
      <c r="U84" s="241"/>
    </row>
    <row r="85" spans="1:21" ht="18" customHeight="1" x14ac:dyDescent="0.2">
      <c r="A85" s="58"/>
      <c r="B85" s="236"/>
      <c r="C85" s="237"/>
      <c r="D85" s="237"/>
      <c r="E85" s="237"/>
      <c r="F85" s="238"/>
      <c r="G85" s="239"/>
      <c r="H85" s="240"/>
      <c r="I85" s="240"/>
      <c r="J85" s="241"/>
      <c r="K85" s="236"/>
      <c r="L85" s="237"/>
      <c r="M85" s="237"/>
      <c r="N85" s="237"/>
      <c r="O85" s="237"/>
      <c r="P85" s="237"/>
      <c r="Q85" s="238"/>
      <c r="R85" s="239"/>
      <c r="S85" s="240"/>
      <c r="T85" s="240"/>
      <c r="U85" s="241"/>
    </row>
    <row r="86" spans="1:21" ht="18" customHeight="1" x14ac:dyDescent="0.2">
      <c r="A86" s="58"/>
      <c r="B86" s="236"/>
      <c r="C86" s="237"/>
      <c r="D86" s="237"/>
      <c r="E86" s="237"/>
      <c r="F86" s="238"/>
      <c r="G86" s="239"/>
      <c r="H86" s="240"/>
      <c r="I86" s="240"/>
      <c r="J86" s="241"/>
      <c r="K86" s="236"/>
      <c r="L86" s="237"/>
      <c r="M86" s="237"/>
      <c r="N86" s="237"/>
      <c r="O86" s="237"/>
      <c r="P86" s="237"/>
      <c r="Q86" s="238"/>
      <c r="R86" s="239"/>
      <c r="S86" s="240"/>
      <c r="T86" s="240"/>
      <c r="U86" s="241"/>
    </row>
    <row r="87" spans="1:21" ht="18" customHeight="1" x14ac:dyDescent="0.2">
      <c r="A87" s="58"/>
      <c r="B87" s="225"/>
      <c r="C87" s="226"/>
      <c r="D87" s="226"/>
      <c r="E87" s="226"/>
      <c r="F87" s="227"/>
      <c r="G87" s="228"/>
      <c r="H87" s="229"/>
      <c r="I87" s="229"/>
      <c r="J87" s="230"/>
      <c r="K87" s="225"/>
      <c r="L87" s="226"/>
      <c r="M87" s="226"/>
      <c r="N87" s="226"/>
      <c r="O87" s="226"/>
      <c r="P87" s="226"/>
      <c r="Q87" s="227"/>
      <c r="R87" s="228"/>
      <c r="S87" s="229"/>
      <c r="T87" s="229"/>
      <c r="U87" s="230"/>
    </row>
    <row r="88" spans="1:21" ht="18" customHeight="1" x14ac:dyDescent="0.2">
      <c r="A88" s="58"/>
      <c r="B88" s="56"/>
      <c r="C88" s="56"/>
      <c r="D88" s="56"/>
      <c r="E88" s="56"/>
      <c r="F88" s="56"/>
      <c r="G88" s="63"/>
      <c r="H88" s="63"/>
      <c r="I88" s="63"/>
      <c r="J88" s="63"/>
      <c r="K88" s="56"/>
      <c r="L88" s="56"/>
      <c r="M88" s="56"/>
      <c r="N88" s="56"/>
      <c r="O88" s="56"/>
      <c r="P88" s="56"/>
      <c r="Q88" s="56"/>
      <c r="R88" s="63"/>
      <c r="S88" s="63"/>
      <c r="T88" s="63"/>
      <c r="U88" s="63"/>
    </row>
    <row r="89" spans="1:21" ht="18.75" customHeight="1" x14ac:dyDescent="0.2">
      <c r="A89" s="54" t="s">
        <v>107</v>
      </c>
    </row>
    <row r="90" spans="1:21" ht="18.75" customHeight="1" x14ac:dyDescent="0.2">
      <c r="B90" s="231" t="s">
        <v>52</v>
      </c>
      <c r="C90" s="232"/>
      <c r="D90" s="233" t="s">
        <v>53</v>
      </c>
      <c r="E90" s="234"/>
      <c r="F90" s="234"/>
      <c r="G90" s="234"/>
      <c r="H90" s="234"/>
      <c r="I90" s="234"/>
      <c r="J90" s="234"/>
      <c r="K90" s="234"/>
      <c r="L90" s="234"/>
      <c r="M90" s="234"/>
      <c r="N90" s="234"/>
      <c r="O90" s="234"/>
      <c r="P90" s="234"/>
      <c r="Q90" s="234"/>
      <c r="R90" s="234"/>
      <c r="S90" s="234"/>
      <c r="T90" s="234"/>
      <c r="U90" s="235"/>
    </row>
    <row r="91" spans="1:21" ht="105" customHeight="1" x14ac:dyDescent="0.2">
      <c r="B91" s="218" t="s">
        <v>59</v>
      </c>
      <c r="C91" s="116" t="s">
        <v>54</v>
      </c>
      <c r="D91" s="206" t="s">
        <v>198</v>
      </c>
      <c r="E91" s="207"/>
      <c r="F91" s="207"/>
      <c r="G91" s="207"/>
      <c r="H91" s="207"/>
      <c r="I91" s="207"/>
      <c r="J91" s="207"/>
      <c r="K91" s="207"/>
      <c r="L91" s="207"/>
      <c r="M91" s="207"/>
      <c r="N91" s="207"/>
      <c r="O91" s="207"/>
      <c r="P91" s="207"/>
      <c r="Q91" s="207"/>
      <c r="R91" s="207"/>
      <c r="S91" s="207"/>
      <c r="T91" s="207"/>
      <c r="U91" s="208"/>
    </row>
    <row r="92" spans="1:21" ht="51" customHeight="1" x14ac:dyDescent="0.2">
      <c r="B92" s="219"/>
      <c r="C92" s="117" t="s">
        <v>74</v>
      </c>
      <c r="D92" s="209" t="s">
        <v>199</v>
      </c>
      <c r="E92" s="210"/>
      <c r="F92" s="210"/>
      <c r="G92" s="210"/>
      <c r="H92" s="210"/>
      <c r="I92" s="210"/>
      <c r="J92" s="210"/>
      <c r="K92" s="210"/>
      <c r="L92" s="210"/>
      <c r="M92" s="210"/>
      <c r="N92" s="210"/>
      <c r="O92" s="210"/>
      <c r="P92" s="210"/>
      <c r="Q92" s="210"/>
      <c r="R92" s="210"/>
      <c r="S92" s="210"/>
      <c r="T92" s="210"/>
      <c r="U92" s="211"/>
    </row>
    <row r="93" spans="1:21" ht="80.25" customHeight="1" x14ac:dyDescent="0.2">
      <c r="B93" s="218" t="s">
        <v>60</v>
      </c>
      <c r="C93" s="118" t="s">
        <v>68</v>
      </c>
      <c r="D93" s="206" t="s">
        <v>200</v>
      </c>
      <c r="E93" s="207"/>
      <c r="F93" s="207"/>
      <c r="G93" s="207"/>
      <c r="H93" s="207"/>
      <c r="I93" s="207"/>
      <c r="J93" s="207"/>
      <c r="K93" s="207"/>
      <c r="L93" s="207"/>
      <c r="M93" s="207"/>
      <c r="N93" s="207"/>
      <c r="O93" s="207"/>
      <c r="P93" s="207"/>
      <c r="Q93" s="207"/>
      <c r="R93" s="207"/>
      <c r="S93" s="207"/>
      <c r="T93" s="207"/>
      <c r="U93" s="208"/>
    </row>
    <row r="94" spans="1:21" ht="69" customHeight="1" x14ac:dyDescent="0.2">
      <c r="B94" s="220"/>
      <c r="C94" s="119" t="s">
        <v>69</v>
      </c>
      <c r="D94" s="209" t="s">
        <v>180</v>
      </c>
      <c r="E94" s="210"/>
      <c r="F94" s="210"/>
      <c r="G94" s="210"/>
      <c r="H94" s="210"/>
      <c r="I94" s="210"/>
      <c r="J94" s="210"/>
      <c r="K94" s="210"/>
      <c r="L94" s="210"/>
      <c r="M94" s="210"/>
      <c r="N94" s="210"/>
      <c r="O94" s="210"/>
      <c r="P94" s="210"/>
      <c r="Q94" s="210"/>
      <c r="R94" s="210"/>
      <c r="S94" s="210"/>
      <c r="T94" s="210"/>
      <c r="U94" s="211"/>
    </row>
    <row r="95" spans="1:21" ht="87" customHeight="1" x14ac:dyDescent="0.2">
      <c r="B95" s="218" t="s">
        <v>61</v>
      </c>
      <c r="C95" s="118" t="s">
        <v>70</v>
      </c>
      <c r="D95" s="206" t="s">
        <v>179</v>
      </c>
      <c r="E95" s="207"/>
      <c r="F95" s="207"/>
      <c r="G95" s="207"/>
      <c r="H95" s="207"/>
      <c r="I95" s="207"/>
      <c r="J95" s="207"/>
      <c r="K95" s="207"/>
      <c r="L95" s="207"/>
      <c r="M95" s="207"/>
      <c r="N95" s="207"/>
      <c r="O95" s="207"/>
      <c r="P95" s="207"/>
      <c r="Q95" s="207"/>
      <c r="R95" s="207"/>
      <c r="S95" s="207"/>
      <c r="T95" s="207"/>
      <c r="U95" s="208"/>
    </row>
    <row r="96" spans="1:21" ht="69.75" customHeight="1" x14ac:dyDescent="0.2">
      <c r="B96" s="220"/>
      <c r="C96" s="120" t="s">
        <v>71</v>
      </c>
      <c r="D96" s="209" t="s">
        <v>181</v>
      </c>
      <c r="E96" s="210"/>
      <c r="F96" s="210"/>
      <c r="G96" s="210"/>
      <c r="H96" s="210"/>
      <c r="I96" s="210"/>
      <c r="J96" s="210"/>
      <c r="K96" s="210"/>
      <c r="L96" s="210"/>
      <c r="M96" s="210"/>
      <c r="N96" s="210"/>
      <c r="O96" s="210"/>
      <c r="P96" s="210"/>
      <c r="Q96" s="210"/>
      <c r="R96" s="210"/>
      <c r="S96" s="210"/>
      <c r="T96" s="210"/>
      <c r="U96" s="211"/>
    </row>
    <row r="97" spans="1:33" ht="118.5" customHeight="1" x14ac:dyDescent="0.2">
      <c r="B97" s="218" t="s">
        <v>75</v>
      </c>
      <c r="C97" s="116" t="s">
        <v>56</v>
      </c>
      <c r="D97" s="206" t="s">
        <v>201</v>
      </c>
      <c r="E97" s="207"/>
      <c r="F97" s="207"/>
      <c r="G97" s="207"/>
      <c r="H97" s="207"/>
      <c r="I97" s="207"/>
      <c r="J97" s="207"/>
      <c r="K97" s="207"/>
      <c r="L97" s="207"/>
      <c r="M97" s="207"/>
      <c r="N97" s="207"/>
      <c r="O97" s="207"/>
      <c r="P97" s="207"/>
      <c r="Q97" s="207"/>
      <c r="R97" s="207"/>
      <c r="S97" s="207"/>
      <c r="T97" s="207"/>
      <c r="U97" s="208"/>
    </row>
    <row r="98" spans="1:33" ht="69" customHeight="1" x14ac:dyDescent="0.2">
      <c r="B98" s="220"/>
      <c r="C98" s="119" t="s">
        <v>58</v>
      </c>
      <c r="D98" s="209" t="s">
        <v>202</v>
      </c>
      <c r="E98" s="210"/>
      <c r="F98" s="210"/>
      <c r="G98" s="210"/>
      <c r="H98" s="210"/>
      <c r="I98" s="210"/>
      <c r="J98" s="210"/>
      <c r="K98" s="210"/>
      <c r="L98" s="210"/>
      <c r="M98" s="210"/>
      <c r="N98" s="210"/>
      <c r="O98" s="210"/>
      <c r="P98" s="210"/>
      <c r="Q98" s="210"/>
      <c r="R98" s="210"/>
      <c r="S98" s="210"/>
      <c r="T98" s="210"/>
      <c r="U98" s="211"/>
    </row>
    <row r="99" spans="1:33" ht="150" customHeight="1" x14ac:dyDescent="0.2">
      <c r="B99" s="218" t="s">
        <v>76</v>
      </c>
      <c r="C99" s="118" t="s">
        <v>55</v>
      </c>
      <c r="D99" s="206" t="s">
        <v>203</v>
      </c>
      <c r="E99" s="207"/>
      <c r="F99" s="207"/>
      <c r="G99" s="207"/>
      <c r="H99" s="207"/>
      <c r="I99" s="207"/>
      <c r="J99" s="207"/>
      <c r="K99" s="207"/>
      <c r="L99" s="207"/>
      <c r="M99" s="207"/>
      <c r="N99" s="207"/>
      <c r="O99" s="207"/>
      <c r="P99" s="207"/>
      <c r="Q99" s="207"/>
      <c r="R99" s="207"/>
      <c r="S99" s="207"/>
      <c r="T99" s="207"/>
      <c r="U99" s="208"/>
    </row>
    <row r="100" spans="1:33" ht="102" customHeight="1" x14ac:dyDescent="0.2">
      <c r="B100" s="219"/>
      <c r="C100" s="121" t="s">
        <v>72</v>
      </c>
      <c r="D100" s="212" t="s">
        <v>204</v>
      </c>
      <c r="E100" s="213"/>
      <c r="F100" s="213"/>
      <c r="G100" s="213"/>
      <c r="H100" s="213"/>
      <c r="I100" s="213"/>
      <c r="J100" s="213"/>
      <c r="K100" s="213"/>
      <c r="L100" s="213"/>
      <c r="M100" s="213"/>
      <c r="N100" s="213"/>
      <c r="O100" s="213"/>
      <c r="P100" s="213"/>
      <c r="Q100" s="213"/>
      <c r="R100" s="213"/>
      <c r="S100" s="213"/>
      <c r="T100" s="213"/>
      <c r="U100" s="214"/>
    </row>
    <row r="101" spans="1:33" ht="84.75" customHeight="1" x14ac:dyDescent="0.2">
      <c r="B101" s="220"/>
      <c r="C101" s="120" t="s">
        <v>73</v>
      </c>
      <c r="D101" s="209" t="s">
        <v>205</v>
      </c>
      <c r="E101" s="210"/>
      <c r="F101" s="210"/>
      <c r="G101" s="210"/>
      <c r="H101" s="210"/>
      <c r="I101" s="210"/>
      <c r="J101" s="210"/>
      <c r="K101" s="210"/>
      <c r="L101" s="210"/>
      <c r="M101" s="210"/>
      <c r="N101" s="210"/>
      <c r="O101" s="210"/>
      <c r="P101" s="210"/>
      <c r="Q101" s="210"/>
      <c r="R101" s="210"/>
      <c r="S101" s="210"/>
      <c r="T101" s="210"/>
      <c r="U101" s="211"/>
    </row>
    <row r="102" spans="1:33" ht="6" customHeight="1" x14ac:dyDescent="0.2"/>
    <row r="103" spans="1:33" ht="18.75" customHeight="1" x14ac:dyDescent="0.2">
      <c r="A103" s="54" t="s">
        <v>108</v>
      </c>
    </row>
    <row r="104" spans="1:33" ht="81.75" customHeight="1" x14ac:dyDescent="0.2">
      <c r="B104" s="221" t="s">
        <v>162</v>
      </c>
      <c r="C104" s="222"/>
      <c r="D104" s="222"/>
      <c r="E104" s="222"/>
      <c r="F104" s="222"/>
      <c r="G104" s="222"/>
      <c r="H104" s="222"/>
      <c r="I104" s="222"/>
      <c r="J104" s="222"/>
      <c r="K104" s="222"/>
      <c r="L104" s="222"/>
      <c r="M104" s="222"/>
      <c r="N104" s="222"/>
      <c r="O104" s="222"/>
      <c r="P104" s="222"/>
      <c r="Q104" s="222"/>
      <c r="R104" s="222"/>
      <c r="S104" s="222"/>
      <c r="T104" s="222"/>
      <c r="U104" s="223"/>
    </row>
    <row r="106" spans="1:33" ht="18.75" customHeight="1" x14ac:dyDescent="0.2">
      <c r="A106" s="59" t="s">
        <v>124</v>
      </c>
    </row>
    <row r="107" spans="1:33" ht="18.75" customHeight="1" x14ac:dyDescent="0.2">
      <c r="A107" s="59" t="s">
        <v>126</v>
      </c>
      <c r="B107" s="59"/>
      <c r="C107" s="59"/>
      <c r="D107" s="59"/>
      <c r="E107" s="59"/>
      <c r="F107" s="59"/>
      <c r="G107" s="59"/>
      <c r="H107" s="59"/>
      <c r="I107" s="59"/>
      <c r="J107" s="59"/>
      <c r="K107" s="59"/>
      <c r="L107" s="59"/>
      <c r="M107" s="59"/>
      <c r="N107" s="59"/>
      <c r="O107" s="59"/>
      <c r="P107" s="59"/>
      <c r="Q107" s="59"/>
      <c r="R107" s="59"/>
      <c r="S107" s="59"/>
      <c r="T107" s="59"/>
      <c r="U107" s="59"/>
      <c r="V107" s="59"/>
      <c r="W107" s="59"/>
      <c r="X107" s="59"/>
      <c r="Y107" s="59"/>
      <c r="Z107" s="59"/>
      <c r="AA107" s="59"/>
      <c r="AB107" s="59"/>
      <c r="AC107" s="59"/>
      <c r="AD107" s="59"/>
      <c r="AE107" s="59"/>
      <c r="AF107" s="59"/>
      <c r="AG107" s="59"/>
    </row>
    <row r="108" spans="1:33" ht="18.75" customHeight="1" x14ac:dyDescent="0.2">
      <c r="A108" s="59"/>
      <c r="B108" s="224" t="s">
        <v>130</v>
      </c>
      <c r="C108" s="224"/>
      <c r="D108" s="224"/>
      <c r="E108" s="224"/>
      <c r="F108" s="224"/>
      <c r="G108" s="224"/>
      <c r="H108" s="224"/>
      <c r="I108" s="224"/>
      <c r="J108" s="224"/>
      <c r="K108" s="224"/>
      <c r="L108" s="224"/>
      <c r="M108" s="224"/>
      <c r="N108" s="224"/>
      <c r="O108" s="224"/>
      <c r="P108" s="224"/>
      <c r="Q108" s="224"/>
      <c r="R108" s="224"/>
      <c r="S108" s="224"/>
      <c r="T108" s="224"/>
      <c r="U108" s="224"/>
      <c r="V108" s="122"/>
      <c r="W108" s="122"/>
      <c r="X108" s="122"/>
      <c r="Y108" s="122"/>
      <c r="Z108" s="122"/>
      <c r="AA108" s="122"/>
      <c r="AB108" s="122"/>
      <c r="AC108" s="122"/>
      <c r="AD108" s="122"/>
      <c r="AE108" s="122"/>
      <c r="AF108" s="122"/>
      <c r="AG108" s="122"/>
    </row>
    <row r="109" spans="1:33" ht="37.35" customHeight="1" x14ac:dyDescent="0.2">
      <c r="A109" s="59"/>
      <c r="B109" s="224"/>
      <c r="C109" s="224"/>
      <c r="D109" s="224"/>
      <c r="E109" s="224"/>
      <c r="F109" s="224"/>
      <c r="G109" s="224"/>
      <c r="H109" s="224"/>
      <c r="I109" s="224"/>
      <c r="J109" s="224"/>
      <c r="K109" s="224"/>
      <c r="L109" s="224"/>
      <c r="M109" s="224"/>
      <c r="N109" s="224"/>
      <c r="O109" s="224"/>
      <c r="P109" s="224"/>
      <c r="Q109" s="224"/>
      <c r="R109" s="224"/>
      <c r="S109" s="224"/>
      <c r="T109" s="224"/>
      <c r="U109" s="224"/>
      <c r="V109" s="122"/>
      <c r="W109" s="122"/>
      <c r="X109" s="122"/>
      <c r="Y109" s="122"/>
      <c r="Z109" s="122"/>
      <c r="AA109" s="122"/>
      <c r="AB109" s="122"/>
      <c r="AC109" s="122"/>
      <c r="AD109" s="122"/>
      <c r="AE109" s="122"/>
      <c r="AF109" s="122"/>
      <c r="AG109" s="122"/>
    </row>
    <row r="110" spans="1:33" ht="18.75" customHeight="1" x14ac:dyDescent="0.2">
      <c r="A110" s="59"/>
      <c r="B110" s="215" t="s">
        <v>125</v>
      </c>
      <c r="C110" s="215"/>
      <c r="D110" s="215"/>
      <c r="E110" s="215"/>
      <c r="F110" s="215"/>
      <c r="G110" s="215"/>
      <c r="H110" s="215"/>
      <c r="I110" s="215"/>
      <c r="J110" s="215"/>
      <c r="K110" s="215"/>
      <c r="L110" s="215"/>
      <c r="M110" s="215"/>
      <c r="N110" s="215"/>
      <c r="O110" s="215"/>
      <c r="P110" s="215"/>
      <c r="Q110" s="215"/>
      <c r="R110" s="215"/>
      <c r="S110" s="215"/>
      <c r="T110" s="215"/>
      <c r="U110" s="215"/>
      <c r="V110" s="122"/>
      <c r="W110" s="122"/>
      <c r="X110" s="122"/>
      <c r="Y110" s="122"/>
      <c r="Z110" s="122"/>
      <c r="AA110" s="122"/>
      <c r="AB110" s="122"/>
      <c r="AC110" s="122"/>
      <c r="AD110" s="122"/>
      <c r="AE110" s="122"/>
      <c r="AF110" s="122"/>
      <c r="AG110" s="122"/>
    </row>
    <row r="111" spans="1:33" ht="18.75" customHeight="1" x14ac:dyDescent="0.2">
      <c r="A111" s="59"/>
      <c r="B111" s="216" t="s">
        <v>53</v>
      </c>
      <c r="C111" s="216"/>
      <c r="D111" s="216"/>
      <c r="E111" s="216"/>
      <c r="F111" s="216"/>
      <c r="G111" s="216"/>
      <c r="H111" s="216"/>
      <c r="I111" s="216"/>
      <c r="J111" s="216"/>
      <c r="K111" s="216"/>
      <c r="L111" s="216"/>
      <c r="M111" s="216"/>
      <c r="N111" s="216"/>
      <c r="O111" s="216"/>
      <c r="P111" s="216"/>
      <c r="Q111" s="216"/>
      <c r="R111" s="216"/>
      <c r="S111" s="216"/>
      <c r="T111" s="216"/>
      <c r="U111" s="216"/>
      <c r="V111" s="59"/>
      <c r="W111" s="59"/>
      <c r="X111" s="59"/>
      <c r="Y111" s="59"/>
      <c r="Z111" s="59"/>
      <c r="AA111" s="59"/>
      <c r="AB111" s="59"/>
      <c r="AC111" s="59"/>
      <c r="AD111" s="59"/>
      <c r="AE111" s="59"/>
      <c r="AF111" s="59"/>
      <c r="AG111" s="59"/>
    </row>
    <row r="112" spans="1:33" ht="132" customHeight="1" x14ac:dyDescent="0.2">
      <c r="A112" s="59"/>
      <c r="B112" s="217"/>
      <c r="C112" s="217"/>
      <c r="D112" s="217"/>
      <c r="E112" s="217"/>
      <c r="F112" s="217"/>
      <c r="G112" s="217"/>
      <c r="H112" s="217"/>
      <c r="I112" s="217"/>
      <c r="J112" s="217"/>
      <c r="K112" s="217"/>
      <c r="L112" s="217"/>
      <c r="M112" s="217"/>
      <c r="N112" s="217"/>
      <c r="O112" s="217"/>
      <c r="P112" s="217"/>
      <c r="Q112" s="217"/>
      <c r="R112" s="217"/>
      <c r="S112" s="217"/>
      <c r="T112" s="217"/>
      <c r="U112" s="217"/>
      <c r="V112" s="123"/>
      <c r="W112" s="123"/>
      <c r="X112" s="123"/>
      <c r="Y112" s="123"/>
      <c r="Z112" s="123"/>
      <c r="AA112" s="123"/>
      <c r="AB112" s="123"/>
      <c r="AC112" s="123"/>
      <c r="AD112" s="123"/>
      <c r="AE112" s="123"/>
      <c r="AF112" s="123"/>
      <c r="AG112" s="123"/>
    </row>
    <row r="114" ht="18" customHeight="1" x14ac:dyDescent="0.2"/>
  </sheetData>
  <mergeCells count="146">
    <mergeCell ref="T1:U1"/>
    <mergeCell ref="C2:J2"/>
    <mergeCell ref="C3:J3"/>
    <mergeCell ref="A5:U5"/>
    <mergeCell ref="L7:U7"/>
    <mergeCell ref="B11:U12"/>
    <mergeCell ref="B28:F28"/>
    <mergeCell ref="K28:Q28"/>
    <mergeCell ref="B29:F29"/>
    <mergeCell ref="K29:Q29"/>
    <mergeCell ref="B30:F30"/>
    <mergeCell ref="K30:Q30"/>
    <mergeCell ref="B15:U20"/>
    <mergeCell ref="N22:U22"/>
    <mergeCell ref="A24:U25"/>
    <mergeCell ref="B26:F26"/>
    <mergeCell ref="K26:Q26"/>
    <mergeCell ref="B27:F27"/>
    <mergeCell ref="K27:Q27"/>
    <mergeCell ref="A35:U36"/>
    <mergeCell ref="B37:F37"/>
    <mergeCell ref="K37:Q37"/>
    <mergeCell ref="B38:F38"/>
    <mergeCell ref="K38:Q38"/>
    <mergeCell ref="B39:F39"/>
    <mergeCell ref="K39:Q39"/>
    <mergeCell ref="B31:F31"/>
    <mergeCell ref="K31:Q31"/>
    <mergeCell ref="B32:F32"/>
    <mergeCell ref="K32:Q32"/>
    <mergeCell ref="B33:F33"/>
    <mergeCell ref="K33:Q33"/>
    <mergeCell ref="B43:F43"/>
    <mergeCell ref="K43:Q43"/>
    <mergeCell ref="B44:F44"/>
    <mergeCell ref="K44:Q44"/>
    <mergeCell ref="A46:U47"/>
    <mergeCell ref="B48:F48"/>
    <mergeCell ref="K48:Q48"/>
    <mergeCell ref="B40:F40"/>
    <mergeCell ref="K40:Q40"/>
    <mergeCell ref="B41:F41"/>
    <mergeCell ref="K41:Q41"/>
    <mergeCell ref="B42:F42"/>
    <mergeCell ref="K42:Q42"/>
    <mergeCell ref="B52:F52"/>
    <mergeCell ref="K52:Q52"/>
    <mergeCell ref="B53:F53"/>
    <mergeCell ref="K53:Q53"/>
    <mergeCell ref="B54:F54"/>
    <mergeCell ref="K54:Q54"/>
    <mergeCell ref="B49:F49"/>
    <mergeCell ref="K49:Q49"/>
    <mergeCell ref="B50:F50"/>
    <mergeCell ref="K50:Q50"/>
    <mergeCell ref="B51:F51"/>
    <mergeCell ref="K51:Q51"/>
    <mergeCell ref="B61:F61"/>
    <mergeCell ref="K61:Q61"/>
    <mergeCell ref="B62:F62"/>
    <mergeCell ref="K62:Q62"/>
    <mergeCell ref="B63:F63"/>
    <mergeCell ref="K63:Q63"/>
    <mergeCell ref="B55:F55"/>
    <mergeCell ref="K55:Q55"/>
    <mergeCell ref="A57:U58"/>
    <mergeCell ref="B59:F59"/>
    <mergeCell ref="K59:Q59"/>
    <mergeCell ref="B60:F60"/>
    <mergeCell ref="K60:Q60"/>
    <mergeCell ref="A68:U69"/>
    <mergeCell ref="B70:E70"/>
    <mergeCell ref="K70:P70"/>
    <mergeCell ref="K71:P71"/>
    <mergeCell ref="K72:P72"/>
    <mergeCell ref="B64:F64"/>
    <mergeCell ref="K64:Q64"/>
    <mergeCell ref="B65:F65"/>
    <mergeCell ref="K65:Q65"/>
    <mergeCell ref="B66:F66"/>
    <mergeCell ref="K66:Q66"/>
    <mergeCell ref="B71:D71"/>
    <mergeCell ref="B77:E77"/>
    <mergeCell ref="K77:P77"/>
    <mergeCell ref="B80:F80"/>
    <mergeCell ref="G80:J80"/>
    <mergeCell ref="K80:Q80"/>
    <mergeCell ref="R80:U80"/>
    <mergeCell ref="K73:P73"/>
    <mergeCell ref="K74:P74"/>
    <mergeCell ref="B75:E75"/>
    <mergeCell ref="K75:P75"/>
    <mergeCell ref="B76:E76"/>
    <mergeCell ref="K76:P76"/>
    <mergeCell ref="B73:D73"/>
    <mergeCell ref="B83:F83"/>
    <mergeCell ref="G83:J83"/>
    <mergeCell ref="K83:Q83"/>
    <mergeCell ref="R83:U83"/>
    <mergeCell ref="B84:F84"/>
    <mergeCell ref="G84:J84"/>
    <mergeCell ref="K84:Q84"/>
    <mergeCell ref="R84:U84"/>
    <mergeCell ref="B81:F81"/>
    <mergeCell ref="G81:J81"/>
    <mergeCell ref="K81:Q81"/>
    <mergeCell ref="R81:U81"/>
    <mergeCell ref="B82:F82"/>
    <mergeCell ref="G82:J82"/>
    <mergeCell ref="K82:Q82"/>
    <mergeCell ref="R82:U82"/>
    <mergeCell ref="B87:F87"/>
    <mergeCell ref="G87:J87"/>
    <mergeCell ref="K87:Q87"/>
    <mergeCell ref="R87:U87"/>
    <mergeCell ref="B90:C90"/>
    <mergeCell ref="D90:U90"/>
    <mergeCell ref="B85:F85"/>
    <mergeCell ref="G85:J85"/>
    <mergeCell ref="K85:Q85"/>
    <mergeCell ref="R85:U85"/>
    <mergeCell ref="B86:F86"/>
    <mergeCell ref="G86:J86"/>
    <mergeCell ref="K86:Q86"/>
    <mergeCell ref="R86:U86"/>
    <mergeCell ref="B95:B96"/>
    <mergeCell ref="D95:U95"/>
    <mergeCell ref="D96:U96"/>
    <mergeCell ref="B97:B98"/>
    <mergeCell ref="D97:U97"/>
    <mergeCell ref="D98:U98"/>
    <mergeCell ref="B91:B92"/>
    <mergeCell ref="D91:U91"/>
    <mergeCell ref="D92:U92"/>
    <mergeCell ref="B93:B94"/>
    <mergeCell ref="D93:U93"/>
    <mergeCell ref="D94:U94"/>
    <mergeCell ref="B110:U110"/>
    <mergeCell ref="B111:U111"/>
    <mergeCell ref="B112:U112"/>
    <mergeCell ref="B99:B101"/>
    <mergeCell ref="D99:U99"/>
    <mergeCell ref="D100:U100"/>
    <mergeCell ref="D101:U101"/>
    <mergeCell ref="B104:U104"/>
    <mergeCell ref="B108:U109"/>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R71:U77 S27:U33 H60:J66 S38:U44 H38:J44 S49:U55 H27:J33 S60:U66 H49:J55 G71:J77" xr:uid="{5A64BFF5-C9AB-4996-AFE9-74A39A86D218}">
      <formula1>"○"</formula1>
    </dataValidation>
    <dataValidation type="list" allowBlank="1" showInputMessage="1" showErrorMessage="1" sqref="U34 U45 E34:H34 E45:H45" xr:uid="{84B572BD-0950-4BBB-BA1B-88EF633DC06A}">
      <formula1>"全学開講,一部開講"</formula1>
    </dataValidation>
    <dataValidation type="list" allowBlank="1" showInputMessage="1" showErrorMessage="1" sqref="L14 L7:U7" xr:uid="{1D365014-05DB-40DB-81A4-05EC97AC680C}">
      <formula1>"学部・学科によって、修了要件は相違する,学部・学科によって、修了要件は相違しない"</formula1>
    </dataValidation>
    <dataValidation type="list" allowBlank="1" showInputMessage="1" showErrorMessage="1" sqref="G81:G88 R81:R88 H81:J82 H85:J88 S85:U88 S81:U82" xr:uid="{C5335153-4073-43C7-A214-D06CB65AD486}">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4CD3C04-D483-4332-A22B-BF58B4590A1F}">
      <formula1>$X$16:$X$18</formula1>
    </dataValidation>
  </dataValidations>
  <printOptions horizontalCentered="1"/>
  <pageMargins left="0.78740157480314965" right="0.78740157480314965" top="0.78740157480314965" bottom="0.19685039370078741" header="0.31496062992125984" footer="0.19685039370078741"/>
  <pageSetup paperSize="9" scale="67" fitToHeight="0" orientation="portrait" r:id="rId1"/>
  <headerFooter>
    <oddHeader>&amp;C数理・データサイエンス・AI教育プログラム認定制度【リテラシーレベル】令和６年度申請用</oddHeader>
  </headerFooter>
  <rowBreaks count="2" manualBreakCount="2">
    <brk id="67" max="20" man="1"/>
    <brk id="98" max="20"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topLeftCell="A26" zoomScaleNormal="100" zoomScaleSheetLayoutView="100" workbookViewId="0">
      <selection activeCell="U27" sqref="U27"/>
    </sheetView>
  </sheetViews>
  <sheetFormatPr defaultColWidth="9" defaultRowHeight="18.75" customHeight="1" x14ac:dyDescent="0.2"/>
  <cols>
    <col min="1" max="1" width="2.77734375" style="1" customWidth="1"/>
    <col min="2" max="2" width="20.77734375" style="1" customWidth="1"/>
    <col min="3" max="18" width="6.109375" style="1" customWidth="1"/>
    <col min="19" max="19" width="6.6640625" style="1" customWidth="1"/>
    <col min="20" max="16384" width="9" style="1"/>
  </cols>
  <sheetData>
    <row r="1" spans="1:21" ht="18" customHeight="1" x14ac:dyDescent="0.2">
      <c r="A1" s="54"/>
      <c r="B1" s="54"/>
      <c r="C1" s="54"/>
      <c r="D1" s="54"/>
      <c r="E1" s="54"/>
      <c r="F1" s="54"/>
      <c r="G1" s="54"/>
      <c r="H1" s="54"/>
      <c r="I1" s="54"/>
      <c r="J1" s="54"/>
      <c r="K1" s="54"/>
      <c r="L1" s="54"/>
      <c r="M1" s="54"/>
      <c r="N1" s="54"/>
      <c r="O1" s="54"/>
      <c r="P1" s="54"/>
      <c r="Q1" s="54"/>
      <c r="R1" s="54"/>
      <c r="S1" s="54" t="s">
        <v>97</v>
      </c>
    </row>
    <row r="2" spans="1:21" ht="18" customHeight="1" x14ac:dyDescent="0.2">
      <c r="A2" s="54"/>
      <c r="B2" s="54"/>
      <c r="C2" s="54"/>
      <c r="D2" s="54"/>
      <c r="E2" s="54"/>
      <c r="F2" s="54"/>
      <c r="G2" s="54"/>
      <c r="H2" s="54"/>
      <c r="I2" s="54"/>
      <c r="J2" s="54"/>
      <c r="K2" s="54"/>
      <c r="L2" s="54"/>
      <c r="M2" s="54"/>
      <c r="N2" s="54"/>
      <c r="O2" s="54"/>
      <c r="P2" s="54"/>
      <c r="Q2" s="282" t="s">
        <v>171</v>
      </c>
      <c r="R2" s="282"/>
      <c r="S2" s="282"/>
    </row>
    <row r="3" spans="1:21" ht="18" customHeight="1" x14ac:dyDescent="0.2">
      <c r="A3" s="271" t="s">
        <v>46</v>
      </c>
      <c r="B3" s="271"/>
      <c r="C3" s="271"/>
      <c r="D3" s="271"/>
      <c r="E3" s="271"/>
      <c r="F3" s="271"/>
      <c r="G3" s="271"/>
      <c r="H3" s="271"/>
      <c r="I3" s="271"/>
      <c r="J3" s="271"/>
      <c r="K3" s="271"/>
      <c r="L3" s="271"/>
      <c r="M3" s="271"/>
      <c r="N3" s="271"/>
      <c r="O3" s="271"/>
      <c r="P3" s="271"/>
      <c r="Q3" s="271"/>
      <c r="R3" s="271"/>
      <c r="S3" s="271"/>
    </row>
    <row r="4" spans="1:21" ht="7.5" customHeight="1" x14ac:dyDescent="0.2">
      <c r="A4" s="58"/>
      <c r="B4" s="58"/>
      <c r="C4" s="58"/>
      <c r="D4" s="58"/>
      <c r="E4" s="58"/>
      <c r="F4" s="58"/>
      <c r="G4" s="58"/>
      <c r="H4" s="58"/>
      <c r="I4" s="58"/>
      <c r="J4" s="58"/>
      <c r="K4" s="58"/>
      <c r="L4" s="58"/>
      <c r="M4" s="58"/>
      <c r="N4" s="58"/>
      <c r="O4" s="58"/>
      <c r="P4" s="58"/>
      <c r="Q4" s="58"/>
      <c r="R4" s="58"/>
      <c r="S4" s="58"/>
    </row>
    <row r="5" spans="1:21" ht="18" customHeight="1" x14ac:dyDescent="0.2">
      <c r="A5" s="54" t="s">
        <v>79</v>
      </c>
      <c r="B5" s="54"/>
      <c r="C5" s="283" t="s">
        <v>138</v>
      </c>
      <c r="D5" s="284"/>
      <c r="E5" s="58" t="s">
        <v>50</v>
      </c>
      <c r="F5" s="58"/>
      <c r="G5" s="58"/>
      <c r="H5" s="58"/>
      <c r="I5" s="58"/>
      <c r="J5" s="58"/>
      <c r="K5" s="58"/>
      <c r="L5" s="58"/>
      <c r="M5" s="58"/>
      <c r="N5" s="58"/>
      <c r="O5" s="58"/>
      <c r="P5" s="58"/>
      <c r="Q5" s="58"/>
      <c r="R5" s="56"/>
      <c r="S5" s="56"/>
    </row>
    <row r="6" spans="1:21" ht="7.2" customHeight="1" x14ac:dyDescent="0.2">
      <c r="A6" s="54"/>
      <c r="B6" s="54"/>
      <c r="C6" s="63"/>
      <c r="D6" s="63"/>
      <c r="E6" s="58"/>
      <c r="F6" s="58"/>
      <c r="G6" s="58"/>
      <c r="H6" s="58"/>
      <c r="I6" s="58"/>
      <c r="J6" s="58"/>
      <c r="K6" s="58"/>
      <c r="L6" s="58"/>
      <c r="M6" s="58"/>
      <c r="N6" s="58"/>
      <c r="O6" s="58"/>
      <c r="P6" s="58"/>
      <c r="Q6" s="58"/>
      <c r="R6" s="56"/>
      <c r="S6" s="56"/>
    </row>
    <row r="7" spans="1:21" ht="18" customHeight="1" x14ac:dyDescent="0.2">
      <c r="A7" s="54" t="s">
        <v>117</v>
      </c>
      <c r="B7" s="54"/>
      <c r="C7" s="63"/>
      <c r="D7" s="63"/>
      <c r="E7" s="58" t="s">
        <v>118</v>
      </c>
      <c r="F7" s="62">
        <v>0</v>
      </c>
      <c r="G7" s="60" t="s">
        <v>119</v>
      </c>
      <c r="H7" s="58" t="s">
        <v>120</v>
      </c>
      <c r="I7" s="62">
        <v>647</v>
      </c>
      <c r="J7" s="60" t="s">
        <v>119</v>
      </c>
      <c r="K7" s="55" t="s">
        <v>121</v>
      </c>
      <c r="L7" s="58" t="s">
        <v>122</v>
      </c>
      <c r="M7" s="62">
        <f>F7+I7</f>
        <v>647</v>
      </c>
      <c r="N7" s="58" t="s">
        <v>1</v>
      </c>
      <c r="O7" s="60" t="s">
        <v>123</v>
      </c>
      <c r="P7" s="58"/>
      <c r="Q7" s="58"/>
      <c r="R7" s="56"/>
      <c r="S7" s="56"/>
    </row>
    <row r="8" spans="1:21" ht="6" customHeight="1" x14ac:dyDescent="0.2">
      <c r="A8" s="58"/>
      <c r="B8" s="58"/>
      <c r="C8" s="58"/>
      <c r="D8" s="58"/>
      <c r="E8" s="58"/>
      <c r="F8" s="58"/>
      <c r="G8" s="58"/>
      <c r="H8" s="58"/>
      <c r="I8" s="58"/>
      <c r="J8" s="58"/>
      <c r="K8" s="58"/>
      <c r="L8" s="58"/>
      <c r="M8" s="58"/>
      <c r="N8" s="58"/>
      <c r="O8" s="58"/>
      <c r="P8" s="58"/>
      <c r="Q8" s="58"/>
      <c r="R8" s="58"/>
      <c r="S8" s="58"/>
    </row>
    <row r="9" spans="1:21" ht="18" customHeight="1" x14ac:dyDescent="0.2">
      <c r="A9" s="54" t="s">
        <v>134</v>
      </c>
      <c r="B9" s="58"/>
      <c r="C9" s="58"/>
      <c r="D9" s="58"/>
      <c r="E9" s="58"/>
      <c r="F9" s="58"/>
      <c r="G9" s="58"/>
      <c r="H9" s="58"/>
      <c r="I9" s="58"/>
      <c r="J9" s="58"/>
      <c r="K9" s="58"/>
      <c r="L9" s="58"/>
      <c r="M9" s="58"/>
      <c r="N9" s="58"/>
      <c r="O9" s="58"/>
      <c r="P9" s="58"/>
      <c r="Q9" s="58"/>
      <c r="R9" s="58"/>
      <c r="S9" s="58"/>
    </row>
    <row r="10" spans="1:21" ht="6" customHeight="1" x14ac:dyDescent="0.2">
      <c r="B10" s="3"/>
      <c r="C10" s="3"/>
      <c r="D10" s="3"/>
      <c r="E10" s="3"/>
      <c r="F10" s="3"/>
      <c r="G10" s="3"/>
      <c r="H10" s="3"/>
      <c r="I10" s="3"/>
      <c r="J10" s="3"/>
      <c r="K10" s="3"/>
      <c r="L10" s="3"/>
      <c r="M10" s="3"/>
      <c r="N10" s="3"/>
      <c r="O10" s="3"/>
      <c r="P10" s="3"/>
      <c r="Q10" s="3"/>
      <c r="R10" s="3"/>
      <c r="S10" s="3"/>
    </row>
    <row r="11" spans="1:21" ht="18" customHeight="1" x14ac:dyDescent="0.2">
      <c r="B11" s="285" t="s">
        <v>43</v>
      </c>
      <c r="C11" s="295" t="s">
        <v>82</v>
      </c>
      <c r="D11" s="287" t="s">
        <v>45</v>
      </c>
      <c r="E11" s="289" t="s">
        <v>38</v>
      </c>
      <c r="F11" s="281" t="s">
        <v>111</v>
      </c>
      <c r="G11" s="281"/>
      <c r="H11" s="281" t="s">
        <v>81</v>
      </c>
      <c r="I11" s="281"/>
      <c r="J11" s="281" t="s">
        <v>47</v>
      </c>
      <c r="K11" s="281"/>
      <c r="L11" s="281" t="s">
        <v>48</v>
      </c>
      <c r="M11" s="281"/>
      <c r="N11" s="281" t="s">
        <v>91</v>
      </c>
      <c r="O11" s="281"/>
      <c r="P11" s="281" t="s">
        <v>49</v>
      </c>
      <c r="Q11" s="281"/>
      <c r="R11" s="291" t="s">
        <v>34</v>
      </c>
      <c r="S11" s="293" t="s">
        <v>31</v>
      </c>
      <c r="U11" s="2"/>
    </row>
    <row r="12" spans="1:21" ht="16.95" customHeight="1" x14ac:dyDescent="0.2">
      <c r="B12" s="286"/>
      <c r="C12" s="296"/>
      <c r="D12" s="288"/>
      <c r="E12" s="290"/>
      <c r="F12" s="47" t="s">
        <v>90</v>
      </c>
      <c r="G12" s="47" t="s">
        <v>28</v>
      </c>
      <c r="H12" s="47" t="s">
        <v>90</v>
      </c>
      <c r="I12" s="47" t="s">
        <v>28</v>
      </c>
      <c r="J12" s="47" t="s">
        <v>90</v>
      </c>
      <c r="K12" s="47" t="s">
        <v>28</v>
      </c>
      <c r="L12" s="47" t="s">
        <v>90</v>
      </c>
      <c r="M12" s="47" t="s">
        <v>28</v>
      </c>
      <c r="N12" s="47" t="s">
        <v>90</v>
      </c>
      <c r="O12" s="47" t="s">
        <v>28</v>
      </c>
      <c r="P12" s="47" t="s">
        <v>90</v>
      </c>
      <c r="Q12" s="48" t="s">
        <v>28</v>
      </c>
      <c r="R12" s="292"/>
      <c r="S12" s="294"/>
      <c r="U12" s="2"/>
    </row>
    <row r="13" spans="1:21" ht="18" customHeight="1" x14ac:dyDescent="0.2">
      <c r="A13" s="6"/>
      <c r="B13" s="49" t="s">
        <v>137</v>
      </c>
      <c r="C13" s="35">
        <v>375</v>
      </c>
      <c r="D13" s="36">
        <v>210</v>
      </c>
      <c r="E13" s="37">
        <v>420</v>
      </c>
      <c r="F13" s="37">
        <v>79</v>
      </c>
      <c r="G13" s="37">
        <v>64</v>
      </c>
      <c r="H13" s="37"/>
      <c r="I13" s="37"/>
      <c r="J13" s="37"/>
      <c r="K13" s="37"/>
      <c r="L13" s="37"/>
      <c r="M13" s="37"/>
      <c r="N13" s="37"/>
      <c r="O13" s="37"/>
      <c r="P13" s="37"/>
      <c r="Q13" s="50"/>
      <c r="R13" s="36">
        <f t="shared" ref="R13:R32" si="0">F13+H13+J13+L13+N13+P13</f>
        <v>79</v>
      </c>
      <c r="S13" s="65">
        <f t="shared" ref="S13:S32" si="1">R13/E13</f>
        <v>0.18809523809523809</v>
      </c>
    </row>
    <row r="14" spans="1:21" ht="18" customHeight="1" x14ac:dyDescent="0.2">
      <c r="A14" s="6"/>
      <c r="B14" s="11" t="s">
        <v>139</v>
      </c>
      <c r="C14" s="38">
        <v>17</v>
      </c>
      <c r="D14" s="39">
        <v>20</v>
      </c>
      <c r="E14" s="40">
        <v>40</v>
      </c>
      <c r="F14" s="41">
        <v>0</v>
      </c>
      <c r="G14" s="41">
        <v>0</v>
      </c>
      <c r="H14" s="41"/>
      <c r="I14" s="41"/>
      <c r="J14" s="41"/>
      <c r="K14" s="41"/>
      <c r="L14" s="41"/>
      <c r="M14" s="41"/>
      <c r="N14" s="41"/>
      <c r="O14" s="41"/>
      <c r="P14" s="41"/>
      <c r="Q14" s="38"/>
      <c r="R14" s="39">
        <f t="shared" si="0"/>
        <v>0</v>
      </c>
      <c r="S14" s="16">
        <f t="shared" si="1"/>
        <v>0</v>
      </c>
    </row>
    <row r="15" spans="1:21" ht="18" customHeight="1" x14ac:dyDescent="0.2">
      <c r="A15" s="6"/>
      <c r="B15" s="11" t="s">
        <v>140</v>
      </c>
      <c r="C15" s="38">
        <v>90</v>
      </c>
      <c r="D15" s="39">
        <v>60</v>
      </c>
      <c r="E15" s="40">
        <v>120</v>
      </c>
      <c r="F15" s="41">
        <v>28</v>
      </c>
      <c r="G15" s="41">
        <v>19</v>
      </c>
      <c r="H15" s="41"/>
      <c r="I15" s="41"/>
      <c r="J15" s="41"/>
      <c r="K15" s="41"/>
      <c r="L15" s="41"/>
      <c r="M15" s="41"/>
      <c r="N15" s="41"/>
      <c r="O15" s="41"/>
      <c r="P15" s="41"/>
      <c r="Q15" s="38"/>
      <c r="R15" s="39">
        <f t="shared" si="0"/>
        <v>28</v>
      </c>
      <c r="S15" s="8">
        <f t="shared" si="1"/>
        <v>0.23333333333333334</v>
      </c>
    </row>
    <row r="16" spans="1:21" ht="18" customHeight="1" x14ac:dyDescent="0.2">
      <c r="A16" s="6"/>
      <c r="B16" s="11" t="s">
        <v>141</v>
      </c>
      <c r="C16" s="38">
        <v>165</v>
      </c>
      <c r="D16" s="39">
        <v>80</v>
      </c>
      <c r="E16" s="40">
        <v>160</v>
      </c>
      <c r="F16" s="41">
        <v>63</v>
      </c>
      <c r="G16" s="41">
        <v>45</v>
      </c>
      <c r="H16" s="41"/>
      <c r="I16" s="41"/>
      <c r="J16" s="41"/>
      <c r="K16" s="41"/>
      <c r="L16" s="41"/>
      <c r="M16" s="41"/>
      <c r="N16" s="41"/>
      <c r="O16" s="41"/>
      <c r="P16" s="41"/>
      <c r="Q16" s="38"/>
      <c r="R16" s="39">
        <f t="shared" si="0"/>
        <v>63</v>
      </c>
      <c r="S16" s="8">
        <f t="shared" si="1"/>
        <v>0.39374999999999999</v>
      </c>
    </row>
    <row r="17" spans="1:19" ht="18" customHeight="1" x14ac:dyDescent="0.2">
      <c r="A17" s="6"/>
      <c r="B17" s="11"/>
      <c r="C17" s="38"/>
      <c r="D17" s="39"/>
      <c r="E17" s="40"/>
      <c r="F17" s="41"/>
      <c r="G17" s="41"/>
      <c r="H17" s="41"/>
      <c r="I17" s="41"/>
      <c r="J17" s="41"/>
      <c r="K17" s="41"/>
      <c r="L17" s="41"/>
      <c r="M17" s="41"/>
      <c r="N17" s="41"/>
      <c r="O17" s="41"/>
      <c r="P17" s="41"/>
      <c r="Q17" s="38"/>
      <c r="R17" s="39">
        <f t="shared" si="0"/>
        <v>0</v>
      </c>
      <c r="S17" s="8" t="e">
        <f t="shared" si="1"/>
        <v>#DIV/0!</v>
      </c>
    </row>
    <row r="18" spans="1:19" ht="18" customHeight="1" x14ac:dyDescent="0.2">
      <c r="A18" s="6"/>
      <c r="B18" s="11"/>
      <c r="C18" s="38"/>
      <c r="D18" s="39"/>
      <c r="E18" s="40"/>
      <c r="F18" s="41"/>
      <c r="G18" s="41"/>
      <c r="H18" s="41"/>
      <c r="I18" s="41"/>
      <c r="J18" s="41"/>
      <c r="K18" s="41"/>
      <c r="L18" s="41"/>
      <c r="M18" s="41"/>
      <c r="N18" s="41"/>
      <c r="O18" s="41"/>
      <c r="P18" s="41"/>
      <c r="Q18" s="38"/>
      <c r="R18" s="39">
        <f t="shared" si="0"/>
        <v>0</v>
      </c>
      <c r="S18" s="8" t="e">
        <f t="shared" si="1"/>
        <v>#DIV/0!</v>
      </c>
    </row>
    <row r="19" spans="1:19" ht="18" customHeight="1" x14ac:dyDescent="0.2">
      <c r="A19" s="6"/>
      <c r="B19" s="11"/>
      <c r="C19" s="38"/>
      <c r="D19" s="39"/>
      <c r="E19" s="40"/>
      <c r="F19" s="41"/>
      <c r="G19" s="41"/>
      <c r="H19" s="41"/>
      <c r="I19" s="41"/>
      <c r="J19" s="41"/>
      <c r="K19" s="41"/>
      <c r="L19" s="41"/>
      <c r="M19" s="41"/>
      <c r="N19" s="41"/>
      <c r="O19" s="41"/>
      <c r="P19" s="41"/>
      <c r="Q19" s="38"/>
      <c r="R19" s="39">
        <f t="shared" si="0"/>
        <v>0</v>
      </c>
      <c r="S19" s="8" t="e">
        <f t="shared" si="1"/>
        <v>#DIV/0!</v>
      </c>
    </row>
    <row r="20" spans="1:19" ht="18" customHeight="1" x14ac:dyDescent="0.2">
      <c r="A20" s="6"/>
      <c r="B20" s="11"/>
      <c r="C20" s="38"/>
      <c r="D20" s="39"/>
      <c r="E20" s="40"/>
      <c r="F20" s="41"/>
      <c r="G20" s="41"/>
      <c r="H20" s="41"/>
      <c r="I20" s="41"/>
      <c r="J20" s="41"/>
      <c r="K20" s="41"/>
      <c r="L20" s="41"/>
      <c r="M20" s="41"/>
      <c r="N20" s="41"/>
      <c r="O20" s="41"/>
      <c r="P20" s="41"/>
      <c r="Q20" s="38"/>
      <c r="R20" s="39">
        <f t="shared" si="0"/>
        <v>0</v>
      </c>
      <c r="S20" s="8" t="e">
        <f t="shared" si="1"/>
        <v>#DIV/0!</v>
      </c>
    </row>
    <row r="21" spans="1:19" ht="18" customHeight="1" x14ac:dyDescent="0.2">
      <c r="A21" s="6"/>
      <c r="B21" s="11"/>
      <c r="C21" s="38"/>
      <c r="D21" s="39"/>
      <c r="E21" s="40"/>
      <c r="F21" s="41"/>
      <c r="G21" s="41"/>
      <c r="H21" s="41"/>
      <c r="I21" s="41"/>
      <c r="J21" s="41"/>
      <c r="K21" s="41"/>
      <c r="L21" s="41"/>
      <c r="M21" s="41"/>
      <c r="N21" s="41"/>
      <c r="O21" s="41"/>
      <c r="P21" s="41"/>
      <c r="Q21" s="38"/>
      <c r="R21" s="39">
        <f t="shared" si="0"/>
        <v>0</v>
      </c>
      <c r="S21" s="8" t="e">
        <f t="shared" si="1"/>
        <v>#DIV/0!</v>
      </c>
    </row>
    <row r="22" spans="1:19" ht="18" customHeight="1" x14ac:dyDescent="0.2">
      <c r="A22" s="6"/>
      <c r="B22" s="11"/>
      <c r="C22" s="38"/>
      <c r="D22" s="39"/>
      <c r="E22" s="40"/>
      <c r="F22" s="41"/>
      <c r="G22" s="41"/>
      <c r="H22" s="41"/>
      <c r="I22" s="41"/>
      <c r="J22" s="41"/>
      <c r="K22" s="41"/>
      <c r="L22" s="41"/>
      <c r="M22" s="41"/>
      <c r="N22" s="41"/>
      <c r="O22" s="41"/>
      <c r="P22" s="41"/>
      <c r="Q22" s="38"/>
      <c r="R22" s="39">
        <f t="shared" si="0"/>
        <v>0</v>
      </c>
      <c r="S22" s="8" t="e">
        <f t="shared" si="1"/>
        <v>#DIV/0!</v>
      </c>
    </row>
    <row r="23" spans="1:19" ht="18" customHeight="1" x14ac:dyDescent="0.2">
      <c r="A23" s="6"/>
      <c r="B23" s="11"/>
      <c r="C23" s="38"/>
      <c r="D23" s="39"/>
      <c r="E23" s="40"/>
      <c r="F23" s="41"/>
      <c r="G23" s="41"/>
      <c r="H23" s="41"/>
      <c r="I23" s="41"/>
      <c r="J23" s="41"/>
      <c r="K23" s="41"/>
      <c r="L23" s="41"/>
      <c r="M23" s="41"/>
      <c r="N23" s="41"/>
      <c r="O23" s="41"/>
      <c r="P23" s="41"/>
      <c r="Q23" s="38"/>
      <c r="R23" s="39">
        <f t="shared" si="0"/>
        <v>0</v>
      </c>
      <c r="S23" s="8" t="e">
        <f t="shared" si="1"/>
        <v>#DIV/0!</v>
      </c>
    </row>
    <row r="24" spans="1:19" ht="18" customHeight="1" x14ac:dyDescent="0.2">
      <c r="A24" s="6"/>
      <c r="B24" s="11"/>
      <c r="C24" s="38"/>
      <c r="D24" s="39"/>
      <c r="E24" s="40"/>
      <c r="F24" s="41"/>
      <c r="G24" s="41"/>
      <c r="H24" s="41"/>
      <c r="I24" s="41"/>
      <c r="J24" s="41"/>
      <c r="K24" s="41"/>
      <c r="L24" s="41"/>
      <c r="M24" s="41"/>
      <c r="N24" s="41"/>
      <c r="O24" s="41"/>
      <c r="P24" s="41"/>
      <c r="Q24" s="38"/>
      <c r="R24" s="39">
        <f t="shared" si="0"/>
        <v>0</v>
      </c>
      <c r="S24" s="8" t="e">
        <f t="shared" si="1"/>
        <v>#DIV/0!</v>
      </c>
    </row>
    <row r="25" spans="1:19" ht="18" customHeight="1" x14ac:dyDescent="0.2">
      <c r="A25" s="6"/>
      <c r="B25" s="11"/>
      <c r="C25" s="38"/>
      <c r="D25" s="39"/>
      <c r="E25" s="40"/>
      <c r="F25" s="41"/>
      <c r="G25" s="41"/>
      <c r="H25" s="41"/>
      <c r="I25" s="41"/>
      <c r="J25" s="41"/>
      <c r="K25" s="41"/>
      <c r="L25" s="41"/>
      <c r="M25" s="41"/>
      <c r="N25" s="41"/>
      <c r="O25" s="41"/>
      <c r="P25" s="41"/>
      <c r="Q25" s="38"/>
      <c r="R25" s="39">
        <f t="shared" si="0"/>
        <v>0</v>
      </c>
      <c r="S25" s="8" t="e">
        <f t="shared" si="1"/>
        <v>#DIV/0!</v>
      </c>
    </row>
    <row r="26" spans="1:19" ht="18" customHeight="1" x14ac:dyDescent="0.2">
      <c r="A26" s="6"/>
      <c r="B26" s="11"/>
      <c r="C26" s="38"/>
      <c r="D26" s="39"/>
      <c r="E26" s="40"/>
      <c r="F26" s="41"/>
      <c r="G26" s="41"/>
      <c r="H26" s="41"/>
      <c r="I26" s="41"/>
      <c r="J26" s="41"/>
      <c r="K26" s="41"/>
      <c r="L26" s="41"/>
      <c r="M26" s="41"/>
      <c r="N26" s="41"/>
      <c r="O26" s="41"/>
      <c r="P26" s="41"/>
      <c r="Q26" s="38"/>
      <c r="R26" s="39">
        <f t="shared" si="0"/>
        <v>0</v>
      </c>
      <c r="S26" s="8" t="e">
        <f t="shared" si="1"/>
        <v>#DIV/0!</v>
      </c>
    </row>
    <row r="27" spans="1:19" ht="18" customHeight="1" x14ac:dyDescent="0.2">
      <c r="A27" s="6"/>
      <c r="B27" s="11"/>
      <c r="C27" s="38"/>
      <c r="D27" s="39"/>
      <c r="E27" s="40"/>
      <c r="F27" s="41"/>
      <c r="G27" s="41"/>
      <c r="H27" s="41"/>
      <c r="I27" s="41"/>
      <c r="J27" s="41"/>
      <c r="K27" s="41"/>
      <c r="L27" s="41"/>
      <c r="M27" s="41"/>
      <c r="N27" s="41"/>
      <c r="O27" s="41"/>
      <c r="P27" s="41"/>
      <c r="Q27" s="38"/>
      <c r="R27" s="39">
        <f t="shared" si="0"/>
        <v>0</v>
      </c>
      <c r="S27" s="8" t="e">
        <f t="shared" si="1"/>
        <v>#DIV/0!</v>
      </c>
    </row>
    <row r="28" spans="1:19" ht="18" customHeight="1" x14ac:dyDescent="0.2">
      <c r="A28" s="6"/>
      <c r="B28" s="11"/>
      <c r="C28" s="38"/>
      <c r="D28" s="39"/>
      <c r="E28" s="40"/>
      <c r="F28" s="41"/>
      <c r="G28" s="41"/>
      <c r="H28" s="41"/>
      <c r="I28" s="41"/>
      <c r="J28" s="41"/>
      <c r="K28" s="41"/>
      <c r="L28" s="41"/>
      <c r="M28" s="41"/>
      <c r="N28" s="41"/>
      <c r="O28" s="41"/>
      <c r="P28" s="41"/>
      <c r="Q28" s="38"/>
      <c r="R28" s="39">
        <f t="shared" si="0"/>
        <v>0</v>
      </c>
      <c r="S28" s="8" t="e">
        <f t="shared" si="1"/>
        <v>#DIV/0!</v>
      </c>
    </row>
    <row r="29" spans="1:19" ht="18" customHeight="1" x14ac:dyDescent="0.2">
      <c r="A29" s="6"/>
      <c r="B29" s="11"/>
      <c r="C29" s="38"/>
      <c r="D29" s="39"/>
      <c r="E29" s="40"/>
      <c r="F29" s="41"/>
      <c r="G29" s="41"/>
      <c r="H29" s="41"/>
      <c r="I29" s="41"/>
      <c r="J29" s="41"/>
      <c r="K29" s="41"/>
      <c r="L29" s="41"/>
      <c r="M29" s="41"/>
      <c r="N29" s="41"/>
      <c r="O29" s="41"/>
      <c r="P29" s="41"/>
      <c r="Q29" s="38"/>
      <c r="R29" s="39">
        <f t="shared" si="0"/>
        <v>0</v>
      </c>
      <c r="S29" s="8" t="e">
        <f t="shared" si="1"/>
        <v>#DIV/0!</v>
      </c>
    </row>
    <row r="30" spans="1:19" ht="18" customHeight="1" x14ac:dyDescent="0.2">
      <c r="A30" s="6"/>
      <c r="B30" s="11"/>
      <c r="C30" s="38"/>
      <c r="D30" s="42"/>
      <c r="E30" s="40"/>
      <c r="F30" s="41"/>
      <c r="G30" s="41"/>
      <c r="H30" s="41"/>
      <c r="I30" s="41"/>
      <c r="J30" s="41"/>
      <c r="K30" s="41"/>
      <c r="L30" s="41"/>
      <c r="M30" s="41"/>
      <c r="N30" s="41"/>
      <c r="O30" s="41"/>
      <c r="P30" s="41"/>
      <c r="Q30" s="38"/>
      <c r="R30" s="42">
        <f t="shared" si="0"/>
        <v>0</v>
      </c>
      <c r="S30" s="8" t="e">
        <f t="shared" si="1"/>
        <v>#DIV/0!</v>
      </c>
    </row>
    <row r="31" spans="1:19" ht="18" customHeight="1" x14ac:dyDescent="0.2">
      <c r="A31" s="6"/>
      <c r="B31" s="11"/>
      <c r="C31" s="38"/>
      <c r="D31" s="42"/>
      <c r="E31" s="40"/>
      <c r="F31" s="41"/>
      <c r="G31" s="41"/>
      <c r="H31" s="41"/>
      <c r="I31" s="41"/>
      <c r="J31" s="41"/>
      <c r="K31" s="41"/>
      <c r="L31" s="41"/>
      <c r="M31" s="41"/>
      <c r="N31" s="41"/>
      <c r="O31" s="41"/>
      <c r="P31" s="41"/>
      <c r="Q31" s="38"/>
      <c r="R31" s="42">
        <f t="shared" si="0"/>
        <v>0</v>
      </c>
      <c r="S31" s="8" t="e">
        <f t="shared" si="1"/>
        <v>#DIV/0!</v>
      </c>
    </row>
    <row r="32" spans="1:19" ht="18" customHeight="1" thickBot="1" x14ac:dyDescent="0.25">
      <c r="A32" s="6"/>
      <c r="B32" s="12"/>
      <c r="C32" s="35"/>
      <c r="D32" s="43"/>
      <c r="E32" s="37"/>
      <c r="F32" s="37"/>
      <c r="G32" s="37"/>
      <c r="H32" s="37"/>
      <c r="I32" s="37"/>
      <c r="J32" s="37"/>
      <c r="K32" s="37"/>
      <c r="L32" s="37"/>
      <c r="M32" s="37"/>
      <c r="N32" s="37"/>
      <c r="O32" s="37"/>
      <c r="P32" s="37"/>
      <c r="Q32" s="38"/>
      <c r="R32" s="43">
        <f t="shared" si="0"/>
        <v>0</v>
      </c>
      <c r="S32" s="7" t="e">
        <f t="shared" si="1"/>
        <v>#DIV/0!</v>
      </c>
    </row>
    <row r="33" spans="2:19" ht="18" customHeight="1" thickTop="1" x14ac:dyDescent="0.2">
      <c r="B33" s="13" t="s">
        <v>32</v>
      </c>
      <c r="C33" s="44">
        <f t="shared" ref="C33" si="2">SUM(C13:C32)</f>
        <v>647</v>
      </c>
      <c r="D33" s="45">
        <f t="shared" ref="D33:R33" si="3">SUM(D13:D32)</f>
        <v>370</v>
      </c>
      <c r="E33" s="46">
        <f>SUM(E13:E32)</f>
        <v>740</v>
      </c>
      <c r="F33" s="46">
        <f>SUM(F13:F32)</f>
        <v>170</v>
      </c>
      <c r="G33" s="46">
        <f t="shared" ref="G33:H33" si="4">SUM(G13:G32)</f>
        <v>128</v>
      </c>
      <c r="H33" s="46">
        <f t="shared" si="4"/>
        <v>0</v>
      </c>
      <c r="I33" s="46">
        <f t="shared" ref="I33:J33" si="5">SUM(I13:I32)</f>
        <v>0</v>
      </c>
      <c r="J33" s="46">
        <f t="shared" si="5"/>
        <v>0</v>
      </c>
      <c r="K33" s="46">
        <f t="shared" ref="K33:O33" si="6">SUM(K13:K32)</f>
        <v>0</v>
      </c>
      <c r="L33" s="46">
        <f t="shared" si="6"/>
        <v>0</v>
      </c>
      <c r="M33" s="46">
        <f t="shared" si="6"/>
        <v>0</v>
      </c>
      <c r="N33" s="46">
        <f t="shared" si="6"/>
        <v>0</v>
      </c>
      <c r="O33" s="46">
        <f t="shared" si="6"/>
        <v>0</v>
      </c>
      <c r="P33" s="46">
        <f t="shared" ref="P33:Q33" si="7">SUM(P13:P32)</f>
        <v>0</v>
      </c>
      <c r="Q33" s="44">
        <f t="shared" si="7"/>
        <v>0</v>
      </c>
      <c r="R33" s="44">
        <f t="shared" si="3"/>
        <v>170</v>
      </c>
      <c r="S33" s="9">
        <f>R33/E33</f>
        <v>0.22972972972972974</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7" orientation="landscape" r:id="rId1"/>
  <headerFooter>
    <oddHeader>&amp;C数理・データサイエンス・AI教育プログラム認定制度【リテラシーレベル】</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tabSelected="1" view="pageBreakPreview" topLeftCell="A37" zoomScaleNormal="100" zoomScaleSheetLayoutView="100" workbookViewId="0">
      <selection activeCell="J50" sqref="J50"/>
    </sheetView>
  </sheetViews>
  <sheetFormatPr defaultColWidth="11.33203125" defaultRowHeight="18.75" customHeight="1" x14ac:dyDescent="0.2"/>
  <cols>
    <col min="1" max="1" width="2.77734375" style="20" customWidth="1"/>
    <col min="2" max="2" width="16.6640625" style="1" customWidth="1"/>
    <col min="3" max="3" width="8.88671875" style="1" customWidth="1"/>
    <col min="4" max="4" width="2.21875" style="1" customWidth="1"/>
    <col min="5" max="5" width="16.6640625" style="1" customWidth="1"/>
    <col min="6" max="6" width="4.33203125" style="1" customWidth="1"/>
    <col min="7" max="7" width="9" style="1" customWidth="1"/>
    <col min="8" max="8" width="16.6640625" style="1" customWidth="1"/>
    <col min="9" max="9" width="12.109375" style="1" customWidth="1"/>
    <col min="10" max="16384" width="11.33203125" style="1"/>
  </cols>
  <sheetData>
    <row r="1" spans="1:9" ht="18.75" customHeight="1" x14ac:dyDescent="0.2">
      <c r="A1" s="20" t="s">
        <v>62</v>
      </c>
      <c r="I1" s="18" t="s">
        <v>96</v>
      </c>
    </row>
    <row r="2" spans="1:9" ht="18.75" customHeight="1" x14ac:dyDescent="0.2">
      <c r="G2" s="18" t="s">
        <v>98</v>
      </c>
      <c r="H2" s="325" t="s">
        <v>184</v>
      </c>
      <c r="I2" s="326"/>
    </row>
    <row r="3" spans="1:9" ht="18.75" customHeight="1" x14ac:dyDescent="0.2">
      <c r="G3" s="18"/>
      <c r="H3" s="10"/>
      <c r="I3" s="10"/>
    </row>
    <row r="4" spans="1:9" ht="18.600000000000001" customHeight="1" x14ac:dyDescent="0.2">
      <c r="A4" s="327" t="s">
        <v>35</v>
      </c>
      <c r="B4" s="327"/>
      <c r="C4" s="327"/>
      <c r="D4" s="327"/>
      <c r="E4" s="327"/>
      <c r="F4" s="327"/>
      <c r="G4" s="327"/>
      <c r="H4" s="327"/>
      <c r="I4" s="327"/>
    </row>
    <row r="5" spans="1:9" ht="13.2" customHeight="1" x14ac:dyDescent="0.2">
      <c r="B5" s="3"/>
      <c r="C5" s="3"/>
      <c r="D5" s="3"/>
      <c r="E5" s="3"/>
      <c r="F5" s="3"/>
      <c r="G5" s="3"/>
      <c r="H5" s="3"/>
      <c r="I5" s="3"/>
    </row>
    <row r="6" spans="1:9" ht="18" customHeight="1" x14ac:dyDescent="0.2">
      <c r="A6" s="1" t="s">
        <v>0</v>
      </c>
      <c r="B6" s="10" t="s">
        <v>85</v>
      </c>
      <c r="C6" s="348" t="s">
        <v>86</v>
      </c>
      <c r="D6" s="348"/>
      <c r="E6" s="17">
        <v>47</v>
      </c>
      <c r="F6" s="3" t="s">
        <v>1</v>
      </c>
      <c r="G6" s="3" t="s">
        <v>2</v>
      </c>
      <c r="H6" s="17">
        <v>62</v>
      </c>
      <c r="I6" s="10" t="s">
        <v>1</v>
      </c>
    </row>
    <row r="7" spans="1:9" ht="12" customHeight="1" x14ac:dyDescent="0.2">
      <c r="C7" s="2"/>
      <c r="D7" s="2"/>
      <c r="E7" s="2"/>
      <c r="F7" s="2"/>
      <c r="G7" s="2"/>
      <c r="H7" s="2"/>
      <c r="I7" s="21"/>
    </row>
    <row r="8" spans="1:9" ht="18" customHeight="1" x14ac:dyDescent="0.2">
      <c r="A8" s="1" t="s">
        <v>3</v>
      </c>
      <c r="B8" s="10" t="s">
        <v>87</v>
      </c>
      <c r="E8" s="3"/>
      <c r="F8" s="3"/>
      <c r="G8" s="3"/>
      <c r="H8" s="17">
        <v>2</v>
      </c>
      <c r="I8" s="10" t="s">
        <v>1</v>
      </c>
    </row>
    <row r="9" spans="1:9" ht="9" customHeight="1" x14ac:dyDescent="0.2">
      <c r="B9" s="3"/>
      <c r="C9" s="3"/>
      <c r="D9" s="3"/>
      <c r="E9" s="3"/>
      <c r="F9" s="3"/>
      <c r="G9" s="3"/>
      <c r="H9" s="3"/>
      <c r="I9" s="3"/>
    </row>
    <row r="10" spans="1:9" ht="18" customHeight="1" x14ac:dyDescent="0.2">
      <c r="A10" s="1" t="s">
        <v>4</v>
      </c>
      <c r="B10" s="10" t="s">
        <v>88</v>
      </c>
      <c r="C10" s="3"/>
      <c r="D10" s="3"/>
      <c r="E10" s="3"/>
      <c r="F10" s="3"/>
      <c r="G10" s="3"/>
      <c r="H10" s="3"/>
      <c r="I10" s="3"/>
    </row>
    <row r="11" spans="1:9" ht="18" customHeight="1" x14ac:dyDescent="0.2">
      <c r="B11" s="18" t="s">
        <v>41</v>
      </c>
      <c r="C11" s="345" t="s">
        <v>153</v>
      </c>
      <c r="D11" s="346"/>
      <c r="E11" s="347"/>
      <c r="F11" s="21"/>
      <c r="G11" s="18" t="s">
        <v>10</v>
      </c>
      <c r="H11" s="345" t="s">
        <v>159</v>
      </c>
      <c r="I11" s="347"/>
    </row>
    <row r="12" spans="1:9" ht="10.199999999999999" customHeight="1" x14ac:dyDescent="0.2">
      <c r="B12" s="18"/>
      <c r="C12" s="10"/>
      <c r="D12" s="21"/>
      <c r="E12" s="21"/>
      <c r="F12" s="21"/>
      <c r="G12" s="18"/>
      <c r="H12" s="10"/>
      <c r="I12" s="21"/>
    </row>
    <row r="13" spans="1:9" ht="18" customHeight="1" x14ac:dyDescent="0.2">
      <c r="A13" s="1" t="s">
        <v>7</v>
      </c>
      <c r="B13" s="10" t="s">
        <v>83</v>
      </c>
      <c r="C13" s="3"/>
      <c r="D13" s="3"/>
      <c r="E13" s="3"/>
      <c r="F13" s="3"/>
      <c r="G13" s="3"/>
      <c r="H13" s="3"/>
      <c r="I13" s="3"/>
    </row>
    <row r="14" spans="1:9" ht="33" customHeight="1" x14ac:dyDescent="0.2">
      <c r="B14" s="342" t="s">
        <v>211</v>
      </c>
      <c r="C14" s="343"/>
      <c r="D14" s="343"/>
      <c r="E14" s="343"/>
      <c r="F14" s="343"/>
      <c r="G14" s="343"/>
      <c r="H14" s="343"/>
      <c r="I14" s="344"/>
    </row>
    <row r="15" spans="1:9" ht="9" customHeight="1" x14ac:dyDescent="0.2">
      <c r="B15" s="3"/>
      <c r="C15" s="3"/>
      <c r="D15" s="3"/>
      <c r="E15" s="3"/>
      <c r="F15" s="3"/>
      <c r="G15" s="3"/>
      <c r="H15" s="3"/>
      <c r="I15" s="3"/>
    </row>
    <row r="16" spans="1:9" ht="18" customHeight="1" x14ac:dyDescent="0.2">
      <c r="B16" s="18" t="s">
        <v>41</v>
      </c>
      <c r="C16" s="345" t="s">
        <v>157</v>
      </c>
      <c r="D16" s="346"/>
      <c r="E16" s="347"/>
      <c r="F16" s="21"/>
      <c r="G16" s="18" t="s">
        <v>10</v>
      </c>
      <c r="H16" s="345" t="s">
        <v>159</v>
      </c>
      <c r="I16" s="347"/>
    </row>
    <row r="17" spans="1:9" ht="18" customHeight="1" x14ac:dyDescent="0.2">
      <c r="B17" s="3"/>
      <c r="C17" s="3"/>
      <c r="D17" s="3"/>
      <c r="E17" s="3"/>
      <c r="F17" s="3"/>
      <c r="G17" s="3"/>
      <c r="H17" s="3"/>
      <c r="I17" s="3"/>
    </row>
    <row r="18" spans="1:9" ht="18.75" customHeight="1" x14ac:dyDescent="0.2">
      <c r="A18" s="1" t="s">
        <v>5</v>
      </c>
      <c r="B18" s="1" t="s">
        <v>40</v>
      </c>
      <c r="I18" s="3"/>
    </row>
    <row r="19" spans="1:9" ht="45.75" customHeight="1" x14ac:dyDescent="0.2">
      <c r="A19" s="1"/>
      <c r="B19" s="328" t="s">
        <v>212</v>
      </c>
      <c r="C19" s="329"/>
      <c r="D19" s="329"/>
      <c r="E19" s="329"/>
      <c r="F19" s="329"/>
      <c r="G19" s="329"/>
      <c r="H19" s="329"/>
      <c r="I19" s="330"/>
    </row>
    <row r="20" spans="1:9" ht="7.5" customHeight="1" x14ac:dyDescent="0.2">
      <c r="B20" s="3"/>
      <c r="C20" s="3"/>
      <c r="D20" s="3"/>
      <c r="E20" s="3"/>
      <c r="F20" s="3"/>
      <c r="G20" s="3"/>
      <c r="H20" s="3"/>
      <c r="I20" s="3"/>
    </row>
    <row r="21" spans="1:9" ht="18.75" customHeight="1" x14ac:dyDescent="0.2">
      <c r="A21" s="1" t="s">
        <v>8</v>
      </c>
      <c r="B21" s="1" t="s">
        <v>24</v>
      </c>
    </row>
    <row r="22" spans="1:9" ht="18.75" customHeight="1" x14ac:dyDescent="0.2">
      <c r="A22" s="14"/>
      <c r="B22" s="331" t="s">
        <v>213</v>
      </c>
      <c r="C22" s="332"/>
      <c r="D22" s="332"/>
      <c r="E22" s="332"/>
      <c r="F22" s="332"/>
      <c r="G22" s="332"/>
      <c r="H22" s="332"/>
      <c r="I22" s="333"/>
    </row>
    <row r="23" spans="1:9" ht="18.75" customHeight="1" x14ac:dyDescent="0.2">
      <c r="A23" s="14"/>
      <c r="B23" s="334"/>
      <c r="C23" s="335"/>
      <c r="D23" s="335"/>
      <c r="E23" s="335"/>
      <c r="F23" s="335"/>
      <c r="G23" s="335"/>
      <c r="H23" s="335"/>
      <c r="I23" s="336"/>
    </row>
    <row r="24" spans="1:9" ht="18.75" customHeight="1" x14ac:dyDescent="0.2">
      <c r="A24" s="14"/>
      <c r="B24" s="334"/>
      <c r="C24" s="335"/>
      <c r="D24" s="335"/>
      <c r="E24" s="335"/>
      <c r="F24" s="335"/>
      <c r="G24" s="335"/>
      <c r="H24" s="335"/>
      <c r="I24" s="336"/>
    </row>
    <row r="25" spans="1:9" ht="18.75" customHeight="1" x14ac:dyDescent="0.2">
      <c r="A25" s="14"/>
      <c r="B25" s="334"/>
      <c r="C25" s="335"/>
      <c r="D25" s="335"/>
      <c r="E25" s="335"/>
      <c r="F25" s="335"/>
      <c r="G25" s="335"/>
      <c r="H25" s="335"/>
      <c r="I25" s="336"/>
    </row>
    <row r="26" spans="1:9" ht="18.75" customHeight="1" x14ac:dyDescent="0.2">
      <c r="A26" s="14"/>
      <c r="B26" s="334"/>
      <c r="C26" s="335"/>
      <c r="D26" s="335"/>
      <c r="E26" s="335"/>
      <c r="F26" s="335"/>
      <c r="G26" s="335"/>
      <c r="H26" s="335"/>
      <c r="I26" s="336"/>
    </row>
    <row r="27" spans="1:9" ht="18.75" customHeight="1" x14ac:dyDescent="0.2">
      <c r="A27" s="14"/>
      <c r="B27" s="334"/>
      <c r="C27" s="335"/>
      <c r="D27" s="335"/>
      <c r="E27" s="335"/>
      <c r="F27" s="335"/>
      <c r="G27" s="335"/>
      <c r="H27" s="335"/>
      <c r="I27" s="336"/>
    </row>
    <row r="28" spans="1:9" ht="18.75" customHeight="1" x14ac:dyDescent="0.2">
      <c r="A28" s="14"/>
      <c r="B28" s="334"/>
      <c r="C28" s="335"/>
      <c r="D28" s="335"/>
      <c r="E28" s="335"/>
      <c r="F28" s="335"/>
      <c r="G28" s="335"/>
      <c r="H28" s="335"/>
      <c r="I28" s="336"/>
    </row>
    <row r="29" spans="1:9" ht="18.75" customHeight="1" x14ac:dyDescent="0.2">
      <c r="A29" s="14"/>
      <c r="B29" s="334"/>
      <c r="C29" s="335"/>
      <c r="D29" s="335"/>
      <c r="E29" s="335"/>
      <c r="F29" s="335"/>
      <c r="G29" s="335"/>
      <c r="H29" s="335"/>
      <c r="I29" s="336"/>
    </row>
    <row r="30" spans="1:9" ht="15.75" customHeight="1" x14ac:dyDescent="0.2">
      <c r="A30" s="14"/>
      <c r="B30" s="337"/>
      <c r="C30" s="338"/>
      <c r="D30" s="338"/>
      <c r="E30" s="338"/>
      <c r="F30" s="338"/>
      <c r="G30" s="338"/>
      <c r="H30" s="338"/>
      <c r="I30" s="336"/>
    </row>
    <row r="31" spans="1:9" ht="14.25" customHeight="1" x14ac:dyDescent="0.2">
      <c r="A31" s="14"/>
      <c r="B31" s="337"/>
      <c r="C31" s="338"/>
      <c r="D31" s="338"/>
      <c r="E31" s="338"/>
      <c r="F31" s="338"/>
      <c r="G31" s="338"/>
      <c r="H31" s="338"/>
      <c r="I31" s="336"/>
    </row>
    <row r="32" spans="1:9" ht="12" customHeight="1" x14ac:dyDescent="0.2">
      <c r="A32" s="14"/>
      <c r="B32" s="339"/>
      <c r="C32" s="340"/>
      <c r="D32" s="340"/>
      <c r="E32" s="340"/>
      <c r="F32" s="340"/>
      <c r="G32" s="340"/>
      <c r="H32" s="340"/>
      <c r="I32" s="341"/>
    </row>
    <row r="33" spans="1:9" ht="7.5" customHeight="1" x14ac:dyDescent="0.2">
      <c r="A33" s="14"/>
      <c r="B33" s="14" t="s">
        <v>172</v>
      </c>
      <c r="C33" s="14"/>
      <c r="D33" s="14"/>
      <c r="E33" s="14"/>
      <c r="F33" s="14"/>
      <c r="G33" s="14"/>
      <c r="H33" s="14"/>
      <c r="I33" s="14"/>
    </row>
    <row r="34" spans="1:9" ht="18.75" customHeight="1" x14ac:dyDescent="0.2">
      <c r="A34" s="15" t="s">
        <v>6</v>
      </c>
      <c r="B34" s="15" t="s">
        <v>9</v>
      </c>
      <c r="C34" s="10"/>
      <c r="D34" s="15"/>
      <c r="E34" s="15"/>
      <c r="F34" s="15"/>
      <c r="G34" s="15"/>
      <c r="H34" s="15"/>
      <c r="I34" s="15"/>
    </row>
    <row r="35" spans="1:9" ht="18.75" customHeight="1" x14ac:dyDescent="0.2">
      <c r="A35" s="14"/>
      <c r="B35" s="331" t="s">
        <v>158</v>
      </c>
      <c r="C35" s="332"/>
      <c r="D35" s="332"/>
      <c r="E35" s="332"/>
      <c r="F35" s="332"/>
      <c r="G35" s="332"/>
      <c r="H35" s="332"/>
      <c r="I35" s="333"/>
    </row>
    <row r="36" spans="1:9" ht="18.75" customHeight="1" x14ac:dyDescent="0.2">
      <c r="A36" s="14"/>
      <c r="B36" s="337"/>
      <c r="C36" s="338"/>
      <c r="D36" s="338"/>
      <c r="E36" s="338"/>
      <c r="F36" s="338"/>
      <c r="G36" s="338"/>
      <c r="H36" s="338"/>
      <c r="I36" s="336"/>
    </row>
    <row r="37" spans="1:9" ht="18.75" customHeight="1" x14ac:dyDescent="0.2">
      <c r="A37" s="14"/>
      <c r="B37" s="337"/>
      <c r="C37" s="338"/>
      <c r="D37" s="338"/>
      <c r="E37" s="338"/>
      <c r="F37" s="338"/>
      <c r="G37" s="338"/>
      <c r="H37" s="338"/>
      <c r="I37" s="336"/>
    </row>
    <row r="38" spans="1:9" ht="18.75" customHeight="1" x14ac:dyDescent="0.2">
      <c r="A38" s="14"/>
      <c r="B38" s="337"/>
      <c r="C38" s="338"/>
      <c r="D38" s="338"/>
      <c r="E38" s="338"/>
      <c r="F38" s="338"/>
      <c r="G38" s="338"/>
      <c r="H38" s="338"/>
      <c r="I38" s="336"/>
    </row>
    <row r="39" spans="1:9" ht="18.75" customHeight="1" x14ac:dyDescent="0.2">
      <c r="A39" s="14"/>
      <c r="B39" s="337"/>
      <c r="C39" s="338"/>
      <c r="D39" s="338"/>
      <c r="E39" s="338"/>
      <c r="F39" s="338"/>
      <c r="G39" s="338"/>
      <c r="H39" s="338"/>
      <c r="I39" s="336"/>
    </row>
    <row r="40" spans="1:9" ht="18.75" customHeight="1" x14ac:dyDescent="0.2">
      <c r="A40" s="14"/>
      <c r="B40" s="337"/>
      <c r="C40" s="338"/>
      <c r="D40" s="338"/>
      <c r="E40" s="338"/>
      <c r="F40" s="338"/>
      <c r="G40" s="338"/>
      <c r="H40" s="338"/>
      <c r="I40" s="336"/>
    </row>
    <row r="41" spans="1:9" ht="14.25" customHeight="1" x14ac:dyDescent="0.2">
      <c r="A41" s="14"/>
      <c r="B41" s="337"/>
      <c r="C41" s="338"/>
      <c r="D41" s="338"/>
      <c r="E41" s="338"/>
      <c r="F41" s="338"/>
      <c r="G41" s="338"/>
      <c r="H41" s="338"/>
      <c r="I41" s="336"/>
    </row>
    <row r="42" spans="1:9" ht="18.75" customHeight="1" x14ac:dyDescent="0.2">
      <c r="A42" s="14"/>
      <c r="B42" s="337"/>
      <c r="C42" s="338"/>
      <c r="D42" s="338"/>
      <c r="E42" s="338"/>
      <c r="F42" s="338"/>
      <c r="G42" s="338"/>
      <c r="H42" s="338"/>
      <c r="I42" s="336"/>
    </row>
    <row r="43" spans="1:9" ht="18.75" customHeight="1" x14ac:dyDescent="0.2">
      <c r="A43" s="14"/>
      <c r="B43" s="337"/>
      <c r="C43" s="338"/>
      <c r="D43" s="338"/>
      <c r="E43" s="338"/>
      <c r="F43" s="338"/>
      <c r="G43" s="338"/>
      <c r="H43" s="338"/>
      <c r="I43" s="336"/>
    </row>
    <row r="44" spans="1:9" ht="18.75" customHeight="1" x14ac:dyDescent="0.2">
      <c r="A44" s="14"/>
      <c r="B44" s="337"/>
      <c r="C44" s="338"/>
      <c r="D44" s="338"/>
      <c r="E44" s="338"/>
      <c r="F44" s="338"/>
      <c r="G44" s="338"/>
      <c r="H44" s="338"/>
      <c r="I44" s="336"/>
    </row>
    <row r="45" spans="1:9" ht="18.75" customHeight="1" x14ac:dyDescent="0.2">
      <c r="A45" s="14"/>
      <c r="B45" s="337"/>
      <c r="C45" s="338"/>
      <c r="D45" s="338"/>
      <c r="E45" s="338"/>
      <c r="F45" s="338"/>
      <c r="G45" s="338"/>
      <c r="H45" s="338"/>
      <c r="I45" s="336"/>
    </row>
    <row r="46" spans="1:9" ht="18.75" customHeight="1" x14ac:dyDescent="0.2">
      <c r="A46" s="14"/>
      <c r="B46" s="339"/>
      <c r="C46" s="340"/>
      <c r="D46" s="340"/>
      <c r="E46" s="340"/>
      <c r="F46" s="340"/>
      <c r="G46" s="340"/>
      <c r="H46" s="340"/>
      <c r="I46" s="341"/>
    </row>
    <row r="47" spans="1:9" ht="7.5" customHeight="1" x14ac:dyDescent="0.2">
      <c r="A47" s="4"/>
      <c r="B47" s="4"/>
      <c r="C47" s="4"/>
      <c r="D47" s="4"/>
      <c r="E47" s="4"/>
      <c r="F47" s="4"/>
      <c r="G47" s="4"/>
      <c r="H47" s="4"/>
      <c r="I47" s="4"/>
    </row>
    <row r="48" spans="1:9" ht="18.75" customHeight="1" x14ac:dyDescent="0.2">
      <c r="A48" s="1" t="s">
        <v>30</v>
      </c>
      <c r="B48" s="1" t="s">
        <v>110</v>
      </c>
    </row>
    <row r="49" spans="1:15" s="3" customFormat="1" ht="18.75" customHeight="1" x14ac:dyDescent="0.2">
      <c r="B49" s="79" t="s">
        <v>127</v>
      </c>
      <c r="C49" s="314">
        <f>'様式２ 履修者等数の実績'!S33</f>
        <v>0.22972972972972974</v>
      </c>
      <c r="D49" s="314"/>
      <c r="E49" s="79" t="s">
        <v>63</v>
      </c>
      <c r="F49" s="314">
        <v>0.4</v>
      </c>
      <c r="G49" s="314"/>
      <c r="H49" s="79" t="s">
        <v>64</v>
      </c>
      <c r="I49" s="77">
        <v>0.6</v>
      </c>
      <c r="J49" s="1"/>
      <c r="M49" s="1"/>
      <c r="N49" s="22"/>
    </row>
    <row r="50" spans="1:15" s="3" customFormat="1" ht="18.75" customHeight="1" x14ac:dyDescent="0.2">
      <c r="B50" s="78" t="s">
        <v>84</v>
      </c>
      <c r="C50" s="297">
        <v>0.8</v>
      </c>
      <c r="D50" s="297"/>
      <c r="E50" s="78" t="s">
        <v>128</v>
      </c>
      <c r="F50" s="297">
        <v>1</v>
      </c>
      <c r="G50" s="297"/>
      <c r="H50" s="78" t="s">
        <v>65</v>
      </c>
      <c r="I50" s="23">
        <f>'様式２ 履修者等数の実績'!E33</f>
        <v>740</v>
      </c>
      <c r="J50" s="1"/>
      <c r="M50" s="1"/>
      <c r="N50" s="22"/>
    </row>
    <row r="51" spans="1:15" ht="18.75" customHeight="1" x14ac:dyDescent="0.2">
      <c r="A51" s="1"/>
      <c r="B51" s="350" t="s">
        <v>66</v>
      </c>
      <c r="C51" s="351"/>
      <c r="D51" s="351"/>
      <c r="E51" s="351"/>
      <c r="F51" s="351"/>
      <c r="G51" s="351"/>
      <c r="H51" s="351"/>
      <c r="I51" s="352"/>
      <c r="N51" s="22"/>
      <c r="O51" s="3"/>
    </row>
    <row r="52" spans="1:15" ht="18.75" customHeight="1" x14ac:dyDescent="0.2">
      <c r="A52" s="1"/>
      <c r="B52" s="315" t="s">
        <v>214</v>
      </c>
      <c r="C52" s="316"/>
      <c r="D52" s="316"/>
      <c r="E52" s="316"/>
      <c r="F52" s="316"/>
      <c r="G52" s="316"/>
      <c r="H52" s="316"/>
      <c r="I52" s="317"/>
      <c r="N52" s="22"/>
      <c r="O52" s="3"/>
    </row>
    <row r="53" spans="1:15" ht="18.75" customHeight="1" x14ac:dyDescent="0.2">
      <c r="A53" s="1"/>
      <c r="B53" s="318"/>
      <c r="C53" s="319"/>
      <c r="D53" s="319"/>
      <c r="E53" s="319"/>
      <c r="F53" s="319"/>
      <c r="G53" s="319"/>
      <c r="H53" s="319"/>
      <c r="I53" s="320"/>
      <c r="N53" s="22"/>
      <c r="O53" s="3"/>
    </row>
    <row r="54" spans="1:15" ht="18.75" customHeight="1" x14ac:dyDescent="0.2">
      <c r="A54" s="1"/>
      <c r="B54" s="318"/>
      <c r="C54" s="319"/>
      <c r="D54" s="319"/>
      <c r="E54" s="319"/>
      <c r="F54" s="319"/>
      <c r="G54" s="319"/>
      <c r="H54" s="319"/>
      <c r="I54" s="320"/>
    </row>
    <row r="55" spans="1:15" ht="18.75" customHeight="1" x14ac:dyDescent="0.2">
      <c r="A55" s="1"/>
      <c r="B55" s="318"/>
      <c r="C55" s="319"/>
      <c r="D55" s="319"/>
      <c r="E55" s="319"/>
      <c r="F55" s="319"/>
      <c r="G55" s="319"/>
      <c r="H55" s="319"/>
      <c r="I55" s="320"/>
    </row>
    <row r="56" spans="1:15" ht="18.75" customHeight="1" x14ac:dyDescent="0.2">
      <c r="A56" s="1"/>
      <c r="B56" s="318"/>
      <c r="C56" s="319"/>
      <c r="D56" s="319"/>
      <c r="E56" s="319"/>
      <c r="F56" s="319"/>
      <c r="G56" s="319"/>
      <c r="H56" s="319"/>
      <c r="I56" s="320"/>
    </row>
    <row r="57" spans="1:15" ht="18.75" customHeight="1" x14ac:dyDescent="0.2">
      <c r="A57" s="1"/>
      <c r="B57" s="318"/>
      <c r="C57" s="319"/>
      <c r="D57" s="319"/>
      <c r="E57" s="319"/>
      <c r="F57" s="319"/>
      <c r="G57" s="319"/>
      <c r="H57" s="319"/>
      <c r="I57" s="320"/>
    </row>
    <row r="58" spans="1:15" ht="18.75" customHeight="1" x14ac:dyDescent="0.2">
      <c r="A58" s="1"/>
      <c r="B58" s="318"/>
      <c r="C58" s="319"/>
      <c r="D58" s="319"/>
      <c r="E58" s="319"/>
      <c r="F58" s="319"/>
      <c r="G58" s="319"/>
      <c r="H58" s="319"/>
      <c r="I58" s="320"/>
    </row>
    <row r="59" spans="1:15" ht="18.75" customHeight="1" x14ac:dyDescent="0.2">
      <c r="A59" s="1"/>
      <c r="B59" s="318"/>
      <c r="C59" s="319"/>
      <c r="D59" s="319"/>
      <c r="E59" s="319"/>
      <c r="F59" s="319"/>
      <c r="G59" s="319"/>
      <c r="H59" s="319"/>
      <c r="I59" s="320"/>
    </row>
    <row r="60" spans="1:15" ht="18.75" customHeight="1" x14ac:dyDescent="0.2">
      <c r="A60" s="1"/>
      <c r="B60" s="318"/>
      <c r="C60" s="319"/>
      <c r="D60" s="319"/>
      <c r="E60" s="319"/>
      <c r="F60" s="319"/>
      <c r="G60" s="319"/>
      <c r="H60" s="319"/>
      <c r="I60" s="320"/>
    </row>
    <row r="61" spans="1:15" ht="18.75" customHeight="1" x14ac:dyDescent="0.2">
      <c r="A61" s="1"/>
      <c r="B61" s="318"/>
      <c r="C61" s="319"/>
      <c r="D61" s="319"/>
      <c r="E61" s="319"/>
      <c r="F61" s="319"/>
      <c r="G61" s="319"/>
      <c r="H61" s="319"/>
      <c r="I61" s="320"/>
    </row>
    <row r="62" spans="1:15" ht="18.75" customHeight="1" x14ac:dyDescent="0.2">
      <c r="A62" s="1"/>
      <c r="B62" s="318"/>
      <c r="C62" s="319"/>
      <c r="D62" s="319"/>
      <c r="E62" s="319"/>
      <c r="F62" s="319"/>
      <c r="G62" s="319"/>
      <c r="H62" s="319"/>
      <c r="I62" s="320"/>
    </row>
    <row r="63" spans="1:15" ht="18.75" customHeight="1" x14ac:dyDescent="0.2">
      <c r="A63" s="1"/>
      <c r="B63" s="321"/>
      <c r="C63" s="322"/>
      <c r="D63" s="322"/>
      <c r="E63" s="322"/>
      <c r="F63" s="322"/>
      <c r="G63" s="322"/>
      <c r="H63" s="322"/>
      <c r="I63" s="323"/>
    </row>
    <row r="64" spans="1:15" ht="7.5" customHeight="1" x14ac:dyDescent="0.2">
      <c r="A64" s="14"/>
      <c r="B64" s="14"/>
      <c r="C64" s="14"/>
      <c r="D64" s="14"/>
      <c r="E64" s="14"/>
      <c r="F64" s="14"/>
      <c r="G64" s="14"/>
      <c r="H64" s="14"/>
      <c r="I64" s="14"/>
    </row>
    <row r="65" spans="1:9" ht="18.75" customHeight="1" x14ac:dyDescent="0.2">
      <c r="A65" s="15" t="s">
        <v>33</v>
      </c>
      <c r="B65" s="1" t="s">
        <v>36</v>
      </c>
      <c r="I65" s="15"/>
    </row>
    <row r="66" spans="1:9" ht="18.75" customHeight="1" x14ac:dyDescent="0.2">
      <c r="A66" s="4"/>
      <c r="B66" s="298" t="s">
        <v>154</v>
      </c>
      <c r="C66" s="299"/>
      <c r="D66" s="299"/>
      <c r="E66" s="299"/>
      <c r="F66" s="299"/>
      <c r="G66" s="299"/>
      <c r="H66" s="299"/>
      <c r="I66" s="300"/>
    </row>
    <row r="67" spans="1:9" ht="18.75" customHeight="1" x14ac:dyDescent="0.2">
      <c r="A67" s="4"/>
      <c r="B67" s="301"/>
      <c r="C67" s="302"/>
      <c r="D67" s="302"/>
      <c r="E67" s="302"/>
      <c r="F67" s="302"/>
      <c r="G67" s="302"/>
      <c r="H67" s="302"/>
      <c r="I67" s="303"/>
    </row>
    <row r="68" spans="1:9" ht="18.75" customHeight="1" x14ac:dyDescent="0.2">
      <c r="A68" s="4"/>
      <c r="B68" s="301"/>
      <c r="C68" s="302"/>
      <c r="D68" s="302"/>
      <c r="E68" s="302"/>
      <c r="F68" s="302"/>
      <c r="G68" s="302"/>
      <c r="H68" s="302"/>
      <c r="I68" s="303"/>
    </row>
    <row r="69" spans="1:9" ht="18.75" customHeight="1" x14ac:dyDescent="0.2">
      <c r="A69" s="4"/>
      <c r="B69" s="301"/>
      <c r="C69" s="302"/>
      <c r="D69" s="302"/>
      <c r="E69" s="302"/>
      <c r="F69" s="302"/>
      <c r="G69" s="302"/>
      <c r="H69" s="302"/>
      <c r="I69" s="303"/>
    </row>
    <row r="70" spans="1:9" ht="18.75" customHeight="1" x14ac:dyDescent="0.2">
      <c r="A70" s="4"/>
      <c r="B70" s="301"/>
      <c r="C70" s="302"/>
      <c r="D70" s="302"/>
      <c r="E70" s="302"/>
      <c r="F70" s="302"/>
      <c r="G70" s="302"/>
      <c r="H70" s="302"/>
      <c r="I70" s="303"/>
    </row>
    <row r="71" spans="1:9" ht="18.75" customHeight="1" x14ac:dyDescent="0.2">
      <c r="A71" s="4"/>
      <c r="B71" s="301"/>
      <c r="C71" s="302"/>
      <c r="D71" s="302"/>
      <c r="E71" s="302"/>
      <c r="F71" s="302"/>
      <c r="G71" s="302"/>
      <c r="H71" s="302"/>
      <c r="I71" s="303"/>
    </row>
    <row r="72" spans="1:9" ht="18.75" customHeight="1" x14ac:dyDescent="0.2">
      <c r="A72" s="4"/>
      <c r="B72" s="301"/>
      <c r="C72" s="302"/>
      <c r="D72" s="302"/>
      <c r="E72" s="302"/>
      <c r="F72" s="302"/>
      <c r="G72" s="302"/>
      <c r="H72" s="302"/>
      <c r="I72" s="303"/>
    </row>
    <row r="73" spans="1:9" ht="18.75" customHeight="1" x14ac:dyDescent="0.2">
      <c r="A73" s="4"/>
      <c r="B73" s="301"/>
      <c r="C73" s="302"/>
      <c r="D73" s="302"/>
      <c r="E73" s="302"/>
      <c r="F73" s="302"/>
      <c r="G73" s="302"/>
      <c r="H73" s="302"/>
      <c r="I73" s="303"/>
    </row>
    <row r="74" spans="1:9" ht="18.75" customHeight="1" x14ac:dyDescent="0.2">
      <c r="A74" s="4"/>
      <c r="B74" s="301"/>
      <c r="C74" s="302"/>
      <c r="D74" s="302"/>
      <c r="E74" s="302"/>
      <c r="F74" s="302"/>
      <c r="G74" s="302"/>
      <c r="H74" s="302"/>
      <c r="I74" s="303"/>
    </row>
    <row r="75" spans="1:9" ht="18.75" customHeight="1" x14ac:dyDescent="0.2">
      <c r="A75" s="4"/>
      <c r="B75" s="301"/>
      <c r="C75" s="302"/>
      <c r="D75" s="302"/>
      <c r="E75" s="302"/>
      <c r="F75" s="302"/>
      <c r="G75" s="302"/>
      <c r="H75" s="302"/>
      <c r="I75" s="303"/>
    </row>
    <row r="76" spans="1:9" ht="18.75" customHeight="1" x14ac:dyDescent="0.2">
      <c r="A76" s="4"/>
      <c r="B76" s="301"/>
      <c r="C76" s="302"/>
      <c r="D76" s="302"/>
      <c r="E76" s="302"/>
      <c r="F76" s="302"/>
      <c r="G76" s="302"/>
      <c r="H76" s="302"/>
      <c r="I76" s="303"/>
    </row>
    <row r="77" spans="1:9" ht="18.75" customHeight="1" x14ac:dyDescent="0.2">
      <c r="A77" s="4"/>
      <c r="B77" s="304"/>
      <c r="C77" s="305"/>
      <c r="D77" s="305"/>
      <c r="E77" s="305"/>
      <c r="F77" s="305"/>
      <c r="G77" s="305"/>
      <c r="H77" s="305"/>
      <c r="I77" s="306"/>
    </row>
    <row r="78" spans="1:9" ht="7.5" customHeight="1" x14ac:dyDescent="0.2">
      <c r="A78" s="4"/>
      <c r="B78" s="4"/>
      <c r="C78" s="4"/>
      <c r="D78" s="4"/>
      <c r="E78" s="4"/>
      <c r="F78" s="4"/>
      <c r="G78" s="4"/>
      <c r="H78" s="4"/>
      <c r="I78" s="4"/>
    </row>
    <row r="79" spans="1:9" ht="18.75" customHeight="1" x14ac:dyDescent="0.2">
      <c r="A79" s="1" t="s">
        <v>11</v>
      </c>
      <c r="B79" s="1" t="s">
        <v>39</v>
      </c>
    </row>
    <row r="80" spans="1:9" ht="18.75" customHeight="1" x14ac:dyDescent="0.2">
      <c r="A80" s="1"/>
      <c r="B80" s="298" t="s">
        <v>210</v>
      </c>
      <c r="C80" s="299"/>
      <c r="D80" s="299"/>
      <c r="E80" s="299"/>
      <c r="F80" s="299"/>
      <c r="G80" s="299"/>
      <c r="H80" s="299"/>
      <c r="I80" s="307"/>
    </row>
    <row r="81" spans="1:9" ht="18.75" customHeight="1" x14ac:dyDescent="0.2">
      <c r="A81" s="1"/>
      <c r="B81" s="308"/>
      <c r="C81" s="309"/>
      <c r="D81" s="309"/>
      <c r="E81" s="309"/>
      <c r="F81" s="309"/>
      <c r="G81" s="309"/>
      <c r="H81" s="309"/>
      <c r="I81" s="310"/>
    </row>
    <row r="82" spans="1:9" ht="18.75" customHeight="1" x14ac:dyDescent="0.2">
      <c r="A82" s="1"/>
      <c r="B82" s="308"/>
      <c r="C82" s="309"/>
      <c r="D82" s="309"/>
      <c r="E82" s="309"/>
      <c r="F82" s="309"/>
      <c r="G82" s="309"/>
      <c r="H82" s="309"/>
      <c r="I82" s="310"/>
    </row>
    <row r="83" spans="1:9" ht="18.75" customHeight="1" x14ac:dyDescent="0.2">
      <c r="A83" s="1"/>
      <c r="B83" s="308"/>
      <c r="C83" s="309"/>
      <c r="D83" s="309"/>
      <c r="E83" s="309"/>
      <c r="F83" s="309"/>
      <c r="G83" s="309"/>
      <c r="H83" s="309"/>
      <c r="I83" s="310"/>
    </row>
    <row r="84" spans="1:9" ht="18.75" customHeight="1" x14ac:dyDescent="0.2">
      <c r="A84" s="1"/>
      <c r="B84" s="308"/>
      <c r="C84" s="309"/>
      <c r="D84" s="309"/>
      <c r="E84" s="309"/>
      <c r="F84" s="309"/>
      <c r="G84" s="309"/>
      <c r="H84" s="309"/>
      <c r="I84" s="310"/>
    </row>
    <row r="85" spans="1:9" ht="18.75" customHeight="1" x14ac:dyDescent="0.2">
      <c r="A85" s="1"/>
      <c r="B85" s="308"/>
      <c r="C85" s="309"/>
      <c r="D85" s="309"/>
      <c r="E85" s="309"/>
      <c r="F85" s="309"/>
      <c r="G85" s="309"/>
      <c r="H85" s="309"/>
      <c r="I85" s="310"/>
    </row>
    <row r="86" spans="1:9" ht="18.75" customHeight="1" x14ac:dyDescent="0.2">
      <c r="A86" s="1"/>
      <c r="B86" s="308"/>
      <c r="C86" s="309"/>
      <c r="D86" s="309"/>
      <c r="E86" s="309"/>
      <c r="F86" s="309"/>
      <c r="G86" s="309"/>
      <c r="H86" s="309"/>
      <c r="I86" s="310"/>
    </row>
    <row r="87" spans="1:9" ht="18.75" customHeight="1" x14ac:dyDescent="0.2">
      <c r="A87" s="1"/>
      <c r="B87" s="308"/>
      <c r="C87" s="309"/>
      <c r="D87" s="309"/>
      <c r="E87" s="309"/>
      <c r="F87" s="309"/>
      <c r="G87" s="309"/>
      <c r="H87" s="309"/>
      <c r="I87" s="310"/>
    </row>
    <row r="88" spans="1:9" ht="18.75" customHeight="1" x14ac:dyDescent="0.2">
      <c r="A88" s="1"/>
      <c r="B88" s="308"/>
      <c r="C88" s="309"/>
      <c r="D88" s="309"/>
      <c r="E88" s="309"/>
      <c r="F88" s="309"/>
      <c r="G88" s="309"/>
      <c r="H88" s="309"/>
      <c r="I88" s="310"/>
    </row>
    <row r="89" spans="1:9" ht="18.75" customHeight="1" x14ac:dyDescent="0.2">
      <c r="A89" s="1"/>
      <c r="B89" s="308"/>
      <c r="C89" s="309"/>
      <c r="D89" s="309"/>
      <c r="E89" s="309"/>
      <c r="F89" s="309"/>
      <c r="G89" s="309"/>
      <c r="H89" s="309"/>
      <c r="I89" s="310"/>
    </row>
    <row r="90" spans="1:9" ht="18.75" customHeight="1" x14ac:dyDescent="0.2">
      <c r="A90" s="4"/>
      <c r="B90" s="308"/>
      <c r="C90" s="309"/>
      <c r="D90" s="309"/>
      <c r="E90" s="309"/>
      <c r="F90" s="309"/>
      <c r="G90" s="309"/>
      <c r="H90" s="309"/>
      <c r="I90" s="310"/>
    </row>
    <row r="91" spans="1:9" ht="18.75" customHeight="1" x14ac:dyDescent="0.2">
      <c r="A91" s="4"/>
      <c r="B91" s="311"/>
      <c r="C91" s="312"/>
      <c r="D91" s="312"/>
      <c r="E91" s="312"/>
      <c r="F91" s="312"/>
      <c r="G91" s="312"/>
      <c r="H91" s="312"/>
      <c r="I91" s="313"/>
    </row>
    <row r="92" spans="1:9" ht="7.5" customHeight="1" x14ac:dyDescent="0.2">
      <c r="A92" s="4"/>
      <c r="B92" s="4"/>
      <c r="C92" s="4"/>
      <c r="D92" s="4"/>
      <c r="E92" s="4"/>
      <c r="F92" s="4"/>
      <c r="G92" s="4"/>
      <c r="H92" s="4"/>
      <c r="I92" s="4"/>
    </row>
    <row r="93" spans="1:9" ht="18.75" customHeight="1" x14ac:dyDescent="0.2">
      <c r="A93" s="1" t="s">
        <v>42</v>
      </c>
      <c r="B93" s="1" t="s">
        <v>12</v>
      </c>
    </row>
    <row r="94" spans="1:9" ht="18.75" customHeight="1" x14ac:dyDescent="0.2">
      <c r="A94" s="1"/>
      <c r="B94" s="331" t="s">
        <v>178</v>
      </c>
      <c r="C94" s="332"/>
      <c r="D94" s="332"/>
      <c r="E94" s="332"/>
      <c r="F94" s="332"/>
      <c r="G94" s="332"/>
      <c r="H94" s="332"/>
      <c r="I94" s="333"/>
    </row>
    <row r="95" spans="1:9" ht="18.75" customHeight="1" x14ac:dyDescent="0.2">
      <c r="A95" s="1"/>
      <c r="B95" s="337"/>
      <c r="C95" s="338"/>
      <c r="D95" s="338"/>
      <c r="E95" s="338"/>
      <c r="F95" s="338"/>
      <c r="G95" s="338"/>
      <c r="H95" s="338"/>
      <c r="I95" s="336"/>
    </row>
    <row r="96" spans="1:9" ht="18.75" customHeight="1" x14ac:dyDescent="0.2">
      <c r="A96" s="1"/>
      <c r="B96" s="337"/>
      <c r="C96" s="338"/>
      <c r="D96" s="338"/>
      <c r="E96" s="338"/>
      <c r="F96" s="338"/>
      <c r="G96" s="338"/>
      <c r="H96" s="338"/>
      <c r="I96" s="336"/>
    </row>
    <row r="97" spans="1:9" ht="18.75" customHeight="1" x14ac:dyDescent="0.2">
      <c r="A97" s="1"/>
      <c r="B97" s="337"/>
      <c r="C97" s="338"/>
      <c r="D97" s="338"/>
      <c r="E97" s="338"/>
      <c r="F97" s="338"/>
      <c r="G97" s="338"/>
      <c r="H97" s="338"/>
      <c r="I97" s="336"/>
    </row>
    <row r="98" spans="1:9" ht="18.75" customHeight="1" x14ac:dyDescent="0.2">
      <c r="A98" s="1"/>
      <c r="B98" s="337"/>
      <c r="C98" s="338"/>
      <c r="D98" s="338"/>
      <c r="E98" s="338"/>
      <c r="F98" s="338"/>
      <c r="G98" s="338"/>
      <c r="H98" s="338"/>
      <c r="I98" s="336"/>
    </row>
    <row r="99" spans="1:9" ht="18.75" customHeight="1" x14ac:dyDescent="0.2">
      <c r="A99" s="1"/>
      <c r="B99" s="337"/>
      <c r="C99" s="338"/>
      <c r="D99" s="338"/>
      <c r="E99" s="338"/>
      <c r="F99" s="338"/>
      <c r="G99" s="338"/>
      <c r="H99" s="338"/>
      <c r="I99" s="336"/>
    </row>
    <row r="100" spans="1:9" ht="18.75" customHeight="1" x14ac:dyDescent="0.2">
      <c r="A100" s="1"/>
      <c r="B100" s="337"/>
      <c r="C100" s="338"/>
      <c r="D100" s="338"/>
      <c r="E100" s="338"/>
      <c r="F100" s="338"/>
      <c r="G100" s="338"/>
      <c r="H100" s="338"/>
      <c r="I100" s="336"/>
    </row>
    <row r="101" spans="1:9" ht="18.75" customHeight="1" x14ac:dyDescent="0.2">
      <c r="A101" s="1"/>
      <c r="B101" s="337"/>
      <c r="C101" s="338"/>
      <c r="D101" s="338"/>
      <c r="E101" s="338"/>
      <c r="F101" s="338"/>
      <c r="G101" s="338"/>
      <c r="H101" s="338"/>
      <c r="I101" s="336"/>
    </row>
    <row r="102" spans="1:9" ht="18.75" customHeight="1" x14ac:dyDescent="0.2">
      <c r="A102" s="1"/>
      <c r="B102" s="337"/>
      <c r="C102" s="338"/>
      <c r="D102" s="338"/>
      <c r="E102" s="338"/>
      <c r="F102" s="338"/>
      <c r="G102" s="338"/>
      <c r="H102" s="338"/>
      <c r="I102" s="336"/>
    </row>
    <row r="103" spans="1:9" ht="18.75" customHeight="1" x14ac:dyDescent="0.2">
      <c r="A103" s="1"/>
      <c r="B103" s="337"/>
      <c r="C103" s="338"/>
      <c r="D103" s="338"/>
      <c r="E103" s="338"/>
      <c r="F103" s="338"/>
      <c r="G103" s="338"/>
      <c r="H103" s="338"/>
      <c r="I103" s="336"/>
    </row>
    <row r="104" spans="1:9" ht="18.75" customHeight="1" x14ac:dyDescent="0.2">
      <c r="A104" s="1"/>
      <c r="B104" s="337"/>
      <c r="C104" s="338"/>
      <c r="D104" s="338"/>
      <c r="E104" s="338"/>
      <c r="F104" s="338"/>
      <c r="G104" s="338"/>
      <c r="H104" s="338"/>
      <c r="I104" s="336"/>
    </row>
    <row r="105" spans="1:9" ht="18.75" customHeight="1" x14ac:dyDescent="0.2">
      <c r="A105" s="4"/>
      <c r="B105" s="339"/>
      <c r="C105" s="340"/>
      <c r="D105" s="340"/>
      <c r="E105" s="340"/>
      <c r="F105" s="340"/>
      <c r="G105" s="340"/>
      <c r="H105" s="340"/>
      <c r="I105" s="341"/>
    </row>
    <row r="106" spans="1:9" ht="7.5" customHeight="1" x14ac:dyDescent="0.2">
      <c r="A106" s="4"/>
      <c r="B106" s="4"/>
      <c r="C106" s="4"/>
      <c r="D106" s="4"/>
      <c r="E106" s="4"/>
      <c r="F106" s="4"/>
      <c r="G106" s="4"/>
      <c r="H106" s="4"/>
      <c r="I106" s="4"/>
    </row>
    <row r="107" spans="1:9" ht="18.75" customHeight="1" x14ac:dyDescent="0.2">
      <c r="A107" s="1" t="s">
        <v>29</v>
      </c>
      <c r="B107" s="349" t="s">
        <v>44</v>
      </c>
      <c r="C107" s="349"/>
      <c r="D107" s="349"/>
      <c r="E107" s="349"/>
      <c r="F107" s="349"/>
      <c r="G107" s="349"/>
      <c r="H107" s="349"/>
      <c r="I107" s="349"/>
    </row>
    <row r="108" spans="1:9" ht="18.75" customHeight="1" x14ac:dyDescent="0.2">
      <c r="A108" s="4"/>
      <c r="B108" s="331" t="s">
        <v>208</v>
      </c>
      <c r="C108" s="332"/>
      <c r="D108" s="332"/>
      <c r="E108" s="332"/>
      <c r="F108" s="332"/>
      <c r="G108" s="332"/>
      <c r="H108" s="332"/>
      <c r="I108" s="333"/>
    </row>
    <row r="109" spans="1:9" ht="18.75" customHeight="1" x14ac:dyDescent="0.2">
      <c r="A109" s="4"/>
      <c r="B109" s="337"/>
      <c r="C109" s="338"/>
      <c r="D109" s="338"/>
      <c r="E109" s="338"/>
      <c r="F109" s="338"/>
      <c r="G109" s="338"/>
      <c r="H109" s="338"/>
      <c r="I109" s="336"/>
    </row>
    <row r="110" spans="1:9" ht="18.75" customHeight="1" x14ac:dyDescent="0.2">
      <c r="A110" s="4"/>
      <c r="B110" s="337"/>
      <c r="C110" s="338"/>
      <c r="D110" s="338"/>
      <c r="E110" s="338"/>
      <c r="F110" s="338"/>
      <c r="G110" s="338"/>
      <c r="H110" s="338"/>
      <c r="I110" s="336"/>
    </row>
    <row r="111" spans="1:9" ht="18.75" customHeight="1" x14ac:dyDescent="0.2">
      <c r="A111" s="4"/>
      <c r="B111" s="337"/>
      <c r="C111" s="338"/>
      <c r="D111" s="338"/>
      <c r="E111" s="338"/>
      <c r="F111" s="338"/>
      <c r="G111" s="338"/>
      <c r="H111" s="338"/>
      <c r="I111" s="336"/>
    </row>
    <row r="112" spans="1:9" ht="18.75" customHeight="1" x14ac:dyDescent="0.2">
      <c r="A112" s="4"/>
      <c r="B112" s="337"/>
      <c r="C112" s="338"/>
      <c r="D112" s="338"/>
      <c r="E112" s="338"/>
      <c r="F112" s="338"/>
      <c r="G112" s="338"/>
      <c r="H112" s="338"/>
      <c r="I112" s="336"/>
    </row>
    <row r="113" spans="1:9" ht="18.75" customHeight="1" x14ac:dyDescent="0.2">
      <c r="A113" s="4"/>
      <c r="B113" s="337"/>
      <c r="C113" s="338"/>
      <c r="D113" s="338"/>
      <c r="E113" s="338"/>
      <c r="F113" s="338"/>
      <c r="G113" s="338"/>
      <c r="H113" s="338"/>
      <c r="I113" s="336"/>
    </row>
    <row r="114" spans="1:9" ht="18.75" customHeight="1" x14ac:dyDescent="0.2">
      <c r="A114" s="4"/>
      <c r="B114" s="337"/>
      <c r="C114" s="338"/>
      <c r="D114" s="338"/>
      <c r="E114" s="338"/>
      <c r="F114" s="338"/>
      <c r="G114" s="338"/>
      <c r="H114" s="338"/>
      <c r="I114" s="336"/>
    </row>
    <row r="115" spans="1:9" ht="18.75" customHeight="1" x14ac:dyDescent="0.2">
      <c r="A115" s="4"/>
      <c r="B115" s="337"/>
      <c r="C115" s="338"/>
      <c r="D115" s="338"/>
      <c r="E115" s="338"/>
      <c r="F115" s="338"/>
      <c r="G115" s="338"/>
      <c r="H115" s="338"/>
      <c r="I115" s="336"/>
    </row>
    <row r="116" spans="1:9" ht="18.75" customHeight="1" x14ac:dyDescent="0.2">
      <c r="A116" s="4"/>
      <c r="B116" s="337"/>
      <c r="C116" s="338"/>
      <c r="D116" s="338"/>
      <c r="E116" s="338"/>
      <c r="F116" s="338"/>
      <c r="G116" s="338"/>
      <c r="H116" s="338"/>
      <c r="I116" s="336"/>
    </row>
    <row r="117" spans="1:9" ht="18.75" customHeight="1" x14ac:dyDescent="0.2">
      <c r="A117" s="4"/>
      <c r="B117" s="337"/>
      <c r="C117" s="338"/>
      <c r="D117" s="338"/>
      <c r="E117" s="338"/>
      <c r="F117" s="338"/>
      <c r="G117" s="338"/>
      <c r="H117" s="338"/>
      <c r="I117" s="336"/>
    </row>
    <row r="118" spans="1:9" ht="18.75" customHeight="1" x14ac:dyDescent="0.2">
      <c r="A118" s="4"/>
      <c r="B118" s="337"/>
      <c r="C118" s="338"/>
      <c r="D118" s="338"/>
      <c r="E118" s="338"/>
      <c r="F118" s="338"/>
      <c r="G118" s="338"/>
      <c r="H118" s="338"/>
      <c r="I118" s="336"/>
    </row>
    <row r="119" spans="1:9" ht="18.75" customHeight="1" x14ac:dyDescent="0.2">
      <c r="A119" s="4"/>
      <c r="B119" s="339"/>
      <c r="C119" s="340"/>
      <c r="D119" s="340"/>
      <c r="E119" s="340"/>
      <c r="F119" s="340"/>
      <c r="G119" s="340"/>
      <c r="H119" s="340"/>
      <c r="I119" s="341"/>
    </row>
    <row r="120" spans="1:9" ht="7.5" customHeight="1" x14ac:dyDescent="0.2">
      <c r="A120" s="4"/>
      <c r="B120" s="24"/>
      <c r="C120" s="24"/>
      <c r="D120" s="24"/>
      <c r="E120" s="24"/>
      <c r="F120" s="24"/>
      <c r="G120" s="24"/>
      <c r="H120" s="24"/>
      <c r="I120" s="24"/>
    </row>
    <row r="121" spans="1:9" ht="18.75" customHeight="1" x14ac:dyDescent="0.2">
      <c r="A121" s="51"/>
      <c r="B121" s="324"/>
      <c r="C121" s="324"/>
      <c r="D121" s="324"/>
      <c r="E121" s="324"/>
      <c r="F121" s="324"/>
      <c r="G121" s="324"/>
      <c r="H121" s="324"/>
      <c r="I121" s="324"/>
    </row>
    <row r="122" spans="1:9" ht="18.75" customHeight="1" x14ac:dyDescent="0.2">
      <c r="A122" s="51"/>
      <c r="B122" s="324"/>
      <c r="C122" s="324"/>
      <c r="D122" s="324"/>
      <c r="E122" s="324"/>
      <c r="F122" s="324"/>
      <c r="G122" s="324"/>
      <c r="H122" s="324"/>
      <c r="I122" s="324"/>
    </row>
    <row r="123" spans="1:9" ht="18.75" customHeight="1" x14ac:dyDescent="0.2">
      <c r="A123" s="4"/>
      <c r="B123" s="52"/>
      <c r="C123" s="52"/>
      <c r="D123" s="52"/>
      <c r="E123" s="52"/>
      <c r="F123" s="52"/>
      <c r="G123" s="52"/>
      <c r="H123" s="52"/>
      <c r="I123" s="53"/>
    </row>
    <row r="124" spans="1:9" ht="18.75" customHeight="1" x14ac:dyDescent="0.2">
      <c r="A124" s="4"/>
      <c r="B124" s="53"/>
      <c r="C124" s="53"/>
      <c r="D124" s="53"/>
      <c r="E124" s="53"/>
      <c r="F124" s="53"/>
      <c r="G124" s="53"/>
      <c r="H124" s="53"/>
      <c r="I124" s="53"/>
    </row>
    <row r="125" spans="1:9" ht="18.75" customHeight="1" x14ac:dyDescent="0.2">
      <c r="A125" s="4"/>
      <c r="B125" s="53"/>
      <c r="C125" s="53"/>
      <c r="D125" s="53"/>
      <c r="E125" s="53"/>
      <c r="F125" s="53"/>
      <c r="G125" s="53"/>
      <c r="H125" s="53"/>
      <c r="I125" s="53"/>
    </row>
    <row r="126" spans="1:9" ht="18.75" customHeight="1" x14ac:dyDescent="0.2">
      <c r="A126" s="4"/>
      <c r="B126" s="53"/>
      <c r="C126" s="53"/>
      <c r="D126" s="53"/>
      <c r="E126" s="53"/>
      <c r="F126" s="53"/>
      <c r="G126" s="53"/>
      <c r="H126" s="53"/>
      <c r="I126" s="53"/>
    </row>
    <row r="127" spans="1:9" ht="18.75" customHeight="1" x14ac:dyDescent="0.2">
      <c r="A127" s="4"/>
      <c r="B127" s="53"/>
      <c r="C127" s="53"/>
      <c r="D127" s="53"/>
      <c r="E127" s="53"/>
      <c r="F127" s="53"/>
      <c r="G127" s="53"/>
      <c r="H127" s="53"/>
      <c r="I127" s="53"/>
    </row>
    <row r="128" spans="1:9" ht="18.75" customHeight="1" x14ac:dyDescent="0.2">
      <c r="A128" s="4"/>
      <c r="B128" s="53"/>
      <c r="C128" s="53"/>
      <c r="D128" s="53"/>
      <c r="E128" s="53"/>
      <c r="F128" s="53"/>
      <c r="G128" s="53"/>
      <c r="H128" s="53"/>
      <c r="I128" s="53"/>
    </row>
    <row r="129" spans="1:9" ht="18.75" customHeight="1" x14ac:dyDescent="0.2">
      <c r="A129" s="4"/>
      <c r="B129" s="53"/>
      <c r="C129" s="53"/>
      <c r="D129" s="53"/>
      <c r="E129" s="53"/>
      <c r="F129" s="53"/>
      <c r="G129" s="53"/>
      <c r="H129" s="53"/>
      <c r="I129" s="53"/>
    </row>
    <row r="130" spans="1:9" ht="18.75" customHeight="1" x14ac:dyDescent="0.2">
      <c r="A130" s="4"/>
      <c r="B130" s="53"/>
      <c r="C130" s="53"/>
      <c r="D130" s="53"/>
      <c r="E130" s="53"/>
      <c r="F130" s="53"/>
      <c r="G130" s="53"/>
      <c r="H130" s="53"/>
      <c r="I130" s="53"/>
    </row>
    <row r="131" spans="1:9" ht="18.75" customHeight="1" x14ac:dyDescent="0.2">
      <c r="A131" s="4"/>
      <c r="B131" s="53"/>
      <c r="C131" s="53"/>
      <c r="D131" s="53"/>
      <c r="E131" s="53"/>
      <c r="F131" s="53"/>
      <c r="G131" s="53"/>
      <c r="H131" s="53"/>
      <c r="I131" s="53"/>
    </row>
    <row r="132" spans="1:9" ht="18.75" customHeight="1" x14ac:dyDescent="0.2">
      <c r="A132" s="4"/>
      <c r="B132" s="53"/>
      <c r="C132" s="53"/>
      <c r="D132" s="53"/>
      <c r="E132" s="53"/>
      <c r="F132" s="53"/>
      <c r="G132" s="53"/>
      <c r="H132" s="53"/>
      <c r="I132" s="53"/>
    </row>
    <row r="133" spans="1:9" ht="14.4" x14ac:dyDescent="0.2">
      <c r="A133" s="4"/>
      <c r="B133" s="53"/>
      <c r="C133" s="53"/>
      <c r="D133" s="53"/>
      <c r="E133" s="53"/>
      <c r="F133" s="53"/>
      <c r="G133" s="53"/>
      <c r="H133" s="53"/>
      <c r="I133" s="53"/>
    </row>
    <row r="134" spans="1:9" ht="7.5" customHeight="1" x14ac:dyDescent="0.2">
      <c r="A134" s="4"/>
      <c r="B134" s="53"/>
      <c r="C134" s="53"/>
      <c r="D134" s="53"/>
      <c r="E134" s="53"/>
      <c r="F134" s="53"/>
      <c r="G134" s="53"/>
      <c r="H134" s="53"/>
      <c r="I134" s="53"/>
    </row>
  </sheetData>
  <mergeCells count="2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Normal="100" zoomScaleSheetLayoutView="100" workbookViewId="0">
      <selection activeCell="I10" sqref="I10"/>
    </sheetView>
  </sheetViews>
  <sheetFormatPr defaultColWidth="11.33203125" defaultRowHeight="22.5" customHeight="1" x14ac:dyDescent="0.2"/>
  <cols>
    <col min="1" max="3" width="2.77734375" style="1" customWidth="1"/>
    <col min="4" max="4" width="22.21875" style="1" customWidth="1"/>
    <col min="5" max="5" width="30.77734375" style="1" customWidth="1"/>
    <col min="6" max="7" width="7.77734375" style="1" customWidth="1"/>
    <col min="8" max="9" width="30.77734375" style="1" customWidth="1"/>
    <col min="10" max="10" width="4.109375" style="1" customWidth="1"/>
    <col min="11" max="16384" width="11.33203125" style="1"/>
  </cols>
  <sheetData>
    <row r="1" spans="1:9" ht="18.75" customHeight="1" x14ac:dyDescent="0.2">
      <c r="A1" s="1" t="s">
        <v>67</v>
      </c>
      <c r="I1" s="18" t="s">
        <v>95</v>
      </c>
    </row>
    <row r="2" spans="1:9" ht="18.75" customHeight="1" x14ac:dyDescent="0.2">
      <c r="H2" s="18" t="s">
        <v>98</v>
      </c>
      <c r="I2" s="17" t="s">
        <v>171</v>
      </c>
    </row>
    <row r="3" spans="1:9" ht="18.75" customHeight="1" x14ac:dyDescent="0.2">
      <c r="A3" s="327" t="s">
        <v>27</v>
      </c>
      <c r="B3" s="327"/>
      <c r="C3" s="327"/>
      <c r="D3" s="327"/>
      <c r="E3" s="327"/>
      <c r="F3" s="327"/>
      <c r="G3" s="327"/>
      <c r="H3" s="327"/>
      <c r="I3" s="327"/>
    </row>
    <row r="4" spans="1:9" ht="18.75" customHeight="1" x14ac:dyDescent="0.2">
      <c r="A4" s="5"/>
      <c r="B4" s="5"/>
      <c r="C4" s="5"/>
      <c r="D4" s="5"/>
      <c r="E4" s="5"/>
      <c r="F4" s="5"/>
      <c r="G4" s="5"/>
      <c r="H4" s="5"/>
      <c r="I4" s="5"/>
    </row>
    <row r="5" spans="1:9" ht="18.75" customHeight="1" x14ac:dyDescent="0.2">
      <c r="A5" s="1" t="s">
        <v>0</v>
      </c>
      <c r="B5" s="10" t="s">
        <v>89</v>
      </c>
      <c r="C5" s="5"/>
      <c r="D5" s="5"/>
      <c r="E5" s="5"/>
      <c r="F5" s="5"/>
      <c r="G5" s="5"/>
      <c r="H5" s="5"/>
      <c r="I5" s="5"/>
    </row>
    <row r="6" spans="1:9" ht="32.25" customHeight="1" x14ac:dyDescent="0.2">
      <c r="A6" s="5"/>
      <c r="B6" s="342" t="s">
        <v>215</v>
      </c>
      <c r="C6" s="376"/>
      <c r="D6" s="376"/>
      <c r="E6" s="376"/>
      <c r="F6" s="376"/>
      <c r="G6" s="376"/>
      <c r="H6" s="377"/>
      <c r="I6" s="3"/>
    </row>
    <row r="7" spans="1:9" ht="9" customHeight="1" x14ac:dyDescent="0.2">
      <c r="A7" s="5"/>
      <c r="B7" s="10"/>
      <c r="C7" s="10"/>
      <c r="D7" s="10"/>
      <c r="E7" s="10"/>
      <c r="F7" s="10"/>
      <c r="G7" s="10"/>
      <c r="H7" s="10"/>
      <c r="I7" s="3"/>
    </row>
    <row r="8" spans="1:9" ht="18.75" customHeight="1" x14ac:dyDescent="0.2">
      <c r="A8" s="5"/>
      <c r="B8" s="3"/>
      <c r="C8" s="3"/>
      <c r="D8" s="18" t="s">
        <v>41</v>
      </c>
      <c r="E8" s="19" t="s">
        <v>156</v>
      </c>
      <c r="F8" s="3"/>
      <c r="G8" s="18" t="s">
        <v>10</v>
      </c>
      <c r="H8" s="19" t="s">
        <v>160</v>
      </c>
      <c r="I8" s="3"/>
    </row>
    <row r="9" spans="1:9" ht="7.5" customHeight="1" x14ac:dyDescent="0.2">
      <c r="A9" s="5"/>
      <c r="B9" s="5"/>
      <c r="C9" s="5"/>
      <c r="D9" s="5"/>
      <c r="E9" s="5"/>
      <c r="F9" s="5"/>
      <c r="G9" s="5"/>
      <c r="H9" s="5"/>
      <c r="I9" s="5"/>
    </row>
    <row r="10" spans="1:9" ht="18.75" customHeight="1" x14ac:dyDescent="0.2">
      <c r="A10" s="1" t="s">
        <v>3</v>
      </c>
      <c r="B10" s="1" t="s">
        <v>26</v>
      </c>
      <c r="C10" s="4"/>
      <c r="D10" s="4"/>
      <c r="E10" s="4"/>
      <c r="F10" s="4"/>
      <c r="G10" s="4"/>
      <c r="H10" s="4"/>
      <c r="I10" s="4"/>
    </row>
    <row r="11" spans="1:9" ht="18.75" customHeight="1" x14ac:dyDescent="0.2">
      <c r="B11" s="325" t="s">
        <v>23</v>
      </c>
      <c r="C11" s="375"/>
      <c r="D11" s="326"/>
      <c r="E11" s="375" t="s">
        <v>25</v>
      </c>
      <c r="F11" s="375"/>
      <c r="G11" s="375"/>
      <c r="H11" s="375"/>
      <c r="I11" s="326"/>
    </row>
    <row r="12" spans="1:9" ht="26.25" customHeight="1" x14ac:dyDescent="0.2">
      <c r="B12" s="25" t="s">
        <v>13</v>
      </c>
      <c r="C12" s="32"/>
      <c r="D12" s="26"/>
      <c r="E12" s="33"/>
      <c r="F12" s="33"/>
      <c r="G12" s="33"/>
      <c r="H12" s="33"/>
      <c r="I12" s="26"/>
    </row>
    <row r="13" spans="1:9" ht="210.75" customHeight="1" x14ac:dyDescent="0.2">
      <c r="B13" s="27"/>
      <c r="C13" s="358" t="s">
        <v>14</v>
      </c>
      <c r="D13" s="359"/>
      <c r="E13" s="371" t="s">
        <v>216</v>
      </c>
      <c r="F13" s="360"/>
      <c r="G13" s="360"/>
      <c r="H13" s="360"/>
      <c r="I13" s="361"/>
    </row>
    <row r="14" spans="1:9" ht="210.75" customHeight="1" x14ac:dyDescent="0.2">
      <c r="B14" s="27"/>
      <c r="C14" s="373" t="s">
        <v>15</v>
      </c>
      <c r="D14" s="374"/>
      <c r="E14" s="371" t="s">
        <v>217</v>
      </c>
      <c r="F14" s="360"/>
      <c r="G14" s="360"/>
      <c r="H14" s="360"/>
      <c r="I14" s="361"/>
    </row>
    <row r="15" spans="1:9" ht="210.75" customHeight="1" x14ac:dyDescent="0.2">
      <c r="B15" s="27"/>
      <c r="C15" s="358" t="s">
        <v>16</v>
      </c>
      <c r="D15" s="359"/>
      <c r="E15" s="371" t="s">
        <v>218</v>
      </c>
      <c r="F15" s="360"/>
      <c r="G15" s="360"/>
      <c r="H15" s="360"/>
      <c r="I15" s="361"/>
    </row>
    <row r="16" spans="1:9" ht="210.75" customHeight="1" x14ac:dyDescent="0.2">
      <c r="B16" s="27"/>
      <c r="C16" s="358" t="s">
        <v>17</v>
      </c>
      <c r="D16" s="359"/>
      <c r="E16" s="371" t="s">
        <v>155</v>
      </c>
      <c r="F16" s="360"/>
      <c r="G16" s="360"/>
      <c r="H16" s="360"/>
      <c r="I16" s="361"/>
    </row>
    <row r="17" spans="2:9" ht="210.75" customHeight="1" x14ac:dyDescent="0.2">
      <c r="B17" s="28"/>
      <c r="C17" s="362" t="s">
        <v>18</v>
      </c>
      <c r="D17" s="363"/>
      <c r="E17" s="372" t="s">
        <v>173</v>
      </c>
      <c r="F17" s="364"/>
      <c r="G17" s="364"/>
      <c r="H17" s="364"/>
      <c r="I17" s="365"/>
    </row>
    <row r="18" spans="2:9" ht="24" customHeight="1" x14ac:dyDescent="0.2">
      <c r="B18" s="25" t="s">
        <v>19</v>
      </c>
      <c r="C18" s="29"/>
      <c r="D18" s="30"/>
      <c r="E18" s="31"/>
      <c r="F18" s="31"/>
      <c r="G18" s="31"/>
      <c r="H18" s="31"/>
      <c r="I18" s="34"/>
    </row>
    <row r="19" spans="2:9" ht="218.25" customHeight="1" x14ac:dyDescent="0.2">
      <c r="B19" s="27"/>
      <c r="C19" s="358" t="s">
        <v>20</v>
      </c>
      <c r="D19" s="359"/>
      <c r="E19" s="360" t="s">
        <v>174</v>
      </c>
      <c r="F19" s="360"/>
      <c r="G19" s="360"/>
      <c r="H19" s="360"/>
      <c r="I19" s="361"/>
    </row>
    <row r="20" spans="2:9" ht="218.25" customHeight="1" x14ac:dyDescent="0.2">
      <c r="B20" s="28"/>
      <c r="C20" s="362" t="s">
        <v>21</v>
      </c>
      <c r="D20" s="363"/>
      <c r="E20" s="364" t="s">
        <v>175</v>
      </c>
      <c r="F20" s="364"/>
      <c r="G20" s="364"/>
      <c r="H20" s="364"/>
      <c r="I20" s="365"/>
    </row>
    <row r="21" spans="2:9" ht="218.25" customHeight="1" x14ac:dyDescent="0.2">
      <c r="B21" s="366" t="s">
        <v>22</v>
      </c>
      <c r="C21" s="367"/>
      <c r="D21" s="368"/>
      <c r="E21" s="369" t="s">
        <v>176</v>
      </c>
      <c r="F21" s="369"/>
      <c r="G21" s="369"/>
      <c r="H21" s="369"/>
      <c r="I21" s="370"/>
    </row>
    <row r="22" spans="2:9" ht="218.25" customHeight="1" x14ac:dyDescent="0.2">
      <c r="B22" s="353" t="s">
        <v>135</v>
      </c>
      <c r="C22" s="354"/>
      <c r="D22" s="355"/>
      <c r="E22" s="356" t="s">
        <v>177</v>
      </c>
      <c r="F22" s="356"/>
      <c r="G22" s="356"/>
      <c r="H22" s="356"/>
      <c r="I22" s="357"/>
    </row>
    <row r="23" spans="2:9" ht="22.5" customHeight="1" x14ac:dyDescent="0.2">
      <c r="B23" s="4"/>
      <c r="C23" s="4"/>
      <c r="D23" s="4"/>
      <c r="E23" s="4"/>
      <c r="F23" s="4"/>
      <c r="G23" s="4"/>
      <c r="H23" s="4"/>
      <c r="I23" s="4"/>
    </row>
    <row r="24" spans="2:9" ht="22.5" customHeight="1" x14ac:dyDescent="0.2">
      <c r="B24" s="4"/>
      <c r="C24" s="4"/>
      <c r="D24" s="4"/>
      <c r="E24" s="4"/>
      <c r="F24" s="4"/>
      <c r="G24" s="4"/>
      <c r="H24" s="4"/>
      <c r="I24" s="4"/>
    </row>
    <row r="25" spans="2:9" ht="22.5" customHeight="1" x14ac:dyDescent="0.2">
      <c r="B25" s="4"/>
      <c r="C25" s="4"/>
      <c r="D25" s="4"/>
      <c r="E25" s="4"/>
      <c r="F25" s="4"/>
      <c r="G25" s="4"/>
      <c r="H25" s="4"/>
      <c r="I25" s="4"/>
    </row>
    <row r="26" spans="2:9" ht="22.5" customHeight="1" x14ac:dyDescent="0.2">
      <c r="B26" s="4"/>
      <c r="C26" s="4"/>
      <c r="D26" s="4"/>
      <c r="E26" s="4"/>
      <c r="F26" s="4"/>
      <c r="G26" s="4"/>
      <c r="H26" s="4"/>
      <c r="I26" s="4"/>
    </row>
    <row r="27" spans="2:9" ht="22.5" customHeight="1" x14ac:dyDescent="0.2">
      <c r="B27" s="4"/>
      <c r="C27" s="4"/>
      <c r="D27" s="4"/>
      <c r="E27" s="4"/>
      <c r="F27" s="4"/>
      <c r="G27" s="4"/>
      <c r="H27" s="4"/>
      <c r="I27" s="4"/>
    </row>
    <row r="28" spans="2:9" ht="22.5" customHeight="1" x14ac:dyDescent="0.2">
      <c r="B28" s="14"/>
      <c r="C28" s="14"/>
      <c r="D28" s="14"/>
      <c r="E28" s="14"/>
      <c r="F28" s="14"/>
      <c r="G28" s="14"/>
      <c r="H28" s="14"/>
      <c r="I28" s="14"/>
    </row>
    <row r="29" spans="2:9" ht="22.5" customHeight="1" x14ac:dyDescent="0.2">
      <c r="B29" s="14"/>
      <c r="C29" s="14"/>
      <c r="D29" s="14"/>
      <c r="E29" s="14"/>
      <c r="F29" s="14"/>
      <c r="G29" s="14"/>
      <c r="H29" s="14"/>
      <c r="I29" s="14"/>
    </row>
    <row r="30" spans="2:9" ht="22.5" customHeight="1" x14ac:dyDescent="0.2">
      <c r="B30" s="14"/>
      <c r="C30" s="14"/>
      <c r="D30" s="14"/>
      <c r="E30" s="14"/>
      <c r="F30" s="14"/>
      <c r="G30" s="14"/>
      <c r="H30" s="14"/>
      <c r="I30" s="14"/>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7</vt:i4>
      </vt:variant>
    </vt:vector>
  </HeadingPairs>
  <TitlesOfParts>
    <vt:vector size="13" baseType="lpstr">
      <vt:lpstr>様式１-１　プログラムを構成する授業科目 (児教・食栄)</vt:lpstr>
      <vt:lpstr>様式１-2　プログラムを構成する授業科目 (福祉)</vt:lpstr>
      <vt:lpstr>様式１-3　プログラムを構成する授業科目（教養学科 )</vt:lpstr>
      <vt:lpstr>様式２ 履修者等数の実績</vt:lpstr>
      <vt:lpstr>様式３ 教育の質・履修者数を向上させるための体制・計画</vt:lpstr>
      <vt:lpstr>様式４　自己点検・評価</vt:lpstr>
      <vt:lpstr>'様式１-１　プログラムを構成する授業科目 (児教・食栄)'!Print_Area</vt:lpstr>
      <vt:lpstr>'様式１-2　プログラムを構成する授業科目 (福祉)'!Print_Area</vt:lpstr>
      <vt:lpstr>'様式１-3　プログラムを構成する授業科目（教養学科 )'!Print_Area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コメント</cp:lastModifiedBy>
  <cp:lastPrinted>2024-06-17T04:09:27Z</cp:lastPrinted>
  <dcterms:created xsi:type="dcterms:W3CDTF">2011-06-14T05:32:50Z</dcterms:created>
  <dcterms:modified xsi:type="dcterms:W3CDTF">2024-06-26T06:28:02Z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