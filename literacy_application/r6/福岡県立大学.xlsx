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Y:\教務入試班\2024教務Ｇ\データサイエンス関係\240627_【最終】認定制度（リテラシーレベル）申請\"/>
    </mc:Choice>
  </mc:AlternateContent>
  <xr:revisionPtr revIDLastSave="0" documentId="13_ncr:1_{9C126430-B742-4C27-96B8-F507FA7B5070}" xr6:coauthVersionLast="47" xr6:coauthVersionMax="47" xr10:uidLastSave="{00000000-0000-0000-0000-000000000000}"/>
  <bookViews>
    <workbookView xWindow="-120" yWindow="-120" windowWidth="29040" windowHeight="15720" tabRatio="885" xr2:uid="{00000000-000D-0000-FFFF-FFFF00000000}"/>
  </bookViews>
  <sheets>
    <sheet name="様式１-1　プログラムを構成する授業科目" sheetId="39" r:id="rId1"/>
    <sheet name="様式１-2　プログラムを構成する授業科目" sheetId="43"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'様式１-1　プログラムを構成する授業科目'!$X$16:$X$18</definedName>
    <definedName name="_xlnm._FilterDatabase" localSheetId="1" hidden="1">'様式１-2　プログラムを構成する授業科目'!$X$16:$X$18</definedName>
    <definedName name="_xlnm._FilterDatabase" localSheetId="2" hidden="1">'様式２ 履修者等数の実績'!#REF!</definedName>
    <definedName name="_xlnm.Print_Area" localSheetId="0">'様式１-1　プログラムを構成する授業科目'!$A$1:$U$112</definedName>
    <definedName name="_xlnm.Print_Area" localSheetId="1">'様式１-2　プログラムを構成する授業科目'!$A$1:$U$112</definedName>
    <definedName name="_xlnm.Print_Area" localSheetId="2">'様式２ 履修者等数の実績'!$A$1:$S$16</definedName>
    <definedName name="_xlnm.Print_Area" localSheetId="3">'様式３ 教育の質・履修者数を向上させるための体制・計画'!$A$1:$I$115</definedName>
    <definedName name="_xlnm.Print_Area" localSheetId="4">'様式４　自己点検・評価'!$A$1:$I$22</definedName>
    <definedName name="_xlnm.Print_Titles" localSheetId="4">'様式４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3" i="40" l="1"/>
  <c r="M7" i="40"/>
  <c r="I2" i="42"/>
  <c r="H2" i="41"/>
  <c r="Q2" i="40"/>
  <c r="I16" i="40" l="1"/>
  <c r="M16" i="40"/>
  <c r="P16" i="40"/>
  <c r="Q16" i="40"/>
  <c r="O16" i="40"/>
  <c r="N16" i="40"/>
  <c r="L16" i="40"/>
  <c r="J16" i="40"/>
  <c r="K16" i="40"/>
  <c r="H16" i="40"/>
  <c r="R14" i="40" l="1"/>
  <c r="S13" i="40"/>
  <c r="C16" i="40"/>
  <c r="G16" i="40" l="1"/>
  <c r="F16" i="40" l="1"/>
  <c r="E16" i="40"/>
  <c r="D16" i="40"/>
  <c r="S14" i="40"/>
  <c r="R16" i="40" l="1"/>
  <c r="S16" i="40" s="1"/>
  <c r="C49" i="41" s="1"/>
</calcChain>
</file>

<file path=xl/sharedStrings.xml><?xml version="1.0" encoding="utf-8"?>
<sst xmlns="http://schemas.openxmlformats.org/spreadsheetml/2006/main" count="666" uniqueCount="213">
  <si>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</si>
  <si>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</si>
  <si>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</si>
  <si>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</si>
  <si>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</si>
  <si>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</si>
  <si>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</si>
  <si>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</si>
  <si>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</si>
  <si>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</si>
  <si>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</si>
  <si>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</si>
  <si>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</si>
  <si>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</si>
  <si>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</si>
  <si>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</si>
  <si>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</si>
  <si>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</si>
  <si>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</si>
  <si>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</si>
  <si>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</si>
  <si>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</si>
  <si>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</si>
  <si>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</si>
  <si>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</si>
  <si>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</si>
  <si>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</si>
  <si>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</si>
  <si>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</si>
  <si>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</si>
  <si>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</si>
  <si>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</si>
  <si>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</si>
  <si>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</si>
  <si>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</si>
  <si>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</si>
  <si>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</si>
  <si>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</si>
  <si>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</si>
  <si>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</si>
  <si>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</si>
  <si>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</si>
  <si>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</si>
  <si>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</si>
  <si>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</si>
  <si>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</si>
  <si>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</si>
  <si>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</si>
  <si>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</si>
  <si>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</si>
  <si>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</si>
  <si>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</si>
  <si>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</si>
  <si>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</si>
  <si>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</si>
  <si>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</si>
  <si>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</si>
  <si>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</si>
  <si>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</si>
  <si>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</si>
  <si>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</si>
  <si>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</si>
  <si>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</si>
  <si>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</si>
  <si>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</si>
  <si>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</si>
  <si>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</si>
  <si>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</si>
  <si>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</si>
  <si>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</si>
  <si>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</si>
  <si>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</si>
  <si>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</si>
  <si>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</si>
  <si>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</si>
  <si>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</si>
  <si>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</si>
  <si>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</si>
  <si>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</si>
  <si>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</si>
  <si>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</si>
  <si>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</si>
  <si>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</si>
  <si>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</si>
  <si>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</si>
  <si>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</si>
  <si>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</si>
  <si>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</si>
  <si>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</si>
  <si>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</si>
  <si>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</si>
  <si>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</si>
  <si>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</si>
  <si>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</si>
  <si>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</si>
  <si>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</si>
  <si>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</si>
  <si>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</si>
  <si>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</si>
  <si>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</si>
  <si>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</si>
  <si>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</si>
  <si>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</si>
  <si>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</si>
  <si>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</si>
  <si>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</si>
  <si>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</si>
  <si>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</si>
  <si>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</si>
  <si>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</si>
  <si>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</si>
  <si>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</si>
  <si>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</si>
  <si>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</si>
  <si>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</si>
  <si>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</si>
  <si>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</si>
  <si>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</si>
  <si>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</si>
  <si>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</si>
  <si>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</si>
  <si>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</si>
  <si>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</si>
  <si>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</si>
  <si>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</si>
  <si>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</si>
  <si>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</si>
  <si>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</si>
  <si>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</si>
  <si>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</si>
  <si>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</si>
  <si>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</si>
  <si>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</si>
  <si>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</si>
  <si>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</si>
  <si>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福岡県立大学</t>
    <phoneticPr fontId="1"/>
  </si>
  <si>
    <t>データサイエンス・プログラム</t>
    <phoneticPr fontId="1"/>
  </si>
  <si>
    <t>○</t>
  </si>
  <si>
    <t>情報処理演習Ⅰ</t>
    <phoneticPr fontId="1"/>
  </si>
  <si>
    <t>情報処理演習Ⅱ</t>
    <phoneticPr fontId="1"/>
  </si>
  <si>
    <t>情報処理の基礎と演習</t>
    <phoneticPr fontId="1"/>
  </si>
  <si>
    <t>情報科学</t>
    <phoneticPr fontId="1"/>
  </si>
  <si>
    <t>情報数学</t>
    <phoneticPr fontId="1"/>
  </si>
  <si>
    <t>データ処理とデータ解析Ⅰ</t>
    <phoneticPr fontId="1"/>
  </si>
  <si>
    <t>データ処理とデータ解析Ⅱ</t>
    <phoneticPr fontId="1"/>
  </si>
  <si>
    <t>情報処理応用演習</t>
    <phoneticPr fontId="1"/>
  </si>
  <si>
    <t>マルチメディア論</t>
    <phoneticPr fontId="1"/>
  </si>
  <si>
    <t>情報検索システム論</t>
    <phoneticPr fontId="1"/>
  </si>
  <si>
    <t>統計学</t>
    <phoneticPr fontId="1"/>
  </si>
  <si>
    <t>データ処理とデータ解析I</t>
    <phoneticPr fontId="1"/>
  </si>
  <si>
    <t>データ分析の基礎</t>
    <phoneticPr fontId="1"/>
  </si>
  <si>
    <t>社会統計学Ⅰ</t>
    <phoneticPr fontId="1"/>
  </si>
  <si>
    <t>社会統計学Ⅱ</t>
    <phoneticPr fontId="1"/>
  </si>
  <si>
    <t>数学概論</t>
    <phoneticPr fontId="1"/>
  </si>
  <si>
    <t>プログラミング概論</t>
    <phoneticPr fontId="1"/>
  </si>
  <si>
    <t>4-1統計および数理基礎</t>
  </si>
  <si>
    <t>4‐3データ構造とプログラミング基礎</t>
  </si>
  <si>
    <t>4‐7データハンドリング</t>
  </si>
  <si>
    <t>4‐8データ活用実践（教師あり学習）</t>
  </si>
  <si>
    <t>4‐9データ活用実践（教師なし学習）</t>
  </si>
  <si>
    <t>情報ネットワーク論</t>
    <phoneticPr fontId="1"/>
  </si>
  <si>
    <t>プログラミング演習</t>
    <phoneticPr fontId="1"/>
  </si>
  <si>
    <t>4‐5テキスト解析</t>
  </si>
  <si>
    <t>石崎龍二</t>
  </si>
  <si>
    <t>石崎龍二</t>
    <phoneticPr fontId="1"/>
  </si>
  <si>
    <t>教授</t>
    <phoneticPr fontId="1"/>
  </si>
  <si>
    <t>公立大学法人福岡県立大学基盤教育センター全学横断型教育小部会</t>
    <phoneticPr fontId="1"/>
  </si>
  <si>
    <t>小部会長</t>
    <phoneticPr fontId="1"/>
  </si>
  <si>
    <t>令和5年度から、本教育プログラムの改善に向けて、学外からの意見を広く取り入れるために、数理・データサイエンス・AI教育強化拠点コンソーシアムに参画している。基盤教育センター全学横断型教育小部会において、本コンソーシアムを通して、産業界からの視点を取り入れたり、先進的な取り組みをしている大学を参考にして、教育プログラムの授業や実データを活用した演習等の手法の改善に取り組んでいる。</t>
    <phoneticPr fontId="1"/>
  </si>
  <si>
    <t>様式１-１</t>
    <rPh sb="0" eb="2">
      <t>ヨウシキ</t>
    </rPh>
    <phoneticPr fontId="1"/>
  </si>
  <si>
    <t>4‐2アルゴリズム基礎</t>
    <phoneticPr fontId="1"/>
  </si>
  <si>
    <t>情報数学</t>
    <rPh sb="2" eb="4">
      <t>スウガク</t>
    </rPh>
    <phoneticPr fontId="1"/>
  </si>
  <si>
    <t>個人情報法制</t>
    <phoneticPr fontId="1"/>
  </si>
  <si>
    <t>・調査データ，オープンデータ「情報処理の基礎と演習」（14回目）
・調査データ「情報処理演習Ⅰ」（10回目，11回目）
・調査データ「情報処理演習Ⅱ」（10回目，12回目）
・調査データ、実験データ「データ処理とデータ解析I」（1回目）、「データ処理とデータ解析II」（1回目）
・構造化データ、非構造化データ「情報科学」（3〜6回目）
・構造化データと非構造化データ「情報数学」（3〜5回目）
・調査データ，オープンデータ「情報処理応用演習」（5回目）
・構造化データ，非構造化データ「マルチメディア論」（2，5，7，11，12回目）</t>
    <phoneticPr fontId="1"/>
  </si>
  <si>
    <t>・データ・AI活用領域の広がり「情報処理の基礎と演習」（1回目）
・データ・AI活用領域の広がり「情報処理演習Ⅰ」（1回目，8回目）
・データ・AI活用領域の広がり「情報処理演習Ⅱ」（1回目）
・データ・AI活用領域の広がり「情報科学」（15回目）
・仮説検証「データ処理とデータ解析I」（5～15回目）
・仮説検証、原因究明「データ処理とデータ解析II」（2～15回目）
・データ・AI活用領域の広がり「マルチメディア論」（3，5，8，13回目）</t>
    <phoneticPr fontId="1"/>
  </si>
  <si>
    <t>・データ解析：グルーピング「情報処理の基礎と演習」（13回目）
・データ可視化：複合グラフ，2軸グラフ「情報処理の基礎と演習」（14回目）
・データ可視化：複合グラフ、2軸グラフ「情報処理演習Ⅰ」（10回目，11回目）
・データ可視化：複合グラフ、2軸グラフ「情報処理演習Ⅱ」（10回目，12回目）
・データ解析、データ可視化「データ処理とデータ解析I」（2〜15回目）、「データ処理とデータ解析II」（2〜15回目）
・特化型AIと汎用AI、今のAIで出来ることと出来ないこと「情報数学」（15回目）
・非構造化データ処理：言語処理「情報検索システム論」（2，4～6，8，12～13回目）
・認識技術「情報検索システム論」（4，8，10，11～15回）
・データ可視化：関係性の可視化、地図上の可視化「情報処理応用演習」（5回）</t>
    <phoneticPr fontId="1"/>
  </si>
  <si>
    <t>・製造、サービス、インフラ等におけるデータ・AIの活用事例紹介「情報処理の基礎と演習」（1回目）
・ヘルスケア等におけるデータ・AI利活用事例紹介「情報処理演習Ⅰ」（10回目，11回目）
・ヘルスケア等におけるデータ・AI利活用事例紹介「情報処理演習Ⅱ」（10回目，12回目）
・データサイエンスのサイクル「データ処理とデータ解析I」（2〜15回目）、「データ処理とデータ解析II」（2〜15回目）
・製造、サービス等におけるデータ・AIの活用事例紹介「マルチメディア論」（3，5，8，13回目）</t>
    <phoneticPr fontId="1"/>
  </si>
  <si>
    <t xml:space="preserve">・Society5.0，データ駆動型社会「情報処理の基礎と演習」（1回目）
・第4次産業革命、Society 5.0、データ駆動型社会「情報処理演習Ⅰ」（1回目，8回目）
・第4次産業革命、Society 5.0、データ駆動型社会「情報処理演習Ⅱ」（1回目）
・計算機の処理性能の向上「情報科学」（1回目）
・ビッグデータ、IoT、AI、ロボット、Society 5.0「情報科学」（15回目）
・AI「情報数学」（15回目）
</t>
    <rPh sb="212" eb="213">
      <t>m</t>
    </rPh>
    <phoneticPr fontId="1"/>
  </si>
  <si>
    <t xml:space="preserve">・AI等を活用した新しいビジネスモデル「情報処理の基礎と演習」（1回目）
・AI等を活用した新しいビジネスモデル「情報処理演習Ⅰ」（1回目，8回目）
・AI等を活用した新しいビジネスモデル「情報処理演習Ⅱ」（1回目）
・AI最新技術の活用例「情報科学」（15回目）、「情報数学」（15回目）
</t>
    <rPh sb="143" eb="144">
      <t>m</t>
    </rPh>
    <phoneticPr fontId="1"/>
  </si>
  <si>
    <r>
      <rPr>
        <sz val="9"/>
        <rFont val="ＭＳ Ｐゴシック"/>
        <family val="3"/>
        <charset val="128"/>
        <scheme val="minor"/>
      </rPr>
      <t>・統計情報の正しい理解「情報処理の基礎と演習」（13回目）</t>
    </r>
    <r>
      <rPr>
        <sz val="9"/>
        <color theme="1"/>
        <rFont val="ＭＳ Ｐゴシック"/>
        <family val="3"/>
        <charset val="128"/>
        <scheme val="minor"/>
      </rPr>
      <t xml:space="preserve">
・統計情報の正しい理解「情報処理演習Ⅰ」（10回目，11回目）
・統計情報の正しい理解「情報処理演習Ⅱ」（10回目）
</t>
    </r>
    <r>
      <rPr>
        <sz val="9"/>
        <rFont val="ＭＳ Ｐゴシック"/>
        <family val="3"/>
        <charset val="128"/>
        <scheme val="minor"/>
      </rPr>
      <t>・データの種類(量的変数、質的変数)「統計学」（2回目）、「データ分析の基礎」（2回目）、「社会統計学Ⅰ」（1回目）
・データの分布(ヒストグラム)と代表値(平均値、中央値、最頻値) 「統計学」（4, 6回目）、「データ分析の基礎」（6, 8回目）、「社会統計学Ⅰ」（5回目）
・代表値の性質の違い(実社会では平均値=最頻値でないことが多い) 「統計学」（5回目）、「データ分析の基礎」（6回目）
・データのばらつき(分散、標準偏差、偏差値)「統計学」（5回目）、「データ分析の基礎」（6, 7回目）、「社会統計学Ⅰ」（5回目）
・観測データに含まれる誤差の扱い「統計学」（2回目）
・相関と因果(相関係数、擬似相関、交絡)「統計学」（7, 8, 10回目）、「データ分析の基礎」（9〜11回目）、「社会統計学Ⅰ」（7, 8, 14回目）、「社会統計学Ⅱ」（11回目）
・母集団と標本抽出(国勢調査、アンケート調査、全数調査、単純無作為抽出「統計学」（3, 11回目）、「データ分析の基礎」（4回目）、「社会統計学Ⅰ」（9回目）
・クロス集計表「統計学」（9, 10回目）、「データ分析の基礎」（12〜14回目）、「社会統計学Ⅰ」（6, 11, 12回目）、「社会統計学Ⅱ」（5〜7回目）
・統計情報の正しい理解(誇張表現に惑わされない)「統計学」（6回目） 
・データの種類（量的変数、質的変数）「データ処理とデータ解析I」（1回目）
・データの分布(ヒストグラム)と代表値、代表値の性質の違い、データのばらつき「データ処理とデータ解析I」（2, 3回目）
・相関と因果「データ処理とデータ解析I」（11回目）
・クロス集計表、分割表、相関係数行列、散布図行列「データ処理とデータ解析I」（10回目）
・データの分布（ヒストグラム）と代表値「情報処理応用演習」（5回）</t>
    </r>
    <rPh sb="115" eb="116">
      <t>m</t>
    </rPh>
    <rPh sb="131" eb="132">
      <t xml:space="preserve">メ </t>
    </rPh>
    <rPh sb="145" eb="146">
      <t xml:space="preserve">メ </t>
    </rPh>
    <rPh sb="192" eb="193">
      <t>m</t>
    </rPh>
    <rPh sb="211" eb="212">
      <t>m</t>
    </rPh>
    <rPh sb="225" eb="226">
      <t xml:space="preserve">メ </t>
    </rPh>
    <rPh sb="269" eb="270">
      <t xml:space="preserve">メ </t>
    </rPh>
    <rPh sb="285" eb="286">
      <t xml:space="preserve">メ </t>
    </rPh>
    <rPh sb="318" eb="319">
      <t xml:space="preserve">メ </t>
    </rPh>
    <rPh sb="337" eb="338">
      <t xml:space="preserve">メ </t>
    </rPh>
    <rPh sb="351" eb="352">
      <t xml:space="preserve">メ </t>
    </rPh>
    <rPh sb="378" eb="379">
      <t>me</t>
    </rPh>
    <rPh sb="416" eb="417">
      <t>m</t>
    </rPh>
    <rPh sb="435" eb="436">
      <t xml:space="preserve">メ </t>
    </rPh>
    <rPh sb="456" eb="457">
      <t>m</t>
    </rPh>
    <rPh sb="471" eb="472">
      <t xml:space="preserve">メ </t>
    </rPh>
    <rPh sb="521" eb="522">
      <t>m</t>
    </rPh>
    <rPh sb="537" eb="538">
      <t xml:space="preserve">メ </t>
    </rPh>
    <rPh sb="551" eb="552">
      <t xml:space="preserve">メ </t>
    </rPh>
    <rPh sb="573" eb="574">
      <t>m</t>
    </rPh>
    <rPh sb="592" eb="594">
      <t>カイ</t>
    </rPh>
    <rPh sb="615" eb="616">
      <t>m</t>
    </rPh>
    <rPh sb="631" eb="632">
      <t>m</t>
    </rPh>
    <rPh sb="666" eb="667">
      <t>m</t>
    </rPh>
    <phoneticPr fontId="1"/>
  </si>
  <si>
    <t xml:space="preserve">・データの図表表現「情報処理の基礎と演習」（12～14回）
・データの表現（棒グラフ，折線グラフ）「情報処理の基礎と演習」（14回目）
・データ表現（棒グラフ、折線グラフ）「情報処理演習Ⅰ」（5回目，10回目，11回目）
・データ表現（棒グラフ、折線グラフ）「情報処理演習Ⅱ」（10回目）
・データ表現(棒グラフ、折線グラフ、散布図) 「統計学」（6回目）、「データ分析の基礎」（8回目）
・不適切なグラフ表現(チャートジャンク、不必要な視覚的要素)  「統計学」（6回目）
・優れた可視化事例の紹介(可視化することによって新たな気づきがあった事例など)「統計学」（1回目）
・データ表現（棒グラフ、折線グラフ、散布図）「データ処理とデータ解析I」（2, 3, 11回目）
・データの表現（散布図）「情報処理応用演習」（5回目）
</t>
    <rPh sb="175" eb="176">
      <t>m</t>
    </rPh>
    <rPh sb="191" eb="192">
      <t xml:space="preserve">メ </t>
    </rPh>
    <rPh sb="234" eb="235">
      <t>m</t>
    </rPh>
    <rPh sb="284" eb="285">
      <t>m</t>
    </rPh>
    <phoneticPr fontId="1"/>
  </si>
  <si>
    <r>
      <rPr>
        <sz val="9"/>
        <rFont val="ＭＳ Ｐゴシック"/>
        <family val="3"/>
        <charset val="128"/>
        <scheme val="minor"/>
      </rPr>
      <t xml:space="preserve">・データの集計（和，平均）「情報処理の基礎と演習」（13回目)
・データの並び替え，ランキング「情報処理の基礎と演習」（13，15回）
・データ解析ツール「情報処理の基礎と演習」（12～15回）
</t>
    </r>
    <r>
      <rPr>
        <sz val="9"/>
        <color theme="1"/>
        <rFont val="ＭＳ Ｐゴシック"/>
        <family val="3"/>
        <charset val="128"/>
        <scheme val="minor"/>
      </rPr>
      <t>・データの集計「情報処理演習Ⅰ」（4回目）
・データの集計「情報処理演習Ⅱ」（4回目）
・データの集計、データ解析ツール、表形式のデータ（csv）「データ処理とデータ解析I」（2〜15回目）
・データの集計(和、平均)「データ分析の基礎」（2回目）
・データの並び替え「データ分析の基礎」（2回目）
・データ解析ツール(スプレッドシート)「データ分析の基礎」（5〜14回目）</t>
    </r>
    <rPh sb="220" eb="221">
      <t xml:space="preserve">メ </t>
    </rPh>
    <rPh sb="245" eb="246">
      <t xml:space="preserve">メ </t>
    </rPh>
    <rPh sb="283" eb="284">
      <t>m</t>
    </rPh>
    <phoneticPr fontId="1"/>
  </si>
  <si>
    <t>令和2</t>
    <rPh sb="0" eb="2">
      <t>レイワ</t>
    </rPh>
    <phoneticPr fontId="1"/>
  </si>
  <si>
    <t>4-1統計および数理基礎</t>
    <phoneticPr fontId="1"/>
  </si>
  <si>
    <t>4‐3データ構造とプログラミング基礎</t>
    <phoneticPr fontId="1"/>
  </si>
  <si>
    <t>現代社会論C（情報社会と法）</t>
    <phoneticPr fontId="1"/>
  </si>
  <si>
    <t>小部会は、全学横断型教育プログラムを推進することを目的とする。
全学横断型教育プログラムは以下の４つである。
（1）データサイエンス･プログラム
（2）援助力養成プログラム
（3）国際交流プログラム
（4）キャリアマネジメント･プログラム</t>
    <phoneticPr fontId="1"/>
  </si>
  <si>
    <t>学部・学科によって、修了要件は相違する</t>
  </si>
  <si>
    <t>様式１-２</t>
    <rPh sb="0" eb="2">
      <t>ヨウシキ</t>
    </rPh>
    <phoneticPr fontId="1"/>
  </si>
  <si>
    <t>・データ倫理：プライバシー保護「情報処理の基礎と演習」（3回目）
・データ倫理：盗用「情報処理の基礎と演習」（5回目）
・個人情報保護、・データ倫理「情報処理演習Ⅰ」（9回目）
・データ倫理：盗用「情報処理演習Ⅱ」（9回目，13回目）
・個人情報保護「情報科学」（13回目）
・データバイアス「情報検索システム論」（11回目）
・プライバシー保護「現代社会論C（情報社会と法）」（第5回）、「個人情報法制」（第2回）
・個人情報保護「現代社会論C（情報社会と法）」（第10回）「個人情報法制」（第1～15回）
・EU一般データ保護規則(GDPR)、忘れられる権利「個人情報法制」（第11～12回）
・データバイアス、アルゴリズムバイアス「現代社会論C（情報社会と法）」（第15回）
・AI社会原則「現代社会論C（情報社会と法）」（第15回）
・AIサービスの責任論「現代社会論C（情報社会と法）」（第15回）</t>
    <phoneticPr fontId="1"/>
  </si>
  <si>
    <t>・情報セキュリティ「情報処理の基礎と演習」（3回目）
・情報セキュリティ：機密性、完全性、可用性「情報処理演習Ⅰ」（9回目）
・情報セキュリティ：機密性、完全性、可用性「情報処理演習Ⅱ」（9回目）
・情報セキュリティ：機密性、完全性、可用性、暗号化、パスワード、悪意ある情報搾取「情報科学」（10〜12回目）
・情報セキュリティ「情報ネットワーク論」（12回目）
・匿名加工技術：暗号化「情報ネットワーク論」（13回目)
・匿名加工情報「個人情報法制」（第6回）</t>
    <phoneticPr fontId="1"/>
  </si>
  <si>
    <r>
      <t xml:space="preserve">SD・FD部会において実施している授業アンケートを分析することによって、学生の授業内容の理解度を把握している。その結果をもとに、必要に応じて科目担当教員が授業の改善を行っている。
令和5年度の授業アンケートにおける「この授業は、総合的に満足できるものでしたか」という項目において、
データサイエンス共通基礎科目群の平均が3.6（※）（100点換算で約90点）、
データサイエンス専門基礎科目群の平均が3.5（100点換算で約87.5点）、
データサイエンス専門応用科目群の平均が3.5（100点換算で約87.5点）であった。
</t>
    </r>
    <r>
      <rPr>
        <sz val="12"/>
        <rFont val="ＭＳ Ｐゴシック"/>
        <family val="3"/>
        <charset val="128"/>
      </rPr>
      <t xml:space="preserve">　以上のことから、学生の授業内容の理解度は高いと考えられる。
</t>
    </r>
    <r>
      <rPr>
        <sz val="12"/>
        <rFont val="ＭＳ Ｐゴシック"/>
        <family val="3"/>
        <charset val="128"/>
        <scheme val="minor"/>
      </rPr>
      <t>※「そう思う」「どちらかといえばそう思う」「どちらかといえばそう思わない」「そう思わない」の4段階で点数化</t>
    </r>
    <phoneticPr fontId="1"/>
  </si>
  <si>
    <t>第1段階（共通基礎）としてデータサイエンスの共通基礎、第2段階（専門基礎）として各専門分野のデータサイエンスの基礎を身につけ、第3段階（専門応用）として各専門分野のデータサイエンスの応用を演習形式で学ぶことにより、データサイエンスの知識やスキルを各専門分野での課題解決に活用できる力を養う。</t>
    <phoneticPr fontId="1"/>
  </si>
  <si>
    <t>SD・FD部会において、受講生に対する授業アンケートを学期の中間と期末で実施しているが、中間アンケートにおいて、受講生から指摘された授業改善点に対して、授業対応プランを提示している。授業内容や授業形式などを改善することで、より多くの学生にとって魅力的なプログラムとなるように努めている。
全授業科目の授業対応プランは科目の受講生以外の全学生が閲覧することができる。受講生の感想や意見に対する教員の対応を掲示することで、より多くの学生が本プログラムに興味を持ち、受講を希望するようになることを期待している。</t>
    <phoneticPr fontId="1"/>
  </si>
  <si>
    <t>社会におけるデータとAIの利活用に関する学習の場面では、現実の社会での実例を紹介し、AIがどのように活用されているかを示し、学生の学ぶ楽しさや学ぶことの意義が理解できるように工夫している。さらに、映像資料を活用することで、理解を深めるようにしている。</t>
    <phoneticPr fontId="1"/>
  </si>
  <si>
    <t>SD・FD部会が全学授業アンケートを、各学期の中間と期末に実施している。
このアンケートを通じて、授業方法や授業内容に関する学生からのフィードバックを収集し、特に授業の「分かりやすさ」に着目して、各授業科目の内容や実施方法を見直し、授業の質を維持・向上させる取り組みを行っている。</t>
    <phoneticPr fontId="1"/>
  </si>
  <si>
    <t>令和5年度から、全学横断型教育を推進するために、本学の教養教育を運営する「基盤教育センター」に「全学横断型教育小部会」を新たに設置した。「基盤教育センター」は学部・学科を問わず全学生に必要な知識やスキルを身につけさせる基盤教育を運営している。基盤教育は、専門教育を学ぶ前の土台を築くことを目的としている。
「全学横断型教育小部会」では、学生からのフィードバックを取り入れ、教員間で情報を共有しながら、教育プログラムの改善に取り組んでいる。</t>
    <phoneticPr fontId="1"/>
  </si>
  <si>
    <t>毎年度の初めに、全学部・学科の学生を対象に「全学横断型教育プログラム」の履修ガイダンスを実施している。
これに加えて、「データサイエンス・プログラム」への関心を高め、履修者数及び履修率を向上させるため、データサイエンスに関心がある全ての学生を対象に、情報処理関係資格取得支援プログラム説明会を開催している。説明会では、データサイエンス・プログラムの内容、学習することで開けるキャリアパスなど詳しい情報を提供している。これにより、学生の学修意欲を刺激し、プログラムへの参加意欲を高めている。</t>
    <phoneticPr fontId="1"/>
  </si>
  <si>
    <t>本プログラムでは、多くの授業科目でオンライン学習プラットフォームであるLMSを積極的に活用している。LMS上では、授業資料の閲覧、課題の提出、掲示板を通じた教員や他の学生とのディスカッションなど、学修に必要な様々な機能を提供しており、学生は場所を選ばずに学習を進めることができる。
また、授業では、学期の期末だけではなく中間でも授業アンケートを実施し、授業方法や授業内容を見直し、学生が履修した科目を修得できるような取り組みを行っている。
さらに、マイクロソフトオフィススペシャリスト(MOS)資格取得講座を開講している。この講座では、データ分析や情報処理の基本的なスキルを身につけるための実践的なトレーニングを提供し、学生がデータサイエンス分野での実務能力を高める手助けをしている。
以上のようなサポート体制を整え、多くの学生が自分の意欲や能力に合わせた学びを進めることができるようにしている。</t>
    <phoneticPr fontId="1"/>
  </si>
  <si>
    <t>本教育プログラムでは、学生が授業時間内外にわたって学修支援が受けられるよう学習相談・助言体制を整えている。シラバスには、学生が教員からの学修指導や質問対応を受けるための方法を明記している。
具体的には、オフィスアワーを設定したり、メールやLMS等による質問を受け付け、学生の学びをサポートしている。オフィスアワーの時間帯では、学生が自由に教員のもとを訪れ、授業内容に関する疑問や学修上の課題について相談できる機会を提供している。対面に加えてオンラインでも応じている。
また、学生はメールやLMS等を利用して、授業時間外でも教員に質問を送ることができる。これにより、学生は自宅や学外での学修中に生じた疑問点を迅速に解決することが可能となっている。
こうした仕組みにより、学生は授業時間内だけでなく、授業時間外、学外での学修時にも教員の指導を受けることができる。</t>
    <phoneticPr fontId="1"/>
  </si>
  <si>
    <t>SD・FD部会において実施している授業アンケートを分析することによって、学修成果を把握している。その結果をもとに、必要に応じて科目担当教員が授業の改善を行っている。
令和5年度の授業アンケートにおける「この授業は、授業到達目標が達成できる学習効果の高い授業でしたか」という項目において、
データサイエンス共通基礎科目群の平均が約3.6（※）（100点換算で約90点）、
データサイエンス専門基礎科目群の平均が約3.5（100点換算で約87.5点）、
データサイエンス専門応用科目群の平均が約3.6（100点換算で約90点）であった。
　以上のことから、学修成果は高いと考えられる。
※「そう思う」「どちらかといえばそう思う」「どちらかといえばそう思わない」「そう思わない」の4段階で点数化</t>
    <rPh sb="277" eb="279">
      <t>ガクシュウ</t>
    </rPh>
    <phoneticPr fontId="1"/>
  </si>
  <si>
    <t>人間社会学部</t>
    <rPh sb="0" eb="2">
      <t>ニンゲン</t>
    </rPh>
    <rPh sb="2" eb="6">
      <t>シャカイガクブ</t>
    </rPh>
    <phoneticPr fontId="1"/>
  </si>
  <si>
    <t>看護学部</t>
    <rPh sb="0" eb="2">
      <t>カンゴ</t>
    </rPh>
    <rPh sb="2" eb="4">
      <t>ガクブ</t>
    </rPh>
    <phoneticPr fontId="1"/>
  </si>
  <si>
    <t>卒業生の就職率は、令和4年度では、公共社会学科96.2％（民間企業・団体等、官公庁、教員、大学院進学等）、社会福祉学科100％（社会福祉施設、病院医療施設、官公庁、教員、大学院進学等）、人間形成学科100％（幼稚園・保育所、民間企業・団体等、官公庁、教員、大学院進学等）、看護学科100％（医療施設、官公庁（保健師）、教員（養護教諭）、大学院進学等）である。
進路・生活支援部会において、毎年、卒業生就職先アンケートを実施し、本学の卒業生に対する企業等評価を把握している。
令和5年度の卒業生就職先アンケートでは、送付数172に対して57の回答を得た（回収率33.1%）。本学の卒業生が身についていると感じる能力に関して「そう思う」又は「ややそう思う」と回答を得た割合が、「大学で学んだ専門分野の知識」が69.1％、「大学で学んだ専門分野のスキル」が65.5％「情報を分析する力」が65.5％であった。</t>
    <phoneticPr fontId="1"/>
  </si>
  <si>
    <t>公立大学法人福岡県立大学基盤教育センター全学横断型教育小部会設置要綱</t>
    <rPh sb="30" eb="32">
      <t>セッチ</t>
    </rPh>
    <rPh sb="32" eb="34">
      <t>ヨウコウ</t>
    </rPh>
    <phoneticPr fontId="1"/>
  </si>
  <si>
    <t>人間社会学部</t>
    <rPh sb="0" eb="6">
      <t>ニンゲンシャカイガクブ</t>
    </rPh>
    <phoneticPr fontId="1"/>
  </si>
  <si>
    <t>看護学部</t>
    <rPh sb="0" eb="4">
      <t>カンゴガクブ</t>
    </rPh>
    <phoneticPr fontId="1"/>
  </si>
  <si>
    <t>本学は、保健・福祉分野の国家資格取得などを目指す2学部4学科の「専門コース」での学びに加え、未来社会で活躍するための潜在的能力や基礎力を身につける「全学横断型教育プログラム」を設けて、創造的な人材育成教育を展開している。
現在、「全学横断型教育プログラム」として、①「データサイエンス･プログラム」をはじめ、②対人支援力を実践する「援助力養成プログラム」、③海外留学を含め4年間で卒業できる「国際交流プログラム」、④就業力強化の「キャリアマネジメント･プログラム」の4つのプログラムを開講しており、学生は自由に選択できるようになっている。
このうち「データサイエンス･プログラム」では、令和2年度から、本プログラムの授業科目群を履修した学生に対し、取得した単位数に応じて「データサイエンス（基礎）学修証明書」または「データサイエンス学修証明書」を交付している。令和4年度からは、データサイエンスのリテラシーレベルを学修した者に「データサイエンス（リテラシー）学修証明書」の交付も開始した。「データサイエンス（リテラシー）学修証明書」の交付を開始したことにより、学修証明書の交付対象者数が令和3年度の48名から令和4年度には155名へ大幅に増加した。
履修率は令和5年度に既に100%に達していることから、「データサイエンス･プログラム」のさらなる発展と修了者数の増加を目指し、学修証明書の交付対象者数を定期的に評価し、必要に応じてプログラムを改善していく予定である。この取り組みにより、プログラムの質の維持・向上を図りつつ、より多くの学生がデータサイエンスのリテラシーを身につけ、未来社会での活躍に必要なスキルを習得できるよう努めていく。</t>
    <phoneticPr fontId="1"/>
  </si>
  <si>
    <t>令和4年度からデータサイエンスのリテラシーレベルを学修した者に「データサイエンス（リテラシー）学修証明書」の交付を開始した。令和4年度終了時での3種類のデータサイエンス・プログラムの学修証明書のいずれかを取得した学生は、令和3年度の48名に対して155名へ大きく増加した。
令和5年度から、全学横断型教育を推進するために、本学の教養教育を運営する「基盤教育センター」に「全学横断型教育小部会」を新たに設置し、履修者数、履修率の向上に取り組んでいる。令和5年度終了時では、プログラムの履修率が100％に達した。</t>
    <phoneticPr fontId="1"/>
  </si>
  <si>
    <t>本プログラムの授業科目群を履修した学生に対し、取得した単位に応じて「データサイエンス（リテラシー）学修証明書」「データサイエンス（基礎）学修証明書」「データサイエンス学修証明書」の3種類の学修証明書を交付している。学修証明書は3年次終了時もしくは卒業時に取得できる。
学修証明書の交付は令和2年度から開始した。令和2年度終了時での「データサイエンス（基礎）学修証明書」又は「データサイエンス学修証明書」の取得者数は51名であった。
令和4年度からデータサイエンスのリテラシーレベルを学修した者に「データサイエンス（リテラシー）学修証明書」の交付を開始した。令和4年度終了時での3種類の学修証明書のいずれかを取得した学生は155名に大きく増加した。
令和5年度終了時でのプログラムの履修率は100％に達している。</t>
    <rPh sb="100" eb="102">
      <t>コウフ</t>
    </rPh>
    <rPh sb="349" eb="350">
      <t>タッ</t>
    </rPh>
    <phoneticPr fontId="1"/>
  </si>
  <si>
    <r>
      <t xml:space="preserve">データサイエンス（リテラシー）学修証明書
データサイエンスに関する基礎的な知識・技能を学修した者に与えられる。 
3年次修了時又は卒業時に次の条件をすべて満足した者。
表Ⅰに示す科目の中から合計2単位以上を取得
表Ⅰ、表Ⅱ、表Ⅲに示す科目の中から合計8単位以上を取得
上記単位取得科目の獲得GPの総和（累積GP）が16以上
</t>
    </r>
    <r>
      <rPr>
        <u/>
        <sz val="12"/>
        <rFont val="ＭＳ Ｐゴシック"/>
        <family val="3"/>
        <charset val="128"/>
        <scheme val="minor"/>
      </rPr>
      <t>（最低科目数5科目、最低単位数8単位、「情報処理演習Ⅰ」（１単位）は必須科目）</t>
    </r>
    <r>
      <rPr>
        <sz val="12"/>
        <rFont val="ＭＳ Ｐゴシック"/>
        <family val="3"/>
        <charset val="128"/>
        <scheme val="minor"/>
      </rPr>
      <t xml:space="preserve">
データサイエンス（基礎）学修証明書
データサイエンスにおける基礎的な知識・技能を学修し、またデータサイエンスを用いた基本的な調査分析の方法やICT の利活用について学修した者に与えられる。 
3年次修了時又は卒業時に次の条件をすべて満足した者。
表Ⅰ、表Ⅱに示す科目の中からそれぞれ4単位以上を取得
表Ⅰ、表Ⅱ、表Ⅲに示す科目の中から合計18単位以上を取得
上記単位取得科目の獲得GPの総和（累積GP）が36以上
</t>
    </r>
    <r>
      <rPr>
        <u/>
        <sz val="12"/>
        <rFont val="ＭＳ Ｐゴシック"/>
        <family val="3"/>
        <charset val="128"/>
        <scheme val="minor"/>
      </rPr>
      <t xml:space="preserve">（最低科目数10科目、最低単位数18単位、「情報処理演習Ⅰ」（１単位）は必須科目）
</t>
    </r>
    <r>
      <rPr>
        <sz val="12"/>
        <rFont val="ＭＳ Ｐゴシック"/>
        <family val="3"/>
        <charset val="128"/>
        <scheme val="minor"/>
      </rPr>
      <t xml:space="preserve">
データサイエンス学修証明書
データサイエンスにおける知識・技能を学修し、またデータサイエンスを用いて実践的な調査分析の方法、問題解決等に活用する方法について学修した者に与えられる。 
3年次修了時又は卒業時に次の条件をすべて満足した者。
表Ⅰ、表Ⅱ、表Ⅲに示す科目の中からそれぞれ4単位以上を取得
表Ⅰ、表Ⅱ、表Ⅲに示す科目の中から合計30単位以上を取得
上記単位取得科目の累積GPが75以上
</t>
    </r>
    <r>
      <rPr>
        <u/>
        <sz val="12"/>
        <rFont val="ＭＳ Ｐゴシック"/>
        <family val="3"/>
        <charset val="128"/>
        <scheme val="minor"/>
      </rPr>
      <t>（最低科目数16科目、最低単位数30単位、「情報処理演習Ⅰ」（１単位）は必須科目）</t>
    </r>
    <r>
      <rPr>
        <sz val="12"/>
        <rFont val="ＭＳ Ｐゴシック"/>
        <family val="3"/>
        <charset val="128"/>
        <scheme val="minor"/>
      </rPr>
      <t xml:space="preserve">
表I データサイエンス共通基礎
１．数学概論（２単位）、２．統計学（２単位）、３．情報科学（２単位）、４．情報処理の基礎と演習（２単位）、５．情報処理演習Ⅰ（１単位）、６．情報処理演習Ⅱ（１単位）、７．情報処理応用演習（１単位）
表Ⅱ データサイエンス専門基礎
１．データ分析の基礎（２単位）、２．社会統計学Ⅰ（２単位）、３．社会統計学Ⅱ（２単位）、４．心理学統計法（２単位）、５．保健統計学（２単位）、６．疫学（２単位）、７．情報数学（２単位）、８．プログラミング概論（２単位）、９．データベース論（２単位）、１０．マルチメディア論（２単位）、１１．情報ネットワーク論（２単位）、１２．現代社会論B（情報社会論）（２単位）、１３．現代社会論C（情報社会と法）（２単位）、１４．情報検索システム論（２単位）、１５．個人情報法制（２単位）、１６．地理情報システム論（２単位）
表Ⅲ データサイエンス専門応用
１．社会調査法（２単位）、２．社会福祉調査法（２単位）、３．保健社会調査論（２単位）、４．心理学研究法（２単位）、５．社会調査の設計（２単位）、６．地域社会分析法C（２単位）、７．心理学実験Ⅰ（２単位）、８．心理学実験Ⅱ（２単位）、９．社会調査実習Ⅰ（２単位）、１０．社会調査実習Ⅱ（２単位）、１１．看護研究（２単位）、１２．公衆衛生看護アセスメント論Ⅰ（２単位）、１３．公衆衛生看護アセスメント論Ⅱ（２単位）、１４．データ処理とデータ解析Ⅰ（１単位）、１５．データ処理とデータ解析Ⅱ（１単位）、１６．Webデザイン演習（１単位）、１７．看護情報学（１単位）、１８．情報ネットワーク演習（１単位）、１９．プログラミング演習（１単位）</t>
    </r>
    <phoneticPr fontId="1"/>
  </si>
  <si>
    <r>
      <t xml:space="preserve">データサイエンス（リテラシー）学修証明書
データサイエンスに関する基礎的な知識・技能を学修した者に与えられる。 
3年次修了時又は卒業時に次の条件をすべて満足した者。
表Ⅰに示す科目の中から合計2単位以上を取得
表Ⅰ、表Ⅱ、表Ⅲに示す科目の中から合計8単位以上を取得
上記単位取得科目の獲得GPの総和（累積GP）が16以上
</t>
    </r>
    <r>
      <rPr>
        <u/>
        <sz val="12"/>
        <rFont val="ＭＳ Ｐゴシック"/>
        <family val="3"/>
        <charset val="128"/>
        <scheme val="minor"/>
      </rPr>
      <t xml:space="preserve">（最低科目数4科目、最低単位数8単位、「情報処理の基礎と演習」（２単位）は必須科目）
</t>
    </r>
    <r>
      <rPr>
        <sz val="12"/>
        <rFont val="ＭＳ Ｐゴシック"/>
        <family val="3"/>
        <charset val="128"/>
        <scheme val="minor"/>
      </rPr>
      <t xml:space="preserve">
データサイエンス（基礎）学修証明書
データサイエンスにおける基礎的な知識・技能を学修し、またデータサイエンスを用いた基本的な調査分析の方法やICT の利活用について学修した者に与えられる。 
3年次修了時又は卒業時に次の条件をすべて満足した者。
表Ⅰ、表Ⅱに示す科目の中からそれぞれ4単位以上を取得
表Ⅰ、表Ⅱ、表Ⅲに示す科目の中から合計18単位以上を取得
上記単位取得科目の獲得GPの総和（累積GP）が36以上
</t>
    </r>
    <r>
      <rPr>
        <u/>
        <sz val="12"/>
        <rFont val="ＭＳ Ｐゴシック"/>
        <family val="3"/>
        <charset val="128"/>
        <scheme val="minor"/>
      </rPr>
      <t>（最低科目数9科目、最低単位数18単位、「情報処理の基礎と演習」（２単位）は必須科目）</t>
    </r>
    <r>
      <rPr>
        <sz val="12"/>
        <rFont val="ＭＳ Ｐゴシック"/>
        <family val="3"/>
        <charset val="128"/>
        <scheme val="minor"/>
      </rPr>
      <t xml:space="preserve">
データサイエンス学修証明書
データサイエンスにおける知識・技能を学修し、またデータサイエンスを用いて実践的な調査分析の方法、問題解決等に活用する方法について学修した者に与えられる。 
3年次修了時又は卒業時に次の条件をすべて満足した者。
表Ⅰ、表Ⅱ、表Ⅲに示す科目の中からそれぞれ4単位以上を取得
表Ⅰ、表Ⅱ、表Ⅲに示す科目の中から合計30単位以上を取得
上記単位取得科目の累積GPが75以上
</t>
    </r>
    <r>
      <rPr>
        <u/>
        <sz val="12"/>
        <rFont val="ＭＳ Ｐゴシック"/>
        <family val="3"/>
        <charset val="128"/>
        <scheme val="minor"/>
      </rPr>
      <t>（最低科目数15科目、最低単位数30単位、「情報処理の基礎と演習」（２単位）は必須科目）</t>
    </r>
    <r>
      <rPr>
        <sz val="12"/>
        <rFont val="ＭＳ Ｐゴシック"/>
        <family val="3"/>
        <charset val="128"/>
        <scheme val="minor"/>
      </rPr>
      <t xml:space="preserve">
表I データサイエンス共通基礎
１．数学概論（２単位）、２．統計学（２単位）、３．情報科学（２単位）、４．情報処理の基礎と演習（２単位）、５．情報処理演習Ⅰ（１単位）、６．情報処理演習Ⅱ（１単位）、７．情報処理応用演習（１単位）
表Ⅱ データサイエンス専門基礎
１．データ分析の基礎（２単位）、２．社会統計学Ⅰ（２単位）、３．社会統計学Ⅱ（２単位）、４．心理学統計法（２単位）、５．保健統計学（２単位）、６．疫学（２単位）、７．情報数学（２単位）、８．プログラミング概論（２単位）、９．データベース論（２単位）、１０．マルチメディア論（２単位）、１１．情報ネットワーク論（２単位）、１２．現代社会論B（情報社会論）（２単位）、１３．現代社会論C（情報社会と法）（２単位）、１４．情報検索システム論（２単位）、１５．個人情報法制（２単位）、１６．地理情報システム論（２単位）
表Ⅲ データサイエンス専門応用
１．社会調査法（２単位）、２．社会福祉調査法（２単位）、３．保健社会調査論（２単位）、４．心理学研究法（２単位）、５．社会調査の設計（２単位）、６．地域社会分析法C（２単位）、７．心理学実験Ⅰ（２単位）、８．心理学実験Ⅱ（２単位）、９．社会調査実習Ⅰ（２単位）、１０．社会調査実習Ⅱ（２単位）、１１．看護研究（２単位）、１２．公衆衛生看護アセスメント論Ⅰ（２単位）、１３．公衆衛生看護アセスメント論Ⅱ（２単位）、１４．データ処理とデータ解析Ⅰ（１単位）、１５．データ処理とデータ解析Ⅱ（１単位）、１６．Webデザイン演習（１単位）、１７．看護情報学（１単位）、１８．情報ネットワーク演習（１単位）、１９．プログラミング演習（１単位）</t>
    </r>
    <rPh sb="169" eb="171">
      <t>カモク</t>
    </rPh>
    <rPh sb="178" eb="180">
      <t>タンイ</t>
    </rPh>
    <rPh sb="741" eb="743">
      <t>タンイ</t>
    </rPh>
    <phoneticPr fontId="1"/>
  </si>
  <si>
    <t>当小部会の構成は、以下の通りである。
小部会長　
人間社会学部　教授　石崎　龍二
人間社会学部　
教授　 　森脇　敦史
准教授　中村　晋介
准教授　井上　奈美子
准教授　柴田　雅博
准教授　坂無　淳
看護学部
准教授　四戸　智昭　
講師　 　小出　昭太郎</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</si>
</sst>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9"/>
      <color rgb="FF00B050"/>
      <name val="ＭＳ Ｐゴシック"/>
      <family val="3"/>
      <charset val="128"/>
      <scheme val="minor"/>
    </font>
    <font>
      <sz val="9"/>
      <color rgb="FF00B050"/>
      <name val="ＭＳ Ｐゴシック"/>
      <family val="2"/>
      <charset val="128"/>
      <scheme val="minor"/>
    </font>
    <font>
      <sz val="12"/>
      <name val="ＭＳ Ｐゴシック"/>
      <family val="3"/>
      <charset val="128"/>
    </font>
    <font>
      <u/>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8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0" fontId="2" fillId="0" borderId="0" xfId="0" applyFont="1" applyAlignment="1">
      <alignment horizontal="left" vertical="center"/>
    </xf>
    <xf numFmtId="0" fontId="2" fillId="0" borderId="0" xfId="0" applyFont="1" applyAlignment="1">
      <alignment vertical="top" wrapText="1"/>
    </xf>
    <xf numFmtId="0" fontId="2" fillId="0" borderId="0" xfId="0" applyFont="1" applyAlignment="1">
      <alignment vertical="center" wrapTex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3" fillId="0" borderId="0" xfId="0" applyFont="1">
      <alignment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3" fillId="0" borderId="1" xfId="0" applyFont="1" applyBorder="1">
      <alignment vertical="center"/>
    </xf>
    <xf numFmtId="0" fontId="13" fillId="0" borderId="1" xfId="0" applyFont="1" applyBorder="1" applyAlignment="1">
      <alignment horizontal="center" vertical="center"/>
    </xf>
    <xf numFmtId="0" fontId="13" fillId="0" borderId="0" xfId="0" applyFont="1" applyAlignment="1">
      <alignment horizontal="left" vertical="center" shrinkToFit="1"/>
    </xf>
    <xf numFmtId="0" fontId="12" fillId="0" borderId="0" xfId="0" applyFont="1">
      <alignment vertical="center"/>
    </xf>
    <xf numFmtId="0" fontId="12" fillId="0" borderId="0" xfId="0" applyFont="1" applyAlignment="1">
      <alignment horizontal="center" vertical="center"/>
    </xf>
    <xf numFmtId="0" fontId="13" fillId="0" borderId="1" xfId="0" applyFont="1" applyBorder="1" applyAlignment="1">
      <alignment horizontal="lef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11" fillId="0" borderId="0" xfId="0" applyFont="1" applyAlignment="1">
      <alignment vertical="center" wrapText="1"/>
    </xf>
    <xf numFmtId="0" fontId="11" fillId="0" borderId="0" xfId="0" applyFont="1">
      <alignment vertical="center"/>
    </xf>
    <xf numFmtId="49" fontId="11" fillId="0" borderId="0" xfId="0" applyNumberFormat="1" applyFont="1" applyAlignment="1">
      <alignment vertical="center" shrinkToFit="1"/>
    </xf>
    <xf numFmtId="0" fontId="13" fillId="0" borderId="14" xfId="0" applyFont="1" applyBorder="1" applyAlignment="1">
      <alignment horizontal="center" vertical="center" shrinkToFit="1"/>
    </xf>
    <xf numFmtId="0" fontId="13" fillId="0" borderId="20" xfId="0" applyFont="1" applyBorder="1" applyAlignment="1">
      <alignment horizontal="center" vertical="center" shrinkToFit="1"/>
    </xf>
    <xf numFmtId="0" fontId="13" fillId="0" borderId="35" xfId="0" applyFont="1" applyBorder="1" applyAlignment="1">
      <alignment horizontal="center" vertical="center" shrinkToFit="1"/>
    </xf>
    <xf numFmtId="0" fontId="13" fillId="0" borderId="13" xfId="0" applyFont="1" applyBorder="1" applyAlignment="1">
      <alignment horizontal="center" vertical="center" shrinkToFit="1"/>
    </xf>
    <xf numFmtId="0" fontId="13" fillId="0" borderId="0" xfId="0" applyFont="1" applyAlignment="1">
      <alignment horizontal="center" vertical="center" shrinkToFit="1"/>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20" xfId="0" applyFont="1" applyBorder="1" applyAlignment="1">
      <alignment horizontal="lef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5" xfId="2" applyFont="1" applyBorder="1" applyAlignment="1">
      <alignment vertical="center" shrinkToFit="1"/>
    </xf>
    <xf numFmtId="38" fontId="2" fillId="0" borderId="48" xfId="2" applyFont="1" applyBorder="1" applyAlignment="1">
      <alignment vertical="center" shrinkToFit="1"/>
    </xf>
    <xf numFmtId="38" fontId="2" fillId="0" borderId="0" xfId="2" applyFont="1" applyAlignment="1">
      <alignment vertical="center" shrinkToFit="1"/>
    </xf>
    <xf numFmtId="9" fontId="2" fillId="0" borderId="20" xfId="0" applyNumberFormat="1" applyFont="1" applyBorder="1" applyAlignment="1">
      <alignment vertical="center" shrinkToFit="1"/>
    </xf>
    <xf numFmtId="9" fontId="2" fillId="0" borderId="48" xfId="0" applyNumberFormat="1" applyFont="1" applyBorder="1" applyAlignment="1">
      <alignment vertical="center" shrinkToFit="1"/>
    </xf>
    <xf numFmtId="0" fontId="2" fillId="0" borderId="21" xfId="0" applyFont="1" applyBorder="1" applyAlignment="1">
      <alignment horizontal="left" vertical="center" shrinkToFit="1"/>
    </xf>
    <xf numFmtId="38" fontId="2" fillId="0" borderId="45" xfId="2" applyFont="1" applyBorder="1" applyAlignment="1">
      <alignment vertical="center" shrinkToFit="1"/>
    </xf>
    <xf numFmtId="38" fontId="2" fillId="0" borderId="10" xfId="2" applyFont="1" applyBorder="1" applyAlignment="1">
      <alignment vertical="center" shrinkToFit="1"/>
    </xf>
    <xf numFmtId="9" fontId="2" fillId="0" borderId="10" xfId="0" applyNumberFormat="1" applyFont="1" applyBorder="1" applyAlignment="1">
      <alignment vertical="center" shrinkToFit="1"/>
    </xf>
    <xf numFmtId="0" fontId="2" fillId="0" borderId="25" xfId="0" applyFont="1" applyBorder="1" applyAlignment="1">
      <alignment horizontal="center"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9" fontId="2" fillId="0" borderId="24" xfId="0" applyNumberFormat="1" applyFont="1" applyBorder="1" applyAlignment="1">
      <alignment vertical="center" shrinkToFit="1"/>
    </xf>
    <xf numFmtId="0" fontId="12" fillId="0" borderId="0" xfId="0" applyFont="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17" fillId="0" borderId="29" xfId="0" applyNumberFormat="1" applyFont="1" applyBorder="1" applyAlignment="1">
      <alignment horizontal="left" vertical="center" wrapText="1"/>
    </xf>
    <xf numFmtId="49" fontId="18" fillId="0" borderId="31" xfId="0" applyNumberFormat="1" applyFont="1" applyBorder="1" applyAlignment="1">
      <alignment horizontal="left" vertical="center"/>
    </xf>
    <xf numFmtId="49" fontId="18" fillId="0" borderId="30" xfId="0" applyNumberFormat="1" applyFont="1" applyBorder="1" applyAlignment="1">
      <alignment horizontal="left" vertical="center"/>
    </xf>
    <xf numFmtId="49" fontId="15" fillId="0" borderId="18" xfId="0" applyNumberFormat="1" applyFont="1" applyBorder="1" applyAlignment="1">
      <alignment horizontal="left" vertical="center" wrapText="1"/>
    </xf>
    <xf numFmtId="49" fontId="18" fillId="0" borderId="19" xfId="0" applyNumberFormat="1" applyFont="1" applyBorder="1" applyAlignment="1">
      <alignment horizontal="left" vertical="center"/>
    </xf>
    <xf numFmtId="49" fontId="18" fillId="0" borderId="17" xfId="0" applyNumberFormat="1" applyFont="1" applyBorder="1" applyAlignment="1">
      <alignment horizontal="left" vertical="center"/>
    </xf>
    <xf numFmtId="49" fontId="17" fillId="0" borderId="32" xfId="0" applyNumberFormat="1" applyFont="1" applyBorder="1" applyAlignment="1">
      <alignment horizontal="left" vertical="center" wrapText="1"/>
    </xf>
    <xf numFmtId="49" fontId="18" fillId="0" borderId="33" xfId="0" applyNumberFormat="1" applyFont="1" applyBorder="1" applyAlignment="1">
      <alignment horizontal="left" vertical="center"/>
    </xf>
    <xf numFmtId="49" fontId="18" fillId="0" borderId="34"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15" fillId="0" borderId="29" xfId="0" applyNumberFormat="1" applyFont="1" applyBorder="1" applyAlignment="1">
      <alignment horizontal="left" vertical="center" wrapText="1"/>
    </xf>
    <xf numFmtId="49" fontId="15" fillId="0" borderId="31" xfId="0" applyNumberFormat="1" applyFont="1" applyBorder="1" applyAlignment="1">
      <alignment horizontal="left" vertical="center"/>
    </xf>
    <xf numFmtId="49" fontId="15" fillId="0" borderId="30" xfId="0" applyNumberFormat="1" applyFont="1" applyBorder="1" applyAlignment="1">
      <alignment horizontal="left" vertical="center"/>
    </xf>
    <xf numFmtId="49" fontId="15" fillId="0" borderId="32" xfId="0" applyNumberFormat="1" applyFont="1" applyBorder="1" applyAlignment="1">
      <alignment horizontal="left" vertical="center" wrapText="1"/>
    </xf>
    <xf numFmtId="49" fontId="15" fillId="0" borderId="33" xfId="0" applyNumberFormat="1" applyFont="1" applyBorder="1" applyAlignment="1">
      <alignment horizontal="left" vertical="center"/>
    </xf>
    <xf numFmtId="49" fontId="15"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13" fillId="0" borderId="18" xfId="0" applyFont="1" applyBorder="1" applyAlignment="1">
      <alignment vertical="center" shrinkToFit="1"/>
    </xf>
    <xf numFmtId="0" fontId="13" fillId="0" borderId="19" xfId="0" applyFont="1" applyBorder="1" applyAlignment="1">
      <alignment vertical="center" shrinkToFit="1"/>
    </xf>
    <xf numFmtId="0" fontId="13" fillId="0" borderId="17" xfId="0" applyFont="1" applyBorder="1" applyAlignment="1">
      <alignment vertical="center" shrinkToFit="1"/>
    </xf>
    <xf numFmtId="0" fontId="13" fillId="0" borderId="29" xfId="0" applyFont="1" applyBorder="1" applyAlignment="1">
      <alignment vertical="center" shrinkToFit="1"/>
    </xf>
    <xf numFmtId="0" fontId="13" fillId="0" borderId="31" xfId="0" applyFont="1" applyBorder="1" applyAlignment="1">
      <alignment vertical="center" shrinkToFit="1"/>
    </xf>
    <xf numFmtId="0" fontId="13" fillId="0" borderId="30" xfId="0" applyFont="1" applyBorder="1" applyAlignment="1">
      <alignment vertical="center" shrinkToFit="1"/>
    </xf>
    <xf numFmtId="0" fontId="13" fillId="0" borderId="32" xfId="0" applyFont="1" applyBorder="1" applyAlignment="1">
      <alignment vertical="center" shrinkToFit="1"/>
    </xf>
    <xf numFmtId="0" fontId="13" fillId="0" borderId="33" xfId="0" applyFont="1" applyBorder="1" applyAlignment="1">
      <alignment vertical="center" shrinkToFit="1"/>
    </xf>
    <xf numFmtId="0" fontId="13" fillId="0" borderId="34" xfId="0" applyFont="1" applyBorder="1" applyAlignment="1">
      <alignment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2" fillId="0" borderId="6" xfId="0" applyFont="1" applyBorder="1" applyAlignment="1">
      <alignment horizontal="left" vertical="center" wrapTex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13" fillId="0" borderId="7" xfId="0" applyFont="1" applyBorder="1" applyAlignment="1">
      <alignment vertical="top" wrapText="1" shrinkToFit="1"/>
    </xf>
    <xf numFmtId="0" fontId="10" fillId="0" borderId="8" xfId="0" applyFont="1" applyBorder="1" applyAlignment="1">
      <alignment vertical="top" wrapText="1" shrinkToFit="1"/>
    </xf>
    <xf numFmtId="0" fontId="10" fillId="0" borderId="9" xfId="0" applyFont="1" applyBorder="1" applyAlignment="1">
      <alignment vertical="top" shrinkToFit="1"/>
    </xf>
    <xf numFmtId="0" fontId="10" fillId="0" borderId="5" xfId="0" applyFont="1" applyBorder="1" applyAlignment="1">
      <alignment vertical="top" shrinkToFit="1"/>
    </xf>
    <xf numFmtId="0" fontId="10" fillId="0" borderId="0" xfId="0" applyFont="1" applyAlignment="1">
      <alignment vertical="top" shrinkToFit="1"/>
    </xf>
    <xf numFmtId="0" fontId="10" fillId="0" borderId="10" xfId="0" applyFont="1" applyBorder="1" applyAlignment="1">
      <alignment vertical="top" shrinkToFit="1"/>
    </xf>
    <xf numFmtId="0" fontId="10" fillId="0" borderId="11" xfId="0" applyFont="1" applyBorder="1" applyAlignment="1">
      <alignment vertical="top" shrinkToFit="1"/>
    </xf>
    <xf numFmtId="0" fontId="10" fillId="0" borderId="6" xfId="0" applyFont="1" applyBorder="1" applyAlignment="1">
      <alignment vertical="top" shrinkToFit="1"/>
    </xf>
    <xf numFmtId="0" fontId="10"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13" fillId="0" borderId="18" xfId="0" applyFont="1" applyBorder="1" applyAlignment="1">
      <alignment vertical="top" wrapText="1" shrinkToFit="1"/>
    </xf>
    <xf numFmtId="0" fontId="13" fillId="0" borderId="19" xfId="0" applyFont="1" applyBorder="1" applyAlignment="1">
      <alignment vertical="top" wrapText="1" shrinkToFit="1"/>
    </xf>
    <xf numFmtId="0" fontId="13" fillId="0" borderId="17"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topLeftCell="A29" zoomScaleNormal="100" zoomScaleSheetLayoutView="100" workbookViewId="0">
      <selection activeCell="B28" sqref="B28:F28"/>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75" customHeight="1" x14ac:dyDescent="0.15">
      <c r="A1" s="36"/>
      <c r="B1" s="36"/>
      <c r="C1" s="36"/>
      <c r="D1" s="36"/>
      <c r="E1" s="36"/>
      <c r="F1" s="36"/>
      <c r="G1" s="36"/>
      <c r="H1" s="36"/>
      <c r="I1" s="36"/>
      <c r="J1" s="36"/>
      <c r="K1" s="36"/>
      <c r="L1" s="36"/>
      <c r="M1" s="36"/>
      <c r="N1" s="36"/>
      <c r="O1" s="36"/>
      <c r="P1" s="36"/>
      <c r="Q1" s="36"/>
      <c r="R1" s="36"/>
      <c r="S1" s="36"/>
      <c r="T1" s="144" t="s">
        <v>169</v>
      </c>
      <c r="U1" s="144"/>
      <c r="V1" s="2" t="s">
        <v>99</v>
      </c>
    </row>
    <row r="2" spans="1:24" ht="18.75" customHeight="1" x14ac:dyDescent="0.15">
      <c r="A2" s="36"/>
      <c r="B2" s="42" t="s">
        <v>98</v>
      </c>
      <c r="C2" s="145" t="s">
        <v>135</v>
      </c>
      <c r="D2" s="146"/>
      <c r="E2" s="146"/>
      <c r="F2" s="146"/>
      <c r="G2" s="146"/>
      <c r="H2" s="146"/>
      <c r="I2" s="146"/>
      <c r="J2" s="147"/>
      <c r="K2" s="37"/>
      <c r="L2" s="38"/>
      <c r="M2" s="38"/>
      <c r="N2" s="38"/>
      <c r="O2" s="38"/>
      <c r="P2" s="38"/>
      <c r="Q2" s="38"/>
      <c r="R2" s="38"/>
      <c r="S2" s="38"/>
      <c r="T2" s="38"/>
      <c r="U2" s="38"/>
    </row>
    <row r="3" spans="1:24" ht="18.75" customHeight="1" x14ac:dyDescent="0.15">
      <c r="A3" s="36"/>
      <c r="B3" s="42" t="s">
        <v>93</v>
      </c>
      <c r="C3" s="145" t="s">
        <v>136</v>
      </c>
      <c r="D3" s="146"/>
      <c r="E3" s="146"/>
      <c r="F3" s="146"/>
      <c r="G3" s="146"/>
      <c r="H3" s="146"/>
      <c r="I3" s="146"/>
      <c r="J3" s="147"/>
      <c r="K3" s="37"/>
      <c r="L3" s="38"/>
      <c r="M3" s="38"/>
      <c r="N3" s="38"/>
      <c r="O3" s="38"/>
      <c r="P3" s="38"/>
      <c r="Q3" s="38"/>
      <c r="R3" s="38"/>
      <c r="S3" s="38"/>
      <c r="T3" s="38"/>
      <c r="U3" s="38"/>
    </row>
    <row r="4" spans="1:24" ht="15" customHeight="1" x14ac:dyDescent="0.15">
      <c r="A4" s="36"/>
      <c r="B4" s="36"/>
      <c r="C4" s="36"/>
      <c r="D4" s="36"/>
      <c r="E4" s="36"/>
      <c r="F4" s="36"/>
      <c r="G4" s="36"/>
      <c r="H4" s="36"/>
      <c r="I4" s="36"/>
      <c r="J4" s="36"/>
      <c r="K4" s="36"/>
      <c r="L4" s="37"/>
      <c r="M4" s="43"/>
      <c r="N4" s="43"/>
      <c r="O4" s="43"/>
      <c r="P4" s="43"/>
      <c r="Q4" s="43"/>
      <c r="R4" s="43"/>
      <c r="S4" s="43"/>
      <c r="T4" s="43"/>
      <c r="U4" s="43"/>
    </row>
    <row r="5" spans="1:24" ht="18" customHeight="1" x14ac:dyDescent="0.15">
      <c r="A5" s="148" t="s">
        <v>37</v>
      </c>
      <c r="B5" s="148"/>
      <c r="C5" s="148"/>
      <c r="D5" s="148"/>
      <c r="E5" s="148"/>
      <c r="F5" s="148"/>
      <c r="G5" s="148"/>
      <c r="H5" s="148"/>
      <c r="I5" s="148"/>
      <c r="J5" s="148"/>
      <c r="K5" s="148"/>
      <c r="L5" s="148"/>
      <c r="M5" s="148"/>
      <c r="N5" s="148"/>
      <c r="O5" s="148"/>
      <c r="P5" s="148"/>
      <c r="Q5" s="148"/>
      <c r="R5" s="148"/>
      <c r="S5" s="148"/>
      <c r="T5" s="148"/>
      <c r="U5" s="148"/>
    </row>
    <row r="6" spans="1:24" ht="6.75" customHeight="1" x14ac:dyDescent="0.15">
      <c r="A6" s="36"/>
      <c r="B6" s="39"/>
      <c r="C6" s="39"/>
      <c r="D6" s="39"/>
      <c r="E6" s="39"/>
      <c r="F6" s="39"/>
      <c r="G6" s="39"/>
      <c r="H6" s="39"/>
      <c r="I6" s="39"/>
      <c r="J6" s="39"/>
      <c r="K6" s="39"/>
      <c r="L6" s="39"/>
      <c r="M6" s="39"/>
      <c r="N6" s="39"/>
      <c r="O6" s="39"/>
      <c r="P6" s="39"/>
      <c r="Q6" s="39"/>
      <c r="R6" s="39"/>
      <c r="S6" s="39"/>
      <c r="T6" s="39"/>
      <c r="U6" s="39"/>
    </row>
    <row r="7" spans="1:24" ht="15" customHeight="1" x14ac:dyDescent="0.15">
      <c r="A7" s="36" t="s">
        <v>130</v>
      </c>
      <c r="B7" s="39"/>
      <c r="C7" s="39"/>
      <c r="D7" s="39"/>
      <c r="E7" s="39"/>
      <c r="F7" s="44"/>
      <c r="G7" s="44"/>
      <c r="H7" s="44"/>
      <c r="I7" s="44"/>
      <c r="J7" s="44"/>
      <c r="K7" s="44"/>
      <c r="L7" s="104" t="s">
        <v>187</v>
      </c>
      <c r="M7" s="105"/>
      <c r="N7" s="105"/>
      <c r="O7" s="105"/>
      <c r="P7" s="105"/>
      <c r="Q7" s="105"/>
      <c r="R7" s="105"/>
      <c r="S7" s="105"/>
      <c r="T7" s="105"/>
      <c r="U7" s="106"/>
    </row>
    <row r="8" spans="1:24" ht="6" customHeight="1" x14ac:dyDescent="0.15">
      <c r="A8" s="36"/>
      <c r="B8" s="39"/>
      <c r="C8" s="39"/>
      <c r="D8" s="39"/>
      <c r="E8" s="39"/>
      <c r="F8" s="39"/>
      <c r="G8" s="39"/>
      <c r="H8" s="39"/>
      <c r="I8" s="39"/>
      <c r="J8" s="39"/>
      <c r="K8" s="39"/>
      <c r="L8" s="39"/>
      <c r="M8" s="39"/>
      <c r="N8" s="39"/>
      <c r="O8" s="39"/>
      <c r="P8" s="39"/>
      <c r="Q8" s="39"/>
      <c r="R8" s="39"/>
      <c r="S8" s="39"/>
      <c r="T8" s="39"/>
      <c r="U8" s="39"/>
    </row>
    <row r="9" spans="1:24" ht="18" customHeight="1" x14ac:dyDescent="0.15">
      <c r="A9" s="36" t="s">
        <v>131</v>
      </c>
      <c r="B9" s="36"/>
      <c r="C9" s="39"/>
      <c r="D9" s="39"/>
      <c r="E9" s="36"/>
      <c r="F9" s="36"/>
      <c r="G9" s="36"/>
      <c r="H9" s="36"/>
      <c r="I9" s="36"/>
      <c r="J9" s="36"/>
      <c r="K9" s="37"/>
      <c r="L9" s="44"/>
      <c r="M9" s="44"/>
      <c r="N9" s="44"/>
      <c r="O9" s="44"/>
      <c r="P9" s="44"/>
      <c r="Q9" s="44"/>
      <c r="R9" s="44"/>
      <c r="S9" s="44"/>
      <c r="T9" s="44"/>
      <c r="U9" s="44"/>
    </row>
    <row r="10" spans="1:24" ht="6" customHeight="1" x14ac:dyDescent="0.15">
      <c r="A10" s="36"/>
      <c r="B10" s="39"/>
      <c r="C10" s="39"/>
      <c r="D10" s="39"/>
      <c r="E10" s="39"/>
      <c r="F10" s="39"/>
      <c r="G10" s="39"/>
      <c r="H10" s="39"/>
      <c r="I10" s="39"/>
      <c r="J10" s="39"/>
      <c r="K10" s="39"/>
      <c r="L10" s="40"/>
      <c r="M10" s="39"/>
      <c r="N10" s="39"/>
      <c r="O10" s="39"/>
      <c r="P10" s="39"/>
      <c r="Q10" s="39"/>
      <c r="R10" s="39"/>
      <c r="S10" s="39"/>
      <c r="T10" s="39"/>
      <c r="U10" s="39"/>
    </row>
    <row r="11" spans="1:24" ht="18" customHeight="1" x14ac:dyDescent="0.15">
      <c r="A11" s="36"/>
      <c r="B11" s="119" t="s">
        <v>201</v>
      </c>
      <c r="C11" s="120"/>
      <c r="D11" s="120"/>
      <c r="E11" s="120"/>
      <c r="F11" s="120"/>
      <c r="G11" s="120"/>
      <c r="H11" s="120"/>
      <c r="I11" s="120"/>
      <c r="J11" s="120"/>
      <c r="K11" s="120"/>
      <c r="L11" s="120"/>
      <c r="M11" s="120"/>
      <c r="N11" s="120"/>
      <c r="O11" s="120"/>
      <c r="P11" s="120"/>
      <c r="Q11" s="120"/>
      <c r="R11" s="120"/>
      <c r="S11" s="120"/>
      <c r="T11" s="120"/>
      <c r="U11" s="121"/>
    </row>
    <row r="12" spans="1:24" ht="18" customHeight="1" x14ac:dyDescent="0.15">
      <c r="A12" s="36"/>
      <c r="B12" s="122"/>
      <c r="C12" s="123"/>
      <c r="D12" s="123"/>
      <c r="E12" s="123"/>
      <c r="F12" s="123"/>
      <c r="G12" s="123"/>
      <c r="H12" s="123"/>
      <c r="I12" s="123"/>
      <c r="J12" s="123"/>
      <c r="K12" s="123"/>
      <c r="L12" s="123"/>
      <c r="M12" s="123"/>
      <c r="N12" s="123"/>
      <c r="O12" s="123"/>
      <c r="P12" s="123"/>
      <c r="Q12" s="123"/>
      <c r="R12" s="123"/>
      <c r="S12" s="123"/>
      <c r="T12" s="123"/>
      <c r="U12" s="124"/>
    </row>
    <row r="13" spans="1:24" ht="6" customHeight="1" x14ac:dyDescent="0.15">
      <c r="A13" s="36"/>
      <c r="B13" s="39"/>
      <c r="C13" s="39"/>
      <c r="D13" s="39"/>
      <c r="E13" s="39"/>
      <c r="F13" s="39"/>
      <c r="G13" s="39"/>
      <c r="H13" s="39"/>
      <c r="I13" s="39"/>
      <c r="J13" s="39"/>
      <c r="K13" s="39"/>
      <c r="L13" s="40"/>
      <c r="M13" s="39"/>
      <c r="N13" s="39"/>
      <c r="O13" s="39"/>
      <c r="P13" s="39"/>
      <c r="Q13" s="39"/>
      <c r="R13" s="39"/>
      <c r="S13" s="39"/>
      <c r="T13" s="39"/>
      <c r="U13" s="39"/>
    </row>
    <row r="14" spans="1:24" ht="18" customHeight="1" x14ac:dyDescent="0.15">
      <c r="A14" s="36" t="s">
        <v>100</v>
      </c>
      <c r="B14" s="39"/>
      <c r="C14" s="39"/>
      <c r="D14" s="39"/>
      <c r="E14" s="37"/>
      <c r="F14" s="37"/>
      <c r="G14" s="37"/>
      <c r="H14" s="37"/>
      <c r="I14" s="37"/>
      <c r="J14" s="37"/>
      <c r="K14" s="37"/>
      <c r="L14" s="45"/>
      <c r="M14" s="45"/>
      <c r="N14" s="45"/>
      <c r="O14" s="45"/>
      <c r="P14" s="45"/>
      <c r="Q14" s="45"/>
      <c r="R14" s="45"/>
      <c r="S14" s="45"/>
      <c r="T14" s="45"/>
      <c r="U14" s="45"/>
    </row>
    <row r="15" spans="1:24" ht="74.099999999999994" customHeight="1" x14ac:dyDescent="0.15">
      <c r="A15" s="36"/>
      <c r="B15" s="149" t="s">
        <v>211</v>
      </c>
      <c r="C15" s="150"/>
      <c r="D15" s="150"/>
      <c r="E15" s="150"/>
      <c r="F15" s="150"/>
      <c r="G15" s="150"/>
      <c r="H15" s="150"/>
      <c r="I15" s="150"/>
      <c r="J15" s="150"/>
      <c r="K15" s="150"/>
      <c r="L15" s="150"/>
      <c r="M15" s="150"/>
      <c r="N15" s="150"/>
      <c r="O15" s="150"/>
      <c r="P15" s="150"/>
      <c r="Q15" s="150"/>
      <c r="R15" s="150"/>
      <c r="S15" s="150"/>
      <c r="T15" s="150"/>
      <c r="U15" s="151"/>
      <c r="X15" s="1" t="s">
        <v>94</v>
      </c>
    </row>
    <row r="16" spans="1:24" ht="74.099999999999994" customHeight="1" x14ac:dyDescent="0.15">
      <c r="A16" s="36"/>
      <c r="B16" s="152"/>
      <c r="C16" s="153"/>
      <c r="D16" s="153"/>
      <c r="E16" s="153"/>
      <c r="F16" s="153"/>
      <c r="G16" s="153"/>
      <c r="H16" s="153"/>
      <c r="I16" s="153"/>
      <c r="J16" s="153"/>
      <c r="K16" s="153"/>
      <c r="L16" s="153"/>
      <c r="M16" s="153"/>
      <c r="N16" s="153"/>
      <c r="O16" s="153"/>
      <c r="P16" s="153"/>
      <c r="Q16" s="153"/>
      <c r="R16" s="153"/>
      <c r="S16" s="153"/>
      <c r="T16" s="153"/>
      <c r="U16" s="154"/>
      <c r="X16" s="1" t="s">
        <v>114</v>
      </c>
    </row>
    <row r="17" spans="1:24" ht="74.099999999999994" customHeight="1" x14ac:dyDescent="0.15">
      <c r="A17" s="36"/>
      <c r="B17" s="152"/>
      <c r="C17" s="153"/>
      <c r="D17" s="153"/>
      <c r="E17" s="153"/>
      <c r="F17" s="153"/>
      <c r="G17" s="153"/>
      <c r="H17" s="153"/>
      <c r="I17" s="153"/>
      <c r="J17" s="153"/>
      <c r="K17" s="153"/>
      <c r="L17" s="153"/>
      <c r="M17" s="153"/>
      <c r="N17" s="153"/>
      <c r="O17" s="153"/>
      <c r="P17" s="153"/>
      <c r="Q17" s="153"/>
      <c r="R17" s="153"/>
      <c r="S17" s="153"/>
      <c r="T17" s="153"/>
      <c r="U17" s="154"/>
      <c r="X17" s="1" t="s">
        <v>115</v>
      </c>
    </row>
    <row r="18" spans="1:24" ht="74.099999999999994" customHeight="1" x14ac:dyDescent="0.15">
      <c r="A18" s="36"/>
      <c r="B18" s="152"/>
      <c r="C18" s="153"/>
      <c r="D18" s="153"/>
      <c r="E18" s="153"/>
      <c r="F18" s="153"/>
      <c r="G18" s="153"/>
      <c r="H18" s="153"/>
      <c r="I18" s="153"/>
      <c r="J18" s="153"/>
      <c r="K18" s="153"/>
      <c r="L18" s="153"/>
      <c r="M18" s="153"/>
      <c r="N18" s="153"/>
      <c r="O18" s="153"/>
      <c r="P18" s="153"/>
      <c r="Q18" s="153"/>
      <c r="R18" s="153"/>
      <c r="S18" s="153"/>
      <c r="T18" s="153"/>
      <c r="U18" s="154"/>
      <c r="X18" s="1" t="s">
        <v>116</v>
      </c>
    </row>
    <row r="19" spans="1:24" ht="93.95" customHeight="1" x14ac:dyDescent="0.15">
      <c r="A19" s="36"/>
      <c r="B19" s="152"/>
      <c r="C19" s="153"/>
      <c r="D19" s="153"/>
      <c r="E19" s="153"/>
      <c r="F19" s="153"/>
      <c r="G19" s="153"/>
      <c r="H19" s="153"/>
      <c r="I19" s="153"/>
      <c r="J19" s="153"/>
      <c r="K19" s="153"/>
      <c r="L19" s="153"/>
      <c r="M19" s="153"/>
      <c r="N19" s="153"/>
      <c r="O19" s="153"/>
      <c r="P19" s="153"/>
      <c r="Q19" s="153"/>
      <c r="R19" s="153"/>
      <c r="S19" s="153"/>
      <c r="T19" s="153"/>
      <c r="U19" s="154"/>
    </row>
    <row r="20" spans="1:24" ht="228.95" customHeight="1" x14ac:dyDescent="0.15">
      <c r="A20" s="36"/>
      <c r="B20" s="155"/>
      <c r="C20" s="156"/>
      <c r="D20" s="156"/>
      <c r="E20" s="156"/>
      <c r="F20" s="156"/>
      <c r="G20" s="156"/>
      <c r="H20" s="156"/>
      <c r="I20" s="156"/>
      <c r="J20" s="156"/>
      <c r="K20" s="156"/>
      <c r="L20" s="156"/>
      <c r="M20" s="156"/>
      <c r="N20" s="156"/>
      <c r="O20" s="156"/>
      <c r="P20" s="156"/>
      <c r="Q20" s="156"/>
      <c r="R20" s="156"/>
      <c r="S20" s="156"/>
      <c r="T20" s="156"/>
      <c r="U20" s="157"/>
    </row>
    <row r="21" spans="1:24" ht="7.5" customHeight="1" x14ac:dyDescent="0.15">
      <c r="A21" s="36"/>
      <c r="B21" s="39"/>
      <c r="C21" s="39"/>
      <c r="D21" s="39"/>
      <c r="E21" s="39"/>
      <c r="F21" s="39"/>
      <c r="G21" s="39"/>
      <c r="H21" s="39"/>
      <c r="I21" s="39"/>
      <c r="J21" s="39"/>
      <c r="K21" s="39"/>
      <c r="L21" s="39"/>
      <c r="M21" s="39"/>
      <c r="N21" s="39"/>
      <c r="O21" s="39"/>
      <c r="P21" s="39"/>
      <c r="Q21" s="39"/>
      <c r="R21" s="39"/>
      <c r="S21" s="39"/>
      <c r="T21" s="39"/>
      <c r="U21" s="39"/>
    </row>
    <row r="22" spans="1:24" ht="20.100000000000001" customHeight="1" x14ac:dyDescent="0.15">
      <c r="A22" s="36"/>
      <c r="B22" s="36" t="s">
        <v>132</v>
      </c>
      <c r="C22" s="36"/>
      <c r="D22" s="36"/>
      <c r="E22" s="41">
        <v>4</v>
      </c>
      <c r="F22" s="36" t="s">
        <v>112</v>
      </c>
      <c r="G22" s="36"/>
      <c r="H22" s="46">
        <v>8</v>
      </c>
      <c r="I22" s="39" t="s">
        <v>113</v>
      </c>
      <c r="J22" s="39"/>
      <c r="K22" s="37"/>
      <c r="L22" s="36"/>
      <c r="M22" s="37" t="s">
        <v>109</v>
      </c>
      <c r="N22" s="101" t="s">
        <v>116</v>
      </c>
      <c r="O22" s="102"/>
      <c r="P22" s="102"/>
      <c r="Q22" s="102"/>
      <c r="R22" s="102"/>
      <c r="S22" s="102"/>
      <c r="T22" s="102"/>
      <c r="U22" s="103"/>
    </row>
    <row r="23" spans="1:24" ht="7.5" customHeight="1" x14ac:dyDescent="0.15">
      <c r="A23" s="36"/>
      <c r="B23" s="39"/>
      <c r="C23" s="39"/>
      <c r="D23" s="39"/>
      <c r="E23" s="39"/>
      <c r="F23" s="39"/>
      <c r="G23" s="39"/>
      <c r="H23" s="39"/>
      <c r="I23" s="39"/>
      <c r="J23" s="39"/>
      <c r="K23" s="39"/>
      <c r="L23" s="39"/>
      <c r="M23" s="39"/>
      <c r="N23" s="39"/>
      <c r="O23" s="39"/>
      <c r="P23" s="39"/>
      <c r="Q23" s="39"/>
      <c r="R23" s="39"/>
      <c r="S23" s="39"/>
      <c r="T23" s="39"/>
      <c r="U23" s="39"/>
    </row>
    <row r="24" spans="1:24" ht="18" customHeight="1" x14ac:dyDescent="0.15">
      <c r="A24" s="158" t="s">
        <v>101</v>
      </c>
      <c r="B24" s="158"/>
      <c r="C24" s="158"/>
      <c r="D24" s="158"/>
      <c r="E24" s="158"/>
      <c r="F24" s="158"/>
      <c r="G24" s="158"/>
      <c r="H24" s="158"/>
      <c r="I24" s="158"/>
      <c r="J24" s="158"/>
      <c r="K24" s="158"/>
      <c r="L24" s="158"/>
      <c r="M24" s="158"/>
      <c r="N24" s="158"/>
      <c r="O24" s="158"/>
      <c r="P24" s="158"/>
      <c r="Q24" s="158"/>
      <c r="R24" s="158"/>
      <c r="S24" s="158"/>
      <c r="T24" s="158"/>
      <c r="U24" s="158"/>
    </row>
    <row r="25" spans="1:24" ht="18" customHeight="1" x14ac:dyDescent="0.15">
      <c r="A25" s="158"/>
      <c r="B25" s="158"/>
      <c r="C25" s="158"/>
      <c r="D25" s="158"/>
      <c r="E25" s="158"/>
      <c r="F25" s="158"/>
      <c r="G25" s="158"/>
      <c r="H25" s="158"/>
      <c r="I25" s="158"/>
      <c r="J25" s="158"/>
      <c r="K25" s="158"/>
      <c r="L25" s="158"/>
      <c r="M25" s="158"/>
      <c r="N25" s="158"/>
      <c r="O25" s="158"/>
      <c r="P25" s="158"/>
      <c r="Q25" s="158"/>
      <c r="R25" s="158"/>
      <c r="S25" s="158"/>
      <c r="T25" s="158"/>
      <c r="U25" s="158"/>
    </row>
    <row r="26" spans="1:24" ht="18" customHeight="1" x14ac:dyDescent="0.15">
      <c r="B26" s="107" t="s">
        <v>51</v>
      </c>
      <c r="C26" s="108"/>
      <c r="D26" s="108"/>
      <c r="E26" s="108"/>
      <c r="F26" s="109"/>
      <c r="G26" s="47" t="s">
        <v>77</v>
      </c>
      <c r="H26" s="48" t="s">
        <v>80</v>
      </c>
      <c r="I26" s="49" t="s">
        <v>54</v>
      </c>
      <c r="J26" s="49" t="s">
        <v>57</v>
      </c>
      <c r="K26" s="107" t="s">
        <v>51</v>
      </c>
      <c r="L26" s="108"/>
      <c r="M26" s="108"/>
      <c r="N26" s="108"/>
      <c r="O26" s="108"/>
      <c r="P26" s="108"/>
      <c r="Q26" s="109"/>
      <c r="R26" s="47" t="s">
        <v>77</v>
      </c>
      <c r="S26" s="48" t="s">
        <v>80</v>
      </c>
      <c r="T26" s="49" t="s">
        <v>54</v>
      </c>
      <c r="U26" s="49" t="s">
        <v>57</v>
      </c>
    </row>
    <row r="27" spans="1:24" ht="18" customHeight="1" x14ac:dyDescent="0.15">
      <c r="B27" s="137" t="s">
        <v>140</v>
      </c>
      <c r="C27" s="138"/>
      <c r="D27" s="138"/>
      <c r="E27" s="138"/>
      <c r="F27" s="139"/>
      <c r="G27" s="60">
        <v>2</v>
      </c>
      <c r="H27" s="60" t="s">
        <v>137</v>
      </c>
      <c r="I27" s="60" t="s">
        <v>137</v>
      </c>
      <c r="J27" s="61" t="s">
        <v>137</v>
      </c>
      <c r="K27" s="137"/>
      <c r="L27" s="138"/>
      <c r="M27" s="138"/>
      <c r="N27" s="138"/>
      <c r="O27" s="138"/>
      <c r="P27" s="138"/>
      <c r="Q27" s="139"/>
      <c r="R27" s="60"/>
      <c r="S27" s="60"/>
      <c r="T27" s="60"/>
      <c r="U27" s="60"/>
    </row>
    <row r="28" spans="1:24" ht="18" customHeight="1" x14ac:dyDescent="0.15">
      <c r="B28" s="134" t="s">
        <v>138</v>
      </c>
      <c r="C28" s="135"/>
      <c r="D28" s="135"/>
      <c r="E28" s="135"/>
      <c r="F28" s="136"/>
      <c r="G28" s="61">
        <v>1</v>
      </c>
      <c r="H28" s="61"/>
      <c r="I28" s="61" t="s">
        <v>137</v>
      </c>
      <c r="J28" s="61" t="s">
        <v>137</v>
      </c>
      <c r="K28" s="134"/>
      <c r="L28" s="135"/>
      <c r="M28" s="135"/>
      <c r="N28" s="135"/>
      <c r="O28" s="135"/>
      <c r="P28" s="135"/>
      <c r="Q28" s="136"/>
      <c r="R28" s="61"/>
      <c r="S28" s="61"/>
      <c r="T28" s="61"/>
      <c r="U28" s="61"/>
    </row>
    <row r="29" spans="1:24" ht="18" customHeight="1" x14ac:dyDescent="0.15">
      <c r="B29" s="134" t="s">
        <v>139</v>
      </c>
      <c r="C29" s="135"/>
      <c r="D29" s="135"/>
      <c r="E29" s="135"/>
      <c r="F29" s="136"/>
      <c r="G29" s="61">
        <v>1</v>
      </c>
      <c r="H29" s="61"/>
      <c r="I29" s="61" t="s">
        <v>137</v>
      </c>
      <c r="J29" s="61" t="s">
        <v>137</v>
      </c>
      <c r="K29" s="134"/>
      <c r="L29" s="135"/>
      <c r="M29" s="135"/>
      <c r="N29" s="135"/>
      <c r="O29" s="135"/>
      <c r="P29" s="135"/>
      <c r="Q29" s="136"/>
      <c r="R29" s="61"/>
      <c r="S29" s="61"/>
      <c r="T29" s="61"/>
      <c r="U29" s="61"/>
    </row>
    <row r="30" spans="1:24" ht="18" customHeight="1" x14ac:dyDescent="0.15">
      <c r="B30" s="134" t="s">
        <v>141</v>
      </c>
      <c r="C30" s="135"/>
      <c r="D30" s="135"/>
      <c r="E30" s="135"/>
      <c r="F30" s="136"/>
      <c r="G30" s="61">
        <v>2</v>
      </c>
      <c r="H30" s="61"/>
      <c r="I30" s="61" t="s">
        <v>137</v>
      </c>
      <c r="J30" s="61" t="s">
        <v>137</v>
      </c>
      <c r="K30" s="134"/>
      <c r="L30" s="135"/>
      <c r="M30" s="135"/>
      <c r="N30" s="135"/>
      <c r="O30" s="135"/>
      <c r="P30" s="135"/>
      <c r="Q30" s="136"/>
      <c r="R30" s="61"/>
      <c r="S30" s="61"/>
      <c r="T30" s="61"/>
      <c r="U30" s="61"/>
    </row>
    <row r="31" spans="1:24" ht="18" customHeight="1" x14ac:dyDescent="0.15">
      <c r="B31" s="134" t="s">
        <v>142</v>
      </c>
      <c r="C31" s="135"/>
      <c r="D31" s="135"/>
      <c r="E31" s="135"/>
      <c r="F31" s="136"/>
      <c r="G31" s="61">
        <v>2</v>
      </c>
      <c r="H31" s="61"/>
      <c r="I31" s="61" t="s">
        <v>137</v>
      </c>
      <c r="J31" s="61" t="s">
        <v>137</v>
      </c>
      <c r="K31" s="134"/>
      <c r="L31" s="135"/>
      <c r="M31" s="135"/>
      <c r="N31" s="135"/>
      <c r="O31" s="135"/>
      <c r="P31" s="135"/>
      <c r="Q31" s="136"/>
      <c r="R31" s="61"/>
      <c r="S31" s="61"/>
      <c r="T31" s="61"/>
      <c r="U31" s="61"/>
    </row>
    <row r="32" spans="1:24" ht="18" customHeight="1" x14ac:dyDescent="0.15">
      <c r="A32" s="3"/>
      <c r="B32" s="134"/>
      <c r="C32" s="135"/>
      <c r="D32" s="135"/>
      <c r="E32" s="135"/>
      <c r="F32" s="136"/>
      <c r="G32" s="61"/>
      <c r="H32" s="61"/>
      <c r="I32" s="61"/>
      <c r="J32" s="61"/>
      <c r="K32" s="134"/>
      <c r="L32" s="135"/>
      <c r="M32" s="135"/>
      <c r="N32" s="135"/>
      <c r="O32" s="135"/>
      <c r="P32" s="135"/>
      <c r="Q32" s="136"/>
      <c r="R32" s="61"/>
      <c r="S32" s="61"/>
      <c r="T32" s="61"/>
      <c r="U32" s="61"/>
    </row>
    <row r="33" spans="1:21" ht="18" customHeight="1" x14ac:dyDescent="0.15">
      <c r="A33" s="3"/>
      <c r="B33" s="140"/>
      <c r="C33" s="141"/>
      <c r="D33" s="141"/>
      <c r="E33" s="141"/>
      <c r="F33" s="142"/>
      <c r="G33" s="63"/>
      <c r="H33" s="63"/>
      <c r="I33" s="62"/>
      <c r="J33" s="62"/>
      <c r="K33" s="140"/>
      <c r="L33" s="141"/>
      <c r="M33" s="141"/>
      <c r="N33" s="141"/>
      <c r="O33" s="141"/>
      <c r="P33" s="141"/>
      <c r="Q33" s="142"/>
      <c r="R33" s="63"/>
      <c r="S33" s="63"/>
      <c r="T33" s="62"/>
      <c r="U33" s="62"/>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43" t="s">
        <v>102</v>
      </c>
      <c r="B35" s="143"/>
      <c r="C35" s="143"/>
      <c r="D35" s="143"/>
      <c r="E35" s="143"/>
      <c r="F35" s="143"/>
      <c r="G35" s="143"/>
      <c r="H35" s="143"/>
      <c r="I35" s="143"/>
      <c r="J35" s="143"/>
      <c r="K35" s="143"/>
      <c r="L35" s="143"/>
      <c r="M35" s="143"/>
      <c r="N35" s="143"/>
      <c r="O35" s="143"/>
      <c r="P35" s="143"/>
      <c r="Q35" s="143"/>
      <c r="R35" s="143"/>
      <c r="S35" s="143"/>
      <c r="T35" s="143"/>
      <c r="U35" s="143"/>
    </row>
    <row r="36" spans="1:21" ht="18" customHeight="1" x14ac:dyDescent="0.15">
      <c r="A36" s="143"/>
      <c r="B36" s="143"/>
      <c r="C36" s="143"/>
      <c r="D36" s="143"/>
      <c r="E36" s="143"/>
      <c r="F36" s="143"/>
      <c r="G36" s="143"/>
      <c r="H36" s="143"/>
      <c r="I36" s="143"/>
      <c r="J36" s="143"/>
      <c r="K36" s="143"/>
      <c r="L36" s="143"/>
      <c r="M36" s="143"/>
      <c r="N36" s="143"/>
      <c r="O36" s="143"/>
      <c r="P36" s="143"/>
      <c r="Q36" s="143"/>
      <c r="R36" s="143"/>
      <c r="S36" s="143"/>
      <c r="T36" s="143"/>
      <c r="U36" s="143"/>
    </row>
    <row r="37" spans="1:21" ht="18" customHeight="1" x14ac:dyDescent="0.15">
      <c r="B37" s="107" t="s">
        <v>51</v>
      </c>
      <c r="C37" s="108"/>
      <c r="D37" s="108"/>
      <c r="E37" s="108"/>
      <c r="F37" s="109"/>
      <c r="G37" s="47" t="s">
        <v>77</v>
      </c>
      <c r="H37" s="48" t="s">
        <v>80</v>
      </c>
      <c r="I37" s="49" t="s">
        <v>68</v>
      </c>
      <c r="J37" s="49" t="s">
        <v>69</v>
      </c>
      <c r="K37" s="107" t="s">
        <v>51</v>
      </c>
      <c r="L37" s="108"/>
      <c r="M37" s="108"/>
      <c r="N37" s="108"/>
      <c r="O37" s="108"/>
      <c r="P37" s="108"/>
      <c r="Q37" s="109"/>
      <c r="R37" s="47" t="s">
        <v>77</v>
      </c>
      <c r="S37" s="48" t="s">
        <v>80</v>
      </c>
      <c r="T37" s="49" t="s">
        <v>68</v>
      </c>
      <c r="U37" s="49" t="s">
        <v>69</v>
      </c>
    </row>
    <row r="38" spans="1:21" ht="18" customHeight="1" x14ac:dyDescent="0.15">
      <c r="B38" s="137" t="s">
        <v>140</v>
      </c>
      <c r="C38" s="138"/>
      <c r="D38" s="138"/>
      <c r="E38" s="138"/>
      <c r="F38" s="139"/>
      <c r="G38" s="60">
        <v>2</v>
      </c>
      <c r="H38" s="60" t="s">
        <v>137</v>
      </c>
      <c r="I38" s="60" t="s">
        <v>137</v>
      </c>
      <c r="J38" s="61" t="s">
        <v>137</v>
      </c>
      <c r="K38" s="137" t="s">
        <v>145</v>
      </c>
      <c r="L38" s="138"/>
      <c r="M38" s="138"/>
      <c r="N38" s="138"/>
      <c r="O38" s="138"/>
      <c r="P38" s="138"/>
      <c r="Q38" s="139"/>
      <c r="R38" s="60">
        <v>2</v>
      </c>
      <c r="S38" s="60"/>
      <c r="T38" s="60" t="s">
        <v>137</v>
      </c>
      <c r="U38" s="60"/>
    </row>
    <row r="39" spans="1:21" ht="18" customHeight="1" x14ac:dyDescent="0.15">
      <c r="B39" s="134" t="s">
        <v>138</v>
      </c>
      <c r="C39" s="135"/>
      <c r="D39" s="135"/>
      <c r="E39" s="135"/>
      <c r="F39" s="136"/>
      <c r="G39" s="61">
        <v>1</v>
      </c>
      <c r="H39" s="61"/>
      <c r="I39" s="61" t="s">
        <v>137</v>
      </c>
      <c r="J39" s="61" t="s">
        <v>137</v>
      </c>
      <c r="K39" s="134" t="s">
        <v>146</v>
      </c>
      <c r="L39" s="135"/>
      <c r="M39" s="135"/>
      <c r="N39" s="135"/>
      <c r="O39" s="135"/>
      <c r="P39" s="135"/>
      <c r="Q39" s="136"/>
      <c r="R39" s="61">
        <v>2</v>
      </c>
      <c r="S39" s="61"/>
      <c r="T39" s="61" t="s">
        <v>137</v>
      </c>
      <c r="U39" s="61" t="s">
        <v>137</v>
      </c>
    </row>
    <row r="40" spans="1:21" ht="18" customHeight="1" x14ac:dyDescent="0.15">
      <c r="B40" s="134" t="s">
        <v>139</v>
      </c>
      <c r="C40" s="135"/>
      <c r="D40" s="135"/>
      <c r="E40" s="135"/>
      <c r="F40" s="136"/>
      <c r="G40" s="61">
        <v>1</v>
      </c>
      <c r="H40" s="61"/>
      <c r="I40" s="61" t="s">
        <v>137</v>
      </c>
      <c r="J40" s="61" t="s">
        <v>137</v>
      </c>
      <c r="K40" s="134"/>
      <c r="L40" s="135"/>
      <c r="M40" s="135"/>
      <c r="N40" s="135"/>
      <c r="O40" s="135"/>
      <c r="P40" s="135"/>
      <c r="Q40" s="136"/>
      <c r="R40" s="61"/>
      <c r="S40" s="61"/>
      <c r="T40" s="61"/>
      <c r="U40" s="61"/>
    </row>
    <row r="41" spans="1:21" ht="18" customHeight="1" x14ac:dyDescent="0.15">
      <c r="B41" s="134" t="s">
        <v>143</v>
      </c>
      <c r="C41" s="135"/>
      <c r="D41" s="135"/>
      <c r="E41" s="135"/>
      <c r="F41" s="136"/>
      <c r="G41" s="61">
        <v>1</v>
      </c>
      <c r="H41" s="61"/>
      <c r="I41" s="61" t="s">
        <v>137</v>
      </c>
      <c r="J41" s="61" t="s">
        <v>137</v>
      </c>
      <c r="K41" s="134"/>
      <c r="L41" s="135"/>
      <c r="M41" s="135"/>
      <c r="N41" s="135"/>
      <c r="O41" s="135"/>
      <c r="P41" s="135"/>
      <c r="Q41" s="136"/>
      <c r="R41" s="61"/>
      <c r="S41" s="61"/>
      <c r="T41" s="61"/>
      <c r="U41" s="61"/>
    </row>
    <row r="42" spans="1:21" ht="18" customHeight="1" x14ac:dyDescent="0.15">
      <c r="B42" s="134" t="s">
        <v>144</v>
      </c>
      <c r="C42" s="135"/>
      <c r="D42" s="135"/>
      <c r="E42" s="135"/>
      <c r="F42" s="136"/>
      <c r="G42" s="61">
        <v>1</v>
      </c>
      <c r="H42" s="61"/>
      <c r="I42" s="61" t="s">
        <v>137</v>
      </c>
      <c r="J42" s="61" t="s">
        <v>137</v>
      </c>
      <c r="K42" s="134"/>
      <c r="L42" s="135"/>
      <c r="M42" s="135"/>
      <c r="N42" s="135"/>
      <c r="O42" s="135"/>
      <c r="P42" s="135"/>
      <c r="Q42" s="136"/>
      <c r="R42" s="61"/>
      <c r="S42" s="61"/>
      <c r="T42" s="61"/>
      <c r="U42" s="61"/>
    </row>
    <row r="43" spans="1:21" ht="18" customHeight="1" x14ac:dyDescent="0.15">
      <c r="B43" s="134" t="s">
        <v>141</v>
      </c>
      <c r="C43" s="135"/>
      <c r="D43" s="135"/>
      <c r="E43" s="135"/>
      <c r="F43" s="136"/>
      <c r="G43" s="61">
        <v>2</v>
      </c>
      <c r="H43" s="61"/>
      <c r="I43" s="61" t="s">
        <v>137</v>
      </c>
      <c r="J43" s="61" t="s">
        <v>137</v>
      </c>
      <c r="K43" s="134"/>
      <c r="L43" s="135"/>
      <c r="M43" s="135"/>
      <c r="N43" s="135"/>
      <c r="O43" s="135"/>
      <c r="P43" s="135"/>
      <c r="Q43" s="136"/>
      <c r="R43" s="61"/>
      <c r="S43" s="61"/>
      <c r="T43" s="61"/>
      <c r="U43" s="61"/>
    </row>
    <row r="44" spans="1:21" ht="18" customHeight="1" x14ac:dyDescent="0.15">
      <c r="B44" s="140" t="s">
        <v>142</v>
      </c>
      <c r="C44" s="141"/>
      <c r="D44" s="141"/>
      <c r="E44" s="141"/>
      <c r="F44" s="142"/>
      <c r="G44" s="63">
        <v>2</v>
      </c>
      <c r="H44" s="63"/>
      <c r="I44" s="62" t="s">
        <v>137</v>
      </c>
      <c r="J44" s="62"/>
      <c r="K44" s="140"/>
      <c r="L44" s="141"/>
      <c r="M44" s="141"/>
      <c r="N44" s="141"/>
      <c r="O44" s="141"/>
      <c r="P44" s="141"/>
      <c r="Q44" s="142"/>
      <c r="R44" s="63"/>
      <c r="S44" s="63"/>
      <c r="T44" s="62"/>
      <c r="U44" s="62"/>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43" t="s">
        <v>103</v>
      </c>
      <c r="B46" s="143"/>
      <c r="C46" s="143"/>
      <c r="D46" s="143"/>
      <c r="E46" s="143"/>
      <c r="F46" s="143"/>
      <c r="G46" s="143"/>
      <c r="H46" s="143"/>
      <c r="I46" s="143"/>
      <c r="J46" s="143"/>
      <c r="K46" s="143"/>
      <c r="L46" s="143"/>
      <c r="M46" s="143"/>
      <c r="N46" s="143"/>
      <c r="O46" s="143"/>
      <c r="P46" s="143"/>
      <c r="Q46" s="143"/>
      <c r="R46" s="143"/>
      <c r="S46" s="143"/>
      <c r="T46" s="143"/>
      <c r="U46" s="143"/>
    </row>
    <row r="47" spans="1:21" ht="18" customHeight="1" x14ac:dyDescent="0.15">
      <c r="A47" s="143"/>
      <c r="B47" s="143"/>
      <c r="C47" s="143"/>
      <c r="D47" s="143"/>
      <c r="E47" s="143"/>
      <c r="F47" s="143"/>
      <c r="G47" s="143"/>
      <c r="H47" s="143"/>
      <c r="I47" s="143"/>
      <c r="J47" s="143"/>
      <c r="K47" s="143"/>
      <c r="L47" s="143"/>
      <c r="M47" s="143"/>
      <c r="N47" s="143"/>
      <c r="O47" s="143"/>
      <c r="P47" s="143"/>
      <c r="Q47" s="143"/>
      <c r="R47" s="143"/>
      <c r="S47" s="143"/>
      <c r="T47" s="143"/>
      <c r="U47" s="143"/>
    </row>
    <row r="48" spans="1:21" ht="18" customHeight="1" x14ac:dyDescent="0.15">
      <c r="B48" s="107" t="s">
        <v>51</v>
      </c>
      <c r="C48" s="108"/>
      <c r="D48" s="108"/>
      <c r="E48" s="108"/>
      <c r="F48" s="109"/>
      <c r="G48" s="47" t="s">
        <v>77</v>
      </c>
      <c r="H48" s="48" t="s">
        <v>80</v>
      </c>
      <c r="I48" s="49" t="s">
        <v>70</v>
      </c>
      <c r="J48" s="49" t="s">
        <v>71</v>
      </c>
      <c r="K48" s="107" t="s">
        <v>51</v>
      </c>
      <c r="L48" s="108"/>
      <c r="M48" s="108"/>
      <c r="N48" s="108"/>
      <c r="O48" s="108"/>
      <c r="P48" s="108"/>
      <c r="Q48" s="109"/>
      <c r="R48" s="47" t="s">
        <v>77</v>
      </c>
      <c r="S48" s="48" t="s">
        <v>80</v>
      </c>
      <c r="T48" s="49" t="s">
        <v>70</v>
      </c>
      <c r="U48" s="49" t="s">
        <v>71</v>
      </c>
    </row>
    <row r="49" spans="1:21" ht="18" customHeight="1" x14ac:dyDescent="0.15">
      <c r="A49" s="3"/>
      <c r="B49" s="137" t="s">
        <v>140</v>
      </c>
      <c r="C49" s="138"/>
      <c r="D49" s="138"/>
      <c r="E49" s="138"/>
      <c r="F49" s="139"/>
      <c r="G49" s="60">
        <v>2</v>
      </c>
      <c r="H49" s="60" t="s">
        <v>137</v>
      </c>
      <c r="I49" s="60" t="s">
        <v>137</v>
      </c>
      <c r="J49" s="61" t="s">
        <v>137</v>
      </c>
      <c r="K49" s="137" t="s">
        <v>147</v>
      </c>
      <c r="L49" s="138"/>
      <c r="M49" s="138"/>
      <c r="N49" s="138"/>
      <c r="O49" s="138"/>
      <c r="P49" s="138"/>
      <c r="Q49" s="139"/>
      <c r="R49" s="60">
        <v>2</v>
      </c>
      <c r="S49" s="60"/>
      <c r="T49" s="60" t="s">
        <v>137</v>
      </c>
      <c r="U49" s="60"/>
    </row>
    <row r="50" spans="1:21" ht="18" customHeight="1" x14ac:dyDescent="0.15">
      <c r="A50" s="3"/>
      <c r="B50" s="134" t="s">
        <v>138</v>
      </c>
      <c r="C50" s="135"/>
      <c r="D50" s="135"/>
      <c r="E50" s="135"/>
      <c r="F50" s="136"/>
      <c r="G50" s="61">
        <v>1</v>
      </c>
      <c r="H50" s="61"/>
      <c r="I50" s="61" t="s">
        <v>137</v>
      </c>
      <c r="J50" s="61" t="s">
        <v>137</v>
      </c>
      <c r="K50" s="134" t="s">
        <v>146</v>
      </c>
      <c r="L50" s="135"/>
      <c r="M50" s="135"/>
      <c r="N50" s="135"/>
      <c r="O50" s="135"/>
      <c r="P50" s="135"/>
      <c r="Q50" s="136"/>
      <c r="R50" s="61">
        <v>2</v>
      </c>
      <c r="S50" s="61"/>
      <c r="T50" s="61"/>
      <c r="U50" s="61" t="s">
        <v>137</v>
      </c>
    </row>
    <row r="51" spans="1:21" ht="18" customHeight="1" x14ac:dyDescent="0.15">
      <c r="A51" s="3"/>
      <c r="B51" s="134" t="s">
        <v>139</v>
      </c>
      <c r="C51" s="135"/>
      <c r="D51" s="135"/>
      <c r="E51" s="135"/>
      <c r="F51" s="136"/>
      <c r="G51" s="61">
        <v>1</v>
      </c>
      <c r="H51" s="61"/>
      <c r="I51" s="61" t="s">
        <v>137</v>
      </c>
      <c r="J51" s="61" t="s">
        <v>137</v>
      </c>
      <c r="K51" s="134"/>
      <c r="L51" s="135"/>
      <c r="M51" s="135"/>
      <c r="N51" s="135"/>
      <c r="O51" s="135"/>
      <c r="P51" s="135"/>
      <c r="Q51" s="136"/>
      <c r="R51" s="61"/>
      <c r="S51" s="61"/>
      <c r="T51" s="61"/>
      <c r="U51" s="61"/>
    </row>
    <row r="52" spans="1:21" ht="18" customHeight="1" x14ac:dyDescent="0.15">
      <c r="A52" s="3"/>
      <c r="B52" s="134" t="s">
        <v>143</v>
      </c>
      <c r="C52" s="135"/>
      <c r="D52" s="135"/>
      <c r="E52" s="135"/>
      <c r="F52" s="136"/>
      <c r="G52" s="61">
        <v>1</v>
      </c>
      <c r="H52" s="61"/>
      <c r="I52" s="61" t="s">
        <v>137</v>
      </c>
      <c r="J52" s="61" t="s">
        <v>137</v>
      </c>
      <c r="K52" s="134"/>
      <c r="L52" s="135"/>
      <c r="M52" s="135"/>
      <c r="N52" s="135"/>
      <c r="O52" s="135"/>
      <c r="P52" s="135"/>
      <c r="Q52" s="136"/>
      <c r="R52" s="61"/>
      <c r="S52" s="61"/>
      <c r="T52" s="61"/>
      <c r="U52" s="61"/>
    </row>
    <row r="53" spans="1:21" ht="18" customHeight="1" x14ac:dyDescent="0.15">
      <c r="A53" s="3"/>
      <c r="B53" s="134" t="s">
        <v>144</v>
      </c>
      <c r="C53" s="135"/>
      <c r="D53" s="135"/>
      <c r="E53" s="135"/>
      <c r="F53" s="136"/>
      <c r="G53" s="61">
        <v>1</v>
      </c>
      <c r="H53" s="61"/>
      <c r="I53" s="61" t="s">
        <v>137</v>
      </c>
      <c r="J53" s="61" t="s">
        <v>137</v>
      </c>
      <c r="K53" s="134"/>
      <c r="L53" s="135"/>
      <c r="M53" s="135"/>
      <c r="N53" s="135"/>
      <c r="O53" s="135"/>
      <c r="P53" s="135"/>
      <c r="Q53" s="136"/>
      <c r="R53" s="61"/>
      <c r="S53" s="61"/>
      <c r="T53" s="61"/>
      <c r="U53" s="61"/>
    </row>
    <row r="54" spans="1:21" ht="18" customHeight="1" x14ac:dyDescent="0.15">
      <c r="A54" s="3"/>
      <c r="B54" s="134" t="s">
        <v>142</v>
      </c>
      <c r="C54" s="135"/>
      <c r="D54" s="135"/>
      <c r="E54" s="135"/>
      <c r="F54" s="136"/>
      <c r="G54" s="61">
        <v>2</v>
      </c>
      <c r="H54" s="61"/>
      <c r="I54" s="61" t="s">
        <v>137</v>
      </c>
      <c r="J54" s="61"/>
      <c r="K54" s="134"/>
      <c r="L54" s="135"/>
      <c r="M54" s="135"/>
      <c r="N54" s="135"/>
      <c r="O54" s="135"/>
      <c r="P54" s="135"/>
      <c r="Q54" s="136"/>
      <c r="R54" s="61"/>
      <c r="S54" s="61"/>
      <c r="T54" s="61"/>
      <c r="U54" s="61"/>
    </row>
    <row r="55" spans="1:21" ht="18" customHeight="1" x14ac:dyDescent="0.15">
      <c r="A55" s="3"/>
      <c r="B55" s="140"/>
      <c r="C55" s="141"/>
      <c r="D55" s="141"/>
      <c r="E55" s="141"/>
      <c r="F55" s="142"/>
      <c r="G55" s="63"/>
      <c r="H55" s="63"/>
      <c r="I55" s="62"/>
      <c r="J55" s="62"/>
      <c r="K55" s="140"/>
      <c r="L55" s="141"/>
      <c r="M55" s="141"/>
      <c r="N55" s="141"/>
      <c r="O55" s="141"/>
      <c r="P55" s="141"/>
      <c r="Q55" s="142"/>
      <c r="R55" s="63"/>
      <c r="S55" s="63"/>
      <c r="T55" s="62"/>
      <c r="U55" s="62"/>
    </row>
    <row r="56" spans="1:21" ht="7.5" customHeight="1" x14ac:dyDescent="0.15">
      <c r="B56" s="8"/>
      <c r="C56" s="8"/>
      <c r="D56" s="8"/>
      <c r="E56" s="8"/>
      <c r="F56" s="8"/>
      <c r="G56" s="8"/>
      <c r="H56" s="8"/>
      <c r="I56" s="8"/>
      <c r="J56" s="8"/>
      <c r="K56" s="8"/>
      <c r="L56" s="8"/>
      <c r="M56" s="8"/>
      <c r="N56" s="8"/>
      <c r="O56" s="8"/>
      <c r="P56" s="8"/>
      <c r="Q56" s="8"/>
      <c r="R56" s="8"/>
      <c r="S56" s="8"/>
      <c r="T56" s="8"/>
    </row>
    <row r="57" spans="1:21" ht="18" customHeight="1" x14ac:dyDescent="0.15">
      <c r="A57" s="143" t="s">
        <v>104</v>
      </c>
      <c r="B57" s="143"/>
      <c r="C57" s="143"/>
      <c r="D57" s="143"/>
      <c r="E57" s="143"/>
      <c r="F57" s="143"/>
      <c r="G57" s="143"/>
      <c r="H57" s="143"/>
      <c r="I57" s="143"/>
      <c r="J57" s="143"/>
      <c r="K57" s="143"/>
      <c r="L57" s="143"/>
      <c r="M57" s="143"/>
      <c r="N57" s="143"/>
      <c r="O57" s="143"/>
      <c r="P57" s="143"/>
      <c r="Q57" s="143"/>
      <c r="R57" s="143"/>
      <c r="S57" s="143"/>
      <c r="T57" s="143"/>
      <c r="U57" s="143"/>
    </row>
    <row r="58" spans="1:21" ht="18" customHeight="1" x14ac:dyDescent="0.15">
      <c r="A58" s="143"/>
      <c r="B58" s="143"/>
      <c r="C58" s="143"/>
      <c r="D58" s="143"/>
      <c r="E58" s="143"/>
      <c r="F58" s="143"/>
      <c r="G58" s="143"/>
      <c r="H58" s="143"/>
      <c r="I58" s="143"/>
      <c r="J58" s="143"/>
      <c r="K58" s="143"/>
      <c r="L58" s="143"/>
      <c r="M58" s="143"/>
      <c r="N58" s="143"/>
      <c r="O58" s="143"/>
      <c r="P58" s="143"/>
      <c r="Q58" s="143"/>
      <c r="R58" s="143"/>
      <c r="S58" s="143"/>
      <c r="T58" s="143"/>
      <c r="U58" s="143"/>
    </row>
    <row r="59" spans="1:21" ht="18" customHeight="1" x14ac:dyDescent="0.15">
      <c r="B59" s="107" t="s">
        <v>51</v>
      </c>
      <c r="C59" s="108"/>
      <c r="D59" s="108"/>
      <c r="E59" s="108"/>
      <c r="F59" s="109"/>
      <c r="G59" s="47" t="s">
        <v>77</v>
      </c>
      <c r="H59" s="48" t="s">
        <v>80</v>
      </c>
      <c r="I59" s="49" t="s">
        <v>56</v>
      </c>
      <c r="J59" s="49" t="s">
        <v>58</v>
      </c>
      <c r="K59" s="107" t="s">
        <v>51</v>
      </c>
      <c r="L59" s="108"/>
      <c r="M59" s="108"/>
      <c r="N59" s="108"/>
      <c r="O59" s="108"/>
      <c r="P59" s="108"/>
      <c r="Q59" s="109"/>
      <c r="R59" s="47" t="s">
        <v>77</v>
      </c>
      <c r="S59" s="48" t="s">
        <v>80</v>
      </c>
      <c r="T59" s="49" t="s">
        <v>56</v>
      </c>
      <c r="U59" s="49" t="s">
        <v>58</v>
      </c>
    </row>
    <row r="60" spans="1:21" ht="18" customHeight="1" x14ac:dyDescent="0.15">
      <c r="A60" s="3"/>
      <c r="B60" s="131" t="s">
        <v>140</v>
      </c>
      <c r="C60" s="132"/>
      <c r="D60" s="132"/>
      <c r="E60" s="132"/>
      <c r="F60" s="133"/>
      <c r="G60" s="65">
        <v>2</v>
      </c>
      <c r="H60" s="65" t="s">
        <v>137</v>
      </c>
      <c r="I60" s="65" t="s">
        <v>137</v>
      </c>
      <c r="J60" s="66" t="s">
        <v>137</v>
      </c>
      <c r="K60" s="131" t="s">
        <v>185</v>
      </c>
      <c r="L60" s="132"/>
      <c r="M60" s="132"/>
      <c r="N60" s="132"/>
      <c r="O60" s="132"/>
      <c r="P60" s="132"/>
      <c r="Q60" s="133"/>
      <c r="R60" s="65">
        <v>2</v>
      </c>
      <c r="S60" s="65"/>
      <c r="T60" s="65" t="s">
        <v>137</v>
      </c>
      <c r="U60" s="65"/>
    </row>
    <row r="61" spans="1:21" ht="18" customHeight="1" x14ac:dyDescent="0.15">
      <c r="A61" s="3"/>
      <c r="B61" s="125" t="s">
        <v>138</v>
      </c>
      <c r="C61" s="126"/>
      <c r="D61" s="126"/>
      <c r="E61" s="126"/>
      <c r="F61" s="127"/>
      <c r="G61" s="66">
        <v>1</v>
      </c>
      <c r="H61" s="66"/>
      <c r="I61" s="66" t="s">
        <v>137</v>
      </c>
      <c r="J61" s="66" t="s">
        <v>137</v>
      </c>
      <c r="K61" s="125"/>
      <c r="L61" s="126"/>
      <c r="M61" s="126"/>
      <c r="N61" s="126"/>
      <c r="O61" s="126"/>
      <c r="P61" s="126"/>
      <c r="Q61" s="127"/>
      <c r="R61" s="66"/>
      <c r="S61" s="66"/>
      <c r="T61" s="66"/>
      <c r="U61" s="66"/>
    </row>
    <row r="62" spans="1:21" ht="18" customHeight="1" x14ac:dyDescent="0.15">
      <c r="A62" s="3"/>
      <c r="B62" s="125" t="s">
        <v>139</v>
      </c>
      <c r="C62" s="126"/>
      <c r="D62" s="126"/>
      <c r="E62" s="126"/>
      <c r="F62" s="127"/>
      <c r="G62" s="66">
        <v>1</v>
      </c>
      <c r="H62" s="66"/>
      <c r="I62" s="66" t="s">
        <v>137</v>
      </c>
      <c r="J62" s="66" t="s">
        <v>137</v>
      </c>
      <c r="K62" s="125"/>
      <c r="L62" s="126"/>
      <c r="M62" s="126"/>
      <c r="N62" s="126"/>
      <c r="O62" s="126"/>
      <c r="P62" s="126"/>
      <c r="Q62" s="127"/>
      <c r="R62" s="66"/>
      <c r="S62" s="66"/>
      <c r="T62" s="66"/>
      <c r="U62" s="66"/>
    </row>
    <row r="63" spans="1:21" ht="18" customHeight="1" x14ac:dyDescent="0.15">
      <c r="A63" s="3"/>
      <c r="B63" s="125" t="s">
        <v>141</v>
      </c>
      <c r="C63" s="126"/>
      <c r="D63" s="126"/>
      <c r="E63" s="126"/>
      <c r="F63" s="127"/>
      <c r="G63" s="66">
        <v>2</v>
      </c>
      <c r="H63" s="66"/>
      <c r="I63" s="66" t="s">
        <v>137</v>
      </c>
      <c r="J63" s="66" t="s">
        <v>137</v>
      </c>
      <c r="K63" s="125"/>
      <c r="L63" s="126"/>
      <c r="M63" s="126"/>
      <c r="N63" s="126"/>
      <c r="O63" s="126"/>
      <c r="P63" s="126"/>
      <c r="Q63" s="127"/>
      <c r="R63" s="66"/>
      <c r="S63" s="66"/>
      <c r="T63" s="66"/>
      <c r="U63" s="66"/>
    </row>
    <row r="64" spans="1:21" ht="18" customHeight="1" x14ac:dyDescent="0.15">
      <c r="A64" s="3"/>
      <c r="B64" s="125" t="s">
        <v>147</v>
      </c>
      <c r="C64" s="126"/>
      <c r="D64" s="126"/>
      <c r="E64" s="126"/>
      <c r="F64" s="127"/>
      <c r="G64" s="66">
        <v>2</v>
      </c>
      <c r="H64" s="66"/>
      <c r="I64" s="66" t="s">
        <v>137</v>
      </c>
      <c r="J64" s="66"/>
      <c r="K64" s="125"/>
      <c r="L64" s="126"/>
      <c r="M64" s="126"/>
      <c r="N64" s="126"/>
      <c r="O64" s="126"/>
      <c r="P64" s="126"/>
      <c r="Q64" s="127"/>
      <c r="R64" s="66"/>
      <c r="S64" s="66"/>
      <c r="T64" s="66"/>
      <c r="U64" s="66"/>
    </row>
    <row r="65" spans="1:21" ht="18" customHeight="1" x14ac:dyDescent="0.15">
      <c r="A65" s="3"/>
      <c r="B65" s="125" t="s">
        <v>160</v>
      </c>
      <c r="C65" s="126"/>
      <c r="D65" s="126"/>
      <c r="E65" s="126"/>
      <c r="F65" s="127"/>
      <c r="G65" s="66">
        <v>2</v>
      </c>
      <c r="H65" s="66"/>
      <c r="I65" s="66"/>
      <c r="J65" s="66" t="s">
        <v>137</v>
      </c>
      <c r="K65" s="125"/>
      <c r="L65" s="126"/>
      <c r="M65" s="126"/>
      <c r="N65" s="126"/>
      <c r="O65" s="126"/>
      <c r="P65" s="126"/>
      <c r="Q65" s="127"/>
      <c r="R65" s="66"/>
      <c r="S65" s="66"/>
      <c r="T65" s="66"/>
      <c r="U65" s="66"/>
    </row>
    <row r="66" spans="1:21" ht="18" customHeight="1" x14ac:dyDescent="0.15">
      <c r="A66" s="3"/>
      <c r="B66" s="128" t="s">
        <v>172</v>
      </c>
      <c r="C66" s="129"/>
      <c r="D66" s="129"/>
      <c r="E66" s="129"/>
      <c r="F66" s="130"/>
      <c r="G66" s="67">
        <v>2</v>
      </c>
      <c r="H66" s="67"/>
      <c r="I66" s="68" t="s">
        <v>137</v>
      </c>
      <c r="J66" s="68" t="s">
        <v>137</v>
      </c>
      <c r="K66" s="128"/>
      <c r="L66" s="129"/>
      <c r="M66" s="129"/>
      <c r="N66" s="129"/>
      <c r="O66" s="129"/>
      <c r="P66" s="129"/>
      <c r="Q66" s="130"/>
      <c r="R66" s="67"/>
      <c r="S66" s="67"/>
      <c r="T66" s="68"/>
      <c r="U66" s="68"/>
    </row>
    <row r="67" spans="1:21" ht="7.5" customHeight="1" x14ac:dyDescent="0.15">
      <c r="B67" s="8"/>
      <c r="C67" s="8"/>
      <c r="D67" s="8"/>
      <c r="E67" s="8"/>
      <c r="F67" s="8"/>
      <c r="G67" s="8"/>
      <c r="H67" s="8"/>
      <c r="I67" s="8"/>
      <c r="J67" s="8"/>
      <c r="K67" s="8"/>
      <c r="L67" s="8"/>
      <c r="M67" s="8"/>
      <c r="N67" s="8"/>
      <c r="O67" s="8"/>
      <c r="P67" s="8"/>
      <c r="Q67" s="8"/>
      <c r="R67" s="8"/>
      <c r="S67" s="8"/>
      <c r="T67" s="8"/>
    </row>
    <row r="68" spans="1:21" ht="18" customHeight="1" x14ac:dyDescent="0.15">
      <c r="A68" s="143" t="s">
        <v>105</v>
      </c>
      <c r="B68" s="143"/>
      <c r="C68" s="143"/>
      <c r="D68" s="143"/>
      <c r="E68" s="143"/>
      <c r="F68" s="143"/>
      <c r="G68" s="143"/>
      <c r="H68" s="143"/>
      <c r="I68" s="143"/>
      <c r="J68" s="143"/>
      <c r="K68" s="143"/>
      <c r="L68" s="143"/>
      <c r="M68" s="143"/>
      <c r="N68" s="143"/>
      <c r="O68" s="143"/>
      <c r="P68" s="143"/>
      <c r="Q68" s="143"/>
      <c r="R68" s="143"/>
      <c r="S68" s="143"/>
      <c r="T68" s="143"/>
      <c r="U68" s="143"/>
    </row>
    <row r="69" spans="1:21" ht="18" customHeight="1" x14ac:dyDescent="0.15">
      <c r="A69" s="143"/>
      <c r="B69" s="143"/>
      <c r="C69" s="143"/>
      <c r="D69" s="143"/>
      <c r="E69" s="143"/>
      <c r="F69" s="143"/>
      <c r="G69" s="143"/>
      <c r="H69" s="143"/>
      <c r="I69" s="143"/>
      <c r="J69" s="143"/>
      <c r="K69" s="143"/>
      <c r="L69" s="143"/>
      <c r="M69" s="143"/>
      <c r="N69" s="143"/>
      <c r="O69" s="143"/>
      <c r="P69" s="143"/>
      <c r="Q69" s="143"/>
      <c r="R69" s="143"/>
      <c r="S69" s="143"/>
      <c r="T69" s="143"/>
      <c r="U69" s="143"/>
    </row>
    <row r="70" spans="1:21" ht="18" customHeight="1" x14ac:dyDescent="0.15">
      <c r="B70" s="107" t="s">
        <v>51</v>
      </c>
      <c r="C70" s="108"/>
      <c r="D70" s="108"/>
      <c r="E70" s="108"/>
      <c r="F70" s="47" t="s">
        <v>77</v>
      </c>
      <c r="G70" s="48" t="s">
        <v>80</v>
      </c>
      <c r="H70" s="49" t="s">
        <v>92</v>
      </c>
      <c r="I70" s="49" t="s">
        <v>72</v>
      </c>
      <c r="J70" s="49" t="s">
        <v>73</v>
      </c>
      <c r="K70" s="107" t="s">
        <v>51</v>
      </c>
      <c r="L70" s="108"/>
      <c r="M70" s="108"/>
      <c r="N70" s="108"/>
      <c r="O70" s="108"/>
      <c r="P70" s="109"/>
      <c r="Q70" s="47" t="s">
        <v>77</v>
      </c>
      <c r="R70" s="48" t="s">
        <v>80</v>
      </c>
      <c r="S70" s="49" t="s">
        <v>92</v>
      </c>
      <c r="T70" s="49" t="s">
        <v>72</v>
      </c>
      <c r="U70" s="49" t="s">
        <v>73</v>
      </c>
    </row>
    <row r="71" spans="1:21" ht="18" customHeight="1" x14ac:dyDescent="0.15">
      <c r="A71" s="3"/>
      <c r="B71" s="137" t="s">
        <v>140</v>
      </c>
      <c r="C71" s="138"/>
      <c r="D71" s="138"/>
      <c r="E71" s="139"/>
      <c r="F71" s="60">
        <v>2</v>
      </c>
      <c r="G71" s="60" t="s">
        <v>137</v>
      </c>
      <c r="H71" s="60" t="s">
        <v>137</v>
      </c>
      <c r="I71" s="60" t="s">
        <v>137</v>
      </c>
      <c r="J71" s="60" t="s">
        <v>137</v>
      </c>
      <c r="K71" s="137" t="s">
        <v>152</v>
      </c>
      <c r="L71" s="138"/>
      <c r="M71" s="138"/>
      <c r="N71" s="138"/>
      <c r="O71" s="138"/>
      <c r="P71" s="139"/>
      <c r="Q71" s="60">
        <v>2</v>
      </c>
      <c r="R71" s="60"/>
      <c r="S71" s="60" t="s">
        <v>137</v>
      </c>
      <c r="T71" s="60"/>
      <c r="U71" s="60"/>
    </row>
    <row r="72" spans="1:21" ht="18" customHeight="1" x14ac:dyDescent="0.15">
      <c r="A72" s="3"/>
      <c r="B72" s="134" t="s">
        <v>138</v>
      </c>
      <c r="C72" s="135"/>
      <c r="D72" s="135"/>
      <c r="E72" s="136"/>
      <c r="F72" s="61">
        <v>1</v>
      </c>
      <c r="G72" s="61"/>
      <c r="H72" s="61" t="s">
        <v>137</v>
      </c>
      <c r="I72" s="61" t="s">
        <v>137</v>
      </c>
      <c r="J72" s="61" t="s">
        <v>137</v>
      </c>
      <c r="K72" s="134" t="s">
        <v>145</v>
      </c>
      <c r="L72" s="135"/>
      <c r="M72" s="135"/>
      <c r="N72" s="135"/>
      <c r="O72" s="135"/>
      <c r="P72" s="136"/>
      <c r="Q72" s="61">
        <v>1</v>
      </c>
      <c r="R72" s="61"/>
      <c r="S72" s="61" t="s">
        <v>137</v>
      </c>
      <c r="T72" s="61" t="s">
        <v>137</v>
      </c>
      <c r="U72" s="61"/>
    </row>
    <row r="73" spans="1:21" ht="18" customHeight="1" x14ac:dyDescent="0.15">
      <c r="A73" s="3"/>
      <c r="B73" s="134" t="s">
        <v>139</v>
      </c>
      <c r="C73" s="135"/>
      <c r="D73" s="135"/>
      <c r="E73" s="136"/>
      <c r="F73" s="61">
        <v>1</v>
      </c>
      <c r="G73" s="61"/>
      <c r="H73" s="61" t="s">
        <v>137</v>
      </c>
      <c r="I73" s="61" t="s">
        <v>137</v>
      </c>
      <c r="J73" s="61" t="s">
        <v>137</v>
      </c>
      <c r="K73" s="134"/>
      <c r="L73" s="135"/>
      <c r="M73" s="135"/>
      <c r="N73" s="135"/>
      <c r="O73" s="135"/>
      <c r="P73" s="136"/>
      <c r="Q73" s="61"/>
      <c r="R73" s="61"/>
      <c r="S73" s="61"/>
      <c r="T73" s="61"/>
      <c r="U73" s="61"/>
    </row>
    <row r="74" spans="1:21" ht="18" customHeight="1" x14ac:dyDescent="0.15">
      <c r="A74" s="3"/>
      <c r="B74" s="134" t="s">
        <v>148</v>
      </c>
      <c r="C74" s="135"/>
      <c r="D74" s="135"/>
      <c r="E74" s="135"/>
      <c r="F74" s="61">
        <v>2</v>
      </c>
      <c r="G74" s="61"/>
      <c r="H74" s="61" t="s">
        <v>137</v>
      </c>
      <c r="I74" s="61" t="s">
        <v>137</v>
      </c>
      <c r="J74" s="61"/>
      <c r="K74" s="134"/>
      <c r="L74" s="135"/>
      <c r="M74" s="135"/>
      <c r="N74" s="135"/>
      <c r="O74" s="135"/>
      <c r="P74" s="136"/>
      <c r="Q74" s="61"/>
      <c r="R74" s="61"/>
      <c r="S74" s="61"/>
      <c r="T74" s="61"/>
      <c r="U74" s="61"/>
    </row>
    <row r="75" spans="1:21" ht="18" customHeight="1" x14ac:dyDescent="0.15">
      <c r="A75" s="3"/>
      <c r="B75" s="134" t="s">
        <v>143</v>
      </c>
      <c r="C75" s="135"/>
      <c r="D75" s="135"/>
      <c r="E75" s="135"/>
      <c r="F75" s="61">
        <v>1</v>
      </c>
      <c r="G75" s="61"/>
      <c r="H75" s="61" t="s">
        <v>137</v>
      </c>
      <c r="I75" s="61" t="s">
        <v>137</v>
      </c>
      <c r="J75" s="61" t="s">
        <v>137</v>
      </c>
      <c r="K75" s="134"/>
      <c r="L75" s="135"/>
      <c r="M75" s="135"/>
      <c r="N75" s="135"/>
      <c r="O75" s="135"/>
      <c r="P75" s="136"/>
      <c r="Q75" s="61"/>
      <c r="R75" s="61"/>
      <c r="S75" s="61"/>
      <c r="T75" s="61"/>
      <c r="U75" s="61"/>
    </row>
    <row r="76" spans="1:21" ht="18" customHeight="1" x14ac:dyDescent="0.15">
      <c r="A76" s="3"/>
      <c r="B76" s="134" t="s">
        <v>150</v>
      </c>
      <c r="C76" s="135"/>
      <c r="D76" s="135"/>
      <c r="E76" s="135"/>
      <c r="F76" s="61">
        <v>2</v>
      </c>
      <c r="G76" s="61"/>
      <c r="H76" s="61" t="s">
        <v>137</v>
      </c>
      <c r="I76" s="61" t="s">
        <v>137</v>
      </c>
      <c r="J76" s="61" t="s">
        <v>137</v>
      </c>
      <c r="K76" s="134"/>
      <c r="L76" s="135"/>
      <c r="M76" s="135"/>
      <c r="N76" s="135"/>
      <c r="O76" s="135"/>
      <c r="P76" s="136"/>
      <c r="Q76" s="61"/>
      <c r="R76" s="61"/>
      <c r="S76" s="61"/>
      <c r="T76" s="61"/>
      <c r="U76" s="61"/>
    </row>
    <row r="77" spans="1:21" ht="18" customHeight="1" x14ac:dyDescent="0.15">
      <c r="A77" s="3"/>
      <c r="B77" s="140" t="s">
        <v>151</v>
      </c>
      <c r="C77" s="141"/>
      <c r="D77" s="141"/>
      <c r="E77" s="141"/>
      <c r="F77" s="62">
        <v>2</v>
      </c>
      <c r="G77" s="62"/>
      <c r="H77" s="62" t="s">
        <v>137</v>
      </c>
      <c r="I77" s="62"/>
      <c r="J77" s="62"/>
      <c r="K77" s="140"/>
      <c r="L77" s="141"/>
      <c r="M77" s="141"/>
      <c r="N77" s="141"/>
      <c r="O77" s="141"/>
      <c r="P77" s="142"/>
      <c r="Q77" s="63"/>
      <c r="R77" s="63"/>
      <c r="S77" s="62"/>
      <c r="T77" s="62"/>
      <c r="U77" s="62"/>
    </row>
    <row r="78" spans="1:21" ht="7.5" customHeight="1" x14ac:dyDescent="0.15">
      <c r="B78" s="8"/>
      <c r="C78" s="8"/>
      <c r="D78" s="8"/>
      <c r="E78" s="8"/>
      <c r="F78" s="8"/>
      <c r="G78" s="8"/>
      <c r="H78" s="8"/>
      <c r="I78" s="8"/>
      <c r="J78" s="8"/>
      <c r="K78" s="8"/>
      <c r="L78" s="8"/>
      <c r="M78" s="8"/>
      <c r="N78" s="8"/>
      <c r="O78" s="8"/>
      <c r="P78" s="8"/>
      <c r="Q78" s="8"/>
      <c r="R78" s="8"/>
      <c r="S78" s="8"/>
      <c r="T78" s="8"/>
    </row>
    <row r="79" spans="1:21" ht="18" customHeight="1" x14ac:dyDescent="0.15">
      <c r="A79" s="1" t="s">
        <v>106</v>
      </c>
      <c r="I79" s="3"/>
      <c r="J79" s="3"/>
      <c r="K79" s="3"/>
      <c r="L79" s="3"/>
      <c r="M79" s="3"/>
      <c r="N79" s="3"/>
      <c r="O79" s="3"/>
      <c r="P79" s="3"/>
      <c r="Q79" s="3"/>
      <c r="R79" s="3"/>
      <c r="S79" s="3"/>
      <c r="T79" s="3"/>
      <c r="U79" s="3"/>
    </row>
    <row r="80" spans="1:21" ht="18" customHeight="1" x14ac:dyDescent="0.15">
      <c r="B80" s="107" t="s">
        <v>51</v>
      </c>
      <c r="C80" s="108"/>
      <c r="D80" s="108"/>
      <c r="E80" s="108"/>
      <c r="F80" s="109"/>
      <c r="G80" s="107" t="s">
        <v>78</v>
      </c>
      <c r="H80" s="108"/>
      <c r="I80" s="108"/>
      <c r="J80" s="109"/>
      <c r="K80" s="173" t="s">
        <v>51</v>
      </c>
      <c r="L80" s="174"/>
      <c r="M80" s="174"/>
      <c r="N80" s="174"/>
      <c r="O80" s="174"/>
      <c r="P80" s="174"/>
      <c r="Q80" s="175"/>
      <c r="R80" s="107" t="s">
        <v>78</v>
      </c>
      <c r="S80" s="108"/>
      <c r="T80" s="108"/>
      <c r="U80" s="109"/>
    </row>
    <row r="81" spans="1:21" ht="18" customHeight="1" x14ac:dyDescent="0.15">
      <c r="A81" s="3"/>
      <c r="B81" s="125" t="s">
        <v>153</v>
      </c>
      <c r="C81" s="126"/>
      <c r="D81" s="126"/>
      <c r="E81" s="126"/>
      <c r="F81" s="127"/>
      <c r="G81" s="165" t="s">
        <v>155</v>
      </c>
      <c r="H81" s="166"/>
      <c r="I81" s="166"/>
      <c r="J81" s="167"/>
      <c r="K81" s="125" t="s">
        <v>154</v>
      </c>
      <c r="L81" s="126"/>
      <c r="M81" s="126"/>
      <c r="N81" s="126"/>
      <c r="O81" s="126"/>
      <c r="P81" s="126"/>
      <c r="Q81" s="127"/>
      <c r="R81" s="165" t="s">
        <v>157</v>
      </c>
      <c r="S81" s="166"/>
      <c r="T81" s="166"/>
      <c r="U81" s="167"/>
    </row>
    <row r="82" spans="1:21" ht="18" customHeight="1" x14ac:dyDescent="0.15">
      <c r="A82" s="3"/>
      <c r="B82" s="125" t="s">
        <v>142</v>
      </c>
      <c r="C82" s="126"/>
      <c r="D82" s="126"/>
      <c r="E82" s="126"/>
      <c r="F82" s="127"/>
      <c r="G82" s="165" t="s">
        <v>183</v>
      </c>
      <c r="H82" s="166"/>
      <c r="I82" s="166"/>
      <c r="J82" s="167"/>
      <c r="K82" s="125" t="s">
        <v>149</v>
      </c>
      <c r="L82" s="126"/>
      <c r="M82" s="126"/>
      <c r="N82" s="126"/>
      <c r="O82" s="126"/>
      <c r="P82" s="126"/>
      <c r="Q82" s="127"/>
      <c r="R82" s="165" t="s">
        <v>158</v>
      </c>
      <c r="S82" s="166"/>
      <c r="T82" s="166"/>
      <c r="U82" s="167"/>
    </row>
    <row r="83" spans="1:21" ht="18" customHeight="1" x14ac:dyDescent="0.15">
      <c r="A83" s="3"/>
      <c r="B83" s="125" t="s">
        <v>154</v>
      </c>
      <c r="C83" s="126"/>
      <c r="D83" s="126"/>
      <c r="E83" s="126"/>
      <c r="F83" s="127"/>
      <c r="G83" s="165" t="s">
        <v>170</v>
      </c>
      <c r="H83" s="166"/>
      <c r="I83" s="166"/>
      <c r="J83" s="167"/>
      <c r="K83" s="125" t="s">
        <v>147</v>
      </c>
      <c r="L83" s="126"/>
      <c r="M83" s="126"/>
      <c r="N83" s="126"/>
      <c r="O83" s="126"/>
      <c r="P83" s="126"/>
      <c r="Q83" s="127"/>
      <c r="R83" s="165" t="s">
        <v>158</v>
      </c>
      <c r="S83" s="166"/>
      <c r="T83" s="166"/>
      <c r="U83" s="167"/>
    </row>
    <row r="84" spans="1:21" ht="18" customHeight="1" x14ac:dyDescent="0.15">
      <c r="A84" s="3"/>
      <c r="B84" s="125" t="s">
        <v>171</v>
      </c>
      <c r="C84" s="126"/>
      <c r="D84" s="126"/>
      <c r="E84" s="126"/>
      <c r="F84" s="127"/>
      <c r="G84" s="165" t="s">
        <v>184</v>
      </c>
      <c r="H84" s="166"/>
      <c r="I84" s="166"/>
      <c r="J84" s="167"/>
      <c r="K84" s="125" t="s">
        <v>144</v>
      </c>
      <c r="L84" s="126"/>
      <c r="M84" s="126"/>
      <c r="N84" s="126"/>
      <c r="O84" s="126"/>
      <c r="P84" s="126"/>
      <c r="Q84" s="127"/>
      <c r="R84" s="165" t="s">
        <v>158</v>
      </c>
      <c r="S84" s="166"/>
      <c r="T84" s="166"/>
      <c r="U84" s="167"/>
    </row>
    <row r="85" spans="1:21" ht="18" customHeight="1" x14ac:dyDescent="0.15">
      <c r="A85" s="3"/>
      <c r="B85" s="125" t="s">
        <v>154</v>
      </c>
      <c r="C85" s="126"/>
      <c r="D85" s="126"/>
      <c r="E85" s="126"/>
      <c r="F85" s="127"/>
      <c r="G85" s="165" t="s">
        <v>156</v>
      </c>
      <c r="H85" s="166"/>
      <c r="I85" s="166"/>
      <c r="J85" s="167"/>
      <c r="K85" s="125" t="s">
        <v>151</v>
      </c>
      <c r="L85" s="126"/>
      <c r="M85" s="126"/>
      <c r="N85" s="126"/>
      <c r="O85" s="126"/>
      <c r="P85" s="126"/>
      <c r="Q85" s="127"/>
      <c r="R85" s="165" t="s">
        <v>158</v>
      </c>
      <c r="S85" s="166"/>
      <c r="T85" s="166"/>
      <c r="U85" s="167"/>
    </row>
    <row r="86" spans="1:21" ht="18" customHeight="1" x14ac:dyDescent="0.15">
      <c r="A86" s="3"/>
      <c r="B86" s="125" t="s">
        <v>161</v>
      </c>
      <c r="C86" s="126"/>
      <c r="D86" s="126"/>
      <c r="E86" s="126"/>
      <c r="F86" s="127"/>
      <c r="G86" s="165" t="s">
        <v>156</v>
      </c>
      <c r="H86" s="166"/>
      <c r="I86" s="166"/>
      <c r="J86" s="167"/>
      <c r="K86" s="125" t="s">
        <v>152</v>
      </c>
      <c r="L86" s="126"/>
      <c r="M86" s="126"/>
      <c r="N86" s="126"/>
      <c r="O86" s="126"/>
      <c r="P86" s="126"/>
      <c r="Q86" s="127"/>
      <c r="R86" s="165" t="s">
        <v>158</v>
      </c>
      <c r="S86" s="166"/>
      <c r="T86" s="166"/>
      <c r="U86" s="167"/>
    </row>
    <row r="87" spans="1:21" ht="18" customHeight="1" x14ac:dyDescent="0.15">
      <c r="A87" s="3"/>
      <c r="B87" s="128" t="s">
        <v>146</v>
      </c>
      <c r="C87" s="129"/>
      <c r="D87" s="129"/>
      <c r="E87" s="129"/>
      <c r="F87" s="130"/>
      <c r="G87" s="162" t="s">
        <v>162</v>
      </c>
      <c r="H87" s="163"/>
      <c r="I87" s="163"/>
      <c r="J87" s="164"/>
      <c r="K87" s="128" t="s">
        <v>144</v>
      </c>
      <c r="L87" s="129"/>
      <c r="M87" s="129"/>
      <c r="N87" s="129"/>
      <c r="O87" s="129"/>
      <c r="P87" s="129"/>
      <c r="Q87" s="130"/>
      <c r="R87" s="162" t="s">
        <v>159</v>
      </c>
      <c r="S87" s="163"/>
      <c r="T87" s="163"/>
      <c r="U87" s="164"/>
    </row>
    <row r="88" spans="1:21" ht="18" customHeight="1" x14ac:dyDescent="0.15">
      <c r="A88" s="3"/>
      <c r="B88" s="6"/>
      <c r="C88" s="6"/>
      <c r="D88" s="6"/>
      <c r="E88" s="6"/>
      <c r="F88" s="6"/>
      <c r="G88" s="50"/>
      <c r="H88" s="50"/>
      <c r="I88" s="50"/>
      <c r="J88" s="50"/>
      <c r="K88" s="6"/>
      <c r="L88" s="6"/>
      <c r="M88" s="6"/>
      <c r="N88" s="6"/>
      <c r="O88" s="6"/>
      <c r="P88" s="6"/>
      <c r="Q88" s="6"/>
      <c r="R88" s="50"/>
      <c r="S88" s="50"/>
      <c r="T88" s="50"/>
      <c r="U88" s="50"/>
    </row>
    <row r="89" spans="1:21" ht="18.75" customHeight="1" x14ac:dyDescent="0.15">
      <c r="A89" s="1" t="s">
        <v>107</v>
      </c>
    </row>
    <row r="90" spans="1:21" ht="18.75" customHeight="1" x14ac:dyDescent="0.15">
      <c r="B90" s="171" t="s">
        <v>52</v>
      </c>
      <c r="C90" s="172"/>
      <c r="D90" s="107" t="s">
        <v>53</v>
      </c>
      <c r="E90" s="108"/>
      <c r="F90" s="108"/>
      <c r="G90" s="108"/>
      <c r="H90" s="108"/>
      <c r="I90" s="108"/>
      <c r="J90" s="108"/>
      <c r="K90" s="108"/>
      <c r="L90" s="108"/>
      <c r="M90" s="108"/>
      <c r="N90" s="108"/>
      <c r="O90" s="108"/>
      <c r="P90" s="108"/>
      <c r="Q90" s="108"/>
      <c r="R90" s="108"/>
      <c r="S90" s="108"/>
      <c r="T90" s="108"/>
      <c r="U90" s="109"/>
    </row>
    <row r="91" spans="1:21" ht="97.5" customHeight="1" x14ac:dyDescent="0.15">
      <c r="B91" s="168" t="s">
        <v>59</v>
      </c>
      <c r="C91" s="51" t="s">
        <v>54</v>
      </c>
      <c r="D91" s="110" t="s">
        <v>177</v>
      </c>
      <c r="E91" s="111"/>
      <c r="F91" s="111"/>
      <c r="G91" s="111"/>
      <c r="H91" s="111"/>
      <c r="I91" s="111"/>
      <c r="J91" s="111"/>
      <c r="K91" s="111"/>
      <c r="L91" s="111"/>
      <c r="M91" s="111"/>
      <c r="N91" s="111"/>
      <c r="O91" s="111"/>
      <c r="P91" s="111"/>
      <c r="Q91" s="111"/>
      <c r="R91" s="111"/>
      <c r="S91" s="111"/>
      <c r="T91" s="111"/>
      <c r="U91" s="112"/>
    </row>
    <row r="92" spans="1:21" ht="97.5" customHeight="1" x14ac:dyDescent="0.15">
      <c r="B92" s="169"/>
      <c r="C92" s="52" t="s">
        <v>74</v>
      </c>
      <c r="D92" s="113" t="s">
        <v>178</v>
      </c>
      <c r="E92" s="114"/>
      <c r="F92" s="114"/>
      <c r="G92" s="114"/>
      <c r="H92" s="114"/>
      <c r="I92" s="114"/>
      <c r="J92" s="114"/>
      <c r="K92" s="114"/>
      <c r="L92" s="114"/>
      <c r="M92" s="114"/>
      <c r="N92" s="114"/>
      <c r="O92" s="114"/>
      <c r="P92" s="114"/>
      <c r="Q92" s="114"/>
      <c r="R92" s="114"/>
      <c r="S92" s="114"/>
      <c r="T92" s="114"/>
      <c r="U92" s="115"/>
    </row>
    <row r="93" spans="1:21" ht="97.5" customHeight="1" x14ac:dyDescent="0.15">
      <c r="B93" s="168" t="s">
        <v>60</v>
      </c>
      <c r="C93" s="53" t="s">
        <v>68</v>
      </c>
      <c r="D93" s="110" t="s">
        <v>173</v>
      </c>
      <c r="E93" s="111"/>
      <c r="F93" s="111"/>
      <c r="G93" s="111"/>
      <c r="H93" s="111"/>
      <c r="I93" s="111"/>
      <c r="J93" s="111"/>
      <c r="K93" s="111"/>
      <c r="L93" s="111"/>
      <c r="M93" s="111"/>
      <c r="N93" s="111"/>
      <c r="O93" s="111"/>
      <c r="P93" s="111"/>
      <c r="Q93" s="111"/>
      <c r="R93" s="111"/>
      <c r="S93" s="111"/>
      <c r="T93" s="111"/>
      <c r="U93" s="112"/>
    </row>
    <row r="94" spans="1:21" ht="97.5" customHeight="1" x14ac:dyDescent="0.15">
      <c r="B94" s="170"/>
      <c r="C94" s="54" t="s">
        <v>69</v>
      </c>
      <c r="D94" s="113" t="s">
        <v>174</v>
      </c>
      <c r="E94" s="114"/>
      <c r="F94" s="114"/>
      <c r="G94" s="114"/>
      <c r="H94" s="114"/>
      <c r="I94" s="114"/>
      <c r="J94" s="114"/>
      <c r="K94" s="114"/>
      <c r="L94" s="114"/>
      <c r="M94" s="114"/>
      <c r="N94" s="114"/>
      <c r="O94" s="114"/>
      <c r="P94" s="114"/>
      <c r="Q94" s="114"/>
      <c r="R94" s="114"/>
      <c r="S94" s="114"/>
      <c r="T94" s="114"/>
      <c r="U94" s="115"/>
    </row>
    <row r="95" spans="1:21" ht="108" customHeight="1" x14ac:dyDescent="0.15">
      <c r="B95" s="168" t="s">
        <v>61</v>
      </c>
      <c r="C95" s="53" t="s">
        <v>70</v>
      </c>
      <c r="D95" s="110" t="s">
        <v>175</v>
      </c>
      <c r="E95" s="111"/>
      <c r="F95" s="111"/>
      <c r="G95" s="111"/>
      <c r="H95" s="111"/>
      <c r="I95" s="111"/>
      <c r="J95" s="111"/>
      <c r="K95" s="111"/>
      <c r="L95" s="111"/>
      <c r="M95" s="111"/>
      <c r="N95" s="111"/>
      <c r="O95" s="111"/>
      <c r="P95" s="111"/>
      <c r="Q95" s="111"/>
      <c r="R95" s="111"/>
      <c r="S95" s="111"/>
      <c r="T95" s="111"/>
      <c r="U95" s="112"/>
    </row>
    <row r="96" spans="1:21" ht="97.5" customHeight="1" x14ac:dyDescent="0.15">
      <c r="B96" s="170"/>
      <c r="C96" s="55" t="s">
        <v>71</v>
      </c>
      <c r="D96" s="113" t="s">
        <v>176</v>
      </c>
      <c r="E96" s="114"/>
      <c r="F96" s="114"/>
      <c r="G96" s="114"/>
      <c r="H96" s="114"/>
      <c r="I96" s="114"/>
      <c r="J96" s="114"/>
      <c r="K96" s="114"/>
      <c r="L96" s="114"/>
      <c r="M96" s="114"/>
      <c r="N96" s="114"/>
      <c r="O96" s="114"/>
      <c r="P96" s="114"/>
      <c r="Q96" s="114"/>
      <c r="R96" s="114"/>
      <c r="S96" s="114"/>
      <c r="T96" s="114"/>
      <c r="U96" s="115"/>
    </row>
    <row r="97" spans="1:33" ht="160.5" customHeight="1" x14ac:dyDescent="0.15">
      <c r="B97" s="168" t="s">
        <v>75</v>
      </c>
      <c r="C97" s="51" t="s">
        <v>56</v>
      </c>
      <c r="D97" s="116" t="s">
        <v>189</v>
      </c>
      <c r="E97" s="117"/>
      <c r="F97" s="117"/>
      <c r="G97" s="117"/>
      <c r="H97" s="117"/>
      <c r="I97" s="117"/>
      <c r="J97" s="117"/>
      <c r="K97" s="117"/>
      <c r="L97" s="117"/>
      <c r="M97" s="117"/>
      <c r="N97" s="117"/>
      <c r="O97" s="117"/>
      <c r="P97" s="117"/>
      <c r="Q97" s="117"/>
      <c r="R97" s="117"/>
      <c r="S97" s="117"/>
      <c r="T97" s="117"/>
      <c r="U97" s="118"/>
    </row>
    <row r="98" spans="1:33" ht="97.5" customHeight="1" x14ac:dyDescent="0.15">
      <c r="B98" s="170"/>
      <c r="C98" s="54" t="s">
        <v>58</v>
      </c>
      <c r="D98" s="89" t="s">
        <v>190</v>
      </c>
      <c r="E98" s="90"/>
      <c r="F98" s="90"/>
      <c r="G98" s="90"/>
      <c r="H98" s="90"/>
      <c r="I98" s="90"/>
      <c r="J98" s="90"/>
      <c r="K98" s="90"/>
      <c r="L98" s="90"/>
      <c r="M98" s="90"/>
      <c r="N98" s="90"/>
      <c r="O98" s="90"/>
      <c r="P98" s="90"/>
      <c r="Q98" s="90"/>
      <c r="R98" s="90"/>
      <c r="S98" s="90"/>
      <c r="T98" s="90"/>
      <c r="U98" s="91"/>
    </row>
    <row r="99" spans="1:33" ht="226.5" customHeight="1" x14ac:dyDescent="0.15">
      <c r="B99" s="168" t="s">
        <v>76</v>
      </c>
      <c r="C99" s="53" t="s">
        <v>55</v>
      </c>
      <c r="D99" s="92" t="s">
        <v>179</v>
      </c>
      <c r="E99" s="93"/>
      <c r="F99" s="93"/>
      <c r="G99" s="93"/>
      <c r="H99" s="93"/>
      <c r="I99" s="93"/>
      <c r="J99" s="93"/>
      <c r="K99" s="93"/>
      <c r="L99" s="93"/>
      <c r="M99" s="93"/>
      <c r="N99" s="93"/>
      <c r="O99" s="93"/>
      <c r="P99" s="93"/>
      <c r="Q99" s="93"/>
      <c r="R99" s="93"/>
      <c r="S99" s="93"/>
      <c r="T99" s="93"/>
      <c r="U99" s="94"/>
    </row>
    <row r="100" spans="1:33" ht="149.1" customHeight="1" x14ac:dyDescent="0.15">
      <c r="B100" s="169"/>
      <c r="C100" s="56" t="s">
        <v>72</v>
      </c>
      <c r="D100" s="95" t="s">
        <v>180</v>
      </c>
      <c r="E100" s="96"/>
      <c r="F100" s="96"/>
      <c r="G100" s="96"/>
      <c r="H100" s="96"/>
      <c r="I100" s="96"/>
      <c r="J100" s="96"/>
      <c r="K100" s="96"/>
      <c r="L100" s="96"/>
      <c r="M100" s="96"/>
      <c r="N100" s="96"/>
      <c r="O100" s="96"/>
      <c r="P100" s="96"/>
      <c r="Q100" s="96"/>
      <c r="R100" s="96"/>
      <c r="S100" s="96"/>
      <c r="T100" s="96"/>
      <c r="U100" s="97"/>
    </row>
    <row r="101" spans="1:33" ht="152.44999999999999" customHeight="1" x14ac:dyDescent="0.15">
      <c r="B101" s="170"/>
      <c r="C101" s="55" t="s">
        <v>73</v>
      </c>
      <c r="D101" s="98" t="s">
        <v>181</v>
      </c>
      <c r="E101" s="99"/>
      <c r="F101" s="99"/>
      <c r="G101" s="99"/>
      <c r="H101" s="99"/>
      <c r="I101" s="99"/>
      <c r="J101" s="99"/>
      <c r="K101" s="99"/>
      <c r="L101" s="99"/>
      <c r="M101" s="99"/>
      <c r="N101" s="99"/>
      <c r="O101" s="99"/>
      <c r="P101" s="99"/>
      <c r="Q101" s="99"/>
      <c r="R101" s="99"/>
      <c r="S101" s="99"/>
      <c r="T101" s="99"/>
      <c r="U101" s="100"/>
    </row>
    <row r="102" spans="1:33" ht="6" customHeight="1" x14ac:dyDescent="0.15"/>
    <row r="103" spans="1:33" ht="18.75" customHeight="1" x14ac:dyDescent="0.15">
      <c r="A103" s="1" t="s">
        <v>108</v>
      </c>
    </row>
    <row r="104" spans="1:33" ht="81.75" customHeight="1" x14ac:dyDescent="0.15">
      <c r="B104" s="159" t="s">
        <v>192</v>
      </c>
      <c r="C104" s="160"/>
      <c r="D104" s="160"/>
      <c r="E104" s="160"/>
      <c r="F104" s="160"/>
      <c r="G104" s="160"/>
      <c r="H104" s="160"/>
      <c r="I104" s="160"/>
      <c r="J104" s="160"/>
      <c r="K104" s="160"/>
      <c r="L104" s="160"/>
      <c r="M104" s="160"/>
      <c r="N104" s="160"/>
      <c r="O104" s="160"/>
      <c r="P104" s="160"/>
      <c r="Q104" s="160"/>
      <c r="R104" s="160"/>
      <c r="S104" s="160"/>
      <c r="T104" s="160"/>
      <c r="U104" s="161"/>
    </row>
    <row r="106" spans="1:33" ht="18.75" customHeight="1" x14ac:dyDescent="0.15">
      <c r="A106" s="44" t="s">
        <v>124</v>
      </c>
      <c r="B106" s="36"/>
      <c r="C106" s="36"/>
      <c r="D106" s="36"/>
      <c r="E106" s="36"/>
      <c r="F106" s="36"/>
      <c r="G106" s="36"/>
      <c r="H106" s="36"/>
      <c r="I106" s="36"/>
      <c r="J106" s="36"/>
      <c r="K106" s="36"/>
      <c r="L106" s="36"/>
      <c r="M106" s="36"/>
      <c r="N106" s="36"/>
      <c r="O106" s="36"/>
      <c r="P106" s="36"/>
      <c r="Q106" s="36"/>
      <c r="R106" s="36"/>
      <c r="S106" s="36"/>
      <c r="T106" s="36"/>
      <c r="U106" s="36"/>
    </row>
    <row r="107" spans="1:33" ht="18.75" customHeight="1" x14ac:dyDescent="0.15">
      <c r="A107" s="44" t="s">
        <v>126</v>
      </c>
      <c r="B107" s="44"/>
      <c r="C107" s="44"/>
      <c r="D107" s="44"/>
      <c r="E107" s="44"/>
      <c r="F107" s="44"/>
      <c r="G107" s="44"/>
      <c r="H107" s="44"/>
      <c r="I107" s="44"/>
      <c r="J107" s="44"/>
      <c r="K107" s="44"/>
      <c r="L107" s="44"/>
      <c r="M107" s="44"/>
      <c r="N107" s="44"/>
      <c r="O107" s="44"/>
      <c r="P107" s="44"/>
      <c r="Q107" s="44"/>
      <c r="R107" s="44"/>
      <c r="S107" s="44"/>
      <c r="T107" s="44"/>
      <c r="U107" s="44"/>
      <c r="V107" s="2"/>
      <c r="W107" s="2"/>
      <c r="X107" s="2"/>
      <c r="Y107" s="2"/>
      <c r="Z107" s="2"/>
      <c r="AA107" s="2"/>
      <c r="AB107" s="2"/>
      <c r="AC107" s="2"/>
      <c r="AD107" s="2"/>
      <c r="AE107" s="2"/>
      <c r="AF107" s="2"/>
      <c r="AG107" s="2"/>
    </row>
    <row r="108" spans="1:33" ht="18.75" customHeight="1" x14ac:dyDescent="0.15">
      <c r="A108" s="44"/>
      <c r="B108" s="88" t="s">
        <v>129</v>
      </c>
      <c r="C108" s="88"/>
      <c r="D108" s="88"/>
      <c r="E108" s="88"/>
      <c r="F108" s="88"/>
      <c r="G108" s="88"/>
      <c r="H108" s="88"/>
      <c r="I108" s="88"/>
      <c r="J108" s="88"/>
      <c r="K108" s="88"/>
      <c r="L108" s="88"/>
      <c r="M108" s="88"/>
      <c r="N108" s="88"/>
      <c r="O108" s="88"/>
      <c r="P108" s="88"/>
      <c r="Q108" s="88"/>
      <c r="R108" s="88"/>
      <c r="S108" s="88"/>
      <c r="T108" s="88"/>
      <c r="U108" s="88"/>
      <c r="V108" s="57"/>
      <c r="W108" s="57"/>
      <c r="X108" s="57"/>
      <c r="Y108" s="57"/>
      <c r="Z108" s="57"/>
      <c r="AA108" s="57"/>
      <c r="AB108" s="57"/>
      <c r="AC108" s="57"/>
      <c r="AD108" s="57"/>
      <c r="AE108" s="57"/>
      <c r="AF108" s="57"/>
      <c r="AG108" s="57"/>
    </row>
    <row r="109" spans="1:33" ht="37.35" customHeight="1" x14ac:dyDescent="0.15">
      <c r="A109" s="44"/>
      <c r="B109" s="88"/>
      <c r="C109" s="88"/>
      <c r="D109" s="88"/>
      <c r="E109" s="88"/>
      <c r="F109" s="88"/>
      <c r="G109" s="88"/>
      <c r="H109" s="88"/>
      <c r="I109" s="88"/>
      <c r="J109" s="88"/>
      <c r="K109" s="88"/>
      <c r="L109" s="88"/>
      <c r="M109" s="88"/>
      <c r="N109" s="88"/>
      <c r="O109" s="88"/>
      <c r="P109" s="88"/>
      <c r="Q109" s="88"/>
      <c r="R109" s="88"/>
      <c r="S109" s="88"/>
      <c r="T109" s="88"/>
      <c r="U109" s="88"/>
      <c r="V109" s="57"/>
      <c r="W109" s="57"/>
      <c r="X109" s="57"/>
      <c r="Y109" s="57"/>
      <c r="Z109" s="57"/>
      <c r="AA109" s="57"/>
      <c r="AB109" s="57"/>
      <c r="AC109" s="57"/>
      <c r="AD109" s="57"/>
      <c r="AE109" s="57"/>
      <c r="AF109" s="57"/>
      <c r="AG109" s="57"/>
    </row>
    <row r="110" spans="1:33" ht="18.75" customHeight="1" x14ac:dyDescent="0.15">
      <c r="A110" s="44"/>
      <c r="B110" s="176" t="s">
        <v>125</v>
      </c>
      <c r="C110" s="176"/>
      <c r="D110" s="176"/>
      <c r="E110" s="176"/>
      <c r="F110" s="176"/>
      <c r="G110" s="176"/>
      <c r="H110" s="176"/>
      <c r="I110" s="176"/>
      <c r="J110" s="176"/>
      <c r="K110" s="176"/>
      <c r="L110" s="176"/>
      <c r="M110" s="176"/>
      <c r="N110" s="176"/>
      <c r="O110" s="176"/>
      <c r="P110" s="176"/>
      <c r="Q110" s="176"/>
      <c r="R110" s="176"/>
      <c r="S110" s="176"/>
      <c r="T110" s="176"/>
      <c r="U110" s="176"/>
      <c r="V110" s="57"/>
      <c r="W110" s="57"/>
      <c r="X110" s="57"/>
      <c r="Y110" s="57"/>
      <c r="Z110" s="57"/>
      <c r="AA110" s="57"/>
      <c r="AB110" s="57"/>
      <c r="AC110" s="57"/>
      <c r="AD110" s="57"/>
      <c r="AE110" s="57"/>
      <c r="AF110" s="57"/>
      <c r="AG110" s="57"/>
    </row>
    <row r="111" spans="1:33" ht="18.75" customHeight="1" x14ac:dyDescent="0.15">
      <c r="A111" s="44"/>
      <c r="B111" s="177" t="s">
        <v>53</v>
      </c>
      <c r="C111" s="177"/>
      <c r="D111" s="177"/>
      <c r="E111" s="177"/>
      <c r="F111" s="177"/>
      <c r="G111" s="177"/>
      <c r="H111" s="177"/>
      <c r="I111" s="177"/>
      <c r="J111" s="177"/>
      <c r="K111" s="177"/>
      <c r="L111" s="177"/>
      <c r="M111" s="177"/>
      <c r="N111" s="177"/>
      <c r="O111" s="177"/>
      <c r="P111" s="177"/>
      <c r="Q111" s="177"/>
      <c r="R111" s="177"/>
      <c r="S111" s="177"/>
      <c r="T111" s="177"/>
      <c r="U111" s="177"/>
      <c r="V111" s="58"/>
      <c r="W111" s="58"/>
      <c r="X111" s="58"/>
      <c r="Y111" s="58"/>
      <c r="Z111" s="58"/>
      <c r="AA111" s="58"/>
      <c r="AB111" s="58"/>
      <c r="AC111" s="58"/>
      <c r="AD111" s="58"/>
      <c r="AE111" s="58"/>
      <c r="AF111" s="58"/>
      <c r="AG111" s="58"/>
    </row>
    <row r="112" spans="1:33" ht="132" customHeight="1" x14ac:dyDescent="0.15">
      <c r="A112" s="44"/>
      <c r="B112" s="178"/>
      <c r="C112" s="178"/>
      <c r="D112" s="178"/>
      <c r="E112" s="178"/>
      <c r="F112" s="178"/>
      <c r="G112" s="178"/>
      <c r="H112" s="178"/>
      <c r="I112" s="178"/>
      <c r="J112" s="178"/>
      <c r="K112" s="178"/>
      <c r="L112" s="178"/>
      <c r="M112" s="178"/>
      <c r="N112" s="178"/>
      <c r="O112" s="178"/>
      <c r="P112" s="178"/>
      <c r="Q112" s="178"/>
      <c r="R112" s="178"/>
      <c r="S112" s="178"/>
      <c r="T112" s="178"/>
      <c r="U112" s="178"/>
      <c r="V112" s="59"/>
      <c r="W112" s="59"/>
      <c r="X112" s="59"/>
      <c r="Y112" s="59"/>
      <c r="Z112" s="59"/>
      <c r="AA112" s="59"/>
      <c r="AB112" s="59"/>
      <c r="AC112" s="59"/>
      <c r="AD112" s="59"/>
      <c r="AE112" s="59"/>
      <c r="AF112" s="59"/>
      <c r="AG112" s="59"/>
    </row>
    <row r="114" ht="18" customHeight="1" x14ac:dyDescent="0.15"/>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G71:J77 S27:U33 H60:J66 H38:J44 S38:U44 S49:U55 H49:J55 S60:U66 H27:J33 R71:U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H81:J82 H85:J88 S81:U82 S87:U88 R81:R88 S84:U84"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3" manualBreakCount="3">
    <brk id="44" max="20" man="1"/>
    <brk id="88"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D1CEE-C98A-4428-84BA-6F86C699839E}">
  <sheetPr>
    <pageSetUpPr fitToPage="1"/>
  </sheetPr>
  <dimension ref="A1:AG114"/>
  <sheetViews>
    <sheetView showZeros="0" tabSelected="1" view="pageBreakPreview" topLeftCell="A15" zoomScale="130" zoomScaleNormal="100" zoomScaleSheetLayoutView="130" workbookViewId="0">
      <selection activeCell="B28" sqref="B28:F28"/>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75" customHeight="1" x14ac:dyDescent="0.15">
      <c r="A1" s="36"/>
      <c r="B1" s="36"/>
      <c r="C1" s="36"/>
      <c r="D1" s="36"/>
      <c r="E1" s="36"/>
      <c r="F1" s="36"/>
      <c r="G1" s="36"/>
      <c r="H1" s="36"/>
      <c r="I1" s="36"/>
      <c r="J1" s="36"/>
      <c r="K1" s="36"/>
      <c r="L1" s="36"/>
      <c r="M1" s="36"/>
      <c r="N1" s="36"/>
      <c r="O1" s="36"/>
      <c r="P1" s="36"/>
      <c r="Q1" s="36"/>
      <c r="R1" s="36"/>
      <c r="S1" s="36"/>
      <c r="T1" s="144" t="s">
        <v>188</v>
      </c>
      <c r="U1" s="144"/>
      <c r="V1" s="2" t="s">
        <v>99</v>
      </c>
    </row>
    <row r="2" spans="1:24" ht="18.75" customHeight="1" x14ac:dyDescent="0.15">
      <c r="A2" s="36"/>
      <c r="B2" s="42" t="s">
        <v>98</v>
      </c>
      <c r="C2" s="145" t="s">
        <v>135</v>
      </c>
      <c r="D2" s="146"/>
      <c r="E2" s="146"/>
      <c r="F2" s="146"/>
      <c r="G2" s="146"/>
      <c r="H2" s="146"/>
      <c r="I2" s="146"/>
      <c r="J2" s="147"/>
      <c r="K2" s="37"/>
      <c r="L2" s="38"/>
      <c r="M2" s="38"/>
      <c r="N2" s="38"/>
      <c r="O2" s="38"/>
      <c r="P2" s="38"/>
      <c r="Q2" s="38"/>
      <c r="R2" s="38"/>
      <c r="S2" s="38"/>
      <c r="T2" s="38"/>
      <c r="U2" s="38"/>
    </row>
    <row r="3" spans="1:24" ht="18.75" customHeight="1" x14ac:dyDescent="0.15">
      <c r="A3" s="36"/>
      <c r="B3" s="42" t="s">
        <v>93</v>
      </c>
      <c r="C3" s="145" t="s">
        <v>136</v>
      </c>
      <c r="D3" s="146"/>
      <c r="E3" s="146"/>
      <c r="F3" s="146"/>
      <c r="G3" s="146"/>
      <c r="H3" s="146"/>
      <c r="I3" s="146"/>
      <c r="J3" s="147"/>
      <c r="K3" s="37"/>
      <c r="L3" s="38"/>
      <c r="M3" s="38"/>
      <c r="N3" s="38"/>
      <c r="O3" s="38"/>
      <c r="P3" s="38"/>
      <c r="Q3" s="38"/>
      <c r="R3" s="38"/>
      <c r="S3" s="38"/>
      <c r="T3" s="38"/>
      <c r="U3" s="38"/>
    </row>
    <row r="4" spans="1:24" ht="15" customHeight="1" x14ac:dyDescent="0.15">
      <c r="A4" s="36"/>
      <c r="B4" s="36"/>
      <c r="C4" s="36"/>
      <c r="D4" s="36"/>
      <c r="E4" s="36"/>
      <c r="F4" s="36"/>
      <c r="G4" s="36"/>
      <c r="H4" s="36"/>
      <c r="I4" s="36"/>
      <c r="J4" s="36"/>
      <c r="K4" s="36"/>
      <c r="L4" s="37"/>
      <c r="M4" s="43"/>
      <c r="N4" s="43"/>
      <c r="O4" s="43"/>
      <c r="P4" s="43"/>
      <c r="Q4" s="43"/>
      <c r="R4" s="43"/>
      <c r="S4" s="43"/>
      <c r="T4" s="43"/>
      <c r="U4" s="43"/>
    </row>
    <row r="5" spans="1:24" ht="18" customHeight="1" x14ac:dyDescent="0.15">
      <c r="A5" s="148" t="s">
        <v>37</v>
      </c>
      <c r="B5" s="148"/>
      <c r="C5" s="148"/>
      <c r="D5" s="148"/>
      <c r="E5" s="148"/>
      <c r="F5" s="148"/>
      <c r="G5" s="148"/>
      <c r="H5" s="148"/>
      <c r="I5" s="148"/>
      <c r="J5" s="148"/>
      <c r="K5" s="148"/>
      <c r="L5" s="148"/>
      <c r="M5" s="148"/>
      <c r="N5" s="148"/>
      <c r="O5" s="148"/>
      <c r="P5" s="148"/>
      <c r="Q5" s="148"/>
      <c r="R5" s="148"/>
      <c r="S5" s="148"/>
      <c r="T5" s="148"/>
      <c r="U5" s="148"/>
    </row>
    <row r="6" spans="1:24" ht="15" customHeight="1" x14ac:dyDescent="0.15">
      <c r="A6" s="36"/>
      <c r="B6" s="39"/>
      <c r="C6" s="39"/>
      <c r="D6" s="39"/>
      <c r="E6" s="39"/>
      <c r="F6" s="39"/>
      <c r="G6" s="39"/>
      <c r="H6" s="39"/>
      <c r="I6" s="39"/>
      <c r="J6" s="39"/>
      <c r="K6" s="39"/>
      <c r="L6" s="39"/>
      <c r="M6" s="39"/>
      <c r="N6" s="39"/>
      <c r="O6" s="39"/>
      <c r="P6" s="39"/>
      <c r="Q6" s="39"/>
      <c r="R6" s="39"/>
      <c r="S6" s="39"/>
      <c r="T6" s="39"/>
      <c r="U6" s="39"/>
    </row>
    <row r="7" spans="1:24" ht="15" customHeight="1" x14ac:dyDescent="0.15">
      <c r="A7" s="36" t="s">
        <v>130</v>
      </c>
      <c r="B7" s="39"/>
      <c r="C7" s="39"/>
      <c r="D7" s="39"/>
      <c r="E7" s="39"/>
      <c r="F7" s="44"/>
      <c r="G7" s="44"/>
      <c r="H7" s="44"/>
      <c r="I7" s="44"/>
      <c r="J7" s="44"/>
      <c r="K7" s="44"/>
      <c r="L7" s="104" t="s">
        <v>187</v>
      </c>
      <c r="M7" s="105"/>
      <c r="N7" s="105"/>
      <c r="O7" s="105"/>
      <c r="P7" s="105"/>
      <c r="Q7" s="105"/>
      <c r="R7" s="105"/>
      <c r="S7" s="105"/>
      <c r="T7" s="105"/>
      <c r="U7" s="106"/>
    </row>
    <row r="8" spans="1:24" ht="6" customHeight="1" x14ac:dyDescent="0.15">
      <c r="A8" s="36"/>
      <c r="B8" s="39"/>
      <c r="C8" s="39"/>
      <c r="D8" s="39"/>
      <c r="E8" s="39"/>
      <c r="F8" s="39"/>
      <c r="G8" s="39"/>
      <c r="H8" s="39"/>
      <c r="I8" s="39"/>
      <c r="J8" s="39"/>
      <c r="K8" s="39"/>
      <c r="L8" s="39"/>
      <c r="M8" s="39"/>
      <c r="N8" s="39"/>
      <c r="O8" s="39"/>
      <c r="P8" s="39"/>
      <c r="Q8" s="39"/>
      <c r="R8" s="39"/>
      <c r="S8" s="39"/>
      <c r="T8" s="39"/>
      <c r="U8" s="39"/>
    </row>
    <row r="9" spans="1:24" ht="18" customHeight="1" x14ac:dyDescent="0.15">
      <c r="A9" s="36" t="s">
        <v>131</v>
      </c>
      <c r="B9" s="36"/>
      <c r="C9" s="39"/>
      <c r="D9" s="39"/>
      <c r="E9" s="36"/>
      <c r="F9" s="36"/>
      <c r="G9" s="36"/>
      <c r="H9" s="36"/>
      <c r="I9" s="36"/>
      <c r="J9" s="36"/>
      <c r="K9" s="37"/>
      <c r="L9" s="44"/>
      <c r="M9" s="44"/>
      <c r="N9" s="44"/>
      <c r="O9" s="44"/>
      <c r="P9" s="44"/>
      <c r="Q9" s="44"/>
      <c r="R9" s="44"/>
      <c r="S9" s="44"/>
      <c r="T9" s="44"/>
      <c r="U9" s="44"/>
    </row>
    <row r="10" spans="1:24" ht="6" customHeight="1" x14ac:dyDescent="0.15">
      <c r="A10" s="36"/>
      <c r="B10" s="39"/>
      <c r="C10" s="39"/>
      <c r="D10" s="39"/>
      <c r="E10" s="39"/>
      <c r="F10" s="39"/>
      <c r="G10" s="39"/>
      <c r="H10" s="39"/>
      <c r="I10" s="39"/>
      <c r="J10" s="39"/>
      <c r="K10" s="39"/>
      <c r="L10" s="40"/>
      <c r="M10" s="39"/>
      <c r="N10" s="39"/>
      <c r="O10" s="39"/>
      <c r="P10" s="39"/>
      <c r="Q10" s="39"/>
      <c r="R10" s="39"/>
      <c r="S10" s="39"/>
      <c r="T10" s="39"/>
      <c r="U10" s="39"/>
    </row>
    <row r="11" spans="1:24" ht="18" customHeight="1" x14ac:dyDescent="0.15">
      <c r="A11" s="36"/>
      <c r="B11" s="119" t="s">
        <v>202</v>
      </c>
      <c r="C11" s="120"/>
      <c r="D11" s="120"/>
      <c r="E11" s="120"/>
      <c r="F11" s="120"/>
      <c r="G11" s="120"/>
      <c r="H11" s="120"/>
      <c r="I11" s="120"/>
      <c r="J11" s="120"/>
      <c r="K11" s="120"/>
      <c r="L11" s="120"/>
      <c r="M11" s="120"/>
      <c r="N11" s="120"/>
      <c r="O11" s="120"/>
      <c r="P11" s="120"/>
      <c r="Q11" s="120"/>
      <c r="R11" s="120"/>
      <c r="S11" s="120"/>
      <c r="T11" s="120"/>
      <c r="U11" s="121"/>
    </row>
    <row r="12" spans="1:24" ht="18" customHeight="1" x14ac:dyDescent="0.15">
      <c r="A12" s="36"/>
      <c r="B12" s="122"/>
      <c r="C12" s="123"/>
      <c r="D12" s="123"/>
      <c r="E12" s="123"/>
      <c r="F12" s="123"/>
      <c r="G12" s="123"/>
      <c r="H12" s="123"/>
      <c r="I12" s="123"/>
      <c r="J12" s="123"/>
      <c r="K12" s="123"/>
      <c r="L12" s="123"/>
      <c r="M12" s="123"/>
      <c r="N12" s="123"/>
      <c r="O12" s="123"/>
      <c r="P12" s="123"/>
      <c r="Q12" s="123"/>
      <c r="R12" s="123"/>
      <c r="S12" s="123"/>
      <c r="T12" s="123"/>
      <c r="U12" s="124"/>
    </row>
    <row r="13" spans="1:24" ht="6" customHeight="1" x14ac:dyDescent="0.15">
      <c r="A13" s="36"/>
      <c r="B13" s="39"/>
      <c r="C13" s="39"/>
      <c r="D13" s="39"/>
      <c r="E13" s="39"/>
      <c r="F13" s="39"/>
      <c r="G13" s="39"/>
      <c r="H13" s="39"/>
      <c r="I13" s="39"/>
      <c r="J13" s="39"/>
      <c r="K13" s="39"/>
      <c r="L13" s="40"/>
      <c r="M13" s="39"/>
      <c r="N13" s="39"/>
      <c r="O13" s="39"/>
      <c r="P13" s="39"/>
      <c r="Q13" s="39"/>
      <c r="R13" s="39"/>
      <c r="S13" s="39"/>
      <c r="T13" s="39"/>
      <c r="U13" s="39"/>
    </row>
    <row r="14" spans="1:24" ht="18" customHeight="1" x14ac:dyDescent="0.15">
      <c r="A14" s="36" t="s">
        <v>100</v>
      </c>
      <c r="B14" s="39"/>
      <c r="C14" s="39"/>
      <c r="D14" s="39"/>
      <c r="E14" s="37"/>
      <c r="F14" s="37"/>
      <c r="G14" s="37"/>
      <c r="H14" s="37"/>
      <c r="I14" s="37"/>
      <c r="J14" s="37"/>
      <c r="K14" s="37"/>
      <c r="L14" s="45"/>
      <c r="M14" s="45"/>
      <c r="N14" s="45"/>
      <c r="O14" s="45"/>
      <c r="P14" s="45"/>
      <c r="Q14" s="45"/>
      <c r="R14" s="45"/>
      <c r="S14" s="45"/>
      <c r="T14" s="45"/>
      <c r="U14" s="45"/>
    </row>
    <row r="15" spans="1:24" ht="74.099999999999994" customHeight="1" x14ac:dyDescent="0.15">
      <c r="A15" s="36"/>
      <c r="B15" s="149" t="s">
        <v>210</v>
      </c>
      <c r="C15" s="150"/>
      <c r="D15" s="150"/>
      <c r="E15" s="150"/>
      <c r="F15" s="150"/>
      <c r="G15" s="150"/>
      <c r="H15" s="150"/>
      <c r="I15" s="150"/>
      <c r="J15" s="150"/>
      <c r="K15" s="150"/>
      <c r="L15" s="150"/>
      <c r="M15" s="150"/>
      <c r="N15" s="150"/>
      <c r="O15" s="150"/>
      <c r="P15" s="150"/>
      <c r="Q15" s="150"/>
      <c r="R15" s="150"/>
      <c r="S15" s="150"/>
      <c r="T15" s="150"/>
      <c r="U15" s="151"/>
      <c r="X15" s="1" t="s">
        <v>94</v>
      </c>
    </row>
    <row r="16" spans="1:24" ht="74.099999999999994" customHeight="1" x14ac:dyDescent="0.15">
      <c r="A16" s="36"/>
      <c r="B16" s="152"/>
      <c r="C16" s="153"/>
      <c r="D16" s="153"/>
      <c r="E16" s="153"/>
      <c r="F16" s="153"/>
      <c r="G16" s="153"/>
      <c r="H16" s="153"/>
      <c r="I16" s="153"/>
      <c r="J16" s="153"/>
      <c r="K16" s="153"/>
      <c r="L16" s="153"/>
      <c r="M16" s="153"/>
      <c r="N16" s="153"/>
      <c r="O16" s="153"/>
      <c r="P16" s="153"/>
      <c r="Q16" s="153"/>
      <c r="R16" s="153"/>
      <c r="S16" s="153"/>
      <c r="T16" s="153"/>
      <c r="U16" s="154"/>
      <c r="X16" s="1" t="s">
        <v>114</v>
      </c>
    </row>
    <row r="17" spans="1:24" ht="74.099999999999994" customHeight="1" x14ac:dyDescent="0.15">
      <c r="A17" s="36"/>
      <c r="B17" s="152"/>
      <c r="C17" s="153"/>
      <c r="D17" s="153"/>
      <c r="E17" s="153"/>
      <c r="F17" s="153"/>
      <c r="G17" s="153"/>
      <c r="H17" s="153"/>
      <c r="I17" s="153"/>
      <c r="J17" s="153"/>
      <c r="K17" s="153"/>
      <c r="L17" s="153"/>
      <c r="M17" s="153"/>
      <c r="N17" s="153"/>
      <c r="O17" s="153"/>
      <c r="P17" s="153"/>
      <c r="Q17" s="153"/>
      <c r="R17" s="153"/>
      <c r="S17" s="153"/>
      <c r="T17" s="153"/>
      <c r="U17" s="154"/>
      <c r="X17" s="1" t="s">
        <v>115</v>
      </c>
    </row>
    <row r="18" spans="1:24" ht="74.099999999999994" customHeight="1" x14ac:dyDescent="0.15">
      <c r="A18" s="36"/>
      <c r="B18" s="152"/>
      <c r="C18" s="153"/>
      <c r="D18" s="153"/>
      <c r="E18" s="153"/>
      <c r="F18" s="153"/>
      <c r="G18" s="153"/>
      <c r="H18" s="153"/>
      <c r="I18" s="153"/>
      <c r="J18" s="153"/>
      <c r="K18" s="153"/>
      <c r="L18" s="153"/>
      <c r="M18" s="153"/>
      <c r="N18" s="153"/>
      <c r="O18" s="153"/>
      <c r="P18" s="153"/>
      <c r="Q18" s="153"/>
      <c r="R18" s="153"/>
      <c r="S18" s="153"/>
      <c r="T18" s="153"/>
      <c r="U18" s="154"/>
      <c r="X18" s="1" t="s">
        <v>116</v>
      </c>
    </row>
    <row r="19" spans="1:24" ht="93.95" customHeight="1" x14ac:dyDescent="0.15">
      <c r="A19" s="36"/>
      <c r="B19" s="152"/>
      <c r="C19" s="153"/>
      <c r="D19" s="153"/>
      <c r="E19" s="153"/>
      <c r="F19" s="153"/>
      <c r="G19" s="153"/>
      <c r="H19" s="153"/>
      <c r="I19" s="153"/>
      <c r="J19" s="153"/>
      <c r="K19" s="153"/>
      <c r="L19" s="153"/>
      <c r="M19" s="153"/>
      <c r="N19" s="153"/>
      <c r="O19" s="153"/>
      <c r="P19" s="153"/>
      <c r="Q19" s="153"/>
      <c r="R19" s="153"/>
      <c r="S19" s="153"/>
      <c r="T19" s="153"/>
      <c r="U19" s="154"/>
    </row>
    <row r="20" spans="1:24" ht="238.5" customHeight="1" x14ac:dyDescent="0.15">
      <c r="A20" s="36"/>
      <c r="B20" s="155"/>
      <c r="C20" s="156"/>
      <c r="D20" s="156"/>
      <c r="E20" s="156"/>
      <c r="F20" s="156"/>
      <c r="G20" s="156"/>
      <c r="H20" s="156"/>
      <c r="I20" s="156"/>
      <c r="J20" s="156"/>
      <c r="K20" s="156"/>
      <c r="L20" s="156"/>
      <c r="M20" s="156"/>
      <c r="N20" s="156"/>
      <c r="O20" s="156"/>
      <c r="P20" s="156"/>
      <c r="Q20" s="156"/>
      <c r="R20" s="156"/>
      <c r="S20" s="156"/>
      <c r="T20" s="156"/>
      <c r="U20" s="157"/>
    </row>
    <row r="21" spans="1:24" ht="5.25" customHeight="1" x14ac:dyDescent="0.15">
      <c r="A21" s="36"/>
      <c r="B21" s="39"/>
      <c r="C21" s="39"/>
      <c r="D21" s="39"/>
      <c r="E21" s="39"/>
      <c r="F21" s="39"/>
      <c r="G21" s="39"/>
      <c r="H21" s="39"/>
      <c r="I21" s="39"/>
      <c r="J21" s="39"/>
      <c r="K21" s="39"/>
      <c r="L21" s="39"/>
      <c r="M21" s="39"/>
      <c r="N21" s="39"/>
      <c r="O21" s="39"/>
      <c r="P21" s="39"/>
      <c r="Q21" s="39"/>
      <c r="R21" s="39"/>
      <c r="S21" s="39"/>
      <c r="T21" s="39"/>
      <c r="U21" s="39"/>
    </row>
    <row r="22" spans="1:24" ht="20.100000000000001" customHeight="1" x14ac:dyDescent="0.15">
      <c r="A22" s="36"/>
      <c r="B22" s="36" t="s">
        <v>132</v>
      </c>
      <c r="C22" s="36"/>
      <c r="D22" s="36"/>
      <c r="E22" s="41">
        <v>5</v>
      </c>
      <c r="F22" s="36" t="s">
        <v>112</v>
      </c>
      <c r="G22" s="36"/>
      <c r="H22" s="46">
        <v>8</v>
      </c>
      <c r="I22" s="39" t="s">
        <v>113</v>
      </c>
      <c r="J22" s="39"/>
      <c r="K22" s="37"/>
      <c r="L22" s="36"/>
      <c r="M22" s="37" t="s">
        <v>109</v>
      </c>
      <c r="N22" s="101" t="s">
        <v>116</v>
      </c>
      <c r="O22" s="102"/>
      <c r="P22" s="102"/>
      <c r="Q22" s="102"/>
      <c r="R22" s="102"/>
      <c r="S22" s="102"/>
      <c r="T22" s="102"/>
      <c r="U22" s="103"/>
    </row>
    <row r="23" spans="1:24" ht="2.25" customHeight="1" x14ac:dyDescent="0.15">
      <c r="A23" s="36"/>
      <c r="B23" s="39"/>
      <c r="C23" s="39"/>
      <c r="D23" s="39"/>
      <c r="E23" s="39"/>
      <c r="F23" s="39"/>
      <c r="G23" s="39"/>
      <c r="H23" s="39"/>
      <c r="I23" s="39"/>
      <c r="J23" s="39"/>
      <c r="K23" s="39"/>
      <c r="L23" s="39"/>
      <c r="M23" s="39"/>
      <c r="N23" s="39"/>
      <c r="O23" s="39"/>
      <c r="P23" s="39"/>
      <c r="Q23" s="39"/>
      <c r="R23" s="39"/>
      <c r="S23" s="39"/>
      <c r="T23" s="39"/>
      <c r="U23" s="39"/>
    </row>
    <row r="24" spans="1:24" ht="18" customHeight="1" x14ac:dyDescent="0.15">
      <c r="A24" s="158" t="s">
        <v>101</v>
      </c>
      <c r="B24" s="158"/>
      <c r="C24" s="158"/>
      <c r="D24" s="158"/>
      <c r="E24" s="158"/>
      <c r="F24" s="158"/>
      <c r="G24" s="158"/>
      <c r="H24" s="158"/>
      <c r="I24" s="158"/>
      <c r="J24" s="158"/>
      <c r="K24" s="158"/>
      <c r="L24" s="158"/>
      <c r="M24" s="158"/>
      <c r="N24" s="158"/>
      <c r="O24" s="158"/>
      <c r="P24" s="158"/>
      <c r="Q24" s="158"/>
      <c r="R24" s="158"/>
      <c r="S24" s="158"/>
      <c r="T24" s="158"/>
      <c r="U24" s="158"/>
    </row>
    <row r="25" spans="1:24" ht="18" customHeight="1" x14ac:dyDescent="0.15">
      <c r="A25" s="158"/>
      <c r="B25" s="158"/>
      <c r="C25" s="158"/>
      <c r="D25" s="158"/>
      <c r="E25" s="158"/>
      <c r="F25" s="158"/>
      <c r="G25" s="158"/>
      <c r="H25" s="158"/>
      <c r="I25" s="158"/>
      <c r="J25" s="158"/>
      <c r="K25" s="158"/>
      <c r="L25" s="158"/>
      <c r="M25" s="158"/>
      <c r="N25" s="158"/>
      <c r="O25" s="158"/>
      <c r="P25" s="158"/>
      <c r="Q25" s="158"/>
      <c r="R25" s="158"/>
      <c r="S25" s="158"/>
      <c r="T25" s="158"/>
      <c r="U25" s="158"/>
    </row>
    <row r="26" spans="1:24" ht="18" customHeight="1" x14ac:dyDescent="0.15">
      <c r="B26" s="107" t="s">
        <v>51</v>
      </c>
      <c r="C26" s="108"/>
      <c r="D26" s="108"/>
      <c r="E26" s="108"/>
      <c r="F26" s="109"/>
      <c r="G26" s="47" t="s">
        <v>77</v>
      </c>
      <c r="H26" s="48" t="s">
        <v>80</v>
      </c>
      <c r="I26" s="49" t="s">
        <v>54</v>
      </c>
      <c r="J26" s="49" t="s">
        <v>57</v>
      </c>
      <c r="K26" s="107" t="s">
        <v>51</v>
      </c>
      <c r="L26" s="108"/>
      <c r="M26" s="108"/>
      <c r="N26" s="108"/>
      <c r="O26" s="108"/>
      <c r="P26" s="108"/>
      <c r="Q26" s="109"/>
      <c r="R26" s="47" t="s">
        <v>77</v>
      </c>
      <c r="S26" s="48" t="s">
        <v>80</v>
      </c>
      <c r="T26" s="49" t="s">
        <v>54</v>
      </c>
      <c r="U26" s="49" t="s">
        <v>57</v>
      </c>
    </row>
    <row r="27" spans="1:24" ht="18" customHeight="1" x14ac:dyDescent="0.15">
      <c r="B27" s="137" t="s">
        <v>140</v>
      </c>
      <c r="C27" s="138"/>
      <c r="D27" s="138"/>
      <c r="E27" s="138"/>
      <c r="F27" s="139"/>
      <c r="G27" s="60">
        <v>2</v>
      </c>
      <c r="H27" s="60"/>
      <c r="I27" s="60" t="s">
        <v>137</v>
      </c>
      <c r="J27" s="61" t="s">
        <v>137</v>
      </c>
      <c r="K27" s="137"/>
      <c r="L27" s="138"/>
      <c r="M27" s="138"/>
      <c r="N27" s="138"/>
      <c r="O27" s="138"/>
      <c r="P27" s="138"/>
      <c r="Q27" s="139"/>
      <c r="R27" s="60"/>
      <c r="S27" s="60"/>
      <c r="T27" s="60"/>
      <c r="U27" s="60"/>
    </row>
    <row r="28" spans="1:24" ht="18" customHeight="1" x14ac:dyDescent="0.15">
      <c r="B28" s="134" t="s">
        <v>138</v>
      </c>
      <c r="C28" s="135"/>
      <c r="D28" s="135"/>
      <c r="E28" s="135"/>
      <c r="F28" s="136"/>
      <c r="G28" s="61">
        <v>1</v>
      </c>
      <c r="H28" s="61" t="s">
        <v>137</v>
      </c>
      <c r="I28" s="61" t="s">
        <v>137</v>
      </c>
      <c r="J28" s="61" t="s">
        <v>137</v>
      </c>
      <c r="K28" s="134"/>
      <c r="L28" s="135"/>
      <c r="M28" s="135"/>
      <c r="N28" s="135"/>
      <c r="O28" s="135"/>
      <c r="P28" s="135"/>
      <c r="Q28" s="136"/>
      <c r="R28" s="61"/>
      <c r="S28" s="61"/>
      <c r="T28" s="61"/>
      <c r="U28" s="61"/>
    </row>
    <row r="29" spans="1:24" ht="18" customHeight="1" x14ac:dyDescent="0.15">
      <c r="B29" s="134" t="s">
        <v>139</v>
      </c>
      <c r="C29" s="135"/>
      <c r="D29" s="135"/>
      <c r="E29" s="135"/>
      <c r="F29" s="136"/>
      <c r="G29" s="61">
        <v>1</v>
      </c>
      <c r="H29" s="61"/>
      <c r="I29" s="61" t="s">
        <v>137</v>
      </c>
      <c r="J29" s="61" t="s">
        <v>137</v>
      </c>
      <c r="K29" s="134"/>
      <c r="L29" s="135"/>
      <c r="M29" s="135"/>
      <c r="N29" s="135"/>
      <c r="O29" s="135"/>
      <c r="P29" s="135"/>
      <c r="Q29" s="136"/>
      <c r="R29" s="61"/>
      <c r="S29" s="61"/>
      <c r="T29" s="61"/>
      <c r="U29" s="61"/>
    </row>
    <row r="30" spans="1:24" ht="18" customHeight="1" x14ac:dyDescent="0.15">
      <c r="B30" s="134" t="s">
        <v>141</v>
      </c>
      <c r="C30" s="135"/>
      <c r="D30" s="135"/>
      <c r="E30" s="135"/>
      <c r="F30" s="136"/>
      <c r="G30" s="61">
        <v>2</v>
      </c>
      <c r="H30" s="61"/>
      <c r="I30" s="61" t="s">
        <v>137</v>
      </c>
      <c r="J30" s="61" t="s">
        <v>137</v>
      </c>
      <c r="K30" s="134"/>
      <c r="L30" s="135"/>
      <c r="M30" s="135"/>
      <c r="N30" s="135"/>
      <c r="O30" s="135"/>
      <c r="P30" s="135"/>
      <c r="Q30" s="136"/>
      <c r="R30" s="61"/>
      <c r="S30" s="61"/>
      <c r="T30" s="61"/>
      <c r="U30" s="61"/>
    </row>
    <row r="31" spans="1:24" ht="18" customHeight="1" x14ac:dyDescent="0.15">
      <c r="B31" s="134" t="s">
        <v>142</v>
      </c>
      <c r="C31" s="135"/>
      <c r="D31" s="135"/>
      <c r="E31" s="135"/>
      <c r="F31" s="136"/>
      <c r="G31" s="61">
        <v>2</v>
      </c>
      <c r="H31" s="61"/>
      <c r="I31" s="61" t="s">
        <v>137</v>
      </c>
      <c r="J31" s="61" t="s">
        <v>137</v>
      </c>
      <c r="K31" s="134"/>
      <c r="L31" s="135"/>
      <c r="M31" s="135"/>
      <c r="N31" s="135"/>
      <c r="O31" s="135"/>
      <c r="P31" s="135"/>
      <c r="Q31" s="136"/>
      <c r="R31" s="61"/>
      <c r="S31" s="61"/>
      <c r="T31" s="61"/>
      <c r="U31" s="61"/>
    </row>
    <row r="32" spans="1:24" ht="18" customHeight="1" x14ac:dyDescent="0.15">
      <c r="A32" s="3"/>
      <c r="B32" s="134"/>
      <c r="C32" s="135"/>
      <c r="D32" s="135"/>
      <c r="E32" s="135"/>
      <c r="F32" s="136"/>
      <c r="G32" s="61"/>
      <c r="H32" s="61"/>
      <c r="I32" s="61"/>
      <c r="J32" s="61"/>
      <c r="K32" s="134"/>
      <c r="L32" s="135"/>
      <c r="M32" s="135"/>
      <c r="N32" s="135"/>
      <c r="O32" s="135"/>
      <c r="P32" s="135"/>
      <c r="Q32" s="136"/>
      <c r="R32" s="61"/>
      <c r="S32" s="61"/>
      <c r="T32" s="61"/>
      <c r="U32" s="61"/>
    </row>
    <row r="33" spans="1:21" ht="18" customHeight="1" x14ac:dyDescent="0.15">
      <c r="A33" s="3"/>
      <c r="B33" s="140"/>
      <c r="C33" s="141"/>
      <c r="D33" s="141"/>
      <c r="E33" s="141"/>
      <c r="F33" s="142"/>
      <c r="G33" s="63"/>
      <c r="H33" s="63"/>
      <c r="I33" s="62"/>
      <c r="J33" s="62"/>
      <c r="K33" s="140"/>
      <c r="L33" s="141"/>
      <c r="M33" s="141"/>
      <c r="N33" s="141"/>
      <c r="O33" s="141"/>
      <c r="P33" s="141"/>
      <c r="Q33" s="142"/>
      <c r="R33" s="63"/>
      <c r="S33" s="63"/>
      <c r="T33" s="62"/>
      <c r="U33" s="62"/>
    </row>
    <row r="34" spans="1:21" ht="6"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43" t="s">
        <v>102</v>
      </c>
      <c r="B35" s="143"/>
      <c r="C35" s="143"/>
      <c r="D35" s="143"/>
      <c r="E35" s="143"/>
      <c r="F35" s="143"/>
      <c r="G35" s="143"/>
      <c r="H35" s="143"/>
      <c r="I35" s="143"/>
      <c r="J35" s="143"/>
      <c r="K35" s="143"/>
      <c r="L35" s="143"/>
      <c r="M35" s="143"/>
      <c r="N35" s="143"/>
      <c r="O35" s="143"/>
      <c r="P35" s="143"/>
      <c r="Q35" s="143"/>
      <c r="R35" s="143"/>
      <c r="S35" s="143"/>
      <c r="T35" s="143"/>
      <c r="U35" s="143"/>
    </row>
    <row r="36" spans="1:21" ht="15.75" customHeight="1" x14ac:dyDescent="0.15">
      <c r="A36" s="143"/>
      <c r="B36" s="143"/>
      <c r="C36" s="143"/>
      <c r="D36" s="143"/>
      <c r="E36" s="143"/>
      <c r="F36" s="143"/>
      <c r="G36" s="143"/>
      <c r="H36" s="143"/>
      <c r="I36" s="143"/>
      <c r="J36" s="143"/>
      <c r="K36" s="143"/>
      <c r="L36" s="143"/>
      <c r="M36" s="143"/>
      <c r="N36" s="143"/>
      <c r="O36" s="143"/>
      <c r="P36" s="143"/>
      <c r="Q36" s="143"/>
      <c r="R36" s="143"/>
      <c r="S36" s="143"/>
      <c r="T36" s="143"/>
      <c r="U36" s="143"/>
    </row>
    <row r="37" spans="1:21" ht="18" customHeight="1" x14ac:dyDescent="0.15">
      <c r="B37" s="107" t="s">
        <v>51</v>
      </c>
      <c r="C37" s="108"/>
      <c r="D37" s="108"/>
      <c r="E37" s="108"/>
      <c r="F37" s="109"/>
      <c r="G37" s="47" t="s">
        <v>77</v>
      </c>
      <c r="H37" s="48" t="s">
        <v>80</v>
      </c>
      <c r="I37" s="49" t="s">
        <v>68</v>
      </c>
      <c r="J37" s="49" t="s">
        <v>69</v>
      </c>
      <c r="K37" s="107" t="s">
        <v>51</v>
      </c>
      <c r="L37" s="108"/>
      <c r="M37" s="108"/>
      <c r="N37" s="108"/>
      <c r="O37" s="108"/>
      <c r="P37" s="108"/>
      <c r="Q37" s="109"/>
      <c r="R37" s="47" t="s">
        <v>77</v>
      </c>
      <c r="S37" s="48" t="s">
        <v>80</v>
      </c>
      <c r="T37" s="49" t="s">
        <v>68</v>
      </c>
      <c r="U37" s="49" t="s">
        <v>69</v>
      </c>
    </row>
    <row r="38" spans="1:21" ht="18" customHeight="1" x14ac:dyDescent="0.15">
      <c r="B38" s="137" t="s">
        <v>140</v>
      </c>
      <c r="C38" s="138"/>
      <c r="D38" s="138"/>
      <c r="E38" s="138"/>
      <c r="F38" s="139"/>
      <c r="G38" s="60">
        <v>2</v>
      </c>
      <c r="H38" s="60"/>
      <c r="I38" s="60" t="s">
        <v>137</v>
      </c>
      <c r="J38" s="61" t="s">
        <v>137</v>
      </c>
      <c r="K38" s="137" t="s">
        <v>145</v>
      </c>
      <c r="L38" s="138"/>
      <c r="M38" s="138"/>
      <c r="N38" s="138"/>
      <c r="O38" s="138"/>
      <c r="P38" s="138"/>
      <c r="Q38" s="139"/>
      <c r="R38" s="60">
        <v>2</v>
      </c>
      <c r="S38" s="60"/>
      <c r="T38" s="60" t="s">
        <v>137</v>
      </c>
      <c r="U38" s="60"/>
    </row>
    <row r="39" spans="1:21" ht="18" customHeight="1" x14ac:dyDescent="0.15">
      <c r="B39" s="134" t="s">
        <v>138</v>
      </c>
      <c r="C39" s="135"/>
      <c r="D39" s="135"/>
      <c r="E39" s="135"/>
      <c r="F39" s="136"/>
      <c r="G39" s="61">
        <v>1</v>
      </c>
      <c r="H39" s="61" t="s">
        <v>137</v>
      </c>
      <c r="I39" s="61" t="s">
        <v>137</v>
      </c>
      <c r="J39" s="61" t="s">
        <v>137</v>
      </c>
      <c r="K39" s="134" t="s">
        <v>146</v>
      </c>
      <c r="L39" s="135"/>
      <c r="M39" s="135"/>
      <c r="N39" s="135"/>
      <c r="O39" s="135"/>
      <c r="P39" s="135"/>
      <c r="Q39" s="136"/>
      <c r="R39" s="61">
        <v>2</v>
      </c>
      <c r="S39" s="61"/>
      <c r="T39" s="61" t="s">
        <v>137</v>
      </c>
      <c r="U39" s="61" t="s">
        <v>137</v>
      </c>
    </row>
    <row r="40" spans="1:21" ht="18" customHeight="1" x14ac:dyDescent="0.15">
      <c r="B40" s="134" t="s">
        <v>139</v>
      </c>
      <c r="C40" s="135"/>
      <c r="D40" s="135"/>
      <c r="E40" s="135"/>
      <c r="F40" s="136"/>
      <c r="G40" s="61">
        <v>1</v>
      </c>
      <c r="H40" s="61"/>
      <c r="I40" s="61" t="s">
        <v>137</v>
      </c>
      <c r="J40" s="61" t="s">
        <v>137</v>
      </c>
      <c r="K40" s="134"/>
      <c r="L40" s="135"/>
      <c r="M40" s="135"/>
      <c r="N40" s="135"/>
      <c r="O40" s="135"/>
      <c r="P40" s="135"/>
      <c r="Q40" s="136"/>
      <c r="R40" s="61"/>
      <c r="S40" s="61"/>
      <c r="T40" s="61"/>
      <c r="U40" s="61"/>
    </row>
    <row r="41" spans="1:21" ht="18" customHeight="1" x14ac:dyDescent="0.15">
      <c r="B41" s="134" t="s">
        <v>143</v>
      </c>
      <c r="C41" s="135"/>
      <c r="D41" s="135"/>
      <c r="E41" s="135"/>
      <c r="F41" s="136"/>
      <c r="G41" s="61">
        <v>1</v>
      </c>
      <c r="H41" s="61"/>
      <c r="I41" s="61" t="s">
        <v>137</v>
      </c>
      <c r="J41" s="61" t="s">
        <v>137</v>
      </c>
      <c r="K41" s="134"/>
      <c r="L41" s="135"/>
      <c r="M41" s="135"/>
      <c r="N41" s="135"/>
      <c r="O41" s="135"/>
      <c r="P41" s="135"/>
      <c r="Q41" s="136"/>
      <c r="R41" s="61"/>
      <c r="S41" s="61"/>
      <c r="T41" s="61"/>
      <c r="U41" s="61"/>
    </row>
    <row r="42" spans="1:21" ht="18" customHeight="1" x14ac:dyDescent="0.15">
      <c r="B42" s="134" t="s">
        <v>144</v>
      </c>
      <c r="C42" s="135"/>
      <c r="D42" s="135"/>
      <c r="E42" s="135"/>
      <c r="F42" s="136"/>
      <c r="G42" s="61">
        <v>1</v>
      </c>
      <c r="H42" s="61"/>
      <c r="I42" s="61" t="s">
        <v>137</v>
      </c>
      <c r="J42" s="61" t="s">
        <v>137</v>
      </c>
      <c r="K42" s="134"/>
      <c r="L42" s="135"/>
      <c r="M42" s="135"/>
      <c r="N42" s="135"/>
      <c r="O42" s="135"/>
      <c r="P42" s="135"/>
      <c r="Q42" s="136"/>
      <c r="R42" s="61"/>
      <c r="S42" s="61"/>
      <c r="T42" s="61"/>
      <c r="U42" s="61"/>
    </row>
    <row r="43" spans="1:21" ht="18" customHeight="1" x14ac:dyDescent="0.15">
      <c r="B43" s="134" t="s">
        <v>141</v>
      </c>
      <c r="C43" s="135"/>
      <c r="D43" s="135"/>
      <c r="E43" s="135"/>
      <c r="F43" s="136"/>
      <c r="G43" s="61">
        <v>2</v>
      </c>
      <c r="H43" s="61"/>
      <c r="I43" s="61" t="s">
        <v>137</v>
      </c>
      <c r="J43" s="61" t="s">
        <v>137</v>
      </c>
      <c r="K43" s="134"/>
      <c r="L43" s="135"/>
      <c r="M43" s="135"/>
      <c r="N43" s="135"/>
      <c r="O43" s="135"/>
      <c r="P43" s="135"/>
      <c r="Q43" s="136"/>
      <c r="R43" s="61"/>
      <c r="S43" s="61"/>
      <c r="T43" s="61"/>
      <c r="U43" s="61"/>
    </row>
    <row r="44" spans="1:21" ht="18" customHeight="1" x14ac:dyDescent="0.15">
      <c r="B44" s="140" t="s">
        <v>142</v>
      </c>
      <c r="C44" s="141"/>
      <c r="D44" s="141"/>
      <c r="E44" s="141"/>
      <c r="F44" s="142"/>
      <c r="G44" s="63">
        <v>2</v>
      </c>
      <c r="H44" s="63"/>
      <c r="I44" s="62" t="s">
        <v>137</v>
      </c>
      <c r="J44" s="62"/>
      <c r="K44" s="140"/>
      <c r="L44" s="141"/>
      <c r="M44" s="141"/>
      <c r="N44" s="141"/>
      <c r="O44" s="141"/>
      <c r="P44" s="141"/>
      <c r="Q44" s="142"/>
      <c r="R44" s="63"/>
      <c r="S44" s="63"/>
      <c r="T44" s="62"/>
      <c r="U44" s="62"/>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43" t="s">
        <v>103</v>
      </c>
      <c r="B46" s="143"/>
      <c r="C46" s="143"/>
      <c r="D46" s="143"/>
      <c r="E46" s="143"/>
      <c r="F46" s="143"/>
      <c r="G46" s="143"/>
      <c r="H46" s="143"/>
      <c r="I46" s="143"/>
      <c r="J46" s="143"/>
      <c r="K46" s="143"/>
      <c r="L46" s="143"/>
      <c r="M46" s="143"/>
      <c r="N46" s="143"/>
      <c r="O46" s="143"/>
      <c r="P46" s="143"/>
      <c r="Q46" s="143"/>
      <c r="R46" s="143"/>
      <c r="S46" s="143"/>
      <c r="T46" s="143"/>
      <c r="U46" s="143"/>
    </row>
    <row r="47" spans="1:21" ht="18" customHeight="1" x14ac:dyDescent="0.15">
      <c r="A47" s="143"/>
      <c r="B47" s="143"/>
      <c r="C47" s="143"/>
      <c r="D47" s="143"/>
      <c r="E47" s="143"/>
      <c r="F47" s="143"/>
      <c r="G47" s="143"/>
      <c r="H47" s="143"/>
      <c r="I47" s="143"/>
      <c r="J47" s="143"/>
      <c r="K47" s="143"/>
      <c r="L47" s="143"/>
      <c r="M47" s="143"/>
      <c r="N47" s="143"/>
      <c r="O47" s="143"/>
      <c r="P47" s="143"/>
      <c r="Q47" s="143"/>
      <c r="R47" s="143"/>
      <c r="S47" s="143"/>
      <c r="T47" s="143"/>
      <c r="U47" s="143"/>
    </row>
    <row r="48" spans="1:21" ht="18" customHeight="1" x14ac:dyDescent="0.15">
      <c r="B48" s="107" t="s">
        <v>51</v>
      </c>
      <c r="C48" s="108"/>
      <c r="D48" s="108"/>
      <c r="E48" s="108"/>
      <c r="F48" s="109"/>
      <c r="G48" s="47" t="s">
        <v>77</v>
      </c>
      <c r="H48" s="48" t="s">
        <v>80</v>
      </c>
      <c r="I48" s="49" t="s">
        <v>70</v>
      </c>
      <c r="J48" s="49" t="s">
        <v>71</v>
      </c>
      <c r="K48" s="107" t="s">
        <v>51</v>
      </c>
      <c r="L48" s="108"/>
      <c r="M48" s="108"/>
      <c r="N48" s="108"/>
      <c r="O48" s="108"/>
      <c r="P48" s="108"/>
      <c r="Q48" s="109"/>
      <c r="R48" s="47" t="s">
        <v>77</v>
      </c>
      <c r="S48" s="48" t="s">
        <v>80</v>
      </c>
      <c r="T48" s="49" t="s">
        <v>70</v>
      </c>
      <c r="U48" s="49" t="s">
        <v>71</v>
      </c>
    </row>
    <row r="49" spans="1:21" ht="18" customHeight="1" x14ac:dyDescent="0.15">
      <c r="A49" s="3"/>
      <c r="B49" s="137" t="s">
        <v>140</v>
      </c>
      <c r="C49" s="138"/>
      <c r="D49" s="138"/>
      <c r="E49" s="138"/>
      <c r="F49" s="139"/>
      <c r="G49" s="60">
        <v>2</v>
      </c>
      <c r="H49" s="60"/>
      <c r="I49" s="60" t="s">
        <v>137</v>
      </c>
      <c r="J49" s="61" t="s">
        <v>137</v>
      </c>
      <c r="K49" s="137" t="s">
        <v>147</v>
      </c>
      <c r="L49" s="138"/>
      <c r="M49" s="138"/>
      <c r="N49" s="138"/>
      <c r="O49" s="138"/>
      <c r="P49" s="138"/>
      <c r="Q49" s="139"/>
      <c r="R49" s="60">
        <v>2</v>
      </c>
      <c r="S49" s="60"/>
      <c r="T49" s="60" t="s">
        <v>137</v>
      </c>
      <c r="U49" s="60"/>
    </row>
    <row r="50" spans="1:21" ht="18" customHeight="1" x14ac:dyDescent="0.15">
      <c r="A50" s="3"/>
      <c r="B50" s="134" t="s">
        <v>138</v>
      </c>
      <c r="C50" s="135"/>
      <c r="D50" s="135"/>
      <c r="E50" s="135"/>
      <c r="F50" s="136"/>
      <c r="G50" s="61">
        <v>1</v>
      </c>
      <c r="H50" s="61" t="s">
        <v>137</v>
      </c>
      <c r="I50" s="61" t="s">
        <v>137</v>
      </c>
      <c r="J50" s="61" t="s">
        <v>137</v>
      </c>
      <c r="K50" s="134" t="s">
        <v>146</v>
      </c>
      <c r="L50" s="135"/>
      <c r="M50" s="135"/>
      <c r="N50" s="135"/>
      <c r="O50" s="135"/>
      <c r="P50" s="135"/>
      <c r="Q50" s="136"/>
      <c r="R50" s="61">
        <v>2</v>
      </c>
      <c r="S50" s="61"/>
      <c r="T50" s="61"/>
      <c r="U50" s="61" t="s">
        <v>137</v>
      </c>
    </row>
    <row r="51" spans="1:21" ht="18" customHeight="1" x14ac:dyDescent="0.15">
      <c r="A51" s="3"/>
      <c r="B51" s="134" t="s">
        <v>139</v>
      </c>
      <c r="C51" s="135"/>
      <c r="D51" s="135"/>
      <c r="E51" s="135"/>
      <c r="F51" s="136"/>
      <c r="G51" s="61">
        <v>1</v>
      </c>
      <c r="H51" s="61"/>
      <c r="I51" s="61" t="s">
        <v>137</v>
      </c>
      <c r="J51" s="61" t="s">
        <v>137</v>
      </c>
      <c r="K51" s="134"/>
      <c r="L51" s="135"/>
      <c r="M51" s="135"/>
      <c r="N51" s="135"/>
      <c r="O51" s="135"/>
      <c r="P51" s="135"/>
      <c r="Q51" s="136"/>
      <c r="R51" s="61"/>
      <c r="S51" s="61"/>
      <c r="T51" s="61"/>
      <c r="U51" s="61"/>
    </row>
    <row r="52" spans="1:21" ht="18" customHeight="1" x14ac:dyDescent="0.15">
      <c r="A52" s="3"/>
      <c r="B52" s="134" t="s">
        <v>143</v>
      </c>
      <c r="C52" s="135"/>
      <c r="D52" s="135"/>
      <c r="E52" s="135"/>
      <c r="F52" s="136"/>
      <c r="G52" s="61">
        <v>1</v>
      </c>
      <c r="H52" s="61"/>
      <c r="I52" s="61" t="s">
        <v>137</v>
      </c>
      <c r="J52" s="61" t="s">
        <v>137</v>
      </c>
      <c r="K52" s="134"/>
      <c r="L52" s="135"/>
      <c r="M52" s="135"/>
      <c r="N52" s="135"/>
      <c r="O52" s="135"/>
      <c r="P52" s="135"/>
      <c r="Q52" s="136"/>
      <c r="R52" s="61"/>
      <c r="S52" s="61"/>
      <c r="T52" s="61"/>
      <c r="U52" s="61"/>
    </row>
    <row r="53" spans="1:21" ht="18" customHeight="1" x14ac:dyDescent="0.15">
      <c r="A53" s="3"/>
      <c r="B53" s="134" t="s">
        <v>144</v>
      </c>
      <c r="C53" s="135"/>
      <c r="D53" s="135"/>
      <c r="E53" s="135"/>
      <c r="F53" s="136"/>
      <c r="G53" s="61">
        <v>1</v>
      </c>
      <c r="H53" s="61"/>
      <c r="I53" s="61" t="s">
        <v>137</v>
      </c>
      <c r="J53" s="61" t="s">
        <v>137</v>
      </c>
      <c r="K53" s="134"/>
      <c r="L53" s="135"/>
      <c r="M53" s="135"/>
      <c r="N53" s="135"/>
      <c r="O53" s="135"/>
      <c r="P53" s="135"/>
      <c r="Q53" s="136"/>
      <c r="R53" s="61"/>
      <c r="S53" s="61"/>
      <c r="T53" s="61"/>
      <c r="U53" s="61"/>
    </row>
    <row r="54" spans="1:21" ht="18" customHeight="1" x14ac:dyDescent="0.15">
      <c r="A54" s="3"/>
      <c r="B54" s="134" t="s">
        <v>142</v>
      </c>
      <c r="C54" s="135"/>
      <c r="D54" s="135"/>
      <c r="E54" s="135"/>
      <c r="F54" s="136"/>
      <c r="G54" s="61">
        <v>2</v>
      </c>
      <c r="H54" s="61"/>
      <c r="I54" s="61" t="s">
        <v>137</v>
      </c>
      <c r="J54" s="61"/>
      <c r="K54" s="134"/>
      <c r="L54" s="135"/>
      <c r="M54" s="135"/>
      <c r="N54" s="135"/>
      <c r="O54" s="135"/>
      <c r="P54" s="135"/>
      <c r="Q54" s="136"/>
      <c r="R54" s="61"/>
      <c r="S54" s="61"/>
      <c r="T54" s="61"/>
      <c r="U54" s="61"/>
    </row>
    <row r="55" spans="1:21" ht="18" customHeight="1" x14ac:dyDescent="0.15">
      <c r="A55" s="3"/>
      <c r="B55" s="140"/>
      <c r="C55" s="141"/>
      <c r="D55" s="141"/>
      <c r="E55" s="141"/>
      <c r="F55" s="142"/>
      <c r="G55" s="63"/>
      <c r="H55" s="63"/>
      <c r="I55" s="62"/>
      <c r="J55" s="62"/>
      <c r="K55" s="140"/>
      <c r="L55" s="141"/>
      <c r="M55" s="141"/>
      <c r="N55" s="141"/>
      <c r="O55" s="141"/>
      <c r="P55" s="141"/>
      <c r="Q55" s="142"/>
      <c r="R55" s="63"/>
      <c r="S55" s="63"/>
      <c r="T55" s="62"/>
      <c r="U55" s="62"/>
    </row>
    <row r="56" spans="1:21" ht="7.5" customHeight="1" x14ac:dyDescent="0.15">
      <c r="B56" s="8"/>
      <c r="C56" s="8"/>
      <c r="D56" s="8"/>
      <c r="E56" s="8"/>
      <c r="F56" s="8"/>
      <c r="G56" s="8"/>
      <c r="H56" s="8"/>
      <c r="I56" s="8"/>
      <c r="J56" s="8"/>
      <c r="K56" s="8"/>
      <c r="L56" s="8"/>
      <c r="M56" s="8"/>
      <c r="N56" s="8"/>
      <c r="O56" s="8"/>
      <c r="P56" s="8"/>
      <c r="Q56" s="8"/>
      <c r="R56" s="8"/>
      <c r="S56" s="8"/>
      <c r="T56" s="8"/>
    </row>
    <row r="57" spans="1:21" ht="18" customHeight="1" x14ac:dyDescent="0.15">
      <c r="A57" s="143" t="s">
        <v>104</v>
      </c>
      <c r="B57" s="143"/>
      <c r="C57" s="143"/>
      <c r="D57" s="143"/>
      <c r="E57" s="143"/>
      <c r="F57" s="143"/>
      <c r="G57" s="143"/>
      <c r="H57" s="143"/>
      <c r="I57" s="143"/>
      <c r="J57" s="143"/>
      <c r="K57" s="143"/>
      <c r="L57" s="143"/>
      <c r="M57" s="143"/>
      <c r="N57" s="143"/>
      <c r="O57" s="143"/>
      <c r="P57" s="143"/>
      <c r="Q57" s="143"/>
      <c r="R57" s="143"/>
      <c r="S57" s="143"/>
      <c r="T57" s="143"/>
      <c r="U57" s="143"/>
    </row>
    <row r="58" spans="1:21" ht="18" customHeight="1" x14ac:dyDescent="0.15">
      <c r="A58" s="143"/>
      <c r="B58" s="143"/>
      <c r="C58" s="143"/>
      <c r="D58" s="143"/>
      <c r="E58" s="143"/>
      <c r="F58" s="143"/>
      <c r="G58" s="143"/>
      <c r="H58" s="143"/>
      <c r="I58" s="143"/>
      <c r="J58" s="143"/>
      <c r="K58" s="143"/>
      <c r="L58" s="143"/>
      <c r="M58" s="143"/>
      <c r="N58" s="143"/>
      <c r="O58" s="143"/>
      <c r="P58" s="143"/>
      <c r="Q58" s="143"/>
      <c r="R58" s="143"/>
      <c r="S58" s="143"/>
      <c r="T58" s="143"/>
      <c r="U58" s="143"/>
    </row>
    <row r="59" spans="1:21" ht="18" customHeight="1" x14ac:dyDescent="0.15">
      <c r="B59" s="107" t="s">
        <v>51</v>
      </c>
      <c r="C59" s="108"/>
      <c r="D59" s="108"/>
      <c r="E59" s="108"/>
      <c r="F59" s="109"/>
      <c r="G59" s="47" t="s">
        <v>77</v>
      </c>
      <c r="H59" s="48" t="s">
        <v>80</v>
      </c>
      <c r="I59" s="49" t="s">
        <v>56</v>
      </c>
      <c r="J59" s="49" t="s">
        <v>58</v>
      </c>
      <c r="K59" s="107" t="s">
        <v>51</v>
      </c>
      <c r="L59" s="108"/>
      <c r="M59" s="108"/>
      <c r="N59" s="108"/>
      <c r="O59" s="108"/>
      <c r="P59" s="108"/>
      <c r="Q59" s="109"/>
      <c r="R59" s="47" t="s">
        <v>77</v>
      </c>
      <c r="S59" s="48" t="s">
        <v>80</v>
      </c>
      <c r="T59" s="49" t="s">
        <v>56</v>
      </c>
      <c r="U59" s="49" t="s">
        <v>58</v>
      </c>
    </row>
    <row r="60" spans="1:21" ht="18" customHeight="1" x14ac:dyDescent="0.15">
      <c r="A60" s="3"/>
      <c r="B60" s="131" t="s">
        <v>140</v>
      </c>
      <c r="C60" s="132"/>
      <c r="D60" s="132"/>
      <c r="E60" s="132"/>
      <c r="F60" s="133"/>
      <c r="G60" s="65">
        <v>2</v>
      </c>
      <c r="H60" s="65"/>
      <c r="I60" s="65" t="s">
        <v>137</v>
      </c>
      <c r="J60" s="66" t="s">
        <v>137</v>
      </c>
      <c r="K60" s="131" t="s">
        <v>185</v>
      </c>
      <c r="L60" s="132"/>
      <c r="M60" s="132"/>
      <c r="N60" s="132"/>
      <c r="O60" s="132"/>
      <c r="P60" s="132"/>
      <c r="Q60" s="133"/>
      <c r="R60" s="65">
        <v>2</v>
      </c>
      <c r="S60" s="65"/>
      <c r="T60" s="65" t="s">
        <v>137</v>
      </c>
      <c r="U60" s="60"/>
    </row>
    <row r="61" spans="1:21" ht="18" customHeight="1" x14ac:dyDescent="0.15">
      <c r="A61" s="3"/>
      <c r="B61" s="125" t="s">
        <v>138</v>
      </c>
      <c r="C61" s="126"/>
      <c r="D61" s="126"/>
      <c r="E61" s="126"/>
      <c r="F61" s="127"/>
      <c r="G61" s="66">
        <v>1</v>
      </c>
      <c r="H61" s="66" t="s">
        <v>137</v>
      </c>
      <c r="I61" s="66" t="s">
        <v>137</v>
      </c>
      <c r="J61" s="66" t="s">
        <v>137</v>
      </c>
      <c r="K61" s="125"/>
      <c r="L61" s="126"/>
      <c r="M61" s="126"/>
      <c r="N61" s="126"/>
      <c r="O61" s="126"/>
      <c r="P61" s="126"/>
      <c r="Q61" s="127"/>
      <c r="R61" s="66"/>
      <c r="S61" s="66"/>
      <c r="T61" s="66"/>
      <c r="U61" s="61"/>
    </row>
    <row r="62" spans="1:21" ht="18" customHeight="1" x14ac:dyDescent="0.15">
      <c r="A62" s="3"/>
      <c r="B62" s="125" t="s">
        <v>139</v>
      </c>
      <c r="C62" s="126"/>
      <c r="D62" s="126"/>
      <c r="E62" s="126"/>
      <c r="F62" s="127"/>
      <c r="G62" s="66">
        <v>1</v>
      </c>
      <c r="H62" s="66"/>
      <c r="I62" s="66" t="s">
        <v>137</v>
      </c>
      <c r="J62" s="66" t="s">
        <v>137</v>
      </c>
      <c r="K62" s="125"/>
      <c r="L62" s="126"/>
      <c r="M62" s="126"/>
      <c r="N62" s="126"/>
      <c r="O62" s="126"/>
      <c r="P62" s="126"/>
      <c r="Q62" s="127"/>
      <c r="R62" s="66"/>
      <c r="S62" s="66"/>
      <c r="T62" s="66"/>
      <c r="U62" s="61"/>
    </row>
    <row r="63" spans="1:21" ht="18" customHeight="1" x14ac:dyDescent="0.15">
      <c r="A63" s="3"/>
      <c r="B63" s="125" t="s">
        <v>141</v>
      </c>
      <c r="C63" s="126"/>
      <c r="D63" s="126"/>
      <c r="E63" s="126"/>
      <c r="F63" s="127"/>
      <c r="G63" s="66">
        <v>2</v>
      </c>
      <c r="H63" s="66"/>
      <c r="I63" s="66" t="s">
        <v>137</v>
      </c>
      <c r="J63" s="66" t="s">
        <v>137</v>
      </c>
      <c r="K63" s="125"/>
      <c r="L63" s="126"/>
      <c r="M63" s="126"/>
      <c r="N63" s="126"/>
      <c r="O63" s="126"/>
      <c r="P63" s="126"/>
      <c r="Q63" s="127"/>
      <c r="R63" s="66"/>
      <c r="S63" s="66"/>
      <c r="T63" s="66"/>
      <c r="U63" s="61"/>
    </row>
    <row r="64" spans="1:21" ht="18" customHeight="1" x14ac:dyDescent="0.15">
      <c r="A64" s="3"/>
      <c r="B64" s="125" t="s">
        <v>147</v>
      </c>
      <c r="C64" s="126"/>
      <c r="D64" s="126"/>
      <c r="E64" s="126"/>
      <c r="F64" s="127"/>
      <c r="G64" s="66">
        <v>2</v>
      </c>
      <c r="H64" s="66"/>
      <c r="I64" s="66" t="s">
        <v>137</v>
      </c>
      <c r="J64" s="66"/>
      <c r="K64" s="125"/>
      <c r="L64" s="126"/>
      <c r="M64" s="126"/>
      <c r="N64" s="126"/>
      <c r="O64" s="126"/>
      <c r="P64" s="126"/>
      <c r="Q64" s="127"/>
      <c r="R64" s="66"/>
      <c r="S64" s="66"/>
      <c r="T64" s="66"/>
      <c r="U64" s="61"/>
    </row>
    <row r="65" spans="1:21" ht="18" customHeight="1" x14ac:dyDescent="0.15">
      <c r="A65" s="3"/>
      <c r="B65" s="125" t="s">
        <v>160</v>
      </c>
      <c r="C65" s="126"/>
      <c r="D65" s="126"/>
      <c r="E65" s="126"/>
      <c r="F65" s="127"/>
      <c r="G65" s="66">
        <v>2</v>
      </c>
      <c r="H65" s="66"/>
      <c r="I65" s="66"/>
      <c r="J65" s="66" t="s">
        <v>137</v>
      </c>
      <c r="K65" s="125"/>
      <c r="L65" s="126"/>
      <c r="M65" s="126"/>
      <c r="N65" s="126"/>
      <c r="O65" s="126"/>
      <c r="P65" s="126"/>
      <c r="Q65" s="127"/>
      <c r="R65" s="66"/>
      <c r="S65" s="66"/>
      <c r="T65" s="66"/>
      <c r="U65" s="61"/>
    </row>
    <row r="66" spans="1:21" ht="18" customHeight="1" x14ac:dyDescent="0.15">
      <c r="A66" s="3"/>
      <c r="B66" s="128" t="s">
        <v>172</v>
      </c>
      <c r="C66" s="129"/>
      <c r="D66" s="129"/>
      <c r="E66" s="129"/>
      <c r="F66" s="130"/>
      <c r="G66" s="67">
        <v>2</v>
      </c>
      <c r="H66" s="67"/>
      <c r="I66" s="68" t="s">
        <v>137</v>
      </c>
      <c r="J66" s="68" t="s">
        <v>137</v>
      </c>
      <c r="K66" s="128"/>
      <c r="L66" s="129"/>
      <c r="M66" s="129"/>
      <c r="N66" s="129"/>
      <c r="O66" s="129"/>
      <c r="P66" s="129"/>
      <c r="Q66" s="130"/>
      <c r="R66" s="67"/>
      <c r="S66" s="67"/>
      <c r="T66" s="68"/>
      <c r="U66" s="62"/>
    </row>
    <row r="67" spans="1:21" ht="7.5" customHeight="1" x14ac:dyDescent="0.15">
      <c r="B67" s="8"/>
      <c r="C67" s="8"/>
      <c r="D67" s="8"/>
      <c r="E67" s="8"/>
      <c r="F67" s="8"/>
      <c r="G67" s="8"/>
      <c r="H67" s="8"/>
      <c r="I67" s="8"/>
      <c r="J67" s="8"/>
      <c r="K67" s="8"/>
      <c r="L67" s="8"/>
      <c r="M67" s="8"/>
      <c r="N67" s="8"/>
      <c r="O67" s="8"/>
      <c r="P67" s="8"/>
      <c r="Q67" s="8"/>
      <c r="R67" s="8"/>
      <c r="S67" s="8"/>
      <c r="T67" s="8"/>
    </row>
    <row r="68" spans="1:21" ht="18" customHeight="1" x14ac:dyDescent="0.15">
      <c r="A68" s="143" t="s">
        <v>105</v>
      </c>
      <c r="B68" s="143"/>
      <c r="C68" s="143"/>
      <c r="D68" s="143"/>
      <c r="E68" s="143"/>
      <c r="F68" s="143"/>
      <c r="G68" s="143"/>
      <c r="H68" s="143"/>
      <c r="I68" s="143"/>
      <c r="J68" s="143"/>
      <c r="K68" s="143"/>
      <c r="L68" s="143"/>
      <c r="M68" s="143"/>
      <c r="N68" s="143"/>
      <c r="O68" s="143"/>
      <c r="P68" s="143"/>
      <c r="Q68" s="143"/>
      <c r="R68" s="143"/>
      <c r="S68" s="143"/>
      <c r="T68" s="143"/>
      <c r="U68" s="143"/>
    </row>
    <row r="69" spans="1:21" ht="18" customHeight="1" x14ac:dyDescent="0.15">
      <c r="A69" s="143"/>
      <c r="B69" s="143"/>
      <c r="C69" s="143"/>
      <c r="D69" s="143"/>
      <c r="E69" s="143"/>
      <c r="F69" s="143"/>
      <c r="G69" s="143"/>
      <c r="H69" s="143"/>
      <c r="I69" s="143"/>
      <c r="J69" s="143"/>
      <c r="K69" s="143"/>
      <c r="L69" s="143"/>
      <c r="M69" s="143"/>
      <c r="N69" s="143"/>
      <c r="O69" s="143"/>
      <c r="P69" s="143"/>
      <c r="Q69" s="143"/>
      <c r="R69" s="143"/>
      <c r="S69" s="143"/>
      <c r="T69" s="143"/>
      <c r="U69" s="143"/>
    </row>
    <row r="70" spans="1:21" ht="18" customHeight="1" x14ac:dyDescent="0.15">
      <c r="B70" s="107" t="s">
        <v>51</v>
      </c>
      <c r="C70" s="108"/>
      <c r="D70" s="108"/>
      <c r="E70" s="108"/>
      <c r="F70" s="47" t="s">
        <v>77</v>
      </c>
      <c r="G70" s="48" t="s">
        <v>80</v>
      </c>
      <c r="H70" s="49" t="s">
        <v>92</v>
      </c>
      <c r="I70" s="49" t="s">
        <v>72</v>
      </c>
      <c r="J70" s="49" t="s">
        <v>73</v>
      </c>
      <c r="K70" s="107" t="s">
        <v>51</v>
      </c>
      <c r="L70" s="108"/>
      <c r="M70" s="108"/>
      <c r="N70" s="108"/>
      <c r="O70" s="108"/>
      <c r="P70" s="109"/>
      <c r="Q70" s="47" t="s">
        <v>77</v>
      </c>
      <c r="R70" s="48" t="s">
        <v>80</v>
      </c>
      <c r="S70" s="49" t="s">
        <v>92</v>
      </c>
      <c r="T70" s="49" t="s">
        <v>72</v>
      </c>
      <c r="U70" s="49" t="s">
        <v>73</v>
      </c>
    </row>
    <row r="71" spans="1:21" ht="18" customHeight="1" x14ac:dyDescent="0.15">
      <c r="A71" s="3"/>
      <c r="B71" s="137" t="s">
        <v>140</v>
      </c>
      <c r="C71" s="138"/>
      <c r="D71" s="138"/>
      <c r="E71" s="139"/>
      <c r="F71" s="60">
        <v>2</v>
      </c>
      <c r="G71" s="60"/>
      <c r="H71" s="60" t="s">
        <v>137</v>
      </c>
      <c r="I71" s="60" t="s">
        <v>137</v>
      </c>
      <c r="J71" s="60" t="s">
        <v>137</v>
      </c>
      <c r="K71" s="137" t="s">
        <v>152</v>
      </c>
      <c r="L71" s="138"/>
      <c r="M71" s="138"/>
      <c r="N71" s="138"/>
      <c r="O71" s="138"/>
      <c r="P71" s="139"/>
      <c r="Q71" s="60">
        <v>2</v>
      </c>
      <c r="R71" s="60"/>
      <c r="S71" s="60" t="s">
        <v>137</v>
      </c>
      <c r="T71" s="60"/>
      <c r="U71" s="60"/>
    </row>
    <row r="72" spans="1:21" ht="18" customHeight="1" x14ac:dyDescent="0.15">
      <c r="A72" s="3"/>
      <c r="B72" s="134" t="s">
        <v>138</v>
      </c>
      <c r="C72" s="135"/>
      <c r="D72" s="135"/>
      <c r="E72" s="136"/>
      <c r="F72" s="61">
        <v>1</v>
      </c>
      <c r="G72" s="61" t="s">
        <v>137</v>
      </c>
      <c r="H72" s="61" t="s">
        <v>137</v>
      </c>
      <c r="I72" s="61" t="s">
        <v>137</v>
      </c>
      <c r="J72" s="61" t="s">
        <v>137</v>
      </c>
      <c r="K72" s="134" t="s">
        <v>145</v>
      </c>
      <c r="L72" s="135"/>
      <c r="M72" s="135"/>
      <c r="N72" s="135"/>
      <c r="O72" s="135"/>
      <c r="P72" s="136"/>
      <c r="Q72" s="61">
        <v>1</v>
      </c>
      <c r="R72" s="61"/>
      <c r="S72" s="61" t="s">
        <v>137</v>
      </c>
      <c r="T72" s="61" t="s">
        <v>137</v>
      </c>
      <c r="U72" s="61"/>
    </row>
    <row r="73" spans="1:21" ht="18" customHeight="1" x14ac:dyDescent="0.15">
      <c r="A73" s="3"/>
      <c r="B73" s="134" t="s">
        <v>139</v>
      </c>
      <c r="C73" s="135"/>
      <c r="D73" s="135"/>
      <c r="E73" s="136"/>
      <c r="F73" s="61">
        <v>1</v>
      </c>
      <c r="G73" s="61"/>
      <c r="H73" s="61" t="s">
        <v>137</v>
      </c>
      <c r="I73" s="61" t="s">
        <v>137</v>
      </c>
      <c r="J73" s="61" t="s">
        <v>137</v>
      </c>
      <c r="K73" s="134"/>
      <c r="L73" s="135"/>
      <c r="M73" s="135"/>
      <c r="N73" s="135"/>
      <c r="O73" s="135"/>
      <c r="P73" s="136"/>
      <c r="Q73" s="61"/>
      <c r="R73" s="61"/>
      <c r="S73" s="61"/>
      <c r="T73" s="61"/>
      <c r="U73" s="61"/>
    </row>
    <row r="74" spans="1:21" ht="18" customHeight="1" x14ac:dyDescent="0.15">
      <c r="A74" s="3"/>
      <c r="B74" s="134" t="s">
        <v>148</v>
      </c>
      <c r="C74" s="135"/>
      <c r="D74" s="135"/>
      <c r="E74" s="135"/>
      <c r="F74" s="61">
        <v>2</v>
      </c>
      <c r="G74" s="61"/>
      <c r="H74" s="61" t="s">
        <v>137</v>
      </c>
      <c r="I74" s="61" t="s">
        <v>137</v>
      </c>
      <c r="J74" s="61"/>
      <c r="K74" s="134"/>
      <c r="L74" s="135"/>
      <c r="M74" s="135"/>
      <c r="N74" s="135"/>
      <c r="O74" s="135"/>
      <c r="P74" s="136"/>
      <c r="Q74" s="61"/>
      <c r="R74" s="61"/>
      <c r="S74" s="61"/>
      <c r="T74" s="61"/>
      <c r="U74" s="61"/>
    </row>
    <row r="75" spans="1:21" ht="18" customHeight="1" x14ac:dyDescent="0.15">
      <c r="A75" s="3"/>
      <c r="B75" s="134" t="s">
        <v>143</v>
      </c>
      <c r="C75" s="135"/>
      <c r="D75" s="135"/>
      <c r="E75" s="135"/>
      <c r="F75" s="61">
        <v>1</v>
      </c>
      <c r="G75" s="61"/>
      <c r="H75" s="61" t="s">
        <v>137</v>
      </c>
      <c r="I75" s="61" t="s">
        <v>137</v>
      </c>
      <c r="J75" s="61" t="s">
        <v>137</v>
      </c>
      <c r="K75" s="134"/>
      <c r="L75" s="135"/>
      <c r="M75" s="135"/>
      <c r="N75" s="135"/>
      <c r="O75" s="135"/>
      <c r="P75" s="136"/>
      <c r="Q75" s="61"/>
      <c r="R75" s="61"/>
      <c r="S75" s="61"/>
      <c r="T75" s="61"/>
      <c r="U75" s="61"/>
    </row>
    <row r="76" spans="1:21" ht="18" customHeight="1" x14ac:dyDescent="0.15">
      <c r="A76" s="3"/>
      <c r="B76" s="134" t="s">
        <v>150</v>
      </c>
      <c r="C76" s="135"/>
      <c r="D76" s="135"/>
      <c r="E76" s="135"/>
      <c r="F76" s="61">
        <v>2</v>
      </c>
      <c r="G76" s="61"/>
      <c r="H76" s="61" t="s">
        <v>137</v>
      </c>
      <c r="I76" s="61" t="s">
        <v>137</v>
      </c>
      <c r="J76" s="61" t="s">
        <v>137</v>
      </c>
      <c r="K76" s="134"/>
      <c r="L76" s="135"/>
      <c r="M76" s="135"/>
      <c r="N76" s="135"/>
      <c r="O76" s="135"/>
      <c r="P76" s="136"/>
      <c r="Q76" s="61"/>
      <c r="R76" s="61"/>
      <c r="S76" s="61"/>
      <c r="T76" s="61"/>
      <c r="U76" s="61"/>
    </row>
    <row r="77" spans="1:21" ht="18" customHeight="1" x14ac:dyDescent="0.15">
      <c r="A77" s="3"/>
      <c r="B77" s="140" t="s">
        <v>151</v>
      </c>
      <c r="C77" s="141"/>
      <c r="D77" s="141"/>
      <c r="E77" s="141"/>
      <c r="F77" s="62">
        <v>2</v>
      </c>
      <c r="G77" s="62"/>
      <c r="H77" s="62" t="s">
        <v>137</v>
      </c>
      <c r="I77" s="62"/>
      <c r="J77" s="62"/>
      <c r="K77" s="140"/>
      <c r="L77" s="141"/>
      <c r="M77" s="141"/>
      <c r="N77" s="141"/>
      <c r="O77" s="141"/>
      <c r="P77" s="142"/>
      <c r="Q77" s="63"/>
      <c r="R77" s="63"/>
      <c r="S77" s="62"/>
      <c r="T77" s="62"/>
      <c r="U77" s="62"/>
    </row>
    <row r="78" spans="1:21" ht="7.5" customHeight="1" x14ac:dyDescent="0.15">
      <c r="B78" s="8"/>
      <c r="C78" s="8"/>
      <c r="D78" s="8"/>
      <c r="E78" s="8"/>
      <c r="F78" s="8"/>
      <c r="G78" s="8"/>
      <c r="H78" s="8"/>
      <c r="I78" s="8"/>
      <c r="J78" s="8"/>
      <c r="K78" s="8"/>
      <c r="L78" s="8"/>
      <c r="M78" s="8"/>
      <c r="N78" s="8"/>
      <c r="O78" s="8"/>
      <c r="P78" s="8"/>
      <c r="Q78" s="8"/>
      <c r="R78" s="8"/>
      <c r="S78" s="8"/>
      <c r="T78" s="8"/>
    </row>
    <row r="79" spans="1:21" ht="18" customHeight="1" x14ac:dyDescent="0.15">
      <c r="A79" s="1" t="s">
        <v>106</v>
      </c>
      <c r="I79" s="3"/>
      <c r="J79" s="3"/>
      <c r="K79" s="3"/>
      <c r="L79" s="3"/>
      <c r="M79" s="3"/>
      <c r="N79" s="3"/>
      <c r="O79" s="3"/>
      <c r="P79" s="3"/>
      <c r="Q79" s="3"/>
      <c r="R79" s="3"/>
      <c r="S79" s="3"/>
      <c r="T79" s="3"/>
      <c r="U79" s="3"/>
    </row>
    <row r="80" spans="1:21" ht="18" customHeight="1" x14ac:dyDescent="0.15">
      <c r="B80" s="107" t="s">
        <v>51</v>
      </c>
      <c r="C80" s="108"/>
      <c r="D80" s="108"/>
      <c r="E80" s="108"/>
      <c r="F80" s="109"/>
      <c r="G80" s="107" t="s">
        <v>78</v>
      </c>
      <c r="H80" s="108"/>
      <c r="I80" s="108"/>
      <c r="J80" s="109"/>
      <c r="K80" s="173" t="s">
        <v>51</v>
      </c>
      <c r="L80" s="174"/>
      <c r="M80" s="174"/>
      <c r="N80" s="174"/>
      <c r="O80" s="174"/>
      <c r="P80" s="174"/>
      <c r="Q80" s="175"/>
      <c r="R80" s="107" t="s">
        <v>78</v>
      </c>
      <c r="S80" s="108"/>
      <c r="T80" s="108"/>
      <c r="U80" s="109"/>
    </row>
    <row r="81" spans="1:21" ht="18" customHeight="1" x14ac:dyDescent="0.15">
      <c r="A81" s="3"/>
      <c r="B81" s="125" t="s">
        <v>153</v>
      </c>
      <c r="C81" s="126"/>
      <c r="D81" s="126"/>
      <c r="E81" s="126"/>
      <c r="F81" s="127"/>
      <c r="G81" s="165" t="s">
        <v>155</v>
      </c>
      <c r="H81" s="166"/>
      <c r="I81" s="166"/>
      <c r="J81" s="167"/>
      <c r="K81" s="125" t="s">
        <v>154</v>
      </c>
      <c r="L81" s="126"/>
      <c r="M81" s="126"/>
      <c r="N81" s="126"/>
      <c r="O81" s="126"/>
      <c r="P81" s="126"/>
      <c r="Q81" s="127"/>
      <c r="R81" s="165" t="s">
        <v>157</v>
      </c>
      <c r="S81" s="166"/>
      <c r="T81" s="166"/>
      <c r="U81" s="167"/>
    </row>
    <row r="82" spans="1:21" ht="18" customHeight="1" x14ac:dyDescent="0.15">
      <c r="A82" s="3"/>
      <c r="B82" s="125" t="s">
        <v>142</v>
      </c>
      <c r="C82" s="126"/>
      <c r="D82" s="126"/>
      <c r="E82" s="126"/>
      <c r="F82" s="127"/>
      <c r="G82" s="165" t="s">
        <v>183</v>
      </c>
      <c r="H82" s="166"/>
      <c r="I82" s="166"/>
      <c r="J82" s="167"/>
      <c r="K82" s="125" t="s">
        <v>149</v>
      </c>
      <c r="L82" s="126"/>
      <c r="M82" s="126"/>
      <c r="N82" s="126"/>
      <c r="O82" s="126"/>
      <c r="P82" s="126"/>
      <c r="Q82" s="127"/>
      <c r="R82" s="165" t="s">
        <v>158</v>
      </c>
      <c r="S82" s="166"/>
      <c r="T82" s="166"/>
      <c r="U82" s="167"/>
    </row>
    <row r="83" spans="1:21" ht="18" customHeight="1" x14ac:dyDescent="0.15">
      <c r="A83" s="3"/>
      <c r="B83" s="125" t="s">
        <v>154</v>
      </c>
      <c r="C83" s="126"/>
      <c r="D83" s="126"/>
      <c r="E83" s="126"/>
      <c r="F83" s="127"/>
      <c r="G83" s="165" t="s">
        <v>170</v>
      </c>
      <c r="H83" s="166"/>
      <c r="I83" s="166"/>
      <c r="J83" s="167"/>
      <c r="K83" s="125" t="s">
        <v>147</v>
      </c>
      <c r="L83" s="126"/>
      <c r="M83" s="126"/>
      <c r="N83" s="126"/>
      <c r="O83" s="126"/>
      <c r="P83" s="126"/>
      <c r="Q83" s="127"/>
      <c r="R83" s="165" t="s">
        <v>158</v>
      </c>
      <c r="S83" s="166"/>
      <c r="T83" s="166"/>
      <c r="U83" s="167"/>
    </row>
    <row r="84" spans="1:21" ht="18" customHeight="1" x14ac:dyDescent="0.15">
      <c r="A84" s="3"/>
      <c r="B84" s="125" t="s">
        <v>171</v>
      </c>
      <c r="C84" s="126"/>
      <c r="D84" s="126"/>
      <c r="E84" s="126"/>
      <c r="F84" s="127"/>
      <c r="G84" s="165" t="s">
        <v>184</v>
      </c>
      <c r="H84" s="166"/>
      <c r="I84" s="166"/>
      <c r="J84" s="167"/>
      <c r="K84" s="125" t="s">
        <v>144</v>
      </c>
      <c r="L84" s="126"/>
      <c r="M84" s="126"/>
      <c r="N84" s="126"/>
      <c r="O84" s="126"/>
      <c r="P84" s="126"/>
      <c r="Q84" s="127"/>
      <c r="R84" s="165" t="s">
        <v>158</v>
      </c>
      <c r="S84" s="166"/>
      <c r="T84" s="166"/>
      <c r="U84" s="167"/>
    </row>
    <row r="85" spans="1:21" ht="18" customHeight="1" x14ac:dyDescent="0.15">
      <c r="A85" s="3"/>
      <c r="B85" s="125" t="s">
        <v>154</v>
      </c>
      <c r="C85" s="126"/>
      <c r="D85" s="126"/>
      <c r="E85" s="126"/>
      <c r="F85" s="127"/>
      <c r="G85" s="165" t="s">
        <v>156</v>
      </c>
      <c r="H85" s="166"/>
      <c r="I85" s="166"/>
      <c r="J85" s="167"/>
      <c r="K85" s="125" t="s">
        <v>151</v>
      </c>
      <c r="L85" s="126"/>
      <c r="M85" s="126"/>
      <c r="N85" s="126"/>
      <c r="O85" s="126"/>
      <c r="P85" s="126"/>
      <c r="Q85" s="127"/>
      <c r="R85" s="165" t="s">
        <v>158</v>
      </c>
      <c r="S85" s="166"/>
      <c r="T85" s="166"/>
      <c r="U85" s="167"/>
    </row>
    <row r="86" spans="1:21" ht="18" customHeight="1" x14ac:dyDescent="0.15">
      <c r="A86" s="3"/>
      <c r="B86" s="125" t="s">
        <v>161</v>
      </c>
      <c r="C86" s="126"/>
      <c r="D86" s="126"/>
      <c r="E86" s="126"/>
      <c r="F86" s="127"/>
      <c r="G86" s="165" t="s">
        <v>156</v>
      </c>
      <c r="H86" s="166"/>
      <c r="I86" s="166"/>
      <c r="J86" s="167"/>
      <c r="K86" s="125" t="s">
        <v>152</v>
      </c>
      <c r="L86" s="126"/>
      <c r="M86" s="126"/>
      <c r="N86" s="126"/>
      <c r="O86" s="126"/>
      <c r="P86" s="126"/>
      <c r="Q86" s="127"/>
      <c r="R86" s="165" t="s">
        <v>158</v>
      </c>
      <c r="S86" s="166"/>
      <c r="T86" s="166"/>
      <c r="U86" s="167"/>
    </row>
    <row r="87" spans="1:21" ht="18" customHeight="1" x14ac:dyDescent="0.15">
      <c r="A87" s="3"/>
      <c r="B87" s="128" t="s">
        <v>146</v>
      </c>
      <c r="C87" s="129"/>
      <c r="D87" s="129"/>
      <c r="E87" s="129"/>
      <c r="F87" s="130"/>
      <c r="G87" s="162" t="s">
        <v>162</v>
      </c>
      <c r="H87" s="163"/>
      <c r="I87" s="163"/>
      <c r="J87" s="164"/>
      <c r="K87" s="128" t="s">
        <v>144</v>
      </c>
      <c r="L87" s="129"/>
      <c r="M87" s="129"/>
      <c r="N87" s="129"/>
      <c r="O87" s="129"/>
      <c r="P87" s="129"/>
      <c r="Q87" s="130"/>
      <c r="R87" s="162" t="s">
        <v>159</v>
      </c>
      <c r="S87" s="163"/>
      <c r="T87" s="163"/>
      <c r="U87" s="164"/>
    </row>
    <row r="88" spans="1:21" ht="18" customHeight="1" x14ac:dyDescent="0.15">
      <c r="A88" s="3"/>
      <c r="B88" s="6"/>
      <c r="C88" s="6"/>
      <c r="D88" s="6"/>
      <c r="E88" s="6"/>
      <c r="F88" s="6"/>
      <c r="G88" s="50"/>
      <c r="H88" s="50"/>
      <c r="I88" s="50"/>
      <c r="J88" s="50"/>
      <c r="K88" s="6"/>
      <c r="L88" s="6"/>
      <c r="M88" s="6"/>
      <c r="N88" s="6"/>
      <c r="O88" s="6"/>
      <c r="P88" s="6"/>
      <c r="Q88" s="6"/>
      <c r="R88" s="50"/>
      <c r="S88" s="50"/>
      <c r="T88" s="50"/>
      <c r="U88" s="50"/>
    </row>
    <row r="89" spans="1:21" ht="18.75" customHeight="1" x14ac:dyDescent="0.15">
      <c r="A89" s="1" t="s">
        <v>107</v>
      </c>
    </row>
    <row r="90" spans="1:21" ht="18.75" customHeight="1" x14ac:dyDescent="0.15">
      <c r="B90" s="171" t="s">
        <v>52</v>
      </c>
      <c r="C90" s="172"/>
      <c r="D90" s="107" t="s">
        <v>53</v>
      </c>
      <c r="E90" s="108"/>
      <c r="F90" s="108"/>
      <c r="G90" s="108"/>
      <c r="H90" s="108"/>
      <c r="I90" s="108"/>
      <c r="J90" s="108"/>
      <c r="K90" s="108"/>
      <c r="L90" s="108"/>
      <c r="M90" s="108"/>
      <c r="N90" s="108"/>
      <c r="O90" s="108"/>
      <c r="P90" s="108"/>
      <c r="Q90" s="108"/>
      <c r="R90" s="108"/>
      <c r="S90" s="108"/>
      <c r="T90" s="108"/>
      <c r="U90" s="109"/>
    </row>
    <row r="91" spans="1:21" ht="97.5" customHeight="1" x14ac:dyDescent="0.15">
      <c r="B91" s="168" t="s">
        <v>59</v>
      </c>
      <c r="C91" s="51" t="s">
        <v>54</v>
      </c>
      <c r="D91" s="110" t="s">
        <v>177</v>
      </c>
      <c r="E91" s="111"/>
      <c r="F91" s="111"/>
      <c r="G91" s="111"/>
      <c r="H91" s="111"/>
      <c r="I91" s="111"/>
      <c r="J91" s="111"/>
      <c r="K91" s="111"/>
      <c r="L91" s="111"/>
      <c r="M91" s="111"/>
      <c r="N91" s="111"/>
      <c r="O91" s="111"/>
      <c r="P91" s="111"/>
      <c r="Q91" s="111"/>
      <c r="R91" s="111"/>
      <c r="S91" s="111"/>
      <c r="T91" s="111"/>
      <c r="U91" s="112"/>
    </row>
    <row r="92" spans="1:21" ht="97.5" customHeight="1" x14ac:dyDescent="0.15">
      <c r="B92" s="169"/>
      <c r="C92" s="52" t="s">
        <v>74</v>
      </c>
      <c r="D92" s="113" t="s">
        <v>178</v>
      </c>
      <c r="E92" s="114"/>
      <c r="F92" s="114"/>
      <c r="G92" s="114"/>
      <c r="H92" s="114"/>
      <c r="I92" s="114"/>
      <c r="J92" s="114"/>
      <c r="K92" s="114"/>
      <c r="L92" s="114"/>
      <c r="M92" s="114"/>
      <c r="N92" s="114"/>
      <c r="O92" s="114"/>
      <c r="P92" s="114"/>
      <c r="Q92" s="114"/>
      <c r="R92" s="114"/>
      <c r="S92" s="114"/>
      <c r="T92" s="114"/>
      <c r="U92" s="115"/>
    </row>
    <row r="93" spans="1:21" ht="97.5" customHeight="1" x14ac:dyDescent="0.15">
      <c r="B93" s="168" t="s">
        <v>60</v>
      </c>
      <c r="C93" s="53" t="s">
        <v>68</v>
      </c>
      <c r="D93" s="110" t="s">
        <v>173</v>
      </c>
      <c r="E93" s="111"/>
      <c r="F93" s="111"/>
      <c r="G93" s="111"/>
      <c r="H93" s="111"/>
      <c r="I93" s="111"/>
      <c r="J93" s="111"/>
      <c r="K93" s="111"/>
      <c r="L93" s="111"/>
      <c r="M93" s="111"/>
      <c r="N93" s="111"/>
      <c r="O93" s="111"/>
      <c r="P93" s="111"/>
      <c r="Q93" s="111"/>
      <c r="R93" s="111"/>
      <c r="S93" s="111"/>
      <c r="T93" s="111"/>
      <c r="U93" s="112"/>
    </row>
    <row r="94" spans="1:21" ht="97.5" customHeight="1" x14ac:dyDescent="0.15">
      <c r="B94" s="170"/>
      <c r="C94" s="54" t="s">
        <v>69</v>
      </c>
      <c r="D94" s="113" t="s">
        <v>174</v>
      </c>
      <c r="E94" s="114"/>
      <c r="F94" s="114"/>
      <c r="G94" s="114"/>
      <c r="H94" s="114"/>
      <c r="I94" s="114"/>
      <c r="J94" s="114"/>
      <c r="K94" s="114"/>
      <c r="L94" s="114"/>
      <c r="M94" s="114"/>
      <c r="N94" s="114"/>
      <c r="O94" s="114"/>
      <c r="P94" s="114"/>
      <c r="Q94" s="114"/>
      <c r="R94" s="114"/>
      <c r="S94" s="114"/>
      <c r="T94" s="114"/>
      <c r="U94" s="115"/>
    </row>
    <row r="95" spans="1:21" ht="108" customHeight="1" x14ac:dyDescent="0.15">
      <c r="B95" s="168" t="s">
        <v>61</v>
      </c>
      <c r="C95" s="53" t="s">
        <v>70</v>
      </c>
      <c r="D95" s="110" t="s">
        <v>175</v>
      </c>
      <c r="E95" s="111"/>
      <c r="F95" s="111"/>
      <c r="G95" s="111"/>
      <c r="H95" s="111"/>
      <c r="I95" s="111"/>
      <c r="J95" s="111"/>
      <c r="K95" s="111"/>
      <c r="L95" s="111"/>
      <c r="M95" s="111"/>
      <c r="N95" s="111"/>
      <c r="O95" s="111"/>
      <c r="P95" s="111"/>
      <c r="Q95" s="111"/>
      <c r="R95" s="111"/>
      <c r="S95" s="111"/>
      <c r="T95" s="111"/>
      <c r="U95" s="112"/>
    </row>
    <row r="96" spans="1:21" ht="97.5" customHeight="1" x14ac:dyDescent="0.15">
      <c r="B96" s="170"/>
      <c r="C96" s="55" t="s">
        <v>71</v>
      </c>
      <c r="D96" s="113" t="s">
        <v>176</v>
      </c>
      <c r="E96" s="114"/>
      <c r="F96" s="114"/>
      <c r="G96" s="114"/>
      <c r="H96" s="114"/>
      <c r="I96" s="114"/>
      <c r="J96" s="114"/>
      <c r="K96" s="114"/>
      <c r="L96" s="114"/>
      <c r="M96" s="114"/>
      <c r="N96" s="114"/>
      <c r="O96" s="114"/>
      <c r="P96" s="114"/>
      <c r="Q96" s="114"/>
      <c r="R96" s="114"/>
      <c r="S96" s="114"/>
      <c r="T96" s="114"/>
      <c r="U96" s="115"/>
    </row>
    <row r="97" spans="1:33" ht="160.5" customHeight="1" x14ac:dyDescent="0.15">
      <c r="B97" s="168" t="s">
        <v>75</v>
      </c>
      <c r="C97" s="51" t="s">
        <v>56</v>
      </c>
      <c r="D97" s="116" t="s">
        <v>189</v>
      </c>
      <c r="E97" s="117"/>
      <c r="F97" s="117"/>
      <c r="G97" s="117"/>
      <c r="H97" s="117"/>
      <c r="I97" s="117"/>
      <c r="J97" s="117"/>
      <c r="K97" s="117"/>
      <c r="L97" s="117"/>
      <c r="M97" s="117"/>
      <c r="N97" s="117"/>
      <c r="O97" s="117"/>
      <c r="P97" s="117"/>
      <c r="Q97" s="117"/>
      <c r="R97" s="117"/>
      <c r="S97" s="117"/>
      <c r="T97" s="117"/>
      <c r="U97" s="118"/>
    </row>
    <row r="98" spans="1:33" ht="97.5" customHeight="1" x14ac:dyDescent="0.15">
      <c r="B98" s="170"/>
      <c r="C98" s="54" t="s">
        <v>58</v>
      </c>
      <c r="D98" s="89" t="s">
        <v>190</v>
      </c>
      <c r="E98" s="90"/>
      <c r="F98" s="90"/>
      <c r="G98" s="90"/>
      <c r="H98" s="90"/>
      <c r="I98" s="90"/>
      <c r="J98" s="90"/>
      <c r="K98" s="90"/>
      <c r="L98" s="90"/>
      <c r="M98" s="90"/>
      <c r="N98" s="90"/>
      <c r="O98" s="90"/>
      <c r="P98" s="90"/>
      <c r="Q98" s="90"/>
      <c r="R98" s="90"/>
      <c r="S98" s="90"/>
      <c r="T98" s="90"/>
      <c r="U98" s="91"/>
    </row>
    <row r="99" spans="1:33" ht="226.5" customHeight="1" x14ac:dyDescent="0.15">
      <c r="B99" s="168" t="s">
        <v>76</v>
      </c>
      <c r="C99" s="53" t="s">
        <v>55</v>
      </c>
      <c r="D99" s="92" t="s">
        <v>179</v>
      </c>
      <c r="E99" s="93"/>
      <c r="F99" s="93"/>
      <c r="G99" s="93"/>
      <c r="H99" s="93"/>
      <c r="I99" s="93"/>
      <c r="J99" s="93"/>
      <c r="K99" s="93"/>
      <c r="L99" s="93"/>
      <c r="M99" s="93"/>
      <c r="N99" s="93"/>
      <c r="O99" s="93"/>
      <c r="P99" s="93"/>
      <c r="Q99" s="93"/>
      <c r="R99" s="93"/>
      <c r="S99" s="93"/>
      <c r="T99" s="93"/>
      <c r="U99" s="94"/>
    </row>
    <row r="100" spans="1:33" ht="149.1" customHeight="1" x14ac:dyDescent="0.15">
      <c r="B100" s="169"/>
      <c r="C100" s="56" t="s">
        <v>72</v>
      </c>
      <c r="D100" s="95" t="s">
        <v>180</v>
      </c>
      <c r="E100" s="96"/>
      <c r="F100" s="96"/>
      <c r="G100" s="96"/>
      <c r="H100" s="96"/>
      <c r="I100" s="96"/>
      <c r="J100" s="96"/>
      <c r="K100" s="96"/>
      <c r="L100" s="96"/>
      <c r="M100" s="96"/>
      <c r="N100" s="96"/>
      <c r="O100" s="96"/>
      <c r="P100" s="96"/>
      <c r="Q100" s="96"/>
      <c r="R100" s="96"/>
      <c r="S100" s="96"/>
      <c r="T100" s="96"/>
      <c r="U100" s="97"/>
    </row>
    <row r="101" spans="1:33" ht="152.44999999999999" customHeight="1" x14ac:dyDescent="0.15">
      <c r="B101" s="170"/>
      <c r="C101" s="55" t="s">
        <v>73</v>
      </c>
      <c r="D101" s="98" t="s">
        <v>181</v>
      </c>
      <c r="E101" s="99"/>
      <c r="F101" s="99"/>
      <c r="G101" s="99"/>
      <c r="H101" s="99"/>
      <c r="I101" s="99"/>
      <c r="J101" s="99"/>
      <c r="K101" s="99"/>
      <c r="L101" s="99"/>
      <c r="M101" s="99"/>
      <c r="N101" s="99"/>
      <c r="O101" s="99"/>
      <c r="P101" s="99"/>
      <c r="Q101" s="99"/>
      <c r="R101" s="99"/>
      <c r="S101" s="99"/>
      <c r="T101" s="99"/>
      <c r="U101" s="100"/>
    </row>
    <row r="102" spans="1:33" ht="6" customHeight="1" x14ac:dyDescent="0.15"/>
    <row r="103" spans="1:33" ht="18.75" customHeight="1" x14ac:dyDescent="0.15">
      <c r="A103" s="1" t="s">
        <v>108</v>
      </c>
    </row>
    <row r="104" spans="1:33" ht="81.75" customHeight="1" x14ac:dyDescent="0.15">
      <c r="B104" s="159" t="s">
        <v>192</v>
      </c>
      <c r="C104" s="160"/>
      <c r="D104" s="160"/>
      <c r="E104" s="160"/>
      <c r="F104" s="160"/>
      <c r="G104" s="160"/>
      <c r="H104" s="160"/>
      <c r="I104" s="160"/>
      <c r="J104" s="160"/>
      <c r="K104" s="160"/>
      <c r="L104" s="160"/>
      <c r="M104" s="160"/>
      <c r="N104" s="160"/>
      <c r="O104" s="160"/>
      <c r="P104" s="160"/>
      <c r="Q104" s="160"/>
      <c r="R104" s="160"/>
      <c r="S104" s="160"/>
      <c r="T104" s="160"/>
      <c r="U104" s="161"/>
    </row>
    <row r="106" spans="1:33" ht="18.75" customHeight="1" x14ac:dyDescent="0.15">
      <c r="A106" s="44" t="s">
        <v>124</v>
      </c>
      <c r="B106" s="36"/>
      <c r="C106" s="36"/>
      <c r="D106" s="36"/>
      <c r="E106" s="36"/>
      <c r="F106" s="36"/>
      <c r="G106" s="36"/>
      <c r="H106" s="36"/>
      <c r="I106" s="36"/>
      <c r="J106" s="36"/>
      <c r="K106" s="36"/>
      <c r="L106" s="36"/>
      <c r="M106" s="36"/>
      <c r="N106" s="36"/>
      <c r="O106" s="36"/>
      <c r="P106" s="36"/>
      <c r="Q106" s="36"/>
      <c r="R106" s="36"/>
      <c r="S106" s="36"/>
      <c r="T106" s="36"/>
      <c r="U106" s="36"/>
    </row>
    <row r="107" spans="1:33" ht="18.75" customHeight="1" x14ac:dyDescent="0.15">
      <c r="A107" s="44" t="s">
        <v>126</v>
      </c>
      <c r="B107" s="44"/>
      <c r="C107" s="44"/>
      <c r="D107" s="44"/>
      <c r="E107" s="44"/>
      <c r="F107" s="44"/>
      <c r="G107" s="44"/>
      <c r="H107" s="44"/>
      <c r="I107" s="44"/>
      <c r="J107" s="44"/>
      <c r="K107" s="44"/>
      <c r="L107" s="44"/>
      <c r="M107" s="44"/>
      <c r="N107" s="44"/>
      <c r="O107" s="44"/>
      <c r="P107" s="44"/>
      <c r="Q107" s="44"/>
      <c r="R107" s="44"/>
      <c r="S107" s="44"/>
      <c r="T107" s="44"/>
      <c r="U107" s="44"/>
      <c r="V107" s="2"/>
      <c r="W107" s="2"/>
      <c r="X107" s="2"/>
      <c r="Y107" s="2"/>
      <c r="Z107" s="2"/>
      <c r="AA107" s="2"/>
      <c r="AB107" s="2"/>
      <c r="AC107" s="2"/>
      <c r="AD107" s="2"/>
      <c r="AE107" s="2"/>
      <c r="AF107" s="2"/>
      <c r="AG107" s="2"/>
    </row>
    <row r="108" spans="1:33" ht="18.75" customHeight="1" x14ac:dyDescent="0.15">
      <c r="A108" s="44"/>
      <c r="B108" s="88" t="s">
        <v>129</v>
      </c>
      <c r="C108" s="88"/>
      <c r="D108" s="88"/>
      <c r="E108" s="88"/>
      <c r="F108" s="88"/>
      <c r="G108" s="88"/>
      <c r="H108" s="88"/>
      <c r="I108" s="88"/>
      <c r="J108" s="88"/>
      <c r="K108" s="88"/>
      <c r="L108" s="88"/>
      <c r="M108" s="88"/>
      <c r="N108" s="88"/>
      <c r="O108" s="88"/>
      <c r="P108" s="88"/>
      <c r="Q108" s="88"/>
      <c r="R108" s="88"/>
      <c r="S108" s="88"/>
      <c r="T108" s="88"/>
      <c r="U108" s="88"/>
      <c r="V108" s="57"/>
      <c r="W108" s="57"/>
      <c r="X108" s="57"/>
      <c r="Y108" s="57"/>
      <c r="Z108" s="57"/>
      <c r="AA108" s="57"/>
      <c r="AB108" s="57"/>
      <c r="AC108" s="57"/>
      <c r="AD108" s="57"/>
      <c r="AE108" s="57"/>
      <c r="AF108" s="57"/>
      <c r="AG108" s="57"/>
    </row>
    <row r="109" spans="1:33" ht="37.35" customHeight="1" x14ac:dyDescent="0.15">
      <c r="A109" s="44"/>
      <c r="B109" s="88"/>
      <c r="C109" s="88"/>
      <c r="D109" s="88"/>
      <c r="E109" s="88"/>
      <c r="F109" s="88"/>
      <c r="G109" s="88"/>
      <c r="H109" s="88"/>
      <c r="I109" s="88"/>
      <c r="J109" s="88"/>
      <c r="K109" s="88"/>
      <c r="L109" s="88"/>
      <c r="M109" s="88"/>
      <c r="N109" s="88"/>
      <c r="O109" s="88"/>
      <c r="P109" s="88"/>
      <c r="Q109" s="88"/>
      <c r="R109" s="88"/>
      <c r="S109" s="88"/>
      <c r="T109" s="88"/>
      <c r="U109" s="88"/>
      <c r="V109" s="57"/>
      <c r="W109" s="57"/>
      <c r="X109" s="57"/>
      <c r="Y109" s="57"/>
      <c r="Z109" s="57"/>
      <c r="AA109" s="57"/>
      <c r="AB109" s="57"/>
      <c r="AC109" s="57"/>
      <c r="AD109" s="57"/>
      <c r="AE109" s="57"/>
      <c r="AF109" s="57"/>
      <c r="AG109" s="57"/>
    </row>
    <row r="110" spans="1:33" ht="18.75" customHeight="1" x14ac:dyDescent="0.15">
      <c r="A110" s="44"/>
      <c r="B110" s="176" t="s">
        <v>125</v>
      </c>
      <c r="C110" s="176"/>
      <c r="D110" s="176"/>
      <c r="E110" s="176"/>
      <c r="F110" s="176"/>
      <c r="G110" s="176"/>
      <c r="H110" s="176"/>
      <c r="I110" s="176"/>
      <c r="J110" s="176"/>
      <c r="K110" s="176"/>
      <c r="L110" s="176"/>
      <c r="M110" s="176"/>
      <c r="N110" s="176"/>
      <c r="O110" s="176"/>
      <c r="P110" s="176"/>
      <c r="Q110" s="176"/>
      <c r="R110" s="176"/>
      <c r="S110" s="176"/>
      <c r="T110" s="176"/>
      <c r="U110" s="176"/>
      <c r="V110" s="57"/>
      <c r="W110" s="57"/>
      <c r="X110" s="57"/>
      <c r="Y110" s="57"/>
      <c r="Z110" s="57"/>
      <c r="AA110" s="57"/>
      <c r="AB110" s="57"/>
      <c r="AC110" s="57"/>
      <c r="AD110" s="57"/>
      <c r="AE110" s="57"/>
      <c r="AF110" s="57"/>
      <c r="AG110" s="57"/>
    </row>
    <row r="111" spans="1:33" ht="18.75" customHeight="1" x14ac:dyDescent="0.15">
      <c r="A111" s="44"/>
      <c r="B111" s="177" t="s">
        <v>53</v>
      </c>
      <c r="C111" s="177"/>
      <c r="D111" s="177"/>
      <c r="E111" s="177"/>
      <c r="F111" s="177"/>
      <c r="G111" s="177"/>
      <c r="H111" s="177"/>
      <c r="I111" s="177"/>
      <c r="J111" s="177"/>
      <c r="K111" s="177"/>
      <c r="L111" s="177"/>
      <c r="M111" s="177"/>
      <c r="N111" s="177"/>
      <c r="O111" s="177"/>
      <c r="P111" s="177"/>
      <c r="Q111" s="177"/>
      <c r="R111" s="177"/>
      <c r="S111" s="177"/>
      <c r="T111" s="177"/>
      <c r="U111" s="177"/>
      <c r="V111" s="58"/>
      <c r="W111" s="58"/>
      <c r="X111" s="58"/>
      <c r="Y111" s="58"/>
      <c r="Z111" s="58"/>
      <c r="AA111" s="58"/>
      <c r="AB111" s="58"/>
      <c r="AC111" s="58"/>
      <c r="AD111" s="58"/>
      <c r="AE111" s="58"/>
      <c r="AF111" s="58"/>
      <c r="AG111" s="58"/>
    </row>
    <row r="112" spans="1:33" ht="132" customHeight="1" x14ac:dyDescent="0.15">
      <c r="A112" s="44"/>
      <c r="B112" s="178"/>
      <c r="C112" s="178"/>
      <c r="D112" s="178"/>
      <c r="E112" s="178"/>
      <c r="F112" s="178"/>
      <c r="G112" s="178"/>
      <c r="H112" s="178"/>
      <c r="I112" s="178"/>
      <c r="J112" s="178"/>
      <c r="K112" s="178"/>
      <c r="L112" s="178"/>
      <c r="M112" s="178"/>
      <c r="N112" s="178"/>
      <c r="O112" s="178"/>
      <c r="P112" s="178"/>
      <c r="Q112" s="178"/>
      <c r="R112" s="178"/>
      <c r="S112" s="178"/>
      <c r="T112" s="178"/>
      <c r="U112" s="178"/>
      <c r="V112" s="59"/>
      <c r="W112" s="59"/>
      <c r="X112" s="59"/>
      <c r="Y112" s="59"/>
      <c r="Z112" s="59"/>
      <c r="AA112" s="59"/>
      <c r="AB112" s="59"/>
      <c r="AC112" s="59"/>
      <c r="AD112" s="59"/>
      <c r="AE112" s="59"/>
      <c r="AF112" s="59"/>
      <c r="AG112" s="59"/>
    </row>
    <row r="114" ht="18" customHeight="1" x14ac:dyDescent="0.15"/>
  </sheetData>
  <mergeCells count="148">
    <mergeCell ref="B110:U110"/>
    <mergeCell ref="B111:U111"/>
    <mergeCell ref="B112:U112"/>
    <mergeCell ref="B99:B101"/>
    <mergeCell ref="D99:U99"/>
    <mergeCell ref="D100:U100"/>
    <mergeCell ref="D101:U101"/>
    <mergeCell ref="B104:U104"/>
    <mergeCell ref="B108:U109"/>
    <mergeCell ref="B95:B96"/>
    <mergeCell ref="D95:U95"/>
    <mergeCell ref="D96:U96"/>
    <mergeCell ref="B97:B98"/>
    <mergeCell ref="D97:U97"/>
    <mergeCell ref="D98:U98"/>
    <mergeCell ref="B91:B92"/>
    <mergeCell ref="D91:U91"/>
    <mergeCell ref="D92:U92"/>
    <mergeCell ref="B93:B94"/>
    <mergeCell ref="D93:U93"/>
    <mergeCell ref="D94:U94"/>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76:E76"/>
    <mergeCell ref="K76:P76"/>
    <mergeCell ref="B77:E77"/>
    <mergeCell ref="K77:P77"/>
    <mergeCell ref="B80:F80"/>
    <mergeCell ref="G80:J80"/>
    <mergeCell ref="K80:Q80"/>
    <mergeCell ref="B73:E73"/>
    <mergeCell ref="K73:P73"/>
    <mergeCell ref="B74:E74"/>
    <mergeCell ref="K74:P74"/>
    <mergeCell ref="B75:E75"/>
    <mergeCell ref="K75:P75"/>
    <mergeCell ref="A68:U69"/>
    <mergeCell ref="B70:E70"/>
    <mergeCell ref="K70:P70"/>
    <mergeCell ref="B71:E71"/>
    <mergeCell ref="K71:P71"/>
    <mergeCell ref="B72:E72"/>
    <mergeCell ref="K72:P72"/>
    <mergeCell ref="B64:F64"/>
    <mergeCell ref="K64:Q64"/>
    <mergeCell ref="B65:F65"/>
    <mergeCell ref="K65:Q65"/>
    <mergeCell ref="B66:F66"/>
    <mergeCell ref="K66:Q66"/>
    <mergeCell ref="B61:F61"/>
    <mergeCell ref="K61:Q61"/>
    <mergeCell ref="B62:F62"/>
    <mergeCell ref="K62:Q62"/>
    <mergeCell ref="B63:F63"/>
    <mergeCell ref="K63:Q63"/>
    <mergeCell ref="B55:F55"/>
    <mergeCell ref="K55:Q55"/>
    <mergeCell ref="A57:U58"/>
    <mergeCell ref="B59:F59"/>
    <mergeCell ref="K59:Q59"/>
    <mergeCell ref="B60:F60"/>
    <mergeCell ref="K60:Q60"/>
    <mergeCell ref="B52:F52"/>
    <mergeCell ref="K52:Q52"/>
    <mergeCell ref="B53:F53"/>
    <mergeCell ref="K53:Q53"/>
    <mergeCell ref="B54:F54"/>
    <mergeCell ref="K54:Q54"/>
    <mergeCell ref="B49:F49"/>
    <mergeCell ref="K49:Q49"/>
    <mergeCell ref="B50:F50"/>
    <mergeCell ref="K50:Q50"/>
    <mergeCell ref="B51:F51"/>
    <mergeCell ref="K51:Q51"/>
    <mergeCell ref="B43:F43"/>
    <mergeCell ref="K43:Q43"/>
    <mergeCell ref="B44:F44"/>
    <mergeCell ref="K44:Q44"/>
    <mergeCell ref="A46:U47"/>
    <mergeCell ref="B48:F48"/>
    <mergeCell ref="K48:Q48"/>
    <mergeCell ref="B40:F40"/>
    <mergeCell ref="K40:Q40"/>
    <mergeCell ref="B41:F41"/>
    <mergeCell ref="K41:Q41"/>
    <mergeCell ref="B42:F42"/>
    <mergeCell ref="K42:Q42"/>
    <mergeCell ref="A35:U36"/>
    <mergeCell ref="B37:F37"/>
    <mergeCell ref="K37:Q37"/>
    <mergeCell ref="B38:F38"/>
    <mergeCell ref="K38:Q38"/>
    <mergeCell ref="B39:F39"/>
    <mergeCell ref="K39:Q39"/>
    <mergeCell ref="B31:F31"/>
    <mergeCell ref="K31:Q31"/>
    <mergeCell ref="B32:F32"/>
    <mergeCell ref="K32:Q32"/>
    <mergeCell ref="B33:F33"/>
    <mergeCell ref="K33:Q33"/>
    <mergeCell ref="B30:F30"/>
    <mergeCell ref="K30:Q30"/>
    <mergeCell ref="B15:U20"/>
    <mergeCell ref="N22:U22"/>
    <mergeCell ref="A24:U25"/>
    <mergeCell ref="B26:F26"/>
    <mergeCell ref="K26:Q26"/>
    <mergeCell ref="B27:F27"/>
    <mergeCell ref="K27:Q27"/>
    <mergeCell ref="T1:U1"/>
    <mergeCell ref="C2:J2"/>
    <mergeCell ref="C3:J3"/>
    <mergeCell ref="A5:U5"/>
    <mergeCell ref="L7:U7"/>
    <mergeCell ref="B11:U12"/>
    <mergeCell ref="B28:F28"/>
    <mergeCell ref="K28:Q28"/>
    <mergeCell ref="B29:F29"/>
    <mergeCell ref="K29:Q2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N22:U22" xr:uid="{6960F619-EEB0-47E9-92BE-DF17F1B9DB00}">
      <formula1>$X$16:$X$18</formula1>
    </dataValidation>
    <dataValidation type="list" allowBlank="1" showInputMessage="1" showErrorMessage="1" sqref="G81:G88 H81:J82 H85:J88 S81:U82 S87:U88 R81:R88 S84:U84" xr:uid="{E5299505-722C-4ECC-977D-B16E758BBF8A}">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159AE6BF-300B-4C62-87A8-1CCC69941834}">
      <formula1>"学部・学科によって、修了要件は相違する,学部・学科によって、修了要件は相違しない"</formula1>
    </dataValidation>
    <dataValidation type="list" allowBlank="1" showInputMessage="1" showErrorMessage="1" sqref="U34 U45 E34:H34 E45:H45" xr:uid="{1547D186-A091-4C66-917E-709DA075C5CC}">
      <formula1>"全学開講,一部開講"</formula1>
    </dataValidation>
    <dataValidation type="list" allowBlank="1" showInputMessage="1" showErrorMessage="1" sqref="G71:J77 S27:U33 H60:J66 H38:J44 S38:U44 S49:U55 H49:J55 S60:U66 H27:J33 R71:U77" xr:uid="{EC30778C-C1C4-47D7-96AA-9ADF2A90D979}">
      <formula1>"○"</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3" manualBreakCount="3">
    <brk id="44" max="20" man="1"/>
    <brk id="88"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16"/>
  <sheetViews>
    <sheetView tabSelected="1" view="pageBreakPreview" zoomScale="130" zoomScaleNormal="100" zoomScaleSheetLayoutView="130" workbookViewId="0">
      <selection activeCell="B28" sqref="B28:F28"/>
    </sheetView>
  </sheetViews>
  <sheetFormatPr defaultColWidth="9" defaultRowHeight="18.75" customHeight="1" x14ac:dyDescent="0.15"/>
  <cols>
    <col min="1" max="1" width="2.875" style="1" customWidth="1"/>
    <col min="2" max="2" width="20.875" style="1" customWidth="1"/>
    <col min="3" max="18" width="6.125" style="1" customWidth="1"/>
    <col min="19" max="19" width="6.625" style="1" customWidth="1"/>
    <col min="20" max="16384" width="9" style="1"/>
  </cols>
  <sheetData>
    <row r="1" spans="1:21" ht="18" customHeight="1" x14ac:dyDescent="0.15">
      <c r="A1" s="36"/>
      <c r="B1" s="36"/>
      <c r="C1" s="36"/>
      <c r="D1" s="36"/>
      <c r="E1" s="36"/>
      <c r="F1" s="36"/>
      <c r="G1" s="36"/>
      <c r="H1" s="36"/>
      <c r="I1" s="36"/>
      <c r="J1" s="36"/>
      <c r="K1" s="36"/>
      <c r="L1" s="36"/>
      <c r="M1" s="36"/>
      <c r="N1" s="36"/>
      <c r="O1" s="36"/>
      <c r="P1" s="36"/>
      <c r="Q1" s="36"/>
      <c r="R1" s="36"/>
      <c r="S1" s="36" t="s">
        <v>97</v>
      </c>
    </row>
    <row r="2" spans="1:21" ht="18" customHeight="1" x14ac:dyDescent="0.15">
      <c r="A2" s="36"/>
      <c r="B2" s="36"/>
      <c r="C2" s="36"/>
      <c r="D2" s="36"/>
      <c r="E2" s="36"/>
      <c r="F2" s="36"/>
      <c r="G2" s="36"/>
      <c r="H2" s="36"/>
      <c r="I2" s="36"/>
      <c r="J2" s="36"/>
      <c r="K2" s="36"/>
      <c r="L2" s="36"/>
      <c r="M2" s="36"/>
      <c r="N2" s="36"/>
      <c r="O2" s="36"/>
      <c r="P2" s="36"/>
      <c r="Q2" s="180" t="str">
        <f>'様式１-1　プログラムを構成する授業科目'!C2</f>
        <v>福岡県立大学</v>
      </c>
      <c r="R2" s="180"/>
      <c r="S2" s="180"/>
    </row>
    <row r="3" spans="1:21" ht="18" customHeight="1" x14ac:dyDescent="0.15">
      <c r="A3" s="148" t="s">
        <v>46</v>
      </c>
      <c r="B3" s="148"/>
      <c r="C3" s="148"/>
      <c r="D3" s="148"/>
      <c r="E3" s="148"/>
      <c r="F3" s="148"/>
      <c r="G3" s="148"/>
      <c r="H3" s="148"/>
      <c r="I3" s="148"/>
      <c r="J3" s="148"/>
      <c r="K3" s="148"/>
      <c r="L3" s="148"/>
      <c r="M3" s="148"/>
      <c r="N3" s="148"/>
      <c r="O3" s="148"/>
      <c r="P3" s="148"/>
      <c r="Q3" s="148"/>
      <c r="R3" s="148"/>
      <c r="S3" s="148"/>
    </row>
    <row r="4" spans="1:21" ht="7.5" customHeight="1" x14ac:dyDescent="0.15">
      <c r="A4" s="39"/>
      <c r="B4" s="39"/>
      <c r="C4" s="39"/>
      <c r="D4" s="39"/>
      <c r="E4" s="39"/>
      <c r="F4" s="39"/>
      <c r="G4" s="39"/>
      <c r="H4" s="39"/>
      <c r="I4" s="39"/>
      <c r="J4" s="39"/>
      <c r="K4" s="39"/>
      <c r="L4" s="39"/>
      <c r="M4" s="39"/>
      <c r="N4" s="39"/>
      <c r="O4" s="39"/>
      <c r="P4" s="39"/>
      <c r="Q4" s="39"/>
      <c r="R4" s="39"/>
      <c r="S4" s="39"/>
    </row>
    <row r="5" spans="1:21" ht="18" customHeight="1" x14ac:dyDescent="0.15">
      <c r="A5" s="36" t="s">
        <v>79</v>
      </c>
      <c r="B5" s="36"/>
      <c r="C5" s="193" t="s">
        <v>182</v>
      </c>
      <c r="D5" s="194"/>
      <c r="E5" s="39" t="s">
        <v>50</v>
      </c>
      <c r="F5" s="39"/>
      <c r="G5" s="39"/>
      <c r="H5" s="39"/>
      <c r="I5" s="39"/>
      <c r="J5" s="39"/>
      <c r="K5" s="39"/>
      <c r="L5" s="39"/>
      <c r="M5" s="39"/>
      <c r="N5" s="39"/>
      <c r="O5" s="39"/>
      <c r="P5" s="39"/>
      <c r="Q5" s="39"/>
      <c r="R5" s="38"/>
      <c r="S5" s="38"/>
    </row>
    <row r="6" spans="1:21" ht="7.35" customHeight="1" x14ac:dyDescent="0.15">
      <c r="A6" s="36"/>
      <c r="B6" s="36"/>
      <c r="C6" s="64"/>
      <c r="D6" s="64"/>
      <c r="E6" s="39"/>
      <c r="F6" s="39"/>
      <c r="G6" s="39"/>
      <c r="H6" s="39"/>
      <c r="I6" s="39"/>
      <c r="J6" s="39"/>
      <c r="K6" s="39"/>
      <c r="L6" s="39"/>
      <c r="M6" s="39"/>
      <c r="N6" s="39"/>
      <c r="O6" s="39"/>
      <c r="P6" s="39"/>
      <c r="Q6" s="39"/>
      <c r="R6" s="38"/>
      <c r="S6" s="38"/>
    </row>
    <row r="7" spans="1:21" ht="18" customHeight="1" x14ac:dyDescent="0.15">
      <c r="A7" s="36" t="s">
        <v>117</v>
      </c>
      <c r="B7" s="36"/>
      <c r="C7" s="64"/>
      <c r="D7" s="64"/>
      <c r="E7" s="39" t="s">
        <v>118</v>
      </c>
      <c r="F7" s="41">
        <v>193</v>
      </c>
      <c r="G7" s="40" t="s">
        <v>119</v>
      </c>
      <c r="H7" s="39" t="s">
        <v>120</v>
      </c>
      <c r="I7" s="41">
        <v>839</v>
      </c>
      <c r="J7" s="40" t="s">
        <v>119</v>
      </c>
      <c r="K7" s="37" t="s">
        <v>121</v>
      </c>
      <c r="L7" s="39" t="s">
        <v>122</v>
      </c>
      <c r="M7" s="41">
        <f>F7+I7</f>
        <v>1032</v>
      </c>
      <c r="N7" s="39" t="s">
        <v>1</v>
      </c>
      <c r="O7" s="40" t="s">
        <v>123</v>
      </c>
      <c r="P7" s="39"/>
      <c r="Q7" s="39"/>
      <c r="R7" s="38"/>
      <c r="S7" s="38"/>
    </row>
    <row r="8" spans="1:21" ht="6" customHeight="1" x14ac:dyDescent="0.15">
      <c r="A8" s="39"/>
      <c r="B8" s="39"/>
      <c r="C8" s="39"/>
      <c r="D8" s="39"/>
      <c r="E8" s="39"/>
      <c r="F8" s="39"/>
      <c r="G8" s="39"/>
      <c r="H8" s="39"/>
      <c r="I8" s="39"/>
      <c r="J8" s="39"/>
      <c r="K8" s="39"/>
      <c r="L8" s="39"/>
      <c r="M8" s="39"/>
      <c r="N8" s="39"/>
      <c r="O8" s="39"/>
      <c r="P8" s="39"/>
      <c r="Q8" s="39"/>
      <c r="R8" s="39"/>
      <c r="S8" s="39"/>
    </row>
    <row r="9" spans="1:21" ht="18" customHeight="1" x14ac:dyDescent="0.15">
      <c r="A9" s="36" t="s">
        <v>133</v>
      </c>
      <c r="B9" s="39"/>
      <c r="C9" s="39"/>
      <c r="D9" s="39"/>
      <c r="E9" s="39"/>
      <c r="F9" s="39"/>
      <c r="G9" s="39"/>
      <c r="H9" s="39"/>
      <c r="I9" s="39"/>
      <c r="J9" s="39"/>
      <c r="K9" s="39"/>
      <c r="L9" s="39"/>
      <c r="M9" s="39"/>
      <c r="N9" s="39"/>
      <c r="O9" s="39"/>
      <c r="P9" s="39"/>
      <c r="Q9" s="39"/>
      <c r="R9" s="39"/>
      <c r="S9" s="39"/>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81" t="s">
        <v>43</v>
      </c>
      <c r="C11" s="191" t="s">
        <v>82</v>
      </c>
      <c r="D11" s="183" t="s">
        <v>45</v>
      </c>
      <c r="E11" s="185" t="s">
        <v>38</v>
      </c>
      <c r="F11" s="179" t="s">
        <v>111</v>
      </c>
      <c r="G11" s="179"/>
      <c r="H11" s="179" t="s">
        <v>81</v>
      </c>
      <c r="I11" s="179"/>
      <c r="J11" s="179" t="s">
        <v>47</v>
      </c>
      <c r="K11" s="179"/>
      <c r="L11" s="179" t="s">
        <v>48</v>
      </c>
      <c r="M11" s="179"/>
      <c r="N11" s="179" t="s">
        <v>91</v>
      </c>
      <c r="O11" s="179"/>
      <c r="P11" s="179" t="s">
        <v>49</v>
      </c>
      <c r="Q11" s="179"/>
      <c r="R11" s="187" t="s">
        <v>34</v>
      </c>
      <c r="S11" s="189" t="s">
        <v>31</v>
      </c>
      <c r="U11" s="2"/>
    </row>
    <row r="12" spans="1:21" ht="17.100000000000001" customHeight="1" x14ac:dyDescent="0.15">
      <c r="B12" s="182"/>
      <c r="C12" s="192"/>
      <c r="D12" s="184"/>
      <c r="E12" s="186"/>
      <c r="F12" s="31" t="s">
        <v>90</v>
      </c>
      <c r="G12" s="31" t="s">
        <v>28</v>
      </c>
      <c r="H12" s="31" t="s">
        <v>90</v>
      </c>
      <c r="I12" s="31" t="s">
        <v>28</v>
      </c>
      <c r="J12" s="31" t="s">
        <v>90</v>
      </c>
      <c r="K12" s="31" t="s">
        <v>28</v>
      </c>
      <c r="L12" s="31" t="s">
        <v>90</v>
      </c>
      <c r="M12" s="31" t="s">
        <v>28</v>
      </c>
      <c r="N12" s="31" t="s">
        <v>90</v>
      </c>
      <c r="O12" s="31" t="s">
        <v>28</v>
      </c>
      <c r="P12" s="31" t="s">
        <v>90</v>
      </c>
      <c r="Q12" s="32" t="s">
        <v>28</v>
      </c>
      <c r="R12" s="188"/>
      <c r="S12" s="190"/>
      <c r="U12" s="2"/>
    </row>
    <row r="13" spans="1:21" ht="18" customHeight="1" x14ac:dyDescent="0.15">
      <c r="A13" s="6"/>
      <c r="B13" s="69" t="s">
        <v>205</v>
      </c>
      <c r="C13" s="70">
        <v>653</v>
      </c>
      <c r="D13" s="71">
        <v>150</v>
      </c>
      <c r="E13" s="72">
        <v>600</v>
      </c>
      <c r="F13" s="73">
        <v>176</v>
      </c>
      <c r="G13" s="73">
        <v>100</v>
      </c>
      <c r="H13" s="73">
        <v>154</v>
      </c>
      <c r="I13" s="73">
        <v>106</v>
      </c>
      <c r="J13" s="73">
        <v>163</v>
      </c>
      <c r="K13" s="73">
        <v>48</v>
      </c>
      <c r="L13" s="73">
        <v>162</v>
      </c>
      <c r="M13" s="73">
        <v>51</v>
      </c>
      <c r="N13" s="74"/>
      <c r="O13" s="74"/>
      <c r="P13" s="74"/>
      <c r="Q13" s="75"/>
      <c r="R13" s="76">
        <f>F13+H13+J13+L13+N13+P13</f>
        <v>655</v>
      </c>
      <c r="S13" s="77">
        <f t="shared" ref="S13:S16" si="0">R13/E13</f>
        <v>1.0916666666666666</v>
      </c>
    </row>
    <row r="14" spans="1:21" ht="18" customHeight="1" x14ac:dyDescent="0.15">
      <c r="A14" s="6"/>
      <c r="B14" s="69" t="s">
        <v>206</v>
      </c>
      <c r="C14" s="70">
        <v>379</v>
      </c>
      <c r="D14" s="71">
        <v>90</v>
      </c>
      <c r="E14" s="72">
        <v>360</v>
      </c>
      <c r="F14" s="73">
        <v>97</v>
      </c>
      <c r="G14" s="73">
        <v>50</v>
      </c>
      <c r="H14" s="73">
        <v>89</v>
      </c>
      <c r="I14" s="73">
        <v>49</v>
      </c>
      <c r="J14" s="73">
        <v>91</v>
      </c>
      <c r="K14" s="73">
        <v>0</v>
      </c>
      <c r="L14" s="73">
        <v>100</v>
      </c>
      <c r="M14" s="73">
        <v>0</v>
      </c>
      <c r="N14" s="73"/>
      <c r="O14" s="73"/>
      <c r="P14" s="73"/>
      <c r="Q14" s="70"/>
      <c r="R14" s="71">
        <f t="shared" ref="R14" si="1">F14+H14+J14+L14+N14+P14</f>
        <v>377</v>
      </c>
      <c r="S14" s="78">
        <f t="shared" si="0"/>
        <v>1.0472222222222223</v>
      </c>
    </row>
    <row r="15" spans="1:21" ht="18" customHeight="1" thickBot="1" x14ac:dyDescent="0.2">
      <c r="A15" s="6"/>
      <c r="B15" s="79"/>
      <c r="C15" s="80"/>
      <c r="D15" s="81"/>
      <c r="E15" s="74"/>
      <c r="F15" s="74"/>
      <c r="G15" s="74"/>
      <c r="H15" s="74"/>
      <c r="I15" s="74"/>
      <c r="J15" s="74"/>
      <c r="K15" s="74"/>
      <c r="L15" s="74"/>
      <c r="M15" s="74"/>
      <c r="N15" s="74"/>
      <c r="O15" s="74"/>
      <c r="P15" s="74"/>
      <c r="Q15" s="70"/>
      <c r="R15" s="81"/>
      <c r="S15" s="82"/>
    </row>
    <row r="16" spans="1:21" ht="18" customHeight="1" thickTop="1" x14ac:dyDescent="0.15">
      <c r="B16" s="83" t="s">
        <v>32</v>
      </c>
      <c r="C16" s="84">
        <f t="shared" ref="C16:R16" si="2">SUM(C13:C15)</f>
        <v>1032</v>
      </c>
      <c r="D16" s="85">
        <f t="shared" si="2"/>
        <v>240</v>
      </c>
      <c r="E16" s="86">
        <f t="shared" si="2"/>
        <v>960</v>
      </c>
      <c r="F16" s="86">
        <f t="shared" si="2"/>
        <v>273</v>
      </c>
      <c r="G16" s="86">
        <f t="shared" si="2"/>
        <v>150</v>
      </c>
      <c r="H16" s="86">
        <f t="shared" si="2"/>
        <v>243</v>
      </c>
      <c r="I16" s="86">
        <f t="shared" si="2"/>
        <v>155</v>
      </c>
      <c r="J16" s="86">
        <f t="shared" si="2"/>
        <v>254</v>
      </c>
      <c r="K16" s="86">
        <f t="shared" si="2"/>
        <v>48</v>
      </c>
      <c r="L16" s="86">
        <f t="shared" si="2"/>
        <v>262</v>
      </c>
      <c r="M16" s="86">
        <f t="shared" si="2"/>
        <v>51</v>
      </c>
      <c r="N16" s="86">
        <f t="shared" si="2"/>
        <v>0</v>
      </c>
      <c r="O16" s="86">
        <f t="shared" si="2"/>
        <v>0</v>
      </c>
      <c r="P16" s="86">
        <f t="shared" si="2"/>
        <v>0</v>
      </c>
      <c r="Q16" s="84">
        <f t="shared" si="2"/>
        <v>0</v>
      </c>
      <c r="R16" s="84">
        <f t="shared" si="2"/>
        <v>1032</v>
      </c>
      <c r="S16" s="87">
        <f t="shared" si="0"/>
        <v>1.075</v>
      </c>
    </row>
  </sheetData>
  <mergeCells count="15">
    <mergeCell ref="H11:I11"/>
    <mergeCell ref="J11:K11"/>
    <mergeCell ref="Q2:S2"/>
    <mergeCell ref="L11:M11"/>
    <mergeCell ref="A3:S3"/>
    <mergeCell ref="B11:B12"/>
    <mergeCell ref="D11:D12"/>
    <mergeCell ref="E11:E12"/>
    <mergeCell ref="F11:G11"/>
    <mergeCell ref="R11:R12"/>
    <mergeCell ref="S11:S12"/>
    <mergeCell ref="C11:C12"/>
    <mergeCell ref="N11:O11"/>
    <mergeCell ref="P11:Q11"/>
    <mergeCell ref="C5:D5"/>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0"/>
  <sheetViews>
    <sheetView showZeros="0" tabSelected="1" view="pageBreakPreview" zoomScale="130" zoomScaleNormal="100" zoomScaleSheetLayoutView="130" workbookViewId="0">
      <selection activeCell="B28" sqref="B28:F28"/>
    </sheetView>
  </sheetViews>
  <sheetFormatPr defaultColWidth="11.375" defaultRowHeight="18.75" customHeight="1" x14ac:dyDescent="0.15"/>
  <cols>
    <col min="1" max="1" width="2.875" style="13"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13" t="s">
        <v>62</v>
      </c>
      <c r="I1" s="11" t="s">
        <v>96</v>
      </c>
    </row>
    <row r="2" spans="1:9" ht="18.75" customHeight="1" x14ac:dyDescent="0.15">
      <c r="G2" s="11" t="s">
        <v>98</v>
      </c>
      <c r="H2" s="107" t="str">
        <f>'様式１-1　プログラムを構成する授業科目'!C2</f>
        <v>福岡県立大学</v>
      </c>
      <c r="I2" s="109"/>
    </row>
    <row r="3" spans="1:9" ht="18.75" customHeight="1" x14ac:dyDescent="0.15">
      <c r="G3" s="11"/>
      <c r="H3" s="7"/>
      <c r="I3" s="7"/>
    </row>
    <row r="4" spans="1:9" ht="18.75" customHeight="1" x14ac:dyDescent="0.15">
      <c r="A4" s="223" t="s">
        <v>35</v>
      </c>
      <c r="B4" s="223"/>
      <c r="C4" s="223"/>
      <c r="D4" s="223"/>
      <c r="E4" s="223"/>
      <c r="F4" s="223"/>
      <c r="G4" s="223"/>
      <c r="H4" s="223"/>
      <c r="I4" s="223"/>
    </row>
    <row r="5" spans="1:9" ht="13.35" customHeight="1" x14ac:dyDescent="0.15">
      <c r="B5" s="3"/>
      <c r="C5" s="3"/>
      <c r="D5" s="3"/>
      <c r="E5" s="3"/>
      <c r="F5" s="3"/>
      <c r="G5" s="3"/>
      <c r="H5" s="3"/>
      <c r="I5" s="3"/>
    </row>
    <row r="6" spans="1:9" ht="18" customHeight="1" x14ac:dyDescent="0.15">
      <c r="A6" s="1" t="s">
        <v>0</v>
      </c>
      <c r="B6" s="7" t="s">
        <v>85</v>
      </c>
      <c r="C6" s="252" t="s">
        <v>86</v>
      </c>
      <c r="D6" s="252"/>
      <c r="E6" s="42">
        <v>113</v>
      </c>
      <c r="F6" s="3" t="s">
        <v>1</v>
      </c>
      <c r="G6" s="3" t="s">
        <v>2</v>
      </c>
      <c r="H6" s="42">
        <v>100</v>
      </c>
      <c r="I6" s="7" t="s">
        <v>1</v>
      </c>
    </row>
    <row r="7" spans="1:9" ht="12" customHeight="1" x14ac:dyDescent="0.15">
      <c r="C7" s="2"/>
      <c r="D7" s="2"/>
      <c r="E7" s="2"/>
      <c r="F7" s="2"/>
      <c r="G7" s="2"/>
      <c r="H7" s="2"/>
      <c r="I7" s="14"/>
    </row>
    <row r="8" spans="1:9" ht="18" customHeight="1" x14ac:dyDescent="0.15">
      <c r="A8" s="1" t="s">
        <v>3</v>
      </c>
      <c r="B8" s="7" t="s">
        <v>87</v>
      </c>
      <c r="E8" s="3"/>
      <c r="F8" s="3"/>
      <c r="G8" s="3"/>
      <c r="H8" s="42">
        <v>30</v>
      </c>
      <c r="I8" s="7" t="s">
        <v>1</v>
      </c>
    </row>
    <row r="9" spans="1:9" ht="9" customHeight="1" x14ac:dyDescent="0.15">
      <c r="B9" s="3"/>
      <c r="C9" s="3"/>
      <c r="D9" s="3"/>
      <c r="E9" s="3"/>
      <c r="F9" s="3"/>
      <c r="G9" s="3"/>
      <c r="H9" s="3"/>
      <c r="I9" s="3"/>
    </row>
    <row r="10" spans="1:9" ht="18" customHeight="1" x14ac:dyDescent="0.15">
      <c r="A10" s="1" t="s">
        <v>4</v>
      </c>
      <c r="B10" s="7" t="s">
        <v>88</v>
      </c>
      <c r="C10" s="3"/>
      <c r="D10" s="3"/>
      <c r="E10" s="3"/>
      <c r="F10" s="3"/>
      <c r="G10" s="3"/>
      <c r="H10" s="3"/>
      <c r="I10" s="3"/>
    </row>
    <row r="11" spans="1:9" ht="18" customHeight="1" x14ac:dyDescent="0.15">
      <c r="B11" s="11" t="s">
        <v>41</v>
      </c>
      <c r="C11" s="247" t="s">
        <v>164</v>
      </c>
      <c r="D11" s="250"/>
      <c r="E11" s="251"/>
      <c r="F11" s="14"/>
      <c r="G11" s="11" t="s">
        <v>10</v>
      </c>
      <c r="H11" s="247" t="s">
        <v>165</v>
      </c>
      <c r="I11" s="251"/>
    </row>
    <row r="12" spans="1:9" ht="10.35" customHeight="1" x14ac:dyDescent="0.15">
      <c r="B12" s="11"/>
      <c r="C12" s="7"/>
      <c r="D12" s="14"/>
      <c r="E12" s="14"/>
      <c r="F12" s="14"/>
      <c r="G12" s="11"/>
      <c r="H12" s="7"/>
      <c r="I12" s="14"/>
    </row>
    <row r="13" spans="1:9" ht="18" customHeight="1" x14ac:dyDescent="0.15">
      <c r="A13" s="1" t="s">
        <v>7</v>
      </c>
      <c r="B13" s="7" t="s">
        <v>83</v>
      </c>
      <c r="C13" s="3"/>
      <c r="D13" s="3"/>
      <c r="E13" s="3"/>
      <c r="F13" s="3"/>
      <c r="G13" s="3"/>
      <c r="H13" s="3"/>
      <c r="I13" s="3"/>
    </row>
    <row r="14" spans="1:9" ht="18" customHeight="1" x14ac:dyDescent="0.15">
      <c r="B14" s="247" t="s">
        <v>166</v>
      </c>
      <c r="C14" s="248"/>
      <c r="D14" s="248"/>
      <c r="E14" s="248"/>
      <c r="F14" s="248"/>
      <c r="G14" s="248"/>
      <c r="H14" s="248"/>
      <c r="I14" s="249"/>
    </row>
    <row r="15" spans="1:9" ht="9" customHeight="1" x14ac:dyDescent="0.15">
      <c r="B15" s="3"/>
      <c r="C15" s="3"/>
      <c r="D15" s="3"/>
      <c r="E15" s="3"/>
      <c r="F15" s="3"/>
      <c r="G15" s="3"/>
      <c r="H15" s="3"/>
      <c r="I15" s="3"/>
    </row>
    <row r="16" spans="1:9" ht="18" customHeight="1" x14ac:dyDescent="0.15">
      <c r="B16" s="11" t="s">
        <v>41</v>
      </c>
      <c r="C16" s="247" t="s">
        <v>164</v>
      </c>
      <c r="D16" s="250"/>
      <c r="E16" s="251"/>
      <c r="F16" s="14"/>
      <c r="G16" s="11" t="s">
        <v>10</v>
      </c>
      <c r="H16" s="247" t="s">
        <v>167</v>
      </c>
      <c r="I16" s="251"/>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224" t="s">
        <v>204</v>
      </c>
      <c r="C19" s="225"/>
      <c r="D19" s="225"/>
      <c r="E19" s="225"/>
      <c r="F19" s="225"/>
      <c r="G19" s="225"/>
      <c r="H19" s="225"/>
      <c r="I19" s="226"/>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8"/>
      <c r="B22" s="227" t="s">
        <v>186</v>
      </c>
      <c r="C22" s="228"/>
      <c r="D22" s="228"/>
      <c r="E22" s="228"/>
      <c r="F22" s="228"/>
      <c r="G22" s="228"/>
      <c r="H22" s="228"/>
      <c r="I22" s="229"/>
    </row>
    <row r="23" spans="1:9" ht="18.75" customHeight="1" x14ac:dyDescent="0.15">
      <c r="A23" s="8"/>
      <c r="B23" s="230"/>
      <c r="C23" s="231"/>
      <c r="D23" s="231"/>
      <c r="E23" s="231"/>
      <c r="F23" s="231"/>
      <c r="G23" s="231"/>
      <c r="H23" s="231"/>
      <c r="I23" s="232"/>
    </row>
    <row r="24" spans="1:9" ht="18.75" customHeight="1" x14ac:dyDescent="0.15">
      <c r="A24" s="8"/>
      <c r="B24" s="230"/>
      <c r="C24" s="231"/>
      <c r="D24" s="231"/>
      <c r="E24" s="231"/>
      <c r="F24" s="231"/>
      <c r="G24" s="231"/>
      <c r="H24" s="231"/>
      <c r="I24" s="232"/>
    </row>
    <row r="25" spans="1:9" ht="18.75" customHeight="1" x14ac:dyDescent="0.15">
      <c r="A25" s="8"/>
      <c r="B25" s="230"/>
      <c r="C25" s="231"/>
      <c r="D25" s="231"/>
      <c r="E25" s="231"/>
      <c r="F25" s="231"/>
      <c r="G25" s="231"/>
      <c r="H25" s="231"/>
      <c r="I25" s="232"/>
    </row>
    <row r="26" spans="1:9" ht="18.75" customHeight="1" x14ac:dyDescent="0.15">
      <c r="A26" s="8"/>
      <c r="B26" s="230"/>
      <c r="C26" s="231"/>
      <c r="D26" s="231"/>
      <c r="E26" s="231"/>
      <c r="F26" s="231"/>
      <c r="G26" s="231"/>
      <c r="H26" s="231"/>
      <c r="I26" s="232"/>
    </row>
    <row r="27" spans="1:9" ht="18.75" customHeight="1" x14ac:dyDescent="0.15">
      <c r="A27" s="8"/>
      <c r="B27" s="230"/>
      <c r="C27" s="231"/>
      <c r="D27" s="231"/>
      <c r="E27" s="231"/>
      <c r="F27" s="231"/>
      <c r="G27" s="231"/>
      <c r="H27" s="231"/>
      <c r="I27" s="232"/>
    </row>
    <row r="28" spans="1:9" ht="18.75" customHeight="1" x14ac:dyDescent="0.15">
      <c r="A28" s="8"/>
      <c r="B28" s="230"/>
      <c r="C28" s="231"/>
      <c r="D28" s="231"/>
      <c r="E28" s="231"/>
      <c r="F28" s="231"/>
      <c r="G28" s="231"/>
      <c r="H28" s="231"/>
      <c r="I28" s="232"/>
    </row>
    <row r="29" spans="1:9" ht="18.75" customHeight="1" x14ac:dyDescent="0.15">
      <c r="A29" s="8"/>
      <c r="B29" s="230"/>
      <c r="C29" s="231"/>
      <c r="D29" s="231"/>
      <c r="E29" s="231"/>
      <c r="F29" s="231"/>
      <c r="G29" s="231"/>
      <c r="H29" s="231"/>
      <c r="I29" s="232"/>
    </row>
    <row r="30" spans="1:9" ht="18.75" customHeight="1" x14ac:dyDescent="0.15">
      <c r="A30" s="8"/>
      <c r="B30" s="233"/>
      <c r="C30" s="234"/>
      <c r="D30" s="234"/>
      <c r="E30" s="234"/>
      <c r="F30" s="234"/>
      <c r="G30" s="234"/>
      <c r="H30" s="234"/>
      <c r="I30" s="232"/>
    </row>
    <row r="31" spans="1:9" ht="18.75" customHeight="1" x14ac:dyDescent="0.15">
      <c r="A31" s="8"/>
      <c r="B31" s="233"/>
      <c r="C31" s="234"/>
      <c r="D31" s="234"/>
      <c r="E31" s="234"/>
      <c r="F31" s="234"/>
      <c r="G31" s="234"/>
      <c r="H31" s="234"/>
      <c r="I31" s="232"/>
    </row>
    <row r="32" spans="1:9" ht="18.75" customHeight="1" x14ac:dyDescent="0.15">
      <c r="A32" s="8"/>
      <c r="B32" s="235"/>
      <c r="C32" s="236"/>
      <c r="D32" s="236"/>
      <c r="E32" s="236"/>
      <c r="F32" s="236"/>
      <c r="G32" s="236"/>
      <c r="H32" s="236"/>
      <c r="I32" s="237"/>
    </row>
    <row r="33" spans="1:9" ht="7.5" customHeight="1" x14ac:dyDescent="0.15">
      <c r="A33" s="8"/>
      <c r="B33" s="8"/>
      <c r="C33" s="8"/>
      <c r="D33" s="8"/>
      <c r="E33" s="8"/>
      <c r="F33" s="8"/>
      <c r="G33" s="8"/>
      <c r="H33" s="8"/>
      <c r="I33" s="8"/>
    </row>
    <row r="34" spans="1:9" ht="18.75" customHeight="1" x14ac:dyDescent="0.15">
      <c r="A34" s="9" t="s">
        <v>6</v>
      </c>
      <c r="B34" s="9" t="s">
        <v>9</v>
      </c>
      <c r="C34" s="7"/>
      <c r="D34" s="9"/>
      <c r="E34" s="9"/>
      <c r="F34" s="9"/>
      <c r="G34" s="9"/>
      <c r="H34" s="9"/>
      <c r="I34" s="9"/>
    </row>
    <row r="35" spans="1:9" ht="18.75" customHeight="1" x14ac:dyDescent="0.15">
      <c r="A35" s="8"/>
      <c r="B35" s="238" t="s">
        <v>212</v>
      </c>
      <c r="C35" s="239"/>
      <c r="D35" s="239"/>
      <c r="E35" s="239"/>
      <c r="F35" s="239"/>
      <c r="G35" s="239"/>
      <c r="H35" s="239"/>
      <c r="I35" s="240"/>
    </row>
    <row r="36" spans="1:9" ht="18.75" customHeight="1" x14ac:dyDescent="0.15">
      <c r="A36" s="8"/>
      <c r="B36" s="241"/>
      <c r="C36" s="242"/>
      <c r="D36" s="242"/>
      <c r="E36" s="242"/>
      <c r="F36" s="242"/>
      <c r="G36" s="242"/>
      <c r="H36" s="242"/>
      <c r="I36" s="243"/>
    </row>
    <row r="37" spans="1:9" ht="18.75" customHeight="1" x14ac:dyDescent="0.15">
      <c r="A37" s="8"/>
      <c r="B37" s="241"/>
      <c r="C37" s="242"/>
      <c r="D37" s="242"/>
      <c r="E37" s="242"/>
      <c r="F37" s="242"/>
      <c r="G37" s="242"/>
      <c r="H37" s="242"/>
      <c r="I37" s="243"/>
    </row>
    <row r="38" spans="1:9" ht="18.75" customHeight="1" x14ac:dyDescent="0.15">
      <c r="A38" s="8"/>
      <c r="B38" s="241"/>
      <c r="C38" s="242"/>
      <c r="D38" s="242"/>
      <c r="E38" s="242"/>
      <c r="F38" s="242"/>
      <c r="G38" s="242"/>
      <c r="H38" s="242"/>
      <c r="I38" s="243"/>
    </row>
    <row r="39" spans="1:9" ht="18.75" customHeight="1" x14ac:dyDescent="0.15">
      <c r="A39" s="8"/>
      <c r="B39" s="241"/>
      <c r="C39" s="242"/>
      <c r="D39" s="242"/>
      <c r="E39" s="242"/>
      <c r="F39" s="242"/>
      <c r="G39" s="242"/>
      <c r="H39" s="242"/>
      <c r="I39" s="243"/>
    </row>
    <row r="40" spans="1:9" ht="18.75" customHeight="1" x14ac:dyDescent="0.15">
      <c r="A40" s="8"/>
      <c r="B40" s="241"/>
      <c r="C40" s="242"/>
      <c r="D40" s="242"/>
      <c r="E40" s="242"/>
      <c r="F40" s="242"/>
      <c r="G40" s="242"/>
      <c r="H40" s="242"/>
      <c r="I40" s="243"/>
    </row>
    <row r="41" spans="1:9" ht="18.75" customHeight="1" x14ac:dyDescent="0.15">
      <c r="A41" s="8"/>
      <c r="B41" s="241"/>
      <c r="C41" s="242"/>
      <c r="D41" s="242"/>
      <c r="E41" s="242"/>
      <c r="F41" s="242"/>
      <c r="G41" s="242"/>
      <c r="H41" s="242"/>
      <c r="I41" s="243"/>
    </row>
    <row r="42" spans="1:9" ht="18.75" customHeight="1" x14ac:dyDescent="0.15">
      <c r="A42" s="8"/>
      <c r="B42" s="241"/>
      <c r="C42" s="242"/>
      <c r="D42" s="242"/>
      <c r="E42" s="242"/>
      <c r="F42" s="242"/>
      <c r="G42" s="242"/>
      <c r="H42" s="242"/>
      <c r="I42" s="243"/>
    </row>
    <row r="43" spans="1:9" ht="18.75" customHeight="1" x14ac:dyDescent="0.15">
      <c r="A43" s="8"/>
      <c r="B43" s="241"/>
      <c r="C43" s="242"/>
      <c r="D43" s="242"/>
      <c r="E43" s="242"/>
      <c r="F43" s="242"/>
      <c r="G43" s="242"/>
      <c r="H43" s="242"/>
      <c r="I43" s="243"/>
    </row>
    <row r="44" spans="1:9" ht="18.75" customHeight="1" x14ac:dyDescent="0.15">
      <c r="A44" s="8"/>
      <c r="B44" s="241"/>
      <c r="C44" s="242"/>
      <c r="D44" s="242"/>
      <c r="E44" s="242"/>
      <c r="F44" s="242"/>
      <c r="G44" s="242"/>
      <c r="H44" s="242"/>
      <c r="I44" s="243"/>
    </row>
    <row r="45" spans="1:9" ht="18.75" customHeight="1" x14ac:dyDescent="0.15">
      <c r="A45" s="8"/>
      <c r="B45" s="241"/>
      <c r="C45" s="242"/>
      <c r="D45" s="242"/>
      <c r="E45" s="242"/>
      <c r="F45" s="242"/>
      <c r="G45" s="242"/>
      <c r="H45" s="242"/>
      <c r="I45" s="243"/>
    </row>
    <row r="46" spans="1:9" ht="12.75" customHeight="1" x14ac:dyDescent="0.15">
      <c r="A46" s="8"/>
      <c r="B46" s="244"/>
      <c r="C46" s="245"/>
      <c r="D46" s="245"/>
      <c r="E46" s="245"/>
      <c r="F46" s="245"/>
      <c r="G46" s="245"/>
      <c r="H46" s="245"/>
      <c r="I46" s="246"/>
    </row>
    <row r="47" spans="1:9" ht="7.5" customHeight="1" x14ac:dyDescent="0.15">
      <c r="A47" s="4"/>
      <c r="B47" s="4"/>
      <c r="C47" s="4"/>
      <c r="D47" s="4"/>
      <c r="E47" s="4"/>
      <c r="F47" s="4"/>
      <c r="G47" s="4"/>
      <c r="H47" s="4"/>
      <c r="I47" s="4"/>
    </row>
    <row r="48" spans="1:9" ht="18.75" customHeight="1" x14ac:dyDescent="0.15">
      <c r="A48" s="1" t="s">
        <v>30</v>
      </c>
      <c r="B48" s="1" t="s">
        <v>110</v>
      </c>
    </row>
    <row r="49" spans="1:15" s="3" customFormat="1" ht="18.75" customHeight="1" x14ac:dyDescent="0.15">
      <c r="B49" s="15" t="s">
        <v>127</v>
      </c>
      <c r="C49" s="212">
        <f>'様式２ 履修者等数の実績'!S16</f>
        <v>1.075</v>
      </c>
      <c r="D49" s="212"/>
      <c r="E49" s="15" t="s">
        <v>63</v>
      </c>
      <c r="F49" s="212">
        <v>1</v>
      </c>
      <c r="G49" s="212"/>
      <c r="H49" s="15" t="s">
        <v>64</v>
      </c>
      <c r="I49" s="16">
        <v>1</v>
      </c>
      <c r="J49" s="1"/>
      <c r="M49" s="1"/>
      <c r="N49" s="17"/>
    </row>
    <row r="50" spans="1:15" s="3" customFormat="1" ht="18.75" customHeight="1" x14ac:dyDescent="0.15">
      <c r="B50" s="18" t="s">
        <v>84</v>
      </c>
      <c r="C50" s="195">
        <v>1</v>
      </c>
      <c r="D50" s="195"/>
      <c r="E50" s="18" t="s">
        <v>128</v>
      </c>
      <c r="F50" s="195">
        <v>1</v>
      </c>
      <c r="G50" s="195"/>
      <c r="H50" s="18" t="s">
        <v>65</v>
      </c>
      <c r="I50" s="19">
        <v>960</v>
      </c>
      <c r="J50" s="1"/>
      <c r="M50" s="1"/>
      <c r="N50" s="17"/>
    </row>
    <row r="51" spans="1:15" ht="18.75" customHeight="1" x14ac:dyDescent="0.15">
      <c r="A51" s="1"/>
      <c r="B51" s="254" t="s">
        <v>66</v>
      </c>
      <c r="C51" s="255"/>
      <c r="D51" s="255"/>
      <c r="E51" s="255"/>
      <c r="F51" s="255"/>
      <c r="G51" s="255"/>
      <c r="H51" s="255"/>
      <c r="I51" s="256"/>
      <c r="N51" s="17"/>
      <c r="O51" s="3"/>
    </row>
    <row r="52" spans="1:15" ht="24.6" customHeight="1" x14ac:dyDescent="0.15">
      <c r="A52" s="1"/>
      <c r="B52" s="213" t="s">
        <v>207</v>
      </c>
      <c r="C52" s="214"/>
      <c r="D52" s="214"/>
      <c r="E52" s="214"/>
      <c r="F52" s="214"/>
      <c r="G52" s="214"/>
      <c r="H52" s="214"/>
      <c r="I52" s="215"/>
      <c r="N52" s="17"/>
      <c r="O52" s="3"/>
    </row>
    <row r="53" spans="1:15" ht="24.6" customHeight="1" x14ac:dyDescent="0.15">
      <c r="A53" s="1"/>
      <c r="B53" s="216"/>
      <c r="C53" s="217"/>
      <c r="D53" s="217"/>
      <c r="E53" s="217"/>
      <c r="F53" s="217"/>
      <c r="G53" s="217"/>
      <c r="H53" s="217"/>
      <c r="I53" s="218"/>
      <c r="N53" s="17"/>
      <c r="O53" s="3"/>
    </row>
    <row r="54" spans="1:15" ht="24.6" customHeight="1" x14ac:dyDescent="0.15">
      <c r="A54" s="1"/>
      <c r="B54" s="216"/>
      <c r="C54" s="217"/>
      <c r="D54" s="217"/>
      <c r="E54" s="217"/>
      <c r="F54" s="217"/>
      <c r="G54" s="217"/>
      <c r="H54" s="217"/>
      <c r="I54" s="218"/>
    </row>
    <row r="55" spans="1:15" ht="24.6" customHeight="1" x14ac:dyDescent="0.15">
      <c r="A55" s="1"/>
      <c r="B55" s="216"/>
      <c r="C55" s="217"/>
      <c r="D55" s="217"/>
      <c r="E55" s="217"/>
      <c r="F55" s="217"/>
      <c r="G55" s="217"/>
      <c r="H55" s="217"/>
      <c r="I55" s="218"/>
    </row>
    <row r="56" spans="1:15" ht="24.6" customHeight="1" x14ac:dyDescent="0.15">
      <c r="A56" s="1"/>
      <c r="B56" s="216"/>
      <c r="C56" s="217"/>
      <c r="D56" s="217"/>
      <c r="E56" s="217"/>
      <c r="F56" s="217"/>
      <c r="G56" s="217"/>
      <c r="H56" s="217"/>
      <c r="I56" s="218"/>
    </row>
    <row r="57" spans="1:15" ht="24.6" customHeight="1" x14ac:dyDescent="0.15">
      <c r="A57" s="1"/>
      <c r="B57" s="216"/>
      <c r="C57" s="217"/>
      <c r="D57" s="217"/>
      <c r="E57" s="217"/>
      <c r="F57" s="217"/>
      <c r="G57" s="217"/>
      <c r="H57" s="217"/>
      <c r="I57" s="218"/>
    </row>
    <row r="58" spans="1:15" ht="24.6" customHeight="1" x14ac:dyDescent="0.15">
      <c r="A58" s="1"/>
      <c r="B58" s="216"/>
      <c r="C58" s="217"/>
      <c r="D58" s="217"/>
      <c r="E58" s="217"/>
      <c r="F58" s="217"/>
      <c r="G58" s="217"/>
      <c r="H58" s="217"/>
      <c r="I58" s="218"/>
    </row>
    <row r="59" spans="1:15" ht="24.6" customHeight="1" x14ac:dyDescent="0.15">
      <c r="A59" s="1"/>
      <c r="B59" s="216"/>
      <c r="C59" s="217"/>
      <c r="D59" s="217"/>
      <c r="E59" s="217"/>
      <c r="F59" s="217"/>
      <c r="G59" s="217"/>
      <c r="H59" s="217"/>
      <c r="I59" s="218"/>
    </row>
    <row r="60" spans="1:15" ht="24.6" customHeight="1" x14ac:dyDescent="0.15">
      <c r="A60" s="1"/>
      <c r="B60" s="216"/>
      <c r="C60" s="217"/>
      <c r="D60" s="217"/>
      <c r="E60" s="217"/>
      <c r="F60" s="217"/>
      <c r="G60" s="217"/>
      <c r="H60" s="217"/>
      <c r="I60" s="218"/>
    </row>
    <row r="61" spans="1:15" ht="24.6" customHeight="1" x14ac:dyDescent="0.15">
      <c r="A61" s="1"/>
      <c r="B61" s="216"/>
      <c r="C61" s="217"/>
      <c r="D61" s="217"/>
      <c r="E61" s="217"/>
      <c r="F61" s="217"/>
      <c r="G61" s="217"/>
      <c r="H61" s="217"/>
      <c r="I61" s="218"/>
    </row>
    <row r="62" spans="1:15" ht="24.6" customHeight="1" x14ac:dyDescent="0.15">
      <c r="A62" s="1"/>
      <c r="B62" s="216"/>
      <c r="C62" s="217"/>
      <c r="D62" s="217"/>
      <c r="E62" s="217"/>
      <c r="F62" s="217"/>
      <c r="G62" s="217"/>
      <c r="H62" s="217"/>
      <c r="I62" s="218"/>
    </row>
    <row r="63" spans="1:15" ht="41.1" customHeight="1" x14ac:dyDescent="0.15">
      <c r="A63" s="1"/>
      <c r="B63" s="219"/>
      <c r="C63" s="220"/>
      <c r="D63" s="220"/>
      <c r="E63" s="220"/>
      <c r="F63" s="220"/>
      <c r="G63" s="220"/>
      <c r="H63" s="220"/>
      <c r="I63" s="221"/>
    </row>
    <row r="64" spans="1:15" ht="7.5" customHeight="1" x14ac:dyDescent="0.15">
      <c r="A64" s="8"/>
      <c r="B64" s="8"/>
      <c r="C64" s="8"/>
      <c r="D64" s="8"/>
      <c r="E64" s="8"/>
      <c r="F64" s="8"/>
      <c r="G64" s="8"/>
      <c r="H64" s="8"/>
      <c r="I64" s="8"/>
    </row>
    <row r="65" spans="1:9" ht="18.75" customHeight="1" x14ac:dyDescent="0.15">
      <c r="A65" s="9" t="s">
        <v>33</v>
      </c>
      <c r="B65" s="1" t="s">
        <v>36</v>
      </c>
      <c r="I65" s="9"/>
    </row>
    <row r="66" spans="1:9" ht="18.75" customHeight="1" x14ac:dyDescent="0.15">
      <c r="A66" s="4"/>
      <c r="B66" s="196" t="s">
        <v>196</v>
      </c>
      <c r="C66" s="197"/>
      <c r="D66" s="197"/>
      <c r="E66" s="197"/>
      <c r="F66" s="197"/>
      <c r="G66" s="197"/>
      <c r="H66" s="197"/>
      <c r="I66" s="198"/>
    </row>
    <row r="67" spans="1:9" ht="18.75" customHeight="1" x14ac:dyDescent="0.15">
      <c r="A67" s="4"/>
      <c r="B67" s="199"/>
      <c r="C67" s="200"/>
      <c r="D67" s="200"/>
      <c r="E67" s="200"/>
      <c r="F67" s="200"/>
      <c r="G67" s="200"/>
      <c r="H67" s="200"/>
      <c r="I67" s="201"/>
    </row>
    <row r="68" spans="1:9" ht="18.75" customHeight="1" x14ac:dyDescent="0.15">
      <c r="A68" s="4"/>
      <c r="B68" s="199"/>
      <c r="C68" s="200"/>
      <c r="D68" s="200"/>
      <c r="E68" s="200"/>
      <c r="F68" s="200"/>
      <c r="G68" s="200"/>
      <c r="H68" s="200"/>
      <c r="I68" s="201"/>
    </row>
    <row r="69" spans="1:9" ht="18.75" customHeight="1" x14ac:dyDescent="0.15">
      <c r="A69" s="4"/>
      <c r="B69" s="199"/>
      <c r="C69" s="200"/>
      <c r="D69" s="200"/>
      <c r="E69" s="200"/>
      <c r="F69" s="200"/>
      <c r="G69" s="200"/>
      <c r="H69" s="200"/>
      <c r="I69" s="201"/>
    </row>
    <row r="70" spans="1:9" ht="18.75" customHeight="1" x14ac:dyDescent="0.15">
      <c r="A70" s="4"/>
      <c r="B70" s="199"/>
      <c r="C70" s="200"/>
      <c r="D70" s="200"/>
      <c r="E70" s="200"/>
      <c r="F70" s="200"/>
      <c r="G70" s="200"/>
      <c r="H70" s="200"/>
      <c r="I70" s="201"/>
    </row>
    <row r="71" spans="1:9" ht="18.75" customHeight="1" x14ac:dyDescent="0.15">
      <c r="A71" s="4"/>
      <c r="B71" s="199"/>
      <c r="C71" s="200"/>
      <c r="D71" s="200"/>
      <c r="E71" s="200"/>
      <c r="F71" s="200"/>
      <c r="G71" s="200"/>
      <c r="H71" s="200"/>
      <c r="I71" s="201"/>
    </row>
    <row r="72" spans="1:9" ht="18.75" customHeight="1" x14ac:dyDescent="0.15">
      <c r="A72" s="4"/>
      <c r="B72" s="199"/>
      <c r="C72" s="200"/>
      <c r="D72" s="200"/>
      <c r="E72" s="200"/>
      <c r="F72" s="200"/>
      <c r="G72" s="200"/>
      <c r="H72" s="200"/>
      <c r="I72" s="201"/>
    </row>
    <row r="73" spans="1:9" ht="18.75" customHeight="1" x14ac:dyDescent="0.15">
      <c r="A73" s="4"/>
      <c r="B73" s="199"/>
      <c r="C73" s="200"/>
      <c r="D73" s="200"/>
      <c r="E73" s="200"/>
      <c r="F73" s="200"/>
      <c r="G73" s="200"/>
      <c r="H73" s="200"/>
      <c r="I73" s="201"/>
    </row>
    <row r="74" spans="1:9" ht="18.75" customHeight="1" x14ac:dyDescent="0.15">
      <c r="A74" s="4"/>
      <c r="B74" s="199"/>
      <c r="C74" s="200"/>
      <c r="D74" s="200"/>
      <c r="E74" s="200"/>
      <c r="F74" s="200"/>
      <c r="G74" s="200"/>
      <c r="H74" s="200"/>
      <c r="I74" s="201"/>
    </row>
    <row r="75" spans="1:9" ht="18.75" customHeight="1" x14ac:dyDescent="0.15">
      <c r="A75" s="4"/>
      <c r="B75" s="199"/>
      <c r="C75" s="200"/>
      <c r="D75" s="200"/>
      <c r="E75" s="200"/>
      <c r="F75" s="200"/>
      <c r="G75" s="200"/>
      <c r="H75" s="200"/>
      <c r="I75" s="201"/>
    </row>
    <row r="76" spans="1:9" ht="18.75" customHeight="1" x14ac:dyDescent="0.15">
      <c r="A76" s="4"/>
      <c r="B76" s="199"/>
      <c r="C76" s="200"/>
      <c r="D76" s="200"/>
      <c r="E76" s="200"/>
      <c r="F76" s="200"/>
      <c r="G76" s="200"/>
      <c r="H76" s="200"/>
      <c r="I76" s="201"/>
    </row>
    <row r="77" spans="1:9" ht="18.75" customHeight="1" x14ac:dyDescent="0.15">
      <c r="A77" s="4"/>
      <c r="B77" s="202"/>
      <c r="C77" s="203"/>
      <c r="D77" s="203"/>
      <c r="E77" s="203"/>
      <c r="F77" s="203"/>
      <c r="G77" s="203"/>
      <c r="H77" s="203"/>
      <c r="I77" s="204"/>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96" t="s">
        <v>197</v>
      </c>
      <c r="C80" s="197"/>
      <c r="D80" s="197"/>
      <c r="E80" s="197"/>
      <c r="F80" s="197"/>
      <c r="G80" s="197"/>
      <c r="H80" s="197"/>
      <c r="I80" s="205"/>
    </row>
    <row r="81" spans="1:9" ht="18.75" customHeight="1" x14ac:dyDescent="0.15">
      <c r="A81" s="1"/>
      <c r="B81" s="206"/>
      <c r="C81" s="207"/>
      <c r="D81" s="207"/>
      <c r="E81" s="207"/>
      <c r="F81" s="207"/>
      <c r="G81" s="207"/>
      <c r="H81" s="207"/>
      <c r="I81" s="208"/>
    </row>
    <row r="82" spans="1:9" ht="18.75" customHeight="1" x14ac:dyDescent="0.15">
      <c r="A82" s="1"/>
      <c r="B82" s="206"/>
      <c r="C82" s="207"/>
      <c r="D82" s="207"/>
      <c r="E82" s="207"/>
      <c r="F82" s="207"/>
      <c r="G82" s="207"/>
      <c r="H82" s="207"/>
      <c r="I82" s="208"/>
    </row>
    <row r="83" spans="1:9" ht="18.75" customHeight="1" x14ac:dyDescent="0.15">
      <c r="A83" s="1"/>
      <c r="B83" s="206"/>
      <c r="C83" s="207"/>
      <c r="D83" s="207"/>
      <c r="E83" s="207"/>
      <c r="F83" s="207"/>
      <c r="G83" s="207"/>
      <c r="H83" s="207"/>
      <c r="I83" s="208"/>
    </row>
    <row r="84" spans="1:9" ht="18.75" customHeight="1" x14ac:dyDescent="0.15">
      <c r="A84" s="1"/>
      <c r="B84" s="206"/>
      <c r="C84" s="207"/>
      <c r="D84" s="207"/>
      <c r="E84" s="207"/>
      <c r="F84" s="207"/>
      <c r="G84" s="207"/>
      <c r="H84" s="207"/>
      <c r="I84" s="208"/>
    </row>
    <row r="85" spans="1:9" ht="18.75" customHeight="1" x14ac:dyDescent="0.15">
      <c r="A85" s="1"/>
      <c r="B85" s="206"/>
      <c r="C85" s="207"/>
      <c r="D85" s="207"/>
      <c r="E85" s="207"/>
      <c r="F85" s="207"/>
      <c r="G85" s="207"/>
      <c r="H85" s="207"/>
      <c r="I85" s="208"/>
    </row>
    <row r="86" spans="1:9" ht="18.75" customHeight="1" x14ac:dyDescent="0.15">
      <c r="A86" s="4"/>
      <c r="B86" s="206"/>
      <c r="C86" s="207"/>
      <c r="D86" s="207"/>
      <c r="E86" s="207"/>
      <c r="F86" s="207"/>
      <c r="G86" s="207"/>
      <c r="H86" s="207"/>
      <c r="I86" s="208"/>
    </row>
    <row r="87" spans="1:9" ht="18.75" customHeight="1" x14ac:dyDescent="0.15">
      <c r="A87" s="4"/>
      <c r="B87" s="209"/>
      <c r="C87" s="210"/>
      <c r="D87" s="210"/>
      <c r="E87" s="210"/>
      <c r="F87" s="210"/>
      <c r="G87" s="210"/>
      <c r="H87" s="210"/>
      <c r="I87" s="211"/>
    </row>
    <row r="88" spans="1:9" ht="7.5" customHeight="1" x14ac:dyDescent="0.15">
      <c r="A88" s="4"/>
      <c r="B88" s="4"/>
      <c r="C88" s="4"/>
      <c r="D88" s="4"/>
      <c r="E88" s="4"/>
      <c r="F88" s="4"/>
      <c r="G88" s="4"/>
      <c r="H88" s="4"/>
      <c r="I88" s="4"/>
    </row>
    <row r="89" spans="1:9" ht="18.75" customHeight="1" x14ac:dyDescent="0.15">
      <c r="A89" s="1" t="s">
        <v>42</v>
      </c>
      <c r="B89" s="1" t="s">
        <v>12</v>
      </c>
    </row>
    <row r="90" spans="1:9" ht="18.75" customHeight="1" x14ac:dyDescent="0.15">
      <c r="A90" s="1"/>
      <c r="B90" s="227" t="s">
        <v>198</v>
      </c>
      <c r="C90" s="228"/>
      <c r="D90" s="228"/>
      <c r="E90" s="228"/>
      <c r="F90" s="228"/>
      <c r="G90" s="228"/>
      <c r="H90" s="228"/>
      <c r="I90" s="229"/>
    </row>
    <row r="91" spans="1:9" ht="18.75" customHeight="1" x14ac:dyDescent="0.15">
      <c r="A91" s="1"/>
      <c r="B91" s="233"/>
      <c r="C91" s="234"/>
      <c r="D91" s="234"/>
      <c r="E91" s="234"/>
      <c r="F91" s="234"/>
      <c r="G91" s="234"/>
      <c r="H91" s="234"/>
      <c r="I91" s="232"/>
    </row>
    <row r="92" spans="1:9" ht="18.75" customHeight="1" x14ac:dyDescent="0.15">
      <c r="A92" s="1"/>
      <c r="B92" s="233"/>
      <c r="C92" s="234"/>
      <c r="D92" s="234"/>
      <c r="E92" s="234"/>
      <c r="F92" s="234"/>
      <c r="G92" s="234"/>
      <c r="H92" s="234"/>
      <c r="I92" s="232"/>
    </row>
    <row r="93" spans="1:9" ht="18.75" customHeight="1" x14ac:dyDescent="0.15">
      <c r="A93" s="1"/>
      <c r="B93" s="233"/>
      <c r="C93" s="234"/>
      <c r="D93" s="234"/>
      <c r="E93" s="234"/>
      <c r="F93" s="234"/>
      <c r="G93" s="234"/>
      <c r="H93" s="234"/>
      <c r="I93" s="232"/>
    </row>
    <row r="94" spans="1:9" ht="18.75" customHeight="1" x14ac:dyDescent="0.15">
      <c r="A94" s="1"/>
      <c r="B94" s="233"/>
      <c r="C94" s="234"/>
      <c r="D94" s="234"/>
      <c r="E94" s="234"/>
      <c r="F94" s="234"/>
      <c r="G94" s="234"/>
      <c r="H94" s="234"/>
      <c r="I94" s="232"/>
    </row>
    <row r="95" spans="1:9" ht="18.75" customHeight="1" x14ac:dyDescent="0.15">
      <c r="A95" s="1"/>
      <c r="B95" s="233"/>
      <c r="C95" s="234"/>
      <c r="D95" s="234"/>
      <c r="E95" s="234"/>
      <c r="F95" s="234"/>
      <c r="G95" s="234"/>
      <c r="H95" s="234"/>
      <c r="I95" s="232"/>
    </row>
    <row r="96" spans="1:9" ht="18.75" customHeight="1" x14ac:dyDescent="0.15">
      <c r="A96" s="1"/>
      <c r="B96" s="233"/>
      <c r="C96" s="234"/>
      <c r="D96" s="234"/>
      <c r="E96" s="234"/>
      <c r="F96" s="234"/>
      <c r="G96" s="234"/>
      <c r="H96" s="234"/>
      <c r="I96" s="232"/>
    </row>
    <row r="97" spans="1:9" ht="18.75" customHeight="1" x14ac:dyDescent="0.15">
      <c r="A97" s="1"/>
      <c r="B97" s="233"/>
      <c r="C97" s="234"/>
      <c r="D97" s="234"/>
      <c r="E97" s="234"/>
      <c r="F97" s="234"/>
      <c r="G97" s="234"/>
      <c r="H97" s="234"/>
      <c r="I97" s="232"/>
    </row>
    <row r="98" spans="1:9" ht="18.75" customHeight="1" x14ac:dyDescent="0.15">
      <c r="A98" s="1"/>
      <c r="B98" s="233"/>
      <c r="C98" s="234"/>
      <c r="D98" s="234"/>
      <c r="E98" s="234"/>
      <c r="F98" s="234"/>
      <c r="G98" s="234"/>
      <c r="H98" s="234"/>
      <c r="I98" s="232"/>
    </row>
    <row r="99" spans="1:9" ht="18.75" customHeight="1" x14ac:dyDescent="0.15">
      <c r="A99" s="1"/>
      <c r="B99" s="233"/>
      <c r="C99" s="234"/>
      <c r="D99" s="234"/>
      <c r="E99" s="234"/>
      <c r="F99" s="234"/>
      <c r="G99" s="234"/>
      <c r="H99" s="234"/>
      <c r="I99" s="232"/>
    </row>
    <row r="100" spans="1:9" ht="18.75" customHeight="1" x14ac:dyDescent="0.15">
      <c r="A100" s="1"/>
      <c r="B100" s="233"/>
      <c r="C100" s="234"/>
      <c r="D100" s="234"/>
      <c r="E100" s="234"/>
      <c r="F100" s="234"/>
      <c r="G100" s="234"/>
      <c r="H100" s="234"/>
      <c r="I100" s="232"/>
    </row>
    <row r="101" spans="1:9" ht="18.75" customHeight="1" x14ac:dyDescent="0.15">
      <c r="A101" s="4"/>
      <c r="B101" s="235"/>
      <c r="C101" s="236"/>
      <c r="D101" s="236"/>
      <c r="E101" s="236"/>
      <c r="F101" s="236"/>
      <c r="G101" s="236"/>
      <c r="H101" s="236"/>
      <c r="I101" s="237"/>
    </row>
    <row r="102" spans="1:9" ht="7.5" customHeight="1" x14ac:dyDescent="0.15">
      <c r="A102" s="4"/>
      <c r="B102" s="4"/>
      <c r="C102" s="4"/>
      <c r="D102" s="4"/>
      <c r="E102" s="4"/>
      <c r="F102" s="4"/>
      <c r="G102" s="4"/>
      <c r="H102" s="4"/>
      <c r="I102" s="4"/>
    </row>
    <row r="103" spans="1:9" ht="18.75" customHeight="1" x14ac:dyDescent="0.15">
      <c r="A103" s="1" t="s">
        <v>29</v>
      </c>
      <c r="B103" s="253" t="s">
        <v>44</v>
      </c>
      <c r="C103" s="253"/>
      <c r="D103" s="253"/>
      <c r="E103" s="253"/>
      <c r="F103" s="253"/>
      <c r="G103" s="253"/>
      <c r="H103" s="253"/>
      <c r="I103" s="253"/>
    </row>
    <row r="104" spans="1:9" ht="18.75" customHeight="1" x14ac:dyDescent="0.15">
      <c r="A104" s="4"/>
      <c r="B104" s="227" t="s">
        <v>199</v>
      </c>
      <c r="C104" s="228"/>
      <c r="D104" s="228"/>
      <c r="E104" s="228"/>
      <c r="F104" s="228"/>
      <c r="G104" s="228"/>
      <c r="H104" s="228"/>
      <c r="I104" s="229"/>
    </row>
    <row r="105" spans="1:9" ht="18.75" customHeight="1" x14ac:dyDescent="0.15">
      <c r="A105" s="4"/>
      <c r="B105" s="233"/>
      <c r="C105" s="234"/>
      <c r="D105" s="234"/>
      <c r="E105" s="234"/>
      <c r="F105" s="234"/>
      <c r="G105" s="234"/>
      <c r="H105" s="234"/>
      <c r="I105" s="232"/>
    </row>
    <row r="106" spans="1:9" ht="18.75" customHeight="1" x14ac:dyDescent="0.15">
      <c r="A106" s="4"/>
      <c r="B106" s="233"/>
      <c r="C106" s="234"/>
      <c r="D106" s="234"/>
      <c r="E106" s="234"/>
      <c r="F106" s="234"/>
      <c r="G106" s="234"/>
      <c r="H106" s="234"/>
      <c r="I106" s="232"/>
    </row>
    <row r="107" spans="1:9" ht="18.75" customHeight="1" x14ac:dyDescent="0.15">
      <c r="A107" s="4"/>
      <c r="B107" s="233"/>
      <c r="C107" s="234"/>
      <c r="D107" s="234"/>
      <c r="E107" s="234"/>
      <c r="F107" s="234"/>
      <c r="G107" s="234"/>
      <c r="H107" s="234"/>
      <c r="I107" s="232"/>
    </row>
    <row r="108" spans="1:9" ht="18.75" customHeight="1" x14ac:dyDescent="0.15">
      <c r="A108" s="4"/>
      <c r="B108" s="233"/>
      <c r="C108" s="234"/>
      <c r="D108" s="234"/>
      <c r="E108" s="234"/>
      <c r="F108" s="234"/>
      <c r="G108" s="234"/>
      <c r="H108" s="234"/>
      <c r="I108" s="232"/>
    </row>
    <row r="109" spans="1:9" ht="18.75" customHeight="1" x14ac:dyDescent="0.15">
      <c r="A109" s="4"/>
      <c r="B109" s="233"/>
      <c r="C109" s="234"/>
      <c r="D109" s="234"/>
      <c r="E109" s="234"/>
      <c r="F109" s="234"/>
      <c r="G109" s="234"/>
      <c r="H109" s="234"/>
      <c r="I109" s="232"/>
    </row>
    <row r="110" spans="1:9" ht="18.75" customHeight="1" x14ac:dyDescent="0.15">
      <c r="A110" s="4"/>
      <c r="B110" s="233"/>
      <c r="C110" s="234"/>
      <c r="D110" s="234"/>
      <c r="E110" s="234"/>
      <c r="F110" s="234"/>
      <c r="G110" s="234"/>
      <c r="H110" s="234"/>
      <c r="I110" s="232"/>
    </row>
    <row r="111" spans="1:9" ht="18.75" customHeight="1" x14ac:dyDescent="0.15">
      <c r="A111" s="4"/>
      <c r="B111" s="233"/>
      <c r="C111" s="234"/>
      <c r="D111" s="234"/>
      <c r="E111" s="234"/>
      <c r="F111" s="234"/>
      <c r="G111" s="234"/>
      <c r="H111" s="234"/>
      <c r="I111" s="232"/>
    </row>
    <row r="112" spans="1:9" ht="18.75" customHeight="1" x14ac:dyDescent="0.15">
      <c r="A112" s="4"/>
      <c r="B112" s="233"/>
      <c r="C112" s="234"/>
      <c r="D112" s="234"/>
      <c r="E112" s="234"/>
      <c r="F112" s="234"/>
      <c r="G112" s="234"/>
      <c r="H112" s="234"/>
      <c r="I112" s="232"/>
    </row>
    <row r="113" spans="1:9" ht="18.75" customHeight="1" x14ac:dyDescent="0.15">
      <c r="A113" s="4"/>
      <c r="B113" s="233"/>
      <c r="C113" s="234"/>
      <c r="D113" s="234"/>
      <c r="E113" s="234"/>
      <c r="F113" s="234"/>
      <c r="G113" s="234"/>
      <c r="H113" s="234"/>
      <c r="I113" s="232"/>
    </row>
    <row r="114" spans="1:9" ht="18.75" customHeight="1" x14ac:dyDescent="0.15">
      <c r="A114" s="4"/>
      <c r="B114" s="233"/>
      <c r="C114" s="234"/>
      <c r="D114" s="234"/>
      <c r="E114" s="234"/>
      <c r="F114" s="234"/>
      <c r="G114" s="234"/>
      <c r="H114" s="234"/>
      <c r="I114" s="232"/>
    </row>
    <row r="115" spans="1:9" ht="18.75" customHeight="1" x14ac:dyDescent="0.15">
      <c r="A115" s="4"/>
      <c r="B115" s="235"/>
      <c r="C115" s="236"/>
      <c r="D115" s="236"/>
      <c r="E115" s="236"/>
      <c r="F115" s="236"/>
      <c r="G115" s="236"/>
      <c r="H115" s="236"/>
      <c r="I115" s="237"/>
    </row>
    <row r="116" spans="1:9" ht="7.5" customHeight="1" x14ac:dyDescent="0.15">
      <c r="A116" s="4"/>
      <c r="B116" s="20"/>
      <c r="C116" s="20"/>
      <c r="D116" s="20"/>
      <c r="E116" s="20"/>
      <c r="F116" s="20"/>
      <c r="G116" s="20"/>
      <c r="H116" s="20"/>
      <c r="I116" s="20"/>
    </row>
    <row r="117" spans="1:9" ht="18.75" customHeight="1" x14ac:dyDescent="0.15">
      <c r="A117" s="33"/>
      <c r="B117" s="222"/>
      <c r="C117" s="222"/>
      <c r="D117" s="222"/>
      <c r="E117" s="222"/>
      <c r="F117" s="222"/>
      <c r="G117" s="222"/>
      <c r="H117" s="222"/>
      <c r="I117" s="222"/>
    </row>
    <row r="118" spans="1:9" ht="18.75" customHeight="1" x14ac:dyDescent="0.15">
      <c r="A118" s="33"/>
      <c r="B118" s="222"/>
      <c r="C118" s="222"/>
      <c r="D118" s="222"/>
      <c r="E118" s="222"/>
      <c r="F118" s="222"/>
      <c r="G118" s="222"/>
      <c r="H118" s="222"/>
      <c r="I118" s="222"/>
    </row>
    <row r="119" spans="1:9" ht="18.75" customHeight="1" x14ac:dyDescent="0.15">
      <c r="A119" s="4"/>
      <c r="B119" s="34"/>
      <c r="C119" s="34"/>
      <c r="D119" s="34"/>
      <c r="E119" s="34"/>
      <c r="F119" s="34"/>
      <c r="G119" s="34"/>
      <c r="H119" s="34"/>
      <c r="I119" s="35"/>
    </row>
    <row r="120" spans="1:9" ht="18.75" customHeight="1" x14ac:dyDescent="0.15">
      <c r="A120" s="4"/>
      <c r="B120" s="35"/>
      <c r="C120" s="35"/>
      <c r="D120" s="35"/>
      <c r="E120" s="35"/>
      <c r="F120" s="35"/>
      <c r="G120" s="35"/>
      <c r="H120" s="35"/>
      <c r="I120" s="35"/>
    </row>
    <row r="121" spans="1:9" ht="18.75" customHeight="1" x14ac:dyDescent="0.15">
      <c r="A121" s="4"/>
      <c r="B121" s="35"/>
      <c r="C121" s="35"/>
      <c r="D121" s="35"/>
      <c r="E121" s="35"/>
      <c r="F121" s="35"/>
      <c r="G121" s="35"/>
      <c r="H121" s="35"/>
      <c r="I121" s="35"/>
    </row>
    <row r="122" spans="1:9" ht="18.75" customHeight="1" x14ac:dyDescent="0.15">
      <c r="A122" s="4"/>
      <c r="B122" s="35"/>
      <c r="C122" s="35"/>
      <c r="D122" s="35"/>
      <c r="E122" s="35"/>
      <c r="F122" s="35"/>
      <c r="G122" s="35"/>
      <c r="H122" s="35"/>
      <c r="I122" s="35"/>
    </row>
    <row r="123" spans="1:9" ht="18.75" customHeight="1" x14ac:dyDescent="0.15">
      <c r="A123" s="4"/>
      <c r="B123" s="35"/>
      <c r="C123" s="35"/>
      <c r="D123" s="35"/>
      <c r="E123" s="35"/>
      <c r="F123" s="35"/>
      <c r="G123" s="35"/>
      <c r="H123" s="35"/>
      <c r="I123" s="35"/>
    </row>
    <row r="124" spans="1:9" ht="18.75" customHeight="1" x14ac:dyDescent="0.15">
      <c r="A124" s="4"/>
      <c r="B124" s="35"/>
      <c r="C124" s="35"/>
      <c r="D124" s="35"/>
      <c r="E124" s="35"/>
      <c r="F124" s="35"/>
      <c r="G124" s="35"/>
      <c r="H124" s="35"/>
      <c r="I124" s="35"/>
    </row>
    <row r="125" spans="1:9" ht="18.75" customHeight="1" x14ac:dyDescent="0.15">
      <c r="A125" s="4"/>
      <c r="B125" s="35"/>
      <c r="C125" s="35"/>
      <c r="D125" s="35"/>
      <c r="E125" s="35"/>
      <c r="F125" s="35"/>
      <c r="G125" s="35"/>
      <c r="H125" s="35"/>
      <c r="I125" s="35"/>
    </row>
    <row r="126" spans="1:9" ht="18.75" customHeight="1" x14ac:dyDescent="0.15">
      <c r="A126" s="4"/>
      <c r="B126" s="35"/>
      <c r="C126" s="35"/>
      <c r="D126" s="35"/>
      <c r="E126" s="35"/>
      <c r="F126" s="35"/>
      <c r="G126" s="35"/>
      <c r="H126" s="35"/>
      <c r="I126" s="35"/>
    </row>
    <row r="127" spans="1:9" ht="18.75" customHeight="1" x14ac:dyDescent="0.15">
      <c r="A127" s="4"/>
      <c r="B127" s="35"/>
      <c r="C127" s="35"/>
      <c r="D127" s="35"/>
      <c r="E127" s="35"/>
      <c r="F127" s="35"/>
      <c r="G127" s="35"/>
      <c r="H127" s="35"/>
      <c r="I127" s="35"/>
    </row>
    <row r="128" spans="1:9" ht="18.75" customHeight="1" x14ac:dyDescent="0.15">
      <c r="A128" s="4"/>
      <c r="B128" s="35"/>
      <c r="C128" s="35"/>
      <c r="D128" s="35"/>
      <c r="E128" s="35"/>
      <c r="F128" s="35"/>
      <c r="G128" s="35"/>
      <c r="H128" s="35"/>
      <c r="I128" s="35"/>
    </row>
    <row r="129" spans="1:9" ht="14.25" x14ac:dyDescent="0.15">
      <c r="A129" s="4"/>
      <c r="B129" s="35"/>
      <c r="C129" s="35"/>
      <c r="D129" s="35"/>
      <c r="E129" s="35"/>
      <c r="F129" s="35"/>
      <c r="G129" s="35"/>
      <c r="H129" s="35"/>
      <c r="I129" s="35"/>
    </row>
    <row r="130" spans="1:9" ht="7.5" customHeight="1" x14ac:dyDescent="0.15">
      <c r="A130" s="4"/>
      <c r="B130" s="35"/>
      <c r="C130" s="35"/>
      <c r="D130" s="35"/>
      <c r="E130" s="35"/>
      <c r="F130" s="35"/>
      <c r="G130" s="35"/>
      <c r="H130" s="35"/>
      <c r="I130" s="35"/>
    </row>
  </sheetData>
  <mergeCells count="23">
    <mergeCell ref="B117:I118"/>
    <mergeCell ref="H2:I2"/>
    <mergeCell ref="A4:I4"/>
    <mergeCell ref="B19:I19"/>
    <mergeCell ref="B22:I32"/>
    <mergeCell ref="B35:I46"/>
    <mergeCell ref="B14:I14"/>
    <mergeCell ref="C16:E16"/>
    <mergeCell ref="H16:I16"/>
    <mergeCell ref="C11:E11"/>
    <mergeCell ref="H11:I11"/>
    <mergeCell ref="C6:D6"/>
    <mergeCell ref="B90:I101"/>
    <mergeCell ref="B103:I103"/>
    <mergeCell ref="B104:I115"/>
    <mergeCell ref="B51:I51"/>
    <mergeCell ref="F50:G50"/>
    <mergeCell ref="B66:I77"/>
    <mergeCell ref="B80:I87"/>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88"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tabSelected="1" view="pageBreakPreview" topLeftCell="A19" zoomScale="145" zoomScaleNormal="100" zoomScaleSheetLayoutView="145" workbookViewId="0">
      <selection activeCell="B28" sqref="B28:F28"/>
    </sheetView>
  </sheetViews>
  <sheetFormatPr defaultColWidth="11.375" defaultRowHeight="22.5" customHeight="1" x14ac:dyDescent="0.15"/>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375" style="1"/>
  </cols>
  <sheetData>
    <row r="1" spans="1:9" ht="18.75" customHeight="1" x14ac:dyDescent="0.15">
      <c r="A1" s="1" t="s">
        <v>67</v>
      </c>
      <c r="I1" s="11" t="s">
        <v>95</v>
      </c>
    </row>
    <row r="2" spans="1:9" ht="18.75" customHeight="1" x14ac:dyDescent="0.15">
      <c r="H2" s="11" t="s">
        <v>98</v>
      </c>
      <c r="I2" s="10" t="str">
        <f>'様式１-1　プログラムを構成する授業科目'!C2</f>
        <v>福岡県立大学</v>
      </c>
    </row>
    <row r="3" spans="1:9" ht="18.75" customHeight="1" x14ac:dyDescent="0.15">
      <c r="A3" s="223" t="s">
        <v>27</v>
      </c>
      <c r="B3" s="223"/>
      <c r="C3" s="223"/>
      <c r="D3" s="223"/>
      <c r="E3" s="223"/>
      <c r="F3" s="223"/>
      <c r="G3" s="223"/>
      <c r="H3" s="223"/>
      <c r="I3" s="223"/>
    </row>
    <row r="4" spans="1:9" ht="18.75" customHeight="1" x14ac:dyDescent="0.15">
      <c r="A4" s="5"/>
      <c r="B4" s="5"/>
      <c r="C4" s="5"/>
      <c r="D4" s="5"/>
      <c r="E4" s="5"/>
      <c r="F4" s="5"/>
      <c r="G4" s="5"/>
      <c r="H4" s="5"/>
      <c r="I4" s="5"/>
    </row>
    <row r="5" spans="1:9" ht="18.75" customHeight="1" x14ac:dyDescent="0.15">
      <c r="A5" s="1" t="s">
        <v>0</v>
      </c>
      <c r="B5" s="7" t="s">
        <v>89</v>
      </c>
      <c r="C5" s="5"/>
      <c r="D5" s="5"/>
      <c r="E5" s="5"/>
      <c r="F5" s="5"/>
      <c r="G5" s="5"/>
      <c r="H5" s="5"/>
      <c r="I5" s="5"/>
    </row>
    <row r="6" spans="1:9" ht="26.25" customHeight="1" x14ac:dyDescent="0.15">
      <c r="A6" s="5"/>
      <c r="B6" s="247" t="s">
        <v>166</v>
      </c>
      <c r="C6" s="282"/>
      <c r="D6" s="282"/>
      <c r="E6" s="282"/>
      <c r="F6" s="282"/>
      <c r="G6" s="282"/>
      <c r="H6" s="283"/>
      <c r="I6" s="3"/>
    </row>
    <row r="7" spans="1:9" ht="9" customHeight="1" x14ac:dyDescent="0.15">
      <c r="A7" s="5"/>
      <c r="B7" s="7"/>
      <c r="C7" s="7"/>
      <c r="D7" s="7"/>
      <c r="E7" s="7"/>
      <c r="F7" s="7"/>
      <c r="G7" s="7"/>
      <c r="H7" s="7"/>
      <c r="I7" s="3"/>
    </row>
    <row r="8" spans="1:9" ht="18.75" customHeight="1" x14ac:dyDescent="0.15">
      <c r="A8" s="5"/>
      <c r="B8" s="3"/>
      <c r="C8" s="3"/>
      <c r="D8" s="11" t="s">
        <v>41</v>
      </c>
      <c r="E8" s="12" t="s">
        <v>163</v>
      </c>
      <c r="F8" s="3"/>
      <c r="G8" s="11" t="s">
        <v>10</v>
      </c>
      <c r="H8" s="12" t="s">
        <v>167</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107" t="s">
        <v>23</v>
      </c>
      <c r="C11" s="108"/>
      <c r="D11" s="109"/>
      <c r="E11" s="108" t="s">
        <v>25</v>
      </c>
      <c r="F11" s="108"/>
      <c r="G11" s="108"/>
      <c r="H11" s="108"/>
      <c r="I11" s="109"/>
    </row>
    <row r="12" spans="1:9" ht="26.25" customHeight="1" x14ac:dyDescent="0.15">
      <c r="B12" s="21" t="s">
        <v>13</v>
      </c>
      <c r="C12" s="28"/>
      <c r="D12" s="22"/>
      <c r="E12" s="29"/>
      <c r="F12" s="29"/>
      <c r="G12" s="29"/>
      <c r="H12" s="29"/>
      <c r="I12" s="22"/>
    </row>
    <row r="13" spans="1:9" ht="210.75" customHeight="1" x14ac:dyDescent="0.15">
      <c r="B13" s="23"/>
      <c r="C13" s="262" t="s">
        <v>14</v>
      </c>
      <c r="D13" s="263"/>
      <c r="E13" s="278" t="s">
        <v>209</v>
      </c>
      <c r="F13" s="264"/>
      <c r="G13" s="264"/>
      <c r="H13" s="264"/>
      <c r="I13" s="265"/>
    </row>
    <row r="14" spans="1:9" ht="210.75" customHeight="1" x14ac:dyDescent="0.15">
      <c r="B14" s="23"/>
      <c r="C14" s="280" t="s">
        <v>15</v>
      </c>
      <c r="D14" s="281"/>
      <c r="E14" s="278" t="s">
        <v>200</v>
      </c>
      <c r="F14" s="264"/>
      <c r="G14" s="264"/>
      <c r="H14" s="264"/>
      <c r="I14" s="265"/>
    </row>
    <row r="15" spans="1:9" ht="210.75" customHeight="1" x14ac:dyDescent="0.15">
      <c r="B15" s="23"/>
      <c r="C15" s="262" t="s">
        <v>16</v>
      </c>
      <c r="D15" s="263"/>
      <c r="E15" s="275" t="s">
        <v>191</v>
      </c>
      <c r="F15" s="276"/>
      <c r="G15" s="276"/>
      <c r="H15" s="276"/>
      <c r="I15" s="277"/>
    </row>
    <row r="16" spans="1:9" ht="158.1" customHeight="1" x14ac:dyDescent="0.15">
      <c r="B16" s="23"/>
      <c r="C16" s="262" t="s">
        <v>17</v>
      </c>
      <c r="D16" s="263"/>
      <c r="E16" s="278" t="s">
        <v>193</v>
      </c>
      <c r="F16" s="264"/>
      <c r="G16" s="264"/>
      <c r="H16" s="264"/>
      <c r="I16" s="265"/>
    </row>
    <row r="17" spans="2:9" ht="136.5" customHeight="1" x14ac:dyDescent="0.15">
      <c r="B17" s="24"/>
      <c r="C17" s="266" t="s">
        <v>18</v>
      </c>
      <c r="D17" s="267"/>
      <c r="E17" s="279" t="s">
        <v>208</v>
      </c>
      <c r="F17" s="268"/>
      <c r="G17" s="268"/>
      <c r="H17" s="268"/>
      <c r="I17" s="269"/>
    </row>
    <row r="18" spans="2:9" ht="24" customHeight="1" x14ac:dyDescent="0.15">
      <c r="B18" s="21" t="s">
        <v>19</v>
      </c>
      <c r="C18" s="25"/>
      <c r="D18" s="26"/>
      <c r="E18" s="27"/>
      <c r="F18" s="27"/>
      <c r="G18" s="27"/>
      <c r="H18" s="27"/>
      <c r="I18" s="30"/>
    </row>
    <row r="19" spans="2:9" ht="146.1" customHeight="1" x14ac:dyDescent="0.15">
      <c r="B19" s="23"/>
      <c r="C19" s="262" t="s">
        <v>20</v>
      </c>
      <c r="D19" s="263"/>
      <c r="E19" s="264" t="s">
        <v>203</v>
      </c>
      <c r="F19" s="264"/>
      <c r="G19" s="264"/>
      <c r="H19" s="264"/>
      <c r="I19" s="265"/>
    </row>
    <row r="20" spans="2:9" ht="218.25" customHeight="1" x14ac:dyDescent="0.15">
      <c r="B20" s="24"/>
      <c r="C20" s="266" t="s">
        <v>21</v>
      </c>
      <c r="D20" s="267"/>
      <c r="E20" s="268" t="s">
        <v>168</v>
      </c>
      <c r="F20" s="268"/>
      <c r="G20" s="268"/>
      <c r="H20" s="268"/>
      <c r="I20" s="269"/>
    </row>
    <row r="21" spans="2:9" ht="218.25" customHeight="1" x14ac:dyDescent="0.15">
      <c r="B21" s="270" t="s">
        <v>22</v>
      </c>
      <c r="C21" s="271"/>
      <c r="D21" s="272"/>
      <c r="E21" s="273" t="s">
        <v>194</v>
      </c>
      <c r="F21" s="273"/>
      <c r="G21" s="273"/>
      <c r="H21" s="273"/>
      <c r="I21" s="274"/>
    </row>
    <row r="22" spans="2:9" ht="218.25" customHeight="1" x14ac:dyDescent="0.15">
      <c r="B22" s="257" t="s">
        <v>134</v>
      </c>
      <c r="C22" s="258"/>
      <c r="D22" s="259"/>
      <c r="E22" s="260" t="s">
        <v>195</v>
      </c>
      <c r="F22" s="260"/>
      <c r="G22" s="260"/>
      <c r="H22" s="260"/>
      <c r="I22" s="261"/>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8"/>
      <c r="C28" s="8"/>
      <c r="D28" s="8"/>
      <c r="E28" s="8"/>
      <c r="F28" s="8"/>
      <c r="G28" s="8"/>
      <c r="H28" s="8"/>
      <c r="I28" s="8"/>
    </row>
    <row r="29" spans="2:9" ht="22.5" customHeight="1" x14ac:dyDescent="0.15">
      <c r="B29" s="8"/>
      <c r="C29" s="8"/>
      <c r="D29" s="8"/>
      <c r="E29" s="8"/>
      <c r="F29" s="8"/>
      <c r="G29" s="8"/>
      <c r="H29" s="8"/>
      <c r="I29" s="8"/>
    </row>
    <row r="30" spans="2:9" ht="22.5" customHeight="1" x14ac:dyDescent="0.15">
      <c r="B30" s="8"/>
      <c r="C30" s="8"/>
      <c r="D30" s="8"/>
      <c r="E30" s="8"/>
      <c r="F30" s="8"/>
      <c r="G30" s="8"/>
      <c r="H30" s="8"/>
      <c r="I30" s="8"/>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様式１-1　プログラムを構成する授業科目</vt:lpstr>
      <vt:lpstr>様式１-2　プログラムを構成する授業科目</vt:lpstr>
      <vt:lpstr>様式２ 履修者等数の実績</vt:lpstr>
      <vt:lpstr>様式３ 教育の質・履修者数を向上させるための体制・計画</vt:lpstr>
      <vt:lpstr>様式４　自己点検・評価</vt:lpstr>
      <vt:lpstr>'様式１-1　プログラムを構成する授業科目'!Print_Area</vt:lpstr>
      <vt:lpstr>'様式１-2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綱分　真央</cp:lastModifiedBy>
  <cp:lastPrinted>2024-06-27T03:44:05Z</cp:lastPrinted>
  <dcterms:created xsi:type="dcterms:W3CDTF">2011-06-14T05:32:50Z</dcterms:created>
  <dcterms:modified xsi:type="dcterms:W3CDTF">2024-06-27T03:44:54Z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