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knit\_98松永教務事務部長\データサイエンスプログラム\令和6年度\再提出書類\"/>
    </mc:Choice>
  </mc:AlternateContent>
  <bookViews>
    <workbookView xWindow="1830" yWindow="30" windowWidth="17070" windowHeight="14985"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<sst xmlns="http://schemas.openxmlformats.org/spreadsheetml/2006/main" count="276" uniqueCount="178">
  <si>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</si>
  <si>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</si>
  <si>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</si>
  <si>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</si>
  <si>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</si>
  <si>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</si>
  <si>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</si>
  <si>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</si>
  <si>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</si>
  <si>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</si>
  <si>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</si>
  <si>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</si>
  <si>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</si>
  <si>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</si>
  <si>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</si>
  <si>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</si>
  <si>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</si>
  <si>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</si>
  <si>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</si>
  <si>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</si>
  <si>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</si>
  <si>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</si>
  <si>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</si>
  <si>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</si>
  <si>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</si>
  <si>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</si>
  <si>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</si>
  <si>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</si>
  <si>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</si>
  <si>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</si>
  <si>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</si>
  <si>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</si>
  <si>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</si>
  <si>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</si>
  <si>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</si>
  <si>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</si>
  <si>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</si>
  <si>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</si>
  <si>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</si>
  <si>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</si>
  <si>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</si>
  <si>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</si>
  <si>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</si>
  <si>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</si>
  <si>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</si>
  <si>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</si>
  <si>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</si>
  <si>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</si>
  <si>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</si>
  <si>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</si>
  <si>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</si>
  <si>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</si>
  <si>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</si>
  <si>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</si>
  <si>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</si>
  <si>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</si>
  <si>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</si>
  <si>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</si>
  <si>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</si>
  <si>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</si>
  <si>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</si>
  <si>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</si>
  <si>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</si>
  <si>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</si>
  <si>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</si>
  <si>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</si>
  <si>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</si>
  <si>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</si>
  <si>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</si>
  <si>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</si>
  <si>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</si>
  <si>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</si>
  <si>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</si>
  <si>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</si>
  <si>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</si>
  <si>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</si>
  <si>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</si>
  <si>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</si>
  <si>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</si>
  <si>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</si>
  <si>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</si>
  <si>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</si>
  <si>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</si>
  <si>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</si>
  <si>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</si>
  <si>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</si>
  <si>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</si>
  <si>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</si>
  <si>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</si>
  <si>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</si>
  <si>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</si>
  <si>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</si>
  <si>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</si>
  <si>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</si>
  <si>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</si>
  <si>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</si>
  <si>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</si>
  <si>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</si>
  <si>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</si>
  <si>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</si>
  <si>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</si>
  <si>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</si>
  <si>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</si>
  <si>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</si>
  <si>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</si>
  <si>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</si>
  <si>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</si>
  <si>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</si>
  <si>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</si>
  <si>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</si>
  <si>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</si>
  <si>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</si>
  <si>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</si>
  <si>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</si>
  <si>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</si>
  <si>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</si>
  <si>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</si>
  <si>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</si>
  <si>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</si>
  <si>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</si>
  <si>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</si>
  <si>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</si>
  <si>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</si>
  <si>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</si>
  <si>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</si>
  <si>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</si>
  <si>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</si>
  <si>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</si>
  <si>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</si>
  <si>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</si>
  <si>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</si>
  <si>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</si>
  <si>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</si>
  <si>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</si>
  <si>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</si>
  <si>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</si>
  <si>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データサイエンスとAI入門</t>
    <rPh sb="11" eb="13">
      <t>ニュウモン</t>
    </rPh>
    <phoneticPr fontId="1"/>
  </si>
  <si>
    <t>○</t>
  </si>
  <si>
    <t>日本工業大学</t>
    <rPh sb="0" eb="2">
      <t>ニホン</t>
    </rPh>
    <rPh sb="2" eb="4">
      <t>コウギョウ</t>
    </rPh>
    <rPh sb="4" eb="6">
      <t>ダイガク</t>
    </rPh>
    <phoneticPr fontId="1"/>
  </si>
  <si>
    <t>学部・学科によって、修了要件は相違しない</t>
  </si>
  <si>
    <t>吉野　秀明</t>
    <rPh sb="0" eb="2">
      <t>ヨシノ</t>
    </rPh>
    <rPh sb="3" eb="5">
      <t>ヒデアキ</t>
    </rPh>
    <phoneticPr fontId="1"/>
  </si>
  <si>
    <t>教務部長</t>
    <rPh sb="0" eb="2">
      <t>キョウム</t>
    </rPh>
    <rPh sb="2" eb="4">
      <t>ブチョウ</t>
    </rPh>
    <phoneticPr fontId="1"/>
  </si>
  <si>
    <t>データサイエンスプログラム運営部会</t>
    <rPh sb="13" eb="15">
      <t>ウンエイ</t>
    </rPh>
    <rPh sb="15" eb="17">
      <t>ブカイ</t>
    </rPh>
    <phoneticPr fontId="1"/>
  </si>
  <si>
    <t>データサイエンスプログラム運営部会規程</t>
    <rPh sb="13" eb="15">
      <t>ウンエイ</t>
    </rPh>
    <rPh sb="15" eb="17">
      <t>ブカイ</t>
    </rPh>
    <rPh sb="17" eb="19">
      <t>キテイ</t>
    </rPh>
    <phoneticPr fontId="1"/>
  </si>
  <si>
    <t>教務部長・データサイエンス学科教授　　吉野　秀明
基幹工学部長・機械工学科教授　　　　　二ノ宮進一
先進工学部長・情報メディア工学科教授　新井　啓之
建築学部長・建築学科教授　　　　　　　小川　次郎
データサイエンス学科長・教授　　　　　粂野　文洋
データサイエンス学科教授　　　　　　　大宮　　望
データサイエンス学科教授　　　　　　　佐藤　進也
データサイエンス学科教授　　　　　　　辻村　泰寛
データサイエンス学科准教授　　　　　 橋浦　弘明
データサイエンス学科准教授　　　　　 伊藤　暢彦
教務部事務部長　　　　　　　　　　　　　松永　浩徳
教務部教務課長　　　　　　　　　　　　　穴井　正洋</t>
    <rPh sb="0" eb="2">
      <t>キョウム</t>
    </rPh>
    <rPh sb="2" eb="4">
      <t>ブチョウ</t>
    </rPh>
    <rPh sb="13" eb="15">
      <t>ガッカ</t>
    </rPh>
    <rPh sb="15" eb="17">
      <t>キョウジュ</t>
    </rPh>
    <rPh sb="19" eb="21">
      <t>ヨシノ</t>
    </rPh>
    <rPh sb="22" eb="24">
      <t>ヒデアキ</t>
    </rPh>
    <rPh sb="25" eb="27">
      <t>キカン</t>
    </rPh>
    <rPh sb="27" eb="29">
      <t>コウガク</t>
    </rPh>
    <rPh sb="29" eb="31">
      <t>ブチョウ</t>
    </rPh>
    <rPh sb="32" eb="34">
      <t>キカイ</t>
    </rPh>
    <rPh sb="34" eb="37">
      <t>コウガッカ</t>
    </rPh>
    <rPh sb="37" eb="39">
      <t>キョウジュ</t>
    </rPh>
    <rPh sb="44" eb="45">
      <t>ニ</t>
    </rPh>
    <rPh sb="46" eb="47">
      <t>ミヤ</t>
    </rPh>
    <rPh sb="47" eb="49">
      <t>シンイチ</t>
    </rPh>
    <rPh sb="50" eb="52">
      <t>センシン</t>
    </rPh>
    <rPh sb="52" eb="56">
      <t>コウガクブチョウ</t>
    </rPh>
    <rPh sb="57" eb="59">
      <t>ジョウホウ</t>
    </rPh>
    <rPh sb="63" eb="65">
      <t>コウガク</t>
    </rPh>
    <rPh sb="65" eb="66">
      <t>カ</t>
    </rPh>
    <rPh sb="66" eb="68">
      <t>キョウジュ</t>
    </rPh>
    <rPh sb="69" eb="71">
      <t>アライ</t>
    </rPh>
    <rPh sb="72" eb="74">
      <t>ヒロユキ</t>
    </rPh>
    <rPh sb="75" eb="77">
      <t>ケンチク</t>
    </rPh>
    <rPh sb="77" eb="79">
      <t>ガクブ</t>
    </rPh>
    <rPh sb="79" eb="80">
      <t>チョウ</t>
    </rPh>
    <rPh sb="81" eb="83">
      <t>ケンチク</t>
    </rPh>
    <rPh sb="83" eb="85">
      <t>ガッカ</t>
    </rPh>
    <rPh sb="85" eb="87">
      <t>キョウジュ</t>
    </rPh>
    <rPh sb="94" eb="96">
      <t>オガワ</t>
    </rPh>
    <rPh sb="97" eb="99">
      <t>ジロウ</t>
    </rPh>
    <rPh sb="108" eb="110">
      <t>ガッカ</t>
    </rPh>
    <rPh sb="110" eb="111">
      <t>チョウ</t>
    </rPh>
    <rPh sb="112" eb="114">
      <t>キョウジュ</t>
    </rPh>
    <rPh sb="119" eb="121">
      <t>クメノ</t>
    </rPh>
    <rPh sb="122" eb="124">
      <t>フミヒロ</t>
    </rPh>
    <rPh sb="133" eb="135">
      <t>ガッカ</t>
    </rPh>
    <rPh sb="135" eb="137">
      <t>キョウジュ</t>
    </rPh>
    <rPh sb="144" eb="146">
      <t>オオミヤ</t>
    </rPh>
    <rPh sb="148" eb="149">
      <t>ノゾ</t>
    </rPh>
    <rPh sb="158" eb="162">
      <t>ガッカキョウジュ</t>
    </rPh>
    <rPh sb="169" eb="171">
      <t>サトウ</t>
    </rPh>
    <rPh sb="172" eb="174">
      <t>シンヤ</t>
    </rPh>
    <rPh sb="183" eb="185">
      <t>ガッカ</t>
    </rPh>
    <rPh sb="185" eb="187">
      <t>キョウジュ</t>
    </rPh>
    <rPh sb="194" eb="196">
      <t>ツジムラ</t>
    </rPh>
    <rPh sb="197" eb="199">
      <t>ヤスヒロ</t>
    </rPh>
    <rPh sb="208" eb="210">
      <t>ガッカ</t>
    </rPh>
    <rPh sb="210" eb="211">
      <t>ジュン</t>
    </rPh>
    <rPh sb="211" eb="213">
      <t>キョウジュ</t>
    </rPh>
    <rPh sb="219" eb="221">
      <t>ハシウラ</t>
    </rPh>
    <rPh sb="222" eb="224">
      <t>ヒロアキ</t>
    </rPh>
    <rPh sb="233" eb="238">
      <t>ガッカジュンキョウジュ</t>
    </rPh>
    <rPh sb="244" eb="246">
      <t>イトウ</t>
    </rPh>
    <rPh sb="247" eb="249">
      <t>ノブヒコ</t>
    </rPh>
    <rPh sb="250" eb="253">
      <t>キョウムブ</t>
    </rPh>
    <rPh sb="253" eb="255">
      <t>ジム</t>
    </rPh>
    <rPh sb="255" eb="257">
      <t>ブチョウ</t>
    </rPh>
    <rPh sb="270" eb="272">
      <t>マツナガ</t>
    </rPh>
    <rPh sb="273" eb="275">
      <t>ヒロノリ</t>
    </rPh>
    <rPh sb="276" eb="279">
      <t>キョウムブ</t>
    </rPh>
    <rPh sb="279" eb="281">
      <t>キョウム</t>
    </rPh>
    <rPh sb="281" eb="283">
      <t>カチョウ</t>
    </rPh>
    <rPh sb="296" eb="298">
      <t>アナイ</t>
    </rPh>
    <rPh sb="299" eb="301">
      <t>マサヒロ</t>
    </rPh>
    <phoneticPr fontId="1"/>
  </si>
  <si>
    <t>⑪で記載のとおり、本教育プログラムの授業については、他の授業科目同様に担当教員が授業時間中に学生からの質問等に対応するとともに、各教員がオフィスアワーを設定し、授業時間外にも学生からの質問・相談に応じる体制を整えている。</t>
    <rPh sb="2" eb="4">
      <t>キサイ</t>
    </rPh>
    <rPh sb="9" eb="10">
      <t>ホン</t>
    </rPh>
    <rPh sb="10" eb="12">
      <t>キョウイク</t>
    </rPh>
    <rPh sb="18" eb="20">
      <t>ジュギョウ</t>
    </rPh>
    <rPh sb="26" eb="27">
      <t>タ</t>
    </rPh>
    <rPh sb="28" eb="30">
      <t>ジュギョウ</t>
    </rPh>
    <rPh sb="30" eb="32">
      <t>カモク</t>
    </rPh>
    <rPh sb="32" eb="34">
      <t>ドウヨウ</t>
    </rPh>
    <rPh sb="35" eb="37">
      <t>タントウ</t>
    </rPh>
    <rPh sb="37" eb="39">
      <t>キョウイン</t>
    </rPh>
    <rPh sb="40" eb="42">
      <t>ジュギョウ</t>
    </rPh>
    <rPh sb="42" eb="44">
      <t>ジカン</t>
    </rPh>
    <rPh sb="44" eb="45">
      <t>ナカ</t>
    </rPh>
    <rPh sb="46" eb="48">
      <t>ガクセイ</t>
    </rPh>
    <rPh sb="51" eb="53">
      <t>シツモン</t>
    </rPh>
    <rPh sb="53" eb="54">
      <t>トウ</t>
    </rPh>
    <rPh sb="55" eb="57">
      <t>タイオウ</t>
    </rPh>
    <rPh sb="64" eb="65">
      <t>カク</t>
    </rPh>
    <rPh sb="65" eb="67">
      <t>キョウイン</t>
    </rPh>
    <rPh sb="76" eb="78">
      <t>セッテイ</t>
    </rPh>
    <rPh sb="80" eb="82">
      <t>ジュギョウ</t>
    </rPh>
    <rPh sb="82" eb="84">
      <t>ジカン</t>
    </rPh>
    <rPh sb="84" eb="85">
      <t>ソト</t>
    </rPh>
    <rPh sb="87" eb="89">
      <t>ガクセイ</t>
    </rPh>
    <rPh sb="92" eb="94">
      <t>シツモン</t>
    </rPh>
    <rPh sb="95" eb="97">
      <t>ソウダン</t>
    </rPh>
    <rPh sb="98" eb="99">
      <t>オウ</t>
    </rPh>
    <rPh sb="101" eb="103">
      <t>タイセイ</t>
    </rPh>
    <rPh sb="104" eb="105">
      <t>トトノ</t>
    </rPh>
    <phoneticPr fontId="1"/>
  </si>
  <si>
    <t>まだ、プログラム科目を履修している学生は在籍中のため社会での活躍状況、企業等の評価を得られていないが、今後、企業等に対して卒業生の状況についてアンケートを通じて評価をいただき、改善に資する予定としている。</t>
    <rPh sb="8" eb="10">
      <t>カモク</t>
    </rPh>
    <rPh sb="11" eb="13">
      <t>リシュウ</t>
    </rPh>
    <rPh sb="17" eb="19">
      <t>ガクセイ</t>
    </rPh>
    <rPh sb="20" eb="22">
      <t>ザイセキ</t>
    </rPh>
    <rPh sb="22" eb="23">
      <t>ナカ</t>
    </rPh>
    <rPh sb="26" eb="28">
      <t>シャカイ</t>
    </rPh>
    <rPh sb="30" eb="32">
      <t>カツヤク</t>
    </rPh>
    <rPh sb="32" eb="34">
      <t>ジョウキョウ</t>
    </rPh>
    <rPh sb="35" eb="37">
      <t>キギョウ</t>
    </rPh>
    <rPh sb="37" eb="38">
      <t>ナド</t>
    </rPh>
    <rPh sb="39" eb="41">
      <t>ヒョウカ</t>
    </rPh>
    <rPh sb="42" eb="43">
      <t>エ</t>
    </rPh>
    <rPh sb="51" eb="53">
      <t>コンゴ</t>
    </rPh>
    <rPh sb="54" eb="56">
      <t>キギョウ</t>
    </rPh>
    <rPh sb="56" eb="57">
      <t>ナド</t>
    </rPh>
    <rPh sb="58" eb="59">
      <t>タイ</t>
    </rPh>
    <rPh sb="61" eb="64">
      <t>ソツギョウセイ</t>
    </rPh>
    <rPh sb="65" eb="67">
      <t>ジョウキョウ</t>
    </rPh>
    <rPh sb="77" eb="78">
      <t>ツウ</t>
    </rPh>
    <rPh sb="80" eb="82">
      <t>ヒョウカ</t>
    </rPh>
    <rPh sb="88" eb="90">
      <t>カイゼン</t>
    </rPh>
    <rPh sb="91" eb="92">
      <t>シ</t>
    </rPh>
    <rPh sb="94" eb="96">
      <t>ヨテイ</t>
    </rPh>
    <phoneticPr fontId="1"/>
  </si>
  <si>
    <t>基本的には必修科目としているため全ての学生が履修できることになるが、授業中及びオフィスアワー等の時間に学生は担当教員に質問・相談できる体制をとっており修得に向けたサポート体制を講じている。</t>
    <rPh sb="0" eb="3">
      <t>キホンテキ</t>
    </rPh>
    <rPh sb="5" eb="7">
      <t>ヒッシュウ</t>
    </rPh>
    <rPh sb="7" eb="9">
      <t>カモク</t>
    </rPh>
    <rPh sb="16" eb="17">
      <t>スベ</t>
    </rPh>
    <rPh sb="19" eb="21">
      <t>ガクセイ</t>
    </rPh>
    <rPh sb="22" eb="24">
      <t>リシュウ</t>
    </rPh>
    <rPh sb="34" eb="36">
      <t>ジュギョウ</t>
    </rPh>
    <rPh sb="36" eb="37">
      <t>ナカ</t>
    </rPh>
    <rPh sb="37" eb="38">
      <t>オヨ</t>
    </rPh>
    <rPh sb="46" eb="47">
      <t>トウ</t>
    </rPh>
    <rPh sb="48" eb="50">
      <t>ジカン</t>
    </rPh>
    <rPh sb="51" eb="53">
      <t>ガクセイ</t>
    </rPh>
    <rPh sb="54" eb="56">
      <t>タントウ</t>
    </rPh>
    <rPh sb="56" eb="58">
      <t>キョウイン</t>
    </rPh>
    <rPh sb="59" eb="61">
      <t>シツモン</t>
    </rPh>
    <rPh sb="62" eb="64">
      <t>ソウダン</t>
    </rPh>
    <rPh sb="67" eb="69">
      <t>タイセイ</t>
    </rPh>
    <rPh sb="75" eb="77">
      <t>シュウトク</t>
    </rPh>
    <rPh sb="78" eb="79">
      <t>ム</t>
    </rPh>
    <rPh sb="85" eb="87">
      <t>タイセイ</t>
    </rPh>
    <rPh sb="88" eb="89">
      <t>コウ</t>
    </rPh>
    <phoneticPr fontId="1"/>
  </si>
  <si>
    <t>基幹工学部</t>
    <rPh sb="0" eb="2">
      <t>キカン</t>
    </rPh>
    <rPh sb="2" eb="5">
      <t>コウガクブ</t>
    </rPh>
    <phoneticPr fontId="1"/>
  </si>
  <si>
    <t>先進工学部</t>
    <rPh sb="0" eb="2">
      <t>センシン</t>
    </rPh>
    <rPh sb="2" eb="5">
      <t>コウガクブ</t>
    </rPh>
    <phoneticPr fontId="1"/>
  </si>
  <si>
    <t>建築学部</t>
    <rPh sb="0" eb="2">
      <t>ケンチク</t>
    </rPh>
    <rPh sb="2" eb="4">
      <t>ガクブ</t>
    </rPh>
    <phoneticPr fontId="1"/>
  </si>
  <si>
    <t>全ての学部・学科で令和４年度から、プログラム科目「データサイエンスとAI入門」を２学年の専門教育科目で必修科目としているため、基本的には年度進行に伴い全ての学生が卒業までに履修することになり、履修率100％となる計画である。</t>
    <rPh sb="0" eb="1">
      <t>スベ</t>
    </rPh>
    <rPh sb="3" eb="5">
      <t>ガクブ</t>
    </rPh>
    <rPh sb="6" eb="8">
      <t>ガッカ</t>
    </rPh>
    <rPh sb="9" eb="11">
      <t>レイワ</t>
    </rPh>
    <rPh sb="12" eb="14">
      <t>ネンド</t>
    </rPh>
    <rPh sb="22" eb="24">
      <t>カモク</t>
    </rPh>
    <rPh sb="36" eb="38">
      <t>ニュウモン</t>
    </rPh>
    <rPh sb="41" eb="43">
      <t>ガクネン</t>
    </rPh>
    <rPh sb="44" eb="46">
      <t>センモン</t>
    </rPh>
    <rPh sb="46" eb="48">
      <t>キョウイク</t>
    </rPh>
    <rPh sb="48" eb="50">
      <t>カモク</t>
    </rPh>
    <rPh sb="51" eb="53">
      <t>ヒッシュウ</t>
    </rPh>
    <rPh sb="53" eb="55">
      <t>カモク</t>
    </rPh>
    <rPh sb="63" eb="66">
      <t>キホンテキ</t>
    </rPh>
    <rPh sb="68" eb="70">
      <t>ネンド</t>
    </rPh>
    <rPh sb="70" eb="72">
      <t>シンコウ</t>
    </rPh>
    <rPh sb="73" eb="74">
      <t>トモナ</t>
    </rPh>
    <rPh sb="75" eb="76">
      <t>スベ</t>
    </rPh>
    <rPh sb="78" eb="80">
      <t>ガクセイ</t>
    </rPh>
    <rPh sb="81" eb="83">
      <t>ソツギョウ</t>
    </rPh>
    <rPh sb="86" eb="88">
      <t>リシュウ</t>
    </rPh>
    <rPh sb="96" eb="99">
      <t>リシュウリツ</t>
    </rPh>
    <rPh sb="106" eb="108">
      <t>ケイカク</t>
    </rPh>
    <phoneticPr fontId="1"/>
  </si>
  <si>
    <t>全ての学部・学科で令和４年度から、プログラム科目「データサイエンスとAI入門」を２学年の専門教育科目で必修科目としているため、基本的には年度進行に伴い全ての学生が卒業までに履修することになる。なお、本プログラムの質向上や改善を図っていくために、データサイエンスプログラム運営部会にて検討を行っていく。</t>
    <rPh sb="41" eb="43">
      <t>ガクネン</t>
    </rPh>
    <rPh sb="81" eb="83">
      <t>ソツギョウ</t>
    </rPh>
    <rPh sb="99" eb="100">
      <t>ホン</t>
    </rPh>
    <rPh sb="106" eb="107">
      <t>シツ</t>
    </rPh>
    <rPh sb="107" eb="109">
      <t>コウジョウ</t>
    </rPh>
    <rPh sb="110" eb="112">
      <t>カイゼン</t>
    </rPh>
    <rPh sb="113" eb="114">
      <t>ハカ</t>
    </rPh>
    <rPh sb="135" eb="137">
      <t>ウンエイ</t>
    </rPh>
    <rPh sb="137" eb="139">
      <t>ブカイ</t>
    </rPh>
    <rPh sb="141" eb="143">
      <t>ケントウ</t>
    </rPh>
    <rPh sb="144" eb="145">
      <t>オコナ</t>
    </rPh>
    <phoneticPr fontId="1"/>
  </si>
  <si>
    <t>入学後の新入生オリエンテーション、毎年度実施する在学生ガイダンス等で説明するとともに、学生に配信する学生便覧、シラバス等でプログラム科目の意義、身に付く能力等を周知している。</t>
    <rPh sb="0" eb="3">
      <t>ニュウガクゴ</t>
    </rPh>
    <rPh sb="4" eb="7">
      <t>シンニュウセイ</t>
    </rPh>
    <rPh sb="17" eb="20">
      <t>マイネンド</t>
    </rPh>
    <rPh sb="20" eb="22">
      <t>ジッシ</t>
    </rPh>
    <rPh sb="24" eb="27">
      <t>ザイガクセイ</t>
    </rPh>
    <rPh sb="32" eb="33">
      <t>トウ</t>
    </rPh>
    <rPh sb="34" eb="36">
      <t>セツメイ</t>
    </rPh>
    <rPh sb="43" eb="45">
      <t>ガクセイ</t>
    </rPh>
    <rPh sb="46" eb="48">
      <t>ハイシン</t>
    </rPh>
    <rPh sb="50" eb="52">
      <t>ガクセイ</t>
    </rPh>
    <rPh sb="52" eb="54">
      <t>ビンラン</t>
    </rPh>
    <rPh sb="59" eb="60">
      <t>トウ</t>
    </rPh>
    <rPh sb="66" eb="68">
      <t>カモク</t>
    </rPh>
    <rPh sb="69" eb="71">
      <t>イギ</t>
    </rPh>
    <rPh sb="72" eb="73">
      <t>ミ</t>
    </rPh>
    <rPh sb="74" eb="75">
      <t>ツ</t>
    </rPh>
    <rPh sb="76" eb="78">
      <t>ノウリョク</t>
    </rPh>
    <rPh sb="78" eb="79">
      <t>トウ</t>
    </rPh>
    <rPh sb="80" eb="82">
      <t>シュウチ</t>
    </rPh>
    <phoneticPr fontId="1"/>
  </si>
  <si>
    <t>本教育プログラム科目「データサイエンスとAI入門」は令和4年度に入学した学生から２学年の専門教育科目(必修科目)として全学部・学科で開講している。令和５年度の履修状況及び修得状況は以下のとおりである。
基幹工学部　　　履修者数３１６名　　　修了者数２８５名
先進工学部　　　履修者数３７４名　　　修了者数３５０名
建築学部　　　   履修者数２４９名　　 　修了者数２３１名
　　計               履修者数９３９名　　　 修了者数８６６名</t>
    <rPh sb="0" eb="1">
      <t>ホン</t>
    </rPh>
    <rPh sb="1" eb="3">
      <t>キョウイク</t>
    </rPh>
    <rPh sb="8" eb="10">
      <t>カモク</t>
    </rPh>
    <rPh sb="22" eb="24">
      <t>ニュウモン</t>
    </rPh>
    <rPh sb="26" eb="28">
      <t>レイワ</t>
    </rPh>
    <rPh sb="29" eb="31">
      <t>ネンド</t>
    </rPh>
    <rPh sb="41" eb="43">
      <t>ガクネン</t>
    </rPh>
    <rPh sb="44" eb="46">
      <t>センモン</t>
    </rPh>
    <rPh sb="46" eb="48">
      <t>キョウイク</t>
    </rPh>
    <rPh sb="48" eb="50">
      <t>カモク</t>
    </rPh>
    <rPh sb="51" eb="53">
      <t>ヒッシュウ</t>
    </rPh>
    <rPh sb="53" eb="55">
      <t>カモク</t>
    </rPh>
    <rPh sb="59" eb="60">
      <t>ゼン</t>
    </rPh>
    <rPh sb="60" eb="62">
      <t>ガクブ</t>
    </rPh>
    <rPh sb="63" eb="65">
      <t>ガッカ</t>
    </rPh>
    <rPh sb="66" eb="68">
      <t>カイコウ</t>
    </rPh>
    <rPh sb="73" eb="75">
      <t>レイワ</t>
    </rPh>
    <rPh sb="76" eb="78">
      <t>ネンド</t>
    </rPh>
    <rPh sb="79" eb="81">
      <t>リシュウ</t>
    </rPh>
    <rPh sb="81" eb="83">
      <t>ジョウキョウ</t>
    </rPh>
    <rPh sb="83" eb="84">
      <t>オヨ</t>
    </rPh>
    <rPh sb="85" eb="87">
      <t>シュウトク</t>
    </rPh>
    <rPh sb="87" eb="89">
      <t>ジョウキョウ</t>
    </rPh>
    <rPh sb="90" eb="92">
      <t>イカ</t>
    </rPh>
    <rPh sb="102" eb="104">
      <t>キカン</t>
    </rPh>
    <rPh sb="104" eb="107">
      <t>コウガクブ</t>
    </rPh>
    <rPh sb="110" eb="113">
      <t>リシュウシャ</t>
    </rPh>
    <rPh sb="113" eb="114">
      <t>スウ</t>
    </rPh>
    <rPh sb="121" eb="123">
      <t>シュウリョウ</t>
    </rPh>
    <rPh sb="123" eb="124">
      <t>シャ</t>
    </rPh>
    <rPh sb="124" eb="125">
      <t>スウ</t>
    </rPh>
    <rPh sb="128" eb="129">
      <t>メイ</t>
    </rPh>
    <rPh sb="130" eb="132">
      <t>センシン</t>
    </rPh>
    <rPh sb="132" eb="135">
      <t>コウガクブ</t>
    </rPh>
    <rPh sb="138" eb="140">
      <t>リシュウ</t>
    </rPh>
    <rPh sb="140" eb="141">
      <t>シャ</t>
    </rPh>
    <rPh sb="141" eb="142">
      <t>スウ</t>
    </rPh>
    <rPh sb="145" eb="146">
      <t>メイ</t>
    </rPh>
    <rPh sb="149" eb="151">
      <t>シュウリョウ</t>
    </rPh>
    <rPh sb="151" eb="152">
      <t>シャ</t>
    </rPh>
    <rPh sb="152" eb="153">
      <t>スウ</t>
    </rPh>
    <rPh sb="156" eb="157">
      <t>メイ</t>
    </rPh>
    <rPh sb="158" eb="160">
      <t>ケンチク</t>
    </rPh>
    <rPh sb="160" eb="162">
      <t>ガクブ</t>
    </rPh>
    <rPh sb="168" eb="170">
      <t>リシュウ</t>
    </rPh>
    <rPh sb="170" eb="171">
      <t>シャ</t>
    </rPh>
    <rPh sb="171" eb="172">
      <t>スウ</t>
    </rPh>
    <rPh sb="175" eb="176">
      <t>メイ</t>
    </rPh>
    <rPh sb="180" eb="183">
      <t>シュウリョウシャ</t>
    </rPh>
    <rPh sb="183" eb="184">
      <t>スウ</t>
    </rPh>
    <rPh sb="187" eb="188">
      <t>メイ</t>
    </rPh>
    <rPh sb="191" eb="192">
      <t>ケイ</t>
    </rPh>
    <rPh sb="214" eb="215">
      <t>メイ</t>
    </rPh>
    <phoneticPr fontId="1"/>
  </si>
  <si>
    <t>令和4年度以降の入学生は必修科目としているので学年進行に伴い卒業までに履修率100％の目標を達成することが見込まれる。</t>
    <rPh sb="0" eb="2">
      <t>レイワ</t>
    </rPh>
    <rPh sb="3" eb="5">
      <t>ネンド</t>
    </rPh>
    <rPh sb="5" eb="7">
      <t>イコウ</t>
    </rPh>
    <rPh sb="8" eb="11">
      <t>ニュウガクセイ</t>
    </rPh>
    <rPh sb="12" eb="14">
      <t>ヒッシュウ</t>
    </rPh>
    <rPh sb="14" eb="16">
      <t>カモク</t>
    </rPh>
    <rPh sb="23" eb="25">
      <t>ガクネン</t>
    </rPh>
    <rPh sb="25" eb="27">
      <t>シンコウ</t>
    </rPh>
    <rPh sb="28" eb="29">
      <t>トモナ</t>
    </rPh>
    <rPh sb="30" eb="32">
      <t>ソツギョウ</t>
    </rPh>
    <rPh sb="35" eb="37">
      <t>リシュウ</t>
    </rPh>
    <rPh sb="37" eb="38">
      <t>リツ</t>
    </rPh>
    <rPh sb="43" eb="45">
      <t>モクヒョウ</t>
    </rPh>
    <rPh sb="46" eb="48">
      <t>タッセイ</t>
    </rPh>
    <rPh sb="53" eb="55">
      <t>ミコ</t>
    </rPh>
    <phoneticPr fontId="1"/>
  </si>
  <si>
    <t>本プログラム科目を担当する教員には、企業や研究所での勤務経験のある実務家教員が複数名おり、社会や産業界での求められる知識、能力等を把握しており、実社会で役立つ内容の講義を展開している。今後も産業界等が求める人材像について意見を求め、プログラムに反映していく予定としている。</t>
    <rPh sb="0" eb="1">
      <t>ホン</t>
    </rPh>
    <rPh sb="6" eb="8">
      <t>カモク</t>
    </rPh>
    <rPh sb="9" eb="11">
      <t>タントウ</t>
    </rPh>
    <rPh sb="13" eb="15">
      <t>キョウイン</t>
    </rPh>
    <rPh sb="18" eb="20">
      <t>キギョウ</t>
    </rPh>
    <rPh sb="21" eb="23">
      <t>ケンキュウ</t>
    </rPh>
    <rPh sb="23" eb="24">
      <t>ショ</t>
    </rPh>
    <rPh sb="26" eb="28">
      <t>キンム</t>
    </rPh>
    <rPh sb="28" eb="30">
      <t>ケイケン</t>
    </rPh>
    <rPh sb="33" eb="36">
      <t>ジツムカ</t>
    </rPh>
    <rPh sb="36" eb="38">
      <t>キョウイン</t>
    </rPh>
    <rPh sb="39" eb="41">
      <t>フクスウ</t>
    </rPh>
    <rPh sb="41" eb="42">
      <t>メイ</t>
    </rPh>
    <rPh sb="45" eb="47">
      <t>シャカイ</t>
    </rPh>
    <rPh sb="48" eb="51">
      <t>サンギョウカイ</t>
    </rPh>
    <rPh sb="53" eb="54">
      <t>モト</t>
    </rPh>
    <rPh sb="58" eb="60">
      <t>チシキ</t>
    </rPh>
    <rPh sb="61" eb="63">
      <t>ノウリョク</t>
    </rPh>
    <rPh sb="63" eb="64">
      <t>トウ</t>
    </rPh>
    <rPh sb="65" eb="67">
      <t>ハアク</t>
    </rPh>
    <rPh sb="72" eb="73">
      <t>ジツ</t>
    </rPh>
    <rPh sb="73" eb="75">
      <t>シャカイ</t>
    </rPh>
    <rPh sb="76" eb="78">
      <t>ヤクダ</t>
    </rPh>
    <rPh sb="79" eb="81">
      <t>ナイヨウ</t>
    </rPh>
    <rPh sb="82" eb="84">
      <t>コウギ</t>
    </rPh>
    <rPh sb="85" eb="87">
      <t>テンカイ</t>
    </rPh>
    <rPh sb="92" eb="94">
      <t>コンゴ</t>
    </rPh>
    <rPh sb="95" eb="98">
      <t>サンギョウカイ</t>
    </rPh>
    <rPh sb="98" eb="99">
      <t>ナド</t>
    </rPh>
    <rPh sb="100" eb="101">
      <t>モト</t>
    </rPh>
    <rPh sb="103" eb="106">
      <t>ジンザイゾウ</t>
    </rPh>
    <rPh sb="110" eb="112">
      <t>イケン</t>
    </rPh>
    <rPh sb="113" eb="114">
      <t>モト</t>
    </rPh>
    <rPh sb="122" eb="124">
      <t>ハンエイ</t>
    </rPh>
    <rPh sb="128" eb="130">
      <t>ヨテイ</t>
    </rPh>
    <phoneticPr fontId="1"/>
  </si>
  <si>
    <t>ブログラム科目である専門教育科目の「データサイエンスとAI入門」2単位を取得すること。</t>
    <rPh sb="5" eb="7">
      <t>カモク</t>
    </rPh>
    <phoneticPr fontId="1"/>
  </si>
  <si>
    <t>日本工業大学のデータサイエンス教育の推進を図ることを目的とする。本部会ではプログラム運営にあたって、プログラム科目履修学生の単位修得状況管理を行うとともに修了認定を行う。また、授業で実施する授業アンケートの結果に基づき、授業内容、授業方法等の改善を通じてプログラムの向上を図っていく。</t>
    <rPh sb="0" eb="2">
      <t>ニホン</t>
    </rPh>
    <rPh sb="2" eb="4">
      <t>コウギョウ</t>
    </rPh>
    <rPh sb="4" eb="6">
      <t>ダイガク</t>
    </rPh>
    <rPh sb="15" eb="17">
      <t>キョウイク</t>
    </rPh>
    <rPh sb="18" eb="20">
      <t>スイシン</t>
    </rPh>
    <rPh sb="21" eb="22">
      <t>ハカ</t>
    </rPh>
    <rPh sb="26" eb="28">
      <t>モクテキ</t>
    </rPh>
    <rPh sb="32" eb="33">
      <t>ホン</t>
    </rPh>
    <rPh sb="33" eb="35">
      <t>ブカイ</t>
    </rPh>
    <rPh sb="42" eb="44">
      <t>ウンエイ</t>
    </rPh>
    <rPh sb="55" eb="57">
      <t>カモク</t>
    </rPh>
    <rPh sb="57" eb="59">
      <t>リシュウ</t>
    </rPh>
    <rPh sb="59" eb="61">
      <t>ガクセイ</t>
    </rPh>
    <rPh sb="62" eb="64">
      <t>タンイ</t>
    </rPh>
    <rPh sb="64" eb="66">
      <t>シュウトク</t>
    </rPh>
    <rPh sb="66" eb="68">
      <t>ジョウキョウ</t>
    </rPh>
    <rPh sb="68" eb="70">
      <t>カンリ</t>
    </rPh>
    <rPh sb="71" eb="72">
      <t>オコナ</t>
    </rPh>
    <rPh sb="77" eb="79">
      <t>シュウリョウ</t>
    </rPh>
    <rPh sb="79" eb="81">
      <t>ニンテイ</t>
    </rPh>
    <rPh sb="82" eb="83">
      <t>オコナ</t>
    </rPh>
    <rPh sb="88" eb="90">
      <t>ジュギョウ</t>
    </rPh>
    <rPh sb="91" eb="93">
      <t>ジッシ</t>
    </rPh>
    <rPh sb="95" eb="97">
      <t>ジュギョウ</t>
    </rPh>
    <rPh sb="103" eb="105">
      <t>ケッカ</t>
    </rPh>
    <rPh sb="106" eb="107">
      <t>モト</t>
    </rPh>
    <rPh sb="110" eb="112">
      <t>ジュギョウ</t>
    </rPh>
    <rPh sb="112" eb="114">
      <t>ナイヨウ</t>
    </rPh>
    <rPh sb="115" eb="117">
      <t>ジュギョウ</t>
    </rPh>
    <rPh sb="117" eb="119">
      <t>ホウホウ</t>
    </rPh>
    <rPh sb="119" eb="120">
      <t>トウ</t>
    </rPh>
    <rPh sb="121" eb="123">
      <t>カイゼン</t>
    </rPh>
    <rPh sb="124" eb="125">
      <t>ツウ</t>
    </rPh>
    <rPh sb="133" eb="135">
      <t>コウジョウ</t>
    </rPh>
    <rPh sb="136" eb="137">
      <t>ハカ</t>
    </rPh>
    <phoneticPr fontId="1"/>
  </si>
  <si>
    <r>
      <t xml:space="preserve">データサイエンスプログラム運営部会において、成績評価分布状況を確認・分析し、授業内容の理解度を把握している。また、成績評価の分布状況を踏まえ、次年度以降の授業改善に活用していくこととしている。
令和５年度の成績評価割合
　　　　　　     　AA                     A  　　　　　   B 　　　　        C  　　　　          D                      /                離学　　　　　
</t>
    </r>
    <r>
      <rPr>
        <sz val="10"/>
        <rFont val="ＭＳ Ｐゴシック"/>
        <family val="3"/>
        <charset val="128"/>
        <scheme val="minor"/>
      </rPr>
      <t>基幹工学部</t>
    </r>
    <r>
      <rPr>
        <sz val="12"/>
        <rFont val="ＭＳ Ｐゴシック"/>
        <family val="3"/>
        <charset val="128"/>
        <scheme val="minor"/>
      </rPr>
      <t xml:space="preserve">　　37名(11.7％)    123名(38.9％)   84名(26.6％)    41名(13.0％)       5名(1.6％)    26名(8.2％)      
</t>
    </r>
    <r>
      <rPr>
        <sz val="10"/>
        <rFont val="ＭＳ Ｐゴシック"/>
        <family val="3"/>
        <charset val="128"/>
        <scheme val="minor"/>
      </rPr>
      <t>先進工学部　</t>
    </r>
    <r>
      <rPr>
        <sz val="12"/>
        <rFont val="ＭＳ Ｐゴシック"/>
        <family val="3"/>
        <charset val="128"/>
        <scheme val="minor"/>
      </rPr>
      <t xml:space="preserve">　68名(18.2％)    138名(36.9％)   97名(25.9％)    47名(12.6％)   10名(2.7％)      13名(3.5％) 　1名(0.3％)     
</t>
    </r>
    <r>
      <rPr>
        <sz val="10"/>
        <rFont val="ＭＳ Ｐゴシック"/>
        <family val="3"/>
        <charset val="128"/>
        <scheme val="minor"/>
      </rPr>
      <t>建築学部　</t>
    </r>
    <r>
      <rPr>
        <sz val="12"/>
        <rFont val="ＭＳ Ｐゴシック"/>
        <family val="3"/>
        <charset val="128"/>
        <scheme val="minor"/>
      </rPr>
      <t xml:space="preserve">　　14名(5.6％)　  120名(48.2％)   66名(26.5％)    31名(12.4％)       8名(3.2％)        9名(3.6％) 　1名(0.4％) 
    </t>
    </r>
    <r>
      <rPr>
        <sz val="10"/>
        <rFont val="ＭＳ Ｐゴシック"/>
        <family val="3"/>
        <charset val="128"/>
        <scheme val="minor"/>
      </rPr>
      <t>総計</t>
    </r>
    <r>
      <rPr>
        <sz val="12"/>
        <rFont val="ＭＳ Ｐゴシック"/>
        <family val="3"/>
        <charset val="128"/>
        <scheme val="minor"/>
      </rPr>
      <t xml:space="preserve">　　 119名(12.7％)　 　381名(40.6％) 247名(26.3％)  119名(12.7％)     23名(2.4％)      48名(5.1％) 　2名(0.2％)         </t>
    </r>
    <rPh sb="13" eb="15">
      <t>ウンエイ</t>
    </rPh>
    <rPh sb="15" eb="17">
      <t>ブカイ</t>
    </rPh>
    <rPh sb="22" eb="24">
      <t>セイセキ</t>
    </rPh>
    <rPh sb="24" eb="26">
      <t>ヒョウカ</t>
    </rPh>
    <rPh sb="26" eb="28">
      <t>ブンプ</t>
    </rPh>
    <rPh sb="28" eb="30">
      <t>ジョウキョウ</t>
    </rPh>
    <rPh sb="31" eb="33">
      <t>カクニン</t>
    </rPh>
    <rPh sb="34" eb="36">
      <t>ブンセキ</t>
    </rPh>
    <rPh sb="38" eb="40">
      <t>ジュギョウ</t>
    </rPh>
    <rPh sb="40" eb="42">
      <t>ナイヨウ</t>
    </rPh>
    <rPh sb="43" eb="46">
      <t>リカイド</t>
    </rPh>
    <rPh sb="47" eb="49">
      <t>ハアク</t>
    </rPh>
    <rPh sb="57" eb="59">
      <t>セイセキ</t>
    </rPh>
    <rPh sb="59" eb="61">
      <t>ヒョウカ</t>
    </rPh>
    <rPh sb="62" eb="64">
      <t>ブンプ</t>
    </rPh>
    <rPh sb="64" eb="66">
      <t>ジョウキョウ</t>
    </rPh>
    <rPh sb="67" eb="68">
      <t>フ</t>
    </rPh>
    <rPh sb="71" eb="74">
      <t>ジネンド</t>
    </rPh>
    <rPh sb="74" eb="76">
      <t>イコウ</t>
    </rPh>
    <rPh sb="77" eb="79">
      <t>ジュギョウ</t>
    </rPh>
    <rPh sb="79" eb="81">
      <t>カイゼン</t>
    </rPh>
    <rPh sb="82" eb="84">
      <t>カツヨウ</t>
    </rPh>
    <rPh sb="98" eb="100">
      <t>レイワ</t>
    </rPh>
    <rPh sb="101" eb="103">
      <t>ネンド</t>
    </rPh>
    <rPh sb="104" eb="106">
      <t>セイセキ</t>
    </rPh>
    <rPh sb="106" eb="108">
      <t>ヒョウカ</t>
    </rPh>
    <rPh sb="108" eb="110">
      <t>ワリアイ</t>
    </rPh>
    <rPh sb="228" eb="229">
      <t>ハナ</t>
    </rPh>
    <rPh sb="229" eb="230">
      <t>ガク</t>
    </rPh>
    <rPh sb="236" eb="238">
      <t>キカン</t>
    </rPh>
    <rPh sb="238" eb="241">
      <t>コウガクブ</t>
    </rPh>
    <rPh sb="245" eb="246">
      <t>メイ</t>
    </rPh>
    <rPh sb="260" eb="261">
      <t>メイ</t>
    </rPh>
    <rPh sb="273" eb="274">
      <t>メイ</t>
    </rPh>
    <rPh sb="287" eb="288">
      <t>メイ</t>
    </rPh>
    <rPh sb="303" eb="304">
      <t>メイ</t>
    </rPh>
    <rPh sb="316" eb="317">
      <t>メイ</t>
    </rPh>
    <rPh sb="330" eb="332">
      <t>センシン</t>
    </rPh>
    <rPh sb="419" eb="420">
      <t>メイ</t>
    </rPh>
    <rPh sb="432" eb="434">
      <t>ケンチク</t>
    </rPh>
    <rPh sb="536" eb="538">
      <t>ソウケイ</t>
    </rPh>
    <phoneticPr fontId="1"/>
  </si>
  <si>
    <t>本教育プログラム科目「データサイエンスとAI入門」では授業毎に課題を課すとともに、小テストを実施し受講者の理解度を把握している。また、Microsoft Formsを用いた質問フォームを設けており、学生からの質問に対して迅速に回答することで、学生の内容の理解度を高める工夫をしている。また、質問が多かった項目については使用する教材や授業方法の改善に繫げていくこととしている。</t>
    <rPh sb="0" eb="1">
      <t>ホン</t>
    </rPh>
    <rPh sb="1" eb="3">
      <t>キョウイク</t>
    </rPh>
    <rPh sb="8" eb="10">
      <t>カモク</t>
    </rPh>
    <rPh sb="22" eb="24">
      <t>ニュウモン</t>
    </rPh>
    <rPh sb="27" eb="29">
      <t>ジュギョウ</t>
    </rPh>
    <rPh sb="29" eb="30">
      <t>ゴト</t>
    </rPh>
    <rPh sb="31" eb="33">
      <t>カダイ</t>
    </rPh>
    <rPh sb="34" eb="35">
      <t>カ</t>
    </rPh>
    <rPh sb="41" eb="42">
      <t>ショウ</t>
    </rPh>
    <rPh sb="46" eb="48">
      <t>ジッシ</t>
    </rPh>
    <rPh sb="49" eb="51">
      <t>ジュコウ</t>
    </rPh>
    <rPh sb="51" eb="52">
      <t>シャ</t>
    </rPh>
    <rPh sb="53" eb="56">
      <t>リカイド</t>
    </rPh>
    <rPh sb="57" eb="59">
      <t>ハアク</t>
    </rPh>
    <rPh sb="83" eb="84">
      <t>モチ</t>
    </rPh>
    <rPh sb="86" eb="88">
      <t>シツモン</t>
    </rPh>
    <rPh sb="93" eb="94">
      <t>モウ</t>
    </rPh>
    <rPh sb="99" eb="101">
      <t>ガクセイ</t>
    </rPh>
    <rPh sb="104" eb="106">
      <t>シツモン</t>
    </rPh>
    <rPh sb="107" eb="108">
      <t>タイ</t>
    </rPh>
    <rPh sb="110" eb="112">
      <t>ジンソク</t>
    </rPh>
    <rPh sb="113" eb="115">
      <t>カイトウ</t>
    </rPh>
    <rPh sb="121" eb="123">
      <t>ガクセイ</t>
    </rPh>
    <rPh sb="124" eb="126">
      <t>ナイヨウ</t>
    </rPh>
    <rPh sb="127" eb="130">
      <t>リカイド</t>
    </rPh>
    <rPh sb="131" eb="132">
      <t>タカ</t>
    </rPh>
    <rPh sb="134" eb="136">
      <t>クフウ</t>
    </rPh>
    <rPh sb="145" eb="147">
      <t>シツモン</t>
    </rPh>
    <rPh sb="148" eb="149">
      <t>オオ</t>
    </rPh>
    <rPh sb="152" eb="154">
      <t>コウモク</t>
    </rPh>
    <rPh sb="159" eb="161">
      <t>シヨウ</t>
    </rPh>
    <rPh sb="163" eb="165">
      <t>キョウザイ</t>
    </rPh>
    <rPh sb="166" eb="170">
      <t>ジュギョウホウホウ</t>
    </rPh>
    <rPh sb="171" eb="173">
      <t>カイゼン</t>
    </rPh>
    <rPh sb="174" eb="175">
      <t>ツナ</t>
    </rPh>
    <phoneticPr fontId="1"/>
  </si>
  <si>
    <t>本学では各学期終了ごとにアンケートを実施しており、授業を通じた本人の成長実感を問うているが概ね80％近くの学生が授業を通じて成長したという回答をしており、こうした傾向は後輩の学生にも伝播していくものと捉えている。また、専門教育との関係においても、各専門分野で必要とされるものであることを講義を通じて各教員から伝達している。</t>
    <rPh sb="0" eb="2">
      <t>ホンガク</t>
    </rPh>
    <rPh sb="4" eb="5">
      <t>カク</t>
    </rPh>
    <rPh sb="5" eb="7">
      <t>ガッキ</t>
    </rPh>
    <rPh sb="7" eb="9">
      <t>シュウリョウ</t>
    </rPh>
    <rPh sb="18" eb="20">
      <t>ジッシ</t>
    </rPh>
    <rPh sb="25" eb="27">
      <t>ジュギョウ</t>
    </rPh>
    <rPh sb="28" eb="29">
      <t>ツウ</t>
    </rPh>
    <rPh sb="31" eb="33">
      <t>ホンニン</t>
    </rPh>
    <rPh sb="34" eb="36">
      <t>セイチョウ</t>
    </rPh>
    <rPh sb="36" eb="38">
      <t>ジッカン</t>
    </rPh>
    <rPh sb="39" eb="40">
      <t>ト</t>
    </rPh>
    <rPh sb="45" eb="46">
      <t>オオム</t>
    </rPh>
    <rPh sb="50" eb="51">
      <t>チカ</t>
    </rPh>
    <rPh sb="53" eb="55">
      <t>ガクセイ</t>
    </rPh>
    <rPh sb="56" eb="58">
      <t>ジュギョウ</t>
    </rPh>
    <rPh sb="59" eb="60">
      <t>ツウ</t>
    </rPh>
    <rPh sb="62" eb="64">
      <t>セイチョウ</t>
    </rPh>
    <rPh sb="69" eb="71">
      <t>カイトウ</t>
    </rPh>
    <rPh sb="81" eb="83">
      <t>ケイコウ</t>
    </rPh>
    <rPh sb="84" eb="86">
      <t>コウハイ</t>
    </rPh>
    <rPh sb="87" eb="89">
      <t>ガクセイ</t>
    </rPh>
    <rPh sb="91" eb="93">
      <t>デンパン</t>
    </rPh>
    <rPh sb="100" eb="101">
      <t>トラ</t>
    </rPh>
    <rPh sb="109" eb="111">
      <t>センモン</t>
    </rPh>
    <rPh sb="111" eb="113">
      <t>キョウイク</t>
    </rPh>
    <rPh sb="115" eb="117">
      <t>カンケイ</t>
    </rPh>
    <rPh sb="123" eb="124">
      <t>カク</t>
    </rPh>
    <rPh sb="124" eb="126">
      <t>センモン</t>
    </rPh>
    <rPh sb="126" eb="128">
      <t>ブンヤ</t>
    </rPh>
    <rPh sb="129" eb="131">
      <t>ヒツヨウ</t>
    </rPh>
    <rPh sb="143" eb="145">
      <t>コウギ</t>
    </rPh>
    <rPh sb="146" eb="147">
      <t>ツウ</t>
    </rPh>
    <rPh sb="149" eb="150">
      <t>カク</t>
    </rPh>
    <rPh sb="150" eb="152">
      <t>キョウイン</t>
    </rPh>
    <rPh sb="154" eb="156">
      <t>デンタツ</t>
    </rPh>
    <phoneticPr fontId="1"/>
  </si>
  <si>
    <t>「データサイエンスとAI入門」(1回目)において、Socity 5.0として目指す超スマート社会の姿と各分野の将来像が自らの生活と密接に結びついていることを説明し、データサイエンスやAI技術を学ぶことの意義を実例を交えて興味・関心をいだけるよう講義している。加えて、同(2,4,14回目)の各回においても、SDGｓの目標に向けデジタル革新をどう活用するかの視点が重要であること、今後はあらゆる産業でデータ分析力の活用が必要となること、総まとめの課題としてSociety 5.0に向けて何を学ぶべきかを問うていることなど、学ぶことの意義を学生に理解させる工夫をしている。また、データサイエンスとAIの基礎を講義だけでなく、演習により「学ぶ楽しさ」も実感させながら理解が深まるよう指導している。今後は，学生が所属する各学科の専門教育との関係も含めて考えさせることで学ぶ意義を更に深く理解できるよう指導していく。</t>
    <rPh sb="12" eb="14">
      <t>ニュウモン</t>
    </rPh>
    <rPh sb="51" eb="54">
      <t>カクブンヤ</t>
    </rPh>
    <rPh sb="55" eb="58">
      <t>ショウライゾウ</t>
    </rPh>
    <rPh sb="96" eb="97">
      <t>マナ</t>
    </rPh>
    <rPh sb="101" eb="103">
      <t>イギ</t>
    </rPh>
    <rPh sb="129" eb="130">
      <t>クワ</t>
    </rPh>
    <rPh sb="133" eb="134">
      <t>ドウ</t>
    </rPh>
    <rPh sb="141" eb="143">
      <t>カイメ</t>
    </rPh>
    <rPh sb="145" eb="147">
      <t>カクカイ</t>
    </rPh>
    <rPh sb="189" eb="191">
      <t>コンゴ</t>
    </rPh>
    <rPh sb="209" eb="211">
      <t>ヒツヨウ</t>
    </rPh>
    <rPh sb="239" eb="240">
      <t>ム</t>
    </rPh>
    <rPh sb="242" eb="243">
      <t>ナニ</t>
    </rPh>
    <rPh sb="250" eb="251">
      <t>ト</t>
    </rPh>
    <rPh sb="260" eb="261">
      <t>マナ</t>
    </rPh>
    <rPh sb="265" eb="267">
      <t>イギ</t>
    </rPh>
    <rPh sb="268" eb="270">
      <t>ガクセイ</t>
    </rPh>
    <rPh sb="271" eb="273">
      <t>リカイ</t>
    </rPh>
    <rPh sb="276" eb="278">
      <t>クフウ</t>
    </rPh>
    <rPh sb="299" eb="301">
      <t>キソ</t>
    </rPh>
    <rPh sb="302" eb="304">
      <t>コウギ</t>
    </rPh>
    <rPh sb="310" eb="312">
      <t>エンシュウ</t>
    </rPh>
    <rPh sb="316" eb="317">
      <t>マナ</t>
    </rPh>
    <rPh sb="318" eb="319">
      <t>タノ</t>
    </rPh>
    <rPh sb="323" eb="325">
      <t>ジッカン</t>
    </rPh>
    <rPh sb="330" eb="332">
      <t>リカイ</t>
    </rPh>
    <rPh sb="333" eb="334">
      <t>フカ</t>
    </rPh>
    <rPh sb="338" eb="340">
      <t>シドウ</t>
    </rPh>
    <rPh sb="345" eb="347">
      <t>コンゴ</t>
    </rPh>
    <rPh sb="349" eb="351">
      <t>ガクセイ</t>
    </rPh>
    <rPh sb="352" eb="354">
      <t>ショゾク</t>
    </rPh>
    <rPh sb="356" eb="357">
      <t>カク</t>
    </rPh>
    <rPh sb="357" eb="359">
      <t>ガッカ</t>
    </rPh>
    <rPh sb="360" eb="362">
      <t>センモン</t>
    </rPh>
    <rPh sb="362" eb="364">
      <t>キョウイク</t>
    </rPh>
    <rPh sb="366" eb="368">
      <t>カンケイ</t>
    </rPh>
    <rPh sb="369" eb="370">
      <t>フク</t>
    </rPh>
    <rPh sb="372" eb="373">
      <t>カンガ</t>
    </rPh>
    <rPh sb="380" eb="381">
      <t>マナ</t>
    </rPh>
    <rPh sb="382" eb="384">
      <t>イギ</t>
    </rPh>
    <rPh sb="385" eb="386">
      <t>サラ</t>
    </rPh>
    <rPh sb="387" eb="388">
      <t>フカ</t>
    </rPh>
    <rPh sb="389" eb="391">
      <t>リカイ</t>
    </rPh>
    <rPh sb="396" eb="398">
      <t>シドウ</t>
    </rPh>
    <phoneticPr fontId="1"/>
  </si>
  <si>
    <t>各授業ごとに授業資料と動画を作成し、授業内容が理解しやすい教材としている。また、各授業についてはオンデマンドで何度も視聴できるようにしており、振り返り学習ができる環境としている。また、Microsoft Formsを用いた質問フォームを設けており、学生はいつでも気軽に質問をできる環境を整えている。なお、授業ごとに難易度等にばらつきが見られることから、今後は平準化を図っていくとともに、「データサイエンスとAI入門」における人工知能に関する講義内容に生成AIに関する内容を織り込むことや、例えば、建築学部の学生向けに「建築とＡＩ」に関する特別講演を授業に組み込むなどにより専門教育との関連についても更に理解が深まるようにしていく。</t>
    <rPh sb="0" eb="1">
      <t>カク</t>
    </rPh>
    <rPh sb="1" eb="3">
      <t>ジュギョウ</t>
    </rPh>
    <rPh sb="6" eb="8">
      <t>ジュギョウ</t>
    </rPh>
    <rPh sb="8" eb="10">
      <t>シリョウ</t>
    </rPh>
    <rPh sb="11" eb="13">
      <t>ドウガ</t>
    </rPh>
    <rPh sb="14" eb="16">
      <t>サクセイ</t>
    </rPh>
    <rPh sb="18" eb="20">
      <t>ジュギョウ</t>
    </rPh>
    <rPh sb="20" eb="22">
      <t>ナイヨウ</t>
    </rPh>
    <rPh sb="23" eb="25">
      <t>リカイ</t>
    </rPh>
    <rPh sb="29" eb="31">
      <t>キョウザイ</t>
    </rPh>
    <rPh sb="40" eb="41">
      <t>カク</t>
    </rPh>
    <rPh sb="41" eb="43">
      <t>ジュギョウ</t>
    </rPh>
    <rPh sb="55" eb="57">
      <t>ナンド</t>
    </rPh>
    <rPh sb="58" eb="60">
      <t>シチョウ</t>
    </rPh>
    <rPh sb="71" eb="72">
      <t>フ</t>
    </rPh>
    <rPh sb="73" eb="74">
      <t>カエ</t>
    </rPh>
    <rPh sb="75" eb="77">
      <t>ガクシュウ</t>
    </rPh>
    <rPh sb="81" eb="83">
      <t>カンキョウ</t>
    </rPh>
    <rPh sb="108" eb="109">
      <t>モチ</t>
    </rPh>
    <rPh sb="111" eb="113">
      <t>シツモン</t>
    </rPh>
    <rPh sb="118" eb="119">
      <t>モウ</t>
    </rPh>
    <rPh sb="124" eb="126">
      <t>ガクセイ</t>
    </rPh>
    <rPh sb="131" eb="133">
      <t>キガル</t>
    </rPh>
    <rPh sb="134" eb="136">
      <t>シツモン</t>
    </rPh>
    <rPh sb="140" eb="142">
      <t>カンキョウ</t>
    </rPh>
    <rPh sb="143" eb="144">
      <t>トトノ</t>
    </rPh>
    <rPh sb="152" eb="154">
      <t>ジュギョウ</t>
    </rPh>
    <rPh sb="157" eb="160">
      <t>ナンイド</t>
    </rPh>
    <rPh sb="160" eb="161">
      <t>トウ</t>
    </rPh>
    <rPh sb="167" eb="168">
      <t>ミ</t>
    </rPh>
    <rPh sb="176" eb="178">
      <t>コンゴ</t>
    </rPh>
    <rPh sb="179" eb="182">
      <t>ヘイジュンカ</t>
    </rPh>
    <rPh sb="183" eb="184">
      <t>ハカ</t>
    </rPh>
    <rPh sb="205" eb="207">
      <t>ニュウモン</t>
    </rPh>
    <rPh sb="212" eb="216">
      <t>ジンコウチノウ</t>
    </rPh>
    <rPh sb="217" eb="218">
      <t>カン</t>
    </rPh>
    <rPh sb="225" eb="227">
      <t>セイセイ</t>
    </rPh>
    <rPh sb="230" eb="231">
      <t>カン</t>
    </rPh>
    <rPh sb="233" eb="235">
      <t>ナイヨウ</t>
    </rPh>
    <rPh sb="236" eb="237">
      <t>オ</t>
    </rPh>
    <rPh sb="238" eb="239">
      <t>コ</t>
    </rPh>
    <rPh sb="244" eb="245">
      <t>タト</t>
    </rPh>
    <rPh sb="248" eb="252">
      <t>ケンチクガクブ</t>
    </rPh>
    <rPh sb="253" eb="256">
      <t>ガクセイム</t>
    </rPh>
    <rPh sb="259" eb="261">
      <t>ケンチク</t>
    </rPh>
    <rPh sb="266" eb="267">
      <t>カン</t>
    </rPh>
    <rPh sb="269" eb="273">
      <t>トクベツコウエン</t>
    </rPh>
    <rPh sb="274" eb="276">
      <t>ジュギョウ</t>
    </rPh>
    <rPh sb="277" eb="278">
      <t>ク</t>
    </rPh>
    <rPh sb="279" eb="280">
      <t>コ</t>
    </rPh>
    <rPh sb="286" eb="288">
      <t>センモン</t>
    </rPh>
    <rPh sb="288" eb="290">
      <t>キョウイク</t>
    </rPh>
    <rPh sb="292" eb="294">
      <t>カンレン</t>
    </rPh>
    <rPh sb="299" eb="300">
      <t>サラ</t>
    </rPh>
    <rPh sb="301" eb="303">
      <t>リカイ</t>
    </rPh>
    <rPh sb="304" eb="305">
      <t>フカ</t>
    </rPh>
    <phoneticPr fontId="1"/>
  </si>
  <si>
    <t>1-4 データ・AI利活用のための技術
　 「データサイエンスとAI入門」(4回目)において，各種データ分析手法の分類と一覧を示し，以降の演習や講義で扱う相関分析，回帰分析，機械学習等の位置づけを説明している。同科目(5・6回目)演習では，データ可視化を演習を通じて実践している。さらに，同科目(9回目)では，非構造化データ処理の応用例として，画像認識，音声認識の例を紹介し，教師あり学習，教師なし学習，分類，回帰，クラスタリングの各手法について解説している。
　</t>
    <phoneticPr fontId="1"/>
  </si>
  <si>
    <t>1-5 データ・AI利活用の現場
  「データサイエンスとAI入門」(4回目)において，ナイチンゲールが実践したデータサイエンスにおける課題解決サイクルPPDACを示し，課題抽出からデータ収集・分析，課題解決に向けた提案までのサイクルを回す力が広義のデータ分析力として重要であることを強調して解説している。 更に，同科目(7回目)において，IoTシステムを現場に導入し，データ・AIを活用している事例として，土砂災害警戒などの防災分野，公共インフラの維持管理，製造現場のDX化を取り上げている。
　</t>
    <phoneticPr fontId="1"/>
  </si>
  <si>
    <t>数理・データサイエンス・AI教育プログラム(リテラシー)</t>
    <rPh sb="0" eb="2">
      <t>スウリ</t>
    </rPh>
    <rPh sb="14" eb="16">
      <t>キョウイク</t>
    </rPh>
    <phoneticPr fontId="1"/>
  </si>
  <si>
    <t>1-1 社会で起きている変化
　「データサイエンスとAI入門」(1回目)において、Socity 5.0として目指す超スマート社会の姿を概説し、その実現形態であるサイバー・フィジカル・システムにおいて、データサイエンスやAI技術が重要な役割を果たすこと、また、交通・医療・防災・エネルギー等の各分野の将来像を示し自らの生活と密接に結びついていることを説明している。更に、同科目(2回目)では、SDGsとSociety 5.0との関係について、SDGｓの目標に向けデジタル革新をどう活用するかの視点が重要であることを解説している。</t>
    <phoneticPr fontId="1"/>
  </si>
  <si>
    <t>1-6 データ・AI利活用の最新動向
　「データサイエンスとAI入門」(3回目)において、ビッグデータ解析によるデータ利活用が盛んになった背景を概説した後、データ駆動型消費者行動モデルなどへのデータ・AI利活用の最新動向について解説している。更に、同科目(8回目)では、AI技術の発展の経緯からAIによる画像認識・言語理解まで最新の動向を説明している。</t>
    <phoneticPr fontId="1"/>
  </si>
  <si>
    <t>1-2 社会で活用されているデータ
　「データサイエンスとAI入門」(3回目)において、スマートフォンや各種センサーの普及に伴い、膨大なデータが活用できるようになった背景を概説した後、データの分類として一次、二次、メタデータの概念を示し、調査・実験・ログ・観測の各データが社会で活用されていることを具体的な活用例を含めて解説している。
　</t>
    <phoneticPr fontId="1"/>
  </si>
  <si>
    <t>1-3 データ・AIの活用領域
　「データサイエンスとAI入門」(3回目)において、データ・AIの活用例として、自動運転、橋梁などの公共インフラ管理、画像認識による病理診断などの医療分野への応用などを取り上げ、活用領域が広がっていることを説明し、日常生活や社会の課題を解決する有用なツールとしてデータ・AI技術があることを理解させている。</t>
    <phoneticPr fontId="1"/>
  </si>
  <si>
    <t>3-1 データ・AIを扱う上での留意事項
　　 「データサイエンスとAI入門」(13回目)において、Socity5.0における諸課題として、法的課題（AIに法的責任を問えるか等）、品質管理の問題（AIの品質は誰が保証するのか等）、シンギュラリティの問題（AIの今後の発展）を取り上げ、それぞれの課題について学生自身が問題意識を持てるよう解説している。更に、同科目(14回目)では、デジタル依存・ネット依存の問題、フィルターバブル、エコーチェンバー現象、フレーム問題などの事項を解説し、ＡＩに心は宿るのか等を学生に問うている。
　</t>
    <phoneticPr fontId="1"/>
  </si>
  <si>
    <t>3-2 データを守る上での留意事項
　 「データサイエンスとAI入門」(13回目)において、Socity5.0における諸課題として、上述の法的課題、品質管理の問題、シンギュラリティの問題に加えて、安全性の問題（リスクの最小化を目指すSafty 2.0の考え方等）、サイバーセキュリティの問題（IoTの脆弱性，情報漏洩等）を取り上げ、それぞれの課題について学生自身が問題意識を持てるよう解説している。</t>
    <phoneticPr fontId="1"/>
  </si>
  <si>
    <t>2-1 データを読む
　 「データサイエンスとAI入門」(4回目)において、データの種類（量的・質的データ）と尺度（比率・間隔・順序・名義）、記述統計と推測統計の違い（全数調査と母集団からの標本抽出）、要約統計量（平均値，中央値，最頻値；レンジ，最大値，最小値；四分位，分散，標準偏差，変動係数）、度数分布表とヒストグラム等のデータの特徴を把握する記述統計の基本を解説している。更に、同科目(5・6回目)では、散布図と相関係数、線形回帰を体得するための実践的な演習を実施している。</t>
    <phoneticPr fontId="1"/>
  </si>
  <si>
    <t>2-2 データを説明する
　 「データサイエンスとAI入門」(5・6回目)において、散布図、最小二乗法による線形回帰をグラフ表現する演習を実践している。また、同科目(11回目)では、強化学習の例題として迷路探索の課題を取り上げ、迷路と方策を描画させる演習も取り上げ、データの可視化により表現・説明することの重要さを解説している。更に、同科目(12回目)では、画像処理ライブラリOpenCVにより視覚的に確認しながら画像処理ができることを解説している。</t>
    <phoneticPr fontId="1"/>
  </si>
  <si>
    <t>2-3 データを扱う
　 「データサイエンスとAI入門」(5・6・10・11回目)において、計4コマにわたり実践的演習を実施している。前半(5・6回目)では、Excelのスプレッドシートを用いた基本的な相関分析と回帰分析を扱い、後半(10回目)では、機械学習ライブラリTensorflowを用いたニューラルネットワークの動作を視覚的に体感できる演習を実施し、(11回目)では、プログラム実行環境Jupyter notebook上でのPythonを用いた強化学習を実践しており、これらのデータ解析ツールの活用方法も含めた演習内容としている。</t>
    <phoneticPr fontId="1"/>
  </si>
  <si>
    <t>本プログラムによる学修成果として，学生に求められる達成目標は次のとおり：
①Society5.0（超スマート社会）の概要を理解し説明できること、②SDGs（持続可能な開発目標）とSociety5.0の関係を理解し説明できること、③データサイエンスの基礎を理解し簡単な応用ができること、④AI（人工知能）の基礎を理解し簡単な応用ができること、⑤Society5.0における技術的課題の概要を理解し説明できること。</t>
    <phoneticPr fontId="1"/>
  </si>
  <si>
    <t>令和５</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</si>
</sst>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0" fontId="13" fillId="0" borderId="1" xfId="0" applyFont="1" applyBorder="1" applyAlignment="1">
      <alignment horizontal="right" vertical="center"/>
    </xf>
    <xf numFmtId="0" fontId="13" fillId="0" borderId="0" xfId="0" applyFont="1" applyAlignment="1">
      <alignment horizontal="right" vertical="center"/>
    </xf>
    <xf numFmtId="0" fontId="16" fillId="0" borderId="0" xfId="0" applyFont="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5" fillId="0" borderId="0" xfId="0" applyFont="1" applyAlignment="1">
      <alignment vertical="top" wrapText="1"/>
    </xf>
    <xf numFmtId="0" fontId="13"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13"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37" xfId="0" applyFont="1" applyFill="1" applyBorder="1" applyAlignment="1">
      <alignment vertical="top" wrapText="1"/>
    </xf>
    <xf numFmtId="0" fontId="15" fillId="2" borderId="38" xfId="0" applyFont="1" applyFill="1" applyBorder="1" applyAlignment="1">
      <alignment vertical="top" wrapText="1"/>
    </xf>
    <xf numFmtId="0" fontId="15" fillId="2" borderId="37" xfId="0" applyFont="1" applyFill="1" applyBorder="1" applyAlignment="1">
      <alignment vertical="top" shrinkToFit="1"/>
    </xf>
    <xf numFmtId="0" fontId="15" fillId="2" borderId="38" xfId="0" applyFont="1" applyFill="1" applyBorder="1" applyAlignment="1">
      <alignment vertical="top" shrinkToFit="1"/>
    </xf>
    <xf numFmtId="0" fontId="13" fillId="0" borderId="0" xfId="0" applyFont="1" applyAlignment="1">
      <alignment vertical="top" wrapText="1"/>
    </xf>
    <xf numFmtId="0" fontId="12" fillId="0" borderId="0" xfId="0" applyFont="1" applyAlignment="1">
      <alignment horizontal="left" vertical="center" wrapText="1"/>
    </xf>
    <xf numFmtId="49" fontId="2" fillId="0" borderId="32" xfId="0" applyNumberFormat="1" applyFont="1" applyBorder="1" applyAlignment="1">
      <alignment horizontal="left" vertical="top" wrapText="1"/>
    </xf>
    <xf numFmtId="49" fontId="2" fillId="0" borderId="33" xfId="0" applyNumberFormat="1" applyFont="1" applyBorder="1" applyAlignment="1">
      <alignment horizontal="left" vertical="top"/>
    </xf>
    <xf numFmtId="49" fontId="2" fillId="0" borderId="34" xfId="0" applyNumberFormat="1" applyFont="1" applyBorder="1" applyAlignment="1">
      <alignment horizontal="left" vertical="top"/>
    </xf>
    <xf numFmtId="49" fontId="2" fillId="0" borderId="29" xfId="0" applyNumberFormat="1" applyFont="1" applyBorder="1" applyAlignment="1">
      <alignment horizontal="left" vertical="top" wrapText="1"/>
    </xf>
    <xf numFmtId="49" fontId="2" fillId="0" borderId="31" xfId="0" applyNumberFormat="1" applyFont="1" applyBorder="1" applyAlignment="1">
      <alignment horizontal="left" vertical="top"/>
    </xf>
    <xf numFmtId="49" fontId="2" fillId="0" borderId="30" xfId="0" applyNumberFormat="1" applyFont="1" applyBorder="1" applyAlignment="1">
      <alignment horizontal="left" vertical="top"/>
    </xf>
    <xf numFmtId="49" fontId="2" fillId="0" borderId="18" xfId="0" applyNumberFormat="1" applyFont="1" applyBorder="1" applyAlignment="1">
      <alignment horizontal="left" vertical="top" wrapText="1"/>
    </xf>
    <xf numFmtId="49" fontId="2" fillId="0" borderId="19" xfId="0" applyNumberFormat="1" applyFont="1" applyBorder="1" applyAlignment="1">
      <alignment horizontal="left" vertical="top"/>
    </xf>
    <xf numFmtId="49" fontId="2" fillId="0" borderId="17" xfId="0" applyNumberFormat="1" applyFont="1" applyBorder="1" applyAlignment="1">
      <alignment horizontal="left" vertical="top"/>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3" fillId="0" borderId="16" xfId="0" applyFont="1" applyBorder="1" applyAlignment="1">
      <alignment vertical="center" wrapText="1"/>
    </xf>
    <xf numFmtId="0" fontId="13" fillId="0" borderId="17" xfId="0" applyFont="1" applyBorder="1" applyAlignment="1">
      <alignment vertical="center" wrapTex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13" fillId="0" borderId="47" xfId="0" applyFont="1" applyBorder="1" applyAlignment="1">
      <alignment vertical="center" wrapText="1"/>
    </xf>
    <xf numFmtId="0" fontId="13" fillId="0" borderId="34" xfId="0" applyFont="1" applyBorder="1" applyAlignment="1">
      <alignment vertical="center" wrapTex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xf numFmtId="0" fontId="13" fillId="3" borderId="18" xfId="0" applyFont="1" applyFill="1" applyBorder="1" applyAlignment="1">
      <alignment vertical="top" wrapText="1" shrinkToFit="1"/>
    </xf>
    <xf numFmtId="0" fontId="13" fillId="3" borderId="19" xfId="0" applyFont="1" applyFill="1" applyBorder="1" applyAlignment="1">
      <alignment vertical="top" wrapText="1" shrinkToFit="1"/>
    </xf>
    <xf numFmtId="0" fontId="13" fillId="3" borderId="17" xfId="0" applyFont="1" applyFill="1" applyBorder="1" applyAlignment="1">
      <alignment vertical="top" wrapText="1" shrinkToFit="1"/>
    </xf>
    <xf numFmtId="0" fontId="13" fillId="0" borderId="32" xfId="0" applyFont="1" applyBorder="1" applyAlignment="1">
      <alignment vertical="top" wrapText="1" shrinkToFit="1"/>
    </xf>
    <xf numFmtId="0" fontId="13" fillId="0" borderId="16" xfId="0" applyFont="1" applyBorder="1">
      <alignment vertical="center"/>
    </xf>
    <xf numFmtId="0" fontId="12" fillId="0" borderId="17" xfId="0" applyFont="1" applyBorder="1">
      <alignment vertical="center"/>
    </xf>
    <xf numFmtId="0" fontId="13" fillId="0" borderId="18" xfId="0" applyFont="1" applyBorder="1" applyAlignment="1">
      <alignment vertical="top" wrapText="1" shrinkToFi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97" zoomScaleNormal="100" zoomScaleSheetLayoutView="100" workbookViewId="0">
      <selection activeCell="B11" sqref="B11:U1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63"/>
      <c r="B1" s="63"/>
      <c r="C1" s="63"/>
      <c r="D1" s="63"/>
      <c r="E1" s="63"/>
      <c r="F1" s="63"/>
      <c r="G1" s="63"/>
      <c r="H1" s="63"/>
      <c r="I1" s="63"/>
      <c r="J1" s="63"/>
      <c r="K1" s="63"/>
      <c r="L1" s="63"/>
      <c r="M1" s="63"/>
      <c r="N1" s="63"/>
      <c r="O1" s="63"/>
      <c r="P1" s="63"/>
      <c r="Q1" s="63"/>
      <c r="R1" s="63"/>
      <c r="S1" s="63"/>
      <c r="T1" s="126" t="s">
        <v>12</v>
      </c>
      <c r="U1" s="126"/>
      <c r="V1" s="2" t="s">
        <v>100</v>
      </c>
    </row>
    <row r="2" spans="1:24" ht="18.75" customHeight="1" x14ac:dyDescent="0.15">
      <c r="A2" s="63"/>
      <c r="B2" s="64" t="s">
        <v>99</v>
      </c>
      <c r="C2" s="127" t="s">
        <v>138</v>
      </c>
      <c r="D2" s="128"/>
      <c r="E2" s="128"/>
      <c r="F2" s="128"/>
      <c r="G2" s="128"/>
      <c r="H2" s="128"/>
      <c r="I2" s="128"/>
      <c r="J2" s="129"/>
      <c r="K2" s="65"/>
      <c r="L2" s="66"/>
      <c r="M2" s="66"/>
      <c r="N2" s="66"/>
      <c r="O2" s="66"/>
      <c r="P2" s="66"/>
      <c r="Q2" s="66"/>
      <c r="R2" s="66"/>
      <c r="S2" s="66"/>
      <c r="T2" s="66"/>
      <c r="U2" s="66"/>
    </row>
    <row r="3" spans="1:24" ht="18.75" customHeight="1" x14ac:dyDescent="0.15">
      <c r="A3" s="63"/>
      <c r="B3" s="64" t="s">
        <v>94</v>
      </c>
      <c r="C3" s="127" t="s">
        <v>166</v>
      </c>
      <c r="D3" s="128"/>
      <c r="E3" s="128"/>
      <c r="F3" s="128"/>
      <c r="G3" s="128"/>
      <c r="H3" s="128"/>
      <c r="I3" s="128"/>
      <c r="J3" s="129"/>
      <c r="K3" s="65"/>
      <c r="L3" s="66"/>
      <c r="M3" s="66"/>
      <c r="N3" s="66"/>
      <c r="O3" s="66"/>
      <c r="P3" s="66"/>
      <c r="Q3" s="66"/>
      <c r="R3" s="66"/>
      <c r="S3" s="66"/>
      <c r="T3" s="66"/>
      <c r="U3" s="66"/>
    </row>
    <row r="4" spans="1:24" ht="15" customHeight="1" x14ac:dyDescent="0.15">
      <c r="A4" s="63"/>
      <c r="B4" s="63"/>
      <c r="C4" s="63"/>
      <c r="D4" s="63"/>
      <c r="E4" s="63"/>
      <c r="F4" s="63"/>
      <c r="G4" s="63"/>
      <c r="H4" s="63"/>
      <c r="I4" s="63"/>
      <c r="J4" s="63"/>
      <c r="K4" s="63"/>
      <c r="L4" s="65"/>
      <c r="M4" s="67"/>
      <c r="N4" s="67"/>
      <c r="O4" s="67"/>
      <c r="P4" s="67"/>
      <c r="Q4" s="67"/>
      <c r="R4" s="67"/>
      <c r="S4" s="67"/>
      <c r="T4" s="67"/>
      <c r="U4" s="67"/>
    </row>
    <row r="5" spans="1:24" ht="18" customHeight="1" x14ac:dyDescent="0.15">
      <c r="A5" s="130" t="s">
        <v>38</v>
      </c>
      <c r="B5" s="130"/>
      <c r="C5" s="130"/>
      <c r="D5" s="130"/>
      <c r="E5" s="130"/>
      <c r="F5" s="130"/>
      <c r="G5" s="130"/>
      <c r="H5" s="130"/>
      <c r="I5" s="130"/>
      <c r="J5" s="130"/>
      <c r="K5" s="130"/>
      <c r="L5" s="130"/>
      <c r="M5" s="130"/>
      <c r="N5" s="130"/>
      <c r="O5" s="130"/>
      <c r="P5" s="130"/>
      <c r="Q5" s="130"/>
      <c r="R5" s="130"/>
      <c r="S5" s="130"/>
      <c r="T5" s="130"/>
      <c r="U5" s="130"/>
    </row>
    <row r="6" spans="1:24" ht="15" customHeight="1" x14ac:dyDescent="0.15">
      <c r="A6" s="63"/>
      <c r="B6" s="68"/>
      <c r="C6" s="68"/>
      <c r="D6" s="68"/>
      <c r="E6" s="68"/>
      <c r="F6" s="68"/>
      <c r="G6" s="68"/>
      <c r="H6" s="68"/>
      <c r="I6" s="68"/>
      <c r="J6" s="68"/>
      <c r="K6" s="68"/>
      <c r="L6" s="68"/>
      <c r="M6" s="68"/>
      <c r="N6" s="68"/>
      <c r="O6" s="68"/>
      <c r="P6" s="68"/>
      <c r="Q6" s="68"/>
      <c r="R6" s="68"/>
      <c r="S6" s="68"/>
      <c r="T6" s="68"/>
      <c r="U6" s="68"/>
    </row>
    <row r="7" spans="1:24" ht="15" customHeight="1" x14ac:dyDescent="0.15">
      <c r="A7" s="63" t="s">
        <v>131</v>
      </c>
      <c r="B7" s="68"/>
      <c r="C7" s="68"/>
      <c r="D7" s="68"/>
      <c r="E7" s="68"/>
      <c r="F7" s="62"/>
      <c r="G7" s="62"/>
      <c r="H7" s="62"/>
      <c r="I7" s="62"/>
      <c r="J7" s="62"/>
      <c r="K7" s="62"/>
      <c r="L7" s="104" t="s">
        <v>139</v>
      </c>
      <c r="M7" s="105"/>
      <c r="N7" s="105"/>
      <c r="O7" s="105"/>
      <c r="P7" s="105"/>
      <c r="Q7" s="105"/>
      <c r="R7" s="105"/>
      <c r="S7" s="105"/>
      <c r="T7" s="105"/>
      <c r="U7" s="106"/>
    </row>
    <row r="8" spans="1:24" ht="6" customHeight="1" x14ac:dyDescent="0.15">
      <c r="A8" s="63"/>
      <c r="B8" s="68"/>
      <c r="C8" s="68"/>
      <c r="D8" s="68"/>
      <c r="E8" s="68"/>
      <c r="F8" s="68"/>
      <c r="G8" s="68"/>
      <c r="H8" s="68"/>
      <c r="I8" s="68"/>
      <c r="J8" s="68"/>
      <c r="K8" s="68"/>
      <c r="L8" s="68"/>
      <c r="M8" s="68"/>
      <c r="N8" s="68"/>
      <c r="O8" s="68"/>
      <c r="P8" s="68"/>
      <c r="Q8" s="68"/>
      <c r="R8" s="68"/>
      <c r="S8" s="68"/>
      <c r="T8" s="68"/>
      <c r="U8" s="68"/>
    </row>
    <row r="9" spans="1:24" ht="18" customHeight="1" x14ac:dyDescent="0.15">
      <c r="A9" s="63" t="s">
        <v>132</v>
      </c>
      <c r="B9" s="63"/>
      <c r="C9" s="68"/>
      <c r="D9" s="68"/>
      <c r="E9" s="63"/>
      <c r="F9" s="63"/>
      <c r="G9" s="63"/>
      <c r="H9" s="63"/>
      <c r="I9" s="63"/>
      <c r="J9" s="63"/>
      <c r="K9" s="65"/>
      <c r="L9" s="62"/>
      <c r="M9" s="62"/>
      <c r="N9" s="62"/>
      <c r="O9" s="62"/>
      <c r="P9" s="62"/>
      <c r="Q9" s="62"/>
      <c r="R9" s="62"/>
      <c r="S9" s="62"/>
      <c r="T9" s="62"/>
      <c r="U9" s="62"/>
    </row>
    <row r="10" spans="1:24" ht="6" customHeight="1" x14ac:dyDescent="0.15">
      <c r="A10" s="63"/>
      <c r="B10" s="68"/>
      <c r="C10" s="68"/>
      <c r="D10" s="68"/>
      <c r="E10" s="68"/>
      <c r="F10" s="68"/>
      <c r="G10" s="68"/>
      <c r="H10" s="68"/>
      <c r="I10" s="68"/>
      <c r="J10" s="68"/>
      <c r="K10" s="68"/>
      <c r="L10" s="69"/>
      <c r="M10" s="68"/>
      <c r="N10" s="68"/>
      <c r="O10" s="68"/>
      <c r="P10" s="68"/>
      <c r="Q10" s="68"/>
      <c r="R10" s="68"/>
      <c r="S10" s="68"/>
      <c r="T10" s="68"/>
      <c r="U10" s="68"/>
    </row>
    <row r="11" spans="1:24" ht="18" customHeight="1" x14ac:dyDescent="0.15">
      <c r="A11" s="63"/>
      <c r="B11" s="110"/>
      <c r="C11" s="111"/>
      <c r="D11" s="111"/>
      <c r="E11" s="111"/>
      <c r="F11" s="111"/>
      <c r="G11" s="111"/>
      <c r="H11" s="111"/>
      <c r="I11" s="111"/>
      <c r="J11" s="111"/>
      <c r="K11" s="111"/>
      <c r="L11" s="111"/>
      <c r="M11" s="111"/>
      <c r="N11" s="111"/>
      <c r="O11" s="111"/>
      <c r="P11" s="111"/>
      <c r="Q11" s="111"/>
      <c r="R11" s="111"/>
      <c r="S11" s="111"/>
      <c r="T11" s="111"/>
      <c r="U11" s="112"/>
    </row>
    <row r="12" spans="1:24" ht="18" customHeight="1" x14ac:dyDescent="0.15">
      <c r="A12" s="63"/>
      <c r="B12" s="113"/>
      <c r="C12" s="114"/>
      <c r="D12" s="114"/>
      <c r="E12" s="114"/>
      <c r="F12" s="114"/>
      <c r="G12" s="114"/>
      <c r="H12" s="114"/>
      <c r="I12" s="114"/>
      <c r="J12" s="114"/>
      <c r="K12" s="114"/>
      <c r="L12" s="114"/>
      <c r="M12" s="114"/>
      <c r="N12" s="114"/>
      <c r="O12" s="114"/>
      <c r="P12" s="114"/>
      <c r="Q12" s="114"/>
      <c r="R12" s="114"/>
      <c r="S12" s="114"/>
      <c r="T12" s="114"/>
      <c r="U12" s="115"/>
    </row>
    <row r="13" spans="1:24" ht="6" customHeight="1" x14ac:dyDescent="0.15">
      <c r="A13" s="63"/>
      <c r="B13" s="68"/>
      <c r="C13" s="68"/>
      <c r="D13" s="68"/>
      <c r="E13" s="68"/>
      <c r="F13" s="68"/>
      <c r="G13" s="68"/>
      <c r="H13" s="68"/>
      <c r="I13" s="68"/>
      <c r="J13" s="68"/>
      <c r="K13" s="68"/>
      <c r="L13" s="69"/>
      <c r="M13" s="68"/>
      <c r="N13" s="68"/>
      <c r="O13" s="68"/>
      <c r="P13" s="68"/>
      <c r="Q13" s="68"/>
      <c r="R13" s="68"/>
      <c r="S13" s="68"/>
      <c r="T13" s="68"/>
      <c r="U13" s="68"/>
    </row>
    <row r="14" spans="1:24" ht="18" customHeight="1" x14ac:dyDescent="0.15">
      <c r="A14" s="63" t="s">
        <v>101</v>
      </c>
      <c r="B14" s="68"/>
      <c r="C14" s="68"/>
      <c r="D14" s="68"/>
      <c r="E14" s="65"/>
      <c r="F14" s="65"/>
      <c r="G14" s="65"/>
      <c r="H14" s="65"/>
      <c r="I14" s="65"/>
      <c r="J14" s="65"/>
      <c r="K14" s="65"/>
      <c r="L14" s="70"/>
      <c r="M14" s="70"/>
      <c r="N14" s="70"/>
      <c r="O14" s="70"/>
      <c r="P14" s="70"/>
      <c r="Q14" s="70"/>
      <c r="R14" s="70"/>
      <c r="S14" s="70"/>
      <c r="T14" s="70"/>
      <c r="U14" s="70"/>
    </row>
    <row r="15" spans="1:24" ht="18" customHeight="1" x14ac:dyDescent="0.15">
      <c r="A15" s="63"/>
      <c r="B15" s="131" t="s">
        <v>157</v>
      </c>
      <c r="C15" s="132"/>
      <c r="D15" s="132"/>
      <c r="E15" s="132"/>
      <c r="F15" s="132"/>
      <c r="G15" s="132"/>
      <c r="H15" s="132"/>
      <c r="I15" s="132"/>
      <c r="J15" s="132"/>
      <c r="K15" s="132"/>
      <c r="L15" s="132"/>
      <c r="M15" s="132"/>
      <c r="N15" s="132"/>
      <c r="O15" s="132"/>
      <c r="P15" s="132"/>
      <c r="Q15" s="132"/>
      <c r="R15" s="132"/>
      <c r="S15" s="132"/>
      <c r="T15" s="132"/>
      <c r="U15" s="133"/>
      <c r="X15" s="1" t="s">
        <v>95</v>
      </c>
    </row>
    <row r="16" spans="1:24" ht="18" customHeight="1" x14ac:dyDescent="0.15">
      <c r="A16" s="63"/>
      <c r="B16" s="134"/>
      <c r="C16" s="135"/>
      <c r="D16" s="135"/>
      <c r="E16" s="135"/>
      <c r="F16" s="135"/>
      <c r="G16" s="135"/>
      <c r="H16" s="135"/>
      <c r="I16" s="135"/>
      <c r="J16" s="135"/>
      <c r="K16" s="135"/>
      <c r="L16" s="135"/>
      <c r="M16" s="135"/>
      <c r="N16" s="135"/>
      <c r="O16" s="135"/>
      <c r="P16" s="135"/>
      <c r="Q16" s="135"/>
      <c r="R16" s="135"/>
      <c r="S16" s="135"/>
      <c r="T16" s="135"/>
      <c r="U16" s="136"/>
      <c r="X16" s="1" t="s">
        <v>115</v>
      </c>
    </row>
    <row r="17" spans="1:24" ht="18" customHeight="1" x14ac:dyDescent="0.15">
      <c r="A17" s="63"/>
      <c r="B17" s="134"/>
      <c r="C17" s="135"/>
      <c r="D17" s="135"/>
      <c r="E17" s="135"/>
      <c r="F17" s="135"/>
      <c r="G17" s="135"/>
      <c r="H17" s="135"/>
      <c r="I17" s="135"/>
      <c r="J17" s="135"/>
      <c r="K17" s="135"/>
      <c r="L17" s="135"/>
      <c r="M17" s="135"/>
      <c r="N17" s="135"/>
      <c r="O17" s="135"/>
      <c r="P17" s="135"/>
      <c r="Q17" s="135"/>
      <c r="R17" s="135"/>
      <c r="S17" s="135"/>
      <c r="T17" s="135"/>
      <c r="U17" s="136"/>
      <c r="X17" s="1" t="s">
        <v>116</v>
      </c>
    </row>
    <row r="18" spans="1:24" ht="18" customHeight="1" x14ac:dyDescent="0.15">
      <c r="A18" s="63"/>
      <c r="B18" s="134"/>
      <c r="C18" s="135"/>
      <c r="D18" s="135"/>
      <c r="E18" s="135"/>
      <c r="F18" s="135"/>
      <c r="G18" s="135"/>
      <c r="H18" s="135"/>
      <c r="I18" s="135"/>
      <c r="J18" s="135"/>
      <c r="K18" s="135"/>
      <c r="L18" s="135"/>
      <c r="M18" s="135"/>
      <c r="N18" s="135"/>
      <c r="O18" s="135"/>
      <c r="P18" s="135"/>
      <c r="Q18" s="135"/>
      <c r="R18" s="135"/>
      <c r="S18" s="135"/>
      <c r="T18" s="135"/>
      <c r="U18" s="136"/>
      <c r="X18" s="1" t="s">
        <v>117</v>
      </c>
    </row>
    <row r="19" spans="1:24" ht="18" customHeight="1" x14ac:dyDescent="0.15">
      <c r="A19" s="63"/>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15">
      <c r="A20" s="63"/>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15">
      <c r="A21" s="63"/>
      <c r="B21" s="68"/>
      <c r="C21" s="68"/>
      <c r="D21" s="68"/>
      <c r="E21" s="68"/>
      <c r="F21" s="68"/>
      <c r="G21" s="68"/>
      <c r="H21" s="68"/>
      <c r="I21" s="68"/>
      <c r="J21" s="68"/>
      <c r="K21" s="68"/>
      <c r="L21" s="68"/>
      <c r="M21" s="68"/>
      <c r="N21" s="68"/>
      <c r="O21" s="68"/>
      <c r="P21" s="68"/>
      <c r="Q21" s="68"/>
      <c r="R21" s="68"/>
      <c r="S21" s="68"/>
      <c r="T21" s="68"/>
      <c r="U21" s="68"/>
    </row>
    <row r="22" spans="1:24" ht="19.899999999999999" customHeight="1" x14ac:dyDescent="0.15">
      <c r="A22" s="63"/>
      <c r="B22" s="63" t="s">
        <v>133</v>
      </c>
      <c r="C22" s="63"/>
      <c r="D22" s="63"/>
      <c r="E22" s="71">
        <v>1</v>
      </c>
      <c r="F22" s="63" t="s">
        <v>113</v>
      </c>
      <c r="G22" s="63"/>
      <c r="H22" s="74">
        <v>2</v>
      </c>
      <c r="I22" s="68" t="s">
        <v>114</v>
      </c>
      <c r="J22" s="68"/>
      <c r="K22" s="65"/>
      <c r="L22" s="63"/>
      <c r="M22" s="65" t="s">
        <v>110</v>
      </c>
      <c r="N22" s="101" t="s">
        <v>116</v>
      </c>
      <c r="O22" s="102"/>
      <c r="P22" s="102"/>
      <c r="Q22" s="102"/>
      <c r="R22" s="102"/>
      <c r="S22" s="102"/>
      <c r="T22" s="102"/>
      <c r="U22" s="103"/>
    </row>
    <row r="23" spans="1:24" ht="7.5" customHeight="1" x14ac:dyDescent="0.15">
      <c r="A23" s="63"/>
      <c r="B23" s="68"/>
      <c r="C23" s="68"/>
      <c r="D23" s="68"/>
      <c r="E23" s="68"/>
      <c r="F23" s="68"/>
      <c r="G23" s="68"/>
      <c r="H23" s="68"/>
      <c r="I23" s="68"/>
      <c r="J23" s="68"/>
      <c r="K23" s="68"/>
      <c r="L23" s="68"/>
      <c r="M23" s="68"/>
      <c r="N23" s="68"/>
      <c r="O23" s="68"/>
      <c r="P23" s="68"/>
      <c r="Q23" s="68"/>
      <c r="R23" s="68"/>
      <c r="S23" s="68"/>
      <c r="T23" s="68"/>
      <c r="U23" s="68"/>
    </row>
    <row r="24" spans="1:24" ht="18" customHeight="1" x14ac:dyDescent="0.15">
      <c r="A24" s="140" t="s">
        <v>102</v>
      </c>
      <c r="B24" s="140"/>
      <c r="C24" s="140"/>
      <c r="D24" s="140"/>
      <c r="E24" s="140"/>
      <c r="F24" s="140"/>
      <c r="G24" s="140"/>
      <c r="H24" s="140"/>
      <c r="I24" s="140"/>
      <c r="J24" s="140"/>
      <c r="K24" s="140"/>
      <c r="L24" s="140"/>
      <c r="M24" s="140"/>
      <c r="N24" s="140"/>
      <c r="O24" s="140"/>
      <c r="P24" s="140"/>
      <c r="Q24" s="140"/>
      <c r="R24" s="140"/>
      <c r="S24" s="140"/>
      <c r="T24" s="140"/>
      <c r="U24" s="140"/>
    </row>
    <row r="25" spans="1:24" ht="18" customHeight="1" x14ac:dyDescent="0.15">
      <c r="A25" s="140"/>
      <c r="B25" s="140"/>
      <c r="C25" s="140"/>
      <c r="D25" s="140"/>
      <c r="E25" s="140"/>
      <c r="F25" s="140"/>
      <c r="G25" s="140"/>
      <c r="H25" s="140"/>
      <c r="I25" s="140"/>
      <c r="J25" s="140"/>
      <c r="K25" s="140"/>
      <c r="L25" s="140"/>
      <c r="M25" s="140"/>
      <c r="N25" s="140"/>
      <c r="O25" s="140"/>
      <c r="P25" s="140"/>
      <c r="Q25" s="140"/>
      <c r="R25" s="140"/>
      <c r="S25" s="140"/>
      <c r="T25" s="140"/>
      <c r="U25" s="140"/>
    </row>
    <row r="26" spans="1:24" ht="18" customHeight="1" x14ac:dyDescent="0.15">
      <c r="B26" s="107" t="s">
        <v>52</v>
      </c>
      <c r="C26" s="108"/>
      <c r="D26" s="108"/>
      <c r="E26" s="108"/>
      <c r="F26" s="109"/>
      <c r="G26" s="39" t="s">
        <v>78</v>
      </c>
      <c r="H26" s="38" t="s">
        <v>81</v>
      </c>
      <c r="I26" s="16" t="s">
        <v>55</v>
      </c>
      <c r="J26" s="16" t="s">
        <v>58</v>
      </c>
      <c r="K26" s="107" t="s">
        <v>52</v>
      </c>
      <c r="L26" s="108"/>
      <c r="M26" s="108"/>
      <c r="N26" s="108"/>
      <c r="O26" s="108"/>
      <c r="P26" s="108"/>
      <c r="Q26" s="109"/>
      <c r="R26" s="39" t="s">
        <v>78</v>
      </c>
      <c r="S26" s="38" t="s">
        <v>81</v>
      </c>
      <c r="T26" s="16" t="s">
        <v>55</v>
      </c>
      <c r="U26" s="16" t="s">
        <v>58</v>
      </c>
    </row>
    <row r="27" spans="1:24" ht="18" customHeight="1" x14ac:dyDescent="0.15">
      <c r="B27" s="122" t="s">
        <v>136</v>
      </c>
      <c r="C27" s="123"/>
      <c r="D27" s="123"/>
      <c r="E27" s="123"/>
      <c r="F27" s="124"/>
      <c r="G27" s="17">
        <v>2</v>
      </c>
      <c r="H27" s="17" t="s">
        <v>137</v>
      </c>
      <c r="I27" s="17" t="s">
        <v>137</v>
      </c>
      <c r="J27" s="17" t="s">
        <v>137</v>
      </c>
      <c r="K27" s="122"/>
      <c r="L27" s="123"/>
      <c r="M27" s="123"/>
      <c r="N27" s="123"/>
      <c r="O27" s="123"/>
      <c r="P27" s="123"/>
      <c r="Q27" s="124"/>
      <c r="R27" s="17"/>
      <c r="S27" s="17"/>
      <c r="T27" s="17"/>
      <c r="U27" s="17"/>
    </row>
    <row r="28" spans="1:24" ht="18" customHeight="1" x14ac:dyDescent="0.15">
      <c r="B28" s="116"/>
      <c r="C28" s="117"/>
      <c r="D28" s="117"/>
      <c r="E28" s="117"/>
      <c r="F28" s="118"/>
      <c r="G28" s="18"/>
      <c r="H28" s="18"/>
      <c r="I28" s="18"/>
      <c r="J28" s="18"/>
      <c r="K28" s="116"/>
      <c r="L28" s="117"/>
      <c r="M28" s="117"/>
      <c r="N28" s="117"/>
      <c r="O28" s="117"/>
      <c r="P28" s="117"/>
      <c r="Q28" s="118"/>
      <c r="R28" s="18"/>
      <c r="S28" s="18"/>
      <c r="T28" s="18"/>
      <c r="U28" s="18"/>
    </row>
    <row r="29" spans="1:24" ht="18" customHeight="1" x14ac:dyDescent="0.15">
      <c r="B29" s="116"/>
      <c r="C29" s="117"/>
      <c r="D29" s="117"/>
      <c r="E29" s="117"/>
      <c r="F29" s="118"/>
      <c r="G29" s="18"/>
      <c r="H29" s="18"/>
      <c r="I29" s="18"/>
      <c r="J29" s="18"/>
      <c r="K29" s="116"/>
      <c r="L29" s="117"/>
      <c r="M29" s="117"/>
      <c r="N29" s="117"/>
      <c r="O29" s="117"/>
      <c r="P29" s="117"/>
      <c r="Q29" s="118"/>
      <c r="R29" s="18"/>
      <c r="S29" s="18"/>
      <c r="T29" s="18"/>
      <c r="U29" s="18"/>
    </row>
    <row r="30" spans="1:24" ht="18" customHeight="1" x14ac:dyDescent="0.15">
      <c r="B30" s="116"/>
      <c r="C30" s="117"/>
      <c r="D30" s="117"/>
      <c r="E30" s="117"/>
      <c r="F30" s="118"/>
      <c r="G30" s="18"/>
      <c r="H30" s="18"/>
      <c r="I30" s="18"/>
      <c r="J30" s="18"/>
      <c r="K30" s="116"/>
      <c r="L30" s="117"/>
      <c r="M30" s="117"/>
      <c r="N30" s="117"/>
      <c r="O30" s="117"/>
      <c r="P30" s="117"/>
      <c r="Q30" s="118"/>
      <c r="R30" s="18"/>
      <c r="S30" s="18"/>
      <c r="T30" s="18"/>
      <c r="U30" s="18"/>
    </row>
    <row r="31" spans="1:24" ht="18" customHeight="1" x14ac:dyDescent="0.15">
      <c r="B31" s="116"/>
      <c r="C31" s="117"/>
      <c r="D31" s="117"/>
      <c r="E31" s="117"/>
      <c r="F31" s="118"/>
      <c r="G31" s="18"/>
      <c r="H31" s="18"/>
      <c r="I31" s="18"/>
      <c r="J31" s="18"/>
      <c r="K31" s="116"/>
      <c r="L31" s="117"/>
      <c r="M31" s="117"/>
      <c r="N31" s="117"/>
      <c r="O31" s="117"/>
      <c r="P31" s="117"/>
      <c r="Q31" s="118"/>
      <c r="R31" s="18"/>
      <c r="S31" s="18"/>
      <c r="T31" s="18"/>
      <c r="U31" s="18"/>
    </row>
    <row r="32" spans="1:24" ht="18" customHeight="1" x14ac:dyDescent="0.15">
      <c r="A32" s="3"/>
      <c r="B32" s="116"/>
      <c r="C32" s="117"/>
      <c r="D32" s="117"/>
      <c r="E32" s="117"/>
      <c r="F32" s="118"/>
      <c r="G32" s="18"/>
      <c r="H32" s="18"/>
      <c r="I32" s="18"/>
      <c r="J32" s="18"/>
      <c r="K32" s="116"/>
      <c r="L32" s="117"/>
      <c r="M32" s="117"/>
      <c r="N32" s="117"/>
      <c r="O32" s="117"/>
      <c r="P32" s="117"/>
      <c r="Q32" s="118"/>
      <c r="R32" s="18"/>
      <c r="S32" s="18"/>
      <c r="T32" s="18"/>
      <c r="U32" s="18"/>
    </row>
    <row r="33" spans="1:21" ht="18" customHeight="1" x14ac:dyDescent="0.15">
      <c r="A33" s="3"/>
      <c r="B33" s="119"/>
      <c r="C33" s="120"/>
      <c r="D33" s="120"/>
      <c r="E33" s="120"/>
      <c r="F33" s="121"/>
      <c r="G33" s="19"/>
      <c r="H33" s="19"/>
      <c r="I33" s="20"/>
      <c r="J33" s="20"/>
      <c r="K33" s="119"/>
      <c r="L33" s="120"/>
      <c r="M33" s="120"/>
      <c r="N33" s="120"/>
      <c r="O33" s="120"/>
      <c r="P33" s="120"/>
      <c r="Q33" s="121"/>
      <c r="R33" s="19"/>
      <c r="S33" s="19"/>
      <c r="T33" s="20"/>
      <c r="U33" s="20"/>
    </row>
    <row r="34" spans="1:21" ht="7.5" customHeight="1" x14ac:dyDescent="0.15">
      <c r="A34" s="3"/>
      <c r="B34" s="5"/>
      <c r="C34" s="5"/>
      <c r="D34" s="5"/>
      <c r="E34" s="3"/>
      <c r="F34" s="3"/>
      <c r="G34" s="3"/>
      <c r="H34" s="3"/>
      <c r="I34" s="5"/>
      <c r="J34" s="5"/>
      <c r="K34" s="5"/>
      <c r="L34" s="5"/>
      <c r="M34" s="5"/>
      <c r="N34" s="5"/>
      <c r="O34" s="5"/>
      <c r="P34" s="5"/>
      <c r="Q34" s="5"/>
      <c r="R34" s="5"/>
      <c r="S34" s="5"/>
      <c r="T34" s="5"/>
      <c r="U34" s="3"/>
    </row>
    <row r="35" spans="1:21" ht="18" customHeight="1" x14ac:dyDescent="0.15">
      <c r="A35" s="125" t="s">
        <v>103</v>
      </c>
      <c r="B35" s="125"/>
      <c r="C35" s="125"/>
      <c r="D35" s="125"/>
      <c r="E35" s="125"/>
      <c r="F35" s="125"/>
      <c r="G35" s="125"/>
      <c r="H35" s="125"/>
      <c r="I35" s="125"/>
      <c r="J35" s="125"/>
      <c r="K35" s="125"/>
      <c r="L35" s="125"/>
      <c r="M35" s="125"/>
      <c r="N35" s="125"/>
      <c r="O35" s="125"/>
      <c r="P35" s="125"/>
      <c r="Q35" s="125"/>
      <c r="R35" s="125"/>
      <c r="S35" s="125"/>
      <c r="T35" s="125"/>
      <c r="U35" s="125"/>
    </row>
    <row r="36" spans="1:21" ht="18" customHeight="1" x14ac:dyDescent="0.15">
      <c r="A36" s="125"/>
      <c r="B36" s="125"/>
      <c r="C36" s="125"/>
      <c r="D36" s="125"/>
      <c r="E36" s="125"/>
      <c r="F36" s="125"/>
      <c r="G36" s="125"/>
      <c r="H36" s="125"/>
      <c r="I36" s="125"/>
      <c r="J36" s="125"/>
      <c r="K36" s="125"/>
      <c r="L36" s="125"/>
      <c r="M36" s="125"/>
      <c r="N36" s="125"/>
      <c r="O36" s="125"/>
      <c r="P36" s="125"/>
      <c r="Q36" s="125"/>
      <c r="R36" s="125"/>
      <c r="S36" s="125"/>
      <c r="T36" s="125"/>
      <c r="U36" s="125"/>
    </row>
    <row r="37" spans="1:21" ht="18" customHeight="1" x14ac:dyDescent="0.15">
      <c r="B37" s="107" t="s">
        <v>52</v>
      </c>
      <c r="C37" s="108"/>
      <c r="D37" s="108"/>
      <c r="E37" s="108"/>
      <c r="F37" s="109"/>
      <c r="G37" s="39" t="s">
        <v>78</v>
      </c>
      <c r="H37" s="38" t="s">
        <v>81</v>
      </c>
      <c r="I37" s="16" t="s">
        <v>69</v>
      </c>
      <c r="J37" s="16" t="s">
        <v>70</v>
      </c>
      <c r="K37" s="107" t="s">
        <v>52</v>
      </c>
      <c r="L37" s="108"/>
      <c r="M37" s="108"/>
      <c r="N37" s="108"/>
      <c r="O37" s="108"/>
      <c r="P37" s="108"/>
      <c r="Q37" s="109"/>
      <c r="R37" s="39" t="s">
        <v>78</v>
      </c>
      <c r="S37" s="38" t="s">
        <v>81</v>
      </c>
      <c r="T37" s="16" t="s">
        <v>69</v>
      </c>
      <c r="U37" s="16" t="s">
        <v>70</v>
      </c>
    </row>
    <row r="38" spans="1:21" ht="18" customHeight="1" x14ac:dyDescent="0.15">
      <c r="B38" s="122" t="s">
        <v>136</v>
      </c>
      <c r="C38" s="123"/>
      <c r="D38" s="123"/>
      <c r="E38" s="123"/>
      <c r="F38" s="124"/>
      <c r="G38" s="17">
        <v>2</v>
      </c>
      <c r="H38" s="17" t="s">
        <v>137</v>
      </c>
      <c r="I38" s="17" t="s">
        <v>137</v>
      </c>
      <c r="J38" s="17" t="s">
        <v>137</v>
      </c>
      <c r="K38" s="122"/>
      <c r="L38" s="123"/>
      <c r="M38" s="123"/>
      <c r="N38" s="123"/>
      <c r="O38" s="123"/>
      <c r="P38" s="123"/>
      <c r="Q38" s="124"/>
      <c r="R38" s="17"/>
      <c r="S38" s="17"/>
      <c r="T38" s="17"/>
      <c r="U38" s="17"/>
    </row>
    <row r="39" spans="1:21" ht="18" customHeight="1" x14ac:dyDescent="0.15">
      <c r="B39" s="116"/>
      <c r="C39" s="117"/>
      <c r="D39" s="117"/>
      <c r="E39" s="117"/>
      <c r="F39" s="118"/>
      <c r="G39" s="18"/>
      <c r="H39" s="18"/>
      <c r="I39" s="18"/>
      <c r="J39" s="18"/>
      <c r="K39" s="116"/>
      <c r="L39" s="117"/>
      <c r="M39" s="117"/>
      <c r="N39" s="117"/>
      <c r="O39" s="117"/>
      <c r="P39" s="117"/>
      <c r="Q39" s="118"/>
      <c r="R39" s="18"/>
      <c r="S39" s="18"/>
      <c r="T39" s="18"/>
      <c r="U39" s="18"/>
    </row>
    <row r="40" spans="1:21" ht="18" customHeight="1" x14ac:dyDescent="0.15">
      <c r="B40" s="116"/>
      <c r="C40" s="117"/>
      <c r="D40" s="117"/>
      <c r="E40" s="117"/>
      <c r="F40" s="118"/>
      <c r="G40" s="18"/>
      <c r="H40" s="18"/>
      <c r="I40" s="18"/>
      <c r="J40" s="18"/>
      <c r="K40" s="116"/>
      <c r="L40" s="117"/>
      <c r="M40" s="117"/>
      <c r="N40" s="117"/>
      <c r="O40" s="117"/>
      <c r="P40" s="117"/>
      <c r="Q40" s="118"/>
      <c r="R40" s="18"/>
      <c r="S40" s="18"/>
      <c r="T40" s="18"/>
      <c r="U40" s="18"/>
    </row>
    <row r="41" spans="1:21" ht="18" customHeight="1" x14ac:dyDescent="0.15">
      <c r="B41" s="116"/>
      <c r="C41" s="117"/>
      <c r="D41" s="117"/>
      <c r="E41" s="117"/>
      <c r="F41" s="118"/>
      <c r="G41" s="18"/>
      <c r="H41" s="18"/>
      <c r="I41" s="18"/>
      <c r="J41" s="18"/>
      <c r="K41" s="116"/>
      <c r="L41" s="117"/>
      <c r="M41" s="117"/>
      <c r="N41" s="117"/>
      <c r="O41" s="117"/>
      <c r="P41" s="117"/>
      <c r="Q41" s="118"/>
      <c r="R41" s="18"/>
      <c r="S41" s="18"/>
      <c r="T41" s="18"/>
      <c r="U41" s="18"/>
    </row>
    <row r="42" spans="1:21" ht="18" customHeight="1" x14ac:dyDescent="0.15">
      <c r="B42" s="116"/>
      <c r="C42" s="117"/>
      <c r="D42" s="117"/>
      <c r="E42" s="117"/>
      <c r="F42" s="118"/>
      <c r="G42" s="18"/>
      <c r="H42" s="18"/>
      <c r="I42" s="18"/>
      <c r="J42" s="18"/>
      <c r="K42" s="116"/>
      <c r="L42" s="117"/>
      <c r="M42" s="117"/>
      <c r="N42" s="117"/>
      <c r="O42" s="117"/>
      <c r="P42" s="117"/>
      <c r="Q42" s="118"/>
      <c r="R42" s="18"/>
      <c r="S42" s="18"/>
      <c r="T42" s="18"/>
      <c r="U42" s="18"/>
    </row>
    <row r="43" spans="1:21" ht="18" customHeight="1" x14ac:dyDescent="0.15">
      <c r="B43" s="116"/>
      <c r="C43" s="117"/>
      <c r="D43" s="117"/>
      <c r="E43" s="117"/>
      <c r="F43" s="118"/>
      <c r="G43" s="18"/>
      <c r="H43" s="18"/>
      <c r="I43" s="18"/>
      <c r="J43" s="18"/>
      <c r="K43" s="116"/>
      <c r="L43" s="117"/>
      <c r="M43" s="117"/>
      <c r="N43" s="117"/>
      <c r="O43" s="117"/>
      <c r="P43" s="117"/>
      <c r="Q43" s="118"/>
      <c r="R43" s="18"/>
      <c r="S43" s="18"/>
      <c r="T43" s="18"/>
      <c r="U43" s="18"/>
    </row>
    <row r="44" spans="1:21" ht="18" customHeight="1" x14ac:dyDescent="0.15">
      <c r="B44" s="119"/>
      <c r="C44" s="120"/>
      <c r="D44" s="120"/>
      <c r="E44" s="120"/>
      <c r="F44" s="121"/>
      <c r="G44" s="19"/>
      <c r="H44" s="19"/>
      <c r="I44" s="20"/>
      <c r="J44" s="20"/>
      <c r="K44" s="119"/>
      <c r="L44" s="120"/>
      <c r="M44" s="120"/>
      <c r="N44" s="120"/>
      <c r="O44" s="120"/>
      <c r="P44" s="120"/>
      <c r="Q44" s="121"/>
      <c r="R44" s="19"/>
      <c r="S44" s="19"/>
      <c r="T44" s="20"/>
      <c r="U44" s="20"/>
    </row>
    <row r="45" spans="1:21" ht="7.5" customHeight="1" x14ac:dyDescent="0.15">
      <c r="A45" s="3"/>
      <c r="B45" s="5"/>
      <c r="C45" s="5"/>
      <c r="D45" s="5"/>
      <c r="E45" s="3"/>
      <c r="F45" s="3"/>
      <c r="G45" s="3"/>
      <c r="H45" s="3"/>
      <c r="I45" s="5"/>
      <c r="J45" s="5"/>
      <c r="K45" s="5"/>
      <c r="L45" s="5"/>
      <c r="M45" s="5"/>
      <c r="N45" s="5"/>
      <c r="O45" s="5"/>
      <c r="P45" s="5"/>
      <c r="Q45" s="5"/>
      <c r="R45" s="5"/>
      <c r="S45" s="5"/>
      <c r="T45" s="5"/>
      <c r="U45" s="3"/>
    </row>
    <row r="46" spans="1:21" ht="18" customHeight="1" x14ac:dyDescent="0.15">
      <c r="A46" s="125" t="s">
        <v>104</v>
      </c>
      <c r="B46" s="125"/>
      <c r="C46" s="125"/>
      <c r="D46" s="125"/>
      <c r="E46" s="125"/>
      <c r="F46" s="125"/>
      <c r="G46" s="125"/>
      <c r="H46" s="125"/>
      <c r="I46" s="125"/>
      <c r="J46" s="125"/>
      <c r="K46" s="125"/>
      <c r="L46" s="125"/>
      <c r="M46" s="125"/>
      <c r="N46" s="125"/>
      <c r="O46" s="125"/>
      <c r="P46" s="125"/>
      <c r="Q46" s="125"/>
      <c r="R46" s="125"/>
      <c r="S46" s="125"/>
      <c r="T46" s="125"/>
      <c r="U46" s="125"/>
    </row>
    <row r="47" spans="1:21" ht="18" customHeight="1" x14ac:dyDescent="0.15">
      <c r="A47" s="125"/>
      <c r="B47" s="125"/>
      <c r="C47" s="125"/>
      <c r="D47" s="125"/>
      <c r="E47" s="125"/>
      <c r="F47" s="125"/>
      <c r="G47" s="125"/>
      <c r="H47" s="125"/>
      <c r="I47" s="125"/>
      <c r="J47" s="125"/>
      <c r="K47" s="125"/>
      <c r="L47" s="125"/>
      <c r="M47" s="125"/>
      <c r="N47" s="125"/>
      <c r="O47" s="125"/>
      <c r="P47" s="125"/>
      <c r="Q47" s="125"/>
      <c r="R47" s="125"/>
      <c r="S47" s="125"/>
      <c r="T47" s="125"/>
      <c r="U47" s="125"/>
    </row>
    <row r="48" spans="1:21" ht="18" customHeight="1" x14ac:dyDescent="0.15">
      <c r="B48" s="107" t="s">
        <v>52</v>
      </c>
      <c r="C48" s="108"/>
      <c r="D48" s="108"/>
      <c r="E48" s="108"/>
      <c r="F48" s="109"/>
      <c r="G48" s="39" t="s">
        <v>78</v>
      </c>
      <c r="H48" s="38" t="s">
        <v>81</v>
      </c>
      <c r="I48" s="16" t="s">
        <v>71</v>
      </c>
      <c r="J48" s="16" t="s">
        <v>72</v>
      </c>
      <c r="K48" s="107" t="s">
        <v>52</v>
      </c>
      <c r="L48" s="108"/>
      <c r="M48" s="108"/>
      <c r="N48" s="108"/>
      <c r="O48" s="108"/>
      <c r="P48" s="108"/>
      <c r="Q48" s="109"/>
      <c r="R48" s="39" t="s">
        <v>78</v>
      </c>
      <c r="S48" s="38" t="s">
        <v>81</v>
      </c>
      <c r="T48" s="16" t="s">
        <v>71</v>
      </c>
      <c r="U48" s="16" t="s">
        <v>72</v>
      </c>
    </row>
    <row r="49" spans="1:21" ht="18" customHeight="1" x14ac:dyDescent="0.15">
      <c r="A49" s="3"/>
      <c r="B49" s="122" t="s">
        <v>136</v>
      </c>
      <c r="C49" s="123"/>
      <c r="D49" s="123"/>
      <c r="E49" s="123"/>
      <c r="F49" s="124"/>
      <c r="G49" s="17">
        <v>2</v>
      </c>
      <c r="H49" s="17" t="s">
        <v>137</v>
      </c>
      <c r="I49" s="17" t="s">
        <v>137</v>
      </c>
      <c r="J49" s="17" t="s">
        <v>137</v>
      </c>
      <c r="K49" s="122"/>
      <c r="L49" s="123"/>
      <c r="M49" s="123"/>
      <c r="N49" s="123"/>
      <c r="O49" s="123"/>
      <c r="P49" s="123"/>
      <c r="Q49" s="124"/>
      <c r="R49" s="17"/>
      <c r="S49" s="17"/>
      <c r="T49" s="17"/>
      <c r="U49" s="17"/>
    </row>
    <row r="50" spans="1:21" ht="18" customHeight="1" x14ac:dyDescent="0.15">
      <c r="A50" s="3"/>
      <c r="B50" s="116"/>
      <c r="C50" s="117"/>
      <c r="D50" s="117"/>
      <c r="E50" s="117"/>
      <c r="F50" s="118"/>
      <c r="G50" s="18"/>
      <c r="H50" s="18"/>
      <c r="I50" s="18"/>
      <c r="J50" s="18"/>
      <c r="K50" s="116"/>
      <c r="L50" s="117"/>
      <c r="M50" s="117"/>
      <c r="N50" s="117"/>
      <c r="O50" s="117"/>
      <c r="P50" s="117"/>
      <c r="Q50" s="118"/>
      <c r="R50" s="18"/>
      <c r="S50" s="18"/>
      <c r="T50" s="18"/>
      <c r="U50" s="18"/>
    </row>
    <row r="51" spans="1:21" ht="18" customHeight="1" x14ac:dyDescent="0.15">
      <c r="A51" s="3"/>
      <c r="B51" s="116"/>
      <c r="C51" s="117"/>
      <c r="D51" s="117"/>
      <c r="E51" s="117"/>
      <c r="F51" s="118"/>
      <c r="G51" s="18"/>
      <c r="H51" s="18"/>
      <c r="I51" s="18"/>
      <c r="J51" s="18"/>
      <c r="K51" s="116"/>
      <c r="L51" s="117"/>
      <c r="M51" s="117"/>
      <c r="N51" s="117"/>
      <c r="O51" s="117"/>
      <c r="P51" s="117"/>
      <c r="Q51" s="118"/>
      <c r="R51" s="18"/>
      <c r="S51" s="18"/>
      <c r="T51" s="18"/>
      <c r="U51" s="18"/>
    </row>
    <row r="52" spans="1:21" ht="18" customHeight="1" x14ac:dyDescent="0.15">
      <c r="A52" s="3"/>
      <c r="B52" s="116"/>
      <c r="C52" s="117"/>
      <c r="D52" s="117"/>
      <c r="E52" s="117"/>
      <c r="F52" s="118"/>
      <c r="G52" s="18"/>
      <c r="H52" s="18"/>
      <c r="I52" s="18"/>
      <c r="J52" s="18"/>
      <c r="K52" s="116"/>
      <c r="L52" s="117"/>
      <c r="M52" s="117"/>
      <c r="N52" s="117"/>
      <c r="O52" s="117"/>
      <c r="P52" s="117"/>
      <c r="Q52" s="118"/>
      <c r="R52" s="18"/>
      <c r="S52" s="18"/>
      <c r="T52" s="18"/>
      <c r="U52" s="18"/>
    </row>
    <row r="53" spans="1:21" ht="18" customHeight="1" x14ac:dyDescent="0.15">
      <c r="A53" s="3"/>
      <c r="B53" s="116"/>
      <c r="C53" s="117"/>
      <c r="D53" s="117"/>
      <c r="E53" s="117"/>
      <c r="F53" s="118"/>
      <c r="G53" s="18"/>
      <c r="H53" s="18"/>
      <c r="I53" s="18"/>
      <c r="J53" s="18"/>
      <c r="K53" s="116"/>
      <c r="L53" s="117"/>
      <c r="M53" s="117"/>
      <c r="N53" s="117"/>
      <c r="O53" s="117"/>
      <c r="P53" s="117"/>
      <c r="Q53" s="118"/>
      <c r="R53" s="18"/>
      <c r="S53" s="18"/>
      <c r="T53" s="18"/>
      <c r="U53" s="18"/>
    </row>
    <row r="54" spans="1:21" ht="18" customHeight="1" x14ac:dyDescent="0.15">
      <c r="A54" s="3"/>
      <c r="B54" s="116"/>
      <c r="C54" s="117"/>
      <c r="D54" s="117"/>
      <c r="E54" s="117"/>
      <c r="F54" s="118"/>
      <c r="G54" s="18"/>
      <c r="H54" s="18"/>
      <c r="I54" s="18"/>
      <c r="J54" s="18"/>
      <c r="K54" s="116"/>
      <c r="L54" s="117"/>
      <c r="M54" s="117"/>
      <c r="N54" s="117"/>
      <c r="O54" s="117"/>
      <c r="P54" s="117"/>
      <c r="Q54" s="118"/>
      <c r="R54" s="18"/>
      <c r="S54" s="18"/>
      <c r="T54" s="18"/>
      <c r="U54" s="18"/>
    </row>
    <row r="55" spans="1:21" ht="18" customHeight="1" x14ac:dyDescent="0.15">
      <c r="A55" s="3"/>
      <c r="B55" s="119"/>
      <c r="C55" s="120"/>
      <c r="D55" s="120"/>
      <c r="E55" s="120"/>
      <c r="F55" s="121"/>
      <c r="G55" s="19"/>
      <c r="H55" s="19"/>
      <c r="I55" s="20"/>
      <c r="J55" s="20"/>
      <c r="K55" s="119"/>
      <c r="L55" s="120"/>
      <c r="M55" s="120"/>
      <c r="N55" s="120"/>
      <c r="O55" s="120"/>
      <c r="P55" s="120"/>
      <c r="Q55" s="121"/>
      <c r="R55" s="19"/>
      <c r="S55" s="19"/>
      <c r="T55" s="20"/>
      <c r="U55" s="20"/>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25" t="s">
        <v>105</v>
      </c>
      <c r="B57" s="125"/>
      <c r="C57" s="125"/>
      <c r="D57" s="125"/>
      <c r="E57" s="125"/>
      <c r="F57" s="125"/>
      <c r="G57" s="125"/>
      <c r="H57" s="125"/>
      <c r="I57" s="125"/>
      <c r="J57" s="125"/>
      <c r="K57" s="125"/>
      <c r="L57" s="125"/>
      <c r="M57" s="125"/>
      <c r="N57" s="125"/>
      <c r="O57" s="125"/>
      <c r="P57" s="125"/>
      <c r="Q57" s="125"/>
      <c r="R57" s="125"/>
      <c r="S57" s="125"/>
      <c r="T57" s="125"/>
      <c r="U57" s="125"/>
    </row>
    <row r="58" spans="1:21" ht="18" customHeight="1" x14ac:dyDescent="0.15">
      <c r="A58" s="125"/>
      <c r="B58" s="125"/>
      <c r="C58" s="125"/>
      <c r="D58" s="125"/>
      <c r="E58" s="125"/>
      <c r="F58" s="125"/>
      <c r="G58" s="125"/>
      <c r="H58" s="125"/>
      <c r="I58" s="125"/>
      <c r="J58" s="125"/>
      <c r="K58" s="125"/>
      <c r="L58" s="125"/>
      <c r="M58" s="125"/>
      <c r="N58" s="125"/>
      <c r="O58" s="125"/>
      <c r="P58" s="125"/>
      <c r="Q58" s="125"/>
      <c r="R58" s="125"/>
      <c r="S58" s="125"/>
      <c r="T58" s="125"/>
      <c r="U58" s="125"/>
    </row>
    <row r="59" spans="1:21" ht="18" customHeight="1" x14ac:dyDescent="0.15">
      <c r="B59" s="107" t="s">
        <v>52</v>
      </c>
      <c r="C59" s="108"/>
      <c r="D59" s="108"/>
      <c r="E59" s="108"/>
      <c r="F59" s="109"/>
      <c r="G59" s="39" t="s">
        <v>78</v>
      </c>
      <c r="H59" s="38" t="s">
        <v>81</v>
      </c>
      <c r="I59" s="16" t="s">
        <v>57</v>
      </c>
      <c r="J59" s="16" t="s">
        <v>59</v>
      </c>
      <c r="K59" s="107" t="s">
        <v>52</v>
      </c>
      <c r="L59" s="108"/>
      <c r="M59" s="108"/>
      <c r="N59" s="108"/>
      <c r="O59" s="108"/>
      <c r="P59" s="108"/>
      <c r="Q59" s="109"/>
      <c r="R59" s="39" t="s">
        <v>78</v>
      </c>
      <c r="S59" s="38" t="s">
        <v>81</v>
      </c>
      <c r="T59" s="16" t="s">
        <v>57</v>
      </c>
      <c r="U59" s="16" t="s">
        <v>59</v>
      </c>
    </row>
    <row r="60" spans="1:21" ht="18" customHeight="1" x14ac:dyDescent="0.15">
      <c r="A60" s="3"/>
      <c r="B60" s="122" t="s">
        <v>136</v>
      </c>
      <c r="C60" s="123"/>
      <c r="D60" s="123"/>
      <c r="E60" s="123"/>
      <c r="F60" s="124"/>
      <c r="G60" s="17">
        <v>2</v>
      </c>
      <c r="H60" s="17" t="s">
        <v>137</v>
      </c>
      <c r="I60" s="17" t="s">
        <v>137</v>
      </c>
      <c r="J60" s="17" t="s">
        <v>137</v>
      </c>
      <c r="K60" s="122"/>
      <c r="L60" s="123"/>
      <c r="M60" s="123"/>
      <c r="N60" s="123"/>
      <c r="O60" s="123"/>
      <c r="P60" s="123"/>
      <c r="Q60" s="124"/>
      <c r="R60" s="17"/>
      <c r="S60" s="17"/>
      <c r="T60" s="17"/>
      <c r="U60" s="17"/>
    </row>
    <row r="61" spans="1:21" ht="18" customHeight="1" x14ac:dyDescent="0.15">
      <c r="A61" s="3"/>
      <c r="B61" s="116"/>
      <c r="C61" s="117"/>
      <c r="D61" s="117"/>
      <c r="E61" s="117"/>
      <c r="F61" s="118"/>
      <c r="G61" s="18"/>
      <c r="H61" s="18"/>
      <c r="I61" s="18"/>
      <c r="J61" s="18"/>
      <c r="K61" s="116"/>
      <c r="L61" s="117"/>
      <c r="M61" s="117"/>
      <c r="N61" s="117"/>
      <c r="O61" s="117"/>
      <c r="P61" s="117"/>
      <c r="Q61" s="118"/>
      <c r="R61" s="18"/>
      <c r="S61" s="18"/>
      <c r="T61" s="18"/>
      <c r="U61" s="18"/>
    </row>
    <row r="62" spans="1:21" ht="18" customHeight="1" x14ac:dyDescent="0.15">
      <c r="A62" s="3"/>
      <c r="B62" s="116"/>
      <c r="C62" s="117"/>
      <c r="D62" s="117"/>
      <c r="E62" s="117"/>
      <c r="F62" s="118"/>
      <c r="G62" s="18"/>
      <c r="H62" s="18"/>
      <c r="I62" s="18"/>
      <c r="J62" s="18"/>
      <c r="K62" s="116"/>
      <c r="L62" s="117"/>
      <c r="M62" s="117"/>
      <c r="N62" s="117"/>
      <c r="O62" s="117"/>
      <c r="P62" s="117"/>
      <c r="Q62" s="118"/>
      <c r="R62" s="18"/>
      <c r="S62" s="18"/>
      <c r="T62" s="18"/>
      <c r="U62" s="18"/>
    </row>
    <row r="63" spans="1:21" ht="18" customHeight="1" x14ac:dyDescent="0.15">
      <c r="A63" s="3"/>
      <c r="B63" s="116"/>
      <c r="C63" s="117"/>
      <c r="D63" s="117"/>
      <c r="E63" s="117"/>
      <c r="F63" s="118"/>
      <c r="G63" s="18"/>
      <c r="H63" s="18"/>
      <c r="I63" s="18"/>
      <c r="J63" s="18"/>
      <c r="K63" s="116"/>
      <c r="L63" s="117"/>
      <c r="M63" s="117"/>
      <c r="N63" s="117"/>
      <c r="O63" s="117"/>
      <c r="P63" s="117"/>
      <c r="Q63" s="118"/>
      <c r="R63" s="18"/>
      <c r="S63" s="18"/>
      <c r="T63" s="18"/>
      <c r="U63" s="18"/>
    </row>
    <row r="64" spans="1:21" ht="18" customHeight="1" x14ac:dyDescent="0.15">
      <c r="A64" s="3"/>
      <c r="B64" s="116"/>
      <c r="C64" s="117"/>
      <c r="D64" s="117"/>
      <c r="E64" s="117"/>
      <c r="F64" s="118"/>
      <c r="G64" s="18"/>
      <c r="H64" s="18"/>
      <c r="I64" s="18"/>
      <c r="J64" s="18"/>
      <c r="K64" s="116"/>
      <c r="L64" s="117"/>
      <c r="M64" s="117"/>
      <c r="N64" s="117"/>
      <c r="O64" s="117"/>
      <c r="P64" s="117"/>
      <c r="Q64" s="118"/>
      <c r="R64" s="18"/>
      <c r="S64" s="18"/>
      <c r="T64" s="18"/>
      <c r="U64" s="18"/>
    </row>
    <row r="65" spans="1:21" ht="18" customHeight="1" x14ac:dyDescent="0.15">
      <c r="A65" s="3"/>
      <c r="B65" s="116"/>
      <c r="C65" s="117"/>
      <c r="D65" s="117"/>
      <c r="E65" s="117"/>
      <c r="F65" s="118"/>
      <c r="G65" s="18"/>
      <c r="H65" s="18"/>
      <c r="I65" s="18"/>
      <c r="J65" s="18"/>
      <c r="K65" s="116"/>
      <c r="L65" s="117"/>
      <c r="M65" s="117"/>
      <c r="N65" s="117"/>
      <c r="O65" s="117"/>
      <c r="P65" s="117"/>
      <c r="Q65" s="118"/>
      <c r="R65" s="18"/>
      <c r="S65" s="18"/>
      <c r="T65" s="18"/>
      <c r="U65" s="18"/>
    </row>
    <row r="66" spans="1:21" ht="18" customHeight="1" x14ac:dyDescent="0.15">
      <c r="A66" s="3"/>
      <c r="B66" s="119"/>
      <c r="C66" s="120"/>
      <c r="D66" s="120"/>
      <c r="E66" s="120"/>
      <c r="F66" s="121"/>
      <c r="G66" s="19"/>
      <c r="H66" s="19"/>
      <c r="I66" s="20"/>
      <c r="J66" s="20"/>
      <c r="K66" s="119"/>
      <c r="L66" s="120"/>
      <c r="M66" s="120"/>
      <c r="N66" s="120"/>
      <c r="O66" s="120"/>
      <c r="P66" s="120"/>
      <c r="Q66" s="121"/>
      <c r="R66" s="19"/>
      <c r="S66" s="19"/>
      <c r="T66" s="20"/>
      <c r="U66" s="20"/>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25" t="s">
        <v>106</v>
      </c>
      <c r="B68" s="125"/>
      <c r="C68" s="125"/>
      <c r="D68" s="125"/>
      <c r="E68" s="125"/>
      <c r="F68" s="125"/>
      <c r="G68" s="125"/>
      <c r="H68" s="125"/>
      <c r="I68" s="125"/>
      <c r="J68" s="125"/>
      <c r="K68" s="125"/>
      <c r="L68" s="125"/>
      <c r="M68" s="125"/>
      <c r="N68" s="125"/>
      <c r="O68" s="125"/>
      <c r="P68" s="125"/>
      <c r="Q68" s="125"/>
      <c r="R68" s="125"/>
      <c r="S68" s="125"/>
      <c r="T68" s="125"/>
      <c r="U68" s="125"/>
    </row>
    <row r="69" spans="1:21" ht="18" customHeight="1" x14ac:dyDescent="0.15">
      <c r="A69" s="125"/>
      <c r="B69" s="125"/>
      <c r="C69" s="125"/>
      <c r="D69" s="125"/>
      <c r="E69" s="125"/>
      <c r="F69" s="125"/>
      <c r="G69" s="125"/>
      <c r="H69" s="125"/>
      <c r="I69" s="125"/>
      <c r="J69" s="125"/>
      <c r="K69" s="125"/>
      <c r="L69" s="125"/>
      <c r="M69" s="125"/>
      <c r="N69" s="125"/>
      <c r="O69" s="125"/>
      <c r="P69" s="125"/>
      <c r="Q69" s="125"/>
      <c r="R69" s="125"/>
      <c r="S69" s="125"/>
      <c r="T69" s="125"/>
      <c r="U69" s="125"/>
    </row>
    <row r="70" spans="1:21" ht="18" customHeight="1" x14ac:dyDescent="0.15">
      <c r="B70" s="107" t="s">
        <v>52</v>
      </c>
      <c r="C70" s="108"/>
      <c r="D70" s="108"/>
      <c r="E70" s="108"/>
      <c r="F70" s="39" t="s">
        <v>78</v>
      </c>
      <c r="G70" s="38" t="s">
        <v>81</v>
      </c>
      <c r="H70" s="16" t="s">
        <v>93</v>
      </c>
      <c r="I70" s="16" t="s">
        <v>73</v>
      </c>
      <c r="J70" s="16" t="s">
        <v>74</v>
      </c>
      <c r="K70" s="107" t="s">
        <v>52</v>
      </c>
      <c r="L70" s="108"/>
      <c r="M70" s="108"/>
      <c r="N70" s="108"/>
      <c r="O70" s="108"/>
      <c r="P70" s="109"/>
      <c r="Q70" s="39" t="s">
        <v>78</v>
      </c>
      <c r="R70" s="38" t="s">
        <v>81</v>
      </c>
      <c r="S70" s="16" t="s">
        <v>93</v>
      </c>
      <c r="T70" s="16" t="s">
        <v>73</v>
      </c>
      <c r="U70" s="16" t="s">
        <v>74</v>
      </c>
    </row>
    <row r="71" spans="1:21" ht="18" customHeight="1" x14ac:dyDescent="0.15">
      <c r="A71" s="3"/>
      <c r="B71" s="122" t="s">
        <v>136</v>
      </c>
      <c r="C71" s="123"/>
      <c r="D71" s="123"/>
      <c r="E71" s="124"/>
      <c r="F71" s="17">
        <v>2</v>
      </c>
      <c r="G71" s="17" t="s">
        <v>137</v>
      </c>
      <c r="H71" s="17" t="s">
        <v>137</v>
      </c>
      <c r="I71" s="17" t="s">
        <v>137</v>
      </c>
      <c r="J71" s="17" t="s">
        <v>137</v>
      </c>
      <c r="K71" s="122"/>
      <c r="L71" s="123"/>
      <c r="M71" s="123"/>
      <c r="N71" s="123"/>
      <c r="O71" s="123"/>
      <c r="P71" s="124"/>
      <c r="Q71" s="17"/>
      <c r="R71" s="17"/>
      <c r="S71" s="17"/>
      <c r="T71" s="17"/>
      <c r="U71" s="17"/>
    </row>
    <row r="72" spans="1:21" ht="18" customHeight="1" x14ac:dyDescent="0.15">
      <c r="A72" s="3"/>
      <c r="B72" s="116"/>
      <c r="C72" s="117"/>
      <c r="D72" s="117"/>
      <c r="E72" s="117"/>
      <c r="F72" s="18"/>
      <c r="G72" s="18"/>
      <c r="H72" s="18"/>
      <c r="I72" s="18"/>
      <c r="J72" s="18"/>
      <c r="K72" s="116"/>
      <c r="L72" s="117"/>
      <c r="M72" s="117"/>
      <c r="N72" s="117"/>
      <c r="O72" s="117"/>
      <c r="P72" s="118"/>
      <c r="Q72" s="18"/>
      <c r="R72" s="18"/>
      <c r="S72" s="18"/>
      <c r="T72" s="18"/>
      <c r="U72" s="18"/>
    </row>
    <row r="73" spans="1:21" ht="18" customHeight="1" x14ac:dyDescent="0.15">
      <c r="A73" s="3"/>
      <c r="B73" s="116"/>
      <c r="C73" s="117"/>
      <c r="D73" s="117"/>
      <c r="E73" s="117"/>
      <c r="F73" s="18"/>
      <c r="G73" s="18"/>
      <c r="H73" s="18"/>
      <c r="I73" s="18"/>
      <c r="J73" s="18"/>
      <c r="K73" s="116"/>
      <c r="L73" s="117"/>
      <c r="M73" s="117"/>
      <c r="N73" s="117"/>
      <c r="O73" s="117"/>
      <c r="P73" s="118"/>
      <c r="Q73" s="18"/>
      <c r="R73" s="18"/>
      <c r="S73" s="18"/>
      <c r="T73" s="18"/>
      <c r="U73" s="18"/>
    </row>
    <row r="74" spans="1:21" ht="18" customHeight="1" x14ac:dyDescent="0.15">
      <c r="A74" s="3"/>
      <c r="B74" s="116"/>
      <c r="C74" s="117"/>
      <c r="D74" s="117"/>
      <c r="E74" s="117"/>
      <c r="F74" s="18"/>
      <c r="G74" s="18"/>
      <c r="H74" s="18"/>
      <c r="I74" s="18"/>
      <c r="J74" s="18"/>
      <c r="K74" s="116"/>
      <c r="L74" s="117"/>
      <c r="M74" s="117"/>
      <c r="N74" s="117"/>
      <c r="O74" s="117"/>
      <c r="P74" s="118"/>
      <c r="Q74" s="18"/>
      <c r="R74" s="18"/>
      <c r="S74" s="18"/>
      <c r="T74" s="18"/>
      <c r="U74" s="18"/>
    </row>
    <row r="75" spans="1:21" ht="18" customHeight="1" x14ac:dyDescent="0.15">
      <c r="A75" s="3"/>
      <c r="B75" s="116"/>
      <c r="C75" s="117"/>
      <c r="D75" s="117"/>
      <c r="E75" s="117"/>
      <c r="F75" s="18"/>
      <c r="G75" s="18"/>
      <c r="H75" s="18"/>
      <c r="I75" s="18"/>
      <c r="J75" s="18"/>
      <c r="K75" s="116"/>
      <c r="L75" s="117"/>
      <c r="M75" s="117"/>
      <c r="N75" s="117"/>
      <c r="O75" s="117"/>
      <c r="P75" s="118"/>
      <c r="Q75" s="18"/>
      <c r="R75" s="18"/>
      <c r="S75" s="18"/>
      <c r="T75" s="18"/>
      <c r="U75" s="18"/>
    </row>
    <row r="76" spans="1:21" ht="18" customHeight="1" x14ac:dyDescent="0.15">
      <c r="A76" s="3"/>
      <c r="B76" s="116"/>
      <c r="C76" s="117"/>
      <c r="D76" s="117"/>
      <c r="E76" s="117"/>
      <c r="F76" s="18"/>
      <c r="G76" s="18"/>
      <c r="H76" s="18"/>
      <c r="I76" s="18"/>
      <c r="J76" s="18"/>
      <c r="K76" s="116"/>
      <c r="L76" s="117"/>
      <c r="M76" s="117"/>
      <c r="N76" s="117"/>
      <c r="O76" s="117"/>
      <c r="P76" s="118"/>
      <c r="Q76" s="18"/>
      <c r="R76" s="18"/>
      <c r="S76" s="18"/>
      <c r="T76" s="18"/>
      <c r="U76" s="18"/>
    </row>
    <row r="77" spans="1:21" ht="18" customHeight="1" x14ac:dyDescent="0.15">
      <c r="A77" s="3"/>
      <c r="B77" s="119"/>
      <c r="C77" s="120"/>
      <c r="D77" s="120"/>
      <c r="E77" s="120"/>
      <c r="F77" s="19"/>
      <c r="G77" s="19"/>
      <c r="H77" s="20"/>
      <c r="I77" s="20"/>
      <c r="J77" s="20"/>
      <c r="K77" s="119"/>
      <c r="L77" s="120"/>
      <c r="M77" s="120"/>
      <c r="N77" s="120"/>
      <c r="O77" s="120"/>
      <c r="P77" s="121"/>
      <c r="Q77" s="19"/>
      <c r="R77" s="19"/>
      <c r="S77" s="20"/>
      <c r="T77" s="20"/>
      <c r="U77" s="20"/>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107</v>
      </c>
      <c r="I79" s="3"/>
      <c r="J79" s="3"/>
      <c r="K79" s="3"/>
      <c r="L79" s="3"/>
      <c r="M79" s="3"/>
      <c r="N79" s="3"/>
      <c r="O79" s="3"/>
      <c r="P79" s="3"/>
      <c r="Q79" s="3"/>
      <c r="R79" s="3"/>
      <c r="S79" s="3"/>
      <c r="T79" s="3"/>
      <c r="U79" s="3"/>
    </row>
    <row r="80" spans="1:21" ht="18" customHeight="1" x14ac:dyDescent="0.15">
      <c r="B80" s="107" t="s">
        <v>52</v>
      </c>
      <c r="C80" s="108"/>
      <c r="D80" s="108"/>
      <c r="E80" s="108"/>
      <c r="F80" s="109"/>
      <c r="G80" s="107" t="s">
        <v>79</v>
      </c>
      <c r="H80" s="108"/>
      <c r="I80" s="108"/>
      <c r="J80" s="109"/>
      <c r="K80" s="155" t="s">
        <v>52</v>
      </c>
      <c r="L80" s="156"/>
      <c r="M80" s="156"/>
      <c r="N80" s="156"/>
      <c r="O80" s="156"/>
      <c r="P80" s="156"/>
      <c r="Q80" s="157"/>
      <c r="R80" s="107" t="s">
        <v>79</v>
      </c>
      <c r="S80" s="108"/>
      <c r="T80" s="108"/>
      <c r="U80" s="109"/>
    </row>
    <row r="81" spans="1:21" ht="18" customHeight="1" x14ac:dyDescent="0.15">
      <c r="A81" s="3"/>
      <c r="B81" s="122"/>
      <c r="C81" s="123"/>
      <c r="D81" s="123"/>
      <c r="E81" s="123"/>
      <c r="F81" s="124"/>
      <c r="G81" s="158"/>
      <c r="H81" s="159"/>
      <c r="I81" s="159"/>
      <c r="J81" s="160"/>
      <c r="K81" s="122"/>
      <c r="L81" s="123"/>
      <c r="M81" s="123"/>
      <c r="N81" s="123"/>
      <c r="O81" s="123"/>
      <c r="P81" s="123"/>
      <c r="Q81" s="124"/>
      <c r="R81" s="158"/>
      <c r="S81" s="159"/>
      <c r="T81" s="159"/>
      <c r="U81" s="160"/>
    </row>
    <row r="82" spans="1:21" ht="18" customHeight="1" x14ac:dyDescent="0.15">
      <c r="A82" s="3"/>
      <c r="B82" s="116"/>
      <c r="C82" s="117"/>
      <c r="D82" s="117"/>
      <c r="E82" s="117"/>
      <c r="F82" s="118"/>
      <c r="G82" s="147"/>
      <c r="H82" s="148"/>
      <c r="I82" s="148"/>
      <c r="J82" s="149"/>
      <c r="K82" s="116"/>
      <c r="L82" s="117"/>
      <c r="M82" s="117"/>
      <c r="N82" s="117"/>
      <c r="O82" s="117"/>
      <c r="P82" s="117"/>
      <c r="Q82" s="118"/>
      <c r="R82" s="147"/>
      <c r="S82" s="148"/>
      <c r="T82" s="148"/>
      <c r="U82" s="149"/>
    </row>
    <row r="83" spans="1:21" ht="18" customHeight="1" x14ac:dyDescent="0.15">
      <c r="A83" s="3"/>
      <c r="B83" s="116"/>
      <c r="C83" s="117"/>
      <c r="D83" s="117"/>
      <c r="E83" s="117"/>
      <c r="F83" s="118"/>
      <c r="G83" s="147"/>
      <c r="H83" s="148"/>
      <c r="I83" s="148"/>
      <c r="J83" s="149"/>
      <c r="K83" s="116"/>
      <c r="L83" s="117"/>
      <c r="M83" s="117"/>
      <c r="N83" s="117"/>
      <c r="O83" s="117"/>
      <c r="P83" s="117"/>
      <c r="Q83" s="118"/>
      <c r="R83" s="147"/>
      <c r="S83" s="148"/>
      <c r="T83" s="148"/>
      <c r="U83" s="149"/>
    </row>
    <row r="84" spans="1:21" ht="18" customHeight="1" x14ac:dyDescent="0.15">
      <c r="A84" s="3"/>
      <c r="B84" s="116"/>
      <c r="C84" s="117"/>
      <c r="D84" s="117"/>
      <c r="E84" s="117"/>
      <c r="F84" s="118"/>
      <c r="G84" s="147"/>
      <c r="H84" s="148"/>
      <c r="I84" s="148"/>
      <c r="J84" s="149"/>
      <c r="K84" s="116"/>
      <c r="L84" s="117"/>
      <c r="M84" s="117"/>
      <c r="N84" s="117"/>
      <c r="O84" s="117"/>
      <c r="P84" s="117"/>
      <c r="Q84" s="118"/>
      <c r="R84" s="147"/>
      <c r="S84" s="148"/>
      <c r="T84" s="148"/>
      <c r="U84" s="149"/>
    </row>
    <row r="85" spans="1:21" ht="18" customHeight="1" x14ac:dyDescent="0.15">
      <c r="A85" s="3"/>
      <c r="B85" s="116"/>
      <c r="C85" s="117"/>
      <c r="D85" s="117"/>
      <c r="E85" s="117"/>
      <c r="F85" s="118"/>
      <c r="G85" s="147"/>
      <c r="H85" s="148"/>
      <c r="I85" s="148"/>
      <c r="J85" s="149"/>
      <c r="K85" s="116"/>
      <c r="L85" s="117"/>
      <c r="M85" s="117"/>
      <c r="N85" s="117"/>
      <c r="O85" s="117"/>
      <c r="P85" s="117"/>
      <c r="Q85" s="118"/>
      <c r="R85" s="147"/>
      <c r="S85" s="148"/>
      <c r="T85" s="148"/>
      <c r="U85" s="149"/>
    </row>
    <row r="86" spans="1:21" ht="18" customHeight="1" x14ac:dyDescent="0.15">
      <c r="A86" s="3"/>
      <c r="B86" s="116"/>
      <c r="C86" s="117"/>
      <c r="D86" s="117"/>
      <c r="E86" s="117"/>
      <c r="F86" s="118"/>
      <c r="G86" s="147"/>
      <c r="H86" s="148"/>
      <c r="I86" s="148"/>
      <c r="J86" s="149"/>
      <c r="K86" s="116"/>
      <c r="L86" s="117"/>
      <c r="M86" s="117"/>
      <c r="N86" s="117"/>
      <c r="O86" s="117"/>
      <c r="P86" s="117"/>
      <c r="Q86" s="118"/>
      <c r="R86" s="147"/>
      <c r="S86" s="148"/>
      <c r="T86" s="148"/>
      <c r="U86" s="149"/>
    </row>
    <row r="87" spans="1:21" ht="18" customHeight="1" x14ac:dyDescent="0.15">
      <c r="A87" s="3"/>
      <c r="B87" s="119"/>
      <c r="C87" s="120"/>
      <c r="D87" s="120"/>
      <c r="E87" s="120"/>
      <c r="F87" s="121"/>
      <c r="G87" s="144"/>
      <c r="H87" s="145"/>
      <c r="I87" s="145"/>
      <c r="J87" s="146"/>
      <c r="K87" s="119"/>
      <c r="L87" s="120"/>
      <c r="M87" s="120"/>
      <c r="N87" s="120"/>
      <c r="O87" s="120"/>
      <c r="P87" s="120"/>
      <c r="Q87" s="121"/>
      <c r="R87" s="144"/>
      <c r="S87" s="145"/>
      <c r="T87" s="145"/>
      <c r="U87" s="146"/>
    </row>
    <row r="88" spans="1:21" ht="18" customHeight="1" x14ac:dyDescent="0.15">
      <c r="A88" s="3"/>
      <c r="B88" s="5"/>
      <c r="C88" s="5"/>
      <c r="D88" s="5"/>
      <c r="E88" s="5"/>
      <c r="F88" s="5"/>
      <c r="G88" s="21"/>
      <c r="H88" s="21"/>
      <c r="I88" s="21"/>
      <c r="J88" s="21"/>
      <c r="K88" s="5"/>
      <c r="L88" s="5"/>
      <c r="M88" s="5"/>
      <c r="N88" s="5"/>
      <c r="O88" s="5"/>
      <c r="P88" s="5"/>
      <c r="Q88" s="5"/>
      <c r="R88" s="21"/>
      <c r="S88" s="21"/>
      <c r="T88" s="21"/>
      <c r="U88" s="21"/>
    </row>
    <row r="89" spans="1:21" ht="18.75" customHeight="1" x14ac:dyDescent="0.15">
      <c r="A89" s="1" t="s">
        <v>108</v>
      </c>
    </row>
    <row r="90" spans="1:21" ht="18.75" customHeight="1" x14ac:dyDescent="0.15">
      <c r="B90" s="153" t="s">
        <v>53</v>
      </c>
      <c r="C90" s="154"/>
      <c r="D90" s="107" t="s">
        <v>54</v>
      </c>
      <c r="E90" s="108"/>
      <c r="F90" s="108"/>
      <c r="G90" s="108"/>
      <c r="H90" s="108"/>
      <c r="I90" s="108"/>
      <c r="J90" s="108"/>
      <c r="K90" s="108"/>
      <c r="L90" s="108"/>
      <c r="M90" s="108"/>
      <c r="N90" s="108"/>
      <c r="O90" s="108"/>
      <c r="P90" s="108"/>
      <c r="Q90" s="108"/>
      <c r="R90" s="108"/>
      <c r="S90" s="108"/>
      <c r="T90" s="108"/>
      <c r="U90" s="109"/>
    </row>
    <row r="91" spans="1:21" ht="97.5" customHeight="1" x14ac:dyDescent="0.15">
      <c r="B91" s="150" t="s">
        <v>60</v>
      </c>
      <c r="C91" s="22" t="s">
        <v>55</v>
      </c>
      <c r="D91" s="95" t="s">
        <v>167</v>
      </c>
      <c r="E91" s="96"/>
      <c r="F91" s="96"/>
      <c r="G91" s="96"/>
      <c r="H91" s="96"/>
      <c r="I91" s="96"/>
      <c r="J91" s="96"/>
      <c r="K91" s="96"/>
      <c r="L91" s="96"/>
      <c r="M91" s="96"/>
      <c r="N91" s="96"/>
      <c r="O91" s="96"/>
      <c r="P91" s="96"/>
      <c r="Q91" s="96"/>
      <c r="R91" s="96"/>
      <c r="S91" s="96"/>
      <c r="T91" s="96"/>
      <c r="U91" s="97"/>
    </row>
    <row r="92" spans="1:21" ht="97.5" customHeight="1" x14ac:dyDescent="0.15">
      <c r="B92" s="151"/>
      <c r="C92" s="23" t="s">
        <v>75</v>
      </c>
      <c r="D92" s="92" t="s">
        <v>168</v>
      </c>
      <c r="E92" s="93"/>
      <c r="F92" s="93"/>
      <c r="G92" s="93"/>
      <c r="H92" s="93"/>
      <c r="I92" s="93"/>
      <c r="J92" s="93"/>
      <c r="K92" s="93"/>
      <c r="L92" s="93"/>
      <c r="M92" s="93"/>
      <c r="N92" s="93"/>
      <c r="O92" s="93"/>
      <c r="P92" s="93"/>
      <c r="Q92" s="93"/>
      <c r="R92" s="93"/>
      <c r="S92" s="93"/>
      <c r="T92" s="93"/>
      <c r="U92" s="94"/>
    </row>
    <row r="93" spans="1:21" ht="97.5" customHeight="1" x14ac:dyDescent="0.15">
      <c r="B93" s="150" t="s">
        <v>61</v>
      </c>
      <c r="C93" s="24" t="s">
        <v>69</v>
      </c>
      <c r="D93" s="95" t="s">
        <v>169</v>
      </c>
      <c r="E93" s="96"/>
      <c r="F93" s="96"/>
      <c r="G93" s="96"/>
      <c r="H93" s="96"/>
      <c r="I93" s="96"/>
      <c r="J93" s="96"/>
      <c r="K93" s="96"/>
      <c r="L93" s="96"/>
      <c r="M93" s="96"/>
      <c r="N93" s="96"/>
      <c r="O93" s="96"/>
      <c r="P93" s="96"/>
      <c r="Q93" s="96"/>
      <c r="R93" s="96"/>
      <c r="S93" s="96"/>
      <c r="T93" s="96"/>
      <c r="U93" s="97"/>
    </row>
    <row r="94" spans="1:21" ht="97.5" customHeight="1" x14ac:dyDescent="0.15">
      <c r="B94" s="152"/>
      <c r="C94" s="25" t="s">
        <v>70</v>
      </c>
      <c r="D94" s="92" t="s">
        <v>170</v>
      </c>
      <c r="E94" s="93"/>
      <c r="F94" s="93"/>
      <c r="G94" s="93"/>
      <c r="H94" s="93"/>
      <c r="I94" s="93"/>
      <c r="J94" s="93"/>
      <c r="K94" s="93"/>
      <c r="L94" s="93"/>
      <c r="M94" s="93"/>
      <c r="N94" s="93"/>
      <c r="O94" s="93"/>
      <c r="P94" s="93"/>
      <c r="Q94" s="93"/>
      <c r="R94" s="93"/>
      <c r="S94" s="93"/>
      <c r="T94" s="93"/>
      <c r="U94" s="94"/>
    </row>
    <row r="95" spans="1:21" ht="97.5" customHeight="1" x14ac:dyDescent="0.15">
      <c r="B95" s="150" t="s">
        <v>62</v>
      </c>
      <c r="C95" s="24" t="s">
        <v>71</v>
      </c>
      <c r="D95" s="95" t="s">
        <v>164</v>
      </c>
      <c r="E95" s="96"/>
      <c r="F95" s="96"/>
      <c r="G95" s="96"/>
      <c r="H95" s="96"/>
      <c r="I95" s="96"/>
      <c r="J95" s="96"/>
      <c r="K95" s="96"/>
      <c r="L95" s="96"/>
      <c r="M95" s="96"/>
      <c r="N95" s="96"/>
      <c r="O95" s="96"/>
      <c r="P95" s="96"/>
      <c r="Q95" s="96"/>
      <c r="R95" s="96"/>
      <c r="S95" s="96"/>
      <c r="T95" s="96"/>
      <c r="U95" s="97"/>
    </row>
    <row r="96" spans="1:21" ht="97.5" customHeight="1" x14ac:dyDescent="0.15">
      <c r="B96" s="152"/>
      <c r="C96" s="26" t="s">
        <v>72</v>
      </c>
      <c r="D96" s="92" t="s">
        <v>165</v>
      </c>
      <c r="E96" s="93"/>
      <c r="F96" s="93"/>
      <c r="G96" s="93"/>
      <c r="H96" s="93"/>
      <c r="I96" s="93"/>
      <c r="J96" s="93"/>
      <c r="K96" s="93"/>
      <c r="L96" s="93"/>
      <c r="M96" s="93"/>
      <c r="N96" s="93"/>
      <c r="O96" s="93"/>
      <c r="P96" s="93"/>
      <c r="Q96" s="93"/>
      <c r="R96" s="93"/>
      <c r="S96" s="93"/>
      <c r="T96" s="93"/>
      <c r="U96" s="94"/>
    </row>
    <row r="97" spans="1:33" ht="97.5" customHeight="1" x14ac:dyDescent="0.15">
      <c r="B97" s="150" t="s">
        <v>76</v>
      </c>
      <c r="C97" s="22" t="s">
        <v>57</v>
      </c>
      <c r="D97" s="95" t="s">
        <v>171</v>
      </c>
      <c r="E97" s="96"/>
      <c r="F97" s="96"/>
      <c r="G97" s="96"/>
      <c r="H97" s="96"/>
      <c r="I97" s="96"/>
      <c r="J97" s="96"/>
      <c r="K97" s="96"/>
      <c r="L97" s="96"/>
      <c r="M97" s="96"/>
      <c r="N97" s="96"/>
      <c r="O97" s="96"/>
      <c r="P97" s="96"/>
      <c r="Q97" s="96"/>
      <c r="R97" s="96"/>
      <c r="S97" s="96"/>
      <c r="T97" s="96"/>
      <c r="U97" s="97"/>
    </row>
    <row r="98" spans="1:33" ht="97.5" customHeight="1" x14ac:dyDescent="0.15">
      <c r="B98" s="152"/>
      <c r="C98" s="25" t="s">
        <v>59</v>
      </c>
      <c r="D98" s="92" t="s">
        <v>172</v>
      </c>
      <c r="E98" s="93"/>
      <c r="F98" s="93"/>
      <c r="G98" s="93"/>
      <c r="H98" s="93"/>
      <c r="I98" s="93"/>
      <c r="J98" s="93"/>
      <c r="K98" s="93"/>
      <c r="L98" s="93"/>
      <c r="M98" s="93"/>
      <c r="N98" s="93"/>
      <c r="O98" s="93"/>
      <c r="P98" s="93"/>
      <c r="Q98" s="93"/>
      <c r="R98" s="93"/>
      <c r="S98" s="93"/>
      <c r="T98" s="93"/>
      <c r="U98" s="94"/>
    </row>
    <row r="99" spans="1:33" ht="97.5" customHeight="1" x14ac:dyDescent="0.15">
      <c r="B99" s="150" t="s">
        <v>77</v>
      </c>
      <c r="C99" s="24" t="s">
        <v>56</v>
      </c>
      <c r="D99" s="95" t="s">
        <v>173</v>
      </c>
      <c r="E99" s="96"/>
      <c r="F99" s="96"/>
      <c r="G99" s="96"/>
      <c r="H99" s="96"/>
      <c r="I99" s="96"/>
      <c r="J99" s="96"/>
      <c r="K99" s="96"/>
      <c r="L99" s="96"/>
      <c r="M99" s="96"/>
      <c r="N99" s="96"/>
      <c r="O99" s="96"/>
      <c r="P99" s="96"/>
      <c r="Q99" s="96"/>
      <c r="R99" s="96"/>
      <c r="S99" s="96"/>
      <c r="T99" s="96"/>
      <c r="U99" s="97"/>
    </row>
    <row r="100" spans="1:33" ht="97.5" customHeight="1" x14ac:dyDescent="0.15">
      <c r="B100" s="151"/>
      <c r="C100" s="27" t="s">
        <v>73</v>
      </c>
      <c r="D100" s="98" t="s">
        <v>174</v>
      </c>
      <c r="E100" s="99"/>
      <c r="F100" s="99"/>
      <c r="G100" s="99"/>
      <c r="H100" s="99"/>
      <c r="I100" s="99"/>
      <c r="J100" s="99"/>
      <c r="K100" s="99"/>
      <c r="L100" s="99"/>
      <c r="M100" s="99"/>
      <c r="N100" s="99"/>
      <c r="O100" s="99"/>
      <c r="P100" s="99"/>
      <c r="Q100" s="99"/>
      <c r="R100" s="99"/>
      <c r="S100" s="99"/>
      <c r="T100" s="99"/>
      <c r="U100" s="100"/>
    </row>
    <row r="101" spans="1:33" ht="97.5" customHeight="1" x14ac:dyDescent="0.15">
      <c r="B101" s="152"/>
      <c r="C101" s="26" t="s">
        <v>74</v>
      </c>
      <c r="D101" s="92" t="s">
        <v>175</v>
      </c>
      <c r="E101" s="93"/>
      <c r="F101" s="93"/>
      <c r="G101" s="93"/>
      <c r="H101" s="93"/>
      <c r="I101" s="93"/>
      <c r="J101" s="93"/>
      <c r="K101" s="93"/>
      <c r="L101" s="93"/>
      <c r="M101" s="93"/>
      <c r="N101" s="93"/>
      <c r="O101" s="93"/>
      <c r="P101" s="93"/>
      <c r="Q101" s="93"/>
      <c r="R101" s="93"/>
      <c r="S101" s="93"/>
      <c r="T101" s="93"/>
      <c r="U101" s="94"/>
    </row>
    <row r="102" spans="1:33" ht="6" customHeight="1" x14ac:dyDescent="0.15"/>
    <row r="103" spans="1:33" ht="18.75" customHeight="1" x14ac:dyDescent="0.15">
      <c r="A103" s="1" t="s">
        <v>109</v>
      </c>
    </row>
    <row r="104" spans="1:33" ht="81.75" customHeight="1" x14ac:dyDescent="0.15">
      <c r="B104" s="141" t="s">
        <v>176</v>
      </c>
      <c r="C104" s="142"/>
      <c r="D104" s="142"/>
      <c r="E104" s="142"/>
      <c r="F104" s="142"/>
      <c r="G104" s="142"/>
      <c r="H104" s="142"/>
      <c r="I104" s="142"/>
      <c r="J104" s="142"/>
      <c r="K104" s="142"/>
      <c r="L104" s="142"/>
      <c r="M104" s="142"/>
      <c r="N104" s="142"/>
      <c r="O104" s="142"/>
      <c r="P104" s="142"/>
      <c r="Q104" s="142"/>
      <c r="R104" s="142"/>
      <c r="S104" s="142"/>
      <c r="T104" s="142"/>
      <c r="U104" s="143"/>
    </row>
    <row r="106" spans="1:33" ht="18.75" customHeight="1" x14ac:dyDescent="0.15">
      <c r="A106" s="62" t="s">
        <v>125</v>
      </c>
      <c r="B106" s="63"/>
      <c r="C106" s="63"/>
      <c r="D106" s="63"/>
      <c r="E106" s="63"/>
      <c r="F106" s="63"/>
      <c r="G106" s="63"/>
      <c r="H106" s="63"/>
      <c r="I106" s="63"/>
      <c r="J106" s="63"/>
      <c r="K106" s="63"/>
      <c r="L106" s="63"/>
      <c r="M106" s="63"/>
      <c r="N106" s="63"/>
      <c r="O106" s="63"/>
      <c r="P106" s="63"/>
      <c r="Q106" s="63"/>
      <c r="R106" s="63"/>
      <c r="S106" s="63"/>
      <c r="T106" s="63"/>
      <c r="U106" s="63"/>
    </row>
    <row r="107" spans="1:33" ht="18.75" customHeight="1" x14ac:dyDescent="0.15">
      <c r="A107" s="62" t="s">
        <v>127</v>
      </c>
      <c r="B107" s="62"/>
      <c r="C107" s="62"/>
      <c r="D107" s="62"/>
      <c r="E107" s="62"/>
      <c r="F107" s="62"/>
      <c r="G107" s="62"/>
      <c r="H107" s="62"/>
      <c r="I107" s="62"/>
      <c r="J107" s="62"/>
      <c r="K107" s="62"/>
      <c r="L107" s="62"/>
      <c r="M107" s="62"/>
      <c r="N107" s="62"/>
      <c r="O107" s="62"/>
      <c r="P107" s="62"/>
      <c r="Q107" s="62"/>
      <c r="R107" s="62"/>
      <c r="S107" s="62"/>
      <c r="T107" s="62"/>
      <c r="U107" s="62"/>
      <c r="V107" s="2"/>
      <c r="W107" s="2"/>
      <c r="X107" s="2"/>
      <c r="Y107" s="2"/>
      <c r="Z107" s="2"/>
      <c r="AA107" s="2"/>
      <c r="AB107" s="2"/>
      <c r="AC107" s="2"/>
      <c r="AD107" s="2"/>
      <c r="AE107" s="2"/>
      <c r="AF107" s="2"/>
      <c r="AG107" s="2"/>
    </row>
    <row r="108" spans="1:33" ht="18.75" customHeight="1" x14ac:dyDescent="0.15">
      <c r="A108" s="62"/>
      <c r="B108" s="91" t="s">
        <v>130</v>
      </c>
      <c r="C108" s="91"/>
      <c r="D108" s="91"/>
      <c r="E108" s="91"/>
      <c r="F108" s="91"/>
      <c r="G108" s="91"/>
      <c r="H108" s="91"/>
      <c r="I108" s="91"/>
      <c r="J108" s="91"/>
      <c r="K108" s="91"/>
      <c r="L108" s="91"/>
      <c r="M108" s="91"/>
      <c r="N108" s="91"/>
      <c r="O108" s="91"/>
      <c r="P108" s="91"/>
      <c r="Q108" s="91"/>
      <c r="R108" s="91"/>
      <c r="S108" s="91"/>
      <c r="T108" s="91"/>
      <c r="U108" s="91"/>
      <c r="V108" s="58"/>
      <c r="W108" s="58"/>
      <c r="X108" s="58"/>
      <c r="Y108" s="58"/>
      <c r="Z108" s="58"/>
      <c r="AA108" s="58"/>
      <c r="AB108" s="58"/>
      <c r="AC108" s="58"/>
      <c r="AD108" s="58"/>
      <c r="AE108" s="58"/>
      <c r="AF108" s="58"/>
      <c r="AG108" s="58"/>
    </row>
    <row r="109" spans="1:33" ht="37.15" customHeight="1" x14ac:dyDescent="0.15">
      <c r="A109" s="62"/>
      <c r="B109" s="91"/>
      <c r="C109" s="91"/>
      <c r="D109" s="91"/>
      <c r="E109" s="91"/>
      <c r="F109" s="91"/>
      <c r="G109" s="91"/>
      <c r="H109" s="91"/>
      <c r="I109" s="91"/>
      <c r="J109" s="91"/>
      <c r="K109" s="91"/>
      <c r="L109" s="91"/>
      <c r="M109" s="91"/>
      <c r="N109" s="91"/>
      <c r="O109" s="91"/>
      <c r="P109" s="91"/>
      <c r="Q109" s="91"/>
      <c r="R109" s="91"/>
      <c r="S109" s="91"/>
      <c r="T109" s="91"/>
      <c r="U109" s="91"/>
      <c r="V109" s="58"/>
      <c r="W109" s="58"/>
      <c r="X109" s="58"/>
      <c r="Y109" s="58"/>
      <c r="Z109" s="58"/>
      <c r="AA109" s="58"/>
      <c r="AB109" s="58"/>
      <c r="AC109" s="58"/>
      <c r="AD109" s="58"/>
      <c r="AE109" s="58"/>
      <c r="AF109" s="58"/>
      <c r="AG109" s="58"/>
    </row>
    <row r="110" spans="1:33" ht="18.75" customHeight="1" x14ac:dyDescent="0.15">
      <c r="A110" s="62"/>
      <c r="B110" s="161" t="s">
        <v>126</v>
      </c>
      <c r="C110" s="161"/>
      <c r="D110" s="161"/>
      <c r="E110" s="161"/>
      <c r="F110" s="161"/>
      <c r="G110" s="161"/>
      <c r="H110" s="161"/>
      <c r="I110" s="161"/>
      <c r="J110" s="161"/>
      <c r="K110" s="161"/>
      <c r="L110" s="161"/>
      <c r="M110" s="161"/>
      <c r="N110" s="161"/>
      <c r="O110" s="161"/>
      <c r="P110" s="161"/>
      <c r="Q110" s="161"/>
      <c r="R110" s="161"/>
      <c r="S110" s="161"/>
      <c r="T110" s="161"/>
      <c r="U110" s="161"/>
      <c r="V110" s="58"/>
      <c r="W110" s="58"/>
      <c r="X110" s="58"/>
      <c r="Y110" s="58"/>
      <c r="Z110" s="58"/>
      <c r="AA110" s="58"/>
      <c r="AB110" s="58"/>
      <c r="AC110" s="58"/>
      <c r="AD110" s="58"/>
      <c r="AE110" s="58"/>
      <c r="AF110" s="58"/>
      <c r="AG110" s="58"/>
    </row>
    <row r="111" spans="1:33" ht="18.75" customHeight="1" x14ac:dyDescent="0.15">
      <c r="A111" s="62"/>
      <c r="B111" s="162" t="s">
        <v>54</v>
      </c>
      <c r="C111" s="162"/>
      <c r="D111" s="162"/>
      <c r="E111" s="162"/>
      <c r="F111" s="162"/>
      <c r="G111" s="162"/>
      <c r="H111" s="162"/>
      <c r="I111" s="162"/>
      <c r="J111" s="162"/>
      <c r="K111" s="162"/>
      <c r="L111" s="162"/>
      <c r="M111" s="162"/>
      <c r="N111" s="162"/>
      <c r="O111" s="162"/>
      <c r="P111" s="162"/>
      <c r="Q111" s="162"/>
      <c r="R111" s="162"/>
      <c r="S111" s="162"/>
      <c r="T111" s="162"/>
      <c r="U111" s="162"/>
      <c r="V111" s="57"/>
      <c r="W111" s="57"/>
      <c r="X111" s="57"/>
      <c r="Y111" s="57"/>
      <c r="Z111" s="57"/>
      <c r="AA111" s="57"/>
      <c r="AB111" s="57"/>
      <c r="AC111" s="57"/>
      <c r="AD111" s="57"/>
      <c r="AE111" s="57"/>
      <c r="AF111" s="57"/>
      <c r="AG111" s="57"/>
    </row>
    <row r="112" spans="1:33" ht="132" customHeight="1" x14ac:dyDescent="0.15">
      <c r="A112" s="62"/>
      <c r="B112" s="163"/>
      <c r="C112" s="163"/>
      <c r="D112" s="163"/>
      <c r="E112" s="163"/>
      <c r="F112" s="163"/>
      <c r="G112" s="163"/>
      <c r="H112" s="163"/>
      <c r="I112" s="163"/>
      <c r="J112" s="163"/>
      <c r="K112" s="163"/>
      <c r="L112" s="163"/>
      <c r="M112" s="163"/>
      <c r="N112" s="163"/>
      <c r="O112" s="163"/>
      <c r="P112" s="163"/>
      <c r="Q112" s="163"/>
      <c r="R112" s="163"/>
      <c r="S112" s="163"/>
      <c r="T112" s="163"/>
      <c r="U112" s="163"/>
      <c r="V112" s="59"/>
      <c r="W112" s="59"/>
      <c r="X112" s="59"/>
      <c r="Y112" s="59"/>
      <c r="Z112" s="59"/>
      <c r="AA112" s="59"/>
      <c r="AB112" s="59"/>
      <c r="AC112" s="59"/>
      <c r="AD112" s="59"/>
      <c r="AE112" s="59"/>
      <c r="AF112" s="59"/>
      <c r="AG112" s="59"/>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Y14" sqref="Y1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63"/>
      <c r="B1" s="63"/>
      <c r="C1" s="63"/>
      <c r="D1" s="63"/>
      <c r="E1" s="63"/>
      <c r="F1" s="63"/>
      <c r="G1" s="63"/>
      <c r="H1" s="63"/>
      <c r="I1" s="63"/>
      <c r="J1" s="63"/>
      <c r="K1" s="63"/>
      <c r="L1" s="63"/>
      <c r="M1" s="63"/>
      <c r="N1" s="63"/>
      <c r="O1" s="63"/>
      <c r="P1" s="63"/>
      <c r="Q1" s="63"/>
      <c r="R1" s="63"/>
      <c r="S1" s="63" t="s">
        <v>98</v>
      </c>
    </row>
    <row r="2" spans="1:21" ht="18" customHeight="1" x14ac:dyDescent="0.15">
      <c r="A2" s="63"/>
      <c r="B2" s="63"/>
      <c r="C2" s="63"/>
      <c r="D2" s="63"/>
      <c r="E2" s="63"/>
      <c r="F2" s="63"/>
      <c r="G2" s="63"/>
      <c r="H2" s="63"/>
      <c r="I2" s="63"/>
      <c r="J2" s="63"/>
      <c r="K2" s="63"/>
      <c r="L2" s="63"/>
      <c r="M2" s="63"/>
      <c r="N2" s="63"/>
      <c r="O2" s="63"/>
      <c r="P2" s="63"/>
      <c r="Q2" s="165" t="str">
        <f>'様式１　プログラムを構成する授業科目'!C2</f>
        <v>日本工業大学</v>
      </c>
      <c r="R2" s="165"/>
      <c r="S2" s="165"/>
    </row>
    <row r="3" spans="1:21" ht="18" customHeight="1" x14ac:dyDescent="0.15">
      <c r="A3" s="130" t="s">
        <v>47</v>
      </c>
      <c r="B3" s="130"/>
      <c r="C3" s="130"/>
      <c r="D3" s="130"/>
      <c r="E3" s="130"/>
      <c r="F3" s="130"/>
      <c r="G3" s="130"/>
      <c r="H3" s="130"/>
      <c r="I3" s="130"/>
      <c r="J3" s="130"/>
      <c r="K3" s="130"/>
      <c r="L3" s="130"/>
      <c r="M3" s="130"/>
      <c r="N3" s="130"/>
      <c r="O3" s="130"/>
      <c r="P3" s="130"/>
      <c r="Q3" s="130"/>
      <c r="R3" s="130"/>
      <c r="S3" s="130"/>
    </row>
    <row r="4" spans="1:21" ht="7.5" customHeight="1" x14ac:dyDescent="0.15">
      <c r="A4" s="68"/>
      <c r="B4" s="68"/>
      <c r="C4" s="68"/>
      <c r="D4" s="68"/>
      <c r="E4" s="68"/>
      <c r="F4" s="68"/>
      <c r="G4" s="68"/>
      <c r="H4" s="68"/>
      <c r="I4" s="68"/>
      <c r="J4" s="68"/>
      <c r="K4" s="68"/>
      <c r="L4" s="68"/>
      <c r="M4" s="68"/>
      <c r="N4" s="68"/>
      <c r="O4" s="68"/>
      <c r="P4" s="68"/>
      <c r="Q4" s="68"/>
      <c r="R4" s="68"/>
      <c r="S4" s="68"/>
    </row>
    <row r="5" spans="1:21" ht="18" customHeight="1" x14ac:dyDescent="0.15">
      <c r="A5" s="63" t="s">
        <v>80</v>
      </c>
      <c r="B5" s="63"/>
      <c r="C5" s="166" t="s">
        <v>177</v>
      </c>
      <c r="D5" s="167"/>
      <c r="E5" s="68" t="s">
        <v>51</v>
      </c>
      <c r="F5" s="68"/>
      <c r="G5" s="68"/>
      <c r="H5" s="68"/>
      <c r="I5" s="68"/>
      <c r="J5" s="68"/>
      <c r="K5" s="68"/>
      <c r="L5" s="68"/>
      <c r="M5" s="68"/>
      <c r="N5" s="68"/>
      <c r="O5" s="68"/>
      <c r="P5" s="68"/>
      <c r="Q5" s="68"/>
      <c r="R5" s="66"/>
      <c r="S5" s="66"/>
    </row>
    <row r="6" spans="1:21" ht="7.15" customHeight="1" x14ac:dyDescent="0.15">
      <c r="A6" s="63"/>
      <c r="B6" s="63"/>
      <c r="C6" s="72"/>
      <c r="D6" s="72"/>
      <c r="E6" s="68"/>
      <c r="F6" s="68"/>
      <c r="G6" s="68"/>
      <c r="H6" s="68"/>
      <c r="I6" s="68"/>
      <c r="J6" s="68"/>
      <c r="K6" s="68"/>
      <c r="L6" s="68"/>
      <c r="M6" s="68"/>
      <c r="N6" s="68"/>
      <c r="O6" s="68"/>
      <c r="P6" s="68"/>
      <c r="Q6" s="68"/>
      <c r="R6" s="66"/>
      <c r="S6" s="66"/>
    </row>
    <row r="7" spans="1:21" ht="18" customHeight="1" x14ac:dyDescent="0.15">
      <c r="A7" s="63" t="s">
        <v>118</v>
      </c>
      <c r="B7" s="63"/>
      <c r="C7" s="72"/>
      <c r="D7" s="72"/>
      <c r="E7" s="68" t="s">
        <v>119</v>
      </c>
      <c r="F7" s="71">
        <v>3556</v>
      </c>
      <c r="G7" s="69" t="s">
        <v>120</v>
      </c>
      <c r="H7" s="68" t="s">
        <v>121</v>
      </c>
      <c r="I7" s="71">
        <v>342</v>
      </c>
      <c r="J7" s="69" t="s">
        <v>120</v>
      </c>
      <c r="K7" s="65" t="s">
        <v>122</v>
      </c>
      <c r="L7" s="68" t="s">
        <v>123</v>
      </c>
      <c r="M7" s="71">
        <f>F7+I7</f>
        <v>3898</v>
      </c>
      <c r="N7" s="68" t="s">
        <v>1</v>
      </c>
      <c r="O7" s="69" t="s">
        <v>124</v>
      </c>
      <c r="P7" s="68"/>
      <c r="Q7" s="68"/>
      <c r="R7" s="66"/>
      <c r="S7" s="66"/>
    </row>
    <row r="8" spans="1:21" ht="6" customHeight="1" x14ac:dyDescent="0.15">
      <c r="A8" s="68"/>
      <c r="B8" s="68"/>
      <c r="C8" s="68"/>
      <c r="D8" s="68"/>
      <c r="E8" s="68"/>
      <c r="F8" s="68"/>
      <c r="G8" s="68"/>
      <c r="H8" s="68"/>
      <c r="I8" s="68"/>
      <c r="J8" s="68"/>
      <c r="K8" s="68"/>
      <c r="L8" s="68"/>
      <c r="M8" s="68"/>
      <c r="N8" s="68"/>
      <c r="O8" s="68"/>
      <c r="P8" s="68"/>
      <c r="Q8" s="68"/>
      <c r="R8" s="68"/>
      <c r="S8" s="68"/>
    </row>
    <row r="9" spans="1:21" ht="18" customHeight="1" x14ac:dyDescent="0.15">
      <c r="A9" s="63" t="s">
        <v>134</v>
      </c>
      <c r="B9" s="68"/>
      <c r="C9" s="68"/>
      <c r="D9" s="68"/>
      <c r="E9" s="68"/>
      <c r="F9" s="68"/>
      <c r="G9" s="68"/>
      <c r="H9" s="68"/>
      <c r="I9" s="68"/>
      <c r="J9" s="68"/>
      <c r="K9" s="68"/>
      <c r="L9" s="68"/>
      <c r="M9" s="68"/>
      <c r="N9" s="68"/>
      <c r="O9" s="68"/>
      <c r="P9" s="68"/>
      <c r="Q9" s="68"/>
      <c r="R9" s="68"/>
      <c r="S9" s="68"/>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8" t="s">
        <v>44</v>
      </c>
      <c r="C11" s="178" t="s">
        <v>83</v>
      </c>
      <c r="D11" s="170" t="s">
        <v>46</v>
      </c>
      <c r="E11" s="172" t="s">
        <v>39</v>
      </c>
      <c r="F11" s="164" t="s">
        <v>112</v>
      </c>
      <c r="G11" s="164"/>
      <c r="H11" s="164" t="s">
        <v>82</v>
      </c>
      <c r="I11" s="164"/>
      <c r="J11" s="164" t="s">
        <v>48</v>
      </c>
      <c r="K11" s="164"/>
      <c r="L11" s="164" t="s">
        <v>49</v>
      </c>
      <c r="M11" s="164"/>
      <c r="N11" s="164" t="s">
        <v>92</v>
      </c>
      <c r="O11" s="164"/>
      <c r="P11" s="164" t="s">
        <v>50</v>
      </c>
      <c r="Q11" s="164"/>
      <c r="R11" s="174" t="s">
        <v>35</v>
      </c>
      <c r="S11" s="176" t="s">
        <v>32</v>
      </c>
      <c r="U11" s="2"/>
    </row>
    <row r="12" spans="1:21" ht="16.899999999999999" customHeight="1" x14ac:dyDescent="0.15">
      <c r="B12" s="169"/>
      <c r="C12" s="179"/>
      <c r="D12" s="171"/>
      <c r="E12" s="173"/>
      <c r="F12" s="52" t="s">
        <v>91</v>
      </c>
      <c r="G12" s="52" t="s">
        <v>29</v>
      </c>
      <c r="H12" s="52" t="s">
        <v>91</v>
      </c>
      <c r="I12" s="52" t="s">
        <v>29</v>
      </c>
      <c r="J12" s="52" t="s">
        <v>91</v>
      </c>
      <c r="K12" s="52" t="s">
        <v>29</v>
      </c>
      <c r="L12" s="52" t="s">
        <v>91</v>
      </c>
      <c r="M12" s="52" t="s">
        <v>29</v>
      </c>
      <c r="N12" s="52" t="s">
        <v>91</v>
      </c>
      <c r="O12" s="52" t="s">
        <v>29</v>
      </c>
      <c r="P12" s="52" t="s">
        <v>91</v>
      </c>
      <c r="Q12" s="53" t="s">
        <v>29</v>
      </c>
      <c r="R12" s="175"/>
      <c r="S12" s="177"/>
      <c r="U12" s="2"/>
    </row>
    <row r="13" spans="1:21" ht="18" customHeight="1" x14ac:dyDescent="0.15">
      <c r="A13" s="5"/>
      <c r="B13" s="54" t="s">
        <v>148</v>
      </c>
      <c r="C13" s="40">
        <v>1515</v>
      </c>
      <c r="D13" s="41">
        <v>400</v>
      </c>
      <c r="E13" s="42">
        <v>1700</v>
      </c>
      <c r="F13" s="42">
        <v>316</v>
      </c>
      <c r="G13" s="42">
        <v>285</v>
      </c>
      <c r="H13" s="42"/>
      <c r="I13" s="42"/>
      <c r="J13" s="42"/>
      <c r="K13" s="42"/>
      <c r="L13" s="42"/>
      <c r="M13" s="42"/>
      <c r="N13" s="42"/>
      <c r="O13" s="42"/>
      <c r="P13" s="42"/>
      <c r="Q13" s="55"/>
      <c r="R13" s="41">
        <f t="shared" ref="R13:R32" si="0">F13+H13+J13+L13+N13+P13</f>
        <v>316</v>
      </c>
      <c r="S13" s="73">
        <f t="shared" ref="S13:S33" si="1">R13/E13</f>
        <v>0.18588235294117647</v>
      </c>
    </row>
    <row r="14" spans="1:21" ht="18" customHeight="1" x14ac:dyDescent="0.15">
      <c r="A14" s="5"/>
      <c r="B14" s="10" t="s">
        <v>149</v>
      </c>
      <c r="C14" s="43">
        <v>1387</v>
      </c>
      <c r="D14" s="44">
        <v>340</v>
      </c>
      <c r="E14" s="45">
        <v>1280</v>
      </c>
      <c r="F14" s="46">
        <v>374</v>
      </c>
      <c r="G14" s="46">
        <v>350</v>
      </c>
      <c r="H14" s="46"/>
      <c r="I14" s="46"/>
      <c r="J14" s="46"/>
      <c r="K14" s="46"/>
      <c r="L14" s="46"/>
      <c r="M14" s="46"/>
      <c r="N14" s="46"/>
      <c r="O14" s="46"/>
      <c r="P14" s="46"/>
      <c r="Q14" s="43"/>
      <c r="R14" s="44">
        <f t="shared" si="0"/>
        <v>374</v>
      </c>
      <c r="S14" s="15">
        <f t="shared" si="1"/>
        <v>0.29218749999999999</v>
      </c>
    </row>
    <row r="15" spans="1:21" ht="18" customHeight="1" x14ac:dyDescent="0.15">
      <c r="A15" s="5"/>
      <c r="B15" s="10" t="s">
        <v>150</v>
      </c>
      <c r="C15" s="43">
        <v>996</v>
      </c>
      <c r="D15" s="44">
        <v>250</v>
      </c>
      <c r="E15" s="45">
        <v>1000</v>
      </c>
      <c r="F15" s="46">
        <v>249</v>
      </c>
      <c r="G15" s="46">
        <v>231</v>
      </c>
      <c r="H15" s="46"/>
      <c r="I15" s="46"/>
      <c r="J15" s="46"/>
      <c r="K15" s="46"/>
      <c r="L15" s="46"/>
      <c r="M15" s="46"/>
      <c r="N15" s="46"/>
      <c r="O15" s="46"/>
      <c r="P15" s="46"/>
      <c r="Q15" s="43"/>
      <c r="R15" s="44">
        <f t="shared" si="0"/>
        <v>249</v>
      </c>
      <c r="S15" s="7">
        <f t="shared" si="1"/>
        <v>0.249</v>
      </c>
    </row>
    <row r="16" spans="1:21" ht="18" customHeight="1" x14ac:dyDescent="0.15">
      <c r="A16" s="5"/>
      <c r="B16" s="10"/>
      <c r="C16" s="43"/>
      <c r="D16" s="44"/>
      <c r="E16" s="45"/>
      <c r="F16" s="46"/>
      <c r="G16" s="46"/>
      <c r="H16" s="46"/>
      <c r="I16" s="46"/>
      <c r="J16" s="46"/>
      <c r="K16" s="46"/>
      <c r="L16" s="46"/>
      <c r="M16" s="46"/>
      <c r="N16" s="46"/>
      <c r="O16" s="46"/>
      <c r="P16" s="46"/>
      <c r="Q16" s="43"/>
      <c r="R16" s="44">
        <f t="shared" si="0"/>
        <v>0</v>
      </c>
      <c r="S16" s="7" t="e">
        <f t="shared" si="1"/>
        <v>#DIV/0!</v>
      </c>
    </row>
    <row r="17" spans="1:19" ht="18" customHeight="1" x14ac:dyDescent="0.15">
      <c r="A17" s="5"/>
      <c r="B17" s="10"/>
      <c r="C17" s="43"/>
      <c r="D17" s="44"/>
      <c r="E17" s="45"/>
      <c r="F17" s="46"/>
      <c r="G17" s="46"/>
      <c r="H17" s="46"/>
      <c r="I17" s="46"/>
      <c r="J17" s="46"/>
      <c r="K17" s="46"/>
      <c r="L17" s="46"/>
      <c r="M17" s="46"/>
      <c r="N17" s="46"/>
      <c r="O17" s="46"/>
      <c r="P17" s="46"/>
      <c r="Q17" s="43"/>
      <c r="R17" s="44">
        <f t="shared" si="0"/>
        <v>0</v>
      </c>
      <c r="S17" s="7" t="e">
        <f t="shared" si="1"/>
        <v>#DIV/0!</v>
      </c>
    </row>
    <row r="18" spans="1:19" ht="18" customHeight="1" x14ac:dyDescent="0.15">
      <c r="A18" s="5"/>
      <c r="B18" s="10"/>
      <c r="C18" s="43"/>
      <c r="D18" s="44"/>
      <c r="E18" s="45"/>
      <c r="F18" s="46"/>
      <c r="G18" s="46"/>
      <c r="H18" s="46"/>
      <c r="I18" s="46"/>
      <c r="J18" s="46"/>
      <c r="K18" s="46"/>
      <c r="L18" s="46"/>
      <c r="M18" s="46"/>
      <c r="N18" s="46"/>
      <c r="O18" s="46"/>
      <c r="P18" s="46"/>
      <c r="Q18" s="43"/>
      <c r="R18" s="44">
        <f t="shared" si="0"/>
        <v>0</v>
      </c>
      <c r="S18" s="7" t="e">
        <f t="shared" si="1"/>
        <v>#DIV/0!</v>
      </c>
    </row>
    <row r="19" spans="1:19" ht="18" customHeight="1" x14ac:dyDescent="0.15">
      <c r="A19" s="5"/>
      <c r="B19" s="10"/>
      <c r="C19" s="43"/>
      <c r="D19" s="44"/>
      <c r="E19" s="45"/>
      <c r="F19" s="46"/>
      <c r="G19" s="46"/>
      <c r="H19" s="46"/>
      <c r="I19" s="46"/>
      <c r="J19" s="46"/>
      <c r="K19" s="46"/>
      <c r="L19" s="46"/>
      <c r="M19" s="46"/>
      <c r="N19" s="46"/>
      <c r="O19" s="46"/>
      <c r="P19" s="46"/>
      <c r="Q19" s="43"/>
      <c r="R19" s="44">
        <f t="shared" si="0"/>
        <v>0</v>
      </c>
      <c r="S19" s="7" t="e">
        <f t="shared" si="1"/>
        <v>#DIV/0!</v>
      </c>
    </row>
    <row r="20" spans="1:19" ht="18" customHeight="1" x14ac:dyDescent="0.15">
      <c r="A20" s="5"/>
      <c r="B20" s="10"/>
      <c r="C20" s="43"/>
      <c r="D20" s="44"/>
      <c r="E20" s="45"/>
      <c r="F20" s="46"/>
      <c r="G20" s="46"/>
      <c r="H20" s="46"/>
      <c r="I20" s="46"/>
      <c r="J20" s="46"/>
      <c r="K20" s="46"/>
      <c r="L20" s="46"/>
      <c r="M20" s="46"/>
      <c r="N20" s="46"/>
      <c r="O20" s="46"/>
      <c r="P20" s="46"/>
      <c r="Q20" s="43"/>
      <c r="R20" s="44">
        <f t="shared" si="0"/>
        <v>0</v>
      </c>
      <c r="S20" s="7" t="e">
        <f t="shared" si="1"/>
        <v>#DIV/0!</v>
      </c>
    </row>
    <row r="21" spans="1:19" ht="18" customHeight="1" x14ac:dyDescent="0.15">
      <c r="A21" s="5"/>
      <c r="B21" s="10"/>
      <c r="C21" s="43"/>
      <c r="D21" s="44"/>
      <c r="E21" s="45"/>
      <c r="F21" s="46"/>
      <c r="G21" s="46"/>
      <c r="H21" s="46"/>
      <c r="I21" s="46"/>
      <c r="J21" s="46"/>
      <c r="K21" s="46"/>
      <c r="L21" s="46"/>
      <c r="M21" s="46"/>
      <c r="N21" s="46"/>
      <c r="O21" s="46"/>
      <c r="P21" s="46"/>
      <c r="Q21" s="43"/>
      <c r="R21" s="44">
        <f t="shared" si="0"/>
        <v>0</v>
      </c>
      <c r="S21" s="7" t="e">
        <f t="shared" si="1"/>
        <v>#DIV/0!</v>
      </c>
    </row>
    <row r="22" spans="1:19" ht="18" customHeight="1" x14ac:dyDescent="0.15">
      <c r="A22" s="5"/>
      <c r="B22" s="10"/>
      <c r="C22" s="43"/>
      <c r="D22" s="44"/>
      <c r="E22" s="45"/>
      <c r="F22" s="46"/>
      <c r="G22" s="46"/>
      <c r="H22" s="46"/>
      <c r="I22" s="46"/>
      <c r="J22" s="46"/>
      <c r="K22" s="46"/>
      <c r="L22" s="46"/>
      <c r="M22" s="46"/>
      <c r="N22" s="46"/>
      <c r="O22" s="46"/>
      <c r="P22" s="46"/>
      <c r="Q22" s="43"/>
      <c r="R22" s="44">
        <f t="shared" si="0"/>
        <v>0</v>
      </c>
      <c r="S22" s="7" t="e">
        <f t="shared" si="1"/>
        <v>#DIV/0!</v>
      </c>
    </row>
    <row r="23" spans="1:19" ht="18" customHeight="1" x14ac:dyDescent="0.15">
      <c r="A23" s="5"/>
      <c r="B23" s="10"/>
      <c r="C23" s="43"/>
      <c r="D23" s="44"/>
      <c r="E23" s="45"/>
      <c r="F23" s="46"/>
      <c r="G23" s="46"/>
      <c r="H23" s="46"/>
      <c r="I23" s="46"/>
      <c r="J23" s="46"/>
      <c r="K23" s="46"/>
      <c r="L23" s="46"/>
      <c r="M23" s="46"/>
      <c r="N23" s="46"/>
      <c r="O23" s="46"/>
      <c r="P23" s="46"/>
      <c r="Q23" s="43"/>
      <c r="R23" s="44">
        <f t="shared" si="0"/>
        <v>0</v>
      </c>
      <c r="S23" s="7" t="e">
        <f t="shared" si="1"/>
        <v>#DIV/0!</v>
      </c>
    </row>
    <row r="24" spans="1:19" ht="18" customHeight="1" x14ac:dyDescent="0.15">
      <c r="A24" s="5"/>
      <c r="B24" s="10"/>
      <c r="C24" s="43"/>
      <c r="D24" s="44"/>
      <c r="E24" s="45"/>
      <c r="F24" s="46"/>
      <c r="G24" s="46"/>
      <c r="H24" s="46"/>
      <c r="I24" s="46"/>
      <c r="J24" s="46"/>
      <c r="K24" s="46"/>
      <c r="L24" s="46"/>
      <c r="M24" s="46"/>
      <c r="N24" s="46"/>
      <c r="O24" s="46"/>
      <c r="P24" s="46"/>
      <c r="Q24" s="43"/>
      <c r="R24" s="44">
        <f t="shared" si="0"/>
        <v>0</v>
      </c>
      <c r="S24" s="7" t="e">
        <f t="shared" si="1"/>
        <v>#DIV/0!</v>
      </c>
    </row>
    <row r="25" spans="1:19" ht="18" customHeight="1" x14ac:dyDescent="0.15">
      <c r="A25" s="5"/>
      <c r="B25" s="10"/>
      <c r="C25" s="43"/>
      <c r="D25" s="44"/>
      <c r="E25" s="45"/>
      <c r="F25" s="46"/>
      <c r="G25" s="46"/>
      <c r="H25" s="46"/>
      <c r="I25" s="46"/>
      <c r="J25" s="46"/>
      <c r="K25" s="46"/>
      <c r="L25" s="46"/>
      <c r="M25" s="46"/>
      <c r="N25" s="46"/>
      <c r="O25" s="46"/>
      <c r="P25" s="46"/>
      <c r="Q25" s="43"/>
      <c r="R25" s="44">
        <f t="shared" si="0"/>
        <v>0</v>
      </c>
      <c r="S25" s="7" t="e">
        <f t="shared" si="1"/>
        <v>#DIV/0!</v>
      </c>
    </row>
    <row r="26" spans="1:19" ht="18" customHeight="1" x14ac:dyDescent="0.15">
      <c r="A26" s="5"/>
      <c r="B26" s="10"/>
      <c r="C26" s="43"/>
      <c r="D26" s="44"/>
      <c r="E26" s="45"/>
      <c r="F26" s="46"/>
      <c r="G26" s="46"/>
      <c r="H26" s="46"/>
      <c r="I26" s="46"/>
      <c r="J26" s="46"/>
      <c r="K26" s="46"/>
      <c r="L26" s="46"/>
      <c r="M26" s="46"/>
      <c r="N26" s="46"/>
      <c r="O26" s="46"/>
      <c r="P26" s="46"/>
      <c r="Q26" s="43"/>
      <c r="R26" s="44">
        <f t="shared" si="0"/>
        <v>0</v>
      </c>
      <c r="S26" s="7" t="e">
        <f t="shared" si="1"/>
        <v>#DIV/0!</v>
      </c>
    </row>
    <row r="27" spans="1:19" ht="18" customHeight="1" x14ac:dyDescent="0.15">
      <c r="A27" s="5"/>
      <c r="B27" s="10"/>
      <c r="C27" s="43"/>
      <c r="D27" s="44"/>
      <c r="E27" s="45"/>
      <c r="F27" s="46"/>
      <c r="G27" s="46"/>
      <c r="H27" s="46"/>
      <c r="I27" s="46"/>
      <c r="J27" s="46"/>
      <c r="K27" s="46"/>
      <c r="L27" s="46"/>
      <c r="M27" s="46"/>
      <c r="N27" s="46"/>
      <c r="O27" s="46"/>
      <c r="P27" s="46"/>
      <c r="Q27" s="43"/>
      <c r="R27" s="44">
        <f t="shared" si="0"/>
        <v>0</v>
      </c>
      <c r="S27" s="7" t="e">
        <f t="shared" si="1"/>
        <v>#DIV/0!</v>
      </c>
    </row>
    <row r="28" spans="1:19" ht="18" customHeight="1" x14ac:dyDescent="0.15">
      <c r="A28" s="5"/>
      <c r="B28" s="10"/>
      <c r="C28" s="43"/>
      <c r="D28" s="44"/>
      <c r="E28" s="45"/>
      <c r="F28" s="46"/>
      <c r="G28" s="46"/>
      <c r="H28" s="46"/>
      <c r="I28" s="46"/>
      <c r="J28" s="46"/>
      <c r="K28" s="46"/>
      <c r="L28" s="46"/>
      <c r="M28" s="46"/>
      <c r="N28" s="46"/>
      <c r="O28" s="46"/>
      <c r="P28" s="46"/>
      <c r="Q28" s="43"/>
      <c r="R28" s="44">
        <f t="shared" si="0"/>
        <v>0</v>
      </c>
      <c r="S28" s="7" t="e">
        <f t="shared" si="1"/>
        <v>#DIV/0!</v>
      </c>
    </row>
    <row r="29" spans="1:19" ht="18" customHeight="1" x14ac:dyDescent="0.15">
      <c r="A29" s="5"/>
      <c r="B29" s="10"/>
      <c r="C29" s="43"/>
      <c r="D29" s="44"/>
      <c r="E29" s="45"/>
      <c r="F29" s="46"/>
      <c r="G29" s="46"/>
      <c r="H29" s="46"/>
      <c r="I29" s="46"/>
      <c r="J29" s="46"/>
      <c r="K29" s="46"/>
      <c r="L29" s="46"/>
      <c r="M29" s="46"/>
      <c r="N29" s="46"/>
      <c r="O29" s="46"/>
      <c r="P29" s="46"/>
      <c r="Q29" s="43"/>
      <c r="R29" s="44">
        <f t="shared" si="0"/>
        <v>0</v>
      </c>
      <c r="S29" s="7" t="e">
        <f t="shared" si="1"/>
        <v>#DIV/0!</v>
      </c>
    </row>
    <row r="30" spans="1:19" ht="18" customHeight="1" x14ac:dyDescent="0.15">
      <c r="A30" s="5"/>
      <c r="B30" s="10"/>
      <c r="C30" s="43"/>
      <c r="D30" s="47"/>
      <c r="E30" s="45"/>
      <c r="F30" s="46"/>
      <c r="G30" s="46"/>
      <c r="H30" s="46"/>
      <c r="I30" s="46"/>
      <c r="J30" s="46"/>
      <c r="K30" s="46"/>
      <c r="L30" s="46"/>
      <c r="M30" s="46"/>
      <c r="N30" s="46"/>
      <c r="O30" s="46"/>
      <c r="P30" s="46"/>
      <c r="Q30" s="43"/>
      <c r="R30" s="47">
        <f t="shared" si="0"/>
        <v>0</v>
      </c>
      <c r="S30" s="7" t="e">
        <f t="shared" si="1"/>
        <v>#DIV/0!</v>
      </c>
    </row>
    <row r="31" spans="1:19" ht="18" customHeight="1" x14ac:dyDescent="0.15">
      <c r="A31" s="5"/>
      <c r="B31" s="10"/>
      <c r="C31" s="43"/>
      <c r="D31" s="47"/>
      <c r="E31" s="45"/>
      <c r="F31" s="46"/>
      <c r="G31" s="46"/>
      <c r="H31" s="46"/>
      <c r="I31" s="46"/>
      <c r="J31" s="46"/>
      <c r="K31" s="46"/>
      <c r="L31" s="46"/>
      <c r="M31" s="46"/>
      <c r="N31" s="46"/>
      <c r="O31" s="46"/>
      <c r="P31" s="46"/>
      <c r="Q31" s="43"/>
      <c r="R31" s="47">
        <f t="shared" si="0"/>
        <v>0</v>
      </c>
      <c r="S31" s="7" t="e">
        <f t="shared" si="1"/>
        <v>#DIV/0!</v>
      </c>
    </row>
    <row r="32" spans="1:19" ht="18" customHeight="1" thickBot="1" x14ac:dyDescent="0.2">
      <c r="A32" s="5"/>
      <c r="B32" s="11"/>
      <c r="C32" s="40"/>
      <c r="D32" s="48"/>
      <c r="E32" s="42"/>
      <c r="F32" s="42"/>
      <c r="G32" s="42"/>
      <c r="H32" s="42"/>
      <c r="I32" s="42"/>
      <c r="J32" s="42"/>
      <c r="K32" s="42"/>
      <c r="L32" s="42"/>
      <c r="M32" s="42"/>
      <c r="N32" s="42"/>
      <c r="O32" s="42"/>
      <c r="P32" s="42"/>
      <c r="Q32" s="43"/>
      <c r="R32" s="48">
        <f t="shared" si="0"/>
        <v>0</v>
      </c>
      <c r="S32" s="6" t="e">
        <f t="shared" si="1"/>
        <v>#DIV/0!</v>
      </c>
    </row>
    <row r="33" spans="2:19" ht="18" customHeight="1" thickTop="1" x14ac:dyDescent="0.15">
      <c r="B33" s="12" t="s">
        <v>33</v>
      </c>
      <c r="C33" s="49">
        <f t="shared" ref="C33" si="2">SUM(C13:C32)</f>
        <v>3898</v>
      </c>
      <c r="D33" s="50">
        <f t="shared" ref="D33:R33" si="3">SUM(D13:D32)</f>
        <v>990</v>
      </c>
      <c r="E33" s="51">
        <f t="shared" si="3"/>
        <v>3980</v>
      </c>
      <c r="F33" s="51">
        <f t="shared" si="3"/>
        <v>939</v>
      </c>
      <c r="G33" s="51">
        <f t="shared" ref="G33:H33" si="4">SUM(G13:G32)</f>
        <v>866</v>
      </c>
      <c r="H33" s="51">
        <f t="shared" si="4"/>
        <v>0</v>
      </c>
      <c r="I33" s="51">
        <f t="shared" ref="I33:J33" si="5">SUM(I13:I32)</f>
        <v>0</v>
      </c>
      <c r="J33" s="51">
        <f t="shared" si="5"/>
        <v>0</v>
      </c>
      <c r="K33" s="51">
        <f t="shared" ref="K33:O33" si="6">SUM(K13:K32)</f>
        <v>0</v>
      </c>
      <c r="L33" s="51">
        <f t="shared" si="6"/>
        <v>0</v>
      </c>
      <c r="M33" s="51">
        <f t="shared" si="6"/>
        <v>0</v>
      </c>
      <c r="N33" s="51">
        <f t="shared" si="6"/>
        <v>0</v>
      </c>
      <c r="O33" s="51">
        <f t="shared" si="6"/>
        <v>0</v>
      </c>
      <c r="P33" s="51">
        <f t="shared" ref="P33:Q33" si="7">SUM(P13:P32)</f>
        <v>0</v>
      </c>
      <c r="Q33" s="49">
        <f t="shared" si="7"/>
        <v>0</v>
      </c>
      <c r="R33" s="50">
        <f t="shared" si="3"/>
        <v>939</v>
      </c>
      <c r="S33" s="8">
        <f t="shared" si="1"/>
        <v>0.23592964824120602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25" zoomScaleNormal="100" zoomScaleSheetLayoutView="100" workbookViewId="0">
      <selection activeCell="M39" sqref="M39"/>
    </sheetView>
  </sheetViews>
  <sheetFormatPr defaultColWidth="11.375" defaultRowHeight="18.75" customHeight="1" x14ac:dyDescent="0.15"/>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63</v>
      </c>
      <c r="I1" s="29" t="s">
        <v>97</v>
      </c>
    </row>
    <row r="2" spans="1:9" ht="18.75" customHeight="1" x14ac:dyDescent="0.15">
      <c r="G2" s="29" t="s">
        <v>99</v>
      </c>
      <c r="H2" s="107" t="str">
        <f>'様式１　プログラムを構成する授業科目'!C2</f>
        <v>日本工業大学</v>
      </c>
      <c r="I2" s="109"/>
    </row>
    <row r="3" spans="1:9" ht="18.75" customHeight="1" x14ac:dyDescent="0.15">
      <c r="G3" s="29"/>
      <c r="H3" s="9"/>
      <c r="I3" s="9"/>
    </row>
    <row r="4" spans="1:9" ht="18.600000000000001" customHeight="1" x14ac:dyDescent="0.15">
      <c r="A4" s="208" t="s">
        <v>36</v>
      </c>
      <c r="B4" s="208"/>
      <c r="C4" s="208"/>
      <c r="D4" s="208"/>
      <c r="E4" s="208"/>
      <c r="F4" s="208"/>
      <c r="G4" s="208"/>
      <c r="H4" s="208"/>
      <c r="I4" s="208"/>
    </row>
    <row r="5" spans="1:9" ht="13.15" customHeight="1" x14ac:dyDescent="0.15">
      <c r="B5" s="3"/>
      <c r="C5" s="3"/>
      <c r="D5" s="3"/>
      <c r="E5" s="3"/>
      <c r="F5" s="3"/>
      <c r="G5" s="3"/>
      <c r="H5" s="3"/>
      <c r="I5" s="3"/>
    </row>
    <row r="6" spans="1:9" ht="18" customHeight="1" x14ac:dyDescent="0.15">
      <c r="A6" s="1" t="s">
        <v>0</v>
      </c>
      <c r="B6" s="9" t="s">
        <v>86</v>
      </c>
      <c r="C6" s="228" t="s">
        <v>87</v>
      </c>
      <c r="D6" s="228"/>
      <c r="E6" s="28">
        <v>166</v>
      </c>
      <c r="F6" s="3" t="s">
        <v>1</v>
      </c>
      <c r="G6" s="3" t="s">
        <v>2</v>
      </c>
      <c r="H6" s="28">
        <v>149</v>
      </c>
      <c r="I6" s="9" t="s">
        <v>1</v>
      </c>
    </row>
    <row r="7" spans="1:9" ht="12" customHeight="1" x14ac:dyDescent="0.15">
      <c r="C7" s="2"/>
      <c r="D7" s="2"/>
      <c r="E7" s="2"/>
      <c r="F7" s="2"/>
      <c r="G7" s="2"/>
      <c r="H7" s="2"/>
      <c r="I7" s="31"/>
    </row>
    <row r="8" spans="1:9" ht="18" customHeight="1" x14ac:dyDescent="0.15">
      <c r="A8" s="1" t="s">
        <v>3</v>
      </c>
      <c r="B8" s="9" t="s">
        <v>88</v>
      </c>
      <c r="E8" s="3"/>
      <c r="F8" s="3"/>
      <c r="G8" s="3"/>
      <c r="H8" s="28">
        <v>12</v>
      </c>
      <c r="I8" s="9" t="s">
        <v>1</v>
      </c>
    </row>
    <row r="9" spans="1:9" ht="9" customHeight="1" x14ac:dyDescent="0.15">
      <c r="B9" s="3"/>
      <c r="C9" s="3"/>
      <c r="D9" s="3"/>
      <c r="E9" s="3"/>
      <c r="F9" s="3"/>
      <c r="G9" s="3"/>
      <c r="H9" s="3"/>
      <c r="I9" s="3"/>
    </row>
    <row r="10" spans="1:9" ht="18" customHeight="1" x14ac:dyDescent="0.15">
      <c r="A10" s="1" t="s">
        <v>4</v>
      </c>
      <c r="B10" s="9" t="s">
        <v>89</v>
      </c>
      <c r="C10" s="3"/>
      <c r="D10" s="3"/>
      <c r="E10" s="3"/>
      <c r="F10" s="3"/>
      <c r="G10" s="3"/>
      <c r="H10" s="3"/>
      <c r="I10" s="3"/>
    </row>
    <row r="11" spans="1:9" ht="18" customHeight="1" x14ac:dyDescent="0.15">
      <c r="B11" s="29" t="s">
        <v>42</v>
      </c>
      <c r="C11" s="223" t="s">
        <v>140</v>
      </c>
      <c r="D11" s="226"/>
      <c r="E11" s="227"/>
      <c r="F11" s="31"/>
      <c r="G11" s="29" t="s">
        <v>10</v>
      </c>
      <c r="H11" s="223" t="s">
        <v>141</v>
      </c>
      <c r="I11" s="227"/>
    </row>
    <row r="12" spans="1:9" ht="10.15" customHeight="1" x14ac:dyDescent="0.15">
      <c r="B12" s="29"/>
      <c r="C12" s="9"/>
      <c r="D12" s="31"/>
      <c r="E12" s="31"/>
      <c r="F12" s="31"/>
      <c r="G12" s="29"/>
      <c r="H12" s="9"/>
      <c r="I12" s="31"/>
    </row>
    <row r="13" spans="1:9" ht="18" customHeight="1" x14ac:dyDescent="0.15">
      <c r="A13" s="1" t="s">
        <v>7</v>
      </c>
      <c r="B13" s="9" t="s">
        <v>84</v>
      </c>
      <c r="C13" s="3"/>
      <c r="D13" s="3"/>
      <c r="E13" s="3"/>
      <c r="F13" s="3"/>
      <c r="G13" s="3"/>
      <c r="H13" s="3"/>
      <c r="I13" s="3"/>
    </row>
    <row r="14" spans="1:9" ht="18" customHeight="1" x14ac:dyDescent="0.15">
      <c r="B14" s="223" t="s">
        <v>142</v>
      </c>
      <c r="C14" s="224"/>
      <c r="D14" s="224"/>
      <c r="E14" s="224"/>
      <c r="F14" s="224"/>
      <c r="G14" s="224"/>
      <c r="H14" s="224"/>
      <c r="I14" s="225"/>
    </row>
    <row r="15" spans="1:9" ht="9" customHeight="1" x14ac:dyDescent="0.15">
      <c r="B15" s="3"/>
      <c r="C15" s="3"/>
      <c r="D15" s="3"/>
      <c r="E15" s="3"/>
      <c r="F15" s="3"/>
      <c r="G15" s="3"/>
      <c r="H15" s="3"/>
      <c r="I15" s="3"/>
    </row>
    <row r="16" spans="1:9" ht="18" customHeight="1" x14ac:dyDescent="0.15">
      <c r="B16" s="29" t="s">
        <v>42</v>
      </c>
      <c r="C16" s="223" t="s">
        <v>140</v>
      </c>
      <c r="D16" s="226"/>
      <c r="E16" s="227"/>
      <c r="F16" s="31"/>
      <c r="G16" s="29" t="s">
        <v>10</v>
      </c>
      <c r="H16" s="223" t="s">
        <v>141</v>
      </c>
      <c r="I16" s="227"/>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9" t="s">
        <v>143</v>
      </c>
      <c r="C19" s="210"/>
      <c r="D19" s="210"/>
      <c r="E19" s="210"/>
      <c r="F19" s="210"/>
      <c r="G19" s="210"/>
      <c r="H19" s="210"/>
      <c r="I19" s="21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212" t="s">
        <v>158</v>
      </c>
      <c r="C22" s="213"/>
      <c r="D22" s="213"/>
      <c r="E22" s="213"/>
      <c r="F22" s="213"/>
      <c r="G22" s="213"/>
      <c r="H22" s="213"/>
      <c r="I22" s="214"/>
    </row>
    <row r="23" spans="1:9" ht="18.75" customHeight="1" x14ac:dyDescent="0.15">
      <c r="A23" s="13"/>
      <c r="B23" s="215"/>
      <c r="C23" s="216"/>
      <c r="D23" s="216"/>
      <c r="E23" s="216"/>
      <c r="F23" s="216"/>
      <c r="G23" s="216"/>
      <c r="H23" s="216"/>
      <c r="I23" s="217"/>
    </row>
    <row r="24" spans="1:9" ht="18.75" customHeight="1" x14ac:dyDescent="0.15">
      <c r="A24" s="13"/>
      <c r="B24" s="215"/>
      <c r="C24" s="216"/>
      <c r="D24" s="216"/>
      <c r="E24" s="216"/>
      <c r="F24" s="216"/>
      <c r="G24" s="216"/>
      <c r="H24" s="216"/>
      <c r="I24" s="217"/>
    </row>
    <row r="25" spans="1:9" ht="18.75" customHeight="1" x14ac:dyDescent="0.15">
      <c r="A25" s="13"/>
      <c r="B25" s="215"/>
      <c r="C25" s="216"/>
      <c r="D25" s="216"/>
      <c r="E25" s="216"/>
      <c r="F25" s="216"/>
      <c r="G25" s="216"/>
      <c r="H25" s="216"/>
      <c r="I25" s="217"/>
    </row>
    <row r="26" spans="1:9" ht="18.75" customHeight="1" x14ac:dyDescent="0.15">
      <c r="A26" s="13"/>
      <c r="B26" s="215"/>
      <c r="C26" s="216"/>
      <c r="D26" s="216"/>
      <c r="E26" s="216"/>
      <c r="F26" s="216"/>
      <c r="G26" s="216"/>
      <c r="H26" s="216"/>
      <c r="I26" s="217"/>
    </row>
    <row r="27" spans="1:9" ht="18.75" customHeight="1" x14ac:dyDescent="0.15">
      <c r="A27" s="13"/>
      <c r="B27" s="215"/>
      <c r="C27" s="216"/>
      <c r="D27" s="216"/>
      <c r="E27" s="216"/>
      <c r="F27" s="216"/>
      <c r="G27" s="216"/>
      <c r="H27" s="216"/>
      <c r="I27" s="217"/>
    </row>
    <row r="28" spans="1:9" ht="18.75" customHeight="1" x14ac:dyDescent="0.15">
      <c r="A28" s="13"/>
      <c r="B28" s="215"/>
      <c r="C28" s="216"/>
      <c r="D28" s="216"/>
      <c r="E28" s="216"/>
      <c r="F28" s="216"/>
      <c r="G28" s="216"/>
      <c r="H28" s="216"/>
      <c r="I28" s="217"/>
    </row>
    <row r="29" spans="1:9" ht="18.75" customHeight="1" x14ac:dyDescent="0.15">
      <c r="A29" s="13"/>
      <c r="B29" s="215"/>
      <c r="C29" s="216"/>
      <c r="D29" s="216"/>
      <c r="E29" s="216"/>
      <c r="F29" s="216"/>
      <c r="G29" s="216"/>
      <c r="H29" s="216"/>
      <c r="I29" s="217"/>
    </row>
    <row r="30" spans="1:9" ht="18.75" customHeight="1" x14ac:dyDescent="0.15">
      <c r="A30" s="13"/>
      <c r="B30" s="218"/>
      <c r="C30" s="219"/>
      <c r="D30" s="219"/>
      <c r="E30" s="219"/>
      <c r="F30" s="219"/>
      <c r="G30" s="219"/>
      <c r="H30" s="219"/>
      <c r="I30" s="217"/>
    </row>
    <row r="31" spans="1:9" ht="18.75" customHeight="1" x14ac:dyDescent="0.15">
      <c r="A31" s="13"/>
      <c r="B31" s="218"/>
      <c r="C31" s="219"/>
      <c r="D31" s="219"/>
      <c r="E31" s="219"/>
      <c r="F31" s="219"/>
      <c r="G31" s="219"/>
      <c r="H31" s="219"/>
      <c r="I31" s="217"/>
    </row>
    <row r="32" spans="1:9" ht="18.75" customHeight="1" x14ac:dyDescent="0.15">
      <c r="A32" s="13"/>
      <c r="B32" s="220"/>
      <c r="C32" s="221"/>
      <c r="D32" s="221"/>
      <c r="E32" s="221"/>
      <c r="F32" s="221"/>
      <c r="G32" s="221"/>
      <c r="H32" s="221"/>
      <c r="I32" s="222"/>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212" t="s">
        <v>144</v>
      </c>
      <c r="C35" s="213"/>
      <c r="D35" s="213"/>
      <c r="E35" s="213"/>
      <c r="F35" s="213"/>
      <c r="G35" s="213"/>
      <c r="H35" s="213"/>
      <c r="I35" s="214"/>
    </row>
    <row r="36" spans="1:9" ht="18.75" customHeight="1" x14ac:dyDescent="0.15">
      <c r="A36" s="13"/>
      <c r="B36" s="218"/>
      <c r="C36" s="219"/>
      <c r="D36" s="219"/>
      <c r="E36" s="219"/>
      <c r="F36" s="219"/>
      <c r="G36" s="219"/>
      <c r="H36" s="219"/>
      <c r="I36" s="217"/>
    </row>
    <row r="37" spans="1:9" ht="18.75" customHeight="1" x14ac:dyDescent="0.15">
      <c r="A37" s="13"/>
      <c r="B37" s="218"/>
      <c r="C37" s="219"/>
      <c r="D37" s="219"/>
      <c r="E37" s="219"/>
      <c r="F37" s="219"/>
      <c r="G37" s="219"/>
      <c r="H37" s="219"/>
      <c r="I37" s="217"/>
    </row>
    <row r="38" spans="1:9" ht="18.75" customHeight="1" x14ac:dyDescent="0.15">
      <c r="A38" s="13"/>
      <c r="B38" s="218"/>
      <c r="C38" s="219"/>
      <c r="D38" s="219"/>
      <c r="E38" s="219"/>
      <c r="F38" s="219"/>
      <c r="G38" s="219"/>
      <c r="H38" s="219"/>
      <c r="I38" s="217"/>
    </row>
    <row r="39" spans="1:9" ht="18.75" customHeight="1" x14ac:dyDescent="0.15">
      <c r="A39" s="13"/>
      <c r="B39" s="218"/>
      <c r="C39" s="219"/>
      <c r="D39" s="219"/>
      <c r="E39" s="219"/>
      <c r="F39" s="219"/>
      <c r="G39" s="219"/>
      <c r="H39" s="219"/>
      <c r="I39" s="217"/>
    </row>
    <row r="40" spans="1:9" ht="18.75" customHeight="1" x14ac:dyDescent="0.15">
      <c r="A40" s="13"/>
      <c r="B40" s="218"/>
      <c r="C40" s="219"/>
      <c r="D40" s="219"/>
      <c r="E40" s="219"/>
      <c r="F40" s="219"/>
      <c r="G40" s="219"/>
      <c r="H40" s="219"/>
      <c r="I40" s="217"/>
    </row>
    <row r="41" spans="1:9" ht="18.75" customHeight="1" x14ac:dyDescent="0.15">
      <c r="A41" s="13"/>
      <c r="B41" s="218"/>
      <c r="C41" s="219"/>
      <c r="D41" s="219"/>
      <c r="E41" s="219"/>
      <c r="F41" s="219"/>
      <c r="G41" s="219"/>
      <c r="H41" s="219"/>
      <c r="I41" s="217"/>
    </row>
    <row r="42" spans="1:9" ht="18.75" customHeight="1" x14ac:dyDescent="0.15">
      <c r="A42" s="13"/>
      <c r="B42" s="218"/>
      <c r="C42" s="219"/>
      <c r="D42" s="219"/>
      <c r="E42" s="219"/>
      <c r="F42" s="219"/>
      <c r="G42" s="219"/>
      <c r="H42" s="219"/>
      <c r="I42" s="217"/>
    </row>
    <row r="43" spans="1:9" ht="18.75" customHeight="1" x14ac:dyDescent="0.15">
      <c r="A43" s="13"/>
      <c r="B43" s="218"/>
      <c r="C43" s="219"/>
      <c r="D43" s="219"/>
      <c r="E43" s="219"/>
      <c r="F43" s="219"/>
      <c r="G43" s="219"/>
      <c r="H43" s="219"/>
      <c r="I43" s="217"/>
    </row>
    <row r="44" spans="1:9" ht="18.75" customHeight="1" x14ac:dyDescent="0.15">
      <c r="A44" s="13"/>
      <c r="B44" s="218"/>
      <c r="C44" s="219"/>
      <c r="D44" s="219"/>
      <c r="E44" s="219"/>
      <c r="F44" s="219"/>
      <c r="G44" s="219"/>
      <c r="H44" s="219"/>
      <c r="I44" s="217"/>
    </row>
    <row r="45" spans="1:9" ht="18.75" customHeight="1" x14ac:dyDescent="0.15">
      <c r="A45" s="13"/>
      <c r="B45" s="218"/>
      <c r="C45" s="219"/>
      <c r="D45" s="219"/>
      <c r="E45" s="219"/>
      <c r="F45" s="219"/>
      <c r="G45" s="219"/>
      <c r="H45" s="219"/>
      <c r="I45" s="217"/>
    </row>
    <row r="46" spans="1:9" ht="18.75" customHeight="1" x14ac:dyDescent="0.15">
      <c r="A46" s="13"/>
      <c r="B46" s="220"/>
      <c r="C46" s="221"/>
      <c r="D46" s="221"/>
      <c r="E46" s="221"/>
      <c r="F46" s="221"/>
      <c r="G46" s="221"/>
      <c r="H46" s="221"/>
      <c r="I46" s="222"/>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2" t="s">
        <v>128</v>
      </c>
      <c r="C49" s="197">
        <f>'様式２ 履修者等数の実績'!S33</f>
        <v>0.23592964824120602</v>
      </c>
      <c r="D49" s="197"/>
      <c r="E49" s="32" t="s">
        <v>64</v>
      </c>
      <c r="F49" s="197">
        <v>0.5</v>
      </c>
      <c r="G49" s="197"/>
      <c r="H49" s="32" t="s">
        <v>65</v>
      </c>
      <c r="I49" s="33">
        <v>0.75</v>
      </c>
      <c r="J49" s="1"/>
      <c r="M49" s="1"/>
      <c r="N49" s="34"/>
    </row>
    <row r="50" spans="1:15" s="3" customFormat="1" ht="18.75" customHeight="1" x14ac:dyDescent="0.15">
      <c r="B50" s="35" t="s">
        <v>85</v>
      </c>
      <c r="C50" s="180">
        <v>1</v>
      </c>
      <c r="D50" s="180"/>
      <c r="E50" s="35" t="s">
        <v>129</v>
      </c>
      <c r="F50" s="180">
        <v>1</v>
      </c>
      <c r="G50" s="180"/>
      <c r="H50" s="35" t="s">
        <v>66</v>
      </c>
      <c r="I50" s="36">
        <f>'様式２ 履修者等数の実績'!E33</f>
        <v>3980</v>
      </c>
      <c r="J50" s="1"/>
      <c r="M50" s="1"/>
      <c r="N50" s="34"/>
    </row>
    <row r="51" spans="1:15" ht="18.75" customHeight="1" x14ac:dyDescent="0.15">
      <c r="A51" s="1"/>
      <c r="B51" s="230" t="s">
        <v>67</v>
      </c>
      <c r="C51" s="231"/>
      <c r="D51" s="231"/>
      <c r="E51" s="231"/>
      <c r="F51" s="231"/>
      <c r="G51" s="231"/>
      <c r="H51" s="231"/>
      <c r="I51" s="232"/>
      <c r="N51" s="34"/>
      <c r="O51" s="3"/>
    </row>
    <row r="52" spans="1:15" ht="18.75" customHeight="1" x14ac:dyDescent="0.15">
      <c r="A52" s="1"/>
      <c r="B52" s="198" t="s">
        <v>151</v>
      </c>
      <c r="C52" s="199"/>
      <c r="D52" s="199"/>
      <c r="E52" s="199"/>
      <c r="F52" s="199"/>
      <c r="G52" s="199"/>
      <c r="H52" s="199"/>
      <c r="I52" s="200"/>
      <c r="N52" s="34"/>
      <c r="O52" s="3"/>
    </row>
    <row r="53" spans="1:15" ht="18.75" customHeight="1" x14ac:dyDescent="0.15">
      <c r="A53" s="1"/>
      <c r="B53" s="201"/>
      <c r="C53" s="202"/>
      <c r="D53" s="202"/>
      <c r="E53" s="202"/>
      <c r="F53" s="202"/>
      <c r="G53" s="202"/>
      <c r="H53" s="202"/>
      <c r="I53" s="203"/>
      <c r="N53" s="34"/>
      <c r="O53" s="3"/>
    </row>
    <row r="54" spans="1:15" ht="18.75" customHeight="1" x14ac:dyDescent="0.15">
      <c r="A54" s="1"/>
      <c r="B54" s="201"/>
      <c r="C54" s="202"/>
      <c r="D54" s="202"/>
      <c r="E54" s="202"/>
      <c r="F54" s="202"/>
      <c r="G54" s="202"/>
      <c r="H54" s="202"/>
      <c r="I54" s="203"/>
    </row>
    <row r="55" spans="1:15" ht="18.75" customHeight="1" x14ac:dyDescent="0.15">
      <c r="A55" s="1"/>
      <c r="B55" s="201"/>
      <c r="C55" s="202"/>
      <c r="D55" s="202"/>
      <c r="E55" s="202"/>
      <c r="F55" s="202"/>
      <c r="G55" s="202"/>
      <c r="H55" s="202"/>
      <c r="I55" s="203"/>
    </row>
    <row r="56" spans="1:15" ht="18.75" customHeight="1" x14ac:dyDescent="0.15">
      <c r="A56" s="1"/>
      <c r="B56" s="201"/>
      <c r="C56" s="202"/>
      <c r="D56" s="202"/>
      <c r="E56" s="202"/>
      <c r="F56" s="202"/>
      <c r="G56" s="202"/>
      <c r="H56" s="202"/>
      <c r="I56" s="203"/>
    </row>
    <row r="57" spans="1:15" ht="18.75" customHeight="1" x14ac:dyDescent="0.15">
      <c r="A57" s="1"/>
      <c r="B57" s="201"/>
      <c r="C57" s="202"/>
      <c r="D57" s="202"/>
      <c r="E57" s="202"/>
      <c r="F57" s="202"/>
      <c r="G57" s="202"/>
      <c r="H57" s="202"/>
      <c r="I57" s="203"/>
    </row>
    <row r="58" spans="1:15" ht="18.75" customHeight="1" x14ac:dyDescent="0.15">
      <c r="A58" s="1"/>
      <c r="B58" s="201"/>
      <c r="C58" s="202"/>
      <c r="D58" s="202"/>
      <c r="E58" s="202"/>
      <c r="F58" s="202"/>
      <c r="G58" s="202"/>
      <c r="H58" s="202"/>
      <c r="I58" s="203"/>
    </row>
    <row r="59" spans="1:15" ht="18.75" customHeight="1" x14ac:dyDescent="0.15">
      <c r="A59" s="1"/>
      <c r="B59" s="201"/>
      <c r="C59" s="202"/>
      <c r="D59" s="202"/>
      <c r="E59" s="202"/>
      <c r="F59" s="202"/>
      <c r="G59" s="202"/>
      <c r="H59" s="202"/>
      <c r="I59" s="203"/>
    </row>
    <row r="60" spans="1:15" ht="18.75" customHeight="1" x14ac:dyDescent="0.15">
      <c r="A60" s="1"/>
      <c r="B60" s="201"/>
      <c r="C60" s="202"/>
      <c r="D60" s="202"/>
      <c r="E60" s="202"/>
      <c r="F60" s="202"/>
      <c r="G60" s="202"/>
      <c r="H60" s="202"/>
      <c r="I60" s="203"/>
    </row>
    <row r="61" spans="1:15" ht="18.75" customHeight="1" x14ac:dyDescent="0.15">
      <c r="A61" s="1"/>
      <c r="B61" s="201"/>
      <c r="C61" s="202"/>
      <c r="D61" s="202"/>
      <c r="E61" s="202"/>
      <c r="F61" s="202"/>
      <c r="G61" s="202"/>
      <c r="H61" s="202"/>
      <c r="I61" s="203"/>
    </row>
    <row r="62" spans="1:15" ht="18.75" customHeight="1" x14ac:dyDescent="0.15">
      <c r="A62" s="1"/>
      <c r="B62" s="201"/>
      <c r="C62" s="202"/>
      <c r="D62" s="202"/>
      <c r="E62" s="202"/>
      <c r="F62" s="202"/>
      <c r="G62" s="202"/>
      <c r="H62" s="202"/>
      <c r="I62" s="203"/>
    </row>
    <row r="63" spans="1:15" ht="18.75" customHeight="1" x14ac:dyDescent="0.15">
      <c r="A63" s="1"/>
      <c r="B63" s="204"/>
      <c r="C63" s="205"/>
      <c r="D63" s="205"/>
      <c r="E63" s="205"/>
      <c r="F63" s="205"/>
      <c r="G63" s="205"/>
      <c r="H63" s="205"/>
      <c r="I63" s="206"/>
    </row>
    <row r="64" spans="1:15"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181" t="s">
        <v>152</v>
      </c>
      <c r="C66" s="182"/>
      <c r="D66" s="182"/>
      <c r="E66" s="182"/>
      <c r="F66" s="182"/>
      <c r="G66" s="182"/>
      <c r="H66" s="182"/>
      <c r="I66" s="183"/>
    </row>
    <row r="67" spans="1:9" ht="18.75" customHeight="1" x14ac:dyDescent="0.15">
      <c r="A67" s="4"/>
      <c r="B67" s="184"/>
      <c r="C67" s="185"/>
      <c r="D67" s="185"/>
      <c r="E67" s="185"/>
      <c r="F67" s="185"/>
      <c r="G67" s="185"/>
      <c r="H67" s="185"/>
      <c r="I67" s="186"/>
    </row>
    <row r="68" spans="1:9" ht="18.75" customHeight="1" x14ac:dyDescent="0.15">
      <c r="A68" s="4"/>
      <c r="B68" s="184"/>
      <c r="C68" s="185"/>
      <c r="D68" s="185"/>
      <c r="E68" s="185"/>
      <c r="F68" s="185"/>
      <c r="G68" s="185"/>
      <c r="H68" s="185"/>
      <c r="I68" s="186"/>
    </row>
    <row r="69" spans="1:9" ht="18.75" customHeight="1" x14ac:dyDescent="0.15">
      <c r="A69" s="4"/>
      <c r="B69" s="184"/>
      <c r="C69" s="185"/>
      <c r="D69" s="185"/>
      <c r="E69" s="185"/>
      <c r="F69" s="185"/>
      <c r="G69" s="185"/>
      <c r="H69" s="185"/>
      <c r="I69" s="186"/>
    </row>
    <row r="70" spans="1:9" ht="18.75" customHeight="1" x14ac:dyDescent="0.15">
      <c r="A70" s="4"/>
      <c r="B70" s="184"/>
      <c r="C70" s="185"/>
      <c r="D70" s="185"/>
      <c r="E70" s="185"/>
      <c r="F70" s="185"/>
      <c r="G70" s="185"/>
      <c r="H70" s="185"/>
      <c r="I70" s="186"/>
    </row>
    <row r="71" spans="1:9" ht="18.75" customHeight="1" x14ac:dyDescent="0.15">
      <c r="A71" s="4"/>
      <c r="B71" s="184"/>
      <c r="C71" s="185"/>
      <c r="D71" s="185"/>
      <c r="E71" s="185"/>
      <c r="F71" s="185"/>
      <c r="G71" s="185"/>
      <c r="H71" s="185"/>
      <c r="I71" s="186"/>
    </row>
    <row r="72" spans="1:9" ht="18.75" customHeight="1" x14ac:dyDescent="0.15">
      <c r="A72" s="4"/>
      <c r="B72" s="184"/>
      <c r="C72" s="185"/>
      <c r="D72" s="185"/>
      <c r="E72" s="185"/>
      <c r="F72" s="185"/>
      <c r="G72" s="185"/>
      <c r="H72" s="185"/>
      <c r="I72" s="186"/>
    </row>
    <row r="73" spans="1:9" ht="18.75" customHeight="1" x14ac:dyDescent="0.15">
      <c r="A73" s="4"/>
      <c r="B73" s="184"/>
      <c r="C73" s="185"/>
      <c r="D73" s="185"/>
      <c r="E73" s="185"/>
      <c r="F73" s="185"/>
      <c r="G73" s="185"/>
      <c r="H73" s="185"/>
      <c r="I73" s="186"/>
    </row>
    <row r="74" spans="1:9" ht="18.75" customHeight="1" x14ac:dyDescent="0.15">
      <c r="A74" s="4"/>
      <c r="B74" s="184"/>
      <c r="C74" s="185"/>
      <c r="D74" s="185"/>
      <c r="E74" s="185"/>
      <c r="F74" s="185"/>
      <c r="G74" s="185"/>
      <c r="H74" s="185"/>
      <c r="I74" s="186"/>
    </row>
    <row r="75" spans="1:9" ht="18.75" customHeight="1" x14ac:dyDescent="0.15">
      <c r="A75" s="4"/>
      <c r="B75" s="184"/>
      <c r="C75" s="185"/>
      <c r="D75" s="185"/>
      <c r="E75" s="185"/>
      <c r="F75" s="185"/>
      <c r="G75" s="185"/>
      <c r="H75" s="185"/>
      <c r="I75" s="186"/>
    </row>
    <row r="76" spans="1:9" ht="18.75" customHeight="1" x14ac:dyDescent="0.15">
      <c r="A76" s="4"/>
      <c r="B76" s="184"/>
      <c r="C76" s="185"/>
      <c r="D76" s="185"/>
      <c r="E76" s="185"/>
      <c r="F76" s="185"/>
      <c r="G76" s="185"/>
      <c r="H76" s="185"/>
      <c r="I76" s="186"/>
    </row>
    <row r="77" spans="1:9" ht="18.75" customHeight="1" x14ac:dyDescent="0.15">
      <c r="A77" s="4"/>
      <c r="B77" s="187"/>
      <c r="C77" s="188"/>
      <c r="D77" s="188"/>
      <c r="E77" s="188"/>
      <c r="F77" s="188"/>
      <c r="G77" s="188"/>
      <c r="H77" s="188"/>
      <c r="I77" s="189"/>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1" t="s">
        <v>153</v>
      </c>
      <c r="C80" s="182"/>
      <c r="D80" s="182"/>
      <c r="E80" s="182"/>
      <c r="F80" s="182"/>
      <c r="G80" s="182"/>
      <c r="H80" s="182"/>
      <c r="I80" s="190"/>
    </row>
    <row r="81" spans="1:9" ht="18.75" customHeight="1" x14ac:dyDescent="0.15">
      <c r="A81" s="1"/>
      <c r="B81" s="191"/>
      <c r="C81" s="192"/>
      <c r="D81" s="192"/>
      <c r="E81" s="192"/>
      <c r="F81" s="192"/>
      <c r="G81" s="192"/>
      <c r="H81" s="192"/>
      <c r="I81" s="193"/>
    </row>
    <row r="82" spans="1:9" ht="18.75" customHeight="1" x14ac:dyDescent="0.15">
      <c r="A82" s="1"/>
      <c r="B82" s="191"/>
      <c r="C82" s="192"/>
      <c r="D82" s="192"/>
      <c r="E82" s="192"/>
      <c r="F82" s="192"/>
      <c r="G82" s="192"/>
      <c r="H82" s="192"/>
      <c r="I82" s="193"/>
    </row>
    <row r="83" spans="1:9" ht="18.75" customHeight="1" x14ac:dyDescent="0.15">
      <c r="A83" s="1"/>
      <c r="B83" s="191"/>
      <c r="C83" s="192"/>
      <c r="D83" s="192"/>
      <c r="E83" s="192"/>
      <c r="F83" s="192"/>
      <c r="G83" s="192"/>
      <c r="H83" s="192"/>
      <c r="I83" s="193"/>
    </row>
    <row r="84" spans="1:9" ht="18.75" customHeight="1" x14ac:dyDescent="0.15">
      <c r="A84" s="1"/>
      <c r="B84" s="191"/>
      <c r="C84" s="192"/>
      <c r="D84" s="192"/>
      <c r="E84" s="192"/>
      <c r="F84" s="192"/>
      <c r="G84" s="192"/>
      <c r="H84" s="192"/>
      <c r="I84" s="193"/>
    </row>
    <row r="85" spans="1:9" ht="18.75" customHeight="1" x14ac:dyDescent="0.15">
      <c r="A85" s="1"/>
      <c r="B85" s="191"/>
      <c r="C85" s="192"/>
      <c r="D85" s="192"/>
      <c r="E85" s="192"/>
      <c r="F85" s="192"/>
      <c r="G85" s="192"/>
      <c r="H85" s="192"/>
      <c r="I85" s="193"/>
    </row>
    <row r="86" spans="1:9" ht="18.75" customHeight="1" x14ac:dyDescent="0.15">
      <c r="A86" s="1"/>
      <c r="B86" s="191"/>
      <c r="C86" s="192"/>
      <c r="D86" s="192"/>
      <c r="E86" s="192"/>
      <c r="F86" s="192"/>
      <c r="G86" s="192"/>
      <c r="H86" s="192"/>
      <c r="I86" s="193"/>
    </row>
    <row r="87" spans="1:9" ht="18.75" customHeight="1" x14ac:dyDescent="0.15">
      <c r="A87" s="1"/>
      <c r="B87" s="191"/>
      <c r="C87" s="192"/>
      <c r="D87" s="192"/>
      <c r="E87" s="192"/>
      <c r="F87" s="192"/>
      <c r="G87" s="192"/>
      <c r="H87" s="192"/>
      <c r="I87" s="193"/>
    </row>
    <row r="88" spans="1:9" ht="18.75" customHeight="1" x14ac:dyDescent="0.15">
      <c r="A88" s="1"/>
      <c r="B88" s="191"/>
      <c r="C88" s="192"/>
      <c r="D88" s="192"/>
      <c r="E88" s="192"/>
      <c r="F88" s="192"/>
      <c r="G88" s="192"/>
      <c r="H88" s="192"/>
      <c r="I88" s="193"/>
    </row>
    <row r="89" spans="1:9" ht="18.75" customHeight="1" x14ac:dyDescent="0.15">
      <c r="A89" s="1"/>
      <c r="B89" s="191"/>
      <c r="C89" s="192"/>
      <c r="D89" s="192"/>
      <c r="E89" s="192"/>
      <c r="F89" s="192"/>
      <c r="G89" s="192"/>
      <c r="H89" s="192"/>
      <c r="I89" s="193"/>
    </row>
    <row r="90" spans="1:9" ht="18.75" customHeight="1" x14ac:dyDescent="0.15">
      <c r="A90" s="4"/>
      <c r="B90" s="191"/>
      <c r="C90" s="192"/>
      <c r="D90" s="192"/>
      <c r="E90" s="192"/>
      <c r="F90" s="192"/>
      <c r="G90" s="192"/>
      <c r="H90" s="192"/>
      <c r="I90" s="193"/>
    </row>
    <row r="91" spans="1:9" ht="18.75" customHeight="1" x14ac:dyDescent="0.15">
      <c r="A91" s="4"/>
      <c r="B91" s="194"/>
      <c r="C91" s="195"/>
      <c r="D91" s="195"/>
      <c r="E91" s="195"/>
      <c r="F91" s="195"/>
      <c r="G91" s="195"/>
      <c r="H91" s="195"/>
      <c r="I91" s="196"/>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2" t="s">
        <v>147</v>
      </c>
      <c r="C94" s="213"/>
      <c r="D94" s="213"/>
      <c r="E94" s="213"/>
      <c r="F94" s="213"/>
      <c r="G94" s="213"/>
      <c r="H94" s="213"/>
      <c r="I94" s="214"/>
    </row>
    <row r="95" spans="1:9" ht="18.75" customHeight="1" x14ac:dyDescent="0.15">
      <c r="A95" s="1"/>
      <c r="B95" s="218"/>
      <c r="C95" s="219"/>
      <c r="D95" s="219"/>
      <c r="E95" s="219"/>
      <c r="F95" s="219"/>
      <c r="G95" s="219"/>
      <c r="H95" s="219"/>
      <c r="I95" s="217"/>
    </row>
    <row r="96" spans="1:9" ht="18.75" customHeight="1" x14ac:dyDescent="0.15">
      <c r="A96" s="1"/>
      <c r="B96" s="218"/>
      <c r="C96" s="219"/>
      <c r="D96" s="219"/>
      <c r="E96" s="219"/>
      <c r="F96" s="219"/>
      <c r="G96" s="219"/>
      <c r="H96" s="219"/>
      <c r="I96" s="217"/>
    </row>
    <row r="97" spans="1:9" ht="18.75" customHeight="1" x14ac:dyDescent="0.15">
      <c r="A97" s="1"/>
      <c r="B97" s="218"/>
      <c r="C97" s="219"/>
      <c r="D97" s="219"/>
      <c r="E97" s="219"/>
      <c r="F97" s="219"/>
      <c r="G97" s="219"/>
      <c r="H97" s="219"/>
      <c r="I97" s="217"/>
    </row>
    <row r="98" spans="1:9" ht="18.75" customHeight="1" x14ac:dyDescent="0.15">
      <c r="A98" s="1"/>
      <c r="B98" s="218"/>
      <c r="C98" s="219"/>
      <c r="D98" s="219"/>
      <c r="E98" s="219"/>
      <c r="F98" s="219"/>
      <c r="G98" s="219"/>
      <c r="H98" s="219"/>
      <c r="I98" s="217"/>
    </row>
    <row r="99" spans="1:9" ht="18.75" customHeight="1" x14ac:dyDescent="0.15">
      <c r="A99" s="1"/>
      <c r="B99" s="218"/>
      <c r="C99" s="219"/>
      <c r="D99" s="219"/>
      <c r="E99" s="219"/>
      <c r="F99" s="219"/>
      <c r="G99" s="219"/>
      <c r="H99" s="219"/>
      <c r="I99" s="217"/>
    </row>
    <row r="100" spans="1:9" ht="18.75" customHeight="1" x14ac:dyDescent="0.15">
      <c r="A100" s="1"/>
      <c r="B100" s="218"/>
      <c r="C100" s="219"/>
      <c r="D100" s="219"/>
      <c r="E100" s="219"/>
      <c r="F100" s="219"/>
      <c r="G100" s="219"/>
      <c r="H100" s="219"/>
      <c r="I100" s="217"/>
    </row>
    <row r="101" spans="1:9" ht="18.75" customHeight="1" x14ac:dyDescent="0.15">
      <c r="A101" s="1"/>
      <c r="B101" s="218"/>
      <c r="C101" s="219"/>
      <c r="D101" s="219"/>
      <c r="E101" s="219"/>
      <c r="F101" s="219"/>
      <c r="G101" s="219"/>
      <c r="H101" s="219"/>
      <c r="I101" s="217"/>
    </row>
    <row r="102" spans="1:9" ht="18.75" customHeight="1" x14ac:dyDescent="0.15">
      <c r="A102" s="1"/>
      <c r="B102" s="218"/>
      <c r="C102" s="219"/>
      <c r="D102" s="219"/>
      <c r="E102" s="219"/>
      <c r="F102" s="219"/>
      <c r="G102" s="219"/>
      <c r="H102" s="219"/>
      <c r="I102" s="217"/>
    </row>
    <row r="103" spans="1:9" ht="18.75" customHeight="1" x14ac:dyDescent="0.15">
      <c r="A103" s="1"/>
      <c r="B103" s="218"/>
      <c r="C103" s="219"/>
      <c r="D103" s="219"/>
      <c r="E103" s="219"/>
      <c r="F103" s="219"/>
      <c r="G103" s="219"/>
      <c r="H103" s="219"/>
      <c r="I103" s="217"/>
    </row>
    <row r="104" spans="1:9" ht="18.75" customHeight="1" x14ac:dyDescent="0.15">
      <c r="A104" s="1"/>
      <c r="B104" s="218"/>
      <c r="C104" s="219"/>
      <c r="D104" s="219"/>
      <c r="E104" s="219"/>
      <c r="F104" s="219"/>
      <c r="G104" s="219"/>
      <c r="H104" s="219"/>
      <c r="I104" s="217"/>
    </row>
    <row r="105" spans="1:9" ht="18.75" customHeight="1" x14ac:dyDescent="0.15">
      <c r="A105" s="4"/>
      <c r="B105" s="220"/>
      <c r="C105" s="221"/>
      <c r="D105" s="221"/>
      <c r="E105" s="221"/>
      <c r="F105" s="221"/>
      <c r="G105" s="221"/>
      <c r="H105" s="221"/>
      <c r="I105" s="222"/>
    </row>
    <row r="106" spans="1:9" ht="7.5" customHeight="1" x14ac:dyDescent="0.15">
      <c r="A106" s="4"/>
      <c r="B106" s="4"/>
      <c r="C106" s="4"/>
      <c r="D106" s="4"/>
      <c r="E106" s="4"/>
      <c r="F106" s="4"/>
      <c r="G106" s="4"/>
      <c r="H106" s="4"/>
      <c r="I106" s="4"/>
    </row>
    <row r="107" spans="1:9" ht="18.75" customHeight="1" x14ac:dyDescent="0.15">
      <c r="A107" s="1" t="s">
        <v>30</v>
      </c>
      <c r="B107" s="229" t="s">
        <v>45</v>
      </c>
      <c r="C107" s="229"/>
      <c r="D107" s="229"/>
      <c r="E107" s="229"/>
      <c r="F107" s="229"/>
      <c r="G107" s="229"/>
      <c r="H107" s="229"/>
      <c r="I107" s="229"/>
    </row>
    <row r="108" spans="1:9" ht="18.75" customHeight="1" x14ac:dyDescent="0.15">
      <c r="A108" s="4"/>
      <c r="B108" s="212" t="s">
        <v>145</v>
      </c>
      <c r="C108" s="213"/>
      <c r="D108" s="213"/>
      <c r="E108" s="213"/>
      <c r="F108" s="213"/>
      <c r="G108" s="213"/>
      <c r="H108" s="213"/>
      <c r="I108" s="214"/>
    </row>
    <row r="109" spans="1:9" ht="18.75" customHeight="1" x14ac:dyDescent="0.15">
      <c r="A109" s="4"/>
      <c r="B109" s="218"/>
      <c r="C109" s="219"/>
      <c r="D109" s="219"/>
      <c r="E109" s="219"/>
      <c r="F109" s="219"/>
      <c r="G109" s="219"/>
      <c r="H109" s="219"/>
      <c r="I109" s="217"/>
    </row>
    <row r="110" spans="1:9" ht="18.75" customHeight="1" x14ac:dyDescent="0.15">
      <c r="A110" s="4"/>
      <c r="B110" s="218"/>
      <c r="C110" s="219"/>
      <c r="D110" s="219"/>
      <c r="E110" s="219"/>
      <c r="F110" s="219"/>
      <c r="G110" s="219"/>
      <c r="H110" s="219"/>
      <c r="I110" s="217"/>
    </row>
    <row r="111" spans="1:9" ht="18.75" customHeight="1" x14ac:dyDescent="0.15">
      <c r="A111" s="4"/>
      <c r="B111" s="218"/>
      <c r="C111" s="219"/>
      <c r="D111" s="219"/>
      <c r="E111" s="219"/>
      <c r="F111" s="219"/>
      <c r="G111" s="219"/>
      <c r="H111" s="219"/>
      <c r="I111" s="217"/>
    </row>
    <row r="112" spans="1:9" ht="18.75" customHeight="1" x14ac:dyDescent="0.15">
      <c r="A112" s="4"/>
      <c r="B112" s="218"/>
      <c r="C112" s="219"/>
      <c r="D112" s="219"/>
      <c r="E112" s="219"/>
      <c r="F112" s="219"/>
      <c r="G112" s="219"/>
      <c r="H112" s="219"/>
      <c r="I112" s="217"/>
    </row>
    <row r="113" spans="1:9" ht="18.75" customHeight="1" x14ac:dyDescent="0.15">
      <c r="A113" s="4"/>
      <c r="B113" s="218"/>
      <c r="C113" s="219"/>
      <c r="D113" s="219"/>
      <c r="E113" s="219"/>
      <c r="F113" s="219"/>
      <c r="G113" s="219"/>
      <c r="H113" s="219"/>
      <c r="I113" s="217"/>
    </row>
    <row r="114" spans="1:9" ht="18.75" customHeight="1" x14ac:dyDescent="0.15">
      <c r="A114" s="4"/>
      <c r="B114" s="218"/>
      <c r="C114" s="219"/>
      <c r="D114" s="219"/>
      <c r="E114" s="219"/>
      <c r="F114" s="219"/>
      <c r="G114" s="219"/>
      <c r="H114" s="219"/>
      <c r="I114" s="217"/>
    </row>
    <row r="115" spans="1:9" ht="18.75" customHeight="1" x14ac:dyDescent="0.15">
      <c r="A115" s="4"/>
      <c r="B115" s="218"/>
      <c r="C115" s="219"/>
      <c r="D115" s="219"/>
      <c r="E115" s="219"/>
      <c r="F115" s="219"/>
      <c r="G115" s="219"/>
      <c r="H115" s="219"/>
      <c r="I115" s="217"/>
    </row>
    <row r="116" spans="1:9" ht="18.75" customHeight="1" x14ac:dyDescent="0.15">
      <c r="A116" s="4"/>
      <c r="B116" s="218"/>
      <c r="C116" s="219"/>
      <c r="D116" s="219"/>
      <c r="E116" s="219"/>
      <c r="F116" s="219"/>
      <c r="G116" s="219"/>
      <c r="H116" s="219"/>
      <c r="I116" s="217"/>
    </row>
    <row r="117" spans="1:9" ht="18.75" customHeight="1" x14ac:dyDescent="0.15">
      <c r="A117" s="4"/>
      <c r="B117" s="218"/>
      <c r="C117" s="219"/>
      <c r="D117" s="219"/>
      <c r="E117" s="219"/>
      <c r="F117" s="219"/>
      <c r="G117" s="219"/>
      <c r="H117" s="219"/>
      <c r="I117" s="217"/>
    </row>
    <row r="118" spans="1:9" ht="18.75" customHeight="1" x14ac:dyDescent="0.15">
      <c r="A118" s="4"/>
      <c r="B118" s="218"/>
      <c r="C118" s="219"/>
      <c r="D118" s="219"/>
      <c r="E118" s="219"/>
      <c r="F118" s="219"/>
      <c r="G118" s="219"/>
      <c r="H118" s="219"/>
      <c r="I118" s="217"/>
    </row>
    <row r="119" spans="1:9" ht="18.75" customHeight="1" x14ac:dyDescent="0.15">
      <c r="A119" s="4"/>
      <c r="B119" s="220"/>
      <c r="C119" s="221"/>
      <c r="D119" s="221"/>
      <c r="E119" s="221"/>
      <c r="F119" s="221"/>
      <c r="G119" s="221"/>
      <c r="H119" s="221"/>
      <c r="I119" s="222"/>
    </row>
    <row r="120" spans="1:9" ht="7.5" customHeight="1" x14ac:dyDescent="0.15">
      <c r="A120" s="4"/>
      <c r="B120" s="37"/>
      <c r="C120" s="37"/>
      <c r="D120" s="37"/>
      <c r="E120" s="37"/>
      <c r="F120" s="37"/>
      <c r="G120" s="37"/>
      <c r="H120" s="37"/>
      <c r="I120" s="37"/>
    </row>
    <row r="121" spans="1:9" ht="18.75" customHeight="1" x14ac:dyDescent="0.15">
      <c r="A121" s="56"/>
      <c r="B121" s="207"/>
      <c r="C121" s="207"/>
      <c r="D121" s="207"/>
      <c r="E121" s="207"/>
      <c r="F121" s="207"/>
      <c r="G121" s="207"/>
      <c r="H121" s="207"/>
      <c r="I121" s="207"/>
    </row>
    <row r="122" spans="1:9" ht="18.75" customHeight="1" x14ac:dyDescent="0.15">
      <c r="A122" s="56"/>
      <c r="B122" s="207"/>
      <c r="C122" s="207"/>
      <c r="D122" s="207"/>
      <c r="E122" s="207"/>
      <c r="F122" s="207"/>
      <c r="G122" s="207"/>
      <c r="H122" s="207"/>
      <c r="I122" s="207"/>
    </row>
    <row r="123" spans="1:9" ht="18.75" customHeight="1" x14ac:dyDescent="0.15">
      <c r="A123" s="4"/>
      <c r="B123" s="60"/>
      <c r="C123" s="60"/>
      <c r="D123" s="60"/>
      <c r="E123" s="60"/>
      <c r="F123" s="60"/>
      <c r="G123" s="60"/>
      <c r="H123" s="60"/>
      <c r="I123" s="61"/>
    </row>
    <row r="124" spans="1:9" ht="18.75" customHeight="1" x14ac:dyDescent="0.15">
      <c r="A124" s="4"/>
      <c r="B124" s="61"/>
      <c r="C124" s="61"/>
      <c r="D124" s="61"/>
      <c r="E124" s="61"/>
      <c r="F124" s="61"/>
      <c r="G124" s="61"/>
      <c r="H124" s="61"/>
      <c r="I124" s="61"/>
    </row>
    <row r="125" spans="1:9" ht="18.75" customHeight="1" x14ac:dyDescent="0.15">
      <c r="A125" s="4"/>
      <c r="B125" s="61"/>
      <c r="C125" s="61"/>
      <c r="D125" s="61"/>
      <c r="E125" s="61"/>
      <c r="F125" s="61"/>
      <c r="G125" s="61"/>
      <c r="H125" s="61"/>
      <c r="I125" s="61"/>
    </row>
    <row r="126" spans="1:9" ht="18.75" customHeight="1" x14ac:dyDescent="0.15">
      <c r="A126" s="4"/>
      <c r="B126" s="61"/>
      <c r="C126" s="61"/>
      <c r="D126" s="61"/>
      <c r="E126" s="61"/>
      <c r="F126" s="61"/>
      <c r="G126" s="61"/>
      <c r="H126" s="61"/>
      <c r="I126" s="61"/>
    </row>
    <row r="127" spans="1:9" ht="18.75" customHeight="1" x14ac:dyDescent="0.15">
      <c r="A127" s="4"/>
      <c r="B127" s="61"/>
      <c r="C127" s="61"/>
      <c r="D127" s="61"/>
      <c r="E127" s="61"/>
      <c r="F127" s="61"/>
      <c r="G127" s="61"/>
      <c r="H127" s="61"/>
      <c r="I127" s="61"/>
    </row>
    <row r="128" spans="1:9" ht="18.75" customHeight="1" x14ac:dyDescent="0.15">
      <c r="A128" s="4"/>
      <c r="B128" s="61"/>
      <c r="C128" s="61"/>
      <c r="D128" s="61"/>
      <c r="E128" s="61"/>
      <c r="F128" s="61"/>
      <c r="G128" s="61"/>
      <c r="H128" s="61"/>
      <c r="I128" s="61"/>
    </row>
    <row r="129" spans="1:9" ht="18.75" customHeight="1" x14ac:dyDescent="0.15">
      <c r="A129" s="4"/>
      <c r="B129" s="61"/>
      <c r="C129" s="61"/>
      <c r="D129" s="61"/>
      <c r="E129" s="61"/>
      <c r="F129" s="61"/>
      <c r="G129" s="61"/>
      <c r="H129" s="61"/>
      <c r="I129" s="61"/>
    </row>
    <row r="130" spans="1:9" ht="18.75" customHeight="1" x14ac:dyDescent="0.15">
      <c r="A130" s="4"/>
      <c r="B130" s="61"/>
      <c r="C130" s="61"/>
      <c r="D130" s="61"/>
      <c r="E130" s="61"/>
      <c r="F130" s="61"/>
      <c r="G130" s="61"/>
      <c r="H130" s="61"/>
      <c r="I130" s="61"/>
    </row>
    <row r="131" spans="1:9" ht="18.75" customHeight="1" x14ac:dyDescent="0.15">
      <c r="A131" s="4"/>
      <c r="B131" s="61"/>
      <c r="C131" s="61"/>
      <c r="D131" s="61"/>
      <c r="E131" s="61"/>
      <c r="F131" s="61"/>
      <c r="G131" s="61"/>
      <c r="H131" s="61"/>
      <c r="I131" s="61"/>
    </row>
    <row r="132" spans="1:9" ht="18.75" customHeight="1" x14ac:dyDescent="0.15">
      <c r="A132" s="4"/>
      <c r="B132" s="61"/>
      <c r="C132" s="61"/>
      <c r="D132" s="61"/>
      <c r="E132" s="61"/>
      <c r="F132" s="61"/>
      <c r="G132" s="61"/>
      <c r="H132" s="61"/>
      <c r="I132" s="61"/>
    </row>
    <row r="133" spans="1:9" ht="14.25" x14ac:dyDescent="0.15">
      <c r="A133" s="4"/>
      <c r="B133" s="61"/>
      <c r="C133" s="61"/>
      <c r="D133" s="61"/>
      <c r="E133" s="61"/>
      <c r="F133" s="61"/>
      <c r="G133" s="61"/>
      <c r="H133" s="61"/>
      <c r="I133" s="61"/>
    </row>
    <row r="134" spans="1:9" ht="7.5" customHeight="1" x14ac:dyDescent="0.15">
      <c r="A134" s="4"/>
      <c r="B134" s="61"/>
      <c r="C134" s="61"/>
      <c r="D134" s="61"/>
      <c r="E134" s="61"/>
      <c r="F134" s="61"/>
      <c r="G134" s="61"/>
      <c r="H134" s="61"/>
      <c r="I134" s="6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2" zoomScaleNormal="100" zoomScaleSheetLayoutView="100" workbookViewId="0">
      <selection activeCell="E22" sqref="E22:I22"/>
    </sheetView>
  </sheetViews>
  <sheetFormatPr defaultColWidth="11.375" defaultRowHeight="22.5" customHeight="1" x14ac:dyDescent="0.15"/>
  <cols>
    <col min="1" max="3" width="2.75" style="63" customWidth="1"/>
    <col min="4" max="4" width="22.25" style="63" customWidth="1"/>
    <col min="5" max="5" width="30.75" style="63" customWidth="1"/>
    <col min="6" max="7" width="7.75" style="63" customWidth="1"/>
    <col min="8" max="9" width="30.75" style="63" customWidth="1"/>
    <col min="10" max="10" width="4.125" style="63" customWidth="1"/>
    <col min="11" max="16384" width="11.375" style="63"/>
  </cols>
  <sheetData>
    <row r="1" spans="1:9" ht="18.75" customHeight="1" x14ac:dyDescent="0.15">
      <c r="A1" s="63" t="s">
        <v>68</v>
      </c>
      <c r="I1" s="75" t="s">
        <v>96</v>
      </c>
    </row>
    <row r="2" spans="1:9" ht="18.75" customHeight="1" x14ac:dyDescent="0.15">
      <c r="H2" s="75" t="s">
        <v>99</v>
      </c>
      <c r="I2" s="77" t="str">
        <f>'様式１　プログラムを構成する授業科目'!C2</f>
        <v>日本工業大学</v>
      </c>
    </row>
    <row r="3" spans="1:9" ht="18.75" customHeight="1" x14ac:dyDescent="0.15">
      <c r="A3" s="130" t="s">
        <v>28</v>
      </c>
      <c r="B3" s="130"/>
      <c r="C3" s="130"/>
      <c r="D3" s="130"/>
      <c r="E3" s="130"/>
      <c r="F3" s="130"/>
      <c r="G3" s="130"/>
      <c r="H3" s="130"/>
      <c r="I3" s="130"/>
    </row>
    <row r="4" spans="1:9" ht="18.75" customHeight="1" x14ac:dyDescent="0.15">
      <c r="A4" s="76"/>
      <c r="B4" s="76"/>
      <c r="C4" s="76"/>
      <c r="D4" s="76"/>
      <c r="E4" s="76"/>
      <c r="F4" s="76"/>
      <c r="G4" s="76"/>
      <c r="H4" s="76"/>
      <c r="I4" s="76"/>
    </row>
    <row r="5" spans="1:9" ht="18.75" customHeight="1" x14ac:dyDescent="0.15">
      <c r="A5" s="63" t="s">
        <v>0</v>
      </c>
      <c r="B5" s="69" t="s">
        <v>90</v>
      </c>
      <c r="C5" s="76"/>
      <c r="D5" s="76"/>
      <c r="E5" s="76"/>
      <c r="F5" s="76"/>
      <c r="G5" s="76"/>
      <c r="H5" s="76"/>
      <c r="I5" s="76"/>
    </row>
    <row r="6" spans="1:9" ht="26.25" customHeight="1" x14ac:dyDescent="0.15">
      <c r="A6" s="76"/>
      <c r="B6" s="258" t="s">
        <v>142</v>
      </c>
      <c r="C6" s="259"/>
      <c r="D6" s="259"/>
      <c r="E6" s="259"/>
      <c r="F6" s="259"/>
      <c r="G6" s="259"/>
      <c r="H6" s="260"/>
      <c r="I6" s="68"/>
    </row>
    <row r="7" spans="1:9" ht="9" customHeight="1" x14ac:dyDescent="0.15">
      <c r="A7" s="76"/>
      <c r="B7" s="69"/>
      <c r="C7" s="69"/>
      <c r="D7" s="69"/>
      <c r="E7" s="69"/>
      <c r="F7" s="69"/>
      <c r="G7" s="69"/>
      <c r="H7" s="69"/>
      <c r="I7" s="68"/>
    </row>
    <row r="8" spans="1:9" ht="18.75" customHeight="1" x14ac:dyDescent="0.15">
      <c r="A8" s="76"/>
      <c r="B8" s="68"/>
      <c r="C8" s="68"/>
      <c r="D8" s="75" t="s">
        <v>42</v>
      </c>
      <c r="E8" s="78" t="s">
        <v>140</v>
      </c>
      <c r="F8" s="68"/>
      <c r="G8" s="75" t="s">
        <v>10</v>
      </c>
      <c r="H8" s="78" t="s">
        <v>141</v>
      </c>
      <c r="I8" s="68"/>
    </row>
    <row r="9" spans="1:9" ht="7.5" customHeight="1" x14ac:dyDescent="0.15">
      <c r="A9" s="76"/>
      <c r="B9" s="76"/>
      <c r="C9" s="76"/>
      <c r="D9" s="76"/>
      <c r="E9" s="76"/>
      <c r="F9" s="76"/>
      <c r="G9" s="76"/>
      <c r="H9" s="76"/>
      <c r="I9" s="76"/>
    </row>
    <row r="10" spans="1:9" ht="18.75" customHeight="1" x14ac:dyDescent="0.15">
      <c r="A10" s="63" t="s">
        <v>3</v>
      </c>
      <c r="B10" s="63" t="s">
        <v>27</v>
      </c>
      <c r="C10" s="79"/>
      <c r="D10" s="79"/>
      <c r="E10" s="79"/>
      <c r="F10" s="79"/>
      <c r="G10" s="79"/>
      <c r="H10" s="79"/>
      <c r="I10" s="79"/>
    </row>
    <row r="11" spans="1:9" ht="18.75" customHeight="1" x14ac:dyDescent="0.15">
      <c r="B11" s="127" t="s">
        <v>24</v>
      </c>
      <c r="C11" s="128"/>
      <c r="D11" s="129"/>
      <c r="E11" s="128" t="s">
        <v>26</v>
      </c>
      <c r="F11" s="128"/>
      <c r="G11" s="128"/>
      <c r="H11" s="128"/>
      <c r="I11" s="129"/>
    </row>
    <row r="12" spans="1:9" ht="26.25" customHeight="1" x14ac:dyDescent="0.15">
      <c r="B12" s="80" t="s">
        <v>14</v>
      </c>
      <c r="C12" s="81"/>
      <c r="D12" s="82"/>
      <c r="E12" s="83"/>
      <c r="F12" s="83"/>
      <c r="G12" s="83"/>
      <c r="H12" s="83"/>
      <c r="I12" s="82"/>
    </row>
    <row r="13" spans="1:9" ht="210.75" customHeight="1" x14ac:dyDescent="0.15">
      <c r="B13" s="84"/>
      <c r="C13" s="238" t="s">
        <v>15</v>
      </c>
      <c r="D13" s="239"/>
      <c r="E13" s="257" t="s">
        <v>154</v>
      </c>
      <c r="F13" s="240"/>
      <c r="G13" s="240"/>
      <c r="H13" s="240"/>
      <c r="I13" s="241"/>
    </row>
    <row r="14" spans="1:9" ht="210.75" customHeight="1" x14ac:dyDescent="0.15">
      <c r="B14" s="84"/>
      <c r="C14" s="255" t="s">
        <v>16</v>
      </c>
      <c r="D14" s="256"/>
      <c r="E14" s="257" t="s">
        <v>159</v>
      </c>
      <c r="F14" s="240"/>
      <c r="G14" s="240"/>
      <c r="H14" s="240"/>
      <c r="I14" s="241"/>
    </row>
    <row r="15" spans="1:9" ht="210.75" customHeight="1" x14ac:dyDescent="0.15">
      <c r="B15" s="84"/>
      <c r="C15" s="238" t="s">
        <v>17</v>
      </c>
      <c r="D15" s="239"/>
      <c r="E15" s="251" t="s">
        <v>160</v>
      </c>
      <c r="F15" s="252"/>
      <c r="G15" s="252"/>
      <c r="H15" s="252"/>
      <c r="I15" s="253"/>
    </row>
    <row r="16" spans="1:9" ht="210.75" customHeight="1" x14ac:dyDescent="0.15">
      <c r="B16" s="84"/>
      <c r="C16" s="238" t="s">
        <v>18</v>
      </c>
      <c r="D16" s="239"/>
      <c r="E16" s="251" t="s">
        <v>161</v>
      </c>
      <c r="F16" s="252"/>
      <c r="G16" s="252"/>
      <c r="H16" s="252"/>
      <c r="I16" s="253"/>
    </row>
    <row r="17" spans="2:9" ht="210.75" customHeight="1" x14ac:dyDescent="0.15">
      <c r="B17" s="85"/>
      <c r="C17" s="242" t="s">
        <v>19</v>
      </c>
      <c r="D17" s="243"/>
      <c r="E17" s="254" t="s">
        <v>155</v>
      </c>
      <c r="F17" s="244"/>
      <c r="G17" s="244"/>
      <c r="H17" s="244"/>
      <c r="I17" s="245"/>
    </row>
    <row r="18" spans="2:9" ht="24" customHeight="1" x14ac:dyDescent="0.15">
      <c r="B18" s="80" t="s">
        <v>20</v>
      </c>
      <c r="C18" s="86"/>
      <c r="D18" s="87"/>
      <c r="E18" s="88"/>
      <c r="F18" s="88"/>
      <c r="G18" s="88"/>
      <c r="H18" s="88"/>
      <c r="I18" s="89"/>
    </row>
    <row r="19" spans="2:9" ht="218.25" customHeight="1" x14ac:dyDescent="0.15">
      <c r="B19" s="84"/>
      <c r="C19" s="238" t="s">
        <v>21</v>
      </c>
      <c r="D19" s="239"/>
      <c r="E19" s="240" t="s">
        <v>146</v>
      </c>
      <c r="F19" s="240"/>
      <c r="G19" s="240"/>
      <c r="H19" s="240"/>
      <c r="I19" s="241"/>
    </row>
    <row r="20" spans="2:9" ht="218.25" customHeight="1" x14ac:dyDescent="0.15">
      <c r="B20" s="85"/>
      <c r="C20" s="242" t="s">
        <v>22</v>
      </c>
      <c r="D20" s="243"/>
      <c r="E20" s="244" t="s">
        <v>156</v>
      </c>
      <c r="F20" s="244"/>
      <c r="G20" s="244"/>
      <c r="H20" s="244"/>
      <c r="I20" s="245"/>
    </row>
    <row r="21" spans="2:9" ht="218.25" customHeight="1" x14ac:dyDescent="0.15">
      <c r="B21" s="246" t="s">
        <v>23</v>
      </c>
      <c r="C21" s="247"/>
      <c r="D21" s="248"/>
      <c r="E21" s="249" t="s">
        <v>162</v>
      </c>
      <c r="F21" s="249"/>
      <c r="G21" s="249"/>
      <c r="H21" s="249"/>
      <c r="I21" s="250"/>
    </row>
    <row r="22" spans="2:9" ht="218.25" customHeight="1" x14ac:dyDescent="0.15">
      <c r="B22" s="233" t="s">
        <v>135</v>
      </c>
      <c r="C22" s="234"/>
      <c r="D22" s="235"/>
      <c r="E22" s="236" t="s">
        <v>163</v>
      </c>
      <c r="F22" s="236"/>
      <c r="G22" s="236"/>
      <c r="H22" s="236"/>
      <c r="I22" s="237"/>
    </row>
    <row r="23" spans="2:9" ht="22.5" customHeight="1" x14ac:dyDescent="0.15">
      <c r="B23" s="79"/>
      <c r="C23" s="79"/>
      <c r="D23" s="79"/>
      <c r="E23" s="79"/>
      <c r="F23" s="79"/>
      <c r="G23" s="79"/>
      <c r="H23" s="79"/>
      <c r="I23" s="79"/>
    </row>
    <row r="24" spans="2:9" ht="22.5" customHeight="1" x14ac:dyDescent="0.15">
      <c r="B24" s="79"/>
      <c r="C24" s="79"/>
      <c r="D24" s="79"/>
      <c r="E24" s="79"/>
      <c r="F24" s="79"/>
      <c r="G24" s="79"/>
      <c r="H24" s="79"/>
      <c r="I24" s="79"/>
    </row>
    <row r="25" spans="2:9" ht="22.5" customHeight="1" x14ac:dyDescent="0.15">
      <c r="B25" s="79"/>
      <c r="C25" s="79"/>
      <c r="D25" s="79"/>
      <c r="E25" s="79"/>
      <c r="F25" s="79"/>
      <c r="G25" s="79"/>
      <c r="H25" s="79"/>
      <c r="I25" s="79"/>
    </row>
    <row r="26" spans="2:9" ht="22.5" customHeight="1" x14ac:dyDescent="0.15">
      <c r="B26" s="79"/>
      <c r="C26" s="79"/>
      <c r="D26" s="79"/>
      <c r="E26" s="79"/>
      <c r="F26" s="79"/>
      <c r="G26" s="79"/>
      <c r="H26" s="79"/>
      <c r="I26" s="79"/>
    </row>
    <row r="27" spans="2:9" ht="22.5" customHeight="1" x14ac:dyDescent="0.15">
      <c r="B27" s="79"/>
      <c r="C27" s="79"/>
      <c r="D27" s="79"/>
      <c r="E27" s="79"/>
      <c r="F27" s="79"/>
      <c r="G27" s="79"/>
      <c r="H27" s="79"/>
      <c r="I27" s="79"/>
    </row>
    <row r="28" spans="2:9" ht="22.5" customHeight="1" x14ac:dyDescent="0.15">
      <c r="B28" s="90"/>
      <c r="C28" s="90"/>
      <c r="D28" s="90"/>
      <c r="E28" s="90"/>
      <c r="F28" s="90"/>
      <c r="G28" s="90"/>
      <c r="H28" s="90"/>
      <c r="I28" s="90"/>
    </row>
    <row r="29" spans="2:9" ht="22.5" customHeight="1" x14ac:dyDescent="0.15">
      <c r="B29" s="90"/>
      <c r="C29" s="90"/>
      <c r="D29" s="90"/>
      <c r="E29" s="90"/>
      <c r="F29" s="90"/>
      <c r="G29" s="90"/>
      <c r="H29" s="90"/>
      <c r="I29" s="90"/>
    </row>
    <row r="30" spans="2:9" ht="22.5" customHeight="1" x14ac:dyDescent="0.15">
      <c r="B30" s="90"/>
      <c r="C30" s="90"/>
      <c r="D30" s="90"/>
      <c r="E30" s="90"/>
      <c r="F30" s="90"/>
      <c r="G30" s="90"/>
      <c r="H30" s="90"/>
      <c r="I30" s="90"/>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matsunagah</cp:lastModifiedBy>
  <cp:lastPrinted>2024-04-24T04:33:53Z</cp:lastPrinted>
  <dcterms:created xsi:type="dcterms:W3CDTF">2011-06-14T05:32:50Z</dcterms:created>
  <dcterms:modified xsi:type="dcterms:W3CDTF">2024-06-11T08:57:21Z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