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P:\2024（R06）\019 _情報基盤科目関連\数理・データサイエンス・AIモデルカリキュラム認定制度申請関係\申請提出書類\20240611文科省へ再提出\"/>
    </mc:Choice>
  </mc:AlternateContent>
  <xr:revisionPtr revIDLastSave="0" documentId="13_ncr:1_{4E1B6A8F-D1BE-479F-8552-B06C4277A8C1}" xr6:coauthVersionLast="47" xr6:coauthVersionMax="47" xr10:uidLastSave="{00000000-0000-0000-0000-000000000000}"/>
  <bookViews>
    <workbookView xWindow="28680" yWindow="-1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<sst xmlns="http://schemas.openxmlformats.org/spreadsheetml/2006/main" count="283" uniqueCount="188">
  <si>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</si>
  <si>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</si>
  <si>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</si>
  <si>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京都女子大学</t>
    <rPh sb="0" eb="6">
      <t>キョウトジョシダイガク</t>
    </rPh>
    <phoneticPr fontId="1"/>
  </si>
  <si>
    <t>プログラム名</t>
    <rPh sb="5" eb="6">
      <t>メイ</t>
    </rPh>
    <phoneticPr fontId="1"/>
  </si>
  <si>
    <t>京女のデータ・AIリテラシープログラム</t>
    <rPh sb="0" eb="2">
      <t>キョウジョ</t>
    </rPh>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</si>
  <si>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</si>
  <si>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</si>
  <si>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</si>
  <si>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</si>
  <si>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</si>
  <si>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</si>
  <si>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</si>
  <si>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</si>
  <si>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</si>
  <si>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</si>
  <si>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</si>
  <si>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</si>
  <si>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</si>
  <si>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</si>
  <si>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</si>
  <si>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</si>
  <si>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</si>
  <si>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</si>
  <si>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</si>
  <si>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データ・AIリテラシー</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</si>
  <si>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</si>
  <si>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</si>
  <si>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</si>
  <si>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</si>
  <si>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</si>
  <si>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</si>
  <si>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</si>
  <si>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</si>
  <si>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</si>
  <si>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</si>
  <si>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</si>
  <si>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</si>
  <si>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</si>
  <si>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</si>
  <si>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</si>
  <si>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</si>
  <si>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情報リテラシー</t>
    <rPh sb="0" eb="2">
      <t>ジョウホウ</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</si>
  <si>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</si>
  <si>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</si>
  <si>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</si>
  <si>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</si>
  <si>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</si>
  <si>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</si>
  <si>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</si>
  <si>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</si>
  <si>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</si>
  <si>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</si>
  <si>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</si>
  <si>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</si>
  <si>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</si>
  <si>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</si>
  <si>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</si>
  <si>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大学が定めている生成AI利用ガイドラインについて説明を行っている。</t>
    <rPh sb="0" eb="2">
      <t>ダイガク</t>
    </rPh>
    <rPh sb="3" eb="4">
      <t>サダ</t>
    </rPh>
    <rPh sb="8" eb="10">
      <t>セイセイ</t>
    </rPh>
    <rPh sb="12" eb="14">
      <t>リヨウ</t>
    </rPh>
    <rPh sb="24" eb="26">
      <t>セツメイ</t>
    </rPh>
    <rPh sb="27" eb="28">
      <t>オコナ</t>
    </rPh>
    <phoneticPr fontId="1"/>
  </si>
  <si>
    <t>様式２</t>
    <phoneticPr fontId="1"/>
  </si>
  <si>
    <t>プログラムの履修者数等の実績について</t>
    <phoneticPr fontId="1"/>
  </si>
  <si>
    <t>①プログラム開設年度</t>
    <rPh sb="6" eb="8">
      <t>カイセツ</t>
    </rPh>
    <rPh sb="8" eb="10">
      <t>ネンド</t>
    </rPh>
    <phoneticPr fontId="1"/>
  </si>
  <si>
    <t>令和5</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</si>
  <si>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</si>
  <si>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</si>
  <si>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</si>
  <si>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</si>
  <si>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</si>
  <si>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</si>
  <si>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</si>
  <si>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</si>
  <si>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</si>
  <si>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</si>
  <si>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</si>
  <si>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</si>
  <si>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</si>
  <si>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</si>
  <si>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</si>
  <si>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</si>
  <si>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</si>
  <si>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</si>
  <si>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</si>
  <si>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</si>
  <si>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</si>
  <si>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</si>
  <si>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</si>
  <si>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</si>
  <si>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文学部</t>
    <rPh sb="0" eb="3">
      <t>ブンガクブ</t>
    </rPh>
    <phoneticPr fontId="1"/>
  </si>
  <si>
    <t>発達教育学部</t>
    <rPh sb="0" eb="6">
      <t>ハッタツキョウイクガクブ</t>
    </rPh>
    <phoneticPr fontId="1"/>
  </si>
  <si>
    <t>家政学部</t>
    <rPh sb="0" eb="4">
      <t>カセイガクブ</t>
    </rPh>
    <phoneticPr fontId="1"/>
  </si>
  <si>
    <t>現代社会学部</t>
    <rPh sb="0" eb="6">
      <t>ゲンダイシャカイガクブ</t>
    </rPh>
    <phoneticPr fontId="1"/>
  </si>
  <si>
    <t>法学部</t>
    <rPh sb="0" eb="3">
      <t>ホウガクブ</t>
    </rPh>
    <phoneticPr fontId="1"/>
  </si>
  <si>
    <t>データ・サイエンス学部</t>
    <rPh sb="9" eb="11">
      <t>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</si>
  <si>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</si>
  <si>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</si>
  <si>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</si>
  <si>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</si>
  <si>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</si>
  <si>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</si>
  <si>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</si>
  <si>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</si>
  <si>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</si>
  <si>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</si>
  <si>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</si>
  <si>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</si>
  <si>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</si>
  <si>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宮下　健輔</t>
    <rPh sb="0" eb="2">
      <t>ミヤシタ</t>
    </rPh>
    <rPh sb="3" eb="5">
      <t>ケンスケ</t>
    </rPh>
    <phoneticPr fontId="1"/>
  </si>
  <si>
    <t>（役職名）</t>
    <rPh sb="1" eb="4">
      <t>ヤクショクメイ</t>
    </rPh>
    <phoneticPr fontId="1"/>
  </si>
  <si>
    <t>情報基盤部長</t>
    <rPh sb="4" eb="6">
      <t>ブチョウ</t>
    </rPh>
    <phoneticPr fontId="1"/>
  </si>
  <si>
    <t>④</t>
    <phoneticPr fontId="1"/>
  </si>
  <si>
    <t>プログラムを改善・進化させるための体制（委員会・組織等）</t>
    <phoneticPr fontId="1"/>
  </si>
  <si>
    <t>宮下　健輔</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</si>
  <si>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</si>
  <si>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</si>
  <si>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</si>
  <si>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</si>
  <si>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情報基盤専門部会は、学長の年次方針に基づく情報基盤機構の年次計画実施に当たり、教育研究環境の整備に関する方針を踏まえ、最適・良好な学術情報基盤（情報システム・情報教育）の整備に必要となる制度・事項について検討する。本プログラムの科目は大学の共通領域科目に位置づけられており、専門部会の検討事項の一つ「大学の共通領域科目の情報基盤科目運営に関する事項」について、方向性提示、施策立案、点検評価を行う。情報基盤センターは情報基盤専門部会の決定に基づき、実際に情報基盤科目の運営を行う主体であり、情報基盤センターは情報基盤センター運営委員会により運営されている。</t>
    <rPh sb="142" eb="146">
      <t>ケントウジコウ</t>
    </rPh>
    <rPh sb="147" eb="148">
      <t>ヒト</t>
    </rPh>
    <rPh sb="199" eb="201">
      <t>ジョウホウ</t>
    </rPh>
    <rPh sb="201" eb="203">
      <t>キバン</t>
    </rPh>
    <rPh sb="208" eb="210">
      <t>ジョウホウ</t>
    </rPh>
    <rPh sb="210" eb="212">
      <t>キバン</t>
    </rPh>
    <rPh sb="212" eb="214">
      <t>センモン</t>
    </rPh>
    <rPh sb="214" eb="216">
      <t>ブカイ</t>
    </rPh>
    <rPh sb="217" eb="219">
      <t>ケッテイ</t>
    </rPh>
    <rPh sb="220" eb="221">
      <t>モト</t>
    </rPh>
    <rPh sb="224" eb="226">
      <t>ジッサイ</t>
    </rPh>
    <rPh sb="227" eb="229">
      <t>ジョウホウ</t>
    </rPh>
    <rPh sb="229" eb="231">
      <t>キバン</t>
    </rPh>
    <rPh sb="231" eb="233">
      <t>カモク</t>
    </rPh>
    <rPh sb="234" eb="236">
      <t>ウンエイ</t>
    </rPh>
    <rPh sb="237" eb="238">
      <t>オコナ</t>
    </rPh>
    <rPh sb="239" eb="241">
      <t>シュタイ</t>
    </rPh>
    <rPh sb="245" eb="247">
      <t>ジョウホウ</t>
    </rPh>
    <rPh sb="247" eb="249">
      <t>キバン</t>
    </rPh>
    <rPh sb="254" eb="258">
      <t>ジョウホウキバン</t>
    </rPh>
    <rPh sb="262" eb="264">
      <t>ウンエイ</t>
    </rPh>
    <rPh sb="264" eb="267">
      <t>イインカイ</t>
    </rPh>
    <rPh sb="270" eb="272">
      <t>ウンエイ</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</si>
  <si>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</si>
  <si>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</si>
  <si>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</si>
  <si>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</si>
  <si>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</si>
  <si>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</si>
  <si>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</si>
  <si>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</si>
  <si>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</si>
  <si>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</si>
  <si>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</si>
  <si>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</si>
  <si>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</si>
  <si>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</si>
  <si>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学部学科に関わらず学生全員が受講できるよう、令和5年度入学生以降適用の新カリキュラムにおいて、全学部学生の卒業必修科目としている。</t>
    <rPh sb="0" eb="2">
      <t>ガクブ</t>
    </rPh>
    <rPh sb="2" eb="4">
      <t>ガッカ</t>
    </rPh>
    <rPh sb="5" eb="6">
      <t>カカ</t>
    </rPh>
    <rPh sb="9" eb="11">
      <t>ガクセイ</t>
    </rPh>
    <rPh sb="11" eb="13">
      <t>ゼンイン</t>
    </rPh>
    <rPh sb="14" eb="16">
      <t>ジュコウ</t>
    </rPh>
    <rPh sb="22" eb="24">
      <t>レイワ</t>
    </rPh>
    <rPh sb="25" eb="27">
      <t>ネンド</t>
    </rPh>
    <rPh sb="27" eb="30">
      <t>ニュウガクセイ</t>
    </rPh>
    <rPh sb="30" eb="32">
      <t>イコウ</t>
    </rPh>
    <rPh sb="32" eb="34">
      <t>テキヨウ</t>
    </rPh>
    <rPh sb="35" eb="36">
      <t>シン</t>
    </rPh>
    <rPh sb="47" eb="49">
      <t>ゼンガク</t>
    </rPh>
    <rPh sb="49" eb="50">
      <t>ブ</t>
    </rPh>
    <rPh sb="50" eb="52">
      <t>ガクセイ</t>
    </rPh>
    <rPh sb="53" eb="57">
      <t>ソツギョウヒッシュウ</t>
    </rPh>
    <rPh sb="57" eb="59">
      <t>カモク</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</si>
  <si>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</si>
  <si>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</si>
  <si>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令和5年度入学生以降適用の新カリキュラムにおいて、全学部学生の卒業必修科目としている。１回生開講の必修科目につきクラス分けの指定を行った上で、履修登録は自動登録とし履修登録漏れを防いでいる。</t>
    <phoneticPr fontId="1"/>
  </si>
  <si>
    <t>⑪</t>
    <phoneticPr fontId="1"/>
  </si>
  <si>
    <t>できる限り多くの学生が履修・修得できるようなサポート体制</t>
    <rPh sb="26" eb="28">
      <t>タイセイ</t>
    </rPh>
    <phoneticPr fontId="1"/>
  </si>
  <si>
    <t>授業時、教員以外に授業補助員を配置し、履修学生が授業中気軽に質問できる体制を整えている。授業補助員は常に巡回し、受講時の操作補助や課題進捗管理のフォロー、PBL思考力を鍛えるためのサポートを行っている。また、各授業の収録動画を公開し、履修学生が閲覧できる環境を整備している。欠席者の利用が主であるが、授業の復習目的で視聴する学生が増えている。</t>
    <phoneticPr fontId="1"/>
  </si>
  <si>
    <t>⑫</t>
    <phoneticPr fontId="1"/>
  </si>
  <si>
    <t>授業時間内外で学習指導、質問を受け付ける具体的な仕組み</t>
    <rPh sb="20" eb="23">
      <t>グタイテキ</t>
    </rPh>
    <phoneticPr fontId="1"/>
  </si>
  <si>
    <t>LMSでの個別質問を受付ける体制を整備している。また授業とは別途、質問や相談できるPC操作サポートクラスを毎週開講している。PC操作サポートクラスでは授業内容や課題に関する質問や相談対応に加え、学習したスキルを資格へつなげるための練習問題や模擬問題を発展課題として準備の上、案内している。これにより、学生が自身に必要な復習や興味のある発展課題への挑戦、ＰＢＬの進捗に合わせた学習など、様々な目的での利用が増えた。また、利用している学生同士で情報交換するなど学びの場が広がっているケースも見られた。さらに、予習復習用のe-Learning教材を提供し自己学習を促している。</t>
    <rPh sb="53" eb="54">
      <t>マイ</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</si>
  <si>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</si>
  <si>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</si>
  <si>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</si>
  <si>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</si>
  <si>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情報基盤専門部会、情報基盤センター運営委員会</t>
    <rPh sb="0" eb="4">
      <t>ジョウホウキバン</t>
    </rPh>
    <rPh sb="4" eb="8">
      <t>センモンブカイ</t>
    </rPh>
    <rPh sb="9" eb="13">
      <t>ジョウホウキバン</t>
    </rPh>
    <rPh sb="17" eb="19">
      <t>ウンエイ</t>
    </rPh>
    <rPh sb="19" eb="22">
      <t>イインカイ</t>
    </rPh>
    <phoneticPr fontId="1"/>
  </si>
  <si>
    <t>情報基盤部長</t>
    <rPh sb="0" eb="4">
      <t>ジョウホウキバン</t>
    </rPh>
    <rPh sb="4" eb="6">
      <t>ブチョウ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</si>
  <si>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</si>
  <si>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</si>
  <si>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</si>
  <si>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</si>
  <si>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</si>
  <si>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</si>
  <si>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</si>
  <si>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</si>
  <si>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</si>
  <si>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令和5年度入学生より卒業必修科目に位置付けているため、全学的な履修者数は年次進行とともに増加し、カリキュラムが完成する令和8年度には100％になる見込みである。</t>
    <rPh sb="0" eb="2">
      <t>レイワ</t>
    </rPh>
    <rPh sb="3" eb="5">
      <t>ネンド</t>
    </rPh>
    <rPh sb="5" eb="7">
      <t>ニュウガク</t>
    </rPh>
    <rPh sb="7" eb="8">
      <t>セイ</t>
    </rPh>
    <rPh sb="10" eb="16">
      <t>ソツギョウヒッシュウカモク</t>
    </rPh>
    <rPh sb="17" eb="20">
      <t>イチヅ</t>
    </rPh>
    <rPh sb="27" eb="30">
      <t>ゼンガクテキ</t>
    </rPh>
    <rPh sb="31" eb="34">
      <t>リシュウシャ</t>
    </rPh>
    <rPh sb="34" eb="35">
      <t>スウ</t>
    </rPh>
    <rPh sb="36" eb="40">
      <t>ネンジシンコウ</t>
    </rPh>
    <rPh sb="44" eb="46">
      <t>ゾウカ</t>
    </rPh>
    <rPh sb="55" eb="57">
      <t>カンセイ</t>
    </rPh>
    <rPh sb="59" eb="61">
      <t>レイワ</t>
    </rPh>
    <rPh sb="62" eb="64">
      <t>ネンド</t>
    </rPh>
    <rPh sb="73" eb="75">
      <t>ミコ</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</si>
  <si>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</si>
  <si>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</si>
  <si>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は令和5年度より開講した。現在は、新カリキュラム適用の令和5年度入学の1回生しか履修していない状況である。本プログラムを修了した卒業生の輩出は令和8年度以降になるため、進路、活躍状況、企業等の評価については、所管部署と連携を図りながら注視していく予定である。</t>
    <rPh sb="0" eb="1">
      <t>ホン</t>
    </rPh>
    <rPh sb="7" eb="9">
      <t>レイワ</t>
    </rPh>
    <rPh sb="10" eb="12">
      <t>ネンド</t>
    </rPh>
    <rPh sb="14" eb="16">
      <t>カイコウ</t>
    </rPh>
    <rPh sb="19" eb="21">
      <t>ゲンザイ</t>
    </rPh>
    <rPh sb="23" eb="24">
      <t>シン</t>
    </rPh>
    <rPh sb="30" eb="32">
      <t>テキヨウ</t>
    </rPh>
    <rPh sb="33" eb="35">
      <t>レイワ</t>
    </rPh>
    <rPh sb="36" eb="38">
      <t>ネンド</t>
    </rPh>
    <rPh sb="38" eb="40">
      <t>ニュウガク</t>
    </rPh>
    <rPh sb="42" eb="44">
      <t>カイセイ</t>
    </rPh>
    <rPh sb="46" eb="48">
      <t>リシュウ</t>
    </rPh>
    <rPh sb="53" eb="55">
      <t>ジョウキョウ</t>
    </rPh>
    <rPh sb="59" eb="60">
      <t>ホン</t>
    </rPh>
    <rPh sb="66" eb="68">
      <t>シュウリョウ</t>
    </rPh>
    <rPh sb="70" eb="72">
      <t>ソツギョウ</t>
    </rPh>
    <rPh sb="72" eb="73">
      <t>セイ</t>
    </rPh>
    <rPh sb="74" eb="76">
      <t>ハイシュツ</t>
    </rPh>
    <rPh sb="77" eb="79">
      <t>レイワ</t>
    </rPh>
    <rPh sb="80" eb="82">
      <t>ネンド</t>
    </rPh>
    <rPh sb="82" eb="84">
      <t>イコウ</t>
    </rPh>
    <rPh sb="90" eb="92">
      <t>シンロ</t>
    </rPh>
    <rPh sb="93" eb="97">
      <t>カツヤクジョウキョウ</t>
    </rPh>
    <rPh sb="98" eb="101">
      <t>キギョウトウ</t>
    </rPh>
    <rPh sb="102" eb="104">
      <t>ヒョウカ</t>
    </rPh>
    <rPh sb="110" eb="114">
      <t>ショカンブショ</t>
    </rPh>
    <rPh sb="115" eb="117">
      <t>レンケイ</t>
    </rPh>
    <rPh sb="118" eb="119">
      <t>ハカ</t>
    </rPh>
    <rPh sb="123" eb="125">
      <t>チュウシ</t>
    </rPh>
    <rPh sb="129" eb="131">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</si>
  <si>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</si>
  <si>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令和5年度には外部のオンライン学習サービス運営企業と提携して、学生が本プログラム科目とともにプログラミング等を学べる環境を用意した。また、同企業とともに令和5年7月にシンポジウムを開催し、本プログラム科目による女性のキャリア形成について意見交換を実施した。令和6年度以降も同様の取り組みを継続したいと考えてい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</si>
  <si>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</si>
  <si>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</si>
  <si>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授業アンケートの結果を参考とし、次年度への授業内容検討に生かし、改善につなげている。具体的には、令和5年度にはデータ分析の具体例として東京都を取り上げていたが、令和6年度にはこれを京都市とすることにより、学生にとってより身近でわかりやすい内容となるよう工夫している。</t>
    <rPh sb="0" eb="2">
      <t>ジュギョウ</t>
    </rPh>
    <rPh sb="8" eb="10">
      <t>ケッカ</t>
    </rPh>
    <rPh sb="11" eb="13">
      <t>サンコウ</t>
    </rPh>
    <rPh sb="16" eb="19">
      <t>ジネンド</t>
    </rPh>
    <rPh sb="21" eb="25">
      <t>ジュギョウナイヨウ</t>
    </rPh>
    <rPh sb="25" eb="27">
      <t>ケントウ</t>
    </rPh>
    <rPh sb="28" eb="29">
      <t>イ</t>
    </rPh>
    <rPh sb="32" eb="34">
      <t>カイゼン</t>
    </rPh>
    <rPh sb="42" eb="45">
      <t>グタイテキ</t>
    </rPh>
    <rPh sb="48" eb="50">
      <t>レイワ</t>
    </rPh>
    <rPh sb="51" eb="53">
      <t>ネンド</t>
    </rPh>
    <rPh sb="58" eb="60">
      <t>ブンセキ</t>
    </rPh>
    <rPh sb="61" eb="63">
      <t>グタイ</t>
    </rPh>
    <rPh sb="63" eb="64">
      <t>レイ</t>
    </rPh>
    <rPh sb="67" eb="70">
      <t>トウキョウト</t>
    </rPh>
    <rPh sb="71" eb="72">
      <t>ト</t>
    </rPh>
    <rPh sb="73" eb="74">
      <t>ア</t>
    </rPh>
    <rPh sb="80" eb="82">
      <t>レイワ</t>
    </rPh>
    <rPh sb="83" eb="85">
      <t>ネンド</t>
    </rPh>
    <rPh sb="90" eb="93">
      <t>キョウトシ</t>
    </rPh>
    <rPh sb="102" eb="104">
      <t>ガクセイ</t>
    </rPh>
    <rPh sb="110" eb="112">
      <t>ミジカ</t>
    </rPh>
    <rPh sb="119" eb="121">
      <t>ナイヨウ</t>
    </rPh>
    <rPh sb="126" eb="128">
      <t>クフウ</t>
    </rPh>
    <phoneticPr fontId="1"/>
  </si>
  <si>
    <t>・ビッグデータ、IoT、AI、ロボット 「データ・AIリテラシー」（２回目）
・データ量の増加、計算機の処理性能の向上、AIの非連続的進化 「データ・AIリテラシー」(１回目）
・第4次産業革命、Society 5.0、データ駆動型社会 「データ・AIリテラシー」（2回目）
・複数技術を組み合わせたAIサービス 「データ・AIリテラシー」（２回目）
・人間の知的活動とAIの関係性 「データ・AIリテラシー」（３回目）
・データを起点としたものの見方、人間の知的活動を起点としたものの見方 「データ・AIリテラシー」（３回目）</t>
    <rPh sb="35" eb="37">
      <t>カイメ</t>
    </rPh>
    <phoneticPr fontId="1"/>
  </si>
  <si>
    <t>・AI等を活用した新しいビジネスモデル(シェアリングエコノミー、商品のレコメンデーションなど) 「データ・AIリテラシー」（２回目）
・AI最新技術の活用例（深層生成モデル、敵対的生成ネットワーク、強化学習、転移学習など）「データ・AIリテラシー」（２回目）</t>
    <phoneticPr fontId="1"/>
  </si>
  <si>
    <t>・調査データ、実験データ、人の行動ログデータ、機械の稼働ログデータなど 「データ・AIリテラシー」（２回目）
・1次データ、2次データ、データのメタ化 「データ・AIリテラシー」（２回目）
・構造化データ、非構造化データ（文章、画像/動画、音声/音楽など）「データ・AIリテラシー」（1回目）
・データ作成（ビッグデータとアノテーション）「データ・AIリテラシー」（４回目）
・データのオープン化（オープンデータ）「データ・AIリテラシー」（３回目）</t>
    <phoneticPr fontId="1"/>
  </si>
  <si>
    <t>・データ・AI活用領域の広がり(生産、消費、文化活動など)「データ・AIリテラシー」（２回目）
・研究開発、調達、製造、物流、販売、マーケティング、サービスなど 「データ・AIリテラシー」（２回目）
・仮説検証、知識発見、原因究明、計画策定、判断支援、活動代替、新規生成など 「データ・AIリテラシー」（２回目）</t>
    <phoneticPr fontId="1"/>
  </si>
  <si>
    <t>・データ解析：予測、グルーピング、パターン発見、最適化、シミュレーション・データ同化など 「データ・AIリテラシー」（４回目）
・データ可視化：複合グラフ、2軸グラフ、多次元の可視化、関係性の可視化、地図上の可視化、
挙動・軌跡の可視化、リアルタイム可視化など 「データ・AIリテラシー」（４回目）
・非構造化データ処理：言語処理、画像/動画処理、音声/音楽処理など 「データ・AIリテラシー」（４回目）
・特化型AIと汎用AI、今のAIで出来ることと出来ないこと、AIとビッグデータ 「データ・AIリテラシー」（３回目）
・認識技術、ルールベース、自動化技術 「データ・AIリテラシー」（２回目）</t>
    <phoneticPr fontId="1"/>
  </si>
  <si>
    <t>・データサイエンスのサイクル（課題抽出と定式化、データの取得・管理・加工、
探索的データ解析、データ解析と推論、結果の共有・伝達、課題解決に向けた提案） 「データ・AIリテラシー」（４回目）
・流通、製造、金融、サービス、インフラ、公共、ヘルスケア等におけるデータ・AI利活用事例紹介 「データ・AIリテラシー」（１回目）</t>
    <rPh sb="92" eb="94">
      <t>カイメ</t>
    </rPh>
    <phoneticPr fontId="1"/>
  </si>
  <si>
    <t>・ELSI（Ethical, Legal and Social Issues）「データ・AIリテラシー」（３回目）
・個人情報保護、EU一般データ保護規則(GDPR)、忘れられる権利、オプトアウト　「データ・AIリテラシー」（3回目）
・データ倫理：データのねつ造、改ざん、盗用、プライバシー保護　「データ・AIリテラシー」（3回目）
・AI社会原則（公平性、説明責任、透明性、人間中心の判断）「データ・AIリテラシー」（３回目）
・データバイアス、アルゴリズムバイアス 「データ・AIリテラシー」（３回目）
・AIサービスの責任論 「データ・AIリテラシー」（３回目）
・データ・AI活用における負の事例紹介 「データ・AIリテラシー」（３回目）</t>
    <rPh sb="54" eb="56">
      <t>カイメ</t>
    </rPh>
    <rPh sb="114" eb="116">
      <t>カイメ</t>
    </rPh>
    <phoneticPr fontId="1"/>
  </si>
  <si>
    <t>・情報セキュリティ：機密性、完全性、可用性　「データ・AIリテラシー」（3回目）
・匿名加工情報、暗号化、パスワード、悪意ある情報搾取 「データ・AIリテラシー」（3回目）
・情報漏洩等によるセキュリティ事故の事例紹介 「データ・AIリテラシー」（3回目）</t>
    <phoneticPr fontId="1"/>
  </si>
  <si>
    <t>・データ表現（棒グラフ、折線グラフ、散布図、ヒートマップ）「データ・AIリテラシー」（７回目）
・データの図表表現（チャート化）「データ・AIリテラシー」（７回目）
・データの比較（条件をそろえた比較、処理の前後での比較、A/Bテスト)「データ・AIリテラシー」（８回目）
・不適切なグラフ表現（チャートジャンク、不必要な視覚的要素）「データ・AIリテラシー」（７回目）
・優れた可視化事例の紹介（可視化することによって新たな気づきがあった事例など）「データ・AIリテラシー」（７回目）</t>
    <rPh sb="79" eb="81">
      <t>カイメ</t>
    </rPh>
    <phoneticPr fontId="1"/>
  </si>
  <si>
    <t>・データの種類（量的変数、質的変数）「データ・AIリテラシー」（８回目）
・データの分布(ヒストグラム)と代表値（平均値、中央値、最頻値）「データ・AIリテラシー」（８回目）
・代表値の性質の違い（実社会では平均値＝最頻値でないことが多い）「データ・AIリテラシー」（10回目）
・データのばらつき（分散、標準偏差、偏差値）「データ・AIリテラシー」（10回目）
・観測データに含まれる誤差の扱い 「データ・AIリテラシー」（10回目）
・打ち切りや脱落を含むデータ、層別の必要なデータ 「データ・AIリテラシー」（10回目、12回目）
・相関と因果（相関係数、擬似相関、交絡） 「データ・AIリテラシー」（11回目）
・母集団と標本抽出（国勢調査、アンケート調査、全数調査、単純無作為抽出、層別抽出、多段抽出）「データ・AIリテラシー」（13回目）
・クロス集計表、分割表、相関係数行列、散布図行列 「データ・AIリテラシー」（9回目、14回目）
・統計情報の正しい理解（誇張表現に惑わされない）「データ・AIリテラシー」（9回目、15回目）</t>
    <rPh sb="265" eb="267">
      <t>カイメ</t>
    </rPh>
    <rPh sb="421" eb="423">
      <t>カイメ</t>
    </rPh>
    <rPh sb="469" eb="471">
      <t>カイメ</t>
    </rPh>
    <phoneticPr fontId="1"/>
  </si>
  <si>
    <t>4‐3データ構造とプログラミング基礎</t>
  </si>
  <si>
    <t>＜情報基盤専門部会＞
宮下　健輔（情報基盤部長・CIO補佐・現代社会学部教授）,竹内　康弘（財務部長）,江口　淑子（家政学部准教授）,道越　秀吾（データサイエンス学部准教授）,前川　優里子（連携推進課係長）,中山　貴夫（情報基盤管理運用責任者・現代社会学部教授）,酒井　貴雄（施設課長）,林　雅純（教務課長）,大島　登紀子（情報システム課長）
＜情報基盤センター運営委員会＞
宮下　健輔（情報基盤センター長・現代社会学部教授）,中山　貴夫（情報基盤センター副センター長・現代社会学部教授）,江口　淑子（情報基盤センター員・家政学部准教授）,福永　俊哉（情報基盤センター員・発達教育学部准教授）,道越　秀吾（情報基盤センター員・データサイエンス学部准教授）,横山　仁視（情報基盤センター員・文学部准教授）,市瀬　夏洋（情報基盤センター員・データサイエンス学部教授）,林　雅純（教務課長）,酒井　貴雄（施設課長）,大島　登紀子（情報システム課長）</t>
    <rPh sb="1" eb="9">
      <t>ジョウホウキバンセンモンブカイ</t>
    </rPh>
    <rPh sb="27" eb="29">
      <t>ホサ</t>
    </rPh>
    <rPh sb="30" eb="36">
      <t>ゲンダイシャカイガクブ</t>
    </rPh>
    <rPh sb="36" eb="38">
      <t>キョウジュ</t>
    </rPh>
    <rPh sb="46" eb="50">
      <t>ザイムブチョウ</t>
    </rPh>
    <rPh sb="58" eb="62">
      <t>カセイガクブ</t>
    </rPh>
    <rPh sb="62" eb="63">
      <t>ジュン</t>
    </rPh>
    <rPh sb="63" eb="65">
      <t>キョウジュ</t>
    </rPh>
    <rPh sb="81" eb="83">
      <t>ガクブ</t>
    </rPh>
    <rPh sb="83" eb="86">
      <t>ジュンキョウジュ</t>
    </rPh>
    <rPh sb="95" eb="100">
      <t>レンケイスイシンカ</t>
    </rPh>
    <rPh sb="100" eb="102">
      <t>カカリチョウ</t>
    </rPh>
    <rPh sb="104" eb="106">
      <t>ナカヤマ</t>
    </rPh>
    <rPh sb="107" eb="109">
      <t>タカオ</t>
    </rPh>
    <rPh sb="122" eb="128">
      <t>ゲンダイシャカイガクブ</t>
    </rPh>
    <rPh sb="128" eb="130">
      <t>キョウジュ</t>
    </rPh>
    <rPh sb="132" eb="134">
      <t>サカイ</t>
    </rPh>
    <rPh sb="135" eb="136">
      <t>キ</t>
    </rPh>
    <rPh sb="136" eb="137">
      <t>オ</t>
    </rPh>
    <rPh sb="155" eb="157">
      <t>オオシマ</t>
    </rPh>
    <rPh sb="158" eb="161">
      <t>トキコ</t>
    </rPh>
    <rPh sb="174" eb="178">
      <t>ジョウホウキバン</t>
    </rPh>
    <rPh sb="182" eb="187">
      <t>ウンエイイインカイ</t>
    </rPh>
    <rPh sb="189" eb="191">
      <t>ミヤシタ</t>
    </rPh>
    <rPh sb="266" eb="267">
      <t>ジュン</t>
    </rPh>
    <rPh sb="383" eb="384">
      <t>ハヤシ</t>
    </rPh>
    <rPh sb="385" eb="386">
      <t>マサ</t>
    </rPh>
    <rPh sb="413" eb="415">
      <t>ジョウホウ</t>
    </rPh>
    <rPh sb="419" eb="421">
      <t>カチョウ</t>
    </rPh>
    <phoneticPr fontId="1"/>
  </si>
  <si>
    <t>「データ・AIリテラシー」及び「情報リテラシー」の2科目4単位を修得すること。</t>
    <rPh sb="26" eb="28">
      <t>カモク</t>
    </rPh>
    <rPh sb="29" eb="31">
      <t>タンイ</t>
    </rPh>
    <rPh sb="32" eb="34">
      <t>シュウトク</t>
    </rPh>
    <phoneticPr fontId="1"/>
  </si>
  <si>
    <t>データサイエンスとAI利活用について、背景を通じて、意味や求められるものを理解できる。
データ活用上の留意点（データ倫理の重要性等）を理解できる。
Excelを使って、データを加工・分析し、結果を解釈し説明できる。
数量データを含む多様な情報を収集・分析・表現し、活用するためのリテラシーを身に付ける。</t>
    <phoneticPr fontId="1"/>
  </si>
  <si>
    <t>「データ・AIリテラシー」は令和5年度入学生から適用される新カリキュラムの科目である。「情報リテラシー」とともに共通科目群の中の科目区分「情報基盤科目」に位置づけ、全学部学生について「情報リテラシー」2単位、「データ・AIリテラシー」2単位の計4単位を卒業必修単位としている。1回生開講科目であるため、履修率は毎年度25％ずつ増加する。カリキュラムが完成する令和8年度以降は1回生が履修中、2回生以上が履修済となるため、履修率100％を予定している。</t>
    <rPh sb="14" eb="16">
      <t>レイワ</t>
    </rPh>
    <rPh sb="17" eb="19">
      <t>ネンド</t>
    </rPh>
    <rPh sb="19" eb="22">
      <t>ニュウガクセイ</t>
    </rPh>
    <rPh sb="24" eb="26">
      <t>テキヨウ</t>
    </rPh>
    <rPh sb="29" eb="30">
      <t>シン</t>
    </rPh>
    <rPh sb="37" eb="39">
      <t>カモク</t>
    </rPh>
    <rPh sb="44" eb="46">
      <t>ジョウホウ</t>
    </rPh>
    <rPh sb="64" eb="68">
      <t>カモククブン</t>
    </rPh>
    <rPh sb="82" eb="84">
      <t>ゼンガク</t>
    </rPh>
    <rPh sb="84" eb="85">
      <t>ブ</t>
    </rPh>
    <rPh sb="85" eb="87">
      <t>ガクセイ</t>
    </rPh>
    <rPh sb="92" eb="94">
      <t>ジョウホウ</t>
    </rPh>
    <rPh sb="101" eb="103">
      <t>タンイ</t>
    </rPh>
    <rPh sb="118" eb="120">
      <t>タンイ</t>
    </rPh>
    <rPh sb="121" eb="122">
      <t>ケイ</t>
    </rPh>
    <rPh sb="123" eb="125">
      <t>タンイ</t>
    </rPh>
    <rPh sb="126" eb="130">
      <t>ソツギョウヒッシュウ</t>
    </rPh>
    <rPh sb="130" eb="132">
      <t>タンイ</t>
    </rPh>
    <rPh sb="139" eb="141">
      <t>カイセイ</t>
    </rPh>
    <rPh sb="141" eb="143">
      <t>カイコウ</t>
    </rPh>
    <rPh sb="143" eb="145">
      <t>カモク</t>
    </rPh>
    <rPh sb="151" eb="153">
      <t>リシュウ</t>
    </rPh>
    <rPh sb="153" eb="154">
      <t>リツ</t>
    </rPh>
    <rPh sb="155" eb="158">
      <t>マイネンド</t>
    </rPh>
    <rPh sb="163" eb="165">
      <t>ゾウカ</t>
    </rPh>
    <rPh sb="175" eb="177">
      <t>カンセイ</t>
    </rPh>
    <rPh sb="179" eb="181">
      <t>レイワ</t>
    </rPh>
    <rPh sb="182" eb="184">
      <t>ネンド</t>
    </rPh>
    <rPh sb="184" eb="186">
      <t>イコウ</t>
    </rPh>
    <rPh sb="188" eb="190">
      <t>カイセイ</t>
    </rPh>
    <rPh sb="191" eb="193">
      <t>リシュウ</t>
    </rPh>
    <rPh sb="193" eb="194">
      <t>チュウ</t>
    </rPh>
    <rPh sb="196" eb="197">
      <t>カイ</t>
    </rPh>
    <rPh sb="197" eb="198">
      <t>セイ</t>
    </rPh>
    <rPh sb="198" eb="200">
      <t>イジョウ</t>
    </rPh>
    <rPh sb="201" eb="203">
      <t>リシュウ</t>
    </rPh>
    <rPh sb="203" eb="204">
      <t>ズ</t>
    </rPh>
    <rPh sb="210" eb="213">
      <t>リシュウリツ</t>
    </rPh>
    <rPh sb="218" eb="220">
      <t>ヨテイ</t>
    </rPh>
    <phoneticPr fontId="1"/>
  </si>
  <si>
    <t>情報基盤センター運営委員会宛に、授業担当者による履修状況の報告を毎週実施しており、学期末には単位修得状況も含めた報告を実施している。これらの報告は情報基盤センター運営委員会を通じて情報基盤専門部会にも共有され、それぞれの会議で議論され、授業担当者へフィードバックされている。</t>
    <rPh sb="0" eb="4">
      <t>ジョウホウキバン</t>
    </rPh>
    <rPh sb="8" eb="13">
      <t>ウンエイイインカイ</t>
    </rPh>
    <rPh sb="13" eb="14">
      <t>アテ</t>
    </rPh>
    <rPh sb="16" eb="18">
      <t>ジュギョウ</t>
    </rPh>
    <rPh sb="18" eb="21">
      <t>タントウシャ</t>
    </rPh>
    <rPh sb="24" eb="26">
      <t>リシュウ</t>
    </rPh>
    <rPh sb="26" eb="28">
      <t>ジョウキョウ</t>
    </rPh>
    <rPh sb="29" eb="31">
      <t>ホウコク</t>
    </rPh>
    <rPh sb="32" eb="34">
      <t>マイシュウ</t>
    </rPh>
    <rPh sb="34" eb="36">
      <t>ジッシ</t>
    </rPh>
    <rPh sb="41" eb="43">
      <t>ガッキ</t>
    </rPh>
    <rPh sb="43" eb="44">
      <t>マツ</t>
    </rPh>
    <rPh sb="46" eb="48">
      <t>タンイ</t>
    </rPh>
    <rPh sb="48" eb="50">
      <t>シュウトク</t>
    </rPh>
    <rPh sb="50" eb="52">
      <t>ジョウキョウ</t>
    </rPh>
    <rPh sb="53" eb="54">
      <t>フク</t>
    </rPh>
    <rPh sb="56" eb="58">
      <t>ホウコク</t>
    </rPh>
    <rPh sb="59" eb="61">
      <t>ジッシ</t>
    </rPh>
    <rPh sb="70" eb="72">
      <t>ホウコク</t>
    </rPh>
    <rPh sb="73" eb="77">
      <t>ジョウホウキバン</t>
    </rPh>
    <rPh sb="81" eb="86">
      <t>ウンエイイインカイ</t>
    </rPh>
    <rPh sb="87" eb="88">
      <t>ツウ</t>
    </rPh>
    <rPh sb="90" eb="92">
      <t>ジョウホウ</t>
    </rPh>
    <rPh sb="92" eb="94">
      <t>キバン</t>
    </rPh>
    <rPh sb="94" eb="96">
      <t>センモン</t>
    </rPh>
    <rPh sb="96" eb="98">
      <t>ブカイ</t>
    </rPh>
    <rPh sb="100" eb="102">
      <t>キョウユウ</t>
    </rPh>
    <rPh sb="110" eb="112">
      <t>カイギ</t>
    </rPh>
    <rPh sb="113" eb="115">
      <t>ギロン</t>
    </rPh>
    <rPh sb="118" eb="123">
      <t>ジュギョウタントウシャ</t>
    </rPh>
    <phoneticPr fontId="1"/>
  </si>
  <si>
    <t>上述の授業担当者による報告に毎回の学生の理解度に関するものも含まれており、学期末には全体的な学修成果の把握及び成績不振者について個別に分析している。これらのことについては情報基盤センター運営委員会を通じて情報基盤専門部会にも共有されている。</t>
    <rPh sb="0" eb="2">
      <t>ジョウジュツ</t>
    </rPh>
    <rPh sb="3" eb="8">
      <t>ジュギョウタントウシャ</t>
    </rPh>
    <rPh sb="11" eb="13">
      <t>ホウコク</t>
    </rPh>
    <rPh sb="14" eb="16">
      <t>マイカイ</t>
    </rPh>
    <rPh sb="17" eb="19">
      <t>ガクセイ</t>
    </rPh>
    <rPh sb="20" eb="23">
      <t>リカイド</t>
    </rPh>
    <rPh sb="24" eb="25">
      <t>カン</t>
    </rPh>
    <rPh sb="30" eb="31">
      <t>フク</t>
    </rPh>
    <rPh sb="37" eb="39">
      <t>ガッキ</t>
    </rPh>
    <rPh sb="39" eb="40">
      <t>マツ</t>
    </rPh>
    <rPh sb="42" eb="45">
      <t>ゼンタイテキ</t>
    </rPh>
    <rPh sb="46" eb="48">
      <t>ガクシュウ</t>
    </rPh>
    <rPh sb="48" eb="50">
      <t>セイカ</t>
    </rPh>
    <rPh sb="51" eb="53">
      <t>ハアク</t>
    </rPh>
    <rPh sb="53" eb="54">
      <t>オヨ</t>
    </rPh>
    <rPh sb="55" eb="57">
      <t>セイセキ</t>
    </rPh>
    <rPh sb="57" eb="59">
      <t>フシン</t>
    </rPh>
    <rPh sb="59" eb="60">
      <t>シャ</t>
    </rPh>
    <rPh sb="64" eb="66">
      <t>コベツ</t>
    </rPh>
    <rPh sb="67" eb="69">
      <t>ブンセキ</t>
    </rPh>
    <rPh sb="85" eb="89">
      <t>ジョウホウキバン</t>
    </rPh>
    <rPh sb="93" eb="98">
      <t>ウンエイイインカイ</t>
    </rPh>
    <rPh sb="99" eb="100">
      <t>ツウ</t>
    </rPh>
    <rPh sb="102" eb="104">
      <t>ジョウホウ</t>
    </rPh>
    <rPh sb="104" eb="106">
      <t>キバン</t>
    </rPh>
    <rPh sb="106" eb="108">
      <t>センモン</t>
    </rPh>
    <rPh sb="108" eb="110">
      <t>ブカイ</t>
    </rPh>
    <rPh sb="112" eb="114">
      <t>キョウユウ</t>
    </rPh>
    <phoneticPr fontId="1"/>
  </si>
  <si>
    <t>大学全体で実施している授業アンケートだけでなく、本プログラム科目独自のアンケートを実施し、きめ細かい理解度の把握に努めている。アンケート結果は学期末に情報基盤センター運営委員会に報告され、そこで議論された結果は情報基盤専門部会に報告されている。これをもとに次年度のシラバスや授業内容の改善に繋げている。</t>
    <rPh sb="0" eb="4">
      <t>ダイガクゼンタイ</t>
    </rPh>
    <rPh sb="11" eb="13">
      <t>ジュギョウ</t>
    </rPh>
    <rPh sb="24" eb="25">
      <t>ホン</t>
    </rPh>
    <rPh sb="30" eb="32">
      <t>カモク</t>
    </rPh>
    <rPh sb="32" eb="34">
      <t>ドクジ</t>
    </rPh>
    <rPh sb="41" eb="43">
      <t>ジッシ</t>
    </rPh>
    <rPh sb="47" eb="48">
      <t>コマ</t>
    </rPh>
    <rPh sb="50" eb="53">
      <t>リカイド</t>
    </rPh>
    <rPh sb="54" eb="56">
      <t>ハアク</t>
    </rPh>
    <rPh sb="57" eb="58">
      <t>ツト</t>
    </rPh>
    <rPh sb="68" eb="70">
      <t>ケッカ</t>
    </rPh>
    <rPh sb="71" eb="73">
      <t>ガッキ</t>
    </rPh>
    <rPh sb="73" eb="74">
      <t>マツ</t>
    </rPh>
    <rPh sb="75" eb="77">
      <t>ジョウホウ</t>
    </rPh>
    <rPh sb="77" eb="79">
      <t>キバン</t>
    </rPh>
    <rPh sb="83" eb="85">
      <t>ウンエイ</t>
    </rPh>
    <rPh sb="85" eb="88">
      <t>イインカイ</t>
    </rPh>
    <rPh sb="89" eb="91">
      <t>ホウコク</t>
    </rPh>
    <rPh sb="97" eb="99">
      <t>ギロン</t>
    </rPh>
    <rPh sb="102" eb="104">
      <t>ケッカ</t>
    </rPh>
    <rPh sb="105" eb="107">
      <t>ジョウホウ</t>
    </rPh>
    <rPh sb="107" eb="109">
      <t>キバン</t>
    </rPh>
    <rPh sb="109" eb="111">
      <t>センモン</t>
    </rPh>
    <rPh sb="111" eb="113">
      <t>ブカイ</t>
    </rPh>
    <rPh sb="114" eb="116">
      <t>ホウコク</t>
    </rPh>
    <rPh sb="128" eb="131">
      <t>ジネンド</t>
    </rPh>
    <rPh sb="137" eb="139">
      <t>ジュギョウ</t>
    </rPh>
    <rPh sb="139" eb="141">
      <t>ナイヨウ</t>
    </rPh>
    <rPh sb="142" eb="144">
      <t>カイゼン</t>
    </rPh>
    <rPh sb="145" eb="146">
      <t>ツナ</t>
    </rPh>
    <phoneticPr fontId="1"/>
  </si>
  <si>
    <t>大学全体で行う授業アンケートとは別途、個別に授業内アンケートを行っている。この個別アンケートの結果を分析し、授業内容の改善及び進化に役立てている。卒業必修科目に位置づけているため、まずは授業改善への取組に生かすことを目的とし、これが結果的に後輩等学生への還元につながると考える。</t>
    <rPh sb="0" eb="2">
      <t>ダイガク</t>
    </rPh>
    <rPh sb="2" eb="4">
      <t>ゼンタイ</t>
    </rPh>
    <rPh sb="5" eb="6">
      <t>オコナ</t>
    </rPh>
    <rPh sb="16" eb="18">
      <t>ベット</t>
    </rPh>
    <rPh sb="19" eb="21">
      <t>コベツ</t>
    </rPh>
    <rPh sb="22" eb="25">
      <t>ジュギョウナイ</t>
    </rPh>
    <rPh sb="31" eb="32">
      <t>オコナ</t>
    </rPh>
    <rPh sb="39" eb="41">
      <t>コベツ</t>
    </rPh>
    <rPh sb="47" eb="49">
      <t>ケッカ</t>
    </rPh>
    <rPh sb="50" eb="52">
      <t>ブンセキ</t>
    </rPh>
    <rPh sb="54" eb="58">
      <t>ジュギョウナイヨウ</t>
    </rPh>
    <rPh sb="59" eb="61">
      <t>カイゼン</t>
    </rPh>
    <rPh sb="61" eb="62">
      <t>オヨ</t>
    </rPh>
    <rPh sb="63" eb="65">
      <t>シンカ</t>
    </rPh>
    <rPh sb="66" eb="68">
      <t>ヤクダ</t>
    </rPh>
    <rPh sb="73" eb="79">
      <t>ソツギョウヒッシュウカモク</t>
    </rPh>
    <rPh sb="80" eb="82">
      <t>イチ</t>
    </rPh>
    <rPh sb="93" eb="97">
      <t>ジュギョウカイゼン</t>
    </rPh>
    <rPh sb="99" eb="101">
      <t>トリクミ</t>
    </rPh>
    <rPh sb="102" eb="103">
      <t>イ</t>
    </rPh>
    <rPh sb="108" eb="110">
      <t>モクテキ</t>
    </rPh>
    <rPh sb="116" eb="118">
      <t>ケッカ</t>
    </rPh>
    <rPh sb="118" eb="119">
      <t>テキ</t>
    </rPh>
    <rPh sb="120" eb="122">
      <t>コウハイ</t>
    </rPh>
    <rPh sb="122" eb="123">
      <t>トウ</t>
    </rPh>
    <rPh sb="123" eb="125">
      <t>ガクセイ</t>
    </rPh>
    <rPh sb="127" eb="129">
      <t>カンゲン</t>
    </rPh>
    <rPh sb="135" eb="136">
      <t>カンガ</t>
    </rPh>
    <phoneticPr fontId="1"/>
  </si>
  <si>
    <t>学生が本プログラムで学んだことを今後どのように活用できるのか、具体的にイメージできるように、学科ごとに研究や学生の将来への活用について学科教員の協力を得て情報をまとめた資料を授業内で提供したところ、データとの関連が薄いイメージをもっていたが、より身近に感じられるようになったとアンケートに回答した学生が多く見られた。受講モチベーション向上や受講継続に効果があったと考えられる。</t>
    <rPh sb="3" eb="4">
      <t>ホン</t>
    </rPh>
    <phoneticPr fontId="1"/>
  </si>
  <si>
    <t>・データの集計（和、平均）「データ・AIリテラシー」（５回目）
・データの並び替え、ランキング「データ・AIリテラシー」（６回目）
・データ解析ツール（スプレッドシート）「データ・AIリテラシー」（６回目）
・表形式のデータ（csv）「データ・AIリテラシー」（４回目）</t>
    <rPh sb="28" eb="30">
      <t>カイメ</t>
    </rPh>
    <phoneticPr fontId="1"/>
  </si>
  <si>
    <t>情報基盤専門部会、情報基盤センター運営委員会</t>
    <rPh sb="9" eb="13">
      <t>ジョウホウキバン</t>
    </rPh>
    <rPh sb="17" eb="22">
      <t>ウンエイイインカイ</t>
    </rPh>
    <phoneticPr fontId="1"/>
  </si>
  <si>
    <t>情報基盤専門部会運営内規、京都女子大学情報基盤センター規程</t>
    <rPh sb="0" eb="8">
      <t>ジョウホウキバンセンモンブカイ</t>
    </rPh>
    <rPh sb="8" eb="12">
      <t>ウンエイナイキ</t>
    </rPh>
    <rPh sb="19" eb="23">
      <t>ジョウホウキバン</t>
    </rPh>
    <rPh sb="27" eb="29">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</si>
</sst>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2"/>
      <color theme="1" tint="4.9989318521683403E-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13" fillId="0" borderId="2" xfId="0" applyFont="1" applyBorder="1" applyAlignment="1">
      <alignmen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3"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13" fillId="0" borderId="2" xfId="0" applyFont="1" applyBorder="1" applyAlignment="1">
      <alignment horizontal="left" vertical="center"/>
    </xf>
    <xf numFmtId="0" fontId="12" fillId="0" borderId="3" xfId="0" applyFont="1" applyBorder="1">
      <alignment vertical="center"/>
    </xf>
    <xf numFmtId="0" fontId="12"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6" fillId="0" borderId="18" xfId="0" applyFont="1" applyBorder="1" applyAlignment="1">
      <alignment vertical="top" wrapText="1" shrinkToFit="1"/>
    </xf>
    <xf numFmtId="0" fontId="16" fillId="0" borderId="19" xfId="0" applyFont="1" applyBorder="1" applyAlignment="1">
      <alignment vertical="top" wrapText="1" shrinkToFit="1"/>
    </xf>
    <xf numFmtId="0" fontId="16" fillId="0" borderId="17"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100" zoomScale="150" zoomScaleNormal="100" zoomScaleSheetLayoutView="150" workbookViewId="0">
      <selection activeCell="V101" sqref="V101"/>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45" customHeight="1" x14ac:dyDescent="0.2">
      <c r="A1" s="76"/>
      <c r="B1" s="76"/>
      <c r="C1" s="76"/>
      <c r="D1" s="76"/>
      <c r="E1" s="76"/>
      <c r="F1" s="76"/>
      <c r="G1" s="76"/>
      <c r="H1" s="76"/>
      <c r="I1" s="76"/>
      <c r="J1" s="76"/>
      <c r="K1" s="76"/>
      <c r="L1" s="76"/>
      <c r="M1" s="76"/>
      <c r="N1" s="76"/>
      <c r="O1" s="76"/>
      <c r="P1" s="76"/>
      <c r="Q1" s="76"/>
      <c r="R1" s="76"/>
      <c r="S1" s="76"/>
      <c r="T1" s="122" t="s">
        <v>0</v>
      </c>
      <c r="U1" s="122"/>
      <c r="V1" s="2" t="s">
        <v>1</v>
      </c>
    </row>
    <row r="2" spans="1:24" ht="18.75" customHeight="1" x14ac:dyDescent="0.2">
      <c r="A2" s="76"/>
      <c r="B2" s="77" t="s">
        <v>2</v>
      </c>
      <c r="C2" s="123" t="s">
        <v>3</v>
      </c>
      <c r="D2" s="124"/>
      <c r="E2" s="124"/>
      <c r="F2" s="124"/>
      <c r="G2" s="124"/>
      <c r="H2" s="124"/>
      <c r="I2" s="124"/>
      <c r="J2" s="125"/>
      <c r="K2" s="78"/>
      <c r="L2" s="79"/>
      <c r="M2" s="79"/>
      <c r="N2" s="79"/>
      <c r="O2" s="79"/>
      <c r="P2" s="79"/>
      <c r="Q2" s="79"/>
      <c r="R2" s="79"/>
      <c r="S2" s="79"/>
      <c r="T2" s="79"/>
      <c r="U2" s="79"/>
    </row>
    <row r="3" spans="1:24" ht="18.75" customHeight="1" x14ac:dyDescent="0.2">
      <c r="A3" s="76"/>
      <c r="B3" s="77" t="s">
        <v>4</v>
      </c>
      <c r="C3" s="123" t="s">
        <v>5</v>
      </c>
      <c r="D3" s="124"/>
      <c r="E3" s="124"/>
      <c r="F3" s="124"/>
      <c r="G3" s="124"/>
      <c r="H3" s="124"/>
      <c r="I3" s="124"/>
      <c r="J3" s="125"/>
      <c r="K3" s="78"/>
      <c r="L3" s="79"/>
      <c r="M3" s="79"/>
      <c r="N3" s="79"/>
      <c r="O3" s="79"/>
      <c r="P3" s="79"/>
      <c r="Q3" s="79"/>
      <c r="R3" s="79"/>
      <c r="S3" s="79"/>
      <c r="T3" s="79"/>
      <c r="U3" s="79"/>
    </row>
    <row r="4" spans="1:24" ht="15" customHeight="1" x14ac:dyDescent="0.2">
      <c r="A4" s="76"/>
      <c r="B4" s="76"/>
      <c r="C4" s="76"/>
      <c r="D4" s="76"/>
      <c r="E4" s="76"/>
      <c r="F4" s="76"/>
      <c r="G4" s="76"/>
      <c r="H4" s="76"/>
      <c r="I4" s="76"/>
      <c r="J4" s="76"/>
      <c r="K4" s="76"/>
      <c r="L4" s="78"/>
      <c r="M4" s="80"/>
      <c r="N4" s="80"/>
      <c r="O4" s="80"/>
      <c r="P4" s="80"/>
      <c r="Q4" s="80"/>
      <c r="R4" s="80"/>
      <c r="S4" s="80"/>
      <c r="T4" s="80"/>
      <c r="U4" s="80"/>
    </row>
    <row r="5" spans="1:24" ht="18" customHeight="1" x14ac:dyDescent="0.2">
      <c r="A5" s="126" t="s">
        <v>6</v>
      </c>
      <c r="B5" s="126"/>
      <c r="C5" s="126"/>
      <c r="D5" s="126"/>
      <c r="E5" s="126"/>
      <c r="F5" s="126"/>
      <c r="G5" s="126"/>
      <c r="H5" s="126"/>
      <c r="I5" s="126"/>
      <c r="J5" s="126"/>
      <c r="K5" s="126"/>
      <c r="L5" s="126"/>
      <c r="M5" s="126"/>
      <c r="N5" s="126"/>
      <c r="O5" s="126"/>
      <c r="P5" s="126"/>
      <c r="Q5" s="126"/>
      <c r="R5" s="126"/>
      <c r="S5" s="126"/>
      <c r="T5" s="126"/>
      <c r="U5" s="126"/>
    </row>
    <row r="6" spans="1:24" ht="15" customHeight="1" x14ac:dyDescent="0.2">
      <c r="A6" s="76"/>
      <c r="B6" s="81"/>
      <c r="C6" s="81"/>
      <c r="D6" s="81"/>
      <c r="E6" s="81"/>
      <c r="F6" s="81"/>
      <c r="G6" s="81"/>
      <c r="H6" s="81"/>
      <c r="I6" s="81"/>
      <c r="J6" s="81"/>
      <c r="K6" s="81"/>
      <c r="L6" s="81"/>
      <c r="M6" s="81"/>
      <c r="N6" s="81"/>
      <c r="O6" s="81"/>
      <c r="P6" s="81"/>
      <c r="Q6" s="81"/>
      <c r="R6" s="81"/>
      <c r="S6" s="81"/>
      <c r="T6" s="81"/>
      <c r="U6" s="81"/>
    </row>
    <row r="7" spans="1:24" ht="15" customHeight="1" x14ac:dyDescent="0.2">
      <c r="A7" s="76" t="s">
        <v>7</v>
      </c>
      <c r="B7" s="81"/>
      <c r="C7" s="81"/>
      <c r="D7" s="81"/>
      <c r="E7" s="81"/>
      <c r="F7" s="75"/>
      <c r="G7" s="75"/>
      <c r="H7" s="75"/>
      <c r="I7" s="75"/>
      <c r="J7" s="75"/>
      <c r="K7" s="75"/>
      <c r="L7" s="100" t="s">
        <v>8</v>
      </c>
      <c r="M7" s="101"/>
      <c r="N7" s="101"/>
      <c r="O7" s="101"/>
      <c r="P7" s="101"/>
      <c r="Q7" s="101"/>
      <c r="R7" s="101"/>
      <c r="S7" s="101"/>
      <c r="T7" s="101"/>
      <c r="U7" s="102"/>
    </row>
    <row r="8" spans="1:24" ht="6" customHeight="1" x14ac:dyDescent="0.2">
      <c r="A8" s="76"/>
      <c r="B8" s="81"/>
      <c r="C8" s="81"/>
      <c r="D8" s="81"/>
      <c r="E8" s="81"/>
      <c r="F8" s="81"/>
      <c r="G8" s="81"/>
      <c r="H8" s="81"/>
      <c r="I8" s="81"/>
      <c r="J8" s="81"/>
      <c r="K8" s="81"/>
      <c r="L8" s="81"/>
      <c r="M8" s="81"/>
      <c r="N8" s="81"/>
      <c r="O8" s="81"/>
      <c r="P8" s="81"/>
      <c r="Q8" s="81"/>
      <c r="R8" s="81"/>
      <c r="S8" s="81"/>
      <c r="T8" s="81"/>
      <c r="U8" s="81"/>
    </row>
    <row r="9" spans="1:24" ht="18" customHeight="1" x14ac:dyDescent="0.2">
      <c r="A9" s="76" t="s">
        <v>9</v>
      </c>
      <c r="B9" s="76"/>
      <c r="C9" s="81"/>
      <c r="D9" s="81"/>
      <c r="E9" s="76"/>
      <c r="F9" s="76"/>
      <c r="G9" s="76"/>
      <c r="H9" s="76"/>
      <c r="I9" s="76"/>
      <c r="J9" s="76"/>
      <c r="K9" s="78"/>
      <c r="L9" s="75"/>
      <c r="M9" s="75"/>
      <c r="N9" s="75"/>
      <c r="O9" s="75"/>
      <c r="P9" s="75"/>
      <c r="Q9" s="75"/>
      <c r="R9" s="75"/>
      <c r="S9" s="75"/>
      <c r="T9" s="75"/>
      <c r="U9" s="75"/>
    </row>
    <row r="10" spans="1:24" ht="6" customHeight="1" x14ac:dyDescent="0.2">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2">
      <c r="A11" s="76"/>
      <c r="B11" s="106"/>
      <c r="C11" s="107"/>
      <c r="D11" s="107"/>
      <c r="E11" s="107"/>
      <c r="F11" s="107"/>
      <c r="G11" s="107"/>
      <c r="H11" s="107"/>
      <c r="I11" s="107"/>
      <c r="J11" s="107"/>
      <c r="K11" s="107"/>
      <c r="L11" s="107"/>
      <c r="M11" s="107"/>
      <c r="N11" s="107"/>
      <c r="O11" s="107"/>
      <c r="P11" s="107"/>
      <c r="Q11" s="107"/>
      <c r="R11" s="107"/>
      <c r="S11" s="107"/>
      <c r="T11" s="107"/>
      <c r="U11" s="108"/>
    </row>
    <row r="12" spans="1:24" ht="18" customHeight="1" x14ac:dyDescent="0.2">
      <c r="A12" s="76"/>
      <c r="B12" s="109"/>
      <c r="C12" s="110"/>
      <c r="D12" s="110"/>
      <c r="E12" s="110"/>
      <c r="F12" s="110"/>
      <c r="G12" s="110"/>
      <c r="H12" s="110"/>
      <c r="I12" s="110"/>
      <c r="J12" s="110"/>
      <c r="K12" s="110"/>
      <c r="L12" s="110"/>
      <c r="M12" s="110"/>
      <c r="N12" s="110"/>
      <c r="O12" s="110"/>
      <c r="P12" s="110"/>
      <c r="Q12" s="110"/>
      <c r="R12" s="110"/>
      <c r="S12" s="110"/>
      <c r="T12" s="110"/>
      <c r="U12" s="111"/>
    </row>
    <row r="13" spans="1:24" ht="6" customHeight="1" x14ac:dyDescent="0.2">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2">
      <c r="A14" s="76" t="s">
        <v>10</v>
      </c>
      <c r="B14" s="81"/>
      <c r="C14" s="81"/>
      <c r="D14" s="81"/>
      <c r="E14" s="78"/>
      <c r="F14" s="78"/>
      <c r="G14" s="78"/>
      <c r="H14" s="78"/>
      <c r="I14" s="78"/>
      <c r="J14" s="78"/>
      <c r="K14" s="78"/>
      <c r="L14" s="83"/>
      <c r="M14" s="83"/>
      <c r="N14" s="83"/>
      <c r="O14" s="83"/>
      <c r="P14" s="83"/>
      <c r="Q14" s="83"/>
      <c r="R14" s="83"/>
      <c r="S14" s="83"/>
      <c r="T14" s="83"/>
      <c r="U14" s="83"/>
    </row>
    <row r="15" spans="1:24" ht="18" customHeight="1" x14ac:dyDescent="0.2">
      <c r="A15" s="76"/>
      <c r="B15" s="127" t="s">
        <v>177</v>
      </c>
      <c r="C15" s="128"/>
      <c r="D15" s="128"/>
      <c r="E15" s="128"/>
      <c r="F15" s="128"/>
      <c r="G15" s="128"/>
      <c r="H15" s="128"/>
      <c r="I15" s="128"/>
      <c r="J15" s="128"/>
      <c r="K15" s="128"/>
      <c r="L15" s="128"/>
      <c r="M15" s="128"/>
      <c r="N15" s="128"/>
      <c r="O15" s="128"/>
      <c r="P15" s="128"/>
      <c r="Q15" s="128"/>
      <c r="R15" s="128"/>
      <c r="S15" s="128"/>
      <c r="T15" s="128"/>
      <c r="U15" s="129"/>
      <c r="X15" s="1" t="s">
        <v>11</v>
      </c>
    </row>
    <row r="16" spans="1:24" ht="18" customHeight="1" x14ac:dyDescent="0.2">
      <c r="A16" s="76"/>
      <c r="B16" s="130"/>
      <c r="C16" s="131"/>
      <c r="D16" s="131"/>
      <c r="E16" s="131"/>
      <c r="F16" s="131"/>
      <c r="G16" s="131"/>
      <c r="H16" s="131"/>
      <c r="I16" s="131"/>
      <c r="J16" s="131"/>
      <c r="K16" s="131"/>
      <c r="L16" s="131"/>
      <c r="M16" s="131"/>
      <c r="N16" s="131"/>
      <c r="O16" s="131"/>
      <c r="P16" s="131"/>
      <c r="Q16" s="131"/>
      <c r="R16" s="131"/>
      <c r="S16" s="131"/>
      <c r="T16" s="131"/>
      <c r="U16" s="132"/>
      <c r="X16" s="1" t="s">
        <v>12</v>
      </c>
    </row>
    <row r="17" spans="1:24" ht="18" customHeight="1" x14ac:dyDescent="0.2">
      <c r="A17" s="76"/>
      <c r="B17" s="130"/>
      <c r="C17" s="131"/>
      <c r="D17" s="131"/>
      <c r="E17" s="131"/>
      <c r="F17" s="131"/>
      <c r="G17" s="131"/>
      <c r="H17" s="131"/>
      <c r="I17" s="131"/>
      <c r="J17" s="131"/>
      <c r="K17" s="131"/>
      <c r="L17" s="131"/>
      <c r="M17" s="131"/>
      <c r="N17" s="131"/>
      <c r="O17" s="131"/>
      <c r="P17" s="131"/>
      <c r="Q17" s="131"/>
      <c r="R17" s="131"/>
      <c r="S17" s="131"/>
      <c r="T17" s="131"/>
      <c r="U17" s="132"/>
      <c r="X17" s="1" t="s">
        <v>13</v>
      </c>
    </row>
    <row r="18" spans="1:24" ht="18" customHeight="1" x14ac:dyDescent="0.2">
      <c r="A18" s="76"/>
      <c r="B18" s="130"/>
      <c r="C18" s="131"/>
      <c r="D18" s="131"/>
      <c r="E18" s="131"/>
      <c r="F18" s="131"/>
      <c r="G18" s="131"/>
      <c r="H18" s="131"/>
      <c r="I18" s="131"/>
      <c r="J18" s="131"/>
      <c r="K18" s="131"/>
      <c r="L18" s="131"/>
      <c r="M18" s="131"/>
      <c r="N18" s="131"/>
      <c r="O18" s="131"/>
      <c r="P18" s="131"/>
      <c r="Q18" s="131"/>
      <c r="R18" s="131"/>
      <c r="S18" s="131"/>
      <c r="T18" s="131"/>
      <c r="U18" s="132"/>
      <c r="X18" s="1" t="s">
        <v>14</v>
      </c>
    </row>
    <row r="19" spans="1:24" ht="18" customHeight="1" x14ac:dyDescent="0.2">
      <c r="A19" s="76"/>
      <c r="B19" s="130"/>
      <c r="C19" s="131"/>
      <c r="D19" s="131"/>
      <c r="E19" s="131"/>
      <c r="F19" s="131"/>
      <c r="G19" s="131"/>
      <c r="H19" s="131"/>
      <c r="I19" s="131"/>
      <c r="J19" s="131"/>
      <c r="K19" s="131"/>
      <c r="L19" s="131"/>
      <c r="M19" s="131"/>
      <c r="N19" s="131"/>
      <c r="O19" s="131"/>
      <c r="P19" s="131"/>
      <c r="Q19" s="131"/>
      <c r="R19" s="131"/>
      <c r="S19" s="131"/>
      <c r="T19" s="131"/>
      <c r="U19" s="132"/>
    </row>
    <row r="20" spans="1:24" ht="18" customHeight="1" x14ac:dyDescent="0.2">
      <c r="A20" s="76"/>
      <c r="B20" s="133"/>
      <c r="C20" s="134"/>
      <c r="D20" s="134"/>
      <c r="E20" s="134"/>
      <c r="F20" s="134"/>
      <c r="G20" s="134"/>
      <c r="H20" s="134"/>
      <c r="I20" s="134"/>
      <c r="J20" s="134"/>
      <c r="K20" s="134"/>
      <c r="L20" s="134"/>
      <c r="M20" s="134"/>
      <c r="N20" s="134"/>
      <c r="O20" s="134"/>
      <c r="P20" s="134"/>
      <c r="Q20" s="134"/>
      <c r="R20" s="134"/>
      <c r="S20" s="134"/>
      <c r="T20" s="134"/>
      <c r="U20" s="135"/>
    </row>
    <row r="21" spans="1:24" ht="7.5" customHeight="1" x14ac:dyDescent="0.2">
      <c r="A21" s="76"/>
      <c r="B21" s="81"/>
      <c r="C21" s="81"/>
      <c r="D21" s="81"/>
      <c r="E21" s="81"/>
      <c r="F21" s="81"/>
      <c r="G21" s="81"/>
      <c r="H21" s="81"/>
      <c r="I21" s="81"/>
      <c r="J21" s="81"/>
      <c r="K21" s="81"/>
      <c r="L21" s="81"/>
      <c r="M21" s="81"/>
      <c r="N21" s="81"/>
      <c r="O21" s="81"/>
      <c r="P21" s="81"/>
      <c r="Q21" s="81"/>
      <c r="R21" s="81"/>
      <c r="S21" s="81"/>
      <c r="T21" s="81"/>
      <c r="U21" s="81"/>
    </row>
    <row r="22" spans="1:24" ht="19.95" customHeight="1" x14ac:dyDescent="0.2">
      <c r="A22" s="76"/>
      <c r="B22" s="76" t="s">
        <v>15</v>
      </c>
      <c r="C22" s="76"/>
      <c r="D22" s="76"/>
      <c r="E22" s="84">
        <v>2</v>
      </c>
      <c r="F22" s="76" t="s">
        <v>16</v>
      </c>
      <c r="G22" s="76"/>
      <c r="H22" s="85">
        <v>4</v>
      </c>
      <c r="I22" s="81" t="s">
        <v>17</v>
      </c>
      <c r="J22" s="81"/>
      <c r="K22" s="78"/>
      <c r="L22" s="76"/>
      <c r="M22" s="78" t="s">
        <v>18</v>
      </c>
      <c r="N22" s="97" t="s">
        <v>12</v>
      </c>
      <c r="O22" s="98"/>
      <c r="P22" s="98"/>
      <c r="Q22" s="98"/>
      <c r="R22" s="98"/>
      <c r="S22" s="98"/>
      <c r="T22" s="98"/>
      <c r="U22" s="99"/>
    </row>
    <row r="23" spans="1:24" ht="7.5" customHeight="1" x14ac:dyDescent="0.2">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2">
      <c r="A24" s="136" t="s">
        <v>19</v>
      </c>
      <c r="B24" s="136"/>
      <c r="C24" s="136"/>
      <c r="D24" s="136"/>
      <c r="E24" s="136"/>
      <c r="F24" s="136"/>
      <c r="G24" s="136"/>
      <c r="H24" s="136"/>
      <c r="I24" s="136"/>
      <c r="J24" s="136"/>
      <c r="K24" s="136"/>
      <c r="L24" s="136"/>
      <c r="M24" s="136"/>
      <c r="N24" s="136"/>
      <c r="O24" s="136"/>
      <c r="P24" s="136"/>
      <c r="Q24" s="136"/>
      <c r="R24" s="136"/>
      <c r="S24" s="136"/>
      <c r="T24" s="136"/>
      <c r="U24" s="136"/>
    </row>
    <row r="25" spans="1:24" ht="18" customHeight="1" x14ac:dyDescent="0.2">
      <c r="A25" s="136"/>
      <c r="B25" s="136"/>
      <c r="C25" s="136"/>
      <c r="D25" s="136"/>
      <c r="E25" s="136"/>
      <c r="F25" s="136"/>
      <c r="G25" s="136"/>
      <c r="H25" s="136"/>
      <c r="I25" s="136"/>
      <c r="J25" s="136"/>
      <c r="K25" s="136"/>
      <c r="L25" s="136"/>
      <c r="M25" s="136"/>
      <c r="N25" s="136"/>
      <c r="O25" s="136"/>
      <c r="P25" s="136"/>
      <c r="Q25" s="136"/>
      <c r="R25" s="136"/>
      <c r="S25" s="136"/>
      <c r="T25" s="136"/>
      <c r="U25" s="136"/>
    </row>
    <row r="26" spans="1:24" ht="18" customHeight="1" x14ac:dyDescent="0.2">
      <c r="B26" s="103" t="s">
        <v>20</v>
      </c>
      <c r="C26" s="104"/>
      <c r="D26" s="104"/>
      <c r="E26" s="104"/>
      <c r="F26" s="105"/>
      <c r="G26" s="51" t="s">
        <v>21</v>
      </c>
      <c r="H26" s="50" t="s">
        <v>22</v>
      </c>
      <c r="I26" s="17" t="s">
        <v>23</v>
      </c>
      <c r="J26" s="17" t="s">
        <v>24</v>
      </c>
      <c r="K26" s="103" t="s">
        <v>20</v>
      </c>
      <c r="L26" s="104"/>
      <c r="M26" s="104"/>
      <c r="N26" s="104"/>
      <c r="O26" s="104"/>
      <c r="P26" s="104"/>
      <c r="Q26" s="105"/>
      <c r="R26" s="51" t="s">
        <v>21</v>
      </c>
      <c r="S26" s="50" t="s">
        <v>22</v>
      </c>
      <c r="T26" s="17" t="s">
        <v>23</v>
      </c>
      <c r="U26" s="17" t="s">
        <v>24</v>
      </c>
    </row>
    <row r="27" spans="1:24" ht="18" customHeight="1" x14ac:dyDescent="0.2">
      <c r="B27" s="118" t="s">
        <v>25</v>
      </c>
      <c r="C27" s="119"/>
      <c r="D27" s="119"/>
      <c r="E27" s="119"/>
      <c r="F27" s="120"/>
      <c r="G27" s="18">
        <v>2</v>
      </c>
      <c r="H27" s="18" t="s">
        <v>26</v>
      </c>
      <c r="I27" s="18" t="s">
        <v>26</v>
      </c>
      <c r="J27" s="18" t="s">
        <v>26</v>
      </c>
      <c r="K27" s="118"/>
      <c r="L27" s="119"/>
      <c r="M27" s="119"/>
      <c r="N27" s="119"/>
      <c r="O27" s="119"/>
      <c r="P27" s="119"/>
      <c r="Q27" s="120"/>
      <c r="R27" s="18"/>
      <c r="S27" s="18"/>
      <c r="T27" s="18"/>
      <c r="U27" s="18"/>
    </row>
    <row r="28" spans="1:24" ht="18" customHeight="1" x14ac:dyDescent="0.2">
      <c r="B28" s="112"/>
      <c r="C28" s="113"/>
      <c r="D28" s="113"/>
      <c r="E28" s="113"/>
      <c r="F28" s="114"/>
      <c r="G28" s="19"/>
      <c r="H28" s="19"/>
      <c r="I28" s="19"/>
      <c r="J28" s="19"/>
      <c r="K28" s="112"/>
      <c r="L28" s="113"/>
      <c r="M28" s="113"/>
      <c r="N28" s="113"/>
      <c r="O28" s="113"/>
      <c r="P28" s="113"/>
      <c r="Q28" s="114"/>
      <c r="R28" s="19"/>
      <c r="S28" s="19"/>
      <c r="T28" s="19"/>
      <c r="U28" s="19"/>
    </row>
    <row r="29" spans="1:24" ht="18" customHeight="1" x14ac:dyDescent="0.2">
      <c r="B29" s="112"/>
      <c r="C29" s="113"/>
      <c r="D29" s="113"/>
      <c r="E29" s="113"/>
      <c r="F29" s="114"/>
      <c r="G29" s="19"/>
      <c r="H29" s="19"/>
      <c r="I29" s="19"/>
      <c r="J29" s="19"/>
      <c r="K29" s="112"/>
      <c r="L29" s="113"/>
      <c r="M29" s="113"/>
      <c r="N29" s="113"/>
      <c r="O29" s="113"/>
      <c r="P29" s="113"/>
      <c r="Q29" s="114"/>
      <c r="R29" s="19"/>
      <c r="S29" s="19"/>
      <c r="T29" s="19"/>
      <c r="U29" s="19"/>
    </row>
    <row r="30" spans="1:24" ht="18" customHeight="1" x14ac:dyDescent="0.2">
      <c r="B30" s="112"/>
      <c r="C30" s="113"/>
      <c r="D30" s="113"/>
      <c r="E30" s="113"/>
      <c r="F30" s="114"/>
      <c r="G30" s="19"/>
      <c r="H30" s="19"/>
      <c r="I30" s="19"/>
      <c r="J30" s="19"/>
      <c r="K30" s="112"/>
      <c r="L30" s="113"/>
      <c r="M30" s="113"/>
      <c r="N30" s="113"/>
      <c r="O30" s="113"/>
      <c r="P30" s="113"/>
      <c r="Q30" s="114"/>
      <c r="R30" s="19"/>
      <c r="S30" s="19"/>
      <c r="T30" s="19"/>
      <c r="U30" s="19"/>
    </row>
    <row r="31" spans="1:24" ht="18" customHeight="1" x14ac:dyDescent="0.2">
      <c r="B31" s="112"/>
      <c r="C31" s="113"/>
      <c r="D31" s="113"/>
      <c r="E31" s="113"/>
      <c r="F31" s="114"/>
      <c r="G31" s="19"/>
      <c r="H31" s="19"/>
      <c r="I31" s="19"/>
      <c r="J31" s="19"/>
      <c r="K31" s="112"/>
      <c r="L31" s="113"/>
      <c r="M31" s="113"/>
      <c r="N31" s="113"/>
      <c r="O31" s="113"/>
      <c r="P31" s="113"/>
      <c r="Q31" s="114"/>
      <c r="R31" s="19"/>
      <c r="S31" s="19"/>
      <c r="T31" s="19"/>
      <c r="U31" s="19"/>
    </row>
    <row r="32" spans="1:24" ht="18" customHeight="1" x14ac:dyDescent="0.2">
      <c r="A32" s="3"/>
      <c r="B32" s="112"/>
      <c r="C32" s="113"/>
      <c r="D32" s="113"/>
      <c r="E32" s="113"/>
      <c r="F32" s="114"/>
      <c r="G32" s="19"/>
      <c r="H32" s="19"/>
      <c r="I32" s="19"/>
      <c r="J32" s="19"/>
      <c r="K32" s="112"/>
      <c r="L32" s="113"/>
      <c r="M32" s="113"/>
      <c r="N32" s="113"/>
      <c r="O32" s="113"/>
      <c r="P32" s="113"/>
      <c r="Q32" s="114"/>
      <c r="R32" s="19"/>
      <c r="S32" s="19"/>
      <c r="T32" s="19"/>
      <c r="U32" s="19"/>
    </row>
    <row r="33" spans="1:21" ht="18" customHeight="1" x14ac:dyDescent="0.2">
      <c r="A33" s="3"/>
      <c r="B33" s="115"/>
      <c r="C33" s="116"/>
      <c r="D33" s="116"/>
      <c r="E33" s="116"/>
      <c r="F33" s="117"/>
      <c r="G33" s="20"/>
      <c r="H33" s="20"/>
      <c r="I33" s="21"/>
      <c r="J33" s="21"/>
      <c r="K33" s="115"/>
      <c r="L33" s="116"/>
      <c r="M33" s="116"/>
      <c r="N33" s="116"/>
      <c r="O33" s="116"/>
      <c r="P33" s="116"/>
      <c r="Q33" s="117"/>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1" t="s">
        <v>27</v>
      </c>
      <c r="B35" s="121"/>
      <c r="C35" s="121"/>
      <c r="D35" s="121"/>
      <c r="E35" s="121"/>
      <c r="F35" s="121"/>
      <c r="G35" s="121"/>
      <c r="H35" s="121"/>
      <c r="I35" s="121"/>
      <c r="J35" s="121"/>
      <c r="K35" s="121"/>
      <c r="L35" s="121"/>
      <c r="M35" s="121"/>
      <c r="N35" s="121"/>
      <c r="O35" s="121"/>
      <c r="P35" s="121"/>
      <c r="Q35" s="121"/>
      <c r="R35" s="121"/>
      <c r="S35" s="121"/>
      <c r="T35" s="121"/>
      <c r="U35" s="121"/>
    </row>
    <row r="36" spans="1:21" ht="18" customHeight="1" x14ac:dyDescent="0.2">
      <c r="A36" s="121"/>
      <c r="B36" s="121"/>
      <c r="C36" s="121"/>
      <c r="D36" s="121"/>
      <c r="E36" s="121"/>
      <c r="F36" s="121"/>
      <c r="G36" s="121"/>
      <c r="H36" s="121"/>
      <c r="I36" s="121"/>
      <c r="J36" s="121"/>
      <c r="K36" s="121"/>
      <c r="L36" s="121"/>
      <c r="M36" s="121"/>
      <c r="N36" s="121"/>
      <c r="O36" s="121"/>
      <c r="P36" s="121"/>
      <c r="Q36" s="121"/>
      <c r="R36" s="121"/>
      <c r="S36" s="121"/>
      <c r="T36" s="121"/>
      <c r="U36" s="121"/>
    </row>
    <row r="37" spans="1:21" ht="18" customHeight="1" x14ac:dyDescent="0.2">
      <c r="B37" s="103" t="s">
        <v>20</v>
      </c>
      <c r="C37" s="104"/>
      <c r="D37" s="104"/>
      <c r="E37" s="104"/>
      <c r="F37" s="105"/>
      <c r="G37" s="51" t="s">
        <v>21</v>
      </c>
      <c r="H37" s="50" t="s">
        <v>22</v>
      </c>
      <c r="I37" s="17" t="s">
        <v>28</v>
      </c>
      <c r="J37" s="17" t="s">
        <v>29</v>
      </c>
      <c r="K37" s="103" t="s">
        <v>20</v>
      </c>
      <c r="L37" s="104"/>
      <c r="M37" s="104"/>
      <c r="N37" s="104"/>
      <c r="O37" s="104"/>
      <c r="P37" s="104"/>
      <c r="Q37" s="105"/>
      <c r="R37" s="51" t="s">
        <v>21</v>
      </c>
      <c r="S37" s="50" t="s">
        <v>22</v>
      </c>
      <c r="T37" s="17" t="s">
        <v>28</v>
      </c>
      <c r="U37" s="17" t="s">
        <v>29</v>
      </c>
    </row>
    <row r="38" spans="1:21" ht="18" customHeight="1" x14ac:dyDescent="0.2">
      <c r="B38" s="118" t="s">
        <v>25</v>
      </c>
      <c r="C38" s="119"/>
      <c r="D38" s="119"/>
      <c r="E38" s="119"/>
      <c r="F38" s="120"/>
      <c r="G38" s="18">
        <v>2</v>
      </c>
      <c r="H38" s="18" t="s">
        <v>26</v>
      </c>
      <c r="I38" s="18" t="s">
        <v>26</v>
      </c>
      <c r="J38" s="18" t="s">
        <v>26</v>
      </c>
      <c r="K38" s="118"/>
      <c r="L38" s="119"/>
      <c r="M38" s="119"/>
      <c r="N38" s="119"/>
      <c r="O38" s="119"/>
      <c r="P38" s="119"/>
      <c r="Q38" s="120"/>
      <c r="R38" s="18"/>
      <c r="S38" s="18"/>
      <c r="T38" s="18"/>
      <c r="U38" s="18"/>
    </row>
    <row r="39" spans="1:21" ht="18" customHeight="1" x14ac:dyDescent="0.2">
      <c r="B39" s="112"/>
      <c r="C39" s="113"/>
      <c r="D39" s="113"/>
      <c r="E39" s="113"/>
      <c r="F39" s="114"/>
      <c r="G39" s="19"/>
      <c r="H39" s="19"/>
      <c r="I39" s="19"/>
      <c r="J39" s="19"/>
      <c r="K39" s="112"/>
      <c r="L39" s="113"/>
      <c r="M39" s="113"/>
      <c r="N39" s="113"/>
      <c r="O39" s="113"/>
      <c r="P39" s="113"/>
      <c r="Q39" s="114"/>
      <c r="R39" s="19"/>
      <c r="S39" s="19"/>
      <c r="T39" s="19"/>
      <c r="U39" s="19"/>
    </row>
    <row r="40" spans="1:21" ht="18" customHeight="1" x14ac:dyDescent="0.2">
      <c r="B40" s="112"/>
      <c r="C40" s="113"/>
      <c r="D40" s="113"/>
      <c r="E40" s="113"/>
      <c r="F40" s="114"/>
      <c r="G40" s="19"/>
      <c r="H40" s="19"/>
      <c r="I40" s="19"/>
      <c r="J40" s="19"/>
      <c r="K40" s="112"/>
      <c r="L40" s="113"/>
      <c r="M40" s="113"/>
      <c r="N40" s="113"/>
      <c r="O40" s="113"/>
      <c r="P40" s="113"/>
      <c r="Q40" s="114"/>
      <c r="R40" s="19"/>
      <c r="S40" s="19"/>
      <c r="T40" s="19"/>
      <c r="U40" s="19"/>
    </row>
    <row r="41" spans="1:21" ht="18" customHeight="1" x14ac:dyDescent="0.2">
      <c r="B41" s="112"/>
      <c r="C41" s="113"/>
      <c r="D41" s="113"/>
      <c r="E41" s="113"/>
      <c r="F41" s="114"/>
      <c r="G41" s="19"/>
      <c r="H41" s="19"/>
      <c r="I41" s="19"/>
      <c r="J41" s="19"/>
      <c r="K41" s="112"/>
      <c r="L41" s="113"/>
      <c r="M41" s="113"/>
      <c r="N41" s="113"/>
      <c r="O41" s="113"/>
      <c r="P41" s="113"/>
      <c r="Q41" s="114"/>
      <c r="R41" s="19"/>
      <c r="S41" s="19"/>
      <c r="T41" s="19"/>
      <c r="U41" s="19"/>
    </row>
    <row r="42" spans="1:21" ht="18" customHeight="1" x14ac:dyDescent="0.2">
      <c r="B42" s="112"/>
      <c r="C42" s="113"/>
      <c r="D42" s="113"/>
      <c r="E42" s="113"/>
      <c r="F42" s="114"/>
      <c r="G42" s="19"/>
      <c r="H42" s="19"/>
      <c r="I42" s="19"/>
      <c r="J42" s="19"/>
      <c r="K42" s="112"/>
      <c r="L42" s="113"/>
      <c r="M42" s="113"/>
      <c r="N42" s="113"/>
      <c r="O42" s="113"/>
      <c r="P42" s="113"/>
      <c r="Q42" s="114"/>
      <c r="R42" s="19"/>
      <c r="S42" s="19"/>
      <c r="T42" s="19"/>
      <c r="U42" s="19"/>
    </row>
    <row r="43" spans="1:21" ht="18" customHeight="1" x14ac:dyDescent="0.2">
      <c r="B43" s="112"/>
      <c r="C43" s="113"/>
      <c r="D43" s="113"/>
      <c r="E43" s="113"/>
      <c r="F43" s="114"/>
      <c r="G43" s="19"/>
      <c r="H43" s="19"/>
      <c r="I43" s="19"/>
      <c r="J43" s="19"/>
      <c r="K43" s="112"/>
      <c r="L43" s="113"/>
      <c r="M43" s="113"/>
      <c r="N43" s="113"/>
      <c r="O43" s="113"/>
      <c r="P43" s="113"/>
      <c r="Q43" s="114"/>
      <c r="R43" s="19"/>
      <c r="S43" s="19"/>
      <c r="T43" s="19"/>
      <c r="U43" s="19"/>
    </row>
    <row r="44" spans="1:21" ht="18" customHeight="1" x14ac:dyDescent="0.2">
      <c r="B44" s="115"/>
      <c r="C44" s="116"/>
      <c r="D44" s="116"/>
      <c r="E44" s="116"/>
      <c r="F44" s="117"/>
      <c r="G44" s="20"/>
      <c r="H44" s="20"/>
      <c r="I44" s="21"/>
      <c r="J44" s="21"/>
      <c r="K44" s="115"/>
      <c r="L44" s="116"/>
      <c r="M44" s="116"/>
      <c r="N44" s="116"/>
      <c r="O44" s="116"/>
      <c r="P44" s="116"/>
      <c r="Q44" s="117"/>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1" t="s">
        <v>30</v>
      </c>
      <c r="B46" s="121"/>
      <c r="C46" s="121"/>
      <c r="D46" s="121"/>
      <c r="E46" s="121"/>
      <c r="F46" s="121"/>
      <c r="G46" s="121"/>
      <c r="H46" s="121"/>
      <c r="I46" s="121"/>
      <c r="J46" s="121"/>
      <c r="K46" s="121"/>
      <c r="L46" s="121"/>
      <c r="M46" s="121"/>
      <c r="N46" s="121"/>
      <c r="O46" s="121"/>
      <c r="P46" s="121"/>
      <c r="Q46" s="121"/>
      <c r="R46" s="121"/>
      <c r="S46" s="121"/>
      <c r="T46" s="121"/>
      <c r="U46" s="121"/>
    </row>
    <row r="47" spans="1:21" ht="18" customHeight="1" x14ac:dyDescent="0.2">
      <c r="A47" s="121"/>
      <c r="B47" s="121"/>
      <c r="C47" s="121"/>
      <c r="D47" s="121"/>
      <c r="E47" s="121"/>
      <c r="F47" s="121"/>
      <c r="G47" s="121"/>
      <c r="H47" s="121"/>
      <c r="I47" s="121"/>
      <c r="J47" s="121"/>
      <c r="K47" s="121"/>
      <c r="L47" s="121"/>
      <c r="M47" s="121"/>
      <c r="N47" s="121"/>
      <c r="O47" s="121"/>
      <c r="P47" s="121"/>
      <c r="Q47" s="121"/>
      <c r="R47" s="121"/>
      <c r="S47" s="121"/>
      <c r="T47" s="121"/>
      <c r="U47" s="121"/>
    </row>
    <row r="48" spans="1:21" ht="18" customHeight="1" x14ac:dyDescent="0.2">
      <c r="B48" s="103" t="s">
        <v>20</v>
      </c>
      <c r="C48" s="104"/>
      <c r="D48" s="104"/>
      <c r="E48" s="104"/>
      <c r="F48" s="105"/>
      <c r="G48" s="51" t="s">
        <v>21</v>
      </c>
      <c r="H48" s="50" t="s">
        <v>22</v>
      </c>
      <c r="I48" s="17" t="s">
        <v>31</v>
      </c>
      <c r="J48" s="17" t="s">
        <v>32</v>
      </c>
      <c r="K48" s="103" t="s">
        <v>20</v>
      </c>
      <c r="L48" s="104"/>
      <c r="M48" s="104"/>
      <c r="N48" s="104"/>
      <c r="O48" s="104"/>
      <c r="P48" s="104"/>
      <c r="Q48" s="105"/>
      <c r="R48" s="51" t="s">
        <v>21</v>
      </c>
      <c r="S48" s="50" t="s">
        <v>22</v>
      </c>
      <c r="T48" s="17" t="s">
        <v>31</v>
      </c>
      <c r="U48" s="17" t="s">
        <v>32</v>
      </c>
    </row>
    <row r="49" spans="1:21" ht="18" customHeight="1" x14ac:dyDescent="0.2">
      <c r="A49" s="3"/>
      <c r="B49" s="118" t="s">
        <v>25</v>
      </c>
      <c r="C49" s="119"/>
      <c r="D49" s="119"/>
      <c r="E49" s="119"/>
      <c r="F49" s="120"/>
      <c r="G49" s="18">
        <v>2</v>
      </c>
      <c r="H49" s="18" t="s">
        <v>26</v>
      </c>
      <c r="I49" s="18" t="s">
        <v>26</v>
      </c>
      <c r="J49" s="18" t="s">
        <v>26</v>
      </c>
      <c r="K49" s="118"/>
      <c r="L49" s="119"/>
      <c r="M49" s="119"/>
      <c r="N49" s="119"/>
      <c r="O49" s="119"/>
      <c r="P49" s="119"/>
      <c r="Q49" s="120"/>
      <c r="R49" s="18"/>
      <c r="S49" s="18"/>
      <c r="T49" s="18"/>
      <c r="U49" s="18"/>
    </row>
    <row r="50" spans="1:21" ht="18" customHeight="1" x14ac:dyDescent="0.2">
      <c r="A50" s="3"/>
      <c r="B50" s="112"/>
      <c r="C50" s="113"/>
      <c r="D50" s="113"/>
      <c r="E50" s="113"/>
      <c r="F50" s="114"/>
      <c r="G50" s="19"/>
      <c r="H50" s="19"/>
      <c r="I50" s="19"/>
      <c r="J50" s="19"/>
      <c r="K50" s="112"/>
      <c r="L50" s="113"/>
      <c r="M50" s="113"/>
      <c r="N50" s="113"/>
      <c r="O50" s="113"/>
      <c r="P50" s="113"/>
      <c r="Q50" s="114"/>
      <c r="R50" s="19"/>
      <c r="S50" s="19"/>
      <c r="T50" s="19"/>
      <c r="U50" s="19"/>
    </row>
    <row r="51" spans="1:21" ht="18" customHeight="1" x14ac:dyDescent="0.2">
      <c r="A51" s="3"/>
      <c r="B51" s="112"/>
      <c r="C51" s="113"/>
      <c r="D51" s="113"/>
      <c r="E51" s="113"/>
      <c r="F51" s="114"/>
      <c r="G51" s="19"/>
      <c r="H51" s="19"/>
      <c r="I51" s="19"/>
      <c r="J51" s="19"/>
      <c r="K51" s="112"/>
      <c r="L51" s="113"/>
      <c r="M51" s="113"/>
      <c r="N51" s="113"/>
      <c r="O51" s="113"/>
      <c r="P51" s="113"/>
      <c r="Q51" s="114"/>
      <c r="R51" s="19"/>
      <c r="S51" s="19"/>
      <c r="T51" s="19"/>
      <c r="U51" s="19"/>
    </row>
    <row r="52" spans="1:21" ht="18" customHeight="1" x14ac:dyDescent="0.2">
      <c r="A52" s="3"/>
      <c r="B52" s="112"/>
      <c r="C52" s="113"/>
      <c r="D52" s="113"/>
      <c r="E52" s="113"/>
      <c r="F52" s="114"/>
      <c r="G52" s="19"/>
      <c r="H52" s="19"/>
      <c r="I52" s="19"/>
      <c r="J52" s="19"/>
      <c r="K52" s="112"/>
      <c r="L52" s="113"/>
      <c r="M52" s="113"/>
      <c r="N52" s="113"/>
      <c r="O52" s="113"/>
      <c r="P52" s="113"/>
      <c r="Q52" s="114"/>
      <c r="R52" s="19"/>
      <c r="S52" s="19"/>
      <c r="T52" s="19"/>
      <c r="U52" s="19"/>
    </row>
    <row r="53" spans="1:21" ht="18" customHeight="1" x14ac:dyDescent="0.2">
      <c r="A53" s="3"/>
      <c r="B53" s="112"/>
      <c r="C53" s="113"/>
      <c r="D53" s="113"/>
      <c r="E53" s="113"/>
      <c r="F53" s="114"/>
      <c r="G53" s="19"/>
      <c r="H53" s="19"/>
      <c r="I53" s="19"/>
      <c r="J53" s="19"/>
      <c r="K53" s="112"/>
      <c r="L53" s="113"/>
      <c r="M53" s="113"/>
      <c r="N53" s="113"/>
      <c r="O53" s="113"/>
      <c r="P53" s="113"/>
      <c r="Q53" s="114"/>
      <c r="R53" s="19"/>
      <c r="S53" s="19"/>
      <c r="T53" s="19"/>
      <c r="U53" s="19"/>
    </row>
    <row r="54" spans="1:21" ht="18" customHeight="1" x14ac:dyDescent="0.2">
      <c r="A54" s="3"/>
      <c r="B54" s="112"/>
      <c r="C54" s="113"/>
      <c r="D54" s="113"/>
      <c r="E54" s="113"/>
      <c r="F54" s="114"/>
      <c r="G54" s="19"/>
      <c r="H54" s="19"/>
      <c r="I54" s="19"/>
      <c r="J54" s="19"/>
      <c r="K54" s="112"/>
      <c r="L54" s="113"/>
      <c r="M54" s="113"/>
      <c r="N54" s="113"/>
      <c r="O54" s="113"/>
      <c r="P54" s="113"/>
      <c r="Q54" s="114"/>
      <c r="R54" s="19"/>
      <c r="S54" s="19"/>
      <c r="T54" s="19"/>
      <c r="U54" s="19"/>
    </row>
    <row r="55" spans="1:21" ht="18" customHeight="1" x14ac:dyDescent="0.2">
      <c r="A55" s="3"/>
      <c r="B55" s="115"/>
      <c r="C55" s="116"/>
      <c r="D55" s="116"/>
      <c r="E55" s="116"/>
      <c r="F55" s="117"/>
      <c r="G55" s="20"/>
      <c r="H55" s="20"/>
      <c r="I55" s="21"/>
      <c r="J55" s="21"/>
      <c r="K55" s="115"/>
      <c r="L55" s="116"/>
      <c r="M55" s="116"/>
      <c r="N55" s="116"/>
      <c r="O55" s="116"/>
      <c r="P55" s="116"/>
      <c r="Q55" s="117"/>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1" t="s">
        <v>33</v>
      </c>
      <c r="B57" s="121"/>
      <c r="C57" s="121"/>
      <c r="D57" s="121"/>
      <c r="E57" s="121"/>
      <c r="F57" s="121"/>
      <c r="G57" s="121"/>
      <c r="H57" s="121"/>
      <c r="I57" s="121"/>
      <c r="J57" s="121"/>
      <c r="K57" s="121"/>
      <c r="L57" s="121"/>
      <c r="M57" s="121"/>
      <c r="N57" s="121"/>
      <c r="O57" s="121"/>
      <c r="P57" s="121"/>
      <c r="Q57" s="121"/>
      <c r="R57" s="121"/>
      <c r="S57" s="121"/>
      <c r="T57" s="121"/>
      <c r="U57" s="121"/>
    </row>
    <row r="58" spans="1:21" ht="18" customHeight="1" x14ac:dyDescent="0.2">
      <c r="A58" s="121"/>
      <c r="B58" s="121"/>
      <c r="C58" s="121"/>
      <c r="D58" s="121"/>
      <c r="E58" s="121"/>
      <c r="F58" s="121"/>
      <c r="G58" s="121"/>
      <c r="H58" s="121"/>
      <c r="I58" s="121"/>
      <c r="J58" s="121"/>
      <c r="K58" s="121"/>
      <c r="L58" s="121"/>
      <c r="M58" s="121"/>
      <c r="N58" s="121"/>
      <c r="O58" s="121"/>
      <c r="P58" s="121"/>
      <c r="Q58" s="121"/>
      <c r="R58" s="121"/>
      <c r="S58" s="121"/>
      <c r="T58" s="121"/>
      <c r="U58" s="121"/>
    </row>
    <row r="59" spans="1:21" ht="18" customHeight="1" x14ac:dyDescent="0.2">
      <c r="B59" s="103" t="s">
        <v>20</v>
      </c>
      <c r="C59" s="104"/>
      <c r="D59" s="104"/>
      <c r="E59" s="104"/>
      <c r="F59" s="105"/>
      <c r="G59" s="51" t="s">
        <v>21</v>
      </c>
      <c r="H59" s="50" t="s">
        <v>22</v>
      </c>
      <c r="I59" s="17" t="s">
        <v>34</v>
      </c>
      <c r="J59" s="17" t="s">
        <v>35</v>
      </c>
      <c r="K59" s="103" t="s">
        <v>20</v>
      </c>
      <c r="L59" s="104"/>
      <c r="M59" s="104"/>
      <c r="N59" s="104"/>
      <c r="O59" s="104"/>
      <c r="P59" s="104"/>
      <c r="Q59" s="105"/>
      <c r="R59" s="51" t="s">
        <v>21</v>
      </c>
      <c r="S59" s="50" t="s">
        <v>22</v>
      </c>
      <c r="T59" s="17" t="s">
        <v>34</v>
      </c>
      <c r="U59" s="17" t="s">
        <v>35</v>
      </c>
    </row>
    <row r="60" spans="1:21" ht="18" customHeight="1" x14ac:dyDescent="0.2">
      <c r="A60" s="3"/>
      <c r="B60" s="118" t="s">
        <v>25</v>
      </c>
      <c r="C60" s="119"/>
      <c r="D60" s="119"/>
      <c r="E60" s="119"/>
      <c r="F60" s="120"/>
      <c r="G60" s="18">
        <v>2</v>
      </c>
      <c r="H60" s="18" t="s">
        <v>26</v>
      </c>
      <c r="I60" s="18" t="s">
        <v>26</v>
      </c>
      <c r="J60" s="18" t="s">
        <v>26</v>
      </c>
      <c r="K60" s="118"/>
      <c r="L60" s="119"/>
      <c r="M60" s="119"/>
      <c r="N60" s="119"/>
      <c r="O60" s="119"/>
      <c r="P60" s="119"/>
      <c r="Q60" s="120"/>
      <c r="R60" s="18"/>
      <c r="S60" s="18"/>
      <c r="T60" s="18"/>
      <c r="U60" s="18"/>
    </row>
    <row r="61" spans="1:21" ht="18" customHeight="1" x14ac:dyDescent="0.2">
      <c r="A61" s="3"/>
      <c r="B61" s="112"/>
      <c r="C61" s="113"/>
      <c r="D61" s="113"/>
      <c r="E61" s="113"/>
      <c r="F61" s="114"/>
      <c r="G61" s="19"/>
      <c r="H61" s="19"/>
      <c r="I61" s="19"/>
      <c r="J61" s="19"/>
      <c r="K61" s="112"/>
      <c r="L61" s="113"/>
      <c r="M61" s="113"/>
      <c r="N61" s="113"/>
      <c r="O61" s="113"/>
      <c r="P61" s="113"/>
      <c r="Q61" s="114"/>
      <c r="R61" s="19"/>
      <c r="S61" s="19"/>
      <c r="T61" s="19"/>
      <c r="U61" s="19"/>
    </row>
    <row r="62" spans="1:21" ht="18" customHeight="1" x14ac:dyDescent="0.2">
      <c r="A62" s="3"/>
      <c r="B62" s="112"/>
      <c r="C62" s="113"/>
      <c r="D62" s="113"/>
      <c r="E62" s="113"/>
      <c r="F62" s="114"/>
      <c r="G62" s="19"/>
      <c r="H62" s="19"/>
      <c r="I62" s="19"/>
      <c r="J62" s="19"/>
      <c r="K62" s="112"/>
      <c r="L62" s="113"/>
      <c r="M62" s="113"/>
      <c r="N62" s="113"/>
      <c r="O62" s="113"/>
      <c r="P62" s="113"/>
      <c r="Q62" s="114"/>
      <c r="R62" s="19"/>
      <c r="S62" s="19"/>
      <c r="T62" s="19"/>
      <c r="U62" s="19"/>
    </row>
    <row r="63" spans="1:21" ht="18" customHeight="1" x14ac:dyDescent="0.2">
      <c r="A63" s="3"/>
      <c r="B63" s="112"/>
      <c r="C63" s="113"/>
      <c r="D63" s="113"/>
      <c r="E63" s="113"/>
      <c r="F63" s="114"/>
      <c r="G63" s="19"/>
      <c r="H63" s="19"/>
      <c r="I63" s="19"/>
      <c r="J63" s="19"/>
      <c r="K63" s="112"/>
      <c r="L63" s="113"/>
      <c r="M63" s="113"/>
      <c r="N63" s="113"/>
      <c r="O63" s="113"/>
      <c r="P63" s="113"/>
      <c r="Q63" s="114"/>
      <c r="R63" s="19"/>
      <c r="S63" s="19"/>
      <c r="T63" s="19"/>
      <c r="U63" s="19"/>
    </row>
    <row r="64" spans="1:21" ht="18" customHeight="1" x14ac:dyDescent="0.2">
      <c r="A64" s="3"/>
      <c r="B64" s="112"/>
      <c r="C64" s="113"/>
      <c r="D64" s="113"/>
      <c r="E64" s="113"/>
      <c r="F64" s="114"/>
      <c r="G64" s="19"/>
      <c r="H64" s="19"/>
      <c r="I64" s="19"/>
      <c r="J64" s="19"/>
      <c r="K64" s="112"/>
      <c r="L64" s="113"/>
      <c r="M64" s="113"/>
      <c r="N64" s="113"/>
      <c r="O64" s="113"/>
      <c r="P64" s="113"/>
      <c r="Q64" s="114"/>
      <c r="R64" s="19"/>
      <c r="S64" s="19"/>
      <c r="T64" s="19"/>
      <c r="U64" s="19"/>
    </row>
    <row r="65" spans="1:21" ht="18" customHeight="1" x14ac:dyDescent="0.2">
      <c r="A65" s="3"/>
      <c r="B65" s="112"/>
      <c r="C65" s="113"/>
      <c r="D65" s="113"/>
      <c r="E65" s="113"/>
      <c r="F65" s="114"/>
      <c r="G65" s="19"/>
      <c r="H65" s="19"/>
      <c r="I65" s="19"/>
      <c r="J65" s="19"/>
      <c r="K65" s="112"/>
      <c r="L65" s="113"/>
      <c r="M65" s="113"/>
      <c r="N65" s="113"/>
      <c r="O65" s="113"/>
      <c r="P65" s="113"/>
      <c r="Q65" s="114"/>
      <c r="R65" s="19"/>
      <c r="S65" s="19"/>
      <c r="T65" s="19"/>
      <c r="U65" s="19"/>
    </row>
    <row r="66" spans="1:21" ht="18" customHeight="1" x14ac:dyDescent="0.2">
      <c r="A66" s="3"/>
      <c r="B66" s="115"/>
      <c r="C66" s="116"/>
      <c r="D66" s="116"/>
      <c r="E66" s="116"/>
      <c r="F66" s="117"/>
      <c r="G66" s="20"/>
      <c r="H66" s="20"/>
      <c r="I66" s="21"/>
      <c r="J66" s="21"/>
      <c r="K66" s="115"/>
      <c r="L66" s="116"/>
      <c r="M66" s="116"/>
      <c r="N66" s="116"/>
      <c r="O66" s="116"/>
      <c r="P66" s="116"/>
      <c r="Q66" s="117"/>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1" t="s">
        <v>36</v>
      </c>
      <c r="B68" s="121"/>
      <c r="C68" s="121"/>
      <c r="D68" s="121"/>
      <c r="E68" s="121"/>
      <c r="F68" s="121"/>
      <c r="G68" s="121"/>
      <c r="H68" s="121"/>
      <c r="I68" s="121"/>
      <c r="J68" s="121"/>
      <c r="K68" s="121"/>
      <c r="L68" s="121"/>
      <c r="M68" s="121"/>
      <c r="N68" s="121"/>
      <c r="O68" s="121"/>
      <c r="P68" s="121"/>
      <c r="Q68" s="121"/>
      <c r="R68" s="121"/>
      <c r="S68" s="121"/>
      <c r="T68" s="121"/>
      <c r="U68" s="121"/>
    </row>
    <row r="69" spans="1:21" ht="18" customHeight="1" x14ac:dyDescent="0.2">
      <c r="A69" s="121"/>
      <c r="B69" s="121"/>
      <c r="C69" s="121"/>
      <c r="D69" s="121"/>
      <c r="E69" s="121"/>
      <c r="F69" s="121"/>
      <c r="G69" s="121"/>
      <c r="H69" s="121"/>
      <c r="I69" s="121"/>
      <c r="J69" s="121"/>
      <c r="K69" s="121"/>
      <c r="L69" s="121"/>
      <c r="M69" s="121"/>
      <c r="N69" s="121"/>
      <c r="O69" s="121"/>
      <c r="P69" s="121"/>
      <c r="Q69" s="121"/>
      <c r="R69" s="121"/>
      <c r="S69" s="121"/>
      <c r="T69" s="121"/>
      <c r="U69" s="121"/>
    </row>
    <row r="70" spans="1:21" ht="18" customHeight="1" x14ac:dyDescent="0.2">
      <c r="B70" s="103" t="s">
        <v>20</v>
      </c>
      <c r="C70" s="104"/>
      <c r="D70" s="104"/>
      <c r="E70" s="104"/>
      <c r="F70" s="51" t="s">
        <v>21</v>
      </c>
      <c r="G70" s="50" t="s">
        <v>22</v>
      </c>
      <c r="H70" s="17" t="s">
        <v>37</v>
      </c>
      <c r="I70" s="17" t="s">
        <v>38</v>
      </c>
      <c r="J70" s="17" t="s">
        <v>39</v>
      </c>
      <c r="K70" s="103" t="s">
        <v>20</v>
      </c>
      <c r="L70" s="104"/>
      <c r="M70" s="104"/>
      <c r="N70" s="104"/>
      <c r="O70" s="104"/>
      <c r="P70" s="105"/>
      <c r="Q70" s="51" t="s">
        <v>21</v>
      </c>
      <c r="R70" s="50" t="s">
        <v>22</v>
      </c>
      <c r="S70" s="17" t="s">
        <v>37</v>
      </c>
      <c r="T70" s="17" t="s">
        <v>38</v>
      </c>
      <c r="U70" s="17" t="s">
        <v>39</v>
      </c>
    </row>
    <row r="71" spans="1:21" ht="18" customHeight="1" x14ac:dyDescent="0.2">
      <c r="A71" s="3"/>
      <c r="B71" s="118" t="s">
        <v>25</v>
      </c>
      <c r="C71" s="119"/>
      <c r="D71" s="119"/>
      <c r="E71" s="119"/>
      <c r="F71" s="18">
        <v>2</v>
      </c>
      <c r="G71" s="18" t="s">
        <v>26</v>
      </c>
      <c r="H71" s="18" t="s">
        <v>26</v>
      </c>
      <c r="I71" s="18" t="s">
        <v>26</v>
      </c>
      <c r="J71" s="18" t="s">
        <v>26</v>
      </c>
      <c r="K71" s="118"/>
      <c r="L71" s="119"/>
      <c r="M71" s="119"/>
      <c r="N71" s="119"/>
      <c r="O71" s="119"/>
      <c r="P71" s="120"/>
      <c r="Q71" s="18"/>
      <c r="R71" s="18"/>
      <c r="S71" s="18"/>
      <c r="T71" s="18"/>
      <c r="U71" s="18"/>
    </row>
    <row r="72" spans="1:21" ht="18" customHeight="1" x14ac:dyDescent="0.2">
      <c r="A72" s="3"/>
      <c r="B72" s="112"/>
      <c r="C72" s="113"/>
      <c r="D72" s="113"/>
      <c r="E72" s="113"/>
      <c r="F72" s="19"/>
      <c r="G72" s="19"/>
      <c r="H72" s="19"/>
      <c r="I72" s="19"/>
      <c r="J72" s="19"/>
      <c r="K72" s="112"/>
      <c r="L72" s="113"/>
      <c r="M72" s="113"/>
      <c r="N72" s="113"/>
      <c r="O72" s="113"/>
      <c r="P72" s="114"/>
      <c r="Q72" s="19"/>
      <c r="R72" s="19"/>
      <c r="S72" s="19"/>
      <c r="T72" s="19"/>
      <c r="U72" s="19"/>
    </row>
    <row r="73" spans="1:21" ht="18" customHeight="1" x14ac:dyDescent="0.2">
      <c r="A73" s="3"/>
      <c r="B73" s="112"/>
      <c r="C73" s="113"/>
      <c r="D73" s="113"/>
      <c r="E73" s="113"/>
      <c r="F73" s="19"/>
      <c r="G73" s="19"/>
      <c r="H73" s="19"/>
      <c r="I73" s="19"/>
      <c r="J73" s="19"/>
      <c r="K73" s="112"/>
      <c r="L73" s="113"/>
      <c r="M73" s="113"/>
      <c r="N73" s="113"/>
      <c r="O73" s="113"/>
      <c r="P73" s="114"/>
      <c r="Q73" s="19"/>
      <c r="R73" s="19"/>
      <c r="S73" s="19"/>
      <c r="T73" s="19"/>
      <c r="U73" s="19"/>
    </row>
    <row r="74" spans="1:21" ht="18" customHeight="1" x14ac:dyDescent="0.2">
      <c r="A74" s="3"/>
      <c r="B74" s="112"/>
      <c r="C74" s="113"/>
      <c r="D74" s="113"/>
      <c r="E74" s="113"/>
      <c r="F74" s="19"/>
      <c r="G74" s="19"/>
      <c r="H74" s="19"/>
      <c r="I74" s="19"/>
      <c r="J74" s="19"/>
      <c r="K74" s="112"/>
      <c r="L74" s="113"/>
      <c r="M74" s="113"/>
      <c r="N74" s="113"/>
      <c r="O74" s="113"/>
      <c r="P74" s="114"/>
      <c r="Q74" s="19"/>
      <c r="R74" s="19"/>
      <c r="S74" s="19"/>
      <c r="T74" s="19"/>
      <c r="U74" s="19"/>
    </row>
    <row r="75" spans="1:21" ht="18" customHeight="1" x14ac:dyDescent="0.2">
      <c r="A75" s="3"/>
      <c r="B75" s="112"/>
      <c r="C75" s="113"/>
      <c r="D75" s="113"/>
      <c r="E75" s="113"/>
      <c r="F75" s="19"/>
      <c r="G75" s="19"/>
      <c r="H75" s="19"/>
      <c r="I75" s="19"/>
      <c r="J75" s="19"/>
      <c r="K75" s="112"/>
      <c r="L75" s="113"/>
      <c r="M75" s="113"/>
      <c r="N75" s="113"/>
      <c r="O75" s="113"/>
      <c r="P75" s="114"/>
      <c r="Q75" s="19"/>
      <c r="R75" s="19"/>
      <c r="S75" s="19"/>
      <c r="T75" s="19"/>
      <c r="U75" s="19"/>
    </row>
    <row r="76" spans="1:21" ht="18" customHeight="1" x14ac:dyDescent="0.2">
      <c r="A76" s="3"/>
      <c r="B76" s="112"/>
      <c r="C76" s="113"/>
      <c r="D76" s="113"/>
      <c r="E76" s="113"/>
      <c r="F76" s="19"/>
      <c r="G76" s="19"/>
      <c r="H76" s="19"/>
      <c r="I76" s="19"/>
      <c r="J76" s="19"/>
      <c r="K76" s="112"/>
      <c r="L76" s="113"/>
      <c r="M76" s="113"/>
      <c r="N76" s="113"/>
      <c r="O76" s="113"/>
      <c r="P76" s="114"/>
      <c r="Q76" s="19"/>
      <c r="R76" s="19"/>
      <c r="S76" s="19"/>
      <c r="T76" s="19"/>
      <c r="U76" s="19"/>
    </row>
    <row r="77" spans="1:21" ht="18" customHeight="1" x14ac:dyDescent="0.2">
      <c r="A77" s="3"/>
      <c r="B77" s="115"/>
      <c r="C77" s="116"/>
      <c r="D77" s="116"/>
      <c r="E77" s="116"/>
      <c r="F77" s="20"/>
      <c r="G77" s="20"/>
      <c r="H77" s="21"/>
      <c r="I77" s="21"/>
      <c r="J77" s="21"/>
      <c r="K77" s="115"/>
      <c r="L77" s="116"/>
      <c r="M77" s="116"/>
      <c r="N77" s="116"/>
      <c r="O77" s="116"/>
      <c r="P77" s="117"/>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40</v>
      </c>
      <c r="I79" s="3"/>
      <c r="J79" s="3"/>
      <c r="K79" s="3"/>
      <c r="L79" s="3"/>
      <c r="M79" s="3"/>
      <c r="N79" s="3"/>
      <c r="O79" s="3"/>
      <c r="P79" s="3"/>
      <c r="Q79" s="3"/>
      <c r="R79" s="3"/>
      <c r="S79" s="3"/>
      <c r="T79" s="3"/>
      <c r="U79" s="3"/>
    </row>
    <row r="80" spans="1:21" ht="18" customHeight="1" x14ac:dyDescent="0.2">
      <c r="B80" s="103" t="s">
        <v>20</v>
      </c>
      <c r="C80" s="104"/>
      <c r="D80" s="104"/>
      <c r="E80" s="104"/>
      <c r="F80" s="105"/>
      <c r="G80" s="103" t="s">
        <v>41</v>
      </c>
      <c r="H80" s="104"/>
      <c r="I80" s="104"/>
      <c r="J80" s="105"/>
      <c r="K80" s="151" t="s">
        <v>20</v>
      </c>
      <c r="L80" s="152"/>
      <c r="M80" s="152"/>
      <c r="N80" s="152"/>
      <c r="O80" s="152"/>
      <c r="P80" s="152"/>
      <c r="Q80" s="153"/>
      <c r="R80" s="103" t="s">
        <v>41</v>
      </c>
      <c r="S80" s="104"/>
      <c r="T80" s="104"/>
      <c r="U80" s="105"/>
    </row>
    <row r="81" spans="1:21" ht="18" customHeight="1" x14ac:dyDescent="0.2">
      <c r="A81" s="3"/>
      <c r="B81" s="118" t="s">
        <v>42</v>
      </c>
      <c r="C81" s="119"/>
      <c r="D81" s="119"/>
      <c r="E81" s="119"/>
      <c r="F81" s="120"/>
      <c r="G81" s="154" t="s">
        <v>175</v>
      </c>
      <c r="H81" s="155"/>
      <c r="I81" s="155"/>
      <c r="J81" s="156"/>
      <c r="K81" s="118"/>
      <c r="L81" s="119"/>
      <c r="M81" s="119"/>
      <c r="N81" s="119"/>
      <c r="O81" s="119"/>
      <c r="P81" s="119"/>
      <c r="Q81" s="120"/>
      <c r="R81" s="154"/>
      <c r="S81" s="155"/>
      <c r="T81" s="155"/>
      <c r="U81" s="156"/>
    </row>
    <row r="82" spans="1:21" ht="18" customHeight="1" x14ac:dyDescent="0.2">
      <c r="A82" s="3"/>
      <c r="B82" s="112"/>
      <c r="C82" s="113"/>
      <c r="D82" s="113"/>
      <c r="E82" s="113"/>
      <c r="F82" s="114"/>
      <c r="G82" s="143"/>
      <c r="H82" s="144"/>
      <c r="I82" s="144"/>
      <c r="J82" s="145"/>
      <c r="K82" s="112"/>
      <c r="L82" s="113"/>
      <c r="M82" s="113"/>
      <c r="N82" s="113"/>
      <c r="O82" s="113"/>
      <c r="P82" s="113"/>
      <c r="Q82" s="114"/>
      <c r="R82" s="143"/>
      <c r="S82" s="144"/>
      <c r="T82" s="144"/>
      <c r="U82" s="145"/>
    </row>
    <row r="83" spans="1:21" ht="18" customHeight="1" x14ac:dyDescent="0.2">
      <c r="A83" s="3"/>
      <c r="B83" s="112"/>
      <c r="C83" s="113"/>
      <c r="D83" s="113"/>
      <c r="E83" s="113"/>
      <c r="F83" s="114"/>
      <c r="G83" s="143"/>
      <c r="H83" s="144"/>
      <c r="I83" s="144"/>
      <c r="J83" s="145"/>
      <c r="K83" s="112"/>
      <c r="L83" s="113"/>
      <c r="M83" s="113"/>
      <c r="N83" s="113"/>
      <c r="O83" s="113"/>
      <c r="P83" s="113"/>
      <c r="Q83" s="114"/>
      <c r="R83" s="143"/>
      <c r="S83" s="144"/>
      <c r="T83" s="144"/>
      <c r="U83" s="145"/>
    </row>
    <row r="84" spans="1:21" ht="18" customHeight="1" x14ac:dyDescent="0.2">
      <c r="A84" s="3"/>
      <c r="B84" s="112"/>
      <c r="C84" s="113"/>
      <c r="D84" s="113"/>
      <c r="E84" s="113"/>
      <c r="F84" s="114"/>
      <c r="G84" s="143"/>
      <c r="H84" s="144"/>
      <c r="I84" s="144"/>
      <c r="J84" s="145"/>
      <c r="K84" s="112"/>
      <c r="L84" s="113"/>
      <c r="M84" s="113"/>
      <c r="N84" s="113"/>
      <c r="O84" s="113"/>
      <c r="P84" s="113"/>
      <c r="Q84" s="114"/>
      <c r="R84" s="143"/>
      <c r="S84" s="144"/>
      <c r="T84" s="144"/>
      <c r="U84" s="145"/>
    </row>
    <row r="85" spans="1:21" ht="18" customHeight="1" x14ac:dyDescent="0.2">
      <c r="A85" s="3"/>
      <c r="B85" s="112"/>
      <c r="C85" s="113"/>
      <c r="D85" s="113"/>
      <c r="E85" s="113"/>
      <c r="F85" s="114"/>
      <c r="G85" s="143"/>
      <c r="H85" s="144"/>
      <c r="I85" s="144"/>
      <c r="J85" s="145"/>
      <c r="K85" s="112"/>
      <c r="L85" s="113"/>
      <c r="M85" s="113"/>
      <c r="N85" s="113"/>
      <c r="O85" s="113"/>
      <c r="P85" s="113"/>
      <c r="Q85" s="114"/>
      <c r="R85" s="143"/>
      <c r="S85" s="144"/>
      <c r="T85" s="144"/>
      <c r="U85" s="145"/>
    </row>
    <row r="86" spans="1:21" ht="18" customHeight="1" x14ac:dyDescent="0.2">
      <c r="A86" s="3"/>
      <c r="B86" s="112"/>
      <c r="C86" s="113"/>
      <c r="D86" s="113"/>
      <c r="E86" s="113"/>
      <c r="F86" s="114"/>
      <c r="G86" s="143"/>
      <c r="H86" s="144"/>
      <c r="I86" s="144"/>
      <c r="J86" s="145"/>
      <c r="K86" s="112"/>
      <c r="L86" s="113"/>
      <c r="M86" s="113"/>
      <c r="N86" s="113"/>
      <c r="O86" s="113"/>
      <c r="P86" s="113"/>
      <c r="Q86" s="114"/>
      <c r="R86" s="143"/>
      <c r="S86" s="144"/>
      <c r="T86" s="144"/>
      <c r="U86" s="145"/>
    </row>
    <row r="87" spans="1:21" ht="18" customHeight="1" x14ac:dyDescent="0.2">
      <c r="A87" s="3"/>
      <c r="B87" s="115"/>
      <c r="C87" s="116"/>
      <c r="D87" s="116"/>
      <c r="E87" s="116"/>
      <c r="F87" s="117"/>
      <c r="G87" s="140"/>
      <c r="H87" s="141"/>
      <c r="I87" s="141"/>
      <c r="J87" s="142"/>
      <c r="K87" s="115"/>
      <c r="L87" s="116"/>
      <c r="M87" s="116"/>
      <c r="N87" s="116"/>
      <c r="O87" s="116"/>
      <c r="P87" s="116"/>
      <c r="Q87" s="117"/>
      <c r="R87" s="140"/>
      <c r="S87" s="141"/>
      <c r="T87" s="141"/>
      <c r="U87" s="142"/>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43</v>
      </c>
    </row>
    <row r="90" spans="1:21" ht="18.75" customHeight="1" x14ac:dyDescent="0.2">
      <c r="B90" s="149" t="s">
        <v>44</v>
      </c>
      <c r="C90" s="150"/>
      <c r="D90" s="103" t="s">
        <v>45</v>
      </c>
      <c r="E90" s="104"/>
      <c r="F90" s="104"/>
      <c r="G90" s="104"/>
      <c r="H90" s="104"/>
      <c r="I90" s="104"/>
      <c r="J90" s="104"/>
      <c r="K90" s="104"/>
      <c r="L90" s="104"/>
      <c r="M90" s="104"/>
      <c r="N90" s="104"/>
      <c r="O90" s="104"/>
      <c r="P90" s="104"/>
      <c r="Q90" s="104"/>
      <c r="R90" s="104"/>
      <c r="S90" s="104"/>
      <c r="T90" s="104"/>
      <c r="U90" s="105"/>
    </row>
    <row r="91" spans="1:21" ht="97.5" customHeight="1" x14ac:dyDescent="0.2">
      <c r="B91" s="146" t="s">
        <v>46</v>
      </c>
      <c r="C91" s="23" t="s">
        <v>23</v>
      </c>
      <c r="D91" s="91" t="s">
        <v>165</v>
      </c>
      <c r="E91" s="92"/>
      <c r="F91" s="92"/>
      <c r="G91" s="92"/>
      <c r="H91" s="92"/>
      <c r="I91" s="92"/>
      <c r="J91" s="92"/>
      <c r="K91" s="92"/>
      <c r="L91" s="92"/>
      <c r="M91" s="92"/>
      <c r="N91" s="92"/>
      <c r="O91" s="92"/>
      <c r="P91" s="92"/>
      <c r="Q91" s="92"/>
      <c r="R91" s="92"/>
      <c r="S91" s="92"/>
      <c r="T91" s="92"/>
      <c r="U91" s="93"/>
    </row>
    <row r="92" spans="1:21" ht="97.5" customHeight="1" x14ac:dyDescent="0.2">
      <c r="B92" s="147"/>
      <c r="C92" s="24" t="s">
        <v>47</v>
      </c>
      <c r="D92" s="88" t="s">
        <v>166</v>
      </c>
      <c r="E92" s="89"/>
      <c r="F92" s="89"/>
      <c r="G92" s="89"/>
      <c r="H92" s="89"/>
      <c r="I92" s="89"/>
      <c r="J92" s="89"/>
      <c r="K92" s="89"/>
      <c r="L92" s="89"/>
      <c r="M92" s="89"/>
      <c r="N92" s="89"/>
      <c r="O92" s="89"/>
      <c r="P92" s="89"/>
      <c r="Q92" s="89"/>
      <c r="R92" s="89"/>
      <c r="S92" s="89"/>
      <c r="T92" s="89"/>
      <c r="U92" s="90"/>
    </row>
    <row r="93" spans="1:21" ht="97.5" customHeight="1" x14ac:dyDescent="0.2">
      <c r="B93" s="146" t="s">
        <v>48</v>
      </c>
      <c r="C93" s="25" t="s">
        <v>28</v>
      </c>
      <c r="D93" s="91" t="s">
        <v>167</v>
      </c>
      <c r="E93" s="92"/>
      <c r="F93" s="92"/>
      <c r="G93" s="92"/>
      <c r="H93" s="92"/>
      <c r="I93" s="92"/>
      <c r="J93" s="92"/>
      <c r="K93" s="92"/>
      <c r="L93" s="92"/>
      <c r="M93" s="92"/>
      <c r="N93" s="92"/>
      <c r="O93" s="92"/>
      <c r="P93" s="92"/>
      <c r="Q93" s="92"/>
      <c r="R93" s="92"/>
      <c r="S93" s="92"/>
      <c r="T93" s="92"/>
      <c r="U93" s="93"/>
    </row>
    <row r="94" spans="1:21" ht="97.5" customHeight="1" x14ac:dyDescent="0.2">
      <c r="B94" s="148"/>
      <c r="C94" s="26" t="s">
        <v>29</v>
      </c>
      <c r="D94" s="88" t="s">
        <v>168</v>
      </c>
      <c r="E94" s="89"/>
      <c r="F94" s="89"/>
      <c r="G94" s="89"/>
      <c r="H94" s="89"/>
      <c r="I94" s="89"/>
      <c r="J94" s="89"/>
      <c r="K94" s="89"/>
      <c r="L94" s="89"/>
      <c r="M94" s="89"/>
      <c r="N94" s="89"/>
      <c r="O94" s="89"/>
      <c r="P94" s="89"/>
      <c r="Q94" s="89"/>
      <c r="R94" s="89"/>
      <c r="S94" s="89"/>
      <c r="T94" s="89"/>
      <c r="U94" s="90"/>
    </row>
    <row r="95" spans="1:21" ht="97.5" customHeight="1" x14ac:dyDescent="0.2">
      <c r="B95" s="146" t="s">
        <v>49</v>
      </c>
      <c r="C95" s="25" t="s">
        <v>31</v>
      </c>
      <c r="D95" s="91" t="s">
        <v>169</v>
      </c>
      <c r="E95" s="92"/>
      <c r="F95" s="92"/>
      <c r="G95" s="92"/>
      <c r="H95" s="92"/>
      <c r="I95" s="92"/>
      <c r="J95" s="92"/>
      <c r="K95" s="92"/>
      <c r="L95" s="92"/>
      <c r="M95" s="92"/>
      <c r="N95" s="92"/>
      <c r="O95" s="92"/>
      <c r="P95" s="92"/>
      <c r="Q95" s="92"/>
      <c r="R95" s="92"/>
      <c r="S95" s="92"/>
      <c r="T95" s="92"/>
      <c r="U95" s="93"/>
    </row>
    <row r="96" spans="1:21" ht="97.5" customHeight="1" x14ac:dyDescent="0.2">
      <c r="B96" s="148"/>
      <c r="C96" s="27" t="s">
        <v>32</v>
      </c>
      <c r="D96" s="88" t="s">
        <v>170</v>
      </c>
      <c r="E96" s="89"/>
      <c r="F96" s="89"/>
      <c r="G96" s="89"/>
      <c r="H96" s="89"/>
      <c r="I96" s="89"/>
      <c r="J96" s="89"/>
      <c r="K96" s="89"/>
      <c r="L96" s="89"/>
      <c r="M96" s="89"/>
      <c r="N96" s="89"/>
      <c r="O96" s="89"/>
      <c r="P96" s="89"/>
      <c r="Q96" s="89"/>
      <c r="R96" s="89"/>
      <c r="S96" s="89"/>
      <c r="T96" s="89"/>
      <c r="U96" s="90"/>
    </row>
    <row r="97" spans="1:33" ht="97.5" customHeight="1" x14ac:dyDescent="0.2">
      <c r="B97" s="146" t="s">
        <v>50</v>
      </c>
      <c r="C97" s="23" t="s">
        <v>34</v>
      </c>
      <c r="D97" s="91" t="s">
        <v>171</v>
      </c>
      <c r="E97" s="92"/>
      <c r="F97" s="92"/>
      <c r="G97" s="92"/>
      <c r="H97" s="92"/>
      <c r="I97" s="92"/>
      <c r="J97" s="92"/>
      <c r="K97" s="92"/>
      <c r="L97" s="92"/>
      <c r="M97" s="92"/>
      <c r="N97" s="92"/>
      <c r="O97" s="92"/>
      <c r="P97" s="92"/>
      <c r="Q97" s="92"/>
      <c r="R97" s="92"/>
      <c r="S97" s="92"/>
      <c r="T97" s="92"/>
      <c r="U97" s="93"/>
    </row>
    <row r="98" spans="1:33" ht="97.5" customHeight="1" x14ac:dyDescent="0.2">
      <c r="B98" s="148"/>
      <c r="C98" s="26" t="s">
        <v>35</v>
      </c>
      <c r="D98" s="88" t="s">
        <v>172</v>
      </c>
      <c r="E98" s="89"/>
      <c r="F98" s="89"/>
      <c r="G98" s="89"/>
      <c r="H98" s="89"/>
      <c r="I98" s="89"/>
      <c r="J98" s="89"/>
      <c r="K98" s="89"/>
      <c r="L98" s="89"/>
      <c r="M98" s="89"/>
      <c r="N98" s="89"/>
      <c r="O98" s="89"/>
      <c r="P98" s="89"/>
      <c r="Q98" s="89"/>
      <c r="R98" s="89"/>
      <c r="S98" s="89"/>
      <c r="T98" s="89"/>
      <c r="U98" s="90"/>
    </row>
    <row r="99" spans="1:33" ht="116.55" customHeight="1" x14ac:dyDescent="0.2">
      <c r="B99" s="146" t="s">
        <v>51</v>
      </c>
      <c r="C99" s="25" t="s">
        <v>52</v>
      </c>
      <c r="D99" s="91" t="s">
        <v>174</v>
      </c>
      <c r="E99" s="92"/>
      <c r="F99" s="92"/>
      <c r="G99" s="92"/>
      <c r="H99" s="92"/>
      <c r="I99" s="92"/>
      <c r="J99" s="92"/>
      <c r="K99" s="92"/>
      <c r="L99" s="92"/>
      <c r="M99" s="92"/>
      <c r="N99" s="92"/>
      <c r="O99" s="92"/>
      <c r="P99" s="92"/>
      <c r="Q99" s="92"/>
      <c r="R99" s="92"/>
      <c r="S99" s="92"/>
      <c r="T99" s="92"/>
      <c r="U99" s="93"/>
    </row>
    <row r="100" spans="1:33" ht="97.5" customHeight="1" x14ac:dyDescent="0.2">
      <c r="B100" s="147"/>
      <c r="C100" s="28" t="s">
        <v>38</v>
      </c>
      <c r="D100" s="94" t="s">
        <v>173</v>
      </c>
      <c r="E100" s="95"/>
      <c r="F100" s="95"/>
      <c r="G100" s="95"/>
      <c r="H100" s="95"/>
      <c r="I100" s="95"/>
      <c r="J100" s="95"/>
      <c r="K100" s="95"/>
      <c r="L100" s="95"/>
      <c r="M100" s="95"/>
      <c r="N100" s="95"/>
      <c r="O100" s="95"/>
      <c r="P100" s="95"/>
      <c r="Q100" s="95"/>
      <c r="R100" s="95"/>
      <c r="S100" s="95"/>
      <c r="T100" s="95"/>
      <c r="U100" s="96"/>
    </row>
    <row r="101" spans="1:33" ht="97.5" customHeight="1" x14ac:dyDescent="0.2">
      <c r="B101" s="148"/>
      <c r="C101" s="27" t="s">
        <v>39</v>
      </c>
      <c r="D101" s="88" t="s">
        <v>185</v>
      </c>
      <c r="E101" s="89"/>
      <c r="F101" s="89"/>
      <c r="G101" s="89"/>
      <c r="H101" s="89"/>
      <c r="I101" s="89"/>
      <c r="J101" s="89"/>
      <c r="K101" s="89"/>
      <c r="L101" s="89"/>
      <c r="M101" s="89"/>
      <c r="N101" s="89"/>
      <c r="O101" s="89"/>
      <c r="P101" s="89"/>
      <c r="Q101" s="89"/>
      <c r="R101" s="89"/>
      <c r="S101" s="89"/>
      <c r="T101" s="89"/>
      <c r="U101" s="90"/>
    </row>
    <row r="102" spans="1:33" ht="6" customHeight="1" x14ac:dyDescent="0.2"/>
    <row r="103" spans="1:33" ht="18.75" customHeight="1" x14ac:dyDescent="0.2">
      <c r="A103" s="1" t="s">
        <v>53</v>
      </c>
    </row>
    <row r="104" spans="1:33" ht="81.75" customHeight="1" x14ac:dyDescent="0.2">
      <c r="B104" s="137" t="s">
        <v>178</v>
      </c>
      <c r="C104" s="138"/>
      <c r="D104" s="138"/>
      <c r="E104" s="138"/>
      <c r="F104" s="138"/>
      <c r="G104" s="138"/>
      <c r="H104" s="138"/>
      <c r="I104" s="138"/>
      <c r="J104" s="138"/>
      <c r="K104" s="138"/>
      <c r="L104" s="138"/>
      <c r="M104" s="138"/>
      <c r="N104" s="138"/>
      <c r="O104" s="138"/>
      <c r="P104" s="138"/>
      <c r="Q104" s="138"/>
      <c r="R104" s="138"/>
      <c r="S104" s="138"/>
      <c r="T104" s="138"/>
      <c r="U104" s="139"/>
    </row>
    <row r="106" spans="1:33" ht="18.75" customHeight="1" x14ac:dyDescent="0.2">
      <c r="A106" s="75" t="s">
        <v>54</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55</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87" t="s">
        <v>56</v>
      </c>
      <c r="C108" s="87"/>
      <c r="D108" s="87"/>
      <c r="E108" s="87"/>
      <c r="F108" s="87"/>
      <c r="G108" s="87"/>
      <c r="H108" s="87"/>
      <c r="I108" s="87"/>
      <c r="J108" s="87"/>
      <c r="K108" s="87"/>
      <c r="L108" s="87"/>
      <c r="M108" s="87"/>
      <c r="N108" s="87"/>
      <c r="O108" s="87"/>
      <c r="P108" s="87"/>
      <c r="Q108" s="87"/>
      <c r="R108" s="87"/>
      <c r="S108" s="87"/>
      <c r="T108" s="87"/>
      <c r="U108" s="87"/>
      <c r="V108" s="71"/>
      <c r="W108" s="71"/>
      <c r="X108" s="71"/>
      <c r="Y108" s="71"/>
      <c r="Z108" s="71"/>
      <c r="AA108" s="71"/>
      <c r="AB108" s="71"/>
      <c r="AC108" s="71"/>
      <c r="AD108" s="71"/>
      <c r="AE108" s="71"/>
      <c r="AF108" s="71"/>
      <c r="AG108" s="71"/>
    </row>
    <row r="109" spans="1:33" ht="37.200000000000003" customHeight="1" x14ac:dyDescent="0.2">
      <c r="A109" s="75"/>
      <c r="B109" s="87"/>
      <c r="C109" s="87"/>
      <c r="D109" s="87"/>
      <c r="E109" s="87"/>
      <c r="F109" s="87"/>
      <c r="G109" s="87"/>
      <c r="H109" s="87"/>
      <c r="I109" s="87"/>
      <c r="J109" s="87"/>
      <c r="K109" s="87"/>
      <c r="L109" s="87"/>
      <c r="M109" s="87"/>
      <c r="N109" s="87"/>
      <c r="O109" s="87"/>
      <c r="P109" s="87"/>
      <c r="Q109" s="87"/>
      <c r="R109" s="87"/>
      <c r="S109" s="87"/>
      <c r="T109" s="87"/>
      <c r="U109" s="87"/>
      <c r="V109" s="71"/>
      <c r="W109" s="71"/>
      <c r="X109" s="71"/>
      <c r="Y109" s="71"/>
      <c r="Z109" s="71"/>
      <c r="AA109" s="71"/>
      <c r="AB109" s="71"/>
      <c r="AC109" s="71"/>
      <c r="AD109" s="71"/>
      <c r="AE109" s="71"/>
      <c r="AF109" s="71"/>
      <c r="AG109" s="71"/>
    </row>
    <row r="110" spans="1:33" ht="18.75" customHeight="1" x14ac:dyDescent="0.2">
      <c r="A110" s="75"/>
      <c r="B110" s="157" t="s">
        <v>57</v>
      </c>
      <c r="C110" s="157"/>
      <c r="D110" s="157"/>
      <c r="E110" s="157"/>
      <c r="F110" s="157"/>
      <c r="G110" s="157"/>
      <c r="H110" s="157"/>
      <c r="I110" s="157"/>
      <c r="J110" s="157"/>
      <c r="K110" s="157"/>
      <c r="L110" s="157"/>
      <c r="M110" s="157"/>
      <c r="N110" s="157"/>
      <c r="O110" s="157"/>
      <c r="P110" s="157"/>
      <c r="Q110" s="157"/>
      <c r="R110" s="157"/>
      <c r="S110" s="157"/>
      <c r="T110" s="157"/>
      <c r="U110" s="157"/>
      <c r="V110" s="71"/>
      <c r="W110" s="71"/>
      <c r="X110" s="71"/>
      <c r="Y110" s="71"/>
      <c r="Z110" s="71"/>
      <c r="AA110" s="71"/>
      <c r="AB110" s="71"/>
      <c r="AC110" s="71"/>
      <c r="AD110" s="71"/>
      <c r="AE110" s="71"/>
      <c r="AF110" s="71"/>
      <c r="AG110" s="71"/>
    </row>
    <row r="111" spans="1:33" ht="18.75" customHeight="1" x14ac:dyDescent="0.2">
      <c r="A111" s="75"/>
      <c r="B111" s="158" t="s">
        <v>45</v>
      </c>
      <c r="C111" s="158"/>
      <c r="D111" s="158"/>
      <c r="E111" s="158"/>
      <c r="F111" s="158"/>
      <c r="G111" s="158"/>
      <c r="H111" s="158"/>
      <c r="I111" s="158"/>
      <c r="J111" s="158"/>
      <c r="K111" s="158"/>
      <c r="L111" s="158"/>
      <c r="M111" s="158"/>
      <c r="N111" s="158"/>
      <c r="O111" s="158"/>
      <c r="P111" s="158"/>
      <c r="Q111" s="158"/>
      <c r="R111" s="158"/>
      <c r="S111" s="158"/>
      <c r="T111" s="158"/>
      <c r="U111" s="158"/>
      <c r="V111" s="70"/>
      <c r="W111" s="70"/>
      <c r="X111" s="70"/>
      <c r="Y111" s="70"/>
      <c r="Z111" s="70"/>
      <c r="AA111" s="70"/>
      <c r="AB111" s="70"/>
      <c r="AC111" s="70"/>
      <c r="AD111" s="70"/>
      <c r="AE111" s="70"/>
      <c r="AF111" s="70"/>
      <c r="AG111" s="70"/>
    </row>
    <row r="112" spans="1:33" ht="132" customHeight="1" x14ac:dyDescent="0.2">
      <c r="A112" s="75"/>
      <c r="B112" s="159" t="s">
        <v>58</v>
      </c>
      <c r="C112" s="159"/>
      <c r="D112" s="159"/>
      <c r="E112" s="159"/>
      <c r="F112" s="159"/>
      <c r="G112" s="159"/>
      <c r="H112" s="159"/>
      <c r="I112" s="159"/>
      <c r="J112" s="159"/>
      <c r="K112" s="159"/>
      <c r="L112" s="159"/>
      <c r="M112" s="159"/>
      <c r="N112" s="159"/>
      <c r="O112" s="159"/>
      <c r="P112" s="159"/>
      <c r="Q112" s="159"/>
      <c r="R112" s="159"/>
      <c r="S112" s="159"/>
      <c r="T112" s="159"/>
      <c r="U112" s="159"/>
      <c r="V112" s="72"/>
      <c r="W112" s="72"/>
      <c r="X112" s="72"/>
      <c r="Y112" s="72"/>
      <c r="Z112" s="72"/>
      <c r="AA112" s="72"/>
      <c r="AB112" s="72"/>
      <c r="AC112" s="72"/>
      <c r="AD112" s="72"/>
      <c r="AE112" s="72"/>
      <c r="AF112" s="72"/>
      <c r="AG112" s="72"/>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13" zoomScaleNormal="100" zoomScaleSheetLayoutView="100" workbookViewId="0">
      <selection activeCell="G18" sqref="G18"/>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6"/>
      <c r="B1" s="76"/>
      <c r="C1" s="76"/>
      <c r="D1" s="76"/>
      <c r="E1" s="76"/>
      <c r="F1" s="76"/>
      <c r="G1" s="76"/>
      <c r="H1" s="76"/>
      <c r="I1" s="76"/>
      <c r="J1" s="76"/>
      <c r="K1" s="76"/>
      <c r="L1" s="76"/>
      <c r="M1" s="76"/>
      <c r="N1" s="76"/>
      <c r="O1" s="76"/>
      <c r="P1" s="76"/>
      <c r="Q1" s="76"/>
      <c r="R1" s="76"/>
      <c r="S1" s="76" t="s">
        <v>59</v>
      </c>
    </row>
    <row r="2" spans="1:21" ht="18" customHeight="1" x14ac:dyDescent="0.2">
      <c r="A2" s="76"/>
      <c r="B2" s="76"/>
      <c r="C2" s="76"/>
      <c r="D2" s="76"/>
      <c r="E2" s="76"/>
      <c r="F2" s="76"/>
      <c r="G2" s="76"/>
      <c r="H2" s="76"/>
      <c r="I2" s="76"/>
      <c r="J2" s="76"/>
      <c r="K2" s="76"/>
      <c r="L2" s="76"/>
      <c r="M2" s="76"/>
      <c r="N2" s="76"/>
      <c r="O2" s="76"/>
      <c r="P2" s="76"/>
      <c r="Q2" s="161" t="str">
        <f>'様式１　プログラムを構成する授業科目'!C2</f>
        <v>京都女子大学</v>
      </c>
      <c r="R2" s="161"/>
      <c r="S2" s="161"/>
    </row>
    <row r="3" spans="1:21" ht="18" customHeight="1" x14ac:dyDescent="0.2">
      <c r="A3" s="126" t="s">
        <v>60</v>
      </c>
      <c r="B3" s="126"/>
      <c r="C3" s="126"/>
      <c r="D3" s="126"/>
      <c r="E3" s="126"/>
      <c r="F3" s="126"/>
      <c r="G3" s="126"/>
      <c r="H3" s="126"/>
      <c r="I3" s="126"/>
      <c r="J3" s="126"/>
      <c r="K3" s="126"/>
      <c r="L3" s="126"/>
      <c r="M3" s="126"/>
      <c r="N3" s="126"/>
      <c r="O3" s="126"/>
      <c r="P3" s="126"/>
      <c r="Q3" s="126"/>
      <c r="R3" s="126"/>
      <c r="S3" s="126"/>
    </row>
    <row r="4" spans="1:21" ht="7.5" customHeight="1" x14ac:dyDescent="0.2">
      <c r="A4" s="81"/>
      <c r="B4" s="81"/>
      <c r="C4" s="81"/>
      <c r="D4" s="81"/>
      <c r="E4" s="81"/>
      <c r="F4" s="81"/>
      <c r="G4" s="81"/>
      <c r="H4" s="81"/>
      <c r="I4" s="81"/>
      <c r="J4" s="81"/>
      <c r="K4" s="81"/>
      <c r="L4" s="81"/>
      <c r="M4" s="81"/>
      <c r="N4" s="81"/>
      <c r="O4" s="81"/>
      <c r="P4" s="81"/>
      <c r="Q4" s="81"/>
      <c r="R4" s="81"/>
      <c r="S4" s="81"/>
    </row>
    <row r="5" spans="1:21" ht="18" customHeight="1" x14ac:dyDescent="0.2">
      <c r="A5" s="76" t="s">
        <v>61</v>
      </c>
      <c r="B5" s="76"/>
      <c r="C5" s="162" t="s">
        <v>62</v>
      </c>
      <c r="D5" s="163"/>
      <c r="E5" s="81" t="s">
        <v>63</v>
      </c>
      <c r="F5" s="81"/>
      <c r="G5" s="81"/>
      <c r="H5" s="81"/>
      <c r="I5" s="81"/>
      <c r="J5" s="81"/>
      <c r="K5" s="81"/>
      <c r="L5" s="81"/>
      <c r="M5" s="81"/>
      <c r="N5" s="81"/>
      <c r="O5" s="81"/>
      <c r="P5" s="81"/>
      <c r="Q5" s="81"/>
      <c r="R5" s="79"/>
      <c r="S5" s="79"/>
    </row>
    <row r="6" spans="1:21" ht="7.2" customHeight="1" x14ac:dyDescent="0.2">
      <c r="A6" s="76"/>
      <c r="B6" s="76"/>
      <c r="C6" s="86"/>
      <c r="D6" s="86"/>
      <c r="E6" s="81"/>
      <c r="F6" s="81"/>
      <c r="G6" s="81"/>
      <c r="H6" s="81"/>
      <c r="I6" s="81"/>
      <c r="J6" s="81"/>
      <c r="K6" s="81"/>
      <c r="L6" s="81"/>
      <c r="M6" s="81"/>
      <c r="N6" s="81"/>
      <c r="O6" s="81"/>
      <c r="P6" s="81"/>
      <c r="Q6" s="81"/>
      <c r="R6" s="79"/>
      <c r="S6" s="79"/>
    </row>
    <row r="7" spans="1:21" ht="18" customHeight="1" x14ac:dyDescent="0.2">
      <c r="A7" s="76" t="s">
        <v>64</v>
      </c>
      <c r="B7" s="76"/>
      <c r="C7" s="86"/>
      <c r="D7" s="86"/>
      <c r="E7" s="81" t="s">
        <v>65</v>
      </c>
      <c r="F7" s="84">
        <v>0</v>
      </c>
      <c r="G7" s="82" t="s">
        <v>66</v>
      </c>
      <c r="H7" s="81" t="s">
        <v>67</v>
      </c>
      <c r="I7" s="84">
        <v>6016</v>
      </c>
      <c r="J7" s="82" t="s">
        <v>66</v>
      </c>
      <c r="K7" s="78" t="s">
        <v>68</v>
      </c>
      <c r="L7" s="81" t="s">
        <v>69</v>
      </c>
      <c r="M7" s="84">
        <f>F7+I7</f>
        <v>6016</v>
      </c>
      <c r="N7" s="81" t="s">
        <v>70</v>
      </c>
      <c r="O7" s="82" t="s">
        <v>71</v>
      </c>
      <c r="P7" s="81"/>
      <c r="Q7" s="81"/>
      <c r="R7" s="79"/>
      <c r="S7" s="79"/>
    </row>
    <row r="8" spans="1:21" ht="6" customHeight="1" x14ac:dyDescent="0.2">
      <c r="A8" s="81"/>
      <c r="B8" s="81"/>
      <c r="C8" s="81"/>
      <c r="D8" s="81"/>
      <c r="E8" s="81"/>
      <c r="F8" s="81"/>
      <c r="G8" s="81"/>
      <c r="H8" s="81"/>
      <c r="I8" s="81"/>
      <c r="J8" s="81"/>
      <c r="K8" s="81"/>
      <c r="L8" s="81"/>
      <c r="M8" s="81"/>
      <c r="N8" s="81"/>
      <c r="O8" s="81"/>
      <c r="P8" s="81"/>
      <c r="Q8" s="81"/>
      <c r="R8" s="81"/>
      <c r="S8" s="81"/>
    </row>
    <row r="9" spans="1:21" ht="18" customHeight="1" x14ac:dyDescent="0.2">
      <c r="A9" s="76" t="s">
        <v>72</v>
      </c>
      <c r="B9" s="81"/>
      <c r="C9" s="81"/>
      <c r="D9" s="81"/>
      <c r="E9" s="81"/>
      <c r="F9" s="81"/>
      <c r="G9" s="81"/>
      <c r="H9" s="81"/>
      <c r="I9" s="81"/>
      <c r="J9" s="81"/>
      <c r="K9" s="81"/>
      <c r="L9" s="81"/>
      <c r="M9" s="81"/>
      <c r="N9" s="81"/>
      <c r="O9" s="81"/>
      <c r="P9" s="81"/>
      <c r="Q9" s="81"/>
      <c r="R9" s="81"/>
      <c r="S9" s="81"/>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4" t="s">
        <v>73</v>
      </c>
      <c r="C11" s="174" t="s">
        <v>74</v>
      </c>
      <c r="D11" s="166" t="s">
        <v>75</v>
      </c>
      <c r="E11" s="168" t="s">
        <v>76</v>
      </c>
      <c r="F11" s="160" t="s">
        <v>77</v>
      </c>
      <c r="G11" s="160"/>
      <c r="H11" s="160" t="s">
        <v>78</v>
      </c>
      <c r="I11" s="160"/>
      <c r="J11" s="160" t="s">
        <v>79</v>
      </c>
      <c r="K11" s="160"/>
      <c r="L11" s="160" t="s">
        <v>80</v>
      </c>
      <c r="M11" s="160"/>
      <c r="N11" s="160" t="s">
        <v>81</v>
      </c>
      <c r="O11" s="160"/>
      <c r="P11" s="160" t="s">
        <v>82</v>
      </c>
      <c r="Q11" s="160"/>
      <c r="R11" s="170" t="s">
        <v>83</v>
      </c>
      <c r="S11" s="172" t="s">
        <v>84</v>
      </c>
      <c r="U11" s="2"/>
    </row>
    <row r="12" spans="1:21" ht="16.95" customHeight="1" x14ac:dyDescent="0.2">
      <c r="B12" s="165"/>
      <c r="C12" s="175"/>
      <c r="D12" s="167"/>
      <c r="E12" s="169"/>
      <c r="F12" s="64" t="s">
        <v>85</v>
      </c>
      <c r="G12" s="64" t="s">
        <v>86</v>
      </c>
      <c r="H12" s="64" t="s">
        <v>85</v>
      </c>
      <c r="I12" s="64" t="s">
        <v>86</v>
      </c>
      <c r="J12" s="64" t="s">
        <v>85</v>
      </c>
      <c r="K12" s="64" t="s">
        <v>86</v>
      </c>
      <c r="L12" s="64" t="s">
        <v>85</v>
      </c>
      <c r="M12" s="64" t="s">
        <v>86</v>
      </c>
      <c r="N12" s="64" t="s">
        <v>85</v>
      </c>
      <c r="O12" s="64" t="s">
        <v>86</v>
      </c>
      <c r="P12" s="64" t="s">
        <v>85</v>
      </c>
      <c r="Q12" s="65" t="s">
        <v>86</v>
      </c>
      <c r="R12" s="171"/>
      <c r="S12" s="173"/>
      <c r="U12" s="2"/>
    </row>
    <row r="13" spans="1:21" ht="18" customHeight="1" x14ac:dyDescent="0.2">
      <c r="A13" s="6"/>
      <c r="B13" s="66" t="s">
        <v>87</v>
      </c>
      <c r="C13" s="52">
        <v>1656</v>
      </c>
      <c r="D13" s="53">
        <v>385</v>
      </c>
      <c r="E13" s="54">
        <v>1540</v>
      </c>
      <c r="F13" s="54">
        <v>393</v>
      </c>
      <c r="G13" s="54">
        <v>368</v>
      </c>
      <c r="H13" s="54"/>
      <c r="I13" s="54"/>
      <c r="J13" s="54"/>
      <c r="K13" s="54"/>
      <c r="L13" s="54"/>
      <c r="M13" s="54"/>
      <c r="N13" s="54"/>
      <c r="O13" s="54"/>
      <c r="P13" s="54"/>
      <c r="Q13" s="67"/>
      <c r="R13" s="53">
        <f t="shared" ref="R13:R32" si="0">F13+H13+J13+L13+N13+P13</f>
        <v>393</v>
      </c>
      <c r="S13" s="68">
        <f t="shared" ref="S13:S33" si="1">R13/E13</f>
        <v>0.2551948051948052</v>
      </c>
    </row>
    <row r="14" spans="1:21" ht="18" customHeight="1" x14ac:dyDescent="0.2">
      <c r="A14" s="6"/>
      <c r="B14" s="11" t="s">
        <v>88</v>
      </c>
      <c r="C14" s="55">
        <v>1503</v>
      </c>
      <c r="D14" s="56">
        <v>350</v>
      </c>
      <c r="E14" s="57">
        <v>1400</v>
      </c>
      <c r="F14" s="58">
        <v>360</v>
      </c>
      <c r="G14" s="58">
        <v>350</v>
      </c>
      <c r="H14" s="58"/>
      <c r="I14" s="58"/>
      <c r="J14" s="58"/>
      <c r="K14" s="58"/>
      <c r="L14" s="58"/>
      <c r="M14" s="58"/>
      <c r="N14" s="58"/>
      <c r="O14" s="58"/>
      <c r="P14" s="58"/>
      <c r="Q14" s="55"/>
      <c r="R14" s="56">
        <f t="shared" si="0"/>
        <v>360</v>
      </c>
      <c r="S14" s="16">
        <f t="shared" si="1"/>
        <v>0.25714285714285712</v>
      </c>
    </row>
    <row r="15" spans="1:21" ht="18" customHeight="1" x14ac:dyDescent="0.2">
      <c r="A15" s="6"/>
      <c r="B15" s="11" t="s">
        <v>89</v>
      </c>
      <c r="C15" s="55">
        <v>1036</v>
      </c>
      <c r="D15" s="56">
        <v>240</v>
      </c>
      <c r="E15" s="57">
        <v>960</v>
      </c>
      <c r="F15" s="58">
        <v>221</v>
      </c>
      <c r="G15" s="58">
        <v>217</v>
      </c>
      <c r="H15" s="58"/>
      <c r="I15" s="58"/>
      <c r="J15" s="58"/>
      <c r="K15" s="58"/>
      <c r="L15" s="58"/>
      <c r="M15" s="58"/>
      <c r="N15" s="58"/>
      <c r="O15" s="58"/>
      <c r="P15" s="58"/>
      <c r="Q15" s="55"/>
      <c r="R15" s="56">
        <f t="shared" si="0"/>
        <v>221</v>
      </c>
      <c r="S15" s="8">
        <f t="shared" si="1"/>
        <v>0.23020833333333332</v>
      </c>
    </row>
    <row r="16" spans="1:21" ht="18" customHeight="1" x14ac:dyDescent="0.2">
      <c r="A16" s="6"/>
      <c r="B16" s="11" t="s">
        <v>90</v>
      </c>
      <c r="C16" s="55">
        <v>1209</v>
      </c>
      <c r="D16" s="56">
        <v>250</v>
      </c>
      <c r="E16" s="57">
        <v>1000</v>
      </c>
      <c r="F16" s="58">
        <v>257</v>
      </c>
      <c r="G16" s="58">
        <v>243</v>
      </c>
      <c r="H16" s="58"/>
      <c r="I16" s="58"/>
      <c r="J16" s="58"/>
      <c r="K16" s="58"/>
      <c r="L16" s="58"/>
      <c r="M16" s="58"/>
      <c r="N16" s="58"/>
      <c r="O16" s="58"/>
      <c r="P16" s="58"/>
      <c r="Q16" s="55"/>
      <c r="R16" s="56">
        <f t="shared" si="0"/>
        <v>257</v>
      </c>
      <c r="S16" s="8">
        <f t="shared" si="1"/>
        <v>0.25700000000000001</v>
      </c>
    </row>
    <row r="17" spans="1:19" ht="18" customHeight="1" x14ac:dyDescent="0.2">
      <c r="A17" s="6"/>
      <c r="B17" s="11" t="s">
        <v>91</v>
      </c>
      <c r="C17" s="55">
        <v>513</v>
      </c>
      <c r="D17" s="56">
        <v>120</v>
      </c>
      <c r="E17" s="57">
        <v>480</v>
      </c>
      <c r="F17" s="58">
        <v>136</v>
      </c>
      <c r="G17" s="58">
        <v>126</v>
      </c>
      <c r="H17" s="58"/>
      <c r="I17" s="58"/>
      <c r="J17" s="58"/>
      <c r="K17" s="58"/>
      <c r="L17" s="58"/>
      <c r="M17" s="58"/>
      <c r="N17" s="58"/>
      <c r="O17" s="58"/>
      <c r="P17" s="58"/>
      <c r="Q17" s="55"/>
      <c r="R17" s="56">
        <f t="shared" si="0"/>
        <v>136</v>
      </c>
      <c r="S17" s="8">
        <f t="shared" si="1"/>
        <v>0.28333333333333333</v>
      </c>
    </row>
    <row r="18" spans="1:19" ht="18" customHeight="1" x14ac:dyDescent="0.2">
      <c r="A18" s="6"/>
      <c r="B18" s="11" t="s">
        <v>92</v>
      </c>
      <c r="C18" s="55">
        <v>99</v>
      </c>
      <c r="D18" s="56">
        <v>95</v>
      </c>
      <c r="E18" s="57">
        <v>380</v>
      </c>
      <c r="F18" s="58">
        <v>98</v>
      </c>
      <c r="G18" s="58">
        <v>97</v>
      </c>
      <c r="H18" s="58"/>
      <c r="I18" s="58"/>
      <c r="J18" s="58"/>
      <c r="K18" s="58"/>
      <c r="L18" s="58"/>
      <c r="M18" s="58"/>
      <c r="N18" s="58"/>
      <c r="O18" s="58"/>
      <c r="P18" s="58"/>
      <c r="Q18" s="55"/>
      <c r="R18" s="56">
        <f t="shared" si="0"/>
        <v>98</v>
      </c>
      <c r="S18" s="8">
        <f t="shared" si="1"/>
        <v>0.25789473684210529</v>
      </c>
    </row>
    <row r="19" spans="1:19" ht="18" customHeight="1" x14ac:dyDescent="0.2">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2">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2">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2">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2">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2">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2">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2">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2">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2">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2">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2">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2">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5">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2">
      <c r="B33" s="13" t="s">
        <v>93</v>
      </c>
      <c r="C33" s="61">
        <f t="shared" ref="C33" si="2">SUM(C13:C32)</f>
        <v>6016</v>
      </c>
      <c r="D33" s="62">
        <f t="shared" ref="D33:R33" si="3">SUM(D13:D32)</f>
        <v>1440</v>
      </c>
      <c r="E33" s="63">
        <f t="shared" si="3"/>
        <v>5760</v>
      </c>
      <c r="F33" s="63">
        <f t="shared" si="3"/>
        <v>1465</v>
      </c>
      <c r="G33" s="63">
        <f t="shared" ref="G33:H33" si="4">SUM(G13:G32)</f>
        <v>1401</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1465</v>
      </c>
      <c r="S33" s="9">
        <f t="shared" si="1"/>
        <v>0.25434027777777779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4" zoomScale="150" zoomScaleNormal="100" zoomScaleSheetLayoutView="150" workbookViewId="0">
      <selection activeCell="I18" sqref="I18"/>
    </sheetView>
  </sheetViews>
  <sheetFormatPr defaultColWidth="11.33203125" defaultRowHeight="18.75" customHeight="1" x14ac:dyDescent="0.2"/>
  <cols>
    <col min="1" max="1" width="2.77734375" style="32" customWidth="1"/>
    <col min="2" max="2" width="16.6640625" style="1" customWidth="1"/>
    <col min="3" max="3" width="8.777343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2" t="s">
        <v>94</v>
      </c>
      <c r="I1" s="30" t="s">
        <v>95</v>
      </c>
    </row>
    <row r="2" spans="1:9" ht="18.75" customHeight="1" x14ac:dyDescent="0.2">
      <c r="G2" s="30" t="s">
        <v>2</v>
      </c>
      <c r="H2" s="103" t="str">
        <f>'様式１　プログラムを構成する授業科目'!C2</f>
        <v>京都女子大学</v>
      </c>
      <c r="I2" s="105"/>
    </row>
    <row r="3" spans="1:9" ht="18.75" customHeight="1" x14ac:dyDescent="0.2">
      <c r="G3" s="30"/>
      <c r="H3" s="10"/>
      <c r="I3" s="10"/>
    </row>
    <row r="4" spans="1:9" ht="18.45" customHeight="1" x14ac:dyDescent="0.2">
      <c r="A4" s="204" t="s">
        <v>96</v>
      </c>
      <c r="B4" s="204"/>
      <c r="C4" s="204"/>
      <c r="D4" s="204"/>
      <c r="E4" s="204"/>
      <c r="F4" s="204"/>
      <c r="G4" s="204"/>
      <c r="H4" s="204"/>
      <c r="I4" s="204"/>
    </row>
    <row r="5" spans="1:9" ht="13.2" customHeight="1" x14ac:dyDescent="0.2">
      <c r="B5" s="3"/>
      <c r="C5" s="3"/>
      <c r="D5" s="3"/>
      <c r="E5" s="3"/>
      <c r="F5" s="3"/>
      <c r="G5" s="3"/>
      <c r="H5" s="3"/>
      <c r="I5" s="3"/>
    </row>
    <row r="6" spans="1:9" ht="18" customHeight="1" x14ac:dyDescent="0.2">
      <c r="A6" s="1" t="s">
        <v>97</v>
      </c>
      <c r="B6" s="10" t="s">
        <v>98</v>
      </c>
      <c r="C6" s="234" t="s">
        <v>99</v>
      </c>
      <c r="D6" s="234"/>
      <c r="E6" s="29">
        <v>204</v>
      </c>
      <c r="F6" s="3" t="s">
        <v>70</v>
      </c>
      <c r="G6" s="3" t="s">
        <v>100</v>
      </c>
      <c r="H6" s="29">
        <v>441</v>
      </c>
      <c r="I6" s="10" t="s">
        <v>70</v>
      </c>
    </row>
    <row r="7" spans="1:9" ht="12" customHeight="1" x14ac:dyDescent="0.2">
      <c r="C7" s="2"/>
      <c r="D7" s="2"/>
      <c r="E7" s="2"/>
      <c r="F7" s="2"/>
      <c r="G7" s="2"/>
      <c r="H7" s="2"/>
      <c r="I7" s="33"/>
    </row>
    <row r="8" spans="1:9" ht="18" customHeight="1" x14ac:dyDescent="0.2">
      <c r="A8" s="1" t="s">
        <v>101</v>
      </c>
      <c r="B8" s="10" t="s">
        <v>102</v>
      </c>
      <c r="E8" s="3"/>
      <c r="F8" s="3"/>
      <c r="G8" s="3"/>
      <c r="H8" s="29">
        <v>8</v>
      </c>
      <c r="I8" s="10" t="s">
        <v>70</v>
      </c>
    </row>
    <row r="9" spans="1:9" ht="9" customHeight="1" x14ac:dyDescent="0.2">
      <c r="B9" s="3"/>
      <c r="C9" s="3"/>
      <c r="D9" s="3"/>
      <c r="E9" s="3"/>
      <c r="F9" s="3"/>
      <c r="G9" s="3"/>
      <c r="H9" s="3"/>
      <c r="I9" s="3"/>
    </row>
    <row r="10" spans="1:9" ht="18" customHeight="1" x14ac:dyDescent="0.2">
      <c r="A10" s="1" t="s">
        <v>103</v>
      </c>
      <c r="B10" s="10" t="s">
        <v>104</v>
      </c>
      <c r="C10" s="3"/>
      <c r="D10" s="3"/>
      <c r="E10" s="3"/>
      <c r="F10" s="3"/>
      <c r="G10" s="3"/>
      <c r="H10" s="3"/>
      <c r="I10" s="3"/>
    </row>
    <row r="11" spans="1:9" ht="18" customHeight="1" x14ac:dyDescent="0.2">
      <c r="B11" s="30" t="s">
        <v>105</v>
      </c>
      <c r="C11" s="231" t="s">
        <v>106</v>
      </c>
      <c r="D11" s="232"/>
      <c r="E11" s="233"/>
      <c r="F11" s="33"/>
      <c r="G11" s="30" t="s">
        <v>107</v>
      </c>
      <c r="H11" s="231" t="s">
        <v>108</v>
      </c>
      <c r="I11" s="233"/>
    </row>
    <row r="12" spans="1:9" ht="10.199999999999999" customHeight="1" x14ac:dyDescent="0.2">
      <c r="B12" s="30"/>
      <c r="C12" s="10"/>
      <c r="D12" s="33"/>
      <c r="E12" s="33"/>
      <c r="F12" s="33"/>
      <c r="G12" s="30"/>
      <c r="H12" s="10"/>
      <c r="I12" s="33"/>
    </row>
    <row r="13" spans="1:9" ht="18" customHeight="1" x14ac:dyDescent="0.2">
      <c r="A13" s="1" t="s">
        <v>109</v>
      </c>
      <c r="B13" s="10" t="s">
        <v>110</v>
      </c>
      <c r="C13" s="3"/>
      <c r="D13" s="3"/>
      <c r="E13" s="3"/>
      <c r="F13" s="3"/>
      <c r="G13" s="3"/>
      <c r="H13" s="3"/>
      <c r="I13" s="3"/>
    </row>
    <row r="14" spans="1:9" ht="18" customHeight="1" x14ac:dyDescent="0.2">
      <c r="B14" s="228" t="s">
        <v>186</v>
      </c>
      <c r="C14" s="229"/>
      <c r="D14" s="229"/>
      <c r="E14" s="229"/>
      <c r="F14" s="229"/>
      <c r="G14" s="229"/>
      <c r="H14" s="229"/>
      <c r="I14" s="230"/>
    </row>
    <row r="15" spans="1:9" ht="9" customHeight="1" x14ac:dyDescent="0.2">
      <c r="B15" s="3"/>
      <c r="C15" s="3"/>
      <c r="D15" s="3"/>
      <c r="E15" s="3"/>
      <c r="F15" s="3"/>
      <c r="G15" s="3"/>
      <c r="H15" s="3"/>
      <c r="I15" s="3"/>
    </row>
    <row r="16" spans="1:9" ht="18" customHeight="1" x14ac:dyDescent="0.2">
      <c r="B16" s="30" t="s">
        <v>105</v>
      </c>
      <c r="C16" s="231" t="s">
        <v>111</v>
      </c>
      <c r="D16" s="232"/>
      <c r="E16" s="233"/>
      <c r="F16" s="33"/>
      <c r="G16" s="30" t="s">
        <v>107</v>
      </c>
      <c r="H16" s="231" t="s">
        <v>108</v>
      </c>
      <c r="I16" s="233"/>
    </row>
    <row r="17" spans="1:9" ht="18" customHeight="1" x14ac:dyDescent="0.2">
      <c r="B17" s="3"/>
      <c r="C17" s="3"/>
      <c r="D17" s="3"/>
      <c r="E17" s="3"/>
      <c r="F17" s="3"/>
      <c r="G17" s="3"/>
      <c r="H17" s="3"/>
      <c r="I17" s="3"/>
    </row>
    <row r="18" spans="1:9" ht="18.75" customHeight="1" x14ac:dyDescent="0.2">
      <c r="A18" s="1" t="s">
        <v>112</v>
      </c>
      <c r="B18" s="1" t="s">
        <v>113</v>
      </c>
      <c r="I18" s="3"/>
    </row>
    <row r="19" spans="1:9" ht="18.75" customHeight="1" x14ac:dyDescent="0.2">
      <c r="A19" s="1"/>
      <c r="B19" s="205" t="s">
        <v>187</v>
      </c>
      <c r="C19" s="206"/>
      <c r="D19" s="206"/>
      <c r="E19" s="206"/>
      <c r="F19" s="206"/>
      <c r="G19" s="206"/>
      <c r="H19" s="206"/>
      <c r="I19" s="207"/>
    </row>
    <row r="20" spans="1:9" ht="7.5" customHeight="1" x14ac:dyDescent="0.2">
      <c r="B20" s="3"/>
      <c r="C20" s="3"/>
      <c r="D20" s="3"/>
      <c r="E20" s="3"/>
      <c r="F20" s="3"/>
      <c r="G20" s="3"/>
      <c r="H20" s="3"/>
      <c r="I20" s="3"/>
    </row>
    <row r="21" spans="1:9" ht="18.75" customHeight="1" x14ac:dyDescent="0.2">
      <c r="A21" s="1" t="s">
        <v>114</v>
      </c>
      <c r="B21" s="1" t="s">
        <v>115</v>
      </c>
    </row>
    <row r="22" spans="1:9" ht="18.75" customHeight="1" x14ac:dyDescent="0.2">
      <c r="A22" s="14"/>
      <c r="B22" s="208" t="s">
        <v>116</v>
      </c>
      <c r="C22" s="209"/>
      <c r="D22" s="209"/>
      <c r="E22" s="209"/>
      <c r="F22" s="209"/>
      <c r="G22" s="209"/>
      <c r="H22" s="209"/>
      <c r="I22" s="210"/>
    </row>
    <row r="23" spans="1:9" ht="18.75" customHeight="1" x14ac:dyDescent="0.2">
      <c r="A23" s="14"/>
      <c r="B23" s="211"/>
      <c r="C23" s="212"/>
      <c r="D23" s="212"/>
      <c r="E23" s="212"/>
      <c r="F23" s="212"/>
      <c r="G23" s="212"/>
      <c r="H23" s="212"/>
      <c r="I23" s="213"/>
    </row>
    <row r="24" spans="1:9" ht="18.75" customHeight="1" x14ac:dyDescent="0.2">
      <c r="A24" s="14"/>
      <c r="B24" s="211"/>
      <c r="C24" s="212"/>
      <c r="D24" s="212"/>
      <c r="E24" s="212"/>
      <c r="F24" s="212"/>
      <c r="G24" s="212"/>
      <c r="H24" s="212"/>
      <c r="I24" s="213"/>
    </row>
    <row r="25" spans="1:9" ht="18.75" customHeight="1" x14ac:dyDescent="0.2">
      <c r="A25" s="14"/>
      <c r="B25" s="211"/>
      <c r="C25" s="212"/>
      <c r="D25" s="212"/>
      <c r="E25" s="212"/>
      <c r="F25" s="212"/>
      <c r="G25" s="212"/>
      <c r="H25" s="212"/>
      <c r="I25" s="213"/>
    </row>
    <row r="26" spans="1:9" ht="18.75" customHeight="1" x14ac:dyDescent="0.2">
      <c r="A26" s="14"/>
      <c r="B26" s="211"/>
      <c r="C26" s="212"/>
      <c r="D26" s="212"/>
      <c r="E26" s="212"/>
      <c r="F26" s="212"/>
      <c r="G26" s="212"/>
      <c r="H26" s="212"/>
      <c r="I26" s="213"/>
    </row>
    <row r="27" spans="1:9" ht="18.75" customHeight="1" x14ac:dyDescent="0.2">
      <c r="A27" s="14"/>
      <c r="B27" s="211"/>
      <c r="C27" s="212"/>
      <c r="D27" s="212"/>
      <c r="E27" s="212"/>
      <c r="F27" s="212"/>
      <c r="G27" s="212"/>
      <c r="H27" s="212"/>
      <c r="I27" s="213"/>
    </row>
    <row r="28" spans="1:9" ht="18.75" customHeight="1" x14ac:dyDescent="0.2">
      <c r="A28" s="14"/>
      <c r="B28" s="211"/>
      <c r="C28" s="212"/>
      <c r="D28" s="212"/>
      <c r="E28" s="212"/>
      <c r="F28" s="212"/>
      <c r="G28" s="212"/>
      <c r="H28" s="212"/>
      <c r="I28" s="213"/>
    </row>
    <row r="29" spans="1:9" ht="18.75" customHeight="1" x14ac:dyDescent="0.2">
      <c r="A29" s="14"/>
      <c r="B29" s="211"/>
      <c r="C29" s="212"/>
      <c r="D29" s="212"/>
      <c r="E29" s="212"/>
      <c r="F29" s="212"/>
      <c r="G29" s="212"/>
      <c r="H29" s="212"/>
      <c r="I29" s="213"/>
    </row>
    <row r="30" spans="1:9" ht="18.75" customHeight="1" x14ac:dyDescent="0.2">
      <c r="A30" s="14"/>
      <c r="B30" s="214"/>
      <c r="C30" s="215"/>
      <c r="D30" s="215"/>
      <c r="E30" s="215"/>
      <c r="F30" s="215"/>
      <c r="G30" s="215"/>
      <c r="H30" s="215"/>
      <c r="I30" s="213"/>
    </row>
    <row r="31" spans="1:9" ht="18.75" customHeight="1" x14ac:dyDescent="0.2">
      <c r="A31" s="14"/>
      <c r="B31" s="214"/>
      <c r="C31" s="215"/>
      <c r="D31" s="215"/>
      <c r="E31" s="215"/>
      <c r="F31" s="215"/>
      <c r="G31" s="215"/>
      <c r="H31" s="215"/>
      <c r="I31" s="213"/>
    </row>
    <row r="32" spans="1:9" ht="18.75" customHeight="1" x14ac:dyDescent="0.2">
      <c r="A32" s="14"/>
      <c r="B32" s="216"/>
      <c r="C32" s="217"/>
      <c r="D32" s="217"/>
      <c r="E32" s="217"/>
      <c r="F32" s="217"/>
      <c r="G32" s="217"/>
      <c r="H32" s="217"/>
      <c r="I32" s="218"/>
    </row>
    <row r="33" spans="1:9" ht="7.5" customHeight="1" x14ac:dyDescent="0.2">
      <c r="A33" s="14"/>
      <c r="B33" s="14"/>
      <c r="C33" s="14"/>
      <c r="D33" s="14"/>
      <c r="E33" s="14"/>
      <c r="F33" s="14"/>
      <c r="G33" s="14"/>
      <c r="H33" s="14"/>
      <c r="I33" s="14"/>
    </row>
    <row r="34" spans="1:9" ht="18.75" customHeight="1" x14ac:dyDescent="0.2">
      <c r="A34" s="15" t="s">
        <v>117</v>
      </c>
      <c r="B34" s="15" t="s">
        <v>118</v>
      </c>
      <c r="C34" s="10"/>
      <c r="D34" s="15"/>
      <c r="E34" s="15"/>
      <c r="F34" s="15"/>
      <c r="G34" s="15"/>
      <c r="H34" s="15"/>
      <c r="I34" s="15"/>
    </row>
    <row r="35" spans="1:9" ht="18.75" customHeight="1" x14ac:dyDescent="0.2">
      <c r="A35" s="14"/>
      <c r="B35" s="219" t="s">
        <v>176</v>
      </c>
      <c r="C35" s="220"/>
      <c r="D35" s="220"/>
      <c r="E35" s="220"/>
      <c r="F35" s="220"/>
      <c r="G35" s="220"/>
      <c r="H35" s="220"/>
      <c r="I35" s="221"/>
    </row>
    <row r="36" spans="1:9" ht="18.75" customHeight="1" x14ac:dyDescent="0.2">
      <c r="A36" s="14"/>
      <c r="B36" s="222"/>
      <c r="C36" s="223"/>
      <c r="D36" s="223"/>
      <c r="E36" s="223"/>
      <c r="F36" s="223"/>
      <c r="G36" s="223"/>
      <c r="H36" s="223"/>
      <c r="I36" s="224"/>
    </row>
    <row r="37" spans="1:9" ht="18.75" customHeight="1" x14ac:dyDescent="0.2">
      <c r="A37" s="14"/>
      <c r="B37" s="222"/>
      <c r="C37" s="223"/>
      <c r="D37" s="223"/>
      <c r="E37" s="223"/>
      <c r="F37" s="223"/>
      <c r="G37" s="223"/>
      <c r="H37" s="223"/>
      <c r="I37" s="224"/>
    </row>
    <row r="38" spans="1:9" ht="18.75" customHeight="1" x14ac:dyDescent="0.2">
      <c r="A38" s="14"/>
      <c r="B38" s="222"/>
      <c r="C38" s="223"/>
      <c r="D38" s="223"/>
      <c r="E38" s="223"/>
      <c r="F38" s="223"/>
      <c r="G38" s="223"/>
      <c r="H38" s="223"/>
      <c r="I38" s="224"/>
    </row>
    <row r="39" spans="1:9" ht="18.75" customHeight="1" x14ac:dyDescent="0.2">
      <c r="A39" s="14"/>
      <c r="B39" s="222"/>
      <c r="C39" s="223"/>
      <c r="D39" s="223"/>
      <c r="E39" s="223"/>
      <c r="F39" s="223"/>
      <c r="G39" s="223"/>
      <c r="H39" s="223"/>
      <c r="I39" s="224"/>
    </row>
    <row r="40" spans="1:9" ht="18.75" customHeight="1" x14ac:dyDescent="0.2">
      <c r="A40" s="14"/>
      <c r="B40" s="222"/>
      <c r="C40" s="223"/>
      <c r="D40" s="223"/>
      <c r="E40" s="223"/>
      <c r="F40" s="223"/>
      <c r="G40" s="223"/>
      <c r="H40" s="223"/>
      <c r="I40" s="224"/>
    </row>
    <row r="41" spans="1:9" ht="18.75" customHeight="1" x14ac:dyDescent="0.2">
      <c r="A41" s="14"/>
      <c r="B41" s="222"/>
      <c r="C41" s="223"/>
      <c r="D41" s="223"/>
      <c r="E41" s="223"/>
      <c r="F41" s="223"/>
      <c r="G41" s="223"/>
      <c r="H41" s="223"/>
      <c r="I41" s="224"/>
    </row>
    <row r="42" spans="1:9" ht="18.75" customHeight="1" x14ac:dyDescent="0.2">
      <c r="A42" s="14"/>
      <c r="B42" s="222"/>
      <c r="C42" s="223"/>
      <c r="D42" s="223"/>
      <c r="E42" s="223"/>
      <c r="F42" s="223"/>
      <c r="G42" s="223"/>
      <c r="H42" s="223"/>
      <c r="I42" s="224"/>
    </row>
    <row r="43" spans="1:9" ht="18.75" customHeight="1" x14ac:dyDescent="0.2">
      <c r="A43" s="14"/>
      <c r="B43" s="222"/>
      <c r="C43" s="223"/>
      <c r="D43" s="223"/>
      <c r="E43" s="223"/>
      <c r="F43" s="223"/>
      <c r="G43" s="223"/>
      <c r="H43" s="223"/>
      <c r="I43" s="224"/>
    </row>
    <row r="44" spans="1:9" ht="18.75" customHeight="1" x14ac:dyDescent="0.2">
      <c r="A44" s="14"/>
      <c r="B44" s="222"/>
      <c r="C44" s="223"/>
      <c r="D44" s="223"/>
      <c r="E44" s="223"/>
      <c r="F44" s="223"/>
      <c r="G44" s="223"/>
      <c r="H44" s="223"/>
      <c r="I44" s="224"/>
    </row>
    <row r="45" spans="1:9" ht="18.75" customHeight="1" x14ac:dyDescent="0.2">
      <c r="A45" s="14"/>
      <c r="B45" s="222"/>
      <c r="C45" s="223"/>
      <c r="D45" s="223"/>
      <c r="E45" s="223"/>
      <c r="F45" s="223"/>
      <c r="G45" s="223"/>
      <c r="H45" s="223"/>
      <c r="I45" s="224"/>
    </row>
    <row r="46" spans="1:9" ht="18.75" customHeight="1" x14ac:dyDescent="0.2">
      <c r="A46" s="14"/>
      <c r="B46" s="225"/>
      <c r="C46" s="226"/>
      <c r="D46" s="226"/>
      <c r="E46" s="226"/>
      <c r="F46" s="226"/>
      <c r="G46" s="226"/>
      <c r="H46" s="226"/>
      <c r="I46" s="227"/>
    </row>
    <row r="47" spans="1:9" ht="7.5" customHeight="1" x14ac:dyDescent="0.2">
      <c r="A47" s="4"/>
      <c r="B47" s="4"/>
      <c r="C47" s="4"/>
      <c r="D47" s="4"/>
      <c r="E47" s="4"/>
      <c r="F47" s="4"/>
      <c r="G47" s="4"/>
      <c r="H47" s="4"/>
      <c r="I47" s="4"/>
    </row>
    <row r="48" spans="1:9" ht="18.75" customHeight="1" x14ac:dyDescent="0.2">
      <c r="A48" s="1" t="s">
        <v>119</v>
      </c>
      <c r="B48" s="1" t="s">
        <v>120</v>
      </c>
    </row>
    <row r="49" spans="1:15" s="3" customFormat="1" ht="18.75" customHeight="1" x14ac:dyDescent="0.2">
      <c r="B49" s="34" t="s">
        <v>121</v>
      </c>
      <c r="C49" s="193">
        <f>'様式２ 履修者等数の実績'!S33</f>
        <v>0.25434027777777779</v>
      </c>
      <c r="D49" s="193"/>
      <c r="E49" s="34" t="s">
        <v>122</v>
      </c>
      <c r="F49" s="193">
        <v>0.5</v>
      </c>
      <c r="G49" s="193"/>
      <c r="H49" s="34" t="s">
        <v>123</v>
      </c>
      <c r="I49" s="35">
        <v>0.75</v>
      </c>
      <c r="J49" s="1"/>
      <c r="M49" s="1"/>
      <c r="N49" s="36"/>
    </row>
    <row r="50" spans="1:15" s="3" customFormat="1" ht="18.75" customHeight="1" x14ac:dyDescent="0.2">
      <c r="B50" s="37" t="s">
        <v>124</v>
      </c>
      <c r="C50" s="176">
        <v>1</v>
      </c>
      <c r="D50" s="176"/>
      <c r="E50" s="37" t="s">
        <v>125</v>
      </c>
      <c r="F50" s="176">
        <v>1</v>
      </c>
      <c r="G50" s="176"/>
      <c r="H50" s="37" t="s">
        <v>126</v>
      </c>
      <c r="I50" s="38">
        <f>'様式２ 履修者等数の実績'!E33</f>
        <v>5760</v>
      </c>
      <c r="J50" s="1"/>
      <c r="M50" s="1"/>
      <c r="N50" s="36"/>
    </row>
    <row r="51" spans="1:15" ht="18.75" customHeight="1" x14ac:dyDescent="0.2">
      <c r="A51" s="1"/>
      <c r="B51" s="245" t="s">
        <v>127</v>
      </c>
      <c r="C51" s="246"/>
      <c r="D51" s="246"/>
      <c r="E51" s="246"/>
      <c r="F51" s="246"/>
      <c r="G51" s="246"/>
      <c r="H51" s="246"/>
      <c r="I51" s="247"/>
      <c r="N51" s="36"/>
      <c r="O51" s="3"/>
    </row>
    <row r="52" spans="1:15" ht="18.75" customHeight="1" x14ac:dyDescent="0.2">
      <c r="A52" s="1"/>
      <c r="B52" s="194" t="s">
        <v>179</v>
      </c>
      <c r="C52" s="195"/>
      <c r="D52" s="195"/>
      <c r="E52" s="195"/>
      <c r="F52" s="195"/>
      <c r="G52" s="195"/>
      <c r="H52" s="195"/>
      <c r="I52" s="196"/>
      <c r="N52" s="36"/>
      <c r="O52" s="3"/>
    </row>
    <row r="53" spans="1:15" ht="18.75" customHeight="1" x14ac:dyDescent="0.2">
      <c r="A53" s="1"/>
      <c r="B53" s="197"/>
      <c r="C53" s="198"/>
      <c r="D53" s="198"/>
      <c r="E53" s="198"/>
      <c r="F53" s="198"/>
      <c r="G53" s="198"/>
      <c r="H53" s="198"/>
      <c r="I53" s="199"/>
      <c r="N53" s="36"/>
      <c r="O53" s="3"/>
    </row>
    <row r="54" spans="1:15" ht="18.75" customHeight="1" x14ac:dyDescent="0.2">
      <c r="A54" s="1"/>
      <c r="B54" s="197"/>
      <c r="C54" s="198"/>
      <c r="D54" s="198"/>
      <c r="E54" s="198"/>
      <c r="F54" s="198"/>
      <c r="G54" s="198"/>
      <c r="H54" s="198"/>
      <c r="I54" s="199"/>
    </row>
    <row r="55" spans="1:15" ht="18.75" customHeight="1" x14ac:dyDescent="0.2">
      <c r="A55" s="1"/>
      <c r="B55" s="197"/>
      <c r="C55" s="198"/>
      <c r="D55" s="198"/>
      <c r="E55" s="198"/>
      <c r="F55" s="198"/>
      <c r="G55" s="198"/>
      <c r="H55" s="198"/>
      <c r="I55" s="199"/>
    </row>
    <row r="56" spans="1:15" ht="18.75" customHeight="1" x14ac:dyDescent="0.2">
      <c r="A56" s="1"/>
      <c r="B56" s="197"/>
      <c r="C56" s="198"/>
      <c r="D56" s="198"/>
      <c r="E56" s="198"/>
      <c r="F56" s="198"/>
      <c r="G56" s="198"/>
      <c r="H56" s="198"/>
      <c r="I56" s="199"/>
    </row>
    <row r="57" spans="1:15" ht="18.75" customHeight="1" x14ac:dyDescent="0.2">
      <c r="A57" s="1"/>
      <c r="B57" s="197"/>
      <c r="C57" s="198"/>
      <c r="D57" s="198"/>
      <c r="E57" s="198"/>
      <c r="F57" s="198"/>
      <c r="G57" s="198"/>
      <c r="H57" s="198"/>
      <c r="I57" s="199"/>
    </row>
    <row r="58" spans="1:15" ht="18.75" customHeight="1" x14ac:dyDescent="0.2">
      <c r="A58" s="1"/>
      <c r="B58" s="197"/>
      <c r="C58" s="198"/>
      <c r="D58" s="198"/>
      <c r="E58" s="198"/>
      <c r="F58" s="198"/>
      <c r="G58" s="198"/>
      <c r="H58" s="198"/>
      <c r="I58" s="199"/>
    </row>
    <row r="59" spans="1:15" ht="18.75" customHeight="1" x14ac:dyDescent="0.2">
      <c r="A59" s="1"/>
      <c r="B59" s="197"/>
      <c r="C59" s="198"/>
      <c r="D59" s="198"/>
      <c r="E59" s="198"/>
      <c r="F59" s="198"/>
      <c r="G59" s="198"/>
      <c r="H59" s="198"/>
      <c r="I59" s="199"/>
    </row>
    <row r="60" spans="1:15" ht="18.75" customHeight="1" x14ac:dyDescent="0.2">
      <c r="A60" s="1"/>
      <c r="B60" s="197"/>
      <c r="C60" s="198"/>
      <c r="D60" s="198"/>
      <c r="E60" s="198"/>
      <c r="F60" s="198"/>
      <c r="G60" s="198"/>
      <c r="H60" s="198"/>
      <c r="I60" s="199"/>
    </row>
    <row r="61" spans="1:15" ht="18.75" customHeight="1" x14ac:dyDescent="0.2">
      <c r="A61" s="1"/>
      <c r="B61" s="197"/>
      <c r="C61" s="198"/>
      <c r="D61" s="198"/>
      <c r="E61" s="198"/>
      <c r="F61" s="198"/>
      <c r="G61" s="198"/>
      <c r="H61" s="198"/>
      <c r="I61" s="199"/>
    </row>
    <row r="62" spans="1:15" ht="18.75" customHeight="1" x14ac:dyDescent="0.2">
      <c r="A62" s="1"/>
      <c r="B62" s="197"/>
      <c r="C62" s="198"/>
      <c r="D62" s="198"/>
      <c r="E62" s="198"/>
      <c r="F62" s="198"/>
      <c r="G62" s="198"/>
      <c r="H62" s="198"/>
      <c r="I62" s="199"/>
    </row>
    <row r="63" spans="1:15" ht="18.75" customHeight="1" x14ac:dyDescent="0.2">
      <c r="A63" s="1"/>
      <c r="B63" s="200"/>
      <c r="C63" s="201"/>
      <c r="D63" s="201"/>
      <c r="E63" s="201"/>
      <c r="F63" s="201"/>
      <c r="G63" s="201"/>
      <c r="H63" s="201"/>
      <c r="I63" s="202"/>
    </row>
    <row r="64" spans="1:15" ht="7.5" customHeight="1" x14ac:dyDescent="0.2">
      <c r="A64" s="14"/>
      <c r="B64" s="14" t="s">
        <v>128</v>
      </c>
      <c r="C64" s="14"/>
      <c r="D64" s="14"/>
      <c r="E64" s="14"/>
      <c r="F64" s="14"/>
      <c r="G64" s="14"/>
      <c r="H64" s="14"/>
      <c r="I64" s="14"/>
    </row>
    <row r="65" spans="1:9" ht="18.75" customHeight="1" x14ac:dyDescent="0.2">
      <c r="A65" s="15" t="s">
        <v>129</v>
      </c>
      <c r="B65" s="1" t="s">
        <v>130</v>
      </c>
      <c r="I65" s="15"/>
    </row>
    <row r="66" spans="1:9" ht="18.75" customHeight="1" x14ac:dyDescent="0.2">
      <c r="A66" s="4"/>
      <c r="B66" s="177" t="s">
        <v>131</v>
      </c>
      <c r="C66" s="178"/>
      <c r="D66" s="178"/>
      <c r="E66" s="178"/>
      <c r="F66" s="178"/>
      <c r="G66" s="178"/>
      <c r="H66" s="178"/>
      <c r="I66" s="179"/>
    </row>
    <row r="67" spans="1:9" ht="18.75" customHeight="1" x14ac:dyDescent="0.2">
      <c r="A67" s="4"/>
      <c r="B67" s="180"/>
      <c r="C67" s="181"/>
      <c r="D67" s="181"/>
      <c r="E67" s="181"/>
      <c r="F67" s="181"/>
      <c r="G67" s="181"/>
      <c r="H67" s="181"/>
      <c r="I67" s="182"/>
    </row>
    <row r="68" spans="1:9" ht="18.75" customHeight="1" x14ac:dyDescent="0.2">
      <c r="A68" s="4"/>
      <c r="B68" s="180"/>
      <c r="C68" s="181"/>
      <c r="D68" s="181"/>
      <c r="E68" s="181"/>
      <c r="F68" s="181"/>
      <c r="G68" s="181"/>
      <c r="H68" s="181"/>
      <c r="I68" s="182"/>
    </row>
    <row r="69" spans="1:9" ht="18.75" customHeight="1" x14ac:dyDescent="0.2">
      <c r="A69" s="4"/>
      <c r="B69" s="180"/>
      <c r="C69" s="181"/>
      <c r="D69" s="181"/>
      <c r="E69" s="181"/>
      <c r="F69" s="181"/>
      <c r="G69" s="181"/>
      <c r="H69" s="181"/>
      <c r="I69" s="182"/>
    </row>
    <row r="70" spans="1:9" ht="18.75" customHeight="1" x14ac:dyDescent="0.2">
      <c r="A70" s="4"/>
      <c r="B70" s="180"/>
      <c r="C70" s="181"/>
      <c r="D70" s="181"/>
      <c r="E70" s="181"/>
      <c r="F70" s="181"/>
      <c r="G70" s="181"/>
      <c r="H70" s="181"/>
      <c r="I70" s="182"/>
    </row>
    <row r="71" spans="1:9" ht="18.75" customHeight="1" x14ac:dyDescent="0.2">
      <c r="A71" s="4"/>
      <c r="B71" s="180"/>
      <c r="C71" s="181"/>
      <c r="D71" s="181"/>
      <c r="E71" s="181"/>
      <c r="F71" s="181"/>
      <c r="G71" s="181"/>
      <c r="H71" s="181"/>
      <c r="I71" s="182"/>
    </row>
    <row r="72" spans="1:9" ht="18.75" customHeight="1" x14ac:dyDescent="0.2">
      <c r="A72" s="4"/>
      <c r="B72" s="180"/>
      <c r="C72" s="181"/>
      <c r="D72" s="181"/>
      <c r="E72" s="181"/>
      <c r="F72" s="181"/>
      <c r="G72" s="181"/>
      <c r="H72" s="181"/>
      <c r="I72" s="182"/>
    </row>
    <row r="73" spans="1:9" ht="18.75" customHeight="1" x14ac:dyDescent="0.2">
      <c r="A73" s="4"/>
      <c r="B73" s="180"/>
      <c r="C73" s="181"/>
      <c r="D73" s="181"/>
      <c r="E73" s="181"/>
      <c r="F73" s="181"/>
      <c r="G73" s="181"/>
      <c r="H73" s="181"/>
      <c r="I73" s="182"/>
    </row>
    <row r="74" spans="1:9" ht="18.75" customHeight="1" x14ac:dyDescent="0.2">
      <c r="A74" s="4"/>
      <c r="B74" s="180"/>
      <c r="C74" s="181"/>
      <c r="D74" s="181"/>
      <c r="E74" s="181"/>
      <c r="F74" s="181"/>
      <c r="G74" s="181"/>
      <c r="H74" s="181"/>
      <c r="I74" s="182"/>
    </row>
    <row r="75" spans="1:9" ht="18.75" customHeight="1" x14ac:dyDescent="0.2">
      <c r="A75" s="4"/>
      <c r="B75" s="180"/>
      <c r="C75" s="181"/>
      <c r="D75" s="181"/>
      <c r="E75" s="181"/>
      <c r="F75" s="181"/>
      <c r="G75" s="181"/>
      <c r="H75" s="181"/>
      <c r="I75" s="182"/>
    </row>
    <row r="76" spans="1:9" ht="18.75" customHeight="1" x14ac:dyDescent="0.2">
      <c r="A76" s="4"/>
      <c r="B76" s="180"/>
      <c r="C76" s="181"/>
      <c r="D76" s="181"/>
      <c r="E76" s="181"/>
      <c r="F76" s="181"/>
      <c r="G76" s="181"/>
      <c r="H76" s="181"/>
      <c r="I76" s="182"/>
    </row>
    <row r="77" spans="1:9" ht="18.75" customHeight="1" x14ac:dyDescent="0.2">
      <c r="A77" s="4"/>
      <c r="B77" s="183"/>
      <c r="C77" s="184"/>
      <c r="D77" s="184"/>
      <c r="E77" s="184"/>
      <c r="F77" s="184"/>
      <c r="G77" s="184"/>
      <c r="H77" s="184"/>
      <c r="I77" s="185"/>
    </row>
    <row r="78" spans="1:9" ht="7.5" customHeight="1" x14ac:dyDescent="0.2">
      <c r="A78" s="4"/>
      <c r="B78" s="4"/>
      <c r="C78" s="4"/>
      <c r="D78" s="4"/>
      <c r="E78" s="4"/>
      <c r="F78" s="4"/>
      <c r="G78" s="4"/>
      <c r="H78" s="4"/>
      <c r="I78" s="4"/>
    </row>
    <row r="79" spans="1:9" ht="18.75" customHeight="1" x14ac:dyDescent="0.2">
      <c r="A79" s="1" t="s">
        <v>132</v>
      </c>
      <c r="B79" s="1" t="s">
        <v>133</v>
      </c>
    </row>
    <row r="80" spans="1:9" ht="18.75" customHeight="1" x14ac:dyDescent="0.2">
      <c r="A80" s="1"/>
      <c r="B80" s="177" t="s">
        <v>134</v>
      </c>
      <c r="C80" s="178"/>
      <c r="D80" s="178"/>
      <c r="E80" s="178"/>
      <c r="F80" s="178"/>
      <c r="G80" s="178"/>
      <c r="H80" s="178"/>
      <c r="I80" s="186"/>
    </row>
    <row r="81" spans="1:9" ht="18.75" customHeight="1" x14ac:dyDescent="0.2">
      <c r="A81" s="1"/>
      <c r="B81" s="187"/>
      <c r="C81" s="188"/>
      <c r="D81" s="188"/>
      <c r="E81" s="188"/>
      <c r="F81" s="188"/>
      <c r="G81" s="188"/>
      <c r="H81" s="188"/>
      <c r="I81" s="189"/>
    </row>
    <row r="82" spans="1:9" ht="18.75" customHeight="1" x14ac:dyDescent="0.2">
      <c r="A82" s="1"/>
      <c r="B82" s="187"/>
      <c r="C82" s="188"/>
      <c r="D82" s="188"/>
      <c r="E82" s="188"/>
      <c r="F82" s="188"/>
      <c r="G82" s="188"/>
      <c r="H82" s="188"/>
      <c r="I82" s="189"/>
    </row>
    <row r="83" spans="1:9" ht="18.75" customHeight="1" x14ac:dyDescent="0.2">
      <c r="A83" s="1"/>
      <c r="B83" s="187"/>
      <c r="C83" s="188"/>
      <c r="D83" s="188"/>
      <c r="E83" s="188"/>
      <c r="F83" s="188"/>
      <c r="G83" s="188"/>
      <c r="H83" s="188"/>
      <c r="I83" s="189"/>
    </row>
    <row r="84" spans="1:9" ht="18.75" customHeight="1" x14ac:dyDescent="0.2">
      <c r="A84" s="1"/>
      <c r="B84" s="187"/>
      <c r="C84" s="188"/>
      <c r="D84" s="188"/>
      <c r="E84" s="188"/>
      <c r="F84" s="188"/>
      <c r="G84" s="188"/>
      <c r="H84" s="188"/>
      <c r="I84" s="189"/>
    </row>
    <row r="85" spans="1:9" ht="18.75" customHeight="1" x14ac:dyDescent="0.2">
      <c r="A85" s="1"/>
      <c r="B85" s="187"/>
      <c r="C85" s="188"/>
      <c r="D85" s="188"/>
      <c r="E85" s="188"/>
      <c r="F85" s="188"/>
      <c r="G85" s="188"/>
      <c r="H85" s="188"/>
      <c r="I85" s="189"/>
    </row>
    <row r="86" spans="1:9" ht="18.75" customHeight="1" x14ac:dyDescent="0.2">
      <c r="A86" s="1"/>
      <c r="B86" s="187"/>
      <c r="C86" s="188"/>
      <c r="D86" s="188"/>
      <c r="E86" s="188"/>
      <c r="F86" s="188"/>
      <c r="G86" s="188"/>
      <c r="H86" s="188"/>
      <c r="I86" s="189"/>
    </row>
    <row r="87" spans="1:9" ht="18.75" customHeight="1" x14ac:dyDescent="0.2">
      <c r="A87" s="1"/>
      <c r="B87" s="187"/>
      <c r="C87" s="188"/>
      <c r="D87" s="188"/>
      <c r="E87" s="188"/>
      <c r="F87" s="188"/>
      <c r="G87" s="188"/>
      <c r="H87" s="188"/>
      <c r="I87" s="189"/>
    </row>
    <row r="88" spans="1:9" ht="18.75" customHeight="1" x14ac:dyDescent="0.2">
      <c r="A88" s="1"/>
      <c r="B88" s="187"/>
      <c r="C88" s="188"/>
      <c r="D88" s="188"/>
      <c r="E88" s="188"/>
      <c r="F88" s="188"/>
      <c r="G88" s="188"/>
      <c r="H88" s="188"/>
      <c r="I88" s="189"/>
    </row>
    <row r="89" spans="1:9" ht="18.75" customHeight="1" x14ac:dyDescent="0.2">
      <c r="A89" s="1"/>
      <c r="B89" s="187"/>
      <c r="C89" s="188"/>
      <c r="D89" s="188"/>
      <c r="E89" s="188"/>
      <c r="F89" s="188"/>
      <c r="G89" s="188"/>
      <c r="H89" s="188"/>
      <c r="I89" s="189"/>
    </row>
    <row r="90" spans="1:9" ht="18.75" customHeight="1" x14ac:dyDescent="0.2">
      <c r="A90" s="4"/>
      <c r="B90" s="187"/>
      <c r="C90" s="188"/>
      <c r="D90" s="188"/>
      <c r="E90" s="188"/>
      <c r="F90" s="188"/>
      <c r="G90" s="188"/>
      <c r="H90" s="188"/>
      <c r="I90" s="189"/>
    </row>
    <row r="91" spans="1:9" ht="18.75" customHeight="1" x14ac:dyDescent="0.2">
      <c r="A91" s="4"/>
      <c r="B91" s="190"/>
      <c r="C91" s="191"/>
      <c r="D91" s="191"/>
      <c r="E91" s="191"/>
      <c r="F91" s="191"/>
      <c r="G91" s="191"/>
      <c r="H91" s="191"/>
      <c r="I91" s="192"/>
    </row>
    <row r="92" spans="1:9" ht="7.5" customHeight="1" x14ac:dyDescent="0.2">
      <c r="A92" s="4"/>
      <c r="B92" s="4"/>
      <c r="C92" s="4"/>
      <c r="D92" s="4"/>
      <c r="E92" s="4"/>
      <c r="F92" s="4"/>
      <c r="G92" s="4"/>
      <c r="H92" s="4"/>
      <c r="I92" s="4"/>
    </row>
    <row r="93" spans="1:9" ht="18.75" customHeight="1" x14ac:dyDescent="0.2">
      <c r="A93" s="1" t="s">
        <v>135</v>
      </c>
      <c r="B93" s="1" t="s">
        <v>136</v>
      </c>
    </row>
    <row r="94" spans="1:9" ht="18.75" customHeight="1" x14ac:dyDescent="0.2">
      <c r="A94" s="1"/>
      <c r="B94" s="235" t="s">
        <v>137</v>
      </c>
      <c r="C94" s="236"/>
      <c r="D94" s="236"/>
      <c r="E94" s="236"/>
      <c r="F94" s="236"/>
      <c r="G94" s="236"/>
      <c r="H94" s="236"/>
      <c r="I94" s="237"/>
    </row>
    <row r="95" spans="1:9" ht="18.75" customHeight="1" x14ac:dyDescent="0.2">
      <c r="A95" s="1"/>
      <c r="B95" s="238"/>
      <c r="C95" s="239"/>
      <c r="D95" s="239"/>
      <c r="E95" s="239"/>
      <c r="F95" s="239"/>
      <c r="G95" s="239"/>
      <c r="H95" s="239"/>
      <c r="I95" s="240"/>
    </row>
    <row r="96" spans="1:9" ht="18.75" customHeight="1" x14ac:dyDescent="0.2">
      <c r="A96" s="1"/>
      <c r="B96" s="238"/>
      <c r="C96" s="239"/>
      <c r="D96" s="239"/>
      <c r="E96" s="239"/>
      <c r="F96" s="239"/>
      <c r="G96" s="239"/>
      <c r="H96" s="239"/>
      <c r="I96" s="240"/>
    </row>
    <row r="97" spans="1:9" ht="18.75" customHeight="1" x14ac:dyDescent="0.2">
      <c r="A97" s="1"/>
      <c r="B97" s="238"/>
      <c r="C97" s="239"/>
      <c r="D97" s="239"/>
      <c r="E97" s="239"/>
      <c r="F97" s="239"/>
      <c r="G97" s="239"/>
      <c r="H97" s="239"/>
      <c r="I97" s="240"/>
    </row>
    <row r="98" spans="1:9" ht="18.75" customHeight="1" x14ac:dyDescent="0.2">
      <c r="A98" s="1"/>
      <c r="B98" s="238"/>
      <c r="C98" s="239"/>
      <c r="D98" s="239"/>
      <c r="E98" s="239"/>
      <c r="F98" s="239"/>
      <c r="G98" s="239"/>
      <c r="H98" s="239"/>
      <c r="I98" s="240"/>
    </row>
    <row r="99" spans="1:9" ht="18.75" customHeight="1" x14ac:dyDescent="0.2">
      <c r="A99" s="1"/>
      <c r="B99" s="238"/>
      <c r="C99" s="239"/>
      <c r="D99" s="239"/>
      <c r="E99" s="239"/>
      <c r="F99" s="239"/>
      <c r="G99" s="239"/>
      <c r="H99" s="239"/>
      <c r="I99" s="240"/>
    </row>
    <row r="100" spans="1:9" ht="18.75" customHeight="1" x14ac:dyDescent="0.2">
      <c r="A100" s="1"/>
      <c r="B100" s="238"/>
      <c r="C100" s="239"/>
      <c r="D100" s="239"/>
      <c r="E100" s="239"/>
      <c r="F100" s="239"/>
      <c r="G100" s="239"/>
      <c r="H100" s="239"/>
      <c r="I100" s="240"/>
    </row>
    <row r="101" spans="1:9" ht="18.75" customHeight="1" x14ac:dyDescent="0.2">
      <c r="A101" s="1"/>
      <c r="B101" s="238"/>
      <c r="C101" s="239"/>
      <c r="D101" s="239"/>
      <c r="E101" s="239"/>
      <c r="F101" s="239"/>
      <c r="G101" s="239"/>
      <c r="H101" s="239"/>
      <c r="I101" s="240"/>
    </row>
    <row r="102" spans="1:9" ht="18.75" customHeight="1" x14ac:dyDescent="0.2">
      <c r="A102" s="1"/>
      <c r="B102" s="238"/>
      <c r="C102" s="239"/>
      <c r="D102" s="239"/>
      <c r="E102" s="239"/>
      <c r="F102" s="239"/>
      <c r="G102" s="239"/>
      <c r="H102" s="239"/>
      <c r="I102" s="240"/>
    </row>
    <row r="103" spans="1:9" ht="18.75" customHeight="1" x14ac:dyDescent="0.2">
      <c r="A103" s="1"/>
      <c r="B103" s="238"/>
      <c r="C103" s="239"/>
      <c r="D103" s="239"/>
      <c r="E103" s="239"/>
      <c r="F103" s="239"/>
      <c r="G103" s="239"/>
      <c r="H103" s="239"/>
      <c r="I103" s="240"/>
    </row>
    <row r="104" spans="1:9" ht="18.75" customHeight="1" x14ac:dyDescent="0.2">
      <c r="A104" s="1"/>
      <c r="B104" s="238"/>
      <c r="C104" s="239"/>
      <c r="D104" s="239"/>
      <c r="E104" s="239"/>
      <c r="F104" s="239"/>
      <c r="G104" s="239"/>
      <c r="H104" s="239"/>
      <c r="I104" s="240"/>
    </row>
    <row r="105" spans="1:9" ht="18.75" customHeight="1" x14ac:dyDescent="0.2">
      <c r="A105" s="4"/>
      <c r="B105" s="241"/>
      <c r="C105" s="242"/>
      <c r="D105" s="242"/>
      <c r="E105" s="242"/>
      <c r="F105" s="242"/>
      <c r="G105" s="242"/>
      <c r="H105" s="242"/>
      <c r="I105" s="243"/>
    </row>
    <row r="106" spans="1:9" ht="7.5" customHeight="1" x14ac:dyDescent="0.2">
      <c r="A106" s="4"/>
      <c r="B106" s="4"/>
      <c r="C106" s="4"/>
      <c r="D106" s="4"/>
      <c r="E106" s="4"/>
      <c r="F106" s="4"/>
      <c r="G106" s="4"/>
      <c r="H106" s="4"/>
      <c r="I106" s="4"/>
    </row>
    <row r="107" spans="1:9" ht="18.75" customHeight="1" x14ac:dyDescent="0.2">
      <c r="A107" s="1" t="s">
        <v>138</v>
      </c>
      <c r="B107" s="244" t="s">
        <v>139</v>
      </c>
      <c r="C107" s="244"/>
      <c r="D107" s="244"/>
      <c r="E107" s="244"/>
      <c r="F107" s="244"/>
      <c r="G107" s="244"/>
      <c r="H107" s="244"/>
      <c r="I107" s="244"/>
    </row>
    <row r="108" spans="1:9" ht="18.75" customHeight="1" x14ac:dyDescent="0.2">
      <c r="A108" s="4"/>
      <c r="B108" s="235" t="s">
        <v>140</v>
      </c>
      <c r="C108" s="236"/>
      <c r="D108" s="236"/>
      <c r="E108" s="236"/>
      <c r="F108" s="236"/>
      <c r="G108" s="236"/>
      <c r="H108" s="236"/>
      <c r="I108" s="237"/>
    </row>
    <row r="109" spans="1:9" ht="18.75" customHeight="1" x14ac:dyDescent="0.2">
      <c r="A109" s="4"/>
      <c r="B109" s="238"/>
      <c r="C109" s="239"/>
      <c r="D109" s="239"/>
      <c r="E109" s="239"/>
      <c r="F109" s="239"/>
      <c r="G109" s="239"/>
      <c r="H109" s="239"/>
      <c r="I109" s="240"/>
    </row>
    <row r="110" spans="1:9" ht="18.75" customHeight="1" x14ac:dyDescent="0.2">
      <c r="A110" s="4"/>
      <c r="B110" s="238"/>
      <c r="C110" s="239"/>
      <c r="D110" s="239"/>
      <c r="E110" s="239"/>
      <c r="F110" s="239"/>
      <c r="G110" s="239"/>
      <c r="H110" s="239"/>
      <c r="I110" s="240"/>
    </row>
    <row r="111" spans="1:9" ht="18.75" customHeight="1" x14ac:dyDescent="0.2">
      <c r="A111" s="4"/>
      <c r="B111" s="238"/>
      <c r="C111" s="239"/>
      <c r="D111" s="239"/>
      <c r="E111" s="239"/>
      <c r="F111" s="239"/>
      <c r="G111" s="239"/>
      <c r="H111" s="239"/>
      <c r="I111" s="240"/>
    </row>
    <row r="112" spans="1:9" ht="18.75" customHeight="1" x14ac:dyDescent="0.2">
      <c r="A112" s="4"/>
      <c r="B112" s="238"/>
      <c r="C112" s="239"/>
      <c r="D112" s="239"/>
      <c r="E112" s="239"/>
      <c r="F112" s="239"/>
      <c r="G112" s="239"/>
      <c r="H112" s="239"/>
      <c r="I112" s="240"/>
    </row>
    <row r="113" spans="1:9" ht="18.75" customHeight="1" x14ac:dyDescent="0.2">
      <c r="A113" s="4"/>
      <c r="B113" s="238"/>
      <c r="C113" s="239"/>
      <c r="D113" s="239"/>
      <c r="E113" s="239"/>
      <c r="F113" s="239"/>
      <c r="G113" s="239"/>
      <c r="H113" s="239"/>
      <c r="I113" s="240"/>
    </row>
    <row r="114" spans="1:9" ht="18.75" customHeight="1" x14ac:dyDescent="0.2">
      <c r="A114" s="4"/>
      <c r="B114" s="238"/>
      <c r="C114" s="239"/>
      <c r="D114" s="239"/>
      <c r="E114" s="239"/>
      <c r="F114" s="239"/>
      <c r="G114" s="239"/>
      <c r="H114" s="239"/>
      <c r="I114" s="240"/>
    </row>
    <row r="115" spans="1:9" ht="18.75" customHeight="1" x14ac:dyDescent="0.2">
      <c r="A115" s="4"/>
      <c r="B115" s="238"/>
      <c r="C115" s="239"/>
      <c r="D115" s="239"/>
      <c r="E115" s="239"/>
      <c r="F115" s="239"/>
      <c r="G115" s="239"/>
      <c r="H115" s="239"/>
      <c r="I115" s="240"/>
    </row>
    <row r="116" spans="1:9" ht="18.75" customHeight="1" x14ac:dyDescent="0.2">
      <c r="A116" s="4"/>
      <c r="B116" s="238"/>
      <c r="C116" s="239"/>
      <c r="D116" s="239"/>
      <c r="E116" s="239"/>
      <c r="F116" s="239"/>
      <c r="G116" s="239"/>
      <c r="H116" s="239"/>
      <c r="I116" s="240"/>
    </row>
    <row r="117" spans="1:9" ht="18.75" customHeight="1" x14ac:dyDescent="0.2">
      <c r="A117" s="4"/>
      <c r="B117" s="238"/>
      <c r="C117" s="239"/>
      <c r="D117" s="239"/>
      <c r="E117" s="239"/>
      <c r="F117" s="239"/>
      <c r="G117" s="239"/>
      <c r="H117" s="239"/>
      <c r="I117" s="240"/>
    </row>
    <row r="118" spans="1:9" ht="18.75" customHeight="1" x14ac:dyDescent="0.2">
      <c r="A118" s="4"/>
      <c r="B118" s="238"/>
      <c r="C118" s="239"/>
      <c r="D118" s="239"/>
      <c r="E118" s="239"/>
      <c r="F118" s="239"/>
      <c r="G118" s="239"/>
      <c r="H118" s="239"/>
      <c r="I118" s="240"/>
    </row>
    <row r="119" spans="1:9" ht="18.75" customHeight="1" x14ac:dyDescent="0.2">
      <c r="A119" s="4"/>
      <c r="B119" s="241"/>
      <c r="C119" s="242"/>
      <c r="D119" s="242"/>
      <c r="E119" s="242"/>
      <c r="F119" s="242"/>
      <c r="G119" s="242"/>
      <c r="H119" s="242"/>
      <c r="I119" s="243"/>
    </row>
    <row r="120" spans="1:9" ht="7.5" customHeight="1" x14ac:dyDescent="0.2">
      <c r="A120" s="4"/>
      <c r="B120" s="39"/>
      <c r="C120" s="39"/>
      <c r="D120" s="39"/>
      <c r="E120" s="39"/>
      <c r="F120" s="39"/>
      <c r="G120" s="39"/>
      <c r="H120" s="39"/>
      <c r="I120" s="39"/>
    </row>
    <row r="121" spans="1:9" ht="18.75" customHeight="1" x14ac:dyDescent="0.2">
      <c r="A121" s="69"/>
      <c r="B121" s="203"/>
      <c r="C121" s="203"/>
      <c r="D121" s="203"/>
      <c r="E121" s="203"/>
      <c r="F121" s="203"/>
      <c r="G121" s="203"/>
      <c r="H121" s="203"/>
      <c r="I121" s="203"/>
    </row>
    <row r="122" spans="1:9" ht="18.75" customHeight="1" x14ac:dyDescent="0.2">
      <c r="A122" s="69"/>
      <c r="B122" s="203"/>
      <c r="C122" s="203"/>
      <c r="D122" s="203"/>
      <c r="E122" s="203"/>
      <c r="F122" s="203"/>
      <c r="G122" s="203"/>
      <c r="H122" s="203"/>
      <c r="I122" s="203"/>
    </row>
    <row r="123" spans="1:9" ht="18.75" customHeight="1" x14ac:dyDescent="0.2">
      <c r="A123" s="4"/>
      <c r="B123" s="73"/>
      <c r="C123" s="73"/>
      <c r="D123" s="73"/>
      <c r="E123" s="73"/>
      <c r="F123" s="73"/>
      <c r="G123" s="73"/>
      <c r="H123" s="73"/>
      <c r="I123" s="74"/>
    </row>
    <row r="124" spans="1:9" ht="18.75" customHeight="1" x14ac:dyDescent="0.2">
      <c r="A124" s="4"/>
      <c r="B124" s="74"/>
      <c r="C124" s="74"/>
      <c r="D124" s="74"/>
      <c r="E124" s="74"/>
      <c r="F124" s="74"/>
      <c r="G124" s="74"/>
      <c r="H124" s="74"/>
      <c r="I124" s="74"/>
    </row>
    <row r="125" spans="1:9" ht="18.75" customHeight="1" x14ac:dyDescent="0.2">
      <c r="A125" s="4"/>
      <c r="B125" s="74"/>
      <c r="C125" s="74"/>
      <c r="D125" s="74"/>
      <c r="E125" s="74"/>
      <c r="F125" s="74"/>
      <c r="G125" s="74"/>
      <c r="H125" s="74"/>
      <c r="I125" s="74"/>
    </row>
    <row r="126" spans="1:9" ht="18.75" customHeight="1" x14ac:dyDescent="0.2">
      <c r="A126" s="4"/>
      <c r="B126" s="74"/>
      <c r="C126" s="74"/>
      <c r="D126" s="74"/>
      <c r="E126" s="74"/>
      <c r="F126" s="74"/>
      <c r="G126" s="74"/>
      <c r="H126" s="74"/>
      <c r="I126" s="74"/>
    </row>
    <row r="127" spans="1:9" ht="18.75" customHeight="1" x14ac:dyDescent="0.2">
      <c r="A127" s="4"/>
      <c r="B127" s="74"/>
      <c r="C127" s="74"/>
      <c r="D127" s="74"/>
      <c r="E127" s="74"/>
      <c r="F127" s="74"/>
      <c r="G127" s="74"/>
      <c r="H127" s="74"/>
      <c r="I127" s="74"/>
    </row>
    <row r="128" spans="1:9" ht="18.75" customHeight="1" x14ac:dyDescent="0.2">
      <c r="A128" s="4"/>
      <c r="B128" s="74"/>
      <c r="C128" s="74"/>
      <c r="D128" s="74"/>
      <c r="E128" s="74"/>
      <c r="F128" s="74"/>
      <c r="G128" s="74"/>
      <c r="H128" s="74"/>
      <c r="I128" s="74"/>
    </row>
    <row r="129" spans="1:9" ht="18.75" customHeight="1" x14ac:dyDescent="0.2">
      <c r="A129" s="4"/>
      <c r="B129" s="74"/>
      <c r="C129" s="74"/>
      <c r="D129" s="74"/>
      <c r="E129" s="74"/>
      <c r="F129" s="74"/>
      <c r="G129" s="74"/>
      <c r="H129" s="74"/>
      <c r="I129" s="74"/>
    </row>
    <row r="130" spans="1:9" ht="18.75" customHeight="1" x14ac:dyDescent="0.2">
      <c r="A130" s="4"/>
      <c r="B130" s="74"/>
      <c r="C130" s="74"/>
      <c r="D130" s="74"/>
      <c r="E130" s="74"/>
      <c r="F130" s="74"/>
      <c r="G130" s="74"/>
      <c r="H130" s="74"/>
      <c r="I130" s="74"/>
    </row>
    <row r="131" spans="1:9" ht="18.75" customHeight="1" x14ac:dyDescent="0.2">
      <c r="A131" s="4"/>
      <c r="B131" s="74"/>
      <c r="C131" s="74"/>
      <c r="D131" s="74"/>
      <c r="E131" s="74"/>
      <c r="F131" s="74"/>
      <c r="G131" s="74"/>
      <c r="H131" s="74"/>
      <c r="I131" s="74"/>
    </row>
    <row r="132" spans="1:9" ht="18.75" customHeight="1" x14ac:dyDescent="0.2">
      <c r="A132" s="4"/>
      <c r="B132" s="74"/>
      <c r="C132" s="74"/>
      <c r="D132" s="74"/>
      <c r="E132" s="74"/>
      <c r="F132" s="74"/>
      <c r="G132" s="74"/>
      <c r="H132" s="74"/>
      <c r="I132" s="74"/>
    </row>
    <row r="133" spans="1:9" ht="14.4" x14ac:dyDescent="0.2">
      <c r="A133" s="4"/>
      <c r="B133" s="74"/>
      <c r="C133" s="74"/>
      <c r="D133" s="74"/>
      <c r="E133" s="74"/>
      <c r="F133" s="74"/>
      <c r="G133" s="74"/>
      <c r="H133" s="74"/>
      <c r="I133" s="74"/>
    </row>
    <row r="134" spans="1:9" ht="7.5" customHeight="1" x14ac:dyDescent="0.2">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B1" zoomScale="150" zoomScaleNormal="100" zoomScaleSheetLayoutView="150" workbookViewId="0">
      <selection activeCell="E22" sqref="E22:I22"/>
    </sheetView>
  </sheetViews>
  <sheetFormatPr defaultColWidth="11.33203125" defaultRowHeight="22.5" customHeight="1" x14ac:dyDescent="0.2"/>
  <cols>
    <col min="1" max="3" width="2.77734375" style="1" customWidth="1"/>
    <col min="4" max="4" width="22.1093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141</v>
      </c>
      <c r="I1" s="30" t="s">
        <v>142</v>
      </c>
    </row>
    <row r="2" spans="1:9" ht="18.75" customHeight="1" x14ac:dyDescent="0.2">
      <c r="H2" s="30" t="s">
        <v>2</v>
      </c>
      <c r="I2" s="29" t="str">
        <f>'様式１　プログラムを構成する授業科目'!C2</f>
        <v>京都女子大学</v>
      </c>
    </row>
    <row r="3" spans="1:9" ht="18.75" customHeight="1" x14ac:dyDescent="0.2">
      <c r="A3" s="204" t="s">
        <v>143</v>
      </c>
      <c r="B3" s="204"/>
      <c r="C3" s="204"/>
      <c r="D3" s="204"/>
      <c r="E3" s="204"/>
      <c r="F3" s="204"/>
      <c r="G3" s="204"/>
      <c r="H3" s="204"/>
      <c r="I3" s="204"/>
    </row>
    <row r="4" spans="1:9" ht="18.75" customHeight="1" x14ac:dyDescent="0.2">
      <c r="A4" s="5"/>
      <c r="B4" s="5"/>
      <c r="C4" s="5"/>
      <c r="D4" s="5"/>
      <c r="E4" s="5"/>
      <c r="F4" s="5"/>
      <c r="G4" s="5"/>
      <c r="H4" s="5"/>
      <c r="I4" s="5"/>
    </row>
    <row r="5" spans="1:9" ht="18.75" customHeight="1" x14ac:dyDescent="0.2">
      <c r="A5" s="1" t="s">
        <v>97</v>
      </c>
      <c r="B5" s="10" t="s">
        <v>144</v>
      </c>
      <c r="C5" s="5"/>
      <c r="D5" s="5"/>
      <c r="E5" s="5"/>
      <c r="F5" s="5"/>
      <c r="G5" s="5"/>
      <c r="H5" s="5"/>
      <c r="I5" s="5"/>
    </row>
    <row r="6" spans="1:9" ht="26.25" customHeight="1" x14ac:dyDescent="0.2">
      <c r="A6" s="5"/>
      <c r="B6" s="231" t="s">
        <v>145</v>
      </c>
      <c r="C6" s="273"/>
      <c r="D6" s="273"/>
      <c r="E6" s="273"/>
      <c r="F6" s="273"/>
      <c r="G6" s="273"/>
      <c r="H6" s="274"/>
      <c r="I6" s="3"/>
    </row>
    <row r="7" spans="1:9" ht="9" customHeight="1" x14ac:dyDescent="0.2">
      <c r="A7" s="5"/>
      <c r="B7" s="10"/>
      <c r="C7" s="10"/>
      <c r="D7" s="10"/>
      <c r="E7" s="10"/>
      <c r="F7" s="10"/>
      <c r="G7" s="10"/>
      <c r="H7" s="10"/>
      <c r="I7" s="3"/>
    </row>
    <row r="8" spans="1:9" ht="18.75" customHeight="1" x14ac:dyDescent="0.2">
      <c r="A8" s="5"/>
      <c r="B8" s="3"/>
      <c r="C8" s="3"/>
      <c r="D8" s="30" t="s">
        <v>105</v>
      </c>
      <c r="E8" s="31" t="s">
        <v>106</v>
      </c>
      <c r="F8" s="3"/>
      <c r="G8" s="30" t="s">
        <v>107</v>
      </c>
      <c r="H8" s="31" t="s">
        <v>146</v>
      </c>
      <c r="I8" s="3"/>
    </row>
    <row r="9" spans="1:9" ht="7.5" customHeight="1" x14ac:dyDescent="0.2">
      <c r="A9" s="5"/>
      <c r="B9" s="5"/>
      <c r="C9" s="5"/>
      <c r="D9" s="5"/>
      <c r="E9" s="5"/>
      <c r="F9" s="5"/>
      <c r="G9" s="5"/>
      <c r="H9" s="5"/>
      <c r="I9" s="5"/>
    </row>
    <row r="10" spans="1:9" ht="18.75" customHeight="1" x14ac:dyDescent="0.2">
      <c r="A10" s="1" t="s">
        <v>101</v>
      </c>
      <c r="B10" s="1" t="s">
        <v>147</v>
      </c>
      <c r="C10" s="4"/>
      <c r="D10" s="4"/>
      <c r="E10" s="4"/>
      <c r="F10" s="4"/>
      <c r="G10" s="4"/>
      <c r="H10" s="4"/>
      <c r="I10" s="4"/>
    </row>
    <row r="11" spans="1:9" ht="18.75" customHeight="1" x14ac:dyDescent="0.2">
      <c r="B11" s="103" t="s">
        <v>148</v>
      </c>
      <c r="C11" s="104"/>
      <c r="D11" s="105"/>
      <c r="E11" s="104" t="s">
        <v>149</v>
      </c>
      <c r="F11" s="104"/>
      <c r="G11" s="104"/>
      <c r="H11" s="104"/>
      <c r="I11" s="105"/>
    </row>
    <row r="12" spans="1:9" ht="26.25" customHeight="1" x14ac:dyDescent="0.2">
      <c r="B12" s="40" t="s">
        <v>150</v>
      </c>
      <c r="C12" s="47"/>
      <c r="D12" s="41"/>
      <c r="E12" s="48"/>
      <c r="F12" s="48"/>
      <c r="G12" s="48"/>
      <c r="H12" s="48"/>
      <c r="I12" s="41"/>
    </row>
    <row r="13" spans="1:9" ht="210.75" customHeight="1" x14ac:dyDescent="0.2">
      <c r="B13" s="42"/>
      <c r="C13" s="253" t="s">
        <v>151</v>
      </c>
      <c r="D13" s="254"/>
      <c r="E13" s="266" t="s">
        <v>180</v>
      </c>
      <c r="F13" s="255"/>
      <c r="G13" s="255"/>
      <c r="H13" s="255"/>
      <c r="I13" s="256"/>
    </row>
    <row r="14" spans="1:9" ht="210.75" customHeight="1" x14ac:dyDescent="0.2">
      <c r="B14" s="42"/>
      <c r="C14" s="268" t="s">
        <v>152</v>
      </c>
      <c r="D14" s="269"/>
      <c r="E14" s="270" t="s">
        <v>181</v>
      </c>
      <c r="F14" s="271"/>
      <c r="G14" s="271"/>
      <c r="H14" s="271"/>
      <c r="I14" s="272"/>
    </row>
    <row r="15" spans="1:9" ht="210.75" customHeight="1" x14ac:dyDescent="0.2">
      <c r="B15" s="42"/>
      <c r="C15" s="253" t="s">
        <v>153</v>
      </c>
      <c r="D15" s="254"/>
      <c r="E15" s="266" t="s">
        <v>182</v>
      </c>
      <c r="F15" s="255"/>
      <c r="G15" s="255"/>
      <c r="H15" s="255"/>
      <c r="I15" s="256"/>
    </row>
    <row r="16" spans="1:9" ht="210.75" customHeight="1" x14ac:dyDescent="0.2">
      <c r="B16" s="42"/>
      <c r="C16" s="253" t="s">
        <v>154</v>
      </c>
      <c r="D16" s="254"/>
      <c r="E16" s="266" t="s">
        <v>183</v>
      </c>
      <c r="F16" s="255"/>
      <c r="G16" s="255"/>
      <c r="H16" s="255"/>
      <c r="I16" s="256"/>
    </row>
    <row r="17" spans="2:9" ht="210.75" customHeight="1" x14ac:dyDescent="0.2">
      <c r="B17" s="43"/>
      <c r="C17" s="257" t="s">
        <v>155</v>
      </c>
      <c r="D17" s="258"/>
      <c r="E17" s="267" t="s">
        <v>156</v>
      </c>
      <c r="F17" s="259"/>
      <c r="G17" s="259"/>
      <c r="H17" s="259"/>
      <c r="I17" s="260"/>
    </row>
    <row r="18" spans="2:9" ht="24" customHeight="1" x14ac:dyDescent="0.2">
      <c r="B18" s="40" t="s">
        <v>157</v>
      </c>
      <c r="C18" s="44"/>
      <c r="D18" s="45"/>
      <c r="E18" s="46"/>
      <c r="F18" s="46"/>
      <c r="G18" s="46"/>
      <c r="H18" s="46"/>
      <c r="I18" s="49"/>
    </row>
    <row r="19" spans="2:9" ht="218.25" customHeight="1" x14ac:dyDescent="0.2">
      <c r="B19" s="42"/>
      <c r="C19" s="253" t="s">
        <v>158</v>
      </c>
      <c r="D19" s="254"/>
      <c r="E19" s="255" t="s">
        <v>159</v>
      </c>
      <c r="F19" s="255"/>
      <c r="G19" s="255"/>
      <c r="H19" s="255"/>
      <c r="I19" s="256"/>
    </row>
    <row r="20" spans="2:9" ht="218.25" customHeight="1" x14ac:dyDescent="0.2">
      <c r="B20" s="43"/>
      <c r="C20" s="257" t="s">
        <v>160</v>
      </c>
      <c r="D20" s="258"/>
      <c r="E20" s="259" t="s">
        <v>161</v>
      </c>
      <c r="F20" s="259"/>
      <c r="G20" s="259"/>
      <c r="H20" s="259"/>
      <c r="I20" s="260"/>
    </row>
    <row r="21" spans="2:9" ht="218.25" customHeight="1" x14ac:dyDescent="0.2">
      <c r="B21" s="261" t="s">
        <v>162</v>
      </c>
      <c r="C21" s="262"/>
      <c r="D21" s="263"/>
      <c r="E21" s="264" t="s">
        <v>184</v>
      </c>
      <c r="F21" s="264"/>
      <c r="G21" s="264"/>
      <c r="H21" s="264"/>
      <c r="I21" s="265"/>
    </row>
    <row r="22" spans="2:9" ht="218.25" customHeight="1" x14ac:dyDescent="0.2">
      <c r="B22" s="248" t="s">
        <v>163</v>
      </c>
      <c r="C22" s="249"/>
      <c r="D22" s="250"/>
      <c r="E22" s="251" t="s">
        <v>164</v>
      </c>
      <c r="F22" s="251"/>
      <c r="G22" s="251"/>
      <c r="H22" s="251"/>
      <c r="I22" s="25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5DBE5F9FD3D9344BD0C3C551D67B185" ma:contentTypeVersion="11" ma:contentTypeDescription="新しいドキュメントを作成します。" ma:contentTypeScope="" ma:versionID="d6fd17978c7af15e814a69e43752170d">
  <xsd:schema xmlns:xsd="http://www.w3.org/2001/XMLSchema" xmlns:xs="http://www.w3.org/2001/XMLSchema" xmlns:p="http://schemas.microsoft.com/office/2006/metadata/properties" xmlns:ns2="4c8fa9e4-21fa-4ea0-b118-f731954c3955" xmlns:ns3="8f112090-decf-4006-94e4-9cf0c2e73bff" targetNamespace="http://schemas.microsoft.com/office/2006/metadata/properties" ma:root="true" ma:fieldsID="1f3d4ae805f190d410484a9e1a1607e1" ns2:_="" ns3:_="">
    <xsd:import namespace="4c8fa9e4-21fa-4ea0-b118-f731954c3955"/>
    <xsd:import namespace="8f112090-decf-4006-94e4-9cf0c2e73bf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8fa9e4-21fa-4ea0-b118-f731954c39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c8657607-a288-4641-8e8b-ece06959c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f112090-decf-4006-94e4-9cf0c2e73bff"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8fa9e4-21fa-4ea0-b118-f731954c39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5075E6-AAC8-4212-B8E7-7DAF2E83E25F}">
  <ds:schemaRefs>
    <ds:schemaRef ds:uri="http://schemas.microsoft.com/sharepoint/v3/contenttype/forms"/>
  </ds:schemaRefs>
</ds:datastoreItem>
</file>

<file path=customXml/itemProps2.xml><?xml version="1.0" encoding="utf-8"?>
<ds:datastoreItem xmlns:ds="http://schemas.openxmlformats.org/officeDocument/2006/customXml" ds:itemID="{BF22030A-3B17-4E1A-A288-2BEECFB661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8fa9e4-21fa-4ea0-b118-f731954c3955"/>
    <ds:schemaRef ds:uri="8f112090-decf-4006-94e4-9cf0c2e73b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EB402B-F33B-4B0C-A298-105DF29150D6}">
  <ds:schemaRefs>
    <ds:schemaRef ds:uri="http://schemas.microsoft.com/office/2006/documentManagement/types"/>
    <ds:schemaRef ds:uri="8f112090-decf-4006-94e4-9cf0c2e73bff"/>
    <ds:schemaRef ds:uri="http://purl.org/dc/terms/"/>
    <ds:schemaRef ds:uri="http://purl.org/dc/elements/1.1/"/>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4c8fa9e4-21fa-4ea0-b118-f731954c395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オオシマ トキコ</cp:lastModifiedBy>
  <cp:revision/>
  <cp:lastPrinted>2024-05-10T01:18:55Z</cp:lastPrinted>
  <dcterms:created xsi:type="dcterms:W3CDTF">2011-06-14T05:32:50Z</dcterms:created>
  <dcterms:modified xsi:type="dcterms:W3CDTF">2024-06-12T05:36:00Z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0x01010005DBE5F9FD3D9344BD0C3C551D67B185</vt:lpwstr>
  </property>
  <property fmtid="{D5CDD505-2E9C-101B-9397-08002B2CF9AE}" pid="10" name="MediaServiceImageTags">
    <vt:lpwstr/>
  </property>
</Properties>
</file>