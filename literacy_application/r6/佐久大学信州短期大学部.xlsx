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defaultThemeVersion="124226"/>
  <mc:AlternateContent xmlns:mc="http://schemas.openxmlformats.org/markup-compatibility/2006">
    <mc:Choice Requires="x15">
      <x15ac:absPath xmlns:x15ac="http://schemas.microsoft.com/office/spreadsheetml/2010/11/ac" url="https://sakug.sharepoint.com/sites/msteams_92a499/Shared Documents/General/数理・データサイエンス・AI教育プログラム認定制度/文科省申請(再)/佐久大学信州短期大学部/01_佐久大学信州短期大学部_リテラシー/"/>
    </mc:Choice>
  </mc:AlternateContent>
  <xr:revisionPtr revIDLastSave="1" documentId="1_{888FC062-2F50-3241-B538-5F8A8C06A228}" xr6:coauthVersionLast="47" xr6:coauthVersionMax="47" xr10:uidLastSave="{6398987C-3DFA-F143-BE95-2CF6E7D89D11}"/>
  <bookViews>
    <workbookView xWindow="0" yWindow="500" windowWidth="28800" windowHeight="1750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40" l="1"/>
  <c r="M7" i="40"/>
  <c r="I2" i="42"/>
  <c r="H2" i="41"/>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<sst xmlns="http://schemas.openxmlformats.org/spreadsheetml/2006/main" count="295" uniqueCount="189">
  <si>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</si>
  <si>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</si>
  <si>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</si>
  <si>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佐久大学信州短期大学部</t>
    <rPh sb="4" eb="11">
      <t>シンシュウタンキダイガクブ</t>
    </rPh>
    <phoneticPr fontId="1"/>
  </si>
  <si>
    <t>プログラム名</t>
    <rPh sb="5" eb="6">
      <t>メイ</t>
    </rPh>
    <phoneticPr fontId="1"/>
  </si>
  <si>
    <t>佐久大学AI・データサイエンス教育・リテラシープログラム</t>
  </si>
  <si>
    <t>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</si>
  <si>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</si>
  <si>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</si>
  <si>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</si>
  <si>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コンピュータの基礎技術Ⅰ（1単位)、コンピュータの基礎技術Ⅱ（1単位)、コンピュータ応用技術（1単位）の3単位を取得すること。</t>
  </si>
  <si>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</si>
  <si>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</si>
  <si>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</si>
  <si>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</si>
  <si>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</si>
  <si>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</si>
  <si>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</si>
  <si>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</si>
  <si>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</si>
  <si>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</si>
  <si>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</si>
  <si>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</si>
  <si>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</si>
  <si>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</si>
  <si>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コンピュータの基礎技術Ⅰ</t>
    <rPh sb="7" eb="11">
      <t xml:space="preserve">キソギジュツ </t>
    </rPh>
    <phoneticPr fontId="1"/>
  </si>
  <si>
    <t>○</t>
  </si>
  <si>
    <t>コンピュータの基礎技術Ⅱ</t>
    <rPh sb="7" eb="11">
      <t xml:space="preserve">キソギジュツ </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</si>
  <si>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</si>
  <si>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</si>
  <si>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</si>
  <si>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コンピュータの基礎技術Ⅰ</t>
    <rPh sb="7" eb="11">
      <t xml:space="preserve">キソエンシュウ </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</si>
  <si>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</si>
  <si>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</si>
  <si>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</si>
  <si>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コンピュータの基礎技術Ⅱ</t>
    <rPh sb="7" eb="11">
      <t xml:space="preserve">キソエンシュウ </t>
    </rPh>
    <phoneticPr fontId="1"/>
  </si>
  <si>
    <t>コンピュータの応用技術</t>
    <rPh sb="7" eb="11">
      <t>オウヨウギジュツ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</si>
  <si>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</si>
  <si>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</si>
  <si>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</si>
  <si>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</si>
  <si>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</si>
  <si>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</si>
  <si>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</si>
  <si>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コンピュータの基礎技術Ⅱ</t>
    <rPh sb="0" eb="4">
      <t xml:space="preserve">トウケイブンセキノ </t>
    </rPh>
    <rPh sb="5" eb="7">
      <t xml:space="preserve">キソ </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</si>
  <si>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</si>
  <si>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</si>
  <si>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コンピュータの応用技術</t>
    <rPh sb="7" eb="11">
      <t xml:space="preserve">オウヨウギｊツウ </t>
    </rPh>
    <phoneticPr fontId="1"/>
  </si>
  <si>
    <t>4‐2アルゴリズム基礎</t>
  </si>
  <si>
    <t>4‐3データ構造とプログラミング基礎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</si>
  <si>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</si>
  <si>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</si>
  <si>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</si>
  <si>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</si>
  <si>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・ビッグデータ、AI「コンピュータの基礎技術Ⅰ」(2回目)
・データ量の増加、計算機の処理性能の向上、AIの非連続的進化「コンピュータの基礎技術Ⅰ」(2回目)
・人間の知的活動とAIの関係性I「コンピュータの基礎技術Ⅰ」(2回目
・データを起点としたものの見方「コンピュータの基礎技術Ⅱ」（12～15回目)</t>
  </si>
  <si>
    <t>1-6</t>
    <phoneticPr fontId="1"/>
  </si>
  <si>
    <t>・AI等を活用した新しいビジネスモデル(シェアリングエコノミー、商品のレコメンデーションなど)「コンピュータの基礎技術Ⅰ」(2回目)</t>
    <phoneticPr fontId="1"/>
  </si>
  <si>
    <t>（２）「社会で活用されているデータ」や「データの活用領域」は非常に広範囲であって、日常生活や社会の課題を解決する有用なツールになり得るもの</t>
    <phoneticPr fontId="1"/>
  </si>
  <si>
    <t>・調査データなど「コンピュータの基礎技術Ⅰ」(11回目)
・データのオープン化（オープンデータ）「コンピュータの基礎技術Ⅰ」(11回目)</t>
    <phoneticPr fontId="1"/>
  </si>
  <si>
    <t>・データ・AI活用領域の広がり(生産、消費、文化活動など)「コンピュータの基礎技術Ⅰ」(2回目)
・仮説検証、知識発見、原因究明、判断支援「コンピュータの基礎技術Ⅱ」(12～15回目)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</si>
  <si>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</si>
  <si>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・自動化技術「コンピュータの応用技術」(6回目)</t>
    <rPh sb="1" eb="6">
      <t xml:space="preserve">ジドウカギジュツ </t>
    </rPh>
    <rPh sb="14" eb="18">
      <t xml:space="preserve">オウヨウギジュツ </t>
    </rPh>
    <phoneticPr fontId="1"/>
  </si>
  <si>
    <t>・データサイエンスのサイクル（課題抽出と定式化、データの取得・管理・加工、探索的データ解析、データ解析と推論、結果の共有・伝達、課題解決に向けた提案）「コンピュータの基礎技術Ⅱ」(10〜15回)
・サービス、インフラ、公共、ヘルスケア等におけるデータ・AI利活用事例紹介「コンピュータの基礎技術Ⅰ」(2回目)</t>
    <phoneticPr fontId="1"/>
  </si>
  <si>
    <t>（４）活用に当たっての様々な留意事項（ELSI、個人情報、データ倫理、ＡＩ社会原則等）を考慮し、情報セキュリティや情報漏洩等、データを守る上での留意事項への理解をする</t>
    <phoneticPr fontId="1"/>
  </si>
  <si>
    <t>・個人情報保護「コンピュータの基礎技術Ⅰ」(2回目)
・データ倫理：データのねつ造、改ざん、盗用、プライバシー保護「コンピュータの基礎技術Ⅰ」(3回目)
・データ・AI活用における負の事例紹介「コンピュータの基礎技術Ⅰ」(2回目)</t>
    <phoneticPr fontId="1"/>
  </si>
  <si>
    <t>・匿名加工情報、暗号化、パスワード、悪意ある情報搾取「コンピュータの基礎技術Ⅰ」(3回目)
・情報漏洩等によるセキュリティ事故の事例紹介「コンピュータの基礎技術Ⅰ」(3回目)</t>
    <rPh sb="12" eb="14">
      <t xml:space="preserve">カイメ </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</si>
  <si>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</si>
  <si>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</si>
  <si>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・データの種類（量的変数、質的変数）「コンピュータの基礎技術Ⅰ」(8回目)
・データの分布(ヒストグラム)と代表値（平均値、中央値、最頻値）「コンピュータの基礎技術Ⅱ」(8回目)
・データのばらつき（分散、標準偏差、偏差値）「コンピュータの基礎技術Ⅰ」(10回目)
・クロス集計表「コンピュータの基礎技術Ⅱ」(9回目）</t>
  </si>
  <si>
    <t>・データ表現（棒グラフ、折線グラフ）「コンピュータの基礎技術Ⅰ」(11回目)
・データの図表表現（チャート化）「コンピュータの基礎技術Ⅰ」（5回目、11回目)
・不適切なグラフ表現（チャートジャンク、不必要な視覚的要素）「コンピュータの基礎技術Ⅰ」(10回目)</t>
  </si>
  <si>
    <t>・データの集計（和、平均）「コンピュータの基礎技術Ⅰ」（10回目)
・データの並び替え、ランキング「コンピュータの基礎技術Ⅰ」(10回目)
・データ解析ツール（スプレッドシート）「コンピュータの基礎技術Ⅰ」(10回目)</t>
    <phoneticPr fontId="1"/>
  </si>
  <si>
    <t>⑪ プログラムの学修成果（学生等が身に付けられる能力等）</t>
    <phoneticPr fontId="1"/>
  </si>
  <si>
    <t>・AIの仕組みを理解し、適切に活用するための知識や能力
・データ活用の有用性を理解し、適切に活用するための知識や能力
・セキュリティの観点から、AIやデータサービスに対する適切な態度</t>
  </si>
  <si>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</si>
  <si>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</si>
  <si>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</si>
  <si>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</si>
  <si>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コンピュータの基礎技術Ⅰ」(2回目)にてAIの仕組みと発達について機械学習やビッグデータを交えて解説し、続いて提供されるAIサービスを複数挙げて、学生自身にも利用させる。その時にAIから提示された結果について学生自身に検証させることでAIやAIを用いたサービスについて理解を深め、またAIに依存しすぎる危険性やAIが提示した情報を検証する必要性を体験させることで理解を深める。</t>
    <rPh sb="8" eb="10">
      <t xml:space="preserve">キソエンシュ </t>
    </rPh>
    <rPh sb="10" eb="12">
      <t xml:space="preserve">ギジュツ </t>
    </rPh>
    <rPh sb="16" eb="18">
      <t xml:space="preserve">カイメ </t>
    </rPh>
    <rPh sb="24" eb="26">
      <t xml:space="preserve">シクミト </t>
    </rPh>
    <rPh sb="28" eb="30">
      <t xml:space="preserve">ハッタツニツイテ </t>
    </rPh>
    <rPh sb="34" eb="38">
      <t xml:space="preserve">キカイガクシュウヤ </t>
    </rPh>
    <rPh sb="46" eb="47">
      <t xml:space="preserve">マジエテカイセツスル </t>
    </rPh>
    <rPh sb="53" eb="54">
      <t xml:space="preserve">ツヅイテ </t>
    </rPh>
    <rPh sb="56" eb="58">
      <t xml:space="preserve">テイキョウサレル </t>
    </rPh>
    <rPh sb="68" eb="71">
      <t xml:space="preserve">フクスウアゲテ </t>
    </rPh>
    <rPh sb="74" eb="78">
      <t xml:space="preserve">ガクセイジシンニモ </t>
    </rPh>
    <rPh sb="80" eb="82">
      <t xml:space="preserve">リヨウサセル </t>
    </rPh>
    <rPh sb="94" eb="96">
      <t xml:space="preserve">テイジサレタケッカニツイテ </t>
    </rPh>
    <rPh sb="105" eb="109">
      <t xml:space="preserve">ガクセイジシンニ </t>
    </rPh>
    <rPh sb="110" eb="112">
      <t xml:space="preserve">ケンショウサセ </t>
    </rPh>
    <rPh sb="124" eb="125">
      <t xml:space="preserve">モチイタサービス </t>
    </rPh>
    <rPh sb="135" eb="137">
      <t xml:space="preserve">リカイヲ </t>
    </rPh>
    <rPh sb="138" eb="139">
      <t xml:space="preserve">フカメ </t>
    </rPh>
    <rPh sb="146" eb="148">
      <t xml:space="preserve">イゾンシスギルキケンセイヤ </t>
    </rPh>
    <rPh sb="159" eb="161">
      <t xml:space="preserve">テイジシタジョウホウヲケンショウスルヒツヨウセイヲ </t>
    </rPh>
    <rPh sb="174" eb="176">
      <t xml:space="preserve">タイケンサセルコトデ </t>
    </rPh>
    <rPh sb="182" eb="184">
      <t xml:space="preserve">リカイヲ </t>
    </rPh>
    <rPh sb="185" eb="186">
      <t xml:space="preserve">フカメル </t>
    </rPh>
    <phoneticPr fontId="1"/>
  </si>
  <si>
    <t>様式２</t>
    <phoneticPr fontId="1"/>
  </si>
  <si>
    <t>大学名等</t>
    <rPh sb="0" eb="3">
      <t>ダイガクメイ</t>
    </rPh>
    <rPh sb="3" eb="4">
      <t>トウ</t>
    </rPh>
    <phoneticPr fontId="1"/>
  </si>
  <si>
    <t>プログラムの履修者数等の実績について</t>
    <phoneticPr fontId="1"/>
  </si>
  <si>
    <t>①プログラム開設年度</t>
    <rPh sb="6" eb="8">
      <t>カイセツ</t>
    </rPh>
    <rPh sb="8" eb="10">
      <t>ネンド</t>
    </rPh>
    <phoneticPr fontId="1"/>
  </si>
  <si>
    <t>令和４</t>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</si>
  <si>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</si>
  <si>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</si>
  <si>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</si>
  <si>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</si>
  <si>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</si>
  <si>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</si>
  <si>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</si>
  <si>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</si>
  <si>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</si>
  <si>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</si>
  <si>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</si>
  <si>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</si>
  <si>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</si>
  <si>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</si>
  <si>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</si>
  <si>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</si>
  <si>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</si>
  <si>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</si>
  <si>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</si>
  <si>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</si>
  <si>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</si>
  <si>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</si>
  <si>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</si>
  <si>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</si>
  <si>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信州短期大学部</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</si>
  <si>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</si>
  <si>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</si>
  <si>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</si>
  <si>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</si>
  <si>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</si>
  <si>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</si>
  <si>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</si>
  <si>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</si>
  <si>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</si>
  <si>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</si>
  <si>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</si>
  <si>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</si>
  <si>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</si>
  <si>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</si>
  <si>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</si>
  <si>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</si>
  <si>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佐藤　嘉夫</t>
    <rPh sb="0" eb="2">
      <t>サトウ</t>
    </rPh>
    <rPh sb="3" eb="5">
      <t>ヨシオ</t>
    </rPh>
    <phoneticPr fontId="1"/>
  </si>
  <si>
    <t>基盤教育センター長</t>
    <rPh sb="0" eb="2">
      <t>キバン</t>
    </rPh>
    <rPh sb="2" eb="4">
      <t>キョウイク</t>
    </rPh>
    <rPh sb="8" eb="9">
      <t>チョウ</t>
    </rPh>
    <phoneticPr fontId="1"/>
  </si>
  <si>
    <t>⑤</t>
    <phoneticPr fontId="1"/>
  </si>
  <si>
    <t>プログラムを改善・進化させるための体制を定める規則名称</t>
    <phoneticPr fontId="1"/>
  </si>
  <si>
    <t>佐久大学基盤教育センター規程、佐久大学信州短期大学部教務委員会規程</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</si>
  <si>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</si>
  <si>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</si>
  <si>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</si>
  <si>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</si>
  <si>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</si>
  <si>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</si>
  <si>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</si>
  <si>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</si>
  <si>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</si>
  <si>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</si>
  <si>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</si>
  <si>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</si>
  <si>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</si>
  <si>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</si>
  <si>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</si>
  <si>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本プログラムを構成する全ての科目は、全学生が受講可能になるようにカリキュラムを構成している。今後は履修ガイダンス等で本プログラムの周知をより徹底することを検討している。</t>
    <rPh sb="0" eb="1">
      <t>ホン</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</si>
  <si>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</si>
  <si>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</si>
  <si>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シラバスをWeb配信しており、学生は学内外を問わず自身が所有するスマートフォン等で閲覧できる。また前期・後期開講前に履修ガイダンスを開催しており、そこで本プログラムの目的やメリットの周知徹底することを検討している。</t>
  </si>
  <si>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</si>
  <si>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</si>
  <si>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</si>
  <si>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</si>
  <si>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</si>
  <si>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</si>
  <si>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</si>
  <si>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</si>
  <si>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基盤教育センター</t>
    <rPh sb="0" eb="4">
      <t>キバンキョウイク</t>
    </rPh>
    <phoneticPr fontId="1"/>
  </si>
  <si>
    <t>基盤教育センター長</t>
    <rPh sb="0" eb="4">
      <t>キバンキョウイク</t>
    </rPh>
    <rPh sb="8" eb="9">
      <t>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</si>
  <si>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</si>
  <si>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</si>
  <si>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</si>
  <si>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</si>
  <si>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</si>
  <si>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</si>
  <si>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</si>
  <si>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各科目の授業評価アンケートによると、概ね好評価を得ており、自由記述回答では「知らないことを学べた」「難しいけど勉強になった」といったコメントが散見される。このことから理解が高まったと実感する学生は多いと考えられる。プログラム全体に関するアンケート調査の実施については現在検討中である。</t>
    <rPh sb="0" eb="3">
      <t xml:space="preserve">カクカモクノ </t>
    </rPh>
    <rPh sb="4" eb="8">
      <t xml:space="preserve">ジュギョウヒョウカアンケートニ </t>
    </rPh>
    <rPh sb="18" eb="19">
      <t xml:space="preserve">オオムネ </t>
    </rPh>
    <rPh sb="20" eb="21">
      <t xml:space="preserve">コウヒョウカヲ </t>
    </rPh>
    <rPh sb="21" eb="23">
      <t xml:space="preserve">ヒョウカヲ </t>
    </rPh>
    <rPh sb="24" eb="25">
      <t xml:space="preserve">エテイル </t>
    </rPh>
    <rPh sb="29" eb="35">
      <t xml:space="preserve">ジユウキジュツカイトウデハ </t>
    </rPh>
    <rPh sb="38" eb="39">
      <t xml:space="preserve">シラナイコトゴ </t>
    </rPh>
    <rPh sb="45" eb="46">
      <t xml:space="preserve">マナベタ </t>
    </rPh>
    <rPh sb="50" eb="51">
      <t xml:space="preserve">ムズカシイケド </t>
    </rPh>
    <rPh sb="55" eb="57">
      <t xml:space="preserve">ベンキョウニナッタ </t>
    </rPh>
    <rPh sb="71" eb="73">
      <t xml:space="preserve">サンケンサレチル </t>
    </rPh>
    <rPh sb="83" eb="85">
      <t xml:space="preserve">リカイガタカマッタトジッカンスルガクセイハ </t>
    </rPh>
    <rPh sb="98" eb="99">
      <t xml:space="preserve">オオイト </t>
    </rPh>
    <rPh sb="101" eb="102">
      <t xml:space="preserve">カンガエラレル </t>
    </rPh>
    <rPh sb="112" eb="114">
      <t>ゼンタイ</t>
    </rPh>
    <rPh sb="115" eb="116">
      <t>カン</t>
    </rPh>
    <rPh sb="123" eb="125">
      <t>チョウサ</t>
    </rPh>
    <rPh sb="126" eb="128">
      <t>ジッシ</t>
    </rPh>
    <rPh sb="133" eb="135">
      <t>ゲンザイ</t>
    </rPh>
    <rPh sb="135" eb="138">
      <t>ケントウチュウ</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</si>
  <si>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</si>
  <si>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</si>
  <si>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</si>
  <si>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</si>
  <si>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</si>
  <si>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</si>
  <si>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</si>
  <si>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坂江千寿子　</t>
  </si>
  <si>
    <t>学長</t>
  </si>
  <si>
    <t>＜基盤教育センター＞
社会に対する理解を深め、幅広い視野と豊かな教養を培い、ヒューマンケアを学ぶ上で礎となる素養を身につけるための基礎力の育成を全学的に実施する基盤教育の運営と管理を行い、推進させる目的で本センターは設置された。本プログラムにおいて基盤科目に配置したリテラシ―レベルの数理・情報科目は専門科目と連動したものとして位置づけられてる。したがって、本プログラムは、専門科目の運営・管理を担う教務委員長を随時（必要に応じ招集する）メンバーに加えて、教務委員会と連携、連動しながら教育の質の向上と改善、進化を図ることのできる体制となっている。</t>
    <phoneticPr fontId="1"/>
  </si>
  <si>
    <t>＜基盤教育センター＞
・佐藤嘉夫（佐久大学人間福祉学部教授、基盤教育センター長）
・下村幸二（佐久大学人間福祉学部教授）
・朴　相俊（佐久大学看護学部教授）
・中嶋智子（佐久大学看護学部准教授）
・長谷川武史（佐久大学人間福祉学部准教授）
・関谷龍子（佐久大学人間福祉学部准教授）
・三池克明（佐久大学信州短期大学部准教授、学生総合支援センター教務課係）
・倉田郁也（佐久大学信州短期大学部准教授、カウンセリング室員）
・前川裕子（佐久大学学生総合支援センター教務係職員）
＜教務委員会＞
・唐澤千登勢（佐久大学信州短期大学部教授、教務委員長）
・込山佳代（佐久大学学生総合支援センター教務係職員）</t>
    <rPh sb="268" eb="272">
      <t xml:space="preserve">サクダイｇカウ </t>
    </rPh>
    <phoneticPr fontId="1"/>
  </si>
  <si>
    <t>修了要件となる科目に選択科目が含まれており、履修者数・履修人数が少ないという課題がある。この課題については以下の方法で解決を目指している。
・今日の社会ではAIやデータの活用できる人材を求められており、これは保健医療や社会福祉分野も同様であることを学生に周知する。
・履修希望の比較的多い時間帯の時間割の配置や、履修ガイダンスでの科目説明を丁寧に行う。</t>
    <rPh sb="0" eb="2">
      <t>シュウリョウ</t>
    </rPh>
    <rPh sb="7" eb="9">
      <t>カモク</t>
    </rPh>
    <rPh sb="10" eb="14">
      <t>センタクカモク</t>
    </rPh>
    <rPh sb="15" eb="16">
      <t>フク</t>
    </rPh>
    <rPh sb="22" eb="25">
      <t>リシュウシャ</t>
    </rPh>
    <rPh sb="25" eb="26">
      <t>スウ</t>
    </rPh>
    <rPh sb="27" eb="29">
      <t>リシュウ</t>
    </rPh>
    <rPh sb="29" eb="31">
      <t>ニンズウ</t>
    </rPh>
    <rPh sb="32" eb="33">
      <t>スク</t>
    </rPh>
    <rPh sb="38" eb="40">
      <t>カダイ</t>
    </rPh>
    <rPh sb="46" eb="48">
      <t>カダイ</t>
    </rPh>
    <rPh sb="53" eb="55">
      <t>イカ</t>
    </rPh>
    <rPh sb="56" eb="58">
      <t>ホウホウ</t>
    </rPh>
    <rPh sb="59" eb="61">
      <t>カイケツ</t>
    </rPh>
    <rPh sb="62" eb="64">
      <t>メザ</t>
    </rPh>
    <phoneticPr fontId="1"/>
  </si>
  <si>
    <t>本学は、令和5年度より学生総合支援センター（STIC)を開設した。高校レベルの基礎学力に不安を感じる学生や、さらに学修意欲のある学生に対して、個別に学修支援を提供する「MANABIBA（学び場）」を設けている。</t>
    <phoneticPr fontId="1"/>
  </si>
  <si>
    <t>本プログラムを構成する科目担当教員は本学の専任教員であり、オフィスアワーに限らず学生からの相談を受け付ける体制にしている。また科目担当教員が授業や会議などで不在の場合は、学生総合支援センター（STIC）が窓口となり、基盤教育センターに属する教職員が対応する体制を構築している。</t>
    <rPh sb="0" eb="1">
      <t>ホン</t>
    </rPh>
    <rPh sb="7" eb="9">
      <t>コウセイ</t>
    </rPh>
    <rPh sb="11" eb="17">
      <t>カモクタントウキョウイン</t>
    </rPh>
    <rPh sb="18" eb="20">
      <t>ホンガク</t>
    </rPh>
    <rPh sb="21" eb="25">
      <t>センニンキョウイン</t>
    </rPh>
    <rPh sb="37" eb="38">
      <t>カギ</t>
    </rPh>
    <rPh sb="40" eb="42">
      <t>ガクセイ</t>
    </rPh>
    <rPh sb="45" eb="47">
      <t>ソウダン</t>
    </rPh>
    <rPh sb="48" eb="49">
      <t>ウ</t>
    </rPh>
    <rPh sb="50" eb="51">
      <t>ツ</t>
    </rPh>
    <rPh sb="53" eb="55">
      <t>タイセイ</t>
    </rPh>
    <rPh sb="63" eb="69">
      <t>カモクタントウキョウイン</t>
    </rPh>
    <rPh sb="70" eb="72">
      <t>ジュギョウ</t>
    </rPh>
    <rPh sb="128" eb="130">
      <t>タイセイ</t>
    </rPh>
    <rPh sb="131" eb="133">
      <t>コウチク</t>
    </rPh>
    <phoneticPr fontId="1"/>
  </si>
  <si>
    <t>本プログラムを所管する基盤教育センターにおいて、各科目の履修状況を定期的に把握している。また、学内のLMSを活用して学生個々の学修状況を経時的に把握できる環境を整えている。履修者には、授業後アンケート（無記名式）で行っており、受講者からの意見を集約しプログラムの改善につなげている。各科目の担当教員から学生へフィードバックも行い、学生教員相互で授業の質を高める努力をしている。現在は修了要件に選択科目があるためか、履修者の増加が伸び悩んでいる。そのため、履修率の向上を図るために履修者の多い時間帯での開講（時間割の考慮）を検討し、学生の数理・データサイエンスAIへの関心を高められるよう工夫してガイダンスを行う。</t>
    <rPh sb="0" eb="3">
      <t>リシュウリツ</t>
    </rPh>
    <rPh sb="4" eb="5">
      <t>キワメテヒクイ</t>
    </rPh>
    <rPh sb="14" eb="17">
      <t xml:space="preserve">カクガクブノ </t>
    </rPh>
    <rPh sb="18" eb="22">
      <t xml:space="preserve">センモンブンヤガ </t>
    </rPh>
    <rPh sb="22" eb="24">
      <t xml:space="preserve">メザス </t>
    </rPh>
    <rPh sb="25" eb="27">
      <t xml:space="preserve">メザスマナビト </t>
    </rPh>
    <rPh sb="32" eb="35">
      <t xml:space="preserve">トウキョウイクプログラムノ </t>
    </rPh>
    <rPh sb="41" eb="43">
      <t xml:space="preserve">メザスマナビ </t>
    </rPh>
    <rPh sb="56" eb="57">
      <t xml:space="preserve">カンジラレテイル </t>
    </rPh>
    <rPh sb="63" eb="66">
      <t xml:space="preserve">カノウセイガアル </t>
    </rPh>
    <rPh sb="188" eb="190">
      <t>_x0000__x0000__x0003__x0006__x0004__x0001_</t>
    </rPh>
    <phoneticPr fontId="1"/>
  </si>
  <si>
    <t>以下の学修成果を達成する教育プログラムを実施している。
・AIの仕組みを理解し、適切に活用するための知識や能力の修得
・データ活用の有用性を理解し、適切に活用するための知識や能力の修得
・セキュリティの観点から、AIやデータサービスに対する適切な態度を身に付ける
上記の達成度は該当する科目において、レポートなどの課題や期末試験等での総合評価により把握している。また本プログラム受講後に、受講者を対象に本プログラムに対する興味・関心の度合いや、AI・データサイエンス分野に対する興味・関心の度合いをアンケート調査しその結果の推移を把握することを検討している。基盤教育センターでは、外部標準化テスト（PROG）を全学年で実施してる。PROGのリテラシー項目には「情報分析力」や「課題発見力」を測定しているものもあり、グラフの読み取りや論理的な分析力について、学年や学部別にその傾向を把握することで、本プログラムの評価・改善に活用している。</t>
    <rPh sb="56" eb="58">
      <t xml:space="preserve">シュウトク </t>
    </rPh>
    <rPh sb="90" eb="92">
      <t xml:space="preserve">シュウトク </t>
    </rPh>
    <phoneticPr fontId="1"/>
  </si>
  <si>
    <t>現状、授業評価アンケートでは後輩に推奨するかどうかの直接的な質問項目を設けていないため後輩学生への推奨度は不明である。今後、授業評価アンケートに質問を追加するか、あるいは新たなアンケートにて質問するかは検討している。</t>
    <phoneticPr fontId="1"/>
  </si>
  <si>
    <t>履修ガイダンスやオリエンテーションにおいて、「今後のデジタル社会において、数理・データサイエンス・AIを日常の生活、仕事等の場で使いこなすことができる基礎的素養を主体的に身に付けること」の重要性について周知する機会を設ける。また、オープンキャンパス等で入学前の高校生へ向けた本プログラムの周知も高大接続教育ととらえ、入学後の履修者の拡大につなげる。本プログラムの認定後は、その旨を学内外へ積極的に公表・周知する事で履修者数の向上を図る予定である。</t>
    <phoneticPr fontId="1"/>
  </si>
  <si>
    <t>本学は、まだ実施したばかりであり、また調査が不十分であるため、修了者の進路・活躍状況・企業等の評価はいずれも未確定である。今後、修了者、実習先や採用企業等へのヒアリングが必要と思われるが、まだ検討段階である。</t>
    <phoneticPr fontId="1"/>
  </si>
  <si>
    <t>まだ実施したばかりであり、また調査が不十分であるため、修了者の進路・活躍状況・企業等の評価はいずれも未確定の状況にある。修了者、実習先や採用企業等へのヒアリングが必要と思われるが、まだ検討段階である。</t>
  </si>
  <si>
    <t>各科目に対し実施している授業評価アンケートでは興味関心の度合いを問う設問を選択回答形式問うており、概ね高い評価を得ていることを確認している。より踏み込んだ本プログラムを「学ぶ楽しさ」「学ぶことの意義」の理解についての調査やシラバスの充実等については検討段階である。また、本学が位置している長野県佐久圏域には先進的なプレメデカル産業も多い。それらの企業でのインターンシップ等を推進することで、これらの理解を深める機会を広げていけるのではと考えている。</t>
  </si>
  <si>
    <t>開講科目の担当教員は、研究者として数理・データサイエンス・AIに関する知識や技術を活用していることから、これらの分野については継続的に理解を深めている。また得られた知見を踏まえて担当科目の指導に取り組んでおり、一部の教員については教員免許を取得しており教育工学の研究に携わった実績もあるため、学生へわかり易い授業の設計や改善についての知見は高いと考えられる。また開講科目の内容や運営については基盤教育センターで情報収集や助言に取り組む体制を構築している。</t>
    <phoneticPr fontId="1"/>
  </si>
  <si>
    <t>学部・学科によって、修了要件は相違しない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</si>
</sst>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rgb="FF000000"/>
      <name val="ＭＳ Ｐゴシック"/>
      <family val="2"/>
      <charset val="128"/>
      <scheme val="minor"/>
    </font>
    <font>
      <sz val="11"/>
      <color rgb="FF000000"/>
      <name val="ＭＳ Ｐゴシック"/>
      <family val="2"/>
      <scheme val="minor"/>
    </font>
    <font>
      <sz val="11"/>
      <color rgb="FF000000"/>
      <name val="ＭＳ Ｐゴシック"/>
      <family val="3"/>
      <charset val="128"/>
      <scheme val="minor"/>
    </font>
    <font>
      <sz val="12"/>
      <color rgb="FF00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rgb="FF000000"/>
      </right>
      <top style="thin">
        <color indexed="64"/>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48" xfId="0" applyFont="1" applyBorder="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17" fillId="0" borderId="2" xfId="0" applyFont="1" applyBorder="1" applyAlignment="1">
      <alignment vertical="center" wrapText="1" shrinkToFit="1"/>
    </xf>
    <xf numFmtId="0" fontId="17" fillId="0" borderId="3" xfId="0" applyFont="1" applyBorder="1" applyAlignment="1">
      <alignment vertical="center" wrapText="1" shrinkToFit="1"/>
    </xf>
    <xf numFmtId="0" fontId="17" fillId="0" borderId="49"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32" xfId="0" applyNumberFormat="1" applyFont="1" applyBorder="1" applyAlignment="1">
      <alignment horizontal="left" vertical="center"/>
    </xf>
    <xf numFmtId="49" fontId="3" fillId="0" borderId="29"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8" fillId="0" borderId="7" xfId="0" applyFont="1" applyBorder="1" applyAlignment="1">
      <alignment vertical="top" wrapText="1" shrinkToFit="1"/>
    </xf>
    <xf numFmtId="0" fontId="19" fillId="0" borderId="8" xfId="0" applyFont="1" applyBorder="1" applyAlignment="1">
      <alignment vertical="top" wrapText="1" shrinkToFit="1"/>
    </xf>
    <xf numFmtId="0" fontId="19" fillId="0" borderId="9" xfId="0" applyFont="1" applyBorder="1" applyAlignment="1">
      <alignment vertical="top" shrinkToFit="1"/>
    </xf>
    <xf numFmtId="0" fontId="19" fillId="0" borderId="5" xfId="0" applyFont="1" applyBorder="1" applyAlignment="1">
      <alignment vertical="top" wrapText="1" shrinkToFit="1"/>
    </xf>
    <xf numFmtId="0" fontId="19" fillId="0" borderId="0" xfId="0" applyFont="1" applyAlignment="1">
      <alignment vertical="top" wrapText="1" shrinkToFit="1"/>
    </xf>
    <xf numFmtId="0" fontId="19" fillId="0" borderId="10" xfId="0" applyFont="1" applyBorder="1" applyAlignment="1">
      <alignment vertical="top" shrinkToFit="1"/>
    </xf>
    <xf numFmtId="0" fontId="19" fillId="0" borderId="5" xfId="0" applyFont="1" applyBorder="1" applyAlignment="1">
      <alignment vertical="top" shrinkToFit="1"/>
    </xf>
    <xf numFmtId="0" fontId="19" fillId="0" borderId="0" xfId="0" applyFont="1" applyAlignment="1">
      <alignment vertical="top" shrinkToFit="1"/>
    </xf>
    <xf numFmtId="0" fontId="19" fillId="0" borderId="11" xfId="0" applyFont="1" applyBorder="1" applyAlignment="1">
      <alignment vertical="top" shrinkToFit="1"/>
    </xf>
    <xf numFmtId="0" fontId="19" fillId="0" borderId="6" xfId="0" applyFont="1" applyBorder="1" applyAlignment="1">
      <alignment vertical="top" shrinkToFit="1"/>
    </xf>
    <xf numFmtId="0" fontId="19" fillId="0" borderId="12" xfId="0" applyFont="1" applyBorder="1" applyAlignment="1">
      <alignment vertical="top"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0" xfId="0" applyFont="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0" fillId="0" borderId="32" xfId="0" applyFont="1" applyBorder="1" applyAlignment="1">
      <alignment vertical="top" wrapText="1" shrinkToFit="1"/>
    </xf>
    <xf numFmtId="0" fontId="20" fillId="0" borderId="33" xfId="0" applyFont="1" applyBorder="1" applyAlignment="1">
      <alignment vertical="top" wrapText="1" shrinkToFit="1"/>
    </xf>
    <xf numFmtId="0" fontId="20"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140" zoomScaleNormal="100" zoomScaleSheetLayoutView="140" workbookViewId="0">
      <selection activeCell="L7" sqref="L7:U7"/>
    </sheetView>
  </sheetViews>
  <sheetFormatPr baseColWidth="10" defaultColWidth="9" defaultRowHeight="18.75" customHeight="1"/>
  <cols>
    <col min="1" max="1" width="2.5" style="1" customWidth="1"/>
    <col min="2" max="2" width="16.5" style="1" customWidth="1"/>
    <col min="3" max="21" width="5.6640625" style="1" customWidth="1"/>
    <col min="22" max="22" width="9" style="1"/>
    <col min="23" max="23" width="3.6640625" style="1" customWidth="1"/>
    <col min="24" max="24" width="48.6640625" style="1" hidden="1" customWidth="1"/>
    <col min="25" max="16384" width="9" style="1"/>
  </cols>
  <sheetData>
    <row r="1" spans="1:24" ht="18.5" customHeight="1">
      <c r="A1" s="76"/>
      <c r="B1" s="76"/>
      <c r="C1" s="76"/>
      <c r="D1" s="76"/>
      <c r="E1" s="76"/>
      <c r="F1" s="76"/>
      <c r="G1" s="76"/>
      <c r="H1" s="76"/>
      <c r="I1" s="76"/>
      <c r="J1" s="76"/>
      <c r="K1" s="76"/>
      <c r="L1" s="76"/>
      <c r="M1" s="76"/>
      <c r="N1" s="76"/>
      <c r="O1" s="76"/>
      <c r="P1" s="76"/>
      <c r="Q1" s="76"/>
      <c r="R1" s="76"/>
      <c r="S1" s="76"/>
      <c r="T1" s="138" t="s">
        <v>0</v>
      </c>
      <c r="U1" s="138"/>
      <c r="V1" s="2" t="s">
        <v>1</v>
      </c>
    </row>
    <row r="2" spans="1:24" ht="18.75" customHeight="1">
      <c r="A2" s="76"/>
      <c r="B2" s="78" t="s">
        <v>2</v>
      </c>
      <c r="C2" s="139" t="s">
        <v>3</v>
      </c>
      <c r="D2" s="140"/>
      <c r="E2" s="140"/>
      <c r="F2" s="140"/>
      <c r="G2" s="140"/>
      <c r="H2" s="140"/>
      <c r="I2" s="140"/>
      <c r="J2" s="141"/>
      <c r="K2" s="77"/>
      <c r="L2" s="79"/>
      <c r="M2" s="79"/>
      <c r="N2" s="79"/>
      <c r="O2" s="79"/>
      <c r="P2" s="79"/>
      <c r="Q2" s="79"/>
      <c r="R2" s="79"/>
      <c r="S2" s="79"/>
      <c r="T2" s="79"/>
      <c r="U2" s="79"/>
    </row>
    <row r="3" spans="1:24" ht="18.75" customHeight="1">
      <c r="A3" s="76"/>
      <c r="B3" s="78" t="s">
        <v>4</v>
      </c>
      <c r="C3" s="142" t="s">
        <v>5</v>
      </c>
      <c r="D3" s="143"/>
      <c r="E3" s="143"/>
      <c r="F3" s="143"/>
      <c r="G3" s="143"/>
      <c r="H3" s="143"/>
      <c r="I3" s="143"/>
      <c r="J3" s="144"/>
      <c r="K3" s="77"/>
      <c r="L3" s="79"/>
      <c r="M3" s="79"/>
      <c r="N3" s="79"/>
      <c r="O3" s="79"/>
      <c r="P3" s="79"/>
      <c r="Q3" s="79"/>
      <c r="R3" s="79"/>
      <c r="S3" s="79"/>
      <c r="T3" s="79"/>
      <c r="U3" s="79"/>
    </row>
    <row r="4" spans="1:24" ht="15" customHeight="1">
      <c r="A4" s="76"/>
      <c r="B4" s="76"/>
      <c r="C4" s="76"/>
      <c r="D4" s="76"/>
      <c r="E4" s="76"/>
      <c r="F4" s="76"/>
      <c r="G4" s="76"/>
      <c r="H4" s="76"/>
      <c r="I4" s="76"/>
      <c r="J4" s="76"/>
      <c r="K4" s="76"/>
      <c r="L4" s="77"/>
      <c r="M4" s="80"/>
      <c r="N4" s="80"/>
      <c r="O4" s="80"/>
      <c r="P4" s="80"/>
      <c r="Q4" s="80"/>
      <c r="R4" s="80"/>
      <c r="S4" s="80"/>
      <c r="T4" s="80"/>
      <c r="U4" s="80"/>
    </row>
    <row r="5" spans="1:24" ht="18" customHeight="1">
      <c r="A5" s="116" t="s">
        <v>6</v>
      </c>
      <c r="B5" s="116"/>
      <c r="C5" s="116"/>
      <c r="D5" s="116"/>
      <c r="E5" s="116"/>
      <c r="F5" s="116"/>
      <c r="G5" s="116"/>
      <c r="H5" s="116"/>
      <c r="I5" s="116"/>
      <c r="J5" s="116"/>
      <c r="K5" s="116"/>
      <c r="L5" s="116"/>
      <c r="M5" s="116"/>
      <c r="N5" s="116"/>
      <c r="O5" s="116"/>
      <c r="P5" s="116"/>
      <c r="Q5" s="116"/>
      <c r="R5" s="116"/>
      <c r="S5" s="116"/>
      <c r="T5" s="116"/>
      <c r="U5" s="116"/>
    </row>
    <row r="6" spans="1:24" ht="15" customHeight="1">
      <c r="A6" s="76"/>
      <c r="B6" s="81"/>
      <c r="C6" s="81"/>
      <c r="D6" s="81"/>
      <c r="E6" s="81"/>
      <c r="F6" s="81"/>
      <c r="G6" s="81"/>
      <c r="H6" s="81"/>
      <c r="I6" s="81"/>
      <c r="J6" s="81"/>
      <c r="K6" s="81"/>
      <c r="L6" s="81"/>
      <c r="M6" s="81"/>
      <c r="N6" s="81"/>
      <c r="O6" s="81"/>
      <c r="P6" s="81"/>
      <c r="Q6" s="81"/>
      <c r="R6" s="81"/>
      <c r="S6" s="81"/>
      <c r="T6" s="81"/>
      <c r="U6" s="81"/>
    </row>
    <row r="7" spans="1:24" ht="15" customHeight="1">
      <c r="A7" s="76" t="s">
        <v>7</v>
      </c>
      <c r="B7" s="81"/>
      <c r="C7" s="81"/>
      <c r="D7" s="81"/>
      <c r="E7" s="81"/>
      <c r="F7" s="75"/>
      <c r="G7" s="75"/>
      <c r="H7" s="75"/>
      <c r="I7" s="75"/>
      <c r="J7" s="75"/>
      <c r="K7" s="75"/>
      <c r="L7" s="158" t="s">
        <v>188</v>
      </c>
      <c r="M7" s="159"/>
      <c r="N7" s="159"/>
      <c r="O7" s="159"/>
      <c r="P7" s="159"/>
      <c r="Q7" s="159"/>
      <c r="R7" s="159"/>
      <c r="S7" s="159"/>
      <c r="T7" s="159"/>
      <c r="U7" s="160"/>
    </row>
    <row r="8" spans="1:24" ht="6" customHeight="1">
      <c r="A8" s="76"/>
      <c r="B8" s="81"/>
      <c r="C8" s="81"/>
      <c r="D8" s="81"/>
      <c r="E8" s="81"/>
      <c r="F8" s="81"/>
      <c r="G8" s="81"/>
      <c r="H8" s="81"/>
      <c r="I8" s="81"/>
      <c r="J8" s="81"/>
      <c r="K8" s="81"/>
      <c r="L8" s="81"/>
      <c r="M8" s="81"/>
      <c r="N8" s="81"/>
      <c r="O8" s="81"/>
      <c r="P8" s="81"/>
      <c r="Q8" s="81"/>
      <c r="R8" s="81"/>
      <c r="S8" s="81"/>
      <c r="T8" s="81"/>
      <c r="U8" s="81"/>
    </row>
    <row r="9" spans="1:24" ht="18" customHeight="1">
      <c r="A9" s="76" t="s">
        <v>8</v>
      </c>
      <c r="B9" s="76"/>
      <c r="C9" s="81"/>
      <c r="D9" s="81"/>
      <c r="E9" s="76"/>
      <c r="F9" s="76"/>
      <c r="G9" s="76"/>
      <c r="H9" s="76"/>
      <c r="I9" s="76"/>
      <c r="J9" s="76"/>
      <c r="K9" s="77"/>
      <c r="L9" s="75"/>
      <c r="M9" s="75"/>
      <c r="N9" s="75"/>
      <c r="O9" s="75"/>
      <c r="P9" s="75"/>
      <c r="Q9" s="75"/>
      <c r="R9" s="75"/>
      <c r="S9" s="75"/>
      <c r="T9" s="75"/>
      <c r="U9" s="75"/>
    </row>
    <row r="10" spans="1:24" ht="6" customHeight="1">
      <c r="A10" s="76"/>
      <c r="B10" s="81"/>
      <c r="C10" s="81"/>
      <c r="D10" s="81"/>
      <c r="E10" s="81"/>
      <c r="F10" s="81"/>
      <c r="G10" s="81"/>
      <c r="H10" s="81"/>
      <c r="I10" s="81"/>
      <c r="J10" s="81"/>
      <c r="K10" s="81"/>
      <c r="L10" s="82"/>
      <c r="M10" s="81"/>
      <c r="N10" s="81"/>
      <c r="O10" s="81"/>
      <c r="P10" s="81"/>
      <c r="Q10" s="81"/>
      <c r="R10" s="81"/>
      <c r="S10" s="81"/>
      <c r="T10" s="81"/>
      <c r="U10" s="81"/>
    </row>
    <row r="11" spans="1:24" ht="18" customHeight="1">
      <c r="A11" s="76"/>
      <c r="B11" s="163"/>
      <c r="C11" s="164"/>
      <c r="D11" s="164"/>
      <c r="E11" s="164"/>
      <c r="F11" s="164"/>
      <c r="G11" s="164"/>
      <c r="H11" s="164"/>
      <c r="I11" s="164"/>
      <c r="J11" s="164"/>
      <c r="K11" s="164"/>
      <c r="L11" s="164"/>
      <c r="M11" s="164"/>
      <c r="N11" s="164"/>
      <c r="O11" s="164"/>
      <c r="P11" s="164"/>
      <c r="Q11" s="164"/>
      <c r="R11" s="164"/>
      <c r="S11" s="164"/>
      <c r="T11" s="164"/>
      <c r="U11" s="165"/>
    </row>
    <row r="12" spans="1:24" ht="18" customHeight="1">
      <c r="A12" s="76"/>
      <c r="B12" s="166"/>
      <c r="C12" s="167"/>
      <c r="D12" s="167"/>
      <c r="E12" s="167"/>
      <c r="F12" s="167"/>
      <c r="G12" s="167"/>
      <c r="H12" s="167"/>
      <c r="I12" s="167"/>
      <c r="J12" s="167"/>
      <c r="K12" s="167"/>
      <c r="L12" s="167"/>
      <c r="M12" s="167"/>
      <c r="N12" s="167"/>
      <c r="O12" s="167"/>
      <c r="P12" s="167"/>
      <c r="Q12" s="167"/>
      <c r="R12" s="167"/>
      <c r="S12" s="167"/>
      <c r="T12" s="167"/>
      <c r="U12" s="168"/>
    </row>
    <row r="13" spans="1:24" ht="6" customHeight="1">
      <c r="A13" s="76"/>
      <c r="B13" s="81"/>
      <c r="C13" s="81"/>
      <c r="D13" s="81"/>
      <c r="E13" s="81"/>
      <c r="F13" s="81"/>
      <c r="G13" s="81"/>
      <c r="H13" s="81"/>
      <c r="I13" s="81"/>
      <c r="J13" s="81"/>
      <c r="K13" s="81"/>
      <c r="L13" s="82"/>
      <c r="M13" s="81"/>
      <c r="N13" s="81"/>
      <c r="O13" s="81"/>
      <c r="P13" s="81"/>
      <c r="Q13" s="81"/>
      <c r="R13" s="81"/>
      <c r="S13" s="81"/>
      <c r="T13" s="81"/>
      <c r="U13" s="81"/>
    </row>
    <row r="14" spans="1:24" ht="18" customHeight="1">
      <c r="A14" s="76" t="s">
        <v>9</v>
      </c>
      <c r="B14" s="81"/>
      <c r="C14" s="81"/>
      <c r="D14" s="81"/>
      <c r="E14" s="77"/>
      <c r="F14" s="77"/>
      <c r="G14" s="77"/>
      <c r="H14" s="77"/>
      <c r="I14" s="77"/>
      <c r="J14" s="77"/>
      <c r="K14" s="77"/>
      <c r="L14" s="83"/>
      <c r="M14" s="83"/>
      <c r="N14" s="83"/>
      <c r="O14" s="83"/>
      <c r="P14" s="83"/>
      <c r="Q14" s="83"/>
      <c r="R14" s="83"/>
      <c r="S14" s="83"/>
      <c r="T14" s="83"/>
      <c r="U14" s="83"/>
    </row>
    <row r="15" spans="1:24" ht="18" customHeight="1">
      <c r="A15" s="76"/>
      <c r="B15" s="117" t="s">
        <v>10</v>
      </c>
      <c r="C15" s="118"/>
      <c r="D15" s="118"/>
      <c r="E15" s="118"/>
      <c r="F15" s="118"/>
      <c r="G15" s="118"/>
      <c r="H15" s="118"/>
      <c r="I15" s="118"/>
      <c r="J15" s="118"/>
      <c r="K15" s="118"/>
      <c r="L15" s="118"/>
      <c r="M15" s="118"/>
      <c r="N15" s="118"/>
      <c r="O15" s="118"/>
      <c r="P15" s="118"/>
      <c r="Q15" s="118"/>
      <c r="R15" s="118"/>
      <c r="S15" s="118"/>
      <c r="T15" s="118"/>
      <c r="U15" s="119"/>
      <c r="X15" s="1" t="s">
        <v>11</v>
      </c>
    </row>
    <row r="16" spans="1:24" ht="18" customHeight="1">
      <c r="A16" s="76"/>
      <c r="B16" s="120"/>
      <c r="C16" s="121"/>
      <c r="D16" s="121"/>
      <c r="E16" s="121"/>
      <c r="F16" s="121"/>
      <c r="G16" s="121"/>
      <c r="H16" s="121"/>
      <c r="I16" s="121"/>
      <c r="J16" s="121"/>
      <c r="K16" s="121"/>
      <c r="L16" s="121"/>
      <c r="M16" s="121"/>
      <c r="N16" s="121"/>
      <c r="O16" s="121"/>
      <c r="P16" s="121"/>
      <c r="Q16" s="121"/>
      <c r="R16" s="121"/>
      <c r="S16" s="121"/>
      <c r="T16" s="121"/>
      <c r="U16" s="122"/>
      <c r="X16" s="1" t="s">
        <v>12</v>
      </c>
    </row>
    <row r="17" spans="1:24" ht="18" customHeight="1">
      <c r="A17" s="76"/>
      <c r="B17" s="120"/>
      <c r="C17" s="121"/>
      <c r="D17" s="121"/>
      <c r="E17" s="121"/>
      <c r="F17" s="121"/>
      <c r="G17" s="121"/>
      <c r="H17" s="121"/>
      <c r="I17" s="121"/>
      <c r="J17" s="121"/>
      <c r="K17" s="121"/>
      <c r="L17" s="121"/>
      <c r="M17" s="121"/>
      <c r="N17" s="121"/>
      <c r="O17" s="121"/>
      <c r="P17" s="121"/>
      <c r="Q17" s="121"/>
      <c r="R17" s="121"/>
      <c r="S17" s="121"/>
      <c r="T17" s="121"/>
      <c r="U17" s="122"/>
      <c r="X17" s="1" t="s">
        <v>13</v>
      </c>
    </row>
    <row r="18" spans="1:24" ht="18" customHeight="1">
      <c r="A18" s="76"/>
      <c r="B18" s="120"/>
      <c r="C18" s="121"/>
      <c r="D18" s="121"/>
      <c r="E18" s="121"/>
      <c r="F18" s="121"/>
      <c r="G18" s="121"/>
      <c r="H18" s="121"/>
      <c r="I18" s="121"/>
      <c r="J18" s="121"/>
      <c r="K18" s="121"/>
      <c r="L18" s="121"/>
      <c r="M18" s="121"/>
      <c r="N18" s="121"/>
      <c r="O18" s="121"/>
      <c r="P18" s="121"/>
      <c r="Q18" s="121"/>
      <c r="R18" s="121"/>
      <c r="S18" s="121"/>
      <c r="T18" s="121"/>
      <c r="U18" s="122"/>
      <c r="X18" s="1" t="s">
        <v>14</v>
      </c>
    </row>
    <row r="19" spans="1:24" ht="18" customHeight="1">
      <c r="A19" s="76"/>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c r="A20" s="76"/>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c r="A21" s="76"/>
      <c r="B21" s="81"/>
      <c r="C21" s="81"/>
      <c r="D21" s="81"/>
      <c r="E21" s="81"/>
      <c r="F21" s="81"/>
      <c r="G21" s="81"/>
      <c r="H21" s="81"/>
      <c r="I21" s="81"/>
      <c r="J21" s="81"/>
      <c r="K21" s="81"/>
      <c r="L21" s="81"/>
      <c r="M21" s="81"/>
      <c r="N21" s="81"/>
      <c r="O21" s="81"/>
      <c r="P21" s="81"/>
      <c r="Q21" s="81"/>
      <c r="R21" s="81"/>
      <c r="S21" s="81"/>
      <c r="T21" s="81"/>
      <c r="U21" s="81"/>
    </row>
    <row r="22" spans="1:24" ht="20" customHeight="1">
      <c r="A22" s="76"/>
      <c r="B22" s="76" t="s">
        <v>15</v>
      </c>
      <c r="C22" s="76"/>
      <c r="D22" s="76"/>
      <c r="E22" s="84">
        <v>3</v>
      </c>
      <c r="F22" s="76" t="s">
        <v>16</v>
      </c>
      <c r="G22" s="76"/>
      <c r="H22" s="85">
        <v>3</v>
      </c>
      <c r="I22" s="81" t="s">
        <v>17</v>
      </c>
      <c r="J22" s="81"/>
      <c r="K22" s="77"/>
      <c r="L22" s="76"/>
      <c r="M22" s="77" t="s">
        <v>18</v>
      </c>
      <c r="N22" s="155" t="s">
        <v>14</v>
      </c>
      <c r="O22" s="156"/>
      <c r="P22" s="156"/>
      <c r="Q22" s="156"/>
      <c r="R22" s="156"/>
      <c r="S22" s="156"/>
      <c r="T22" s="156"/>
      <c r="U22" s="157"/>
    </row>
    <row r="23" spans="1:24" ht="7.5" customHeight="1">
      <c r="A23" s="76"/>
      <c r="B23" s="81"/>
      <c r="C23" s="81"/>
      <c r="D23" s="81"/>
      <c r="E23" s="81"/>
      <c r="F23" s="81"/>
      <c r="G23" s="81"/>
      <c r="H23" s="81"/>
      <c r="I23" s="81"/>
      <c r="J23" s="81"/>
      <c r="K23" s="81"/>
      <c r="L23" s="81"/>
      <c r="M23" s="81"/>
      <c r="N23" s="81"/>
      <c r="O23" s="81"/>
      <c r="P23" s="81"/>
      <c r="Q23" s="81"/>
      <c r="R23" s="81"/>
      <c r="S23" s="81"/>
      <c r="T23" s="81"/>
      <c r="U23" s="81"/>
    </row>
    <row r="24" spans="1:24" ht="18" customHeight="1">
      <c r="A24" s="126" t="s">
        <v>19</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c r="B26" s="92" t="s">
        <v>20</v>
      </c>
      <c r="C26" s="93"/>
      <c r="D26" s="93"/>
      <c r="E26" s="93"/>
      <c r="F26" s="94"/>
      <c r="G26" s="51" t="s">
        <v>21</v>
      </c>
      <c r="H26" s="50" t="s">
        <v>22</v>
      </c>
      <c r="I26" s="17" t="s">
        <v>23</v>
      </c>
      <c r="J26" s="17" t="s">
        <v>24</v>
      </c>
      <c r="K26" s="92" t="s">
        <v>20</v>
      </c>
      <c r="L26" s="93"/>
      <c r="M26" s="93"/>
      <c r="N26" s="93"/>
      <c r="O26" s="93"/>
      <c r="P26" s="93"/>
      <c r="Q26" s="94"/>
      <c r="R26" s="51" t="s">
        <v>21</v>
      </c>
      <c r="S26" s="50" t="s">
        <v>22</v>
      </c>
      <c r="T26" s="17" t="s">
        <v>23</v>
      </c>
      <c r="U26" s="17" t="s">
        <v>24</v>
      </c>
    </row>
    <row r="27" spans="1:24" ht="18" customHeight="1">
      <c r="B27" s="103" t="s">
        <v>25</v>
      </c>
      <c r="C27" s="104"/>
      <c r="D27" s="104"/>
      <c r="E27" s="104"/>
      <c r="F27" s="105"/>
      <c r="G27" s="18">
        <v>1</v>
      </c>
      <c r="H27" s="18" t="s">
        <v>26</v>
      </c>
      <c r="I27" s="18" t="s">
        <v>26</v>
      </c>
      <c r="J27" s="18" t="s">
        <v>26</v>
      </c>
      <c r="K27" s="103"/>
      <c r="L27" s="104"/>
      <c r="M27" s="104"/>
      <c r="N27" s="104"/>
      <c r="O27" s="104"/>
      <c r="P27" s="104"/>
      <c r="Q27" s="105"/>
      <c r="R27" s="18"/>
      <c r="S27" s="18"/>
      <c r="T27" s="18"/>
      <c r="U27" s="18"/>
    </row>
    <row r="28" spans="1:24" ht="18" customHeight="1">
      <c r="B28" s="95" t="s">
        <v>27</v>
      </c>
      <c r="C28" s="96"/>
      <c r="D28" s="96"/>
      <c r="E28" s="96"/>
      <c r="F28" s="97"/>
      <c r="G28" s="19">
        <v>1</v>
      </c>
      <c r="H28" s="19" t="s">
        <v>26</v>
      </c>
      <c r="I28" s="19" t="s">
        <v>26</v>
      </c>
      <c r="J28" s="19"/>
      <c r="K28" s="95"/>
      <c r="L28" s="96"/>
      <c r="M28" s="96"/>
      <c r="N28" s="96"/>
      <c r="O28" s="96"/>
      <c r="P28" s="96"/>
      <c r="Q28" s="97"/>
      <c r="R28" s="19"/>
      <c r="S28" s="19"/>
      <c r="T28" s="19"/>
      <c r="U28" s="19"/>
    </row>
    <row r="29" spans="1:24" ht="18" customHeight="1">
      <c r="B29" s="95"/>
      <c r="C29" s="96"/>
      <c r="D29" s="96"/>
      <c r="E29" s="96"/>
      <c r="F29" s="97"/>
      <c r="G29" s="19"/>
      <c r="H29" s="19"/>
      <c r="I29" s="19"/>
      <c r="J29" s="19"/>
      <c r="K29" s="95"/>
      <c r="L29" s="96"/>
      <c r="M29" s="96"/>
      <c r="N29" s="96"/>
      <c r="O29" s="96"/>
      <c r="P29" s="96"/>
      <c r="Q29" s="97"/>
      <c r="R29" s="19"/>
      <c r="S29" s="19"/>
      <c r="T29" s="19"/>
      <c r="U29" s="19"/>
    </row>
    <row r="30" spans="1:24" ht="18" customHeight="1">
      <c r="B30" s="95"/>
      <c r="C30" s="96"/>
      <c r="D30" s="96"/>
      <c r="E30" s="96"/>
      <c r="F30" s="97"/>
      <c r="G30" s="19"/>
      <c r="H30" s="19"/>
      <c r="I30" s="19"/>
      <c r="J30" s="19"/>
      <c r="K30" s="95"/>
      <c r="L30" s="96"/>
      <c r="M30" s="96"/>
      <c r="N30" s="96"/>
      <c r="O30" s="96"/>
      <c r="P30" s="96"/>
      <c r="Q30" s="97"/>
      <c r="R30" s="19"/>
      <c r="S30" s="19"/>
      <c r="T30" s="19"/>
      <c r="U30" s="19"/>
    </row>
    <row r="31" spans="1:24" ht="18" customHeight="1">
      <c r="B31" s="95"/>
      <c r="C31" s="96"/>
      <c r="D31" s="96"/>
      <c r="E31" s="96"/>
      <c r="F31" s="97"/>
      <c r="G31" s="19"/>
      <c r="H31" s="19"/>
      <c r="I31" s="19"/>
      <c r="J31" s="19"/>
      <c r="K31" s="95"/>
      <c r="L31" s="96"/>
      <c r="M31" s="96"/>
      <c r="N31" s="96"/>
      <c r="O31" s="96"/>
      <c r="P31" s="96"/>
      <c r="Q31" s="97"/>
      <c r="R31" s="19"/>
      <c r="S31" s="19"/>
      <c r="T31" s="19"/>
      <c r="U31" s="19"/>
    </row>
    <row r="32" spans="1:24" ht="18" customHeight="1">
      <c r="A32" s="3"/>
      <c r="B32" s="95"/>
      <c r="C32" s="96"/>
      <c r="D32" s="96"/>
      <c r="E32" s="96"/>
      <c r="F32" s="97"/>
      <c r="G32" s="19"/>
      <c r="H32" s="19"/>
      <c r="I32" s="19"/>
      <c r="J32" s="19"/>
      <c r="K32" s="95"/>
      <c r="L32" s="96"/>
      <c r="M32" s="96"/>
      <c r="N32" s="96"/>
      <c r="O32" s="96"/>
      <c r="P32" s="96"/>
      <c r="Q32" s="97"/>
      <c r="R32" s="19"/>
      <c r="S32" s="19"/>
      <c r="T32" s="19"/>
      <c r="U32" s="19"/>
    </row>
    <row r="33" spans="1:21" ht="18" customHeight="1">
      <c r="A33" s="3"/>
      <c r="B33" s="98"/>
      <c r="C33" s="99"/>
      <c r="D33" s="99"/>
      <c r="E33" s="99"/>
      <c r="F33" s="100"/>
      <c r="G33" s="20"/>
      <c r="H33" s="20"/>
      <c r="I33" s="21"/>
      <c r="J33" s="21"/>
      <c r="K33" s="98"/>
      <c r="L33" s="99"/>
      <c r="M33" s="99"/>
      <c r="N33" s="99"/>
      <c r="O33" s="99"/>
      <c r="P33" s="99"/>
      <c r="Q33" s="100"/>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06" t="s">
        <v>28</v>
      </c>
      <c r="B35" s="106"/>
      <c r="C35" s="106"/>
      <c r="D35" s="106"/>
      <c r="E35" s="106"/>
      <c r="F35" s="106"/>
      <c r="G35" s="106"/>
      <c r="H35" s="106"/>
      <c r="I35" s="106"/>
      <c r="J35" s="106"/>
      <c r="K35" s="106"/>
      <c r="L35" s="106"/>
      <c r="M35" s="106"/>
      <c r="N35" s="106"/>
      <c r="O35" s="106"/>
      <c r="P35" s="106"/>
      <c r="Q35" s="106"/>
      <c r="R35" s="106"/>
      <c r="S35" s="106"/>
      <c r="T35" s="106"/>
      <c r="U35" s="106"/>
    </row>
    <row r="36" spans="1:21" ht="18" customHeight="1">
      <c r="A36" s="106"/>
      <c r="B36" s="106"/>
      <c r="C36" s="106"/>
      <c r="D36" s="106"/>
      <c r="E36" s="106"/>
      <c r="F36" s="106"/>
      <c r="G36" s="106"/>
      <c r="H36" s="106"/>
      <c r="I36" s="106"/>
      <c r="J36" s="106"/>
      <c r="K36" s="106"/>
      <c r="L36" s="106"/>
      <c r="M36" s="106"/>
      <c r="N36" s="106"/>
      <c r="O36" s="106"/>
      <c r="P36" s="106"/>
      <c r="Q36" s="106"/>
      <c r="R36" s="106"/>
      <c r="S36" s="106"/>
      <c r="T36" s="106"/>
      <c r="U36" s="106"/>
    </row>
    <row r="37" spans="1:21" ht="18" customHeight="1">
      <c r="B37" s="92" t="s">
        <v>20</v>
      </c>
      <c r="C37" s="93"/>
      <c r="D37" s="93"/>
      <c r="E37" s="93"/>
      <c r="F37" s="94"/>
      <c r="G37" s="51" t="s">
        <v>21</v>
      </c>
      <c r="H37" s="50" t="s">
        <v>22</v>
      </c>
      <c r="I37" s="17" t="s">
        <v>29</v>
      </c>
      <c r="J37" s="17" t="s">
        <v>30</v>
      </c>
      <c r="K37" s="92" t="s">
        <v>20</v>
      </c>
      <c r="L37" s="93"/>
      <c r="M37" s="93"/>
      <c r="N37" s="93"/>
      <c r="O37" s="93"/>
      <c r="P37" s="93"/>
      <c r="Q37" s="94"/>
      <c r="R37" s="51" t="s">
        <v>21</v>
      </c>
      <c r="S37" s="50" t="s">
        <v>22</v>
      </c>
      <c r="T37" s="17" t="s">
        <v>29</v>
      </c>
      <c r="U37" s="17" t="s">
        <v>30</v>
      </c>
    </row>
    <row r="38" spans="1:21" ht="18" customHeight="1">
      <c r="B38" s="103" t="s">
        <v>31</v>
      </c>
      <c r="C38" s="104"/>
      <c r="D38" s="104"/>
      <c r="E38" s="104"/>
      <c r="F38" s="105"/>
      <c r="G38" s="18">
        <v>1</v>
      </c>
      <c r="H38" s="18" t="s">
        <v>26</v>
      </c>
      <c r="I38" s="18" t="s">
        <v>26</v>
      </c>
      <c r="J38" s="18" t="s">
        <v>26</v>
      </c>
      <c r="K38" s="103"/>
      <c r="L38" s="104"/>
      <c r="M38" s="104"/>
      <c r="N38" s="104"/>
      <c r="O38" s="104"/>
      <c r="P38" s="104"/>
      <c r="Q38" s="105"/>
      <c r="R38" s="18"/>
      <c r="S38" s="18"/>
      <c r="T38" s="18"/>
      <c r="U38" s="18"/>
    </row>
    <row r="39" spans="1:21" ht="18" customHeight="1">
      <c r="B39" s="95" t="s">
        <v>27</v>
      </c>
      <c r="C39" s="96"/>
      <c r="D39" s="96"/>
      <c r="E39" s="96"/>
      <c r="F39" s="97"/>
      <c r="G39" s="19">
        <v>1</v>
      </c>
      <c r="H39" s="19" t="s">
        <v>26</v>
      </c>
      <c r="I39" s="19"/>
      <c r="J39" s="19" t="s">
        <v>26</v>
      </c>
      <c r="K39" s="95"/>
      <c r="L39" s="96"/>
      <c r="M39" s="96"/>
      <c r="N39" s="96"/>
      <c r="O39" s="96"/>
      <c r="P39" s="96"/>
      <c r="Q39" s="97"/>
      <c r="R39" s="19"/>
      <c r="S39" s="19"/>
      <c r="T39" s="19"/>
      <c r="U39" s="19"/>
    </row>
    <row r="40" spans="1:21" ht="18" customHeight="1">
      <c r="B40" s="95"/>
      <c r="C40" s="96"/>
      <c r="D40" s="96"/>
      <c r="E40" s="96"/>
      <c r="F40" s="97"/>
      <c r="G40" s="19"/>
      <c r="H40" s="19"/>
      <c r="I40" s="19"/>
      <c r="J40" s="19"/>
      <c r="K40" s="95"/>
      <c r="L40" s="96"/>
      <c r="M40" s="96"/>
      <c r="N40" s="96"/>
      <c r="O40" s="96"/>
      <c r="P40" s="96"/>
      <c r="Q40" s="97"/>
      <c r="R40" s="19"/>
      <c r="S40" s="19"/>
      <c r="T40" s="19"/>
      <c r="U40" s="19"/>
    </row>
    <row r="41" spans="1:21" ht="18" customHeight="1">
      <c r="B41" s="95"/>
      <c r="C41" s="96"/>
      <c r="D41" s="96"/>
      <c r="E41" s="96"/>
      <c r="F41" s="97"/>
      <c r="G41" s="19"/>
      <c r="H41" s="19"/>
      <c r="I41" s="19"/>
      <c r="J41" s="19"/>
      <c r="K41" s="95"/>
      <c r="L41" s="96"/>
      <c r="M41" s="96"/>
      <c r="N41" s="96"/>
      <c r="O41" s="96"/>
      <c r="P41" s="96"/>
      <c r="Q41" s="97"/>
      <c r="R41" s="19"/>
      <c r="S41" s="19"/>
      <c r="T41" s="19"/>
      <c r="U41" s="19"/>
    </row>
    <row r="42" spans="1:21" ht="18" customHeight="1">
      <c r="B42" s="95"/>
      <c r="C42" s="96"/>
      <c r="D42" s="96"/>
      <c r="E42" s="96"/>
      <c r="F42" s="97"/>
      <c r="G42" s="19"/>
      <c r="H42" s="19"/>
      <c r="I42" s="19"/>
      <c r="J42" s="19"/>
      <c r="K42" s="95"/>
      <c r="L42" s="96"/>
      <c r="M42" s="96"/>
      <c r="N42" s="96"/>
      <c r="O42" s="96"/>
      <c r="P42" s="96"/>
      <c r="Q42" s="97"/>
      <c r="R42" s="19"/>
      <c r="S42" s="19"/>
      <c r="T42" s="19"/>
      <c r="U42" s="19"/>
    </row>
    <row r="43" spans="1:21" ht="18" customHeight="1">
      <c r="B43" s="95"/>
      <c r="C43" s="96"/>
      <c r="D43" s="96"/>
      <c r="E43" s="96"/>
      <c r="F43" s="97"/>
      <c r="G43" s="19"/>
      <c r="H43" s="19"/>
      <c r="I43" s="19"/>
      <c r="J43" s="19"/>
      <c r="K43" s="95"/>
      <c r="L43" s="96"/>
      <c r="M43" s="96"/>
      <c r="N43" s="96"/>
      <c r="O43" s="96"/>
      <c r="P43" s="96"/>
      <c r="Q43" s="97"/>
      <c r="R43" s="19"/>
      <c r="S43" s="19"/>
      <c r="T43" s="19"/>
      <c r="U43" s="19"/>
    </row>
    <row r="44" spans="1:21" ht="18" customHeight="1">
      <c r="B44" s="98"/>
      <c r="C44" s="99"/>
      <c r="D44" s="99"/>
      <c r="E44" s="99"/>
      <c r="F44" s="100"/>
      <c r="G44" s="20"/>
      <c r="H44" s="20"/>
      <c r="I44" s="21"/>
      <c r="J44" s="21"/>
      <c r="K44" s="98"/>
      <c r="L44" s="99"/>
      <c r="M44" s="99"/>
      <c r="N44" s="99"/>
      <c r="O44" s="99"/>
      <c r="P44" s="99"/>
      <c r="Q44" s="100"/>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06" t="s">
        <v>32</v>
      </c>
      <c r="B46" s="106"/>
      <c r="C46" s="106"/>
      <c r="D46" s="106"/>
      <c r="E46" s="106"/>
      <c r="F46" s="106"/>
      <c r="G46" s="106"/>
      <c r="H46" s="106"/>
      <c r="I46" s="106"/>
      <c r="J46" s="106"/>
      <c r="K46" s="106"/>
      <c r="L46" s="106"/>
      <c r="M46" s="106"/>
      <c r="N46" s="106"/>
      <c r="O46" s="106"/>
      <c r="P46" s="106"/>
      <c r="Q46" s="106"/>
      <c r="R46" s="106"/>
      <c r="S46" s="106"/>
      <c r="T46" s="106"/>
      <c r="U46" s="106"/>
    </row>
    <row r="47" spans="1:21" ht="18" customHeight="1">
      <c r="A47" s="106"/>
      <c r="B47" s="106"/>
      <c r="C47" s="106"/>
      <c r="D47" s="106"/>
      <c r="E47" s="106"/>
      <c r="F47" s="106"/>
      <c r="G47" s="106"/>
      <c r="H47" s="106"/>
      <c r="I47" s="106"/>
      <c r="J47" s="106"/>
      <c r="K47" s="106"/>
      <c r="L47" s="106"/>
      <c r="M47" s="106"/>
      <c r="N47" s="106"/>
      <c r="O47" s="106"/>
      <c r="P47" s="106"/>
      <c r="Q47" s="106"/>
      <c r="R47" s="106"/>
      <c r="S47" s="106"/>
      <c r="T47" s="106"/>
      <c r="U47" s="106"/>
    </row>
    <row r="48" spans="1:21" ht="18" customHeight="1">
      <c r="B48" s="92" t="s">
        <v>20</v>
      </c>
      <c r="C48" s="93"/>
      <c r="D48" s="93"/>
      <c r="E48" s="93"/>
      <c r="F48" s="94"/>
      <c r="G48" s="51" t="s">
        <v>21</v>
      </c>
      <c r="H48" s="50" t="s">
        <v>22</v>
      </c>
      <c r="I48" s="17" t="s">
        <v>33</v>
      </c>
      <c r="J48" s="17" t="s">
        <v>34</v>
      </c>
      <c r="K48" s="92" t="s">
        <v>20</v>
      </c>
      <c r="L48" s="93"/>
      <c r="M48" s="93"/>
      <c r="N48" s="93"/>
      <c r="O48" s="93"/>
      <c r="P48" s="93"/>
      <c r="Q48" s="94"/>
      <c r="R48" s="51" t="s">
        <v>21</v>
      </c>
      <c r="S48" s="50" t="s">
        <v>22</v>
      </c>
      <c r="T48" s="17" t="s">
        <v>33</v>
      </c>
      <c r="U48" s="17" t="s">
        <v>34</v>
      </c>
    </row>
    <row r="49" spans="1:21" ht="18" customHeight="1">
      <c r="A49" s="3"/>
      <c r="B49" s="103" t="s">
        <v>31</v>
      </c>
      <c r="C49" s="104"/>
      <c r="D49" s="104"/>
      <c r="E49" s="104"/>
      <c r="F49" s="105"/>
      <c r="G49" s="18">
        <v>1</v>
      </c>
      <c r="H49" s="18" t="s">
        <v>26</v>
      </c>
      <c r="I49" s="18"/>
      <c r="J49" s="18" t="s">
        <v>26</v>
      </c>
      <c r="K49" s="103"/>
      <c r="L49" s="104"/>
      <c r="M49" s="104"/>
      <c r="N49" s="104"/>
      <c r="O49" s="104"/>
      <c r="P49" s="104"/>
      <c r="Q49" s="105"/>
      <c r="R49" s="18"/>
      <c r="S49" s="18"/>
      <c r="T49" s="18"/>
      <c r="U49" s="18"/>
    </row>
    <row r="50" spans="1:21" ht="18" customHeight="1">
      <c r="A50" s="3"/>
      <c r="B50" s="133" t="s">
        <v>35</v>
      </c>
      <c r="C50" s="134"/>
      <c r="D50" s="134"/>
      <c r="E50" s="134"/>
      <c r="F50" s="135"/>
      <c r="G50" s="87">
        <v>1</v>
      </c>
      <c r="H50" s="87" t="s">
        <v>26</v>
      </c>
      <c r="I50" s="87"/>
      <c r="J50" s="87" t="s">
        <v>26</v>
      </c>
      <c r="K50" s="95"/>
      <c r="L50" s="96"/>
      <c r="M50" s="96"/>
      <c r="N50" s="96"/>
      <c r="O50" s="96"/>
      <c r="P50" s="96"/>
      <c r="Q50" s="97"/>
      <c r="R50" s="19"/>
      <c r="S50" s="19"/>
      <c r="T50" s="19"/>
      <c r="U50" s="19"/>
    </row>
    <row r="51" spans="1:21" ht="18" customHeight="1">
      <c r="A51" s="3"/>
      <c r="B51" s="95" t="s">
        <v>36</v>
      </c>
      <c r="C51" s="96"/>
      <c r="D51" s="96"/>
      <c r="E51" s="96"/>
      <c r="F51" s="97"/>
      <c r="G51" s="19">
        <v>1</v>
      </c>
      <c r="H51" s="19" t="s">
        <v>26</v>
      </c>
      <c r="I51" s="19" t="s">
        <v>26</v>
      </c>
      <c r="J51" s="19"/>
      <c r="K51" s="95"/>
      <c r="L51" s="96"/>
      <c r="M51" s="96"/>
      <c r="N51" s="96"/>
      <c r="O51" s="96"/>
      <c r="P51" s="96"/>
      <c r="Q51" s="97"/>
      <c r="R51" s="19"/>
      <c r="S51" s="19"/>
      <c r="T51" s="19"/>
      <c r="U51" s="19"/>
    </row>
    <row r="52" spans="1:21" ht="18" customHeight="1">
      <c r="A52" s="3"/>
      <c r="B52" s="95"/>
      <c r="C52" s="96"/>
      <c r="D52" s="96"/>
      <c r="E52" s="96"/>
      <c r="F52" s="97"/>
      <c r="G52" s="19"/>
      <c r="H52" s="19"/>
      <c r="I52" s="19"/>
      <c r="J52" s="19"/>
      <c r="K52" s="95"/>
      <c r="L52" s="96"/>
      <c r="M52" s="96"/>
      <c r="N52" s="96"/>
      <c r="O52" s="96"/>
      <c r="P52" s="96"/>
      <c r="Q52" s="97"/>
      <c r="R52" s="19"/>
      <c r="S52" s="19"/>
      <c r="T52" s="19"/>
      <c r="U52" s="19"/>
    </row>
    <row r="53" spans="1:21" ht="18" customHeight="1">
      <c r="A53" s="3"/>
      <c r="B53" s="95"/>
      <c r="C53" s="96"/>
      <c r="D53" s="96"/>
      <c r="E53" s="96"/>
      <c r="F53" s="97"/>
      <c r="G53" s="19"/>
      <c r="H53" s="19"/>
      <c r="I53" s="19"/>
      <c r="J53" s="19"/>
      <c r="K53" s="95"/>
      <c r="L53" s="96"/>
      <c r="M53" s="96"/>
      <c r="N53" s="96"/>
      <c r="O53" s="96"/>
      <c r="P53" s="96"/>
      <c r="Q53" s="97"/>
      <c r="R53" s="19"/>
      <c r="S53" s="19"/>
      <c r="T53" s="19"/>
      <c r="U53" s="19"/>
    </row>
    <row r="54" spans="1:21" ht="18" customHeight="1">
      <c r="A54" s="3"/>
      <c r="B54" s="95"/>
      <c r="C54" s="96"/>
      <c r="D54" s="96"/>
      <c r="E54" s="96"/>
      <c r="F54" s="97"/>
      <c r="G54" s="19"/>
      <c r="H54" s="19"/>
      <c r="I54" s="19"/>
      <c r="J54" s="19"/>
      <c r="K54" s="95"/>
      <c r="L54" s="96"/>
      <c r="M54" s="96"/>
      <c r="N54" s="96"/>
      <c r="O54" s="96"/>
      <c r="P54" s="96"/>
      <c r="Q54" s="97"/>
      <c r="R54" s="19"/>
      <c r="S54" s="19"/>
      <c r="T54" s="19"/>
      <c r="U54" s="19"/>
    </row>
    <row r="55" spans="1:21" ht="18" customHeight="1">
      <c r="A55" s="3"/>
      <c r="B55" s="98"/>
      <c r="C55" s="99"/>
      <c r="D55" s="99"/>
      <c r="E55" s="99"/>
      <c r="F55" s="100"/>
      <c r="G55" s="20"/>
      <c r="H55" s="20"/>
      <c r="I55" s="21"/>
      <c r="J55" s="21"/>
      <c r="K55" s="98"/>
      <c r="L55" s="99"/>
      <c r="M55" s="99"/>
      <c r="N55" s="99"/>
      <c r="O55" s="99"/>
      <c r="P55" s="99"/>
      <c r="Q55" s="100"/>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06" t="s">
        <v>37</v>
      </c>
      <c r="B57" s="106"/>
      <c r="C57" s="106"/>
      <c r="D57" s="106"/>
      <c r="E57" s="106"/>
      <c r="F57" s="106"/>
      <c r="G57" s="106"/>
      <c r="H57" s="106"/>
      <c r="I57" s="106"/>
      <c r="J57" s="106"/>
      <c r="K57" s="106"/>
      <c r="L57" s="106"/>
      <c r="M57" s="106"/>
      <c r="N57" s="106"/>
      <c r="O57" s="106"/>
      <c r="P57" s="106"/>
      <c r="Q57" s="106"/>
      <c r="R57" s="106"/>
      <c r="S57" s="106"/>
      <c r="T57" s="106"/>
      <c r="U57" s="106"/>
    </row>
    <row r="58" spans="1:21" ht="18" customHeight="1">
      <c r="A58" s="106"/>
      <c r="B58" s="106"/>
      <c r="C58" s="106"/>
      <c r="D58" s="106"/>
      <c r="E58" s="106"/>
      <c r="F58" s="106"/>
      <c r="G58" s="106"/>
      <c r="H58" s="106"/>
      <c r="I58" s="106"/>
      <c r="J58" s="106"/>
      <c r="K58" s="106"/>
      <c r="L58" s="106"/>
      <c r="M58" s="106"/>
      <c r="N58" s="106"/>
      <c r="O58" s="106"/>
      <c r="P58" s="106"/>
      <c r="Q58" s="106"/>
      <c r="R58" s="106"/>
      <c r="S58" s="106"/>
      <c r="T58" s="106"/>
      <c r="U58" s="106"/>
    </row>
    <row r="59" spans="1:21" ht="18" customHeight="1">
      <c r="B59" s="92" t="s">
        <v>20</v>
      </c>
      <c r="C59" s="93"/>
      <c r="D59" s="93"/>
      <c r="E59" s="93"/>
      <c r="F59" s="94"/>
      <c r="G59" s="51" t="s">
        <v>21</v>
      </c>
      <c r="H59" s="50" t="s">
        <v>22</v>
      </c>
      <c r="I59" s="17" t="s">
        <v>38</v>
      </c>
      <c r="J59" s="17" t="s">
        <v>39</v>
      </c>
      <c r="K59" s="92" t="s">
        <v>20</v>
      </c>
      <c r="L59" s="93"/>
      <c r="M59" s="93"/>
      <c r="N59" s="93"/>
      <c r="O59" s="93"/>
      <c r="P59" s="93"/>
      <c r="Q59" s="94"/>
      <c r="R59" s="51" t="s">
        <v>21</v>
      </c>
      <c r="S59" s="50" t="s">
        <v>22</v>
      </c>
      <c r="T59" s="17" t="s">
        <v>38</v>
      </c>
      <c r="U59" s="17" t="s">
        <v>39</v>
      </c>
    </row>
    <row r="60" spans="1:21" ht="18" customHeight="1">
      <c r="A60" s="3"/>
      <c r="B60" s="103" t="s">
        <v>31</v>
      </c>
      <c r="C60" s="104"/>
      <c r="D60" s="104"/>
      <c r="E60" s="104"/>
      <c r="F60" s="105"/>
      <c r="G60" s="18">
        <v>1</v>
      </c>
      <c r="H60" s="18" t="s">
        <v>26</v>
      </c>
      <c r="I60" s="18" t="s">
        <v>26</v>
      </c>
      <c r="J60" s="18" t="s">
        <v>26</v>
      </c>
      <c r="K60" s="103"/>
      <c r="L60" s="104"/>
      <c r="M60" s="104"/>
      <c r="N60" s="104"/>
      <c r="O60" s="104"/>
      <c r="P60" s="104"/>
      <c r="Q60" s="105"/>
      <c r="R60" s="18"/>
      <c r="S60" s="18"/>
      <c r="T60" s="18"/>
      <c r="U60" s="18"/>
    </row>
    <row r="61" spans="1:21" ht="18" customHeight="1">
      <c r="A61" s="3"/>
      <c r="B61" s="95"/>
      <c r="C61" s="96"/>
      <c r="D61" s="96"/>
      <c r="E61" s="96"/>
      <c r="F61" s="97"/>
      <c r="G61" s="19"/>
      <c r="H61" s="19"/>
      <c r="I61" s="19"/>
      <c r="J61" s="19"/>
      <c r="K61" s="95"/>
      <c r="L61" s="96"/>
      <c r="M61" s="96"/>
      <c r="N61" s="96"/>
      <c r="O61" s="96"/>
      <c r="P61" s="96"/>
      <c r="Q61" s="97"/>
      <c r="R61" s="19"/>
      <c r="S61" s="19"/>
      <c r="T61" s="19"/>
      <c r="U61" s="19"/>
    </row>
    <row r="62" spans="1:21" ht="18" customHeight="1">
      <c r="A62" s="3"/>
      <c r="B62" s="95"/>
      <c r="C62" s="96"/>
      <c r="D62" s="96"/>
      <c r="E62" s="96"/>
      <c r="F62" s="97"/>
      <c r="G62" s="19"/>
      <c r="H62" s="19"/>
      <c r="I62" s="19"/>
      <c r="J62" s="19"/>
      <c r="K62" s="95"/>
      <c r="L62" s="96"/>
      <c r="M62" s="96"/>
      <c r="N62" s="96"/>
      <c r="O62" s="96"/>
      <c r="P62" s="96"/>
      <c r="Q62" s="97"/>
      <c r="R62" s="19"/>
      <c r="S62" s="19"/>
      <c r="T62" s="19"/>
      <c r="U62" s="19"/>
    </row>
    <row r="63" spans="1:21" ht="18" customHeight="1">
      <c r="A63" s="3"/>
      <c r="B63" s="95"/>
      <c r="C63" s="96"/>
      <c r="D63" s="96"/>
      <c r="E63" s="96"/>
      <c r="F63" s="97"/>
      <c r="G63" s="19"/>
      <c r="H63" s="19"/>
      <c r="I63" s="19"/>
      <c r="J63" s="19"/>
      <c r="K63" s="95"/>
      <c r="L63" s="96"/>
      <c r="M63" s="96"/>
      <c r="N63" s="96"/>
      <c r="O63" s="96"/>
      <c r="P63" s="96"/>
      <c r="Q63" s="97"/>
      <c r="R63" s="19"/>
      <c r="S63" s="19"/>
      <c r="T63" s="19"/>
      <c r="U63" s="19"/>
    </row>
    <row r="64" spans="1:21" ht="18" customHeight="1">
      <c r="A64" s="3"/>
      <c r="B64" s="95"/>
      <c r="C64" s="96"/>
      <c r="D64" s="96"/>
      <c r="E64" s="96"/>
      <c r="F64" s="97"/>
      <c r="G64" s="19"/>
      <c r="H64" s="19"/>
      <c r="I64" s="19"/>
      <c r="J64" s="19"/>
      <c r="K64" s="95"/>
      <c r="L64" s="96"/>
      <c r="M64" s="96"/>
      <c r="N64" s="96"/>
      <c r="O64" s="96"/>
      <c r="P64" s="96"/>
      <c r="Q64" s="97"/>
      <c r="R64" s="19"/>
      <c r="S64" s="19"/>
      <c r="T64" s="19"/>
      <c r="U64" s="19"/>
    </row>
    <row r="65" spans="1:21" ht="18" customHeight="1">
      <c r="A65" s="3"/>
      <c r="B65" s="95"/>
      <c r="C65" s="96"/>
      <c r="D65" s="96"/>
      <c r="E65" s="96"/>
      <c r="F65" s="97"/>
      <c r="G65" s="19"/>
      <c r="H65" s="19"/>
      <c r="I65" s="19"/>
      <c r="J65" s="19"/>
      <c r="K65" s="95"/>
      <c r="L65" s="96"/>
      <c r="M65" s="96"/>
      <c r="N65" s="96"/>
      <c r="O65" s="96"/>
      <c r="P65" s="96"/>
      <c r="Q65" s="97"/>
      <c r="R65" s="19"/>
      <c r="S65" s="19"/>
      <c r="T65" s="19"/>
      <c r="U65" s="19"/>
    </row>
    <row r="66" spans="1:21" ht="18" customHeight="1">
      <c r="A66" s="3"/>
      <c r="B66" s="98"/>
      <c r="C66" s="99"/>
      <c r="D66" s="99"/>
      <c r="E66" s="99"/>
      <c r="F66" s="100"/>
      <c r="G66" s="20"/>
      <c r="H66" s="20"/>
      <c r="I66" s="21"/>
      <c r="J66" s="21"/>
      <c r="K66" s="98"/>
      <c r="L66" s="99"/>
      <c r="M66" s="99"/>
      <c r="N66" s="99"/>
      <c r="O66" s="99"/>
      <c r="P66" s="99"/>
      <c r="Q66" s="100"/>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06" t="s">
        <v>40</v>
      </c>
      <c r="B68" s="106"/>
      <c r="C68" s="106"/>
      <c r="D68" s="106"/>
      <c r="E68" s="106"/>
      <c r="F68" s="106"/>
      <c r="G68" s="106"/>
      <c r="H68" s="106"/>
      <c r="I68" s="106"/>
      <c r="J68" s="106"/>
      <c r="K68" s="106"/>
      <c r="L68" s="106"/>
      <c r="M68" s="106"/>
      <c r="N68" s="106"/>
      <c r="O68" s="106"/>
      <c r="P68" s="106"/>
      <c r="Q68" s="106"/>
      <c r="R68" s="106"/>
      <c r="S68" s="106"/>
      <c r="T68" s="106"/>
      <c r="U68" s="106"/>
    </row>
    <row r="69" spans="1:21" ht="18" customHeight="1">
      <c r="A69" s="106"/>
      <c r="B69" s="106"/>
      <c r="C69" s="106"/>
      <c r="D69" s="106"/>
      <c r="E69" s="106"/>
      <c r="F69" s="106"/>
      <c r="G69" s="106"/>
      <c r="H69" s="106"/>
      <c r="I69" s="106"/>
      <c r="J69" s="106"/>
      <c r="K69" s="106"/>
      <c r="L69" s="106"/>
      <c r="M69" s="106"/>
      <c r="N69" s="106"/>
      <c r="O69" s="106"/>
      <c r="P69" s="106"/>
      <c r="Q69" s="106"/>
      <c r="R69" s="106"/>
      <c r="S69" s="106"/>
      <c r="T69" s="106"/>
      <c r="U69" s="106"/>
    </row>
    <row r="70" spans="1:21" ht="18" customHeight="1">
      <c r="B70" s="92" t="s">
        <v>20</v>
      </c>
      <c r="C70" s="93"/>
      <c r="D70" s="93"/>
      <c r="E70" s="93"/>
      <c r="F70" s="51" t="s">
        <v>21</v>
      </c>
      <c r="G70" s="50" t="s">
        <v>22</v>
      </c>
      <c r="H70" s="17" t="s">
        <v>41</v>
      </c>
      <c r="I70" s="17" t="s">
        <v>42</v>
      </c>
      <c r="J70" s="17" t="s">
        <v>43</v>
      </c>
      <c r="K70" s="92" t="s">
        <v>20</v>
      </c>
      <c r="L70" s="93"/>
      <c r="M70" s="93"/>
      <c r="N70" s="93"/>
      <c r="O70" s="93"/>
      <c r="P70" s="94"/>
      <c r="Q70" s="51" t="s">
        <v>21</v>
      </c>
      <c r="R70" s="50" t="s">
        <v>22</v>
      </c>
      <c r="S70" s="17" t="s">
        <v>41</v>
      </c>
      <c r="T70" s="17" t="s">
        <v>42</v>
      </c>
      <c r="U70" s="17" t="s">
        <v>43</v>
      </c>
    </row>
    <row r="71" spans="1:21" ht="18" customHeight="1">
      <c r="A71" s="3"/>
      <c r="B71" s="103" t="s">
        <v>31</v>
      </c>
      <c r="C71" s="104"/>
      <c r="D71" s="104"/>
      <c r="E71" s="105"/>
      <c r="F71" s="18">
        <v>1</v>
      </c>
      <c r="G71" s="18" t="s">
        <v>26</v>
      </c>
      <c r="H71" s="18" t="s">
        <v>26</v>
      </c>
      <c r="I71" s="18" t="s">
        <v>26</v>
      </c>
      <c r="J71" s="18" t="s">
        <v>26</v>
      </c>
      <c r="K71" s="103"/>
      <c r="L71" s="104"/>
      <c r="M71" s="104"/>
      <c r="N71" s="104"/>
      <c r="O71" s="104"/>
      <c r="P71" s="105"/>
      <c r="Q71" s="18"/>
      <c r="R71" s="18"/>
      <c r="S71" s="18"/>
      <c r="T71" s="18"/>
      <c r="U71" s="18"/>
    </row>
    <row r="72" spans="1:21" ht="18" customHeight="1">
      <c r="A72" s="3"/>
      <c r="B72" s="95" t="s">
        <v>44</v>
      </c>
      <c r="C72" s="96"/>
      <c r="D72" s="96"/>
      <c r="E72" s="96"/>
      <c r="F72" s="19">
        <v>1</v>
      </c>
      <c r="G72" s="19" t="s">
        <v>26</v>
      </c>
      <c r="H72" s="19" t="s">
        <v>26</v>
      </c>
      <c r="I72" s="19" t="s">
        <v>26</v>
      </c>
      <c r="J72" s="19"/>
      <c r="K72" s="95"/>
      <c r="L72" s="96"/>
      <c r="M72" s="96"/>
      <c r="N72" s="96"/>
      <c r="O72" s="96"/>
      <c r="P72" s="97"/>
      <c r="Q72" s="19"/>
      <c r="R72" s="19"/>
      <c r="S72" s="19"/>
      <c r="T72" s="19"/>
      <c r="U72" s="19"/>
    </row>
    <row r="73" spans="1:21" ht="18" customHeight="1">
      <c r="A73" s="3"/>
      <c r="B73" s="95"/>
      <c r="C73" s="96"/>
      <c r="D73" s="96"/>
      <c r="E73" s="96"/>
      <c r="F73" s="19"/>
      <c r="G73" s="19"/>
      <c r="H73" s="19"/>
      <c r="I73" s="19"/>
      <c r="J73" s="19"/>
      <c r="K73" s="95"/>
      <c r="L73" s="96"/>
      <c r="M73" s="96"/>
      <c r="N73" s="96"/>
      <c r="O73" s="96"/>
      <c r="P73" s="97"/>
      <c r="Q73" s="19"/>
      <c r="R73" s="19"/>
      <c r="S73" s="19"/>
      <c r="T73" s="19"/>
      <c r="U73" s="19"/>
    </row>
    <row r="74" spans="1:21" ht="18" customHeight="1">
      <c r="A74" s="3"/>
      <c r="B74" s="95"/>
      <c r="C74" s="96"/>
      <c r="D74" s="96"/>
      <c r="E74" s="96"/>
      <c r="F74" s="19"/>
      <c r="G74" s="19"/>
      <c r="H74" s="19"/>
      <c r="I74" s="19"/>
      <c r="J74" s="19"/>
      <c r="K74" s="95"/>
      <c r="L74" s="96"/>
      <c r="M74" s="96"/>
      <c r="N74" s="96"/>
      <c r="O74" s="96"/>
      <c r="P74" s="97"/>
      <c r="Q74" s="19"/>
      <c r="R74" s="19"/>
      <c r="S74" s="19"/>
      <c r="T74" s="19"/>
      <c r="U74" s="19"/>
    </row>
    <row r="75" spans="1:21" ht="18" customHeight="1">
      <c r="A75" s="3"/>
      <c r="B75" s="95"/>
      <c r="C75" s="96"/>
      <c r="D75" s="96"/>
      <c r="E75" s="96"/>
      <c r="F75" s="19"/>
      <c r="G75" s="19"/>
      <c r="H75" s="19"/>
      <c r="I75" s="19"/>
      <c r="J75" s="19"/>
      <c r="K75" s="95"/>
      <c r="L75" s="96"/>
      <c r="M75" s="96"/>
      <c r="N75" s="96"/>
      <c r="O75" s="96"/>
      <c r="P75" s="97"/>
      <c r="Q75" s="19"/>
      <c r="R75" s="19"/>
      <c r="S75" s="19"/>
      <c r="T75" s="19"/>
      <c r="U75" s="19"/>
    </row>
    <row r="76" spans="1:21" ht="18" customHeight="1">
      <c r="A76" s="3"/>
      <c r="B76" s="95"/>
      <c r="C76" s="96"/>
      <c r="D76" s="96"/>
      <c r="E76" s="96"/>
      <c r="F76" s="19"/>
      <c r="G76" s="19"/>
      <c r="H76" s="19"/>
      <c r="I76" s="19"/>
      <c r="J76" s="19"/>
      <c r="K76" s="95"/>
      <c r="L76" s="96"/>
      <c r="M76" s="96"/>
      <c r="N76" s="96"/>
      <c r="O76" s="96"/>
      <c r="P76" s="97"/>
      <c r="Q76" s="19"/>
      <c r="R76" s="19"/>
      <c r="S76" s="19"/>
      <c r="T76" s="19"/>
      <c r="U76" s="19"/>
    </row>
    <row r="77" spans="1:21" ht="18" customHeight="1">
      <c r="A77" s="3"/>
      <c r="B77" s="98"/>
      <c r="C77" s="99"/>
      <c r="D77" s="99"/>
      <c r="E77" s="99"/>
      <c r="F77" s="20"/>
      <c r="G77" s="20"/>
      <c r="H77" s="21"/>
      <c r="I77" s="21"/>
      <c r="J77" s="21"/>
      <c r="K77" s="98"/>
      <c r="L77" s="99"/>
      <c r="M77" s="99"/>
      <c r="N77" s="99"/>
      <c r="O77" s="99"/>
      <c r="P77" s="100"/>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45</v>
      </c>
      <c r="I79" s="3"/>
      <c r="J79" s="3"/>
      <c r="K79" s="3"/>
      <c r="L79" s="3"/>
      <c r="M79" s="3"/>
      <c r="N79" s="3"/>
      <c r="O79" s="3"/>
      <c r="P79" s="3"/>
      <c r="Q79" s="3"/>
      <c r="R79" s="3"/>
      <c r="S79" s="3"/>
      <c r="T79" s="3"/>
      <c r="U79" s="3"/>
    </row>
    <row r="80" spans="1:21" ht="18" customHeight="1">
      <c r="B80" s="92" t="s">
        <v>20</v>
      </c>
      <c r="C80" s="93"/>
      <c r="D80" s="93"/>
      <c r="E80" s="93"/>
      <c r="F80" s="94"/>
      <c r="G80" s="92" t="s">
        <v>46</v>
      </c>
      <c r="H80" s="93"/>
      <c r="I80" s="93"/>
      <c r="J80" s="94"/>
      <c r="K80" s="112" t="s">
        <v>20</v>
      </c>
      <c r="L80" s="113"/>
      <c r="M80" s="113"/>
      <c r="N80" s="113"/>
      <c r="O80" s="113"/>
      <c r="P80" s="113"/>
      <c r="Q80" s="114"/>
      <c r="R80" s="92" t="s">
        <v>46</v>
      </c>
      <c r="S80" s="93"/>
      <c r="T80" s="93"/>
      <c r="U80" s="94"/>
    </row>
    <row r="81" spans="1:21" ht="18" customHeight="1">
      <c r="A81" s="3"/>
      <c r="B81" s="103" t="s">
        <v>47</v>
      </c>
      <c r="C81" s="104"/>
      <c r="D81" s="104"/>
      <c r="E81" s="104"/>
      <c r="F81" s="105"/>
      <c r="G81" s="107" t="s">
        <v>48</v>
      </c>
      <c r="H81" s="108"/>
      <c r="I81" s="108"/>
      <c r="J81" s="109"/>
      <c r="K81" s="103"/>
      <c r="L81" s="104"/>
      <c r="M81" s="104"/>
      <c r="N81" s="104"/>
      <c r="O81" s="104"/>
      <c r="P81" s="104"/>
      <c r="Q81" s="105"/>
      <c r="R81" s="107"/>
      <c r="S81" s="108"/>
      <c r="T81" s="108"/>
      <c r="U81" s="109"/>
    </row>
    <row r="82" spans="1:21" ht="18" customHeight="1">
      <c r="A82" s="3"/>
      <c r="B82" s="133" t="s">
        <v>47</v>
      </c>
      <c r="C82" s="134"/>
      <c r="D82" s="134"/>
      <c r="E82" s="134"/>
      <c r="F82" s="135"/>
      <c r="G82" s="89" t="s">
        <v>49</v>
      </c>
      <c r="H82" s="90"/>
      <c r="I82" s="90"/>
      <c r="J82" s="91"/>
      <c r="K82" s="95"/>
      <c r="L82" s="96"/>
      <c r="M82" s="96"/>
      <c r="N82" s="96"/>
      <c r="O82" s="96"/>
      <c r="P82" s="96"/>
      <c r="Q82" s="97"/>
      <c r="R82" s="89"/>
      <c r="S82" s="90"/>
      <c r="T82" s="90"/>
      <c r="U82" s="91"/>
    </row>
    <row r="83" spans="1:21" ht="18" customHeight="1">
      <c r="A83" s="3"/>
      <c r="B83" s="95"/>
      <c r="C83" s="96"/>
      <c r="D83" s="96"/>
      <c r="E83" s="96"/>
      <c r="F83" s="97"/>
      <c r="G83" s="89"/>
      <c r="H83" s="90"/>
      <c r="I83" s="90"/>
      <c r="J83" s="91"/>
      <c r="K83" s="95"/>
      <c r="L83" s="96"/>
      <c r="M83" s="96"/>
      <c r="N83" s="96"/>
      <c r="O83" s="96"/>
      <c r="P83" s="96"/>
      <c r="Q83" s="97"/>
      <c r="R83" s="89"/>
      <c r="S83" s="90"/>
      <c r="T83" s="90"/>
      <c r="U83" s="91"/>
    </row>
    <row r="84" spans="1:21" ht="18" customHeight="1">
      <c r="A84" s="3"/>
      <c r="B84" s="95"/>
      <c r="C84" s="96"/>
      <c r="D84" s="96"/>
      <c r="E84" s="96"/>
      <c r="F84" s="97"/>
      <c r="G84" s="89"/>
      <c r="H84" s="90"/>
      <c r="I84" s="90"/>
      <c r="J84" s="91"/>
      <c r="K84" s="95"/>
      <c r="L84" s="96"/>
      <c r="M84" s="96"/>
      <c r="N84" s="96"/>
      <c r="O84" s="96"/>
      <c r="P84" s="96"/>
      <c r="Q84" s="97"/>
      <c r="R84" s="89"/>
      <c r="S84" s="90"/>
      <c r="T84" s="90"/>
      <c r="U84" s="91"/>
    </row>
    <row r="85" spans="1:21" ht="18" customHeight="1">
      <c r="A85" s="3"/>
      <c r="B85" s="95"/>
      <c r="C85" s="96"/>
      <c r="D85" s="96"/>
      <c r="E85" s="96"/>
      <c r="F85" s="97"/>
      <c r="G85" s="89"/>
      <c r="H85" s="90"/>
      <c r="I85" s="90"/>
      <c r="J85" s="91"/>
      <c r="K85" s="95"/>
      <c r="L85" s="96"/>
      <c r="M85" s="96"/>
      <c r="N85" s="96"/>
      <c r="O85" s="96"/>
      <c r="P85" s="96"/>
      <c r="Q85" s="97"/>
      <c r="R85" s="89"/>
      <c r="S85" s="90"/>
      <c r="T85" s="90"/>
      <c r="U85" s="91"/>
    </row>
    <row r="86" spans="1:21" ht="18" customHeight="1">
      <c r="A86" s="3"/>
      <c r="B86" s="95"/>
      <c r="C86" s="96"/>
      <c r="D86" s="96"/>
      <c r="E86" s="96"/>
      <c r="F86" s="97"/>
      <c r="G86" s="89"/>
      <c r="H86" s="90"/>
      <c r="I86" s="90"/>
      <c r="J86" s="91"/>
      <c r="K86" s="95"/>
      <c r="L86" s="96"/>
      <c r="M86" s="96"/>
      <c r="N86" s="96"/>
      <c r="O86" s="96"/>
      <c r="P86" s="96"/>
      <c r="Q86" s="97"/>
      <c r="R86" s="89"/>
      <c r="S86" s="90"/>
      <c r="T86" s="90"/>
      <c r="U86" s="91"/>
    </row>
    <row r="87" spans="1:21" ht="18" customHeight="1">
      <c r="A87" s="3"/>
      <c r="B87" s="98"/>
      <c r="C87" s="99"/>
      <c r="D87" s="99"/>
      <c r="E87" s="99"/>
      <c r="F87" s="100"/>
      <c r="G87" s="130"/>
      <c r="H87" s="131"/>
      <c r="I87" s="131"/>
      <c r="J87" s="132"/>
      <c r="K87" s="98"/>
      <c r="L87" s="99"/>
      <c r="M87" s="99"/>
      <c r="N87" s="99"/>
      <c r="O87" s="99"/>
      <c r="P87" s="99"/>
      <c r="Q87" s="100"/>
      <c r="R87" s="130"/>
      <c r="S87" s="131"/>
      <c r="T87" s="131"/>
      <c r="U87" s="132"/>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50</v>
      </c>
    </row>
    <row r="90" spans="1:21" ht="18.75" customHeight="1">
      <c r="B90" s="136" t="s">
        <v>51</v>
      </c>
      <c r="C90" s="137"/>
      <c r="D90" s="92" t="s">
        <v>52</v>
      </c>
      <c r="E90" s="93"/>
      <c r="F90" s="93"/>
      <c r="G90" s="93"/>
      <c r="H90" s="93"/>
      <c r="I90" s="93"/>
      <c r="J90" s="93"/>
      <c r="K90" s="93"/>
      <c r="L90" s="93"/>
      <c r="M90" s="93"/>
      <c r="N90" s="93"/>
      <c r="O90" s="93"/>
      <c r="P90" s="93"/>
      <c r="Q90" s="93"/>
      <c r="R90" s="93"/>
      <c r="S90" s="93"/>
      <c r="T90" s="93"/>
      <c r="U90" s="94"/>
    </row>
    <row r="91" spans="1:21" ht="97.5" customHeight="1">
      <c r="B91" s="110" t="s">
        <v>53</v>
      </c>
      <c r="C91" s="23" t="s">
        <v>23</v>
      </c>
      <c r="D91" s="149" t="s">
        <v>54</v>
      </c>
      <c r="E91" s="150"/>
      <c r="F91" s="150"/>
      <c r="G91" s="150"/>
      <c r="H91" s="150"/>
      <c r="I91" s="150"/>
      <c r="J91" s="150"/>
      <c r="K91" s="150"/>
      <c r="L91" s="150"/>
      <c r="M91" s="150"/>
      <c r="N91" s="150"/>
      <c r="O91" s="150"/>
      <c r="P91" s="150"/>
      <c r="Q91" s="150"/>
      <c r="R91" s="150"/>
      <c r="S91" s="150"/>
      <c r="T91" s="150"/>
      <c r="U91" s="151"/>
    </row>
    <row r="92" spans="1:21" ht="97.5" customHeight="1">
      <c r="B92" s="115"/>
      <c r="C92" s="24" t="s">
        <v>55</v>
      </c>
      <c r="D92" s="161" t="s">
        <v>56</v>
      </c>
      <c r="E92" s="147"/>
      <c r="F92" s="147"/>
      <c r="G92" s="147"/>
      <c r="H92" s="147"/>
      <c r="I92" s="147"/>
      <c r="J92" s="147"/>
      <c r="K92" s="147"/>
      <c r="L92" s="147"/>
      <c r="M92" s="147"/>
      <c r="N92" s="147"/>
      <c r="O92" s="147"/>
      <c r="P92" s="147"/>
      <c r="Q92" s="147"/>
      <c r="R92" s="147"/>
      <c r="S92" s="147"/>
      <c r="T92" s="147"/>
      <c r="U92" s="148"/>
    </row>
    <row r="93" spans="1:21" ht="97.5" customHeight="1">
      <c r="B93" s="110" t="s">
        <v>57</v>
      </c>
      <c r="C93" s="25" t="s">
        <v>29</v>
      </c>
      <c r="D93" s="149" t="s">
        <v>58</v>
      </c>
      <c r="E93" s="150"/>
      <c r="F93" s="150"/>
      <c r="G93" s="150"/>
      <c r="H93" s="150"/>
      <c r="I93" s="150"/>
      <c r="J93" s="150"/>
      <c r="K93" s="150"/>
      <c r="L93" s="150"/>
      <c r="M93" s="150"/>
      <c r="N93" s="150"/>
      <c r="O93" s="150"/>
      <c r="P93" s="150"/>
      <c r="Q93" s="150"/>
      <c r="R93" s="150"/>
      <c r="S93" s="150"/>
      <c r="T93" s="150"/>
      <c r="U93" s="151"/>
    </row>
    <row r="94" spans="1:21" ht="97.5" customHeight="1">
      <c r="B94" s="111"/>
      <c r="C94" s="26" t="s">
        <v>30</v>
      </c>
      <c r="D94" s="146" t="s">
        <v>59</v>
      </c>
      <c r="E94" s="147"/>
      <c r="F94" s="147"/>
      <c r="G94" s="147"/>
      <c r="H94" s="147"/>
      <c r="I94" s="147"/>
      <c r="J94" s="147"/>
      <c r="K94" s="147"/>
      <c r="L94" s="147"/>
      <c r="M94" s="147"/>
      <c r="N94" s="147"/>
      <c r="O94" s="147"/>
      <c r="P94" s="147"/>
      <c r="Q94" s="147"/>
      <c r="R94" s="147"/>
      <c r="S94" s="147"/>
      <c r="T94" s="147"/>
      <c r="U94" s="148"/>
    </row>
    <row r="95" spans="1:21" ht="97.5" customHeight="1">
      <c r="B95" s="110" t="s">
        <v>60</v>
      </c>
      <c r="C95" s="25" t="s">
        <v>33</v>
      </c>
      <c r="D95" s="162" t="s">
        <v>61</v>
      </c>
      <c r="E95" s="150"/>
      <c r="F95" s="150"/>
      <c r="G95" s="150"/>
      <c r="H95" s="150"/>
      <c r="I95" s="150"/>
      <c r="J95" s="150"/>
      <c r="K95" s="150"/>
      <c r="L95" s="150"/>
      <c r="M95" s="150"/>
      <c r="N95" s="150"/>
      <c r="O95" s="150"/>
      <c r="P95" s="150"/>
      <c r="Q95" s="150"/>
      <c r="R95" s="150"/>
      <c r="S95" s="150"/>
      <c r="T95" s="150"/>
      <c r="U95" s="151"/>
    </row>
    <row r="96" spans="1:21" ht="97.5" customHeight="1">
      <c r="B96" s="111"/>
      <c r="C96" s="27" t="s">
        <v>34</v>
      </c>
      <c r="D96" s="146" t="s">
        <v>62</v>
      </c>
      <c r="E96" s="147"/>
      <c r="F96" s="147"/>
      <c r="G96" s="147"/>
      <c r="H96" s="147"/>
      <c r="I96" s="147"/>
      <c r="J96" s="147"/>
      <c r="K96" s="147"/>
      <c r="L96" s="147"/>
      <c r="M96" s="147"/>
      <c r="N96" s="147"/>
      <c r="O96" s="147"/>
      <c r="P96" s="147"/>
      <c r="Q96" s="147"/>
      <c r="R96" s="147"/>
      <c r="S96" s="147"/>
      <c r="T96" s="147"/>
      <c r="U96" s="148"/>
    </row>
    <row r="97" spans="1:33" ht="97.5" customHeight="1">
      <c r="B97" s="110" t="s">
        <v>63</v>
      </c>
      <c r="C97" s="23" t="s">
        <v>38</v>
      </c>
      <c r="D97" s="149" t="s">
        <v>64</v>
      </c>
      <c r="E97" s="150"/>
      <c r="F97" s="150"/>
      <c r="G97" s="150"/>
      <c r="H97" s="150"/>
      <c r="I97" s="150"/>
      <c r="J97" s="150"/>
      <c r="K97" s="150"/>
      <c r="L97" s="150"/>
      <c r="M97" s="150"/>
      <c r="N97" s="150"/>
      <c r="O97" s="150"/>
      <c r="P97" s="150"/>
      <c r="Q97" s="150"/>
      <c r="R97" s="150"/>
      <c r="S97" s="150"/>
      <c r="T97" s="150"/>
      <c r="U97" s="151"/>
    </row>
    <row r="98" spans="1:33" ht="97.5" customHeight="1">
      <c r="B98" s="111"/>
      <c r="C98" s="26" t="s">
        <v>39</v>
      </c>
      <c r="D98" s="146" t="s">
        <v>65</v>
      </c>
      <c r="E98" s="147"/>
      <c r="F98" s="147"/>
      <c r="G98" s="147"/>
      <c r="H98" s="147"/>
      <c r="I98" s="147"/>
      <c r="J98" s="147"/>
      <c r="K98" s="147"/>
      <c r="L98" s="147"/>
      <c r="M98" s="147"/>
      <c r="N98" s="147"/>
      <c r="O98" s="147"/>
      <c r="P98" s="147"/>
      <c r="Q98" s="147"/>
      <c r="R98" s="147"/>
      <c r="S98" s="147"/>
      <c r="T98" s="147"/>
      <c r="U98" s="148"/>
    </row>
    <row r="99" spans="1:33" ht="97.5" customHeight="1">
      <c r="B99" s="110" t="s">
        <v>66</v>
      </c>
      <c r="C99" s="25" t="s">
        <v>67</v>
      </c>
      <c r="D99" s="149" t="s">
        <v>68</v>
      </c>
      <c r="E99" s="150"/>
      <c r="F99" s="150"/>
      <c r="G99" s="150"/>
      <c r="H99" s="150"/>
      <c r="I99" s="150"/>
      <c r="J99" s="150"/>
      <c r="K99" s="150"/>
      <c r="L99" s="150"/>
      <c r="M99" s="150"/>
      <c r="N99" s="150"/>
      <c r="O99" s="150"/>
      <c r="P99" s="150"/>
      <c r="Q99" s="150"/>
      <c r="R99" s="150"/>
      <c r="S99" s="150"/>
      <c r="T99" s="150"/>
      <c r="U99" s="151"/>
    </row>
    <row r="100" spans="1:33" ht="97.5" customHeight="1">
      <c r="B100" s="115"/>
      <c r="C100" s="28" t="s">
        <v>42</v>
      </c>
      <c r="D100" s="152" t="s">
        <v>69</v>
      </c>
      <c r="E100" s="153"/>
      <c r="F100" s="153"/>
      <c r="G100" s="153"/>
      <c r="H100" s="153"/>
      <c r="I100" s="153"/>
      <c r="J100" s="153"/>
      <c r="K100" s="153"/>
      <c r="L100" s="153"/>
      <c r="M100" s="153"/>
      <c r="N100" s="153"/>
      <c r="O100" s="153"/>
      <c r="P100" s="153"/>
      <c r="Q100" s="153"/>
      <c r="R100" s="153"/>
      <c r="S100" s="153"/>
      <c r="T100" s="153"/>
      <c r="U100" s="154"/>
    </row>
    <row r="101" spans="1:33" ht="97.5" customHeight="1">
      <c r="B101" s="111"/>
      <c r="C101" s="27" t="s">
        <v>43</v>
      </c>
      <c r="D101" s="146" t="s">
        <v>70</v>
      </c>
      <c r="E101" s="147"/>
      <c r="F101" s="147"/>
      <c r="G101" s="147"/>
      <c r="H101" s="147"/>
      <c r="I101" s="147"/>
      <c r="J101" s="147"/>
      <c r="K101" s="147"/>
      <c r="L101" s="147"/>
      <c r="M101" s="147"/>
      <c r="N101" s="147"/>
      <c r="O101" s="147"/>
      <c r="P101" s="147"/>
      <c r="Q101" s="147"/>
      <c r="R101" s="147"/>
      <c r="S101" s="147"/>
      <c r="T101" s="147"/>
      <c r="U101" s="148"/>
    </row>
    <row r="102" spans="1:33" ht="6" customHeight="1"/>
    <row r="103" spans="1:33" ht="18.75" customHeight="1">
      <c r="A103" s="1" t="s">
        <v>71</v>
      </c>
    </row>
    <row r="104" spans="1:33" ht="81.75" customHeight="1">
      <c r="B104" s="127" t="s">
        <v>72</v>
      </c>
      <c r="C104" s="128"/>
      <c r="D104" s="128"/>
      <c r="E104" s="128"/>
      <c r="F104" s="128"/>
      <c r="G104" s="128"/>
      <c r="H104" s="128"/>
      <c r="I104" s="128"/>
      <c r="J104" s="128"/>
      <c r="K104" s="128"/>
      <c r="L104" s="128"/>
      <c r="M104" s="128"/>
      <c r="N104" s="128"/>
      <c r="O104" s="128"/>
      <c r="P104" s="128"/>
      <c r="Q104" s="128"/>
      <c r="R104" s="128"/>
      <c r="S104" s="128"/>
      <c r="T104" s="128"/>
      <c r="U104" s="129"/>
    </row>
    <row r="106" spans="1:33" ht="18.75" customHeight="1">
      <c r="A106" s="75" t="s">
        <v>73</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c r="A107" s="75" t="s">
        <v>74</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c r="A108" s="75"/>
      <c r="B108" s="145" t="s">
        <v>75</v>
      </c>
      <c r="C108" s="145"/>
      <c r="D108" s="145"/>
      <c r="E108" s="145"/>
      <c r="F108" s="145"/>
      <c r="G108" s="145"/>
      <c r="H108" s="145"/>
      <c r="I108" s="145"/>
      <c r="J108" s="145"/>
      <c r="K108" s="145"/>
      <c r="L108" s="145"/>
      <c r="M108" s="145"/>
      <c r="N108" s="145"/>
      <c r="O108" s="145"/>
      <c r="P108" s="145"/>
      <c r="Q108" s="145"/>
      <c r="R108" s="145"/>
      <c r="S108" s="145"/>
      <c r="T108" s="145"/>
      <c r="U108" s="145"/>
      <c r="V108" s="71"/>
      <c r="W108" s="71"/>
      <c r="X108" s="71"/>
      <c r="Y108" s="71"/>
      <c r="Z108" s="71"/>
      <c r="AA108" s="71"/>
      <c r="AB108" s="71"/>
      <c r="AC108" s="71"/>
      <c r="AD108" s="71"/>
      <c r="AE108" s="71"/>
      <c r="AF108" s="71"/>
      <c r="AG108" s="71"/>
    </row>
    <row r="109" spans="1:33" ht="37.25" customHeight="1">
      <c r="A109" s="75"/>
      <c r="B109" s="145"/>
      <c r="C109" s="145"/>
      <c r="D109" s="145"/>
      <c r="E109" s="145"/>
      <c r="F109" s="145"/>
      <c r="G109" s="145"/>
      <c r="H109" s="145"/>
      <c r="I109" s="145"/>
      <c r="J109" s="145"/>
      <c r="K109" s="145"/>
      <c r="L109" s="145"/>
      <c r="M109" s="145"/>
      <c r="N109" s="145"/>
      <c r="O109" s="145"/>
      <c r="P109" s="145"/>
      <c r="Q109" s="145"/>
      <c r="R109" s="145"/>
      <c r="S109" s="145"/>
      <c r="T109" s="145"/>
      <c r="U109" s="145"/>
      <c r="V109" s="71"/>
      <c r="W109" s="71"/>
      <c r="X109" s="71"/>
      <c r="Y109" s="71"/>
      <c r="Z109" s="71"/>
      <c r="AA109" s="71"/>
      <c r="AB109" s="71"/>
      <c r="AC109" s="71"/>
      <c r="AD109" s="71"/>
      <c r="AE109" s="71"/>
      <c r="AF109" s="71"/>
      <c r="AG109" s="71"/>
    </row>
    <row r="110" spans="1:33" ht="18.75" customHeight="1">
      <c r="A110" s="75"/>
      <c r="B110" s="88" t="s">
        <v>76</v>
      </c>
      <c r="C110" s="88"/>
      <c r="D110" s="88"/>
      <c r="E110" s="88"/>
      <c r="F110" s="88"/>
      <c r="G110" s="88"/>
      <c r="H110" s="88"/>
      <c r="I110" s="88"/>
      <c r="J110" s="88"/>
      <c r="K110" s="88"/>
      <c r="L110" s="88"/>
      <c r="M110" s="88"/>
      <c r="N110" s="88"/>
      <c r="O110" s="88"/>
      <c r="P110" s="88"/>
      <c r="Q110" s="88"/>
      <c r="R110" s="88"/>
      <c r="S110" s="88"/>
      <c r="T110" s="88"/>
      <c r="U110" s="88"/>
      <c r="V110" s="71"/>
      <c r="W110" s="71"/>
      <c r="X110" s="71"/>
      <c r="Y110" s="71"/>
      <c r="Z110" s="71"/>
      <c r="AA110" s="71"/>
      <c r="AB110" s="71"/>
      <c r="AC110" s="71"/>
      <c r="AD110" s="71"/>
      <c r="AE110" s="71"/>
      <c r="AF110" s="71"/>
      <c r="AG110" s="71"/>
    </row>
    <row r="111" spans="1:33" ht="18.75" customHeight="1">
      <c r="A111" s="75"/>
      <c r="B111" s="101" t="s">
        <v>52</v>
      </c>
      <c r="C111" s="101"/>
      <c r="D111" s="101"/>
      <c r="E111" s="101"/>
      <c r="F111" s="101"/>
      <c r="G111" s="101"/>
      <c r="H111" s="101"/>
      <c r="I111" s="101"/>
      <c r="J111" s="101"/>
      <c r="K111" s="101"/>
      <c r="L111" s="101"/>
      <c r="M111" s="101"/>
      <c r="N111" s="101"/>
      <c r="O111" s="101"/>
      <c r="P111" s="101"/>
      <c r="Q111" s="101"/>
      <c r="R111" s="101"/>
      <c r="S111" s="101"/>
      <c r="T111" s="101"/>
      <c r="U111" s="101"/>
      <c r="V111" s="70"/>
      <c r="W111" s="70"/>
      <c r="X111" s="70"/>
      <c r="Y111" s="70"/>
      <c r="Z111" s="70"/>
      <c r="AA111" s="70"/>
      <c r="AB111" s="70"/>
      <c r="AC111" s="70"/>
      <c r="AD111" s="70"/>
      <c r="AE111" s="70"/>
      <c r="AF111" s="70"/>
      <c r="AG111" s="70"/>
    </row>
    <row r="112" spans="1:33" ht="132" customHeight="1">
      <c r="A112" s="75"/>
      <c r="B112" s="102" t="s">
        <v>77</v>
      </c>
      <c r="C112" s="102"/>
      <c r="D112" s="102"/>
      <c r="E112" s="102"/>
      <c r="F112" s="102"/>
      <c r="G112" s="102"/>
      <c r="H112" s="102"/>
      <c r="I112" s="102"/>
      <c r="J112" s="102"/>
      <c r="K112" s="102"/>
      <c r="L112" s="102"/>
      <c r="M112" s="102"/>
      <c r="N112" s="102"/>
      <c r="O112" s="102"/>
      <c r="P112" s="102"/>
      <c r="Q112" s="102"/>
      <c r="R112" s="102"/>
      <c r="S112" s="102"/>
      <c r="T112" s="102"/>
      <c r="U112" s="102"/>
      <c r="V112" s="72"/>
      <c r="W112" s="72"/>
      <c r="X112" s="72"/>
      <c r="Y112" s="72"/>
      <c r="Z112" s="72"/>
      <c r="AA112" s="72"/>
      <c r="AB112" s="72"/>
      <c r="AC112" s="72"/>
      <c r="AD112" s="72"/>
      <c r="AE112" s="72"/>
      <c r="AF112" s="72"/>
      <c r="AG112" s="72"/>
    </row>
    <row r="114" s="1" customFormat="1" ht="18" customHeight="1"/>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60:J66 S60:U66 G71:J77 H49:J55"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3"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M7" sqref="M7"/>
    </sheetView>
  </sheetViews>
  <sheetFormatPr baseColWidth="10" defaultColWidth="9" defaultRowHeight="18.75" customHeight="1"/>
  <cols>
    <col min="1" max="1" width="2.83203125" style="1" customWidth="1"/>
    <col min="2" max="2" width="20.83203125" style="1" customWidth="1"/>
    <col min="3" max="18" width="6.1640625" style="1" customWidth="1"/>
    <col min="19" max="19" width="6.6640625" style="1" customWidth="1"/>
    <col min="20" max="16384" width="9" style="1"/>
  </cols>
  <sheetData>
    <row r="1" spans="1:21" ht="18" customHeight="1">
      <c r="A1" s="76"/>
      <c r="B1" s="76"/>
      <c r="C1" s="76"/>
      <c r="D1" s="76"/>
      <c r="E1" s="76"/>
      <c r="F1" s="76"/>
      <c r="G1" s="76"/>
      <c r="H1" s="76"/>
      <c r="I1" s="76"/>
      <c r="J1" s="76"/>
      <c r="K1" s="76"/>
      <c r="L1" s="76"/>
      <c r="M1" s="76"/>
      <c r="N1" s="76"/>
      <c r="O1" s="76"/>
      <c r="P1" s="76"/>
      <c r="Q1" s="76"/>
      <c r="R1" s="76"/>
      <c r="S1" s="76" t="s">
        <v>78</v>
      </c>
    </row>
    <row r="2" spans="1:21" ht="18" customHeight="1">
      <c r="A2" s="76"/>
      <c r="B2" s="76"/>
      <c r="C2" s="76"/>
      <c r="D2" s="76"/>
      <c r="E2" s="76"/>
      <c r="F2" s="76"/>
      <c r="G2" s="76"/>
      <c r="H2" s="76"/>
      <c r="I2" s="76"/>
      <c r="J2" s="76"/>
      <c r="K2" s="76"/>
      <c r="L2" s="76"/>
      <c r="M2" s="76"/>
      <c r="N2" s="76"/>
      <c r="O2" s="76" t="s">
        <v>79</v>
      </c>
      <c r="Q2" s="170" t="str">
        <f>'様式１　プログラムを構成する授業科目'!C2</f>
        <v>佐久大学信州短期大学部</v>
      </c>
      <c r="R2" s="170"/>
      <c r="S2" s="170"/>
    </row>
    <row r="3" spans="1:21" ht="18" customHeight="1">
      <c r="A3" s="116" t="s">
        <v>80</v>
      </c>
      <c r="B3" s="116"/>
      <c r="C3" s="116"/>
      <c r="D3" s="116"/>
      <c r="E3" s="116"/>
      <c r="F3" s="116"/>
      <c r="G3" s="116"/>
      <c r="H3" s="116"/>
      <c r="I3" s="116"/>
      <c r="J3" s="116"/>
      <c r="K3" s="116"/>
      <c r="L3" s="116"/>
      <c r="M3" s="116"/>
      <c r="N3" s="116"/>
      <c r="O3" s="116"/>
      <c r="P3" s="116"/>
      <c r="Q3" s="116"/>
      <c r="R3" s="116"/>
      <c r="S3" s="116"/>
    </row>
    <row r="4" spans="1:21" ht="7.5" customHeight="1">
      <c r="A4" s="81"/>
      <c r="B4" s="81"/>
      <c r="C4" s="81"/>
      <c r="D4" s="81"/>
      <c r="E4" s="81"/>
      <c r="F4" s="81"/>
      <c r="G4" s="81"/>
      <c r="H4" s="81"/>
      <c r="I4" s="81"/>
      <c r="J4" s="81"/>
      <c r="K4" s="81"/>
      <c r="L4" s="81"/>
      <c r="M4" s="81"/>
      <c r="N4" s="81"/>
      <c r="O4" s="81"/>
      <c r="P4" s="81"/>
      <c r="Q4" s="81"/>
      <c r="R4" s="81"/>
      <c r="S4" s="81"/>
    </row>
    <row r="5" spans="1:21" ht="18" customHeight="1">
      <c r="A5" s="76" t="s">
        <v>81</v>
      </c>
      <c r="B5" s="76"/>
      <c r="C5" s="142" t="s">
        <v>82</v>
      </c>
      <c r="D5" s="144"/>
      <c r="E5" s="81" t="s">
        <v>83</v>
      </c>
      <c r="F5" s="81"/>
      <c r="G5" s="81"/>
      <c r="H5" s="81"/>
      <c r="I5" s="81"/>
      <c r="J5" s="81"/>
      <c r="K5" s="81"/>
      <c r="L5" s="81"/>
      <c r="M5" s="81"/>
      <c r="N5" s="81"/>
      <c r="O5" s="81"/>
      <c r="P5" s="81"/>
      <c r="Q5" s="81"/>
      <c r="R5" s="79"/>
      <c r="S5" s="79"/>
    </row>
    <row r="6" spans="1:21" ht="7.25" customHeight="1">
      <c r="A6" s="76"/>
      <c r="B6" s="76"/>
      <c r="C6" s="86"/>
      <c r="D6" s="86"/>
      <c r="E6" s="81"/>
      <c r="F6" s="81"/>
      <c r="G6" s="81"/>
      <c r="H6" s="81"/>
      <c r="I6" s="81"/>
      <c r="J6" s="81"/>
      <c r="K6" s="81"/>
      <c r="L6" s="81"/>
      <c r="M6" s="81"/>
      <c r="N6" s="81"/>
      <c r="O6" s="81"/>
      <c r="P6" s="81"/>
      <c r="Q6" s="81"/>
      <c r="R6" s="79"/>
      <c r="S6" s="79"/>
    </row>
    <row r="7" spans="1:21" ht="18" customHeight="1">
      <c r="A7" s="76" t="s">
        <v>84</v>
      </c>
      <c r="B7" s="76"/>
      <c r="C7" s="86"/>
      <c r="D7" s="86"/>
      <c r="E7" s="81" t="s">
        <v>85</v>
      </c>
      <c r="F7" s="84">
        <v>27</v>
      </c>
      <c r="G7" s="82" t="s">
        <v>86</v>
      </c>
      <c r="H7" s="81" t="s">
        <v>87</v>
      </c>
      <c r="I7" s="84">
        <v>49</v>
      </c>
      <c r="J7" s="82" t="s">
        <v>86</v>
      </c>
      <c r="K7" s="77" t="s">
        <v>88</v>
      </c>
      <c r="L7" s="81" t="s">
        <v>89</v>
      </c>
      <c r="M7" s="84">
        <f>F7+I7</f>
        <v>76</v>
      </c>
      <c r="N7" s="81" t="s">
        <v>90</v>
      </c>
      <c r="O7" s="82" t="s">
        <v>91</v>
      </c>
      <c r="P7" s="81"/>
      <c r="Q7" s="81"/>
      <c r="R7" s="79"/>
      <c r="S7" s="79"/>
    </row>
    <row r="8" spans="1:21" ht="6" customHeight="1">
      <c r="A8" s="81"/>
      <c r="B8" s="81"/>
      <c r="C8" s="81"/>
      <c r="D8" s="81"/>
      <c r="E8" s="81"/>
      <c r="F8" s="81"/>
      <c r="G8" s="81"/>
      <c r="H8" s="81"/>
      <c r="I8" s="81"/>
      <c r="J8" s="81"/>
      <c r="K8" s="81"/>
      <c r="L8" s="81"/>
      <c r="M8" s="81"/>
      <c r="N8" s="81"/>
      <c r="O8" s="81"/>
      <c r="P8" s="81"/>
      <c r="Q8" s="81"/>
      <c r="R8" s="81"/>
      <c r="S8" s="81"/>
    </row>
    <row r="9" spans="1:21" ht="18" customHeight="1">
      <c r="A9" s="76" t="s">
        <v>92</v>
      </c>
      <c r="B9" s="81"/>
      <c r="C9" s="81"/>
      <c r="D9" s="81"/>
      <c r="E9" s="81"/>
      <c r="F9" s="81"/>
      <c r="G9" s="81"/>
      <c r="H9" s="81"/>
      <c r="I9" s="81"/>
      <c r="J9" s="81"/>
      <c r="K9" s="81"/>
      <c r="L9" s="81"/>
      <c r="M9" s="81"/>
      <c r="N9" s="81"/>
      <c r="O9" s="81"/>
      <c r="P9" s="81"/>
      <c r="Q9" s="81"/>
      <c r="R9" s="81"/>
      <c r="S9" s="81"/>
    </row>
    <row r="10" spans="1:21" ht="6" customHeight="1">
      <c r="B10" s="3"/>
      <c r="C10" s="3"/>
      <c r="D10" s="3"/>
      <c r="E10" s="3"/>
      <c r="F10" s="3"/>
      <c r="G10" s="3"/>
      <c r="H10" s="3"/>
      <c r="I10" s="3"/>
      <c r="J10" s="3"/>
      <c r="K10" s="3"/>
      <c r="L10" s="3"/>
      <c r="M10" s="3"/>
      <c r="N10" s="3"/>
      <c r="O10" s="3"/>
      <c r="P10" s="3"/>
      <c r="Q10" s="3"/>
      <c r="R10" s="3"/>
      <c r="S10" s="3"/>
    </row>
    <row r="11" spans="1:21" ht="18" customHeight="1">
      <c r="B11" s="171" t="s">
        <v>93</v>
      </c>
      <c r="C11" s="181" t="s">
        <v>94</v>
      </c>
      <c r="D11" s="173" t="s">
        <v>95</v>
      </c>
      <c r="E11" s="175" t="s">
        <v>96</v>
      </c>
      <c r="F11" s="169" t="s">
        <v>97</v>
      </c>
      <c r="G11" s="169"/>
      <c r="H11" s="169" t="s">
        <v>98</v>
      </c>
      <c r="I11" s="169"/>
      <c r="J11" s="169" t="s">
        <v>99</v>
      </c>
      <c r="K11" s="169"/>
      <c r="L11" s="169" t="s">
        <v>100</v>
      </c>
      <c r="M11" s="169"/>
      <c r="N11" s="169" t="s">
        <v>101</v>
      </c>
      <c r="O11" s="169"/>
      <c r="P11" s="169" t="s">
        <v>102</v>
      </c>
      <c r="Q11" s="169"/>
      <c r="R11" s="177" t="s">
        <v>103</v>
      </c>
      <c r="S11" s="179" t="s">
        <v>104</v>
      </c>
      <c r="U11" s="2"/>
    </row>
    <row r="12" spans="1:21" ht="17" customHeight="1">
      <c r="B12" s="172"/>
      <c r="C12" s="182"/>
      <c r="D12" s="174"/>
      <c r="E12" s="176"/>
      <c r="F12" s="64" t="s">
        <v>105</v>
      </c>
      <c r="G12" s="64" t="s">
        <v>106</v>
      </c>
      <c r="H12" s="64" t="s">
        <v>105</v>
      </c>
      <c r="I12" s="64" t="s">
        <v>106</v>
      </c>
      <c r="J12" s="64" t="s">
        <v>105</v>
      </c>
      <c r="K12" s="64" t="s">
        <v>106</v>
      </c>
      <c r="L12" s="64" t="s">
        <v>105</v>
      </c>
      <c r="M12" s="64" t="s">
        <v>106</v>
      </c>
      <c r="N12" s="64" t="s">
        <v>105</v>
      </c>
      <c r="O12" s="64" t="s">
        <v>106</v>
      </c>
      <c r="P12" s="64" t="s">
        <v>105</v>
      </c>
      <c r="Q12" s="65" t="s">
        <v>106</v>
      </c>
      <c r="R12" s="178"/>
      <c r="S12" s="180"/>
      <c r="U12" s="2"/>
    </row>
    <row r="13" spans="1:21" ht="18" customHeight="1">
      <c r="A13" s="6"/>
      <c r="B13" s="66" t="s">
        <v>107</v>
      </c>
      <c r="C13" s="52">
        <v>76</v>
      </c>
      <c r="D13" s="53">
        <v>50</v>
      </c>
      <c r="E13" s="54">
        <v>100</v>
      </c>
      <c r="F13" s="54">
        <v>1</v>
      </c>
      <c r="G13" s="54">
        <v>1</v>
      </c>
      <c r="H13" s="54">
        <v>5</v>
      </c>
      <c r="I13" s="54">
        <v>5</v>
      </c>
      <c r="J13" s="54"/>
      <c r="K13" s="54"/>
      <c r="L13" s="54"/>
      <c r="M13" s="54"/>
      <c r="N13" s="54"/>
      <c r="O13" s="54"/>
      <c r="P13" s="54"/>
      <c r="Q13" s="67"/>
      <c r="R13" s="53">
        <f t="shared" ref="R13:R32" si="0">F13+H13+J13+L13+N13+P13</f>
        <v>6</v>
      </c>
      <c r="S13" s="68">
        <f t="shared" ref="S13:S33" si="1">R13/E13</f>
        <v>0.06</v>
      </c>
    </row>
    <row r="14" spans="1:21" ht="18" customHeight="1">
      <c r="A14" s="6"/>
      <c r="B14" s="11"/>
      <c r="C14" s="55"/>
      <c r="D14" s="56"/>
      <c r="E14" s="57"/>
      <c r="F14" s="58"/>
      <c r="G14" s="58"/>
      <c r="H14" s="58"/>
      <c r="I14" s="58"/>
      <c r="J14" s="58"/>
      <c r="K14" s="58"/>
      <c r="L14" s="58"/>
      <c r="M14" s="58"/>
      <c r="N14" s="58"/>
      <c r="O14" s="58"/>
      <c r="P14" s="58"/>
      <c r="Q14" s="55"/>
      <c r="R14" s="56">
        <f t="shared" si="0"/>
        <v>0</v>
      </c>
      <c r="S14" s="16" t="e">
        <f t="shared" si="1"/>
        <v>#DIV/0!</v>
      </c>
    </row>
    <row r="15" spans="1:21" ht="18" customHeight="1">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c r="B33" s="13" t="s">
        <v>108</v>
      </c>
      <c r="C33" s="61">
        <f t="shared" ref="C33" si="2">SUM(C13:C32)</f>
        <v>76</v>
      </c>
      <c r="D33" s="62">
        <f t="shared" ref="D33:R33" si="3">SUM(D13:D32)</f>
        <v>50</v>
      </c>
      <c r="E33" s="63">
        <f t="shared" si="3"/>
        <v>100</v>
      </c>
      <c r="F33" s="63">
        <f t="shared" si="3"/>
        <v>1</v>
      </c>
      <c r="G33" s="63">
        <f t="shared" ref="G33:H33" si="4">SUM(G13:G32)</f>
        <v>1</v>
      </c>
      <c r="H33" s="63">
        <f t="shared" si="4"/>
        <v>5</v>
      </c>
      <c r="I33" s="63">
        <f t="shared" ref="I33:J33" si="5">SUM(I13:I32)</f>
        <v>5</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6</v>
      </c>
      <c r="S33" s="9">
        <f t="shared" si="1"/>
        <v>0.06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0"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94" sqref="B94:I105"/>
    </sheetView>
  </sheetViews>
  <sheetFormatPr baseColWidth="10" defaultColWidth="11.33203125" defaultRowHeight="18.75" customHeight="1"/>
  <cols>
    <col min="1" max="1" width="2.83203125" style="32" customWidth="1"/>
    <col min="2" max="2" width="16.6640625" style="1" customWidth="1"/>
    <col min="3" max="3" width="8.83203125" style="1" customWidth="1"/>
    <col min="4" max="4" width="2.1640625" style="1" customWidth="1"/>
    <col min="5" max="5" width="16.6640625" style="1" customWidth="1"/>
    <col min="6" max="6" width="4.33203125" style="1" customWidth="1"/>
    <col min="7" max="7" width="9" style="1" customWidth="1"/>
    <col min="8" max="8" width="16.6640625" style="1" customWidth="1"/>
    <col min="9" max="9" width="12.1640625" style="1" customWidth="1"/>
    <col min="10" max="16384" width="11.33203125" style="1"/>
  </cols>
  <sheetData>
    <row r="1" spans="1:9" ht="18.75" customHeight="1">
      <c r="A1" s="32" t="s">
        <v>109</v>
      </c>
      <c r="I1" s="30" t="s">
        <v>110</v>
      </c>
    </row>
    <row r="2" spans="1:9" ht="18.75" customHeight="1">
      <c r="G2" s="30" t="s">
        <v>2</v>
      </c>
      <c r="H2" s="92" t="str">
        <f>'様式１　プログラムを構成する授業科目'!C2</f>
        <v>佐久大学信州短期大学部</v>
      </c>
      <c r="I2" s="94"/>
    </row>
    <row r="3" spans="1:9" ht="18.75" customHeight="1">
      <c r="G3" s="30"/>
      <c r="H3" s="10"/>
      <c r="I3" s="10"/>
    </row>
    <row r="4" spans="1:9" ht="18.5" customHeight="1">
      <c r="A4" s="184" t="s">
        <v>111</v>
      </c>
      <c r="B4" s="184"/>
      <c r="C4" s="184"/>
      <c r="D4" s="184"/>
      <c r="E4" s="184"/>
      <c r="F4" s="184"/>
      <c r="G4" s="184"/>
      <c r="H4" s="184"/>
      <c r="I4" s="184"/>
    </row>
    <row r="5" spans="1:9" ht="13.25" customHeight="1">
      <c r="B5" s="3"/>
      <c r="C5" s="3"/>
      <c r="D5" s="3"/>
      <c r="E5" s="3"/>
      <c r="F5" s="3"/>
      <c r="G5" s="3"/>
      <c r="H5" s="3"/>
      <c r="I5" s="3"/>
    </row>
    <row r="6" spans="1:9" ht="18" customHeight="1">
      <c r="A6" s="1" t="s">
        <v>112</v>
      </c>
      <c r="B6" s="10" t="s">
        <v>113</v>
      </c>
      <c r="C6" s="211" t="s">
        <v>114</v>
      </c>
      <c r="D6" s="211"/>
      <c r="E6" s="29">
        <v>11</v>
      </c>
      <c r="F6" s="3" t="s">
        <v>90</v>
      </c>
      <c r="G6" s="3" t="s">
        <v>115</v>
      </c>
      <c r="H6" s="29">
        <v>39</v>
      </c>
      <c r="I6" s="10" t="s">
        <v>90</v>
      </c>
    </row>
    <row r="7" spans="1:9" ht="12" customHeight="1">
      <c r="C7" s="2"/>
      <c r="D7" s="2"/>
      <c r="E7" s="2"/>
      <c r="F7" s="2"/>
      <c r="G7" s="2"/>
      <c r="H7" s="2"/>
      <c r="I7" s="33"/>
    </row>
    <row r="8" spans="1:9" ht="18" customHeight="1">
      <c r="A8" s="1" t="s">
        <v>116</v>
      </c>
      <c r="B8" s="10" t="s">
        <v>117</v>
      </c>
      <c r="E8" s="3"/>
      <c r="F8" s="3"/>
      <c r="G8" s="3"/>
      <c r="H8" s="29">
        <v>1</v>
      </c>
      <c r="I8" s="10" t="s">
        <v>90</v>
      </c>
    </row>
    <row r="9" spans="1:9" ht="9" customHeight="1">
      <c r="B9" s="3"/>
      <c r="C9" s="3"/>
      <c r="D9" s="3"/>
      <c r="E9" s="3"/>
      <c r="F9" s="3"/>
      <c r="G9" s="3"/>
      <c r="H9" s="3"/>
      <c r="I9" s="3"/>
    </row>
    <row r="10" spans="1:9" ht="18" customHeight="1">
      <c r="A10" s="1" t="s">
        <v>118</v>
      </c>
      <c r="B10" s="10" t="s">
        <v>119</v>
      </c>
      <c r="C10" s="3"/>
      <c r="D10" s="3"/>
      <c r="E10" s="3"/>
      <c r="F10" s="3"/>
      <c r="G10" s="3"/>
      <c r="H10" s="3"/>
      <c r="I10" s="3"/>
    </row>
    <row r="11" spans="1:9" ht="18" customHeight="1">
      <c r="B11" s="30" t="s">
        <v>120</v>
      </c>
      <c r="C11" s="208" t="s">
        <v>173</v>
      </c>
      <c r="D11" s="209"/>
      <c r="E11" s="210"/>
      <c r="F11" s="33"/>
      <c r="G11" s="30" t="s">
        <v>121</v>
      </c>
      <c r="H11" s="208" t="s">
        <v>174</v>
      </c>
      <c r="I11" s="210"/>
    </row>
    <row r="12" spans="1:9" ht="10.25" customHeight="1">
      <c r="B12" s="30"/>
      <c r="C12" s="10"/>
      <c r="D12" s="33"/>
      <c r="E12" s="33"/>
      <c r="F12" s="33"/>
      <c r="G12" s="30"/>
      <c r="H12" s="10"/>
      <c r="I12" s="33"/>
    </row>
    <row r="13" spans="1:9" ht="18" customHeight="1">
      <c r="A13" s="1" t="s">
        <v>122</v>
      </c>
      <c r="B13" s="10" t="s">
        <v>123</v>
      </c>
      <c r="C13" s="3"/>
      <c r="D13" s="3"/>
      <c r="E13" s="3"/>
      <c r="F13" s="3"/>
      <c r="G13" s="3"/>
      <c r="H13" s="3"/>
      <c r="I13" s="3"/>
    </row>
    <row r="14" spans="1:9" ht="18" customHeight="1">
      <c r="B14" s="185" t="s">
        <v>156</v>
      </c>
      <c r="C14" s="186"/>
      <c r="D14" s="186"/>
      <c r="E14" s="186"/>
      <c r="F14" s="186"/>
      <c r="G14" s="186"/>
      <c r="H14" s="186"/>
      <c r="I14" s="187"/>
    </row>
    <row r="15" spans="1:9" ht="9" customHeight="1">
      <c r="B15" s="3"/>
      <c r="C15" s="3"/>
      <c r="D15" s="3"/>
      <c r="E15" s="3"/>
      <c r="F15" s="3"/>
      <c r="G15" s="3"/>
      <c r="H15" s="3"/>
      <c r="I15" s="3"/>
    </row>
    <row r="16" spans="1:9" ht="18" customHeight="1">
      <c r="B16" s="30" t="s">
        <v>120</v>
      </c>
      <c r="C16" s="208" t="s">
        <v>124</v>
      </c>
      <c r="D16" s="209"/>
      <c r="E16" s="210"/>
      <c r="F16" s="33"/>
      <c r="G16" s="30" t="s">
        <v>121</v>
      </c>
      <c r="H16" s="208" t="s">
        <v>125</v>
      </c>
      <c r="I16" s="210"/>
    </row>
    <row r="17" spans="1:9" ht="18" customHeight="1">
      <c r="B17" s="3"/>
      <c r="C17" s="3"/>
      <c r="D17" s="3"/>
      <c r="E17" s="3"/>
      <c r="F17" s="3"/>
      <c r="G17" s="3"/>
      <c r="H17" s="3"/>
      <c r="I17" s="3"/>
    </row>
    <row r="18" spans="1:9" ht="18.75" customHeight="1">
      <c r="A18" s="1" t="s">
        <v>126</v>
      </c>
      <c r="B18" s="1" t="s">
        <v>127</v>
      </c>
      <c r="I18" s="3"/>
    </row>
    <row r="19" spans="1:9" ht="18.75" customHeight="1">
      <c r="A19" s="1"/>
      <c r="B19" s="185" t="s">
        <v>128</v>
      </c>
      <c r="C19" s="186"/>
      <c r="D19" s="186"/>
      <c r="E19" s="186"/>
      <c r="F19" s="186"/>
      <c r="G19" s="186"/>
      <c r="H19" s="186"/>
      <c r="I19" s="187"/>
    </row>
    <row r="20" spans="1:9" ht="7.5" customHeight="1">
      <c r="B20" s="3"/>
      <c r="C20" s="3"/>
      <c r="D20" s="3"/>
      <c r="E20" s="3"/>
      <c r="F20" s="3"/>
      <c r="G20" s="3"/>
      <c r="H20" s="3"/>
      <c r="I20" s="3"/>
    </row>
    <row r="21" spans="1:9" ht="18.75" customHeight="1">
      <c r="A21" s="1" t="s">
        <v>129</v>
      </c>
      <c r="B21" s="1" t="s">
        <v>130</v>
      </c>
    </row>
    <row r="22" spans="1:9" ht="18.75" customHeight="1">
      <c r="A22" s="14"/>
      <c r="B22" s="188" t="s">
        <v>175</v>
      </c>
      <c r="C22" s="189"/>
      <c r="D22" s="189"/>
      <c r="E22" s="189"/>
      <c r="F22" s="189"/>
      <c r="G22" s="189"/>
      <c r="H22" s="189"/>
      <c r="I22" s="190"/>
    </row>
    <row r="23" spans="1:9" ht="18.75" customHeight="1">
      <c r="A23" s="14"/>
      <c r="B23" s="191"/>
      <c r="C23" s="192"/>
      <c r="D23" s="192"/>
      <c r="E23" s="192"/>
      <c r="F23" s="192"/>
      <c r="G23" s="192"/>
      <c r="H23" s="192"/>
      <c r="I23" s="193"/>
    </row>
    <row r="24" spans="1:9" ht="18.75" customHeight="1">
      <c r="A24" s="14"/>
      <c r="B24" s="191"/>
      <c r="C24" s="192"/>
      <c r="D24" s="192"/>
      <c r="E24" s="192"/>
      <c r="F24" s="192"/>
      <c r="G24" s="192"/>
      <c r="H24" s="192"/>
      <c r="I24" s="193"/>
    </row>
    <row r="25" spans="1:9" ht="18.75" customHeight="1">
      <c r="A25" s="14"/>
      <c r="B25" s="191"/>
      <c r="C25" s="192"/>
      <c r="D25" s="192"/>
      <c r="E25" s="192"/>
      <c r="F25" s="192"/>
      <c r="G25" s="192"/>
      <c r="H25" s="192"/>
      <c r="I25" s="193"/>
    </row>
    <row r="26" spans="1:9" ht="18.75" customHeight="1">
      <c r="A26" s="14"/>
      <c r="B26" s="191"/>
      <c r="C26" s="192"/>
      <c r="D26" s="192"/>
      <c r="E26" s="192"/>
      <c r="F26" s="192"/>
      <c r="G26" s="192"/>
      <c r="H26" s="192"/>
      <c r="I26" s="193"/>
    </row>
    <row r="27" spans="1:9" ht="18.75" customHeight="1">
      <c r="A27" s="14"/>
      <c r="B27" s="191"/>
      <c r="C27" s="192"/>
      <c r="D27" s="192"/>
      <c r="E27" s="192"/>
      <c r="F27" s="192"/>
      <c r="G27" s="192"/>
      <c r="H27" s="192"/>
      <c r="I27" s="193"/>
    </row>
    <row r="28" spans="1:9" ht="18.75" customHeight="1">
      <c r="A28" s="14"/>
      <c r="B28" s="191"/>
      <c r="C28" s="192"/>
      <c r="D28" s="192"/>
      <c r="E28" s="192"/>
      <c r="F28" s="192"/>
      <c r="G28" s="192"/>
      <c r="H28" s="192"/>
      <c r="I28" s="193"/>
    </row>
    <row r="29" spans="1:9" ht="18.75" customHeight="1">
      <c r="A29" s="14"/>
      <c r="B29" s="191"/>
      <c r="C29" s="192"/>
      <c r="D29" s="192"/>
      <c r="E29" s="192"/>
      <c r="F29" s="192"/>
      <c r="G29" s="192"/>
      <c r="H29" s="192"/>
      <c r="I29" s="193"/>
    </row>
    <row r="30" spans="1:9" ht="18.75" customHeight="1">
      <c r="A30" s="14"/>
      <c r="B30" s="194"/>
      <c r="C30" s="195"/>
      <c r="D30" s="195"/>
      <c r="E30" s="195"/>
      <c r="F30" s="195"/>
      <c r="G30" s="195"/>
      <c r="H30" s="195"/>
      <c r="I30" s="193"/>
    </row>
    <row r="31" spans="1:9" ht="18.75" customHeight="1">
      <c r="A31" s="14"/>
      <c r="B31" s="194"/>
      <c r="C31" s="195"/>
      <c r="D31" s="195"/>
      <c r="E31" s="195"/>
      <c r="F31" s="195"/>
      <c r="G31" s="195"/>
      <c r="H31" s="195"/>
      <c r="I31" s="193"/>
    </row>
    <row r="32" spans="1:9" ht="18.75" customHeight="1">
      <c r="A32" s="14"/>
      <c r="B32" s="196"/>
      <c r="C32" s="197"/>
      <c r="D32" s="197"/>
      <c r="E32" s="197"/>
      <c r="F32" s="197"/>
      <c r="G32" s="197"/>
      <c r="H32" s="197"/>
      <c r="I32" s="198"/>
    </row>
    <row r="33" spans="1:9" ht="7.5" customHeight="1">
      <c r="A33" s="14"/>
      <c r="B33" s="14"/>
      <c r="C33" s="14"/>
      <c r="D33" s="14"/>
      <c r="E33" s="14"/>
      <c r="F33" s="14"/>
      <c r="G33" s="14"/>
      <c r="H33" s="14"/>
      <c r="I33" s="14"/>
    </row>
    <row r="34" spans="1:9" ht="18.75" customHeight="1">
      <c r="A34" s="15" t="s">
        <v>131</v>
      </c>
      <c r="B34" s="15" t="s">
        <v>132</v>
      </c>
      <c r="C34" s="10"/>
      <c r="D34" s="15"/>
      <c r="E34" s="15"/>
      <c r="F34" s="15"/>
      <c r="G34" s="15"/>
      <c r="H34" s="15"/>
      <c r="I34" s="15"/>
    </row>
    <row r="35" spans="1:9" ht="18.75" customHeight="1">
      <c r="A35" s="14"/>
      <c r="B35" s="199" t="s">
        <v>176</v>
      </c>
      <c r="C35" s="200"/>
      <c r="D35" s="200"/>
      <c r="E35" s="200"/>
      <c r="F35" s="200"/>
      <c r="G35" s="200"/>
      <c r="H35" s="200"/>
      <c r="I35" s="201"/>
    </row>
    <row r="36" spans="1:9" ht="18.75" customHeight="1">
      <c r="A36" s="14"/>
      <c r="B36" s="202"/>
      <c r="C36" s="203"/>
      <c r="D36" s="203"/>
      <c r="E36" s="203"/>
      <c r="F36" s="203"/>
      <c r="G36" s="203"/>
      <c r="H36" s="203"/>
      <c r="I36" s="204"/>
    </row>
    <row r="37" spans="1:9" ht="18.75" customHeight="1">
      <c r="A37" s="14"/>
      <c r="B37" s="202"/>
      <c r="C37" s="203"/>
      <c r="D37" s="203"/>
      <c r="E37" s="203"/>
      <c r="F37" s="203"/>
      <c r="G37" s="203"/>
      <c r="H37" s="203"/>
      <c r="I37" s="204"/>
    </row>
    <row r="38" spans="1:9" ht="18.75" customHeight="1">
      <c r="A38" s="14"/>
      <c r="B38" s="202"/>
      <c r="C38" s="203"/>
      <c r="D38" s="203"/>
      <c r="E38" s="203"/>
      <c r="F38" s="203"/>
      <c r="G38" s="203"/>
      <c r="H38" s="203"/>
      <c r="I38" s="204"/>
    </row>
    <row r="39" spans="1:9" ht="18.75" customHeight="1">
      <c r="A39" s="14"/>
      <c r="B39" s="202"/>
      <c r="C39" s="203"/>
      <c r="D39" s="203"/>
      <c r="E39" s="203"/>
      <c r="F39" s="203"/>
      <c r="G39" s="203"/>
      <c r="H39" s="203"/>
      <c r="I39" s="204"/>
    </row>
    <row r="40" spans="1:9" ht="18.75" customHeight="1">
      <c r="A40" s="14"/>
      <c r="B40" s="202"/>
      <c r="C40" s="203"/>
      <c r="D40" s="203"/>
      <c r="E40" s="203"/>
      <c r="F40" s="203"/>
      <c r="G40" s="203"/>
      <c r="H40" s="203"/>
      <c r="I40" s="204"/>
    </row>
    <row r="41" spans="1:9" ht="18.75" customHeight="1">
      <c r="A41" s="14"/>
      <c r="B41" s="202"/>
      <c r="C41" s="203"/>
      <c r="D41" s="203"/>
      <c r="E41" s="203"/>
      <c r="F41" s="203"/>
      <c r="G41" s="203"/>
      <c r="H41" s="203"/>
      <c r="I41" s="204"/>
    </row>
    <row r="42" spans="1:9" ht="18.75" customHeight="1">
      <c r="A42" s="14"/>
      <c r="B42" s="202"/>
      <c r="C42" s="203"/>
      <c r="D42" s="203"/>
      <c r="E42" s="203"/>
      <c r="F42" s="203"/>
      <c r="G42" s="203"/>
      <c r="H42" s="203"/>
      <c r="I42" s="204"/>
    </row>
    <row r="43" spans="1:9" ht="18.75" customHeight="1">
      <c r="A43" s="14"/>
      <c r="B43" s="202"/>
      <c r="C43" s="203"/>
      <c r="D43" s="203"/>
      <c r="E43" s="203"/>
      <c r="F43" s="203"/>
      <c r="G43" s="203"/>
      <c r="H43" s="203"/>
      <c r="I43" s="204"/>
    </row>
    <row r="44" spans="1:9" ht="18.75" customHeight="1">
      <c r="A44" s="14"/>
      <c r="B44" s="202"/>
      <c r="C44" s="203"/>
      <c r="D44" s="203"/>
      <c r="E44" s="203"/>
      <c r="F44" s="203"/>
      <c r="G44" s="203"/>
      <c r="H44" s="203"/>
      <c r="I44" s="204"/>
    </row>
    <row r="45" spans="1:9" ht="18.75" customHeight="1">
      <c r="A45" s="14"/>
      <c r="B45" s="202"/>
      <c r="C45" s="203"/>
      <c r="D45" s="203"/>
      <c r="E45" s="203"/>
      <c r="F45" s="203"/>
      <c r="G45" s="203"/>
      <c r="H45" s="203"/>
      <c r="I45" s="204"/>
    </row>
    <row r="46" spans="1:9" ht="18.75" customHeight="1">
      <c r="A46" s="14"/>
      <c r="B46" s="205"/>
      <c r="C46" s="206"/>
      <c r="D46" s="206"/>
      <c r="E46" s="206"/>
      <c r="F46" s="206"/>
      <c r="G46" s="206"/>
      <c r="H46" s="206"/>
      <c r="I46" s="207"/>
    </row>
    <row r="47" spans="1:9" ht="7.5" customHeight="1">
      <c r="A47" s="4"/>
      <c r="B47" s="4"/>
      <c r="C47" s="4"/>
      <c r="D47" s="4"/>
      <c r="E47" s="4"/>
      <c r="F47" s="4"/>
      <c r="G47" s="4"/>
      <c r="H47" s="4"/>
      <c r="I47" s="4"/>
    </row>
    <row r="48" spans="1:9" ht="18.75" customHeight="1">
      <c r="A48" s="1" t="s">
        <v>133</v>
      </c>
      <c r="B48" s="1" t="s">
        <v>134</v>
      </c>
    </row>
    <row r="49" spans="1:15" s="3" customFormat="1" ht="18.75" customHeight="1">
      <c r="B49" s="34" t="s">
        <v>135</v>
      </c>
      <c r="C49" s="251">
        <f>'様式２ 履修者等数の実績'!S33</f>
        <v>0.06</v>
      </c>
      <c r="D49" s="251"/>
      <c r="E49" s="34" t="s">
        <v>136</v>
      </c>
      <c r="F49" s="251">
        <v>0.2</v>
      </c>
      <c r="G49" s="251"/>
      <c r="H49" s="34" t="s">
        <v>137</v>
      </c>
      <c r="I49" s="35">
        <v>0.5</v>
      </c>
      <c r="J49" s="1"/>
      <c r="M49" s="1"/>
      <c r="N49" s="36"/>
    </row>
    <row r="50" spans="1:15" s="3" customFormat="1" ht="18.75" customHeight="1">
      <c r="B50" s="37" t="s">
        <v>138</v>
      </c>
      <c r="C50" s="234">
        <v>0.8</v>
      </c>
      <c r="D50" s="234"/>
      <c r="E50" s="37" t="s">
        <v>139</v>
      </c>
      <c r="F50" s="234">
        <v>1</v>
      </c>
      <c r="G50" s="234"/>
      <c r="H50" s="37" t="s">
        <v>140</v>
      </c>
      <c r="I50" s="38">
        <f>'様式２ 履修者等数の実績'!E33</f>
        <v>100</v>
      </c>
      <c r="J50" s="1"/>
      <c r="M50" s="1"/>
      <c r="N50" s="36"/>
    </row>
    <row r="51" spans="1:15" ht="18.75" customHeight="1">
      <c r="A51" s="1"/>
      <c r="B51" s="231" t="s">
        <v>141</v>
      </c>
      <c r="C51" s="232"/>
      <c r="D51" s="232"/>
      <c r="E51" s="232"/>
      <c r="F51" s="232"/>
      <c r="G51" s="232"/>
      <c r="H51" s="232"/>
      <c r="I51" s="233"/>
      <c r="N51" s="36"/>
      <c r="O51" s="3"/>
    </row>
    <row r="52" spans="1:15" ht="18.75" customHeight="1">
      <c r="A52" s="1"/>
      <c r="B52" s="252" t="s">
        <v>177</v>
      </c>
      <c r="C52" s="253"/>
      <c r="D52" s="253"/>
      <c r="E52" s="253"/>
      <c r="F52" s="253"/>
      <c r="G52" s="253"/>
      <c r="H52" s="253"/>
      <c r="I52" s="254"/>
      <c r="N52" s="36"/>
      <c r="O52" s="3"/>
    </row>
    <row r="53" spans="1:15" ht="18.75" customHeight="1">
      <c r="A53" s="1"/>
      <c r="B53" s="255"/>
      <c r="C53" s="256"/>
      <c r="D53" s="256"/>
      <c r="E53" s="256"/>
      <c r="F53" s="256"/>
      <c r="G53" s="256"/>
      <c r="H53" s="256"/>
      <c r="I53" s="257"/>
      <c r="N53" s="36"/>
      <c r="O53" s="3"/>
    </row>
    <row r="54" spans="1:15" ht="18.75" customHeight="1">
      <c r="A54" s="1"/>
      <c r="B54" s="255"/>
      <c r="C54" s="256"/>
      <c r="D54" s="256"/>
      <c r="E54" s="256"/>
      <c r="F54" s="256"/>
      <c r="G54" s="256"/>
      <c r="H54" s="256"/>
      <c r="I54" s="257"/>
    </row>
    <row r="55" spans="1:15" ht="18.75" customHeight="1">
      <c r="A55" s="1"/>
      <c r="B55" s="255"/>
      <c r="C55" s="256"/>
      <c r="D55" s="256"/>
      <c r="E55" s="256"/>
      <c r="F55" s="256"/>
      <c r="G55" s="256"/>
      <c r="H55" s="256"/>
      <c r="I55" s="257"/>
    </row>
    <row r="56" spans="1:15" ht="18.75" customHeight="1">
      <c r="A56" s="1"/>
      <c r="B56" s="255"/>
      <c r="C56" s="256"/>
      <c r="D56" s="256"/>
      <c r="E56" s="256"/>
      <c r="F56" s="256"/>
      <c r="G56" s="256"/>
      <c r="H56" s="256"/>
      <c r="I56" s="257"/>
    </row>
    <row r="57" spans="1:15" ht="18.75" customHeight="1">
      <c r="A57" s="1"/>
      <c r="B57" s="255"/>
      <c r="C57" s="256"/>
      <c r="D57" s="256"/>
      <c r="E57" s="256"/>
      <c r="F57" s="256"/>
      <c r="G57" s="256"/>
      <c r="H57" s="256"/>
      <c r="I57" s="257"/>
    </row>
    <row r="58" spans="1:15" ht="18.75" customHeight="1">
      <c r="A58" s="1"/>
      <c r="B58" s="255"/>
      <c r="C58" s="256"/>
      <c r="D58" s="256"/>
      <c r="E58" s="256"/>
      <c r="F58" s="256"/>
      <c r="G58" s="256"/>
      <c r="H58" s="256"/>
      <c r="I58" s="257"/>
    </row>
    <row r="59" spans="1:15" ht="18.75" customHeight="1">
      <c r="A59" s="1"/>
      <c r="B59" s="255"/>
      <c r="C59" s="256"/>
      <c r="D59" s="256"/>
      <c r="E59" s="256"/>
      <c r="F59" s="256"/>
      <c r="G59" s="256"/>
      <c r="H59" s="256"/>
      <c r="I59" s="257"/>
    </row>
    <row r="60" spans="1:15" ht="18.75" customHeight="1">
      <c r="A60" s="1"/>
      <c r="B60" s="255"/>
      <c r="C60" s="256"/>
      <c r="D60" s="256"/>
      <c r="E60" s="256"/>
      <c r="F60" s="256"/>
      <c r="G60" s="256"/>
      <c r="H60" s="256"/>
      <c r="I60" s="257"/>
    </row>
    <row r="61" spans="1:15" ht="18.75" customHeight="1">
      <c r="A61" s="1"/>
      <c r="B61" s="255"/>
      <c r="C61" s="256"/>
      <c r="D61" s="256"/>
      <c r="E61" s="256"/>
      <c r="F61" s="256"/>
      <c r="G61" s="256"/>
      <c r="H61" s="256"/>
      <c r="I61" s="257"/>
    </row>
    <row r="62" spans="1:15" ht="18.75" customHeight="1">
      <c r="A62" s="1"/>
      <c r="B62" s="255"/>
      <c r="C62" s="256"/>
      <c r="D62" s="256"/>
      <c r="E62" s="256"/>
      <c r="F62" s="256"/>
      <c r="G62" s="256"/>
      <c r="H62" s="256"/>
      <c r="I62" s="257"/>
    </row>
    <row r="63" spans="1:15" ht="18.75" customHeight="1">
      <c r="A63" s="1"/>
      <c r="B63" s="258"/>
      <c r="C63" s="259"/>
      <c r="D63" s="259"/>
      <c r="E63" s="259"/>
      <c r="F63" s="259"/>
      <c r="G63" s="259"/>
      <c r="H63" s="259"/>
      <c r="I63" s="260"/>
    </row>
    <row r="64" spans="1:15" ht="7.5" customHeight="1">
      <c r="A64" s="14"/>
      <c r="B64" s="14"/>
      <c r="C64" s="14"/>
      <c r="D64" s="14"/>
      <c r="E64" s="14"/>
      <c r="F64" s="14"/>
      <c r="G64" s="14"/>
      <c r="H64" s="14"/>
      <c r="I64" s="14"/>
    </row>
    <row r="65" spans="1:9" ht="18.75" customHeight="1">
      <c r="A65" s="15" t="s">
        <v>142</v>
      </c>
      <c r="B65" s="1" t="s">
        <v>143</v>
      </c>
      <c r="I65" s="15"/>
    </row>
    <row r="66" spans="1:9" ht="18.75" customHeight="1">
      <c r="A66" s="4"/>
      <c r="B66" s="235" t="s">
        <v>144</v>
      </c>
      <c r="C66" s="236"/>
      <c r="D66" s="236"/>
      <c r="E66" s="236"/>
      <c r="F66" s="236"/>
      <c r="G66" s="236"/>
      <c r="H66" s="236"/>
      <c r="I66" s="237"/>
    </row>
    <row r="67" spans="1:9" ht="18.75" customHeight="1">
      <c r="A67" s="4"/>
      <c r="B67" s="238"/>
      <c r="C67" s="239"/>
      <c r="D67" s="239"/>
      <c r="E67" s="239"/>
      <c r="F67" s="239"/>
      <c r="G67" s="239"/>
      <c r="H67" s="239"/>
      <c r="I67" s="240"/>
    </row>
    <row r="68" spans="1:9" ht="18.75" customHeight="1">
      <c r="A68" s="4"/>
      <c r="B68" s="238"/>
      <c r="C68" s="239"/>
      <c r="D68" s="239"/>
      <c r="E68" s="239"/>
      <c r="F68" s="239"/>
      <c r="G68" s="239"/>
      <c r="H68" s="239"/>
      <c r="I68" s="240"/>
    </row>
    <row r="69" spans="1:9" ht="18.75" customHeight="1">
      <c r="A69" s="4"/>
      <c r="B69" s="238"/>
      <c r="C69" s="239"/>
      <c r="D69" s="239"/>
      <c r="E69" s="239"/>
      <c r="F69" s="239"/>
      <c r="G69" s="239"/>
      <c r="H69" s="239"/>
      <c r="I69" s="240"/>
    </row>
    <row r="70" spans="1:9" ht="18.75" customHeight="1">
      <c r="A70" s="4"/>
      <c r="B70" s="238"/>
      <c r="C70" s="239"/>
      <c r="D70" s="239"/>
      <c r="E70" s="239"/>
      <c r="F70" s="239"/>
      <c r="G70" s="239"/>
      <c r="H70" s="239"/>
      <c r="I70" s="240"/>
    </row>
    <row r="71" spans="1:9" ht="18.75" customHeight="1">
      <c r="A71" s="4"/>
      <c r="B71" s="238"/>
      <c r="C71" s="239"/>
      <c r="D71" s="239"/>
      <c r="E71" s="239"/>
      <c r="F71" s="239"/>
      <c r="G71" s="239"/>
      <c r="H71" s="239"/>
      <c r="I71" s="240"/>
    </row>
    <row r="72" spans="1:9" ht="18.75" customHeight="1">
      <c r="A72" s="4"/>
      <c r="B72" s="238"/>
      <c r="C72" s="239"/>
      <c r="D72" s="239"/>
      <c r="E72" s="239"/>
      <c r="F72" s="239"/>
      <c r="G72" s="239"/>
      <c r="H72" s="239"/>
      <c r="I72" s="240"/>
    </row>
    <row r="73" spans="1:9" ht="18.75" customHeight="1">
      <c r="A73" s="4"/>
      <c r="B73" s="238"/>
      <c r="C73" s="239"/>
      <c r="D73" s="239"/>
      <c r="E73" s="239"/>
      <c r="F73" s="239"/>
      <c r="G73" s="239"/>
      <c r="H73" s="239"/>
      <c r="I73" s="240"/>
    </row>
    <row r="74" spans="1:9" ht="18.75" customHeight="1">
      <c r="A74" s="4"/>
      <c r="B74" s="238"/>
      <c r="C74" s="239"/>
      <c r="D74" s="239"/>
      <c r="E74" s="239"/>
      <c r="F74" s="239"/>
      <c r="G74" s="239"/>
      <c r="H74" s="239"/>
      <c r="I74" s="240"/>
    </row>
    <row r="75" spans="1:9" ht="18.75" customHeight="1">
      <c r="A75" s="4"/>
      <c r="B75" s="238"/>
      <c r="C75" s="239"/>
      <c r="D75" s="239"/>
      <c r="E75" s="239"/>
      <c r="F75" s="239"/>
      <c r="G75" s="239"/>
      <c r="H75" s="239"/>
      <c r="I75" s="240"/>
    </row>
    <row r="76" spans="1:9" ht="18.75" customHeight="1">
      <c r="A76" s="4"/>
      <c r="B76" s="238"/>
      <c r="C76" s="239"/>
      <c r="D76" s="239"/>
      <c r="E76" s="239"/>
      <c r="F76" s="239"/>
      <c r="G76" s="239"/>
      <c r="H76" s="239"/>
      <c r="I76" s="240"/>
    </row>
    <row r="77" spans="1:9" ht="18.75" customHeight="1">
      <c r="A77" s="4"/>
      <c r="B77" s="241"/>
      <c r="C77" s="242"/>
      <c r="D77" s="242"/>
      <c r="E77" s="242"/>
      <c r="F77" s="242"/>
      <c r="G77" s="242"/>
      <c r="H77" s="242"/>
      <c r="I77" s="243"/>
    </row>
    <row r="78" spans="1:9" ht="7.5" customHeight="1">
      <c r="A78" s="4"/>
      <c r="B78" s="4"/>
      <c r="C78" s="4"/>
      <c r="D78" s="4"/>
      <c r="E78" s="4"/>
      <c r="F78" s="4"/>
      <c r="G78" s="4"/>
      <c r="H78" s="4"/>
      <c r="I78" s="4"/>
    </row>
    <row r="79" spans="1:9" ht="18.75" customHeight="1">
      <c r="A79" s="1" t="s">
        <v>145</v>
      </c>
      <c r="B79" s="1" t="s">
        <v>146</v>
      </c>
    </row>
    <row r="80" spans="1:9" ht="18.75" customHeight="1">
      <c r="A80" s="1"/>
      <c r="B80" s="235" t="s">
        <v>147</v>
      </c>
      <c r="C80" s="236"/>
      <c r="D80" s="236"/>
      <c r="E80" s="236"/>
      <c r="F80" s="236"/>
      <c r="G80" s="236"/>
      <c r="H80" s="236"/>
      <c r="I80" s="244"/>
    </row>
    <row r="81" spans="1:9" ht="18.75" customHeight="1">
      <c r="A81" s="1"/>
      <c r="B81" s="245"/>
      <c r="C81" s="246"/>
      <c r="D81" s="246"/>
      <c r="E81" s="246"/>
      <c r="F81" s="246"/>
      <c r="G81" s="246"/>
      <c r="H81" s="246"/>
      <c r="I81" s="247"/>
    </row>
    <row r="82" spans="1:9" ht="18.75" customHeight="1">
      <c r="A82" s="1"/>
      <c r="B82" s="245"/>
      <c r="C82" s="246"/>
      <c r="D82" s="246"/>
      <c r="E82" s="246"/>
      <c r="F82" s="246"/>
      <c r="G82" s="246"/>
      <c r="H82" s="246"/>
      <c r="I82" s="247"/>
    </row>
    <row r="83" spans="1:9" ht="18.75" customHeight="1">
      <c r="A83" s="1"/>
      <c r="B83" s="245"/>
      <c r="C83" s="246"/>
      <c r="D83" s="246"/>
      <c r="E83" s="246"/>
      <c r="F83" s="246"/>
      <c r="G83" s="246"/>
      <c r="H83" s="246"/>
      <c r="I83" s="247"/>
    </row>
    <row r="84" spans="1:9" ht="18.75" customHeight="1">
      <c r="A84" s="1"/>
      <c r="B84" s="245"/>
      <c r="C84" s="246"/>
      <c r="D84" s="246"/>
      <c r="E84" s="246"/>
      <c r="F84" s="246"/>
      <c r="G84" s="246"/>
      <c r="H84" s="246"/>
      <c r="I84" s="247"/>
    </row>
    <row r="85" spans="1:9" ht="18.75" customHeight="1">
      <c r="A85" s="1"/>
      <c r="B85" s="245"/>
      <c r="C85" s="246"/>
      <c r="D85" s="246"/>
      <c r="E85" s="246"/>
      <c r="F85" s="246"/>
      <c r="G85" s="246"/>
      <c r="H85" s="246"/>
      <c r="I85" s="247"/>
    </row>
    <row r="86" spans="1:9" ht="18.75" customHeight="1">
      <c r="A86" s="1"/>
      <c r="B86" s="245"/>
      <c r="C86" s="246"/>
      <c r="D86" s="246"/>
      <c r="E86" s="246"/>
      <c r="F86" s="246"/>
      <c r="G86" s="246"/>
      <c r="H86" s="246"/>
      <c r="I86" s="247"/>
    </row>
    <row r="87" spans="1:9" ht="18.75" customHeight="1">
      <c r="A87" s="1"/>
      <c r="B87" s="245"/>
      <c r="C87" s="246"/>
      <c r="D87" s="246"/>
      <c r="E87" s="246"/>
      <c r="F87" s="246"/>
      <c r="G87" s="246"/>
      <c r="H87" s="246"/>
      <c r="I87" s="247"/>
    </row>
    <row r="88" spans="1:9" ht="18.75" customHeight="1">
      <c r="A88" s="1"/>
      <c r="B88" s="245"/>
      <c r="C88" s="246"/>
      <c r="D88" s="246"/>
      <c r="E88" s="246"/>
      <c r="F88" s="246"/>
      <c r="G88" s="246"/>
      <c r="H88" s="246"/>
      <c r="I88" s="247"/>
    </row>
    <row r="89" spans="1:9" ht="18.75" customHeight="1">
      <c r="A89" s="1"/>
      <c r="B89" s="245"/>
      <c r="C89" s="246"/>
      <c r="D89" s="246"/>
      <c r="E89" s="246"/>
      <c r="F89" s="246"/>
      <c r="G89" s="246"/>
      <c r="H89" s="246"/>
      <c r="I89" s="247"/>
    </row>
    <row r="90" spans="1:9" ht="18.75" customHeight="1">
      <c r="A90" s="4"/>
      <c r="B90" s="245"/>
      <c r="C90" s="246"/>
      <c r="D90" s="246"/>
      <c r="E90" s="246"/>
      <c r="F90" s="246"/>
      <c r="G90" s="246"/>
      <c r="H90" s="246"/>
      <c r="I90" s="247"/>
    </row>
    <row r="91" spans="1:9" ht="18.75" customHeight="1">
      <c r="A91" s="4"/>
      <c r="B91" s="248"/>
      <c r="C91" s="249"/>
      <c r="D91" s="249"/>
      <c r="E91" s="249"/>
      <c r="F91" s="249"/>
      <c r="G91" s="249"/>
      <c r="H91" s="249"/>
      <c r="I91" s="250"/>
    </row>
    <row r="92" spans="1:9" ht="7.5" customHeight="1">
      <c r="A92" s="4"/>
      <c r="B92" s="4"/>
      <c r="C92" s="4"/>
      <c r="D92" s="4"/>
      <c r="E92" s="4"/>
      <c r="F92" s="4"/>
      <c r="G92" s="4"/>
      <c r="H92" s="4"/>
      <c r="I92" s="4"/>
    </row>
    <row r="93" spans="1:9" ht="18.75" customHeight="1">
      <c r="A93" s="1" t="s">
        <v>148</v>
      </c>
      <c r="B93" s="1" t="s">
        <v>149</v>
      </c>
    </row>
    <row r="94" spans="1:9" ht="18.75" customHeight="1">
      <c r="A94" s="1"/>
      <c r="B94" s="212" t="s">
        <v>178</v>
      </c>
      <c r="C94" s="213"/>
      <c r="D94" s="213"/>
      <c r="E94" s="213"/>
      <c r="F94" s="213"/>
      <c r="G94" s="213"/>
      <c r="H94" s="213"/>
      <c r="I94" s="214"/>
    </row>
    <row r="95" spans="1:9" ht="18.75" customHeight="1">
      <c r="A95" s="1"/>
      <c r="B95" s="215"/>
      <c r="C95" s="216"/>
      <c r="D95" s="216"/>
      <c r="E95" s="216"/>
      <c r="F95" s="216"/>
      <c r="G95" s="216"/>
      <c r="H95" s="216"/>
      <c r="I95" s="217"/>
    </row>
    <row r="96" spans="1:9" ht="18.75" customHeight="1">
      <c r="A96" s="1"/>
      <c r="B96" s="215"/>
      <c r="C96" s="216"/>
      <c r="D96" s="216"/>
      <c r="E96" s="216"/>
      <c r="F96" s="216"/>
      <c r="G96" s="216"/>
      <c r="H96" s="216"/>
      <c r="I96" s="217"/>
    </row>
    <row r="97" spans="1:9" ht="18.75" customHeight="1">
      <c r="A97" s="1"/>
      <c r="B97" s="215"/>
      <c r="C97" s="216"/>
      <c r="D97" s="216"/>
      <c r="E97" s="216"/>
      <c r="F97" s="216"/>
      <c r="G97" s="216"/>
      <c r="H97" s="216"/>
      <c r="I97" s="217"/>
    </row>
    <row r="98" spans="1:9" ht="18.75" customHeight="1">
      <c r="A98" s="1"/>
      <c r="B98" s="215"/>
      <c r="C98" s="216"/>
      <c r="D98" s="216"/>
      <c r="E98" s="216"/>
      <c r="F98" s="216"/>
      <c r="G98" s="216"/>
      <c r="H98" s="216"/>
      <c r="I98" s="217"/>
    </row>
    <row r="99" spans="1:9" ht="18.75" customHeight="1">
      <c r="A99" s="1"/>
      <c r="B99" s="215"/>
      <c r="C99" s="216"/>
      <c r="D99" s="216"/>
      <c r="E99" s="216"/>
      <c r="F99" s="216"/>
      <c r="G99" s="216"/>
      <c r="H99" s="216"/>
      <c r="I99" s="217"/>
    </row>
    <row r="100" spans="1:9" ht="18.75" customHeight="1">
      <c r="A100" s="1"/>
      <c r="B100" s="215"/>
      <c r="C100" s="216"/>
      <c r="D100" s="216"/>
      <c r="E100" s="216"/>
      <c r="F100" s="216"/>
      <c r="G100" s="216"/>
      <c r="H100" s="216"/>
      <c r="I100" s="217"/>
    </row>
    <row r="101" spans="1:9" ht="18.75" customHeight="1">
      <c r="A101" s="1"/>
      <c r="B101" s="215"/>
      <c r="C101" s="216"/>
      <c r="D101" s="216"/>
      <c r="E101" s="216"/>
      <c r="F101" s="216"/>
      <c r="G101" s="216"/>
      <c r="H101" s="216"/>
      <c r="I101" s="217"/>
    </row>
    <row r="102" spans="1:9" ht="18.75" customHeight="1">
      <c r="A102" s="1"/>
      <c r="B102" s="215"/>
      <c r="C102" s="216"/>
      <c r="D102" s="216"/>
      <c r="E102" s="216"/>
      <c r="F102" s="216"/>
      <c r="G102" s="216"/>
      <c r="H102" s="216"/>
      <c r="I102" s="217"/>
    </row>
    <row r="103" spans="1:9" ht="18.75" customHeight="1">
      <c r="A103" s="1"/>
      <c r="B103" s="215"/>
      <c r="C103" s="216"/>
      <c r="D103" s="216"/>
      <c r="E103" s="216"/>
      <c r="F103" s="216"/>
      <c r="G103" s="216"/>
      <c r="H103" s="216"/>
      <c r="I103" s="217"/>
    </row>
    <row r="104" spans="1:9" ht="18.75" customHeight="1">
      <c r="A104" s="1"/>
      <c r="B104" s="215"/>
      <c r="C104" s="216"/>
      <c r="D104" s="216"/>
      <c r="E104" s="216"/>
      <c r="F104" s="216"/>
      <c r="G104" s="216"/>
      <c r="H104" s="216"/>
      <c r="I104" s="217"/>
    </row>
    <row r="105" spans="1:9" ht="18.75" customHeight="1">
      <c r="A105" s="4"/>
      <c r="B105" s="218"/>
      <c r="C105" s="219"/>
      <c r="D105" s="219"/>
      <c r="E105" s="219"/>
      <c r="F105" s="219"/>
      <c r="G105" s="219"/>
      <c r="H105" s="219"/>
      <c r="I105" s="220"/>
    </row>
    <row r="106" spans="1:9" ht="7.5" customHeight="1">
      <c r="A106" s="4"/>
      <c r="B106" s="4"/>
      <c r="C106" s="4"/>
      <c r="D106" s="4"/>
      <c r="E106" s="4"/>
      <c r="F106" s="4"/>
      <c r="G106" s="4"/>
      <c r="H106" s="4"/>
      <c r="I106" s="4"/>
    </row>
    <row r="107" spans="1:9" ht="18.75" customHeight="1">
      <c r="A107" s="1" t="s">
        <v>150</v>
      </c>
      <c r="B107" s="221" t="s">
        <v>151</v>
      </c>
      <c r="C107" s="221"/>
      <c r="D107" s="221"/>
      <c r="E107" s="221"/>
      <c r="F107" s="221"/>
      <c r="G107" s="221"/>
      <c r="H107" s="221"/>
      <c r="I107" s="221"/>
    </row>
    <row r="108" spans="1:9" ht="18.75" customHeight="1">
      <c r="A108" s="4"/>
      <c r="B108" s="222" t="s">
        <v>179</v>
      </c>
      <c r="C108" s="223"/>
      <c r="D108" s="223"/>
      <c r="E108" s="223"/>
      <c r="F108" s="223"/>
      <c r="G108" s="223"/>
      <c r="H108" s="223"/>
      <c r="I108" s="224"/>
    </row>
    <row r="109" spans="1:9" ht="18.75" customHeight="1">
      <c r="A109" s="4"/>
      <c r="B109" s="225"/>
      <c r="C109" s="226"/>
      <c r="D109" s="226"/>
      <c r="E109" s="226"/>
      <c r="F109" s="226"/>
      <c r="G109" s="226"/>
      <c r="H109" s="226"/>
      <c r="I109" s="227"/>
    </row>
    <row r="110" spans="1:9" ht="18.75" customHeight="1">
      <c r="A110" s="4"/>
      <c r="B110" s="225"/>
      <c r="C110" s="226"/>
      <c r="D110" s="226"/>
      <c r="E110" s="226"/>
      <c r="F110" s="226"/>
      <c r="G110" s="226"/>
      <c r="H110" s="226"/>
      <c r="I110" s="227"/>
    </row>
    <row r="111" spans="1:9" ht="18.75" customHeight="1">
      <c r="A111" s="4"/>
      <c r="B111" s="225"/>
      <c r="C111" s="226"/>
      <c r="D111" s="226"/>
      <c r="E111" s="226"/>
      <c r="F111" s="226"/>
      <c r="G111" s="226"/>
      <c r="H111" s="226"/>
      <c r="I111" s="227"/>
    </row>
    <row r="112" spans="1:9" ht="18.75" customHeight="1">
      <c r="A112" s="4"/>
      <c r="B112" s="225"/>
      <c r="C112" s="226"/>
      <c r="D112" s="226"/>
      <c r="E112" s="226"/>
      <c r="F112" s="226"/>
      <c r="G112" s="226"/>
      <c r="H112" s="226"/>
      <c r="I112" s="227"/>
    </row>
    <row r="113" spans="1:9" ht="18.75" customHeight="1">
      <c r="A113" s="4"/>
      <c r="B113" s="225"/>
      <c r="C113" s="226"/>
      <c r="D113" s="226"/>
      <c r="E113" s="226"/>
      <c r="F113" s="226"/>
      <c r="G113" s="226"/>
      <c r="H113" s="226"/>
      <c r="I113" s="227"/>
    </row>
    <row r="114" spans="1:9" ht="18.75" customHeight="1">
      <c r="A114" s="4"/>
      <c r="B114" s="225"/>
      <c r="C114" s="226"/>
      <c r="D114" s="226"/>
      <c r="E114" s="226"/>
      <c r="F114" s="226"/>
      <c r="G114" s="226"/>
      <c r="H114" s="226"/>
      <c r="I114" s="227"/>
    </row>
    <row r="115" spans="1:9" ht="18.75" customHeight="1">
      <c r="A115" s="4"/>
      <c r="B115" s="225"/>
      <c r="C115" s="226"/>
      <c r="D115" s="226"/>
      <c r="E115" s="226"/>
      <c r="F115" s="226"/>
      <c r="G115" s="226"/>
      <c r="H115" s="226"/>
      <c r="I115" s="227"/>
    </row>
    <row r="116" spans="1:9" ht="18.75" customHeight="1">
      <c r="A116" s="4"/>
      <c r="B116" s="225"/>
      <c r="C116" s="226"/>
      <c r="D116" s="226"/>
      <c r="E116" s="226"/>
      <c r="F116" s="226"/>
      <c r="G116" s="226"/>
      <c r="H116" s="226"/>
      <c r="I116" s="227"/>
    </row>
    <row r="117" spans="1:9" ht="18.75" customHeight="1">
      <c r="A117" s="4"/>
      <c r="B117" s="225"/>
      <c r="C117" s="226"/>
      <c r="D117" s="226"/>
      <c r="E117" s="226"/>
      <c r="F117" s="226"/>
      <c r="G117" s="226"/>
      <c r="H117" s="226"/>
      <c r="I117" s="227"/>
    </row>
    <row r="118" spans="1:9" ht="18.75" customHeight="1">
      <c r="A118" s="4"/>
      <c r="B118" s="225"/>
      <c r="C118" s="226"/>
      <c r="D118" s="226"/>
      <c r="E118" s="226"/>
      <c r="F118" s="226"/>
      <c r="G118" s="226"/>
      <c r="H118" s="226"/>
      <c r="I118" s="227"/>
    </row>
    <row r="119" spans="1:9" ht="18.75" customHeight="1">
      <c r="A119" s="4"/>
      <c r="B119" s="228"/>
      <c r="C119" s="229"/>
      <c r="D119" s="229"/>
      <c r="E119" s="229"/>
      <c r="F119" s="229"/>
      <c r="G119" s="229"/>
      <c r="H119" s="229"/>
      <c r="I119" s="230"/>
    </row>
    <row r="120" spans="1:9" ht="7.5" customHeight="1">
      <c r="A120" s="4"/>
      <c r="B120" s="39"/>
      <c r="C120" s="39"/>
      <c r="D120" s="39"/>
      <c r="E120" s="39"/>
      <c r="F120" s="39"/>
      <c r="G120" s="39"/>
      <c r="H120" s="39"/>
      <c r="I120" s="39"/>
    </row>
    <row r="121" spans="1:9" ht="18.75" customHeight="1">
      <c r="A121" s="69"/>
      <c r="B121" s="183"/>
      <c r="C121" s="183"/>
      <c r="D121" s="183"/>
      <c r="E121" s="183"/>
      <c r="F121" s="183"/>
      <c r="G121" s="183"/>
      <c r="H121" s="183"/>
      <c r="I121" s="183"/>
    </row>
    <row r="122" spans="1:9" ht="18.75" customHeight="1">
      <c r="A122" s="69"/>
      <c r="B122" s="183"/>
      <c r="C122" s="183"/>
      <c r="D122" s="183"/>
      <c r="E122" s="183"/>
      <c r="F122" s="183"/>
      <c r="G122" s="183"/>
      <c r="H122" s="183"/>
      <c r="I122" s="183"/>
    </row>
    <row r="123" spans="1:9" ht="18.75" customHeight="1">
      <c r="A123" s="4"/>
      <c r="B123" s="73"/>
      <c r="C123" s="73"/>
      <c r="D123" s="73"/>
      <c r="E123" s="73"/>
      <c r="F123" s="73"/>
      <c r="G123" s="73"/>
      <c r="H123" s="73"/>
      <c r="I123" s="74"/>
    </row>
    <row r="124" spans="1:9" ht="18.75" customHeight="1">
      <c r="A124" s="4"/>
      <c r="B124" s="74"/>
      <c r="C124" s="74"/>
      <c r="D124" s="74"/>
      <c r="E124" s="74"/>
      <c r="F124" s="74"/>
      <c r="G124" s="74"/>
      <c r="H124" s="74"/>
      <c r="I124" s="74"/>
    </row>
    <row r="125" spans="1:9" ht="18.75" customHeight="1">
      <c r="A125" s="4"/>
      <c r="B125" s="74"/>
      <c r="C125" s="74"/>
      <c r="D125" s="74"/>
      <c r="E125" s="74"/>
      <c r="F125" s="74"/>
      <c r="G125" s="74"/>
      <c r="H125" s="74"/>
      <c r="I125" s="74"/>
    </row>
    <row r="126" spans="1:9" ht="18.75" customHeight="1">
      <c r="A126" s="4"/>
      <c r="B126" s="74"/>
      <c r="C126" s="74"/>
      <c r="D126" s="74"/>
      <c r="E126" s="74"/>
      <c r="F126" s="74"/>
      <c r="G126" s="74"/>
      <c r="H126" s="74"/>
      <c r="I126" s="74"/>
    </row>
    <row r="127" spans="1:9" ht="18.75" customHeight="1">
      <c r="A127" s="4"/>
      <c r="B127" s="74"/>
      <c r="C127" s="74"/>
      <c r="D127" s="74"/>
      <c r="E127" s="74"/>
      <c r="F127" s="74"/>
      <c r="G127" s="74"/>
      <c r="H127" s="74"/>
      <c r="I127" s="74"/>
    </row>
    <row r="128" spans="1:9" ht="18.75" customHeight="1">
      <c r="A128" s="4"/>
      <c r="B128" s="74"/>
      <c r="C128" s="74"/>
      <c r="D128" s="74"/>
      <c r="E128" s="74"/>
      <c r="F128" s="74"/>
      <c r="G128" s="74"/>
      <c r="H128" s="74"/>
      <c r="I128" s="74"/>
    </row>
    <row r="129" spans="1:9" ht="18.75" customHeight="1">
      <c r="A129" s="4"/>
      <c r="B129" s="74"/>
      <c r="C129" s="74"/>
      <c r="D129" s="74"/>
      <c r="E129" s="74"/>
      <c r="F129" s="74"/>
      <c r="G129" s="74"/>
      <c r="H129" s="74"/>
      <c r="I129" s="74"/>
    </row>
    <row r="130" spans="1:9" ht="18.75" customHeight="1">
      <c r="A130" s="4"/>
      <c r="B130" s="74"/>
      <c r="C130" s="74"/>
      <c r="D130" s="74"/>
      <c r="E130" s="74"/>
      <c r="F130" s="74"/>
      <c r="G130" s="74"/>
      <c r="H130" s="74"/>
      <c r="I130" s="74"/>
    </row>
    <row r="131" spans="1:9" ht="18.75" customHeight="1">
      <c r="A131" s="4"/>
      <c r="B131" s="74"/>
      <c r="C131" s="74"/>
      <c r="D131" s="74"/>
      <c r="E131" s="74"/>
      <c r="F131" s="74"/>
      <c r="G131" s="74"/>
      <c r="H131" s="74"/>
      <c r="I131" s="74"/>
    </row>
    <row r="132" spans="1:9" ht="18.75" customHeight="1">
      <c r="A132" s="4"/>
      <c r="B132" s="74"/>
      <c r="C132" s="74"/>
      <c r="D132" s="74"/>
      <c r="E132" s="74"/>
      <c r="F132" s="74"/>
      <c r="G132" s="74"/>
      <c r="H132" s="74"/>
      <c r="I132" s="74"/>
    </row>
    <row r="133" spans="1:9" ht="15">
      <c r="A133" s="4"/>
      <c r="B133" s="74"/>
      <c r="C133" s="74"/>
      <c r="D133" s="74"/>
      <c r="E133" s="74"/>
      <c r="F133" s="74"/>
      <c r="G133" s="74"/>
      <c r="H133" s="74"/>
      <c r="I133" s="74"/>
    </row>
    <row r="134" spans="1:9" ht="7.5" customHeight="1">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scale="95"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120" zoomScaleNormal="100" zoomScaleSheetLayoutView="120" workbookViewId="0">
      <selection activeCell="B21" sqref="B21:D21"/>
    </sheetView>
  </sheetViews>
  <sheetFormatPr baseColWidth="10" defaultColWidth="11.33203125" defaultRowHeight="22.5" customHeight="1"/>
  <cols>
    <col min="1" max="3" width="2.83203125" style="1" customWidth="1"/>
    <col min="4" max="4" width="22.1640625" style="1" customWidth="1"/>
    <col min="5" max="5" width="30.83203125" style="1" customWidth="1"/>
    <col min="6" max="7" width="7.83203125" style="1" customWidth="1"/>
    <col min="8" max="9" width="30.83203125" style="1" customWidth="1"/>
    <col min="10" max="10" width="4.1640625" style="1" customWidth="1"/>
    <col min="11" max="16384" width="11.33203125" style="1"/>
  </cols>
  <sheetData>
    <row r="1" spans="1:9" ht="18.75" customHeight="1">
      <c r="A1" s="1" t="s">
        <v>152</v>
      </c>
      <c r="I1" s="30" t="s">
        <v>153</v>
      </c>
    </row>
    <row r="2" spans="1:9" ht="18.75" customHeight="1">
      <c r="H2" s="30" t="s">
        <v>2</v>
      </c>
      <c r="I2" s="29" t="str">
        <f>'様式１　プログラムを構成する授業科目'!C2</f>
        <v>佐久大学信州短期大学部</v>
      </c>
    </row>
    <row r="3" spans="1:9" ht="18.75" customHeight="1">
      <c r="A3" s="184" t="s">
        <v>154</v>
      </c>
      <c r="B3" s="184"/>
      <c r="C3" s="184"/>
      <c r="D3" s="184"/>
      <c r="E3" s="184"/>
      <c r="F3" s="184"/>
      <c r="G3" s="184"/>
      <c r="H3" s="184"/>
      <c r="I3" s="184"/>
    </row>
    <row r="4" spans="1:9" ht="18.75" customHeight="1">
      <c r="A4" s="5"/>
      <c r="B4" s="5"/>
      <c r="C4" s="5"/>
      <c r="D4" s="5"/>
      <c r="E4" s="5"/>
      <c r="F4" s="5"/>
      <c r="G4" s="5"/>
      <c r="H4" s="5"/>
      <c r="I4" s="5"/>
    </row>
    <row r="5" spans="1:9" ht="18.75" customHeight="1">
      <c r="A5" s="1" t="s">
        <v>112</v>
      </c>
      <c r="B5" s="10" t="s">
        <v>155</v>
      </c>
      <c r="C5" s="5"/>
      <c r="D5" s="5"/>
      <c r="E5" s="5"/>
      <c r="F5" s="5"/>
      <c r="G5" s="5"/>
      <c r="H5" s="5"/>
      <c r="I5" s="5"/>
    </row>
    <row r="6" spans="1:9" ht="26.25" customHeight="1">
      <c r="A6" s="5"/>
      <c r="B6" s="208" t="s">
        <v>156</v>
      </c>
      <c r="C6" s="268"/>
      <c r="D6" s="268"/>
      <c r="E6" s="268"/>
      <c r="F6" s="268"/>
      <c r="G6" s="268"/>
      <c r="H6" s="269"/>
      <c r="I6" s="3"/>
    </row>
    <row r="7" spans="1:9" ht="9" customHeight="1">
      <c r="A7" s="5"/>
      <c r="B7" s="10"/>
      <c r="C7" s="10"/>
      <c r="D7" s="10"/>
      <c r="E7" s="10"/>
      <c r="F7" s="10"/>
      <c r="G7" s="10"/>
      <c r="H7" s="10"/>
      <c r="I7" s="3"/>
    </row>
    <row r="8" spans="1:9" ht="18.75" customHeight="1">
      <c r="A8" s="5"/>
      <c r="B8" s="3"/>
      <c r="C8" s="3"/>
      <c r="D8" s="30" t="s">
        <v>120</v>
      </c>
      <c r="E8" s="31" t="s">
        <v>124</v>
      </c>
      <c r="F8" s="3"/>
      <c r="G8" s="30" t="s">
        <v>121</v>
      </c>
      <c r="H8" s="31" t="s">
        <v>157</v>
      </c>
      <c r="I8" s="3"/>
    </row>
    <row r="9" spans="1:9" ht="7.5" customHeight="1">
      <c r="A9" s="5"/>
      <c r="B9" s="5"/>
      <c r="C9" s="5"/>
      <c r="D9" s="5"/>
      <c r="E9" s="5"/>
      <c r="F9" s="5"/>
      <c r="G9" s="5"/>
      <c r="H9" s="5"/>
      <c r="I9" s="5"/>
    </row>
    <row r="10" spans="1:9" ht="18.75" customHeight="1">
      <c r="A10" s="1" t="s">
        <v>116</v>
      </c>
      <c r="B10" s="1" t="s">
        <v>158</v>
      </c>
      <c r="C10" s="4"/>
      <c r="D10" s="4"/>
      <c r="E10" s="4"/>
      <c r="F10" s="4"/>
      <c r="G10" s="4"/>
      <c r="H10" s="4"/>
      <c r="I10" s="4"/>
    </row>
    <row r="11" spans="1:9" ht="18.75" customHeight="1">
      <c r="B11" s="92" t="s">
        <v>159</v>
      </c>
      <c r="C11" s="93"/>
      <c r="D11" s="94"/>
      <c r="E11" s="93" t="s">
        <v>160</v>
      </c>
      <c r="F11" s="93"/>
      <c r="G11" s="93"/>
      <c r="H11" s="93"/>
      <c r="I11" s="94"/>
    </row>
    <row r="12" spans="1:9" ht="26.25" customHeight="1">
      <c r="B12" s="40" t="s">
        <v>161</v>
      </c>
      <c r="C12" s="47"/>
      <c r="D12" s="41"/>
      <c r="E12" s="48"/>
      <c r="F12" s="48"/>
      <c r="G12" s="48"/>
      <c r="H12" s="48"/>
      <c r="I12" s="41"/>
    </row>
    <row r="13" spans="1:9" ht="210.75" customHeight="1">
      <c r="B13" s="42"/>
      <c r="C13" s="266" t="s">
        <v>162</v>
      </c>
      <c r="D13" s="267"/>
      <c r="E13" s="263" t="s">
        <v>180</v>
      </c>
      <c r="F13" s="264"/>
      <c r="G13" s="264"/>
      <c r="H13" s="264"/>
      <c r="I13" s="265"/>
    </row>
    <row r="14" spans="1:9" ht="210.75" customHeight="1">
      <c r="B14" s="42"/>
      <c r="C14" s="261" t="s">
        <v>163</v>
      </c>
      <c r="D14" s="262"/>
      <c r="E14" s="263" t="s">
        <v>181</v>
      </c>
      <c r="F14" s="264"/>
      <c r="G14" s="264"/>
      <c r="H14" s="264"/>
      <c r="I14" s="265"/>
    </row>
    <row r="15" spans="1:9" ht="210.75" customHeight="1">
      <c r="B15" s="42"/>
      <c r="C15" s="266" t="s">
        <v>164</v>
      </c>
      <c r="D15" s="267"/>
      <c r="E15" s="263" t="s">
        <v>165</v>
      </c>
      <c r="F15" s="264"/>
      <c r="G15" s="264"/>
      <c r="H15" s="264"/>
      <c r="I15" s="265"/>
    </row>
    <row r="16" spans="1:9" ht="210.75" customHeight="1">
      <c r="B16" s="42"/>
      <c r="C16" s="266" t="s">
        <v>166</v>
      </c>
      <c r="D16" s="267"/>
      <c r="E16" s="263" t="s">
        <v>182</v>
      </c>
      <c r="F16" s="264"/>
      <c r="G16" s="264"/>
      <c r="H16" s="264"/>
      <c r="I16" s="265"/>
    </row>
    <row r="17" spans="2:9" ht="210.75" customHeight="1">
      <c r="B17" s="43"/>
      <c r="C17" s="270" t="s">
        <v>167</v>
      </c>
      <c r="D17" s="271"/>
      <c r="E17" s="272" t="s">
        <v>183</v>
      </c>
      <c r="F17" s="273"/>
      <c r="G17" s="273"/>
      <c r="H17" s="273"/>
      <c r="I17" s="274"/>
    </row>
    <row r="18" spans="2:9" ht="24" customHeight="1">
      <c r="B18" s="40" t="s">
        <v>168</v>
      </c>
      <c r="C18" s="44"/>
      <c r="D18" s="45"/>
      <c r="E18" s="46"/>
      <c r="F18" s="46"/>
      <c r="G18" s="46"/>
      <c r="H18" s="46"/>
      <c r="I18" s="49"/>
    </row>
    <row r="19" spans="2:9" ht="218.25" customHeight="1">
      <c r="B19" s="42"/>
      <c r="C19" s="266" t="s">
        <v>169</v>
      </c>
      <c r="D19" s="267"/>
      <c r="E19" s="264" t="s">
        <v>184</v>
      </c>
      <c r="F19" s="264"/>
      <c r="G19" s="264"/>
      <c r="H19" s="264"/>
      <c r="I19" s="265"/>
    </row>
    <row r="20" spans="2:9" ht="218.25" customHeight="1">
      <c r="B20" s="43"/>
      <c r="C20" s="270" t="s">
        <v>170</v>
      </c>
      <c r="D20" s="271"/>
      <c r="E20" s="264" t="s">
        <v>185</v>
      </c>
      <c r="F20" s="264"/>
      <c r="G20" s="264"/>
      <c r="H20" s="264"/>
      <c r="I20" s="265"/>
    </row>
    <row r="21" spans="2:9" ht="218.25" customHeight="1">
      <c r="B21" s="280" t="s">
        <v>171</v>
      </c>
      <c r="C21" s="281"/>
      <c r="D21" s="282"/>
      <c r="E21" s="283" t="s">
        <v>186</v>
      </c>
      <c r="F21" s="283"/>
      <c r="G21" s="283"/>
      <c r="H21" s="283"/>
      <c r="I21" s="284"/>
    </row>
    <row r="22" spans="2:9" ht="218.25" customHeight="1">
      <c r="B22" s="275" t="s">
        <v>172</v>
      </c>
      <c r="C22" s="276"/>
      <c r="D22" s="277"/>
      <c r="E22" s="278" t="s">
        <v>187</v>
      </c>
      <c r="F22" s="278"/>
      <c r="G22" s="278"/>
      <c r="H22" s="278"/>
      <c r="I22" s="279"/>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57"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F7C8179CC11924884A4A9255EA31180" ma:contentTypeVersion="10" ma:contentTypeDescription="新しいドキュメントを作成します。" ma:contentTypeScope="" ma:versionID="01315ec0099707ebab722c0d5ea93f81">
  <xsd:schema xmlns:xsd="http://www.w3.org/2001/XMLSchema" xmlns:xs="http://www.w3.org/2001/XMLSchema" xmlns:p="http://schemas.microsoft.com/office/2006/metadata/properties" xmlns:ns2="f2f46d9b-8a00-43cc-af46-f5739b3232d6" xmlns:ns3="2f02da9b-b942-42f5-94cb-386e63b6d1ae" targetNamespace="http://schemas.microsoft.com/office/2006/metadata/properties" ma:root="true" ma:fieldsID="b860706ce195323a3fa88623d477275c" ns2:_="" ns3:_="">
    <xsd:import namespace="f2f46d9b-8a00-43cc-af46-f5739b3232d6"/>
    <xsd:import namespace="2f02da9b-b942-42f5-94cb-386e63b6d1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f46d9b-8a00-43cc-af46-f5739b3232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02da9b-b942-42f5-94cb-386e63b6d1ae"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63DA57-C0D1-4EFF-BED7-A30FAE4F3A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f46d9b-8a00-43cc-af46-f5739b3232d6"/>
    <ds:schemaRef ds:uri="2f02da9b-b942-42f5-94cb-386e63b6d1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70A2A1-BD0B-4EF5-BF7E-0FD21762FF2D}">
  <ds:schemaRefs>
    <ds:schemaRef ds:uri="http://www.w3.org/XML/1998/namespace"/>
    <ds:schemaRef ds:uri="http://purl.org/dc/terms/"/>
    <ds:schemaRef ds:uri="2f02da9b-b942-42f5-94cb-386e63b6d1ae"/>
    <ds:schemaRef ds:uri="http://schemas.microsoft.com/office/2006/documentManagement/types"/>
    <ds:schemaRef ds:uri="f2f46d9b-8a00-43cc-af46-f5739b3232d6"/>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FE4722C1-C56B-4AF1-9F7F-80441CA52B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三池 克明</cp:lastModifiedBy>
  <cp:revision/>
  <cp:lastPrinted>2024-05-10T23:10:01Z</cp:lastPrinted>
  <dcterms:created xsi:type="dcterms:W3CDTF">2011-06-14T05:32:50Z</dcterms:created>
  <dcterms:modified xsi:type="dcterms:W3CDTF">2024-06-10T23:29:07Z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0x0101001F7C8179CC11924884A4A9255EA31180</vt:lpwstr>
  </property>
</Properties>
</file>