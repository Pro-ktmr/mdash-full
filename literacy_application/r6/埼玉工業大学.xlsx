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G:\共有ドライブ\2024-数理・データサイエンス・AI認定プログラム申請\2024-申請検討作業用\提出資料\再提出\"/>
    </mc:Choice>
  </mc:AlternateContent>
  <bookViews>
    <workbookView xWindow="28680" yWindow="-120" windowWidth="29040" windowHeight="15840" tabRatio="885"/>
  </bookViews>
  <sheets>
    <sheet name="様式１-１　プログラムを構成する授業科目" sheetId="39" r:id="rId1"/>
    <sheet name="様式１-2　プログラムを構成する授業科目" sheetId="43" r:id="rId2"/>
    <sheet name="様式１-３　プログラムを構成する授業科目" sheetId="44" r:id="rId3"/>
    <sheet name="様式２ 履修者等数の実績" sheetId="40" r:id="rId4"/>
    <sheet name="様式３ 教育の質・履修者数を向上させるための体制・計画" sheetId="41" r:id="rId5"/>
    <sheet name="様式４　自己点検・評価" sheetId="42" r:id="rId6"/>
  </sheets>
  <definedNames>
    <definedName name="_xlnm._FilterDatabase" localSheetId="0" hidden="1">'様式１-１　プログラムを構成する授業科目'!$X$16:$X$18</definedName>
    <definedName name="_xlnm._FilterDatabase" localSheetId="1" hidden="1">'様式１-2　プログラムを構成する授業科目'!$X$16:$X$18</definedName>
    <definedName name="_xlnm._FilterDatabase" localSheetId="2" hidden="1">'様式１-３　プログラムを構成する授業科目'!$X$16:$X$18</definedName>
    <definedName name="_xlnm._FilterDatabase" localSheetId="3" hidden="1">'様式２ 履修者等数の実績'!#REF!</definedName>
    <definedName name="_xlnm.Print_Area" localSheetId="0">'様式１-１　プログラムを構成する授業科目'!$A$1:$U$112</definedName>
    <definedName name="_xlnm.Print_Area" localSheetId="1">'様式１-2　プログラムを構成する授業科目'!$A$1:$U$112</definedName>
    <definedName name="_xlnm.Print_Area" localSheetId="2">'様式１-３　プログラムを構成する授業科目'!$A$1:$U$112</definedName>
    <definedName name="_xlnm.Print_Area" localSheetId="3">'様式２ 履修者等数の実績'!$A$1:$S$33</definedName>
    <definedName name="_xlnm.Print_Area" localSheetId="4">'様式３ 教育の質・履修者数を向上させるための体制・計画'!$A$1:$I$119</definedName>
    <definedName name="_xlnm.Print_Area" localSheetId="5">'様式４　自己点検・評価'!$A$1:$I$22</definedName>
    <definedName name="_xlnm.Print_Titles" localSheetId="5">'様式４　自己点検・評価'!$11:$11</definedName>
  </definedNames>
  <calcPr calcId="162913" calcMode="manual"/>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7" i="40" l="1"/>
  <c r="I2" i="42"/>
  <c r="H2" i="41"/>
  <c r="Q2" i="40"/>
  <c r="I33" i="40" l="1"/>
  <c r="M33" i="40"/>
  <c r="P33" i="40"/>
  <c r="Q33" i="40"/>
  <c r="O33" i="40"/>
  <c r="N33" i="40"/>
  <c r="L33" i="40"/>
  <c r="J33" i="40"/>
  <c r="K33" i="40"/>
  <c r="H33" i="40"/>
  <c r="R14" i="40" l="1"/>
  <c r="R15" i="40"/>
  <c r="R16" i="40"/>
  <c r="R17" i="40"/>
  <c r="R18" i="40"/>
  <c r="R19" i="40"/>
  <c r="R20" i="40"/>
  <c r="R21" i="40"/>
  <c r="R22" i="40"/>
  <c r="R23" i="40"/>
  <c r="R24" i="40"/>
  <c r="R25" i="40"/>
  <c r="R26" i="40"/>
  <c r="R27" i="40"/>
  <c r="R28" i="40"/>
  <c r="R29" i="40"/>
  <c r="R30" i="40"/>
  <c r="R31" i="40"/>
  <c r="R32" i="40"/>
  <c r="R13" i="40"/>
  <c r="S13" i="40" s="1"/>
  <c r="C33" i="40"/>
  <c r="G33" i="40" l="1"/>
  <c r="F33" i="40" l="1"/>
  <c r="E33" i="40"/>
  <c r="I50" i="41" s="1"/>
  <c r="D33" i="40"/>
  <c r="S32" i="40"/>
  <c r="S31" i="40"/>
  <c r="S30" i="40"/>
  <c r="S29" i="40"/>
  <c r="S28" i="40"/>
  <c r="S27" i="40"/>
  <c r="S26" i="40"/>
  <c r="S25" i="40"/>
  <c r="S24" i="40"/>
  <c r="S23" i="40"/>
  <c r="S22" i="40"/>
  <c r="S21" i="40"/>
  <c r="S20" i="40"/>
  <c r="S19" i="40"/>
  <c r="S18" i="40"/>
  <c r="S17" i="40"/>
  <c r="S16" i="40"/>
  <c r="S15" i="40"/>
  <c r="S14" i="40"/>
  <c r="R33" i="40" l="1"/>
  <c r="S33" i="40" s="1"/>
  <c r="C49" i="41" s="1"/>
</calcChain>
</file>

<file path=xl/sharedStrings.xml><?xml version="1.0" encoding="utf-8"?>
<sst xmlns="http://schemas.openxmlformats.org/spreadsheetml/2006/main" count="610" uniqueCount="230">
  <si>
    <t>①</t>
    <phoneticPr fontId="1"/>
  </si>
  <si>
    <t>人</t>
    <rPh sb="0" eb="1">
      <t>ニン</t>
    </rPh>
    <phoneticPr fontId="1"/>
  </si>
  <si>
    <t>（非常勤）</t>
    <rPh sb="1" eb="4">
      <t>ヒジョウキン</t>
    </rPh>
    <phoneticPr fontId="1"/>
  </si>
  <si>
    <t>②</t>
    <phoneticPr fontId="1"/>
  </si>
  <si>
    <t>③</t>
    <phoneticPr fontId="1"/>
  </si>
  <si>
    <t>⑤</t>
    <phoneticPr fontId="1"/>
  </si>
  <si>
    <t>⑦</t>
    <phoneticPr fontId="1"/>
  </si>
  <si>
    <t>④</t>
    <phoneticPr fontId="1"/>
  </si>
  <si>
    <t>⑥</t>
    <phoneticPr fontId="1"/>
  </si>
  <si>
    <t>具体的な構成員</t>
    <rPh sb="0" eb="3">
      <t>グタイテキ</t>
    </rPh>
    <rPh sb="4" eb="7">
      <t>コウセイイン</t>
    </rPh>
    <phoneticPr fontId="1"/>
  </si>
  <si>
    <t>（役職名）</t>
    <rPh sb="1" eb="4">
      <t>ヤクショクメイ</t>
    </rPh>
    <phoneticPr fontId="1"/>
  </si>
  <si>
    <t>⑩</t>
    <phoneticPr fontId="1"/>
  </si>
  <si>
    <t>できる限り多くの学生が履修・修得できるようなサポート体制</t>
    <rPh sb="26" eb="28">
      <t>タイセイ</t>
    </rPh>
    <phoneticPr fontId="1"/>
  </si>
  <si>
    <t>学内からの視点</t>
    <rPh sb="0" eb="2">
      <t>ガクナイ</t>
    </rPh>
    <rPh sb="5" eb="7">
      <t>シテン</t>
    </rPh>
    <phoneticPr fontId="1"/>
  </si>
  <si>
    <t>プログラムの履修・修得状況</t>
    <rPh sb="6" eb="8">
      <t>リシュウ</t>
    </rPh>
    <rPh sb="9" eb="11">
      <t>シュウトク</t>
    </rPh>
    <rPh sb="11" eb="13">
      <t>ジョウキョウ</t>
    </rPh>
    <phoneticPr fontId="1"/>
  </si>
  <si>
    <t>学修成果</t>
    <rPh sb="0" eb="2">
      <t>ガクシュウ</t>
    </rPh>
    <rPh sb="2" eb="4">
      <t>セイカ</t>
    </rPh>
    <phoneticPr fontId="1"/>
  </si>
  <si>
    <t>学生アンケート等を通じた学生の内容の理解度</t>
    <rPh sb="0" eb="2">
      <t>ガクセイ</t>
    </rPh>
    <rPh sb="7" eb="8">
      <t>トウ</t>
    </rPh>
    <rPh sb="9" eb="10">
      <t>ツウ</t>
    </rPh>
    <rPh sb="12" eb="14">
      <t>ガクセイ</t>
    </rPh>
    <rPh sb="15" eb="17">
      <t>ナイヨウ</t>
    </rPh>
    <rPh sb="18" eb="21">
      <t>リカイド</t>
    </rPh>
    <phoneticPr fontId="1"/>
  </si>
  <si>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1"/>
  </si>
  <si>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1"/>
  </si>
  <si>
    <t>学外からの視点</t>
    <rPh sb="0" eb="2">
      <t>ガクガイ</t>
    </rPh>
    <rPh sb="5" eb="7">
      <t>シテン</t>
    </rPh>
    <phoneticPr fontId="1"/>
  </si>
  <si>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1"/>
  </si>
  <si>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1"/>
  </si>
  <si>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1"/>
  </si>
  <si>
    <t>自己点検・評価の視点</t>
    <rPh sb="0" eb="2">
      <t>ジコ</t>
    </rPh>
    <rPh sb="2" eb="4">
      <t>テンケン</t>
    </rPh>
    <rPh sb="5" eb="7">
      <t>ヒョウカ</t>
    </rPh>
    <rPh sb="8" eb="10">
      <t>シテン</t>
    </rPh>
    <phoneticPr fontId="1"/>
  </si>
  <si>
    <t>体制の目的</t>
    <rPh sb="0" eb="2">
      <t>タイセイ</t>
    </rPh>
    <rPh sb="3" eb="5">
      <t>モクテキ</t>
    </rPh>
    <phoneticPr fontId="1"/>
  </si>
  <si>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1"/>
  </si>
  <si>
    <t>自己点検・評価体制における意見等</t>
    <rPh sb="15" eb="16">
      <t>トウ</t>
    </rPh>
    <phoneticPr fontId="1"/>
  </si>
  <si>
    <t>自己点検・評価について</t>
    <rPh sb="0" eb="2">
      <t>ジコ</t>
    </rPh>
    <rPh sb="2" eb="4">
      <t>テンケン</t>
    </rPh>
    <rPh sb="5" eb="7">
      <t>ヒョウカ</t>
    </rPh>
    <phoneticPr fontId="1"/>
  </si>
  <si>
    <t>修了者数</t>
    <rPh sb="0" eb="3">
      <t>シュウリョウシャ</t>
    </rPh>
    <rPh sb="3" eb="4">
      <t>スウ</t>
    </rPh>
    <phoneticPr fontId="1"/>
  </si>
  <si>
    <t>⑫</t>
    <phoneticPr fontId="1"/>
  </si>
  <si>
    <t>⑧</t>
    <phoneticPr fontId="1"/>
  </si>
  <si>
    <t>履修率</t>
    <rPh sb="0" eb="2">
      <t>リシュウ</t>
    </rPh>
    <rPh sb="2" eb="3">
      <t>リツ</t>
    </rPh>
    <phoneticPr fontId="1"/>
  </si>
  <si>
    <t>合　計</t>
    <phoneticPr fontId="1"/>
  </si>
  <si>
    <t>⑨</t>
    <phoneticPr fontId="1"/>
  </si>
  <si>
    <t>履修者数
合計</t>
    <rPh sb="0" eb="2">
      <t>リシュウ</t>
    </rPh>
    <rPh sb="2" eb="3">
      <t>シャ</t>
    </rPh>
    <rPh sb="3" eb="4">
      <t>スウ</t>
    </rPh>
    <rPh sb="5" eb="7">
      <t>ゴウケイ</t>
    </rPh>
    <phoneticPr fontId="1"/>
  </si>
  <si>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1"/>
  </si>
  <si>
    <t>学部・学科に関係なく希望する学生全員が受講可能となるような必要な体制・取組等</t>
    <rPh sb="29" eb="31">
      <t>ヒツヨウ</t>
    </rPh>
    <rPh sb="32" eb="34">
      <t>タイセイ</t>
    </rPh>
    <rPh sb="35" eb="37">
      <t>トリクミ</t>
    </rPh>
    <rPh sb="37" eb="38">
      <t>トウ</t>
    </rPh>
    <phoneticPr fontId="1"/>
  </si>
  <si>
    <t>プログラムを構成する授業科目について</t>
    <phoneticPr fontId="1"/>
  </si>
  <si>
    <t>収容
定員</t>
    <rPh sb="0" eb="2">
      <t>シュウヨウ</t>
    </rPh>
    <rPh sb="3" eb="5">
      <t>テイイン</t>
    </rPh>
    <phoneticPr fontId="1"/>
  </si>
  <si>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1"/>
  </si>
  <si>
    <t>プログラムを改善・進化させるための体制を定める規則名称</t>
    <phoneticPr fontId="1"/>
  </si>
  <si>
    <t>（責任者名）</t>
    <rPh sb="1" eb="4">
      <t>セキニンシャ</t>
    </rPh>
    <rPh sb="4" eb="5">
      <t>メイ</t>
    </rPh>
    <phoneticPr fontId="1"/>
  </si>
  <si>
    <t>⑪</t>
    <phoneticPr fontId="1"/>
  </si>
  <si>
    <t>学部・学科名称</t>
    <rPh sb="0" eb="2">
      <t>ガクブ</t>
    </rPh>
    <rPh sb="3" eb="5">
      <t>ガッカ</t>
    </rPh>
    <rPh sb="5" eb="7">
      <t>メイショウ</t>
    </rPh>
    <phoneticPr fontId="1"/>
  </si>
  <si>
    <t>授業時間内外で学習指導、質問を受け付ける具体的な仕組み</t>
    <rPh sb="20" eb="23">
      <t>グタイテキ</t>
    </rPh>
    <phoneticPr fontId="1"/>
  </si>
  <si>
    <t>入学
定員</t>
    <rPh sb="0" eb="2">
      <t>ニュウガク</t>
    </rPh>
    <rPh sb="3" eb="5">
      <t>テイイン</t>
    </rPh>
    <phoneticPr fontId="1"/>
  </si>
  <si>
    <t>プログラムの履修者数等の実績について</t>
    <phoneticPr fontId="1"/>
  </si>
  <si>
    <t>令和3年度</t>
    <rPh sb="0" eb="2">
      <t>レイワ</t>
    </rPh>
    <rPh sb="3" eb="5">
      <t>ネンド</t>
    </rPh>
    <phoneticPr fontId="1"/>
  </si>
  <si>
    <t>令和2年度</t>
    <rPh sb="0" eb="2">
      <t>レイワ</t>
    </rPh>
    <rPh sb="3" eb="5">
      <t>ネンド</t>
    </rPh>
    <phoneticPr fontId="1"/>
  </si>
  <si>
    <t>平成30年度</t>
    <rPh sb="0" eb="2">
      <t>ヘイセイ</t>
    </rPh>
    <rPh sb="4" eb="6">
      <t>ネンド</t>
    </rPh>
    <phoneticPr fontId="1"/>
  </si>
  <si>
    <t>年度</t>
    <rPh sb="0" eb="2">
      <t>ネンド</t>
    </rPh>
    <phoneticPr fontId="1"/>
  </si>
  <si>
    <t>授業科目</t>
    <rPh sb="0" eb="2">
      <t>ジュギョウ</t>
    </rPh>
    <rPh sb="2" eb="4">
      <t>カモク</t>
    </rPh>
    <phoneticPr fontId="1"/>
  </si>
  <si>
    <t>授業に含まれている内容・要素</t>
    <phoneticPr fontId="1"/>
  </si>
  <si>
    <t>講義内容</t>
    <rPh sb="0" eb="2">
      <t>コウギ</t>
    </rPh>
    <rPh sb="2" eb="4">
      <t>ナイヨウ</t>
    </rPh>
    <phoneticPr fontId="1"/>
  </si>
  <si>
    <t>1-1</t>
    <phoneticPr fontId="1"/>
  </si>
  <si>
    <t>2-1</t>
    <phoneticPr fontId="1"/>
  </si>
  <si>
    <t>3-1</t>
    <phoneticPr fontId="1"/>
  </si>
  <si>
    <t>1-6</t>
  </si>
  <si>
    <t>3-2</t>
    <phoneticPr fontId="1"/>
  </si>
  <si>
    <t>（１）現在進行中の社会変化（第４次産業革命、Society 5.0、データ駆動型社会等）に深く寄与しているものであり、それが自らの生活と密接に結びついている</t>
    <phoneticPr fontId="1"/>
  </si>
  <si>
    <t>（２）「社会で活用されているデータ」や「データの活用領域」は非常に広範囲であって、日常生活や社会の課題を解決する有用なツールになり得るもの</t>
    <phoneticPr fontId="1"/>
  </si>
  <si>
    <t>（３）様々なデータ利活用の現場におけるデータ利活用事例が示され、様々な適用領域（流通、製造、金融、サービス、インフラ、公共、ヘルスケア等）の知見と組み合わせることで価値を創出するもの</t>
    <phoneticPr fontId="1"/>
  </si>
  <si>
    <t>　　　　　　　　　　　　　　　　　　　　　　　　　　　　　　　　　　　　　　　　　　　　　　　　　　　　　　　　　　　　　　　　　　　　　　　　　　　　　　　　　　　　　　　　　　　　　　　　　　　　　　　　　　　　　　　　　　　　　　　　　　　　　　　　　　　　　　　　　　　　　　　　　　　　　　　　　　　　　　　　　　　　　　　　　　　　　　　　　　　　　　　　　　　　　　　　　　　　　　　　　　　　　　　　　　　　　　　　　　　　　　　　　　　　　　　　　　　　　　　　　　　　　　　　　　　　　　　　　　　　　　　　　　　　　　　　　　　　　　　　　　　　　　　　　　　　　　　　　　　　　　　　　　　　　　　　　　　　　　　　　　　　　　　　　　　　　　　　　　　　　　　　　　　　　　　　　　　　　　　　　　　　　　　　　　　　　　　　　　　　　　　　　　　　　　　　　　　　　　　　　　　　　　　　　　　　　　　　　　　　　　　　　　　　　　　　　　　　　　　　　　　　　　　　　　　　　　　　　　　　　　　　　　　　　　　　　　　　　　　　　　　　　　　　　　　　　　　　　　　　　　　　　　　　　　　　　　　　　　　　　　　　　　　　　　　　　　　　　　　　　　　　　　　　　　　　　　　　　　　　　　　　　　　　　　　　　　　　　　　　　　　　　　　　　　　　　　　　　　　　　　　　　　　　　　　　　　　　　　　　　　　　　　　　　　　　　　　　　　　　　　　　　　　　　　　　　　　　　　　　　　　　　　　　　　　　　　　　　　　　　　　　　　　　　　　　　　　　　　　　　　　　　　　　　　　　　　　　　　　　　　　　　　　　　　　　　　</t>
    <phoneticPr fontId="1"/>
  </si>
  <si>
    <t>令和６年度予定</t>
    <rPh sb="0" eb="2">
      <t>レイワ</t>
    </rPh>
    <rPh sb="3" eb="5">
      <t>ネンド</t>
    </rPh>
    <rPh sb="5" eb="7">
      <t>ヨテイ</t>
    </rPh>
    <phoneticPr fontId="1"/>
  </si>
  <si>
    <t>令和７年度予定</t>
    <rPh sb="0" eb="2">
      <t>レイワ</t>
    </rPh>
    <rPh sb="3" eb="5">
      <t>ネンド</t>
    </rPh>
    <rPh sb="5" eb="7">
      <t>ヨテイ</t>
    </rPh>
    <phoneticPr fontId="1"/>
  </si>
  <si>
    <t>収容定員（名）</t>
    <rPh sb="0" eb="4">
      <t>シュウヨウテイイン</t>
    </rPh>
    <rPh sb="5" eb="6">
      <t>メイ</t>
    </rPh>
    <phoneticPr fontId="1"/>
  </si>
  <si>
    <t>具体的な計画</t>
    <rPh sb="0" eb="3">
      <t>グタイテキ</t>
    </rPh>
    <rPh sb="4" eb="6">
      <t>ケイカク</t>
    </rPh>
    <phoneticPr fontId="1"/>
  </si>
  <si>
    <t>　　　　　　　　　　　　　　　　　　　　　　　　　　　　　　　　　　　　　　　　　　　　　　　　　　　　　　　　　　　　　　　　　　　　　　　　　</t>
    <phoneticPr fontId="1"/>
  </si>
  <si>
    <t>1-2</t>
    <phoneticPr fontId="1"/>
  </si>
  <si>
    <t>1-3</t>
    <phoneticPr fontId="1"/>
  </si>
  <si>
    <t>1-4</t>
    <phoneticPr fontId="1"/>
  </si>
  <si>
    <t>1-5</t>
    <phoneticPr fontId="1"/>
  </si>
  <si>
    <t>2-2</t>
    <phoneticPr fontId="1"/>
  </si>
  <si>
    <t>2-3</t>
    <phoneticPr fontId="1"/>
  </si>
  <si>
    <t>1-6</t>
    <phoneticPr fontId="1"/>
  </si>
  <si>
    <t>（４）活用に当たっての様々な留意事項（ELSI、個人情報、データ倫理、ＡＩ社会原則等）を考慮し、情報セキュリティや情報漏洩等、データを守る上での留意事項への理解をする</t>
    <phoneticPr fontId="1"/>
  </si>
  <si>
    <t>（５）実データ・実課題（学術データ等を含む）を用いた演習など、社会での実例を題材として、「データを読む、説明する、扱う」といった数理・データサイエンス・ＡＩの基本的な活用法に関するもの</t>
    <phoneticPr fontId="1"/>
  </si>
  <si>
    <t>単位数</t>
    <rPh sb="0" eb="3">
      <t>タンイスウ</t>
    </rPh>
    <phoneticPr fontId="1"/>
  </si>
  <si>
    <t>選択項目</t>
    <rPh sb="0" eb="2">
      <t>センタク</t>
    </rPh>
    <rPh sb="2" eb="4">
      <t>コウモク</t>
    </rPh>
    <phoneticPr fontId="1"/>
  </si>
  <si>
    <t>①プログラム開設年度</t>
    <rPh sb="6" eb="8">
      <t>カイセツ</t>
    </rPh>
    <rPh sb="8" eb="10">
      <t>ネンド</t>
    </rPh>
    <phoneticPr fontId="1"/>
  </si>
  <si>
    <t>必須</t>
    <rPh sb="0" eb="2">
      <t>ヒッス</t>
    </rPh>
    <phoneticPr fontId="1"/>
  </si>
  <si>
    <t>令和4年度</t>
    <rPh sb="0" eb="2">
      <t>レイワ</t>
    </rPh>
    <rPh sb="3" eb="5">
      <t>ネンド</t>
    </rPh>
    <phoneticPr fontId="1"/>
  </si>
  <si>
    <t>学生数</t>
    <rPh sb="0" eb="3">
      <t>ガクセイスウ</t>
    </rPh>
    <phoneticPr fontId="1"/>
  </si>
  <si>
    <t>プログラムを改善・進化させるための体制（委員会・組織等）</t>
    <phoneticPr fontId="1"/>
  </si>
  <si>
    <t>令和８年度予定</t>
    <rPh sb="0" eb="2">
      <t>レイワ</t>
    </rPh>
    <rPh sb="3" eb="5">
      <t>ネンド</t>
    </rPh>
    <rPh sb="5" eb="7">
      <t>ヨテイ</t>
    </rPh>
    <phoneticPr fontId="1"/>
  </si>
  <si>
    <t>全学の教員数</t>
    <rPh sb="0" eb="2">
      <t>ゼンガク</t>
    </rPh>
    <rPh sb="3" eb="6">
      <t>キョウインスウ</t>
    </rPh>
    <phoneticPr fontId="1"/>
  </si>
  <si>
    <t>(常勤）</t>
    <rPh sb="1" eb="3">
      <t>ジョウキン</t>
    </rPh>
    <phoneticPr fontId="1"/>
  </si>
  <si>
    <t>プログラムの授業を教えている教員数</t>
    <rPh sb="6" eb="8">
      <t>ジュギョウ</t>
    </rPh>
    <rPh sb="9" eb="10">
      <t>オシ</t>
    </rPh>
    <rPh sb="14" eb="17">
      <t>キョウインスウ</t>
    </rPh>
    <phoneticPr fontId="1"/>
  </si>
  <si>
    <t>プログラムの運営責任者</t>
    <rPh sb="6" eb="8">
      <t>ウンエイ</t>
    </rPh>
    <rPh sb="8" eb="11">
      <t>セキニンシャ</t>
    </rPh>
    <phoneticPr fontId="1"/>
  </si>
  <si>
    <t>プログラムの自己点検・評価を行う体制（委員会・組織等）</t>
    <phoneticPr fontId="1"/>
  </si>
  <si>
    <t>履修者数</t>
    <rPh sb="0" eb="3">
      <t>リシュウシャ</t>
    </rPh>
    <rPh sb="3" eb="4">
      <t>スウ</t>
    </rPh>
    <phoneticPr fontId="1"/>
  </si>
  <si>
    <t>令和元年度</t>
    <rPh sb="0" eb="2">
      <t>レイワ</t>
    </rPh>
    <rPh sb="2" eb="3">
      <t>モト</t>
    </rPh>
    <rPh sb="3" eb="5">
      <t>ネンド</t>
    </rPh>
    <phoneticPr fontId="1"/>
  </si>
  <si>
    <t>2-1</t>
  </si>
  <si>
    <t>プログラム名</t>
    <rPh sb="5" eb="6">
      <t>メイ</t>
    </rPh>
    <phoneticPr fontId="1"/>
  </si>
  <si>
    <t>【プルダウンリスト】</t>
    <phoneticPr fontId="1"/>
  </si>
  <si>
    <t>様式４</t>
    <phoneticPr fontId="1"/>
  </si>
  <si>
    <t>様式３</t>
    <phoneticPr fontId="1"/>
  </si>
  <si>
    <t>様式２</t>
    <phoneticPr fontId="1"/>
  </si>
  <si>
    <t>大学等名</t>
    <rPh sb="0" eb="2">
      <t>ダイガク</t>
    </rPh>
    <rPh sb="2" eb="3">
      <t>トウ</t>
    </rPh>
    <rPh sb="3" eb="4">
      <t>メイ</t>
    </rPh>
    <phoneticPr fontId="1"/>
  </si>
  <si>
    <t>「学部・学科によって、修了要件は相違する」場合は、本シートを複製の上＜様式１－〇＞と枝番号を付してください</t>
    <rPh sb="21" eb="23">
      <t>バアイ</t>
    </rPh>
    <rPh sb="25" eb="26">
      <t>ホン</t>
    </rPh>
    <rPh sb="30" eb="32">
      <t>フクセイ</t>
    </rPh>
    <rPh sb="33" eb="34">
      <t>ウエ</t>
    </rPh>
    <rPh sb="42" eb="45">
      <t>エダバンゴウ</t>
    </rPh>
    <rPh sb="46" eb="47">
      <t>フ</t>
    </rPh>
    <phoneticPr fontId="1"/>
  </si>
  <si>
    <t>③ 修了要件</t>
    <phoneticPr fontId="1"/>
  </si>
  <si>
    <t>④ 現在進行中の社会変化（第４次産業革命、Society 5.0、データ駆動型社会等）に深く寄与しているものであり、それが自らの生活と密接に結びついている」の内容を含む授業科目</t>
    <rPh sb="2" eb="4">
      <t>ゲンザイ</t>
    </rPh>
    <rPh sb="4" eb="6">
      <t>シンコウ</t>
    </rPh>
    <rPh sb="6" eb="7">
      <t>チュウ</t>
    </rPh>
    <rPh sb="8" eb="10">
      <t>シャカイ</t>
    </rPh>
    <rPh sb="10" eb="12">
      <t>ヘンカ</t>
    </rPh>
    <rPh sb="13" eb="14">
      <t>ダイ</t>
    </rPh>
    <rPh sb="15" eb="16">
      <t>ジ</t>
    </rPh>
    <rPh sb="16" eb="18">
      <t>サンギョウ</t>
    </rPh>
    <rPh sb="18" eb="20">
      <t>カクメイ</t>
    </rPh>
    <rPh sb="36" eb="38">
      <t>クドウ</t>
    </rPh>
    <rPh sb="38" eb="39">
      <t>ガタ</t>
    </rPh>
    <rPh sb="39" eb="41">
      <t>シャカイ</t>
    </rPh>
    <rPh sb="41" eb="42">
      <t>トウ</t>
    </rPh>
    <rPh sb="44" eb="45">
      <t>フカ</t>
    </rPh>
    <rPh sb="46" eb="48">
      <t>キヨ</t>
    </rPh>
    <rPh sb="61" eb="62">
      <t>ミズカ</t>
    </rPh>
    <rPh sb="64" eb="66">
      <t>セイカツ</t>
    </rPh>
    <rPh sb="67" eb="69">
      <t>ミッセツ</t>
    </rPh>
    <rPh sb="70" eb="71">
      <t>ムス</t>
    </rPh>
    <rPh sb="79" eb="81">
      <t>ナイヨウ</t>
    </rPh>
    <rPh sb="82" eb="83">
      <t>フク</t>
    </rPh>
    <rPh sb="84" eb="86">
      <t>ジュギョウ</t>
    </rPh>
    <rPh sb="86" eb="88">
      <t>カモク</t>
    </rPh>
    <phoneticPr fontId="1"/>
  </si>
  <si>
    <t>⑤ 「社会で活用されているデータ」や「データの活用領域」は非常に広範囲であって、日常生活や社会の課題を解決する有用なツールになり得るもの」の内容を含む授業科目</t>
    <rPh sb="3" eb="5">
      <t>シャカイ</t>
    </rPh>
    <rPh sb="6" eb="8">
      <t>カツヨウ</t>
    </rPh>
    <rPh sb="23" eb="25">
      <t>カツヨウ</t>
    </rPh>
    <rPh sb="25" eb="27">
      <t>リョウイキ</t>
    </rPh>
    <rPh sb="29" eb="31">
      <t>ヒジョウ</t>
    </rPh>
    <rPh sb="32" eb="35">
      <t>コウハンイ</t>
    </rPh>
    <rPh sb="40" eb="42">
      <t>ニチジョウ</t>
    </rPh>
    <rPh sb="42" eb="44">
      <t>セイカツ</t>
    </rPh>
    <rPh sb="45" eb="47">
      <t>シャカイ</t>
    </rPh>
    <rPh sb="48" eb="50">
      <t>カダイ</t>
    </rPh>
    <rPh sb="51" eb="53">
      <t>カイケツ</t>
    </rPh>
    <rPh sb="55" eb="57">
      <t>ユウヨウ</t>
    </rPh>
    <rPh sb="64" eb="65">
      <t>ウ</t>
    </rPh>
    <rPh sb="70" eb="72">
      <t>ナイヨウ</t>
    </rPh>
    <phoneticPr fontId="1"/>
  </si>
  <si>
    <t>⑥ 「様々なデータ利活用の現場におけるデータ利活用事例が示され、様々な適用領域（流通、製造、金融、サービス、インフラ、公共、ヘルスケア等）の知見と組み合わせることで価値を創出するもの」の内容を含む授業科目</t>
    <rPh sb="3" eb="5">
      <t>サマザマ</t>
    </rPh>
    <rPh sb="9" eb="12">
      <t>リカツヨウ</t>
    </rPh>
    <rPh sb="13" eb="15">
      <t>ゲンバ</t>
    </rPh>
    <rPh sb="22" eb="25">
      <t>リカツヨウ</t>
    </rPh>
    <rPh sb="25" eb="27">
      <t>ジレイ</t>
    </rPh>
    <rPh sb="28" eb="29">
      <t>シメ</t>
    </rPh>
    <rPh sb="32" eb="34">
      <t>サマザマ</t>
    </rPh>
    <rPh sb="35" eb="37">
      <t>テキヨウ</t>
    </rPh>
    <rPh sb="37" eb="39">
      <t>リョウイキ</t>
    </rPh>
    <rPh sb="40" eb="42">
      <t>リュウツウ</t>
    </rPh>
    <rPh sb="43" eb="45">
      <t>セイゾウ</t>
    </rPh>
    <rPh sb="46" eb="48">
      <t>キンユウ</t>
    </rPh>
    <rPh sb="59" eb="61">
      <t>コウキョウ</t>
    </rPh>
    <rPh sb="67" eb="68">
      <t>ナド</t>
    </rPh>
    <rPh sb="70" eb="72">
      <t>チケン</t>
    </rPh>
    <rPh sb="73" eb="74">
      <t>ク</t>
    </rPh>
    <rPh sb="75" eb="76">
      <t>ア</t>
    </rPh>
    <rPh sb="82" eb="84">
      <t>カチ</t>
    </rPh>
    <rPh sb="85" eb="87">
      <t>ソウシュツ</t>
    </rPh>
    <phoneticPr fontId="1"/>
  </si>
  <si>
    <t>⑦ 「活用に当たっての様々な留意事項（ELSI、個人情報、データ倫理、ＡＩ社会原則等）を考慮し、情報セキュリティや情報漏洩等、データを守る上での留意事項への理解をする」の内容を含む授業科目</t>
    <rPh sb="3" eb="5">
      <t>カツヨウ</t>
    </rPh>
    <rPh sb="6" eb="7">
      <t>ア</t>
    </rPh>
    <rPh sb="11" eb="13">
      <t>サマザマ</t>
    </rPh>
    <rPh sb="14" eb="16">
      <t>リュウイ</t>
    </rPh>
    <rPh sb="16" eb="18">
      <t>ジコウ</t>
    </rPh>
    <rPh sb="24" eb="26">
      <t>コジン</t>
    </rPh>
    <rPh sb="26" eb="28">
      <t>ジョウホウ</t>
    </rPh>
    <rPh sb="32" eb="34">
      <t>リンリ</t>
    </rPh>
    <rPh sb="37" eb="39">
      <t>シャカイ</t>
    </rPh>
    <rPh sb="39" eb="41">
      <t>ゲンソク</t>
    </rPh>
    <rPh sb="41" eb="42">
      <t>ナド</t>
    </rPh>
    <rPh sb="44" eb="46">
      <t>コウリョ</t>
    </rPh>
    <rPh sb="48" eb="50">
      <t>ジョウホウ</t>
    </rPh>
    <rPh sb="57" eb="59">
      <t>ジョウホウ</t>
    </rPh>
    <rPh sb="59" eb="61">
      <t>ロウエイ</t>
    </rPh>
    <rPh sb="61" eb="62">
      <t>ナド</t>
    </rPh>
    <rPh sb="67" eb="68">
      <t>マモ</t>
    </rPh>
    <rPh sb="69" eb="70">
      <t>ウエ</t>
    </rPh>
    <rPh sb="72" eb="74">
      <t>リュウイ</t>
    </rPh>
    <rPh sb="74" eb="76">
      <t>ジコウ</t>
    </rPh>
    <rPh sb="78" eb="80">
      <t>リカイ</t>
    </rPh>
    <phoneticPr fontId="1"/>
  </si>
  <si>
    <t>⑧ 「実データ・実課題（学術データ等を含む）を用いた演習など、社会での実例を題材として、「データを読む、説明する、扱う」といった数理・データサイエンス・ＡＩの基本的な活用法に関するもの」の内容を含む授業科目</t>
    <phoneticPr fontId="1"/>
  </si>
  <si>
    <t>⑨ 選択「４．オプション」の内容を含む授業科目</t>
    <rPh sb="14" eb="16">
      <t>ナイヨウ</t>
    </rPh>
    <rPh sb="17" eb="18">
      <t>フク</t>
    </rPh>
    <rPh sb="19" eb="21">
      <t>ジュギョウ</t>
    </rPh>
    <rPh sb="21" eb="23">
      <t>カモク</t>
    </rPh>
    <phoneticPr fontId="1"/>
  </si>
  <si>
    <t>⑩ プログラムを構成する授業の内容</t>
    <phoneticPr fontId="1"/>
  </si>
  <si>
    <t>⑪ プログラムの学修成果（学生等が身に付けられる能力等）</t>
    <phoneticPr fontId="1"/>
  </si>
  <si>
    <t>履修必須の有無</t>
    <rPh sb="0" eb="2">
      <t>リシュウ</t>
    </rPh>
    <rPh sb="2" eb="4">
      <t>ヒッス</t>
    </rPh>
    <rPh sb="5" eb="7">
      <t>ウム</t>
    </rPh>
    <phoneticPr fontId="1"/>
  </si>
  <si>
    <r>
      <t xml:space="preserve">履修者数・履修率の向上に向けた計画 </t>
    </r>
    <r>
      <rPr>
        <sz val="6"/>
        <color theme="1"/>
        <rFont val="ＭＳ Ｐゴシック"/>
        <family val="3"/>
        <charset val="128"/>
        <scheme val="minor"/>
      </rPr>
      <t>※様式１の「履修必須の有無」で「計画がある」としている場合は詳細について記載すること</t>
    </r>
    <rPh sb="5" eb="7">
      <t>リシュウ</t>
    </rPh>
    <rPh sb="7" eb="8">
      <t>リツ</t>
    </rPh>
    <rPh sb="19" eb="21">
      <t>ヨウシキ</t>
    </rPh>
    <rPh sb="34" eb="36">
      <t>ケイカク</t>
    </rPh>
    <rPh sb="45" eb="47">
      <t>バアイ</t>
    </rPh>
    <rPh sb="48" eb="50">
      <t>ショウサイ</t>
    </rPh>
    <rPh sb="54" eb="56">
      <t>キサイ</t>
    </rPh>
    <phoneticPr fontId="1"/>
  </si>
  <si>
    <t>令和5年度</t>
    <rPh sb="0" eb="2">
      <t>レイワ</t>
    </rPh>
    <rPh sb="3" eb="5">
      <t>ネンド</t>
    </rPh>
    <phoneticPr fontId="1"/>
  </si>
  <si>
    <t>科目</t>
    <rPh sb="0" eb="2">
      <t>カモク</t>
    </rPh>
    <phoneticPr fontId="1"/>
  </si>
  <si>
    <t>単位</t>
    <rPh sb="0" eb="2">
      <t>タンイ</t>
    </rPh>
    <phoneticPr fontId="1"/>
  </si>
  <si>
    <t>令和５年度以前より、履修することが必須のプログラムとして実施</t>
    <rPh sb="0" eb="2">
      <t>レイワ</t>
    </rPh>
    <rPh sb="3" eb="5">
      <t>ネンド</t>
    </rPh>
    <rPh sb="5" eb="7">
      <t>イゼン</t>
    </rPh>
    <phoneticPr fontId="1"/>
  </si>
  <si>
    <t>令和８年度までに履修必須とする計画</t>
    <rPh sb="3" eb="4">
      <t>ネン</t>
    </rPh>
    <phoneticPr fontId="1"/>
  </si>
  <si>
    <t>令和９年度以降に履修必須とする計画、又は未定</t>
    <rPh sb="18" eb="19">
      <t>マタ</t>
    </rPh>
    <rPh sb="20" eb="22">
      <t>ミテイ</t>
    </rPh>
    <phoneticPr fontId="1"/>
  </si>
  <si>
    <t>②大学等全体の男女別学生数</t>
    <rPh sb="1" eb="3">
      <t>ダイガク</t>
    </rPh>
    <rPh sb="3" eb="4">
      <t>トウ</t>
    </rPh>
    <rPh sb="4" eb="6">
      <t>ゼンタイ</t>
    </rPh>
    <rPh sb="7" eb="10">
      <t>ダンジョベツ</t>
    </rPh>
    <rPh sb="10" eb="13">
      <t>ガクセイスウ</t>
    </rPh>
    <phoneticPr fontId="1"/>
  </si>
  <si>
    <t>男性</t>
    <rPh sb="0" eb="2">
      <t>ダンセイ</t>
    </rPh>
    <phoneticPr fontId="1"/>
  </si>
  <si>
    <t>人</t>
    <rPh sb="0" eb="1">
      <t>ヒト</t>
    </rPh>
    <phoneticPr fontId="1"/>
  </si>
  <si>
    <t>女性</t>
    <rPh sb="0" eb="2">
      <t>ジョセイ</t>
    </rPh>
    <phoneticPr fontId="1"/>
  </si>
  <si>
    <t>（</t>
    <phoneticPr fontId="1"/>
  </si>
  <si>
    <t>合計</t>
    <rPh sb="0" eb="2">
      <t>ゴウケイ</t>
    </rPh>
    <phoneticPr fontId="1"/>
  </si>
  <si>
    <t>）</t>
    <phoneticPr fontId="1"/>
  </si>
  <si>
    <t>【参考】</t>
    <rPh sb="1" eb="3">
      <t>サンコウ</t>
    </rPh>
    <phoneticPr fontId="1"/>
  </si>
  <si>
    <t>※本項目は各大学の実践例を参考に伺うものであり、認定要件とはなりません。</t>
    <rPh sb="1" eb="4">
      <t>ホンコウモク</t>
    </rPh>
    <rPh sb="5" eb="8">
      <t>カクダイガク</t>
    </rPh>
    <rPh sb="9" eb="12">
      <t>ジッセンレイ</t>
    </rPh>
    <rPh sb="13" eb="15">
      <t>サンコウ</t>
    </rPh>
    <rPh sb="16" eb="17">
      <t>ウカガ</t>
    </rPh>
    <rPh sb="24" eb="26">
      <t>ニンテイ</t>
    </rPh>
    <rPh sb="26" eb="28">
      <t>ヨウケン</t>
    </rPh>
    <phoneticPr fontId="1"/>
  </si>
  <si>
    <t>⑫ 生成AIに関連する授業内容　※該当がある場合に記載</t>
    <rPh sb="2" eb="4">
      <t>セイセイ</t>
    </rPh>
    <rPh sb="7" eb="9">
      <t>カンレン</t>
    </rPh>
    <rPh sb="11" eb="13">
      <t>ジュギョウ</t>
    </rPh>
    <rPh sb="13" eb="15">
      <t>ナイヨウ</t>
    </rPh>
    <rPh sb="17" eb="19">
      <t>ガイトウ</t>
    </rPh>
    <rPh sb="22" eb="24">
      <t>バアイ</t>
    </rPh>
    <rPh sb="25" eb="27">
      <t>キサイ</t>
    </rPh>
    <phoneticPr fontId="1"/>
  </si>
  <si>
    <t>令和５年度実績</t>
    <rPh sb="0" eb="2">
      <t>レイワ</t>
    </rPh>
    <rPh sb="3" eb="5">
      <t>ネンド</t>
    </rPh>
    <rPh sb="5" eb="7">
      <t>ジッセキ</t>
    </rPh>
    <phoneticPr fontId="1"/>
  </si>
  <si>
    <t>令和９年度予定</t>
    <rPh sb="0" eb="2">
      <t>レイワ</t>
    </rPh>
    <rPh sb="3" eb="5">
      <t>ネンド</t>
    </rPh>
    <rPh sb="5" eb="7">
      <t>ヨテイ</t>
    </rPh>
    <phoneticPr fontId="1"/>
  </si>
  <si>
    <t>学部・学科によって、修了要件は相違する</t>
  </si>
  <si>
    <r>
      <t>教育プログラムを構成する科目に、</t>
    </r>
    <r>
      <rPr>
        <b/>
        <sz val="11"/>
        <rFont val="ＭＳ Ｐゴシック"/>
        <family val="3"/>
        <charset val="128"/>
        <scheme val="minor"/>
      </rPr>
      <t>「数理・データサイエンス・ＡＩ（リテラシーレベル）モデルカリキュラム改訂版」</t>
    </r>
    <r>
      <rPr>
        <sz val="11"/>
        <rFont val="ＭＳ Ｐゴシック"/>
        <family val="3"/>
        <charset val="128"/>
        <scheme val="minor"/>
      </rPr>
      <t>（2024年2月　数理・データサイエンス教育強化拠点コンソーシアム）において追加された生成AIに関連するスキルセットの内容を含む授業（授業内で活用事例などを取り上げる、実際に使用してみるなど）がある場合に、どの科目でどのような授業をどのように実施しているかを記載してください。</t>
    </r>
    <rPh sb="50" eb="53">
      <t>カイテイバン</t>
    </rPh>
    <rPh sb="92" eb="94">
      <t>ツイカ</t>
    </rPh>
    <rPh sb="97" eb="99">
      <t>セイセイ</t>
    </rPh>
    <rPh sb="102" eb="104">
      <t>カンレン</t>
    </rPh>
    <rPh sb="113" eb="115">
      <t>ナイヨウ</t>
    </rPh>
    <rPh sb="116" eb="117">
      <t>フク</t>
    </rPh>
    <rPh sb="121" eb="123">
      <t>ジュギョウ</t>
    </rPh>
    <rPh sb="123" eb="124">
      <t>ナイ</t>
    </rPh>
    <rPh sb="125" eb="127">
      <t>カツヨウ</t>
    </rPh>
    <rPh sb="127" eb="129">
      <t>ジレイ</t>
    </rPh>
    <rPh sb="132" eb="133">
      <t>ト</t>
    </rPh>
    <rPh sb="134" eb="135">
      <t>ア</t>
    </rPh>
    <rPh sb="138" eb="140">
      <t>ジッサイ</t>
    </rPh>
    <rPh sb="141" eb="143">
      <t>シヨウ</t>
    </rPh>
    <rPh sb="153" eb="155">
      <t>バアイ</t>
    </rPh>
    <rPh sb="159" eb="161">
      <t>カモク</t>
    </rPh>
    <rPh sb="167" eb="169">
      <t>ジュギョウ</t>
    </rPh>
    <rPh sb="175" eb="177">
      <t>ジッシ</t>
    </rPh>
    <rPh sb="183" eb="185">
      <t>キサイ</t>
    </rPh>
    <phoneticPr fontId="1"/>
  </si>
  <si>
    <t>① 教育プログラムの修了要件</t>
    <rPh sb="2" eb="4">
      <t>キョウイク</t>
    </rPh>
    <rPh sb="10" eb="14">
      <t>シュウリョウヨウケン</t>
    </rPh>
    <phoneticPr fontId="1"/>
  </si>
  <si>
    <t>② 対象となる学部・学科名称</t>
    <phoneticPr fontId="1"/>
  </si>
  <si>
    <t>必要最低科目数・単位数</t>
    <rPh sb="4" eb="7">
      <t>カモクスウ</t>
    </rPh>
    <phoneticPr fontId="1"/>
  </si>
  <si>
    <t>③履修者・修了者の実績</t>
    <rPh sb="1" eb="3">
      <t>リシュウ</t>
    </rPh>
    <rPh sb="3" eb="4">
      <t>シャ</t>
    </rPh>
    <rPh sb="5" eb="8">
      <t>シュウリョウシャ</t>
    </rPh>
    <rPh sb="9" eb="11">
      <t>ジッセキ</t>
    </rPh>
    <phoneticPr fontId="1"/>
  </si>
  <si>
    <t>内容・水準を維持・向上しつつ、より「分かりやすい」授業とすること
※社会の変化や生成AI等の技術の発展を踏まえて教育内容を継続的に見直すなど、より教育効果の高まる授業内容・方法とするための取組や仕組みについても該当があれば記載</t>
    <rPh sb="0" eb="2">
      <t>ナイヨウ</t>
    </rPh>
    <rPh sb="3" eb="5">
      <t>スイジュン</t>
    </rPh>
    <rPh sb="6" eb="8">
      <t>イジ</t>
    </rPh>
    <rPh sb="9" eb="11">
      <t>コウジョウ</t>
    </rPh>
    <rPh sb="18" eb="19">
      <t>ワ</t>
    </rPh>
    <rPh sb="25" eb="27">
      <t>ジュギョウ</t>
    </rPh>
    <rPh sb="50" eb="52">
      <t>ハッテン</t>
    </rPh>
    <rPh sb="74" eb="76">
      <t>キョウイク</t>
    </rPh>
    <rPh sb="76" eb="78">
      <t>コウカ</t>
    </rPh>
    <rPh sb="79" eb="80">
      <t>タカ</t>
    </rPh>
    <rPh sb="82" eb="84">
      <t>ジュギョウ</t>
    </rPh>
    <rPh sb="84" eb="86">
      <t>ナイヨウ</t>
    </rPh>
    <rPh sb="87" eb="89">
      <t>ホウホウ</t>
    </rPh>
    <rPh sb="95" eb="97">
      <t>トリクミ</t>
    </rPh>
    <rPh sb="98" eb="100">
      <t>シク</t>
    </rPh>
    <rPh sb="106" eb="108">
      <t>ガイトウ</t>
    </rPh>
    <rPh sb="112" eb="114">
      <t>キサイ</t>
    </rPh>
    <phoneticPr fontId="1"/>
  </si>
  <si>
    <t>埼玉工業大学</t>
    <phoneticPr fontId="1"/>
  </si>
  <si>
    <t>SAIKOデータサイエンスプログラム（リテラシーレベル）</t>
    <phoneticPr fontId="1"/>
  </si>
  <si>
    <t>工学部　情報システム学科</t>
    <phoneticPr fontId="1"/>
  </si>
  <si>
    <t>「ICTリテラシー（１）」（2単位）、「人工知能入門（１）」（2単位）の合計4単位を修得すること。</t>
    <phoneticPr fontId="1"/>
  </si>
  <si>
    <t>ICTリテラシー（１）</t>
    <phoneticPr fontId="1"/>
  </si>
  <si>
    <t>人工知能入門（１）</t>
    <phoneticPr fontId="1"/>
  </si>
  <si>
    <t>○</t>
  </si>
  <si>
    <t>○</t>
    <phoneticPr fontId="1"/>
  </si>
  <si>
    <t>4‐9データ活用実践（教師なし学習）</t>
  </si>
  <si>
    <t>4‐8データ活用実践（教師あり学習）</t>
  </si>
  <si>
    <t>4‐6画像解析</t>
  </si>
  <si>
    <t>4‐4時系列データ解析</t>
  </si>
  <si>
    <t>情報技術の進歩にともない、私達の身の回りには多様なデータが存在し、蓄積されている。それらを適切な方法で分析することにより、新たな価値を創造できることを学ぶ。またそれらの手法も日々進化し、多数存在していることをこれまでのAIの発展の歴史とともに修得できることが期待される。</t>
    <phoneticPr fontId="1"/>
  </si>
  <si>
    <t>生成AIについては、人工知能入門（１）（12〜14回）の現在のディープラーニングの活用事例の回にて、生成AIにより生成できるデータ種類（文章、音声、画像）にふれ、実際にツールを用いての実演を行い解説をしている。また、昨今取り沙汰されている、生成AIモデルの元となったデータと、生成されたデータの著作権などが現在の新たな問題として存在していることを、”実用における倫理”の回で解説をしている。</t>
    <phoneticPr fontId="1"/>
  </si>
  <si>
    <t>様式１－１</t>
    <rPh sb="0" eb="2">
      <t>ヨウシキ</t>
    </rPh>
    <phoneticPr fontId="1"/>
  </si>
  <si>
    <t>工学部　機械工学科・生命環境化学科</t>
    <phoneticPr fontId="1"/>
  </si>
  <si>
    <t>「ICTリテラシー（２）」（2単位）を修得すること。
また、AIの幅広い知識を身につけるため「人工知能入門（２）」（2単位）の修得を推奨する。</t>
    <phoneticPr fontId="1"/>
  </si>
  <si>
    <t>ICTリテラシー（２）</t>
    <phoneticPr fontId="1"/>
  </si>
  <si>
    <t>人工知能入門（２）</t>
  </si>
  <si>
    <t>人工知能入門（２）</t>
    <phoneticPr fontId="1"/>
  </si>
  <si>
    <t>ビッグデータ、IoT、AI、ロボット「ICTリテラシー（２）」（2回目）
データ量の増加、計算機の処理性能の向上、AIの非連続的進化「ICTリテラシー（２）」（2回目）
第4次産業革命、Society 5.0、データ駆動型社会「ICTリテラシー（２）」（2回目）
人間の知的活動とAIの関係性「ICTリテラシー（２）」（2回目）</t>
    <phoneticPr fontId="1"/>
  </si>
  <si>
    <t>AI等を活用した新しいビジネスモデル（シェアリングエコノミー、商品のレコメンデーションなど）「ICTリテラシー（２）」（4回目）
AI最新技術の活用例（深層生成モデル、敵対的生成ネットワーク、強化学習、転移学習など）「ICTリテラシー（２）」（4回目）</t>
    <phoneticPr fontId="1"/>
  </si>
  <si>
    <t>調査データ、実験データ、人の行動ログデータ、機械の稼働ログデータ「ICTリテラシー（２）」（3回目）
1次データ、2次データ、データのメタ化「ICTリテラシー（２）」（3回目）
構造化データ、非構造化データ（文章、画像/動画、音声/音楽など）「ICTリテラシー（２）」（3回目）
データのオープン化（オープンデータ）「ICTリテラシー（２）」（3回目）</t>
    <phoneticPr fontId="1"/>
  </si>
  <si>
    <t>データ・AI活用領域の広がり（生産、消費、文化活動など）「ICTリテラシー（２）」（4回目）
仮説検証、知識発見、原因究明、計画策定、判断支援、活動代替、新規生成など「ICTリテラシー（２）」（4回目）</t>
    <phoneticPr fontId="1"/>
  </si>
  <si>
    <t>データ可視化：複合グラフ、2軸グラフ、多次元の可視化、関係性の可視化、地図上の可視化、挙動・軌跡の可視化、リアルタイム可視化など「ICTリテラシー（２）」（3回目）
非構造化データ処理：言語処理、画像/動画処理、音声/音楽処理など「ICTリテラシー（２）」（5回目）</t>
    <phoneticPr fontId="1"/>
  </si>
  <si>
    <t>データサイエンスのサイクル（課題抽出と定式化、データの取得・管理・加工、探索的データ解析、データ解析と推論、結果の共有・伝達、課題解決に向けた提案）「ICTリテラシー（２）」（3回目）
流通、製造、金融、サービス、インフラ、公共、ヘルスケア等におけるデータ・AI利活用事例紹介「ICTリテラシー（２）」（3回目）</t>
    <phoneticPr fontId="1"/>
  </si>
  <si>
    <t>個人情報保護、EU一般データ保護規則(GDPR)、忘れられる権利、オプトアウト 「ICTリテラシー（２）」（7回目）
データ倫理：データのねつ造、改ざん、盗用、プライバシー保護  「ICTリテラシー（２）」（8回目）
データバイアス、アルゴリズムバイアス  「ICTリテラシー（２）」（8回目）
データ・AI活用における負の事例紹介  「ICTリテラシー（２）」（7回目）</t>
    <phoneticPr fontId="1"/>
  </si>
  <si>
    <t>匿名加工情報、暗号化、パスワード、悪意ある情報搾取  「ICTリテラシー（２）」（8回目）
情報漏洩等によるセキュリティ事例紹介  「ICTリテラシー（２）」（8回目）</t>
    <phoneticPr fontId="1"/>
  </si>
  <si>
    <t>データ表現（棒グラフ、折線グラフ、散布図、ヒートマップ） 「ICTリテラシー（２）」（5〜9回目）
不適切なグラフ表現（チャートジャンク、不必要な視覚的要素）「ICTリテラシー（２）」（6回目）
優れた可視化事例の紹介（可視化することによって新たな気づきがあった事例など） 「ICTリテラシー（２）」（6回目）</t>
    <phoneticPr fontId="1"/>
  </si>
  <si>
    <t>データの集計（和、平均） 「ICTリテラシー（２）」（5〜9回目）
データの並び替え、ランキング 「ICTリテラシー（２）」（5〜9回目）
データ解析ツール（スプレッドシート） 「ICTリテラシー（２）」（5〜9回目）</t>
    <phoneticPr fontId="1"/>
  </si>
  <si>
    <t>情報通信技術の発達にともない、さまざまな形でデータ蓄積され、活用されていることを学ぶ。また、具体的なデータの分析を通して、データの収集から分析結果の解釈までの一連の流れを学修するとともに、データを扱うために注意すべき事項についても身に付ける。</t>
    <phoneticPr fontId="1"/>
  </si>
  <si>
    <t>生成AIについては、「人工知能入門（２）」（12〜14回）の現在のディープラーニングの活用事例の回にて、生成AIにより生成できるデータ種類（文章、音声、画像）にふれ、実際にツールを用いての実演を行い解説をしている。また、昨今取り沙汰されている、生成AIモデルの元となったデータと、生成されたデータの著作権などが現在の新たな問題として存在していることを、”実用における倫理”の回で解説をしている。</t>
    <phoneticPr fontId="1"/>
  </si>
  <si>
    <t>様式１－２</t>
    <rPh sb="0" eb="2">
      <t>ヨウシキ</t>
    </rPh>
    <phoneticPr fontId="1"/>
  </si>
  <si>
    <t>人間社会学部</t>
    <phoneticPr fontId="1"/>
  </si>
  <si>
    <t>「ICTリテラシー（３）」（2単位）を修得すること。
また、AIの幅広い知識を身につけるため「人工知能入門（２）」（2単位）の修得を推奨する。</t>
    <phoneticPr fontId="1"/>
  </si>
  <si>
    <t>ICTリテラシー（３）</t>
  </si>
  <si>
    <t>ICTリテラシー（３）</t>
    <phoneticPr fontId="1"/>
  </si>
  <si>
    <t>ICTリテラシー（３）</t>
    <phoneticPr fontId="1"/>
  </si>
  <si>
    <t>人工知能入門（２）</t>
    <phoneticPr fontId="1"/>
  </si>
  <si>
    <t>4‐3データ構造とプログラミング基礎</t>
  </si>
  <si>
    <t>4‐5テキスト解析</t>
  </si>
  <si>
    <t>AI等を活用した新しいビジネスモデル（シェアリングエコノミー、商品のレコメンデーションなど）「ICTリテラシー（３）」（6回目）
AI最新技術の活用例（深層生成モデル、敵対的生成ネットワーク、強化学習、転移学習など）「ICTリテラシー（３）」（14回目）</t>
    <phoneticPr fontId="1"/>
  </si>
  <si>
    <t>調査データ、実験データ、人の行動ログデータ、機械の稼働ログデータ「ICTリテラシー（３）」（13回目）
1次データ、2次データ、データのメタ化「ICTリテラシー（３）」（5回目）
構造化データ、非構造化データ（文章、画像/動画、音声/音楽など）「ICTリテラシー（３）」（8回目）
データのオープン化（オープンデータ）「ICTリテラシー（３）」（8回目）</t>
    <phoneticPr fontId="1"/>
  </si>
  <si>
    <t>データ・AI活用領域の広がり（生産、消費、文化活動など）「ICTリテラシー（３）」（12回目）
仮説検証、知識発見、原因究明、計画策定、判断支援、活動代替、新規生成など「ICTリテラシー（３）」（13回目）</t>
    <phoneticPr fontId="1"/>
  </si>
  <si>
    <t>データサイエンスのサイクル（課題抽出と定式化、データの取得・管理・加工、探索的データ解析、データ解析と推論、結果の共有・伝達、課題解決に向けた提案）「ICTリテラシー（３）」（13回目）
流通、製造、金融、サービス、インフラ、公共、ヘルスケア等におけるデータ・AI利活用事例紹介「ICTリテラシー（３）」（12回目）</t>
    <phoneticPr fontId="1"/>
  </si>
  <si>
    <t>個人情報保護、EU一般データ保護規則(GDPR)、忘れられる権利、オプトアウト 「ICTリテラシー（３）」（12回目）
データ倫理：データのねつ造、改ざん、盗用、プライバシー保護 「ICTリテラシー（３）」（5回目）
データバイアス、アルゴリズムバイアス 「ICTリテラシー（３）」（6回目）
データ・AI活用における負の事例紹介 「ICTリテラシー（３）」（6回目）</t>
    <phoneticPr fontId="1"/>
  </si>
  <si>
    <t>匿名加工情報、暗号化、パスワード、悪意ある情報搾取 「ICTリテラシー（３）」（10回目）
情報漏洩等によるセキュリティ事例紹介 「ICTリテラシー（３）」（10回目）</t>
    <phoneticPr fontId="1"/>
  </si>
  <si>
    <t>データの種類（量的変数、質的変数） 「ICTリテラシー（３）」（10回目）
データの分布（ヒストグラム）と代表値（平均値、中央値、最頻値） 「ICTリテラシー（３）」（13回目）
観測データに含まれる誤差の扱い 「ICTリテラシー（３）」（13回目）
打ち切りや脱落を含むデータ、層別の必要なデータ 「ICTリテラシー（３）」（13回目）</t>
    <phoneticPr fontId="1"/>
  </si>
  <si>
    <t>データ表現（棒グラフ、折線グラフ、散布図、ヒートマップ）「ICTリテラシー（３）」（5回目）
不適切なグラフ表現（チャートジャンク、不必要な視覚的要素） 「ICTリテラシー（３）」（5回目）
優れた可視化事例の紹介（可視化することによって新たな気づきがあった事例など） 「ICTリテラシー（３）」（5回目）</t>
    <phoneticPr fontId="1"/>
  </si>
  <si>
    <t>「ICTリテラシー（３）」の第2回では、大規模言語モデルを用いたチャットシステムについて生成に向いている例・不適切な事例をとりあげた後、各自で実際に言語モデルを用いたチャットシステムに触れ、高校生向けの進学アドバイザーとのやり取りを模した対話の生成を、実習として行っている。
また、「人工知能入門（２）」（12〜14回）の現在のディープラーニングの活用事例の回にて、生成AIにより生成できるデータ種類（文章、音声、画像）にふれ、実際にツールを用いての実演を行い解説をしている。また、昨今取り沙汰されている、生成AIモデルの元となったデータと、生成されたデータの著作権などが現在の新たな問題として存在していることを、”実用における倫理”の回で解説をしている。</t>
    <phoneticPr fontId="1"/>
  </si>
  <si>
    <t>令和2</t>
    <phoneticPr fontId="1"/>
  </si>
  <si>
    <t>工学部</t>
    <rPh sb="0" eb="3">
      <t>コウガクブ</t>
    </rPh>
    <phoneticPr fontId="1"/>
  </si>
  <si>
    <t>人間社会学部</t>
    <rPh sb="0" eb="6">
      <t>ニンゲン</t>
    </rPh>
    <phoneticPr fontId="1"/>
  </si>
  <si>
    <t>吉澤　浩和</t>
    <phoneticPr fontId="1"/>
  </si>
  <si>
    <t>教務部長</t>
    <phoneticPr fontId="1"/>
  </si>
  <si>
    <t>埼玉工業大学教務委員会（工学部・人間社会学部）</t>
    <phoneticPr fontId="1"/>
  </si>
  <si>
    <t>吉澤浩和(工)・田中克明(人)</t>
    <phoneticPr fontId="1"/>
  </si>
  <si>
    <t>教務委員長</t>
    <phoneticPr fontId="1"/>
  </si>
  <si>
    <t>埼玉工業大学教務委員会規程</t>
    <phoneticPr fontId="1"/>
  </si>
  <si>
    <t>【工学部】
【委員長】
吉澤 浩和（情報システム学科教授）
【委員】
福地 亜宝郎（機械工学科准教授）、萩原 隆明（機械工学科准教授）、岩崎 政和（生命環境化学科教授）、木下 基（生命環境化学科教授）、藤田 和広（情報システム学科准教授）、村田 仁樹（情報システム学科講師）、松田 智裕（基礎教育センター工学部会教授）、原 正彦（教学部次長）
【人間社会学部】
【委員長】
曾我 重司（心理学科教授）
【委員】
田中 克明（情報社会学科教授）、檀上 誠（情報社会学科教授）、村山 要司（情報社会学科教授）、永本　義弘（情報社会学科教授）、村中 昌紀（心理学科准教授）、田中 崇恵（心理学科講師）</t>
    <phoneticPr fontId="1"/>
  </si>
  <si>
    <t>令和２年度より全学共通の科目区分として「情報系科目」を設け、本プログラムの科目や、本プログラムと並行して履修することが望ましい科目を配置している。
また、多くの学生が履修しやすいように、本プログラムの科目と他の科目との重複ができるだけ無いよう、時間割設計を行っている。</t>
    <rPh sb="0" eb="2">
      <t>レイワ</t>
    </rPh>
    <phoneticPr fontId="1"/>
  </si>
  <si>
    <t>・教育課程の実施及び実施内容の検証に関すること
・授業科目及び授業時間割に関すること
・学生の履修指導に関すること
・試験、成績、単位の取得及び修了に関すること
・内部質保証及び大学認証評価に関すること
なお、令和６年度から、埼玉工業大学教務委員会に、数理・データサイエンス・ＡＩ教育推進専門委員会を設け、以下の事項を検討する。
・数理・データサイエンス・AI教育プログラムの運営に関する事項
・数理・データサイエンス・AI教育プログラム認定制度の申請に関する事項
・その他、前各号に関連する事項</t>
    <phoneticPr fontId="1"/>
  </si>
  <si>
    <t>授業時間外でも学生が容易に学修を行えるようにするため、LMSを通して本プログラム科目の資料を参照可能とするとともに、各回に実施する課題もLMSから提出可能としている。
さらに、多くの学生が履修可能となるよう、前述の通り、本プログラムの科目と他の科目との重複ができるだけ無いように時間割設計を行っている。</t>
    <phoneticPr fontId="1"/>
  </si>
  <si>
    <t>授業内容に関する質問を授業時間外でもLMSを通して受け付けており、授業担当者が随時対応している。また、担当教員のオフィスアワーを設け、適宜質問対応を行っている。</t>
    <phoneticPr fontId="1"/>
  </si>
  <si>
    <t>埼玉工業大学数理・データサイエンス・AI教育推進専門委員会</t>
    <phoneticPr fontId="1"/>
  </si>
  <si>
    <t>井上　聡</t>
    <phoneticPr fontId="1"/>
  </si>
  <si>
    <t>推進専門委員会委員長</t>
    <phoneticPr fontId="1"/>
  </si>
  <si>
    <t>全学FD委員会により、全学の科目を対象に学部ごとに質問は一部異なるが授業アンケートを実施しており、本プログラムの科目も対象である。
令和５年度アンケートにおいて、「予習、復習を含めて、あなたはこの授業に熱心に取り組みましたか？（両学部共通）」では、「非常にそう思う」「ややそう思う」が本プログラムの科目平均で70.2%を占め、学生が授業に熱心に取り組んだと考えられる。
また、「この授業の満足度はどのくらいですか？（工学部）」「この授業を受けて、有益でしたか（人間社会学部）」は「かなり満足」「かなり満足」「とても有益だった」「有益だった」が76.5%と、成果を自覚できる授業を実施できたと考えられる。</t>
    <phoneticPr fontId="1"/>
  </si>
  <si>
    <t>上述のアンケートにおいて、
- 設問「あなたにとって、この授業のレベルはどうでしたか？（両学部共通）」は、「やや高い」「やや難しかった」が28.1%、「ちょうど良い」「ちょうどよかった」との回答が52.0%
- 設問「授業の進行速度はどうでしたか？（工学部）」「授業の進行速度は適切でしたか？（人間社会学部）」は、「やや速い」「少し速かった」が13.3%、「ちょうど良い」「適切だった」との回答が78.4%
であり、学生にとって適切からわずかに難易度が高いと感じられるレベルの授業を、適切な進行速度で実施できていたと考えられる。</t>
    <phoneticPr fontId="1"/>
  </si>
  <si>
    <t>上述のアンケートでは、後輩学生や他の学生への推奨度に関する設問はない。しかし、満足度、有益度では比較的高い評価を得られており、推奨度合いも比例するものと考えられる。
今後、全学共通のアンケートとは別に後輩等他の学生への推奨度を直接質問するアンケートを実施する、あるいは、全学アンケートに同項目を設けるなど、検討を行う。
なお、令和５年度の人間社会学部履修者数減少の原因として、科目名変更（教職課程完成年度の令和４年度まで同内容を別科目名で実施）による、認知度の低下が考えられる。時間割に旧科目名を併記するなど認知に努めたが、今後、学生間の情報共有に働きかける方法を検討する。</t>
    <rPh sb="163" eb="165">
      <t>レイワ</t>
    </rPh>
    <rPh sb="203" eb="205">
      <t>レイワ</t>
    </rPh>
    <phoneticPr fontId="1"/>
  </si>
  <si>
    <t>令和２年度より科目区分「情報系科目」を科目表に設け、全学的な履修者数の向上を図っている。
令和６年度には、本プログラムを推進してきた教務委員会の中に「数理・データサイエンス・AI教育推進専門委員会」を設け、本プログラムの内容と各学科の学修内容の連携を深め、これを学生にも示すことにより、履修率を向上させる。また、「応用基礎レベル」相当のカリキュラム構築も進めており、本プログラムの発展性を示すことにより、あわせて学生の履修を推進する。
また、現在は対面で実施している授業内容の一部のオンデマンド化や外部コンテンツの導入など、学修時間の多様化を図ることにより、本プログラムの全学必修化を進める。</t>
    <rPh sb="0" eb="2">
      <t>レイワ</t>
    </rPh>
    <rPh sb="45" eb="47">
      <t>レイワ</t>
    </rPh>
    <phoneticPr fontId="1"/>
  </si>
  <si>
    <t>本プログラムは令和２年度に開設し、プログラム修了者の卒業者は、科目設置学年などの関係から、令和５年度終了時点では全学にわたってそろっていない。全学において修了者が卒業する令和７年度以降、本学の就職課とも協力して、本プログラム修了者の進路や活躍状況などを追跡できるように整備を進める。また、活躍状況や企業等の評価を取り入れた点検・評価を行う手順の準備も進め、全学必修化以降は本プログラムに限らない取り組みとして、全学に展開する。</t>
    <rPh sb="7" eb="9">
      <t>レイワ</t>
    </rPh>
    <rPh sb="10" eb="12">
      <t>ネンド</t>
    </rPh>
    <rPh sb="45" eb="47">
      <t>レイワ</t>
    </rPh>
    <rPh sb="85" eb="87">
      <t>レイワ</t>
    </rPh>
    <phoneticPr fontId="1"/>
  </si>
  <si>
    <t>埼玉工業大学先端科学研究所協力会参加企業や、埼玉工業大学公開講座への参加者などを対象にアンケートを実施し、数理・データサイエンス・AI教育に関する意見を収集、要望を本プログラムの改善へ活用する準備を進めている。</t>
    <phoneticPr fontId="1"/>
  </si>
  <si>
    <t>学生に対して、数理・データサイエンス・AIを「学ぶ楽しさ」「学ぶことの意義」を理解させるためには、これらの分野が私たちの生活の中どのように関わっているのか、その事例を多く紹介することにより、興味を持ってもらうことが重要であり、そのような話題提供を行っている。また学生の専門性や専攻の特性に応じて、理論中心の授業ではなく、授業の中に事例をふんだんに取り入れて、学生同士のグループディスカッションを実施し、その過程を通じて「学ぶ楽しさ」「学ぶことの意義」を理解させる取り組みを実施している。</t>
    <phoneticPr fontId="1"/>
  </si>
  <si>
    <t>授業評価アンケートの結果を分析し、「授業の満足度」「授業のレベル」「授業の進行速度」「教員の説明のわかりやすさ」等の項目に加え、自由記述欄も分析し、数理・データサイエンス・AI教育推進専門委員会において，授業内容や方法の改善を進める。またデータサイエンス・AIの分野は新しい技術の登場や、その応用範囲の拡充が非常に速いため、その変化を感じられるよう、新しい活用事例、ツールの登場などはいち早く紹介、ないしは体験をするような柔軟な講義進行を行っている。</t>
    <phoneticPr fontId="1"/>
  </si>
  <si>
    <t>学内学修ポータルシステムにより、学生の各科目の履修状況および学期中の出欠状況を把握している。また、LMSにより、受講者ごと、各授業ごとの課題の進捗状況および回答状況を把握することができる。</t>
    <phoneticPr fontId="1"/>
  </si>
  <si>
    <t>AI等を活用した新しいビジネスモデル（シェアリングエコノミー、商品のレコメンデーションなど）「人工知能入門（１）」（12,13回目）
AI最新技術の活用例（深層生成モデル、敵対的生成ネットワーク、強化学習、転移学習など）「人工知能入門（１）」（10,11回目）</t>
    <phoneticPr fontId="1"/>
  </si>
  <si>
    <t>ビッグデータ、IoT、AI、ロボット「人工知能入門（１）」（2〜3回目）
データ量の増加、計算機の処理性能の向上、AIの非連続的進化「人工知能入門（１）」（6,9回目）
第4次産業革命、Society 5.0、データ駆動型社会「ICTリテラシー（１）」（6〜8回目）
人間の知的活動とAIの関係性「人工知能入門（１）」（3回目）</t>
    <phoneticPr fontId="1"/>
  </si>
  <si>
    <t>調査データ、実験データ、人の行動ログデータ、機械の稼働ログデータ「人工知能入門（１）」（12,13回目）
1次データ、2次データ、データのメタ化「ICTリテラシー（１）」（6,7回目）
構造化データ、非構造化データ（文章、画像/動画、音声/音楽など）「ICTリテラシー（１）」（2,3回目）
データのオープン化（オープンデータ）「ICTリテラシー（１）」（6,7回目）</t>
    <phoneticPr fontId="1"/>
  </si>
  <si>
    <t>データ・AI活用領域の広がり（生産、消費、文化活動など）「ICTリテラシー（１）」（9回目）、「人工知能入門（１）」（12,13回目）
仮説検証、知識発見、原因究明、計画策定、判断支援、活動代替、新規生成など「ICTリテラシー（１）」（14回目）</t>
    <phoneticPr fontId="1"/>
  </si>
  <si>
    <t>データ可視化：複合グラフ、2軸グラフ、多次元の可視化、関係性の可視化、地図上の可視化、挙動・軌跡の可視化、リアルタイム可視化など「ICTリテラシー（１）」（6,7回目）
非構造化データ処理：言語処理、画像/動画処理、音声/音楽処理など「ICTリテラシー（１）」（2,3回目）、「人工知能入門（１）」（10〜13回目）</t>
    <phoneticPr fontId="1"/>
  </si>
  <si>
    <t>データサイエンスのサイクル（課題抽出と定式化、データの取得・管理・加工、探索的データ解析、データ解析と推論、結果の共有・伝達、課題解決に向けた提案）「ICTリテラシー（１）」（13回目）、「人工知能入門（１）」（12,13回目）
流通、製造、金融、サービス、インフラ、公共、ヘルスケア等におけるデータ・AI利活用事例紹介「ICTリテラシー（１）」（12回目）、「人工知能入門（１）」（12,13回目）</t>
    <phoneticPr fontId="1"/>
  </si>
  <si>
    <t>個人情報保護、EU一般データ保護規則(GDPR)、忘れられる権利、オプトアウト 「ICTリテラシー（１）」（12,13回目）、「人工知能入門（１）」（14回目）
データ倫理：データのねつ造、改ざん、盗用、プライバシー保護 「ICTリテラシー（１）」（12,13回目）、「人工知能入門（１）」（14回目）
データバイアス、アルゴリズムバイアス 「ICTリテラシー（１）」（12,13回目）、「人工知能入門（１）」（14回目）
データ・AI活用における負の事例紹介 「ICTリテラシー（１）」（12,13回目）、「人工知能入門（１）」（14回目）</t>
    <phoneticPr fontId="1"/>
  </si>
  <si>
    <t>匿名加工情報、暗号化、パスワード、悪意ある情報搾取 「ICTリテラシー（１）」（12,13回目）
情報漏洩等によるセキュリティ事例紹介 「ICTリテラシー（１）」（12,13回目）</t>
    <phoneticPr fontId="1"/>
  </si>
  <si>
    <t>データの種類（量的変数、質的変数） 「ICTリテラシー（１）」（6回目）
データの分布（ヒストグラム）と代表値（平均値、中央値、最頻値） 「ICTリテラシー（１）」（6回目）
観測データに含まれる誤差の扱い 「ICTリテラシー（１）」（6回目）
打ち切りや脱落を含むデータ、層別の必要なデータ 「ICTリテラシー（１）」（6回目）</t>
    <phoneticPr fontId="1"/>
  </si>
  <si>
    <t>データ表現（棒グラフ、折線グラフ、散布図、ヒートマップ）「ICTリテラシー（１）」（6,7回目）
不適切なグラフ表現（チャートジャンク、不必要な視覚的要素） 「ICTリテラシー（１）」（6,7回目）
優れた可視化事例の紹介（可視化することによって新たな気づきがあった事例など） 「ICTリテラシー（１）」（6,7回目）</t>
    <phoneticPr fontId="1"/>
  </si>
  <si>
    <t>データの集計（和、平均） 「ICTリテラシー（１）」（6,7回目）
データの並び替え、ランキング 「ICTリテラシー（１）」（6,7回目）
データ解析ツール（スプレッドシート） 「ICTリテラシー（１）」（6,7回目）</t>
    <phoneticPr fontId="1"/>
  </si>
  <si>
    <t>データの種類（量的変数、質的変数） 「ICTリテラシー（２）」（6回目）
データの分布（ヒストグラム）と代表値（平均値、中央値、最頻値） 「ICTリテラシー（２）」（6回目）
観測データに含まれる誤差の扱い 「ICTリテラシー（２）」（6回目）
打ち切りや脱落を含むデータ、層別の必要なデータ 「ICTリテラシー（２）」（6回目）</t>
    <phoneticPr fontId="1"/>
  </si>
  <si>
    <t>ビッグデータ、IoT、AI、ロボット「ICTリテラシー（３）」（11,12回目）
データ量の増加、計算機の処理性能の向上、AIの非連続的進化「ICTリテラシー（３）」（10回目）
第4次産業革命、Society 5.0、データ駆動型社会「ICTリテラシー（３）」（12回目）
人間の知的活動とAIの関係性「ICTリテラシー（３）」（5,10回目）</t>
    <phoneticPr fontId="1"/>
  </si>
  <si>
    <t>データ可視化：複合グラフ、2軸グラフ、多次元の可視化、関係性の可視化、地図上の可視化、挙動・軌跡の可視化、リアルタイム可視化など「ICTリテラシー（３）」（4,9回目）
非構造化データ処理：言語処理、画像/動画処理、音声/音楽処理など「ICTリテラシー（３）」（4,5回目）</t>
    <phoneticPr fontId="1"/>
  </si>
  <si>
    <t>データの集計（和、平均） 「ICTリテラシー（３）」（4回目）
データの並び替え、ランキング 「ICTリテラシー（３）」（13回目）
データ解析ツール（スプレッドシート） 「ICTリテラシー（３）」（7～9,11,13回目）</t>
    <phoneticPr fontId="1"/>
  </si>
  <si>
    <t>本プログラムの科目は、学生が履修時に容易に識別できるように全学で名称を統一している。その一方、学修内容や扱うテーマを学部・学科ごとに調整することにより、学生が興味を持って積極的に履修できるように工夫している。
また、令和６年度以降、本プログラムを扱う全学横断的な専門委員会において、本プログラムとの各学部・学科における学修との関連を整理し、学生にもわかりやすく提示するなど、本プログラムの意義をさらに高める計画である。
さらに、現在まで対面形式のみで実施してきた授業内容を、一部オンデマンド化する、あるいは外部コンテンツを利用するなど、授業の実施方式を工夫することにより、令和９年度以降の必修化を目指す。</t>
    <phoneticPr fontId="1"/>
  </si>
  <si>
    <t>各学期に行う履修ガイダンスにおいて、学生への周知を図っている。
また、履修を促すために、一部の学科では、令和５年度よりプログラム内の科目を選択必修科目としている。
今後、履修登録期間中に、学内のサイネージへの掲示など学生の目に止まりやすい告知方法の展開を進める。</t>
    <phoneticPr fontId="1"/>
  </si>
  <si>
    <t>様式１－３</t>
    <rPh sb="0" eb="2">
      <t>ヨウシキ</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</si>
</sst>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76" formatCode="#,##0_ "/>
  </numFmts>
  <fonts count="17" x14ac:knownFonts="1">
    <font>
      <sz val="11"/>
      <color theme="1"/>
      <name val="ＭＳ Ｐゴシック"/>
      <family val="2"/>
      <charset val="128"/>
      <scheme val="minor"/>
    </font>
    <font>
      <sz val="6"/>
      <name val="ＭＳ Ｐゴシック"/>
      <family val="2"/>
      <charset val="128"/>
      <scheme val="minor"/>
    </font>
    <font>
      <sz val="12"/>
      <color theme="1"/>
      <name val="ＭＳ Ｐゴシック"/>
      <family val="3"/>
      <charset val="128"/>
      <scheme val="minor"/>
    </font>
    <font>
      <sz val="9"/>
      <color theme="1"/>
      <name val="ＭＳ Ｐゴシック"/>
      <family val="3"/>
      <charset val="128"/>
      <scheme val="minor"/>
    </font>
    <font>
      <sz val="11"/>
      <color theme="1"/>
      <name val="ＭＳ Ｐゴシック"/>
      <family val="2"/>
      <charset val="128"/>
      <scheme val="minor"/>
    </font>
    <font>
      <sz val="11"/>
      <color theme="1"/>
      <name val="ＭＳ Ｐゴシック"/>
      <family val="3"/>
      <charset val="128"/>
      <scheme val="minor"/>
    </font>
    <font>
      <sz val="14"/>
      <color theme="1"/>
      <name val="ＭＳ Ｐゴシック"/>
      <family val="3"/>
      <charset val="128"/>
      <scheme val="minor"/>
    </font>
    <font>
      <sz val="10"/>
      <color theme="1"/>
      <name val="ＭＳ Ｐゴシック"/>
      <family val="3"/>
      <charset val="128"/>
      <scheme val="minor"/>
    </font>
    <font>
      <sz val="7"/>
      <color theme="1"/>
      <name val="ＭＳ Ｐゴシック"/>
      <family val="3"/>
      <charset val="128"/>
      <scheme val="minor"/>
    </font>
    <font>
      <sz val="6"/>
      <color theme="1"/>
      <name val="ＭＳ Ｐゴシック"/>
      <family val="3"/>
      <charset val="128"/>
      <scheme val="minor"/>
    </font>
    <font>
      <sz val="12"/>
      <color rgb="FFFF0000"/>
      <name val="ＭＳ Ｐゴシック"/>
      <family val="3"/>
      <charset val="128"/>
      <scheme val="minor"/>
    </font>
    <font>
      <sz val="11"/>
      <color rgb="FFFF0000"/>
      <name val="ＭＳ Ｐゴシック"/>
      <family val="3"/>
      <charset val="128"/>
      <scheme val="minor"/>
    </font>
    <font>
      <sz val="11"/>
      <name val="ＭＳ Ｐゴシック"/>
      <family val="3"/>
      <charset val="128"/>
      <scheme val="minor"/>
    </font>
    <font>
      <sz val="12"/>
      <name val="ＭＳ Ｐゴシック"/>
      <family val="3"/>
      <charset val="128"/>
      <scheme val="minor"/>
    </font>
    <font>
      <b/>
      <sz val="11"/>
      <name val="ＭＳ Ｐゴシック"/>
      <family val="3"/>
      <charset val="128"/>
      <scheme val="minor"/>
    </font>
    <font>
      <sz val="9"/>
      <name val="ＭＳ Ｐゴシック"/>
      <family val="3"/>
      <charset val="128"/>
      <scheme val="minor"/>
    </font>
    <font>
      <sz val="14"/>
      <name val="ＭＳ Ｐゴシック"/>
      <family val="3"/>
      <charset val="128"/>
      <scheme val="minor"/>
    </font>
  </fonts>
  <fills count="3">
    <fill>
      <patternFill patternType="none"/>
    </fill>
    <fill>
      <patternFill patternType="gray125"/>
    </fill>
    <fill>
      <patternFill patternType="solid">
        <fgColor theme="0" tint="-4.9989318521683403E-2"/>
        <bgColor indexed="64"/>
      </patternFill>
    </fill>
  </fills>
  <borders count="49">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thin">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thin">
        <color auto="1"/>
      </left>
      <right/>
      <top style="thin">
        <color auto="1"/>
      </top>
      <bottom style="hair">
        <color auto="1"/>
      </bottom>
      <diagonal/>
    </border>
    <border>
      <left/>
      <right style="thin">
        <color auto="1"/>
      </right>
      <top style="thin">
        <color auto="1"/>
      </top>
      <bottom style="hair">
        <color auto="1"/>
      </bottom>
      <diagonal/>
    </border>
    <border>
      <left/>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thin">
        <color auto="1"/>
      </left>
      <right/>
      <top/>
      <bottom style="hair">
        <color auto="1"/>
      </bottom>
      <diagonal/>
    </border>
    <border>
      <left/>
      <right/>
      <top/>
      <bottom style="hair">
        <color auto="1"/>
      </bottom>
      <diagonal/>
    </border>
    <border>
      <left/>
      <right style="thin">
        <color auto="1"/>
      </right>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thin">
        <color auto="1"/>
      </top>
      <bottom/>
      <diagonal/>
    </border>
    <border>
      <left style="thin">
        <color auto="1"/>
      </left>
      <right style="hair">
        <color auto="1"/>
      </right>
      <top/>
      <bottom style="thin">
        <color auto="1"/>
      </bottom>
      <diagonal/>
    </border>
    <border>
      <left style="hair">
        <color auto="1"/>
      </left>
      <right style="thin">
        <color auto="1"/>
      </right>
      <top/>
      <bottom style="thin">
        <color auto="1"/>
      </bottom>
      <diagonal/>
    </border>
    <border>
      <left style="hair">
        <color auto="1"/>
      </left>
      <right style="thin">
        <color auto="1"/>
      </right>
      <top style="thin">
        <color auto="1"/>
      </top>
      <bottom/>
      <diagonal/>
    </border>
    <border>
      <left style="hair">
        <color auto="1"/>
      </left>
      <right style="thin">
        <color auto="1"/>
      </right>
      <top style="hair">
        <color auto="1"/>
      </top>
      <bottom/>
      <diagonal/>
    </border>
    <border>
      <left style="thin">
        <color auto="1"/>
      </left>
      <right style="thin">
        <color auto="1"/>
      </right>
      <top/>
      <bottom/>
      <diagonal/>
    </border>
    <border>
      <left style="thin">
        <color auto="1"/>
      </left>
      <right style="dotted">
        <color auto="1"/>
      </right>
      <top style="hair">
        <color auto="1"/>
      </top>
      <bottom style="hair">
        <color auto="1"/>
      </bottom>
      <diagonal/>
    </border>
    <border>
      <left style="hair">
        <color auto="1"/>
      </left>
      <right/>
      <top style="hair">
        <color auto="1"/>
      </top>
      <bottom style="thin">
        <color indexed="64"/>
      </bottom>
      <diagonal/>
    </border>
    <border>
      <left style="thin">
        <color auto="1"/>
      </left>
      <right style="thin">
        <color auto="1"/>
      </right>
      <top/>
      <bottom style="hair">
        <color auto="1"/>
      </bottom>
      <diagonal/>
    </border>
  </borders>
  <cellStyleXfs count="3">
    <xf numFmtId="0" fontId="0" fillId="0" borderId="0">
      <alignment vertical="center"/>
    </xf>
    <xf numFmtId="9" fontId="4" fillId="0" borderId="0" applyFont="0" applyFill="0" applyBorder="0" applyAlignment="0" applyProtection="0">
      <alignment vertical="center"/>
    </xf>
    <xf numFmtId="38" fontId="4" fillId="0" borderId="0" applyFont="0" applyFill="0" applyBorder="0" applyAlignment="0" applyProtection="0">
      <alignment vertical="center"/>
    </xf>
  </cellStyleXfs>
  <cellXfs count="260">
    <xf numFmtId="0" fontId="0" fillId="0" borderId="0" xfId="0">
      <alignment vertical="center"/>
    </xf>
    <xf numFmtId="0" fontId="2" fillId="0" borderId="0" xfId="0" applyFont="1">
      <alignment vertical="center"/>
    </xf>
    <xf numFmtId="0" fontId="5" fillId="0" borderId="0" xfId="0" applyFont="1">
      <alignment vertical="center"/>
    </xf>
    <xf numFmtId="0" fontId="2" fillId="0" borderId="0" xfId="0" applyFont="1" applyAlignment="1">
      <alignment horizontal="center" vertical="center"/>
    </xf>
    <xf numFmtId="0" fontId="3" fillId="0" borderId="0" xfId="0" applyFont="1" applyAlignment="1">
      <alignment vertical="top" wrapText="1"/>
    </xf>
    <xf numFmtId="0" fontId="6" fillId="0" borderId="0" xfId="0" applyFont="1" applyAlignment="1">
      <alignment horizontal="center" vertical="center"/>
    </xf>
    <xf numFmtId="0" fontId="2" fillId="0" borderId="0" xfId="0" applyFont="1" applyAlignment="1">
      <alignment vertical="center" shrinkToFit="1"/>
    </xf>
    <xf numFmtId="9" fontId="2" fillId="0" borderId="10" xfId="0" applyNumberFormat="1" applyFont="1" applyBorder="1" applyAlignment="1">
      <alignment vertical="center" shrinkToFit="1"/>
    </xf>
    <xf numFmtId="9" fontId="2" fillId="0" borderId="20" xfId="0" applyNumberFormat="1" applyFont="1" applyBorder="1" applyAlignment="1">
      <alignment vertical="center" shrinkToFit="1"/>
    </xf>
    <xf numFmtId="9" fontId="2" fillId="0" borderId="24" xfId="0" applyNumberFormat="1" applyFont="1" applyBorder="1" applyAlignment="1">
      <alignment vertical="center" shrinkToFit="1"/>
    </xf>
    <xf numFmtId="0" fontId="2" fillId="0" borderId="0" xfId="0" applyFont="1" applyAlignment="1">
      <alignment horizontal="left" vertical="center"/>
    </xf>
    <xf numFmtId="0" fontId="2" fillId="0" borderId="20" xfId="0" applyFont="1" applyBorder="1" applyAlignment="1">
      <alignment horizontal="left" vertical="center" shrinkToFit="1"/>
    </xf>
    <xf numFmtId="0" fontId="2" fillId="0" borderId="21" xfId="0" applyFont="1" applyBorder="1" applyAlignment="1">
      <alignment horizontal="left" vertical="center" shrinkToFit="1"/>
    </xf>
    <xf numFmtId="0" fontId="2" fillId="0" borderId="25" xfId="0" applyFont="1" applyBorder="1" applyAlignment="1">
      <alignment horizontal="center" vertical="center" shrinkToFit="1"/>
    </xf>
    <xf numFmtId="0" fontId="2" fillId="0" borderId="0" xfId="0" applyFont="1" applyAlignment="1">
      <alignment vertical="top" wrapText="1"/>
    </xf>
    <xf numFmtId="0" fontId="2" fillId="0" borderId="0" xfId="0" applyFont="1" applyAlignment="1">
      <alignment vertical="center" wrapText="1"/>
    </xf>
    <xf numFmtId="9" fontId="2" fillId="0" borderId="48" xfId="0" applyNumberFormat="1" applyFont="1" applyBorder="1" applyAlignment="1">
      <alignment vertical="center" shrinkToFit="1"/>
    </xf>
    <xf numFmtId="49" fontId="3" fillId="0" borderId="1" xfId="0" applyNumberFormat="1" applyFont="1" applyBorder="1" applyAlignment="1">
      <alignment horizontal="center" vertical="center"/>
    </xf>
    <xf numFmtId="0" fontId="2" fillId="0" borderId="14" xfId="0" applyFont="1" applyBorder="1" applyAlignment="1">
      <alignment horizontal="center" vertical="center" shrinkToFit="1"/>
    </xf>
    <xf numFmtId="0" fontId="2" fillId="0" borderId="20" xfId="0" applyFont="1" applyBorder="1" applyAlignment="1">
      <alignment horizontal="center" vertical="center" shrinkToFit="1"/>
    </xf>
    <xf numFmtId="0" fontId="2" fillId="0" borderId="13" xfId="0" applyFont="1" applyBorder="1" applyAlignment="1">
      <alignment horizontal="center" vertical="center" shrinkToFit="1"/>
    </xf>
    <xf numFmtId="0" fontId="2" fillId="0" borderId="35" xfId="0" applyFont="1" applyBorder="1" applyAlignment="1">
      <alignment horizontal="center" vertical="center" shrinkToFit="1"/>
    </xf>
    <xf numFmtId="0" fontId="2" fillId="0" borderId="0" xfId="0" applyFont="1" applyAlignment="1">
      <alignment horizontal="center" vertical="center" shrinkToFit="1"/>
    </xf>
    <xf numFmtId="49" fontId="3" fillId="0" borderId="43" xfId="0" applyNumberFormat="1" applyFont="1" applyBorder="1" applyAlignment="1">
      <alignment horizontal="center" vertical="center"/>
    </xf>
    <xf numFmtId="49" fontId="3" fillId="0" borderId="44" xfId="0" applyNumberFormat="1" applyFont="1" applyBorder="1" applyAlignment="1">
      <alignment horizontal="center" vertical="center"/>
    </xf>
    <xf numFmtId="49" fontId="3" fillId="0" borderId="39" xfId="0" applyNumberFormat="1" applyFont="1" applyBorder="1" applyAlignment="1">
      <alignment horizontal="center" vertical="center"/>
    </xf>
    <xf numFmtId="49" fontId="3" fillId="0" borderId="26" xfId="0" applyNumberFormat="1" applyFont="1" applyBorder="1" applyAlignment="1">
      <alignment horizontal="center" vertical="center"/>
    </xf>
    <xf numFmtId="49" fontId="3" fillId="0" borderId="42" xfId="0" applyNumberFormat="1" applyFont="1" applyBorder="1" applyAlignment="1">
      <alignment horizontal="center" vertical="center"/>
    </xf>
    <xf numFmtId="49" fontId="3" fillId="0" borderId="28" xfId="0" applyNumberFormat="1" applyFont="1" applyBorder="1" applyAlignment="1">
      <alignment horizontal="center" vertical="center"/>
    </xf>
    <xf numFmtId="0" fontId="2" fillId="0" borderId="1" xfId="0" applyFont="1" applyBorder="1" applyAlignment="1">
      <alignment horizontal="center" vertical="center"/>
    </xf>
    <xf numFmtId="0" fontId="2" fillId="0" borderId="0" xfId="0" applyFont="1" applyAlignment="1">
      <alignment horizontal="right" vertical="center"/>
    </xf>
    <xf numFmtId="0" fontId="2" fillId="0" borderId="1" xfId="0" applyFont="1" applyBorder="1" applyAlignment="1">
      <alignment horizontal="left" vertical="center"/>
    </xf>
    <xf numFmtId="0" fontId="3" fillId="0" borderId="0" xfId="0" applyFont="1">
      <alignment vertical="center"/>
    </xf>
    <xf numFmtId="0" fontId="5" fillId="0" borderId="0" xfId="0" applyFont="1" applyAlignment="1">
      <alignment horizontal="left" vertical="center"/>
    </xf>
    <xf numFmtId="0" fontId="2" fillId="0" borderId="1" xfId="0" applyFont="1" applyBorder="1" applyAlignment="1">
      <alignment horizontal="center" vertical="center" wrapText="1" shrinkToFit="1"/>
    </xf>
    <xf numFmtId="9" fontId="2" fillId="0" borderId="1" xfId="0" applyNumberFormat="1" applyFont="1" applyBorder="1" applyAlignment="1">
      <alignment horizontal="center" vertical="center" shrinkToFit="1"/>
    </xf>
    <xf numFmtId="9" fontId="2" fillId="0" borderId="0" xfId="1" applyFont="1" applyAlignment="1">
      <alignment horizontal="center" vertical="center"/>
    </xf>
    <xf numFmtId="0" fontId="2" fillId="0" borderId="1" xfId="0" applyFont="1" applyBorder="1" applyAlignment="1">
      <alignment horizontal="center" vertical="center" shrinkToFit="1"/>
    </xf>
    <xf numFmtId="176" fontId="2" fillId="0" borderId="1" xfId="0" applyNumberFormat="1" applyFont="1" applyBorder="1" applyAlignment="1">
      <alignment horizontal="center" vertical="center" shrinkToFit="1"/>
    </xf>
    <xf numFmtId="0" fontId="3" fillId="0" borderId="0" xfId="0" applyFont="1" applyAlignment="1">
      <alignment vertical="top" shrinkToFit="1"/>
    </xf>
    <xf numFmtId="0" fontId="2" fillId="2" borderId="5" xfId="0" applyFont="1" applyFill="1" applyBorder="1">
      <alignment vertical="center"/>
    </xf>
    <xf numFmtId="0" fontId="3" fillId="2" borderId="10" xfId="0" applyFont="1" applyFill="1" applyBorder="1" applyAlignment="1">
      <alignment vertical="top" wrapText="1"/>
    </xf>
    <xf numFmtId="0" fontId="3" fillId="2" borderId="5" xfId="0" applyFont="1" applyFill="1" applyBorder="1" applyAlignment="1">
      <alignment vertical="top" wrapText="1"/>
    </xf>
    <xf numFmtId="0" fontId="3" fillId="2" borderId="11" xfId="0" applyFont="1" applyFill="1" applyBorder="1" applyAlignment="1">
      <alignment vertical="top" wrapText="1"/>
    </xf>
    <xf numFmtId="0" fontId="3" fillId="2" borderId="37" xfId="0" applyFont="1" applyFill="1" applyBorder="1" applyAlignment="1">
      <alignment vertical="top" wrapText="1"/>
    </xf>
    <xf numFmtId="0" fontId="3" fillId="2" borderId="38" xfId="0" applyFont="1" applyFill="1" applyBorder="1" applyAlignment="1">
      <alignment vertical="top" wrapText="1"/>
    </xf>
    <xf numFmtId="0" fontId="3" fillId="2" borderId="37" xfId="0" applyFont="1" applyFill="1" applyBorder="1" applyAlignment="1">
      <alignment vertical="top" shrinkToFit="1"/>
    </xf>
    <xf numFmtId="0" fontId="3" fillId="2" borderId="0" xfId="0" applyFont="1" applyFill="1" applyAlignment="1">
      <alignment vertical="top" wrapText="1"/>
    </xf>
    <xf numFmtId="0" fontId="2" fillId="2" borderId="0" xfId="0" applyFont="1" applyFill="1">
      <alignment vertical="center"/>
    </xf>
    <xf numFmtId="0" fontId="3" fillId="2" borderId="38" xfId="0" applyFont="1" applyFill="1" applyBorder="1" applyAlignment="1">
      <alignment vertical="top" shrinkToFit="1"/>
    </xf>
    <xf numFmtId="0" fontId="3" fillId="0" borderId="4" xfId="0" applyFont="1" applyBorder="1" applyAlignment="1">
      <alignment horizontal="center" vertical="center" shrinkToFit="1"/>
    </xf>
    <xf numFmtId="0" fontId="3" fillId="0" borderId="1" xfId="0" applyFont="1" applyBorder="1" applyAlignment="1">
      <alignment horizontal="center" vertical="center" shrinkToFit="1"/>
    </xf>
    <xf numFmtId="38" fontId="2" fillId="0" borderId="45" xfId="2" applyFont="1" applyBorder="1" applyAlignment="1">
      <alignment vertical="center" shrinkToFit="1"/>
    </xf>
    <xf numFmtId="38" fontId="2" fillId="0" borderId="0" xfId="2" applyFont="1" applyAlignment="1">
      <alignment vertical="center" shrinkToFit="1"/>
    </xf>
    <xf numFmtId="38" fontId="2" fillId="0" borderId="5" xfId="2" applyFont="1" applyBorder="1" applyAlignment="1">
      <alignment vertical="center" shrinkToFit="1"/>
    </xf>
    <xf numFmtId="38" fontId="2" fillId="0" borderId="20" xfId="2" applyFont="1" applyBorder="1" applyAlignment="1">
      <alignment vertical="center" shrinkToFit="1"/>
    </xf>
    <xf numFmtId="38" fontId="2" fillId="0" borderId="19" xfId="2" applyFont="1" applyBorder="1" applyAlignment="1">
      <alignment vertical="center" shrinkToFit="1"/>
    </xf>
    <xf numFmtId="38" fontId="2" fillId="0" borderId="18" xfId="2" applyFont="1" applyBorder="1" applyAlignment="1">
      <alignment vertical="center" shrinkToFit="1"/>
    </xf>
    <xf numFmtId="38" fontId="2" fillId="0" borderId="46" xfId="2" applyFont="1" applyBorder="1" applyAlignment="1">
      <alignment vertical="center" shrinkToFit="1"/>
    </xf>
    <xf numFmtId="38" fontId="2" fillId="0" borderId="17" xfId="2" applyFont="1" applyBorder="1" applyAlignment="1">
      <alignment vertical="center" shrinkToFit="1"/>
    </xf>
    <xf numFmtId="38" fontId="2" fillId="0" borderId="10" xfId="2" applyFont="1" applyBorder="1" applyAlignment="1">
      <alignment vertical="center" shrinkToFit="1"/>
    </xf>
    <xf numFmtId="38" fontId="2" fillId="0" borderId="25" xfId="2" applyFont="1" applyBorder="1" applyAlignment="1">
      <alignment vertical="center" shrinkToFit="1"/>
    </xf>
    <xf numFmtId="38" fontId="2" fillId="0" borderId="23" xfId="2" applyFont="1" applyBorder="1" applyAlignment="1">
      <alignment vertical="center" shrinkToFit="1"/>
    </xf>
    <xf numFmtId="38" fontId="2" fillId="0" borderId="22" xfId="2" applyFont="1" applyBorder="1" applyAlignment="1">
      <alignment vertical="center" shrinkToFit="1"/>
    </xf>
    <xf numFmtId="0" fontId="8" fillId="0" borderId="32" xfId="0" applyFont="1" applyBorder="1" applyAlignment="1">
      <alignment horizontal="center" vertical="center"/>
    </xf>
    <xf numFmtId="0" fontId="8" fillId="0" borderId="35" xfId="0" applyFont="1" applyBorder="1" applyAlignment="1">
      <alignment horizontal="center" vertical="center"/>
    </xf>
    <xf numFmtId="0" fontId="2" fillId="0" borderId="48" xfId="0" applyFont="1" applyBorder="1" applyAlignment="1">
      <alignment horizontal="left" vertical="center" shrinkToFit="1"/>
    </xf>
    <xf numFmtId="38" fontId="2" fillId="0" borderId="48" xfId="2" applyFont="1" applyBorder="1" applyAlignment="1">
      <alignment vertical="center" shrinkToFit="1"/>
    </xf>
    <xf numFmtId="9" fontId="2" fillId="0" borderId="13" xfId="0" applyNumberFormat="1" applyFont="1" applyBorder="1" applyAlignment="1">
      <alignment vertical="center" shrinkToFit="1"/>
    </xf>
    <xf numFmtId="0" fontId="10" fillId="0" borderId="0" xfId="0" applyFont="1">
      <alignment vertical="center"/>
    </xf>
    <xf numFmtId="0" fontId="11" fillId="0" borderId="0" xfId="0" applyFont="1">
      <alignment vertical="center"/>
    </xf>
    <xf numFmtId="0" fontId="11" fillId="0" borderId="0" xfId="0" applyFont="1" applyAlignment="1">
      <alignment vertical="center" wrapText="1"/>
    </xf>
    <xf numFmtId="49" fontId="11" fillId="0" borderId="0" xfId="0" applyNumberFormat="1" applyFont="1" applyAlignment="1">
      <alignment vertical="center" shrinkToFit="1"/>
    </xf>
    <xf numFmtId="0" fontId="2" fillId="0" borderId="0" xfId="0" applyFont="1" applyAlignment="1">
      <alignment vertical="top" wrapText="1" shrinkToFit="1"/>
    </xf>
    <xf numFmtId="0" fontId="2" fillId="0" borderId="0" xfId="0" applyFont="1" applyAlignment="1">
      <alignment vertical="top" shrinkToFit="1"/>
    </xf>
    <xf numFmtId="0" fontId="2" fillId="0" borderId="0" xfId="0" applyFont="1" applyAlignment="1">
      <alignment vertical="top" wrapText="1"/>
    </xf>
    <xf numFmtId="0" fontId="2" fillId="0" borderId="0" xfId="0" applyFont="1" applyAlignment="1">
      <alignment horizontal="center" vertical="center"/>
    </xf>
    <xf numFmtId="0" fontId="2" fillId="0" borderId="0" xfId="0" applyFont="1">
      <alignment vertical="center"/>
    </xf>
    <xf numFmtId="0" fontId="12" fillId="0" borderId="0" xfId="0" applyFont="1" applyFill="1">
      <alignment vertical="center"/>
    </xf>
    <xf numFmtId="0" fontId="13" fillId="0" borderId="0" xfId="0" applyFont="1" applyFill="1">
      <alignment vertical="center"/>
    </xf>
    <xf numFmtId="0" fontId="13" fillId="0" borderId="0" xfId="0" applyFont="1">
      <alignment vertical="center"/>
    </xf>
    <xf numFmtId="0" fontId="13" fillId="0" borderId="1" xfId="0" applyFont="1" applyBorder="1" applyAlignment="1">
      <alignment horizontal="center" vertical="center"/>
    </xf>
    <xf numFmtId="0" fontId="13" fillId="0" borderId="0" xfId="0" applyFont="1" applyAlignment="1">
      <alignment horizontal="right" vertical="center"/>
    </xf>
    <xf numFmtId="0" fontId="13" fillId="0" borderId="0" xfId="0" applyFont="1" applyAlignment="1">
      <alignment vertical="center" shrinkToFit="1"/>
    </xf>
    <xf numFmtId="0" fontId="13" fillId="0" borderId="0" xfId="0" applyFont="1" applyAlignment="1">
      <alignment horizontal="left" vertical="center" shrinkToFit="1"/>
    </xf>
    <xf numFmtId="0" fontId="13" fillId="0" borderId="0" xfId="0" applyFont="1" applyAlignment="1">
      <alignment horizontal="center" vertical="center"/>
    </xf>
    <xf numFmtId="0" fontId="12" fillId="0" borderId="0" xfId="0" applyFont="1">
      <alignment vertical="center"/>
    </xf>
    <xf numFmtId="0" fontId="13" fillId="0" borderId="0" xfId="0" applyFont="1" applyAlignment="1">
      <alignment horizontal="left" vertical="center"/>
    </xf>
    <xf numFmtId="0" fontId="12" fillId="0" borderId="0" xfId="0" applyFont="1" applyAlignment="1">
      <alignment horizontal="center" vertical="center"/>
    </xf>
    <xf numFmtId="0" fontId="13" fillId="0" borderId="1" xfId="0" applyFont="1" applyBorder="1">
      <alignment vertical="center"/>
    </xf>
    <xf numFmtId="0" fontId="13" fillId="0" borderId="1" xfId="0" applyFont="1" applyBorder="1" applyAlignment="1">
      <alignment horizontal="left" vertical="center"/>
    </xf>
    <xf numFmtId="0" fontId="13" fillId="0" borderId="1" xfId="0" applyFont="1" applyBorder="1" applyAlignment="1">
      <alignment horizontal="center" vertical="center"/>
    </xf>
    <xf numFmtId="0" fontId="13" fillId="0" borderId="0" xfId="0" applyFont="1" applyAlignment="1">
      <alignment horizontal="center" vertical="center" shrinkToFit="1"/>
    </xf>
    <xf numFmtId="0" fontId="12" fillId="0" borderId="0" xfId="0" applyFont="1" applyFill="1" applyAlignment="1">
      <alignment horizontal="left" vertical="center" wrapText="1"/>
    </xf>
    <xf numFmtId="49" fontId="3" fillId="0" borderId="32" xfId="0" applyNumberFormat="1" applyFont="1" applyBorder="1" applyAlignment="1">
      <alignment horizontal="left" vertical="center" wrapText="1"/>
    </xf>
    <xf numFmtId="49" fontId="3" fillId="0" borderId="33" xfId="0" applyNumberFormat="1" applyFont="1" applyBorder="1" applyAlignment="1">
      <alignment horizontal="left" vertical="center"/>
    </xf>
    <xf numFmtId="49" fontId="3" fillId="0" borderId="34" xfId="0" applyNumberFormat="1" applyFont="1" applyBorder="1" applyAlignment="1">
      <alignment horizontal="left" vertical="center"/>
    </xf>
    <xf numFmtId="49" fontId="3" fillId="0" borderId="29" xfId="0" applyNumberFormat="1" applyFont="1" applyBorder="1" applyAlignment="1">
      <alignment horizontal="left" vertical="center" wrapText="1"/>
    </xf>
    <xf numFmtId="49" fontId="3" fillId="0" borderId="31" xfId="0" applyNumberFormat="1" applyFont="1" applyBorder="1" applyAlignment="1">
      <alignment horizontal="left" vertical="center"/>
    </xf>
    <xf numFmtId="49" fontId="3" fillId="0" borderId="30" xfId="0" applyNumberFormat="1" applyFont="1" applyBorder="1" applyAlignment="1">
      <alignment horizontal="left" vertical="center"/>
    </xf>
    <xf numFmtId="49" fontId="3" fillId="0" borderId="18" xfId="0" applyNumberFormat="1" applyFont="1" applyBorder="1" applyAlignment="1">
      <alignment horizontal="left" vertical="center" wrapText="1"/>
    </xf>
    <xf numFmtId="49" fontId="3" fillId="0" borderId="19" xfId="0" applyNumberFormat="1" applyFont="1" applyBorder="1" applyAlignment="1">
      <alignment horizontal="left" vertical="center"/>
    </xf>
    <xf numFmtId="49" fontId="3" fillId="0" borderId="17" xfId="0" applyNumberFormat="1" applyFont="1" applyBorder="1" applyAlignment="1">
      <alignment horizontal="left" vertical="center"/>
    </xf>
    <xf numFmtId="0" fontId="12" fillId="0" borderId="2" xfId="0" applyFont="1" applyBorder="1" applyAlignment="1">
      <alignment horizontal="center" vertical="center" shrinkToFit="1"/>
    </xf>
    <xf numFmtId="0" fontId="12" fillId="0" borderId="3" xfId="0" applyFont="1" applyBorder="1" applyAlignment="1">
      <alignment horizontal="center" vertical="center" shrinkToFit="1"/>
    </xf>
    <xf numFmtId="0" fontId="12" fillId="0" borderId="4" xfId="0" applyFont="1" applyBorder="1" applyAlignment="1">
      <alignment horizontal="center" vertical="center" shrinkToFit="1"/>
    </xf>
    <xf numFmtId="0" fontId="12" fillId="0" borderId="2" xfId="0" applyFont="1" applyBorder="1" applyAlignment="1">
      <alignment horizontal="center" vertical="center"/>
    </xf>
    <xf numFmtId="0" fontId="12" fillId="0" borderId="3" xfId="0" applyFont="1" applyBorder="1" applyAlignment="1">
      <alignment horizontal="center" vertical="center"/>
    </xf>
    <xf numFmtId="0" fontId="12" fillId="0" borderId="4" xfId="0" applyFont="1" applyBorder="1" applyAlignment="1">
      <alignment horizontal="center" vertical="center"/>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13" fillId="0" borderId="7" xfId="0" applyFont="1" applyBorder="1" applyAlignment="1">
      <alignment horizontal="left" vertical="center" wrapText="1"/>
    </xf>
    <xf numFmtId="0" fontId="13" fillId="0" borderId="8" xfId="0" applyFont="1" applyBorder="1" applyAlignment="1">
      <alignment horizontal="left" vertical="center" wrapText="1"/>
    </xf>
    <xf numFmtId="0" fontId="13" fillId="0" borderId="9" xfId="0" applyFont="1" applyBorder="1" applyAlignment="1">
      <alignment horizontal="left" vertical="center" wrapText="1"/>
    </xf>
    <xf numFmtId="0" fontId="13" fillId="0" borderId="11" xfId="0" applyFont="1" applyBorder="1" applyAlignment="1">
      <alignment horizontal="left" vertical="center" wrapText="1"/>
    </xf>
    <xf numFmtId="0" fontId="13" fillId="0" borderId="6" xfId="0" applyFont="1" applyBorder="1" applyAlignment="1">
      <alignment horizontal="left" vertical="center" wrapText="1"/>
    </xf>
    <xf numFmtId="0" fontId="13" fillId="0" borderId="12" xfId="0" applyFont="1" applyBorder="1" applyAlignment="1">
      <alignment horizontal="left" vertical="center" wrapText="1"/>
    </xf>
    <xf numFmtId="0" fontId="2" fillId="0" borderId="18" xfId="0" applyFont="1" applyBorder="1" applyAlignment="1">
      <alignment vertical="center" shrinkToFit="1"/>
    </xf>
    <xf numFmtId="0" fontId="2" fillId="0" borderId="19" xfId="0" applyFont="1" applyBorder="1" applyAlignment="1">
      <alignment vertical="center" shrinkToFit="1"/>
    </xf>
    <xf numFmtId="0" fontId="2" fillId="0" borderId="17" xfId="0" applyFont="1" applyBorder="1" applyAlignment="1">
      <alignment vertical="center" shrinkToFit="1"/>
    </xf>
    <xf numFmtId="0" fontId="2" fillId="0" borderId="32" xfId="0" applyFont="1" applyBorder="1" applyAlignment="1">
      <alignment vertical="center" shrinkToFit="1"/>
    </xf>
    <xf numFmtId="0" fontId="2" fillId="0" borderId="33" xfId="0" applyFont="1" applyBorder="1" applyAlignment="1">
      <alignment vertical="center" shrinkToFit="1"/>
    </xf>
    <xf numFmtId="0" fontId="2" fillId="0" borderId="34" xfId="0" applyFont="1" applyBorder="1" applyAlignment="1">
      <alignment vertical="center" shrinkToFit="1"/>
    </xf>
    <xf numFmtId="0" fontId="2" fillId="0" borderId="29" xfId="0" applyFont="1" applyBorder="1" applyAlignment="1">
      <alignment vertical="center" shrinkToFit="1"/>
    </xf>
    <xf numFmtId="0" fontId="2" fillId="0" borderId="31" xfId="0" applyFont="1" applyBorder="1" applyAlignment="1">
      <alignment vertical="center" shrinkToFit="1"/>
    </xf>
    <xf numFmtId="0" fontId="2" fillId="0" borderId="30" xfId="0" applyFont="1" applyBorder="1" applyAlignment="1">
      <alignment vertical="center" shrinkToFit="1"/>
    </xf>
    <xf numFmtId="0" fontId="2" fillId="0" borderId="0" xfId="0" applyFont="1" applyAlignment="1">
      <alignment vertical="center" wrapText="1"/>
    </xf>
    <xf numFmtId="0" fontId="13" fillId="0" borderId="0" xfId="0" applyFont="1" applyAlignment="1">
      <alignment horizontal="right" vertical="center"/>
    </xf>
    <xf numFmtId="0" fontId="13" fillId="0" borderId="2" xfId="0" applyFont="1" applyBorder="1" applyAlignment="1">
      <alignment horizontal="center" vertical="center"/>
    </xf>
    <xf numFmtId="0" fontId="13" fillId="0" borderId="3" xfId="0" applyFont="1" applyBorder="1" applyAlignment="1">
      <alignment horizontal="center" vertical="center"/>
    </xf>
    <xf numFmtId="0" fontId="13" fillId="0" borderId="4" xfId="0" applyFont="1" applyBorder="1" applyAlignment="1">
      <alignment horizontal="center" vertical="center"/>
    </xf>
    <xf numFmtId="0" fontId="13" fillId="0" borderId="2" xfId="0" applyFont="1" applyBorder="1" applyAlignment="1">
      <alignment horizontal="center" vertical="center" shrinkToFit="1"/>
    </xf>
    <xf numFmtId="0" fontId="13" fillId="0" borderId="3" xfId="0" applyFont="1" applyBorder="1" applyAlignment="1">
      <alignment horizontal="center" vertical="center" shrinkToFit="1"/>
    </xf>
    <xf numFmtId="0" fontId="13" fillId="0" borderId="4" xfId="0" applyFont="1" applyBorder="1" applyAlignment="1">
      <alignment horizontal="center" vertical="center" shrinkToFit="1"/>
    </xf>
    <xf numFmtId="0" fontId="16" fillId="0" borderId="0" xfId="0" applyFont="1" applyAlignment="1">
      <alignment horizontal="center" vertical="center"/>
    </xf>
    <xf numFmtId="0" fontId="13" fillId="0" borderId="7" xfId="0" applyFont="1" applyBorder="1" applyAlignment="1">
      <alignment horizontal="left" vertical="top" wrapText="1" shrinkToFit="1"/>
    </xf>
    <xf numFmtId="0" fontId="13" fillId="0" borderId="8" xfId="0" applyFont="1" applyBorder="1" applyAlignment="1">
      <alignment horizontal="left" vertical="top" wrapText="1" shrinkToFit="1"/>
    </xf>
    <xf numFmtId="0" fontId="13" fillId="0" borderId="9" xfId="0" applyFont="1" applyBorder="1" applyAlignment="1">
      <alignment horizontal="left" vertical="top" wrapText="1" shrinkToFit="1"/>
    </xf>
    <xf numFmtId="0" fontId="13" fillId="0" borderId="5" xfId="0" applyFont="1" applyBorder="1" applyAlignment="1">
      <alignment horizontal="left" vertical="top" wrapText="1" shrinkToFit="1"/>
    </xf>
    <xf numFmtId="0" fontId="13" fillId="0" borderId="0" xfId="0" applyFont="1" applyAlignment="1">
      <alignment horizontal="left" vertical="top" wrapText="1" shrinkToFit="1"/>
    </xf>
    <xf numFmtId="0" fontId="13" fillId="0" borderId="10" xfId="0" applyFont="1" applyBorder="1" applyAlignment="1">
      <alignment horizontal="left" vertical="top" wrapText="1" shrinkToFit="1"/>
    </xf>
    <xf numFmtId="0" fontId="13" fillId="0" borderId="11" xfId="0" applyFont="1" applyBorder="1" applyAlignment="1">
      <alignment horizontal="left" vertical="top" wrapText="1" shrinkToFit="1"/>
    </xf>
    <xf numFmtId="0" fontId="13" fillId="0" borderId="6" xfId="0" applyFont="1" applyBorder="1" applyAlignment="1">
      <alignment horizontal="left" vertical="top" wrapText="1" shrinkToFit="1"/>
    </xf>
    <xf numFmtId="0" fontId="13" fillId="0" borderId="12" xfId="0" applyFont="1" applyBorder="1" applyAlignment="1">
      <alignment horizontal="left" vertical="top" wrapText="1" shrinkToFit="1"/>
    </xf>
    <xf numFmtId="0" fontId="13" fillId="0" borderId="0" xfId="0" applyFont="1" applyAlignment="1">
      <alignment vertical="center" wrapText="1"/>
    </xf>
    <xf numFmtId="0" fontId="2" fillId="0" borderId="2" xfId="0" applyFont="1" applyBorder="1" applyAlignment="1">
      <alignment vertical="center" wrapText="1" shrinkToFit="1"/>
    </xf>
    <xf numFmtId="0" fontId="2" fillId="0" borderId="3" xfId="0" applyFont="1" applyBorder="1" applyAlignment="1">
      <alignment vertical="center" wrapText="1" shrinkToFit="1"/>
    </xf>
    <xf numFmtId="0" fontId="2" fillId="0" borderId="4" xfId="0" applyFont="1" applyBorder="1" applyAlignment="1">
      <alignment vertical="center" wrapText="1" shrinkToFit="1"/>
    </xf>
    <xf numFmtId="0" fontId="2" fillId="0" borderId="32" xfId="0" applyFont="1" applyBorder="1" applyAlignment="1">
      <alignment horizontal="center" vertical="center" shrinkToFit="1"/>
    </xf>
    <xf numFmtId="0" fontId="2" fillId="0" borderId="33" xfId="0" applyFont="1" applyBorder="1" applyAlignment="1">
      <alignment horizontal="center" vertical="center" shrinkToFit="1"/>
    </xf>
    <xf numFmtId="0" fontId="2" fillId="0" borderId="34" xfId="0" applyFont="1" applyBorder="1" applyAlignment="1">
      <alignment horizontal="center" vertical="center" shrinkToFit="1"/>
    </xf>
    <xf numFmtId="0" fontId="2" fillId="0" borderId="18" xfId="0" applyFont="1" applyBorder="1" applyAlignment="1">
      <alignment horizontal="center" vertical="center" shrinkToFit="1"/>
    </xf>
    <xf numFmtId="0" fontId="2" fillId="0" borderId="19" xfId="0" applyFont="1" applyBorder="1" applyAlignment="1">
      <alignment horizontal="center" vertical="center" shrinkToFit="1"/>
    </xf>
    <xf numFmtId="0" fontId="2" fillId="0" borderId="17" xfId="0" applyFont="1" applyBorder="1" applyAlignment="1">
      <alignment horizontal="center" vertical="center" shrinkToFit="1"/>
    </xf>
    <xf numFmtId="0" fontId="3" fillId="0" borderId="40" xfId="0" applyFont="1" applyBorder="1" applyAlignment="1">
      <alignment vertical="center" wrapText="1"/>
    </xf>
    <xf numFmtId="0" fontId="3" fillId="0" borderId="27" xfId="0" applyFont="1" applyBorder="1" applyAlignment="1">
      <alignment vertical="center" wrapText="1"/>
    </xf>
    <xf numFmtId="0" fontId="3" fillId="0" borderId="41" xfId="0" applyFont="1" applyBorder="1" applyAlignment="1">
      <alignment vertical="center" wrapText="1"/>
    </xf>
    <xf numFmtId="0" fontId="7" fillId="0" borderId="2" xfId="0" applyFont="1" applyBorder="1" applyAlignment="1">
      <alignment horizontal="center" vertical="center" shrinkToFit="1"/>
    </xf>
    <xf numFmtId="0" fontId="7" fillId="0" borderId="4" xfId="0" applyFont="1" applyBorder="1" applyAlignment="1">
      <alignment horizontal="center" vertical="center" shrinkToFit="1"/>
    </xf>
    <xf numFmtId="0" fontId="2" fillId="0" borderId="7" xfId="0" applyFont="1" applyBorder="1" applyAlignment="1">
      <alignment horizontal="center" vertical="center"/>
    </xf>
    <xf numFmtId="0" fontId="2" fillId="0" borderId="8" xfId="0" applyFont="1" applyBorder="1" applyAlignment="1">
      <alignment horizontal="center" vertical="center"/>
    </xf>
    <xf numFmtId="0" fontId="2" fillId="0" borderId="9" xfId="0" applyFont="1" applyBorder="1" applyAlignment="1">
      <alignment horizontal="center" vertical="center"/>
    </xf>
    <xf numFmtId="0" fontId="2" fillId="0" borderId="29" xfId="0" applyFont="1" applyBorder="1" applyAlignment="1">
      <alignment horizontal="center" vertical="center" shrinkToFit="1"/>
    </xf>
    <xf numFmtId="0" fontId="2" fillId="0" borderId="31" xfId="0" applyFont="1" applyBorder="1" applyAlignment="1">
      <alignment horizontal="center" vertical="center" shrinkToFit="1"/>
    </xf>
    <xf numFmtId="0" fontId="2" fillId="0" borderId="30" xfId="0" applyFont="1" applyBorder="1" applyAlignment="1">
      <alignment horizontal="center" vertical="center" shrinkToFit="1"/>
    </xf>
    <xf numFmtId="0" fontId="12" fillId="0" borderId="6" xfId="0" applyFont="1" applyFill="1" applyBorder="1" applyAlignment="1">
      <alignment horizontal="left" vertical="center" wrapText="1"/>
    </xf>
    <xf numFmtId="0" fontId="12" fillId="0" borderId="1" xfId="0" applyFont="1" applyFill="1" applyBorder="1" applyAlignment="1">
      <alignment horizontal="center" vertical="center"/>
    </xf>
    <xf numFmtId="0" fontId="15" fillId="0" borderId="1" xfId="0" applyFont="1" applyFill="1" applyBorder="1" applyAlignment="1">
      <alignment vertical="center" wrapText="1"/>
    </xf>
    <xf numFmtId="0" fontId="2" fillId="0" borderId="14" xfId="0" applyFont="1" applyBorder="1" applyAlignment="1">
      <alignment horizontal="center" vertical="center"/>
    </xf>
    <xf numFmtId="0" fontId="13" fillId="0" borderId="1" xfId="0" applyFont="1" applyBorder="1" applyAlignment="1">
      <alignment horizontal="center" vertical="center"/>
    </xf>
    <xf numFmtId="0" fontId="2" fillId="0" borderId="15" xfId="0" applyFont="1" applyBorder="1" applyAlignment="1">
      <alignment horizontal="center" vertical="center"/>
    </xf>
    <xf numFmtId="0" fontId="2" fillId="0" borderId="13" xfId="0" applyFont="1" applyBorder="1" applyAlignment="1">
      <alignment horizontal="center" vertical="center"/>
    </xf>
    <xf numFmtId="0" fontId="7" fillId="0" borderId="8" xfId="0" applyFont="1" applyBorder="1" applyAlignment="1">
      <alignment horizontal="center" vertical="center" wrapText="1"/>
    </xf>
    <xf numFmtId="0" fontId="7" fillId="0" borderId="6" xfId="0" applyFont="1" applyBorder="1" applyAlignment="1">
      <alignment horizontal="center" vertical="center" wrapText="1"/>
    </xf>
    <xf numFmtId="0" fontId="7" fillId="0" borderId="7" xfId="0" applyFont="1" applyBorder="1" applyAlignment="1">
      <alignment horizontal="center" vertical="center" wrapText="1"/>
    </xf>
    <xf numFmtId="0" fontId="7" fillId="0" borderId="11" xfId="0" applyFont="1" applyBorder="1" applyAlignment="1">
      <alignment horizontal="center" vertical="center" wrapText="1"/>
    </xf>
    <xf numFmtId="0" fontId="8" fillId="0" borderId="9" xfId="0" applyFont="1" applyBorder="1" applyAlignment="1">
      <alignment horizontal="center" vertical="center" wrapText="1"/>
    </xf>
    <xf numFmtId="0" fontId="8" fillId="0" borderId="12" xfId="0" applyFont="1" applyBorder="1" applyAlignment="1">
      <alignment horizontal="center" vertical="center" wrapText="1"/>
    </xf>
    <xf numFmtId="0" fontId="7" fillId="0" borderId="9" xfId="0" applyFont="1" applyBorder="1" applyAlignment="1">
      <alignment horizontal="center" vertical="center"/>
    </xf>
    <xf numFmtId="0" fontId="7" fillId="0" borderId="12" xfId="0" applyFont="1" applyBorder="1" applyAlignment="1">
      <alignment horizontal="center" vertical="center"/>
    </xf>
    <xf numFmtId="0" fontId="7" fillId="0" borderId="15" xfId="0" applyFont="1" applyBorder="1" applyAlignment="1">
      <alignment horizontal="center" vertical="center" wrapText="1"/>
    </xf>
    <xf numFmtId="0" fontId="7" fillId="0" borderId="13" xfId="0" applyFont="1" applyBorder="1" applyAlignment="1">
      <alignment horizontal="center" vertical="center" wrapText="1"/>
    </xf>
    <xf numFmtId="9" fontId="2" fillId="0" borderId="1" xfId="0" applyNumberFormat="1" applyFont="1" applyBorder="1" applyAlignment="1">
      <alignment horizontal="center" vertical="center" shrinkToFit="1"/>
    </xf>
    <xf numFmtId="0" fontId="2" fillId="0" borderId="7" xfId="0" applyFont="1" applyBorder="1" applyAlignment="1">
      <alignment vertical="top" wrapText="1"/>
    </xf>
    <xf numFmtId="0" fontId="2" fillId="0" borderId="8" xfId="0" applyFont="1" applyBorder="1" applyAlignment="1">
      <alignment vertical="top" wrapText="1"/>
    </xf>
    <xf numFmtId="0" fontId="2" fillId="0" borderId="9" xfId="0" applyFont="1" applyBorder="1" applyAlignment="1">
      <alignment vertical="top" wrapText="1"/>
    </xf>
    <xf numFmtId="0" fontId="2" fillId="0" borderId="5" xfId="0" applyFont="1" applyBorder="1" applyAlignment="1">
      <alignment vertical="top" wrapText="1"/>
    </xf>
    <xf numFmtId="0" fontId="2" fillId="0" borderId="0" xfId="0" applyFont="1" applyAlignment="1">
      <alignment vertical="top" wrapText="1"/>
    </xf>
    <xf numFmtId="0" fontId="2" fillId="0" borderId="10" xfId="0" applyFont="1" applyBorder="1" applyAlignment="1">
      <alignment vertical="top" wrapText="1"/>
    </xf>
    <xf numFmtId="0" fontId="2" fillId="0" borderId="11" xfId="0" applyFont="1" applyBorder="1" applyAlignment="1">
      <alignment vertical="top" wrapText="1"/>
    </xf>
    <xf numFmtId="0" fontId="2" fillId="0" borderId="6" xfId="0" applyFont="1" applyBorder="1" applyAlignment="1">
      <alignment vertical="top" wrapText="1"/>
    </xf>
    <xf numFmtId="0" fontId="2" fillId="0" borderId="12" xfId="0" applyFont="1" applyBorder="1" applyAlignment="1">
      <alignment vertical="top" wrapText="1"/>
    </xf>
    <xf numFmtId="0" fontId="2" fillId="0" borderId="9" xfId="0" applyFont="1" applyBorder="1" applyAlignment="1">
      <alignment vertical="top"/>
    </xf>
    <xf numFmtId="0" fontId="2" fillId="0" borderId="5" xfId="0" applyFont="1" applyBorder="1" applyAlignment="1">
      <alignment vertical="top"/>
    </xf>
    <xf numFmtId="0" fontId="2" fillId="0" borderId="0" xfId="0" applyFont="1" applyAlignment="1">
      <alignment vertical="top"/>
    </xf>
    <xf numFmtId="0" fontId="2" fillId="0" borderId="10" xfId="0" applyFont="1" applyBorder="1" applyAlignment="1">
      <alignment vertical="top"/>
    </xf>
    <xf numFmtId="0" fontId="2" fillId="0" borderId="11" xfId="0" applyFont="1" applyBorder="1" applyAlignment="1">
      <alignment vertical="top"/>
    </xf>
    <xf numFmtId="0" fontId="2" fillId="0" borderId="6" xfId="0" applyFont="1" applyBorder="1" applyAlignment="1">
      <alignment vertical="top"/>
    </xf>
    <xf numFmtId="0" fontId="2" fillId="0" borderId="12" xfId="0" applyFont="1" applyBorder="1" applyAlignment="1">
      <alignment vertical="top"/>
    </xf>
    <xf numFmtId="9" fontId="2" fillId="0" borderId="1" xfId="0" applyNumberFormat="1" applyFont="1" applyBorder="1" applyAlignment="1">
      <alignment horizontal="center" vertical="center" wrapText="1" shrinkToFit="1"/>
    </xf>
    <xf numFmtId="0" fontId="2" fillId="0" borderId="7" xfId="0" applyFont="1" applyBorder="1" applyAlignment="1">
      <alignment horizontal="left" vertical="top" wrapText="1"/>
    </xf>
    <xf numFmtId="0" fontId="2" fillId="0" borderId="8" xfId="0" applyFont="1" applyBorder="1" applyAlignment="1">
      <alignment horizontal="left" vertical="top" wrapText="1"/>
    </xf>
    <xf numFmtId="0" fontId="2" fillId="0" borderId="9" xfId="0" applyFont="1" applyBorder="1" applyAlignment="1">
      <alignment horizontal="left" vertical="top" wrapText="1"/>
    </xf>
    <xf numFmtId="0" fontId="2" fillId="0" borderId="5" xfId="0" applyFont="1" applyBorder="1" applyAlignment="1">
      <alignment horizontal="left" vertical="top" wrapText="1"/>
    </xf>
    <xf numFmtId="0" fontId="2" fillId="0" borderId="0" xfId="0" applyFont="1" applyAlignment="1">
      <alignment horizontal="left" vertical="top" wrapText="1"/>
    </xf>
    <xf numFmtId="0" fontId="2" fillId="0" borderId="10" xfId="0" applyFont="1" applyBorder="1" applyAlignment="1">
      <alignment horizontal="left" vertical="top" wrapText="1"/>
    </xf>
    <xf numFmtId="0" fontId="2" fillId="0" borderId="11" xfId="0" applyFont="1" applyBorder="1" applyAlignment="1">
      <alignment horizontal="left" vertical="top" wrapText="1"/>
    </xf>
    <xf numFmtId="0" fontId="2" fillId="0" borderId="6" xfId="0" applyFont="1" applyBorder="1" applyAlignment="1">
      <alignment horizontal="left" vertical="top" wrapText="1"/>
    </xf>
    <xf numFmtId="0" fontId="2" fillId="0" borderId="12" xfId="0" applyFont="1" applyBorder="1" applyAlignment="1">
      <alignment horizontal="left" vertical="top" wrapText="1"/>
    </xf>
    <xf numFmtId="0" fontId="10" fillId="0" borderId="0" xfId="0" applyFont="1" applyAlignment="1">
      <alignment horizontal="left" vertical="center" wrapText="1"/>
    </xf>
    <xf numFmtId="0" fontId="6" fillId="0" borderId="0" xfId="0" applyFont="1" applyAlignment="1">
      <alignment horizontal="center" vertical="center"/>
    </xf>
    <xf numFmtId="0" fontId="2" fillId="0" borderId="2" xfId="0" applyFont="1" applyBorder="1" applyAlignment="1">
      <alignment vertical="center" shrinkToFit="1"/>
    </xf>
    <xf numFmtId="0" fontId="2" fillId="0" borderId="3" xfId="0" applyFont="1" applyBorder="1" applyAlignment="1">
      <alignment vertical="center" shrinkToFit="1"/>
    </xf>
    <xf numFmtId="0" fontId="2" fillId="0" borderId="4" xfId="0" applyFont="1" applyBorder="1" applyAlignment="1">
      <alignment vertical="center" shrinkToFit="1"/>
    </xf>
    <xf numFmtId="0" fontId="2" fillId="0" borderId="7" xfId="0" applyFont="1" applyBorder="1" applyAlignment="1">
      <alignment vertical="top" wrapText="1" shrinkToFit="1"/>
    </xf>
    <xf numFmtId="0" fontId="2" fillId="0" borderId="8" xfId="0" applyFont="1" applyBorder="1" applyAlignment="1">
      <alignment vertical="top" wrapText="1" shrinkToFit="1"/>
    </xf>
    <xf numFmtId="0" fontId="2" fillId="0" borderId="9" xfId="0" applyFont="1" applyBorder="1" applyAlignment="1">
      <alignment vertical="top" shrinkToFit="1"/>
    </xf>
    <xf numFmtId="0" fontId="2" fillId="0" borderId="5" xfId="0" applyFont="1" applyBorder="1" applyAlignment="1">
      <alignment vertical="top" wrapText="1" shrinkToFit="1"/>
    </xf>
    <xf numFmtId="0" fontId="2" fillId="0" borderId="0" xfId="0" applyFont="1" applyAlignment="1">
      <alignment vertical="top" wrapText="1" shrinkToFit="1"/>
    </xf>
    <xf numFmtId="0" fontId="2" fillId="0" borderId="10" xfId="0" applyFont="1" applyBorder="1" applyAlignment="1">
      <alignment vertical="top" shrinkToFit="1"/>
    </xf>
    <xf numFmtId="0" fontId="2" fillId="0" borderId="5" xfId="0" applyFont="1" applyBorder="1" applyAlignment="1">
      <alignment vertical="top" shrinkToFit="1"/>
    </xf>
    <xf numFmtId="0" fontId="2" fillId="0" borderId="0" xfId="0" applyFont="1" applyAlignment="1">
      <alignment vertical="top" shrinkToFit="1"/>
    </xf>
    <xf numFmtId="0" fontId="2" fillId="0" borderId="11" xfId="0" applyFont="1" applyBorder="1" applyAlignment="1">
      <alignment vertical="top" shrinkToFit="1"/>
    </xf>
    <xf numFmtId="0" fontId="2" fillId="0" borderId="6" xfId="0" applyFont="1" applyBorder="1" applyAlignment="1">
      <alignment vertical="top" shrinkToFit="1"/>
    </xf>
    <xf numFmtId="0" fontId="2" fillId="0" borderId="12" xfId="0" applyFont="1" applyBorder="1" applyAlignment="1">
      <alignment vertical="top" shrinkToFit="1"/>
    </xf>
    <xf numFmtId="0" fontId="2" fillId="0" borderId="2" xfId="0" applyFont="1" applyBorder="1" applyAlignment="1">
      <alignment horizontal="left" vertical="center"/>
    </xf>
    <xf numFmtId="0" fontId="5" fillId="0" borderId="3" xfId="0" applyFont="1" applyBorder="1">
      <alignment vertical="center"/>
    </xf>
    <xf numFmtId="0" fontId="5" fillId="0" borderId="4" xfId="0" applyFont="1" applyBorder="1">
      <alignment vertical="center"/>
    </xf>
    <xf numFmtId="0" fontId="5" fillId="0" borderId="3" xfId="0" applyFont="1" applyBorder="1" applyAlignment="1">
      <alignment horizontal="left" vertical="center"/>
    </xf>
    <xf numFmtId="0" fontId="5" fillId="0" borderId="4" xfId="0" applyFont="1" applyBorder="1" applyAlignment="1">
      <alignment horizontal="left" vertical="center"/>
    </xf>
    <xf numFmtId="0" fontId="2" fillId="0" borderId="0" xfId="0" applyFont="1" applyAlignment="1">
      <alignment horizontal="center" vertical="center"/>
    </xf>
    <xf numFmtId="0" fontId="2" fillId="0" borderId="0" xfId="0" applyFont="1">
      <alignment vertical="center"/>
    </xf>
    <xf numFmtId="0" fontId="2" fillId="2" borderId="5" xfId="0" applyFont="1" applyFill="1" applyBorder="1" applyAlignment="1">
      <alignment horizontal="center" vertical="center" shrinkToFit="1"/>
    </xf>
    <xf numFmtId="0" fontId="2" fillId="2" borderId="0" xfId="0" applyFont="1" applyFill="1" applyAlignment="1">
      <alignment horizontal="center" vertical="center" shrinkToFit="1"/>
    </xf>
    <xf numFmtId="0" fontId="2" fillId="2" borderId="10" xfId="0" applyFont="1" applyFill="1" applyBorder="1" applyAlignment="1">
      <alignment horizontal="center" vertical="center" shrinkToFit="1"/>
    </xf>
    <xf numFmtId="0" fontId="13" fillId="0" borderId="11" xfId="0" applyFont="1" applyBorder="1" applyAlignment="1">
      <alignment vertical="center" wrapText="1"/>
    </xf>
    <xf numFmtId="0" fontId="13" fillId="0" borderId="6" xfId="0" applyFont="1" applyBorder="1" applyAlignment="1">
      <alignment vertical="center" wrapText="1"/>
    </xf>
    <xf numFmtId="0" fontId="13" fillId="0" borderId="12" xfId="0" applyFont="1" applyBorder="1" applyAlignment="1">
      <alignment vertical="center" wrapText="1"/>
    </xf>
    <xf numFmtId="0" fontId="2" fillId="0" borderId="6" xfId="0" applyFont="1" applyBorder="1" applyAlignment="1">
      <alignment vertical="top" wrapText="1" shrinkToFit="1"/>
    </xf>
    <xf numFmtId="0" fontId="2" fillId="0" borderId="12" xfId="0" applyFont="1" applyBorder="1" applyAlignment="1">
      <alignment vertical="top" wrapText="1" shrinkToFit="1"/>
    </xf>
    <xf numFmtId="0" fontId="2" fillId="0" borderId="16" xfId="0" applyFont="1" applyBorder="1" applyAlignment="1">
      <alignment vertical="center" wrapText="1"/>
    </xf>
    <xf numFmtId="0" fontId="2" fillId="0" borderId="17" xfId="0" applyFont="1" applyBorder="1" applyAlignment="1">
      <alignment vertical="center" wrapText="1"/>
    </xf>
    <xf numFmtId="0" fontId="2" fillId="0" borderId="19" xfId="0" applyFont="1" applyBorder="1" applyAlignment="1">
      <alignment vertical="top" wrapText="1" shrinkToFit="1"/>
    </xf>
    <xf numFmtId="0" fontId="2" fillId="0" borderId="17" xfId="0" applyFont="1" applyBorder="1" applyAlignment="1">
      <alignment vertical="top" wrapText="1" shrinkToFit="1"/>
    </xf>
    <xf numFmtId="0" fontId="2" fillId="0" borderId="47" xfId="0" applyFont="1" applyBorder="1" applyAlignment="1">
      <alignment vertical="center" wrapText="1"/>
    </xf>
    <xf numFmtId="0" fontId="2" fillId="0" borderId="34" xfId="0" applyFont="1" applyBorder="1" applyAlignment="1">
      <alignment vertical="center" wrapText="1"/>
    </xf>
    <xf numFmtId="0" fontId="2" fillId="0" borderId="33" xfId="0" applyFont="1" applyBorder="1" applyAlignment="1">
      <alignment vertical="top" wrapText="1" shrinkToFit="1"/>
    </xf>
    <xf numFmtId="0" fontId="2" fillId="0" borderId="34" xfId="0" applyFont="1" applyBorder="1" applyAlignment="1">
      <alignment vertical="top" wrapText="1" shrinkToFit="1"/>
    </xf>
    <xf numFmtId="0" fontId="2" fillId="0" borderId="36" xfId="0" applyFont="1" applyBorder="1" applyAlignment="1">
      <alignment vertical="center" wrapText="1"/>
    </xf>
    <xf numFmtId="0" fontId="2" fillId="0" borderId="37" xfId="0" applyFont="1" applyBorder="1" applyAlignment="1">
      <alignment vertical="center" wrapText="1"/>
    </xf>
    <xf numFmtId="0" fontId="2" fillId="0" borderId="38" xfId="0" applyFont="1" applyBorder="1" applyAlignment="1">
      <alignment vertical="center" wrapText="1"/>
    </xf>
    <xf numFmtId="0" fontId="2" fillId="0" borderId="37" xfId="0" applyFont="1" applyBorder="1" applyAlignment="1">
      <alignment vertical="top" wrapText="1" shrinkToFit="1"/>
    </xf>
    <xf numFmtId="0" fontId="2" fillId="0" borderId="38" xfId="0" applyFont="1" applyBorder="1" applyAlignment="1">
      <alignment vertical="top" wrapText="1" shrinkToFit="1"/>
    </xf>
    <xf numFmtId="0" fontId="2" fillId="0" borderId="18" xfId="0" applyFont="1" applyBorder="1" applyAlignment="1">
      <alignment vertical="top" wrapText="1" shrinkToFit="1"/>
    </xf>
    <xf numFmtId="0" fontId="2" fillId="0" borderId="32" xfId="0" applyFont="1" applyBorder="1" applyAlignment="1">
      <alignment vertical="top" wrapText="1" shrinkToFit="1"/>
    </xf>
    <xf numFmtId="0" fontId="2" fillId="0" borderId="16" xfId="0" applyFont="1" applyBorder="1">
      <alignment vertical="center"/>
    </xf>
    <xf numFmtId="0" fontId="5" fillId="0" borderId="17" xfId="0" applyFont="1" applyBorder="1">
      <alignment vertical="center"/>
    </xf>
    <xf numFmtId="0" fontId="2" fillId="0" borderId="3" xfId="0" applyFont="1" applyBorder="1" applyAlignment="1">
      <alignment horizontal="left" vertical="center"/>
    </xf>
    <xf numFmtId="0" fontId="2" fillId="0" borderId="4" xfId="0" applyFont="1" applyBorder="1" applyAlignment="1">
      <alignment horizontal="left" vertical="center"/>
    </xf>
  </cellXfs>
  <cellStyles count="3">
    <cellStyle name="パーセント" xfId="1" builtinId="5"/>
    <cellStyle name="桁区切り" xfId="2" builtinId="6"/>
    <cellStyle name="標準" xfId="0" builtinId="0"/>
  </cellStyles>
  <dxfs count="6">
    <dxf>
      <font>
        <color theme="0" tint="-0.34998626667073579"/>
      </font>
      <fill>
        <patternFill>
          <bgColor theme="0" tint="-0.34998626667073579"/>
        </patternFill>
      </fill>
    </dxf>
    <dxf>
      <fill>
        <patternFill>
          <bgColor theme="0" tint="-0.34998626667073579"/>
        </patternFill>
      </fill>
    </dxf>
    <dxf>
      <font>
        <color theme="0" tint="-0.34998626667073579"/>
      </font>
      <fill>
        <patternFill>
          <bgColor theme="0" tint="-0.34998626667073579"/>
        </patternFill>
      </fill>
    </dxf>
    <dxf>
      <fill>
        <patternFill>
          <bgColor theme="0" tint="-0.34998626667073579"/>
        </patternFill>
      </fill>
    </dxf>
    <dxf>
      <font>
        <color theme="0" tint="-0.34998626667073579"/>
      </font>
      <fill>
        <patternFill>
          <bgColor theme="0" tint="-0.34998626667073579"/>
        </patternFill>
      </fill>
    </dxf>
    <dxf>
      <fill>
        <patternFill>
          <bgColor theme="0" tint="-0.34998626667073579"/>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G114"/>
  <sheetViews>
    <sheetView showZeros="0" tabSelected="1" view="pageBreakPreview" zoomScaleNormal="100" zoomScaleSheetLayoutView="100" workbookViewId="0"/>
  </sheetViews>
  <sheetFormatPr defaultColWidth="9" defaultRowHeight="18.75" customHeight="1" x14ac:dyDescent="0.15"/>
  <cols>
    <col min="1" max="1" width="2.5" style="1" customWidth="1"/>
    <col min="2" max="2" width="16.5" style="1" customWidth="1"/>
    <col min="3" max="21" width="5.625" style="1" customWidth="1"/>
    <col min="22" max="22" width="9" style="1"/>
    <col min="23" max="23" width="3.625" style="1" customWidth="1"/>
    <col min="24" max="24" width="48.625" style="1" hidden="1" customWidth="1"/>
    <col min="25" max="16384" width="9" style="1"/>
  </cols>
  <sheetData>
    <row r="1" spans="1:24" ht="18.600000000000001" customHeight="1" x14ac:dyDescent="0.15">
      <c r="A1" s="80"/>
      <c r="B1" s="80"/>
      <c r="C1" s="80"/>
      <c r="D1" s="80"/>
      <c r="E1" s="80"/>
      <c r="F1" s="80"/>
      <c r="G1" s="80"/>
      <c r="H1" s="80"/>
      <c r="I1" s="80"/>
      <c r="J1" s="80"/>
      <c r="K1" s="80"/>
      <c r="L1" s="80"/>
      <c r="M1" s="80"/>
      <c r="N1" s="80"/>
      <c r="O1" s="80"/>
      <c r="P1" s="80"/>
      <c r="Q1" s="80"/>
      <c r="R1" s="80"/>
      <c r="S1" s="80"/>
      <c r="T1" s="128" t="s">
        <v>150</v>
      </c>
      <c r="U1" s="128"/>
      <c r="V1" s="2" t="s">
        <v>99</v>
      </c>
    </row>
    <row r="2" spans="1:24" ht="18.75" customHeight="1" x14ac:dyDescent="0.15">
      <c r="A2" s="80"/>
      <c r="B2" s="81" t="s">
        <v>98</v>
      </c>
      <c r="C2" s="129" t="s">
        <v>136</v>
      </c>
      <c r="D2" s="130"/>
      <c r="E2" s="130"/>
      <c r="F2" s="130"/>
      <c r="G2" s="130"/>
      <c r="H2" s="130"/>
      <c r="I2" s="130"/>
      <c r="J2" s="131"/>
      <c r="K2" s="82"/>
      <c r="L2" s="83"/>
      <c r="M2" s="83"/>
      <c r="N2" s="83"/>
      <c r="O2" s="83"/>
      <c r="P2" s="83"/>
      <c r="Q2" s="83"/>
      <c r="R2" s="83"/>
      <c r="S2" s="83"/>
      <c r="T2" s="83"/>
      <c r="U2" s="83"/>
    </row>
    <row r="3" spans="1:24" ht="18.75" customHeight="1" x14ac:dyDescent="0.15">
      <c r="A3" s="80"/>
      <c r="B3" s="81" t="s">
        <v>93</v>
      </c>
      <c r="C3" s="132" t="s">
        <v>137</v>
      </c>
      <c r="D3" s="133"/>
      <c r="E3" s="133"/>
      <c r="F3" s="133"/>
      <c r="G3" s="133"/>
      <c r="H3" s="133"/>
      <c r="I3" s="133"/>
      <c r="J3" s="134"/>
      <c r="K3" s="82"/>
      <c r="L3" s="83"/>
      <c r="M3" s="83"/>
      <c r="N3" s="83"/>
      <c r="O3" s="83"/>
      <c r="P3" s="83"/>
      <c r="Q3" s="83"/>
      <c r="R3" s="83"/>
      <c r="S3" s="83"/>
      <c r="T3" s="83"/>
      <c r="U3" s="83"/>
    </row>
    <row r="4" spans="1:24" ht="15" customHeight="1" x14ac:dyDescent="0.15">
      <c r="A4" s="80"/>
      <c r="B4" s="80"/>
      <c r="C4" s="80"/>
      <c r="D4" s="80"/>
      <c r="E4" s="80"/>
      <c r="F4" s="80"/>
      <c r="G4" s="80"/>
      <c r="H4" s="80"/>
      <c r="I4" s="80"/>
      <c r="J4" s="80"/>
      <c r="K4" s="80"/>
      <c r="L4" s="82"/>
      <c r="M4" s="84"/>
      <c r="N4" s="84"/>
      <c r="O4" s="84"/>
      <c r="P4" s="84"/>
      <c r="Q4" s="84"/>
      <c r="R4" s="84"/>
      <c r="S4" s="84"/>
      <c r="T4" s="84"/>
      <c r="U4" s="84"/>
    </row>
    <row r="5" spans="1:24" ht="18" customHeight="1" x14ac:dyDescent="0.15">
      <c r="A5" s="135" t="s">
        <v>37</v>
      </c>
      <c r="B5" s="135"/>
      <c r="C5" s="135"/>
      <c r="D5" s="135"/>
      <c r="E5" s="135"/>
      <c r="F5" s="135"/>
      <c r="G5" s="135"/>
      <c r="H5" s="135"/>
      <c r="I5" s="135"/>
      <c r="J5" s="135"/>
      <c r="K5" s="135"/>
      <c r="L5" s="135"/>
      <c r="M5" s="135"/>
      <c r="N5" s="135"/>
      <c r="O5" s="135"/>
      <c r="P5" s="135"/>
      <c r="Q5" s="135"/>
      <c r="R5" s="135"/>
      <c r="S5" s="135"/>
      <c r="T5" s="135"/>
      <c r="U5" s="135"/>
    </row>
    <row r="6" spans="1:24" ht="15" customHeight="1" x14ac:dyDescent="0.15">
      <c r="A6" s="80"/>
      <c r="B6" s="85"/>
      <c r="C6" s="85"/>
      <c r="D6" s="85"/>
      <c r="E6" s="85"/>
      <c r="F6" s="85"/>
      <c r="G6" s="85"/>
      <c r="H6" s="85"/>
      <c r="I6" s="85"/>
      <c r="J6" s="85"/>
      <c r="K6" s="85"/>
      <c r="L6" s="85"/>
      <c r="M6" s="85"/>
      <c r="N6" s="85"/>
      <c r="O6" s="85"/>
      <c r="P6" s="85"/>
      <c r="Q6" s="85"/>
      <c r="R6" s="85"/>
      <c r="S6" s="85"/>
      <c r="T6" s="85"/>
      <c r="U6" s="85"/>
    </row>
    <row r="7" spans="1:24" ht="15" customHeight="1" x14ac:dyDescent="0.15">
      <c r="A7" s="80" t="s">
        <v>131</v>
      </c>
      <c r="B7" s="85"/>
      <c r="C7" s="85"/>
      <c r="D7" s="85"/>
      <c r="E7" s="85"/>
      <c r="F7" s="86"/>
      <c r="G7" s="86"/>
      <c r="H7" s="86"/>
      <c r="I7" s="86"/>
      <c r="J7" s="86"/>
      <c r="K7" s="86"/>
      <c r="L7" s="106" t="s">
        <v>129</v>
      </c>
      <c r="M7" s="107"/>
      <c r="N7" s="107"/>
      <c r="O7" s="107"/>
      <c r="P7" s="107"/>
      <c r="Q7" s="107"/>
      <c r="R7" s="107"/>
      <c r="S7" s="107"/>
      <c r="T7" s="107"/>
      <c r="U7" s="108"/>
    </row>
    <row r="8" spans="1:24" ht="6" customHeight="1" x14ac:dyDescent="0.15">
      <c r="A8" s="80"/>
      <c r="B8" s="85"/>
      <c r="C8" s="85"/>
      <c r="D8" s="85"/>
      <c r="E8" s="85"/>
      <c r="F8" s="85"/>
      <c r="G8" s="85"/>
      <c r="H8" s="85"/>
      <c r="I8" s="85"/>
      <c r="J8" s="85"/>
      <c r="K8" s="85"/>
      <c r="L8" s="85"/>
      <c r="M8" s="85"/>
      <c r="N8" s="85"/>
      <c r="O8" s="85"/>
      <c r="P8" s="85"/>
      <c r="Q8" s="85"/>
      <c r="R8" s="85"/>
      <c r="S8" s="85"/>
      <c r="T8" s="85"/>
      <c r="U8" s="85"/>
    </row>
    <row r="9" spans="1:24" ht="18" customHeight="1" x14ac:dyDescent="0.15">
      <c r="A9" s="80" t="s">
        <v>132</v>
      </c>
      <c r="B9" s="80"/>
      <c r="C9" s="85"/>
      <c r="D9" s="85"/>
      <c r="E9" s="80"/>
      <c r="F9" s="80"/>
      <c r="G9" s="80"/>
      <c r="H9" s="80"/>
      <c r="I9" s="80"/>
      <c r="J9" s="80"/>
      <c r="K9" s="82"/>
      <c r="L9" s="86"/>
      <c r="M9" s="86"/>
      <c r="N9" s="86"/>
      <c r="O9" s="86"/>
      <c r="P9" s="86"/>
      <c r="Q9" s="86"/>
      <c r="R9" s="86"/>
      <c r="S9" s="86"/>
      <c r="T9" s="86"/>
      <c r="U9" s="86"/>
    </row>
    <row r="10" spans="1:24" ht="6" customHeight="1" x14ac:dyDescent="0.15">
      <c r="A10" s="80"/>
      <c r="B10" s="85"/>
      <c r="C10" s="85"/>
      <c r="D10" s="85"/>
      <c r="E10" s="85"/>
      <c r="F10" s="85"/>
      <c r="G10" s="85"/>
      <c r="H10" s="85"/>
      <c r="I10" s="85"/>
      <c r="J10" s="85"/>
      <c r="K10" s="85"/>
      <c r="L10" s="87"/>
      <c r="M10" s="85"/>
      <c r="N10" s="85"/>
      <c r="O10" s="85"/>
      <c r="P10" s="85"/>
      <c r="Q10" s="85"/>
      <c r="R10" s="85"/>
      <c r="S10" s="85"/>
      <c r="T10" s="85"/>
      <c r="U10" s="85"/>
    </row>
    <row r="11" spans="1:24" ht="18" customHeight="1" x14ac:dyDescent="0.15">
      <c r="A11" s="80"/>
      <c r="B11" s="112" t="s">
        <v>138</v>
      </c>
      <c r="C11" s="113"/>
      <c r="D11" s="113"/>
      <c r="E11" s="113"/>
      <c r="F11" s="113"/>
      <c r="G11" s="113"/>
      <c r="H11" s="113"/>
      <c r="I11" s="113"/>
      <c r="J11" s="113"/>
      <c r="K11" s="113"/>
      <c r="L11" s="113"/>
      <c r="M11" s="113"/>
      <c r="N11" s="113"/>
      <c r="O11" s="113"/>
      <c r="P11" s="113"/>
      <c r="Q11" s="113"/>
      <c r="R11" s="113"/>
      <c r="S11" s="113"/>
      <c r="T11" s="113"/>
      <c r="U11" s="114"/>
    </row>
    <row r="12" spans="1:24" ht="18" customHeight="1" x14ac:dyDescent="0.15">
      <c r="A12" s="80"/>
      <c r="B12" s="115"/>
      <c r="C12" s="116"/>
      <c r="D12" s="116"/>
      <c r="E12" s="116"/>
      <c r="F12" s="116"/>
      <c r="G12" s="116"/>
      <c r="H12" s="116"/>
      <c r="I12" s="116"/>
      <c r="J12" s="116"/>
      <c r="K12" s="116"/>
      <c r="L12" s="116"/>
      <c r="M12" s="116"/>
      <c r="N12" s="116"/>
      <c r="O12" s="116"/>
      <c r="P12" s="116"/>
      <c r="Q12" s="116"/>
      <c r="R12" s="116"/>
      <c r="S12" s="116"/>
      <c r="T12" s="116"/>
      <c r="U12" s="117"/>
    </row>
    <row r="13" spans="1:24" ht="6" customHeight="1" x14ac:dyDescent="0.15">
      <c r="A13" s="80"/>
      <c r="B13" s="85"/>
      <c r="C13" s="85"/>
      <c r="D13" s="85"/>
      <c r="E13" s="85"/>
      <c r="F13" s="85"/>
      <c r="G13" s="85"/>
      <c r="H13" s="85"/>
      <c r="I13" s="85"/>
      <c r="J13" s="85"/>
      <c r="K13" s="85"/>
      <c r="L13" s="87"/>
      <c r="M13" s="85"/>
      <c r="N13" s="85"/>
      <c r="O13" s="85"/>
      <c r="P13" s="85"/>
      <c r="Q13" s="85"/>
      <c r="R13" s="85"/>
      <c r="S13" s="85"/>
      <c r="T13" s="85"/>
      <c r="U13" s="85"/>
    </row>
    <row r="14" spans="1:24" ht="18" customHeight="1" x14ac:dyDescent="0.15">
      <c r="A14" s="80" t="s">
        <v>100</v>
      </c>
      <c r="B14" s="85"/>
      <c r="C14" s="85"/>
      <c r="D14" s="85"/>
      <c r="E14" s="82"/>
      <c r="F14" s="82"/>
      <c r="G14" s="82"/>
      <c r="H14" s="82"/>
      <c r="I14" s="82"/>
      <c r="J14" s="82"/>
      <c r="K14" s="82"/>
      <c r="L14" s="88"/>
      <c r="M14" s="88"/>
      <c r="N14" s="88"/>
      <c r="O14" s="88"/>
      <c r="P14" s="88"/>
      <c r="Q14" s="88"/>
      <c r="R14" s="88"/>
      <c r="S14" s="88"/>
      <c r="T14" s="88"/>
      <c r="U14" s="88"/>
    </row>
    <row r="15" spans="1:24" ht="18" customHeight="1" x14ac:dyDescent="0.15">
      <c r="A15" s="80"/>
      <c r="B15" s="136" t="s">
        <v>139</v>
      </c>
      <c r="C15" s="137"/>
      <c r="D15" s="137"/>
      <c r="E15" s="137"/>
      <c r="F15" s="137"/>
      <c r="G15" s="137"/>
      <c r="H15" s="137"/>
      <c r="I15" s="137"/>
      <c r="J15" s="137"/>
      <c r="K15" s="137"/>
      <c r="L15" s="137"/>
      <c r="M15" s="137"/>
      <c r="N15" s="137"/>
      <c r="O15" s="137"/>
      <c r="P15" s="137"/>
      <c r="Q15" s="137"/>
      <c r="R15" s="137"/>
      <c r="S15" s="137"/>
      <c r="T15" s="137"/>
      <c r="U15" s="138"/>
      <c r="X15" s="1" t="s">
        <v>94</v>
      </c>
    </row>
    <row r="16" spans="1:24" ht="18" customHeight="1" x14ac:dyDescent="0.15">
      <c r="A16" s="80"/>
      <c r="B16" s="139"/>
      <c r="C16" s="140"/>
      <c r="D16" s="140"/>
      <c r="E16" s="140"/>
      <c r="F16" s="140"/>
      <c r="G16" s="140"/>
      <c r="H16" s="140"/>
      <c r="I16" s="140"/>
      <c r="J16" s="140"/>
      <c r="K16" s="140"/>
      <c r="L16" s="140"/>
      <c r="M16" s="140"/>
      <c r="N16" s="140"/>
      <c r="O16" s="140"/>
      <c r="P16" s="140"/>
      <c r="Q16" s="140"/>
      <c r="R16" s="140"/>
      <c r="S16" s="140"/>
      <c r="T16" s="140"/>
      <c r="U16" s="141"/>
      <c r="X16" s="1" t="s">
        <v>114</v>
      </c>
    </row>
    <row r="17" spans="1:24" ht="18" customHeight="1" x14ac:dyDescent="0.15">
      <c r="A17" s="80"/>
      <c r="B17" s="139"/>
      <c r="C17" s="140"/>
      <c r="D17" s="140"/>
      <c r="E17" s="140"/>
      <c r="F17" s="140"/>
      <c r="G17" s="140"/>
      <c r="H17" s="140"/>
      <c r="I17" s="140"/>
      <c r="J17" s="140"/>
      <c r="K17" s="140"/>
      <c r="L17" s="140"/>
      <c r="M17" s="140"/>
      <c r="N17" s="140"/>
      <c r="O17" s="140"/>
      <c r="P17" s="140"/>
      <c r="Q17" s="140"/>
      <c r="R17" s="140"/>
      <c r="S17" s="140"/>
      <c r="T17" s="140"/>
      <c r="U17" s="141"/>
      <c r="X17" s="1" t="s">
        <v>115</v>
      </c>
    </row>
    <row r="18" spans="1:24" ht="18" customHeight="1" x14ac:dyDescent="0.15">
      <c r="A18" s="80"/>
      <c r="B18" s="139"/>
      <c r="C18" s="140"/>
      <c r="D18" s="140"/>
      <c r="E18" s="140"/>
      <c r="F18" s="140"/>
      <c r="G18" s="140"/>
      <c r="H18" s="140"/>
      <c r="I18" s="140"/>
      <c r="J18" s="140"/>
      <c r="K18" s="140"/>
      <c r="L18" s="140"/>
      <c r="M18" s="140"/>
      <c r="N18" s="140"/>
      <c r="O18" s="140"/>
      <c r="P18" s="140"/>
      <c r="Q18" s="140"/>
      <c r="R18" s="140"/>
      <c r="S18" s="140"/>
      <c r="T18" s="140"/>
      <c r="U18" s="141"/>
      <c r="X18" s="1" t="s">
        <v>116</v>
      </c>
    </row>
    <row r="19" spans="1:24" ht="18" customHeight="1" x14ac:dyDescent="0.15">
      <c r="A19" s="80"/>
      <c r="B19" s="139"/>
      <c r="C19" s="140"/>
      <c r="D19" s="140"/>
      <c r="E19" s="140"/>
      <c r="F19" s="140"/>
      <c r="G19" s="140"/>
      <c r="H19" s="140"/>
      <c r="I19" s="140"/>
      <c r="J19" s="140"/>
      <c r="K19" s="140"/>
      <c r="L19" s="140"/>
      <c r="M19" s="140"/>
      <c r="N19" s="140"/>
      <c r="O19" s="140"/>
      <c r="P19" s="140"/>
      <c r="Q19" s="140"/>
      <c r="R19" s="140"/>
      <c r="S19" s="140"/>
      <c r="T19" s="140"/>
      <c r="U19" s="141"/>
    </row>
    <row r="20" spans="1:24" ht="18" customHeight="1" x14ac:dyDescent="0.15">
      <c r="A20" s="80"/>
      <c r="B20" s="142"/>
      <c r="C20" s="143"/>
      <c r="D20" s="143"/>
      <c r="E20" s="143"/>
      <c r="F20" s="143"/>
      <c r="G20" s="143"/>
      <c r="H20" s="143"/>
      <c r="I20" s="143"/>
      <c r="J20" s="143"/>
      <c r="K20" s="143"/>
      <c r="L20" s="143"/>
      <c r="M20" s="143"/>
      <c r="N20" s="143"/>
      <c r="O20" s="143"/>
      <c r="P20" s="143"/>
      <c r="Q20" s="143"/>
      <c r="R20" s="143"/>
      <c r="S20" s="143"/>
      <c r="T20" s="143"/>
      <c r="U20" s="144"/>
    </row>
    <row r="21" spans="1:24" ht="7.5" customHeight="1" x14ac:dyDescent="0.15">
      <c r="A21" s="80"/>
      <c r="B21" s="85"/>
      <c r="C21" s="85"/>
      <c r="D21" s="85"/>
      <c r="E21" s="85"/>
      <c r="F21" s="85"/>
      <c r="G21" s="85"/>
      <c r="H21" s="85"/>
      <c r="I21" s="85"/>
      <c r="J21" s="85"/>
      <c r="K21" s="85"/>
      <c r="L21" s="85"/>
      <c r="M21" s="85"/>
      <c r="N21" s="85"/>
      <c r="O21" s="85"/>
      <c r="P21" s="85"/>
      <c r="Q21" s="85"/>
      <c r="R21" s="85"/>
      <c r="S21" s="85"/>
      <c r="T21" s="85"/>
      <c r="U21" s="85"/>
    </row>
    <row r="22" spans="1:24" ht="19.899999999999999" customHeight="1" x14ac:dyDescent="0.15">
      <c r="A22" s="80"/>
      <c r="B22" s="80" t="s">
        <v>133</v>
      </c>
      <c r="C22" s="80"/>
      <c r="D22" s="80"/>
      <c r="E22" s="89">
        <v>2</v>
      </c>
      <c r="F22" s="80" t="s">
        <v>112</v>
      </c>
      <c r="G22" s="80"/>
      <c r="H22" s="90">
        <v>4</v>
      </c>
      <c r="I22" s="85" t="s">
        <v>113</v>
      </c>
      <c r="J22" s="85"/>
      <c r="K22" s="82"/>
      <c r="L22" s="80"/>
      <c r="M22" s="82" t="s">
        <v>109</v>
      </c>
      <c r="N22" s="103" t="s">
        <v>116</v>
      </c>
      <c r="O22" s="104"/>
      <c r="P22" s="104"/>
      <c r="Q22" s="104"/>
      <c r="R22" s="104"/>
      <c r="S22" s="104"/>
      <c r="T22" s="104"/>
      <c r="U22" s="105"/>
    </row>
    <row r="23" spans="1:24" ht="7.5" customHeight="1" x14ac:dyDescent="0.15">
      <c r="A23" s="80"/>
      <c r="B23" s="85"/>
      <c r="C23" s="85"/>
      <c r="D23" s="85"/>
      <c r="E23" s="85"/>
      <c r="F23" s="85"/>
      <c r="G23" s="85"/>
      <c r="H23" s="85"/>
      <c r="I23" s="85"/>
      <c r="J23" s="85"/>
      <c r="K23" s="85"/>
      <c r="L23" s="85"/>
      <c r="M23" s="85"/>
      <c r="N23" s="85"/>
      <c r="O23" s="85"/>
      <c r="P23" s="85"/>
      <c r="Q23" s="85"/>
      <c r="R23" s="85"/>
      <c r="S23" s="85"/>
      <c r="T23" s="85"/>
      <c r="U23" s="85"/>
    </row>
    <row r="24" spans="1:24" ht="18" customHeight="1" x14ac:dyDescent="0.15">
      <c r="A24" s="145" t="s">
        <v>101</v>
      </c>
      <c r="B24" s="145"/>
      <c r="C24" s="145"/>
      <c r="D24" s="145"/>
      <c r="E24" s="145"/>
      <c r="F24" s="145"/>
      <c r="G24" s="145"/>
      <c r="H24" s="145"/>
      <c r="I24" s="145"/>
      <c r="J24" s="145"/>
      <c r="K24" s="145"/>
      <c r="L24" s="145"/>
      <c r="M24" s="145"/>
      <c r="N24" s="145"/>
      <c r="O24" s="145"/>
      <c r="P24" s="145"/>
      <c r="Q24" s="145"/>
      <c r="R24" s="145"/>
      <c r="S24" s="145"/>
      <c r="T24" s="145"/>
      <c r="U24" s="145"/>
    </row>
    <row r="25" spans="1:24" ht="18" customHeight="1" x14ac:dyDescent="0.15">
      <c r="A25" s="145"/>
      <c r="B25" s="145"/>
      <c r="C25" s="145"/>
      <c r="D25" s="145"/>
      <c r="E25" s="145"/>
      <c r="F25" s="145"/>
      <c r="G25" s="145"/>
      <c r="H25" s="145"/>
      <c r="I25" s="145"/>
      <c r="J25" s="145"/>
      <c r="K25" s="145"/>
      <c r="L25" s="145"/>
      <c r="M25" s="145"/>
      <c r="N25" s="145"/>
      <c r="O25" s="145"/>
      <c r="P25" s="145"/>
      <c r="Q25" s="145"/>
      <c r="R25" s="145"/>
      <c r="S25" s="145"/>
      <c r="T25" s="145"/>
      <c r="U25" s="145"/>
    </row>
    <row r="26" spans="1:24" ht="18" customHeight="1" x14ac:dyDescent="0.15">
      <c r="B26" s="109" t="s">
        <v>51</v>
      </c>
      <c r="C26" s="110"/>
      <c r="D26" s="110"/>
      <c r="E26" s="110"/>
      <c r="F26" s="111"/>
      <c r="G26" s="51" t="s">
        <v>77</v>
      </c>
      <c r="H26" s="50" t="s">
        <v>80</v>
      </c>
      <c r="I26" s="17" t="s">
        <v>54</v>
      </c>
      <c r="J26" s="17" t="s">
        <v>57</v>
      </c>
      <c r="K26" s="109" t="s">
        <v>51</v>
      </c>
      <c r="L26" s="110"/>
      <c r="M26" s="110"/>
      <c r="N26" s="110"/>
      <c r="O26" s="110"/>
      <c r="P26" s="110"/>
      <c r="Q26" s="111"/>
      <c r="R26" s="51" t="s">
        <v>77</v>
      </c>
      <c r="S26" s="50" t="s">
        <v>80</v>
      </c>
      <c r="T26" s="17" t="s">
        <v>54</v>
      </c>
      <c r="U26" s="17" t="s">
        <v>57</v>
      </c>
    </row>
    <row r="27" spans="1:24" ht="18" customHeight="1" x14ac:dyDescent="0.15">
      <c r="B27" s="124" t="s">
        <v>140</v>
      </c>
      <c r="C27" s="125"/>
      <c r="D27" s="125"/>
      <c r="E27" s="125"/>
      <c r="F27" s="126"/>
      <c r="G27" s="18">
        <v>2</v>
      </c>
      <c r="H27" s="18" t="s">
        <v>142</v>
      </c>
      <c r="I27" s="18" t="s">
        <v>142</v>
      </c>
      <c r="J27" s="18"/>
      <c r="K27" s="124"/>
      <c r="L27" s="125"/>
      <c r="M27" s="125"/>
      <c r="N27" s="125"/>
      <c r="O27" s="125"/>
      <c r="P27" s="125"/>
      <c r="Q27" s="126"/>
      <c r="R27" s="18"/>
      <c r="S27" s="18"/>
      <c r="T27" s="18"/>
      <c r="U27" s="18"/>
    </row>
    <row r="28" spans="1:24" ht="18" customHeight="1" x14ac:dyDescent="0.15">
      <c r="B28" s="118" t="s">
        <v>141</v>
      </c>
      <c r="C28" s="119"/>
      <c r="D28" s="119"/>
      <c r="E28" s="119"/>
      <c r="F28" s="120"/>
      <c r="G28" s="19">
        <v>2</v>
      </c>
      <c r="H28" s="19" t="s">
        <v>142</v>
      </c>
      <c r="I28" s="19" t="s">
        <v>142</v>
      </c>
      <c r="J28" s="19" t="s">
        <v>142</v>
      </c>
      <c r="K28" s="118"/>
      <c r="L28" s="119"/>
      <c r="M28" s="119"/>
      <c r="N28" s="119"/>
      <c r="O28" s="119"/>
      <c r="P28" s="119"/>
      <c r="Q28" s="120"/>
      <c r="R28" s="19"/>
      <c r="S28" s="19"/>
      <c r="T28" s="19"/>
      <c r="U28" s="19"/>
    </row>
    <row r="29" spans="1:24" ht="18" customHeight="1" x14ac:dyDescent="0.15">
      <c r="B29" s="118"/>
      <c r="C29" s="119"/>
      <c r="D29" s="119"/>
      <c r="E29" s="119"/>
      <c r="F29" s="120"/>
      <c r="G29" s="19"/>
      <c r="H29" s="19"/>
      <c r="I29" s="19"/>
      <c r="J29" s="19"/>
      <c r="K29" s="118"/>
      <c r="L29" s="119"/>
      <c r="M29" s="119"/>
      <c r="N29" s="119"/>
      <c r="O29" s="119"/>
      <c r="P29" s="119"/>
      <c r="Q29" s="120"/>
      <c r="R29" s="19"/>
      <c r="S29" s="19"/>
      <c r="T29" s="19"/>
      <c r="U29" s="19"/>
    </row>
    <row r="30" spans="1:24" ht="18" customHeight="1" x14ac:dyDescent="0.15">
      <c r="B30" s="118"/>
      <c r="C30" s="119"/>
      <c r="D30" s="119"/>
      <c r="E30" s="119"/>
      <c r="F30" s="120"/>
      <c r="G30" s="19"/>
      <c r="H30" s="19"/>
      <c r="I30" s="19"/>
      <c r="J30" s="19"/>
      <c r="K30" s="118"/>
      <c r="L30" s="119"/>
      <c r="M30" s="119"/>
      <c r="N30" s="119"/>
      <c r="O30" s="119"/>
      <c r="P30" s="119"/>
      <c r="Q30" s="120"/>
      <c r="R30" s="19"/>
      <c r="S30" s="19"/>
      <c r="T30" s="19"/>
      <c r="U30" s="19"/>
    </row>
    <row r="31" spans="1:24" ht="18" customHeight="1" x14ac:dyDescent="0.15">
      <c r="B31" s="118"/>
      <c r="C31" s="119"/>
      <c r="D31" s="119"/>
      <c r="E31" s="119"/>
      <c r="F31" s="120"/>
      <c r="G31" s="19"/>
      <c r="H31" s="19"/>
      <c r="I31" s="19"/>
      <c r="J31" s="19"/>
      <c r="K31" s="118"/>
      <c r="L31" s="119"/>
      <c r="M31" s="119"/>
      <c r="N31" s="119"/>
      <c r="O31" s="119"/>
      <c r="P31" s="119"/>
      <c r="Q31" s="120"/>
      <c r="R31" s="19"/>
      <c r="S31" s="19"/>
      <c r="T31" s="19"/>
      <c r="U31" s="19"/>
    </row>
    <row r="32" spans="1:24" ht="18" customHeight="1" x14ac:dyDescent="0.15">
      <c r="A32" s="3"/>
      <c r="B32" s="118"/>
      <c r="C32" s="119"/>
      <c r="D32" s="119"/>
      <c r="E32" s="119"/>
      <c r="F32" s="120"/>
      <c r="G32" s="19"/>
      <c r="H32" s="19"/>
      <c r="I32" s="19"/>
      <c r="J32" s="19"/>
      <c r="K32" s="118"/>
      <c r="L32" s="119"/>
      <c r="M32" s="119"/>
      <c r="N32" s="119"/>
      <c r="O32" s="119"/>
      <c r="P32" s="119"/>
      <c r="Q32" s="120"/>
      <c r="R32" s="19"/>
      <c r="S32" s="19"/>
      <c r="T32" s="19"/>
      <c r="U32" s="19"/>
    </row>
    <row r="33" spans="1:21" ht="18" customHeight="1" x14ac:dyDescent="0.15">
      <c r="A33" s="3"/>
      <c r="B33" s="121"/>
      <c r="C33" s="122"/>
      <c r="D33" s="122"/>
      <c r="E33" s="122"/>
      <c r="F33" s="123"/>
      <c r="G33" s="20"/>
      <c r="H33" s="20"/>
      <c r="I33" s="21"/>
      <c r="J33" s="21"/>
      <c r="K33" s="121"/>
      <c r="L33" s="122"/>
      <c r="M33" s="122"/>
      <c r="N33" s="122"/>
      <c r="O33" s="122"/>
      <c r="P33" s="122"/>
      <c r="Q33" s="123"/>
      <c r="R33" s="20"/>
      <c r="S33" s="20"/>
      <c r="T33" s="21"/>
      <c r="U33" s="21"/>
    </row>
    <row r="34" spans="1:21" ht="7.5" customHeight="1" x14ac:dyDescent="0.15">
      <c r="A34" s="3"/>
      <c r="B34" s="6"/>
      <c r="C34" s="6"/>
      <c r="D34" s="6"/>
      <c r="E34" s="3"/>
      <c r="F34" s="3"/>
      <c r="G34" s="3"/>
      <c r="H34" s="3"/>
      <c r="I34" s="6"/>
      <c r="J34" s="6"/>
      <c r="K34" s="6"/>
      <c r="L34" s="6"/>
      <c r="M34" s="6"/>
      <c r="N34" s="6"/>
      <c r="O34" s="6"/>
      <c r="P34" s="6"/>
      <c r="Q34" s="6"/>
      <c r="R34" s="6"/>
      <c r="S34" s="6"/>
      <c r="T34" s="6"/>
      <c r="U34" s="3"/>
    </row>
    <row r="35" spans="1:21" ht="18" customHeight="1" x14ac:dyDescent="0.15">
      <c r="A35" s="127" t="s">
        <v>102</v>
      </c>
      <c r="B35" s="127"/>
      <c r="C35" s="127"/>
      <c r="D35" s="127"/>
      <c r="E35" s="127"/>
      <c r="F35" s="127"/>
      <c r="G35" s="127"/>
      <c r="H35" s="127"/>
      <c r="I35" s="127"/>
      <c r="J35" s="127"/>
      <c r="K35" s="127"/>
      <c r="L35" s="127"/>
      <c r="M35" s="127"/>
      <c r="N35" s="127"/>
      <c r="O35" s="127"/>
      <c r="P35" s="127"/>
      <c r="Q35" s="127"/>
      <c r="R35" s="127"/>
      <c r="S35" s="127"/>
      <c r="T35" s="127"/>
      <c r="U35" s="127"/>
    </row>
    <row r="36" spans="1:21" ht="18" customHeight="1" x14ac:dyDescent="0.15">
      <c r="A36" s="127"/>
      <c r="B36" s="127"/>
      <c r="C36" s="127"/>
      <c r="D36" s="127"/>
      <c r="E36" s="127"/>
      <c r="F36" s="127"/>
      <c r="G36" s="127"/>
      <c r="H36" s="127"/>
      <c r="I36" s="127"/>
      <c r="J36" s="127"/>
      <c r="K36" s="127"/>
      <c r="L36" s="127"/>
      <c r="M36" s="127"/>
      <c r="N36" s="127"/>
      <c r="O36" s="127"/>
      <c r="P36" s="127"/>
      <c r="Q36" s="127"/>
      <c r="R36" s="127"/>
      <c r="S36" s="127"/>
      <c r="T36" s="127"/>
      <c r="U36" s="127"/>
    </row>
    <row r="37" spans="1:21" ht="18" customHeight="1" x14ac:dyDescent="0.15">
      <c r="B37" s="109" t="s">
        <v>51</v>
      </c>
      <c r="C37" s="110"/>
      <c r="D37" s="110"/>
      <c r="E37" s="110"/>
      <c r="F37" s="111"/>
      <c r="G37" s="51" t="s">
        <v>77</v>
      </c>
      <c r="H37" s="50" t="s">
        <v>80</v>
      </c>
      <c r="I37" s="17" t="s">
        <v>68</v>
      </c>
      <c r="J37" s="17" t="s">
        <v>69</v>
      </c>
      <c r="K37" s="109" t="s">
        <v>51</v>
      </c>
      <c r="L37" s="110"/>
      <c r="M37" s="110"/>
      <c r="N37" s="110"/>
      <c r="O37" s="110"/>
      <c r="P37" s="110"/>
      <c r="Q37" s="111"/>
      <c r="R37" s="51" t="s">
        <v>77</v>
      </c>
      <c r="S37" s="50" t="s">
        <v>80</v>
      </c>
      <c r="T37" s="17" t="s">
        <v>68</v>
      </c>
      <c r="U37" s="17" t="s">
        <v>69</v>
      </c>
    </row>
    <row r="38" spans="1:21" ht="18" customHeight="1" x14ac:dyDescent="0.15">
      <c r="B38" s="124" t="s">
        <v>140</v>
      </c>
      <c r="C38" s="125"/>
      <c r="D38" s="125"/>
      <c r="E38" s="125"/>
      <c r="F38" s="126"/>
      <c r="G38" s="18">
        <v>2</v>
      </c>
      <c r="H38" s="18" t="s">
        <v>142</v>
      </c>
      <c r="I38" s="18" t="s">
        <v>142</v>
      </c>
      <c r="J38" s="18" t="s">
        <v>142</v>
      </c>
      <c r="K38" s="124"/>
      <c r="L38" s="125"/>
      <c r="M38" s="125"/>
      <c r="N38" s="125"/>
      <c r="O38" s="125"/>
      <c r="P38" s="125"/>
      <c r="Q38" s="126"/>
      <c r="R38" s="18"/>
      <c r="S38" s="18"/>
      <c r="T38" s="18"/>
      <c r="U38" s="18"/>
    </row>
    <row r="39" spans="1:21" ht="18" customHeight="1" x14ac:dyDescent="0.15">
      <c r="B39" s="118" t="s">
        <v>141</v>
      </c>
      <c r="C39" s="119"/>
      <c r="D39" s="119"/>
      <c r="E39" s="119"/>
      <c r="F39" s="120"/>
      <c r="G39" s="19">
        <v>2</v>
      </c>
      <c r="H39" s="19" t="s">
        <v>142</v>
      </c>
      <c r="I39" s="19" t="s">
        <v>142</v>
      </c>
      <c r="J39" s="19" t="s">
        <v>142</v>
      </c>
      <c r="K39" s="118"/>
      <c r="L39" s="119"/>
      <c r="M39" s="119"/>
      <c r="N39" s="119"/>
      <c r="O39" s="119"/>
      <c r="P39" s="119"/>
      <c r="Q39" s="120"/>
      <c r="R39" s="19"/>
      <c r="S39" s="19"/>
      <c r="T39" s="19"/>
      <c r="U39" s="19"/>
    </row>
    <row r="40" spans="1:21" ht="18" customHeight="1" x14ac:dyDescent="0.15">
      <c r="B40" s="118"/>
      <c r="C40" s="119"/>
      <c r="D40" s="119"/>
      <c r="E40" s="119"/>
      <c r="F40" s="120"/>
      <c r="G40" s="19"/>
      <c r="H40" s="19"/>
      <c r="I40" s="19"/>
      <c r="J40" s="19"/>
      <c r="K40" s="118"/>
      <c r="L40" s="119"/>
      <c r="M40" s="119"/>
      <c r="N40" s="119"/>
      <c r="O40" s="119"/>
      <c r="P40" s="119"/>
      <c r="Q40" s="120"/>
      <c r="R40" s="19"/>
      <c r="S40" s="19"/>
      <c r="T40" s="19"/>
      <c r="U40" s="19"/>
    </row>
    <row r="41" spans="1:21" ht="18" customHeight="1" x14ac:dyDescent="0.15">
      <c r="B41" s="118"/>
      <c r="C41" s="119"/>
      <c r="D41" s="119"/>
      <c r="E41" s="119"/>
      <c r="F41" s="120"/>
      <c r="G41" s="19"/>
      <c r="H41" s="19"/>
      <c r="I41" s="19"/>
      <c r="J41" s="19"/>
      <c r="K41" s="118"/>
      <c r="L41" s="119"/>
      <c r="M41" s="119"/>
      <c r="N41" s="119"/>
      <c r="O41" s="119"/>
      <c r="P41" s="119"/>
      <c r="Q41" s="120"/>
      <c r="R41" s="19"/>
      <c r="S41" s="19"/>
      <c r="T41" s="19"/>
      <c r="U41" s="19"/>
    </row>
    <row r="42" spans="1:21" ht="18" customHeight="1" x14ac:dyDescent="0.15">
      <c r="B42" s="118"/>
      <c r="C42" s="119"/>
      <c r="D42" s="119"/>
      <c r="E42" s="119"/>
      <c r="F42" s="120"/>
      <c r="G42" s="19"/>
      <c r="H42" s="19"/>
      <c r="I42" s="19"/>
      <c r="J42" s="19"/>
      <c r="K42" s="118"/>
      <c r="L42" s="119"/>
      <c r="M42" s="119"/>
      <c r="N42" s="119"/>
      <c r="O42" s="119"/>
      <c r="P42" s="119"/>
      <c r="Q42" s="120"/>
      <c r="R42" s="19"/>
      <c r="S42" s="19"/>
      <c r="T42" s="19"/>
      <c r="U42" s="19"/>
    </row>
    <row r="43" spans="1:21" ht="18" customHeight="1" x14ac:dyDescent="0.15">
      <c r="B43" s="118"/>
      <c r="C43" s="119"/>
      <c r="D43" s="119"/>
      <c r="E43" s="119"/>
      <c r="F43" s="120"/>
      <c r="G43" s="19"/>
      <c r="H43" s="19"/>
      <c r="I43" s="19"/>
      <c r="J43" s="19"/>
      <c r="K43" s="118"/>
      <c r="L43" s="119"/>
      <c r="M43" s="119"/>
      <c r="N43" s="119"/>
      <c r="O43" s="119"/>
      <c r="P43" s="119"/>
      <c r="Q43" s="120"/>
      <c r="R43" s="19"/>
      <c r="S43" s="19"/>
      <c r="T43" s="19"/>
      <c r="U43" s="19"/>
    </row>
    <row r="44" spans="1:21" ht="18" customHeight="1" x14ac:dyDescent="0.15">
      <c r="B44" s="121"/>
      <c r="C44" s="122"/>
      <c r="D44" s="122"/>
      <c r="E44" s="122"/>
      <c r="F44" s="123"/>
      <c r="G44" s="20"/>
      <c r="H44" s="20"/>
      <c r="I44" s="21"/>
      <c r="J44" s="21"/>
      <c r="K44" s="121"/>
      <c r="L44" s="122"/>
      <c r="M44" s="122"/>
      <c r="N44" s="122"/>
      <c r="O44" s="122"/>
      <c r="P44" s="122"/>
      <c r="Q44" s="123"/>
      <c r="R44" s="20"/>
      <c r="S44" s="20"/>
      <c r="T44" s="21"/>
      <c r="U44" s="21"/>
    </row>
    <row r="45" spans="1:21" ht="7.5" customHeight="1" x14ac:dyDescent="0.15">
      <c r="A45" s="3"/>
      <c r="B45" s="6"/>
      <c r="C45" s="6"/>
      <c r="D45" s="6"/>
      <c r="E45" s="3"/>
      <c r="F45" s="3"/>
      <c r="G45" s="3"/>
      <c r="H45" s="3"/>
      <c r="I45" s="6"/>
      <c r="J45" s="6"/>
      <c r="K45" s="6"/>
      <c r="L45" s="6"/>
      <c r="M45" s="6"/>
      <c r="N45" s="6"/>
      <c r="O45" s="6"/>
      <c r="P45" s="6"/>
      <c r="Q45" s="6"/>
      <c r="R45" s="6"/>
      <c r="S45" s="6"/>
      <c r="T45" s="6"/>
      <c r="U45" s="3"/>
    </row>
    <row r="46" spans="1:21" ht="18" customHeight="1" x14ac:dyDescent="0.15">
      <c r="A46" s="127" t="s">
        <v>103</v>
      </c>
      <c r="B46" s="127"/>
      <c r="C46" s="127"/>
      <c r="D46" s="127"/>
      <c r="E46" s="127"/>
      <c r="F46" s="127"/>
      <c r="G46" s="127"/>
      <c r="H46" s="127"/>
      <c r="I46" s="127"/>
      <c r="J46" s="127"/>
      <c r="K46" s="127"/>
      <c r="L46" s="127"/>
      <c r="M46" s="127"/>
      <c r="N46" s="127"/>
      <c r="O46" s="127"/>
      <c r="P46" s="127"/>
      <c r="Q46" s="127"/>
      <c r="R46" s="127"/>
      <c r="S46" s="127"/>
      <c r="T46" s="127"/>
      <c r="U46" s="127"/>
    </row>
    <row r="47" spans="1:21" ht="18" customHeight="1" x14ac:dyDescent="0.15">
      <c r="A47" s="127"/>
      <c r="B47" s="127"/>
      <c r="C47" s="127"/>
      <c r="D47" s="127"/>
      <c r="E47" s="127"/>
      <c r="F47" s="127"/>
      <c r="G47" s="127"/>
      <c r="H47" s="127"/>
      <c r="I47" s="127"/>
      <c r="J47" s="127"/>
      <c r="K47" s="127"/>
      <c r="L47" s="127"/>
      <c r="M47" s="127"/>
      <c r="N47" s="127"/>
      <c r="O47" s="127"/>
      <c r="P47" s="127"/>
      <c r="Q47" s="127"/>
      <c r="R47" s="127"/>
      <c r="S47" s="127"/>
      <c r="T47" s="127"/>
      <c r="U47" s="127"/>
    </row>
    <row r="48" spans="1:21" ht="18" customHeight="1" x14ac:dyDescent="0.15">
      <c r="B48" s="109" t="s">
        <v>51</v>
      </c>
      <c r="C48" s="110"/>
      <c r="D48" s="110"/>
      <c r="E48" s="110"/>
      <c r="F48" s="111"/>
      <c r="G48" s="51" t="s">
        <v>77</v>
      </c>
      <c r="H48" s="50" t="s">
        <v>80</v>
      </c>
      <c r="I48" s="17" t="s">
        <v>70</v>
      </c>
      <c r="J48" s="17" t="s">
        <v>71</v>
      </c>
      <c r="K48" s="109" t="s">
        <v>51</v>
      </c>
      <c r="L48" s="110"/>
      <c r="M48" s="110"/>
      <c r="N48" s="110"/>
      <c r="O48" s="110"/>
      <c r="P48" s="110"/>
      <c r="Q48" s="111"/>
      <c r="R48" s="51" t="s">
        <v>77</v>
      </c>
      <c r="S48" s="50" t="s">
        <v>80</v>
      </c>
      <c r="T48" s="17" t="s">
        <v>70</v>
      </c>
      <c r="U48" s="17" t="s">
        <v>71</v>
      </c>
    </row>
    <row r="49" spans="1:21" ht="18" customHeight="1" x14ac:dyDescent="0.15">
      <c r="A49" s="3"/>
      <c r="B49" s="124" t="s">
        <v>140</v>
      </c>
      <c r="C49" s="125"/>
      <c r="D49" s="125"/>
      <c r="E49" s="125"/>
      <c r="F49" s="126"/>
      <c r="G49" s="18">
        <v>2</v>
      </c>
      <c r="H49" s="18" t="s">
        <v>142</v>
      </c>
      <c r="I49" s="18" t="s">
        <v>142</v>
      </c>
      <c r="J49" s="18" t="s">
        <v>142</v>
      </c>
      <c r="K49" s="124"/>
      <c r="L49" s="125"/>
      <c r="M49" s="125"/>
      <c r="N49" s="125"/>
      <c r="O49" s="125"/>
      <c r="P49" s="125"/>
      <c r="Q49" s="126"/>
      <c r="R49" s="18"/>
      <c r="S49" s="18"/>
      <c r="T49" s="18"/>
      <c r="U49" s="18"/>
    </row>
    <row r="50" spans="1:21" ht="18" customHeight="1" x14ac:dyDescent="0.15">
      <c r="A50" s="3"/>
      <c r="B50" s="118" t="s">
        <v>141</v>
      </c>
      <c r="C50" s="119"/>
      <c r="D50" s="119"/>
      <c r="E50" s="119"/>
      <c r="F50" s="120"/>
      <c r="G50" s="19">
        <v>2</v>
      </c>
      <c r="H50" s="19" t="s">
        <v>142</v>
      </c>
      <c r="I50" s="19" t="s">
        <v>142</v>
      </c>
      <c r="J50" s="19" t="s">
        <v>142</v>
      </c>
      <c r="K50" s="118"/>
      <c r="L50" s="119"/>
      <c r="M50" s="119"/>
      <c r="N50" s="119"/>
      <c r="O50" s="119"/>
      <c r="P50" s="119"/>
      <c r="Q50" s="120"/>
      <c r="R50" s="19"/>
      <c r="S50" s="19"/>
      <c r="T50" s="19"/>
      <c r="U50" s="19"/>
    </row>
    <row r="51" spans="1:21" ht="18" customHeight="1" x14ac:dyDescent="0.15">
      <c r="A51" s="3"/>
      <c r="B51" s="118"/>
      <c r="C51" s="119"/>
      <c r="D51" s="119"/>
      <c r="E51" s="119"/>
      <c r="F51" s="120"/>
      <c r="G51" s="19"/>
      <c r="H51" s="19"/>
      <c r="I51" s="19"/>
      <c r="J51" s="19"/>
      <c r="K51" s="118"/>
      <c r="L51" s="119"/>
      <c r="M51" s="119"/>
      <c r="N51" s="119"/>
      <c r="O51" s="119"/>
      <c r="P51" s="119"/>
      <c r="Q51" s="120"/>
      <c r="R51" s="19"/>
      <c r="S51" s="19"/>
      <c r="T51" s="19"/>
      <c r="U51" s="19"/>
    </row>
    <row r="52" spans="1:21" ht="18" customHeight="1" x14ac:dyDescent="0.15">
      <c r="A52" s="3"/>
      <c r="B52" s="118"/>
      <c r="C52" s="119"/>
      <c r="D52" s="119"/>
      <c r="E52" s="119"/>
      <c r="F52" s="120"/>
      <c r="G52" s="19"/>
      <c r="H52" s="19"/>
      <c r="I52" s="19"/>
      <c r="J52" s="19"/>
      <c r="K52" s="118"/>
      <c r="L52" s="119"/>
      <c r="M52" s="119"/>
      <c r="N52" s="119"/>
      <c r="O52" s="119"/>
      <c r="P52" s="119"/>
      <c r="Q52" s="120"/>
      <c r="R52" s="19"/>
      <c r="S52" s="19"/>
      <c r="T52" s="19"/>
      <c r="U52" s="19"/>
    </row>
    <row r="53" spans="1:21" ht="18" customHeight="1" x14ac:dyDescent="0.15">
      <c r="A53" s="3"/>
      <c r="B53" s="118"/>
      <c r="C53" s="119"/>
      <c r="D53" s="119"/>
      <c r="E53" s="119"/>
      <c r="F53" s="120"/>
      <c r="G53" s="19"/>
      <c r="H53" s="19"/>
      <c r="I53" s="19"/>
      <c r="J53" s="19"/>
      <c r="K53" s="118"/>
      <c r="L53" s="119"/>
      <c r="M53" s="119"/>
      <c r="N53" s="119"/>
      <c r="O53" s="119"/>
      <c r="P53" s="119"/>
      <c r="Q53" s="120"/>
      <c r="R53" s="19"/>
      <c r="S53" s="19"/>
      <c r="T53" s="19"/>
      <c r="U53" s="19"/>
    </row>
    <row r="54" spans="1:21" ht="18" customHeight="1" x14ac:dyDescent="0.15">
      <c r="A54" s="3"/>
      <c r="B54" s="118"/>
      <c r="C54" s="119"/>
      <c r="D54" s="119"/>
      <c r="E54" s="119"/>
      <c r="F54" s="120"/>
      <c r="G54" s="19"/>
      <c r="H54" s="19"/>
      <c r="I54" s="19"/>
      <c r="J54" s="19"/>
      <c r="K54" s="118"/>
      <c r="L54" s="119"/>
      <c r="M54" s="119"/>
      <c r="N54" s="119"/>
      <c r="O54" s="119"/>
      <c r="P54" s="119"/>
      <c r="Q54" s="120"/>
      <c r="R54" s="19"/>
      <c r="S54" s="19"/>
      <c r="T54" s="19"/>
      <c r="U54" s="19"/>
    </row>
    <row r="55" spans="1:21" ht="18" customHeight="1" x14ac:dyDescent="0.15">
      <c r="A55" s="3"/>
      <c r="B55" s="121"/>
      <c r="C55" s="122"/>
      <c r="D55" s="122"/>
      <c r="E55" s="122"/>
      <c r="F55" s="123"/>
      <c r="G55" s="20"/>
      <c r="H55" s="20"/>
      <c r="I55" s="21"/>
      <c r="J55" s="21"/>
      <c r="K55" s="121"/>
      <c r="L55" s="122"/>
      <c r="M55" s="122"/>
      <c r="N55" s="122"/>
      <c r="O55" s="122"/>
      <c r="P55" s="122"/>
      <c r="Q55" s="123"/>
      <c r="R55" s="20"/>
      <c r="S55" s="20"/>
      <c r="T55" s="21"/>
      <c r="U55" s="21"/>
    </row>
    <row r="56" spans="1:21" ht="7.5" customHeight="1" x14ac:dyDescent="0.15">
      <c r="B56" s="14"/>
      <c r="C56" s="14"/>
      <c r="D56" s="14"/>
      <c r="E56" s="14"/>
      <c r="F56" s="14"/>
      <c r="G56" s="14"/>
      <c r="H56" s="14"/>
      <c r="I56" s="14"/>
      <c r="J56" s="14"/>
      <c r="K56" s="14"/>
      <c r="L56" s="14"/>
      <c r="M56" s="14"/>
      <c r="N56" s="14"/>
      <c r="O56" s="14"/>
      <c r="P56" s="14"/>
      <c r="Q56" s="14"/>
      <c r="R56" s="14"/>
      <c r="S56" s="14"/>
      <c r="T56" s="14"/>
    </row>
    <row r="57" spans="1:21" ht="18" customHeight="1" x14ac:dyDescent="0.15">
      <c r="A57" s="127" t="s">
        <v>104</v>
      </c>
      <c r="B57" s="127"/>
      <c r="C57" s="127"/>
      <c r="D57" s="127"/>
      <c r="E57" s="127"/>
      <c r="F57" s="127"/>
      <c r="G57" s="127"/>
      <c r="H57" s="127"/>
      <c r="I57" s="127"/>
      <c r="J57" s="127"/>
      <c r="K57" s="127"/>
      <c r="L57" s="127"/>
      <c r="M57" s="127"/>
      <c r="N57" s="127"/>
      <c r="O57" s="127"/>
      <c r="P57" s="127"/>
      <c r="Q57" s="127"/>
      <c r="R57" s="127"/>
      <c r="S57" s="127"/>
      <c r="T57" s="127"/>
      <c r="U57" s="127"/>
    </row>
    <row r="58" spans="1:21" ht="18" customHeight="1" x14ac:dyDescent="0.15">
      <c r="A58" s="127"/>
      <c r="B58" s="127"/>
      <c r="C58" s="127"/>
      <c r="D58" s="127"/>
      <c r="E58" s="127"/>
      <c r="F58" s="127"/>
      <c r="G58" s="127"/>
      <c r="H58" s="127"/>
      <c r="I58" s="127"/>
      <c r="J58" s="127"/>
      <c r="K58" s="127"/>
      <c r="L58" s="127"/>
      <c r="M58" s="127"/>
      <c r="N58" s="127"/>
      <c r="O58" s="127"/>
      <c r="P58" s="127"/>
      <c r="Q58" s="127"/>
      <c r="R58" s="127"/>
      <c r="S58" s="127"/>
      <c r="T58" s="127"/>
      <c r="U58" s="127"/>
    </row>
    <row r="59" spans="1:21" ht="18" customHeight="1" x14ac:dyDescent="0.15">
      <c r="B59" s="109" t="s">
        <v>51</v>
      </c>
      <c r="C59" s="110"/>
      <c r="D59" s="110"/>
      <c r="E59" s="110"/>
      <c r="F59" s="111"/>
      <c r="G59" s="51" t="s">
        <v>77</v>
      </c>
      <c r="H59" s="50" t="s">
        <v>80</v>
      </c>
      <c r="I59" s="17" t="s">
        <v>56</v>
      </c>
      <c r="J59" s="17" t="s">
        <v>58</v>
      </c>
      <c r="K59" s="109" t="s">
        <v>51</v>
      </c>
      <c r="L59" s="110"/>
      <c r="M59" s="110"/>
      <c r="N59" s="110"/>
      <c r="O59" s="110"/>
      <c r="P59" s="110"/>
      <c r="Q59" s="111"/>
      <c r="R59" s="51" t="s">
        <v>77</v>
      </c>
      <c r="S59" s="50" t="s">
        <v>80</v>
      </c>
      <c r="T59" s="17" t="s">
        <v>56</v>
      </c>
      <c r="U59" s="17" t="s">
        <v>58</v>
      </c>
    </row>
    <row r="60" spans="1:21" ht="18" customHeight="1" x14ac:dyDescent="0.15">
      <c r="A60" s="3"/>
      <c r="B60" s="124" t="s">
        <v>140</v>
      </c>
      <c r="C60" s="125"/>
      <c r="D60" s="125"/>
      <c r="E60" s="125"/>
      <c r="F60" s="126"/>
      <c r="G60" s="18">
        <v>2</v>
      </c>
      <c r="H60" s="18" t="s">
        <v>142</v>
      </c>
      <c r="I60" s="18" t="s">
        <v>142</v>
      </c>
      <c r="J60" s="18" t="s">
        <v>142</v>
      </c>
      <c r="K60" s="124"/>
      <c r="L60" s="125"/>
      <c r="M60" s="125"/>
      <c r="N60" s="125"/>
      <c r="O60" s="125"/>
      <c r="P60" s="125"/>
      <c r="Q60" s="126"/>
      <c r="R60" s="18"/>
      <c r="S60" s="18"/>
      <c r="T60" s="18"/>
      <c r="U60" s="18"/>
    </row>
    <row r="61" spans="1:21" ht="18" customHeight="1" x14ac:dyDescent="0.15">
      <c r="A61" s="3"/>
      <c r="B61" s="118" t="s">
        <v>141</v>
      </c>
      <c r="C61" s="119"/>
      <c r="D61" s="119"/>
      <c r="E61" s="119"/>
      <c r="F61" s="120"/>
      <c r="G61" s="19">
        <v>2</v>
      </c>
      <c r="H61" s="19" t="s">
        <v>142</v>
      </c>
      <c r="I61" s="19" t="s">
        <v>142</v>
      </c>
      <c r="J61" s="19"/>
      <c r="K61" s="118"/>
      <c r="L61" s="119"/>
      <c r="M61" s="119"/>
      <c r="N61" s="119"/>
      <c r="O61" s="119"/>
      <c r="P61" s="119"/>
      <c r="Q61" s="120"/>
      <c r="R61" s="19"/>
      <c r="S61" s="19"/>
      <c r="T61" s="19"/>
      <c r="U61" s="19"/>
    </row>
    <row r="62" spans="1:21" ht="18" customHeight="1" x14ac:dyDescent="0.15">
      <c r="A62" s="3"/>
      <c r="B62" s="118"/>
      <c r="C62" s="119"/>
      <c r="D62" s="119"/>
      <c r="E62" s="119"/>
      <c r="F62" s="120"/>
      <c r="G62" s="19"/>
      <c r="H62" s="19"/>
      <c r="I62" s="19"/>
      <c r="J62" s="19"/>
      <c r="K62" s="118"/>
      <c r="L62" s="119"/>
      <c r="M62" s="119"/>
      <c r="N62" s="119"/>
      <c r="O62" s="119"/>
      <c r="P62" s="119"/>
      <c r="Q62" s="120"/>
      <c r="R62" s="19"/>
      <c r="S62" s="19"/>
      <c r="T62" s="19"/>
      <c r="U62" s="19"/>
    </row>
    <row r="63" spans="1:21" ht="18" customHeight="1" x14ac:dyDescent="0.15">
      <c r="A63" s="3"/>
      <c r="B63" s="118"/>
      <c r="C63" s="119"/>
      <c r="D63" s="119"/>
      <c r="E63" s="119"/>
      <c r="F63" s="120"/>
      <c r="G63" s="19"/>
      <c r="H63" s="19"/>
      <c r="I63" s="19"/>
      <c r="J63" s="19"/>
      <c r="K63" s="118"/>
      <c r="L63" s="119"/>
      <c r="M63" s="119"/>
      <c r="N63" s="119"/>
      <c r="O63" s="119"/>
      <c r="P63" s="119"/>
      <c r="Q63" s="120"/>
      <c r="R63" s="19"/>
      <c r="S63" s="19"/>
      <c r="T63" s="19"/>
      <c r="U63" s="19"/>
    </row>
    <row r="64" spans="1:21" ht="18" customHeight="1" x14ac:dyDescent="0.15">
      <c r="A64" s="3"/>
      <c r="B64" s="118"/>
      <c r="C64" s="119"/>
      <c r="D64" s="119"/>
      <c r="E64" s="119"/>
      <c r="F64" s="120"/>
      <c r="G64" s="19"/>
      <c r="H64" s="19"/>
      <c r="I64" s="19"/>
      <c r="J64" s="19"/>
      <c r="K64" s="118"/>
      <c r="L64" s="119"/>
      <c r="M64" s="119"/>
      <c r="N64" s="119"/>
      <c r="O64" s="119"/>
      <c r="P64" s="119"/>
      <c r="Q64" s="120"/>
      <c r="R64" s="19"/>
      <c r="S64" s="19"/>
      <c r="T64" s="19"/>
      <c r="U64" s="19"/>
    </row>
    <row r="65" spans="1:21" ht="18" customHeight="1" x14ac:dyDescent="0.15">
      <c r="A65" s="3"/>
      <c r="B65" s="118"/>
      <c r="C65" s="119"/>
      <c r="D65" s="119"/>
      <c r="E65" s="119"/>
      <c r="F65" s="120"/>
      <c r="G65" s="19"/>
      <c r="H65" s="19"/>
      <c r="I65" s="19"/>
      <c r="J65" s="19"/>
      <c r="K65" s="118"/>
      <c r="L65" s="119"/>
      <c r="M65" s="119"/>
      <c r="N65" s="119"/>
      <c r="O65" s="119"/>
      <c r="P65" s="119"/>
      <c r="Q65" s="120"/>
      <c r="R65" s="19"/>
      <c r="S65" s="19"/>
      <c r="T65" s="19"/>
      <c r="U65" s="19"/>
    </row>
    <row r="66" spans="1:21" ht="18" customHeight="1" x14ac:dyDescent="0.15">
      <c r="A66" s="3"/>
      <c r="B66" s="121"/>
      <c r="C66" s="122"/>
      <c r="D66" s="122"/>
      <c r="E66" s="122"/>
      <c r="F66" s="123"/>
      <c r="G66" s="20"/>
      <c r="H66" s="20"/>
      <c r="I66" s="21"/>
      <c r="J66" s="21"/>
      <c r="K66" s="121"/>
      <c r="L66" s="122"/>
      <c r="M66" s="122"/>
      <c r="N66" s="122"/>
      <c r="O66" s="122"/>
      <c r="P66" s="122"/>
      <c r="Q66" s="123"/>
      <c r="R66" s="20"/>
      <c r="S66" s="20"/>
      <c r="T66" s="21"/>
      <c r="U66" s="21"/>
    </row>
    <row r="67" spans="1:21" ht="7.5" customHeight="1" x14ac:dyDescent="0.15">
      <c r="B67" s="14"/>
      <c r="C67" s="14"/>
      <c r="D67" s="14"/>
      <c r="E67" s="14"/>
      <c r="F67" s="14"/>
      <c r="G67" s="14"/>
      <c r="H67" s="14"/>
      <c r="I67" s="14"/>
      <c r="J67" s="14"/>
      <c r="K67" s="14"/>
      <c r="L67" s="14"/>
      <c r="M67" s="14"/>
      <c r="N67" s="14"/>
      <c r="O67" s="14"/>
      <c r="P67" s="14"/>
      <c r="Q67" s="14"/>
      <c r="R67" s="14"/>
      <c r="S67" s="14"/>
      <c r="T67" s="14"/>
    </row>
    <row r="68" spans="1:21" ht="18" customHeight="1" x14ac:dyDescent="0.15">
      <c r="A68" s="127" t="s">
        <v>105</v>
      </c>
      <c r="B68" s="127"/>
      <c r="C68" s="127"/>
      <c r="D68" s="127"/>
      <c r="E68" s="127"/>
      <c r="F68" s="127"/>
      <c r="G68" s="127"/>
      <c r="H68" s="127"/>
      <c r="I68" s="127"/>
      <c r="J68" s="127"/>
      <c r="K68" s="127"/>
      <c r="L68" s="127"/>
      <c r="M68" s="127"/>
      <c r="N68" s="127"/>
      <c r="O68" s="127"/>
      <c r="P68" s="127"/>
      <c r="Q68" s="127"/>
      <c r="R68" s="127"/>
      <c r="S68" s="127"/>
      <c r="T68" s="127"/>
      <c r="U68" s="127"/>
    </row>
    <row r="69" spans="1:21" ht="18" customHeight="1" x14ac:dyDescent="0.15">
      <c r="A69" s="127"/>
      <c r="B69" s="127"/>
      <c r="C69" s="127"/>
      <c r="D69" s="127"/>
      <c r="E69" s="127"/>
      <c r="F69" s="127"/>
      <c r="G69" s="127"/>
      <c r="H69" s="127"/>
      <c r="I69" s="127"/>
      <c r="J69" s="127"/>
      <c r="K69" s="127"/>
      <c r="L69" s="127"/>
      <c r="M69" s="127"/>
      <c r="N69" s="127"/>
      <c r="O69" s="127"/>
      <c r="P69" s="127"/>
      <c r="Q69" s="127"/>
      <c r="R69" s="127"/>
      <c r="S69" s="127"/>
      <c r="T69" s="127"/>
      <c r="U69" s="127"/>
    </row>
    <row r="70" spans="1:21" ht="18" customHeight="1" x14ac:dyDescent="0.15">
      <c r="B70" s="109" t="s">
        <v>51</v>
      </c>
      <c r="C70" s="110"/>
      <c r="D70" s="110"/>
      <c r="E70" s="110"/>
      <c r="F70" s="51" t="s">
        <v>77</v>
      </c>
      <c r="G70" s="50" t="s">
        <v>80</v>
      </c>
      <c r="H70" s="17" t="s">
        <v>92</v>
      </c>
      <c r="I70" s="17" t="s">
        <v>72</v>
      </c>
      <c r="J70" s="17" t="s">
        <v>73</v>
      </c>
      <c r="K70" s="109" t="s">
        <v>51</v>
      </c>
      <c r="L70" s="110"/>
      <c r="M70" s="110"/>
      <c r="N70" s="110"/>
      <c r="O70" s="110"/>
      <c r="P70" s="111"/>
      <c r="Q70" s="51" t="s">
        <v>77</v>
      </c>
      <c r="R70" s="50" t="s">
        <v>80</v>
      </c>
      <c r="S70" s="17" t="s">
        <v>92</v>
      </c>
      <c r="T70" s="17" t="s">
        <v>72</v>
      </c>
      <c r="U70" s="17" t="s">
        <v>73</v>
      </c>
    </row>
    <row r="71" spans="1:21" ht="18" customHeight="1" x14ac:dyDescent="0.15">
      <c r="A71" s="3"/>
      <c r="B71" s="124" t="s">
        <v>140</v>
      </c>
      <c r="C71" s="125"/>
      <c r="D71" s="125"/>
      <c r="E71" s="125"/>
      <c r="F71" s="18">
        <v>2</v>
      </c>
      <c r="G71" s="18" t="s">
        <v>142</v>
      </c>
      <c r="H71" s="18" t="s">
        <v>142</v>
      </c>
      <c r="I71" s="18" t="s">
        <v>142</v>
      </c>
      <c r="J71" s="18" t="s">
        <v>143</v>
      </c>
      <c r="K71" s="124"/>
      <c r="L71" s="125"/>
      <c r="M71" s="125"/>
      <c r="N71" s="125"/>
      <c r="O71" s="125"/>
      <c r="P71" s="126"/>
      <c r="Q71" s="18"/>
      <c r="R71" s="18"/>
      <c r="S71" s="18"/>
      <c r="T71" s="18"/>
      <c r="U71" s="18"/>
    </row>
    <row r="72" spans="1:21" ht="18" customHeight="1" x14ac:dyDescent="0.15">
      <c r="A72" s="3"/>
      <c r="B72" s="118"/>
      <c r="C72" s="119"/>
      <c r="D72" s="119"/>
      <c r="E72" s="119"/>
      <c r="F72" s="19"/>
      <c r="G72" s="19"/>
      <c r="H72" s="19"/>
      <c r="I72" s="19"/>
      <c r="J72" s="19"/>
      <c r="K72" s="118"/>
      <c r="L72" s="119"/>
      <c r="M72" s="119"/>
      <c r="N72" s="119"/>
      <c r="O72" s="119"/>
      <c r="P72" s="120"/>
      <c r="Q72" s="19"/>
      <c r="R72" s="19"/>
      <c r="S72" s="19"/>
      <c r="T72" s="19"/>
      <c r="U72" s="19"/>
    </row>
    <row r="73" spans="1:21" ht="18" customHeight="1" x14ac:dyDescent="0.15">
      <c r="A73" s="3"/>
      <c r="B73" s="118"/>
      <c r="C73" s="119"/>
      <c r="D73" s="119"/>
      <c r="E73" s="119"/>
      <c r="F73" s="19"/>
      <c r="G73" s="19"/>
      <c r="H73" s="19"/>
      <c r="I73" s="19"/>
      <c r="J73" s="19"/>
      <c r="K73" s="118"/>
      <c r="L73" s="119"/>
      <c r="M73" s="119"/>
      <c r="N73" s="119"/>
      <c r="O73" s="119"/>
      <c r="P73" s="120"/>
      <c r="Q73" s="19"/>
      <c r="R73" s="19"/>
      <c r="S73" s="19"/>
      <c r="T73" s="19"/>
      <c r="U73" s="19"/>
    </row>
    <row r="74" spans="1:21" ht="18" customHeight="1" x14ac:dyDescent="0.15">
      <c r="A74" s="3"/>
      <c r="B74" s="118"/>
      <c r="C74" s="119"/>
      <c r="D74" s="119"/>
      <c r="E74" s="119"/>
      <c r="F74" s="19"/>
      <c r="G74" s="19"/>
      <c r="H74" s="19"/>
      <c r="I74" s="19"/>
      <c r="J74" s="19"/>
      <c r="K74" s="118"/>
      <c r="L74" s="119"/>
      <c r="M74" s="119"/>
      <c r="N74" s="119"/>
      <c r="O74" s="119"/>
      <c r="P74" s="120"/>
      <c r="Q74" s="19"/>
      <c r="R74" s="19"/>
      <c r="S74" s="19"/>
      <c r="T74" s="19"/>
      <c r="U74" s="19"/>
    </row>
    <row r="75" spans="1:21" ht="18" customHeight="1" x14ac:dyDescent="0.15">
      <c r="A75" s="3"/>
      <c r="B75" s="118"/>
      <c r="C75" s="119"/>
      <c r="D75" s="119"/>
      <c r="E75" s="119"/>
      <c r="F75" s="19"/>
      <c r="G75" s="19"/>
      <c r="H75" s="19"/>
      <c r="I75" s="19"/>
      <c r="J75" s="19"/>
      <c r="K75" s="118"/>
      <c r="L75" s="119"/>
      <c r="M75" s="119"/>
      <c r="N75" s="119"/>
      <c r="O75" s="119"/>
      <c r="P75" s="120"/>
      <c r="Q75" s="19"/>
      <c r="R75" s="19"/>
      <c r="S75" s="19"/>
      <c r="T75" s="19"/>
      <c r="U75" s="19"/>
    </row>
    <row r="76" spans="1:21" ht="18" customHeight="1" x14ac:dyDescent="0.15">
      <c r="A76" s="3"/>
      <c r="B76" s="118"/>
      <c r="C76" s="119"/>
      <c r="D76" s="119"/>
      <c r="E76" s="119"/>
      <c r="F76" s="19"/>
      <c r="G76" s="19"/>
      <c r="H76" s="19"/>
      <c r="I76" s="19"/>
      <c r="J76" s="19"/>
      <c r="K76" s="118"/>
      <c r="L76" s="119"/>
      <c r="M76" s="119"/>
      <c r="N76" s="119"/>
      <c r="O76" s="119"/>
      <c r="P76" s="120"/>
      <c r="Q76" s="19"/>
      <c r="R76" s="19"/>
      <c r="S76" s="19"/>
      <c r="T76" s="19"/>
      <c r="U76" s="19"/>
    </row>
    <row r="77" spans="1:21" ht="18" customHeight="1" x14ac:dyDescent="0.15">
      <c r="A77" s="3"/>
      <c r="B77" s="121"/>
      <c r="C77" s="122"/>
      <c r="D77" s="122"/>
      <c r="E77" s="122"/>
      <c r="F77" s="20"/>
      <c r="G77" s="20"/>
      <c r="H77" s="21"/>
      <c r="I77" s="21"/>
      <c r="J77" s="21"/>
      <c r="K77" s="121"/>
      <c r="L77" s="122"/>
      <c r="M77" s="122"/>
      <c r="N77" s="122"/>
      <c r="O77" s="122"/>
      <c r="P77" s="123"/>
      <c r="Q77" s="20"/>
      <c r="R77" s="20"/>
      <c r="S77" s="21"/>
      <c r="T77" s="21"/>
      <c r="U77" s="21"/>
    </row>
    <row r="78" spans="1:21" ht="7.5" customHeight="1" x14ac:dyDescent="0.15">
      <c r="B78" s="14"/>
      <c r="C78" s="14"/>
      <c r="D78" s="14"/>
      <c r="E78" s="14"/>
      <c r="F78" s="14"/>
      <c r="G78" s="14"/>
      <c r="H78" s="14"/>
      <c r="I78" s="14"/>
      <c r="J78" s="14"/>
      <c r="K78" s="14"/>
      <c r="L78" s="14"/>
      <c r="M78" s="14"/>
      <c r="N78" s="14"/>
      <c r="O78" s="14"/>
      <c r="P78" s="14"/>
      <c r="Q78" s="14"/>
      <c r="R78" s="14"/>
      <c r="S78" s="14"/>
      <c r="T78" s="14"/>
    </row>
    <row r="79" spans="1:21" ht="18" customHeight="1" x14ac:dyDescent="0.15">
      <c r="A79" s="1" t="s">
        <v>106</v>
      </c>
      <c r="I79" s="3"/>
      <c r="J79" s="3"/>
      <c r="K79" s="3"/>
      <c r="L79" s="3"/>
      <c r="M79" s="3"/>
      <c r="N79" s="3"/>
      <c r="O79" s="3"/>
      <c r="P79" s="3"/>
      <c r="Q79" s="3"/>
      <c r="R79" s="3"/>
      <c r="S79" s="3"/>
      <c r="T79" s="3"/>
      <c r="U79" s="3"/>
    </row>
    <row r="80" spans="1:21" ht="18" customHeight="1" x14ac:dyDescent="0.15">
      <c r="B80" s="109" t="s">
        <v>51</v>
      </c>
      <c r="C80" s="110"/>
      <c r="D80" s="110"/>
      <c r="E80" s="110"/>
      <c r="F80" s="111"/>
      <c r="G80" s="109" t="s">
        <v>78</v>
      </c>
      <c r="H80" s="110"/>
      <c r="I80" s="110"/>
      <c r="J80" s="111"/>
      <c r="K80" s="160" t="s">
        <v>51</v>
      </c>
      <c r="L80" s="161"/>
      <c r="M80" s="161"/>
      <c r="N80" s="161"/>
      <c r="O80" s="161"/>
      <c r="P80" s="161"/>
      <c r="Q80" s="162"/>
      <c r="R80" s="109" t="s">
        <v>78</v>
      </c>
      <c r="S80" s="110"/>
      <c r="T80" s="110"/>
      <c r="U80" s="111"/>
    </row>
    <row r="81" spans="1:21" ht="18" customHeight="1" x14ac:dyDescent="0.15">
      <c r="A81" s="3"/>
      <c r="B81" s="124" t="s">
        <v>141</v>
      </c>
      <c r="C81" s="125"/>
      <c r="D81" s="125"/>
      <c r="E81" s="125"/>
      <c r="F81" s="126"/>
      <c r="G81" s="163" t="s">
        <v>147</v>
      </c>
      <c r="H81" s="164"/>
      <c r="I81" s="164"/>
      <c r="J81" s="165"/>
      <c r="K81" s="124"/>
      <c r="L81" s="125"/>
      <c r="M81" s="125"/>
      <c r="N81" s="125"/>
      <c r="O81" s="125"/>
      <c r="P81" s="125"/>
      <c r="Q81" s="126"/>
      <c r="R81" s="163"/>
      <c r="S81" s="164"/>
      <c r="T81" s="164"/>
      <c r="U81" s="165"/>
    </row>
    <row r="82" spans="1:21" ht="18" customHeight="1" x14ac:dyDescent="0.15">
      <c r="A82" s="3"/>
      <c r="B82" s="118" t="s">
        <v>141</v>
      </c>
      <c r="C82" s="119"/>
      <c r="D82" s="119"/>
      <c r="E82" s="119"/>
      <c r="F82" s="120"/>
      <c r="G82" s="152" t="s">
        <v>146</v>
      </c>
      <c r="H82" s="153"/>
      <c r="I82" s="153"/>
      <c r="J82" s="154"/>
      <c r="K82" s="118"/>
      <c r="L82" s="119"/>
      <c r="M82" s="119"/>
      <c r="N82" s="119"/>
      <c r="O82" s="119"/>
      <c r="P82" s="119"/>
      <c r="Q82" s="120"/>
      <c r="R82" s="152"/>
      <c r="S82" s="153"/>
      <c r="T82" s="153"/>
      <c r="U82" s="154"/>
    </row>
    <row r="83" spans="1:21" ht="18" customHeight="1" x14ac:dyDescent="0.15">
      <c r="A83" s="3"/>
      <c r="B83" s="118" t="s">
        <v>141</v>
      </c>
      <c r="C83" s="119"/>
      <c r="D83" s="119"/>
      <c r="E83" s="119"/>
      <c r="F83" s="120"/>
      <c r="G83" s="152" t="s">
        <v>145</v>
      </c>
      <c r="H83" s="153"/>
      <c r="I83" s="153"/>
      <c r="J83" s="154"/>
      <c r="K83" s="118"/>
      <c r="L83" s="119"/>
      <c r="M83" s="119"/>
      <c r="N83" s="119"/>
      <c r="O83" s="119"/>
      <c r="P83" s="119"/>
      <c r="Q83" s="120"/>
      <c r="R83" s="152"/>
      <c r="S83" s="153"/>
      <c r="T83" s="153"/>
      <c r="U83" s="154"/>
    </row>
    <row r="84" spans="1:21" ht="18" customHeight="1" x14ac:dyDescent="0.15">
      <c r="A84" s="3"/>
      <c r="B84" s="118" t="s">
        <v>141</v>
      </c>
      <c r="C84" s="119"/>
      <c r="D84" s="119"/>
      <c r="E84" s="119"/>
      <c r="F84" s="120"/>
      <c r="G84" s="152" t="s">
        <v>144</v>
      </c>
      <c r="H84" s="153"/>
      <c r="I84" s="153"/>
      <c r="J84" s="154"/>
      <c r="K84" s="118"/>
      <c r="L84" s="119"/>
      <c r="M84" s="119"/>
      <c r="N84" s="119"/>
      <c r="O84" s="119"/>
      <c r="P84" s="119"/>
      <c r="Q84" s="120"/>
      <c r="R84" s="152"/>
      <c r="S84" s="153"/>
      <c r="T84" s="153"/>
      <c r="U84" s="154"/>
    </row>
    <row r="85" spans="1:21" ht="18" customHeight="1" x14ac:dyDescent="0.15">
      <c r="A85" s="3"/>
      <c r="B85" s="118"/>
      <c r="C85" s="119"/>
      <c r="D85" s="119"/>
      <c r="E85" s="119"/>
      <c r="F85" s="120"/>
      <c r="G85" s="152"/>
      <c r="H85" s="153"/>
      <c r="I85" s="153"/>
      <c r="J85" s="154"/>
      <c r="K85" s="118"/>
      <c r="L85" s="119"/>
      <c r="M85" s="119"/>
      <c r="N85" s="119"/>
      <c r="O85" s="119"/>
      <c r="P85" s="119"/>
      <c r="Q85" s="120"/>
      <c r="R85" s="152"/>
      <c r="S85" s="153"/>
      <c r="T85" s="153"/>
      <c r="U85" s="154"/>
    </row>
    <row r="86" spans="1:21" ht="18" customHeight="1" x14ac:dyDescent="0.15">
      <c r="A86" s="3"/>
      <c r="B86" s="118"/>
      <c r="C86" s="119"/>
      <c r="D86" s="119"/>
      <c r="E86" s="119"/>
      <c r="F86" s="120"/>
      <c r="G86" s="152"/>
      <c r="H86" s="153"/>
      <c r="I86" s="153"/>
      <c r="J86" s="154"/>
      <c r="K86" s="118"/>
      <c r="L86" s="119"/>
      <c r="M86" s="119"/>
      <c r="N86" s="119"/>
      <c r="O86" s="119"/>
      <c r="P86" s="119"/>
      <c r="Q86" s="120"/>
      <c r="R86" s="152"/>
      <c r="S86" s="153"/>
      <c r="T86" s="153"/>
      <c r="U86" s="154"/>
    </row>
    <row r="87" spans="1:21" ht="18" customHeight="1" x14ac:dyDescent="0.15">
      <c r="A87" s="3"/>
      <c r="B87" s="121"/>
      <c r="C87" s="122"/>
      <c r="D87" s="122"/>
      <c r="E87" s="122"/>
      <c r="F87" s="123"/>
      <c r="G87" s="149"/>
      <c r="H87" s="150"/>
      <c r="I87" s="150"/>
      <c r="J87" s="151"/>
      <c r="K87" s="121"/>
      <c r="L87" s="122"/>
      <c r="M87" s="122"/>
      <c r="N87" s="122"/>
      <c r="O87" s="122"/>
      <c r="P87" s="122"/>
      <c r="Q87" s="123"/>
      <c r="R87" s="149"/>
      <c r="S87" s="150"/>
      <c r="T87" s="150"/>
      <c r="U87" s="151"/>
    </row>
    <row r="88" spans="1:21" ht="18" customHeight="1" x14ac:dyDescent="0.15">
      <c r="A88" s="3"/>
      <c r="B88" s="6"/>
      <c r="C88" s="6"/>
      <c r="D88" s="6"/>
      <c r="E88" s="6"/>
      <c r="F88" s="6"/>
      <c r="G88" s="22"/>
      <c r="H88" s="22"/>
      <c r="I88" s="22"/>
      <c r="J88" s="22"/>
      <c r="K88" s="6"/>
      <c r="L88" s="6"/>
      <c r="M88" s="6"/>
      <c r="N88" s="6"/>
      <c r="O88" s="6"/>
      <c r="P88" s="6"/>
      <c r="Q88" s="6"/>
      <c r="R88" s="22"/>
      <c r="S88" s="22"/>
      <c r="T88" s="22"/>
      <c r="U88" s="22"/>
    </row>
    <row r="89" spans="1:21" ht="18.75" customHeight="1" x14ac:dyDescent="0.15">
      <c r="A89" s="1" t="s">
        <v>107</v>
      </c>
    </row>
    <row r="90" spans="1:21" ht="18.75" customHeight="1" x14ac:dyDescent="0.15">
      <c r="B90" s="158" t="s">
        <v>52</v>
      </c>
      <c r="C90" s="159"/>
      <c r="D90" s="109" t="s">
        <v>53</v>
      </c>
      <c r="E90" s="110"/>
      <c r="F90" s="110"/>
      <c r="G90" s="110"/>
      <c r="H90" s="110"/>
      <c r="I90" s="110"/>
      <c r="J90" s="110"/>
      <c r="K90" s="110"/>
      <c r="L90" s="110"/>
      <c r="M90" s="110"/>
      <c r="N90" s="110"/>
      <c r="O90" s="110"/>
      <c r="P90" s="110"/>
      <c r="Q90" s="110"/>
      <c r="R90" s="110"/>
      <c r="S90" s="110"/>
      <c r="T90" s="110"/>
      <c r="U90" s="111"/>
    </row>
    <row r="91" spans="1:21" ht="97.5" customHeight="1" x14ac:dyDescent="0.15">
      <c r="B91" s="155" t="s">
        <v>59</v>
      </c>
      <c r="C91" s="23" t="s">
        <v>54</v>
      </c>
      <c r="D91" s="97" t="s">
        <v>213</v>
      </c>
      <c r="E91" s="98"/>
      <c r="F91" s="98"/>
      <c r="G91" s="98"/>
      <c r="H91" s="98"/>
      <c r="I91" s="98"/>
      <c r="J91" s="98"/>
      <c r="K91" s="98"/>
      <c r="L91" s="98"/>
      <c r="M91" s="98"/>
      <c r="N91" s="98"/>
      <c r="O91" s="98"/>
      <c r="P91" s="98"/>
      <c r="Q91" s="98"/>
      <c r="R91" s="98"/>
      <c r="S91" s="98"/>
      <c r="T91" s="98"/>
      <c r="U91" s="99"/>
    </row>
    <row r="92" spans="1:21" ht="97.5" customHeight="1" x14ac:dyDescent="0.15">
      <c r="B92" s="156"/>
      <c r="C92" s="24" t="s">
        <v>74</v>
      </c>
      <c r="D92" s="94" t="s">
        <v>212</v>
      </c>
      <c r="E92" s="95"/>
      <c r="F92" s="95"/>
      <c r="G92" s="95"/>
      <c r="H92" s="95"/>
      <c r="I92" s="95"/>
      <c r="J92" s="95"/>
      <c r="K92" s="95"/>
      <c r="L92" s="95"/>
      <c r="M92" s="95"/>
      <c r="N92" s="95"/>
      <c r="O92" s="95"/>
      <c r="P92" s="95"/>
      <c r="Q92" s="95"/>
      <c r="R92" s="95"/>
      <c r="S92" s="95"/>
      <c r="T92" s="95"/>
      <c r="U92" s="96"/>
    </row>
    <row r="93" spans="1:21" ht="97.5" customHeight="1" x14ac:dyDescent="0.15">
      <c r="B93" s="155" t="s">
        <v>60</v>
      </c>
      <c r="C93" s="25" t="s">
        <v>68</v>
      </c>
      <c r="D93" s="97" t="s">
        <v>214</v>
      </c>
      <c r="E93" s="98"/>
      <c r="F93" s="98"/>
      <c r="G93" s="98"/>
      <c r="H93" s="98"/>
      <c r="I93" s="98"/>
      <c r="J93" s="98"/>
      <c r="K93" s="98"/>
      <c r="L93" s="98"/>
      <c r="M93" s="98"/>
      <c r="N93" s="98"/>
      <c r="O93" s="98"/>
      <c r="P93" s="98"/>
      <c r="Q93" s="98"/>
      <c r="R93" s="98"/>
      <c r="S93" s="98"/>
      <c r="T93" s="98"/>
      <c r="U93" s="99"/>
    </row>
    <row r="94" spans="1:21" ht="97.5" customHeight="1" x14ac:dyDescent="0.15">
      <c r="B94" s="157"/>
      <c r="C94" s="26" t="s">
        <v>69</v>
      </c>
      <c r="D94" s="94" t="s">
        <v>215</v>
      </c>
      <c r="E94" s="95"/>
      <c r="F94" s="95"/>
      <c r="G94" s="95"/>
      <c r="H94" s="95"/>
      <c r="I94" s="95"/>
      <c r="J94" s="95"/>
      <c r="K94" s="95"/>
      <c r="L94" s="95"/>
      <c r="M94" s="95"/>
      <c r="N94" s="95"/>
      <c r="O94" s="95"/>
      <c r="P94" s="95"/>
      <c r="Q94" s="95"/>
      <c r="R94" s="95"/>
      <c r="S94" s="95"/>
      <c r="T94" s="95"/>
      <c r="U94" s="96"/>
    </row>
    <row r="95" spans="1:21" ht="97.5" customHeight="1" x14ac:dyDescent="0.15">
      <c r="B95" s="155" t="s">
        <v>61</v>
      </c>
      <c r="C95" s="25" t="s">
        <v>70</v>
      </c>
      <c r="D95" s="97" t="s">
        <v>216</v>
      </c>
      <c r="E95" s="98"/>
      <c r="F95" s="98"/>
      <c r="G95" s="98"/>
      <c r="H95" s="98"/>
      <c r="I95" s="98"/>
      <c r="J95" s="98"/>
      <c r="K95" s="98"/>
      <c r="L95" s="98"/>
      <c r="M95" s="98"/>
      <c r="N95" s="98"/>
      <c r="O95" s="98"/>
      <c r="P95" s="98"/>
      <c r="Q95" s="98"/>
      <c r="R95" s="98"/>
      <c r="S95" s="98"/>
      <c r="T95" s="98"/>
      <c r="U95" s="99"/>
    </row>
    <row r="96" spans="1:21" ht="97.5" customHeight="1" x14ac:dyDescent="0.15">
      <c r="B96" s="157"/>
      <c r="C96" s="27" t="s">
        <v>71</v>
      </c>
      <c r="D96" s="94" t="s">
        <v>217</v>
      </c>
      <c r="E96" s="95"/>
      <c r="F96" s="95"/>
      <c r="G96" s="95"/>
      <c r="H96" s="95"/>
      <c r="I96" s="95"/>
      <c r="J96" s="95"/>
      <c r="K96" s="95"/>
      <c r="L96" s="95"/>
      <c r="M96" s="95"/>
      <c r="N96" s="95"/>
      <c r="O96" s="95"/>
      <c r="P96" s="95"/>
      <c r="Q96" s="95"/>
      <c r="R96" s="95"/>
      <c r="S96" s="95"/>
      <c r="T96" s="95"/>
      <c r="U96" s="96"/>
    </row>
    <row r="97" spans="1:33" ht="97.5" customHeight="1" x14ac:dyDescent="0.15">
      <c r="B97" s="155" t="s">
        <v>75</v>
      </c>
      <c r="C97" s="23" t="s">
        <v>56</v>
      </c>
      <c r="D97" s="97" t="s">
        <v>218</v>
      </c>
      <c r="E97" s="98"/>
      <c r="F97" s="98"/>
      <c r="G97" s="98"/>
      <c r="H97" s="98"/>
      <c r="I97" s="98"/>
      <c r="J97" s="98"/>
      <c r="K97" s="98"/>
      <c r="L97" s="98"/>
      <c r="M97" s="98"/>
      <c r="N97" s="98"/>
      <c r="O97" s="98"/>
      <c r="P97" s="98"/>
      <c r="Q97" s="98"/>
      <c r="R97" s="98"/>
      <c r="S97" s="98"/>
      <c r="T97" s="98"/>
      <c r="U97" s="99"/>
    </row>
    <row r="98" spans="1:33" ht="97.5" customHeight="1" x14ac:dyDescent="0.15">
      <c r="B98" s="157"/>
      <c r="C98" s="26" t="s">
        <v>58</v>
      </c>
      <c r="D98" s="94" t="s">
        <v>219</v>
      </c>
      <c r="E98" s="95"/>
      <c r="F98" s="95"/>
      <c r="G98" s="95"/>
      <c r="H98" s="95"/>
      <c r="I98" s="95"/>
      <c r="J98" s="95"/>
      <c r="K98" s="95"/>
      <c r="L98" s="95"/>
      <c r="M98" s="95"/>
      <c r="N98" s="95"/>
      <c r="O98" s="95"/>
      <c r="P98" s="95"/>
      <c r="Q98" s="95"/>
      <c r="R98" s="95"/>
      <c r="S98" s="95"/>
      <c r="T98" s="95"/>
      <c r="U98" s="96"/>
    </row>
    <row r="99" spans="1:33" ht="97.5" customHeight="1" x14ac:dyDescent="0.15">
      <c r="B99" s="155" t="s">
        <v>76</v>
      </c>
      <c r="C99" s="25" t="s">
        <v>55</v>
      </c>
      <c r="D99" s="97" t="s">
        <v>220</v>
      </c>
      <c r="E99" s="98"/>
      <c r="F99" s="98"/>
      <c r="G99" s="98"/>
      <c r="H99" s="98"/>
      <c r="I99" s="98"/>
      <c r="J99" s="98"/>
      <c r="K99" s="98"/>
      <c r="L99" s="98"/>
      <c r="M99" s="98"/>
      <c r="N99" s="98"/>
      <c r="O99" s="98"/>
      <c r="P99" s="98"/>
      <c r="Q99" s="98"/>
      <c r="R99" s="98"/>
      <c r="S99" s="98"/>
      <c r="T99" s="98"/>
      <c r="U99" s="99"/>
    </row>
    <row r="100" spans="1:33" ht="97.5" customHeight="1" x14ac:dyDescent="0.15">
      <c r="B100" s="156"/>
      <c r="C100" s="28" t="s">
        <v>72</v>
      </c>
      <c r="D100" s="100" t="s">
        <v>221</v>
      </c>
      <c r="E100" s="101"/>
      <c r="F100" s="101"/>
      <c r="G100" s="101"/>
      <c r="H100" s="101"/>
      <c r="I100" s="101"/>
      <c r="J100" s="101"/>
      <c r="K100" s="101"/>
      <c r="L100" s="101"/>
      <c r="M100" s="101"/>
      <c r="N100" s="101"/>
      <c r="O100" s="101"/>
      <c r="P100" s="101"/>
      <c r="Q100" s="101"/>
      <c r="R100" s="101"/>
      <c r="S100" s="101"/>
      <c r="T100" s="101"/>
      <c r="U100" s="102"/>
    </row>
    <row r="101" spans="1:33" ht="97.5" customHeight="1" x14ac:dyDescent="0.15">
      <c r="B101" s="157"/>
      <c r="C101" s="27" t="s">
        <v>73</v>
      </c>
      <c r="D101" s="94" t="s">
        <v>222</v>
      </c>
      <c r="E101" s="95"/>
      <c r="F101" s="95"/>
      <c r="G101" s="95"/>
      <c r="H101" s="95"/>
      <c r="I101" s="95"/>
      <c r="J101" s="95"/>
      <c r="K101" s="95"/>
      <c r="L101" s="95"/>
      <c r="M101" s="95"/>
      <c r="N101" s="95"/>
      <c r="O101" s="95"/>
      <c r="P101" s="95"/>
      <c r="Q101" s="95"/>
      <c r="R101" s="95"/>
      <c r="S101" s="95"/>
      <c r="T101" s="95"/>
      <c r="U101" s="96"/>
    </row>
    <row r="102" spans="1:33" ht="6" customHeight="1" x14ac:dyDescent="0.15"/>
    <row r="103" spans="1:33" ht="18.75" customHeight="1" x14ac:dyDescent="0.15">
      <c r="A103" s="1" t="s">
        <v>108</v>
      </c>
    </row>
    <row r="104" spans="1:33" ht="81.75" customHeight="1" x14ac:dyDescent="0.15">
      <c r="B104" s="146" t="s">
        <v>148</v>
      </c>
      <c r="C104" s="147"/>
      <c r="D104" s="147"/>
      <c r="E104" s="147"/>
      <c r="F104" s="147"/>
      <c r="G104" s="147"/>
      <c r="H104" s="147"/>
      <c r="I104" s="147"/>
      <c r="J104" s="147"/>
      <c r="K104" s="147"/>
      <c r="L104" s="147"/>
      <c r="M104" s="147"/>
      <c r="N104" s="147"/>
      <c r="O104" s="147"/>
      <c r="P104" s="147"/>
      <c r="Q104" s="147"/>
      <c r="R104" s="147"/>
      <c r="S104" s="147"/>
      <c r="T104" s="147"/>
      <c r="U104" s="148"/>
    </row>
    <row r="106" spans="1:33" ht="18.75" customHeight="1" x14ac:dyDescent="0.15">
      <c r="A106" s="78" t="s">
        <v>124</v>
      </c>
      <c r="B106" s="79"/>
      <c r="C106" s="79"/>
      <c r="D106" s="79"/>
      <c r="E106" s="79"/>
      <c r="F106" s="79"/>
      <c r="G106" s="79"/>
      <c r="H106" s="79"/>
      <c r="I106" s="79"/>
      <c r="J106" s="79"/>
      <c r="K106" s="79"/>
      <c r="L106" s="79"/>
      <c r="M106" s="79"/>
      <c r="N106" s="79"/>
      <c r="O106" s="79"/>
      <c r="P106" s="79"/>
      <c r="Q106" s="79"/>
      <c r="R106" s="79"/>
      <c r="S106" s="79"/>
      <c r="T106" s="79"/>
      <c r="U106" s="79"/>
    </row>
    <row r="107" spans="1:33" ht="18.75" customHeight="1" x14ac:dyDescent="0.15">
      <c r="A107" s="78" t="s">
        <v>126</v>
      </c>
      <c r="B107" s="78"/>
      <c r="C107" s="78"/>
      <c r="D107" s="78"/>
      <c r="E107" s="78"/>
      <c r="F107" s="78"/>
      <c r="G107" s="78"/>
      <c r="H107" s="78"/>
      <c r="I107" s="78"/>
      <c r="J107" s="78"/>
      <c r="K107" s="78"/>
      <c r="L107" s="78"/>
      <c r="M107" s="78"/>
      <c r="N107" s="78"/>
      <c r="O107" s="78"/>
      <c r="P107" s="78"/>
      <c r="Q107" s="78"/>
      <c r="R107" s="78"/>
      <c r="S107" s="78"/>
      <c r="T107" s="78"/>
      <c r="U107" s="78"/>
      <c r="V107" s="2"/>
      <c r="W107" s="2"/>
      <c r="X107" s="2"/>
      <c r="Y107" s="2"/>
      <c r="Z107" s="2"/>
      <c r="AA107" s="2"/>
      <c r="AB107" s="2"/>
      <c r="AC107" s="2"/>
      <c r="AD107" s="2"/>
      <c r="AE107" s="2"/>
      <c r="AF107" s="2"/>
      <c r="AG107" s="2"/>
    </row>
    <row r="108" spans="1:33" ht="18.75" customHeight="1" x14ac:dyDescent="0.15">
      <c r="A108" s="78"/>
      <c r="B108" s="93" t="s">
        <v>130</v>
      </c>
      <c r="C108" s="93"/>
      <c r="D108" s="93"/>
      <c r="E108" s="93"/>
      <c r="F108" s="93"/>
      <c r="G108" s="93"/>
      <c r="H108" s="93"/>
      <c r="I108" s="93"/>
      <c r="J108" s="93"/>
      <c r="K108" s="93"/>
      <c r="L108" s="93"/>
      <c r="M108" s="93"/>
      <c r="N108" s="93"/>
      <c r="O108" s="93"/>
      <c r="P108" s="93"/>
      <c r="Q108" s="93"/>
      <c r="R108" s="93"/>
      <c r="S108" s="93"/>
      <c r="T108" s="93"/>
      <c r="U108" s="93"/>
      <c r="V108" s="71"/>
      <c r="W108" s="71"/>
      <c r="X108" s="71"/>
      <c r="Y108" s="71"/>
      <c r="Z108" s="71"/>
      <c r="AA108" s="71"/>
      <c r="AB108" s="71"/>
      <c r="AC108" s="71"/>
      <c r="AD108" s="71"/>
      <c r="AE108" s="71"/>
      <c r="AF108" s="71"/>
      <c r="AG108" s="71"/>
    </row>
    <row r="109" spans="1:33" ht="37.15" customHeight="1" x14ac:dyDescent="0.15">
      <c r="A109" s="78"/>
      <c r="B109" s="93"/>
      <c r="C109" s="93"/>
      <c r="D109" s="93"/>
      <c r="E109" s="93"/>
      <c r="F109" s="93"/>
      <c r="G109" s="93"/>
      <c r="H109" s="93"/>
      <c r="I109" s="93"/>
      <c r="J109" s="93"/>
      <c r="K109" s="93"/>
      <c r="L109" s="93"/>
      <c r="M109" s="93"/>
      <c r="N109" s="93"/>
      <c r="O109" s="93"/>
      <c r="P109" s="93"/>
      <c r="Q109" s="93"/>
      <c r="R109" s="93"/>
      <c r="S109" s="93"/>
      <c r="T109" s="93"/>
      <c r="U109" s="93"/>
      <c r="V109" s="71"/>
      <c r="W109" s="71"/>
      <c r="X109" s="71"/>
      <c r="Y109" s="71"/>
      <c r="Z109" s="71"/>
      <c r="AA109" s="71"/>
      <c r="AB109" s="71"/>
      <c r="AC109" s="71"/>
      <c r="AD109" s="71"/>
      <c r="AE109" s="71"/>
      <c r="AF109" s="71"/>
      <c r="AG109" s="71"/>
    </row>
    <row r="110" spans="1:33" ht="18.75" customHeight="1" x14ac:dyDescent="0.15">
      <c r="A110" s="78"/>
      <c r="B110" s="166" t="s">
        <v>125</v>
      </c>
      <c r="C110" s="166"/>
      <c r="D110" s="166"/>
      <c r="E110" s="166"/>
      <c r="F110" s="166"/>
      <c r="G110" s="166"/>
      <c r="H110" s="166"/>
      <c r="I110" s="166"/>
      <c r="J110" s="166"/>
      <c r="K110" s="166"/>
      <c r="L110" s="166"/>
      <c r="M110" s="166"/>
      <c r="N110" s="166"/>
      <c r="O110" s="166"/>
      <c r="P110" s="166"/>
      <c r="Q110" s="166"/>
      <c r="R110" s="166"/>
      <c r="S110" s="166"/>
      <c r="T110" s="166"/>
      <c r="U110" s="166"/>
      <c r="V110" s="71"/>
      <c r="W110" s="71"/>
      <c r="X110" s="71"/>
      <c r="Y110" s="71"/>
      <c r="Z110" s="71"/>
      <c r="AA110" s="71"/>
      <c r="AB110" s="71"/>
      <c r="AC110" s="71"/>
      <c r="AD110" s="71"/>
      <c r="AE110" s="71"/>
      <c r="AF110" s="71"/>
      <c r="AG110" s="71"/>
    </row>
    <row r="111" spans="1:33" ht="18.75" customHeight="1" x14ac:dyDescent="0.15">
      <c r="A111" s="78"/>
      <c r="B111" s="167" t="s">
        <v>53</v>
      </c>
      <c r="C111" s="167"/>
      <c r="D111" s="167"/>
      <c r="E111" s="167"/>
      <c r="F111" s="167"/>
      <c r="G111" s="167"/>
      <c r="H111" s="167"/>
      <c r="I111" s="167"/>
      <c r="J111" s="167"/>
      <c r="K111" s="167"/>
      <c r="L111" s="167"/>
      <c r="M111" s="167"/>
      <c r="N111" s="167"/>
      <c r="O111" s="167"/>
      <c r="P111" s="167"/>
      <c r="Q111" s="167"/>
      <c r="R111" s="167"/>
      <c r="S111" s="167"/>
      <c r="T111" s="167"/>
      <c r="U111" s="167"/>
      <c r="V111" s="70"/>
      <c r="W111" s="70"/>
      <c r="X111" s="70"/>
      <c r="Y111" s="70"/>
      <c r="Z111" s="70"/>
      <c r="AA111" s="70"/>
      <c r="AB111" s="70"/>
      <c r="AC111" s="70"/>
      <c r="AD111" s="70"/>
      <c r="AE111" s="70"/>
      <c r="AF111" s="70"/>
      <c r="AG111" s="70"/>
    </row>
    <row r="112" spans="1:33" ht="132" customHeight="1" x14ac:dyDescent="0.15">
      <c r="A112" s="78"/>
      <c r="B112" s="168" t="s">
        <v>149</v>
      </c>
      <c r="C112" s="168"/>
      <c r="D112" s="168"/>
      <c r="E112" s="168"/>
      <c r="F112" s="168"/>
      <c r="G112" s="168"/>
      <c r="H112" s="168"/>
      <c r="I112" s="168"/>
      <c r="J112" s="168"/>
      <c r="K112" s="168"/>
      <c r="L112" s="168"/>
      <c r="M112" s="168"/>
      <c r="N112" s="168"/>
      <c r="O112" s="168"/>
      <c r="P112" s="168"/>
      <c r="Q112" s="168"/>
      <c r="R112" s="168"/>
      <c r="S112" s="168"/>
      <c r="T112" s="168"/>
      <c r="U112" s="168"/>
      <c r="V112" s="72"/>
      <c r="W112" s="72"/>
      <c r="X112" s="72"/>
      <c r="Y112" s="72"/>
      <c r="Z112" s="72"/>
      <c r="AA112" s="72"/>
      <c r="AB112" s="72"/>
      <c r="AC112" s="72"/>
      <c r="AD112" s="72"/>
      <c r="AE112" s="72"/>
      <c r="AF112" s="72"/>
      <c r="AG112" s="72"/>
    </row>
    <row r="114" ht="18" customHeight="1" x14ac:dyDescent="0.15"/>
  </sheetData>
  <mergeCells count="148">
    <mergeCell ref="B110:U110"/>
    <mergeCell ref="R83:U83"/>
    <mergeCell ref="K70:P70"/>
    <mergeCell ref="B65:F65"/>
    <mergeCell ref="B66:F66"/>
    <mergeCell ref="B111:U111"/>
    <mergeCell ref="B112:U112"/>
    <mergeCell ref="K39:Q39"/>
    <mergeCell ref="K40:Q40"/>
    <mergeCell ref="K59:Q59"/>
    <mergeCell ref="K60:Q60"/>
    <mergeCell ref="B73:E73"/>
    <mergeCell ref="B74:E74"/>
    <mergeCell ref="B40:F40"/>
    <mergeCell ref="B41:F41"/>
    <mergeCell ref="B42:F42"/>
    <mergeCell ref="B43:F43"/>
    <mergeCell ref="B44:F44"/>
    <mergeCell ref="K49:Q49"/>
    <mergeCell ref="K50:Q50"/>
    <mergeCell ref="K51:Q51"/>
    <mergeCell ref="K52:Q52"/>
    <mergeCell ref="K53:Q53"/>
    <mergeCell ref="K54:Q54"/>
    <mergeCell ref="K77:P77"/>
    <mergeCell ref="A68:U69"/>
    <mergeCell ref="K81:Q81"/>
    <mergeCell ref="R81:U81"/>
    <mergeCell ref="R80:U80"/>
    <mergeCell ref="B81:F81"/>
    <mergeCell ref="K61:Q61"/>
    <mergeCell ref="B80:F80"/>
    <mergeCell ref="G81:J81"/>
    <mergeCell ref="B93:B94"/>
    <mergeCell ref="R84:U84"/>
    <mergeCell ref="G80:J80"/>
    <mergeCell ref="K80:Q80"/>
    <mergeCell ref="B71:E71"/>
    <mergeCell ref="B72:E72"/>
    <mergeCell ref="K55:Q55"/>
    <mergeCell ref="B95:B96"/>
    <mergeCell ref="B91:B92"/>
    <mergeCell ref="K71:P71"/>
    <mergeCell ref="K72:P72"/>
    <mergeCell ref="K73:P73"/>
    <mergeCell ref="B84:F84"/>
    <mergeCell ref="G83:J83"/>
    <mergeCell ref="G84:J84"/>
    <mergeCell ref="K83:Q83"/>
    <mergeCell ref="K84:Q84"/>
    <mergeCell ref="B75:E75"/>
    <mergeCell ref="B76:E76"/>
    <mergeCell ref="B77:E77"/>
    <mergeCell ref="K74:P74"/>
    <mergeCell ref="K75:P75"/>
    <mergeCell ref="K76:P76"/>
    <mergeCell ref="A57:U58"/>
    <mergeCell ref="A5:U5"/>
    <mergeCell ref="B15:U20"/>
    <mergeCell ref="A24:U25"/>
    <mergeCell ref="K87:Q87"/>
    <mergeCell ref="B104:U104"/>
    <mergeCell ref="R87:U87"/>
    <mergeCell ref="B82:F82"/>
    <mergeCell ref="G82:J82"/>
    <mergeCell ref="K82:Q82"/>
    <mergeCell ref="R82:U82"/>
    <mergeCell ref="B85:F85"/>
    <mergeCell ref="G85:J85"/>
    <mergeCell ref="K85:Q85"/>
    <mergeCell ref="R85:U85"/>
    <mergeCell ref="B83:F83"/>
    <mergeCell ref="B86:F86"/>
    <mergeCell ref="G86:J86"/>
    <mergeCell ref="K86:Q86"/>
    <mergeCell ref="R86:U86"/>
    <mergeCell ref="B87:F87"/>
    <mergeCell ref="G87:J87"/>
    <mergeCell ref="B99:B101"/>
    <mergeCell ref="B97:B98"/>
    <mergeCell ref="B90:C90"/>
    <mergeCell ref="A35:U36"/>
    <mergeCell ref="B37:F37"/>
    <mergeCell ref="B38:F38"/>
    <mergeCell ref="B39:F39"/>
    <mergeCell ref="B59:F59"/>
    <mergeCell ref="T1:U1"/>
    <mergeCell ref="B26:F26"/>
    <mergeCell ref="B27:F27"/>
    <mergeCell ref="B28:F28"/>
    <mergeCell ref="B29:F29"/>
    <mergeCell ref="B30:F30"/>
    <mergeCell ref="B31:F31"/>
    <mergeCell ref="B32:F32"/>
    <mergeCell ref="B33:F33"/>
    <mergeCell ref="K26:Q26"/>
    <mergeCell ref="K27:Q27"/>
    <mergeCell ref="K28:Q28"/>
    <mergeCell ref="K29:Q29"/>
    <mergeCell ref="K30:Q30"/>
    <mergeCell ref="K31:Q31"/>
    <mergeCell ref="K32:Q32"/>
    <mergeCell ref="K33:Q33"/>
    <mergeCell ref="C2:J2"/>
    <mergeCell ref="C3:J3"/>
    <mergeCell ref="K37:Q37"/>
    <mergeCell ref="B62:F62"/>
    <mergeCell ref="B63:F63"/>
    <mergeCell ref="B64:F64"/>
    <mergeCell ref="K48:Q48"/>
    <mergeCell ref="B51:F51"/>
    <mergeCell ref="K38:Q38"/>
    <mergeCell ref="B52:F52"/>
    <mergeCell ref="B53:F53"/>
    <mergeCell ref="B54:F54"/>
    <mergeCell ref="B55:F55"/>
    <mergeCell ref="K42:Q42"/>
    <mergeCell ref="K43:Q43"/>
    <mergeCell ref="K44:Q44"/>
    <mergeCell ref="A46:U47"/>
    <mergeCell ref="K41:Q41"/>
    <mergeCell ref="B48:F48"/>
    <mergeCell ref="B49:F49"/>
    <mergeCell ref="B50:F50"/>
    <mergeCell ref="B108:U109"/>
    <mergeCell ref="D98:U98"/>
    <mergeCell ref="D99:U99"/>
    <mergeCell ref="D100:U100"/>
    <mergeCell ref="D101:U101"/>
    <mergeCell ref="N22:U22"/>
    <mergeCell ref="L7:U7"/>
    <mergeCell ref="D90:U90"/>
    <mergeCell ref="D91:U91"/>
    <mergeCell ref="D92:U92"/>
    <mergeCell ref="D93:U93"/>
    <mergeCell ref="D94:U94"/>
    <mergeCell ref="D95:U95"/>
    <mergeCell ref="D96:U96"/>
    <mergeCell ref="D97:U97"/>
    <mergeCell ref="B11:U12"/>
    <mergeCell ref="K62:Q62"/>
    <mergeCell ref="K63:Q63"/>
    <mergeCell ref="K64:Q64"/>
    <mergeCell ref="K65:Q65"/>
    <mergeCell ref="K66:Q66"/>
    <mergeCell ref="B70:E70"/>
    <mergeCell ref="B60:F60"/>
    <mergeCell ref="B61:F61"/>
  </mergeCells>
  <phoneticPr fontId="1"/>
  <conditionalFormatting sqref="B11:U12">
    <cfRule type="expression" dxfId="5" priority="1">
      <formula>$L$7="学部・学科によって、修了要件は相違しない"</formula>
    </cfRule>
    <cfRule type="expression" dxfId="4" priority="2">
      <formula>$L$9="学部・学科によって、修了要件は相違しない"</formula>
    </cfRule>
  </conditionalFormatting>
  <dataValidations count="5">
    <dataValidation type="list" allowBlank="1" showInputMessage="1" showErrorMessage="1" sqref="H27:J33 S27:U33 H38:J44 S38:U44 H49:J55 S49:U55 H60:J66 S60:U66 G71:J77 R71:U77">
      <formula1>"○"</formula1>
    </dataValidation>
    <dataValidation type="list" allowBlank="1" showInputMessage="1" showErrorMessage="1" sqref="U34 U45 E34:H34 E45:H45">
      <formula1>"全学開講,一部開講"</formula1>
    </dataValidation>
    <dataValidation type="list" allowBlank="1" showInputMessage="1" showErrorMessage="1" sqref="L14 L7:U7">
      <formula1>"学部・学科によって、修了要件は相違する,学部・学科によって、修了要件は相違しない"</formula1>
    </dataValidation>
    <dataValidation type="list" allowBlank="1" showInputMessage="1" showErrorMessage="1" sqref="G81:G88 R81:R88 H81:J82 H85:J88 S85:U88 S81:U82">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N22:U22">
      <formula1>$X$16:$X$18</formula1>
    </dataValidation>
  </dataValidations>
  <printOptions horizontalCentered="1"/>
  <pageMargins left="0.78740157480314965" right="0.78740157480314965" top="0.78740157480314965" bottom="0.19685039370078741" header="0.31496062992125984" footer="0.19685039370078741"/>
  <pageSetup paperSize="9" scale="68" fitToHeight="0" orientation="portrait" r:id="rId1"/>
  <headerFooter>
    <oddHeader>&amp;C数理・データサイエンス・AI教育プログラム認定制度【リテラシーレベル】令和６年度申請用</oddHeader>
  </headerFooter>
  <rowBreaks count="2" manualBreakCount="2">
    <brk id="67" max="20" man="1"/>
    <brk id="96" max="20"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G114"/>
  <sheetViews>
    <sheetView showZeros="0" view="pageBreakPreview" zoomScaleNormal="100" zoomScaleSheetLayoutView="100" workbookViewId="0"/>
  </sheetViews>
  <sheetFormatPr defaultColWidth="9" defaultRowHeight="18.75" customHeight="1" x14ac:dyDescent="0.15"/>
  <cols>
    <col min="1" max="1" width="2.5" style="77" customWidth="1"/>
    <col min="2" max="2" width="16.5" style="77" customWidth="1"/>
    <col min="3" max="21" width="5.625" style="77" customWidth="1"/>
    <col min="22" max="22" width="9" style="77"/>
    <col min="23" max="23" width="3.625" style="77" customWidth="1"/>
    <col min="24" max="24" width="48.625" style="77" hidden="1" customWidth="1"/>
    <col min="25" max="16384" width="9" style="77"/>
  </cols>
  <sheetData>
    <row r="1" spans="1:24" ht="18.600000000000001" customHeight="1" x14ac:dyDescent="0.15">
      <c r="A1" s="80"/>
      <c r="B1" s="80"/>
      <c r="C1" s="80"/>
      <c r="D1" s="80"/>
      <c r="E1" s="80"/>
      <c r="F1" s="80"/>
      <c r="G1" s="80"/>
      <c r="H1" s="80"/>
      <c r="I1" s="80"/>
      <c r="J1" s="80"/>
      <c r="K1" s="80"/>
      <c r="L1" s="80"/>
      <c r="M1" s="80"/>
      <c r="N1" s="80"/>
      <c r="O1" s="80"/>
      <c r="P1" s="80"/>
      <c r="Q1" s="80"/>
      <c r="R1" s="80"/>
      <c r="S1" s="80"/>
      <c r="T1" s="128" t="s">
        <v>168</v>
      </c>
      <c r="U1" s="128"/>
      <c r="V1" s="2" t="s">
        <v>99</v>
      </c>
    </row>
    <row r="2" spans="1:24" ht="18.75" customHeight="1" x14ac:dyDescent="0.15">
      <c r="A2" s="80"/>
      <c r="B2" s="91" t="s">
        <v>98</v>
      </c>
      <c r="C2" s="129" t="s">
        <v>136</v>
      </c>
      <c r="D2" s="130"/>
      <c r="E2" s="130"/>
      <c r="F2" s="130"/>
      <c r="G2" s="130"/>
      <c r="H2" s="130"/>
      <c r="I2" s="130"/>
      <c r="J2" s="131"/>
      <c r="K2" s="82"/>
      <c r="L2" s="83"/>
      <c r="M2" s="83"/>
      <c r="N2" s="83"/>
      <c r="O2" s="83"/>
      <c r="P2" s="83"/>
      <c r="Q2" s="83"/>
      <c r="R2" s="83"/>
      <c r="S2" s="83"/>
      <c r="T2" s="83"/>
      <c r="U2" s="83"/>
    </row>
    <row r="3" spans="1:24" ht="18.75" customHeight="1" x14ac:dyDescent="0.15">
      <c r="A3" s="80"/>
      <c r="B3" s="91" t="s">
        <v>93</v>
      </c>
      <c r="C3" s="132" t="s">
        <v>137</v>
      </c>
      <c r="D3" s="133"/>
      <c r="E3" s="133"/>
      <c r="F3" s="133"/>
      <c r="G3" s="133"/>
      <c r="H3" s="133"/>
      <c r="I3" s="133"/>
      <c r="J3" s="134"/>
      <c r="K3" s="82"/>
      <c r="L3" s="83"/>
      <c r="M3" s="83"/>
      <c r="N3" s="83"/>
      <c r="O3" s="83"/>
      <c r="P3" s="83"/>
      <c r="Q3" s="83"/>
      <c r="R3" s="83"/>
      <c r="S3" s="83"/>
      <c r="T3" s="83"/>
      <c r="U3" s="83"/>
    </row>
    <row r="4" spans="1:24" ht="15" customHeight="1" x14ac:dyDescent="0.15">
      <c r="A4" s="80"/>
      <c r="B4" s="80"/>
      <c r="C4" s="80"/>
      <c r="D4" s="80"/>
      <c r="E4" s="80"/>
      <c r="F4" s="80"/>
      <c r="G4" s="80"/>
      <c r="H4" s="80"/>
      <c r="I4" s="80"/>
      <c r="J4" s="80"/>
      <c r="K4" s="80"/>
      <c r="L4" s="82"/>
      <c r="M4" s="84"/>
      <c r="N4" s="84"/>
      <c r="O4" s="84"/>
      <c r="P4" s="84"/>
      <c r="Q4" s="84"/>
      <c r="R4" s="84"/>
      <c r="S4" s="84"/>
      <c r="T4" s="84"/>
      <c r="U4" s="84"/>
    </row>
    <row r="5" spans="1:24" ht="18" customHeight="1" x14ac:dyDescent="0.15">
      <c r="A5" s="135" t="s">
        <v>37</v>
      </c>
      <c r="B5" s="135"/>
      <c r="C5" s="135"/>
      <c r="D5" s="135"/>
      <c r="E5" s="135"/>
      <c r="F5" s="135"/>
      <c r="G5" s="135"/>
      <c r="H5" s="135"/>
      <c r="I5" s="135"/>
      <c r="J5" s="135"/>
      <c r="K5" s="135"/>
      <c r="L5" s="135"/>
      <c r="M5" s="135"/>
      <c r="N5" s="135"/>
      <c r="O5" s="135"/>
      <c r="P5" s="135"/>
      <c r="Q5" s="135"/>
      <c r="R5" s="135"/>
      <c r="S5" s="135"/>
      <c r="T5" s="135"/>
      <c r="U5" s="135"/>
    </row>
    <row r="6" spans="1:24" ht="15" customHeight="1" x14ac:dyDescent="0.15">
      <c r="A6" s="80"/>
      <c r="B6" s="85"/>
      <c r="C6" s="85"/>
      <c r="D6" s="85"/>
      <c r="E6" s="85"/>
      <c r="F6" s="85"/>
      <c r="G6" s="85"/>
      <c r="H6" s="85"/>
      <c r="I6" s="85"/>
      <c r="J6" s="85"/>
      <c r="K6" s="85"/>
      <c r="L6" s="85"/>
      <c r="M6" s="85"/>
      <c r="N6" s="85"/>
      <c r="O6" s="85"/>
      <c r="P6" s="85"/>
      <c r="Q6" s="85"/>
      <c r="R6" s="85"/>
      <c r="S6" s="85"/>
      <c r="T6" s="85"/>
      <c r="U6" s="85"/>
    </row>
    <row r="7" spans="1:24" ht="15" customHeight="1" x14ac:dyDescent="0.15">
      <c r="A7" s="80" t="s">
        <v>131</v>
      </c>
      <c r="B7" s="85"/>
      <c r="C7" s="85"/>
      <c r="D7" s="85"/>
      <c r="E7" s="85"/>
      <c r="F7" s="86"/>
      <c r="G7" s="86"/>
      <c r="H7" s="86"/>
      <c r="I7" s="86"/>
      <c r="J7" s="86"/>
      <c r="K7" s="86"/>
      <c r="L7" s="106" t="s">
        <v>129</v>
      </c>
      <c r="M7" s="107"/>
      <c r="N7" s="107"/>
      <c r="O7" s="107"/>
      <c r="P7" s="107"/>
      <c r="Q7" s="107"/>
      <c r="R7" s="107"/>
      <c r="S7" s="107"/>
      <c r="T7" s="107"/>
      <c r="U7" s="108"/>
    </row>
    <row r="8" spans="1:24" ht="6" customHeight="1" x14ac:dyDescent="0.15">
      <c r="A8" s="80"/>
      <c r="B8" s="85"/>
      <c r="C8" s="85"/>
      <c r="D8" s="85"/>
      <c r="E8" s="85"/>
      <c r="F8" s="85"/>
      <c r="G8" s="85"/>
      <c r="H8" s="85"/>
      <c r="I8" s="85"/>
      <c r="J8" s="85"/>
      <c r="K8" s="85"/>
      <c r="L8" s="85"/>
      <c r="M8" s="85"/>
      <c r="N8" s="85"/>
      <c r="O8" s="85"/>
      <c r="P8" s="85"/>
      <c r="Q8" s="85"/>
      <c r="R8" s="85"/>
      <c r="S8" s="85"/>
      <c r="T8" s="85"/>
      <c r="U8" s="85"/>
    </row>
    <row r="9" spans="1:24" ht="18" customHeight="1" x14ac:dyDescent="0.15">
      <c r="A9" s="80" t="s">
        <v>132</v>
      </c>
      <c r="B9" s="80"/>
      <c r="C9" s="85"/>
      <c r="D9" s="85"/>
      <c r="E9" s="80"/>
      <c r="F9" s="80"/>
      <c r="G9" s="80"/>
      <c r="H9" s="80"/>
      <c r="I9" s="80"/>
      <c r="J9" s="80"/>
      <c r="K9" s="82"/>
      <c r="L9" s="86"/>
      <c r="M9" s="86"/>
      <c r="N9" s="86"/>
      <c r="O9" s="86"/>
      <c r="P9" s="86"/>
      <c r="Q9" s="86"/>
      <c r="R9" s="86"/>
      <c r="S9" s="86"/>
      <c r="T9" s="86"/>
      <c r="U9" s="86"/>
    </row>
    <row r="10" spans="1:24" ht="6" customHeight="1" x14ac:dyDescent="0.15">
      <c r="A10" s="80"/>
      <c r="B10" s="85"/>
      <c r="C10" s="85"/>
      <c r="D10" s="85"/>
      <c r="E10" s="85"/>
      <c r="F10" s="85"/>
      <c r="G10" s="85"/>
      <c r="H10" s="85"/>
      <c r="I10" s="85"/>
      <c r="J10" s="85"/>
      <c r="K10" s="85"/>
      <c r="L10" s="87"/>
      <c r="M10" s="85"/>
      <c r="N10" s="85"/>
      <c r="O10" s="85"/>
      <c r="P10" s="85"/>
      <c r="Q10" s="85"/>
      <c r="R10" s="85"/>
      <c r="S10" s="85"/>
      <c r="T10" s="85"/>
      <c r="U10" s="85"/>
    </row>
    <row r="11" spans="1:24" ht="18" customHeight="1" x14ac:dyDescent="0.15">
      <c r="A11" s="80"/>
      <c r="B11" s="112" t="s">
        <v>151</v>
      </c>
      <c r="C11" s="113"/>
      <c r="D11" s="113"/>
      <c r="E11" s="113"/>
      <c r="F11" s="113"/>
      <c r="G11" s="113"/>
      <c r="H11" s="113"/>
      <c r="I11" s="113"/>
      <c r="J11" s="113"/>
      <c r="K11" s="113"/>
      <c r="L11" s="113"/>
      <c r="M11" s="113"/>
      <c r="N11" s="113"/>
      <c r="O11" s="113"/>
      <c r="P11" s="113"/>
      <c r="Q11" s="113"/>
      <c r="R11" s="113"/>
      <c r="S11" s="113"/>
      <c r="T11" s="113"/>
      <c r="U11" s="114"/>
    </row>
    <row r="12" spans="1:24" ht="18" customHeight="1" x14ac:dyDescent="0.15">
      <c r="A12" s="80"/>
      <c r="B12" s="115"/>
      <c r="C12" s="116"/>
      <c r="D12" s="116"/>
      <c r="E12" s="116"/>
      <c r="F12" s="116"/>
      <c r="G12" s="116"/>
      <c r="H12" s="116"/>
      <c r="I12" s="116"/>
      <c r="J12" s="116"/>
      <c r="K12" s="116"/>
      <c r="L12" s="116"/>
      <c r="M12" s="116"/>
      <c r="N12" s="116"/>
      <c r="O12" s="116"/>
      <c r="P12" s="116"/>
      <c r="Q12" s="116"/>
      <c r="R12" s="116"/>
      <c r="S12" s="116"/>
      <c r="T12" s="116"/>
      <c r="U12" s="117"/>
    </row>
    <row r="13" spans="1:24" ht="6" customHeight="1" x14ac:dyDescent="0.15">
      <c r="A13" s="80"/>
      <c r="B13" s="85"/>
      <c r="C13" s="85"/>
      <c r="D13" s="85"/>
      <c r="E13" s="85"/>
      <c r="F13" s="85"/>
      <c r="G13" s="85"/>
      <c r="H13" s="85"/>
      <c r="I13" s="85"/>
      <c r="J13" s="85"/>
      <c r="K13" s="85"/>
      <c r="L13" s="87"/>
      <c r="M13" s="85"/>
      <c r="N13" s="85"/>
      <c r="O13" s="85"/>
      <c r="P13" s="85"/>
      <c r="Q13" s="85"/>
      <c r="R13" s="85"/>
      <c r="S13" s="85"/>
      <c r="T13" s="85"/>
      <c r="U13" s="85"/>
    </row>
    <row r="14" spans="1:24" ht="18" customHeight="1" x14ac:dyDescent="0.15">
      <c r="A14" s="80" t="s">
        <v>100</v>
      </c>
      <c r="B14" s="85"/>
      <c r="C14" s="85"/>
      <c r="D14" s="85"/>
      <c r="E14" s="82"/>
      <c r="F14" s="82"/>
      <c r="G14" s="82"/>
      <c r="H14" s="82"/>
      <c r="I14" s="82"/>
      <c r="J14" s="82"/>
      <c r="K14" s="82"/>
      <c r="L14" s="88"/>
      <c r="M14" s="88"/>
      <c r="N14" s="88"/>
      <c r="O14" s="88"/>
      <c r="P14" s="88"/>
      <c r="Q14" s="88"/>
      <c r="R14" s="88"/>
      <c r="S14" s="88"/>
      <c r="T14" s="88"/>
      <c r="U14" s="88"/>
    </row>
    <row r="15" spans="1:24" ht="18" customHeight="1" x14ac:dyDescent="0.15">
      <c r="A15" s="80"/>
      <c r="B15" s="136" t="s">
        <v>152</v>
      </c>
      <c r="C15" s="137"/>
      <c r="D15" s="137"/>
      <c r="E15" s="137"/>
      <c r="F15" s="137"/>
      <c r="G15" s="137"/>
      <c r="H15" s="137"/>
      <c r="I15" s="137"/>
      <c r="J15" s="137"/>
      <c r="K15" s="137"/>
      <c r="L15" s="137"/>
      <c r="M15" s="137"/>
      <c r="N15" s="137"/>
      <c r="O15" s="137"/>
      <c r="P15" s="137"/>
      <c r="Q15" s="137"/>
      <c r="R15" s="137"/>
      <c r="S15" s="137"/>
      <c r="T15" s="137"/>
      <c r="U15" s="138"/>
      <c r="X15" s="77" t="s">
        <v>94</v>
      </c>
    </row>
    <row r="16" spans="1:24" ht="18" customHeight="1" x14ac:dyDescent="0.15">
      <c r="A16" s="80"/>
      <c r="B16" s="139"/>
      <c r="C16" s="140"/>
      <c r="D16" s="140"/>
      <c r="E16" s="140"/>
      <c r="F16" s="140"/>
      <c r="G16" s="140"/>
      <c r="H16" s="140"/>
      <c r="I16" s="140"/>
      <c r="J16" s="140"/>
      <c r="K16" s="140"/>
      <c r="L16" s="140"/>
      <c r="M16" s="140"/>
      <c r="N16" s="140"/>
      <c r="O16" s="140"/>
      <c r="P16" s="140"/>
      <c r="Q16" s="140"/>
      <c r="R16" s="140"/>
      <c r="S16" s="140"/>
      <c r="T16" s="140"/>
      <c r="U16" s="141"/>
      <c r="X16" s="77" t="s">
        <v>114</v>
      </c>
    </row>
    <row r="17" spans="1:24" ht="18" customHeight="1" x14ac:dyDescent="0.15">
      <c r="A17" s="80"/>
      <c r="B17" s="139"/>
      <c r="C17" s="140"/>
      <c r="D17" s="140"/>
      <c r="E17" s="140"/>
      <c r="F17" s="140"/>
      <c r="G17" s="140"/>
      <c r="H17" s="140"/>
      <c r="I17" s="140"/>
      <c r="J17" s="140"/>
      <c r="K17" s="140"/>
      <c r="L17" s="140"/>
      <c r="M17" s="140"/>
      <c r="N17" s="140"/>
      <c r="O17" s="140"/>
      <c r="P17" s="140"/>
      <c r="Q17" s="140"/>
      <c r="R17" s="140"/>
      <c r="S17" s="140"/>
      <c r="T17" s="140"/>
      <c r="U17" s="141"/>
      <c r="X17" s="77" t="s">
        <v>115</v>
      </c>
    </row>
    <row r="18" spans="1:24" ht="18" customHeight="1" x14ac:dyDescent="0.15">
      <c r="A18" s="80"/>
      <c r="B18" s="139"/>
      <c r="C18" s="140"/>
      <c r="D18" s="140"/>
      <c r="E18" s="140"/>
      <c r="F18" s="140"/>
      <c r="G18" s="140"/>
      <c r="H18" s="140"/>
      <c r="I18" s="140"/>
      <c r="J18" s="140"/>
      <c r="K18" s="140"/>
      <c r="L18" s="140"/>
      <c r="M18" s="140"/>
      <c r="N18" s="140"/>
      <c r="O18" s="140"/>
      <c r="P18" s="140"/>
      <c r="Q18" s="140"/>
      <c r="R18" s="140"/>
      <c r="S18" s="140"/>
      <c r="T18" s="140"/>
      <c r="U18" s="141"/>
      <c r="X18" s="77" t="s">
        <v>116</v>
      </c>
    </row>
    <row r="19" spans="1:24" ht="18" customHeight="1" x14ac:dyDescent="0.15">
      <c r="A19" s="80"/>
      <c r="B19" s="139"/>
      <c r="C19" s="140"/>
      <c r="D19" s="140"/>
      <c r="E19" s="140"/>
      <c r="F19" s="140"/>
      <c r="G19" s="140"/>
      <c r="H19" s="140"/>
      <c r="I19" s="140"/>
      <c r="J19" s="140"/>
      <c r="K19" s="140"/>
      <c r="L19" s="140"/>
      <c r="M19" s="140"/>
      <c r="N19" s="140"/>
      <c r="O19" s="140"/>
      <c r="P19" s="140"/>
      <c r="Q19" s="140"/>
      <c r="R19" s="140"/>
      <c r="S19" s="140"/>
      <c r="T19" s="140"/>
      <c r="U19" s="141"/>
    </row>
    <row r="20" spans="1:24" ht="18" customHeight="1" x14ac:dyDescent="0.15">
      <c r="A20" s="80"/>
      <c r="B20" s="142"/>
      <c r="C20" s="143"/>
      <c r="D20" s="143"/>
      <c r="E20" s="143"/>
      <c r="F20" s="143"/>
      <c r="G20" s="143"/>
      <c r="H20" s="143"/>
      <c r="I20" s="143"/>
      <c r="J20" s="143"/>
      <c r="K20" s="143"/>
      <c r="L20" s="143"/>
      <c r="M20" s="143"/>
      <c r="N20" s="143"/>
      <c r="O20" s="143"/>
      <c r="P20" s="143"/>
      <c r="Q20" s="143"/>
      <c r="R20" s="143"/>
      <c r="S20" s="143"/>
      <c r="T20" s="143"/>
      <c r="U20" s="144"/>
    </row>
    <row r="21" spans="1:24" ht="7.5" customHeight="1" x14ac:dyDescent="0.15">
      <c r="A21" s="80"/>
      <c r="B21" s="85"/>
      <c r="C21" s="85"/>
      <c r="D21" s="85"/>
      <c r="E21" s="85"/>
      <c r="F21" s="85"/>
      <c r="G21" s="85"/>
      <c r="H21" s="85"/>
      <c r="I21" s="85"/>
      <c r="J21" s="85"/>
      <c r="K21" s="85"/>
      <c r="L21" s="85"/>
      <c r="M21" s="85"/>
      <c r="N21" s="85"/>
      <c r="O21" s="85"/>
      <c r="P21" s="85"/>
      <c r="Q21" s="85"/>
      <c r="R21" s="85"/>
      <c r="S21" s="85"/>
      <c r="T21" s="85"/>
      <c r="U21" s="85"/>
    </row>
    <row r="22" spans="1:24" ht="19.899999999999999" customHeight="1" x14ac:dyDescent="0.15">
      <c r="A22" s="80"/>
      <c r="B22" s="80" t="s">
        <v>133</v>
      </c>
      <c r="C22" s="80"/>
      <c r="D22" s="80"/>
      <c r="E22" s="89">
        <v>1</v>
      </c>
      <c r="F22" s="80" t="s">
        <v>112</v>
      </c>
      <c r="G22" s="80"/>
      <c r="H22" s="90">
        <v>2</v>
      </c>
      <c r="I22" s="85" t="s">
        <v>113</v>
      </c>
      <c r="J22" s="85"/>
      <c r="K22" s="82"/>
      <c r="L22" s="80"/>
      <c r="M22" s="82" t="s">
        <v>109</v>
      </c>
      <c r="N22" s="103" t="s">
        <v>116</v>
      </c>
      <c r="O22" s="104"/>
      <c r="P22" s="104"/>
      <c r="Q22" s="104"/>
      <c r="R22" s="104"/>
      <c r="S22" s="104"/>
      <c r="T22" s="104"/>
      <c r="U22" s="105"/>
    </row>
    <row r="23" spans="1:24" ht="7.5" customHeight="1" x14ac:dyDescent="0.15">
      <c r="A23" s="80"/>
      <c r="B23" s="85"/>
      <c r="C23" s="85"/>
      <c r="D23" s="85"/>
      <c r="E23" s="85"/>
      <c r="F23" s="85"/>
      <c r="G23" s="85"/>
      <c r="H23" s="85"/>
      <c r="I23" s="85"/>
      <c r="J23" s="85"/>
      <c r="K23" s="85"/>
      <c r="L23" s="85"/>
      <c r="M23" s="85"/>
      <c r="N23" s="85"/>
      <c r="O23" s="85"/>
      <c r="P23" s="85"/>
      <c r="Q23" s="85"/>
      <c r="R23" s="85"/>
      <c r="S23" s="85"/>
      <c r="T23" s="85"/>
      <c r="U23" s="85"/>
    </row>
    <row r="24" spans="1:24" ht="18" customHeight="1" x14ac:dyDescent="0.15">
      <c r="A24" s="145" t="s">
        <v>101</v>
      </c>
      <c r="B24" s="145"/>
      <c r="C24" s="145"/>
      <c r="D24" s="145"/>
      <c r="E24" s="145"/>
      <c r="F24" s="145"/>
      <c r="G24" s="145"/>
      <c r="H24" s="145"/>
      <c r="I24" s="145"/>
      <c r="J24" s="145"/>
      <c r="K24" s="145"/>
      <c r="L24" s="145"/>
      <c r="M24" s="145"/>
      <c r="N24" s="145"/>
      <c r="O24" s="145"/>
      <c r="P24" s="145"/>
      <c r="Q24" s="145"/>
      <c r="R24" s="145"/>
      <c r="S24" s="145"/>
      <c r="T24" s="145"/>
      <c r="U24" s="145"/>
    </row>
    <row r="25" spans="1:24" ht="18" customHeight="1" x14ac:dyDescent="0.15">
      <c r="A25" s="145"/>
      <c r="B25" s="145"/>
      <c r="C25" s="145"/>
      <c r="D25" s="145"/>
      <c r="E25" s="145"/>
      <c r="F25" s="145"/>
      <c r="G25" s="145"/>
      <c r="H25" s="145"/>
      <c r="I25" s="145"/>
      <c r="J25" s="145"/>
      <c r="K25" s="145"/>
      <c r="L25" s="145"/>
      <c r="M25" s="145"/>
      <c r="N25" s="145"/>
      <c r="O25" s="145"/>
      <c r="P25" s="145"/>
      <c r="Q25" s="145"/>
      <c r="R25" s="145"/>
      <c r="S25" s="145"/>
      <c r="T25" s="145"/>
      <c r="U25" s="145"/>
    </row>
    <row r="26" spans="1:24" ht="18" customHeight="1" x14ac:dyDescent="0.15">
      <c r="B26" s="109" t="s">
        <v>51</v>
      </c>
      <c r="C26" s="110"/>
      <c r="D26" s="110"/>
      <c r="E26" s="110"/>
      <c r="F26" s="111"/>
      <c r="G26" s="51" t="s">
        <v>77</v>
      </c>
      <c r="H26" s="50" t="s">
        <v>80</v>
      </c>
      <c r="I26" s="17" t="s">
        <v>54</v>
      </c>
      <c r="J26" s="17" t="s">
        <v>57</v>
      </c>
      <c r="K26" s="109" t="s">
        <v>51</v>
      </c>
      <c r="L26" s="110"/>
      <c r="M26" s="110"/>
      <c r="N26" s="110"/>
      <c r="O26" s="110"/>
      <c r="P26" s="110"/>
      <c r="Q26" s="111"/>
      <c r="R26" s="51" t="s">
        <v>77</v>
      </c>
      <c r="S26" s="50" t="s">
        <v>80</v>
      </c>
      <c r="T26" s="17" t="s">
        <v>54</v>
      </c>
      <c r="U26" s="17" t="s">
        <v>57</v>
      </c>
    </row>
    <row r="27" spans="1:24" ht="18" customHeight="1" x14ac:dyDescent="0.15">
      <c r="B27" s="124" t="s">
        <v>153</v>
      </c>
      <c r="C27" s="125"/>
      <c r="D27" s="125"/>
      <c r="E27" s="125"/>
      <c r="F27" s="126"/>
      <c r="G27" s="18">
        <v>2</v>
      </c>
      <c r="H27" s="18" t="s">
        <v>142</v>
      </c>
      <c r="I27" s="18" t="s">
        <v>142</v>
      </c>
      <c r="J27" s="18" t="s">
        <v>142</v>
      </c>
      <c r="K27" s="124"/>
      <c r="L27" s="125"/>
      <c r="M27" s="125"/>
      <c r="N27" s="125"/>
      <c r="O27" s="125"/>
      <c r="P27" s="125"/>
      <c r="Q27" s="126"/>
      <c r="R27" s="18"/>
      <c r="S27" s="18"/>
      <c r="T27" s="18"/>
      <c r="U27" s="18"/>
    </row>
    <row r="28" spans="1:24" ht="18" customHeight="1" x14ac:dyDescent="0.15">
      <c r="B28" s="118"/>
      <c r="C28" s="119"/>
      <c r="D28" s="119"/>
      <c r="E28" s="119"/>
      <c r="F28" s="120"/>
      <c r="G28" s="19"/>
      <c r="H28" s="19"/>
      <c r="I28" s="19"/>
      <c r="J28" s="19"/>
      <c r="K28" s="118"/>
      <c r="L28" s="119"/>
      <c r="M28" s="119"/>
      <c r="N28" s="119"/>
      <c r="O28" s="119"/>
      <c r="P28" s="119"/>
      <c r="Q28" s="120"/>
      <c r="R28" s="19"/>
      <c r="S28" s="19"/>
      <c r="T28" s="19"/>
      <c r="U28" s="19"/>
    </row>
    <row r="29" spans="1:24" ht="18" customHeight="1" x14ac:dyDescent="0.15">
      <c r="B29" s="118"/>
      <c r="C29" s="119"/>
      <c r="D29" s="119"/>
      <c r="E29" s="119"/>
      <c r="F29" s="120"/>
      <c r="G29" s="19"/>
      <c r="H29" s="19"/>
      <c r="I29" s="19"/>
      <c r="J29" s="19"/>
      <c r="K29" s="118"/>
      <c r="L29" s="119"/>
      <c r="M29" s="119"/>
      <c r="N29" s="119"/>
      <c r="O29" s="119"/>
      <c r="P29" s="119"/>
      <c r="Q29" s="120"/>
      <c r="R29" s="19"/>
      <c r="S29" s="19"/>
      <c r="T29" s="19"/>
      <c r="U29" s="19"/>
    </row>
    <row r="30" spans="1:24" ht="18" customHeight="1" x14ac:dyDescent="0.15">
      <c r="B30" s="118"/>
      <c r="C30" s="119"/>
      <c r="D30" s="119"/>
      <c r="E30" s="119"/>
      <c r="F30" s="120"/>
      <c r="G30" s="19"/>
      <c r="H30" s="19"/>
      <c r="I30" s="19"/>
      <c r="J30" s="19"/>
      <c r="K30" s="118"/>
      <c r="L30" s="119"/>
      <c r="M30" s="119"/>
      <c r="N30" s="119"/>
      <c r="O30" s="119"/>
      <c r="P30" s="119"/>
      <c r="Q30" s="120"/>
      <c r="R30" s="19"/>
      <c r="S30" s="19"/>
      <c r="T30" s="19"/>
      <c r="U30" s="19"/>
    </row>
    <row r="31" spans="1:24" ht="18" customHeight="1" x14ac:dyDescent="0.15">
      <c r="B31" s="118"/>
      <c r="C31" s="119"/>
      <c r="D31" s="119"/>
      <c r="E31" s="119"/>
      <c r="F31" s="120"/>
      <c r="G31" s="19"/>
      <c r="H31" s="19"/>
      <c r="I31" s="19"/>
      <c r="J31" s="19"/>
      <c r="K31" s="118"/>
      <c r="L31" s="119"/>
      <c r="M31" s="119"/>
      <c r="N31" s="119"/>
      <c r="O31" s="119"/>
      <c r="P31" s="119"/>
      <c r="Q31" s="120"/>
      <c r="R31" s="19"/>
      <c r="S31" s="19"/>
      <c r="T31" s="19"/>
      <c r="U31" s="19"/>
    </row>
    <row r="32" spans="1:24" ht="18" customHeight="1" x14ac:dyDescent="0.15">
      <c r="A32" s="76"/>
      <c r="B32" s="118"/>
      <c r="C32" s="119"/>
      <c r="D32" s="119"/>
      <c r="E32" s="119"/>
      <c r="F32" s="120"/>
      <c r="G32" s="19"/>
      <c r="H32" s="19"/>
      <c r="I32" s="19"/>
      <c r="J32" s="19"/>
      <c r="K32" s="118"/>
      <c r="L32" s="119"/>
      <c r="M32" s="119"/>
      <c r="N32" s="119"/>
      <c r="O32" s="119"/>
      <c r="P32" s="119"/>
      <c r="Q32" s="120"/>
      <c r="R32" s="19"/>
      <c r="S32" s="19"/>
      <c r="T32" s="19"/>
      <c r="U32" s="19"/>
    </row>
    <row r="33" spans="1:21" ht="18" customHeight="1" x14ac:dyDescent="0.15">
      <c r="A33" s="76"/>
      <c r="B33" s="121"/>
      <c r="C33" s="122"/>
      <c r="D33" s="122"/>
      <c r="E33" s="122"/>
      <c r="F33" s="123"/>
      <c r="G33" s="20"/>
      <c r="H33" s="20"/>
      <c r="I33" s="21"/>
      <c r="J33" s="21"/>
      <c r="K33" s="121"/>
      <c r="L33" s="122"/>
      <c r="M33" s="122"/>
      <c r="N33" s="122"/>
      <c r="O33" s="122"/>
      <c r="P33" s="122"/>
      <c r="Q33" s="123"/>
      <c r="R33" s="20"/>
      <c r="S33" s="20"/>
      <c r="T33" s="21"/>
      <c r="U33" s="21"/>
    </row>
    <row r="34" spans="1:21" ht="7.5" customHeight="1" x14ac:dyDescent="0.15">
      <c r="A34" s="76"/>
      <c r="B34" s="6"/>
      <c r="C34" s="6"/>
      <c r="D34" s="6"/>
      <c r="E34" s="76"/>
      <c r="F34" s="76"/>
      <c r="G34" s="76"/>
      <c r="H34" s="76"/>
      <c r="I34" s="6"/>
      <c r="J34" s="6"/>
      <c r="K34" s="6"/>
      <c r="L34" s="6"/>
      <c r="M34" s="6"/>
      <c r="N34" s="6"/>
      <c r="O34" s="6"/>
      <c r="P34" s="6"/>
      <c r="Q34" s="6"/>
      <c r="R34" s="6"/>
      <c r="S34" s="6"/>
      <c r="T34" s="6"/>
      <c r="U34" s="76"/>
    </row>
    <row r="35" spans="1:21" ht="18" customHeight="1" x14ac:dyDescent="0.15">
      <c r="A35" s="127" t="s">
        <v>102</v>
      </c>
      <c r="B35" s="127"/>
      <c r="C35" s="127"/>
      <c r="D35" s="127"/>
      <c r="E35" s="127"/>
      <c r="F35" s="127"/>
      <c r="G35" s="127"/>
      <c r="H35" s="127"/>
      <c r="I35" s="127"/>
      <c r="J35" s="127"/>
      <c r="K35" s="127"/>
      <c r="L35" s="127"/>
      <c r="M35" s="127"/>
      <c r="N35" s="127"/>
      <c r="O35" s="127"/>
      <c r="P35" s="127"/>
      <c r="Q35" s="127"/>
      <c r="R35" s="127"/>
      <c r="S35" s="127"/>
      <c r="T35" s="127"/>
      <c r="U35" s="127"/>
    </row>
    <row r="36" spans="1:21" ht="18" customHeight="1" x14ac:dyDescent="0.15">
      <c r="A36" s="127"/>
      <c r="B36" s="127"/>
      <c r="C36" s="127"/>
      <c r="D36" s="127"/>
      <c r="E36" s="127"/>
      <c r="F36" s="127"/>
      <c r="G36" s="127"/>
      <c r="H36" s="127"/>
      <c r="I36" s="127"/>
      <c r="J36" s="127"/>
      <c r="K36" s="127"/>
      <c r="L36" s="127"/>
      <c r="M36" s="127"/>
      <c r="N36" s="127"/>
      <c r="O36" s="127"/>
      <c r="P36" s="127"/>
      <c r="Q36" s="127"/>
      <c r="R36" s="127"/>
      <c r="S36" s="127"/>
      <c r="T36" s="127"/>
      <c r="U36" s="127"/>
    </row>
    <row r="37" spans="1:21" ht="18" customHeight="1" x14ac:dyDescent="0.15">
      <c r="B37" s="109" t="s">
        <v>51</v>
      </c>
      <c r="C37" s="110"/>
      <c r="D37" s="110"/>
      <c r="E37" s="110"/>
      <c r="F37" s="111"/>
      <c r="G37" s="51" t="s">
        <v>77</v>
      </c>
      <c r="H37" s="50" t="s">
        <v>80</v>
      </c>
      <c r="I37" s="17" t="s">
        <v>68</v>
      </c>
      <c r="J37" s="17" t="s">
        <v>69</v>
      </c>
      <c r="K37" s="109" t="s">
        <v>51</v>
      </c>
      <c r="L37" s="110"/>
      <c r="M37" s="110"/>
      <c r="N37" s="110"/>
      <c r="O37" s="110"/>
      <c r="P37" s="110"/>
      <c r="Q37" s="111"/>
      <c r="R37" s="51" t="s">
        <v>77</v>
      </c>
      <c r="S37" s="50" t="s">
        <v>80</v>
      </c>
      <c r="T37" s="17" t="s">
        <v>68</v>
      </c>
      <c r="U37" s="17" t="s">
        <v>69</v>
      </c>
    </row>
    <row r="38" spans="1:21" ht="18" customHeight="1" x14ac:dyDescent="0.15">
      <c r="B38" s="124" t="s">
        <v>153</v>
      </c>
      <c r="C38" s="125"/>
      <c r="D38" s="125"/>
      <c r="E38" s="125"/>
      <c r="F38" s="126"/>
      <c r="G38" s="18">
        <v>2</v>
      </c>
      <c r="H38" s="18" t="s">
        <v>142</v>
      </c>
      <c r="I38" s="18" t="s">
        <v>142</v>
      </c>
      <c r="J38" s="18" t="s">
        <v>142</v>
      </c>
      <c r="K38" s="124"/>
      <c r="L38" s="125"/>
      <c r="M38" s="125"/>
      <c r="N38" s="125"/>
      <c r="O38" s="125"/>
      <c r="P38" s="125"/>
      <c r="Q38" s="126"/>
      <c r="R38" s="18"/>
      <c r="S38" s="18"/>
      <c r="T38" s="18"/>
      <c r="U38" s="18"/>
    </row>
    <row r="39" spans="1:21" ht="18" customHeight="1" x14ac:dyDescent="0.15">
      <c r="B39" s="118"/>
      <c r="C39" s="119"/>
      <c r="D39" s="119"/>
      <c r="E39" s="119"/>
      <c r="F39" s="120"/>
      <c r="G39" s="19"/>
      <c r="H39" s="19"/>
      <c r="I39" s="19"/>
      <c r="J39" s="19"/>
      <c r="K39" s="118"/>
      <c r="L39" s="119"/>
      <c r="M39" s="119"/>
      <c r="N39" s="119"/>
      <c r="O39" s="119"/>
      <c r="P39" s="119"/>
      <c r="Q39" s="120"/>
      <c r="R39" s="19"/>
      <c r="S39" s="19"/>
      <c r="T39" s="19"/>
      <c r="U39" s="19"/>
    </row>
    <row r="40" spans="1:21" ht="18" customHeight="1" x14ac:dyDescent="0.15">
      <c r="B40" s="118"/>
      <c r="C40" s="119"/>
      <c r="D40" s="119"/>
      <c r="E40" s="119"/>
      <c r="F40" s="120"/>
      <c r="G40" s="19"/>
      <c r="H40" s="19"/>
      <c r="I40" s="19"/>
      <c r="J40" s="19"/>
      <c r="K40" s="118"/>
      <c r="L40" s="119"/>
      <c r="M40" s="119"/>
      <c r="N40" s="119"/>
      <c r="O40" s="119"/>
      <c r="P40" s="119"/>
      <c r="Q40" s="120"/>
      <c r="R40" s="19"/>
      <c r="S40" s="19"/>
      <c r="T40" s="19"/>
      <c r="U40" s="19"/>
    </row>
    <row r="41" spans="1:21" ht="18" customHeight="1" x14ac:dyDescent="0.15">
      <c r="B41" s="118"/>
      <c r="C41" s="119"/>
      <c r="D41" s="119"/>
      <c r="E41" s="119"/>
      <c r="F41" s="120"/>
      <c r="G41" s="19"/>
      <c r="H41" s="19"/>
      <c r="I41" s="19"/>
      <c r="J41" s="19"/>
      <c r="K41" s="118"/>
      <c r="L41" s="119"/>
      <c r="M41" s="119"/>
      <c r="N41" s="119"/>
      <c r="O41" s="119"/>
      <c r="P41" s="119"/>
      <c r="Q41" s="120"/>
      <c r="R41" s="19"/>
      <c r="S41" s="19"/>
      <c r="T41" s="19"/>
      <c r="U41" s="19"/>
    </row>
    <row r="42" spans="1:21" ht="18" customHeight="1" x14ac:dyDescent="0.15">
      <c r="B42" s="118"/>
      <c r="C42" s="119"/>
      <c r="D42" s="119"/>
      <c r="E42" s="119"/>
      <c r="F42" s="120"/>
      <c r="G42" s="19"/>
      <c r="H42" s="19"/>
      <c r="I42" s="19"/>
      <c r="J42" s="19"/>
      <c r="K42" s="118"/>
      <c r="L42" s="119"/>
      <c r="M42" s="119"/>
      <c r="N42" s="119"/>
      <c r="O42" s="119"/>
      <c r="P42" s="119"/>
      <c r="Q42" s="120"/>
      <c r="R42" s="19"/>
      <c r="S42" s="19"/>
      <c r="T42" s="19"/>
      <c r="U42" s="19"/>
    </row>
    <row r="43" spans="1:21" ht="18" customHeight="1" x14ac:dyDescent="0.15">
      <c r="B43" s="118"/>
      <c r="C43" s="119"/>
      <c r="D43" s="119"/>
      <c r="E43" s="119"/>
      <c r="F43" s="120"/>
      <c r="G43" s="19"/>
      <c r="H43" s="19"/>
      <c r="I43" s="19"/>
      <c r="J43" s="19"/>
      <c r="K43" s="118"/>
      <c r="L43" s="119"/>
      <c r="M43" s="119"/>
      <c r="N43" s="119"/>
      <c r="O43" s="119"/>
      <c r="P43" s="119"/>
      <c r="Q43" s="120"/>
      <c r="R43" s="19"/>
      <c r="S43" s="19"/>
      <c r="T43" s="19"/>
      <c r="U43" s="19"/>
    </row>
    <row r="44" spans="1:21" ht="18" customHeight="1" x14ac:dyDescent="0.15">
      <c r="B44" s="121"/>
      <c r="C44" s="122"/>
      <c r="D44" s="122"/>
      <c r="E44" s="122"/>
      <c r="F44" s="123"/>
      <c r="G44" s="20"/>
      <c r="H44" s="20"/>
      <c r="I44" s="21"/>
      <c r="J44" s="21"/>
      <c r="K44" s="121"/>
      <c r="L44" s="122"/>
      <c r="M44" s="122"/>
      <c r="N44" s="122"/>
      <c r="O44" s="122"/>
      <c r="P44" s="122"/>
      <c r="Q44" s="123"/>
      <c r="R44" s="20"/>
      <c r="S44" s="20"/>
      <c r="T44" s="21"/>
      <c r="U44" s="21"/>
    </row>
    <row r="45" spans="1:21" ht="7.5" customHeight="1" x14ac:dyDescent="0.15">
      <c r="A45" s="76"/>
      <c r="B45" s="6"/>
      <c r="C45" s="6"/>
      <c r="D45" s="6"/>
      <c r="E45" s="76"/>
      <c r="F45" s="76"/>
      <c r="G45" s="76"/>
      <c r="H45" s="76"/>
      <c r="I45" s="6"/>
      <c r="J45" s="6"/>
      <c r="K45" s="6"/>
      <c r="L45" s="6"/>
      <c r="M45" s="6"/>
      <c r="N45" s="6"/>
      <c r="O45" s="6"/>
      <c r="P45" s="6"/>
      <c r="Q45" s="6"/>
      <c r="R45" s="6"/>
      <c r="S45" s="6"/>
      <c r="T45" s="6"/>
      <c r="U45" s="76"/>
    </row>
    <row r="46" spans="1:21" ht="18" customHeight="1" x14ac:dyDescent="0.15">
      <c r="A46" s="127" t="s">
        <v>103</v>
      </c>
      <c r="B46" s="127"/>
      <c r="C46" s="127"/>
      <c r="D46" s="127"/>
      <c r="E46" s="127"/>
      <c r="F46" s="127"/>
      <c r="G46" s="127"/>
      <c r="H46" s="127"/>
      <c r="I46" s="127"/>
      <c r="J46" s="127"/>
      <c r="K46" s="127"/>
      <c r="L46" s="127"/>
      <c r="M46" s="127"/>
      <c r="N46" s="127"/>
      <c r="O46" s="127"/>
      <c r="P46" s="127"/>
      <c r="Q46" s="127"/>
      <c r="R46" s="127"/>
      <c r="S46" s="127"/>
      <c r="T46" s="127"/>
      <c r="U46" s="127"/>
    </row>
    <row r="47" spans="1:21" ht="18" customHeight="1" x14ac:dyDescent="0.15">
      <c r="A47" s="127"/>
      <c r="B47" s="127"/>
      <c r="C47" s="127"/>
      <c r="D47" s="127"/>
      <c r="E47" s="127"/>
      <c r="F47" s="127"/>
      <c r="G47" s="127"/>
      <c r="H47" s="127"/>
      <c r="I47" s="127"/>
      <c r="J47" s="127"/>
      <c r="K47" s="127"/>
      <c r="L47" s="127"/>
      <c r="M47" s="127"/>
      <c r="N47" s="127"/>
      <c r="O47" s="127"/>
      <c r="P47" s="127"/>
      <c r="Q47" s="127"/>
      <c r="R47" s="127"/>
      <c r="S47" s="127"/>
      <c r="T47" s="127"/>
      <c r="U47" s="127"/>
    </row>
    <row r="48" spans="1:21" ht="18" customHeight="1" x14ac:dyDescent="0.15">
      <c r="B48" s="109" t="s">
        <v>51</v>
      </c>
      <c r="C48" s="110"/>
      <c r="D48" s="110"/>
      <c r="E48" s="110"/>
      <c r="F48" s="111"/>
      <c r="G48" s="51" t="s">
        <v>77</v>
      </c>
      <c r="H48" s="50" t="s">
        <v>80</v>
      </c>
      <c r="I48" s="17" t="s">
        <v>70</v>
      </c>
      <c r="J48" s="17" t="s">
        <v>71</v>
      </c>
      <c r="K48" s="109" t="s">
        <v>51</v>
      </c>
      <c r="L48" s="110"/>
      <c r="M48" s="110"/>
      <c r="N48" s="110"/>
      <c r="O48" s="110"/>
      <c r="P48" s="110"/>
      <c r="Q48" s="111"/>
      <c r="R48" s="51" t="s">
        <v>77</v>
      </c>
      <c r="S48" s="50" t="s">
        <v>80</v>
      </c>
      <c r="T48" s="17" t="s">
        <v>70</v>
      </c>
      <c r="U48" s="17" t="s">
        <v>71</v>
      </c>
    </row>
    <row r="49" spans="1:21" ht="18" customHeight="1" x14ac:dyDescent="0.15">
      <c r="A49" s="76"/>
      <c r="B49" s="124" t="s">
        <v>153</v>
      </c>
      <c r="C49" s="125"/>
      <c r="D49" s="125"/>
      <c r="E49" s="125"/>
      <c r="F49" s="126"/>
      <c r="G49" s="18">
        <v>2</v>
      </c>
      <c r="H49" s="18" t="s">
        <v>142</v>
      </c>
      <c r="I49" s="18" t="s">
        <v>142</v>
      </c>
      <c r="J49" s="18" t="s">
        <v>142</v>
      </c>
      <c r="K49" s="124"/>
      <c r="L49" s="125"/>
      <c r="M49" s="125"/>
      <c r="N49" s="125"/>
      <c r="O49" s="125"/>
      <c r="P49" s="125"/>
      <c r="Q49" s="126"/>
      <c r="R49" s="18"/>
      <c r="S49" s="18"/>
      <c r="T49" s="18"/>
      <c r="U49" s="18"/>
    </row>
    <row r="50" spans="1:21" ht="18" customHeight="1" x14ac:dyDescent="0.15">
      <c r="A50" s="76"/>
      <c r="B50" s="118"/>
      <c r="C50" s="119"/>
      <c r="D50" s="119"/>
      <c r="E50" s="119"/>
      <c r="F50" s="120"/>
      <c r="G50" s="19"/>
      <c r="H50" s="19"/>
      <c r="I50" s="19"/>
      <c r="J50" s="19"/>
      <c r="K50" s="118"/>
      <c r="L50" s="119"/>
      <c r="M50" s="119"/>
      <c r="N50" s="119"/>
      <c r="O50" s="119"/>
      <c r="P50" s="119"/>
      <c r="Q50" s="120"/>
      <c r="R50" s="19"/>
      <c r="S50" s="19"/>
      <c r="T50" s="19"/>
      <c r="U50" s="19"/>
    </row>
    <row r="51" spans="1:21" ht="18" customHeight="1" x14ac:dyDescent="0.15">
      <c r="A51" s="76"/>
      <c r="B51" s="118"/>
      <c r="C51" s="119"/>
      <c r="D51" s="119"/>
      <c r="E51" s="119"/>
      <c r="F51" s="120"/>
      <c r="G51" s="19"/>
      <c r="H51" s="19"/>
      <c r="I51" s="19"/>
      <c r="J51" s="19"/>
      <c r="K51" s="118"/>
      <c r="L51" s="119"/>
      <c r="M51" s="119"/>
      <c r="N51" s="119"/>
      <c r="O51" s="119"/>
      <c r="P51" s="119"/>
      <c r="Q51" s="120"/>
      <c r="R51" s="19"/>
      <c r="S51" s="19"/>
      <c r="T51" s="19"/>
      <c r="U51" s="19"/>
    </row>
    <row r="52" spans="1:21" ht="18" customHeight="1" x14ac:dyDescent="0.15">
      <c r="A52" s="76"/>
      <c r="B52" s="118"/>
      <c r="C52" s="119"/>
      <c r="D52" s="119"/>
      <c r="E52" s="119"/>
      <c r="F52" s="120"/>
      <c r="G52" s="19"/>
      <c r="H52" s="19"/>
      <c r="I52" s="19"/>
      <c r="J52" s="19"/>
      <c r="K52" s="118"/>
      <c r="L52" s="119"/>
      <c r="M52" s="119"/>
      <c r="N52" s="119"/>
      <c r="O52" s="119"/>
      <c r="P52" s="119"/>
      <c r="Q52" s="120"/>
      <c r="R52" s="19"/>
      <c r="S52" s="19"/>
      <c r="T52" s="19"/>
      <c r="U52" s="19"/>
    </row>
    <row r="53" spans="1:21" ht="18" customHeight="1" x14ac:dyDescent="0.15">
      <c r="A53" s="76"/>
      <c r="B53" s="118"/>
      <c r="C53" s="119"/>
      <c r="D53" s="119"/>
      <c r="E53" s="119"/>
      <c r="F53" s="120"/>
      <c r="G53" s="19"/>
      <c r="H53" s="19"/>
      <c r="I53" s="19"/>
      <c r="J53" s="19"/>
      <c r="K53" s="118"/>
      <c r="L53" s="119"/>
      <c r="M53" s="119"/>
      <c r="N53" s="119"/>
      <c r="O53" s="119"/>
      <c r="P53" s="119"/>
      <c r="Q53" s="120"/>
      <c r="R53" s="19"/>
      <c r="S53" s="19"/>
      <c r="T53" s="19"/>
      <c r="U53" s="19"/>
    </row>
    <row r="54" spans="1:21" ht="18" customHeight="1" x14ac:dyDescent="0.15">
      <c r="A54" s="76"/>
      <c r="B54" s="118"/>
      <c r="C54" s="119"/>
      <c r="D54" s="119"/>
      <c r="E54" s="119"/>
      <c r="F54" s="120"/>
      <c r="G54" s="19"/>
      <c r="H54" s="19"/>
      <c r="I54" s="19"/>
      <c r="J54" s="19"/>
      <c r="K54" s="118"/>
      <c r="L54" s="119"/>
      <c r="M54" s="119"/>
      <c r="N54" s="119"/>
      <c r="O54" s="119"/>
      <c r="P54" s="119"/>
      <c r="Q54" s="120"/>
      <c r="R54" s="19"/>
      <c r="S54" s="19"/>
      <c r="T54" s="19"/>
      <c r="U54" s="19"/>
    </row>
    <row r="55" spans="1:21" ht="18" customHeight="1" x14ac:dyDescent="0.15">
      <c r="A55" s="76"/>
      <c r="B55" s="121"/>
      <c r="C55" s="122"/>
      <c r="D55" s="122"/>
      <c r="E55" s="122"/>
      <c r="F55" s="123"/>
      <c r="G55" s="20"/>
      <c r="H55" s="20"/>
      <c r="I55" s="21"/>
      <c r="J55" s="21"/>
      <c r="K55" s="121"/>
      <c r="L55" s="122"/>
      <c r="M55" s="122"/>
      <c r="N55" s="122"/>
      <c r="O55" s="122"/>
      <c r="P55" s="122"/>
      <c r="Q55" s="123"/>
      <c r="R55" s="20"/>
      <c r="S55" s="20"/>
      <c r="T55" s="21"/>
      <c r="U55" s="21"/>
    </row>
    <row r="56" spans="1:21" ht="7.5" customHeight="1" x14ac:dyDescent="0.15">
      <c r="B56" s="75"/>
      <c r="C56" s="75"/>
      <c r="D56" s="75"/>
      <c r="E56" s="75"/>
      <c r="F56" s="75"/>
      <c r="G56" s="75"/>
      <c r="H56" s="75"/>
      <c r="I56" s="75"/>
      <c r="J56" s="75"/>
      <c r="K56" s="75"/>
      <c r="L56" s="75"/>
      <c r="M56" s="75"/>
      <c r="N56" s="75"/>
      <c r="O56" s="75"/>
      <c r="P56" s="75"/>
      <c r="Q56" s="75"/>
      <c r="R56" s="75"/>
      <c r="S56" s="75"/>
      <c r="T56" s="75"/>
    </row>
    <row r="57" spans="1:21" ht="18" customHeight="1" x14ac:dyDescent="0.15">
      <c r="A57" s="127" t="s">
        <v>104</v>
      </c>
      <c r="B57" s="127"/>
      <c r="C57" s="127"/>
      <c r="D57" s="127"/>
      <c r="E57" s="127"/>
      <c r="F57" s="127"/>
      <c r="G57" s="127"/>
      <c r="H57" s="127"/>
      <c r="I57" s="127"/>
      <c r="J57" s="127"/>
      <c r="K57" s="127"/>
      <c r="L57" s="127"/>
      <c r="M57" s="127"/>
      <c r="N57" s="127"/>
      <c r="O57" s="127"/>
      <c r="P57" s="127"/>
      <c r="Q57" s="127"/>
      <c r="R57" s="127"/>
      <c r="S57" s="127"/>
      <c r="T57" s="127"/>
      <c r="U57" s="127"/>
    </row>
    <row r="58" spans="1:21" ht="18" customHeight="1" x14ac:dyDescent="0.15">
      <c r="A58" s="127"/>
      <c r="B58" s="127"/>
      <c r="C58" s="127"/>
      <c r="D58" s="127"/>
      <c r="E58" s="127"/>
      <c r="F58" s="127"/>
      <c r="G58" s="127"/>
      <c r="H58" s="127"/>
      <c r="I58" s="127"/>
      <c r="J58" s="127"/>
      <c r="K58" s="127"/>
      <c r="L58" s="127"/>
      <c r="M58" s="127"/>
      <c r="N58" s="127"/>
      <c r="O58" s="127"/>
      <c r="P58" s="127"/>
      <c r="Q58" s="127"/>
      <c r="R58" s="127"/>
      <c r="S58" s="127"/>
      <c r="T58" s="127"/>
      <c r="U58" s="127"/>
    </row>
    <row r="59" spans="1:21" ht="18" customHeight="1" x14ac:dyDescent="0.15">
      <c r="B59" s="109" t="s">
        <v>51</v>
      </c>
      <c r="C59" s="110"/>
      <c r="D59" s="110"/>
      <c r="E59" s="110"/>
      <c r="F59" s="111"/>
      <c r="G59" s="51" t="s">
        <v>77</v>
      </c>
      <c r="H59" s="50" t="s">
        <v>80</v>
      </c>
      <c r="I59" s="17" t="s">
        <v>56</v>
      </c>
      <c r="J59" s="17" t="s">
        <v>58</v>
      </c>
      <c r="K59" s="109" t="s">
        <v>51</v>
      </c>
      <c r="L59" s="110"/>
      <c r="M59" s="110"/>
      <c r="N59" s="110"/>
      <c r="O59" s="110"/>
      <c r="P59" s="110"/>
      <c r="Q59" s="111"/>
      <c r="R59" s="51" t="s">
        <v>77</v>
      </c>
      <c r="S59" s="50" t="s">
        <v>80</v>
      </c>
      <c r="T59" s="17" t="s">
        <v>56</v>
      </c>
      <c r="U59" s="17" t="s">
        <v>58</v>
      </c>
    </row>
    <row r="60" spans="1:21" ht="18" customHeight="1" x14ac:dyDescent="0.15">
      <c r="A60" s="76"/>
      <c r="B60" s="124" t="s">
        <v>153</v>
      </c>
      <c r="C60" s="125"/>
      <c r="D60" s="125"/>
      <c r="E60" s="125"/>
      <c r="F60" s="126"/>
      <c r="G60" s="18">
        <v>2</v>
      </c>
      <c r="H60" s="18" t="s">
        <v>142</v>
      </c>
      <c r="I60" s="18" t="s">
        <v>142</v>
      </c>
      <c r="J60" s="18" t="s">
        <v>142</v>
      </c>
      <c r="K60" s="124"/>
      <c r="L60" s="125"/>
      <c r="M60" s="125"/>
      <c r="N60" s="125"/>
      <c r="O60" s="125"/>
      <c r="P60" s="125"/>
      <c r="Q60" s="126"/>
      <c r="R60" s="18"/>
      <c r="S60" s="18"/>
      <c r="T60" s="18"/>
      <c r="U60" s="18"/>
    </row>
    <row r="61" spans="1:21" ht="18" customHeight="1" x14ac:dyDescent="0.15">
      <c r="A61" s="76"/>
      <c r="B61" s="118"/>
      <c r="C61" s="119"/>
      <c r="D61" s="119"/>
      <c r="E61" s="119"/>
      <c r="F61" s="120"/>
      <c r="G61" s="19"/>
      <c r="H61" s="19"/>
      <c r="I61" s="19"/>
      <c r="J61" s="19"/>
      <c r="K61" s="118"/>
      <c r="L61" s="119"/>
      <c r="M61" s="119"/>
      <c r="N61" s="119"/>
      <c r="O61" s="119"/>
      <c r="P61" s="119"/>
      <c r="Q61" s="120"/>
      <c r="R61" s="19"/>
      <c r="S61" s="19"/>
      <c r="T61" s="19"/>
      <c r="U61" s="19"/>
    </row>
    <row r="62" spans="1:21" ht="18" customHeight="1" x14ac:dyDescent="0.15">
      <c r="A62" s="76"/>
      <c r="B62" s="118"/>
      <c r="C62" s="119"/>
      <c r="D62" s="119"/>
      <c r="E62" s="119"/>
      <c r="F62" s="120"/>
      <c r="G62" s="19"/>
      <c r="H62" s="19"/>
      <c r="I62" s="19"/>
      <c r="J62" s="19"/>
      <c r="K62" s="118"/>
      <c r="L62" s="119"/>
      <c r="M62" s="119"/>
      <c r="N62" s="119"/>
      <c r="O62" s="119"/>
      <c r="P62" s="119"/>
      <c r="Q62" s="120"/>
      <c r="R62" s="19"/>
      <c r="S62" s="19"/>
      <c r="T62" s="19"/>
      <c r="U62" s="19"/>
    </row>
    <row r="63" spans="1:21" ht="18" customHeight="1" x14ac:dyDescent="0.15">
      <c r="A63" s="76"/>
      <c r="B63" s="118"/>
      <c r="C63" s="119"/>
      <c r="D63" s="119"/>
      <c r="E63" s="119"/>
      <c r="F63" s="120"/>
      <c r="G63" s="19"/>
      <c r="H63" s="19"/>
      <c r="I63" s="19"/>
      <c r="J63" s="19"/>
      <c r="K63" s="118"/>
      <c r="L63" s="119"/>
      <c r="M63" s="119"/>
      <c r="N63" s="119"/>
      <c r="O63" s="119"/>
      <c r="P63" s="119"/>
      <c r="Q63" s="120"/>
      <c r="R63" s="19"/>
      <c r="S63" s="19"/>
      <c r="T63" s="19"/>
      <c r="U63" s="19"/>
    </row>
    <row r="64" spans="1:21" ht="18" customHeight="1" x14ac:dyDescent="0.15">
      <c r="A64" s="76"/>
      <c r="B64" s="118"/>
      <c r="C64" s="119"/>
      <c r="D64" s="119"/>
      <c r="E64" s="119"/>
      <c r="F64" s="120"/>
      <c r="G64" s="19"/>
      <c r="H64" s="19"/>
      <c r="I64" s="19"/>
      <c r="J64" s="19"/>
      <c r="K64" s="118"/>
      <c r="L64" s="119"/>
      <c r="M64" s="119"/>
      <c r="N64" s="119"/>
      <c r="O64" s="119"/>
      <c r="P64" s="119"/>
      <c r="Q64" s="120"/>
      <c r="R64" s="19"/>
      <c r="S64" s="19"/>
      <c r="T64" s="19"/>
      <c r="U64" s="19"/>
    </row>
    <row r="65" spans="1:21" ht="18" customHeight="1" x14ac:dyDescent="0.15">
      <c r="A65" s="76"/>
      <c r="B65" s="118"/>
      <c r="C65" s="119"/>
      <c r="D65" s="119"/>
      <c r="E65" s="119"/>
      <c r="F65" s="120"/>
      <c r="G65" s="19"/>
      <c r="H65" s="19"/>
      <c r="I65" s="19"/>
      <c r="J65" s="19"/>
      <c r="K65" s="118"/>
      <c r="L65" s="119"/>
      <c r="M65" s="119"/>
      <c r="N65" s="119"/>
      <c r="O65" s="119"/>
      <c r="P65" s="119"/>
      <c r="Q65" s="120"/>
      <c r="R65" s="19"/>
      <c r="S65" s="19"/>
      <c r="T65" s="19"/>
      <c r="U65" s="19"/>
    </row>
    <row r="66" spans="1:21" ht="18" customHeight="1" x14ac:dyDescent="0.15">
      <c r="A66" s="76"/>
      <c r="B66" s="121"/>
      <c r="C66" s="122"/>
      <c r="D66" s="122"/>
      <c r="E66" s="122"/>
      <c r="F66" s="123"/>
      <c r="G66" s="20"/>
      <c r="H66" s="20"/>
      <c r="I66" s="21"/>
      <c r="J66" s="21"/>
      <c r="K66" s="121"/>
      <c r="L66" s="122"/>
      <c r="M66" s="122"/>
      <c r="N66" s="122"/>
      <c r="O66" s="122"/>
      <c r="P66" s="122"/>
      <c r="Q66" s="123"/>
      <c r="R66" s="20"/>
      <c r="S66" s="20"/>
      <c r="T66" s="21"/>
      <c r="U66" s="21"/>
    </row>
    <row r="67" spans="1:21" ht="7.5" customHeight="1" x14ac:dyDescent="0.15">
      <c r="B67" s="75"/>
      <c r="C67" s="75"/>
      <c r="D67" s="75"/>
      <c r="E67" s="75"/>
      <c r="F67" s="75"/>
      <c r="G67" s="75"/>
      <c r="H67" s="75"/>
      <c r="I67" s="75"/>
      <c r="J67" s="75"/>
      <c r="K67" s="75"/>
      <c r="L67" s="75"/>
      <c r="M67" s="75"/>
      <c r="N67" s="75"/>
      <c r="O67" s="75"/>
      <c r="P67" s="75"/>
      <c r="Q67" s="75"/>
      <c r="R67" s="75"/>
      <c r="S67" s="75"/>
      <c r="T67" s="75"/>
    </row>
    <row r="68" spans="1:21" ht="18" customHeight="1" x14ac:dyDescent="0.15">
      <c r="A68" s="127" t="s">
        <v>105</v>
      </c>
      <c r="B68" s="127"/>
      <c r="C68" s="127"/>
      <c r="D68" s="127"/>
      <c r="E68" s="127"/>
      <c r="F68" s="127"/>
      <c r="G68" s="127"/>
      <c r="H68" s="127"/>
      <c r="I68" s="127"/>
      <c r="J68" s="127"/>
      <c r="K68" s="127"/>
      <c r="L68" s="127"/>
      <c r="M68" s="127"/>
      <c r="N68" s="127"/>
      <c r="O68" s="127"/>
      <c r="P68" s="127"/>
      <c r="Q68" s="127"/>
      <c r="R68" s="127"/>
      <c r="S68" s="127"/>
      <c r="T68" s="127"/>
      <c r="U68" s="127"/>
    </row>
    <row r="69" spans="1:21" ht="18" customHeight="1" x14ac:dyDescent="0.15">
      <c r="A69" s="127"/>
      <c r="B69" s="127"/>
      <c r="C69" s="127"/>
      <c r="D69" s="127"/>
      <c r="E69" s="127"/>
      <c r="F69" s="127"/>
      <c r="G69" s="127"/>
      <c r="H69" s="127"/>
      <c r="I69" s="127"/>
      <c r="J69" s="127"/>
      <c r="K69" s="127"/>
      <c r="L69" s="127"/>
      <c r="M69" s="127"/>
      <c r="N69" s="127"/>
      <c r="O69" s="127"/>
      <c r="P69" s="127"/>
      <c r="Q69" s="127"/>
      <c r="R69" s="127"/>
      <c r="S69" s="127"/>
      <c r="T69" s="127"/>
      <c r="U69" s="127"/>
    </row>
    <row r="70" spans="1:21" ht="18" customHeight="1" x14ac:dyDescent="0.15">
      <c r="B70" s="109" t="s">
        <v>51</v>
      </c>
      <c r="C70" s="110"/>
      <c r="D70" s="110"/>
      <c r="E70" s="110"/>
      <c r="F70" s="51" t="s">
        <v>77</v>
      </c>
      <c r="G70" s="50" t="s">
        <v>80</v>
      </c>
      <c r="H70" s="17" t="s">
        <v>92</v>
      </c>
      <c r="I70" s="17" t="s">
        <v>72</v>
      </c>
      <c r="J70" s="17" t="s">
        <v>73</v>
      </c>
      <c r="K70" s="109" t="s">
        <v>51</v>
      </c>
      <c r="L70" s="110"/>
      <c r="M70" s="110"/>
      <c r="N70" s="110"/>
      <c r="O70" s="110"/>
      <c r="P70" s="111"/>
      <c r="Q70" s="51" t="s">
        <v>77</v>
      </c>
      <c r="R70" s="50" t="s">
        <v>80</v>
      </c>
      <c r="S70" s="17" t="s">
        <v>92</v>
      </c>
      <c r="T70" s="17" t="s">
        <v>72</v>
      </c>
      <c r="U70" s="17" t="s">
        <v>73</v>
      </c>
    </row>
    <row r="71" spans="1:21" ht="18" customHeight="1" x14ac:dyDescent="0.15">
      <c r="A71" s="76"/>
      <c r="B71" s="124" t="s">
        <v>153</v>
      </c>
      <c r="C71" s="125"/>
      <c r="D71" s="125"/>
      <c r="E71" s="125"/>
      <c r="F71" s="18">
        <v>2</v>
      </c>
      <c r="G71" s="18" t="s">
        <v>142</v>
      </c>
      <c r="H71" s="18" t="s">
        <v>142</v>
      </c>
      <c r="I71" s="18" t="s">
        <v>142</v>
      </c>
      <c r="J71" s="18" t="s">
        <v>143</v>
      </c>
      <c r="K71" s="124"/>
      <c r="L71" s="125"/>
      <c r="M71" s="125"/>
      <c r="N71" s="125"/>
      <c r="O71" s="125"/>
      <c r="P71" s="126"/>
      <c r="Q71" s="18"/>
      <c r="R71" s="18"/>
      <c r="S71" s="18"/>
      <c r="T71" s="18"/>
      <c r="U71" s="18"/>
    </row>
    <row r="72" spans="1:21" ht="18" customHeight="1" x14ac:dyDescent="0.15">
      <c r="A72" s="76"/>
      <c r="B72" s="118"/>
      <c r="C72" s="119"/>
      <c r="D72" s="119"/>
      <c r="E72" s="119"/>
      <c r="F72" s="19"/>
      <c r="G72" s="19"/>
      <c r="H72" s="19"/>
      <c r="I72" s="19"/>
      <c r="J72" s="19"/>
      <c r="K72" s="118"/>
      <c r="L72" s="119"/>
      <c r="M72" s="119"/>
      <c r="N72" s="119"/>
      <c r="O72" s="119"/>
      <c r="P72" s="120"/>
      <c r="Q72" s="19"/>
      <c r="R72" s="19"/>
      <c r="S72" s="19"/>
      <c r="T72" s="19"/>
      <c r="U72" s="19"/>
    </row>
    <row r="73" spans="1:21" ht="18" customHeight="1" x14ac:dyDescent="0.15">
      <c r="A73" s="76"/>
      <c r="B73" s="118"/>
      <c r="C73" s="119"/>
      <c r="D73" s="119"/>
      <c r="E73" s="119"/>
      <c r="F73" s="19"/>
      <c r="G73" s="19"/>
      <c r="H73" s="19"/>
      <c r="I73" s="19"/>
      <c r="J73" s="19"/>
      <c r="K73" s="118"/>
      <c r="L73" s="119"/>
      <c r="M73" s="119"/>
      <c r="N73" s="119"/>
      <c r="O73" s="119"/>
      <c r="P73" s="120"/>
      <c r="Q73" s="19"/>
      <c r="R73" s="19"/>
      <c r="S73" s="19"/>
      <c r="T73" s="19"/>
      <c r="U73" s="19"/>
    </row>
    <row r="74" spans="1:21" ht="18" customHeight="1" x14ac:dyDescent="0.15">
      <c r="A74" s="76"/>
      <c r="B74" s="118"/>
      <c r="C74" s="119"/>
      <c r="D74" s="119"/>
      <c r="E74" s="119"/>
      <c r="F74" s="19"/>
      <c r="G74" s="19"/>
      <c r="H74" s="19"/>
      <c r="I74" s="19"/>
      <c r="J74" s="19"/>
      <c r="K74" s="118"/>
      <c r="L74" s="119"/>
      <c r="M74" s="119"/>
      <c r="N74" s="119"/>
      <c r="O74" s="119"/>
      <c r="P74" s="120"/>
      <c r="Q74" s="19"/>
      <c r="R74" s="19"/>
      <c r="S74" s="19"/>
      <c r="T74" s="19"/>
      <c r="U74" s="19"/>
    </row>
    <row r="75" spans="1:21" ht="18" customHeight="1" x14ac:dyDescent="0.15">
      <c r="A75" s="76"/>
      <c r="B75" s="118"/>
      <c r="C75" s="119"/>
      <c r="D75" s="119"/>
      <c r="E75" s="119"/>
      <c r="F75" s="19"/>
      <c r="G75" s="19"/>
      <c r="H75" s="19"/>
      <c r="I75" s="19"/>
      <c r="J75" s="19"/>
      <c r="K75" s="118"/>
      <c r="L75" s="119"/>
      <c r="M75" s="119"/>
      <c r="N75" s="119"/>
      <c r="O75" s="119"/>
      <c r="P75" s="120"/>
      <c r="Q75" s="19"/>
      <c r="R75" s="19"/>
      <c r="S75" s="19"/>
      <c r="T75" s="19"/>
      <c r="U75" s="19"/>
    </row>
    <row r="76" spans="1:21" ht="18" customHeight="1" x14ac:dyDescent="0.15">
      <c r="A76" s="76"/>
      <c r="B76" s="118"/>
      <c r="C76" s="119"/>
      <c r="D76" s="119"/>
      <c r="E76" s="119"/>
      <c r="F76" s="19"/>
      <c r="G76" s="19"/>
      <c r="H76" s="19"/>
      <c r="I76" s="19"/>
      <c r="J76" s="19"/>
      <c r="K76" s="118"/>
      <c r="L76" s="119"/>
      <c r="M76" s="119"/>
      <c r="N76" s="119"/>
      <c r="O76" s="119"/>
      <c r="P76" s="120"/>
      <c r="Q76" s="19"/>
      <c r="R76" s="19"/>
      <c r="S76" s="19"/>
      <c r="T76" s="19"/>
      <c r="U76" s="19"/>
    </row>
    <row r="77" spans="1:21" ht="18" customHeight="1" x14ac:dyDescent="0.15">
      <c r="A77" s="76"/>
      <c r="B77" s="121"/>
      <c r="C77" s="122"/>
      <c r="D77" s="122"/>
      <c r="E77" s="122"/>
      <c r="F77" s="20"/>
      <c r="G77" s="20"/>
      <c r="H77" s="21"/>
      <c r="I77" s="21"/>
      <c r="J77" s="21"/>
      <c r="K77" s="121"/>
      <c r="L77" s="122"/>
      <c r="M77" s="122"/>
      <c r="N77" s="122"/>
      <c r="O77" s="122"/>
      <c r="P77" s="123"/>
      <c r="Q77" s="20"/>
      <c r="R77" s="20"/>
      <c r="S77" s="21"/>
      <c r="T77" s="21"/>
      <c r="U77" s="21"/>
    </row>
    <row r="78" spans="1:21" ht="7.5" customHeight="1" x14ac:dyDescent="0.15">
      <c r="B78" s="75"/>
      <c r="C78" s="75"/>
      <c r="D78" s="75"/>
      <c r="E78" s="75"/>
      <c r="F78" s="75"/>
      <c r="G78" s="75"/>
      <c r="H78" s="75"/>
      <c r="I78" s="75"/>
      <c r="J78" s="75"/>
      <c r="K78" s="75"/>
      <c r="L78" s="75"/>
      <c r="M78" s="75"/>
      <c r="N78" s="75"/>
      <c r="O78" s="75"/>
      <c r="P78" s="75"/>
      <c r="Q78" s="75"/>
      <c r="R78" s="75"/>
      <c r="S78" s="75"/>
      <c r="T78" s="75"/>
    </row>
    <row r="79" spans="1:21" ht="18" customHeight="1" x14ac:dyDescent="0.15">
      <c r="A79" s="77" t="s">
        <v>106</v>
      </c>
      <c r="I79" s="76"/>
      <c r="J79" s="76"/>
      <c r="K79" s="76"/>
      <c r="L79" s="76"/>
      <c r="M79" s="76"/>
      <c r="N79" s="76"/>
      <c r="O79" s="76"/>
      <c r="P79" s="76"/>
      <c r="Q79" s="76"/>
      <c r="R79" s="76"/>
      <c r="S79" s="76"/>
      <c r="T79" s="76"/>
      <c r="U79" s="76"/>
    </row>
    <row r="80" spans="1:21" ht="18" customHeight="1" x14ac:dyDescent="0.15">
      <c r="B80" s="109" t="s">
        <v>51</v>
      </c>
      <c r="C80" s="110"/>
      <c r="D80" s="110"/>
      <c r="E80" s="110"/>
      <c r="F80" s="111"/>
      <c r="G80" s="109" t="s">
        <v>78</v>
      </c>
      <c r="H80" s="110"/>
      <c r="I80" s="110"/>
      <c r="J80" s="111"/>
      <c r="K80" s="160" t="s">
        <v>51</v>
      </c>
      <c r="L80" s="161"/>
      <c r="M80" s="161"/>
      <c r="N80" s="161"/>
      <c r="O80" s="161"/>
      <c r="P80" s="161"/>
      <c r="Q80" s="162"/>
      <c r="R80" s="109" t="s">
        <v>78</v>
      </c>
      <c r="S80" s="110"/>
      <c r="T80" s="110"/>
      <c r="U80" s="111"/>
    </row>
    <row r="81" spans="1:21" ht="18" customHeight="1" x14ac:dyDescent="0.15">
      <c r="A81" s="76"/>
      <c r="B81" s="124" t="s">
        <v>155</v>
      </c>
      <c r="C81" s="125"/>
      <c r="D81" s="125"/>
      <c r="E81" s="125"/>
      <c r="F81" s="126"/>
      <c r="G81" s="163" t="s">
        <v>147</v>
      </c>
      <c r="H81" s="164"/>
      <c r="I81" s="164"/>
      <c r="J81" s="165"/>
      <c r="K81" s="124"/>
      <c r="L81" s="125"/>
      <c r="M81" s="125"/>
      <c r="N81" s="125"/>
      <c r="O81" s="125"/>
      <c r="P81" s="125"/>
      <c r="Q81" s="126"/>
      <c r="R81" s="163"/>
      <c r="S81" s="164"/>
      <c r="T81" s="164"/>
      <c r="U81" s="165"/>
    </row>
    <row r="82" spans="1:21" ht="18" customHeight="1" x14ac:dyDescent="0.15">
      <c r="A82" s="76"/>
      <c r="B82" s="118" t="s">
        <v>155</v>
      </c>
      <c r="C82" s="119"/>
      <c r="D82" s="119"/>
      <c r="E82" s="119"/>
      <c r="F82" s="120"/>
      <c r="G82" s="152" t="s">
        <v>146</v>
      </c>
      <c r="H82" s="153"/>
      <c r="I82" s="153"/>
      <c r="J82" s="154"/>
      <c r="K82" s="118"/>
      <c r="L82" s="119"/>
      <c r="M82" s="119"/>
      <c r="N82" s="119"/>
      <c r="O82" s="119"/>
      <c r="P82" s="119"/>
      <c r="Q82" s="120"/>
      <c r="R82" s="152"/>
      <c r="S82" s="153"/>
      <c r="T82" s="153"/>
      <c r="U82" s="154"/>
    </row>
    <row r="83" spans="1:21" ht="18" customHeight="1" x14ac:dyDescent="0.15">
      <c r="A83" s="76"/>
      <c r="B83" s="118" t="s">
        <v>155</v>
      </c>
      <c r="C83" s="119"/>
      <c r="D83" s="119"/>
      <c r="E83" s="119"/>
      <c r="F83" s="120"/>
      <c r="G83" s="152" t="s">
        <v>145</v>
      </c>
      <c r="H83" s="153"/>
      <c r="I83" s="153"/>
      <c r="J83" s="154"/>
      <c r="K83" s="118"/>
      <c r="L83" s="119"/>
      <c r="M83" s="119"/>
      <c r="N83" s="119"/>
      <c r="O83" s="119"/>
      <c r="P83" s="119"/>
      <c r="Q83" s="120"/>
      <c r="R83" s="152"/>
      <c r="S83" s="153"/>
      <c r="T83" s="153"/>
      <c r="U83" s="154"/>
    </row>
    <row r="84" spans="1:21" ht="18" customHeight="1" x14ac:dyDescent="0.15">
      <c r="A84" s="76"/>
      <c r="B84" s="118" t="s">
        <v>155</v>
      </c>
      <c r="C84" s="119"/>
      <c r="D84" s="119"/>
      <c r="E84" s="119"/>
      <c r="F84" s="120"/>
      <c r="G84" s="152" t="s">
        <v>144</v>
      </c>
      <c r="H84" s="153"/>
      <c r="I84" s="153"/>
      <c r="J84" s="154"/>
      <c r="K84" s="118"/>
      <c r="L84" s="119"/>
      <c r="M84" s="119"/>
      <c r="N84" s="119"/>
      <c r="O84" s="119"/>
      <c r="P84" s="119"/>
      <c r="Q84" s="120"/>
      <c r="R84" s="152"/>
      <c r="S84" s="153"/>
      <c r="T84" s="153"/>
      <c r="U84" s="154"/>
    </row>
    <row r="85" spans="1:21" ht="18" customHeight="1" x14ac:dyDescent="0.15">
      <c r="A85" s="76"/>
      <c r="B85" s="118"/>
      <c r="C85" s="119"/>
      <c r="D85" s="119"/>
      <c r="E85" s="119"/>
      <c r="F85" s="120"/>
      <c r="G85" s="152"/>
      <c r="H85" s="153"/>
      <c r="I85" s="153"/>
      <c r="J85" s="154"/>
      <c r="K85" s="118"/>
      <c r="L85" s="119"/>
      <c r="M85" s="119"/>
      <c r="N85" s="119"/>
      <c r="O85" s="119"/>
      <c r="P85" s="119"/>
      <c r="Q85" s="120"/>
      <c r="R85" s="152"/>
      <c r="S85" s="153"/>
      <c r="T85" s="153"/>
      <c r="U85" s="154"/>
    </row>
    <row r="86" spans="1:21" ht="18" customHeight="1" x14ac:dyDescent="0.15">
      <c r="A86" s="76"/>
      <c r="B86" s="118"/>
      <c r="C86" s="119"/>
      <c r="D86" s="119"/>
      <c r="E86" s="119"/>
      <c r="F86" s="120"/>
      <c r="G86" s="152"/>
      <c r="H86" s="153"/>
      <c r="I86" s="153"/>
      <c r="J86" s="154"/>
      <c r="K86" s="118"/>
      <c r="L86" s="119"/>
      <c r="M86" s="119"/>
      <c r="N86" s="119"/>
      <c r="O86" s="119"/>
      <c r="P86" s="119"/>
      <c r="Q86" s="120"/>
      <c r="R86" s="152"/>
      <c r="S86" s="153"/>
      <c r="T86" s="153"/>
      <c r="U86" s="154"/>
    </row>
    <row r="87" spans="1:21" ht="18" customHeight="1" x14ac:dyDescent="0.15">
      <c r="A87" s="76"/>
      <c r="B87" s="121"/>
      <c r="C87" s="122"/>
      <c r="D87" s="122"/>
      <c r="E87" s="122"/>
      <c r="F87" s="123"/>
      <c r="G87" s="149"/>
      <c r="H87" s="150"/>
      <c r="I87" s="150"/>
      <c r="J87" s="151"/>
      <c r="K87" s="121"/>
      <c r="L87" s="122"/>
      <c r="M87" s="122"/>
      <c r="N87" s="122"/>
      <c r="O87" s="122"/>
      <c r="P87" s="122"/>
      <c r="Q87" s="123"/>
      <c r="R87" s="149"/>
      <c r="S87" s="150"/>
      <c r="T87" s="150"/>
      <c r="U87" s="151"/>
    </row>
    <row r="88" spans="1:21" ht="18" customHeight="1" x14ac:dyDescent="0.15">
      <c r="A88" s="76"/>
      <c r="B88" s="6"/>
      <c r="C88" s="6"/>
      <c r="D88" s="6"/>
      <c r="E88" s="6"/>
      <c r="F88" s="6"/>
      <c r="G88" s="22"/>
      <c r="H88" s="22"/>
      <c r="I88" s="22"/>
      <c r="J88" s="22"/>
      <c r="K88" s="6"/>
      <c r="L88" s="6"/>
      <c r="M88" s="6"/>
      <c r="N88" s="6"/>
      <c r="O88" s="6"/>
      <c r="P88" s="6"/>
      <c r="Q88" s="6"/>
      <c r="R88" s="22"/>
      <c r="S88" s="22"/>
      <c r="T88" s="22"/>
      <c r="U88" s="22"/>
    </row>
    <row r="89" spans="1:21" ht="18.75" customHeight="1" x14ac:dyDescent="0.15">
      <c r="A89" s="77" t="s">
        <v>107</v>
      </c>
    </row>
    <row r="90" spans="1:21" ht="18.75" customHeight="1" x14ac:dyDescent="0.15">
      <c r="B90" s="158" t="s">
        <v>52</v>
      </c>
      <c r="C90" s="159"/>
      <c r="D90" s="109" t="s">
        <v>53</v>
      </c>
      <c r="E90" s="110"/>
      <c r="F90" s="110"/>
      <c r="G90" s="110"/>
      <c r="H90" s="110"/>
      <c r="I90" s="110"/>
      <c r="J90" s="110"/>
      <c r="K90" s="110"/>
      <c r="L90" s="110"/>
      <c r="M90" s="110"/>
      <c r="N90" s="110"/>
      <c r="O90" s="110"/>
      <c r="P90" s="110"/>
      <c r="Q90" s="110"/>
      <c r="R90" s="110"/>
      <c r="S90" s="110"/>
      <c r="T90" s="110"/>
      <c r="U90" s="111"/>
    </row>
    <row r="91" spans="1:21" ht="97.5" customHeight="1" x14ac:dyDescent="0.15">
      <c r="B91" s="155" t="s">
        <v>59</v>
      </c>
      <c r="C91" s="23" t="s">
        <v>54</v>
      </c>
      <c r="D91" s="97" t="s">
        <v>156</v>
      </c>
      <c r="E91" s="98"/>
      <c r="F91" s="98"/>
      <c r="G91" s="98"/>
      <c r="H91" s="98"/>
      <c r="I91" s="98"/>
      <c r="J91" s="98"/>
      <c r="K91" s="98"/>
      <c r="L91" s="98"/>
      <c r="M91" s="98"/>
      <c r="N91" s="98"/>
      <c r="O91" s="98"/>
      <c r="P91" s="98"/>
      <c r="Q91" s="98"/>
      <c r="R91" s="98"/>
      <c r="S91" s="98"/>
      <c r="T91" s="98"/>
      <c r="U91" s="99"/>
    </row>
    <row r="92" spans="1:21" ht="97.5" customHeight="1" x14ac:dyDescent="0.15">
      <c r="B92" s="156"/>
      <c r="C92" s="24" t="s">
        <v>74</v>
      </c>
      <c r="D92" s="94" t="s">
        <v>157</v>
      </c>
      <c r="E92" s="95"/>
      <c r="F92" s="95"/>
      <c r="G92" s="95"/>
      <c r="H92" s="95"/>
      <c r="I92" s="95"/>
      <c r="J92" s="95"/>
      <c r="K92" s="95"/>
      <c r="L92" s="95"/>
      <c r="M92" s="95"/>
      <c r="N92" s="95"/>
      <c r="O92" s="95"/>
      <c r="P92" s="95"/>
      <c r="Q92" s="95"/>
      <c r="R92" s="95"/>
      <c r="S92" s="95"/>
      <c r="T92" s="95"/>
      <c r="U92" s="96"/>
    </row>
    <row r="93" spans="1:21" ht="97.5" customHeight="1" x14ac:dyDescent="0.15">
      <c r="B93" s="155" t="s">
        <v>60</v>
      </c>
      <c r="C93" s="25" t="s">
        <v>68</v>
      </c>
      <c r="D93" s="97" t="s">
        <v>158</v>
      </c>
      <c r="E93" s="98"/>
      <c r="F93" s="98"/>
      <c r="G93" s="98"/>
      <c r="H93" s="98"/>
      <c r="I93" s="98"/>
      <c r="J93" s="98"/>
      <c r="K93" s="98"/>
      <c r="L93" s="98"/>
      <c r="M93" s="98"/>
      <c r="N93" s="98"/>
      <c r="O93" s="98"/>
      <c r="P93" s="98"/>
      <c r="Q93" s="98"/>
      <c r="R93" s="98"/>
      <c r="S93" s="98"/>
      <c r="T93" s="98"/>
      <c r="U93" s="99"/>
    </row>
    <row r="94" spans="1:21" ht="97.5" customHeight="1" x14ac:dyDescent="0.15">
      <c r="B94" s="157"/>
      <c r="C94" s="26" t="s">
        <v>69</v>
      </c>
      <c r="D94" s="94" t="s">
        <v>159</v>
      </c>
      <c r="E94" s="95"/>
      <c r="F94" s="95"/>
      <c r="G94" s="95"/>
      <c r="H94" s="95"/>
      <c r="I94" s="95"/>
      <c r="J94" s="95"/>
      <c r="K94" s="95"/>
      <c r="L94" s="95"/>
      <c r="M94" s="95"/>
      <c r="N94" s="95"/>
      <c r="O94" s="95"/>
      <c r="P94" s="95"/>
      <c r="Q94" s="95"/>
      <c r="R94" s="95"/>
      <c r="S94" s="95"/>
      <c r="T94" s="95"/>
      <c r="U94" s="96"/>
    </row>
    <row r="95" spans="1:21" ht="97.5" customHeight="1" x14ac:dyDescent="0.15">
      <c r="B95" s="155" t="s">
        <v>61</v>
      </c>
      <c r="C95" s="25" t="s">
        <v>70</v>
      </c>
      <c r="D95" s="97" t="s">
        <v>160</v>
      </c>
      <c r="E95" s="98"/>
      <c r="F95" s="98"/>
      <c r="G95" s="98"/>
      <c r="H95" s="98"/>
      <c r="I95" s="98"/>
      <c r="J95" s="98"/>
      <c r="K95" s="98"/>
      <c r="L95" s="98"/>
      <c r="M95" s="98"/>
      <c r="N95" s="98"/>
      <c r="O95" s="98"/>
      <c r="P95" s="98"/>
      <c r="Q95" s="98"/>
      <c r="R95" s="98"/>
      <c r="S95" s="98"/>
      <c r="T95" s="98"/>
      <c r="U95" s="99"/>
    </row>
    <row r="96" spans="1:21" ht="97.5" customHeight="1" x14ac:dyDescent="0.15">
      <c r="B96" s="157"/>
      <c r="C96" s="27" t="s">
        <v>71</v>
      </c>
      <c r="D96" s="94" t="s">
        <v>161</v>
      </c>
      <c r="E96" s="95"/>
      <c r="F96" s="95"/>
      <c r="G96" s="95"/>
      <c r="H96" s="95"/>
      <c r="I96" s="95"/>
      <c r="J96" s="95"/>
      <c r="K96" s="95"/>
      <c r="L96" s="95"/>
      <c r="M96" s="95"/>
      <c r="N96" s="95"/>
      <c r="O96" s="95"/>
      <c r="P96" s="95"/>
      <c r="Q96" s="95"/>
      <c r="R96" s="95"/>
      <c r="S96" s="95"/>
      <c r="T96" s="95"/>
      <c r="U96" s="96"/>
    </row>
    <row r="97" spans="1:33" ht="97.5" customHeight="1" x14ac:dyDescent="0.15">
      <c r="B97" s="155" t="s">
        <v>75</v>
      </c>
      <c r="C97" s="23" t="s">
        <v>56</v>
      </c>
      <c r="D97" s="97" t="s">
        <v>162</v>
      </c>
      <c r="E97" s="98"/>
      <c r="F97" s="98"/>
      <c r="G97" s="98"/>
      <c r="H97" s="98"/>
      <c r="I97" s="98"/>
      <c r="J97" s="98"/>
      <c r="K97" s="98"/>
      <c r="L97" s="98"/>
      <c r="M97" s="98"/>
      <c r="N97" s="98"/>
      <c r="O97" s="98"/>
      <c r="P97" s="98"/>
      <c r="Q97" s="98"/>
      <c r="R97" s="98"/>
      <c r="S97" s="98"/>
      <c r="T97" s="98"/>
      <c r="U97" s="99"/>
    </row>
    <row r="98" spans="1:33" ht="97.5" customHeight="1" x14ac:dyDescent="0.15">
      <c r="B98" s="157"/>
      <c r="C98" s="26" t="s">
        <v>58</v>
      </c>
      <c r="D98" s="94" t="s">
        <v>163</v>
      </c>
      <c r="E98" s="95"/>
      <c r="F98" s="95"/>
      <c r="G98" s="95"/>
      <c r="H98" s="95"/>
      <c r="I98" s="95"/>
      <c r="J98" s="95"/>
      <c r="K98" s="95"/>
      <c r="L98" s="95"/>
      <c r="M98" s="95"/>
      <c r="N98" s="95"/>
      <c r="O98" s="95"/>
      <c r="P98" s="95"/>
      <c r="Q98" s="95"/>
      <c r="R98" s="95"/>
      <c r="S98" s="95"/>
      <c r="T98" s="95"/>
      <c r="U98" s="96"/>
    </row>
    <row r="99" spans="1:33" ht="97.5" customHeight="1" x14ac:dyDescent="0.15">
      <c r="B99" s="155" t="s">
        <v>76</v>
      </c>
      <c r="C99" s="25" t="s">
        <v>55</v>
      </c>
      <c r="D99" s="97" t="s">
        <v>223</v>
      </c>
      <c r="E99" s="98"/>
      <c r="F99" s="98"/>
      <c r="G99" s="98"/>
      <c r="H99" s="98"/>
      <c r="I99" s="98"/>
      <c r="J99" s="98"/>
      <c r="K99" s="98"/>
      <c r="L99" s="98"/>
      <c r="M99" s="98"/>
      <c r="N99" s="98"/>
      <c r="O99" s="98"/>
      <c r="P99" s="98"/>
      <c r="Q99" s="98"/>
      <c r="R99" s="98"/>
      <c r="S99" s="98"/>
      <c r="T99" s="98"/>
      <c r="U99" s="99"/>
    </row>
    <row r="100" spans="1:33" ht="97.5" customHeight="1" x14ac:dyDescent="0.15">
      <c r="B100" s="156"/>
      <c r="C100" s="28" t="s">
        <v>72</v>
      </c>
      <c r="D100" s="100" t="s">
        <v>164</v>
      </c>
      <c r="E100" s="101"/>
      <c r="F100" s="101"/>
      <c r="G100" s="101"/>
      <c r="H100" s="101"/>
      <c r="I100" s="101"/>
      <c r="J100" s="101"/>
      <c r="K100" s="101"/>
      <c r="L100" s="101"/>
      <c r="M100" s="101"/>
      <c r="N100" s="101"/>
      <c r="O100" s="101"/>
      <c r="P100" s="101"/>
      <c r="Q100" s="101"/>
      <c r="R100" s="101"/>
      <c r="S100" s="101"/>
      <c r="T100" s="101"/>
      <c r="U100" s="102"/>
    </row>
    <row r="101" spans="1:33" ht="97.5" customHeight="1" x14ac:dyDescent="0.15">
      <c r="B101" s="157"/>
      <c r="C101" s="27" t="s">
        <v>73</v>
      </c>
      <c r="D101" s="94" t="s">
        <v>165</v>
      </c>
      <c r="E101" s="95"/>
      <c r="F101" s="95"/>
      <c r="G101" s="95"/>
      <c r="H101" s="95"/>
      <c r="I101" s="95"/>
      <c r="J101" s="95"/>
      <c r="K101" s="95"/>
      <c r="L101" s="95"/>
      <c r="M101" s="95"/>
      <c r="N101" s="95"/>
      <c r="O101" s="95"/>
      <c r="P101" s="95"/>
      <c r="Q101" s="95"/>
      <c r="R101" s="95"/>
      <c r="S101" s="95"/>
      <c r="T101" s="95"/>
      <c r="U101" s="96"/>
    </row>
    <row r="102" spans="1:33" ht="6" customHeight="1" x14ac:dyDescent="0.15"/>
    <row r="103" spans="1:33" ht="18.75" customHeight="1" x14ac:dyDescent="0.15">
      <c r="A103" s="77" t="s">
        <v>108</v>
      </c>
    </row>
    <row r="104" spans="1:33" ht="81.75" customHeight="1" x14ac:dyDescent="0.15">
      <c r="B104" s="146" t="s">
        <v>166</v>
      </c>
      <c r="C104" s="147"/>
      <c r="D104" s="147"/>
      <c r="E104" s="147"/>
      <c r="F104" s="147"/>
      <c r="G104" s="147"/>
      <c r="H104" s="147"/>
      <c r="I104" s="147"/>
      <c r="J104" s="147"/>
      <c r="K104" s="147"/>
      <c r="L104" s="147"/>
      <c r="M104" s="147"/>
      <c r="N104" s="147"/>
      <c r="O104" s="147"/>
      <c r="P104" s="147"/>
      <c r="Q104" s="147"/>
      <c r="R104" s="147"/>
      <c r="S104" s="147"/>
      <c r="T104" s="147"/>
      <c r="U104" s="148"/>
    </row>
    <row r="106" spans="1:33" ht="18.75" customHeight="1" x14ac:dyDescent="0.15">
      <c r="A106" s="78" t="s">
        <v>124</v>
      </c>
      <c r="B106" s="79"/>
      <c r="C106" s="79"/>
      <c r="D106" s="79"/>
      <c r="E106" s="79"/>
      <c r="F106" s="79"/>
      <c r="G106" s="79"/>
      <c r="H106" s="79"/>
      <c r="I106" s="79"/>
      <c r="J106" s="79"/>
      <c r="K106" s="79"/>
      <c r="L106" s="79"/>
      <c r="M106" s="79"/>
      <c r="N106" s="79"/>
      <c r="O106" s="79"/>
      <c r="P106" s="79"/>
      <c r="Q106" s="79"/>
      <c r="R106" s="79"/>
      <c r="S106" s="79"/>
      <c r="T106" s="79"/>
      <c r="U106" s="79"/>
    </row>
    <row r="107" spans="1:33" ht="18.75" customHeight="1" x14ac:dyDescent="0.15">
      <c r="A107" s="78" t="s">
        <v>126</v>
      </c>
      <c r="B107" s="78"/>
      <c r="C107" s="78"/>
      <c r="D107" s="78"/>
      <c r="E107" s="78"/>
      <c r="F107" s="78"/>
      <c r="G107" s="78"/>
      <c r="H107" s="78"/>
      <c r="I107" s="78"/>
      <c r="J107" s="78"/>
      <c r="K107" s="78"/>
      <c r="L107" s="78"/>
      <c r="M107" s="78"/>
      <c r="N107" s="78"/>
      <c r="O107" s="78"/>
      <c r="P107" s="78"/>
      <c r="Q107" s="78"/>
      <c r="R107" s="78"/>
      <c r="S107" s="78"/>
      <c r="T107" s="78"/>
      <c r="U107" s="78"/>
      <c r="V107" s="2"/>
      <c r="W107" s="2"/>
      <c r="X107" s="2"/>
      <c r="Y107" s="2"/>
      <c r="Z107" s="2"/>
      <c r="AA107" s="2"/>
      <c r="AB107" s="2"/>
      <c r="AC107" s="2"/>
      <c r="AD107" s="2"/>
      <c r="AE107" s="2"/>
      <c r="AF107" s="2"/>
      <c r="AG107" s="2"/>
    </row>
    <row r="108" spans="1:33" ht="18.75" customHeight="1" x14ac:dyDescent="0.15">
      <c r="A108" s="78"/>
      <c r="B108" s="93" t="s">
        <v>130</v>
      </c>
      <c r="C108" s="93"/>
      <c r="D108" s="93"/>
      <c r="E108" s="93"/>
      <c r="F108" s="93"/>
      <c r="G108" s="93"/>
      <c r="H108" s="93"/>
      <c r="I108" s="93"/>
      <c r="J108" s="93"/>
      <c r="K108" s="93"/>
      <c r="L108" s="93"/>
      <c r="M108" s="93"/>
      <c r="N108" s="93"/>
      <c r="O108" s="93"/>
      <c r="P108" s="93"/>
      <c r="Q108" s="93"/>
      <c r="R108" s="93"/>
      <c r="S108" s="93"/>
      <c r="T108" s="93"/>
      <c r="U108" s="93"/>
      <c r="V108" s="71"/>
      <c r="W108" s="71"/>
      <c r="X108" s="71"/>
      <c r="Y108" s="71"/>
      <c r="Z108" s="71"/>
      <c r="AA108" s="71"/>
      <c r="AB108" s="71"/>
      <c r="AC108" s="71"/>
      <c r="AD108" s="71"/>
      <c r="AE108" s="71"/>
      <c r="AF108" s="71"/>
      <c r="AG108" s="71"/>
    </row>
    <row r="109" spans="1:33" ht="37.15" customHeight="1" x14ac:dyDescent="0.15">
      <c r="A109" s="78"/>
      <c r="B109" s="93"/>
      <c r="C109" s="93"/>
      <c r="D109" s="93"/>
      <c r="E109" s="93"/>
      <c r="F109" s="93"/>
      <c r="G109" s="93"/>
      <c r="H109" s="93"/>
      <c r="I109" s="93"/>
      <c r="J109" s="93"/>
      <c r="K109" s="93"/>
      <c r="L109" s="93"/>
      <c r="M109" s="93"/>
      <c r="N109" s="93"/>
      <c r="O109" s="93"/>
      <c r="P109" s="93"/>
      <c r="Q109" s="93"/>
      <c r="R109" s="93"/>
      <c r="S109" s="93"/>
      <c r="T109" s="93"/>
      <c r="U109" s="93"/>
      <c r="V109" s="71"/>
      <c r="W109" s="71"/>
      <c r="X109" s="71"/>
      <c r="Y109" s="71"/>
      <c r="Z109" s="71"/>
      <c r="AA109" s="71"/>
      <c r="AB109" s="71"/>
      <c r="AC109" s="71"/>
      <c r="AD109" s="71"/>
      <c r="AE109" s="71"/>
      <c r="AF109" s="71"/>
      <c r="AG109" s="71"/>
    </row>
    <row r="110" spans="1:33" ht="18.75" customHeight="1" x14ac:dyDescent="0.15">
      <c r="A110" s="78"/>
      <c r="B110" s="166" t="s">
        <v>125</v>
      </c>
      <c r="C110" s="166"/>
      <c r="D110" s="166"/>
      <c r="E110" s="166"/>
      <c r="F110" s="166"/>
      <c r="G110" s="166"/>
      <c r="H110" s="166"/>
      <c r="I110" s="166"/>
      <c r="J110" s="166"/>
      <c r="K110" s="166"/>
      <c r="L110" s="166"/>
      <c r="M110" s="166"/>
      <c r="N110" s="166"/>
      <c r="O110" s="166"/>
      <c r="P110" s="166"/>
      <c r="Q110" s="166"/>
      <c r="R110" s="166"/>
      <c r="S110" s="166"/>
      <c r="T110" s="166"/>
      <c r="U110" s="166"/>
      <c r="V110" s="71"/>
      <c r="W110" s="71"/>
      <c r="X110" s="71"/>
      <c r="Y110" s="71"/>
      <c r="Z110" s="71"/>
      <c r="AA110" s="71"/>
      <c r="AB110" s="71"/>
      <c r="AC110" s="71"/>
      <c r="AD110" s="71"/>
      <c r="AE110" s="71"/>
      <c r="AF110" s="71"/>
      <c r="AG110" s="71"/>
    </row>
    <row r="111" spans="1:33" ht="18.75" customHeight="1" x14ac:dyDescent="0.15">
      <c r="A111" s="78"/>
      <c r="B111" s="167" t="s">
        <v>53</v>
      </c>
      <c r="C111" s="167"/>
      <c r="D111" s="167"/>
      <c r="E111" s="167"/>
      <c r="F111" s="167"/>
      <c r="G111" s="167"/>
      <c r="H111" s="167"/>
      <c r="I111" s="167"/>
      <c r="J111" s="167"/>
      <c r="K111" s="167"/>
      <c r="L111" s="167"/>
      <c r="M111" s="167"/>
      <c r="N111" s="167"/>
      <c r="O111" s="167"/>
      <c r="P111" s="167"/>
      <c r="Q111" s="167"/>
      <c r="R111" s="167"/>
      <c r="S111" s="167"/>
      <c r="T111" s="167"/>
      <c r="U111" s="167"/>
      <c r="V111" s="70"/>
      <c r="W111" s="70"/>
      <c r="X111" s="70"/>
      <c r="Y111" s="70"/>
      <c r="Z111" s="70"/>
      <c r="AA111" s="70"/>
      <c r="AB111" s="70"/>
      <c r="AC111" s="70"/>
      <c r="AD111" s="70"/>
      <c r="AE111" s="70"/>
      <c r="AF111" s="70"/>
      <c r="AG111" s="70"/>
    </row>
    <row r="112" spans="1:33" ht="132" customHeight="1" x14ac:dyDescent="0.15">
      <c r="A112" s="78"/>
      <c r="B112" s="168" t="s">
        <v>167</v>
      </c>
      <c r="C112" s="168"/>
      <c r="D112" s="168"/>
      <c r="E112" s="168"/>
      <c r="F112" s="168"/>
      <c r="G112" s="168"/>
      <c r="H112" s="168"/>
      <c r="I112" s="168"/>
      <c r="J112" s="168"/>
      <c r="K112" s="168"/>
      <c r="L112" s="168"/>
      <c r="M112" s="168"/>
      <c r="N112" s="168"/>
      <c r="O112" s="168"/>
      <c r="P112" s="168"/>
      <c r="Q112" s="168"/>
      <c r="R112" s="168"/>
      <c r="S112" s="168"/>
      <c r="T112" s="168"/>
      <c r="U112" s="168"/>
      <c r="V112" s="72"/>
      <c r="W112" s="72"/>
      <c r="X112" s="72"/>
      <c r="Y112" s="72"/>
      <c r="Z112" s="72"/>
      <c r="AA112" s="72"/>
      <c r="AB112" s="72"/>
      <c r="AC112" s="72"/>
      <c r="AD112" s="72"/>
      <c r="AE112" s="72"/>
      <c r="AF112" s="72"/>
      <c r="AG112" s="72"/>
    </row>
    <row r="114" ht="18" customHeight="1" x14ac:dyDescent="0.15"/>
  </sheetData>
  <mergeCells count="148">
    <mergeCell ref="T1:U1"/>
    <mergeCell ref="C2:J2"/>
    <mergeCell ref="C3:J3"/>
    <mergeCell ref="A5:U5"/>
    <mergeCell ref="L7:U7"/>
    <mergeCell ref="B11:U12"/>
    <mergeCell ref="B28:F28"/>
    <mergeCell ref="K28:Q28"/>
    <mergeCell ref="B29:F29"/>
    <mergeCell ref="K29:Q29"/>
    <mergeCell ref="B30:F30"/>
    <mergeCell ref="K30:Q30"/>
    <mergeCell ref="B15:U20"/>
    <mergeCell ref="N22:U22"/>
    <mergeCell ref="A24:U25"/>
    <mergeCell ref="B26:F26"/>
    <mergeCell ref="K26:Q26"/>
    <mergeCell ref="B27:F27"/>
    <mergeCell ref="K27:Q27"/>
    <mergeCell ref="A35:U36"/>
    <mergeCell ref="B37:F37"/>
    <mergeCell ref="K37:Q37"/>
    <mergeCell ref="B38:F38"/>
    <mergeCell ref="K38:Q38"/>
    <mergeCell ref="B39:F39"/>
    <mergeCell ref="K39:Q39"/>
    <mergeCell ref="B31:F31"/>
    <mergeCell ref="K31:Q31"/>
    <mergeCell ref="B32:F32"/>
    <mergeCell ref="K32:Q32"/>
    <mergeCell ref="B33:F33"/>
    <mergeCell ref="K33:Q33"/>
    <mergeCell ref="B43:F43"/>
    <mergeCell ref="K43:Q43"/>
    <mergeCell ref="B44:F44"/>
    <mergeCell ref="K44:Q44"/>
    <mergeCell ref="A46:U47"/>
    <mergeCell ref="B48:F48"/>
    <mergeCell ref="K48:Q48"/>
    <mergeCell ref="B40:F40"/>
    <mergeCell ref="K40:Q40"/>
    <mergeCell ref="B41:F41"/>
    <mergeCell ref="K41:Q41"/>
    <mergeCell ref="B42:F42"/>
    <mergeCell ref="K42:Q42"/>
    <mergeCell ref="B52:F52"/>
    <mergeCell ref="K52:Q52"/>
    <mergeCell ref="B53:F53"/>
    <mergeCell ref="K53:Q53"/>
    <mergeCell ref="B54:F54"/>
    <mergeCell ref="K54:Q54"/>
    <mergeCell ref="B49:F49"/>
    <mergeCell ref="K49:Q49"/>
    <mergeCell ref="B50:F50"/>
    <mergeCell ref="K50:Q50"/>
    <mergeCell ref="B51:F51"/>
    <mergeCell ref="K51:Q51"/>
    <mergeCell ref="B61:F61"/>
    <mergeCell ref="K61:Q61"/>
    <mergeCell ref="B62:F62"/>
    <mergeCell ref="K62:Q62"/>
    <mergeCell ref="B63:F63"/>
    <mergeCell ref="K63:Q63"/>
    <mergeCell ref="B55:F55"/>
    <mergeCell ref="K55:Q55"/>
    <mergeCell ref="A57:U58"/>
    <mergeCell ref="B59:F59"/>
    <mergeCell ref="K59:Q59"/>
    <mergeCell ref="B60:F60"/>
    <mergeCell ref="K60:Q60"/>
    <mergeCell ref="A68:U69"/>
    <mergeCell ref="B70:E70"/>
    <mergeCell ref="K70:P70"/>
    <mergeCell ref="B71:E71"/>
    <mergeCell ref="K71:P71"/>
    <mergeCell ref="B72:E72"/>
    <mergeCell ref="K72:P72"/>
    <mergeCell ref="B64:F64"/>
    <mergeCell ref="K64:Q64"/>
    <mergeCell ref="B65:F65"/>
    <mergeCell ref="K65:Q65"/>
    <mergeCell ref="B66:F66"/>
    <mergeCell ref="K66:Q66"/>
    <mergeCell ref="B76:E76"/>
    <mergeCell ref="K76:P76"/>
    <mergeCell ref="B77:E77"/>
    <mergeCell ref="K77:P77"/>
    <mergeCell ref="B80:F80"/>
    <mergeCell ref="G80:J80"/>
    <mergeCell ref="K80:Q80"/>
    <mergeCell ref="B73:E73"/>
    <mergeCell ref="K73:P73"/>
    <mergeCell ref="B74:E74"/>
    <mergeCell ref="K74:P74"/>
    <mergeCell ref="B75:E75"/>
    <mergeCell ref="K75:P75"/>
    <mergeCell ref="B83:F83"/>
    <mergeCell ref="G83:J83"/>
    <mergeCell ref="K83:Q83"/>
    <mergeCell ref="R83:U83"/>
    <mergeCell ref="B84:F84"/>
    <mergeCell ref="G84:J84"/>
    <mergeCell ref="K84:Q84"/>
    <mergeCell ref="R84:U84"/>
    <mergeCell ref="R80:U80"/>
    <mergeCell ref="B81:F81"/>
    <mergeCell ref="G81:J81"/>
    <mergeCell ref="K81:Q81"/>
    <mergeCell ref="R81:U81"/>
    <mergeCell ref="B82:F82"/>
    <mergeCell ref="G82:J82"/>
    <mergeCell ref="K82:Q82"/>
    <mergeCell ref="R82:U82"/>
    <mergeCell ref="B87:F87"/>
    <mergeCell ref="G87:J87"/>
    <mergeCell ref="K87:Q87"/>
    <mergeCell ref="R87:U87"/>
    <mergeCell ref="B90:C90"/>
    <mergeCell ref="D90:U90"/>
    <mergeCell ref="B85:F85"/>
    <mergeCell ref="G85:J85"/>
    <mergeCell ref="K85:Q85"/>
    <mergeCell ref="R85:U85"/>
    <mergeCell ref="B86:F86"/>
    <mergeCell ref="G86:J86"/>
    <mergeCell ref="K86:Q86"/>
    <mergeCell ref="R86:U86"/>
    <mergeCell ref="B95:B96"/>
    <mergeCell ref="D95:U95"/>
    <mergeCell ref="D96:U96"/>
    <mergeCell ref="B97:B98"/>
    <mergeCell ref="D97:U97"/>
    <mergeCell ref="D98:U98"/>
    <mergeCell ref="B91:B92"/>
    <mergeCell ref="D91:U91"/>
    <mergeCell ref="D92:U92"/>
    <mergeCell ref="B93:B94"/>
    <mergeCell ref="D93:U93"/>
    <mergeCell ref="D94:U94"/>
    <mergeCell ref="B110:U110"/>
    <mergeCell ref="B111:U111"/>
    <mergeCell ref="B112:U112"/>
    <mergeCell ref="B99:B101"/>
    <mergeCell ref="D99:U99"/>
    <mergeCell ref="D100:U100"/>
    <mergeCell ref="D101:U101"/>
    <mergeCell ref="B104:U104"/>
    <mergeCell ref="B108:U109"/>
  </mergeCells>
  <phoneticPr fontId="1"/>
  <conditionalFormatting sqref="B11:U12">
    <cfRule type="expression" dxfId="3" priority="1">
      <formula>$L$7="学部・学科によって、修了要件は相違しない"</formula>
    </cfRule>
    <cfRule type="expression" dxfId="2" priority="2">
      <formula>$L$9="学部・学科によって、修了要件は相違しない"</formula>
    </cfRule>
  </conditionalFormatting>
  <dataValidations count="5">
    <dataValidation type="list" allowBlank="1" showInputMessage="1" showErrorMessage="1" sqref="N22:U22">
      <formula1>$X$16:$X$18</formula1>
    </dataValidation>
    <dataValidation type="list" allowBlank="1" showInputMessage="1" showErrorMessage="1" sqref="G81:G88 R81:R88 H81:J82 H85:J88 S85:U88 S81:U82">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L14 L7:U7">
      <formula1>"学部・学科によって、修了要件は相違する,学部・学科によって、修了要件は相違しない"</formula1>
    </dataValidation>
    <dataValidation type="list" allowBlank="1" showInputMessage="1" showErrorMessage="1" sqref="U34 U45 E34:H34 E45:H45">
      <formula1>"全学開講,一部開講"</formula1>
    </dataValidation>
    <dataValidation type="list" allowBlank="1" showInputMessage="1" showErrorMessage="1" sqref="H27:J33 S27:U33 H38:J44 S38:U44 H49:J55 S49:U55 H60:J66 S60:U66 G71:J77 R71:U77">
      <formula1>"○"</formula1>
    </dataValidation>
  </dataValidations>
  <printOptions horizontalCentered="1"/>
  <pageMargins left="0.78740157480314965" right="0.78740157480314965" top="0.78740157480314965" bottom="0.19685039370078741" header="0.31496062992125984" footer="0.19685039370078741"/>
  <pageSetup paperSize="9" scale="68" fitToHeight="0" orientation="portrait" r:id="rId1"/>
  <headerFooter>
    <oddHeader>&amp;C数理・データサイエンス・AI教育プログラム認定制度【リテラシーレベル】令和６年度申請用</oddHeader>
  </headerFooter>
  <rowBreaks count="2" manualBreakCount="2">
    <brk id="67" max="20" man="1"/>
    <brk id="96" max="20"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G114"/>
  <sheetViews>
    <sheetView showZeros="0" view="pageBreakPreview" zoomScaleNormal="100" zoomScaleSheetLayoutView="100" workbookViewId="0"/>
  </sheetViews>
  <sheetFormatPr defaultColWidth="9" defaultRowHeight="18.75" customHeight="1" x14ac:dyDescent="0.15"/>
  <cols>
    <col min="1" max="1" width="2.5" style="77" customWidth="1"/>
    <col min="2" max="2" width="16.5" style="77" customWidth="1"/>
    <col min="3" max="21" width="5.625" style="77" customWidth="1"/>
    <col min="22" max="22" width="9" style="77"/>
    <col min="23" max="23" width="3.625" style="77" customWidth="1"/>
    <col min="24" max="24" width="48.625" style="77" hidden="1" customWidth="1"/>
    <col min="25" max="16384" width="9" style="77"/>
  </cols>
  <sheetData>
    <row r="1" spans="1:24" ht="18.600000000000001" customHeight="1" x14ac:dyDescent="0.15">
      <c r="A1" s="80"/>
      <c r="B1" s="80"/>
      <c r="C1" s="80"/>
      <c r="D1" s="80"/>
      <c r="E1" s="80"/>
      <c r="F1" s="80"/>
      <c r="G1" s="80"/>
      <c r="H1" s="80"/>
      <c r="I1" s="80"/>
      <c r="J1" s="80"/>
      <c r="K1" s="80"/>
      <c r="L1" s="80"/>
      <c r="M1" s="80"/>
      <c r="N1" s="80"/>
      <c r="O1" s="80"/>
      <c r="P1" s="80"/>
      <c r="Q1" s="80"/>
      <c r="R1" s="80"/>
      <c r="S1" s="80"/>
      <c r="T1" s="128" t="s">
        <v>229</v>
      </c>
      <c r="U1" s="128"/>
      <c r="V1" s="2" t="s">
        <v>99</v>
      </c>
    </row>
    <row r="2" spans="1:24" ht="18.75" customHeight="1" x14ac:dyDescent="0.15">
      <c r="A2" s="80"/>
      <c r="B2" s="91" t="s">
        <v>98</v>
      </c>
      <c r="C2" s="129" t="s">
        <v>136</v>
      </c>
      <c r="D2" s="130"/>
      <c r="E2" s="130"/>
      <c r="F2" s="130"/>
      <c r="G2" s="130"/>
      <c r="H2" s="130"/>
      <c r="I2" s="130"/>
      <c r="J2" s="131"/>
      <c r="K2" s="82"/>
      <c r="L2" s="83"/>
      <c r="M2" s="83"/>
      <c r="N2" s="83"/>
      <c r="O2" s="83"/>
      <c r="P2" s="83"/>
      <c r="Q2" s="83"/>
      <c r="R2" s="83"/>
      <c r="S2" s="83"/>
      <c r="T2" s="83"/>
      <c r="U2" s="83"/>
    </row>
    <row r="3" spans="1:24" ht="18.75" customHeight="1" x14ac:dyDescent="0.15">
      <c r="A3" s="80"/>
      <c r="B3" s="91" t="s">
        <v>93</v>
      </c>
      <c r="C3" s="132" t="s">
        <v>137</v>
      </c>
      <c r="D3" s="133"/>
      <c r="E3" s="133"/>
      <c r="F3" s="133"/>
      <c r="G3" s="133"/>
      <c r="H3" s="133"/>
      <c r="I3" s="133"/>
      <c r="J3" s="134"/>
      <c r="K3" s="82"/>
      <c r="L3" s="83"/>
      <c r="M3" s="83"/>
      <c r="N3" s="83"/>
      <c r="O3" s="83"/>
      <c r="P3" s="83"/>
      <c r="Q3" s="83"/>
      <c r="R3" s="83"/>
      <c r="S3" s="83"/>
      <c r="T3" s="83"/>
      <c r="U3" s="83"/>
    </row>
    <row r="4" spans="1:24" ht="15" customHeight="1" x14ac:dyDescent="0.15">
      <c r="A4" s="80"/>
      <c r="B4" s="80"/>
      <c r="C4" s="80"/>
      <c r="D4" s="80"/>
      <c r="E4" s="80"/>
      <c r="F4" s="80"/>
      <c r="G4" s="80"/>
      <c r="H4" s="80"/>
      <c r="I4" s="80"/>
      <c r="J4" s="80"/>
      <c r="K4" s="80"/>
      <c r="L4" s="82"/>
      <c r="M4" s="84"/>
      <c r="N4" s="84"/>
      <c r="O4" s="84"/>
      <c r="P4" s="84"/>
      <c r="Q4" s="84"/>
      <c r="R4" s="84"/>
      <c r="S4" s="84"/>
      <c r="T4" s="84"/>
      <c r="U4" s="84"/>
    </row>
    <row r="5" spans="1:24" ht="18" customHeight="1" x14ac:dyDescent="0.15">
      <c r="A5" s="135" t="s">
        <v>37</v>
      </c>
      <c r="B5" s="135"/>
      <c r="C5" s="135"/>
      <c r="D5" s="135"/>
      <c r="E5" s="135"/>
      <c r="F5" s="135"/>
      <c r="G5" s="135"/>
      <c r="H5" s="135"/>
      <c r="I5" s="135"/>
      <c r="J5" s="135"/>
      <c r="K5" s="135"/>
      <c r="L5" s="135"/>
      <c r="M5" s="135"/>
      <c r="N5" s="135"/>
      <c r="O5" s="135"/>
      <c r="P5" s="135"/>
      <c r="Q5" s="135"/>
      <c r="R5" s="135"/>
      <c r="S5" s="135"/>
      <c r="T5" s="135"/>
      <c r="U5" s="135"/>
    </row>
    <row r="6" spans="1:24" ht="15" customHeight="1" x14ac:dyDescent="0.15">
      <c r="A6" s="80"/>
      <c r="B6" s="85"/>
      <c r="C6" s="85"/>
      <c r="D6" s="85"/>
      <c r="E6" s="85"/>
      <c r="F6" s="85"/>
      <c r="G6" s="85"/>
      <c r="H6" s="85"/>
      <c r="I6" s="85"/>
      <c r="J6" s="85"/>
      <c r="K6" s="85"/>
      <c r="L6" s="85"/>
      <c r="M6" s="85"/>
      <c r="N6" s="85"/>
      <c r="O6" s="85"/>
      <c r="P6" s="85"/>
      <c r="Q6" s="85"/>
      <c r="R6" s="85"/>
      <c r="S6" s="85"/>
      <c r="T6" s="85"/>
      <c r="U6" s="85"/>
    </row>
    <row r="7" spans="1:24" ht="15" customHeight="1" x14ac:dyDescent="0.15">
      <c r="A7" s="80" t="s">
        <v>131</v>
      </c>
      <c r="B7" s="85"/>
      <c r="C7" s="85"/>
      <c r="D7" s="85"/>
      <c r="E7" s="85"/>
      <c r="F7" s="86"/>
      <c r="G7" s="86"/>
      <c r="H7" s="86"/>
      <c r="I7" s="86"/>
      <c r="J7" s="86"/>
      <c r="K7" s="86"/>
      <c r="L7" s="106" t="s">
        <v>129</v>
      </c>
      <c r="M7" s="107"/>
      <c r="N7" s="107"/>
      <c r="O7" s="107"/>
      <c r="P7" s="107"/>
      <c r="Q7" s="107"/>
      <c r="R7" s="107"/>
      <c r="S7" s="107"/>
      <c r="T7" s="107"/>
      <c r="U7" s="108"/>
    </row>
    <row r="8" spans="1:24" ht="6" customHeight="1" x14ac:dyDescent="0.15">
      <c r="A8" s="80"/>
      <c r="B8" s="85"/>
      <c r="C8" s="85"/>
      <c r="D8" s="85"/>
      <c r="E8" s="85"/>
      <c r="F8" s="85"/>
      <c r="G8" s="85"/>
      <c r="H8" s="85"/>
      <c r="I8" s="85"/>
      <c r="J8" s="85"/>
      <c r="K8" s="85"/>
      <c r="L8" s="85"/>
      <c r="M8" s="85"/>
      <c r="N8" s="85"/>
      <c r="O8" s="85"/>
      <c r="P8" s="85"/>
      <c r="Q8" s="85"/>
      <c r="R8" s="85"/>
      <c r="S8" s="85"/>
      <c r="T8" s="85"/>
      <c r="U8" s="85"/>
    </row>
    <row r="9" spans="1:24" ht="18" customHeight="1" x14ac:dyDescent="0.15">
      <c r="A9" s="80" t="s">
        <v>132</v>
      </c>
      <c r="B9" s="80"/>
      <c r="C9" s="85"/>
      <c r="D9" s="85"/>
      <c r="E9" s="80"/>
      <c r="F9" s="80"/>
      <c r="G9" s="80"/>
      <c r="H9" s="80"/>
      <c r="I9" s="80"/>
      <c r="J9" s="80"/>
      <c r="K9" s="82"/>
      <c r="L9" s="86"/>
      <c r="M9" s="86"/>
      <c r="N9" s="86"/>
      <c r="O9" s="86"/>
      <c r="P9" s="86"/>
      <c r="Q9" s="86"/>
      <c r="R9" s="86"/>
      <c r="S9" s="86"/>
      <c r="T9" s="86"/>
      <c r="U9" s="86"/>
    </row>
    <row r="10" spans="1:24" ht="6" customHeight="1" x14ac:dyDescent="0.15">
      <c r="A10" s="80"/>
      <c r="B10" s="85"/>
      <c r="C10" s="85"/>
      <c r="D10" s="85"/>
      <c r="E10" s="85"/>
      <c r="F10" s="85"/>
      <c r="G10" s="85"/>
      <c r="H10" s="85"/>
      <c r="I10" s="85"/>
      <c r="J10" s="85"/>
      <c r="K10" s="85"/>
      <c r="L10" s="87"/>
      <c r="M10" s="85"/>
      <c r="N10" s="85"/>
      <c r="O10" s="85"/>
      <c r="P10" s="85"/>
      <c r="Q10" s="85"/>
      <c r="R10" s="85"/>
      <c r="S10" s="85"/>
      <c r="T10" s="85"/>
      <c r="U10" s="85"/>
    </row>
    <row r="11" spans="1:24" ht="18" customHeight="1" x14ac:dyDescent="0.15">
      <c r="A11" s="80"/>
      <c r="B11" s="112" t="s">
        <v>169</v>
      </c>
      <c r="C11" s="113"/>
      <c r="D11" s="113"/>
      <c r="E11" s="113"/>
      <c r="F11" s="113"/>
      <c r="G11" s="113"/>
      <c r="H11" s="113"/>
      <c r="I11" s="113"/>
      <c r="J11" s="113"/>
      <c r="K11" s="113"/>
      <c r="L11" s="113"/>
      <c r="M11" s="113"/>
      <c r="N11" s="113"/>
      <c r="O11" s="113"/>
      <c r="P11" s="113"/>
      <c r="Q11" s="113"/>
      <c r="R11" s="113"/>
      <c r="S11" s="113"/>
      <c r="T11" s="113"/>
      <c r="U11" s="114"/>
    </row>
    <row r="12" spans="1:24" ht="18" customHeight="1" x14ac:dyDescent="0.15">
      <c r="A12" s="80"/>
      <c r="B12" s="115"/>
      <c r="C12" s="116"/>
      <c r="D12" s="116"/>
      <c r="E12" s="116"/>
      <c r="F12" s="116"/>
      <c r="G12" s="116"/>
      <c r="H12" s="116"/>
      <c r="I12" s="116"/>
      <c r="J12" s="116"/>
      <c r="K12" s="116"/>
      <c r="L12" s="116"/>
      <c r="M12" s="116"/>
      <c r="N12" s="116"/>
      <c r="O12" s="116"/>
      <c r="P12" s="116"/>
      <c r="Q12" s="116"/>
      <c r="R12" s="116"/>
      <c r="S12" s="116"/>
      <c r="T12" s="116"/>
      <c r="U12" s="117"/>
    </row>
    <row r="13" spans="1:24" ht="6" customHeight="1" x14ac:dyDescent="0.15">
      <c r="A13" s="80"/>
      <c r="B13" s="85"/>
      <c r="C13" s="85"/>
      <c r="D13" s="85"/>
      <c r="E13" s="85"/>
      <c r="F13" s="85"/>
      <c r="G13" s="85"/>
      <c r="H13" s="85"/>
      <c r="I13" s="85"/>
      <c r="J13" s="85"/>
      <c r="K13" s="85"/>
      <c r="L13" s="87"/>
      <c r="M13" s="85"/>
      <c r="N13" s="85"/>
      <c r="O13" s="85"/>
      <c r="P13" s="85"/>
      <c r="Q13" s="85"/>
      <c r="R13" s="85"/>
      <c r="S13" s="85"/>
      <c r="T13" s="85"/>
      <c r="U13" s="85"/>
    </row>
    <row r="14" spans="1:24" ht="18" customHeight="1" x14ac:dyDescent="0.15">
      <c r="A14" s="80" t="s">
        <v>100</v>
      </c>
      <c r="B14" s="85"/>
      <c r="C14" s="85"/>
      <c r="D14" s="85"/>
      <c r="E14" s="82"/>
      <c r="F14" s="82"/>
      <c r="G14" s="82"/>
      <c r="H14" s="82"/>
      <c r="I14" s="82"/>
      <c r="J14" s="82"/>
      <c r="K14" s="82"/>
      <c r="L14" s="88"/>
      <c r="M14" s="88"/>
      <c r="N14" s="88"/>
      <c r="O14" s="88"/>
      <c r="P14" s="88"/>
      <c r="Q14" s="88"/>
      <c r="R14" s="88"/>
      <c r="S14" s="88"/>
      <c r="T14" s="88"/>
      <c r="U14" s="88"/>
    </row>
    <row r="15" spans="1:24" ht="18" customHeight="1" x14ac:dyDescent="0.15">
      <c r="A15" s="80"/>
      <c r="B15" s="136" t="s">
        <v>170</v>
      </c>
      <c r="C15" s="137"/>
      <c r="D15" s="137"/>
      <c r="E15" s="137"/>
      <c r="F15" s="137"/>
      <c r="G15" s="137"/>
      <c r="H15" s="137"/>
      <c r="I15" s="137"/>
      <c r="J15" s="137"/>
      <c r="K15" s="137"/>
      <c r="L15" s="137"/>
      <c r="M15" s="137"/>
      <c r="N15" s="137"/>
      <c r="O15" s="137"/>
      <c r="P15" s="137"/>
      <c r="Q15" s="137"/>
      <c r="R15" s="137"/>
      <c r="S15" s="137"/>
      <c r="T15" s="137"/>
      <c r="U15" s="138"/>
      <c r="X15" s="77" t="s">
        <v>94</v>
      </c>
    </row>
    <row r="16" spans="1:24" ht="18" customHeight="1" x14ac:dyDescent="0.15">
      <c r="A16" s="80"/>
      <c r="B16" s="139"/>
      <c r="C16" s="140"/>
      <c r="D16" s="140"/>
      <c r="E16" s="140"/>
      <c r="F16" s="140"/>
      <c r="G16" s="140"/>
      <c r="H16" s="140"/>
      <c r="I16" s="140"/>
      <c r="J16" s="140"/>
      <c r="K16" s="140"/>
      <c r="L16" s="140"/>
      <c r="M16" s="140"/>
      <c r="N16" s="140"/>
      <c r="O16" s="140"/>
      <c r="P16" s="140"/>
      <c r="Q16" s="140"/>
      <c r="R16" s="140"/>
      <c r="S16" s="140"/>
      <c r="T16" s="140"/>
      <c r="U16" s="141"/>
      <c r="X16" s="77" t="s">
        <v>114</v>
      </c>
    </row>
    <row r="17" spans="1:24" ht="18" customHeight="1" x14ac:dyDescent="0.15">
      <c r="A17" s="80"/>
      <c r="B17" s="139"/>
      <c r="C17" s="140"/>
      <c r="D17" s="140"/>
      <c r="E17" s="140"/>
      <c r="F17" s="140"/>
      <c r="G17" s="140"/>
      <c r="H17" s="140"/>
      <c r="I17" s="140"/>
      <c r="J17" s="140"/>
      <c r="K17" s="140"/>
      <c r="L17" s="140"/>
      <c r="M17" s="140"/>
      <c r="N17" s="140"/>
      <c r="O17" s="140"/>
      <c r="P17" s="140"/>
      <c r="Q17" s="140"/>
      <c r="R17" s="140"/>
      <c r="S17" s="140"/>
      <c r="T17" s="140"/>
      <c r="U17" s="141"/>
      <c r="X17" s="77" t="s">
        <v>115</v>
      </c>
    </row>
    <row r="18" spans="1:24" ht="18" customHeight="1" x14ac:dyDescent="0.15">
      <c r="A18" s="80"/>
      <c r="B18" s="139"/>
      <c r="C18" s="140"/>
      <c r="D18" s="140"/>
      <c r="E18" s="140"/>
      <c r="F18" s="140"/>
      <c r="G18" s="140"/>
      <c r="H18" s="140"/>
      <c r="I18" s="140"/>
      <c r="J18" s="140"/>
      <c r="K18" s="140"/>
      <c r="L18" s="140"/>
      <c r="M18" s="140"/>
      <c r="N18" s="140"/>
      <c r="O18" s="140"/>
      <c r="P18" s="140"/>
      <c r="Q18" s="140"/>
      <c r="R18" s="140"/>
      <c r="S18" s="140"/>
      <c r="T18" s="140"/>
      <c r="U18" s="141"/>
      <c r="X18" s="77" t="s">
        <v>116</v>
      </c>
    </row>
    <row r="19" spans="1:24" ht="18" customHeight="1" x14ac:dyDescent="0.15">
      <c r="A19" s="80"/>
      <c r="B19" s="139"/>
      <c r="C19" s="140"/>
      <c r="D19" s="140"/>
      <c r="E19" s="140"/>
      <c r="F19" s="140"/>
      <c r="G19" s="140"/>
      <c r="H19" s="140"/>
      <c r="I19" s="140"/>
      <c r="J19" s="140"/>
      <c r="K19" s="140"/>
      <c r="L19" s="140"/>
      <c r="M19" s="140"/>
      <c r="N19" s="140"/>
      <c r="O19" s="140"/>
      <c r="P19" s="140"/>
      <c r="Q19" s="140"/>
      <c r="R19" s="140"/>
      <c r="S19" s="140"/>
      <c r="T19" s="140"/>
      <c r="U19" s="141"/>
    </row>
    <row r="20" spans="1:24" ht="18" customHeight="1" x14ac:dyDescent="0.15">
      <c r="A20" s="80"/>
      <c r="B20" s="142"/>
      <c r="C20" s="143"/>
      <c r="D20" s="143"/>
      <c r="E20" s="143"/>
      <c r="F20" s="143"/>
      <c r="G20" s="143"/>
      <c r="H20" s="143"/>
      <c r="I20" s="143"/>
      <c r="J20" s="143"/>
      <c r="K20" s="143"/>
      <c r="L20" s="143"/>
      <c r="M20" s="143"/>
      <c r="N20" s="143"/>
      <c r="O20" s="143"/>
      <c r="P20" s="143"/>
      <c r="Q20" s="143"/>
      <c r="R20" s="143"/>
      <c r="S20" s="143"/>
      <c r="T20" s="143"/>
      <c r="U20" s="144"/>
    </row>
    <row r="21" spans="1:24" ht="7.5" customHeight="1" x14ac:dyDescent="0.15">
      <c r="A21" s="80"/>
      <c r="B21" s="85"/>
      <c r="C21" s="85"/>
      <c r="D21" s="85"/>
      <c r="E21" s="85"/>
      <c r="F21" s="85"/>
      <c r="G21" s="85"/>
      <c r="H21" s="85"/>
      <c r="I21" s="85"/>
      <c r="J21" s="85"/>
      <c r="K21" s="85"/>
      <c r="L21" s="85"/>
      <c r="M21" s="85"/>
      <c r="N21" s="85"/>
      <c r="O21" s="85"/>
      <c r="P21" s="85"/>
      <c r="Q21" s="85"/>
      <c r="R21" s="85"/>
      <c r="S21" s="85"/>
      <c r="T21" s="85"/>
      <c r="U21" s="85"/>
    </row>
    <row r="22" spans="1:24" ht="19.899999999999999" customHeight="1" x14ac:dyDescent="0.15">
      <c r="A22" s="80"/>
      <c r="B22" s="80" t="s">
        <v>133</v>
      </c>
      <c r="C22" s="80"/>
      <c r="D22" s="80"/>
      <c r="E22" s="89">
        <v>1</v>
      </c>
      <c r="F22" s="80" t="s">
        <v>112</v>
      </c>
      <c r="G22" s="80"/>
      <c r="H22" s="90">
        <v>2</v>
      </c>
      <c r="I22" s="85" t="s">
        <v>113</v>
      </c>
      <c r="J22" s="85"/>
      <c r="K22" s="82"/>
      <c r="L22" s="80"/>
      <c r="M22" s="82" t="s">
        <v>109</v>
      </c>
      <c r="N22" s="103" t="s">
        <v>116</v>
      </c>
      <c r="O22" s="104"/>
      <c r="P22" s="104"/>
      <c r="Q22" s="104"/>
      <c r="R22" s="104"/>
      <c r="S22" s="104"/>
      <c r="T22" s="104"/>
      <c r="U22" s="105"/>
    </row>
    <row r="23" spans="1:24" ht="7.5" customHeight="1" x14ac:dyDescent="0.15">
      <c r="A23" s="80"/>
      <c r="B23" s="85"/>
      <c r="C23" s="85"/>
      <c r="D23" s="85"/>
      <c r="E23" s="85"/>
      <c r="F23" s="85"/>
      <c r="G23" s="85"/>
      <c r="H23" s="85"/>
      <c r="I23" s="85"/>
      <c r="J23" s="85"/>
      <c r="K23" s="85"/>
      <c r="L23" s="85"/>
      <c r="M23" s="85"/>
      <c r="N23" s="85"/>
      <c r="O23" s="85"/>
      <c r="P23" s="85"/>
      <c r="Q23" s="85"/>
      <c r="R23" s="85"/>
      <c r="S23" s="85"/>
      <c r="T23" s="85"/>
      <c r="U23" s="85"/>
    </row>
    <row r="24" spans="1:24" ht="18" customHeight="1" x14ac:dyDescent="0.15">
      <c r="A24" s="145" t="s">
        <v>101</v>
      </c>
      <c r="B24" s="145"/>
      <c r="C24" s="145"/>
      <c r="D24" s="145"/>
      <c r="E24" s="145"/>
      <c r="F24" s="145"/>
      <c r="G24" s="145"/>
      <c r="H24" s="145"/>
      <c r="I24" s="145"/>
      <c r="J24" s="145"/>
      <c r="K24" s="145"/>
      <c r="L24" s="145"/>
      <c r="M24" s="145"/>
      <c r="N24" s="145"/>
      <c r="O24" s="145"/>
      <c r="P24" s="145"/>
      <c r="Q24" s="145"/>
      <c r="R24" s="145"/>
      <c r="S24" s="145"/>
      <c r="T24" s="145"/>
      <c r="U24" s="145"/>
    </row>
    <row r="25" spans="1:24" ht="18" customHeight="1" x14ac:dyDescent="0.15">
      <c r="A25" s="145"/>
      <c r="B25" s="145"/>
      <c r="C25" s="145"/>
      <c r="D25" s="145"/>
      <c r="E25" s="145"/>
      <c r="F25" s="145"/>
      <c r="G25" s="145"/>
      <c r="H25" s="145"/>
      <c r="I25" s="145"/>
      <c r="J25" s="145"/>
      <c r="K25" s="145"/>
      <c r="L25" s="145"/>
      <c r="M25" s="145"/>
      <c r="N25" s="145"/>
      <c r="O25" s="145"/>
      <c r="P25" s="145"/>
      <c r="Q25" s="145"/>
      <c r="R25" s="145"/>
      <c r="S25" s="145"/>
      <c r="T25" s="145"/>
      <c r="U25" s="145"/>
    </row>
    <row r="26" spans="1:24" ht="18" customHeight="1" x14ac:dyDescent="0.15">
      <c r="B26" s="109" t="s">
        <v>51</v>
      </c>
      <c r="C26" s="110"/>
      <c r="D26" s="110"/>
      <c r="E26" s="110"/>
      <c r="F26" s="111"/>
      <c r="G26" s="51" t="s">
        <v>77</v>
      </c>
      <c r="H26" s="50" t="s">
        <v>80</v>
      </c>
      <c r="I26" s="17" t="s">
        <v>54</v>
      </c>
      <c r="J26" s="17" t="s">
        <v>57</v>
      </c>
      <c r="K26" s="109" t="s">
        <v>51</v>
      </c>
      <c r="L26" s="110"/>
      <c r="M26" s="110"/>
      <c r="N26" s="110"/>
      <c r="O26" s="110"/>
      <c r="P26" s="110"/>
      <c r="Q26" s="111"/>
      <c r="R26" s="51" t="s">
        <v>77</v>
      </c>
      <c r="S26" s="50" t="s">
        <v>80</v>
      </c>
      <c r="T26" s="17" t="s">
        <v>54</v>
      </c>
      <c r="U26" s="17" t="s">
        <v>57</v>
      </c>
    </row>
    <row r="27" spans="1:24" ht="18" customHeight="1" x14ac:dyDescent="0.15">
      <c r="B27" s="124" t="s">
        <v>172</v>
      </c>
      <c r="C27" s="125"/>
      <c r="D27" s="125"/>
      <c r="E27" s="125"/>
      <c r="F27" s="126"/>
      <c r="G27" s="18">
        <v>2</v>
      </c>
      <c r="H27" s="18" t="s">
        <v>142</v>
      </c>
      <c r="I27" s="18" t="s">
        <v>142</v>
      </c>
      <c r="J27" s="18" t="s">
        <v>142</v>
      </c>
      <c r="K27" s="124"/>
      <c r="L27" s="125"/>
      <c r="M27" s="125"/>
      <c r="N27" s="125"/>
      <c r="O27" s="125"/>
      <c r="P27" s="125"/>
      <c r="Q27" s="126"/>
      <c r="R27" s="18"/>
      <c r="S27" s="18"/>
      <c r="T27" s="18"/>
      <c r="U27" s="18"/>
    </row>
    <row r="28" spans="1:24" ht="18" customHeight="1" x14ac:dyDescent="0.15">
      <c r="B28" s="118"/>
      <c r="C28" s="119"/>
      <c r="D28" s="119"/>
      <c r="E28" s="119"/>
      <c r="F28" s="120"/>
      <c r="G28" s="19"/>
      <c r="H28" s="19"/>
      <c r="I28" s="19"/>
      <c r="J28" s="19"/>
      <c r="K28" s="118"/>
      <c r="L28" s="119"/>
      <c r="M28" s="119"/>
      <c r="N28" s="119"/>
      <c r="O28" s="119"/>
      <c r="P28" s="119"/>
      <c r="Q28" s="120"/>
      <c r="R28" s="19"/>
      <c r="S28" s="19"/>
      <c r="T28" s="19"/>
      <c r="U28" s="19"/>
    </row>
    <row r="29" spans="1:24" ht="18" customHeight="1" x14ac:dyDescent="0.15">
      <c r="B29" s="118"/>
      <c r="C29" s="119"/>
      <c r="D29" s="119"/>
      <c r="E29" s="119"/>
      <c r="F29" s="120"/>
      <c r="G29" s="19"/>
      <c r="H29" s="19"/>
      <c r="I29" s="19"/>
      <c r="J29" s="19"/>
      <c r="K29" s="118"/>
      <c r="L29" s="119"/>
      <c r="M29" s="119"/>
      <c r="N29" s="119"/>
      <c r="O29" s="119"/>
      <c r="P29" s="119"/>
      <c r="Q29" s="120"/>
      <c r="R29" s="19"/>
      <c r="S29" s="19"/>
      <c r="T29" s="19"/>
      <c r="U29" s="19"/>
    </row>
    <row r="30" spans="1:24" ht="18" customHeight="1" x14ac:dyDescent="0.15">
      <c r="B30" s="118"/>
      <c r="C30" s="119"/>
      <c r="D30" s="119"/>
      <c r="E30" s="119"/>
      <c r="F30" s="120"/>
      <c r="G30" s="19"/>
      <c r="H30" s="19"/>
      <c r="I30" s="19"/>
      <c r="J30" s="19"/>
      <c r="K30" s="118"/>
      <c r="L30" s="119"/>
      <c r="M30" s="119"/>
      <c r="N30" s="119"/>
      <c r="O30" s="119"/>
      <c r="P30" s="119"/>
      <c r="Q30" s="120"/>
      <c r="R30" s="19"/>
      <c r="S30" s="19"/>
      <c r="T30" s="19"/>
      <c r="U30" s="19"/>
    </row>
    <row r="31" spans="1:24" ht="18" customHeight="1" x14ac:dyDescent="0.15">
      <c r="B31" s="118"/>
      <c r="C31" s="119"/>
      <c r="D31" s="119"/>
      <c r="E31" s="119"/>
      <c r="F31" s="120"/>
      <c r="G31" s="19"/>
      <c r="H31" s="19"/>
      <c r="I31" s="19"/>
      <c r="J31" s="19"/>
      <c r="K31" s="118"/>
      <c r="L31" s="119"/>
      <c r="M31" s="119"/>
      <c r="N31" s="119"/>
      <c r="O31" s="119"/>
      <c r="P31" s="119"/>
      <c r="Q31" s="120"/>
      <c r="R31" s="19"/>
      <c r="S31" s="19"/>
      <c r="T31" s="19"/>
      <c r="U31" s="19"/>
    </row>
    <row r="32" spans="1:24" ht="18" customHeight="1" x14ac:dyDescent="0.15">
      <c r="A32" s="76"/>
      <c r="B32" s="118"/>
      <c r="C32" s="119"/>
      <c r="D32" s="119"/>
      <c r="E32" s="119"/>
      <c r="F32" s="120"/>
      <c r="G32" s="19"/>
      <c r="H32" s="19"/>
      <c r="I32" s="19"/>
      <c r="J32" s="19"/>
      <c r="K32" s="118"/>
      <c r="L32" s="119"/>
      <c r="M32" s="119"/>
      <c r="N32" s="119"/>
      <c r="O32" s="119"/>
      <c r="P32" s="119"/>
      <c r="Q32" s="120"/>
      <c r="R32" s="19"/>
      <c r="S32" s="19"/>
      <c r="T32" s="19"/>
      <c r="U32" s="19"/>
    </row>
    <row r="33" spans="1:21" ht="18" customHeight="1" x14ac:dyDescent="0.15">
      <c r="A33" s="76"/>
      <c r="B33" s="121"/>
      <c r="C33" s="122"/>
      <c r="D33" s="122"/>
      <c r="E33" s="122"/>
      <c r="F33" s="123"/>
      <c r="G33" s="20"/>
      <c r="H33" s="20"/>
      <c r="I33" s="21"/>
      <c r="J33" s="21"/>
      <c r="K33" s="121"/>
      <c r="L33" s="122"/>
      <c r="M33" s="122"/>
      <c r="N33" s="122"/>
      <c r="O33" s="122"/>
      <c r="P33" s="122"/>
      <c r="Q33" s="123"/>
      <c r="R33" s="20"/>
      <c r="S33" s="20"/>
      <c r="T33" s="21"/>
      <c r="U33" s="21"/>
    </row>
    <row r="34" spans="1:21" ht="7.5" customHeight="1" x14ac:dyDescent="0.15">
      <c r="A34" s="76"/>
      <c r="B34" s="6"/>
      <c r="C34" s="6"/>
      <c r="D34" s="6"/>
      <c r="E34" s="76"/>
      <c r="F34" s="76"/>
      <c r="G34" s="76"/>
      <c r="H34" s="76"/>
      <c r="I34" s="6"/>
      <c r="J34" s="6"/>
      <c r="K34" s="6"/>
      <c r="L34" s="6"/>
      <c r="M34" s="6"/>
      <c r="N34" s="6"/>
      <c r="O34" s="6"/>
      <c r="P34" s="6"/>
      <c r="Q34" s="6"/>
      <c r="R34" s="6"/>
      <c r="S34" s="6"/>
      <c r="T34" s="6"/>
      <c r="U34" s="76"/>
    </row>
    <row r="35" spans="1:21" ht="18" customHeight="1" x14ac:dyDescent="0.15">
      <c r="A35" s="127" t="s">
        <v>102</v>
      </c>
      <c r="B35" s="127"/>
      <c r="C35" s="127"/>
      <c r="D35" s="127"/>
      <c r="E35" s="127"/>
      <c r="F35" s="127"/>
      <c r="G35" s="127"/>
      <c r="H35" s="127"/>
      <c r="I35" s="127"/>
      <c r="J35" s="127"/>
      <c r="K35" s="127"/>
      <c r="L35" s="127"/>
      <c r="M35" s="127"/>
      <c r="N35" s="127"/>
      <c r="O35" s="127"/>
      <c r="P35" s="127"/>
      <c r="Q35" s="127"/>
      <c r="R35" s="127"/>
      <c r="S35" s="127"/>
      <c r="T35" s="127"/>
      <c r="U35" s="127"/>
    </row>
    <row r="36" spans="1:21" ht="18" customHeight="1" x14ac:dyDescent="0.15">
      <c r="A36" s="127"/>
      <c r="B36" s="127"/>
      <c r="C36" s="127"/>
      <c r="D36" s="127"/>
      <c r="E36" s="127"/>
      <c r="F36" s="127"/>
      <c r="G36" s="127"/>
      <c r="H36" s="127"/>
      <c r="I36" s="127"/>
      <c r="J36" s="127"/>
      <c r="K36" s="127"/>
      <c r="L36" s="127"/>
      <c r="M36" s="127"/>
      <c r="N36" s="127"/>
      <c r="O36" s="127"/>
      <c r="P36" s="127"/>
      <c r="Q36" s="127"/>
      <c r="R36" s="127"/>
      <c r="S36" s="127"/>
      <c r="T36" s="127"/>
      <c r="U36" s="127"/>
    </row>
    <row r="37" spans="1:21" ht="18" customHeight="1" x14ac:dyDescent="0.15">
      <c r="B37" s="109" t="s">
        <v>51</v>
      </c>
      <c r="C37" s="110"/>
      <c r="D37" s="110"/>
      <c r="E37" s="110"/>
      <c r="F37" s="111"/>
      <c r="G37" s="51" t="s">
        <v>77</v>
      </c>
      <c r="H37" s="50" t="s">
        <v>80</v>
      </c>
      <c r="I37" s="17" t="s">
        <v>68</v>
      </c>
      <c r="J37" s="17" t="s">
        <v>69</v>
      </c>
      <c r="K37" s="109" t="s">
        <v>51</v>
      </c>
      <c r="L37" s="110"/>
      <c r="M37" s="110"/>
      <c r="N37" s="110"/>
      <c r="O37" s="110"/>
      <c r="P37" s="110"/>
      <c r="Q37" s="111"/>
      <c r="R37" s="51" t="s">
        <v>77</v>
      </c>
      <c r="S37" s="50" t="s">
        <v>80</v>
      </c>
      <c r="T37" s="17" t="s">
        <v>68</v>
      </c>
      <c r="U37" s="17" t="s">
        <v>69</v>
      </c>
    </row>
    <row r="38" spans="1:21" ht="18" customHeight="1" x14ac:dyDescent="0.15">
      <c r="B38" s="124" t="s">
        <v>172</v>
      </c>
      <c r="C38" s="125"/>
      <c r="D38" s="125"/>
      <c r="E38" s="125"/>
      <c r="F38" s="126"/>
      <c r="G38" s="18">
        <v>2</v>
      </c>
      <c r="H38" s="18" t="s">
        <v>142</v>
      </c>
      <c r="I38" s="18" t="s">
        <v>142</v>
      </c>
      <c r="J38" s="18" t="s">
        <v>142</v>
      </c>
      <c r="K38" s="124"/>
      <c r="L38" s="125"/>
      <c r="M38" s="125"/>
      <c r="N38" s="125"/>
      <c r="O38" s="125"/>
      <c r="P38" s="125"/>
      <c r="Q38" s="126"/>
      <c r="R38" s="18"/>
      <c r="S38" s="18"/>
      <c r="T38" s="18"/>
      <c r="U38" s="18"/>
    </row>
    <row r="39" spans="1:21" ht="18" customHeight="1" x14ac:dyDescent="0.15">
      <c r="B39" s="118"/>
      <c r="C39" s="119"/>
      <c r="D39" s="119"/>
      <c r="E39" s="119"/>
      <c r="F39" s="120"/>
      <c r="G39" s="19"/>
      <c r="H39" s="19"/>
      <c r="I39" s="19"/>
      <c r="J39" s="19"/>
      <c r="K39" s="118"/>
      <c r="L39" s="119"/>
      <c r="M39" s="119"/>
      <c r="N39" s="119"/>
      <c r="O39" s="119"/>
      <c r="P39" s="119"/>
      <c r="Q39" s="120"/>
      <c r="R39" s="19"/>
      <c r="S39" s="19"/>
      <c r="T39" s="19"/>
      <c r="U39" s="19"/>
    </row>
    <row r="40" spans="1:21" ht="18" customHeight="1" x14ac:dyDescent="0.15">
      <c r="B40" s="118"/>
      <c r="C40" s="119"/>
      <c r="D40" s="119"/>
      <c r="E40" s="119"/>
      <c r="F40" s="120"/>
      <c r="G40" s="19"/>
      <c r="H40" s="19"/>
      <c r="I40" s="19"/>
      <c r="J40" s="19"/>
      <c r="K40" s="118"/>
      <c r="L40" s="119"/>
      <c r="M40" s="119"/>
      <c r="N40" s="119"/>
      <c r="O40" s="119"/>
      <c r="P40" s="119"/>
      <c r="Q40" s="120"/>
      <c r="R40" s="19"/>
      <c r="S40" s="19"/>
      <c r="T40" s="19"/>
      <c r="U40" s="19"/>
    </row>
    <row r="41" spans="1:21" ht="18" customHeight="1" x14ac:dyDescent="0.15">
      <c r="B41" s="118"/>
      <c r="C41" s="119"/>
      <c r="D41" s="119"/>
      <c r="E41" s="119"/>
      <c r="F41" s="120"/>
      <c r="G41" s="19"/>
      <c r="H41" s="19"/>
      <c r="I41" s="19"/>
      <c r="J41" s="19"/>
      <c r="K41" s="118"/>
      <c r="L41" s="119"/>
      <c r="M41" s="119"/>
      <c r="N41" s="119"/>
      <c r="O41" s="119"/>
      <c r="P41" s="119"/>
      <c r="Q41" s="120"/>
      <c r="R41" s="19"/>
      <c r="S41" s="19"/>
      <c r="T41" s="19"/>
      <c r="U41" s="19"/>
    </row>
    <row r="42" spans="1:21" ht="18" customHeight="1" x14ac:dyDescent="0.15">
      <c r="B42" s="118"/>
      <c r="C42" s="119"/>
      <c r="D42" s="119"/>
      <c r="E42" s="119"/>
      <c r="F42" s="120"/>
      <c r="G42" s="19"/>
      <c r="H42" s="19"/>
      <c r="I42" s="19"/>
      <c r="J42" s="19"/>
      <c r="K42" s="118"/>
      <c r="L42" s="119"/>
      <c r="M42" s="119"/>
      <c r="N42" s="119"/>
      <c r="O42" s="119"/>
      <c r="P42" s="119"/>
      <c r="Q42" s="120"/>
      <c r="R42" s="19"/>
      <c r="S42" s="19"/>
      <c r="T42" s="19"/>
      <c r="U42" s="19"/>
    </row>
    <row r="43" spans="1:21" ht="18" customHeight="1" x14ac:dyDescent="0.15">
      <c r="B43" s="118"/>
      <c r="C43" s="119"/>
      <c r="D43" s="119"/>
      <c r="E43" s="119"/>
      <c r="F43" s="120"/>
      <c r="G43" s="19"/>
      <c r="H43" s="19"/>
      <c r="I43" s="19"/>
      <c r="J43" s="19"/>
      <c r="K43" s="118"/>
      <c r="L43" s="119"/>
      <c r="M43" s="119"/>
      <c r="N43" s="119"/>
      <c r="O43" s="119"/>
      <c r="P43" s="119"/>
      <c r="Q43" s="120"/>
      <c r="R43" s="19"/>
      <c r="S43" s="19"/>
      <c r="T43" s="19"/>
      <c r="U43" s="19"/>
    </row>
    <row r="44" spans="1:21" ht="18" customHeight="1" x14ac:dyDescent="0.15">
      <c r="B44" s="121"/>
      <c r="C44" s="122"/>
      <c r="D44" s="122"/>
      <c r="E44" s="122"/>
      <c r="F44" s="123"/>
      <c r="G44" s="20"/>
      <c r="H44" s="20"/>
      <c r="I44" s="21"/>
      <c r="J44" s="21"/>
      <c r="K44" s="121"/>
      <c r="L44" s="122"/>
      <c r="M44" s="122"/>
      <c r="N44" s="122"/>
      <c r="O44" s="122"/>
      <c r="P44" s="122"/>
      <c r="Q44" s="123"/>
      <c r="R44" s="20"/>
      <c r="S44" s="20"/>
      <c r="T44" s="21"/>
      <c r="U44" s="21"/>
    </row>
    <row r="45" spans="1:21" ht="7.5" customHeight="1" x14ac:dyDescent="0.15">
      <c r="A45" s="76"/>
      <c r="B45" s="6"/>
      <c r="C45" s="6"/>
      <c r="D45" s="6"/>
      <c r="E45" s="76"/>
      <c r="F45" s="76"/>
      <c r="G45" s="76"/>
      <c r="H45" s="76"/>
      <c r="I45" s="6"/>
      <c r="J45" s="6"/>
      <c r="K45" s="6"/>
      <c r="L45" s="6"/>
      <c r="M45" s="6"/>
      <c r="N45" s="6"/>
      <c r="O45" s="6"/>
      <c r="P45" s="6"/>
      <c r="Q45" s="6"/>
      <c r="R45" s="6"/>
      <c r="S45" s="6"/>
      <c r="T45" s="6"/>
      <c r="U45" s="76"/>
    </row>
    <row r="46" spans="1:21" ht="18" customHeight="1" x14ac:dyDescent="0.15">
      <c r="A46" s="127" t="s">
        <v>103</v>
      </c>
      <c r="B46" s="127"/>
      <c r="C46" s="127"/>
      <c r="D46" s="127"/>
      <c r="E46" s="127"/>
      <c r="F46" s="127"/>
      <c r="G46" s="127"/>
      <c r="H46" s="127"/>
      <c r="I46" s="127"/>
      <c r="J46" s="127"/>
      <c r="K46" s="127"/>
      <c r="L46" s="127"/>
      <c r="M46" s="127"/>
      <c r="N46" s="127"/>
      <c r="O46" s="127"/>
      <c r="P46" s="127"/>
      <c r="Q46" s="127"/>
      <c r="R46" s="127"/>
      <c r="S46" s="127"/>
      <c r="T46" s="127"/>
      <c r="U46" s="127"/>
    </row>
    <row r="47" spans="1:21" ht="18" customHeight="1" x14ac:dyDescent="0.15">
      <c r="A47" s="127"/>
      <c r="B47" s="127"/>
      <c r="C47" s="127"/>
      <c r="D47" s="127"/>
      <c r="E47" s="127"/>
      <c r="F47" s="127"/>
      <c r="G47" s="127"/>
      <c r="H47" s="127"/>
      <c r="I47" s="127"/>
      <c r="J47" s="127"/>
      <c r="K47" s="127"/>
      <c r="L47" s="127"/>
      <c r="M47" s="127"/>
      <c r="N47" s="127"/>
      <c r="O47" s="127"/>
      <c r="P47" s="127"/>
      <c r="Q47" s="127"/>
      <c r="R47" s="127"/>
      <c r="S47" s="127"/>
      <c r="T47" s="127"/>
      <c r="U47" s="127"/>
    </row>
    <row r="48" spans="1:21" ht="18" customHeight="1" x14ac:dyDescent="0.15">
      <c r="B48" s="109" t="s">
        <v>51</v>
      </c>
      <c r="C48" s="110"/>
      <c r="D48" s="110"/>
      <c r="E48" s="110"/>
      <c r="F48" s="111"/>
      <c r="G48" s="51" t="s">
        <v>77</v>
      </c>
      <c r="H48" s="50" t="s">
        <v>80</v>
      </c>
      <c r="I48" s="17" t="s">
        <v>70</v>
      </c>
      <c r="J48" s="17" t="s">
        <v>71</v>
      </c>
      <c r="K48" s="109" t="s">
        <v>51</v>
      </c>
      <c r="L48" s="110"/>
      <c r="M48" s="110"/>
      <c r="N48" s="110"/>
      <c r="O48" s="110"/>
      <c r="P48" s="110"/>
      <c r="Q48" s="111"/>
      <c r="R48" s="51" t="s">
        <v>77</v>
      </c>
      <c r="S48" s="50" t="s">
        <v>80</v>
      </c>
      <c r="T48" s="17" t="s">
        <v>70</v>
      </c>
      <c r="U48" s="17" t="s">
        <v>71</v>
      </c>
    </row>
    <row r="49" spans="1:21" ht="18" customHeight="1" x14ac:dyDescent="0.15">
      <c r="A49" s="76"/>
      <c r="B49" s="124" t="s">
        <v>172</v>
      </c>
      <c r="C49" s="125"/>
      <c r="D49" s="125"/>
      <c r="E49" s="125"/>
      <c r="F49" s="126"/>
      <c r="G49" s="18">
        <v>2</v>
      </c>
      <c r="H49" s="18" t="s">
        <v>142</v>
      </c>
      <c r="I49" s="18" t="s">
        <v>142</v>
      </c>
      <c r="J49" s="18" t="s">
        <v>142</v>
      </c>
      <c r="K49" s="124"/>
      <c r="L49" s="125"/>
      <c r="M49" s="125"/>
      <c r="N49" s="125"/>
      <c r="O49" s="125"/>
      <c r="P49" s="125"/>
      <c r="Q49" s="126"/>
      <c r="R49" s="18"/>
      <c r="S49" s="18"/>
      <c r="T49" s="18"/>
      <c r="U49" s="18"/>
    </row>
    <row r="50" spans="1:21" ht="18" customHeight="1" x14ac:dyDescent="0.15">
      <c r="A50" s="76"/>
      <c r="B50" s="118"/>
      <c r="C50" s="119"/>
      <c r="D50" s="119"/>
      <c r="E50" s="119"/>
      <c r="F50" s="120"/>
      <c r="G50" s="19"/>
      <c r="H50" s="19"/>
      <c r="I50" s="19"/>
      <c r="J50" s="19"/>
      <c r="K50" s="118"/>
      <c r="L50" s="119"/>
      <c r="M50" s="119"/>
      <c r="N50" s="119"/>
      <c r="O50" s="119"/>
      <c r="P50" s="119"/>
      <c r="Q50" s="120"/>
      <c r="R50" s="19"/>
      <c r="S50" s="19"/>
      <c r="T50" s="19"/>
      <c r="U50" s="19"/>
    </row>
    <row r="51" spans="1:21" ht="18" customHeight="1" x14ac:dyDescent="0.15">
      <c r="A51" s="76"/>
      <c r="B51" s="118"/>
      <c r="C51" s="119"/>
      <c r="D51" s="119"/>
      <c r="E51" s="119"/>
      <c r="F51" s="120"/>
      <c r="G51" s="19"/>
      <c r="H51" s="19"/>
      <c r="I51" s="19"/>
      <c r="J51" s="19"/>
      <c r="K51" s="118"/>
      <c r="L51" s="119"/>
      <c r="M51" s="119"/>
      <c r="N51" s="119"/>
      <c r="O51" s="119"/>
      <c r="P51" s="119"/>
      <c r="Q51" s="120"/>
      <c r="R51" s="19"/>
      <c r="S51" s="19"/>
      <c r="T51" s="19"/>
      <c r="U51" s="19"/>
    </row>
    <row r="52" spans="1:21" ht="18" customHeight="1" x14ac:dyDescent="0.15">
      <c r="A52" s="76"/>
      <c r="B52" s="118"/>
      <c r="C52" s="119"/>
      <c r="D52" s="119"/>
      <c r="E52" s="119"/>
      <c r="F52" s="120"/>
      <c r="G52" s="19"/>
      <c r="H52" s="19"/>
      <c r="I52" s="19"/>
      <c r="J52" s="19"/>
      <c r="K52" s="118"/>
      <c r="L52" s="119"/>
      <c r="M52" s="119"/>
      <c r="N52" s="119"/>
      <c r="O52" s="119"/>
      <c r="P52" s="119"/>
      <c r="Q52" s="120"/>
      <c r="R52" s="19"/>
      <c r="S52" s="19"/>
      <c r="T52" s="19"/>
      <c r="U52" s="19"/>
    </row>
    <row r="53" spans="1:21" ht="18" customHeight="1" x14ac:dyDescent="0.15">
      <c r="A53" s="76"/>
      <c r="B53" s="118"/>
      <c r="C53" s="119"/>
      <c r="D53" s="119"/>
      <c r="E53" s="119"/>
      <c r="F53" s="120"/>
      <c r="G53" s="19"/>
      <c r="H53" s="19"/>
      <c r="I53" s="19"/>
      <c r="J53" s="19"/>
      <c r="K53" s="118"/>
      <c r="L53" s="119"/>
      <c r="M53" s="119"/>
      <c r="N53" s="119"/>
      <c r="O53" s="119"/>
      <c r="P53" s="119"/>
      <c r="Q53" s="120"/>
      <c r="R53" s="19"/>
      <c r="S53" s="19"/>
      <c r="T53" s="19"/>
      <c r="U53" s="19"/>
    </row>
    <row r="54" spans="1:21" ht="18" customHeight="1" x14ac:dyDescent="0.15">
      <c r="A54" s="76"/>
      <c r="B54" s="118"/>
      <c r="C54" s="119"/>
      <c r="D54" s="119"/>
      <c r="E54" s="119"/>
      <c r="F54" s="120"/>
      <c r="G54" s="19"/>
      <c r="H54" s="19"/>
      <c r="I54" s="19"/>
      <c r="J54" s="19"/>
      <c r="K54" s="118"/>
      <c r="L54" s="119"/>
      <c r="M54" s="119"/>
      <c r="N54" s="119"/>
      <c r="O54" s="119"/>
      <c r="P54" s="119"/>
      <c r="Q54" s="120"/>
      <c r="R54" s="19"/>
      <c r="S54" s="19"/>
      <c r="T54" s="19"/>
      <c r="U54" s="19"/>
    </row>
    <row r="55" spans="1:21" ht="18" customHeight="1" x14ac:dyDescent="0.15">
      <c r="A55" s="76"/>
      <c r="B55" s="121"/>
      <c r="C55" s="122"/>
      <c r="D55" s="122"/>
      <c r="E55" s="122"/>
      <c r="F55" s="123"/>
      <c r="G55" s="20"/>
      <c r="H55" s="20"/>
      <c r="I55" s="21"/>
      <c r="J55" s="21"/>
      <c r="K55" s="121"/>
      <c r="L55" s="122"/>
      <c r="M55" s="122"/>
      <c r="N55" s="122"/>
      <c r="O55" s="122"/>
      <c r="P55" s="122"/>
      <c r="Q55" s="123"/>
      <c r="R55" s="20"/>
      <c r="S55" s="20"/>
      <c r="T55" s="21"/>
      <c r="U55" s="21"/>
    </row>
    <row r="56" spans="1:21" ht="7.5" customHeight="1" x14ac:dyDescent="0.15">
      <c r="B56" s="75"/>
      <c r="C56" s="75"/>
      <c r="D56" s="75"/>
      <c r="E56" s="75"/>
      <c r="F56" s="75"/>
      <c r="G56" s="75"/>
      <c r="H56" s="75"/>
      <c r="I56" s="75"/>
      <c r="J56" s="75"/>
      <c r="K56" s="75"/>
      <c r="L56" s="75"/>
      <c r="M56" s="75"/>
      <c r="N56" s="75"/>
      <c r="O56" s="75"/>
      <c r="P56" s="75"/>
      <c r="Q56" s="75"/>
      <c r="R56" s="75"/>
      <c r="S56" s="75"/>
      <c r="T56" s="75"/>
    </row>
    <row r="57" spans="1:21" ht="18" customHeight="1" x14ac:dyDescent="0.15">
      <c r="A57" s="127" t="s">
        <v>104</v>
      </c>
      <c r="B57" s="127"/>
      <c r="C57" s="127"/>
      <c r="D57" s="127"/>
      <c r="E57" s="127"/>
      <c r="F57" s="127"/>
      <c r="G57" s="127"/>
      <c r="H57" s="127"/>
      <c r="I57" s="127"/>
      <c r="J57" s="127"/>
      <c r="K57" s="127"/>
      <c r="L57" s="127"/>
      <c r="M57" s="127"/>
      <c r="N57" s="127"/>
      <c r="O57" s="127"/>
      <c r="P57" s="127"/>
      <c r="Q57" s="127"/>
      <c r="R57" s="127"/>
      <c r="S57" s="127"/>
      <c r="T57" s="127"/>
      <c r="U57" s="127"/>
    </row>
    <row r="58" spans="1:21" ht="18" customHeight="1" x14ac:dyDescent="0.15">
      <c r="A58" s="127"/>
      <c r="B58" s="127"/>
      <c r="C58" s="127"/>
      <c r="D58" s="127"/>
      <c r="E58" s="127"/>
      <c r="F58" s="127"/>
      <c r="G58" s="127"/>
      <c r="H58" s="127"/>
      <c r="I58" s="127"/>
      <c r="J58" s="127"/>
      <c r="K58" s="127"/>
      <c r="L58" s="127"/>
      <c r="M58" s="127"/>
      <c r="N58" s="127"/>
      <c r="O58" s="127"/>
      <c r="P58" s="127"/>
      <c r="Q58" s="127"/>
      <c r="R58" s="127"/>
      <c r="S58" s="127"/>
      <c r="T58" s="127"/>
      <c r="U58" s="127"/>
    </row>
    <row r="59" spans="1:21" ht="18" customHeight="1" x14ac:dyDescent="0.15">
      <c r="B59" s="109" t="s">
        <v>51</v>
      </c>
      <c r="C59" s="110"/>
      <c r="D59" s="110"/>
      <c r="E59" s="110"/>
      <c r="F59" s="111"/>
      <c r="G59" s="51" t="s">
        <v>77</v>
      </c>
      <c r="H59" s="50" t="s">
        <v>80</v>
      </c>
      <c r="I59" s="17" t="s">
        <v>56</v>
      </c>
      <c r="J59" s="17" t="s">
        <v>58</v>
      </c>
      <c r="K59" s="109" t="s">
        <v>51</v>
      </c>
      <c r="L59" s="110"/>
      <c r="M59" s="110"/>
      <c r="N59" s="110"/>
      <c r="O59" s="110"/>
      <c r="P59" s="110"/>
      <c r="Q59" s="111"/>
      <c r="R59" s="51" t="s">
        <v>77</v>
      </c>
      <c r="S59" s="50" t="s">
        <v>80</v>
      </c>
      <c r="T59" s="17" t="s">
        <v>56</v>
      </c>
      <c r="U59" s="17" t="s">
        <v>58</v>
      </c>
    </row>
    <row r="60" spans="1:21" ht="18" customHeight="1" x14ac:dyDescent="0.15">
      <c r="A60" s="76"/>
      <c r="B60" s="124" t="s">
        <v>172</v>
      </c>
      <c r="C60" s="125"/>
      <c r="D60" s="125"/>
      <c r="E60" s="125"/>
      <c r="F60" s="126"/>
      <c r="G60" s="18">
        <v>2</v>
      </c>
      <c r="H60" s="18" t="s">
        <v>142</v>
      </c>
      <c r="I60" s="18" t="s">
        <v>142</v>
      </c>
      <c r="J60" s="18" t="s">
        <v>142</v>
      </c>
      <c r="K60" s="124"/>
      <c r="L60" s="125"/>
      <c r="M60" s="125"/>
      <c r="N60" s="125"/>
      <c r="O60" s="125"/>
      <c r="P60" s="125"/>
      <c r="Q60" s="126"/>
      <c r="R60" s="18"/>
      <c r="S60" s="18"/>
      <c r="T60" s="18"/>
      <c r="U60" s="18"/>
    </row>
    <row r="61" spans="1:21" ht="18" customHeight="1" x14ac:dyDescent="0.15">
      <c r="A61" s="76"/>
      <c r="B61" s="118"/>
      <c r="C61" s="119"/>
      <c r="D61" s="119"/>
      <c r="E61" s="119"/>
      <c r="F61" s="120"/>
      <c r="G61" s="19"/>
      <c r="H61" s="19"/>
      <c r="I61" s="19"/>
      <c r="J61" s="19"/>
      <c r="K61" s="118"/>
      <c r="L61" s="119"/>
      <c r="M61" s="119"/>
      <c r="N61" s="119"/>
      <c r="O61" s="119"/>
      <c r="P61" s="119"/>
      <c r="Q61" s="120"/>
      <c r="R61" s="19"/>
      <c r="S61" s="19"/>
      <c r="T61" s="19"/>
      <c r="U61" s="19"/>
    </row>
    <row r="62" spans="1:21" ht="18" customHeight="1" x14ac:dyDescent="0.15">
      <c r="A62" s="76"/>
      <c r="B62" s="118"/>
      <c r="C62" s="119"/>
      <c r="D62" s="119"/>
      <c r="E62" s="119"/>
      <c r="F62" s="120"/>
      <c r="G62" s="19"/>
      <c r="H62" s="19"/>
      <c r="I62" s="19"/>
      <c r="J62" s="19"/>
      <c r="K62" s="118"/>
      <c r="L62" s="119"/>
      <c r="M62" s="119"/>
      <c r="N62" s="119"/>
      <c r="O62" s="119"/>
      <c r="P62" s="119"/>
      <c r="Q62" s="120"/>
      <c r="R62" s="19"/>
      <c r="S62" s="19"/>
      <c r="T62" s="19"/>
      <c r="U62" s="19"/>
    </row>
    <row r="63" spans="1:21" ht="18" customHeight="1" x14ac:dyDescent="0.15">
      <c r="A63" s="76"/>
      <c r="B63" s="118"/>
      <c r="C63" s="119"/>
      <c r="D63" s="119"/>
      <c r="E63" s="119"/>
      <c r="F63" s="120"/>
      <c r="G63" s="19"/>
      <c r="H63" s="19"/>
      <c r="I63" s="19"/>
      <c r="J63" s="19"/>
      <c r="K63" s="118"/>
      <c r="L63" s="119"/>
      <c r="M63" s="119"/>
      <c r="N63" s="119"/>
      <c r="O63" s="119"/>
      <c r="P63" s="119"/>
      <c r="Q63" s="120"/>
      <c r="R63" s="19"/>
      <c r="S63" s="19"/>
      <c r="T63" s="19"/>
      <c r="U63" s="19"/>
    </row>
    <row r="64" spans="1:21" ht="18" customHeight="1" x14ac:dyDescent="0.15">
      <c r="A64" s="76"/>
      <c r="B64" s="118"/>
      <c r="C64" s="119"/>
      <c r="D64" s="119"/>
      <c r="E64" s="119"/>
      <c r="F64" s="120"/>
      <c r="G64" s="19"/>
      <c r="H64" s="19"/>
      <c r="I64" s="19"/>
      <c r="J64" s="19"/>
      <c r="K64" s="118"/>
      <c r="L64" s="119"/>
      <c r="M64" s="119"/>
      <c r="N64" s="119"/>
      <c r="O64" s="119"/>
      <c r="P64" s="119"/>
      <c r="Q64" s="120"/>
      <c r="R64" s="19"/>
      <c r="S64" s="19"/>
      <c r="T64" s="19"/>
      <c r="U64" s="19"/>
    </row>
    <row r="65" spans="1:21" ht="18" customHeight="1" x14ac:dyDescent="0.15">
      <c r="A65" s="76"/>
      <c r="B65" s="118"/>
      <c r="C65" s="119"/>
      <c r="D65" s="119"/>
      <c r="E65" s="119"/>
      <c r="F65" s="120"/>
      <c r="G65" s="19"/>
      <c r="H65" s="19"/>
      <c r="I65" s="19"/>
      <c r="J65" s="19"/>
      <c r="K65" s="118"/>
      <c r="L65" s="119"/>
      <c r="M65" s="119"/>
      <c r="N65" s="119"/>
      <c r="O65" s="119"/>
      <c r="P65" s="119"/>
      <c r="Q65" s="120"/>
      <c r="R65" s="19"/>
      <c r="S65" s="19"/>
      <c r="T65" s="19"/>
      <c r="U65" s="19"/>
    </row>
    <row r="66" spans="1:21" ht="18" customHeight="1" x14ac:dyDescent="0.15">
      <c r="A66" s="76"/>
      <c r="B66" s="121"/>
      <c r="C66" s="122"/>
      <c r="D66" s="122"/>
      <c r="E66" s="122"/>
      <c r="F66" s="123"/>
      <c r="G66" s="20"/>
      <c r="H66" s="20"/>
      <c r="I66" s="21"/>
      <c r="J66" s="21"/>
      <c r="K66" s="121"/>
      <c r="L66" s="122"/>
      <c r="M66" s="122"/>
      <c r="N66" s="122"/>
      <c r="O66" s="122"/>
      <c r="P66" s="122"/>
      <c r="Q66" s="123"/>
      <c r="R66" s="20"/>
      <c r="S66" s="20"/>
      <c r="T66" s="21"/>
      <c r="U66" s="21"/>
    </row>
    <row r="67" spans="1:21" ht="7.5" customHeight="1" x14ac:dyDescent="0.15">
      <c r="B67" s="75"/>
      <c r="C67" s="75"/>
      <c r="D67" s="75"/>
      <c r="E67" s="75"/>
      <c r="F67" s="75"/>
      <c r="G67" s="75"/>
      <c r="H67" s="75"/>
      <c r="I67" s="75"/>
      <c r="J67" s="75"/>
      <c r="K67" s="75"/>
      <c r="L67" s="75"/>
      <c r="M67" s="75"/>
      <c r="N67" s="75"/>
      <c r="O67" s="75"/>
      <c r="P67" s="75"/>
      <c r="Q67" s="75"/>
      <c r="R67" s="75"/>
      <c r="S67" s="75"/>
      <c r="T67" s="75"/>
    </row>
    <row r="68" spans="1:21" ht="18" customHeight="1" x14ac:dyDescent="0.15">
      <c r="A68" s="127" t="s">
        <v>105</v>
      </c>
      <c r="B68" s="127"/>
      <c r="C68" s="127"/>
      <c r="D68" s="127"/>
      <c r="E68" s="127"/>
      <c r="F68" s="127"/>
      <c r="G68" s="127"/>
      <c r="H68" s="127"/>
      <c r="I68" s="127"/>
      <c r="J68" s="127"/>
      <c r="K68" s="127"/>
      <c r="L68" s="127"/>
      <c r="M68" s="127"/>
      <c r="N68" s="127"/>
      <c r="O68" s="127"/>
      <c r="P68" s="127"/>
      <c r="Q68" s="127"/>
      <c r="R68" s="127"/>
      <c r="S68" s="127"/>
      <c r="T68" s="127"/>
      <c r="U68" s="127"/>
    </row>
    <row r="69" spans="1:21" ht="18" customHeight="1" x14ac:dyDescent="0.15">
      <c r="A69" s="127"/>
      <c r="B69" s="127"/>
      <c r="C69" s="127"/>
      <c r="D69" s="127"/>
      <c r="E69" s="127"/>
      <c r="F69" s="127"/>
      <c r="G69" s="127"/>
      <c r="H69" s="127"/>
      <c r="I69" s="127"/>
      <c r="J69" s="127"/>
      <c r="K69" s="127"/>
      <c r="L69" s="127"/>
      <c r="M69" s="127"/>
      <c r="N69" s="127"/>
      <c r="O69" s="127"/>
      <c r="P69" s="127"/>
      <c r="Q69" s="127"/>
      <c r="R69" s="127"/>
      <c r="S69" s="127"/>
      <c r="T69" s="127"/>
      <c r="U69" s="127"/>
    </row>
    <row r="70" spans="1:21" ht="18" customHeight="1" x14ac:dyDescent="0.15">
      <c r="B70" s="109" t="s">
        <v>51</v>
      </c>
      <c r="C70" s="110"/>
      <c r="D70" s="110"/>
      <c r="E70" s="110"/>
      <c r="F70" s="51" t="s">
        <v>77</v>
      </c>
      <c r="G70" s="50" t="s">
        <v>80</v>
      </c>
      <c r="H70" s="17" t="s">
        <v>92</v>
      </c>
      <c r="I70" s="17" t="s">
        <v>72</v>
      </c>
      <c r="J70" s="17" t="s">
        <v>73</v>
      </c>
      <c r="K70" s="109" t="s">
        <v>51</v>
      </c>
      <c r="L70" s="110"/>
      <c r="M70" s="110"/>
      <c r="N70" s="110"/>
      <c r="O70" s="110"/>
      <c r="P70" s="111"/>
      <c r="Q70" s="51" t="s">
        <v>77</v>
      </c>
      <c r="R70" s="50" t="s">
        <v>80</v>
      </c>
      <c r="S70" s="17" t="s">
        <v>92</v>
      </c>
      <c r="T70" s="17" t="s">
        <v>72</v>
      </c>
      <c r="U70" s="17" t="s">
        <v>73</v>
      </c>
    </row>
    <row r="71" spans="1:21" ht="18" customHeight="1" x14ac:dyDescent="0.15">
      <c r="A71" s="76"/>
      <c r="B71" s="124" t="s">
        <v>172</v>
      </c>
      <c r="C71" s="125"/>
      <c r="D71" s="125"/>
      <c r="E71" s="125"/>
      <c r="F71" s="18">
        <v>2</v>
      </c>
      <c r="G71" s="18" t="s">
        <v>142</v>
      </c>
      <c r="H71" s="18" t="s">
        <v>142</v>
      </c>
      <c r="I71" s="18" t="s">
        <v>142</v>
      </c>
      <c r="J71" s="18" t="s">
        <v>143</v>
      </c>
      <c r="K71" s="124"/>
      <c r="L71" s="125"/>
      <c r="M71" s="125"/>
      <c r="N71" s="125"/>
      <c r="O71" s="125"/>
      <c r="P71" s="126"/>
      <c r="Q71" s="18"/>
      <c r="R71" s="18"/>
      <c r="S71" s="18"/>
      <c r="T71" s="18"/>
      <c r="U71" s="18"/>
    </row>
    <row r="72" spans="1:21" ht="18" customHeight="1" x14ac:dyDescent="0.15">
      <c r="A72" s="76"/>
      <c r="B72" s="118"/>
      <c r="C72" s="119"/>
      <c r="D72" s="119"/>
      <c r="E72" s="119"/>
      <c r="F72" s="19"/>
      <c r="G72" s="19"/>
      <c r="H72" s="19"/>
      <c r="I72" s="19"/>
      <c r="J72" s="19"/>
      <c r="K72" s="118"/>
      <c r="L72" s="119"/>
      <c r="M72" s="119"/>
      <c r="N72" s="119"/>
      <c r="O72" s="119"/>
      <c r="P72" s="120"/>
      <c r="Q72" s="19"/>
      <c r="R72" s="19"/>
      <c r="S72" s="19"/>
      <c r="T72" s="19"/>
      <c r="U72" s="19"/>
    </row>
    <row r="73" spans="1:21" ht="18" customHeight="1" x14ac:dyDescent="0.15">
      <c r="A73" s="76"/>
      <c r="B73" s="118"/>
      <c r="C73" s="119"/>
      <c r="D73" s="119"/>
      <c r="E73" s="119"/>
      <c r="F73" s="19"/>
      <c r="G73" s="19"/>
      <c r="H73" s="19"/>
      <c r="I73" s="19"/>
      <c r="J73" s="19"/>
      <c r="K73" s="118"/>
      <c r="L73" s="119"/>
      <c r="M73" s="119"/>
      <c r="N73" s="119"/>
      <c r="O73" s="119"/>
      <c r="P73" s="120"/>
      <c r="Q73" s="19"/>
      <c r="R73" s="19"/>
      <c r="S73" s="19"/>
      <c r="T73" s="19"/>
      <c r="U73" s="19"/>
    </row>
    <row r="74" spans="1:21" ht="18" customHeight="1" x14ac:dyDescent="0.15">
      <c r="A74" s="76"/>
      <c r="B74" s="118"/>
      <c r="C74" s="119"/>
      <c r="D74" s="119"/>
      <c r="E74" s="119"/>
      <c r="F74" s="19"/>
      <c r="G74" s="19"/>
      <c r="H74" s="19"/>
      <c r="I74" s="19"/>
      <c r="J74" s="19"/>
      <c r="K74" s="118"/>
      <c r="L74" s="119"/>
      <c r="M74" s="119"/>
      <c r="N74" s="119"/>
      <c r="O74" s="119"/>
      <c r="P74" s="120"/>
      <c r="Q74" s="19"/>
      <c r="R74" s="19"/>
      <c r="S74" s="19"/>
      <c r="T74" s="19"/>
      <c r="U74" s="19"/>
    </row>
    <row r="75" spans="1:21" ht="18" customHeight="1" x14ac:dyDescent="0.15">
      <c r="A75" s="76"/>
      <c r="B75" s="118"/>
      <c r="C75" s="119"/>
      <c r="D75" s="119"/>
      <c r="E75" s="119"/>
      <c r="F75" s="19"/>
      <c r="G75" s="19"/>
      <c r="H75" s="19"/>
      <c r="I75" s="19"/>
      <c r="J75" s="19"/>
      <c r="K75" s="118"/>
      <c r="L75" s="119"/>
      <c r="M75" s="119"/>
      <c r="N75" s="119"/>
      <c r="O75" s="119"/>
      <c r="P75" s="120"/>
      <c r="Q75" s="19"/>
      <c r="R75" s="19"/>
      <c r="S75" s="19"/>
      <c r="T75" s="19"/>
      <c r="U75" s="19"/>
    </row>
    <row r="76" spans="1:21" ht="18" customHeight="1" x14ac:dyDescent="0.15">
      <c r="A76" s="76"/>
      <c r="B76" s="118"/>
      <c r="C76" s="119"/>
      <c r="D76" s="119"/>
      <c r="E76" s="119"/>
      <c r="F76" s="19"/>
      <c r="G76" s="19"/>
      <c r="H76" s="19"/>
      <c r="I76" s="19"/>
      <c r="J76" s="19"/>
      <c r="K76" s="118"/>
      <c r="L76" s="119"/>
      <c r="M76" s="119"/>
      <c r="N76" s="119"/>
      <c r="O76" s="119"/>
      <c r="P76" s="120"/>
      <c r="Q76" s="19"/>
      <c r="R76" s="19"/>
      <c r="S76" s="19"/>
      <c r="T76" s="19"/>
      <c r="U76" s="19"/>
    </row>
    <row r="77" spans="1:21" ht="18" customHeight="1" x14ac:dyDescent="0.15">
      <c r="A77" s="76"/>
      <c r="B77" s="121"/>
      <c r="C77" s="122"/>
      <c r="D77" s="122"/>
      <c r="E77" s="122"/>
      <c r="F77" s="20"/>
      <c r="G77" s="20"/>
      <c r="H77" s="21"/>
      <c r="I77" s="21"/>
      <c r="J77" s="21"/>
      <c r="K77" s="121"/>
      <c r="L77" s="122"/>
      <c r="M77" s="122"/>
      <c r="N77" s="122"/>
      <c r="O77" s="122"/>
      <c r="P77" s="123"/>
      <c r="Q77" s="20"/>
      <c r="R77" s="20"/>
      <c r="S77" s="21"/>
      <c r="T77" s="21"/>
      <c r="U77" s="21"/>
    </row>
    <row r="78" spans="1:21" ht="7.5" customHeight="1" x14ac:dyDescent="0.15">
      <c r="B78" s="75"/>
      <c r="C78" s="75"/>
      <c r="D78" s="75"/>
      <c r="E78" s="75"/>
      <c r="F78" s="75"/>
      <c r="G78" s="75"/>
      <c r="H78" s="75"/>
      <c r="I78" s="75"/>
      <c r="J78" s="75"/>
      <c r="K78" s="75"/>
      <c r="L78" s="75"/>
      <c r="M78" s="75"/>
      <c r="N78" s="75"/>
      <c r="O78" s="75"/>
      <c r="P78" s="75"/>
      <c r="Q78" s="75"/>
      <c r="R78" s="75"/>
      <c r="S78" s="75"/>
      <c r="T78" s="75"/>
    </row>
    <row r="79" spans="1:21" ht="18" customHeight="1" x14ac:dyDescent="0.15">
      <c r="A79" s="77" t="s">
        <v>106</v>
      </c>
      <c r="I79" s="76"/>
      <c r="J79" s="76"/>
      <c r="K79" s="76"/>
      <c r="L79" s="76"/>
      <c r="M79" s="76"/>
      <c r="N79" s="76"/>
      <c r="O79" s="76"/>
      <c r="P79" s="76"/>
      <c r="Q79" s="76"/>
      <c r="R79" s="76"/>
      <c r="S79" s="76"/>
      <c r="T79" s="76"/>
      <c r="U79" s="76"/>
    </row>
    <row r="80" spans="1:21" ht="18" customHeight="1" x14ac:dyDescent="0.15">
      <c r="B80" s="109" t="s">
        <v>51</v>
      </c>
      <c r="C80" s="110"/>
      <c r="D80" s="110"/>
      <c r="E80" s="110"/>
      <c r="F80" s="111"/>
      <c r="G80" s="109" t="s">
        <v>78</v>
      </c>
      <c r="H80" s="110"/>
      <c r="I80" s="110"/>
      <c r="J80" s="111"/>
      <c r="K80" s="160" t="s">
        <v>51</v>
      </c>
      <c r="L80" s="161"/>
      <c r="M80" s="161"/>
      <c r="N80" s="161"/>
      <c r="O80" s="161"/>
      <c r="P80" s="161"/>
      <c r="Q80" s="162"/>
      <c r="R80" s="109" t="s">
        <v>78</v>
      </c>
      <c r="S80" s="110"/>
      <c r="T80" s="110"/>
      <c r="U80" s="111"/>
    </row>
    <row r="81" spans="1:21" ht="18" customHeight="1" x14ac:dyDescent="0.15">
      <c r="A81" s="76"/>
      <c r="B81" s="124" t="s">
        <v>172</v>
      </c>
      <c r="C81" s="125"/>
      <c r="D81" s="125"/>
      <c r="E81" s="125"/>
      <c r="F81" s="126"/>
      <c r="G81" s="163" t="s">
        <v>175</v>
      </c>
      <c r="H81" s="164"/>
      <c r="I81" s="164"/>
      <c r="J81" s="165"/>
      <c r="K81" s="124" t="s">
        <v>154</v>
      </c>
      <c r="L81" s="125"/>
      <c r="M81" s="125"/>
      <c r="N81" s="125"/>
      <c r="O81" s="125"/>
      <c r="P81" s="125" t="s">
        <v>154</v>
      </c>
      <c r="Q81" s="126"/>
      <c r="R81" s="163" t="s">
        <v>144</v>
      </c>
      <c r="S81" s="164"/>
      <c r="T81" s="164"/>
      <c r="U81" s="165"/>
    </row>
    <row r="82" spans="1:21" ht="18" customHeight="1" x14ac:dyDescent="0.15">
      <c r="A82" s="76"/>
      <c r="B82" s="118" t="s">
        <v>173</v>
      </c>
      <c r="C82" s="119"/>
      <c r="D82" s="119"/>
      <c r="E82" s="119"/>
      <c r="F82" s="120"/>
      <c r="G82" s="152" t="s">
        <v>147</v>
      </c>
      <c r="H82" s="153"/>
      <c r="I82" s="153"/>
      <c r="J82" s="154"/>
      <c r="K82" s="118"/>
      <c r="L82" s="119"/>
      <c r="M82" s="119"/>
      <c r="N82" s="119"/>
      <c r="O82" s="119"/>
      <c r="P82" s="119"/>
      <c r="Q82" s="120"/>
      <c r="R82" s="152"/>
      <c r="S82" s="153"/>
      <c r="T82" s="153"/>
      <c r="U82" s="154"/>
    </row>
    <row r="83" spans="1:21" ht="18" customHeight="1" x14ac:dyDescent="0.15">
      <c r="A83" s="76"/>
      <c r="B83" s="118" t="s">
        <v>171</v>
      </c>
      <c r="C83" s="119"/>
      <c r="D83" s="119"/>
      <c r="E83" s="119"/>
      <c r="F83" s="120"/>
      <c r="G83" s="152" t="s">
        <v>176</v>
      </c>
      <c r="H83" s="153"/>
      <c r="I83" s="153"/>
      <c r="J83" s="154"/>
      <c r="K83" s="118"/>
      <c r="L83" s="119"/>
      <c r="M83" s="119"/>
      <c r="N83" s="119"/>
      <c r="O83" s="119"/>
      <c r="P83" s="119"/>
      <c r="Q83" s="120"/>
      <c r="R83" s="152"/>
      <c r="S83" s="153"/>
      <c r="T83" s="153"/>
      <c r="U83" s="154"/>
    </row>
    <row r="84" spans="1:21" ht="18" customHeight="1" x14ac:dyDescent="0.15">
      <c r="A84" s="76"/>
      <c r="B84" s="118" t="s">
        <v>171</v>
      </c>
      <c r="C84" s="119"/>
      <c r="D84" s="119"/>
      <c r="E84" s="119"/>
      <c r="F84" s="120"/>
      <c r="G84" s="152" t="s">
        <v>146</v>
      </c>
      <c r="H84" s="153"/>
      <c r="I84" s="153"/>
      <c r="J84" s="154"/>
      <c r="K84" s="118"/>
      <c r="L84" s="119"/>
      <c r="M84" s="119"/>
      <c r="N84" s="119"/>
      <c r="O84" s="119"/>
      <c r="P84" s="119"/>
      <c r="Q84" s="120"/>
      <c r="R84" s="152"/>
      <c r="S84" s="153"/>
      <c r="T84" s="153"/>
      <c r="U84" s="154"/>
    </row>
    <row r="85" spans="1:21" ht="18" customHeight="1" x14ac:dyDescent="0.15">
      <c r="A85" s="76"/>
      <c r="B85" s="118" t="s">
        <v>174</v>
      </c>
      <c r="C85" s="119"/>
      <c r="D85" s="119"/>
      <c r="E85" s="119"/>
      <c r="F85" s="120"/>
      <c r="G85" s="152" t="s">
        <v>147</v>
      </c>
      <c r="H85" s="153"/>
      <c r="I85" s="153"/>
      <c r="J85" s="154"/>
      <c r="K85" s="118"/>
      <c r="L85" s="119"/>
      <c r="M85" s="119"/>
      <c r="N85" s="119"/>
      <c r="O85" s="119"/>
      <c r="P85" s="119"/>
      <c r="Q85" s="120"/>
      <c r="R85" s="152"/>
      <c r="S85" s="153"/>
      <c r="T85" s="153"/>
      <c r="U85" s="154"/>
    </row>
    <row r="86" spans="1:21" ht="18" customHeight="1" x14ac:dyDescent="0.15">
      <c r="A86" s="76"/>
      <c r="B86" s="118" t="s">
        <v>154</v>
      </c>
      <c r="C86" s="119"/>
      <c r="D86" s="119"/>
      <c r="E86" s="119"/>
      <c r="F86" s="120"/>
      <c r="G86" s="152" t="s">
        <v>146</v>
      </c>
      <c r="H86" s="153"/>
      <c r="I86" s="153"/>
      <c r="J86" s="154"/>
      <c r="K86" s="118"/>
      <c r="L86" s="119"/>
      <c r="M86" s="119"/>
      <c r="N86" s="119"/>
      <c r="O86" s="119"/>
      <c r="P86" s="119"/>
      <c r="Q86" s="120"/>
      <c r="R86" s="152"/>
      <c r="S86" s="153"/>
      <c r="T86" s="153"/>
      <c r="U86" s="154"/>
    </row>
    <row r="87" spans="1:21" ht="18" customHeight="1" x14ac:dyDescent="0.15">
      <c r="A87" s="76"/>
      <c r="B87" s="121" t="s">
        <v>154</v>
      </c>
      <c r="C87" s="122"/>
      <c r="D87" s="122"/>
      <c r="E87" s="122"/>
      <c r="F87" s="123"/>
      <c r="G87" s="149" t="s">
        <v>145</v>
      </c>
      <c r="H87" s="150"/>
      <c r="I87" s="150"/>
      <c r="J87" s="151"/>
      <c r="K87" s="121"/>
      <c r="L87" s="122"/>
      <c r="M87" s="122"/>
      <c r="N87" s="122"/>
      <c r="O87" s="122"/>
      <c r="P87" s="122"/>
      <c r="Q87" s="123"/>
      <c r="R87" s="149"/>
      <c r="S87" s="150"/>
      <c r="T87" s="150"/>
      <c r="U87" s="151"/>
    </row>
    <row r="88" spans="1:21" ht="18" customHeight="1" x14ac:dyDescent="0.15">
      <c r="A88" s="76"/>
      <c r="B88" s="6"/>
      <c r="C88" s="6"/>
      <c r="D88" s="6"/>
      <c r="E88" s="6"/>
      <c r="F88" s="6"/>
      <c r="G88" s="22"/>
      <c r="H88" s="22"/>
      <c r="I88" s="22"/>
      <c r="J88" s="22"/>
      <c r="K88" s="6"/>
      <c r="L88" s="6"/>
      <c r="M88" s="6"/>
      <c r="N88" s="6"/>
      <c r="O88" s="6"/>
      <c r="P88" s="6"/>
      <c r="Q88" s="6"/>
      <c r="R88" s="22"/>
      <c r="S88" s="22"/>
      <c r="T88" s="22"/>
      <c r="U88" s="22"/>
    </row>
    <row r="89" spans="1:21" ht="18.75" customHeight="1" x14ac:dyDescent="0.15">
      <c r="A89" s="77" t="s">
        <v>107</v>
      </c>
    </row>
    <row r="90" spans="1:21" ht="18.75" customHeight="1" x14ac:dyDescent="0.15">
      <c r="B90" s="158" t="s">
        <v>52</v>
      </c>
      <c r="C90" s="159"/>
      <c r="D90" s="109" t="s">
        <v>53</v>
      </c>
      <c r="E90" s="110"/>
      <c r="F90" s="110"/>
      <c r="G90" s="110"/>
      <c r="H90" s="110"/>
      <c r="I90" s="110"/>
      <c r="J90" s="110"/>
      <c r="K90" s="110"/>
      <c r="L90" s="110"/>
      <c r="M90" s="110"/>
      <c r="N90" s="110"/>
      <c r="O90" s="110"/>
      <c r="P90" s="110"/>
      <c r="Q90" s="110"/>
      <c r="R90" s="110"/>
      <c r="S90" s="110"/>
      <c r="T90" s="110"/>
      <c r="U90" s="111"/>
    </row>
    <row r="91" spans="1:21" ht="97.5" customHeight="1" x14ac:dyDescent="0.15">
      <c r="B91" s="155" t="s">
        <v>59</v>
      </c>
      <c r="C91" s="23" t="s">
        <v>54</v>
      </c>
      <c r="D91" s="97" t="s">
        <v>224</v>
      </c>
      <c r="E91" s="98"/>
      <c r="F91" s="98"/>
      <c r="G91" s="98"/>
      <c r="H91" s="98"/>
      <c r="I91" s="98"/>
      <c r="J91" s="98"/>
      <c r="K91" s="98"/>
      <c r="L91" s="98"/>
      <c r="M91" s="98"/>
      <c r="N91" s="98"/>
      <c r="O91" s="98"/>
      <c r="P91" s="98"/>
      <c r="Q91" s="98"/>
      <c r="R91" s="98"/>
      <c r="S91" s="98"/>
      <c r="T91" s="98"/>
      <c r="U91" s="99"/>
    </row>
    <row r="92" spans="1:21" ht="97.5" customHeight="1" x14ac:dyDescent="0.15">
      <c r="B92" s="156"/>
      <c r="C92" s="24" t="s">
        <v>74</v>
      </c>
      <c r="D92" s="94" t="s">
        <v>177</v>
      </c>
      <c r="E92" s="95"/>
      <c r="F92" s="95"/>
      <c r="G92" s="95"/>
      <c r="H92" s="95"/>
      <c r="I92" s="95"/>
      <c r="J92" s="95"/>
      <c r="K92" s="95"/>
      <c r="L92" s="95"/>
      <c r="M92" s="95"/>
      <c r="N92" s="95"/>
      <c r="O92" s="95"/>
      <c r="P92" s="95"/>
      <c r="Q92" s="95"/>
      <c r="R92" s="95"/>
      <c r="S92" s="95"/>
      <c r="T92" s="95"/>
      <c r="U92" s="96"/>
    </row>
    <row r="93" spans="1:21" ht="97.5" customHeight="1" x14ac:dyDescent="0.15">
      <c r="B93" s="155" t="s">
        <v>60</v>
      </c>
      <c r="C93" s="25" t="s">
        <v>68</v>
      </c>
      <c r="D93" s="97" t="s">
        <v>178</v>
      </c>
      <c r="E93" s="98"/>
      <c r="F93" s="98"/>
      <c r="G93" s="98"/>
      <c r="H93" s="98"/>
      <c r="I93" s="98"/>
      <c r="J93" s="98"/>
      <c r="K93" s="98"/>
      <c r="L93" s="98"/>
      <c r="M93" s="98"/>
      <c r="N93" s="98"/>
      <c r="O93" s="98"/>
      <c r="P93" s="98"/>
      <c r="Q93" s="98"/>
      <c r="R93" s="98"/>
      <c r="S93" s="98"/>
      <c r="T93" s="98"/>
      <c r="U93" s="99"/>
    </row>
    <row r="94" spans="1:21" ht="97.5" customHeight="1" x14ac:dyDescent="0.15">
      <c r="B94" s="157"/>
      <c r="C94" s="26" t="s">
        <v>69</v>
      </c>
      <c r="D94" s="94" t="s">
        <v>179</v>
      </c>
      <c r="E94" s="95"/>
      <c r="F94" s="95"/>
      <c r="G94" s="95"/>
      <c r="H94" s="95"/>
      <c r="I94" s="95"/>
      <c r="J94" s="95"/>
      <c r="K94" s="95"/>
      <c r="L94" s="95"/>
      <c r="M94" s="95"/>
      <c r="N94" s="95"/>
      <c r="O94" s="95"/>
      <c r="P94" s="95"/>
      <c r="Q94" s="95"/>
      <c r="R94" s="95"/>
      <c r="S94" s="95"/>
      <c r="T94" s="95"/>
      <c r="U94" s="96"/>
    </row>
    <row r="95" spans="1:21" ht="97.5" customHeight="1" x14ac:dyDescent="0.15">
      <c r="B95" s="155" t="s">
        <v>61</v>
      </c>
      <c r="C95" s="25" t="s">
        <v>70</v>
      </c>
      <c r="D95" s="97" t="s">
        <v>225</v>
      </c>
      <c r="E95" s="98"/>
      <c r="F95" s="98"/>
      <c r="G95" s="98"/>
      <c r="H95" s="98"/>
      <c r="I95" s="98"/>
      <c r="J95" s="98"/>
      <c r="K95" s="98"/>
      <c r="L95" s="98"/>
      <c r="M95" s="98"/>
      <c r="N95" s="98"/>
      <c r="O95" s="98"/>
      <c r="P95" s="98"/>
      <c r="Q95" s="98"/>
      <c r="R95" s="98"/>
      <c r="S95" s="98"/>
      <c r="T95" s="98"/>
      <c r="U95" s="99"/>
    </row>
    <row r="96" spans="1:21" ht="97.5" customHeight="1" x14ac:dyDescent="0.15">
      <c r="B96" s="157"/>
      <c r="C96" s="27" t="s">
        <v>71</v>
      </c>
      <c r="D96" s="94" t="s">
        <v>180</v>
      </c>
      <c r="E96" s="95"/>
      <c r="F96" s="95"/>
      <c r="G96" s="95"/>
      <c r="H96" s="95"/>
      <c r="I96" s="95"/>
      <c r="J96" s="95"/>
      <c r="K96" s="95"/>
      <c r="L96" s="95"/>
      <c r="M96" s="95"/>
      <c r="N96" s="95"/>
      <c r="O96" s="95"/>
      <c r="P96" s="95"/>
      <c r="Q96" s="95"/>
      <c r="R96" s="95"/>
      <c r="S96" s="95"/>
      <c r="T96" s="95"/>
      <c r="U96" s="96"/>
    </row>
    <row r="97" spans="1:33" ht="97.5" customHeight="1" x14ac:dyDescent="0.15">
      <c r="B97" s="155" t="s">
        <v>75</v>
      </c>
      <c r="C97" s="23" t="s">
        <v>56</v>
      </c>
      <c r="D97" s="97" t="s">
        <v>181</v>
      </c>
      <c r="E97" s="98"/>
      <c r="F97" s="98"/>
      <c r="G97" s="98"/>
      <c r="H97" s="98"/>
      <c r="I97" s="98"/>
      <c r="J97" s="98"/>
      <c r="K97" s="98"/>
      <c r="L97" s="98"/>
      <c r="M97" s="98"/>
      <c r="N97" s="98"/>
      <c r="O97" s="98"/>
      <c r="P97" s="98"/>
      <c r="Q97" s="98"/>
      <c r="R97" s="98"/>
      <c r="S97" s="98"/>
      <c r="T97" s="98"/>
      <c r="U97" s="99"/>
    </row>
    <row r="98" spans="1:33" ht="97.5" customHeight="1" x14ac:dyDescent="0.15">
      <c r="B98" s="157"/>
      <c r="C98" s="26" t="s">
        <v>58</v>
      </c>
      <c r="D98" s="94" t="s">
        <v>182</v>
      </c>
      <c r="E98" s="95"/>
      <c r="F98" s="95"/>
      <c r="G98" s="95"/>
      <c r="H98" s="95"/>
      <c r="I98" s="95"/>
      <c r="J98" s="95"/>
      <c r="K98" s="95"/>
      <c r="L98" s="95"/>
      <c r="M98" s="95"/>
      <c r="N98" s="95"/>
      <c r="O98" s="95"/>
      <c r="P98" s="95"/>
      <c r="Q98" s="95"/>
      <c r="R98" s="95"/>
      <c r="S98" s="95"/>
      <c r="T98" s="95"/>
      <c r="U98" s="96"/>
    </row>
    <row r="99" spans="1:33" ht="97.5" customHeight="1" x14ac:dyDescent="0.15">
      <c r="B99" s="155" t="s">
        <v>76</v>
      </c>
      <c r="C99" s="25" t="s">
        <v>55</v>
      </c>
      <c r="D99" s="97" t="s">
        <v>183</v>
      </c>
      <c r="E99" s="98"/>
      <c r="F99" s="98"/>
      <c r="G99" s="98"/>
      <c r="H99" s="98"/>
      <c r="I99" s="98"/>
      <c r="J99" s="98"/>
      <c r="K99" s="98"/>
      <c r="L99" s="98"/>
      <c r="M99" s="98"/>
      <c r="N99" s="98"/>
      <c r="O99" s="98"/>
      <c r="P99" s="98"/>
      <c r="Q99" s="98"/>
      <c r="R99" s="98"/>
      <c r="S99" s="98"/>
      <c r="T99" s="98"/>
      <c r="U99" s="99"/>
    </row>
    <row r="100" spans="1:33" ht="97.5" customHeight="1" x14ac:dyDescent="0.15">
      <c r="B100" s="156"/>
      <c r="C100" s="28" t="s">
        <v>72</v>
      </c>
      <c r="D100" s="100" t="s">
        <v>184</v>
      </c>
      <c r="E100" s="101"/>
      <c r="F100" s="101"/>
      <c r="G100" s="101"/>
      <c r="H100" s="101"/>
      <c r="I100" s="101"/>
      <c r="J100" s="101"/>
      <c r="K100" s="101"/>
      <c r="L100" s="101"/>
      <c r="M100" s="101"/>
      <c r="N100" s="101"/>
      <c r="O100" s="101"/>
      <c r="P100" s="101"/>
      <c r="Q100" s="101"/>
      <c r="R100" s="101"/>
      <c r="S100" s="101"/>
      <c r="T100" s="101"/>
      <c r="U100" s="102"/>
    </row>
    <row r="101" spans="1:33" ht="97.5" customHeight="1" x14ac:dyDescent="0.15">
      <c r="B101" s="157"/>
      <c r="C101" s="27" t="s">
        <v>73</v>
      </c>
      <c r="D101" s="94" t="s">
        <v>226</v>
      </c>
      <c r="E101" s="95"/>
      <c r="F101" s="95"/>
      <c r="G101" s="95"/>
      <c r="H101" s="95"/>
      <c r="I101" s="95"/>
      <c r="J101" s="95"/>
      <c r="K101" s="95"/>
      <c r="L101" s="95"/>
      <c r="M101" s="95"/>
      <c r="N101" s="95"/>
      <c r="O101" s="95"/>
      <c r="P101" s="95"/>
      <c r="Q101" s="95"/>
      <c r="R101" s="95"/>
      <c r="S101" s="95"/>
      <c r="T101" s="95"/>
      <c r="U101" s="96"/>
    </row>
    <row r="102" spans="1:33" ht="6" customHeight="1" x14ac:dyDescent="0.15"/>
    <row r="103" spans="1:33" ht="18.75" customHeight="1" x14ac:dyDescent="0.15">
      <c r="A103" s="77" t="s">
        <v>108</v>
      </c>
    </row>
    <row r="104" spans="1:33" ht="81.75" customHeight="1" x14ac:dyDescent="0.15">
      <c r="B104" s="146" t="s">
        <v>166</v>
      </c>
      <c r="C104" s="147"/>
      <c r="D104" s="147"/>
      <c r="E104" s="147"/>
      <c r="F104" s="147"/>
      <c r="G104" s="147"/>
      <c r="H104" s="147"/>
      <c r="I104" s="147"/>
      <c r="J104" s="147"/>
      <c r="K104" s="147"/>
      <c r="L104" s="147"/>
      <c r="M104" s="147"/>
      <c r="N104" s="147"/>
      <c r="O104" s="147"/>
      <c r="P104" s="147"/>
      <c r="Q104" s="147"/>
      <c r="R104" s="147"/>
      <c r="S104" s="147"/>
      <c r="T104" s="147"/>
      <c r="U104" s="148"/>
    </row>
    <row r="106" spans="1:33" ht="18.75" customHeight="1" x14ac:dyDescent="0.15">
      <c r="A106" s="78" t="s">
        <v>124</v>
      </c>
      <c r="B106" s="79"/>
      <c r="C106" s="79"/>
      <c r="D106" s="79"/>
      <c r="E106" s="79"/>
      <c r="F106" s="79"/>
      <c r="G106" s="79"/>
      <c r="H106" s="79"/>
      <c r="I106" s="79"/>
      <c r="J106" s="79"/>
      <c r="K106" s="79"/>
      <c r="L106" s="79"/>
      <c r="M106" s="79"/>
      <c r="N106" s="79"/>
      <c r="O106" s="79"/>
      <c r="P106" s="79"/>
      <c r="Q106" s="79"/>
      <c r="R106" s="79"/>
      <c r="S106" s="79"/>
      <c r="T106" s="79"/>
      <c r="U106" s="79"/>
    </row>
    <row r="107" spans="1:33" ht="18.75" customHeight="1" x14ac:dyDescent="0.15">
      <c r="A107" s="78" t="s">
        <v>126</v>
      </c>
      <c r="B107" s="78"/>
      <c r="C107" s="78"/>
      <c r="D107" s="78"/>
      <c r="E107" s="78"/>
      <c r="F107" s="78"/>
      <c r="G107" s="78"/>
      <c r="H107" s="78"/>
      <c r="I107" s="78"/>
      <c r="J107" s="78"/>
      <c r="K107" s="78"/>
      <c r="L107" s="78"/>
      <c r="M107" s="78"/>
      <c r="N107" s="78"/>
      <c r="O107" s="78"/>
      <c r="P107" s="78"/>
      <c r="Q107" s="78"/>
      <c r="R107" s="78"/>
      <c r="S107" s="78"/>
      <c r="T107" s="78"/>
      <c r="U107" s="78"/>
      <c r="V107" s="2"/>
      <c r="W107" s="2"/>
      <c r="X107" s="2"/>
      <c r="Y107" s="2"/>
      <c r="Z107" s="2"/>
      <c r="AA107" s="2"/>
      <c r="AB107" s="2"/>
      <c r="AC107" s="2"/>
      <c r="AD107" s="2"/>
      <c r="AE107" s="2"/>
      <c r="AF107" s="2"/>
      <c r="AG107" s="2"/>
    </row>
    <row r="108" spans="1:33" ht="18.75" customHeight="1" x14ac:dyDescent="0.15">
      <c r="A108" s="78"/>
      <c r="B108" s="93" t="s">
        <v>130</v>
      </c>
      <c r="C108" s="93"/>
      <c r="D108" s="93"/>
      <c r="E108" s="93"/>
      <c r="F108" s="93"/>
      <c r="G108" s="93"/>
      <c r="H108" s="93"/>
      <c r="I108" s="93"/>
      <c r="J108" s="93"/>
      <c r="K108" s="93"/>
      <c r="L108" s="93"/>
      <c r="M108" s="93"/>
      <c r="N108" s="93"/>
      <c r="O108" s="93"/>
      <c r="P108" s="93"/>
      <c r="Q108" s="93"/>
      <c r="R108" s="93"/>
      <c r="S108" s="93"/>
      <c r="T108" s="93"/>
      <c r="U108" s="93"/>
      <c r="V108" s="71"/>
      <c r="W108" s="71"/>
      <c r="X108" s="71"/>
      <c r="Y108" s="71"/>
      <c r="Z108" s="71"/>
      <c r="AA108" s="71"/>
      <c r="AB108" s="71"/>
      <c r="AC108" s="71"/>
      <c r="AD108" s="71"/>
      <c r="AE108" s="71"/>
      <c r="AF108" s="71"/>
      <c r="AG108" s="71"/>
    </row>
    <row r="109" spans="1:33" ht="37.15" customHeight="1" x14ac:dyDescent="0.15">
      <c r="A109" s="78"/>
      <c r="B109" s="93"/>
      <c r="C109" s="93"/>
      <c r="D109" s="93"/>
      <c r="E109" s="93"/>
      <c r="F109" s="93"/>
      <c r="G109" s="93"/>
      <c r="H109" s="93"/>
      <c r="I109" s="93"/>
      <c r="J109" s="93"/>
      <c r="K109" s="93"/>
      <c r="L109" s="93"/>
      <c r="M109" s="93"/>
      <c r="N109" s="93"/>
      <c r="O109" s="93"/>
      <c r="P109" s="93"/>
      <c r="Q109" s="93"/>
      <c r="R109" s="93"/>
      <c r="S109" s="93"/>
      <c r="T109" s="93"/>
      <c r="U109" s="93"/>
      <c r="V109" s="71"/>
      <c r="W109" s="71"/>
      <c r="X109" s="71"/>
      <c r="Y109" s="71"/>
      <c r="Z109" s="71"/>
      <c r="AA109" s="71"/>
      <c r="AB109" s="71"/>
      <c r="AC109" s="71"/>
      <c r="AD109" s="71"/>
      <c r="AE109" s="71"/>
      <c r="AF109" s="71"/>
      <c r="AG109" s="71"/>
    </row>
    <row r="110" spans="1:33" ht="18.75" customHeight="1" x14ac:dyDescent="0.15">
      <c r="A110" s="78"/>
      <c r="B110" s="166" t="s">
        <v>125</v>
      </c>
      <c r="C110" s="166"/>
      <c r="D110" s="166"/>
      <c r="E110" s="166"/>
      <c r="F110" s="166"/>
      <c r="G110" s="166"/>
      <c r="H110" s="166"/>
      <c r="I110" s="166"/>
      <c r="J110" s="166"/>
      <c r="K110" s="166"/>
      <c r="L110" s="166"/>
      <c r="M110" s="166"/>
      <c r="N110" s="166"/>
      <c r="O110" s="166"/>
      <c r="P110" s="166"/>
      <c r="Q110" s="166"/>
      <c r="R110" s="166"/>
      <c r="S110" s="166"/>
      <c r="T110" s="166"/>
      <c r="U110" s="166"/>
      <c r="V110" s="71"/>
      <c r="W110" s="71"/>
      <c r="X110" s="71"/>
      <c r="Y110" s="71"/>
      <c r="Z110" s="71"/>
      <c r="AA110" s="71"/>
      <c r="AB110" s="71"/>
      <c r="AC110" s="71"/>
      <c r="AD110" s="71"/>
      <c r="AE110" s="71"/>
      <c r="AF110" s="71"/>
      <c r="AG110" s="71"/>
    </row>
    <row r="111" spans="1:33" ht="18.75" customHeight="1" x14ac:dyDescent="0.15">
      <c r="A111" s="78"/>
      <c r="B111" s="167" t="s">
        <v>53</v>
      </c>
      <c r="C111" s="167"/>
      <c r="D111" s="167"/>
      <c r="E111" s="167"/>
      <c r="F111" s="167"/>
      <c r="G111" s="167"/>
      <c r="H111" s="167"/>
      <c r="I111" s="167"/>
      <c r="J111" s="167"/>
      <c r="K111" s="167"/>
      <c r="L111" s="167"/>
      <c r="M111" s="167"/>
      <c r="N111" s="167"/>
      <c r="O111" s="167"/>
      <c r="P111" s="167"/>
      <c r="Q111" s="167"/>
      <c r="R111" s="167"/>
      <c r="S111" s="167"/>
      <c r="T111" s="167"/>
      <c r="U111" s="167"/>
      <c r="V111" s="70"/>
      <c r="W111" s="70"/>
      <c r="X111" s="70"/>
      <c r="Y111" s="70"/>
      <c r="Z111" s="70"/>
      <c r="AA111" s="70"/>
      <c r="AB111" s="70"/>
      <c r="AC111" s="70"/>
      <c r="AD111" s="70"/>
      <c r="AE111" s="70"/>
      <c r="AF111" s="70"/>
      <c r="AG111" s="70"/>
    </row>
    <row r="112" spans="1:33" ht="132" customHeight="1" x14ac:dyDescent="0.15">
      <c r="A112" s="78"/>
      <c r="B112" s="168" t="s">
        <v>185</v>
      </c>
      <c r="C112" s="168"/>
      <c r="D112" s="168"/>
      <c r="E112" s="168"/>
      <c r="F112" s="168"/>
      <c r="G112" s="168"/>
      <c r="H112" s="168"/>
      <c r="I112" s="168"/>
      <c r="J112" s="168"/>
      <c r="K112" s="168"/>
      <c r="L112" s="168"/>
      <c r="M112" s="168"/>
      <c r="N112" s="168"/>
      <c r="O112" s="168"/>
      <c r="P112" s="168"/>
      <c r="Q112" s="168"/>
      <c r="R112" s="168"/>
      <c r="S112" s="168"/>
      <c r="T112" s="168"/>
      <c r="U112" s="168"/>
      <c r="V112" s="72"/>
      <c r="W112" s="72"/>
      <c r="X112" s="72"/>
      <c r="Y112" s="72"/>
      <c r="Z112" s="72"/>
      <c r="AA112" s="72"/>
      <c r="AB112" s="72"/>
      <c r="AC112" s="72"/>
      <c r="AD112" s="72"/>
      <c r="AE112" s="72"/>
      <c r="AF112" s="72"/>
      <c r="AG112" s="72"/>
    </row>
    <row r="114" ht="18" customHeight="1" x14ac:dyDescent="0.15"/>
  </sheetData>
  <mergeCells count="148">
    <mergeCell ref="T1:U1"/>
    <mergeCell ref="C2:J2"/>
    <mergeCell ref="C3:J3"/>
    <mergeCell ref="A5:U5"/>
    <mergeCell ref="L7:U7"/>
    <mergeCell ref="B11:U12"/>
    <mergeCell ref="B28:F28"/>
    <mergeCell ref="K28:Q28"/>
    <mergeCell ref="B29:F29"/>
    <mergeCell ref="K29:Q29"/>
    <mergeCell ref="B30:F30"/>
    <mergeCell ref="K30:Q30"/>
    <mergeCell ref="B15:U20"/>
    <mergeCell ref="N22:U22"/>
    <mergeCell ref="A24:U25"/>
    <mergeCell ref="B26:F26"/>
    <mergeCell ref="K26:Q26"/>
    <mergeCell ref="B27:F27"/>
    <mergeCell ref="K27:Q27"/>
    <mergeCell ref="A35:U36"/>
    <mergeCell ref="B37:F37"/>
    <mergeCell ref="K37:Q37"/>
    <mergeCell ref="B38:F38"/>
    <mergeCell ref="K38:Q38"/>
    <mergeCell ref="B39:F39"/>
    <mergeCell ref="K39:Q39"/>
    <mergeCell ref="B31:F31"/>
    <mergeCell ref="K31:Q31"/>
    <mergeCell ref="B32:F32"/>
    <mergeCell ref="K32:Q32"/>
    <mergeCell ref="B33:F33"/>
    <mergeCell ref="K33:Q33"/>
    <mergeCell ref="B43:F43"/>
    <mergeCell ref="K43:Q43"/>
    <mergeCell ref="B44:F44"/>
    <mergeCell ref="K44:Q44"/>
    <mergeCell ref="A46:U47"/>
    <mergeCell ref="B48:F48"/>
    <mergeCell ref="K48:Q48"/>
    <mergeCell ref="B40:F40"/>
    <mergeCell ref="K40:Q40"/>
    <mergeCell ref="B41:F41"/>
    <mergeCell ref="K41:Q41"/>
    <mergeCell ref="B42:F42"/>
    <mergeCell ref="K42:Q42"/>
    <mergeCell ref="B52:F52"/>
    <mergeCell ref="K52:Q52"/>
    <mergeCell ref="B53:F53"/>
    <mergeCell ref="K53:Q53"/>
    <mergeCell ref="B54:F54"/>
    <mergeCell ref="K54:Q54"/>
    <mergeCell ref="B49:F49"/>
    <mergeCell ref="K49:Q49"/>
    <mergeCell ref="B50:F50"/>
    <mergeCell ref="K50:Q50"/>
    <mergeCell ref="B51:F51"/>
    <mergeCell ref="K51:Q51"/>
    <mergeCell ref="B61:F61"/>
    <mergeCell ref="K61:Q61"/>
    <mergeCell ref="B62:F62"/>
    <mergeCell ref="K62:Q62"/>
    <mergeCell ref="B63:F63"/>
    <mergeCell ref="K63:Q63"/>
    <mergeCell ref="B55:F55"/>
    <mergeCell ref="K55:Q55"/>
    <mergeCell ref="A57:U58"/>
    <mergeCell ref="B59:F59"/>
    <mergeCell ref="K59:Q59"/>
    <mergeCell ref="B60:F60"/>
    <mergeCell ref="K60:Q60"/>
    <mergeCell ref="A68:U69"/>
    <mergeCell ref="B70:E70"/>
    <mergeCell ref="K70:P70"/>
    <mergeCell ref="B71:E71"/>
    <mergeCell ref="K71:P71"/>
    <mergeCell ref="B72:E72"/>
    <mergeCell ref="K72:P72"/>
    <mergeCell ref="B64:F64"/>
    <mergeCell ref="K64:Q64"/>
    <mergeCell ref="B65:F65"/>
    <mergeCell ref="K65:Q65"/>
    <mergeCell ref="B66:F66"/>
    <mergeCell ref="K66:Q66"/>
    <mergeCell ref="B76:E76"/>
    <mergeCell ref="K76:P76"/>
    <mergeCell ref="B77:E77"/>
    <mergeCell ref="K77:P77"/>
    <mergeCell ref="B80:F80"/>
    <mergeCell ref="G80:J80"/>
    <mergeCell ref="K80:Q80"/>
    <mergeCell ref="B73:E73"/>
    <mergeCell ref="K73:P73"/>
    <mergeCell ref="B74:E74"/>
    <mergeCell ref="K74:P74"/>
    <mergeCell ref="B75:E75"/>
    <mergeCell ref="K75:P75"/>
    <mergeCell ref="B83:F83"/>
    <mergeCell ref="G83:J83"/>
    <mergeCell ref="K83:Q83"/>
    <mergeCell ref="R83:U83"/>
    <mergeCell ref="B84:F84"/>
    <mergeCell ref="G84:J84"/>
    <mergeCell ref="K84:Q84"/>
    <mergeCell ref="R84:U84"/>
    <mergeCell ref="R80:U80"/>
    <mergeCell ref="B81:F81"/>
    <mergeCell ref="G81:J81"/>
    <mergeCell ref="K81:Q81"/>
    <mergeCell ref="R81:U81"/>
    <mergeCell ref="B82:F82"/>
    <mergeCell ref="G82:J82"/>
    <mergeCell ref="K82:Q82"/>
    <mergeCell ref="R82:U82"/>
    <mergeCell ref="B87:F87"/>
    <mergeCell ref="G87:J87"/>
    <mergeCell ref="K87:Q87"/>
    <mergeCell ref="R87:U87"/>
    <mergeCell ref="B90:C90"/>
    <mergeCell ref="D90:U90"/>
    <mergeCell ref="B85:F85"/>
    <mergeCell ref="G85:J85"/>
    <mergeCell ref="K85:Q85"/>
    <mergeCell ref="R85:U85"/>
    <mergeCell ref="B86:F86"/>
    <mergeCell ref="G86:J86"/>
    <mergeCell ref="K86:Q86"/>
    <mergeCell ref="R86:U86"/>
    <mergeCell ref="B95:B96"/>
    <mergeCell ref="D95:U95"/>
    <mergeCell ref="D96:U96"/>
    <mergeCell ref="B97:B98"/>
    <mergeCell ref="D97:U97"/>
    <mergeCell ref="D98:U98"/>
    <mergeCell ref="B91:B92"/>
    <mergeCell ref="D91:U91"/>
    <mergeCell ref="D92:U92"/>
    <mergeCell ref="B93:B94"/>
    <mergeCell ref="D93:U93"/>
    <mergeCell ref="D94:U94"/>
    <mergeCell ref="B110:U110"/>
    <mergeCell ref="B111:U111"/>
    <mergeCell ref="B112:U112"/>
    <mergeCell ref="B99:B101"/>
    <mergeCell ref="D99:U99"/>
    <mergeCell ref="D100:U100"/>
    <mergeCell ref="D101:U101"/>
    <mergeCell ref="B104:U104"/>
    <mergeCell ref="B108:U109"/>
  </mergeCells>
  <phoneticPr fontId="1"/>
  <conditionalFormatting sqref="B11:U12">
    <cfRule type="expression" dxfId="1" priority="1">
      <formula>$L$7="学部・学科によって、修了要件は相違しない"</formula>
    </cfRule>
    <cfRule type="expression" dxfId="0" priority="2">
      <formula>$L$9="学部・学科によって、修了要件は相違しない"</formula>
    </cfRule>
  </conditionalFormatting>
  <dataValidations count="5">
    <dataValidation type="list" allowBlank="1" showInputMessage="1" showErrorMessage="1" sqref="H27:J33 S27:U33 H38:J44 S38:U44 H49:J55 S49:U55 H60:J66 S60:U66 G71:J77 R71:U77">
      <formula1>"○"</formula1>
    </dataValidation>
    <dataValidation type="list" allowBlank="1" showInputMessage="1" showErrorMessage="1" sqref="U34 U45 E34:H34 E45:H45">
      <formula1>"全学開講,一部開講"</formula1>
    </dataValidation>
    <dataValidation type="list" allowBlank="1" showInputMessage="1" showErrorMessage="1" sqref="L14 L7:U7">
      <formula1>"学部・学科によって、修了要件は相違する,学部・学科によって、修了要件は相違しない"</formula1>
    </dataValidation>
    <dataValidation type="list" allowBlank="1" showInputMessage="1" showErrorMessage="1" sqref="G81:G88 R81:R88 H81:J82 H85:J88 S85:U88 S81:U82">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N22:U22">
      <formula1>$X$16:$X$18</formula1>
    </dataValidation>
  </dataValidations>
  <printOptions horizontalCentered="1"/>
  <pageMargins left="0.78740157480314965" right="0.78740157480314965" top="0.78740157480314965" bottom="0.19685039370078741" header="0.31496062992125984" footer="0.19685039370078741"/>
  <pageSetup paperSize="9" scale="68" fitToHeight="0" orientation="portrait" r:id="rId1"/>
  <headerFooter>
    <oddHeader>&amp;C数理・データサイエンス・AI教育プログラム認定制度【リテラシーレベル】令和６年度申請用</oddHeader>
  </headerFooter>
  <rowBreaks count="2" manualBreakCount="2">
    <brk id="67" max="20" man="1"/>
    <brk id="96" max="20"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U33"/>
  <sheetViews>
    <sheetView view="pageBreakPreview" zoomScaleNormal="100" zoomScaleSheetLayoutView="100" workbookViewId="0"/>
  </sheetViews>
  <sheetFormatPr defaultColWidth="9" defaultRowHeight="18.75" customHeight="1" x14ac:dyDescent="0.15"/>
  <cols>
    <col min="1" max="1" width="2.75" style="1" customWidth="1"/>
    <col min="2" max="2" width="20.75" style="1" customWidth="1"/>
    <col min="3" max="18" width="6.125" style="1" customWidth="1"/>
    <col min="19" max="19" width="6.625" style="1" customWidth="1"/>
    <col min="20" max="16384" width="9" style="1"/>
  </cols>
  <sheetData>
    <row r="1" spans="1:21" ht="18" customHeight="1" x14ac:dyDescent="0.15">
      <c r="A1" s="80"/>
      <c r="B1" s="80"/>
      <c r="C1" s="80"/>
      <c r="D1" s="80"/>
      <c r="E1" s="80"/>
      <c r="F1" s="80"/>
      <c r="G1" s="80"/>
      <c r="H1" s="80"/>
      <c r="I1" s="80"/>
      <c r="J1" s="80"/>
      <c r="K1" s="80"/>
      <c r="L1" s="80"/>
      <c r="M1" s="80"/>
      <c r="N1" s="80"/>
      <c r="O1" s="80"/>
      <c r="P1" s="80"/>
      <c r="Q1" s="80"/>
      <c r="R1" s="80"/>
      <c r="S1" s="80" t="s">
        <v>97</v>
      </c>
    </row>
    <row r="2" spans="1:21" ht="18" customHeight="1" x14ac:dyDescent="0.15">
      <c r="A2" s="80"/>
      <c r="B2" s="80"/>
      <c r="C2" s="80"/>
      <c r="D2" s="80"/>
      <c r="E2" s="80"/>
      <c r="F2" s="80"/>
      <c r="G2" s="80"/>
      <c r="H2" s="80"/>
      <c r="I2" s="80"/>
      <c r="J2" s="80"/>
      <c r="K2" s="80"/>
      <c r="L2" s="80"/>
      <c r="M2" s="80"/>
      <c r="N2" s="80"/>
      <c r="O2" s="80"/>
      <c r="P2" s="80"/>
      <c r="Q2" s="170" t="str">
        <f>'様式１-１　プログラムを構成する授業科目'!C2</f>
        <v>埼玉工業大学</v>
      </c>
      <c r="R2" s="170"/>
      <c r="S2" s="170"/>
    </row>
    <row r="3" spans="1:21" ht="18" customHeight="1" x14ac:dyDescent="0.15">
      <c r="A3" s="135" t="s">
        <v>46</v>
      </c>
      <c r="B3" s="135"/>
      <c r="C3" s="135"/>
      <c r="D3" s="135"/>
      <c r="E3" s="135"/>
      <c r="F3" s="135"/>
      <c r="G3" s="135"/>
      <c r="H3" s="135"/>
      <c r="I3" s="135"/>
      <c r="J3" s="135"/>
      <c r="K3" s="135"/>
      <c r="L3" s="135"/>
      <c r="M3" s="135"/>
      <c r="N3" s="135"/>
      <c r="O3" s="135"/>
      <c r="P3" s="135"/>
      <c r="Q3" s="135"/>
      <c r="R3" s="135"/>
      <c r="S3" s="135"/>
    </row>
    <row r="4" spans="1:21" ht="7.5" customHeight="1" x14ac:dyDescent="0.15">
      <c r="A4" s="85"/>
      <c r="B4" s="85"/>
      <c r="C4" s="85"/>
      <c r="D4" s="85"/>
      <c r="E4" s="85"/>
      <c r="F4" s="85"/>
      <c r="G4" s="85"/>
      <c r="H4" s="85"/>
      <c r="I4" s="85"/>
      <c r="J4" s="85"/>
      <c r="K4" s="85"/>
      <c r="L4" s="85"/>
      <c r="M4" s="85"/>
      <c r="N4" s="85"/>
      <c r="O4" s="85"/>
      <c r="P4" s="85"/>
      <c r="Q4" s="85"/>
      <c r="R4" s="85"/>
      <c r="S4" s="85"/>
    </row>
    <row r="5" spans="1:21" ht="18" customHeight="1" x14ac:dyDescent="0.15">
      <c r="A5" s="80" t="s">
        <v>79</v>
      </c>
      <c r="B5" s="80"/>
      <c r="C5" s="132" t="s">
        <v>186</v>
      </c>
      <c r="D5" s="134"/>
      <c r="E5" s="85" t="s">
        <v>50</v>
      </c>
      <c r="F5" s="85"/>
      <c r="G5" s="85"/>
      <c r="H5" s="85"/>
      <c r="I5" s="85"/>
      <c r="J5" s="85"/>
      <c r="K5" s="85"/>
      <c r="L5" s="85"/>
      <c r="M5" s="85"/>
      <c r="N5" s="85"/>
      <c r="O5" s="85"/>
      <c r="P5" s="85"/>
      <c r="Q5" s="85"/>
      <c r="R5" s="83"/>
      <c r="S5" s="83"/>
    </row>
    <row r="6" spans="1:21" ht="7.15" customHeight="1" x14ac:dyDescent="0.15">
      <c r="A6" s="80"/>
      <c r="B6" s="80"/>
      <c r="C6" s="92"/>
      <c r="D6" s="92"/>
      <c r="E6" s="85"/>
      <c r="F6" s="85"/>
      <c r="G6" s="85"/>
      <c r="H6" s="85"/>
      <c r="I6" s="85"/>
      <c r="J6" s="85"/>
      <c r="K6" s="85"/>
      <c r="L6" s="85"/>
      <c r="M6" s="85"/>
      <c r="N6" s="85"/>
      <c r="O6" s="85"/>
      <c r="P6" s="85"/>
      <c r="Q6" s="85"/>
      <c r="R6" s="83"/>
      <c r="S6" s="83"/>
    </row>
    <row r="7" spans="1:21" ht="18" customHeight="1" x14ac:dyDescent="0.15">
      <c r="A7" s="80" t="s">
        <v>117</v>
      </c>
      <c r="B7" s="80"/>
      <c r="C7" s="92"/>
      <c r="D7" s="92"/>
      <c r="E7" s="85" t="s">
        <v>118</v>
      </c>
      <c r="F7" s="89">
        <v>1959</v>
      </c>
      <c r="G7" s="87" t="s">
        <v>119</v>
      </c>
      <c r="H7" s="85" t="s">
        <v>120</v>
      </c>
      <c r="I7" s="89">
        <v>223</v>
      </c>
      <c r="J7" s="87" t="s">
        <v>119</v>
      </c>
      <c r="K7" s="82" t="s">
        <v>121</v>
      </c>
      <c r="L7" s="85" t="s">
        <v>122</v>
      </c>
      <c r="M7" s="89">
        <f>F7+I7</f>
        <v>2182</v>
      </c>
      <c r="N7" s="85" t="s">
        <v>1</v>
      </c>
      <c r="O7" s="87" t="s">
        <v>123</v>
      </c>
      <c r="P7" s="85"/>
      <c r="Q7" s="85"/>
      <c r="R7" s="83"/>
      <c r="S7" s="83"/>
    </row>
    <row r="8" spans="1:21" ht="6" customHeight="1" x14ac:dyDescent="0.15">
      <c r="A8" s="85"/>
      <c r="B8" s="85"/>
      <c r="C8" s="85"/>
      <c r="D8" s="85"/>
      <c r="E8" s="85"/>
      <c r="F8" s="85"/>
      <c r="G8" s="85"/>
      <c r="H8" s="85"/>
      <c r="I8" s="85"/>
      <c r="J8" s="85"/>
      <c r="K8" s="85"/>
      <c r="L8" s="85"/>
      <c r="M8" s="85"/>
      <c r="N8" s="85"/>
      <c r="O8" s="85"/>
      <c r="P8" s="85"/>
      <c r="Q8" s="85"/>
      <c r="R8" s="85"/>
      <c r="S8" s="85"/>
    </row>
    <row r="9" spans="1:21" ht="18" customHeight="1" x14ac:dyDescent="0.15">
      <c r="A9" s="80" t="s">
        <v>134</v>
      </c>
      <c r="B9" s="85"/>
      <c r="C9" s="85"/>
      <c r="D9" s="85"/>
      <c r="E9" s="85"/>
      <c r="F9" s="85"/>
      <c r="G9" s="85"/>
      <c r="H9" s="85"/>
      <c r="I9" s="85"/>
      <c r="J9" s="85"/>
      <c r="K9" s="85"/>
      <c r="L9" s="85"/>
      <c r="M9" s="85"/>
      <c r="N9" s="85"/>
      <c r="O9" s="85"/>
      <c r="P9" s="85"/>
      <c r="Q9" s="85"/>
      <c r="R9" s="85"/>
      <c r="S9" s="85"/>
    </row>
    <row r="10" spans="1:21" ht="6" customHeight="1" x14ac:dyDescent="0.15">
      <c r="B10" s="3"/>
      <c r="C10" s="3"/>
      <c r="D10" s="3"/>
      <c r="E10" s="3"/>
      <c r="F10" s="3"/>
      <c r="G10" s="3"/>
      <c r="H10" s="3"/>
      <c r="I10" s="3"/>
      <c r="J10" s="3"/>
      <c r="K10" s="3"/>
      <c r="L10" s="3"/>
      <c r="M10" s="3"/>
      <c r="N10" s="3"/>
      <c r="O10" s="3"/>
      <c r="P10" s="3"/>
      <c r="Q10" s="3"/>
      <c r="R10" s="3"/>
      <c r="S10" s="3"/>
    </row>
    <row r="11" spans="1:21" ht="18" customHeight="1" x14ac:dyDescent="0.15">
      <c r="B11" s="171" t="s">
        <v>43</v>
      </c>
      <c r="C11" s="181" t="s">
        <v>82</v>
      </c>
      <c r="D11" s="173" t="s">
        <v>45</v>
      </c>
      <c r="E11" s="175" t="s">
        <v>38</v>
      </c>
      <c r="F11" s="169" t="s">
        <v>111</v>
      </c>
      <c r="G11" s="169"/>
      <c r="H11" s="169" t="s">
        <v>81</v>
      </c>
      <c r="I11" s="169"/>
      <c r="J11" s="169" t="s">
        <v>47</v>
      </c>
      <c r="K11" s="169"/>
      <c r="L11" s="169" t="s">
        <v>48</v>
      </c>
      <c r="M11" s="169"/>
      <c r="N11" s="169" t="s">
        <v>91</v>
      </c>
      <c r="O11" s="169"/>
      <c r="P11" s="169" t="s">
        <v>49</v>
      </c>
      <c r="Q11" s="169"/>
      <c r="R11" s="177" t="s">
        <v>34</v>
      </c>
      <c r="S11" s="179" t="s">
        <v>31</v>
      </c>
      <c r="U11" s="2"/>
    </row>
    <row r="12" spans="1:21" ht="16.899999999999999" customHeight="1" x14ac:dyDescent="0.15">
      <c r="B12" s="172"/>
      <c r="C12" s="182"/>
      <c r="D12" s="174"/>
      <c r="E12" s="176"/>
      <c r="F12" s="64" t="s">
        <v>90</v>
      </c>
      <c r="G12" s="64" t="s">
        <v>28</v>
      </c>
      <c r="H12" s="64" t="s">
        <v>90</v>
      </c>
      <c r="I12" s="64" t="s">
        <v>28</v>
      </c>
      <c r="J12" s="64" t="s">
        <v>90</v>
      </c>
      <c r="K12" s="64" t="s">
        <v>28</v>
      </c>
      <c r="L12" s="64" t="s">
        <v>90</v>
      </c>
      <c r="M12" s="64" t="s">
        <v>28</v>
      </c>
      <c r="N12" s="64" t="s">
        <v>90</v>
      </c>
      <c r="O12" s="64" t="s">
        <v>28</v>
      </c>
      <c r="P12" s="64" t="s">
        <v>90</v>
      </c>
      <c r="Q12" s="65" t="s">
        <v>28</v>
      </c>
      <c r="R12" s="178"/>
      <c r="S12" s="180"/>
      <c r="U12" s="2"/>
    </row>
    <row r="13" spans="1:21" ht="18" customHeight="1" x14ac:dyDescent="0.15">
      <c r="A13" s="6"/>
      <c r="B13" s="66" t="s">
        <v>187</v>
      </c>
      <c r="C13" s="52">
        <v>1564</v>
      </c>
      <c r="D13" s="53">
        <v>360</v>
      </c>
      <c r="E13" s="54">
        <v>1440</v>
      </c>
      <c r="F13" s="54">
        <v>135</v>
      </c>
      <c r="G13" s="54">
        <v>122</v>
      </c>
      <c r="H13" s="54">
        <v>181</v>
      </c>
      <c r="I13" s="54">
        <v>172</v>
      </c>
      <c r="J13" s="54">
        <v>140</v>
      </c>
      <c r="K13" s="54">
        <v>122</v>
      </c>
      <c r="L13" s="54">
        <v>121</v>
      </c>
      <c r="M13" s="54">
        <v>91</v>
      </c>
      <c r="N13" s="54"/>
      <c r="O13" s="54"/>
      <c r="P13" s="54"/>
      <c r="Q13" s="67"/>
      <c r="R13" s="53">
        <f t="shared" ref="R13:R32" si="0">F13+H13+J13+L13+N13+P13</f>
        <v>577</v>
      </c>
      <c r="S13" s="68">
        <f t="shared" ref="S13:S33" si="1">R13/E13</f>
        <v>0.40069444444444446</v>
      </c>
    </row>
    <row r="14" spans="1:21" ht="18" customHeight="1" x14ac:dyDescent="0.15">
      <c r="A14" s="6"/>
      <c r="B14" s="11" t="s">
        <v>188</v>
      </c>
      <c r="C14" s="55">
        <v>618</v>
      </c>
      <c r="D14" s="56">
        <v>140</v>
      </c>
      <c r="E14" s="57">
        <v>560</v>
      </c>
      <c r="F14" s="58">
        <v>40</v>
      </c>
      <c r="G14" s="58">
        <v>33</v>
      </c>
      <c r="H14" s="58">
        <v>108</v>
      </c>
      <c r="I14" s="58">
        <v>87</v>
      </c>
      <c r="J14" s="58">
        <v>79</v>
      </c>
      <c r="K14" s="58">
        <v>63</v>
      </c>
      <c r="L14" s="58">
        <v>38</v>
      </c>
      <c r="M14" s="58">
        <v>34</v>
      </c>
      <c r="N14" s="58"/>
      <c r="O14" s="58"/>
      <c r="P14" s="58"/>
      <c r="Q14" s="55"/>
      <c r="R14" s="56">
        <f t="shared" si="0"/>
        <v>265</v>
      </c>
      <c r="S14" s="16">
        <f t="shared" si="1"/>
        <v>0.4732142857142857</v>
      </c>
    </row>
    <row r="15" spans="1:21" ht="18" customHeight="1" x14ac:dyDescent="0.15">
      <c r="A15" s="6"/>
      <c r="B15" s="11"/>
      <c r="C15" s="55"/>
      <c r="D15" s="56"/>
      <c r="E15" s="57"/>
      <c r="F15" s="58"/>
      <c r="G15" s="58"/>
      <c r="H15" s="58"/>
      <c r="I15" s="58"/>
      <c r="J15" s="58"/>
      <c r="K15" s="58"/>
      <c r="L15" s="58"/>
      <c r="M15" s="58"/>
      <c r="N15" s="58"/>
      <c r="O15" s="58"/>
      <c r="P15" s="58"/>
      <c r="Q15" s="55"/>
      <c r="R15" s="56">
        <f t="shared" si="0"/>
        <v>0</v>
      </c>
      <c r="S15" s="8" t="e">
        <f t="shared" si="1"/>
        <v>#DIV/0!</v>
      </c>
    </row>
    <row r="16" spans="1:21" ht="18" customHeight="1" x14ac:dyDescent="0.15">
      <c r="A16" s="6"/>
      <c r="B16" s="11"/>
      <c r="C16" s="55"/>
      <c r="D16" s="56"/>
      <c r="E16" s="57"/>
      <c r="F16" s="58"/>
      <c r="G16" s="58"/>
      <c r="H16" s="58"/>
      <c r="I16" s="58"/>
      <c r="J16" s="58"/>
      <c r="K16" s="58"/>
      <c r="L16" s="58"/>
      <c r="M16" s="58"/>
      <c r="N16" s="58"/>
      <c r="O16" s="58"/>
      <c r="P16" s="58"/>
      <c r="Q16" s="55"/>
      <c r="R16" s="56">
        <f t="shared" si="0"/>
        <v>0</v>
      </c>
      <c r="S16" s="8" t="e">
        <f t="shared" si="1"/>
        <v>#DIV/0!</v>
      </c>
    </row>
    <row r="17" spans="1:19" ht="18" customHeight="1" x14ac:dyDescent="0.15">
      <c r="A17" s="6"/>
      <c r="B17" s="11"/>
      <c r="C17" s="55"/>
      <c r="D17" s="56"/>
      <c r="E17" s="57"/>
      <c r="F17" s="58"/>
      <c r="G17" s="58"/>
      <c r="H17" s="58"/>
      <c r="I17" s="58"/>
      <c r="J17" s="58"/>
      <c r="K17" s="58"/>
      <c r="L17" s="58"/>
      <c r="M17" s="58"/>
      <c r="N17" s="58"/>
      <c r="O17" s="58"/>
      <c r="P17" s="58"/>
      <c r="Q17" s="55"/>
      <c r="R17" s="56">
        <f t="shared" si="0"/>
        <v>0</v>
      </c>
      <c r="S17" s="8" t="e">
        <f t="shared" si="1"/>
        <v>#DIV/0!</v>
      </c>
    </row>
    <row r="18" spans="1:19" ht="18" customHeight="1" x14ac:dyDescent="0.15">
      <c r="A18" s="6"/>
      <c r="B18" s="11"/>
      <c r="C18" s="55"/>
      <c r="D18" s="56"/>
      <c r="E18" s="57"/>
      <c r="F18" s="58"/>
      <c r="G18" s="58"/>
      <c r="H18" s="58"/>
      <c r="I18" s="58"/>
      <c r="J18" s="58"/>
      <c r="K18" s="58"/>
      <c r="L18" s="58"/>
      <c r="M18" s="58"/>
      <c r="N18" s="58"/>
      <c r="O18" s="58"/>
      <c r="P18" s="58"/>
      <c r="Q18" s="55"/>
      <c r="R18" s="56">
        <f t="shared" si="0"/>
        <v>0</v>
      </c>
      <c r="S18" s="8" t="e">
        <f t="shared" si="1"/>
        <v>#DIV/0!</v>
      </c>
    </row>
    <row r="19" spans="1:19" ht="18" customHeight="1" x14ac:dyDescent="0.15">
      <c r="A19" s="6"/>
      <c r="B19" s="11"/>
      <c r="C19" s="55"/>
      <c r="D19" s="56"/>
      <c r="E19" s="57"/>
      <c r="F19" s="58"/>
      <c r="G19" s="58"/>
      <c r="H19" s="58"/>
      <c r="I19" s="58"/>
      <c r="J19" s="58"/>
      <c r="K19" s="58"/>
      <c r="L19" s="58"/>
      <c r="M19" s="58"/>
      <c r="N19" s="58"/>
      <c r="O19" s="58"/>
      <c r="P19" s="58"/>
      <c r="Q19" s="55"/>
      <c r="R19" s="56">
        <f t="shared" si="0"/>
        <v>0</v>
      </c>
      <c r="S19" s="8" t="e">
        <f t="shared" si="1"/>
        <v>#DIV/0!</v>
      </c>
    </row>
    <row r="20" spans="1:19" ht="18" customHeight="1" x14ac:dyDescent="0.15">
      <c r="A20" s="6"/>
      <c r="B20" s="11"/>
      <c r="C20" s="55"/>
      <c r="D20" s="56"/>
      <c r="E20" s="57"/>
      <c r="F20" s="58"/>
      <c r="G20" s="58"/>
      <c r="H20" s="58"/>
      <c r="I20" s="58"/>
      <c r="J20" s="58"/>
      <c r="K20" s="58"/>
      <c r="L20" s="58"/>
      <c r="M20" s="58"/>
      <c r="N20" s="58"/>
      <c r="O20" s="58"/>
      <c r="P20" s="58"/>
      <c r="Q20" s="55"/>
      <c r="R20" s="56">
        <f t="shared" si="0"/>
        <v>0</v>
      </c>
      <c r="S20" s="8" t="e">
        <f t="shared" si="1"/>
        <v>#DIV/0!</v>
      </c>
    </row>
    <row r="21" spans="1:19" ht="18" customHeight="1" x14ac:dyDescent="0.15">
      <c r="A21" s="6"/>
      <c r="B21" s="11"/>
      <c r="C21" s="55"/>
      <c r="D21" s="56"/>
      <c r="E21" s="57"/>
      <c r="F21" s="58"/>
      <c r="G21" s="58"/>
      <c r="H21" s="58"/>
      <c r="I21" s="58"/>
      <c r="J21" s="58"/>
      <c r="K21" s="58"/>
      <c r="L21" s="58"/>
      <c r="M21" s="58"/>
      <c r="N21" s="58"/>
      <c r="O21" s="58"/>
      <c r="P21" s="58"/>
      <c r="Q21" s="55"/>
      <c r="R21" s="56">
        <f t="shared" si="0"/>
        <v>0</v>
      </c>
      <c r="S21" s="8" t="e">
        <f t="shared" si="1"/>
        <v>#DIV/0!</v>
      </c>
    </row>
    <row r="22" spans="1:19" ht="18" customHeight="1" x14ac:dyDescent="0.15">
      <c r="A22" s="6"/>
      <c r="B22" s="11"/>
      <c r="C22" s="55"/>
      <c r="D22" s="56"/>
      <c r="E22" s="57"/>
      <c r="F22" s="58"/>
      <c r="G22" s="58"/>
      <c r="H22" s="58"/>
      <c r="I22" s="58"/>
      <c r="J22" s="58"/>
      <c r="K22" s="58"/>
      <c r="L22" s="58"/>
      <c r="M22" s="58"/>
      <c r="N22" s="58"/>
      <c r="O22" s="58"/>
      <c r="P22" s="58"/>
      <c r="Q22" s="55"/>
      <c r="R22" s="56">
        <f t="shared" si="0"/>
        <v>0</v>
      </c>
      <c r="S22" s="8" t="e">
        <f t="shared" si="1"/>
        <v>#DIV/0!</v>
      </c>
    </row>
    <row r="23" spans="1:19" ht="18" customHeight="1" x14ac:dyDescent="0.15">
      <c r="A23" s="6"/>
      <c r="B23" s="11"/>
      <c r="C23" s="55"/>
      <c r="D23" s="56"/>
      <c r="E23" s="57"/>
      <c r="F23" s="58"/>
      <c r="G23" s="58"/>
      <c r="H23" s="58"/>
      <c r="I23" s="58"/>
      <c r="J23" s="58"/>
      <c r="K23" s="58"/>
      <c r="L23" s="58"/>
      <c r="M23" s="58"/>
      <c r="N23" s="58"/>
      <c r="O23" s="58"/>
      <c r="P23" s="58"/>
      <c r="Q23" s="55"/>
      <c r="R23" s="56">
        <f t="shared" si="0"/>
        <v>0</v>
      </c>
      <c r="S23" s="8" t="e">
        <f t="shared" si="1"/>
        <v>#DIV/0!</v>
      </c>
    </row>
    <row r="24" spans="1:19" ht="18" customHeight="1" x14ac:dyDescent="0.15">
      <c r="A24" s="6"/>
      <c r="B24" s="11"/>
      <c r="C24" s="55"/>
      <c r="D24" s="56"/>
      <c r="E24" s="57"/>
      <c r="F24" s="58"/>
      <c r="G24" s="58"/>
      <c r="H24" s="58"/>
      <c r="I24" s="58"/>
      <c r="J24" s="58"/>
      <c r="K24" s="58"/>
      <c r="L24" s="58"/>
      <c r="M24" s="58"/>
      <c r="N24" s="58"/>
      <c r="O24" s="58"/>
      <c r="P24" s="58"/>
      <c r="Q24" s="55"/>
      <c r="R24" s="56">
        <f t="shared" si="0"/>
        <v>0</v>
      </c>
      <c r="S24" s="8" t="e">
        <f t="shared" si="1"/>
        <v>#DIV/0!</v>
      </c>
    </row>
    <row r="25" spans="1:19" ht="18" customHeight="1" x14ac:dyDescent="0.15">
      <c r="A25" s="6"/>
      <c r="B25" s="11"/>
      <c r="C25" s="55"/>
      <c r="D25" s="56"/>
      <c r="E25" s="57"/>
      <c r="F25" s="58"/>
      <c r="G25" s="58"/>
      <c r="H25" s="58"/>
      <c r="I25" s="58"/>
      <c r="J25" s="58"/>
      <c r="K25" s="58"/>
      <c r="L25" s="58"/>
      <c r="M25" s="58"/>
      <c r="N25" s="58"/>
      <c r="O25" s="58"/>
      <c r="P25" s="58"/>
      <c r="Q25" s="55"/>
      <c r="R25" s="56">
        <f t="shared" si="0"/>
        <v>0</v>
      </c>
      <c r="S25" s="8" t="e">
        <f t="shared" si="1"/>
        <v>#DIV/0!</v>
      </c>
    </row>
    <row r="26" spans="1:19" ht="18" customHeight="1" x14ac:dyDescent="0.15">
      <c r="A26" s="6"/>
      <c r="B26" s="11"/>
      <c r="C26" s="55"/>
      <c r="D26" s="56"/>
      <c r="E26" s="57"/>
      <c r="F26" s="58"/>
      <c r="G26" s="58"/>
      <c r="H26" s="58"/>
      <c r="I26" s="58"/>
      <c r="J26" s="58"/>
      <c r="K26" s="58"/>
      <c r="L26" s="58"/>
      <c r="M26" s="58"/>
      <c r="N26" s="58"/>
      <c r="O26" s="58"/>
      <c r="P26" s="58"/>
      <c r="Q26" s="55"/>
      <c r="R26" s="56">
        <f t="shared" si="0"/>
        <v>0</v>
      </c>
      <c r="S26" s="8" t="e">
        <f t="shared" si="1"/>
        <v>#DIV/0!</v>
      </c>
    </row>
    <row r="27" spans="1:19" ht="18" customHeight="1" x14ac:dyDescent="0.15">
      <c r="A27" s="6"/>
      <c r="B27" s="11"/>
      <c r="C27" s="55"/>
      <c r="D27" s="56"/>
      <c r="E27" s="57"/>
      <c r="F27" s="58"/>
      <c r="G27" s="58"/>
      <c r="H27" s="58"/>
      <c r="I27" s="58"/>
      <c r="J27" s="58"/>
      <c r="K27" s="58"/>
      <c r="L27" s="58"/>
      <c r="M27" s="58"/>
      <c r="N27" s="58"/>
      <c r="O27" s="58"/>
      <c r="P27" s="58"/>
      <c r="Q27" s="55"/>
      <c r="R27" s="56">
        <f t="shared" si="0"/>
        <v>0</v>
      </c>
      <c r="S27" s="8" t="e">
        <f t="shared" si="1"/>
        <v>#DIV/0!</v>
      </c>
    </row>
    <row r="28" spans="1:19" ht="18" customHeight="1" x14ac:dyDescent="0.15">
      <c r="A28" s="6"/>
      <c r="B28" s="11"/>
      <c r="C28" s="55"/>
      <c r="D28" s="56"/>
      <c r="E28" s="57"/>
      <c r="F28" s="58"/>
      <c r="G28" s="58"/>
      <c r="H28" s="58"/>
      <c r="I28" s="58"/>
      <c r="J28" s="58"/>
      <c r="K28" s="58"/>
      <c r="L28" s="58"/>
      <c r="M28" s="58"/>
      <c r="N28" s="58"/>
      <c r="O28" s="58"/>
      <c r="P28" s="58"/>
      <c r="Q28" s="55"/>
      <c r="R28" s="56">
        <f t="shared" si="0"/>
        <v>0</v>
      </c>
      <c r="S28" s="8" t="e">
        <f t="shared" si="1"/>
        <v>#DIV/0!</v>
      </c>
    </row>
    <row r="29" spans="1:19" ht="18" customHeight="1" x14ac:dyDescent="0.15">
      <c r="A29" s="6"/>
      <c r="B29" s="11"/>
      <c r="C29" s="55"/>
      <c r="D29" s="56"/>
      <c r="E29" s="57"/>
      <c r="F29" s="58"/>
      <c r="G29" s="58"/>
      <c r="H29" s="58"/>
      <c r="I29" s="58"/>
      <c r="J29" s="58"/>
      <c r="K29" s="58"/>
      <c r="L29" s="58"/>
      <c r="M29" s="58"/>
      <c r="N29" s="58"/>
      <c r="O29" s="58"/>
      <c r="P29" s="58"/>
      <c r="Q29" s="55"/>
      <c r="R29" s="56">
        <f t="shared" si="0"/>
        <v>0</v>
      </c>
      <c r="S29" s="8" t="e">
        <f t="shared" si="1"/>
        <v>#DIV/0!</v>
      </c>
    </row>
    <row r="30" spans="1:19" ht="18" customHeight="1" x14ac:dyDescent="0.15">
      <c r="A30" s="6"/>
      <c r="B30" s="11"/>
      <c r="C30" s="55"/>
      <c r="D30" s="59"/>
      <c r="E30" s="57"/>
      <c r="F30" s="58"/>
      <c r="G30" s="58"/>
      <c r="H30" s="58"/>
      <c r="I30" s="58"/>
      <c r="J30" s="58"/>
      <c r="K30" s="58"/>
      <c r="L30" s="58"/>
      <c r="M30" s="58"/>
      <c r="N30" s="58"/>
      <c r="O30" s="58"/>
      <c r="P30" s="58"/>
      <c r="Q30" s="55"/>
      <c r="R30" s="59">
        <f t="shared" si="0"/>
        <v>0</v>
      </c>
      <c r="S30" s="8" t="e">
        <f t="shared" si="1"/>
        <v>#DIV/0!</v>
      </c>
    </row>
    <row r="31" spans="1:19" ht="18" customHeight="1" x14ac:dyDescent="0.15">
      <c r="A31" s="6"/>
      <c r="B31" s="11"/>
      <c r="C31" s="55"/>
      <c r="D31" s="59"/>
      <c r="E31" s="57"/>
      <c r="F31" s="58"/>
      <c r="G31" s="58"/>
      <c r="H31" s="58"/>
      <c r="I31" s="58"/>
      <c r="J31" s="58"/>
      <c r="K31" s="58"/>
      <c r="L31" s="58"/>
      <c r="M31" s="58"/>
      <c r="N31" s="58"/>
      <c r="O31" s="58"/>
      <c r="P31" s="58"/>
      <c r="Q31" s="55"/>
      <c r="R31" s="59">
        <f t="shared" si="0"/>
        <v>0</v>
      </c>
      <c r="S31" s="8" t="e">
        <f t="shared" si="1"/>
        <v>#DIV/0!</v>
      </c>
    </row>
    <row r="32" spans="1:19" ht="18" customHeight="1" thickBot="1" x14ac:dyDescent="0.2">
      <c r="A32" s="6"/>
      <c r="B32" s="12"/>
      <c r="C32" s="52"/>
      <c r="D32" s="60"/>
      <c r="E32" s="54"/>
      <c r="F32" s="54"/>
      <c r="G32" s="54"/>
      <c r="H32" s="54"/>
      <c r="I32" s="54"/>
      <c r="J32" s="54"/>
      <c r="K32" s="54"/>
      <c r="L32" s="54"/>
      <c r="M32" s="54"/>
      <c r="N32" s="54"/>
      <c r="O32" s="54"/>
      <c r="P32" s="54"/>
      <c r="Q32" s="55"/>
      <c r="R32" s="60">
        <f t="shared" si="0"/>
        <v>0</v>
      </c>
      <c r="S32" s="7" t="e">
        <f t="shared" si="1"/>
        <v>#DIV/0!</v>
      </c>
    </row>
    <row r="33" spans="2:19" ht="18" customHeight="1" thickTop="1" x14ac:dyDescent="0.15">
      <c r="B33" s="13" t="s">
        <v>32</v>
      </c>
      <c r="C33" s="61">
        <f t="shared" ref="C33" si="2">SUM(C13:C32)</f>
        <v>2182</v>
      </c>
      <c r="D33" s="62">
        <f t="shared" ref="D33:R33" si="3">SUM(D13:D32)</f>
        <v>500</v>
      </c>
      <c r="E33" s="63">
        <f t="shared" si="3"/>
        <v>2000</v>
      </c>
      <c r="F33" s="63">
        <f t="shared" si="3"/>
        <v>175</v>
      </c>
      <c r="G33" s="63">
        <f t="shared" ref="G33:H33" si="4">SUM(G13:G32)</f>
        <v>155</v>
      </c>
      <c r="H33" s="63">
        <f t="shared" si="4"/>
        <v>289</v>
      </c>
      <c r="I33" s="63">
        <f t="shared" ref="I33:J33" si="5">SUM(I13:I32)</f>
        <v>259</v>
      </c>
      <c r="J33" s="63">
        <f t="shared" si="5"/>
        <v>219</v>
      </c>
      <c r="K33" s="63">
        <f t="shared" ref="K33:O33" si="6">SUM(K13:K32)</f>
        <v>185</v>
      </c>
      <c r="L33" s="63">
        <f t="shared" si="6"/>
        <v>159</v>
      </c>
      <c r="M33" s="63">
        <f t="shared" si="6"/>
        <v>125</v>
      </c>
      <c r="N33" s="63">
        <f t="shared" si="6"/>
        <v>0</v>
      </c>
      <c r="O33" s="63">
        <f t="shared" si="6"/>
        <v>0</v>
      </c>
      <c r="P33" s="63">
        <f t="shared" ref="P33:Q33" si="7">SUM(P13:P32)</f>
        <v>0</v>
      </c>
      <c r="Q33" s="61">
        <f t="shared" si="7"/>
        <v>0</v>
      </c>
      <c r="R33" s="62">
        <f t="shared" si="3"/>
        <v>842</v>
      </c>
      <c r="S33" s="9">
        <f t="shared" si="1"/>
        <v>0.42099999999999999</v>
      </c>
    </row>
  </sheetData>
  <mergeCells count="15">
    <mergeCell ref="H11:I11"/>
    <mergeCell ref="J11:K11"/>
    <mergeCell ref="Q2:S2"/>
    <mergeCell ref="L11:M11"/>
    <mergeCell ref="A3:S3"/>
    <mergeCell ref="C5:D5"/>
    <mergeCell ref="B11:B12"/>
    <mergeCell ref="D11:D12"/>
    <mergeCell ref="E11:E12"/>
    <mergeCell ref="F11:G11"/>
    <mergeCell ref="R11:R12"/>
    <mergeCell ref="S11:S12"/>
    <mergeCell ref="C11:C12"/>
    <mergeCell ref="N11:O11"/>
    <mergeCell ref="P11:Q11"/>
  </mergeCells>
  <phoneticPr fontId="1"/>
  <conditionalFormatting sqref="C5:D7">
    <cfRule type="cellIs" priority="1" operator="equal">
      <formula>0</formula>
    </cfRule>
  </conditionalFormatting>
  <printOptions horizontalCentered="1"/>
  <pageMargins left="0.78740157480314965" right="0.78740157480314965" top="0.78740157480314965" bottom="0.59055118110236227" header="0.31496062992125984" footer="0.31496062992125984"/>
  <pageSetup paperSize="9" scale="99" orientation="landscape" r:id="rId1"/>
  <headerFooter>
    <oddHeader>&amp;C数理・データサイエンス・AI教育プログラム認定制度【リテラシーレベル】</oddHead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134"/>
  <sheetViews>
    <sheetView showZeros="0" view="pageBreakPreview" zoomScaleNormal="100" zoomScaleSheetLayoutView="100" workbookViewId="0">
      <selection activeCell="B1" sqref="B1"/>
    </sheetView>
  </sheetViews>
  <sheetFormatPr defaultColWidth="11.375" defaultRowHeight="18.75" customHeight="1" x14ac:dyDescent="0.15"/>
  <cols>
    <col min="1" max="1" width="2.75" style="32" customWidth="1"/>
    <col min="2" max="2" width="16.625" style="1" customWidth="1"/>
    <col min="3" max="3" width="8.875" style="1" customWidth="1"/>
    <col min="4" max="4" width="2.25" style="1" customWidth="1"/>
    <col min="5" max="5" width="16.625" style="1" customWidth="1"/>
    <col min="6" max="6" width="4.375" style="1" customWidth="1"/>
    <col min="7" max="7" width="9" style="1" customWidth="1"/>
    <col min="8" max="8" width="16.625" style="1" customWidth="1"/>
    <col min="9" max="9" width="12.125" style="1" customWidth="1"/>
    <col min="10" max="16384" width="11.375" style="1"/>
  </cols>
  <sheetData>
    <row r="1" spans="1:9" ht="18.75" customHeight="1" x14ac:dyDescent="0.15">
      <c r="A1" s="32" t="s">
        <v>62</v>
      </c>
      <c r="I1" s="30" t="s">
        <v>96</v>
      </c>
    </row>
    <row r="2" spans="1:9" ht="18.75" customHeight="1" x14ac:dyDescent="0.15">
      <c r="G2" s="30" t="s">
        <v>98</v>
      </c>
      <c r="H2" s="109" t="str">
        <f>'様式１-１　プログラムを構成する授業科目'!C2</f>
        <v>埼玉工業大学</v>
      </c>
      <c r="I2" s="111"/>
    </row>
    <row r="3" spans="1:9" ht="18.75" customHeight="1" x14ac:dyDescent="0.15">
      <c r="G3" s="30"/>
      <c r="H3" s="10"/>
      <c r="I3" s="10"/>
    </row>
    <row r="4" spans="1:9" ht="18.600000000000001" customHeight="1" x14ac:dyDescent="0.15">
      <c r="A4" s="211" t="s">
        <v>35</v>
      </c>
      <c r="B4" s="211"/>
      <c r="C4" s="211"/>
      <c r="D4" s="211"/>
      <c r="E4" s="211"/>
      <c r="F4" s="211"/>
      <c r="G4" s="211"/>
      <c r="H4" s="211"/>
      <c r="I4" s="211"/>
    </row>
    <row r="5" spans="1:9" ht="13.15" customHeight="1" x14ac:dyDescent="0.15">
      <c r="B5" s="3"/>
      <c r="C5" s="3"/>
      <c r="D5" s="3"/>
      <c r="E5" s="3"/>
      <c r="F5" s="3"/>
      <c r="G5" s="3"/>
      <c r="H5" s="3"/>
      <c r="I5" s="3"/>
    </row>
    <row r="6" spans="1:9" ht="18" customHeight="1" x14ac:dyDescent="0.15">
      <c r="A6" s="1" t="s">
        <v>0</v>
      </c>
      <c r="B6" s="10" t="s">
        <v>85</v>
      </c>
      <c r="C6" s="231" t="s">
        <v>86</v>
      </c>
      <c r="D6" s="231"/>
      <c r="E6" s="29">
        <v>75</v>
      </c>
      <c r="F6" s="3" t="s">
        <v>1</v>
      </c>
      <c r="G6" s="3" t="s">
        <v>2</v>
      </c>
      <c r="H6" s="29">
        <v>151</v>
      </c>
      <c r="I6" s="10" t="s">
        <v>1</v>
      </c>
    </row>
    <row r="7" spans="1:9" ht="12" customHeight="1" x14ac:dyDescent="0.15">
      <c r="C7" s="2"/>
      <c r="D7" s="2"/>
      <c r="E7" s="2"/>
      <c r="F7" s="2"/>
      <c r="G7" s="2"/>
      <c r="H7" s="2"/>
      <c r="I7" s="33"/>
    </row>
    <row r="8" spans="1:9" ht="18" customHeight="1" x14ac:dyDescent="0.15">
      <c r="A8" s="1" t="s">
        <v>3</v>
      </c>
      <c r="B8" s="10" t="s">
        <v>87</v>
      </c>
      <c r="E8" s="3"/>
      <c r="F8" s="3"/>
      <c r="G8" s="3"/>
      <c r="H8" s="29">
        <v>3</v>
      </c>
      <c r="I8" s="10" t="s">
        <v>1</v>
      </c>
    </row>
    <row r="9" spans="1:9" ht="9" customHeight="1" x14ac:dyDescent="0.15">
      <c r="B9" s="3"/>
      <c r="C9" s="3"/>
      <c r="D9" s="3"/>
      <c r="E9" s="3"/>
      <c r="F9" s="3"/>
      <c r="G9" s="3"/>
      <c r="H9" s="3"/>
      <c r="I9" s="3"/>
    </row>
    <row r="10" spans="1:9" ht="18" customHeight="1" x14ac:dyDescent="0.15">
      <c r="A10" s="1" t="s">
        <v>4</v>
      </c>
      <c r="B10" s="10" t="s">
        <v>88</v>
      </c>
      <c r="C10" s="3"/>
      <c r="D10" s="3"/>
      <c r="E10" s="3"/>
      <c r="F10" s="3"/>
      <c r="G10" s="3"/>
      <c r="H10" s="3"/>
      <c r="I10" s="3"/>
    </row>
    <row r="11" spans="1:9" ht="18" customHeight="1" x14ac:dyDescent="0.15">
      <c r="B11" s="30" t="s">
        <v>41</v>
      </c>
      <c r="C11" s="226" t="s">
        <v>189</v>
      </c>
      <c r="D11" s="229"/>
      <c r="E11" s="230"/>
      <c r="F11" s="33"/>
      <c r="G11" s="30" t="s">
        <v>10</v>
      </c>
      <c r="H11" s="226" t="s">
        <v>190</v>
      </c>
      <c r="I11" s="230"/>
    </row>
    <row r="12" spans="1:9" ht="10.15" customHeight="1" x14ac:dyDescent="0.15">
      <c r="B12" s="30"/>
      <c r="C12" s="10"/>
      <c r="D12" s="33"/>
      <c r="E12" s="33"/>
      <c r="F12" s="33"/>
      <c r="G12" s="30"/>
      <c r="H12" s="10"/>
      <c r="I12" s="33"/>
    </row>
    <row r="13" spans="1:9" ht="18" customHeight="1" x14ac:dyDescent="0.15">
      <c r="A13" s="1" t="s">
        <v>7</v>
      </c>
      <c r="B13" s="10" t="s">
        <v>83</v>
      </c>
      <c r="C13" s="3"/>
      <c r="D13" s="3"/>
      <c r="E13" s="3"/>
      <c r="F13" s="3"/>
      <c r="G13" s="3"/>
      <c r="H13" s="3"/>
      <c r="I13" s="3"/>
    </row>
    <row r="14" spans="1:9" ht="18" customHeight="1" x14ac:dyDescent="0.15">
      <c r="B14" s="226" t="s">
        <v>191</v>
      </c>
      <c r="C14" s="227"/>
      <c r="D14" s="227"/>
      <c r="E14" s="227"/>
      <c r="F14" s="227"/>
      <c r="G14" s="227"/>
      <c r="H14" s="227"/>
      <c r="I14" s="228"/>
    </row>
    <row r="15" spans="1:9" ht="9" customHeight="1" x14ac:dyDescent="0.15">
      <c r="B15" s="3"/>
      <c r="C15" s="3"/>
      <c r="D15" s="3"/>
      <c r="E15" s="3"/>
      <c r="F15" s="3"/>
      <c r="G15" s="3"/>
      <c r="H15" s="3"/>
      <c r="I15" s="3"/>
    </row>
    <row r="16" spans="1:9" ht="18" customHeight="1" x14ac:dyDescent="0.15">
      <c r="B16" s="30" t="s">
        <v>41</v>
      </c>
      <c r="C16" s="226" t="s">
        <v>192</v>
      </c>
      <c r="D16" s="229"/>
      <c r="E16" s="230"/>
      <c r="F16" s="33"/>
      <c r="G16" s="30" t="s">
        <v>10</v>
      </c>
      <c r="H16" s="226" t="s">
        <v>193</v>
      </c>
      <c r="I16" s="230"/>
    </row>
    <row r="17" spans="1:9" ht="18" customHeight="1" x14ac:dyDescent="0.15">
      <c r="B17" s="3"/>
      <c r="C17" s="3"/>
      <c r="D17" s="3"/>
      <c r="E17" s="3"/>
      <c r="F17" s="3"/>
      <c r="G17" s="3"/>
      <c r="H17" s="3"/>
      <c r="I17" s="3"/>
    </row>
    <row r="18" spans="1:9" ht="18.75" customHeight="1" x14ac:dyDescent="0.15">
      <c r="A18" s="1" t="s">
        <v>5</v>
      </c>
      <c r="B18" s="1" t="s">
        <v>40</v>
      </c>
      <c r="I18" s="3"/>
    </row>
    <row r="19" spans="1:9" ht="18.75" customHeight="1" x14ac:dyDescent="0.15">
      <c r="A19" s="1"/>
      <c r="B19" s="212" t="s">
        <v>194</v>
      </c>
      <c r="C19" s="213"/>
      <c r="D19" s="213"/>
      <c r="E19" s="213"/>
      <c r="F19" s="213"/>
      <c r="G19" s="213"/>
      <c r="H19" s="213"/>
      <c r="I19" s="214"/>
    </row>
    <row r="20" spans="1:9" ht="7.5" customHeight="1" x14ac:dyDescent="0.15">
      <c r="B20" s="3"/>
      <c r="C20" s="3"/>
      <c r="D20" s="3"/>
      <c r="E20" s="3"/>
      <c r="F20" s="3"/>
      <c r="G20" s="3"/>
      <c r="H20" s="3"/>
      <c r="I20" s="3"/>
    </row>
    <row r="21" spans="1:9" ht="18.75" customHeight="1" x14ac:dyDescent="0.15">
      <c r="A21" s="1" t="s">
        <v>8</v>
      </c>
      <c r="B21" s="1" t="s">
        <v>24</v>
      </c>
    </row>
    <row r="22" spans="1:9" ht="18.75" customHeight="1" x14ac:dyDescent="0.15">
      <c r="A22" s="14"/>
      <c r="B22" s="215" t="s">
        <v>197</v>
      </c>
      <c r="C22" s="216"/>
      <c r="D22" s="216"/>
      <c r="E22" s="216"/>
      <c r="F22" s="216"/>
      <c r="G22" s="216"/>
      <c r="H22" s="216"/>
      <c r="I22" s="217"/>
    </row>
    <row r="23" spans="1:9" ht="18.75" customHeight="1" x14ac:dyDescent="0.15">
      <c r="A23" s="14"/>
      <c r="B23" s="218"/>
      <c r="C23" s="219"/>
      <c r="D23" s="219"/>
      <c r="E23" s="219"/>
      <c r="F23" s="219"/>
      <c r="G23" s="219"/>
      <c r="H23" s="219"/>
      <c r="I23" s="220"/>
    </row>
    <row r="24" spans="1:9" ht="18.75" customHeight="1" x14ac:dyDescent="0.15">
      <c r="A24" s="14"/>
      <c r="B24" s="218"/>
      <c r="C24" s="219"/>
      <c r="D24" s="219"/>
      <c r="E24" s="219"/>
      <c r="F24" s="219"/>
      <c r="G24" s="219"/>
      <c r="H24" s="219"/>
      <c r="I24" s="220"/>
    </row>
    <row r="25" spans="1:9" ht="18.75" customHeight="1" x14ac:dyDescent="0.15">
      <c r="A25" s="14"/>
      <c r="B25" s="218"/>
      <c r="C25" s="219"/>
      <c r="D25" s="219"/>
      <c r="E25" s="219"/>
      <c r="F25" s="219"/>
      <c r="G25" s="219"/>
      <c r="H25" s="219"/>
      <c r="I25" s="220"/>
    </row>
    <row r="26" spans="1:9" ht="18.75" customHeight="1" x14ac:dyDescent="0.15">
      <c r="A26" s="14"/>
      <c r="B26" s="218"/>
      <c r="C26" s="219"/>
      <c r="D26" s="219"/>
      <c r="E26" s="219"/>
      <c r="F26" s="219"/>
      <c r="G26" s="219"/>
      <c r="H26" s="219"/>
      <c r="I26" s="220"/>
    </row>
    <row r="27" spans="1:9" ht="18.75" customHeight="1" x14ac:dyDescent="0.15">
      <c r="A27" s="14"/>
      <c r="B27" s="218"/>
      <c r="C27" s="219"/>
      <c r="D27" s="219"/>
      <c r="E27" s="219"/>
      <c r="F27" s="219"/>
      <c r="G27" s="219"/>
      <c r="H27" s="219"/>
      <c r="I27" s="220"/>
    </row>
    <row r="28" spans="1:9" ht="18.75" customHeight="1" x14ac:dyDescent="0.15">
      <c r="A28" s="14"/>
      <c r="B28" s="218"/>
      <c r="C28" s="219"/>
      <c r="D28" s="219"/>
      <c r="E28" s="219"/>
      <c r="F28" s="219"/>
      <c r="G28" s="219"/>
      <c r="H28" s="219"/>
      <c r="I28" s="220"/>
    </row>
    <row r="29" spans="1:9" ht="18.75" customHeight="1" x14ac:dyDescent="0.15">
      <c r="A29" s="14"/>
      <c r="B29" s="218"/>
      <c r="C29" s="219"/>
      <c r="D29" s="219"/>
      <c r="E29" s="219"/>
      <c r="F29" s="219"/>
      <c r="G29" s="219"/>
      <c r="H29" s="219"/>
      <c r="I29" s="220"/>
    </row>
    <row r="30" spans="1:9" ht="18.75" customHeight="1" x14ac:dyDescent="0.15">
      <c r="A30" s="14"/>
      <c r="B30" s="221"/>
      <c r="C30" s="222"/>
      <c r="D30" s="222"/>
      <c r="E30" s="222"/>
      <c r="F30" s="222"/>
      <c r="G30" s="222"/>
      <c r="H30" s="222"/>
      <c r="I30" s="220"/>
    </row>
    <row r="31" spans="1:9" ht="18.75" customHeight="1" x14ac:dyDescent="0.15">
      <c r="A31" s="14"/>
      <c r="B31" s="221"/>
      <c r="C31" s="222"/>
      <c r="D31" s="222"/>
      <c r="E31" s="222"/>
      <c r="F31" s="222"/>
      <c r="G31" s="222"/>
      <c r="H31" s="222"/>
      <c r="I31" s="220"/>
    </row>
    <row r="32" spans="1:9" ht="18.75" customHeight="1" x14ac:dyDescent="0.15">
      <c r="A32" s="14"/>
      <c r="B32" s="223"/>
      <c r="C32" s="224"/>
      <c r="D32" s="224"/>
      <c r="E32" s="224"/>
      <c r="F32" s="224"/>
      <c r="G32" s="224"/>
      <c r="H32" s="224"/>
      <c r="I32" s="225"/>
    </row>
    <row r="33" spans="1:9" ht="7.5" customHeight="1" x14ac:dyDescent="0.15">
      <c r="A33" s="14"/>
      <c r="B33" s="14"/>
      <c r="C33" s="14"/>
      <c r="D33" s="14"/>
      <c r="E33" s="14"/>
      <c r="F33" s="14"/>
      <c r="G33" s="14"/>
      <c r="H33" s="14"/>
      <c r="I33" s="14"/>
    </row>
    <row r="34" spans="1:9" ht="18.75" customHeight="1" x14ac:dyDescent="0.15">
      <c r="A34" s="15" t="s">
        <v>6</v>
      </c>
      <c r="B34" s="15" t="s">
        <v>9</v>
      </c>
      <c r="C34" s="10"/>
      <c r="D34" s="15"/>
      <c r="E34" s="15"/>
      <c r="F34" s="15"/>
      <c r="G34" s="15"/>
      <c r="H34" s="15"/>
      <c r="I34" s="15"/>
    </row>
    <row r="35" spans="1:9" ht="18.75" customHeight="1" x14ac:dyDescent="0.15">
      <c r="A35" s="14"/>
      <c r="B35" s="215" t="s">
        <v>195</v>
      </c>
      <c r="C35" s="216"/>
      <c r="D35" s="216"/>
      <c r="E35" s="216"/>
      <c r="F35" s="216"/>
      <c r="G35" s="216"/>
      <c r="H35" s="216"/>
      <c r="I35" s="217"/>
    </row>
    <row r="36" spans="1:9" ht="18.75" customHeight="1" x14ac:dyDescent="0.15">
      <c r="A36" s="14"/>
      <c r="B36" s="221"/>
      <c r="C36" s="222"/>
      <c r="D36" s="222"/>
      <c r="E36" s="222"/>
      <c r="F36" s="222"/>
      <c r="G36" s="222"/>
      <c r="H36" s="222"/>
      <c r="I36" s="220"/>
    </row>
    <row r="37" spans="1:9" ht="18.75" customHeight="1" x14ac:dyDescent="0.15">
      <c r="A37" s="14"/>
      <c r="B37" s="221"/>
      <c r="C37" s="222"/>
      <c r="D37" s="222"/>
      <c r="E37" s="222"/>
      <c r="F37" s="222"/>
      <c r="G37" s="222"/>
      <c r="H37" s="222"/>
      <c r="I37" s="220"/>
    </row>
    <row r="38" spans="1:9" ht="18.75" customHeight="1" x14ac:dyDescent="0.15">
      <c r="A38" s="14"/>
      <c r="B38" s="221"/>
      <c r="C38" s="222"/>
      <c r="D38" s="222"/>
      <c r="E38" s="222"/>
      <c r="F38" s="222"/>
      <c r="G38" s="222"/>
      <c r="H38" s="222"/>
      <c r="I38" s="220"/>
    </row>
    <row r="39" spans="1:9" ht="18.75" customHeight="1" x14ac:dyDescent="0.15">
      <c r="A39" s="14"/>
      <c r="B39" s="221"/>
      <c r="C39" s="222"/>
      <c r="D39" s="222"/>
      <c r="E39" s="222"/>
      <c r="F39" s="222"/>
      <c r="G39" s="222"/>
      <c r="H39" s="222"/>
      <c r="I39" s="220"/>
    </row>
    <row r="40" spans="1:9" ht="18.75" customHeight="1" x14ac:dyDescent="0.15">
      <c r="A40" s="14"/>
      <c r="B40" s="221"/>
      <c r="C40" s="222"/>
      <c r="D40" s="222"/>
      <c r="E40" s="222"/>
      <c r="F40" s="222"/>
      <c r="G40" s="222"/>
      <c r="H40" s="222"/>
      <c r="I40" s="220"/>
    </row>
    <row r="41" spans="1:9" ht="18.75" customHeight="1" x14ac:dyDescent="0.15">
      <c r="A41" s="14"/>
      <c r="B41" s="221"/>
      <c r="C41" s="222"/>
      <c r="D41" s="222"/>
      <c r="E41" s="222"/>
      <c r="F41" s="222"/>
      <c r="G41" s="222"/>
      <c r="H41" s="222"/>
      <c r="I41" s="220"/>
    </row>
    <row r="42" spans="1:9" ht="18.75" customHeight="1" x14ac:dyDescent="0.15">
      <c r="A42" s="14"/>
      <c r="B42" s="221"/>
      <c r="C42" s="222"/>
      <c r="D42" s="222"/>
      <c r="E42" s="222"/>
      <c r="F42" s="222"/>
      <c r="G42" s="222"/>
      <c r="H42" s="222"/>
      <c r="I42" s="220"/>
    </row>
    <row r="43" spans="1:9" ht="18.75" customHeight="1" x14ac:dyDescent="0.15">
      <c r="A43" s="14"/>
      <c r="B43" s="221"/>
      <c r="C43" s="222"/>
      <c r="D43" s="222"/>
      <c r="E43" s="222"/>
      <c r="F43" s="222"/>
      <c r="G43" s="222"/>
      <c r="H43" s="222"/>
      <c r="I43" s="220"/>
    </row>
    <row r="44" spans="1:9" ht="18.75" customHeight="1" x14ac:dyDescent="0.15">
      <c r="A44" s="14"/>
      <c r="B44" s="221"/>
      <c r="C44" s="222"/>
      <c r="D44" s="222"/>
      <c r="E44" s="222"/>
      <c r="F44" s="222"/>
      <c r="G44" s="222"/>
      <c r="H44" s="222"/>
      <c r="I44" s="220"/>
    </row>
    <row r="45" spans="1:9" ht="18.75" customHeight="1" x14ac:dyDescent="0.15">
      <c r="A45" s="14"/>
      <c r="B45" s="221"/>
      <c r="C45" s="222"/>
      <c r="D45" s="222"/>
      <c r="E45" s="222"/>
      <c r="F45" s="222"/>
      <c r="G45" s="222"/>
      <c r="H45" s="222"/>
      <c r="I45" s="220"/>
    </row>
    <row r="46" spans="1:9" ht="18.75" customHeight="1" x14ac:dyDescent="0.15">
      <c r="A46" s="14"/>
      <c r="B46" s="223"/>
      <c r="C46" s="224"/>
      <c r="D46" s="224"/>
      <c r="E46" s="224"/>
      <c r="F46" s="224"/>
      <c r="G46" s="224"/>
      <c r="H46" s="224"/>
      <c r="I46" s="225"/>
    </row>
    <row r="47" spans="1:9" ht="7.5" customHeight="1" x14ac:dyDescent="0.15">
      <c r="A47" s="4"/>
      <c r="B47" s="4"/>
      <c r="C47" s="4"/>
      <c r="D47" s="4"/>
      <c r="E47" s="4"/>
      <c r="F47" s="4"/>
      <c r="G47" s="4"/>
      <c r="H47" s="4"/>
      <c r="I47" s="4"/>
    </row>
    <row r="48" spans="1:9" ht="18.75" customHeight="1" x14ac:dyDescent="0.15">
      <c r="A48" s="1" t="s">
        <v>30</v>
      </c>
      <c r="B48" s="1" t="s">
        <v>110</v>
      </c>
    </row>
    <row r="49" spans="1:15" s="3" customFormat="1" ht="18.75" customHeight="1" x14ac:dyDescent="0.15">
      <c r="B49" s="34" t="s">
        <v>127</v>
      </c>
      <c r="C49" s="200">
        <f>'様式２ 履修者等数の実績'!S33</f>
        <v>0.42099999999999999</v>
      </c>
      <c r="D49" s="200"/>
      <c r="E49" s="34" t="s">
        <v>63</v>
      </c>
      <c r="F49" s="200">
        <v>0.5</v>
      </c>
      <c r="G49" s="200"/>
      <c r="H49" s="34" t="s">
        <v>64</v>
      </c>
      <c r="I49" s="35">
        <v>0.75</v>
      </c>
      <c r="J49" s="1"/>
      <c r="M49" s="1"/>
      <c r="N49" s="36"/>
    </row>
    <row r="50" spans="1:15" s="3" customFormat="1" ht="18.75" customHeight="1" x14ac:dyDescent="0.15">
      <c r="B50" s="37" t="s">
        <v>84</v>
      </c>
      <c r="C50" s="183">
        <v>0.8</v>
      </c>
      <c r="D50" s="183"/>
      <c r="E50" s="37" t="s">
        <v>128</v>
      </c>
      <c r="F50" s="183">
        <v>1</v>
      </c>
      <c r="G50" s="183"/>
      <c r="H50" s="37" t="s">
        <v>65</v>
      </c>
      <c r="I50" s="38">
        <f>'様式２ 履修者等数の実績'!E33</f>
        <v>2000</v>
      </c>
      <c r="J50" s="1"/>
      <c r="M50" s="1"/>
      <c r="N50" s="36"/>
    </row>
    <row r="51" spans="1:15" ht="18.75" customHeight="1" x14ac:dyDescent="0.15">
      <c r="A51" s="1"/>
      <c r="B51" s="233" t="s">
        <v>66</v>
      </c>
      <c r="C51" s="234"/>
      <c r="D51" s="234"/>
      <c r="E51" s="234"/>
      <c r="F51" s="234"/>
      <c r="G51" s="234"/>
      <c r="H51" s="234"/>
      <c r="I51" s="235"/>
      <c r="N51" s="36"/>
      <c r="O51" s="3"/>
    </row>
    <row r="52" spans="1:15" ht="18.75" customHeight="1" x14ac:dyDescent="0.15">
      <c r="A52" s="1"/>
      <c r="B52" s="201" t="s">
        <v>227</v>
      </c>
      <c r="C52" s="202"/>
      <c r="D52" s="202"/>
      <c r="E52" s="202"/>
      <c r="F52" s="202"/>
      <c r="G52" s="202"/>
      <c r="H52" s="202"/>
      <c r="I52" s="203"/>
      <c r="N52" s="36"/>
      <c r="O52" s="3"/>
    </row>
    <row r="53" spans="1:15" ht="18.75" customHeight="1" x14ac:dyDescent="0.15">
      <c r="A53" s="1"/>
      <c r="B53" s="204"/>
      <c r="C53" s="205"/>
      <c r="D53" s="205"/>
      <c r="E53" s="205"/>
      <c r="F53" s="205"/>
      <c r="G53" s="205"/>
      <c r="H53" s="205"/>
      <c r="I53" s="206"/>
      <c r="N53" s="36"/>
      <c r="O53" s="3"/>
    </row>
    <row r="54" spans="1:15" ht="18.75" customHeight="1" x14ac:dyDescent="0.15">
      <c r="A54" s="1"/>
      <c r="B54" s="204"/>
      <c r="C54" s="205"/>
      <c r="D54" s="205"/>
      <c r="E54" s="205"/>
      <c r="F54" s="205"/>
      <c r="G54" s="205"/>
      <c r="H54" s="205"/>
      <c r="I54" s="206"/>
    </row>
    <row r="55" spans="1:15" ht="18.75" customHeight="1" x14ac:dyDescent="0.15">
      <c r="A55" s="1"/>
      <c r="B55" s="204"/>
      <c r="C55" s="205"/>
      <c r="D55" s="205"/>
      <c r="E55" s="205"/>
      <c r="F55" s="205"/>
      <c r="G55" s="205"/>
      <c r="H55" s="205"/>
      <c r="I55" s="206"/>
    </row>
    <row r="56" spans="1:15" ht="18.75" customHeight="1" x14ac:dyDescent="0.15">
      <c r="A56" s="1"/>
      <c r="B56" s="204"/>
      <c r="C56" s="205"/>
      <c r="D56" s="205"/>
      <c r="E56" s="205"/>
      <c r="F56" s="205"/>
      <c r="G56" s="205"/>
      <c r="H56" s="205"/>
      <c r="I56" s="206"/>
    </row>
    <row r="57" spans="1:15" ht="18.75" customHeight="1" x14ac:dyDescent="0.15">
      <c r="A57" s="1"/>
      <c r="B57" s="204"/>
      <c r="C57" s="205"/>
      <c r="D57" s="205"/>
      <c r="E57" s="205"/>
      <c r="F57" s="205"/>
      <c r="G57" s="205"/>
      <c r="H57" s="205"/>
      <c r="I57" s="206"/>
    </row>
    <row r="58" spans="1:15" ht="18.75" customHeight="1" x14ac:dyDescent="0.15">
      <c r="A58" s="1"/>
      <c r="B58" s="204"/>
      <c r="C58" s="205"/>
      <c r="D58" s="205"/>
      <c r="E58" s="205"/>
      <c r="F58" s="205"/>
      <c r="G58" s="205"/>
      <c r="H58" s="205"/>
      <c r="I58" s="206"/>
    </row>
    <row r="59" spans="1:15" ht="18.75" customHeight="1" x14ac:dyDescent="0.15">
      <c r="A59" s="1"/>
      <c r="B59" s="204"/>
      <c r="C59" s="205"/>
      <c r="D59" s="205"/>
      <c r="E59" s="205"/>
      <c r="F59" s="205"/>
      <c r="G59" s="205"/>
      <c r="H59" s="205"/>
      <c r="I59" s="206"/>
    </row>
    <row r="60" spans="1:15" ht="18.75" customHeight="1" x14ac:dyDescent="0.15">
      <c r="A60" s="1"/>
      <c r="B60" s="204"/>
      <c r="C60" s="205"/>
      <c r="D60" s="205"/>
      <c r="E60" s="205"/>
      <c r="F60" s="205"/>
      <c r="G60" s="205"/>
      <c r="H60" s="205"/>
      <c r="I60" s="206"/>
    </row>
    <row r="61" spans="1:15" ht="18.75" customHeight="1" x14ac:dyDescent="0.15">
      <c r="A61" s="1"/>
      <c r="B61" s="204"/>
      <c r="C61" s="205"/>
      <c r="D61" s="205"/>
      <c r="E61" s="205"/>
      <c r="F61" s="205"/>
      <c r="G61" s="205"/>
      <c r="H61" s="205"/>
      <c r="I61" s="206"/>
    </row>
    <row r="62" spans="1:15" ht="18.75" customHeight="1" x14ac:dyDescent="0.15">
      <c r="A62" s="1"/>
      <c r="B62" s="204"/>
      <c r="C62" s="205"/>
      <c r="D62" s="205"/>
      <c r="E62" s="205"/>
      <c r="F62" s="205"/>
      <c r="G62" s="205"/>
      <c r="H62" s="205"/>
      <c r="I62" s="206"/>
    </row>
    <row r="63" spans="1:15" ht="18.75" customHeight="1" x14ac:dyDescent="0.15">
      <c r="A63" s="1"/>
      <c r="B63" s="207"/>
      <c r="C63" s="208"/>
      <c r="D63" s="208"/>
      <c r="E63" s="208"/>
      <c r="F63" s="208"/>
      <c r="G63" s="208"/>
      <c r="H63" s="208"/>
      <c r="I63" s="209"/>
    </row>
    <row r="64" spans="1:15" ht="7.5" customHeight="1" x14ac:dyDescent="0.15">
      <c r="A64" s="14"/>
      <c r="B64" s="14"/>
      <c r="C64" s="14"/>
      <c r="D64" s="14"/>
      <c r="E64" s="14"/>
      <c r="F64" s="14"/>
      <c r="G64" s="14"/>
      <c r="H64" s="14"/>
      <c r="I64" s="14"/>
    </row>
    <row r="65" spans="1:9" ht="18.75" customHeight="1" x14ac:dyDescent="0.15">
      <c r="A65" s="15" t="s">
        <v>33</v>
      </c>
      <c r="B65" s="1" t="s">
        <v>36</v>
      </c>
      <c r="I65" s="15"/>
    </row>
    <row r="66" spans="1:9" ht="18.75" customHeight="1" x14ac:dyDescent="0.15">
      <c r="A66" s="4"/>
      <c r="B66" s="184" t="s">
        <v>196</v>
      </c>
      <c r="C66" s="185"/>
      <c r="D66" s="185"/>
      <c r="E66" s="185"/>
      <c r="F66" s="185"/>
      <c r="G66" s="185"/>
      <c r="H66" s="185"/>
      <c r="I66" s="186"/>
    </row>
    <row r="67" spans="1:9" ht="18.75" customHeight="1" x14ac:dyDescent="0.15">
      <c r="A67" s="4"/>
      <c r="B67" s="187"/>
      <c r="C67" s="188"/>
      <c r="D67" s="188"/>
      <c r="E67" s="188"/>
      <c r="F67" s="188"/>
      <c r="G67" s="188"/>
      <c r="H67" s="188"/>
      <c r="I67" s="189"/>
    </row>
    <row r="68" spans="1:9" ht="18.75" customHeight="1" x14ac:dyDescent="0.15">
      <c r="A68" s="4"/>
      <c r="B68" s="187"/>
      <c r="C68" s="188"/>
      <c r="D68" s="188"/>
      <c r="E68" s="188"/>
      <c r="F68" s="188"/>
      <c r="G68" s="188"/>
      <c r="H68" s="188"/>
      <c r="I68" s="189"/>
    </row>
    <row r="69" spans="1:9" ht="18.75" customHeight="1" x14ac:dyDescent="0.15">
      <c r="A69" s="4"/>
      <c r="B69" s="187"/>
      <c r="C69" s="188"/>
      <c r="D69" s="188"/>
      <c r="E69" s="188"/>
      <c r="F69" s="188"/>
      <c r="G69" s="188"/>
      <c r="H69" s="188"/>
      <c r="I69" s="189"/>
    </row>
    <row r="70" spans="1:9" ht="18.75" customHeight="1" x14ac:dyDescent="0.15">
      <c r="A70" s="4"/>
      <c r="B70" s="187"/>
      <c r="C70" s="188"/>
      <c r="D70" s="188"/>
      <c r="E70" s="188"/>
      <c r="F70" s="188"/>
      <c r="G70" s="188"/>
      <c r="H70" s="188"/>
      <c r="I70" s="189"/>
    </row>
    <row r="71" spans="1:9" ht="18.75" customHeight="1" x14ac:dyDescent="0.15">
      <c r="A71" s="4"/>
      <c r="B71" s="187"/>
      <c r="C71" s="188"/>
      <c r="D71" s="188"/>
      <c r="E71" s="188"/>
      <c r="F71" s="188"/>
      <c r="G71" s="188"/>
      <c r="H71" s="188"/>
      <c r="I71" s="189"/>
    </row>
    <row r="72" spans="1:9" ht="18.75" customHeight="1" x14ac:dyDescent="0.15">
      <c r="A72" s="4"/>
      <c r="B72" s="187"/>
      <c r="C72" s="188"/>
      <c r="D72" s="188"/>
      <c r="E72" s="188"/>
      <c r="F72" s="188"/>
      <c r="G72" s="188"/>
      <c r="H72" s="188"/>
      <c r="I72" s="189"/>
    </row>
    <row r="73" spans="1:9" ht="18.75" customHeight="1" x14ac:dyDescent="0.15">
      <c r="A73" s="4"/>
      <c r="B73" s="187"/>
      <c r="C73" s="188"/>
      <c r="D73" s="188"/>
      <c r="E73" s="188"/>
      <c r="F73" s="188"/>
      <c r="G73" s="188"/>
      <c r="H73" s="188"/>
      <c r="I73" s="189"/>
    </row>
    <row r="74" spans="1:9" ht="18.75" customHeight="1" x14ac:dyDescent="0.15">
      <c r="A74" s="4"/>
      <c r="B74" s="187"/>
      <c r="C74" s="188"/>
      <c r="D74" s="188"/>
      <c r="E74" s="188"/>
      <c r="F74" s="188"/>
      <c r="G74" s="188"/>
      <c r="H74" s="188"/>
      <c r="I74" s="189"/>
    </row>
    <row r="75" spans="1:9" ht="18.75" customHeight="1" x14ac:dyDescent="0.15">
      <c r="A75" s="4"/>
      <c r="B75" s="187"/>
      <c r="C75" s="188"/>
      <c r="D75" s="188"/>
      <c r="E75" s="188"/>
      <c r="F75" s="188"/>
      <c r="G75" s="188"/>
      <c r="H75" s="188"/>
      <c r="I75" s="189"/>
    </row>
    <row r="76" spans="1:9" ht="18.75" customHeight="1" x14ac:dyDescent="0.15">
      <c r="A76" s="4"/>
      <c r="B76" s="187"/>
      <c r="C76" s="188"/>
      <c r="D76" s="188"/>
      <c r="E76" s="188"/>
      <c r="F76" s="188"/>
      <c r="G76" s="188"/>
      <c r="H76" s="188"/>
      <c r="I76" s="189"/>
    </row>
    <row r="77" spans="1:9" ht="18.75" customHeight="1" x14ac:dyDescent="0.15">
      <c r="A77" s="4"/>
      <c r="B77" s="190"/>
      <c r="C77" s="191"/>
      <c r="D77" s="191"/>
      <c r="E77" s="191"/>
      <c r="F77" s="191"/>
      <c r="G77" s="191"/>
      <c r="H77" s="191"/>
      <c r="I77" s="192"/>
    </row>
    <row r="78" spans="1:9" ht="7.5" customHeight="1" x14ac:dyDescent="0.15">
      <c r="A78" s="4"/>
      <c r="B78" s="4"/>
      <c r="C78" s="4"/>
      <c r="D78" s="4"/>
      <c r="E78" s="4"/>
      <c r="F78" s="4"/>
      <c r="G78" s="4"/>
      <c r="H78" s="4"/>
      <c r="I78" s="4"/>
    </row>
    <row r="79" spans="1:9" ht="18.75" customHeight="1" x14ac:dyDescent="0.15">
      <c r="A79" s="1" t="s">
        <v>11</v>
      </c>
      <c r="B79" s="1" t="s">
        <v>39</v>
      </c>
    </row>
    <row r="80" spans="1:9" ht="18.75" customHeight="1" x14ac:dyDescent="0.15">
      <c r="A80" s="1"/>
      <c r="B80" s="184" t="s">
        <v>228</v>
      </c>
      <c r="C80" s="185"/>
      <c r="D80" s="185"/>
      <c r="E80" s="185"/>
      <c r="F80" s="185"/>
      <c r="G80" s="185"/>
      <c r="H80" s="185"/>
      <c r="I80" s="193"/>
    </row>
    <row r="81" spans="1:9" ht="18.75" customHeight="1" x14ac:dyDescent="0.15">
      <c r="A81" s="1"/>
      <c r="B81" s="194"/>
      <c r="C81" s="195"/>
      <c r="D81" s="195"/>
      <c r="E81" s="195"/>
      <c r="F81" s="195"/>
      <c r="G81" s="195"/>
      <c r="H81" s="195"/>
      <c r="I81" s="196"/>
    </row>
    <row r="82" spans="1:9" ht="18.75" customHeight="1" x14ac:dyDescent="0.15">
      <c r="A82" s="1"/>
      <c r="B82" s="194"/>
      <c r="C82" s="195"/>
      <c r="D82" s="195"/>
      <c r="E82" s="195"/>
      <c r="F82" s="195"/>
      <c r="G82" s="195"/>
      <c r="H82" s="195"/>
      <c r="I82" s="196"/>
    </row>
    <row r="83" spans="1:9" ht="18.75" customHeight="1" x14ac:dyDescent="0.15">
      <c r="A83" s="1"/>
      <c r="B83" s="194"/>
      <c r="C83" s="195"/>
      <c r="D83" s="195"/>
      <c r="E83" s="195"/>
      <c r="F83" s="195"/>
      <c r="G83" s="195"/>
      <c r="H83" s="195"/>
      <c r="I83" s="196"/>
    </row>
    <row r="84" spans="1:9" ht="18.75" customHeight="1" x14ac:dyDescent="0.15">
      <c r="A84" s="1"/>
      <c r="B84" s="194"/>
      <c r="C84" s="195"/>
      <c r="D84" s="195"/>
      <c r="E84" s="195"/>
      <c r="F84" s="195"/>
      <c r="G84" s="195"/>
      <c r="H84" s="195"/>
      <c r="I84" s="196"/>
    </row>
    <row r="85" spans="1:9" ht="18.75" customHeight="1" x14ac:dyDescent="0.15">
      <c r="A85" s="1"/>
      <c r="B85" s="194"/>
      <c r="C85" s="195"/>
      <c r="D85" s="195"/>
      <c r="E85" s="195"/>
      <c r="F85" s="195"/>
      <c r="G85" s="195"/>
      <c r="H85" s="195"/>
      <c r="I85" s="196"/>
    </row>
    <row r="86" spans="1:9" ht="18.75" customHeight="1" x14ac:dyDescent="0.15">
      <c r="A86" s="1"/>
      <c r="B86" s="194"/>
      <c r="C86" s="195"/>
      <c r="D86" s="195"/>
      <c r="E86" s="195"/>
      <c r="F86" s="195"/>
      <c r="G86" s="195"/>
      <c r="H86" s="195"/>
      <c r="I86" s="196"/>
    </row>
    <row r="87" spans="1:9" ht="18.75" customHeight="1" x14ac:dyDescent="0.15">
      <c r="A87" s="1"/>
      <c r="B87" s="194"/>
      <c r="C87" s="195"/>
      <c r="D87" s="195"/>
      <c r="E87" s="195"/>
      <c r="F87" s="195"/>
      <c r="G87" s="195"/>
      <c r="H87" s="195"/>
      <c r="I87" s="196"/>
    </row>
    <row r="88" spans="1:9" ht="18.75" customHeight="1" x14ac:dyDescent="0.15">
      <c r="A88" s="1"/>
      <c r="B88" s="194"/>
      <c r="C88" s="195"/>
      <c r="D88" s="195"/>
      <c r="E88" s="195"/>
      <c r="F88" s="195"/>
      <c r="G88" s="195"/>
      <c r="H88" s="195"/>
      <c r="I88" s="196"/>
    </row>
    <row r="89" spans="1:9" ht="18.75" customHeight="1" x14ac:dyDescent="0.15">
      <c r="A89" s="1"/>
      <c r="B89" s="194"/>
      <c r="C89" s="195"/>
      <c r="D89" s="195"/>
      <c r="E89" s="195"/>
      <c r="F89" s="195"/>
      <c r="G89" s="195"/>
      <c r="H89" s="195"/>
      <c r="I89" s="196"/>
    </row>
    <row r="90" spans="1:9" ht="18.75" customHeight="1" x14ac:dyDescent="0.15">
      <c r="A90" s="4"/>
      <c r="B90" s="194"/>
      <c r="C90" s="195"/>
      <c r="D90" s="195"/>
      <c r="E90" s="195"/>
      <c r="F90" s="195"/>
      <c r="G90" s="195"/>
      <c r="H90" s="195"/>
      <c r="I90" s="196"/>
    </row>
    <row r="91" spans="1:9" ht="18.75" customHeight="1" x14ac:dyDescent="0.15">
      <c r="A91" s="4"/>
      <c r="B91" s="197"/>
      <c r="C91" s="198"/>
      <c r="D91" s="198"/>
      <c r="E91" s="198"/>
      <c r="F91" s="198"/>
      <c r="G91" s="198"/>
      <c r="H91" s="198"/>
      <c r="I91" s="199"/>
    </row>
    <row r="92" spans="1:9" ht="7.5" customHeight="1" x14ac:dyDescent="0.15">
      <c r="A92" s="4"/>
      <c r="B92" s="4"/>
      <c r="C92" s="4"/>
      <c r="D92" s="4"/>
      <c r="E92" s="4"/>
      <c r="F92" s="4"/>
      <c r="G92" s="4"/>
      <c r="H92" s="4"/>
      <c r="I92" s="4"/>
    </row>
    <row r="93" spans="1:9" ht="18.75" customHeight="1" x14ac:dyDescent="0.15">
      <c r="A93" s="1" t="s">
        <v>42</v>
      </c>
      <c r="B93" s="1" t="s">
        <v>12</v>
      </c>
    </row>
    <row r="94" spans="1:9" ht="18.75" customHeight="1" x14ac:dyDescent="0.15">
      <c r="A94" s="1"/>
      <c r="B94" s="215" t="s">
        <v>198</v>
      </c>
      <c r="C94" s="216"/>
      <c r="D94" s="216"/>
      <c r="E94" s="216"/>
      <c r="F94" s="216"/>
      <c r="G94" s="216"/>
      <c r="H94" s="216"/>
      <c r="I94" s="217"/>
    </row>
    <row r="95" spans="1:9" ht="18.75" customHeight="1" x14ac:dyDescent="0.15">
      <c r="A95" s="1"/>
      <c r="B95" s="221"/>
      <c r="C95" s="222"/>
      <c r="D95" s="222"/>
      <c r="E95" s="222"/>
      <c r="F95" s="222"/>
      <c r="G95" s="222"/>
      <c r="H95" s="222"/>
      <c r="I95" s="220"/>
    </row>
    <row r="96" spans="1:9" ht="18.75" customHeight="1" x14ac:dyDescent="0.15">
      <c r="A96" s="1"/>
      <c r="B96" s="221"/>
      <c r="C96" s="222"/>
      <c r="D96" s="222"/>
      <c r="E96" s="222"/>
      <c r="F96" s="222"/>
      <c r="G96" s="222"/>
      <c r="H96" s="222"/>
      <c r="I96" s="220"/>
    </row>
    <row r="97" spans="1:9" ht="18.75" customHeight="1" x14ac:dyDescent="0.15">
      <c r="A97" s="1"/>
      <c r="B97" s="221"/>
      <c r="C97" s="222"/>
      <c r="D97" s="222"/>
      <c r="E97" s="222"/>
      <c r="F97" s="222"/>
      <c r="G97" s="222"/>
      <c r="H97" s="222"/>
      <c r="I97" s="220"/>
    </row>
    <row r="98" spans="1:9" ht="18.75" customHeight="1" x14ac:dyDescent="0.15">
      <c r="A98" s="1"/>
      <c r="B98" s="221"/>
      <c r="C98" s="222"/>
      <c r="D98" s="222"/>
      <c r="E98" s="222"/>
      <c r="F98" s="222"/>
      <c r="G98" s="222"/>
      <c r="H98" s="222"/>
      <c r="I98" s="220"/>
    </row>
    <row r="99" spans="1:9" ht="18.75" customHeight="1" x14ac:dyDescent="0.15">
      <c r="A99" s="1"/>
      <c r="B99" s="221"/>
      <c r="C99" s="222"/>
      <c r="D99" s="222"/>
      <c r="E99" s="222"/>
      <c r="F99" s="222"/>
      <c r="G99" s="222"/>
      <c r="H99" s="222"/>
      <c r="I99" s="220"/>
    </row>
    <row r="100" spans="1:9" ht="18.75" customHeight="1" x14ac:dyDescent="0.15">
      <c r="A100" s="1"/>
      <c r="B100" s="221"/>
      <c r="C100" s="222"/>
      <c r="D100" s="222"/>
      <c r="E100" s="222"/>
      <c r="F100" s="222"/>
      <c r="G100" s="222"/>
      <c r="H100" s="222"/>
      <c r="I100" s="220"/>
    </row>
    <row r="101" spans="1:9" ht="18.75" customHeight="1" x14ac:dyDescent="0.15">
      <c r="A101" s="1"/>
      <c r="B101" s="221"/>
      <c r="C101" s="222"/>
      <c r="D101" s="222"/>
      <c r="E101" s="222"/>
      <c r="F101" s="222"/>
      <c r="G101" s="222"/>
      <c r="H101" s="222"/>
      <c r="I101" s="220"/>
    </row>
    <row r="102" spans="1:9" ht="18.75" customHeight="1" x14ac:dyDescent="0.15">
      <c r="A102" s="1"/>
      <c r="B102" s="221"/>
      <c r="C102" s="222"/>
      <c r="D102" s="222"/>
      <c r="E102" s="222"/>
      <c r="F102" s="222"/>
      <c r="G102" s="222"/>
      <c r="H102" s="222"/>
      <c r="I102" s="220"/>
    </row>
    <row r="103" spans="1:9" ht="18.75" customHeight="1" x14ac:dyDescent="0.15">
      <c r="A103" s="1"/>
      <c r="B103" s="221"/>
      <c r="C103" s="222"/>
      <c r="D103" s="222"/>
      <c r="E103" s="222"/>
      <c r="F103" s="222"/>
      <c r="G103" s="222"/>
      <c r="H103" s="222"/>
      <c r="I103" s="220"/>
    </row>
    <row r="104" spans="1:9" ht="18.75" customHeight="1" x14ac:dyDescent="0.15">
      <c r="A104" s="1"/>
      <c r="B104" s="221"/>
      <c r="C104" s="222"/>
      <c r="D104" s="222"/>
      <c r="E104" s="222"/>
      <c r="F104" s="222"/>
      <c r="G104" s="222"/>
      <c r="H104" s="222"/>
      <c r="I104" s="220"/>
    </row>
    <row r="105" spans="1:9" ht="18.75" customHeight="1" x14ac:dyDescent="0.15">
      <c r="A105" s="4"/>
      <c r="B105" s="223"/>
      <c r="C105" s="224"/>
      <c r="D105" s="224"/>
      <c r="E105" s="224"/>
      <c r="F105" s="224"/>
      <c r="G105" s="224"/>
      <c r="H105" s="224"/>
      <c r="I105" s="225"/>
    </row>
    <row r="106" spans="1:9" ht="7.5" customHeight="1" x14ac:dyDescent="0.15">
      <c r="A106" s="4"/>
      <c r="B106" s="4"/>
      <c r="C106" s="4"/>
      <c r="D106" s="4"/>
      <c r="E106" s="4"/>
      <c r="F106" s="4"/>
      <c r="G106" s="4"/>
      <c r="H106" s="4"/>
      <c r="I106" s="4"/>
    </row>
    <row r="107" spans="1:9" ht="18.75" customHeight="1" x14ac:dyDescent="0.15">
      <c r="A107" s="1" t="s">
        <v>29</v>
      </c>
      <c r="B107" s="232" t="s">
        <v>44</v>
      </c>
      <c r="C107" s="232"/>
      <c r="D107" s="232"/>
      <c r="E107" s="232"/>
      <c r="F107" s="232"/>
      <c r="G107" s="232"/>
      <c r="H107" s="232"/>
      <c r="I107" s="232"/>
    </row>
    <row r="108" spans="1:9" ht="18.75" customHeight="1" x14ac:dyDescent="0.15">
      <c r="A108" s="4"/>
      <c r="B108" s="215" t="s">
        <v>199</v>
      </c>
      <c r="C108" s="216"/>
      <c r="D108" s="216"/>
      <c r="E108" s="216"/>
      <c r="F108" s="216"/>
      <c r="G108" s="216"/>
      <c r="H108" s="216"/>
      <c r="I108" s="217"/>
    </row>
    <row r="109" spans="1:9" ht="18.75" customHeight="1" x14ac:dyDescent="0.15">
      <c r="A109" s="4"/>
      <c r="B109" s="221"/>
      <c r="C109" s="222"/>
      <c r="D109" s="222"/>
      <c r="E109" s="222"/>
      <c r="F109" s="222"/>
      <c r="G109" s="222"/>
      <c r="H109" s="222"/>
      <c r="I109" s="220"/>
    </row>
    <row r="110" spans="1:9" ht="18.75" customHeight="1" x14ac:dyDescent="0.15">
      <c r="A110" s="4"/>
      <c r="B110" s="221"/>
      <c r="C110" s="222"/>
      <c r="D110" s="222"/>
      <c r="E110" s="222"/>
      <c r="F110" s="222"/>
      <c r="G110" s="222"/>
      <c r="H110" s="222"/>
      <c r="I110" s="220"/>
    </row>
    <row r="111" spans="1:9" ht="18.75" customHeight="1" x14ac:dyDescent="0.15">
      <c r="A111" s="4"/>
      <c r="B111" s="221"/>
      <c r="C111" s="222"/>
      <c r="D111" s="222"/>
      <c r="E111" s="222"/>
      <c r="F111" s="222"/>
      <c r="G111" s="222"/>
      <c r="H111" s="222"/>
      <c r="I111" s="220"/>
    </row>
    <row r="112" spans="1:9" ht="18.75" customHeight="1" x14ac:dyDescent="0.15">
      <c r="A112" s="4"/>
      <c r="B112" s="221"/>
      <c r="C112" s="222"/>
      <c r="D112" s="222"/>
      <c r="E112" s="222"/>
      <c r="F112" s="222"/>
      <c r="G112" s="222"/>
      <c r="H112" s="222"/>
      <c r="I112" s="220"/>
    </row>
    <row r="113" spans="1:9" ht="18.75" customHeight="1" x14ac:dyDescent="0.15">
      <c r="A113" s="4"/>
      <c r="B113" s="221"/>
      <c r="C113" s="222"/>
      <c r="D113" s="222"/>
      <c r="E113" s="222"/>
      <c r="F113" s="222"/>
      <c r="G113" s="222"/>
      <c r="H113" s="222"/>
      <c r="I113" s="220"/>
    </row>
    <row r="114" spans="1:9" ht="18.75" customHeight="1" x14ac:dyDescent="0.15">
      <c r="A114" s="4"/>
      <c r="B114" s="221"/>
      <c r="C114" s="222"/>
      <c r="D114" s="222"/>
      <c r="E114" s="222"/>
      <c r="F114" s="222"/>
      <c r="G114" s="222"/>
      <c r="H114" s="222"/>
      <c r="I114" s="220"/>
    </row>
    <row r="115" spans="1:9" ht="18.75" customHeight="1" x14ac:dyDescent="0.15">
      <c r="A115" s="4"/>
      <c r="B115" s="221"/>
      <c r="C115" s="222"/>
      <c r="D115" s="222"/>
      <c r="E115" s="222"/>
      <c r="F115" s="222"/>
      <c r="G115" s="222"/>
      <c r="H115" s="222"/>
      <c r="I115" s="220"/>
    </row>
    <row r="116" spans="1:9" ht="18.75" customHeight="1" x14ac:dyDescent="0.15">
      <c r="A116" s="4"/>
      <c r="B116" s="221"/>
      <c r="C116" s="222"/>
      <c r="D116" s="222"/>
      <c r="E116" s="222"/>
      <c r="F116" s="222"/>
      <c r="G116" s="222"/>
      <c r="H116" s="222"/>
      <c r="I116" s="220"/>
    </row>
    <row r="117" spans="1:9" ht="18.75" customHeight="1" x14ac:dyDescent="0.15">
      <c r="A117" s="4"/>
      <c r="B117" s="221"/>
      <c r="C117" s="222"/>
      <c r="D117" s="222"/>
      <c r="E117" s="222"/>
      <c r="F117" s="222"/>
      <c r="G117" s="222"/>
      <c r="H117" s="222"/>
      <c r="I117" s="220"/>
    </row>
    <row r="118" spans="1:9" ht="18.75" customHeight="1" x14ac:dyDescent="0.15">
      <c r="A118" s="4"/>
      <c r="B118" s="221"/>
      <c r="C118" s="222"/>
      <c r="D118" s="222"/>
      <c r="E118" s="222"/>
      <c r="F118" s="222"/>
      <c r="G118" s="222"/>
      <c r="H118" s="222"/>
      <c r="I118" s="220"/>
    </row>
    <row r="119" spans="1:9" ht="18.75" customHeight="1" x14ac:dyDescent="0.15">
      <c r="A119" s="4"/>
      <c r="B119" s="223"/>
      <c r="C119" s="224"/>
      <c r="D119" s="224"/>
      <c r="E119" s="224"/>
      <c r="F119" s="224"/>
      <c r="G119" s="224"/>
      <c r="H119" s="224"/>
      <c r="I119" s="225"/>
    </row>
    <row r="120" spans="1:9" ht="7.5" customHeight="1" x14ac:dyDescent="0.15">
      <c r="A120" s="4"/>
      <c r="B120" s="39"/>
      <c r="C120" s="39"/>
      <c r="D120" s="39"/>
      <c r="E120" s="39"/>
      <c r="F120" s="39"/>
      <c r="G120" s="39"/>
      <c r="H120" s="39"/>
      <c r="I120" s="39"/>
    </row>
    <row r="121" spans="1:9" ht="18.75" customHeight="1" x14ac:dyDescent="0.15">
      <c r="A121" s="69"/>
      <c r="B121" s="210"/>
      <c r="C121" s="210"/>
      <c r="D121" s="210"/>
      <c r="E121" s="210"/>
      <c r="F121" s="210"/>
      <c r="G121" s="210"/>
      <c r="H121" s="210"/>
      <c r="I121" s="210"/>
    </row>
    <row r="122" spans="1:9" ht="18.75" customHeight="1" x14ac:dyDescent="0.15">
      <c r="A122" s="69"/>
      <c r="B122" s="210"/>
      <c r="C122" s="210"/>
      <c r="D122" s="210"/>
      <c r="E122" s="210"/>
      <c r="F122" s="210"/>
      <c r="G122" s="210"/>
      <c r="H122" s="210"/>
      <c r="I122" s="210"/>
    </row>
    <row r="123" spans="1:9" ht="18.75" customHeight="1" x14ac:dyDescent="0.15">
      <c r="A123" s="4"/>
      <c r="B123" s="73"/>
      <c r="C123" s="73"/>
      <c r="D123" s="73"/>
      <c r="E123" s="73"/>
      <c r="F123" s="73"/>
      <c r="G123" s="73"/>
      <c r="H123" s="73"/>
      <c r="I123" s="74"/>
    </row>
    <row r="124" spans="1:9" ht="18.75" customHeight="1" x14ac:dyDescent="0.15">
      <c r="A124" s="4"/>
      <c r="B124" s="74"/>
      <c r="C124" s="74"/>
      <c r="D124" s="74"/>
      <c r="E124" s="74"/>
      <c r="F124" s="74"/>
      <c r="G124" s="74"/>
      <c r="H124" s="74"/>
      <c r="I124" s="74"/>
    </row>
    <row r="125" spans="1:9" ht="18.75" customHeight="1" x14ac:dyDescent="0.15">
      <c r="A125" s="4"/>
      <c r="B125" s="74"/>
      <c r="C125" s="74"/>
      <c r="D125" s="74"/>
      <c r="E125" s="74"/>
      <c r="F125" s="74"/>
      <c r="G125" s="74"/>
      <c r="H125" s="74"/>
      <c r="I125" s="74"/>
    </row>
    <row r="126" spans="1:9" ht="18.75" customHeight="1" x14ac:dyDescent="0.15">
      <c r="A126" s="4"/>
      <c r="B126" s="74"/>
      <c r="C126" s="74"/>
      <c r="D126" s="74"/>
      <c r="E126" s="74"/>
      <c r="F126" s="74"/>
      <c r="G126" s="74"/>
      <c r="H126" s="74"/>
      <c r="I126" s="74"/>
    </row>
    <row r="127" spans="1:9" ht="18.75" customHeight="1" x14ac:dyDescent="0.15">
      <c r="A127" s="4"/>
      <c r="B127" s="74"/>
      <c r="C127" s="74"/>
      <c r="D127" s="74"/>
      <c r="E127" s="74"/>
      <c r="F127" s="74"/>
      <c r="G127" s="74"/>
      <c r="H127" s="74"/>
      <c r="I127" s="74"/>
    </row>
    <row r="128" spans="1:9" ht="18.75" customHeight="1" x14ac:dyDescent="0.15">
      <c r="A128" s="4"/>
      <c r="B128" s="74"/>
      <c r="C128" s="74"/>
      <c r="D128" s="74"/>
      <c r="E128" s="74"/>
      <c r="F128" s="74"/>
      <c r="G128" s="74"/>
      <c r="H128" s="74"/>
      <c r="I128" s="74"/>
    </row>
    <row r="129" spans="1:9" ht="18.75" customHeight="1" x14ac:dyDescent="0.15">
      <c r="A129" s="4"/>
      <c r="B129" s="74"/>
      <c r="C129" s="74"/>
      <c r="D129" s="74"/>
      <c r="E129" s="74"/>
      <c r="F129" s="74"/>
      <c r="G129" s="74"/>
      <c r="H129" s="74"/>
      <c r="I129" s="74"/>
    </row>
    <row r="130" spans="1:9" ht="18.75" customHeight="1" x14ac:dyDescent="0.15">
      <c r="A130" s="4"/>
      <c r="B130" s="74"/>
      <c r="C130" s="74"/>
      <c r="D130" s="74"/>
      <c r="E130" s="74"/>
      <c r="F130" s="74"/>
      <c r="G130" s="74"/>
      <c r="H130" s="74"/>
      <c r="I130" s="74"/>
    </row>
    <row r="131" spans="1:9" ht="18.75" customHeight="1" x14ac:dyDescent="0.15">
      <c r="A131" s="4"/>
      <c r="B131" s="74"/>
      <c r="C131" s="74"/>
      <c r="D131" s="74"/>
      <c r="E131" s="74"/>
      <c r="F131" s="74"/>
      <c r="G131" s="74"/>
      <c r="H131" s="74"/>
      <c r="I131" s="74"/>
    </row>
    <row r="132" spans="1:9" ht="18.75" customHeight="1" x14ac:dyDescent="0.15">
      <c r="A132" s="4"/>
      <c r="B132" s="74"/>
      <c r="C132" s="74"/>
      <c r="D132" s="74"/>
      <c r="E132" s="74"/>
      <c r="F132" s="74"/>
      <c r="G132" s="74"/>
      <c r="H132" s="74"/>
      <c r="I132" s="74"/>
    </row>
    <row r="133" spans="1:9" ht="14.25" x14ac:dyDescent="0.15">
      <c r="A133" s="4"/>
      <c r="B133" s="74"/>
      <c r="C133" s="74"/>
      <c r="D133" s="74"/>
      <c r="E133" s="74"/>
      <c r="F133" s="74"/>
      <c r="G133" s="74"/>
      <c r="H133" s="74"/>
      <c r="I133" s="74"/>
    </row>
    <row r="134" spans="1:9" ht="7.5" customHeight="1" x14ac:dyDescent="0.15">
      <c r="A134" s="4"/>
      <c r="B134" s="74"/>
      <c r="C134" s="74"/>
      <c r="D134" s="74"/>
      <c r="E134" s="74"/>
      <c r="F134" s="74"/>
      <c r="G134" s="74"/>
      <c r="H134" s="74"/>
      <c r="I134" s="74"/>
    </row>
  </sheetData>
  <mergeCells count="23">
    <mergeCell ref="B121:I122"/>
    <mergeCell ref="H2:I2"/>
    <mergeCell ref="A4:I4"/>
    <mergeCell ref="B19:I19"/>
    <mergeCell ref="B22:I32"/>
    <mergeCell ref="B35:I46"/>
    <mergeCell ref="B14:I14"/>
    <mergeCell ref="C16:E16"/>
    <mergeCell ref="H16:I16"/>
    <mergeCell ref="C11:E11"/>
    <mergeCell ref="H11:I11"/>
    <mergeCell ref="C6:D6"/>
    <mergeCell ref="B94:I105"/>
    <mergeCell ref="B107:I107"/>
    <mergeCell ref="B108:I119"/>
    <mergeCell ref="B51:I51"/>
    <mergeCell ref="F50:G50"/>
    <mergeCell ref="B66:I77"/>
    <mergeCell ref="B80:I91"/>
    <mergeCell ref="C49:D49"/>
    <mergeCell ref="C50:D50"/>
    <mergeCell ref="F49:G49"/>
    <mergeCell ref="B52:I63"/>
  </mergeCells>
  <phoneticPr fontId="1"/>
  <printOptions horizontalCentered="1"/>
  <pageMargins left="0.59055118110236227" right="0.59055118110236227" top="0.78740157480314965" bottom="0.39370078740157483" header="0.31496062992125984" footer="0.19685039370078741"/>
  <pageSetup paperSize="9" fitToHeight="0" orientation="portrait" r:id="rId1"/>
  <headerFooter>
    <oddHeader>&amp;C数理・データサイエンス・AI教育プログラム認定制度【リテラシーレベル】</oddHeader>
  </headerFooter>
  <rowBreaks count="2" manualBreakCount="2">
    <brk id="47" max="8" man="1"/>
    <brk id="92" max="8" man="1"/>
  </row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30"/>
  <sheetViews>
    <sheetView showZeros="0" view="pageBreakPreview" zoomScale="90" zoomScaleNormal="100" zoomScaleSheetLayoutView="90" workbookViewId="0">
      <selection activeCell="B1" sqref="B1"/>
    </sheetView>
  </sheetViews>
  <sheetFormatPr defaultColWidth="11.375" defaultRowHeight="22.5" customHeight="1" x14ac:dyDescent="0.15"/>
  <cols>
    <col min="1" max="3" width="2.75" style="1" customWidth="1"/>
    <col min="4" max="4" width="22.25" style="1" customWidth="1"/>
    <col min="5" max="5" width="30.75" style="1" customWidth="1"/>
    <col min="6" max="7" width="7.75" style="1" customWidth="1"/>
    <col min="8" max="9" width="30.75" style="1" customWidth="1"/>
    <col min="10" max="10" width="4.125" style="1" customWidth="1"/>
    <col min="11" max="16384" width="11.375" style="1"/>
  </cols>
  <sheetData>
    <row r="1" spans="1:9" ht="18.75" customHeight="1" x14ac:dyDescent="0.15">
      <c r="A1" s="1" t="s">
        <v>67</v>
      </c>
      <c r="I1" s="30" t="s">
        <v>95</v>
      </c>
    </row>
    <row r="2" spans="1:9" ht="18.75" customHeight="1" x14ac:dyDescent="0.15">
      <c r="H2" s="30" t="s">
        <v>98</v>
      </c>
      <c r="I2" s="29" t="str">
        <f>'様式１-１　プログラムを構成する授業科目'!C2</f>
        <v>埼玉工業大学</v>
      </c>
    </row>
    <row r="3" spans="1:9" ht="18.75" customHeight="1" x14ac:dyDescent="0.15">
      <c r="A3" s="211" t="s">
        <v>27</v>
      </c>
      <c r="B3" s="211"/>
      <c r="C3" s="211"/>
      <c r="D3" s="211"/>
      <c r="E3" s="211"/>
      <c r="F3" s="211"/>
      <c r="G3" s="211"/>
      <c r="H3" s="211"/>
      <c r="I3" s="211"/>
    </row>
    <row r="4" spans="1:9" ht="18.75" customHeight="1" x14ac:dyDescent="0.15">
      <c r="A4" s="5"/>
      <c r="B4" s="5"/>
      <c r="C4" s="5"/>
      <c r="D4" s="5"/>
      <c r="E4" s="5"/>
      <c r="F4" s="5"/>
      <c r="G4" s="5"/>
      <c r="H4" s="5"/>
      <c r="I4" s="5"/>
    </row>
    <row r="5" spans="1:9" ht="18.75" customHeight="1" x14ac:dyDescent="0.15">
      <c r="A5" s="1" t="s">
        <v>0</v>
      </c>
      <c r="B5" s="10" t="s">
        <v>89</v>
      </c>
      <c r="C5" s="5"/>
      <c r="D5" s="5"/>
      <c r="E5" s="5"/>
      <c r="F5" s="5"/>
      <c r="G5" s="5"/>
      <c r="H5" s="5"/>
      <c r="I5" s="5"/>
    </row>
    <row r="6" spans="1:9" ht="26.25" customHeight="1" x14ac:dyDescent="0.15">
      <c r="A6" s="5"/>
      <c r="B6" s="226" t="s">
        <v>200</v>
      </c>
      <c r="C6" s="258"/>
      <c r="D6" s="258"/>
      <c r="E6" s="258"/>
      <c r="F6" s="258"/>
      <c r="G6" s="258"/>
      <c r="H6" s="259"/>
      <c r="I6" s="3"/>
    </row>
    <row r="7" spans="1:9" ht="9" customHeight="1" x14ac:dyDescent="0.15">
      <c r="A7" s="5"/>
      <c r="B7" s="10"/>
      <c r="C7" s="10"/>
      <c r="D7" s="10"/>
      <c r="E7" s="10"/>
      <c r="F7" s="10"/>
      <c r="G7" s="10"/>
      <c r="H7" s="10"/>
      <c r="I7" s="3"/>
    </row>
    <row r="8" spans="1:9" ht="18.75" customHeight="1" x14ac:dyDescent="0.15">
      <c r="A8" s="5"/>
      <c r="B8" s="3"/>
      <c r="C8" s="3"/>
      <c r="D8" s="30" t="s">
        <v>41</v>
      </c>
      <c r="E8" s="31" t="s">
        <v>201</v>
      </c>
      <c r="F8" s="3"/>
      <c r="G8" s="30" t="s">
        <v>10</v>
      </c>
      <c r="H8" s="31" t="s">
        <v>202</v>
      </c>
      <c r="I8" s="3"/>
    </row>
    <row r="9" spans="1:9" ht="7.5" customHeight="1" x14ac:dyDescent="0.15">
      <c r="A9" s="5"/>
      <c r="B9" s="5"/>
      <c r="C9" s="5"/>
      <c r="D9" s="5"/>
      <c r="E9" s="5"/>
      <c r="F9" s="5"/>
      <c r="G9" s="5"/>
      <c r="H9" s="5"/>
      <c r="I9" s="5"/>
    </row>
    <row r="10" spans="1:9" ht="18.75" customHeight="1" x14ac:dyDescent="0.15">
      <c r="A10" s="1" t="s">
        <v>3</v>
      </c>
      <c r="B10" s="1" t="s">
        <v>26</v>
      </c>
      <c r="C10" s="4"/>
      <c r="D10" s="4"/>
      <c r="E10" s="4"/>
      <c r="F10" s="4"/>
      <c r="G10" s="4"/>
      <c r="H10" s="4"/>
      <c r="I10" s="4"/>
    </row>
    <row r="11" spans="1:9" ht="18.75" customHeight="1" x14ac:dyDescent="0.15">
      <c r="B11" s="109" t="s">
        <v>23</v>
      </c>
      <c r="C11" s="110"/>
      <c r="D11" s="111"/>
      <c r="E11" s="110" t="s">
        <v>25</v>
      </c>
      <c r="F11" s="110"/>
      <c r="G11" s="110"/>
      <c r="H11" s="110"/>
      <c r="I11" s="111"/>
    </row>
    <row r="12" spans="1:9" ht="26.25" customHeight="1" x14ac:dyDescent="0.15">
      <c r="B12" s="40" t="s">
        <v>13</v>
      </c>
      <c r="C12" s="47"/>
      <c r="D12" s="41"/>
      <c r="E12" s="48"/>
      <c r="F12" s="48"/>
      <c r="G12" s="48"/>
      <c r="H12" s="48"/>
      <c r="I12" s="41"/>
    </row>
    <row r="13" spans="1:9" ht="210.75" customHeight="1" x14ac:dyDescent="0.15">
      <c r="B13" s="42"/>
      <c r="C13" s="241" t="s">
        <v>14</v>
      </c>
      <c r="D13" s="242"/>
      <c r="E13" s="254" t="s">
        <v>211</v>
      </c>
      <c r="F13" s="243"/>
      <c r="G13" s="243"/>
      <c r="H13" s="243"/>
      <c r="I13" s="244"/>
    </row>
    <row r="14" spans="1:9" ht="210.75" customHeight="1" x14ac:dyDescent="0.15">
      <c r="B14" s="42"/>
      <c r="C14" s="256" t="s">
        <v>15</v>
      </c>
      <c r="D14" s="257"/>
      <c r="E14" s="254" t="s">
        <v>203</v>
      </c>
      <c r="F14" s="243"/>
      <c r="G14" s="243"/>
      <c r="H14" s="243"/>
      <c r="I14" s="244"/>
    </row>
    <row r="15" spans="1:9" ht="210.75" customHeight="1" x14ac:dyDescent="0.15">
      <c r="B15" s="42"/>
      <c r="C15" s="241" t="s">
        <v>16</v>
      </c>
      <c r="D15" s="242"/>
      <c r="E15" s="254" t="s">
        <v>204</v>
      </c>
      <c r="F15" s="243"/>
      <c r="G15" s="243"/>
      <c r="H15" s="243"/>
      <c r="I15" s="244"/>
    </row>
    <row r="16" spans="1:9" ht="210.75" customHeight="1" x14ac:dyDescent="0.15">
      <c r="B16" s="42"/>
      <c r="C16" s="241" t="s">
        <v>17</v>
      </c>
      <c r="D16" s="242"/>
      <c r="E16" s="254" t="s">
        <v>205</v>
      </c>
      <c r="F16" s="243"/>
      <c r="G16" s="243"/>
      <c r="H16" s="243"/>
      <c r="I16" s="244"/>
    </row>
    <row r="17" spans="2:9" ht="210.75" customHeight="1" x14ac:dyDescent="0.15">
      <c r="B17" s="43"/>
      <c r="C17" s="245" t="s">
        <v>18</v>
      </c>
      <c r="D17" s="246"/>
      <c r="E17" s="255" t="s">
        <v>206</v>
      </c>
      <c r="F17" s="247"/>
      <c r="G17" s="247"/>
      <c r="H17" s="247"/>
      <c r="I17" s="248"/>
    </row>
    <row r="18" spans="2:9" ht="24" customHeight="1" x14ac:dyDescent="0.15">
      <c r="B18" s="40" t="s">
        <v>19</v>
      </c>
      <c r="C18" s="44"/>
      <c r="D18" s="45"/>
      <c r="E18" s="46"/>
      <c r="F18" s="46"/>
      <c r="G18" s="46"/>
      <c r="H18" s="46"/>
      <c r="I18" s="49"/>
    </row>
    <row r="19" spans="2:9" ht="218.25" customHeight="1" x14ac:dyDescent="0.15">
      <c r="B19" s="42"/>
      <c r="C19" s="241" t="s">
        <v>20</v>
      </c>
      <c r="D19" s="242"/>
      <c r="E19" s="243" t="s">
        <v>207</v>
      </c>
      <c r="F19" s="243"/>
      <c r="G19" s="243"/>
      <c r="H19" s="243"/>
      <c r="I19" s="244"/>
    </row>
    <row r="20" spans="2:9" ht="218.25" customHeight="1" x14ac:dyDescent="0.15">
      <c r="B20" s="43"/>
      <c r="C20" s="245" t="s">
        <v>21</v>
      </c>
      <c r="D20" s="246"/>
      <c r="E20" s="247" t="s">
        <v>208</v>
      </c>
      <c r="F20" s="247"/>
      <c r="G20" s="247"/>
      <c r="H20" s="247"/>
      <c r="I20" s="248"/>
    </row>
    <row r="21" spans="2:9" ht="218.25" customHeight="1" x14ac:dyDescent="0.15">
      <c r="B21" s="249" t="s">
        <v>22</v>
      </c>
      <c r="C21" s="250"/>
      <c r="D21" s="251"/>
      <c r="E21" s="252" t="s">
        <v>209</v>
      </c>
      <c r="F21" s="252"/>
      <c r="G21" s="252"/>
      <c r="H21" s="252"/>
      <c r="I21" s="253"/>
    </row>
    <row r="22" spans="2:9" ht="218.25" customHeight="1" x14ac:dyDescent="0.15">
      <c r="B22" s="236" t="s">
        <v>135</v>
      </c>
      <c r="C22" s="237"/>
      <c r="D22" s="238"/>
      <c r="E22" s="239" t="s">
        <v>210</v>
      </c>
      <c r="F22" s="239"/>
      <c r="G22" s="239"/>
      <c r="H22" s="239"/>
      <c r="I22" s="240"/>
    </row>
    <row r="23" spans="2:9" ht="22.5" customHeight="1" x14ac:dyDescent="0.15">
      <c r="B23" s="4"/>
      <c r="C23" s="4"/>
      <c r="D23" s="4"/>
      <c r="E23" s="4"/>
      <c r="F23" s="4"/>
      <c r="G23" s="4"/>
      <c r="H23" s="4"/>
      <c r="I23" s="4"/>
    </row>
    <row r="24" spans="2:9" ht="22.5" customHeight="1" x14ac:dyDescent="0.15">
      <c r="B24" s="4"/>
      <c r="C24" s="4"/>
      <c r="D24" s="4"/>
      <c r="E24" s="4"/>
      <c r="F24" s="4"/>
      <c r="G24" s="4"/>
      <c r="H24" s="4"/>
      <c r="I24" s="4"/>
    </row>
    <row r="25" spans="2:9" ht="22.5" customHeight="1" x14ac:dyDescent="0.15">
      <c r="B25" s="4"/>
      <c r="C25" s="4"/>
      <c r="D25" s="4"/>
      <c r="E25" s="4"/>
      <c r="F25" s="4"/>
      <c r="G25" s="4"/>
      <c r="H25" s="4"/>
      <c r="I25" s="4"/>
    </row>
    <row r="26" spans="2:9" ht="22.5" customHeight="1" x14ac:dyDescent="0.15">
      <c r="B26" s="4"/>
      <c r="C26" s="4"/>
      <c r="D26" s="4"/>
      <c r="E26" s="4"/>
      <c r="F26" s="4"/>
      <c r="G26" s="4"/>
      <c r="H26" s="4"/>
      <c r="I26" s="4"/>
    </row>
    <row r="27" spans="2:9" ht="22.5" customHeight="1" x14ac:dyDescent="0.15">
      <c r="B27" s="4"/>
      <c r="C27" s="4"/>
      <c r="D27" s="4"/>
      <c r="E27" s="4"/>
      <c r="F27" s="4"/>
      <c r="G27" s="4"/>
      <c r="H27" s="4"/>
      <c r="I27" s="4"/>
    </row>
    <row r="28" spans="2:9" ht="22.5" customHeight="1" x14ac:dyDescent="0.15">
      <c r="B28" s="14"/>
      <c r="C28" s="14"/>
      <c r="D28" s="14"/>
      <c r="E28" s="14"/>
      <c r="F28" s="14"/>
      <c r="G28" s="14"/>
      <c r="H28" s="14"/>
      <c r="I28" s="14"/>
    </row>
    <row r="29" spans="2:9" ht="22.5" customHeight="1" x14ac:dyDescent="0.15">
      <c r="B29" s="14"/>
      <c r="C29" s="14"/>
      <c r="D29" s="14"/>
      <c r="E29" s="14"/>
      <c r="F29" s="14"/>
      <c r="G29" s="14"/>
      <c r="H29" s="14"/>
      <c r="I29" s="14"/>
    </row>
    <row r="30" spans="2:9" ht="22.5" customHeight="1" x14ac:dyDescent="0.15">
      <c r="B30" s="14"/>
      <c r="C30" s="14"/>
      <c r="D30" s="14"/>
      <c r="E30" s="14"/>
      <c r="F30" s="14"/>
      <c r="G30" s="14"/>
      <c r="H30" s="14"/>
      <c r="I30" s="14"/>
    </row>
  </sheetData>
  <mergeCells count="22">
    <mergeCell ref="C14:D14"/>
    <mergeCell ref="E14:I14"/>
    <mergeCell ref="A3:I3"/>
    <mergeCell ref="B11:D11"/>
    <mergeCell ref="E11:I11"/>
    <mergeCell ref="C13:D13"/>
    <mergeCell ref="E13:I13"/>
    <mergeCell ref="B6:H6"/>
    <mergeCell ref="C15:D15"/>
    <mergeCell ref="E15:I15"/>
    <mergeCell ref="C16:D16"/>
    <mergeCell ref="E16:I16"/>
    <mergeCell ref="C17:D17"/>
    <mergeCell ref="E17:I17"/>
    <mergeCell ref="B22:D22"/>
    <mergeCell ref="E22:I22"/>
    <mergeCell ref="C19:D19"/>
    <mergeCell ref="E19:I19"/>
    <mergeCell ref="C20:D20"/>
    <mergeCell ref="E20:I20"/>
    <mergeCell ref="B21:D21"/>
    <mergeCell ref="E21:I21"/>
  </mergeCells>
  <phoneticPr fontId="1"/>
  <printOptions horizontalCentered="1"/>
  <pageMargins left="0.78740157480314965" right="0.78740157480314965" top="0.78740157480314965" bottom="0.59055118110236227" header="0.31496062992125984" footer="0.31496062992125984"/>
  <pageSetup paperSize="9" scale="63" fitToHeight="0" orientation="portrait" r:id="rId1"/>
  <headerFooter>
    <oddHeader>&amp;C数理・データサイエンス・AI教育プログラム認定制度【リテラシーレベル】</oddHeader>
  </headerFooter>
  <rowBreaks count="1" manualBreakCount="1">
    <brk id="17" max="9"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6</vt:i4>
      </vt:variant>
      <vt:variant>
        <vt:lpstr>名前付き一覧</vt:lpstr>
      </vt:variant>
      <vt:variant>
        <vt:i4>7</vt:i4>
      </vt:variant>
    </vt:vector>
  </HeadingPairs>
  <TitlesOfParts>
    <vt:vector size="13" baseType="lpstr">
      <vt:lpstr>様式１-１　プログラムを構成する授業科目</vt:lpstr>
      <vt:lpstr>様式１-2　プログラムを構成する授業科目</vt:lpstr>
      <vt:lpstr>様式１-３　プログラムを構成する授業科目</vt:lpstr>
      <vt:lpstr>様式２ 履修者等数の実績</vt:lpstr>
      <vt:lpstr>様式３ 教育の質・履修者数を向上させるための体制・計画</vt:lpstr>
      <vt:lpstr>様式４　自己点検・評価</vt:lpstr>
      <vt:lpstr>'様式１-１　プログラムを構成する授業科目'!Print_Area</vt:lpstr>
      <vt:lpstr>'様式１-2　プログラムを構成する授業科目'!Print_Area</vt:lpstr>
      <vt:lpstr>'様式１-３　プログラムを構成する授業科目'!Print_Area</vt:lpstr>
      <vt:lpstr>'様式２ 履修者等数の実績'!Print_Area</vt:lpstr>
      <vt:lpstr>'様式３ 教育の質・履修者数を向上させるための体制・計画'!Print_Area</vt:lpstr>
      <vt:lpstr>'様式４　自己点検・評価'!Print_Area</vt:lpstr>
      <vt:lpstr>'様式４　自己点検・評価'!Print_Titles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文部科学省</dc:creator>
  <cp:lastModifiedBy>akikuchi</cp:lastModifiedBy>
  <cp:lastPrinted>2024-06-11T02:35:32Z</cp:lastPrinted>
  <dcterms:created xsi:type="dcterms:W3CDTF">2011-06-14T05:32:50Z</dcterms:created>
  <dcterms:modified xsi:type="dcterms:W3CDTF">2024-06-11T02:39:29Z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99a617-f30e-4fb8-b81c-fb6d0b94ac5b_Enabled">
    <vt:lpwstr>true</vt:lpwstr>
  </property>
  <property fmtid="{D5CDD505-2E9C-101B-9397-08002B2CF9AE}" pid="3" name="MSIP_Label_d899a617-f30e-4fb8-b81c-fb6d0b94ac5b_SetDate">
    <vt:lpwstr>2022-02-15T08:32:27Z</vt:lpwstr>
  </property>
  <property fmtid="{D5CDD505-2E9C-101B-9397-08002B2CF9AE}" pid="4" name="MSIP_Label_d899a617-f30e-4fb8-b81c-fb6d0b94ac5b_Method">
    <vt:lpwstr>Standard</vt:lpwstr>
  </property>
  <property fmtid="{D5CDD505-2E9C-101B-9397-08002B2CF9AE}" pid="5" name="MSIP_Label_d899a617-f30e-4fb8-b81c-fb6d0b94ac5b_Name">
    <vt:lpwstr>機密性2情報</vt:lpwstr>
  </property>
  <property fmtid="{D5CDD505-2E9C-101B-9397-08002B2CF9AE}" pid="6" name="MSIP_Label_d899a617-f30e-4fb8-b81c-fb6d0b94ac5b_SiteId">
    <vt:lpwstr>545810b0-36cb-4290-8926-48dbc0f9e92f</vt:lpwstr>
  </property>
  <property fmtid="{D5CDD505-2E9C-101B-9397-08002B2CF9AE}" pid="7" name="MSIP_Label_d899a617-f30e-4fb8-b81c-fb6d0b94ac5b_ActionId">
    <vt:lpwstr>2e617815-3938-4bbf-9581-e4cafc8cacf8</vt:lpwstr>
  </property>
  <property fmtid="{D5CDD505-2E9C-101B-9397-08002B2CF9AE}" pid="8" name="MSIP_Label_d899a617-f30e-4fb8-b81c-fb6d0b94ac5b_ContentBits">
    <vt:lpwstr>0</vt:lpwstr>
  </property>
</Properties>
</file>