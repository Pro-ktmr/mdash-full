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takada\Desktop\教務部\数理DS認定制度\提出\（再々）東京国際大学\（再々）01_東京国際大学_リテラシー\"/>
    </mc:Choice>
  </mc:AlternateContent>
  <bookViews>
    <workbookView xWindow="-120" yWindow="-120" windowWidth="24270" windowHeight="13020" tabRatio="885" activeTab="1"/>
  </bookViews>
  <sheets>
    <sheet name="様式１-1　プログラムを構成する授業科目" sheetId="43" r:id="rId1"/>
    <sheet name="様式１-2　プログラムを構成する授業科目" sheetId="39"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'様式２ 履修者等数の実績'!$A$1:$S$29</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40" l="1"/>
  <c r="M7" i="40" l="1"/>
  <c r="I2" i="42"/>
  <c r="H2" i="41"/>
  <c r="Q2" i="40"/>
  <c r="I29" i="40" l="1"/>
  <c r="M29" i="40"/>
  <c r="P29" i="40"/>
  <c r="Q29" i="40"/>
  <c r="O29" i="40"/>
  <c r="N29" i="40"/>
  <c r="L29" i="40"/>
  <c r="J29" i="40"/>
  <c r="K29" i="40"/>
  <c r="H29" i="40"/>
  <c r="R14" i="40" l="1"/>
  <c r="R15" i="40"/>
  <c r="R16" i="40"/>
  <c r="R17" i="40"/>
  <c r="R18" i="40"/>
  <c r="R13" i="40"/>
  <c r="S13" i="40" s="1"/>
  <c r="C29" i="40"/>
  <c r="G29" i="40" l="1"/>
  <c r="F29" i="40" l="1"/>
  <c r="E29" i="40"/>
  <c r="I50" i="41" s="1"/>
  <c r="D29" i="40"/>
  <c r="S18" i="40"/>
  <c r="S17" i="40"/>
  <c r="S16" i="40"/>
  <c r="S15" i="40"/>
  <c r="S14" i="40"/>
  <c r="R29" i="40" l="1"/>
  <c r="S29" i="40" s="1"/>
  <c r="C49" i="41" s="1"/>
</calcChain>
</file>

<file path=xl/sharedStrings.xml><?xml version="1.0" encoding="utf-8"?>
<sst xmlns="http://schemas.openxmlformats.org/spreadsheetml/2006/main" count="465" uniqueCount="210">
  <si>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</si>
  <si>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</si>
  <si>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</si>
  <si>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</si>
  <si>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</si>
  <si>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</si>
  <si>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</si>
  <si>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</si>
  <si>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</si>
  <si>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</si>
  <si>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</si>
  <si>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</si>
  <si>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</si>
  <si>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</si>
  <si>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</si>
  <si>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</si>
  <si>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</si>
  <si>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</si>
  <si>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</si>
  <si>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</si>
  <si>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</si>
  <si>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</si>
  <si>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</si>
  <si>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</si>
  <si>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</si>
  <si>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</si>
  <si>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</si>
  <si>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</si>
  <si>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</si>
  <si>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</si>
  <si>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</si>
  <si>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</si>
  <si>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</si>
  <si>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</si>
  <si>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</si>
  <si>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</si>
  <si>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</si>
  <si>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</si>
  <si>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</si>
  <si>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</si>
  <si>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</si>
  <si>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</si>
  <si>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</si>
  <si>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</si>
  <si>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</si>
  <si>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</si>
  <si>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</si>
  <si>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</si>
  <si>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</si>
  <si>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</si>
  <si>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</si>
  <si>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</si>
  <si>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</si>
  <si>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</si>
  <si>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</si>
  <si>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</si>
  <si>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</si>
  <si>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</si>
  <si>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</si>
  <si>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</si>
  <si>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</si>
  <si>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</si>
  <si>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</si>
  <si>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</si>
  <si>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</si>
  <si>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</si>
  <si>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</si>
  <si>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</si>
  <si>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</si>
  <si>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</si>
  <si>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</si>
  <si>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</si>
  <si>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</si>
  <si>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</si>
  <si>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</si>
  <si>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</si>
  <si>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</si>
  <si>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</si>
  <si>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</si>
  <si>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</si>
  <si>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</si>
  <si>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</si>
  <si>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</si>
  <si>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</si>
  <si>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</si>
  <si>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</si>
  <si>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</si>
  <si>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</si>
  <si>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</si>
  <si>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</si>
  <si>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</si>
  <si>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</si>
  <si>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</si>
  <si>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</si>
  <si>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</si>
  <si>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</si>
  <si>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</si>
  <si>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</si>
  <si>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</si>
  <si>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</si>
  <si>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</si>
  <si>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</si>
  <si>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</si>
  <si>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</si>
  <si>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</si>
  <si>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</si>
  <si>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</si>
  <si>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</si>
  <si>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</si>
  <si>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</si>
  <si>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</si>
  <si>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</si>
  <si>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</si>
  <si>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</si>
  <si>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</si>
  <si>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</si>
  <si>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</si>
  <si>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</si>
  <si>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</si>
  <si>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</si>
  <si>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</si>
  <si>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</si>
  <si>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</si>
  <si>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</si>
  <si>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</si>
  <si>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</si>
  <si>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</si>
  <si>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</si>
  <si>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</si>
  <si>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</si>
  <si>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</si>
  <si>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</si>
  <si>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</si>
  <si>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</si>
  <si>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東京国際大学</t>
    <phoneticPr fontId="1"/>
  </si>
  <si>
    <t>ICT基礎</t>
    <phoneticPr fontId="1"/>
  </si>
  <si>
    <t>令和４年度以前より、履修することが必須のプログラムとして実施</t>
    <rPh sb="0" eb="2">
      <t>レイワ</t>
    </rPh>
    <rPh sb="3" eb="5">
      <t>ネンド</t>
    </rPh>
    <rPh sb="5" eb="7">
      <t>イゼン</t>
    </rPh>
    <phoneticPr fontId="1"/>
  </si>
  <si>
    <t>○</t>
  </si>
  <si>
    <t>○</t>
    <phoneticPr fontId="1"/>
  </si>
  <si>
    <t>■データサイエンス・AIの進展による社会の変化
［第2回 データサイエンスの役割］ ビッグデータ、IoT、AIによる社会の変化、第4次産業革命への流れ、Society5.0、データ駆動型社会
【PowerPoint演習】［第6回～第8回］
プレゼン資料「現代社会のデータサイエンス」作成（第8回の課題）
スライド2 ビックデータ蓄積の収集経路
スライド3 Society5.0の概念（図形による作図）
スライド4 4つの巨大企業「GAFA」のサービスの特徴
スライド5 データ駆動型社会に必要な知識と人材
スライド6 日本企業のAI（人工知能）の活用事例（調べ学習）</t>
    <phoneticPr fontId="1"/>
  </si>
  <si>
    <t>■ データ・AI利活用の最新動向
［第2回 データサイエンスの役割］ GAFAの実態（サービスの特徴）、深層学習と強化学習の急速な発展
［第7回 マーケティングでの活用事例］ 金融業や保険業における活用事例</t>
    <phoneticPr fontId="1"/>
  </si>
  <si>
    <t>■データAIの活用領域
［第7回 マーケティングでの活用事例］ マーケティングでの活用領域（消費者ビーズの把握/需要予測/セグメンテーション/推薦システム/アソシエーション分析/ポートフォリオセレクション/デフォルト確率の分析）
［第9回］Robotic Process Automation（RPA）を利用したAIの活用</t>
    <phoneticPr fontId="1"/>
  </si>
  <si>
    <t>■データAI利活用の現場
［第6回 PowerPointでのプレゼン資料作成］スライド6におけるに日本企業のAI活用事例の作成（1-1参照）
［第9回 金融での活用事例］ 金融業や保険業における活用事例</t>
    <phoneticPr fontId="1"/>
  </si>
  <si>
    <t>■データAIを扱う上での留意事項
［第6回 ネット社会の危険と対策］ ウイルスの侵入経路・対策/パスワード管理/ネットショップでのトラブル
［第6回 データサイエンスと情報倫理3］ 情報の不正行為、情報の死角（フェイクニュース・データバイアス）、AI社会の論点
［第7回 メールによるコミュニケーション］ 悪意のメール、メールのマナー
［第9回 Weｂによるコミュニケーション1］ 情報の信憑性、SNSなどの利用時の注意点など
［第10回 Webによるコミュニケーション2］ インスタ、出会い系サイト、クラウド利用のメリット
［第11回 モバイル機器の活用と管理］ スマホのカメラルールと紛失、オンライン授業、Wi-Fiの安全性</t>
    <phoneticPr fontId="1"/>
  </si>
  <si>
    <t>■データを守る上での留意事項
［第2回 情報化社会のモラルとセキュリティ］ 情報モラルとは、情報セキュリティとは
［第3回 個人情報の適切な取り扱い］ 個人情報保護法、個人情報とは
［第3回 データサイエンスと情報倫理1］ データの保護規則(GDPR)、データ活用における倫理・法律・社会的含意(ELSI)
［第4回 デジタル時代の著作権］ 著作権とは、コピべレポート、CDなどの貸し借り、デジタルデータの扱い
［第4回 データサイエンスと情報倫理2］情報の機密性・完全性・可用性</t>
    <phoneticPr fontId="1"/>
  </si>
  <si>
    <t>■データを読む
［第9回］Excelによるデータの種類（文字/数値/日付）
［第10回 データ分析のためのデータ取得と管理］ 大規模なデータの利用（データベースの活用）
［第11回 ヒストグラム/散布図と相関関係］ 量的データと質的データ</t>
    <phoneticPr fontId="1"/>
  </si>
  <si>
    <t>■データを説明する
［第11回 ヒストグラム/散布図と相関関係］ グラフによるデータの可視化とグラフの特徴、散布図によるデータの説明（正の相関・無相関・負の相関/相関関係）、ヒストグラムの特徴、適切なグラフの扱い方
［第14回］クロス集計</t>
    <phoneticPr fontId="1"/>
  </si>
  <si>
    <t>■データを扱う
【Excel演習】［第9回～第14回］
データの入力/表の作成・編集/印刷機能/数式と関数など
グラフの作成（棒グラフ・折れ線・円グラフ・ヒストグラム・散布図）
売上データによる並べ替え、フィルターを使ったデータ分析
書籍販売データによる売上分析と報告書の作成（第13回の課題）
アンケートデータによるピボットテーブル（クロス集計）とピボットグラフ</t>
    <phoneticPr fontId="1"/>
  </si>
  <si>
    <t>令和5</t>
    <phoneticPr fontId="1"/>
  </si>
  <si>
    <t>小室　広佐子</t>
    <phoneticPr fontId="1"/>
  </si>
  <si>
    <t>副学長</t>
    <phoneticPr fontId="1"/>
  </si>
  <si>
    <t>データサイエンス教育研究所</t>
    <phoneticPr fontId="1"/>
  </si>
  <si>
    <t>松尾　博文</t>
    <phoneticPr fontId="1"/>
  </si>
  <si>
    <t>データサイエンス教育研究所長</t>
    <phoneticPr fontId="1"/>
  </si>
  <si>
    <t>東京国際大学データサイエンス教育研究所設置規程</t>
    <phoneticPr fontId="1"/>
  </si>
  <si>
    <t xml:space="preserve">データサイエンス分野における研究教育の広範な事業展開を推進するとともに、数理・データサイエンス・AI教育に関係する授業科目の点検、評価、改善、充実に取り組んでいる。
【東京国際大学データサイエンス教育研究所設置規程 第2条・第3条：抜粋】
(設置) 
第2 条 東京国際大学に，データサイエンス教育研究活動展開のため，その基本組織として，
データサイエンス教育研究所を設置する。
(所管) 
第3 条 データサイエンス教育研究所は，次の事項を所管する。
(1) データサイエンス分野における,研究教育での広範な事業展開
(2) 国内外の研究機関との共同研究
(3) その他常務会において必要と認めた前各号に準ずる事項
</t>
    <phoneticPr fontId="1"/>
  </si>
  <si>
    <t>データサイエンス教育研究所　教授 松尾　博文（データサイエンス教育研究所長）
データサイエンス教育研究所　教授 竹田　恒 
データサイエンス教育研究所　教授 土屋　健
データサイエンス教育研究所　教授 山口　智弘</t>
    <phoneticPr fontId="1"/>
  </si>
  <si>
    <t>講義終了後に受講者を対象に授業評価アンケートを実施している。授業評価アンケートによる理解度は、概ね良好であり、小テストでは高得点を取得する比率が高いため、理解度は高いと考えている。
「この授業で教わったことを理解し、身につけられたと思いますか？」の質問事項に対して、「とてもそう思う」「そう思う」と回答した割合は、クラスによるが6割～7割となっており、中立まで入れると8割～9割となっている。
また、各回の確認テストや課題によって理解度を深めることができたと考えている。</t>
    <phoneticPr fontId="1"/>
  </si>
  <si>
    <t>全学的な履修者数、履修率については、学期途中の中間報告と学期末において、分析結果をデータサイエンス教育研究所構成員及び教務部部課長、総括責任者、教員をメンバーとする総括会議にて、フィードバックし検証を行っている。
総括会議では、今後の課題点や問題点の洗い出しを行い、次年度以降の授業運営に役立てている。
令和6年度は、単位取得率の向上を目指している。</t>
    <phoneticPr fontId="1"/>
  </si>
  <si>
    <t>現状では産業界から意見を徴収する機会がないが、本プログラム第1期生の卒業後2026年以降には、卒業生からの視点での意見を取り入れると共に、卒業生の就職先企業等からの視点で意見を取り入れることが出来るように、聴取時期や聴取者、聴取内容などを検討し、教育プログラムへ反映できるように構築する予定である。
また、本プログラムの教員には、産業界の外部企業教員が担当している。これらの教員からも教育プログラムの内容や手法についての意見を取り入れ見直しができるシステムを継続的に構築している。</t>
    <phoneticPr fontId="1"/>
  </si>
  <si>
    <t>該当なし</t>
    <rPh sb="0" eb="2">
      <t>ガイトウ</t>
    </rPh>
    <phoneticPr fontId="1"/>
  </si>
  <si>
    <t>本プログラムの内容・水準を維持・向上するために、学期末に行う授業評価アンケートを活用している。学生からのコメントとして、「分かりやすくてためになった」「理解が深まった」「授業テンポが丁度よい」「質問がしやすい」「パソコンの知識を多く学べた」などの肯定的な意見が多くあったが、改善点や要望として、「テンポが速い時がある」「進みが遅い」「サブ教員を増やしてほしい」などの意見もあった。これらの意見を問題点・課題点として捉え、さらなる「分かりやすい」授業へと改善し工夫していきたい。
全学必修の本プログラムでは、全クラスのシラバス、資料を共有している。目的・目標が分かりやすいシラバスを提示し、「分かりやすい」授業とするために、共有資料は継続的に見直していく予定である。
日本企業の活用事例を調べ、プレゼン資料に適時反映させ、社会の変化や生成AI等のICT技術の発展を身近に感じさせることで教育効果を高める取り組みを行っている。</t>
    <phoneticPr fontId="1"/>
  </si>
  <si>
    <t>様式１-1</t>
    <rPh sb="0" eb="2">
      <t>ヨウシキ</t>
    </rPh>
    <phoneticPr fontId="1"/>
  </si>
  <si>
    <t>学部・学科によって、修了要件は相違する</t>
  </si>
  <si>
    <t>商学部・言語コミュニケーション学部・人間社会学部・医療健康学部</t>
    <rPh sb="0" eb="2">
      <t>ショウガク</t>
    </rPh>
    <rPh sb="2" eb="3">
      <t>ブ</t>
    </rPh>
    <rPh sb="4" eb="6">
      <t>ゲンゴ</t>
    </rPh>
    <rPh sb="15" eb="17">
      <t>ガクブ</t>
    </rPh>
    <rPh sb="18" eb="22">
      <t>ニンゲンシャカイ</t>
    </rPh>
    <rPh sb="22" eb="24">
      <t>ガクブ</t>
    </rPh>
    <rPh sb="25" eb="27">
      <t>イリョウ</t>
    </rPh>
    <rPh sb="27" eb="29">
      <t>ケンコウ</t>
    </rPh>
    <rPh sb="29" eb="31">
      <t>ガクブ</t>
    </rPh>
    <phoneticPr fontId="1"/>
  </si>
  <si>
    <t>経済学部・国際関係学部</t>
    <rPh sb="0" eb="2">
      <t>ケイザイ</t>
    </rPh>
    <rPh sb="2" eb="4">
      <t>ガクブ</t>
    </rPh>
    <rPh sb="5" eb="7">
      <t>コクサイ</t>
    </rPh>
    <rPh sb="7" eb="9">
      <t>カンケイ</t>
    </rPh>
    <rPh sb="9" eb="11">
      <t>ガクブ</t>
    </rPh>
    <phoneticPr fontId="1"/>
  </si>
  <si>
    <t>基礎教育分野に設置の「ICT基礎」2単位を修得すること。</t>
    <phoneticPr fontId="1"/>
  </si>
  <si>
    <t>IT Literacy</t>
    <phoneticPr fontId="1"/>
  </si>
  <si>
    <t>現状では学外からの評価は受けていない。今後、本プログラムの認定後の第１期卒業生に向けて就職先に卒業生の状況の聞き取りを行う予定である。</t>
    <rPh sb="22" eb="23">
      <t>ホン</t>
    </rPh>
    <rPh sb="29" eb="31">
      <t>ニンテイ</t>
    </rPh>
    <rPh sb="31" eb="32">
      <t>ゴ</t>
    </rPh>
    <phoneticPr fontId="1"/>
  </si>
  <si>
    <t>数理・データサイエンス・AI教育プログラム</t>
    <rPh sb="0" eb="2">
      <t>スウリ</t>
    </rPh>
    <rPh sb="14" eb="16">
      <t>キョウイク</t>
    </rPh>
    <phoneticPr fontId="1"/>
  </si>
  <si>
    <t>様式１-2</t>
    <rPh sb="0" eb="2">
      <t>ヨウシキ</t>
    </rPh>
    <phoneticPr fontId="1"/>
  </si>
  <si>
    <t>Statistcs I</t>
    <phoneticPr fontId="1"/>
  </si>
  <si>
    <t>Introduction to Informatics ＆Computing</t>
    <phoneticPr fontId="1"/>
  </si>
  <si>
    <t>Statistics I</t>
    <phoneticPr fontId="1"/>
  </si>
  <si>
    <t>Introduction to Informatics &amp; Computing</t>
    <phoneticPr fontId="1"/>
  </si>
  <si>
    <t>Statistics I</t>
  </si>
  <si>
    <t>4-1統計および数理基礎</t>
  </si>
  <si>
    <t>4‐3データ構造とプログラミング基礎</t>
  </si>
  <si>
    <t>■データを守る上での留意事項
（ICT基礎）
［第2回 情報化社会のモラルとセキュリティ］ 情報モラルとは、情報セキュリティとは
［第3回 個人情報の適切な取り扱い］ 個人情報保護法、個人情報とは
［第3回 データサイエンスと情報倫理1］ データの保護規則(GDPR)、データ活用における倫理・法律・社会的含意(ELSI)
［第4回 デジタル時代の著作権］ 著作権とは、コピべレポート、CDなどの貸し借り、デジタルデータの扱い
［第4回 データサイエンスと情報倫理2］情報の機密性・完全性・可用性
（IT Literacy）第１～３，14回（Online Security）倫理と情報セキュリティ、プライバシー、匿名性の確保における留意点
（Introduction to Informatics ＆ Computing）　［INFO第15回 Security, Cryptography, Blockchain］ protection of your computer, encription, public's right to privacy,computer security risk, WEP/WPA：セキュリティー、暗号理論、ブロックチェーン、コンピュータの防御、データの暗号化、セキュリティ・リスク要因、WEP/WPA、通信におけるデータの暗号化と解読の方法</t>
    <rPh sb="19" eb="21">
      <t>キソ</t>
    </rPh>
    <rPh sb="287" eb="289">
      <t>リンリ</t>
    </rPh>
    <rPh sb="290" eb="292">
      <t>ジョウホウ</t>
    </rPh>
    <rPh sb="306" eb="309">
      <t>トクメイセイ</t>
    </rPh>
    <rPh sb="310" eb="312">
      <t>カクホ</t>
    </rPh>
    <rPh sb="316" eb="319">
      <t>リュウイテン</t>
    </rPh>
    <phoneticPr fontId="1"/>
  </si>
  <si>
    <t>■ データ・AI利活用の最新動向
（ICT基礎）
［第2回 データサイエンスの役割］ GAFAの実態（サービスの特徴）、深層学習と強化学習の急速な発展
［第7回 マーケティングでの活用事例］ 金融業や保険業における活用事例
（IT Literacy）第2回～13回（E-mail, WordPress, Graphic Design, Internet, Search）ニューメディア・コミュニケーションに関連するデータ・AI・IT技術とその利用の解説
（Introduction to Informatics ＆ Computing）［INFO第9回　General Purpose Applications］ application software for productivity, commerical software/freeware/pulbic domain software,general purpose application software, multi-media and graphic software, GIF/ JPEG/PNG/BMP/TIFF, Flickr, Advanced GIF Animator, Audio Software, Web-hosted technology, video gaming industry：　一般用のアプリ、商用、フリーウエア、公的ソフト、一般アプリ、マルチメディア、グラフィックアプリの事例、GIF等の規格、アニメ、オーディオアプリの事例、ウエッブホスト技術、ゲーミング産業  
［INFO第10回　Taylor-Made Applications, Standalone Programs］ Medical and dental purpose, software license： カスタムアプリ、医療・歯科専用アプリ、ライセンシング</t>
    <rPh sb="21" eb="23">
      <t>キソ</t>
    </rPh>
    <rPh sb="203" eb="205">
      <t>カンレン</t>
    </rPh>
    <rPh sb="216" eb="218">
      <t>ギジュツ</t>
    </rPh>
    <rPh sb="221" eb="223">
      <t>リヨウ</t>
    </rPh>
    <rPh sb="224" eb="226">
      <t>カイセツ</t>
    </rPh>
    <phoneticPr fontId="1"/>
  </si>
  <si>
    <t>■データAIの活用領域
（ICT基礎）
［第7回 マーケティングでの活用事例］ マーケティングでの活用領域（消費者ビーズの把握/需要予測/セグメンテーション/推薦システム/アソシエーション分析/ポートフォリオセレクション/デフォルト確率の分析）
［第9回］Robotic Process Automation（RPA）を利用したAIの活用
（IT Literacy）第2～13回、第1～第25回 言語データ、グラフィックデータ、動画データ、ビッグデータの活用事例
（Introduction to Informatics ＆ Computing）［INFO第12回 The Internet: How it works］ internet and the World Wide Web, hyper text, web browser/web servers, URL, TCP/IP protocol, internet service providers,  IP address, wiki/blog/podcast,  search engines, crawlers, portals：　インターネットとWWWの定義、インターネットの仕組み、ハイパーテキスト、ブラウザー、サーバ、URL, TCIP/IP プロトコルとは、プロバイダ、サーチエンジン、クローラーの役割、ポータル                                                                   　　　　　　　　　　　　　　　　　　　　　　　　　　　　　　　　　　　　　　　　　　　　　　　　　　　　　　［第13回 Web and E-commerce］ Internet services, spam, socail networking, Usenet, E-Commerce, B2B/C2C/B2C, C2C trading site/Ebay, shopping portals, Amazon.com, Bplans,com to help your small business plan, Paypal, travel reservation and bankingm online trading, non-retail services：ウエッブとeコマース、B2B/C2C/B2Cの事例、ペイパル、銀行のオンラインサービス等の小売り以外のサービスの事例</t>
    <rPh sb="16" eb="18">
      <t>キソ</t>
    </rPh>
    <rPh sb="227" eb="231">
      <t>カツヨウジレイ</t>
    </rPh>
    <phoneticPr fontId="1"/>
  </si>
  <si>
    <t>■データAIを扱う上での留意事項
（ICT基礎）
［第6回 ネット社会の危険と対策］ ウイルスの侵入経路・対策/パスワード管理/ネットショップでのトラブル
［第6回 データサイエンスと情報倫理3］ 情報の不正行為、情報の死角（フェイクニュース・データバイアス）、AI社会の論点
［第7回 メールによるコミュニケーション］ 悪意のメール、メールのマナー
［第9回 Weｂによるコミュニケーション1］ 情報の信憑性、SNSなどの利用時の注意点など
［第10回 Webによるコミュニケーション2］ インスタ、出会い系サイト、クラウド利用のメリット
［第11回 モバイル機器の活用と管理］ スマホのカメラルールと紛失、オンライン授業、Wi-Fiの安全性
（IT Literacy）第１～３，14回（Online Security）プライバシーと犯罪、サイバー空間におけるプライバシーと匿名性の消失、コンピュータ犯罪、サイバー犯罪の事例、 個人情報の不正使用、フェイクニュース、ジャーナリズムへの影響
（Introduction to Informatics ＆ Computing）［INFO第14回 Privacy and Crime］ erosion of privacy and anonimity, Cookies, Global Unique Identifier, RFID,  computer crime and cybercrime, Identity theft, phishing, Malware, Spyware, computer virus, Trojan horse：プライバシーと犯罪、サイバー空間におけるプライバシーと匿名性の消失、クッキーの機能と危険性、GUIに関する注意点、コンピュータ犯罪、サイバー犯罪の事例、 個人情報の不正使用、フィシング、マルウエア、スパイウエア、コンピュータウイルス、トロイの木馬</t>
    <rPh sb="21" eb="23">
      <t>キソ</t>
    </rPh>
    <rPh sb="336" eb="337">
      <t>ダイ</t>
    </rPh>
    <rPh sb="343" eb="344">
      <t>カイ</t>
    </rPh>
    <rPh sb="443" eb="445">
      <t>エイキョウ</t>
    </rPh>
    <phoneticPr fontId="1"/>
  </si>
  <si>
    <t>■データを説明する
(ICT基礎)
［第11回 ヒストグラム/散布図と相関関係］ グラフによるデータの可視化とグラフの特徴、散布図によるデータの説明（正の相関・無相関・負の相関/相関関係）、ヒストグラムの特徴、適切なグラフの扱い方
［第14回］クロス集計
（IT Literacy）第22回（Creating Graph）Excelを用いた図表の作成、ファイナンス分析の事例
（StatisticsⅠ）
［STAT第4回 Graphical Methods for Describing Quantitative Data]　量的データのグラフの種類
［STAT第5回 Numerical Measures of Central Tendency］中心極限定理
［STAT第6回 Numerical Measures of Variability］ ばらつきの測定値                                                                                                                                                                    [STAT第9回 Graphing bivariate Relationships and the Time Series Plot］2変数のグラフ、時系列のグラフ</t>
    <rPh sb="14" eb="16">
      <t>キソ</t>
    </rPh>
    <rPh sb="167" eb="168">
      <t>モチ</t>
    </rPh>
    <rPh sb="170" eb="172">
      <t>ズヒョウ</t>
    </rPh>
    <rPh sb="173" eb="175">
      <t>サクセイ</t>
    </rPh>
    <rPh sb="182" eb="184">
      <t>ブンセキ</t>
    </rPh>
    <rPh sb="185" eb="187">
      <t>ジレイ</t>
    </rPh>
    <phoneticPr fontId="1"/>
  </si>
  <si>
    <t>■データを扱う
(ICT基礎)
【Excel演習】［第9回～第14回］
データの入力/表の作成・編集/印刷機能/数式と関数など
グラフの作成（棒グラフ・折れ線・円グラフ・ヒストグラム・散布図）
売上データによる並べ替え、フィルターを使ったデータ分析
書籍販売データによる売上分析と報告書の作成（第13回の課題）
アンケートデータによるピボットテーブル（クロス集計）とピボットグラフ
（IT Literacy）第23回～第25回（Presenting Data, Big Data）Excelを使ったデータ処理の演習と結果のプレゼンテーション、Excelを用いてBig Dataを扱う
（StatisticsⅠ）
［STAT第12回～STAT第25回: Statistical Theory and Applications］
Event, sample space and probability, set theory, conditional probability, Bayes' Rule, Discrete and Continuous Random Variables, Sampling Distributions, statistical Inference, conficence interval, test of hypothesis, Design of Experiments, Analysis of Variance, Statistical Process Control, Time Series Forecasting：確率論の基礎から統計学の基礎へ：事象、サンプルスペース、確率の定義、条件付き確率とベイズ理論、離散と連続確率変数、統計的推論、信頼区間、仮説検定、実験計画法、分散分析法、統計的プロセスコントロール</t>
    <rPh sb="12" eb="14">
      <t>キソ</t>
    </rPh>
    <rPh sb="246" eb="247">
      <t>ツカ</t>
    </rPh>
    <rPh sb="252" eb="254">
      <t>ショリ</t>
    </rPh>
    <rPh sb="255" eb="257">
      <t>エンシュウ</t>
    </rPh>
    <rPh sb="258" eb="260">
      <t>ケッカ</t>
    </rPh>
    <rPh sb="277" eb="278">
      <t>モチ</t>
    </rPh>
    <rPh sb="289" eb="290">
      <t>アツカ</t>
    </rPh>
    <phoneticPr fontId="1"/>
  </si>
  <si>
    <t>■データサイエンス・AIの進展による社会の変化
(ICT基礎)
［第2回 データサイエンスの役割］ ビッグデータ、IoT、AIによる社会の変化、第4次産業革命への流れ、Society5.0、データ駆動型社会
【PowerPoint演習】［第6回～第8回］
プレゼン資料「現代社会のデータサイエンス」作成（第8回の課題）
スライド2 ビックデータ蓄積の収集経路
スライド3 Society5.0の概念（図形による作図）
スライド4 4つの巨大企業「GAFA」のサービスの特徴
スライド5 データ駆動型社会に必要な知識と人材
スライド6 日本企業のAI（人工知能）の活用事例（調べ学習）
（IT Literacy）第1回、15回（Introduction, New Media/Journalism）IT技術の社会・個人への影響、セキュリティ、プライバシー、デジタルデバイド、雇用への影響、伝統的なジャーナリズムとニューメディア、フェイクニュース, ソーシャルメディア、コミュニケーションの変遷
（Introduction to Informatics ＆ Computing）［INFO第2回　Types of Computers；Computers, Society and You］ hardware and software,computer ethics and responsibility, a shift in employment, digital divide, wiki, social media,  e-waste and recycle : コンピュータと社会、あなた自身との関係、ハードとソフトとその仕組み、コンピュータに関する倫理と責任、雇用への影響、デジタルデバイドの事例、wikiの運営、ソーシャルメディア、電子製品の廃棄とリサイクル</t>
    <rPh sb="28" eb="30">
      <t>キソ</t>
    </rPh>
    <rPh sb="305" eb="306">
      <t>ダイ</t>
    </rPh>
    <rPh sb="307" eb="308">
      <t>カイ</t>
    </rPh>
    <rPh sb="311" eb="312">
      <t>カイ</t>
    </rPh>
    <rPh sb="350" eb="352">
      <t>ギジュツ</t>
    </rPh>
    <rPh sb="353" eb="355">
      <t>シャカイ</t>
    </rPh>
    <rPh sb="356" eb="358">
      <t>コジン</t>
    </rPh>
    <rPh sb="360" eb="362">
      <t>エイキョウ</t>
    </rPh>
    <rPh sb="386" eb="388">
      <t>コヨウ</t>
    </rPh>
    <rPh sb="390" eb="392">
      <t>エイキョウ</t>
    </rPh>
    <rPh sb="393" eb="396">
      <t>デントウテキ</t>
    </rPh>
    <rPh sb="443" eb="445">
      <t>ヘンセン</t>
    </rPh>
    <phoneticPr fontId="1"/>
  </si>
  <si>
    <t>■データAI利活用の現場
(ICT基礎)
［第6回 PowerPointでのプレゼン資料作成］スライド6におけるに日本企業のAI活用事例の作成（1-1参照）
［第9回 金融での活用事例］ 金融業や保険業における活用事例
（IT Literacy）第2回～第20回(E-mail、Moodle, WordPress, Word, Excel, PowerPoint) 大学生活で必須のソフト(E-mail、Moodle, Word, Excel, PowerPoint)の活用、プレゼンテーションの実施、学生自身のウエッブサイト作成（WordPress）とプレゼンテーション、Codingの演習、グラフィクデザインの実習
（Introduction to Informatics ＆ Computing）［INFO第20回 Quantum computers, communications and cryptography] Quantum advantages, Quantum computing in finance, Fraud detection, Military quantum technologies, Quantum theory：　量子理論と量子コンピュータの仕組み、量子コンピュータの優位性、ファイナンスでの役割、詐欺・不正行為の検出事例、軍事応用</t>
    <rPh sb="17" eb="19">
      <t>キソ</t>
    </rPh>
    <rPh sb="185" eb="187">
      <t>セイカツ</t>
    </rPh>
    <rPh sb="188" eb="190">
      <t>ヒッス</t>
    </rPh>
    <rPh sb="235" eb="237">
      <t>カツヨウ</t>
    </rPh>
    <rPh sb="248" eb="250">
      <t>ジッシ</t>
    </rPh>
    <rPh sb="251" eb="253">
      <t>ガクセイ</t>
    </rPh>
    <rPh sb="253" eb="255">
      <t>ジシン</t>
    </rPh>
    <rPh sb="263" eb="265">
      <t>サクセイ</t>
    </rPh>
    <rPh sb="307" eb="309">
      <t>ジッシュウ</t>
    </rPh>
    <phoneticPr fontId="1"/>
  </si>
  <si>
    <t>不合格となった科目の再履修を認めている。</t>
    <rPh sb="7" eb="9">
      <t>カモク</t>
    </rPh>
    <rPh sb="10" eb="11">
      <t>サイ</t>
    </rPh>
    <rPh sb="14" eb="15">
      <t>ミト</t>
    </rPh>
    <phoneticPr fontId="1"/>
  </si>
  <si>
    <t>【Eトラックプログラム所属以外の学部生】
基礎教育分野に設置の「ICT基礎」2単位を修得すること。（履修必須）
【イングリッシュ・トラックプログラム(E-Track)所属学生】
Liberal Arts 分野に設置の「IT Literacy」4単位、または、Liberal Arts 分野に設置の「StatisticsⅠ」（4単位）及び「Introduction to Informatics ＆ Computing」（4単位）の2科目8単位を修得すること。（「IT Literacy」と「Introduction to Informatics ＆ Computing」は履修必須ではない。「StatisticsⅠ」は、Business Economics専攻とDigital Business ＆Innovation専攻の学生には、履修必須科目である）</t>
    <rPh sb="11" eb="13">
      <t>ショゾク</t>
    </rPh>
    <rPh sb="13" eb="15">
      <t>イガイ</t>
    </rPh>
    <rPh sb="16" eb="18">
      <t>ガクブ</t>
    </rPh>
    <rPh sb="18" eb="19">
      <t>セイ</t>
    </rPh>
    <rPh sb="50" eb="52">
      <t>リシュウ</t>
    </rPh>
    <rPh sb="52" eb="54">
      <t>ヒッス</t>
    </rPh>
    <rPh sb="84" eb="86">
      <t>ショゾク</t>
    </rPh>
    <rPh sb="86" eb="88">
      <t>ガクセイ</t>
    </rPh>
    <rPh sb="103" eb="105">
      <t>ブンヤ</t>
    </rPh>
    <rPh sb="106" eb="108">
      <t>セッチ</t>
    </rPh>
    <rPh sb="123" eb="125">
      <t>タンイ</t>
    </rPh>
    <rPh sb="164" eb="166">
      <t>タンイ</t>
    </rPh>
    <rPh sb="167" eb="168">
      <t>オヨ</t>
    </rPh>
    <rPh sb="212" eb="214">
      <t>タンイ</t>
    </rPh>
    <rPh sb="217" eb="219">
      <t>カモク</t>
    </rPh>
    <rPh sb="220" eb="222">
      <t>タンイ</t>
    </rPh>
    <rPh sb="223" eb="225">
      <t>シュウトク</t>
    </rPh>
    <rPh sb="287" eb="291">
      <t>リシュウヒッス</t>
    </rPh>
    <rPh sb="329" eb="331">
      <t>センコウ</t>
    </rPh>
    <rPh sb="360" eb="362">
      <t>センコウ</t>
    </rPh>
    <rPh sb="363" eb="365">
      <t>ガクセイ</t>
    </rPh>
    <rPh sb="368" eb="372">
      <t>リシュウヒッス</t>
    </rPh>
    <rPh sb="372" eb="374">
      <t>カモク</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</si>
  <si>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</si>
  <si>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xml:space="preserve">「ICT基礎」、「IT Literacy」、「StatisticsⅠ」、「Introduction to Informatics ＆ Computing」は1年次から履修が可能としている。また、不合格になった場合でも再履修ができる。
各クラスの履修・習得状況は、Excelの成績評価シートから確認できるようになっている。クラスごとのシートにより各回の履修状況がわかる。
令和5年度の「ICT基礎」/「IT Literacy」の履修状況は次のとおりである。
「ICT基礎」：履修者1,683名、単位認定者1,453名、合格率86.3％
「IT Literacy」：履修者475名、単位認定者452、合格率 95.2％
「StatisticsⅠ」+「Introduction to Informatics ＆ Computing」：履修者382名、単位認定者371、合格率 97.1％
</t>
    <rPh sb="86" eb="88">
      <t>カノウ</t>
    </rPh>
    <rPh sb="97" eb="100">
      <t>フゴウカク</t>
    </rPh>
    <rPh sb="104" eb="106">
      <t>バアイ</t>
    </rPh>
    <rPh sb="195" eb="197">
      <t>キソ</t>
    </rPh>
    <rPh sb="213" eb="215">
      <t>リシュウ</t>
    </rPh>
    <rPh sb="215" eb="217">
      <t>ジョウキョウ</t>
    </rPh>
    <rPh sb="218" eb="219">
      <t>ツギ</t>
    </rPh>
    <rPh sb="258" eb="261">
      <t>ゴウカクリツ</t>
    </rPh>
    <rPh sb="287" eb="288">
      <t>メイ</t>
    </rPh>
    <phoneticPr fontId="1"/>
  </si>
  <si>
    <t>■データを読む
（ICT基礎）
［第9回］Excelによるデータの種類（文字/数値/日付）
［第10回 データ分析のためのデータ取得と管理］ 大規模なデータの利用（データベースの活用）
［第11回 ヒストグラム/散布図と相関関係］ 量的データと質的データ
（IT Literacy）第21回（Data Visualization）Excelにおける図表、相関図、基本機能、関数等の説明
（StatisticsⅠ）　　　　　　　　　　　　　　　　　　　　　　　　　　　　　　　　　　　　　　　　　　　　　　　　　　　　　　　　　　　　　　　　　　　　　　　　　　　　　　　                 　　［STAT第2回 Statistical Data and Thinking]　データと統計学の思考法
［STAT第3回 Describing Quantitative Data］　量的データの記述
［STAT第7回 Using the Mean and Standard Deviation to Describe Data and Numerical Measures of Relative Standing］  平均と標準偏差、その他の測定値　　　　　　　　　　　　　　　　　　　　　　　　　　                                                                                                                                   [STAT第8回 Methods for Detecting Outliers］Box Plots and z-scores:　箱ひげ図、z値</t>
    <rPh sb="12" eb="14">
      <t>キソ</t>
    </rPh>
    <rPh sb="141" eb="142">
      <t>ダイ</t>
    </rPh>
    <rPh sb="144" eb="145">
      <t>カイ</t>
    </rPh>
    <rPh sb="174" eb="176">
      <t>ズヒョウ</t>
    </rPh>
    <rPh sb="177" eb="180">
      <t>ソウカンズ</t>
    </rPh>
    <rPh sb="181" eb="183">
      <t>キホン</t>
    </rPh>
    <rPh sb="183" eb="185">
      <t>キノウ</t>
    </rPh>
    <rPh sb="186" eb="188">
      <t>カンスウ</t>
    </rPh>
    <rPh sb="188" eb="189">
      <t>トウ</t>
    </rPh>
    <rPh sb="190" eb="192">
      <t>セツメイ</t>
    </rPh>
    <phoneticPr fontId="1"/>
  </si>
  <si>
    <t>【ICT基礎】【IT Literacy】数理・データサイエンス・AIを学ぶことになった経緯や意義をスライドを基に説明している。内容としては、Society5.0の新しい情報社会は、スマートフォンやセンサー情報、人工衛星などから集積した多種・多様なビックデータの情報があり、これらの利用がイノベーションを生み出すことや現代社会の移り変わりについて、データを加工・分析する技術を持ち、データから価値を引き出すことができる専門的な人材（データサイエンティスト）が必要であることなどを説明している。
本プログラムはOffice製品を学び、データを扱う実技演習を含めている。実技演習は、教員と一緒に画面を操作するが、パソコンに慣れていない学生やOfficeアプリを体系的に学んでいない学生が多いが、授業評価アンケートからは、知らなかった多くのことを学べる機会があり、興味を持って学んだことが分かる。Word課題では、情報倫理についてのレポート作成、PowerPoint課題では、現在社会のデータサイエンスのスライド作成、Excel課題では、売上データ分析を行い、数理・データサイエンス・AIの内容と絡めており、学ぶ楽しさや学ぶことの意義が伝わるプログラムとしている。
座学講義では、学生が数理・データサイエンス・ＡＩの内容を把握しやすいように、スライドを用いて身近な事例を紹介し、興味を持てるよう授業を実施している。　　　　　　　　　　　　　　　　　　　　　　　　　　　　　　　　　　　　　　　　　　　　　　　　
【StatisticsⅠ】【Introduction to Informatics ＆ Computing】数理・データサイエンス・AIを学ぶ楽しさと意義を単に社会科学的な視点からだけではなくて、文理融合的な視点を強調することにより、理解させるように努めている。両科目は、欧米で使用されている標準的な教科書に沿う形で、統計学の基礎とコンピュータのハードとソフトについての工学的な理解を求めている。Eトラックプログラムにおいては、AI、パイソンプログラミング、デジタルマーケティング、ブロックチェーン等のAI・データサイエンス関連の専門科目が多いので、カリキュラムの初期に当該分野全体の基礎となる統計学とハード・ソフトの知識を理解することは、カリキュラム全体での学ぶ楽しさと意義を増大させることになる。</t>
    <rPh sb="723" eb="724">
      <t>タノ</t>
    </rPh>
    <rPh sb="727" eb="729">
      <t>イギ</t>
    </rPh>
    <rPh sb="730" eb="731">
      <t>タン</t>
    </rPh>
    <rPh sb="732" eb="737">
      <t>シャカイカガクテキ</t>
    </rPh>
    <rPh sb="738" eb="740">
      <t>シテン</t>
    </rPh>
    <rPh sb="750" eb="752">
      <t>ブンリ</t>
    </rPh>
    <rPh sb="752" eb="755">
      <t>ユウゴウテキ</t>
    </rPh>
    <rPh sb="756" eb="758">
      <t>シテン</t>
    </rPh>
    <rPh sb="759" eb="761">
      <t>キョウチョウ</t>
    </rPh>
    <rPh sb="769" eb="771">
      <t>リカイ</t>
    </rPh>
    <rPh sb="777" eb="778">
      <t>ツト</t>
    </rPh>
    <rPh sb="783" eb="786">
      <t>リョウカモク</t>
    </rPh>
    <rPh sb="788" eb="790">
      <t>オウベイ</t>
    </rPh>
    <rPh sb="791" eb="793">
      <t>シヨウ</t>
    </rPh>
    <rPh sb="798" eb="801">
      <t>ヒョウジュンテキ</t>
    </rPh>
    <rPh sb="802" eb="805">
      <t>キョウカショ</t>
    </rPh>
    <rPh sb="806" eb="807">
      <t>ソ</t>
    </rPh>
    <rPh sb="808" eb="809">
      <t>カタチ</t>
    </rPh>
    <rPh sb="811" eb="814">
      <t>トウケイガク</t>
    </rPh>
    <rPh sb="815" eb="817">
      <t>キソ</t>
    </rPh>
    <rPh sb="837" eb="840">
      <t>コウガクテキ</t>
    </rPh>
    <rPh sb="841" eb="843">
      <t>リカイ</t>
    </rPh>
    <rPh sb="844" eb="845">
      <t>モト</t>
    </rPh>
    <rPh sb="901" eb="902">
      <t>トウ</t>
    </rPh>
    <rPh sb="914" eb="916">
      <t>カンレン</t>
    </rPh>
    <rPh sb="917" eb="921">
      <t>センモンカモク</t>
    </rPh>
    <rPh sb="922" eb="923">
      <t>オオ</t>
    </rPh>
    <rPh sb="934" eb="936">
      <t>ショキ</t>
    </rPh>
    <rPh sb="937" eb="939">
      <t>トウガイ</t>
    </rPh>
    <rPh sb="939" eb="941">
      <t>ブンヤ</t>
    </rPh>
    <rPh sb="941" eb="943">
      <t>ゼンタイ</t>
    </rPh>
    <rPh sb="944" eb="946">
      <t>キソ</t>
    </rPh>
    <rPh sb="949" eb="952">
      <t>トウケイガク</t>
    </rPh>
    <rPh sb="961" eb="963">
      <t>チシキ</t>
    </rPh>
    <rPh sb="964" eb="966">
      <t>リカイ</t>
    </rPh>
    <rPh sb="978" eb="980">
      <t>ゼンタイ</t>
    </rPh>
    <rPh sb="982" eb="983">
      <t>マナ</t>
    </rPh>
    <rPh sb="984" eb="985">
      <t>タノ</t>
    </rPh>
    <rPh sb="988" eb="990">
      <t>イギ</t>
    </rPh>
    <rPh sb="991" eb="993">
      <t>ゾウダイ</t>
    </rPh>
    <phoneticPr fontId="1"/>
  </si>
  <si>
    <t>上記⑧の他、履修者の成績が向上するよう総括責任者、データサイエンス教育研究所構成員及び教務部部課長をメンバーとした期中の中間報告、授業終了後の総括を実施し、授業の進め方、内容が履修者にマッチするよう確認をしている。</t>
    <phoneticPr fontId="1"/>
  </si>
  <si>
    <t>いづれの科目も1年次から履修ができる科目に位置付けており、履修の機会を広げている。
情報モラルと情報セキュリティ・データサイエンスの講義では、重要点が理解しやすいように、スライドの投影を行っている。スライドがあることにより、各クラスの進捗度・理解度の差を防ぐことができる。
受講にはBYODとして各自パソコンを持つことを必須としており、推奨パソコンの紹介や必要スペックなどの情報を提供している。学内のWi-Fi環境を整え、Microsoft365を無償利用ができる。</t>
    <rPh sb="4" eb="6">
      <t>カモク</t>
    </rPh>
    <rPh sb="18" eb="20">
      <t>カモク</t>
    </rPh>
    <rPh sb="21" eb="24">
      <t>イチヅ</t>
    </rPh>
    <rPh sb="29" eb="31">
      <t>リシュウ</t>
    </rPh>
    <rPh sb="32" eb="34">
      <t>キカイ</t>
    </rPh>
    <rPh sb="35" eb="36">
      <t>ヒロ</t>
    </rPh>
    <rPh sb="148" eb="150">
      <t>カクジ</t>
    </rPh>
    <rPh sb="155" eb="156">
      <t>モ</t>
    </rPh>
    <rPh sb="208" eb="209">
      <t>トトノ</t>
    </rPh>
    <phoneticPr fontId="1"/>
  </si>
  <si>
    <t>オフィスアワーを活用し、授業以外でも担当教員に質問ができるシステムを構築している。
大学全体で使用している学習支援システム「Moodle」を活用し、学習指導内容の提供体制も整えている。
授業時間外に資格試験を受験することに対する支援として、MOS資格試験対策、ＩＴパスポート対策講座の実施をしている。</t>
    <rPh sb="8" eb="10">
      <t>カツヨウ</t>
    </rPh>
    <rPh sb="12" eb="14">
      <t>ジュギョウ</t>
    </rPh>
    <rPh sb="14" eb="16">
      <t>イガイ</t>
    </rPh>
    <rPh sb="18" eb="20">
      <t>タントウ</t>
    </rPh>
    <rPh sb="20" eb="22">
      <t>キョウイン</t>
    </rPh>
    <rPh sb="23" eb="25">
      <t>シツモン</t>
    </rPh>
    <rPh sb="34" eb="36">
      <t>コウチク</t>
    </rPh>
    <rPh sb="86" eb="87">
      <t>トトノ</t>
    </rPh>
    <phoneticPr fontId="1"/>
  </si>
  <si>
    <t xml:space="preserve">【ICT基礎】本プログラムの学修成果は、Excelの成績評価シートから把握できるようになっている。成績評価のつけ方は、大きく分けて出席点と課題点に分けられる。出席点は出席（50分以上の出席必須）すれば「○」となる。（1回2.5点）
課題点は、毎回の確認テスト（4 肢択一式 10問）とOfficeの課題日に行う実技実習を実施している。
毎回の確認テストは、6点以上で合格となり、「○」となる。（1回2.5点）基準点に達するまで再トライできる仕組みを取り入れている。Officeの実技演習課題は、作成データを提出させ、すべて目視にて学修成果を確認している。基準点に達していれば「○」となる。14回分の出席点＋課題点の評価は全体の70％となっている。残り30％は、定期試験での小テスト（各回の確認テストから抜粋して出題）の点数が加えられる。
【IT Literacy】プレゼンテーション、ディスカッション、フィールドワーク、実習を重視した授業を実施した。また、宿題に対するフィードバックをMoodleを通じて学生に伝達することで、学習意欲の持続を図っている。
【StatisticsⅠ】講義中心の科目であり、ほぼ毎回、授業中に小テストがあり、採点後、フィードバックを学生に与えている。小テストの成績は平常点として成績に反映させている。学期内に試験を２から３回実施し成績に反映させている。
【Introduction to Informatics ＆ Computing】講義を中心とした授業であるが、ウェブサイトの作成の演習指導も行っている。成績評価は、毎回ごとのMoodleを用いた小テスト、2回実施する試験、個人ウエッブサイトの作成とそれに関するレポートの提出をもとにしている。
</t>
    <rPh sb="4" eb="6">
      <t>キソ</t>
    </rPh>
    <rPh sb="410" eb="412">
      <t>ジッシュウ</t>
    </rPh>
    <rPh sb="413" eb="415">
      <t>ジュウシ</t>
    </rPh>
    <rPh sb="417" eb="419">
      <t>ジュギョウ</t>
    </rPh>
    <rPh sb="420" eb="422">
      <t>ジッシ</t>
    </rPh>
    <rPh sb="428" eb="430">
      <t>シュクダイ</t>
    </rPh>
    <rPh sb="431" eb="432">
      <t>タイ</t>
    </rPh>
    <rPh sb="449" eb="450">
      <t>ツウ</t>
    </rPh>
    <rPh sb="452" eb="454">
      <t>ガクセイ</t>
    </rPh>
    <rPh sb="455" eb="457">
      <t>デンタツ</t>
    </rPh>
    <rPh sb="463" eb="465">
      <t>ガクシュウ</t>
    </rPh>
    <rPh sb="465" eb="467">
      <t>イヨク</t>
    </rPh>
    <rPh sb="468" eb="470">
      <t>ジゾク</t>
    </rPh>
    <rPh sb="471" eb="472">
      <t>ハカ</t>
    </rPh>
    <rPh sb="491" eb="493">
      <t>コウギ</t>
    </rPh>
    <rPh sb="493" eb="495">
      <t>チュウシン</t>
    </rPh>
    <rPh sb="496" eb="498">
      <t>カモク</t>
    </rPh>
    <rPh sb="504" eb="506">
      <t>マイカイ</t>
    </rPh>
    <rPh sb="507" eb="510">
      <t>ジュギョウチュウ</t>
    </rPh>
    <rPh sb="511" eb="512">
      <t>ショウ</t>
    </rPh>
    <rPh sb="519" eb="521">
      <t>サイテン</t>
    </rPh>
    <rPh sb="521" eb="522">
      <t>アト</t>
    </rPh>
    <rPh sb="531" eb="533">
      <t>ガクセイ</t>
    </rPh>
    <rPh sb="534" eb="535">
      <t>アタ</t>
    </rPh>
    <rPh sb="540" eb="541">
      <t>ショウ</t>
    </rPh>
    <rPh sb="545" eb="547">
      <t>セイセキ</t>
    </rPh>
    <rPh sb="548" eb="551">
      <t>ヘイジョウテン</t>
    </rPh>
    <rPh sb="554" eb="556">
      <t>セイセキ</t>
    </rPh>
    <rPh sb="557" eb="559">
      <t>ハンエイ</t>
    </rPh>
    <rPh sb="565" eb="567">
      <t>ガッキ</t>
    </rPh>
    <rPh sb="567" eb="568">
      <t>ナイ</t>
    </rPh>
    <rPh sb="569" eb="571">
      <t>シケン</t>
    </rPh>
    <rPh sb="576" eb="577">
      <t>カイ</t>
    </rPh>
    <rPh sb="577" eb="579">
      <t>ジッシ</t>
    </rPh>
    <rPh sb="583" eb="585">
      <t>ハンエイ</t>
    </rPh>
    <rPh sb="633" eb="635">
      <t>コウギ</t>
    </rPh>
    <rPh sb="636" eb="638">
      <t>チュウシン</t>
    </rPh>
    <rPh sb="641" eb="643">
      <t>ジュギョウ</t>
    </rPh>
    <rPh sb="655" eb="657">
      <t>サクセイ</t>
    </rPh>
    <rPh sb="658" eb="662">
      <t>エンシュウシドウ</t>
    </rPh>
    <rPh sb="663" eb="664">
      <t>オコナ</t>
    </rPh>
    <rPh sb="669" eb="673">
      <t>セイセキヒョウカ</t>
    </rPh>
    <rPh sb="675" eb="677">
      <t>マイカイ</t>
    </rPh>
    <rPh sb="687" eb="688">
      <t>モチ</t>
    </rPh>
    <rPh sb="690" eb="691">
      <t>ショウ</t>
    </rPh>
    <rPh sb="696" eb="697">
      <t>カイ</t>
    </rPh>
    <rPh sb="697" eb="699">
      <t>ジッシ</t>
    </rPh>
    <rPh sb="701" eb="703">
      <t>シケン</t>
    </rPh>
    <rPh sb="704" eb="706">
      <t>コジン</t>
    </rPh>
    <rPh sb="714" eb="716">
      <t>サクセイ</t>
    </rPh>
    <rPh sb="720" eb="721">
      <t>カン</t>
    </rPh>
    <rPh sb="728" eb="730">
      <t>テイシュツ</t>
    </rPh>
    <phoneticPr fontId="1"/>
  </si>
  <si>
    <t>授業評価アンケートの「この科目を友人や後輩等にすすめたいと思いますか？」の質問事項に対しては、6割程度が「とてもそう思う」、「そう思う」と回答しており、中立まで入れると7.5割程度となっている。「まったくそう思わない」「そう思わない」と回答したのは1割未満となっている。
授業評価アンケートの自由記述内容からは、授業のスピードがよい、理解しやすい、スライドがわかりやすい、パソコンのスキルが身に着く、質問しやすい環境などの意見が多数ある。</t>
    <phoneticPr fontId="1"/>
  </si>
  <si>
    <t>・Wordでは、書式やオブジェクトを挿入したレポート文書の作成、Excelでは、数式を入れた表やグラフの作成、これらを用いたデータの分析手法、PowerPointでは、発表するための効果的なプレゼン資料作成ができるようになる。
・学校生活やプライベートで直面する事例から情報モラルと情報セキュリティを学び、インターネット上で適した発信・発言や個人情報などの情報漏えいを防ぐ対策ができるようになる。
・現代社会におけるデータサイエンスの役割や、データサイエンスの手法と活用・応用事例からデータサイエンスの基本概念が理解できるようになる。</t>
    <phoneticPr fontId="1"/>
  </si>
  <si>
    <t>(ICT基礎)・Wordでは、書式やオブジェクトを挿入したレポート文書の作成、Excelでは、数式を入れた表やグラフの作成、これらを用いたデータの分析手法、PowerPointでは、発表するための効果的なプレゼン資料作成ができるようになる。
・学校生活やプライベートで直面する事例から情報モラルと情報セキュリティを学び、インターネット上で適した発信・発言や個人情報などの情報漏えいを防ぐ対策ができるようになる。
・現代社会におけるデータサイエンスの役割や、データサイエンスの手法と活用・応用事例からデータサイエンスの基本概念が理解できるようになる。　　　　　　　　　　　　　　　　　　　　　　　　　　　　　　　　　　　　　　　　　　　　　　　　　　　　　　　　　　　　　　　　　　　　　　　　　　　　
（IT Literacy）・Wordでは、書式やオブジェクトを挿入したレポート文書の作成、Excelでは、数式を入れた表やグラフの作成、これらを用いたデータの分析手法、PowerPointでは、発表するための効果的なプレゼン資料作成ができるようになる。
・学校生活やプライベートで直面する事例から情報モラルと情報セキュリティを学び、インターネット上で適した発信・発言や個人情報などの情報漏えいを防ぐ対策ができるようになる。
・現代社会におけるデータサイエンスの役割や、データサイエンスの手法と活用・応用事例からデータサイエンスの基本概念が理解できるようになる。　　　　　　　　　　　　　　　　　　　　　　　　　　　　　　　　　　　　　　　　　　　　　　　　　　　　　　　　　　　　　　
・WordPressを用いて学生自身のウェブサイトを作成、管理できるようになる。また、必要なコーディングもできるようになる。
・マルティメディアを用いた効果的なコミュニケーションができるようになる。
（Statistics I + Introduction to Informatics and Computing)・プライベート、社会で直面する事例から情報モラルと情報セキュリティを学び、インターネット上での個人情報、機密情報などの情報漏えいやサイバー犯罪からの防御の方法を学ぶ。
・現代社会におけるデータサイエンスの役割や、データサイエンスの手法と活用・応用事例について、コンピュータとネットワークからなるハードとソフトについて学ぶことによりデータサイエンスについての工学的な理解を深める。　　　　　　　　　　　　　　　　　　　　　　     　　　　　
・統計学を学ぶことによりデータサイエンスにおいて重要なデータを分析力を養う。　　　　　　　　　　　　　　　　　　　　　　　　　　　　　　　　　　　　　
・イングリッシュ・トラックプログラムで提供される多様なデジタル経営の専門科目の学習と併せて、データサイエンスについての文理融合的な理解を深め、運用能力を養成することをカリキュラム全体の目標とする。</t>
    <rPh sb="705" eb="706">
      <t>モチ</t>
    </rPh>
    <rPh sb="708" eb="712">
      <t>ガクセイジシン</t>
    </rPh>
    <rPh sb="720" eb="722">
      <t>サクセイ</t>
    </rPh>
    <rPh sb="723" eb="725">
      <t>カンリ</t>
    </rPh>
    <rPh sb="737" eb="739">
      <t>ヒツヨウ</t>
    </rPh>
    <rPh sb="767" eb="768">
      <t>モチ</t>
    </rPh>
    <rPh sb="770" eb="772">
      <t>コウカ</t>
    </rPh>
    <rPh sb="772" eb="773">
      <t>テキ</t>
    </rPh>
    <rPh sb="1192" eb="1193">
      <t>アワ</t>
    </rPh>
    <phoneticPr fontId="1"/>
  </si>
  <si>
    <t>商学部</t>
    <phoneticPr fontId="1"/>
  </si>
  <si>
    <t>経済学部</t>
    <phoneticPr fontId="1"/>
  </si>
  <si>
    <t>言語コミュニケーション学部</t>
    <phoneticPr fontId="1"/>
  </si>
  <si>
    <t>国際関係学部</t>
    <phoneticPr fontId="1"/>
  </si>
  <si>
    <t>人間社会学部</t>
    <phoneticPr fontId="1"/>
  </si>
  <si>
    <t>医療健康学部</t>
    <phoneticPr fontId="1"/>
  </si>
  <si>
    <t>2016年度（平成28年）度入学生以降カリキュラムの「基礎教育分野」に「ICT基礎」（2単位）を設置し、所属学部学科にかかわらず1年次から履修を義務付けている。
同科目は、「初年次演習」、「大学生活デザイン演習」とともに「TIUコア科目」として位置付けており、入学時のガイダンスで履修に関する説明をする他、「学生ガイドブック【履修編】」でも専用の説明ページを設けている。
なお、経済学部、国際関係学部にはイングリッシュ・トラックプログラム（E-Trackプログラム＝英語による授業により学位取得が可能なコース）を設置している。本プログラムにはLiberal Arts
 分野に「IT Literacy」（4単位）、「StatisticsⅠ」（4単位）、「Introduction to Informatics ＆ Computing」(4単位)を開講し、上記「ICT基礎」に相当する授業を実施している。
なお、令和７年度以降は、学生からのニーズが多い「IT Literacy」、「Introduction to Informatics ＆ Computing」についてクラス数を増やし、履修者数の増加を図る予定である。</t>
    <rPh sb="31" eb="33">
      <t>ブンヤ</t>
    </rPh>
    <rPh sb="263" eb="264">
      <t>ホン</t>
    </rPh>
    <rPh sb="285" eb="287">
      <t>ブンヤ</t>
    </rPh>
    <rPh sb="303" eb="305">
      <t>タンイ</t>
    </rPh>
    <rPh sb="322" eb="324">
      <t>タンイ</t>
    </rPh>
    <rPh sb="369" eb="371">
      <t>タンイ</t>
    </rPh>
    <rPh sb="373" eb="375">
      <t>カイコウ</t>
    </rPh>
    <rPh sb="377" eb="379">
      <t>ジョウキ</t>
    </rPh>
    <rPh sb="383" eb="385">
      <t>キソ</t>
    </rPh>
    <rPh sb="387" eb="389">
      <t>ソウトウ</t>
    </rPh>
    <rPh sb="391" eb="393">
      <t>ジュギョウ</t>
    </rPh>
    <rPh sb="394" eb="396">
      <t>ジッシ</t>
    </rPh>
    <rPh sb="405" eb="407">
      <t>レイワ</t>
    </rPh>
    <rPh sb="408" eb="410">
      <t>ネンド</t>
    </rPh>
    <rPh sb="410" eb="412">
      <t>イコウ</t>
    </rPh>
    <rPh sb="414" eb="416">
      <t>ガクセイ</t>
    </rPh>
    <rPh sb="423" eb="424">
      <t>オオ</t>
    </rPh>
    <rPh sb="487" eb="488">
      <t>スウ</t>
    </rPh>
    <rPh sb="489" eb="490">
      <t>フ</t>
    </rPh>
    <rPh sb="493" eb="495">
      <t>リシュウ</t>
    </rPh>
    <rPh sb="495" eb="496">
      <t>シャ</t>
    </rPh>
    <rPh sb="496" eb="497">
      <t>スウ</t>
    </rPh>
    <rPh sb="498" eb="500">
      <t>ゾウカ</t>
    </rPh>
    <rPh sb="501" eb="502">
      <t>ハカ</t>
    </rPh>
    <rPh sb="503" eb="505">
      <t>ヨテイ</t>
    </rPh>
    <phoneticPr fontId="1"/>
  </si>
  <si>
    <t>■社会で活用されているデータ
［第2回 データサイエンスの役割］ さまざまなビックデータの集積経路、ビックデータの活用事例、IOTの活用事例、データ駆動型社会
［第4回 データサイエンスと情報倫理2］オープンデータの扱い方
［第12回 オープンデータの取得方法］ e-Stat/RESAS/Yahooファイナンス/データ分析コンペサイト/取得したデータの前処理</t>
    <phoneticPr fontId="1"/>
  </si>
  <si>
    <t>■データ・AI利活用のための技術
［第1回］ Windowsの基本操作、大学生活でのICTの活用法
［第10回データ分析のための取得と管理］ データの形式、データの単位と容量
【Word演習】［第2回～第5回］
レポート「個人情報・著作物の利用とルール」の作成（第5回の課題）
レポートを作成することにより、書式設定・図や表などの作成やレイアウトの設定技術の習得、Excelとの連携機能の習得。</t>
    <phoneticPr fontId="1"/>
  </si>
  <si>
    <t>■社会で活用されているデータ
（ICT基礎）
［第2回 データサイエンスの役割］ さまざまなビックデータの集積経路、ビックデータの活用事例、IOTの活用事例、データ駆動型社会
［第4回 データサイエンスと情報倫理2］オープンデータの扱い方
［第12回 オープンデータの取得方法］ e-Stat/RESAS/Yahooファイナンス/データ分析コンペサイト/取得したデータの前処理
（IT Literacy）第2～13回、第1～第25回 言語データ、グラフィックデータ、動画データ、ビッグデータとそれらを扱うソフトについての解説
（Introduction to Informatics ＆ Computing）［INFO第3回 How computers represent data］ How computers represent data, data transfer rate and data storage capacity, bits and bytes, floating-point representation, character codes：データの種類とコンピュータにおけるデータの表現方法、データ移動速度と格納キャパシティ、ビットとバイト7等</t>
    <rPh sb="19" eb="21">
      <t>キソ</t>
    </rPh>
    <rPh sb="209" eb="210">
      <t>ダイ</t>
    </rPh>
    <rPh sb="212" eb="213">
      <t>ダイ</t>
    </rPh>
    <rPh sb="215" eb="216">
      <t>カイ</t>
    </rPh>
    <rPh sb="217" eb="219">
      <t>ゲンゴ</t>
    </rPh>
    <rPh sb="233" eb="235">
      <t>ドウガ</t>
    </rPh>
    <rPh sb="250" eb="251">
      <t>アツカ</t>
    </rPh>
    <rPh sb="260" eb="262">
      <t>カイセツ</t>
    </rPh>
    <phoneticPr fontId="1"/>
  </si>
  <si>
    <t>■データ・AI利活用のための技術
（ICT基礎）
［第1回］ Windowsの基本操作、大学生活でのICTの活用法
［第10回データ分析のための取得と管理］ データの形式、データの単位と容量
【Word演習】［第2回～第5回］
レポート「個人情報・著作物の利用とルール」の作成（第5回の課題）
レポートを作成することにより、書式設定・図や表などの作成やレイアウトの設定技術の習得、Excelとの連携機能の習得。
（IT Literacy）第2回～第22回(E-mail、Moodle, WordPress, Word, Excel, PowerPoint) 大学生活でのICT使用法の解説、ウェブサイトの活用、グラフィクデザインとデジタルの世界の審美
（Introduction to Informatics ＆ Computing）［INFO第26回 Graphs and Trees &amp; Graph Applications］ modeling computation, finite state machines, AI gaming, blockchain and mining, finite state automata, language recoginition, Turing machine, Traveing Salesman Problem：　モデリング、有限オートマトン、チューリングマシーン、AIゲーミングの事例、ブロックチェーン技術、巡回セールスマン問題ー最適化技術の事例</t>
    <rPh sb="21" eb="23">
      <t>キソ</t>
    </rPh>
    <rPh sb="219" eb="220">
      <t>ダイ</t>
    </rPh>
    <rPh sb="221" eb="222">
      <t>カイ</t>
    </rPh>
    <rPh sb="223" eb="224">
      <t>ダイ</t>
    </rPh>
    <rPh sb="226" eb="227">
      <t>カイ</t>
    </rPh>
    <rPh sb="279" eb="283">
      <t>ダイガクセイカツ</t>
    </rPh>
    <rPh sb="288" eb="291">
      <t>シヨウホウ</t>
    </rPh>
    <rPh sb="292" eb="294">
      <t>カイセツ</t>
    </rPh>
    <rPh sb="302" eb="304">
      <t>カツヨウ</t>
    </rPh>
    <rPh sb="320" eb="322">
      <t>セカイ</t>
    </rPh>
    <rPh sb="323" eb="325">
      <t>シンビ</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</si>
</sst>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0"/>
      <name val="ＭＳ Ｐゴシック"/>
      <family val="3"/>
      <charset val="128"/>
      <scheme val="minor"/>
    </font>
    <font>
      <sz val="6"/>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bottom style="double">
        <color auto="1"/>
      </bottom>
      <diagonal/>
    </border>
  </borders>
  <cellStyleXfs count="3">
    <xf numFmtId="0" fontId="0" fillId="0" borderId="0">
      <alignment vertical="center"/>
    </xf>
    <xf numFmtId="9" fontId="3" fillId="0" borderId="0" applyFont="0" applyFill="0" applyBorder="0" applyAlignment="0" applyProtection="0">
      <alignment vertical="center"/>
    </xf>
    <xf numFmtId="38" fontId="3" fillId="0" borderId="0" applyFont="0" applyFill="0" applyBorder="0" applyAlignment="0" applyProtection="0">
      <alignment vertical="center"/>
    </xf>
  </cellStyleXfs>
  <cellXfs count="244">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4"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5"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7" xfId="0" applyFont="1" applyBorder="1" applyAlignment="1">
      <alignment horizontal="left" vertical="center" shrinkToFit="1"/>
    </xf>
    <xf numFmtId="9" fontId="2" fillId="0" borderId="13" xfId="0" applyNumberFormat="1" applyFont="1" applyBorder="1" applyAlignment="1">
      <alignment vertical="center" shrinkToFit="1"/>
    </xf>
    <xf numFmtId="0" fontId="7" fillId="0" borderId="0" xfId="0" applyFont="1">
      <alignment vertical="center"/>
    </xf>
    <xf numFmtId="0" fontId="8" fillId="0" borderId="0" xfId="0" applyFont="1">
      <alignment vertical="center"/>
    </xf>
    <xf numFmtId="0" fontId="8" fillId="0" borderId="0" xfId="0" applyFont="1" applyAlignment="1">
      <alignment horizontal="right" vertical="center"/>
    </xf>
    <xf numFmtId="0" fontId="8" fillId="0" borderId="0" xfId="0" applyFont="1" applyAlignment="1">
      <alignment vertical="center" shrinkToFit="1"/>
    </xf>
    <xf numFmtId="0" fontId="8" fillId="0" borderId="0" xfId="0" applyFont="1" applyAlignment="1">
      <alignment horizontal="left" vertical="center" shrinkToFit="1"/>
    </xf>
    <xf numFmtId="0" fontId="8"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center" vertical="center" shrinkToFit="1"/>
    </xf>
    <xf numFmtId="38" fontId="2" fillId="0" borderId="39" xfId="2" applyFont="1" applyBorder="1" applyAlignment="1">
      <alignment vertical="center" shrinkToFit="1"/>
    </xf>
    <xf numFmtId="38" fontId="2" fillId="0" borderId="48" xfId="2" applyFont="1" applyBorder="1" applyAlignment="1">
      <alignment vertical="center" shrinkToFit="1"/>
    </xf>
    <xf numFmtId="38" fontId="2" fillId="0" borderId="49" xfId="2" applyFont="1" applyBorder="1" applyAlignment="1">
      <alignment vertical="center" shrinkToFit="1"/>
    </xf>
    <xf numFmtId="0" fontId="8" fillId="0" borderId="1" xfId="0" applyFont="1" applyBorder="1">
      <alignment vertical="center"/>
    </xf>
    <xf numFmtId="0" fontId="6" fillId="0" borderId="31" xfId="0" applyFont="1" applyBorder="1" applyAlignment="1">
      <alignment horizontal="center" vertical="center"/>
    </xf>
    <xf numFmtId="0" fontId="6" fillId="0" borderId="34" xfId="0" applyFont="1" applyBorder="1" applyAlignment="1">
      <alignment horizontal="center" vertical="center"/>
    </xf>
    <xf numFmtId="9" fontId="2" fillId="0" borderId="24" xfId="0" applyNumberFormat="1" applyFont="1" applyBorder="1" applyAlignment="1">
      <alignment vertical="center" shrinkToFit="1"/>
    </xf>
    <xf numFmtId="0" fontId="8" fillId="0" borderId="0" xfId="0" applyFont="1" applyAlignment="1">
      <alignment vertical="center" wrapText="1"/>
    </xf>
    <xf numFmtId="0" fontId="11" fillId="0" borderId="0" xfId="0" applyFont="1" applyAlignment="1">
      <alignment horizontal="center" vertical="center"/>
    </xf>
    <xf numFmtId="0" fontId="8" fillId="0" borderId="1" xfId="0" applyFont="1" applyBorder="1" applyAlignment="1">
      <alignment horizontal="center" vertical="center"/>
    </xf>
    <xf numFmtId="9" fontId="8" fillId="0" borderId="1" xfId="0" applyNumberFormat="1" applyFont="1" applyBorder="1" applyAlignment="1">
      <alignment horizontal="center" vertical="center" shrinkToFit="1"/>
    </xf>
    <xf numFmtId="38" fontId="2" fillId="0" borderId="45" xfId="2" applyFont="1" applyFill="1" applyBorder="1" applyAlignment="1">
      <alignment vertical="center" shrinkToFit="1"/>
    </xf>
    <xf numFmtId="0" fontId="10" fillId="0" borderId="1" xfId="0" applyFont="1" applyBorder="1" applyAlignment="1">
      <alignment horizontal="center" vertical="center" shrinkToFit="1"/>
    </xf>
    <xf numFmtId="0" fontId="10" fillId="0" borderId="4" xfId="0" applyFont="1" applyBorder="1" applyAlignment="1">
      <alignment horizontal="center" vertical="center" shrinkToFit="1"/>
    </xf>
    <xf numFmtId="49" fontId="10" fillId="0" borderId="1" xfId="0" applyNumberFormat="1" applyFont="1" applyBorder="1" applyAlignment="1">
      <alignment horizontal="center" vertical="center"/>
    </xf>
    <xf numFmtId="0" fontId="8" fillId="0" borderId="14"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3" xfId="0" applyFont="1" applyBorder="1" applyAlignment="1">
      <alignment horizontal="center" vertical="center" shrinkToFit="1"/>
    </xf>
    <xf numFmtId="0" fontId="8" fillId="0" borderId="34" xfId="0" applyFont="1" applyBorder="1" applyAlignment="1">
      <alignment horizontal="center" vertical="center" shrinkToFit="1"/>
    </xf>
    <xf numFmtId="0" fontId="8" fillId="0" borderId="0" xfId="0" applyFont="1" applyAlignment="1">
      <alignment vertical="top" wrapText="1"/>
    </xf>
    <xf numFmtId="49" fontId="10" fillId="0" borderId="42" xfId="0" applyNumberFormat="1" applyFont="1" applyBorder="1" applyAlignment="1">
      <alignment horizontal="center" vertical="center"/>
    </xf>
    <xf numFmtId="49" fontId="10" fillId="0" borderId="43" xfId="0" applyNumberFormat="1" applyFont="1" applyBorder="1" applyAlignment="1">
      <alignment horizontal="center" vertical="center"/>
    </xf>
    <xf numFmtId="49" fontId="10" fillId="0" borderId="38" xfId="0" applyNumberFormat="1" applyFont="1" applyBorder="1" applyAlignment="1">
      <alignment horizontal="center" vertical="center"/>
    </xf>
    <xf numFmtId="49" fontId="10" fillId="0" borderId="25" xfId="0" applyNumberFormat="1" applyFont="1" applyBorder="1" applyAlignment="1">
      <alignment horizontal="center" vertical="center"/>
    </xf>
    <xf numFmtId="49" fontId="10" fillId="0" borderId="41" xfId="0" applyNumberFormat="1" applyFont="1" applyBorder="1" applyAlignment="1">
      <alignment horizontal="center" vertical="center"/>
    </xf>
    <xf numFmtId="49" fontId="10" fillId="0" borderId="27" xfId="0" applyNumberFormat="1" applyFont="1" applyBorder="1" applyAlignment="1">
      <alignment horizontal="center" vertical="center"/>
    </xf>
    <xf numFmtId="0" fontId="7" fillId="0" borderId="0" xfId="0" applyFont="1" applyAlignment="1">
      <alignment vertical="center" wrapText="1"/>
    </xf>
    <xf numFmtId="49" fontId="7" fillId="0" borderId="0" xfId="0" applyNumberFormat="1" applyFont="1" applyAlignment="1">
      <alignment vertical="center" shrinkToFit="1"/>
    </xf>
    <xf numFmtId="0" fontId="8" fillId="0" borderId="47" xfId="0" applyFont="1" applyBorder="1" applyAlignment="1">
      <alignment horizontal="center" vertical="center" shrinkToFit="1"/>
    </xf>
    <xf numFmtId="0" fontId="10" fillId="0" borderId="0" xfId="0" applyFont="1">
      <alignment vertical="center"/>
    </xf>
    <xf numFmtId="0" fontId="7" fillId="0" borderId="0" xfId="0" applyFont="1" applyAlignment="1">
      <alignment horizontal="left" vertical="center"/>
    </xf>
    <xf numFmtId="0" fontId="8" fillId="0" borderId="0" xfId="0" applyFont="1" applyAlignment="1">
      <alignment vertical="top" wrapText="1" shrinkToFit="1"/>
    </xf>
    <xf numFmtId="0" fontId="8" fillId="0" borderId="0" xfId="0" applyFont="1" applyAlignment="1">
      <alignment vertical="top" shrinkToFit="1"/>
    </xf>
    <xf numFmtId="0" fontId="10" fillId="0" borderId="0" xfId="0" applyFont="1" applyAlignment="1">
      <alignment vertical="top" wrapText="1"/>
    </xf>
    <xf numFmtId="0" fontId="8" fillId="0" borderId="1" xfId="0" applyFont="1" applyBorder="1" applyAlignment="1">
      <alignment horizontal="center" vertical="center" wrapText="1" shrinkToFit="1"/>
    </xf>
    <xf numFmtId="9" fontId="8" fillId="0" borderId="0" xfId="1" applyFont="1" applyAlignment="1">
      <alignment horizontal="center" vertical="center"/>
    </xf>
    <xf numFmtId="0" fontId="8" fillId="0" borderId="1" xfId="0" applyFont="1" applyBorder="1" applyAlignment="1">
      <alignment horizontal="center" vertical="center" shrinkToFit="1"/>
    </xf>
    <xf numFmtId="176" fontId="8" fillId="0" borderId="1" xfId="0" applyNumberFormat="1" applyFont="1" applyBorder="1" applyAlignment="1">
      <alignment horizontal="center" vertical="center" shrinkToFit="1"/>
    </xf>
    <xf numFmtId="0" fontId="10" fillId="0" borderId="0" xfId="0" applyFont="1" applyAlignment="1">
      <alignment vertical="top" shrinkToFit="1"/>
    </xf>
    <xf numFmtId="0" fontId="8" fillId="0" borderId="1" xfId="0" applyFont="1" applyBorder="1" applyAlignment="1">
      <alignment horizontal="left" vertical="center"/>
    </xf>
    <xf numFmtId="0" fontId="8" fillId="2" borderId="5" xfId="0" applyFont="1" applyFill="1" applyBorder="1">
      <alignment vertical="center"/>
    </xf>
    <xf numFmtId="0" fontId="10" fillId="2" borderId="0" xfId="0" applyFont="1" applyFill="1" applyAlignment="1">
      <alignment vertical="top" wrapText="1"/>
    </xf>
    <xf numFmtId="0" fontId="10" fillId="2" borderId="10" xfId="0" applyFont="1" applyFill="1" applyBorder="1" applyAlignment="1">
      <alignment vertical="top" wrapText="1"/>
    </xf>
    <xf numFmtId="0" fontId="8" fillId="2" borderId="0" xfId="0" applyFont="1" applyFill="1">
      <alignment vertical="center"/>
    </xf>
    <xf numFmtId="0" fontId="10" fillId="2" borderId="5" xfId="0" applyFont="1" applyFill="1" applyBorder="1" applyAlignment="1">
      <alignment vertical="top" wrapText="1"/>
    </xf>
    <xf numFmtId="0" fontId="10" fillId="2" borderId="11" xfId="0" applyFont="1" applyFill="1" applyBorder="1" applyAlignment="1">
      <alignment vertical="top" wrapText="1"/>
    </xf>
    <xf numFmtId="0" fontId="10" fillId="2" borderId="36" xfId="0" applyFont="1" applyFill="1" applyBorder="1" applyAlignment="1">
      <alignment vertical="top" wrapText="1"/>
    </xf>
    <xf numFmtId="0" fontId="10" fillId="2" borderId="37" xfId="0" applyFont="1" applyFill="1" applyBorder="1" applyAlignment="1">
      <alignment vertical="top" wrapText="1"/>
    </xf>
    <xf numFmtId="0" fontId="10" fillId="2" borderId="36" xfId="0" applyFont="1" applyFill="1" applyBorder="1" applyAlignment="1">
      <alignment vertical="top" shrinkToFit="1"/>
    </xf>
    <xf numFmtId="0" fontId="10" fillId="2" borderId="37" xfId="0" applyFont="1" applyFill="1" applyBorder="1" applyAlignment="1">
      <alignment vertical="top" shrinkToFit="1"/>
    </xf>
    <xf numFmtId="0" fontId="8" fillId="0" borderId="0" xfId="0" applyFont="1" applyAlignment="1">
      <alignment horizontal="righ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1" fillId="0" borderId="0" xfId="0" applyFont="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8" fillId="0" borderId="6" xfId="0" applyFont="1" applyBorder="1" applyAlignment="1">
      <alignment horizontal="left" vertical="center" wrapText="1"/>
    </xf>
    <xf numFmtId="0" fontId="8" fillId="0" borderId="12" xfId="0" applyFont="1" applyBorder="1" applyAlignment="1">
      <alignment horizontal="left" vertical="center" wrapText="1"/>
    </xf>
    <xf numFmtId="0" fontId="8" fillId="0" borderId="18" xfId="0" applyFont="1" applyBorder="1" applyAlignment="1">
      <alignment vertical="center" shrinkToFit="1"/>
    </xf>
    <xf numFmtId="0" fontId="8" fillId="0" borderId="19" xfId="0" applyFont="1" applyBorder="1" applyAlignment="1">
      <alignment vertical="center" shrinkToFit="1"/>
    </xf>
    <xf numFmtId="0" fontId="8" fillId="0" borderId="17" xfId="0" applyFont="1" applyBorder="1" applyAlignment="1">
      <alignment vertical="center" shrinkToFit="1"/>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10" fillId="0" borderId="2" xfId="0" applyFont="1" applyBorder="1" applyAlignment="1">
      <alignment horizontal="left" vertical="center" wrapText="1" shrinkToFit="1"/>
    </xf>
    <xf numFmtId="0" fontId="10" fillId="0" borderId="3" xfId="0" applyFont="1" applyBorder="1" applyAlignment="1">
      <alignment horizontal="left" vertical="center" wrapText="1" shrinkToFit="1"/>
    </xf>
    <xf numFmtId="0" fontId="10" fillId="0" borderId="4" xfId="0" applyFont="1" applyBorder="1" applyAlignment="1">
      <alignment horizontal="left" vertical="center" wrapText="1" shrinkToFit="1"/>
    </xf>
    <xf numFmtId="0" fontId="8" fillId="0" borderId="0" xfId="0" applyFont="1" applyAlignment="1">
      <alignment vertical="center" wrapText="1"/>
    </xf>
    <xf numFmtId="0" fontId="8" fillId="0" borderId="28" xfId="0" applyFont="1" applyBorder="1" applyAlignment="1">
      <alignment vertical="center" shrinkToFit="1"/>
    </xf>
    <xf numFmtId="0" fontId="8" fillId="0" borderId="30" xfId="0" applyFont="1" applyBorder="1" applyAlignment="1">
      <alignment vertical="center" shrinkToFit="1"/>
    </xf>
    <xf numFmtId="0" fontId="8" fillId="0" borderId="29" xfId="0" applyFont="1" applyBorder="1" applyAlignment="1">
      <alignment vertical="center" shrinkToFit="1"/>
    </xf>
    <xf numFmtId="0" fontId="8" fillId="0" borderId="31" xfId="0" applyFont="1" applyBorder="1" applyAlignment="1">
      <alignment vertical="center" shrinkToFit="1"/>
    </xf>
    <xf numFmtId="0" fontId="8" fillId="0" borderId="32" xfId="0" applyFont="1" applyBorder="1" applyAlignment="1">
      <alignment vertical="center" shrinkToFit="1"/>
    </xf>
    <xf numFmtId="0" fontId="8" fillId="0" borderId="33" xfId="0" applyFont="1" applyBorder="1" applyAlignment="1">
      <alignmen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8"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10" fillId="0" borderId="39" xfId="0" applyFont="1" applyBorder="1" applyAlignment="1">
      <alignment vertical="center" wrapText="1"/>
    </xf>
    <xf numFmtId="0" fontId="10" fillId="0" borderId="40" xfId="0" applyFont="1" applyBorder="1" applyAlignment="1">
      <alignment vertical="center" wrapText="1"/>
    </xf>
    <xf numFmtId="49" fontId="10" fillId="0" borderId="28" xfId="0" applyNumberFormat="1" applyFont="1" applyBorder="1" applyAlignment="1">
      <alignment horizontal="left" vertical="center" wrapText="1"/>
    </xf>
    <xf numFmtId="49" fontId="10" fillId="0" borderId="30" xfId="0" applyNumberFormat="1" applyFont="1" applyBorder="1" applyAlignment="1">
      <alignment horizontal="left" vertical="center"/>
    </xf>
    <xf numFmtId="49" fontId="10" fillId="0" borderId="29" xfId="0" applyNumberFormat="1" applyFont="1" applyBorder="1" applyAlignment="1">
      <alignment horizontal="left" vertical="center"/>
    </xf>
    <xf numFmtId="49" fontId="10" fillId="0" borderId="31" xfId="0" applyNumberFormat="1" applyFont="1" applyBorder="1" applyAlignment="1">
      <alignment horizontal="left" vertical="center" wrapText="1"/>
    </xf>
    <xf numFmtId="49" fontId="10" fillId="0" borderId="32" xfId="0" applyNumberFormat="1" applyFont="1" applyBorder="1" applyAlignment="1">
      <alignment horizontal="left" vertical="center"/>
    </xf>
    <xf numFmtId="49" fontId="10" fillId="0" borderId="33" xfId="0" applyNumberFormat="1" applyFont="1" applyBorder="1" applyAlignment="1">
      <alignment horizontal="left" vertical="center"/>
    </xf>
    <xf numFmtId="0" fontId="10" fillId="0" borderId="26" xfId="0" applyFont="1" applyBorder="1" applyAlignment="1">
      <alignment vertical="center" wrapText="1"/>
    </xf>
    <xf numFmtId="0" fontId="7" fillId="0" borderId="6" xfId="0" applyFont="1" applyBorder="1" applyAlignment="1">
      <alignment horizontal="left" vertical="center" wrapText="1"/>
    </xf>
    <xf numFmtId="0" fontId="7" fillId="0" borderId="1" xfId="0" applyFont="1" applyBorder="1" applyAlignment="1">
      <alignment horizontal="center" vertical="center"/>
    </xf>
    <xf numFmtId="0" fontId="10" fillId="0" borderId="1" xfId="0" applyFont="1" applyBorder="1" applyAlignment="1">
      <alignment vertical="center" wrapText="1"/>
    </xf>
    <xf numFmtId="49" fontId="10" fillId="0" borderId="18" xfId="0" applyNumberFormat="1" applyFont="1" applyBorder="1" applyAlignment="1">
      <alignment horizontal="left" vertical="center" wrapText="1"/>
    </xf>
    <xf numFmtId="49" fontId="10" fillId="0" borderId="19" xfId="0" applyNumberFormat="1" applyFont="1" applyBorder="1" applyAlignment="1">
      <alignment horizontal="left" vertical="center"/>
    </xf>
    <xf numFmtId="49" fontId="10" fillId="0" borderId="17" xfId="0" applyNumberFormat="1" applyFont="1" applyBorder="1" applyAlignment="1">
      <alignment horizontal="left" vertical="center"/>
    </xf>
    <xf numFmtId="0" fontId="8" fillId="0" borderId="2" xfId="0" applyFont="1" applyBorder="1" applyAlignment="1">
      <alignment vertical="center" wrapText="1" shrinkToFit="1"/>
    </xf>
    <xf numFmtId="0" fontId="8" fillId="0" borderId="3" xfId="0" applyFont="1" applyBorder="1" applyAlignment="1">
      <alignment vertical="center" wrapText="1" shrinkToFit="1"/>
    </xf>
    <xf numFmtId="0" fontId="8" fillId="0" borderId="4" xfId="0" applyFont="1" applyBorder="1" applyAlignment="1">
      <alignment vertical="center" wrapText="1" shrinkToFit="1"/>
    </xf>
    <xf numFmtId="0" fontId="7" fillId="0" borderId="0" xfId="0" applyFont="1" applyAlignment="1">
      <alignment horizontal="left" vertical="center" wrapText="1"/>
    </xf>
    <xf numFmtId="0" fontId="2" fillId="0" borderId="14" xfId="0" applyFont="1" applyBorder="1" applyAlignment="1">
      <alignment horizontal="center" vertical="center"/>
    </xf>
    <xf numFmtId="0" fontId="8" fillId="0" borderId="1" xfId="0" applyFont="1" applyBorder="1" applyAlignment="1">
      <alignment horizontal="center" vertical="center"/>
    </xf>
    <xf numFmtId="0" fontId="8" fillId="0" borderId="2" xfId="0" applyFont="1" applyBorder="1" applyAlignment="1">
      <alignment horizontal="center" vertical="center" shrinkToFit="1"/>
    </xf>
    <xf numFmtId="0" fontId="8"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5" fillId="0" borderId="8"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1"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5" xfId="0" applyFont="1" applyBorder="1" applyAlignment="1">
      <alignment horizontal="center" vertical="center" wrapText="1"/>
    </xf>
    <xf numFmtId="0" fontId="5" fillId="0" borderId="13" xfId="0" applyFont="1" applyBorder="1" applyAlignment="1">
      <alignment horizontal="center" vertical="center" wrapText="1"/>
    </xf>
    <xf numFmtId="9" fontId="8" fillId="0" borderId="1" xfId="0" applyNumberFormat="1"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8" fillId="0" borderId="9" xfId="0" applyFont="1" applyBorder="1" applyAlignment="1">
      <alignment vertical="top"/>
    </xf>
    <xf numFmtId="0" fontId="8" fillId="0" borderId="5" xfId="0" applyFont="1" applyBorder="1" applyAlignment="1">
      <alignment vertical="top"/>
    </xf>
    <xf numFmtId="0" fontId="8" fillId="0" borderId="0" xfId="0" applyFont="1" applyAlignment="1">
      <alignment vertical="top"/>
    </xf>
    <xf numFmtId="0" fontId="8" fillId="0" borderId="10" xfId="0" applyFont="1" applyBorder="1" applyAlignment="1">
      <alignment vertical="top"/>
    </xf>
    <xf numFmtId="0" fontId="8" fillId="0" borderId="11" xfId="0" applyFont="1" applyBorder="1" applyAlignment="1">
      <alignment vertical="top"/>
    </xf>
    <xf numFmtId="0" fontId="8" fillId="0" borderId="6" xfId="0" applyFont="1" applyBorder="1" applyAlignment="1">
      <alignment vertical="top"/>
    </xf>
    <xf numFmtId="0" fontId="8" fillId="0" borderId="12" xfId="0" applyFont="1" applyBorder="1" applyAlignment="1">
      <alignment vertical="top"/>
    </xf>
    <xf numFmtId="9" fontId="8" fillId="0" borderId="1" xfId="0" applyNumberFormat="1" applyFont="1" applyBorder="1" applyAlignment="1">
      <alignment horizontal="center" vertical="center" wrapText="1"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0" xfId="0" applyFont="1" applyAlignment="1">
      <alignment horizontal="left" vertical="center" wrapTex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2" xfId="0" applyFont="1" applyBorder="1" applyAlignment="1">
      <alignment horizontal="left" vertical="center"/>
    </xf>
    <xf numFmtId="0" fontId="7" fillId="0" borderId="3" xfId="0" applyFont="1" applyBorder="1">
      <alignment vertical="center"/>
    </xf>
    <xf numFmtId="0" fontId="7" fillId="0" borderId="4" xfId="0" applyFont="1" applyBorder="1">
      <alignmen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8" fillId="0" borderId="0" xfId="0" applyFont="1" applyAlignment="1">
      <alignment horizontal="center" vertical="center"/>
    </xf>
    <xf numFmtId="0" fontId="8" fillId="0" borderId="0" xfId="0" applyFont="1">
      <alignment vertical="center"/>
    </xf>
    <xf numFmtId="0" fontId="8" fillId="2" borderId="5" xfId="0" applyFont="1" applyFill="1" applyBorder="1" applyAlignment="1">
      <alignment horizontal="center" vertical="center" shrinkToFit="1"/>
    </xf>
    <xf numFmtId="0" fontId="8" fillId="2" borderId="0" xfId="0" applyFont="1" applyFill="1" applyAlignment="1">
      <alignment horizontal="center" vertical="center" shrinkToFit="1"/>
    </xf>
    <xf numFmtId="0" fontId="8" fillId="2" borderId="10" xfId="0" applyFont="1" applyFill="1" applyBorder="1" applyAlignment="1">
      <alignment horizontal="center" vertical="center" shrinkToFi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16" xfId="0" applyFont="1" applyBorder="1" applyAlignment="1">
      <alignment vertical="center" wrapText="1"/>
    </xf>
    <xf numFmtId="0" fontId="8" fillId="0" borderId="17" xfId="0" applyFont="1" applyBorder="1" applyAlignment="1">
      <alignment vertical="center" wrapText="1"/>
    </xf>
    <xf numFmtId="0" fontId="8" fillId="0" borderId="19" xfId="0" applyFont="1" applyBorder="1" applyAlignment="1">
      <alignment vertical="top" wrapText="1" shrinkToFit="1"/>
    </xf>
    <xf numFmtId="0" fontId="8" fillId="0" borderId="17" xfId="0" applyFont="1" applyBorder="1" applyAlignment="1">
      <alignment vertical="top" wrapText="1" shrinkToFit="1"/>
    </xf>
    <xf numFmtId="0" fontId="8" fillId="0" borderId="46" xfId="0" applyFont="1" applyBorder="1" applyAlignment="1">
      <alignment vertical="center" wrapText="1"/>
    </xf>
    <xf numFmtId="0" fontId="8" fillId="0" borderId="33" xfId="0" applyFont="1" applyBorder="1" applyAlignment="1">
      <alignment vertical="center" wrapText="1"/>
    </xf>
    <xf numFmtId="0" fontId="8" fillId="0" borderId="32" xfId="0" applyFont="1" applyBorder="1" applyAlignment="1">
      <alignment vertical="top" wrapText="1" shrinkToFit="1"/>
    </xf>
    <xf numFmtId="0" fontId="8" fillId="0" borderId="33" xfId="0" applyFont="1" applyBorder="1" applyAlignment="1">
      <alignment vertical="top" wrapText="1" shrinkToFit="1"/>
    </xf>
    <xf numFmtId="0" fontId="8" fillId="0" borderId="35" xfId="0" applyFont="1" applyBorder="1" applyAlignment="1">
      <alignment vertical="center" wrapText="1"/>
    </xf>
    <xf numFmtId="0" fontId="8" fillId="0" borderId="36" xfId="0" applyFont="1" applyBorder="1" applyAlignment="1">
      <alignment vertical="center" wrapText="1"/>
    </xf>
    <xf numFmtId="0" fontId="8" fillId="0" borderId="37" xfId="0" applyFont="1" applyBorder="1" applyAlignment="1">
      <alignment vertical="center" wrapText="1"/>
    </xf>
    <xf numFmtId="0" fontId="8" fillId="0" borderId="36" xfId="0" applyFont="1" applyBorder="1" applyAlignment="1">
      <alignment vertical="top" wrapText="1" shrinkToFit="1"/>
    </xf>
    <xf numFmtId="0" fontId="8" fillId="0" borderId="37" xfId="0" applyFont="1" applyBorder="1" applyAlignment="1">
      <alignment vertical="top" wrapText="1" shrinkToFit="1"/>
    </xf>
    <xf numFmtId="0" fontId="8" fillId="0" borderId="18" xfId="0" applyFont="1" applyBorder="1" applyAlignment="1">
      <alignment vertical="top" wrapText="1" shrinkToFit="1"/>
    </xf>
    <xf numFmtId="0" fontId="8" fillId="0" borderId="31" xfId="0" applyFont="1" applyBorder="1" applyAlignment="1">
      <alignment vertical="top" wrapText="1" shrinkToFit="1"/>
    </xf>
    <xf numFmtId="0" fontId="8" fillId="0" borderId="16" xfId="0" applyFont="1" applyBorder="1">
      <alignment vertical="center"/>
    </xf>
    <xf numFmtId="0" fontId="7" fillId="0" borderId="17" xfId="0" applyFont="1" applyBorder="1">
      <alignment vertical="center"/>
    </xf>
    <xf numFmtId="0" fontId="8" fillId="0" borderId="3" xfId="0" applyFont="1" applyBorder="1" applyAlignment="1">
      <alignment horizontal="left" vertical="center"/>
    </xf>
    <xf numFmtId="0" fontId="8"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view="pageBreakPreview" topLeftCell="A94" zoomScaleNormal="100" zoomScaleSheetLayoutView="100" workbookViewId="0">
      <selection activeCell="D95" sqref="D95:U95"/>
    </sheetView>
  </sheetViews>
  <sheetFormatPr defaultColWidth="9" defaultRowHeight="18.75" customHeight="1" x14ac:dyDescent="0.15"/>
  <cols>
    <col min="1" max="1" width="2.5" style="25" customWidth="1"/>
    <col min="2" max="2" width="16.5" style="25" customWidth="1"/>
    <col min="3" max="21" width="5.625" style="25" customWidth="1"/>
    <col min="22" max="22" width="9" style="25"/>
    <col min="23" max="23" width="3.625" style="25" customWidth="1"/>
    <col min="24" max="24" width="48.625" style="25" hidden="1" customWidth="1"/>
    <col min="25" max="16384" width="9" style="25"/>
  </cols>
  <sheetData>
    <row r="1" spans="1:24" ht="18.600000000000001" customHeight="1" x14ac:dyDescent="0.15">
      <c r="T1" s="83" t="s">
        <v>162</v>
      </c>
      <c r="U1" s="83"/>
      <c r="V1" s="24" t="s">
        <v>99</v>
      </c>
    </row>
    <row r="2" spans="1:24" ht="18.75" customHeight="1" x14ac:dyDescent="0.15">
      <c r="B2" s="42" t="s">
        <v>98</v>
      </c>
      <c r="C2" s="84" t="s">
        <v>134</v>
      </c>
      <c r="D2" s="85"/>
      <c r="E2" s="85"/>
      <c r="F2" s="85"/>
      <c r="G2" s="85"/>
      <c r="H2" s="85"/>
      <c r="I2" s="85"/>
      <c r="J2" s="86"/>
      <c r="K2" s="26"/>
      <c r="L2" s="27"/>
      <c r="M2" s="27"/>
      <c r="N2" s="27"/>
      <c r="O2" s="27"/>
      <c r="P2" s="27"/>
      <c r="Q2" s="27"/>
      <c r="R2" s="27"/>
      <c r="S2" s="27"/>
      <c r="T2" s="27"/>
      <c r="U2" s="27"/>
    </row>
    <row r="3" spans="1:24" ht="18.75" customHeight="1" x14ac:dyDescent="0.15">
      <c r="B3" s="42" t="s">
        <v>93</v>
      </c>
      <c r="C3" s="84" t="s">
        <v>169</v>
      </c>
      <c r="D3" s="85"/>
      <c r="E3" s="85"/>
      <c r="F3" s="85"/>
      <c r="G3" s="85"/>
      <c r="H3" s="85"/>
      <c r="I3" s="85"/>
      <c r="J3" s="86"/>
      <c r="K3" s="26"/>
      <c r="L3" s="27"/>
      <c r="M3" s="27"/>
      <c r="N3" s="27"/>
      <c r="O3" s="27"/>
      <c r="P3" s="27"/>
      <c r="Q3" s="27"/>
      <c r="R3" s="27"/>
      <c r="S3" s="27"/>
      <c r="T3" s="27"/>
      <c r="U3" s="27"/>
    </row>
    <row r="4" spans="1:24" ht="15" customHeight="1" x14ac:dyDescent="0.15">
      <c r="L4" s="26"/>
      <c r="M4" s="28"/>
      <c r="N4" s="28"/>
      <c r="O4" s="28"/>
      <c r="P4" s="28"/>
      <c r="Q4" s="28"/>
      <c r="R4" s="28"/>
      <c r="S4" s="28"/>
      <c r="T4" s="28"/>
      <c r="U4" s="28"/>
    </row>
    <row r="5" spans="1:24" ht="18" customHeight="1" x14ac:dyDescent="0.15">
      <c r="A5" s="87" t="s">
        <v>37</v>
      </c>
      <c r="B5" s="87"/>
      <c r="C5" s="87"/>
      <c r="D5" s="87"/>
      <c r="E5" s="87"/>
      <c r="F5" s="87"/>
      <c r="G5" s="87"/>
      <c r="H5" s="87"/>
      <c r="I5" s="87"/>
      <c r="J5" s="87"/>
      <c r="K5" s="87"/>
      <c r="L5" s="87"/>
      <c r="M5" s="87"/>
      <c r="N5" s="87"/>
      <c r="O5" s="87"/>
      <c r="P5" s="87"/>
      <c r="Q5" s="87"/>
      <c r="R5" s="87"/>
      <c r="S5" s="87"/>
      <c r="T5" s="87"/>
      <c r="U5" s="87"/>
    </row>
    <row r="6" spans="1:24" ht="15" customHeight="1" x14ac:dyDescent="0.15">
      <c r="B6" s="29"/>
      <c r="C6" s="29"/>
      <c r="D6" s="29"/>
      <c r="E6" s="29"/>
      <c r="F6" s="29"/>
      <c r="G6" s="29"/>
      <c r="H6" s="29"/>
      <c r="I6" s="29"/>
      <c r="J6" s="29"/>
      <c r="K6" s="29"/>
      <c r="L6" s="29"/>
      <c r="M6" s="29"/>
      <c r="N6" s="29"/>
      <c r="O6" s="29"/>
      <c r="P6" s="29"/>
      <c r="Q6" s="29"/>
      <c r="R6" s="29"/>
      <c r="S6" s="29"/>
      <c r="T6" s="29"/>
      <c r="U6" s="29"/>
    </row>
    <row r="7" spans="1:24" ht="15" customHeight="1" x14ac:dyDescent="0.15">
      <c r="A7" s="25" t="s">
        <v>129</v>
      </c>
      <c r="B7" s="29"/>
      <c r="C7" s="29"/>
      <c r="D7" s="29"/>
      <c r="E7" s="29"/>
      <c r="F7" s="24"/>
      <c r="G7" s="24"/>
      <c r="H7" s="24"/>
      <c r="I7" s="24"/>
      <c r="J7" s="24"/>
      <c r="K7" s="24"/>
      <c r="L7" s="88" t="s">
        <v>163</v>
      </c>
      <c r="M7" s="89"/>
      <c r="N7" s="89"/>
      <c r="O7" s="89"/>
      <c r="P7" s="89"/>
      <c r="Q7" s="89"/>
      <c r="R7" s="89"/>
      <c r="S7" s="89"/>
      <c r="T7" s="89"/>
      <c r="U7" s="90"/>
    </row>
    <row r="8" spans="1:24" ht="6" customHeight="1" x14ac:dyDescent="0.15">
      <c r="B8" s="29"/>
      <c r="C8" s="29"/>
      <c r="D8" s="29"/>
      <c r="E8" s="29"/>
      <c r="F8" s="29"/>
      <c r="G8" s="29"/>
      <c r="H8" s="29"/>
      <c r="I8" s="29"/>
      <c r="J8" s="29"/>
      <c r="K8" s="29"/>
      <c r="L8" s="29"/>
      <c r="M8" s="29"/>
      <c r="N8" s="29"/>
      <c r="O8" s="29"/>
      <c r="P8" s="29"/>
      <c r="Q8" s="29"/>
      <c r="R8" s="29"/>
      <c r="S8" s="29"/>
      <c r="T8" s="29"/>
      <c r="U8" s="29"/>
    </row>
    <row r="9" spans="1:24" ht="18" customHeight="1" x14ac:dyDescent="0.15">
      <c r="A9" s="25" t="s">
        <v>130</v>
      </c>
      <c r="C9" s="29"/>
      <c r="D9" s="29"/>
      <c r="K9" s="26"/>
      <c r="L9" s="24"/>
      <c r="M9" s="24"/>
      <c r="N9" s="24"/>
      <c r="O9" s="24"/>
      <c r="P9" s="24"/>
      <c r="Q9" s="24"/>
      <c r="R9" s="24"/>
      <c r="S9" s="24"/>
      <c r="T9" s="24"/>
      <c r="U9" s="24"/>
    </row>
    <row r="10" spans="1:24" ht="6" customHeight="1" x14ac:dyDescent="0.15">
      <c r="B10" s="29"/>
      <c r="C10" s="29"/>
      <c r="D10" s="29"/>
      <c r="E10" s="29"/>
      <c r="F10" s="29"/>
      <c r="G10" s="29"/>
      <c r="H10" s="29"/>
      <c r="I10" s="29"/>
      <c r="J10" s="29"/>
      <c r="K10" s="29"/>
      <c r="L10" s="30"/>
      <c r="M10" s="29"/>
      <c r="N10" s="29"/>
      <c r="O10" s="29"/>
      <c r="P10" s="29"/>
      <c r="Q10" s="29"/>
      <c r="R10" s="29"/>
      <c r="S10" s="29"/>
      <c r="T10" s="29"/>
      <c r="U10" s="29"/>
    </row>
    <row r="11" spans="1:24" ht="18" customHeight="1" x14ac:dyDescent="0.15">
      <c r="B11" s="91" t="s">
        <v>164</v>
      </c>
      <c r="C11" s="92"/>
      <c r="D11" s="92"/>
      <c r="E11" s="92"/>
      <c r="F11" s="92"/>
      <c r="G11" s="92"/>
      <c r="H11" s="92"/>
      <c r="I11" s="92"/>
      <c r="J11" s="92"/>
      <c r="K11" s="92"/>
      <c r="L11" s="92"/>
      <c r="M11" s="92"/>
      <c r="N11" s="92"/>
      <c r="O11" s="92"/>
      <c r="P11" s="92"/>
      <c r="Q11" s="92"/>
      <c r="R11" s="92"/>
      <c r="S11" s="92"/>
      <c r="T11" s="92"/>
      <c r="U11" s="93"/>
    </row>
    <row r="12" spans="1:24" ht="18" customHeight="1" x14ac:dyDescent="0.15">
      <c r="B12" s="94"/>
      <c r="C12" s="95"/>
      <c r="D12" s="95"/>
      <c r="E12" s="95"/>
      <c r="F12" s="95"/>
      <c r="G12" s="95"/>
      <c r="H12" s="95"/>
      <c r="I12" s="95"/>
      <c r="J12" s="95"/>
      <c r="K12" s="95"/>
      <c r="L12" s="95"/>
      <c r="M12" s="95"/>
      <c r="N12" s="95"/>
      <c r="O12" s="95"/>
      <c r="P12" s="95"/>
      <c r="Q12" s="95"/>
      <c r="R12" s="95"/>
      <c r="S12" s="95"/>
      <c r="T12" s="95"/>
      <c r="U12" s="96"/>
    </row>
    <row r="13" spans="1:24" ht="6" customHeight="1" x14ac:dyDescent="0.15">
      <c r="B13" s="29"/>
      <c r="C13" s="29"/>
      <c r="D13" s="29"/>
      <c r="E13" s="29"/>
      <c r="F13" s="29"/>
      <c r="G13" s="29"/>
      <c r="H13" s="29"/>
      <c r="I13" s="29"/>
      <c r="J13" s="29"/>
      <c r="K13" s="29"/>
      <c r="L13" s="30"/>
      <c r="M13" s="29"/>
      <c r="N13" s="29"/>
      <c r="O13" s="29"/>
      <c r="P13" s="29"/>
      <c r="Q13" s="29"/>
      <c r="R13" s="29"/>
      <c r="S13" s="29"/>
      <c r="T13" s="29"/>
      <c r="U13" s="29"/>
    </row>
    <row r="14" spans="1:24" ht="18" customHeight="1" x14ac:dyDescent="0.15">
      <c r="A14" s="25" t="s">
        <v>100</v>
      </c>
      <c r="B14" s="29"/>
      <c r="C14" s="29"/>
      <c r="D14" s="29"/>
      <c r="E14" s="26"/>
      <c r="F14" s="26"/>
      <c r="G14" s="26"/>
      <c r="H14" s="26"/>
      <c r="I14" s="26"/>
      <c r="J14" s="26"/>
      <c r="K14" s="26"/>
      <c r="L14" s="31"/>
      <c r="M14" s="31"/>
      <c r="N14" s="31"/>
      <c r="O14" s="31"/>
      <c r="P14" s="31"/>
      <c r="Q14" s="31"/>
      <c r="R14" s="31"/>
      <c r="S14" s="31"/>
      <c r="T14" s="31"/>
      <c r="U14" s="31"/>
    </row>
    <row r="15" spans="1:24" ht="18" customHeight="1" x14ac:dyDescent="0.15">
      <c r="B15" s="100" t="s">
        <v>166</v>
      </c>
      <c r="C15" s="101"/>
      <c r="D15" s="101"/>
      <c r="E15" s="101"/>
      <c r="F15" s="101"/>
      <c r="G15" s="101"/>
      <c r="H15" s="101"/>
      <c r="I15" s="101"/>
      <c r="J15" s="101"/>
      <c r="K15" s="101"/>
      <c r="L15" s="101"/>
      <c r="M15" s="101"/>
      <c r="N15" s="101"/>
      <c r="O15" s="101"/>
      <c r="P15" s="101"/>
      <c r="Q15" s="101"/>
      <c r="R15" s="101"/>
      <c r="S15" s="101"/>
      <c r="T15" s="101"/>
      <c r="U15" s="102"/>
      <c r="X15" s="25" t="s">
        <v>94</v>
      </c>
    </row>
    <row r="16" spans="1:24" ht="18" customHeight="1" x14ac:dyDescent="0.15">
      <c r="B16" s="103"/>
      <c r="C16" s="104"/>
      <c r="D16" s="104"/>
      <c r="E16" s="104"/>
      <c r="F16" s="104"/>
      <c r="G16" s="104"/>
      <c r="H16" s="104"/>
      <c r="I16" s="104"/>
      <c r="J16" s="104"/>
      <c r="K16" s="104"/>
      <c r="L16" s="104"/>
      <c r="M16" s="104"/>
      <c r="N16" s="104"/>
      <c r="O16" s="104"/>
      <c r="P16" s="104"/>
      <c r="Q16" s="104"/>
      <c r="R16" s="104"/>
      <c r="S16" s="104"/>
      <c r="T16" s="104"/>
      <c r="U16" s="105"/>
      <c r="X16" s="25" t="s">
        <v>113</v>
      </c>
    </row>
    <row r="17" spans="1:24" ht="18" customHeight="1" x14ac:dyDescent="0.15">
      <c r="B17" s="103"/>
      <c r="C17" s="104"/>
      <c r="D17" s="104"/>
      <c r="E17" s="104"/>
      <c r="F17" s="104"/>
      <c r="G17" s="104"/>
      <c r="H17" s="104"/>
      <c r="I17" s="104"/>
      <c r="J17" s="104"/>
      <c r="K17" s="104"/>
      <c r="L17" s="104"/>
      <c r="M17" s="104"/>
      <c r="N17" s="104"/>
      <c r="O17" s="104"/>
      <c r="P17" s="104"/>
      <c r="Q17" s="104"/>
      <c r="R17" s="104"/>
      <c r="S17" s="104"/>
      <c r="T17" s="104"/>
      <c r="U17" s="105"/>
      <c r="X17" s="25" t="s">
        <v>114</v>
      </c>
    </row>
    <row r="18" spans="1:24" ht="18" customHeight="1" x14ac:dyDescent="0.15">
      <c r="B18" s="103"/>
      <c r="C18" s="104"/>
      <c r="D18" s="104"/>
      <c r="E18" s="104"/>
      <c r="F18" s="104"/>
      <c r="G18" s="104"/>
      <c r="H18" s="104"/>
      <c r="I18" s="104"/>
      <c r="J18" s="104"/>
      <c r="K18" s="104"/>
      <c r="L18" s="104"/>
      <c r="M18" s="104"/>
      <c r="N18" s="104"/>
      <c r="O18" s="104"/>
      <c r="P18" s="104"/>
      <c r="Q18" s="104"/>
      <c r="R18" s="104"/>
      <c r="S18" s="104"/>
      <c r="T18" s="104"/>
      <c r="U18" s="105"/>
      <c r="X18" s="25" t="s">
        <v>115</v>
      </c>
    </row>
    <row r="19" spans="1:24" ht="18" customHeight="1" x14ac:dyDescent="0.15">
      <c r="B19" s="103"/>
      <c r="C19" s="104"/>
      <c r="D19" s="104"/>
      <c r="E19" s="104"/>
      <c r="F19" s="104"/>
      <c r="G19" s="104"/>
      <c r="H19" s="104"/>
      <c r="I19" s="104"/>
      <c r="J19" s="104"/>
      <c r="K19" s="104"/>
      <c r="L19" s="104"/>
      <c r="M19" s="104"/>
      <c r="N19" s="104"/>
      <c r="O19" s="104"/>
      <c r="P19" s="104"/>
      <c r="Q19" s="104"/>
      <c r="R19" s="104"/>
      <c r="S19" s="104"/>
      <c r="T19" s="104"/>
      <c r="U19" s="105"/>
    </row>
    <row r="20" spans="1:24" ht="18" customHeight="1" x14ac:dyDescent="0.15">
      <c r="B20" s="106"/>
      <c r="C20" s="107"/>
      <c r="D20" s="107"/>
      <c r="E20" s="107"/>
      <c r="F20" s="107"/>
      <c r="G20" s="107"/>
      <c r="H20" s="107"/>
      <c r="I20" s="107"/>
      <c r="J20" s="107"/>
      <c r="K20" s="107"/>
      <c r="L20" s="107"/>
      <c r="M20" s="107"/>
      <c r="N20" s="107"/>
      <c r="O20" s="107"/>
      <c r="P20" s="107"/>
      <c r="Q20" s="107"/>
      <c r="R20" s="107"/>
      <c r="S20" s="107"/>
      <c r="T20" s="107"/>
      <c r="U20" s="108"/>
    </row>
    <row r="21" spans="1:24" ht="7.5" customHeight="1" x14ac:dyDescent="0.15">
      <c r="B21" s="29"/>
      <c r="C21" s="29"/>
      <c r="D21" s="29"/>
      <c r="E21" s="29"/>
      <c r="F21" s="29"/>
      <c r="G21" s="29"/>
      <c r="H21" s="29"/>
      <c r="I21" s="29"/>
      <c r="J21" s="29"/>
      <c r="K21" s="29"/>
      <c r="L21" s="29"/>
      <c r="M21" s="29"/>
      <c r="N21" s="29"/>
      <c r="O21" s="29"/>
      <c r="P21" s="29"/>
      <c r="Q21" s="29"/>
      <c r="R21" s="29"/>
      <c r="S21" s="29"/>
      <c r="T21" s="29"/>
      <c r="U21" s="29"/>
    </row>
    <row r="22" spans="1:24" ht="19.899999999999999" customHeight="1" x14ac:dyDescent="0.15">
      <c r="B22" s="25" t="s">
        <v>131</v>
      </c>
      <c r="E22" s="36">
        <v>1</v>
      </c>
      <c r="F22" s="25" t="s">
        <v>111</v>
      </c>
      <c r="H22" s="36">
        <v>2</v>
      </c>
      <c r="I22" s="29" t="s">
        <v>112</v>
      </c>
      <c r="J22" s="29"/>
      <c r="K22" s="26"/>
      <c r="M22" s="26" t="s">
        <v>109</v>
      </c>
      <c r="N22" s="109" t="s">
        <v>136</v>
      </c>
      <c r="O22" s="110"/>
      <c r="P22" s="110"/>
      <c r="Q22" s="110"/>
      <c r="R22" s="110"/>
      <c r="S22" s="110"/>
      <c r="T22" s="110"/>
      <c r="U22" s="110"/>
      <c r="V22" s="111"/>
    </row>
    <row r="23" spans="1:24" ht="7.5" customHeight="1" x14ac:dyDescent="0.15">
      <c r="B23" s="29"/>
      <c r="C23" s="29"/>
      <c r="D23" s="29"/>
      <c r="E23" s="29"/>
      <c r="F23" s="29"/>
      <c r="G23" s="29"/>
      <c r="H23" s="29"/>
      <c r="I23" s="29"/>
      <c r="J23" s="29"/>
      <c r="K23" s="29"/>
      <c r="L23" s="29"/>
      <c r="M23" s="29"/>
      <c r="N23" s="29"/>
      <c r="O23" s="29"/>
      <c r="P23" s="29"/>
      <c r="Q23" s="29"/>
      <c r="R23" s="29"/>
      <c r="S23" s="29"/>
      <c r="T23" s="29"/>
      <c r="U23" s="29"/>
    </row>
    <row r="24" spans="1:24" ht="18" customHeight="1" x14ac:dyDescent="0.15">
      <c r="A24" s="112" t="s">
        <v>101</v>
      </c>
      <c r="B24" s="112"/>
      <c r="C24" s="112"/>
      <c r="D24" s="112"/>
      <c r="E24" s="112"/>
      <c r="F24" s="112"/>
      <c r="G24" s="112"/>
      <c r="H24" s="112"/>
      <c r="I24" s="112"/>
      <c r="J24" s="112"/>
      <c r="K24" s="112"/>
      <c r="L24" s="112"/>
      <c r="M24" s="112"/>
      <c r="N24" s="112"/>
      <c r="O24" s="112"/>
      <c r="P24" s="112"/>
      <c r="Q24" s="112"/>
      <c r="R24" s="112"/>
      <c r="S24" s="112"/>
      <c r="T24" s="112"/>
      <c r="U24" s="112"/>
    </row>
    <row r="25" spans="1:24" ht="18" customHeight="1" x14ac:dyDescent="0.15">
      <c r="A25" s="112"/>
      <c r="B25" s="112"/>
      <c r="C25" s="112"/>
      <c r="D25" s="112"/>
      <c r="E25" s="112"/>
      <c r="F25" s="112"/>
      <c r="G25" s="112"/>
      <c r="H25" s="112"/>
      <c r="I25" s="112"/>
      <c r="J25" s="112"/>
      <c r="K25" s="112"/>
      <c r="L25" s="112"/>
      <c r="M25" s="112"/>
      <c r="N25" s="112"/>
      <c r="O25" s="112"/>
      <c r="P25" s="112"/>
      <c r="Q25" s="112"/>
      <c r="R25" s="112"/>
      <c r="S25" s="112"/>
      <c r="T25" s="112"/>
      <c r="U25" s="112"/>
    </row>
    <row r="26" spans="1:24" ht="18" customHeight="1" x14ac:dyDescent="0.15">
      <c r="B26" s="84" t="s">
        <v>51</v>
      </c>
      <c r="C26" s="85"/>
      <c r="D26" s="85"/>
      <c r="E26" s="85"/>
      <c r="F26" s="86"/>
      <c r="G26" s="45" t="s">
        <v>77</v>
      </c>
      <c r="H26" s="46" t="s">
        <v>80</v>
      </c>
      <c r="I26" s="47" t="s">
        <v>54</v>
      </c>
      <c r="J26" s="47" t="s">
        <v>57</v>
      </c>
      <c r="K26" s="84" t="s">
        <v>51</v>
      </c>
      <c r="L26" s="85"/>
      <c r="M26" s="85"/>
      <c r="N26" s="85"/>
      <c r="O26" s="85"/>
      <c r="P26" s="85"/>
      <c r="Q26" s="86"/>
      <c r="R26" s="45" t="s">
        <v>77</v>
      </c>
      <c r="S26" s="46" t="s">
        <v>80</v>
      </c>
      <c r="T26" s="47" t="s">
        <v>54</v>
      </c>
      <c r="U26" s="47" t="s">
        <v>57</v>
      </c>
    </row>
    <row r="27" spans="1:24" ht="18" customHeight="1" x14ac:dyDescent="0.15">
      <c r="B27" s="113" t="s">
        <v>135</v>
      </c>
      <c r="C27" s="114"/>
      <c r="D27" s="114"/>
      <c r="E27" s="114"/>
      <c r="F27" s="115"/>
      <c r="G27" s="48">
        <v>2</v>
      </c>
      <c r="H27" s="48" t="s">
        <v>138</v>
      </c>
      <c r="I27" s="48" t="s">
        <v>137</v>
      </c>
      <c r="J27" s="48" t="s">
        <v>137</v>
      </c>
      <c r="K27" s="113"/>
      <c r="L27" s="114"/>
      <c r="M27" s="114"/>
      <c r="N27" s="114"/>
      <c r="O27" s="114"/>
      <c r="P27" s="114"/>
      <c r="Q27" s="115"/>
      <c r="R27" s="48"/>
      <c r="S27" s="48"/>
      <c r="T27" s="48"/>
      <c r="U27" s="48"/>
    </row>
    <row r="28" spans="1:24" ht="18" customHeight="1" x14ac:dyDescent="0.15">
      <c r="B28" s="97"/>
      <c r="C28" s="98"/>
      <c r="D28" s="98"/>
      <c r="E28" s="98"/>
      <c r="F28" s="99"/>
      <c r="G28" s="49"/>
      <c r="H28" s="49"/>
      <c r="I28" s="49"/>
      <c r="J28" s="49"/>
      <c r="K28" s="97"/>
      <c r="L28" s="98"/>
      <c r="M28" s="98"/>
      <c r="N28" s="98"/>
      <c r="O28" s="98"/>
      <c r="P28" s="98"/>
      <c r="Q28" s="99"/>
      <c r="R28" s="49"/>
      <c r="S28" s="49"/>
      <c r="T28" s="49"/>
      <c r="U28" s="49"/>
    </row>
    <row r="29" spans="1:24" ht="18" customHeight="1" x14ac:dyDescent="0.15">
      <c r="B29" s="97"/>
      <c r="C29" s="98"/>
      <c r="D29" s="98"/>
      <c r="E29" s="98"/>
      <c r="F29" s="99"/>
      <c r="G29" s="49"/>
      <c r="H29" s="49"/>
      <c r="I29" s="49"/>
      <c r="J29" s="49"/>
      <c r="K29" s="97"/>
      <c r="L29" s="98"/>
      <c r="M29" s="98"/>
      <c r="N29" s="98"/>
      <c r="O29" s="98"/>
      <c r="P29" s="98"/>
      <c r="Q29" s="99"/>
      <c r="R29" s="49"/>
      <c r="S29" s="49"/>
      <c r="T29" s="49"/>
      <c r="U29" s="49"/>
    </row>
    <row r="30" spans="1:24" ht="18" customHeight="1" x14ac:dyDescent="0.15">
      <c r="B30" s="97"/>
      <c r="C30" s="98"/>
      <c r="D30" s="98"/>
      <c r="E30" s="98"/>
      <c r="F30" s="99"/>
      <c r="G30" s="49"/>
      <c r="H30" s="49"/>
      <c r="I30" s="49"/>
      <c r="J30" s="49"/>
      <c r="K30" s="97"/>
      <c r="L30" s="98"/>
      <c r="M30" s="98"/>
      <c r="N30" s="98"/>
      <c r="O30" s="98"/>
      <c r="P30" s="98"/>
      <c r="Q30" s="99"/>
      <c r="R30" s="49"/>
      <c r="S30" s="49"/>
      <c r="T30" s="49"/>
      <c r="U30" s="49"/>
    </row>
    <row r="31" spans="1:24" ht="18" customHeight="1" x14ac:dyDescent="0.15">
      <c r="B31" s="97"/>
      <c r="C31" s="98"/>
      <c r="D31" s="98"/>
      <c r="E31" s="98"/>
      <c r="F31" s="99"/>
      <c r="G31" s="49"/>
      <c r="H31" s="49"/>
      <c r="I31" s="49"/>
      <c r="J31" s="49"/>
      <c r="K31" s="97"/>
      <c r="L31" s="98"/>
      <c r="M31" s="98"/>
      <c r="N31" s="98"/>
      <c r="O31" s="98"/>
      <c r="P31" s="98"/>
      <c r="Q31" s="99"/>
      <c r="R31" s="49"/>
      <c r="S31" s="49"/>
      <c r="T31" s="49"/>
      <c r="U31" s="49"/>
    </row>
    <row r="32" spans="1:24" ht="18" customHeight="1" x14ac:dyDescent="0.15">
      <c r="A32" s="29"/>
      <c r="B32" s="97"/>
      <c r="C32" s="98"/>
      <c r="D32" s="98"/>
      <c r="E32" s="98"/>
      <c r="F32" s="99"/>
      <c r="G32" s="49"/>
      <c r="H32" s="49"/>
      <c r="I32" s="49"/>
      <c r="J32" s="49"/>
      <c r="K32" s="97"/>
      <c r="L32" s="98"/>
      <c r="M32" s="98"/>
      <c r="N32" s="98"/>
      <c r="O32" s="98"/>
      <c r="P32" s="98"/>
      <c r="Q32" s="99"/>
      <c r="R32" s="49"/>
      <c r="S32" s="49"/>
      <c r="T32" s="49"/>
      <c r="U32" s="49"/>
    </row>
    <row r="33" spans="1:21" ht="18" customHeight="1" x14ac:dyDescent="0.15">
      <c r="A33" s="29"/>
      <c r="B33" s="116"/>
      <c r="C33" s="117"/>
      <c r="D33" s="117"/>
      <c r="E33" s="117"/>
      <c r="F33" s="118"/>
      <c r="G33" s="50"/>
      <c r="H33" s="50"/>
      <c r="I33" s="51"/>
      <c r="J33" s="51"/>
      <c r="K33" s="116"/>
      <c r="L33" s="117"/>
      <c r="M33" s="117"/>
      <c r="N33" s="117"/>
      <c r="O33" s="117"/>
      <c r="P33" s="117"/>
      <c r="Q33" s="118"/>
      <c r="R33" s="50"/>
      <c r="S33" s="50"/>
      <c r="T33" s="51"/>
      <c r="U33" s="51"/>
    </row>
    <row r="34" spans="1:21" ht="7.5" customHeight="1" x14ac:dyDescent="0.15">
      <c r="A34" s="29"/>
      <c r="B34" s="27"/>
      <c r="C34" s="27"/>
      <c r="D34" s="27"/>
      <c r="E34" s="29"/>
      <c r="F34" s="29"/>
      <c r="G34" s="29"/>
      <c r="H34" s="29"/>
      <c r="I34" s="27"/>
      <c r="J34" s="27"/>
      <c r="K34" s="27"/>
      <c r="L34" s="27"/>
      <c r="M34" s="27"/>
      <c r="N34" s="27"/>
      <c r="O34" s="27"/>
      <c r="P34" s="27"/>
      <c r="Q34" s="27"/>
      <c r="R34" s="27"/>
      <c r="S34" s="27"/>
      <c r="T34" s="27"/>
      <c r="U34" s="29"/>
    </row>
    <row r="35" spans="1:21" ht="18" customHeight="1" x14ac:dyDescent="0.15">
      <c r="A35" s="112" t="s">
        <v>102</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84" t="s">
        <v>51</v>
      </c>
      <c r="C37" s="85"/>
      <c r="D37" s="85"/>
      <c r="E37" s="85"/>
      <c r="F37" s="86"/>
      <c r="G37" s="45" t="s">
        <v>77</v>
      </c>
      <c r="H37" s="46" t="s">
        <v>80</v>
      </c>
      <c r="I37" s="47" t="s">
        <v>68</v>
      </c>
      <c r="J37" s="47" t="s">
        <v>69</v>
      </c>
      <c r="K37" s="84" t="s">
        <v>51</v>
      </c>
      <c r="L37" s="85"/>
      <c r="M37" s="85"/>
      <c r="N37" s="85"/>
      <c r="O37" s="85"/>
      <c r="P37" s="85"/>
      <c r="Q37" s="86"/>
      <c r="R37" s="45" t="s">
        <v>77</v>
      </c>
      <c r="S37" s="46" t="s">
        <v>80</v>
      </c>
      <c r="T37" s="47" t="s">
        <v>68</v>
      </c>
      <c r="U37" s="47" t="s">
        <v>69</v>
      </c>
    </row>
    <row r="38" spans="1:21" ht="18" customHeight="1" x14ac:dyDescent="0.15">
      <c r="B38" s="113" t="s">
        <v>135</v>
      </c>
      <c r="C38" s="114"/>
      <c r="D38" s="114"/>
      <c r="E38" s="114"/>
      <c r="F38" s="115"/>
      <c r="G38" s="48">
        <v>2</v>
      </c>
      <c r="H38" s="48" t="s">
        <v>137</v>
      </c>
      <c r="I38" s="48" t="s">
        <v>137</v>
      </c>
      <c r="J38" s="48" t="s">
        <v>137</v>
      </c>
      <c r="K38" s="113"/>
      <c r="L38" s="114"/>
      <c r="M38" s="114"/>
      <c r="N38" s="114"/>
      <c r="O38" s="114"/>
      <c r="P38" s="114"/>
      <c r="Q38" s="115"/>
      <c r="R38" s="48"/>
      <c r="S38" s="48"/>
      <c r="T38" s="48"/>
      <c r="U38" s="48"/>
    </row>
    <row r="39" spans="1:21" ht="18" customHeight="1" x14ac:dyDescent="0.15">
      <c r="B39" s="97"/>
      <c r="C39" s="98"/>
      <c r="D39" s="98"/>
      <c r="E39" s="98"/>
      <c r="F39" s="99"/>
      <c r="G39" s="49"/>
      <c r="H39" s="49"/>
      <c r="I39" s="49"/>
      <c r="J39" s="49"/>
      <c r="K39" s="97"/>
      <c r="L39" s="98"/>
      <c r="M39" s="98"/>
      <c r="N39" s="98"/>
      <c r="O39" s="98"/>
      <c r="P39" s="98"/>
      <c r="Q39" s="99"/>
      <c r="R39" s="49"/>
      <c r="S39" s="49"/>
      <c r="T39" s="49"/>
      <c r="U39" s="49"/>
    </row>
    <row r="40" spans="1:21" ht="18" customHeight="1" x14ac:dyDescent="0.15">
      <c r="B40" s="97"/>
      <c r="C40" s="98"/>
      <c r="D40" s="98"/>
      <c r="E40" s="98"/>
      <c r="F40" s="99"/>
      <c r="G40" s="49"/>
      <c r="H40" s="49"/>
      <c r="I40" s="49"/>
      <c r="J40" s="49"/>
      <c r="K40" s="97"/>
      <c r="L40" s="98"/>
      <c r="M40" s="98"/>
      <c r="N40" s="98"/>
      <c r="O40" s="98"/>
      <c r="P40" s="98"/>
      <c r="Q40" s="99"/>
      <c r="R40" s="49"/>
      <c r="S40" s="49"/>
      <c r="T40" s="49"/>
      <c r="U40" s="49"/>
    </row>
    <row r="41" spans="1:21" ht="18" customHeight="1" x14ac:dyDescent="0.15">
      <c r="B41" s="97"/>
      <c r="C41" s="98"/>
      <c r="D41" s="98"/>
      <c r="E41" s="98"/>
      <c r="F41" s="99"/>
      <c r="G41" s="49"/>
      <c r="H41" s="49"/>
      <c r="I41" s="49"/>
      <c r="J41" s="49"/>
      <c r="K41" s="97"/>
      <c r="L41" s="98"/>
      <c r="M41" s="98"/>
      <c r="N41" s="98"/>
      <c r="O41" s="98"/>
      <c r="P41" s="98"/>
      <c r="Q41" s="99"/>
      <c r="R41" s="49"/>
      <c r="S41" s="49"/>
      <c r="T41" s="49"/>
      <c r="U41" s="49"/>
    </row>
    <row r="42" spans="1:21" ht="18" customHeight="1" x14ac:dyDescent="0.15">
      <c r="B42" s="97"/>
      <c r="C42" s="98"/>
      <c r="D42" s="98"/>
      <c r="E42" s="98"/>
      <c r="F42" s="99"/>
      <c r="G42" s="49"/>
      <c r="H42" s="49"/>
      <c r="I42" s="49"/>
      <c r="J42" s="49"/>
      <c r="K42" s="97"/>
      <c r="L42" s="98"/>
      <c r="M42" s="98"/>
      <c r="N42" s="98"/>
      <c r="O42" s="98"/>
      <c r="P42" s="98"/>
      <c r="Q42" s="99"/>
      <c r="R42" s="49"/>
      <c r="S42" s="49"/>
      <c r="T42" s="49"/>
      <c r="U42" s="49"/>
    </row>
    <row r="43" spans="1:21" ht="18" customHeight="1" x14ac:dyDescent="0.15">
      <c r="B43" s="97"/>
      <c r="C43" s="98"/>
      <c r="D43" s="98"/>
      <c r="E43" s="98"/>
      <c r="F43" s="99"/>
      <c r="G43" s="49"/>
      <c r="H43" s="49"/>
      <c r="I43" s="49"/>
      <c r="J43" s="49"/>
      <c r="K43" s="97"/>
      <c r="L43" s="98"/>
      <c r="M43" s="98"/>
      <c r="N43" s="98"/>
      <c r="O43" s="98"/>
      <c r="P43" s="98"/>
      <c r="Q43" s="99"/>
      <c r="R43" s="49"/>
      <c r="S43" s="49"/>
      <c r="T43" s="49"/>
      <c r="U43" s="49"/>
    </row>
    <row r="44" spans="1:21" ht="18" customHeight="1" x14ac:dyDescent="0.15">
      <c r="B44" s="116"/>
      <c r="C44" s="117"/>
      <c r="D44" s="117"/>
      <c r="E44" s="117"/>
      <c r="F44" s="118"/>
      <c r="G44" s="50"/>
      <c r="H44" s="50"/>
      <c r="I44" s="51"/>
      <c r="J44" s="51"/>
      <c r="K44" s="116"/>
      <c r="L44" s="117"/>
      <c r="M44" s="117"/>
      <c r="N44" s="117"/>
      <c r="O44" s="117"/>
      <c r="P44" s="117"/>
      <c r="Q44" s="118"/>
      <c r="R44" s="50"/>
      <c r="S44" s="50"/>
      <c r="T44" s="51"/>
      <c r="U44" s="51"/>
    </row>
    <row r="45" spans="1:21" ht="7.5" customHeight="1" x14ac:dyDescent="0.15">
      <c r="A45" s="29"/>
      <c r="B45" s="27"/>
      <c r="C45" s="27"/>
      <c r="D45" s="27"/>
      <c r="E45" s="29"/>
      <c r="F45" s="29"/>
      <c r="G45" s="29"/>
      <c r="H45" s="29"/>
      <c r="I45" s="27"/>
      <c r="J45" s="27"/>
      <c r="K45" s="27"/>
      <c r="L45" s="27"/>
      <c r="M45" s="27"/>
      <c r="N45" s="27"/>
      <c r="O45" s="27"/>
      <c r="P45" s="27"/>
      <c r="Q45" s="27"/>
      <c r="R45" s="27"/>
      <c r="S45" s="27"/>
      <c r="T45" s="27"/>
      <c r="U45" s="29"/>
    </row>
    <row r="46" spans="1:21" ht="18" customHeight="1" x14ac:dyDescent="0.15">
      <c r="A46" s="112" t="s">
        <v>103</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84" t="s">
        <v>51</v>
      </c>
      <c r="C48" s="85"/>
      <c r="D48" s="85"/>
      <c r="E48" s="85"/>
      <c r="F48" s="86"/>
      <c r="G48" s="45" t="s">
        <v>77</v>
      </c>
      <c r="H48" s="46" t="s">
        <v>80</v>
      </c>
      <c r="I48" s="47" t="s">
        <v>70</v>
      </c>
      <c r="J48" s="47" t="s">
        <v>71</v>
      </c>
      <c r="K48" s="84" t="s">
        <v>51</v>
      </c>
      <c r="L48" s="85"/>
      <c r="M48" s="85"/>
      <c r="N48" s="85"/>
      <c r="O48" s="85"/>
      <c r="P48" s="85"/>
      <c r="Q48" s="86"/>
      <c r="R48" s="45" t="s">
        <v>77</v>
      </c>
      <c r="S48" s="46" t="s">
        <v>80</v>
      </c>
      <c r="T48" s="47" t="s">
        <v>70</v>
      </c>
      <c r="U48" s="47" t="s">
        <v>71</v>
      </c>
    </row>
    <row r="49" spans="1:21" ht="18" customHeight="1" x14ac:dyDescent="0.15">
      <c r="A49" s="29"/>
      <c r="B49" s="113" t="s">
        <v>135</v>
      </c>
      <c r="C49" s="114"/>
      <c r="D49" s="114"/>
      <c r="E49" s="114"/>
      <c r="F49" s="115"/>
      <c r="G49" s="48">
        <v>2</v>
      </c>
      <c r="H49" s="48" t="s">
        <v>137</v>
      </c>
      <c r="I49" s="48" t="s">
        <v>137</v>
      </c>
      <c r="J49" s="48" t="s">
        <v>137</v>
      </c>
      <c r="K49" s="113"/>
      <c r="L49" s="114"/>
      <c r="M49" s="114"/>
      <c r="N49" s="114"/>
      <c r="O49" s="114"/>
      <c r="P49" s="114"/>
      <c r="Q49" s="115"/>
      <c r="R49" s="48"/>
      <c r="S49" s="48"/>
      <c r="T49" s="48"/>
      <c r="U49" s="48"/>
    </row>
    <row r="50" spans="1:21" ht="18" customHeight="1" x14ac:dyDescent="0.15">
      <c r="A50" s="29"/>
      <c r="B50" s="97"/>
      <c r="C50" s="98"/>
      <c r="D50" s="98"/>
      <c r="E50" s="98"/>
      <c r="F50" s="99"/>
      <c r="G50" s="49"/>
      <c r="H50" s="49"/>
      <c r="I50" s="49"/>
      <c r="J50" s="49"/>
      <c r="K50" s="97"/>
      <c r="L50" s="98"/>
      <c r="M50" s="98"/>
      <c r="N50" s="98"/>
      <c r="O50" s="98"/>
      <c r="P50" s="98"/>
      <c r="Q50" s="99"/>
      <c r="R50" s="49"/>
      <c r="S50" s="49"/>
      <c r="T50" s="49"/>
      <c r="U50" s="49"/>
    </row>
    <row r="51" spans="1:21" ht="18" customHeight="1" x14ac:dyDescent="0.15">
      <c r="A51" s="29"/>
      <c r="B51" s="97"/>
      <c r="C51" s="98"/>
      <c r="D51" s="98"/>
      <c r="E51" s="98"/>
      <c r="F51" s="99"/>
      <c r="G51" s="49"/>
      <c r="H51" s="49"/>
      <c r="I51" s="49"/>
      <c r="J51" s="49"/>
      <c r="K51" s="97"/>
      <c r="L51" s="98"/>
      <c r="M51" s="98"/>
      <c r="N51" s="98"/>
      <c r="O51" s="98"/>
      <c r="P51" s="98"/>
      <c r="Q51" s="99"/>
      <c r="R51" s="49"/>
      <c r="S51" s="49"/>
      <c r="T51" s="49"/>
      <c r="U51" s="49"/>
    </row>
    <row r="52" spans="1:21" ht="18" customHeight="1" x14ac:dyDescent="0.15">
      <c r="A52" s="29"/>
      <c r="B52" s="97"/>
      <c r="C52" s="98"/>
      <c r="D52" s="98"/>
      <c r="E52" s="98"/>
      <c r="F52" s="99"/>
      <c r="G52" s="49"/>
      <c r="H52" s="49"/>
      <c r="I52" s="49"/>
      <c r="J52" s="49"/>
      <c r="K52" s="97"/>
      <c r="L52" s="98"/>
      <c r="M52" s="98"/>
      <c r="N52" s="98"/>
      <c r="O52" s="98"/>
      <c r="P52" s="98"/>
      <c r="Q52" s="99"/>
      <c r="R52" s="49"/>
      <c r="S52" s="49"/>
      <c r="T52" s="49"/>
      <c r="U52" s="49"/>
    </row>
    <row r="53" spans="1:21" ht="18" customHeight="1" x14ac:dyDescent="0.15">
      <c r="A53" s="29"/>
      <c r="B53" s="97"/>
      <c r="C53" s="98"/>
      <c r="D53" s="98"/>
      <c r="E53" s="98"/>
      <c r="F53" s="99"/>
      <c r="G53" s="49"/>
      <c r="H53" s="49"/>
      <c r="I53" s="49"/>
      <c r="J53" s="49"/>
      <c r="K53" s="97"/>
      <c r="L53" s="98"/>
      <c r="M53" s="98"/>
      <c r="N53" s="98"/>
      <c r="O53" s="98"/>
      <c r="P53" s="98"/>
      <c r="Q53" s="99"/>
      <c r="R53" s="49"/>
      <c r="S53" s="49"/>
      <c r="T53" s="49"/>
      <c r="U53" s="49"/>
    </row>
    <row r="54" spans="1:21" ht="18" customHeight="1" x14ac:dyDescent="0.15">
      <c r="A54" s="29"/>
      <c r="B54" s="97"/>
      <c r="C54" s="98"/>
      <c r="D54" s="98"/>
      <c r="E54" s="98"/>
      <c r="F54" s="99"/>
      <c r="G54" s="49"/>
      <c r="H54" s="49"/>
      <c r="I54" s="49"/>
      <c r="J54" s="49"/>
      <c r="K54" s="97"/>
      <c r="L54" s="98"/>
      <c r="M54" s="98"/>
      <c r="N54" s="98"/>
      <c r="O54" s="98"/>
      <c r="P54" s="98"/>
      <c r="Q54" s="99"/>
      <c r="R54" s="49"/>
      <c r="S54" s="49"/>
      <c r="T54" s="49"/>
      <c r="U54" s="49"/>
    </row>
    <row r="55" spans="1:21" ht="18" customHeight="1" x14ac:dyDescent="0.15">
      <c r="A55" s="29"/>
      <c r="B55" s="116"/>
      <c r="C55" s="117"/>
      <c r="D55" s="117"/>
      <c r="E55" s="117"/>
      <c r="F55" s="118"/>
      <c r="G55" s="50"/>
      <c r="H55" s="50"/>
      <c r="I55" s="51"/>
      <c r="J55" s="51"/>
      <c r="K55" s="116"/>
      <c r="L55" s="117"/>
      <c r="M55" s="117"/>
      <c r="N55" s="117"/>
      <c r="O55" s="117"/>
      <c r="P55" s="117"/>
      <c r="Q55" s="118"/>
      <c r="R55" s="50"/>
      <c r="S55" s="50"/>
      <c r="T55" s="51"/>
      <c r="U55" s="51"/>
    </row>
    <row r="56" spans="1:21" ht="7.5" customHeight="1" x14ac:dyDescent="0.15">
      <c r="B56" s="52"/>
      <c r="C56" s="52"/>
      <c r="D56" s="52"/>
      <c r="E56" s="52"/>
      <c r="F56" s="52"/>
      <c r="G56" s="52"/>
      <c r="H56" s="52"/>
      <c r="I56" s="52"/>
      <c r="J56" s="52"/>
      <c r="K56" s="52"/>
      <c r="L56" s="52"/>
      <c r="M56" s="52"/>
      <c r="N56" s="52"/>
      <c r="O56" s="52"/>
      <c r="P56" s="52"/>
      <c r="Q56" s="52"/>
      <c r="R56" s="52"/>
      <c r="S56" s="52"/>
      <c r="T56" s="52"/>
    </row>
    <row r="57" spans="1:21" ht="18" customHeight="1" x14ac:dyDescent="0.15">
      <c r="A57" s="112" t="s">
        <v>104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84" t="s">
        <v>51</v>
      </c>
      <c r="C59" s="85"/>
      <c r="D59" s="85"/>
      <c r="E59" s="85"/>
      <c r="F59" s="86"/>
      <c r="G59" s="45" t="s">
        <v>77</v>
      </c>
      <c r="H59" s="46" t="s">
        <v>80</v>
      </c>
      <c r="I59" s="47" t="s">
        <v>56</v>
      </c>
      <c r="J59" s="47" t="s">
        <v>58</v>
      </c>
      <c r="K59" s="84" t="s">
        <v>51</v>
      </c>
      <c r="L59" s="85"/>
      <c r="M59" s="85"/>
      <c r="N59" s="85"/>
      <c r="O59" s="85"/>
      <c r="P59" s="85"/>
      <c r="Q59" s="86"/>
      <c r="R59" s="45" t="s">
        <v>77</v>
      </c>
      <c r="S59" s="46" t="s">
        <v>80</v>
      </c>
      <c r="T59" s="47" t="s">
        <v>56</v>
      </c>
      <c r="U59" s="47" t="s">
        <v>58</v>
      </c>
    </row>
    <row r="60" spans="1:21" ht="18" customHeight="1" x14ac:dyDescent="0.15">
      <c r="A60" s="29"/>
      <c r="B60" s="113" t="s">
        <v>135</v>
      </c>
      <c r="C60" s="114"/>
      <c r="D60" s="114"/>
      <c r="E60" s="114"/>
      <c r="F60" s="115"/>
      <c r="G60" s="48">
        <v>2</v>
      </c>
      <c r="H60" s="48" t="s">
        <v>137</v>
      </c>
      <c r="I60" s="48" t="s">
        <v>137</v>
      </c>
      <c r="J60" s="48" t="s">
        <v>137</v>
      </c>
      <c r="K60" s="113"/>
      <c r="L60" s="114"/>
      <c r="M60" s="114"/>
      <c r="N60" s="114"/>
      <c r="O60" s="114"/>
      <c r="P60" s="114"/>
      <c r="Q60" s="115"/>
      <c r="R60" s="48"/>
      <c r="S60" s="48"/>
      <c r="T60" s="48"/>
      <c r="U60" s="48"/>
    </row>
    <row r="61" spans="1:21" ht="18" customHeight="1" x14ac:dyDescent="0.15">
      <c r="A61" s="29"/>
      <c r="B61" s="97"/>
      <c r="C61" s="98"/>
      <c r="D61" s="98"/>
      <c r="E61" s="98"/>
      <c r="F61" s="99"/>
      <c r="G61" s="49"/>
      <c r="H61" s="49"/>
      <c r="I61" s="49"/>
      <c r="J61" s="49"/>
      <c r="K61" s="97"/>
      <c r="L61" s="98"/>
      <c r="M61" s="98"/>
      <c r="N61" s="98"/>
      <c r="O61" s="98"/>
      <c r="P61" s="98"/>
      <c r="Q61" s="99"/>
      <c r="R61" s="49"/>
      <c r="S61" s="49"/>
      <c r="T61" s="49"/>
      <c r="U61" s="49"/>
    </row>
    <row r="62" spans="1:21" ht="18" customHeight="1" x14ac:dyDescent="0.15">
      <c r="A62" s="29"/>
      <c r="B62" s="97"/>
      <c r="C62" s="98"/>
      <c r="D62" s="98"/>
      <c r="E62" s="98"/>
      <c r="F62" s="99"/>
      <c r="G62" s="49"/>
      <c r="H62" s="49"/>
      <c r="I62" s="49"/>
      <c r="J62" s="49"/>
      <c r="K62" s="97"/>
      <c r="L62" s="98"/>
      <c r="M62" s="98"/>
      <c r="N62" s="98"/>
      <c r="O62" s="98"/>
      <c r="P62" s="98"/>
      <c r="Q62" s="99"/>
      <c r="R62" s="49"/>
      <c r="S62" s="49"/>
      <c r="T62" s="49"/>
      <c r="U62" s="49"/>
    </row>
    <row r="63" spans="1:21" ht="18" customHeight="1" x14ac:dyDescent="0.15">
      <c r="A63" s="29"/>
      <c r="B63" s="97"/>
      <c r="C63" s="98"/>
      <c r="D63" s="98"/>
      <c r="E63" s="98"/>
      <c r="F63" s="99"/>
      <c r="G63" s="49"/>
      <c r="H63" s="49"/>
      <c r="I63" s="49"/>
      <c r="J63" s="49"/>
      <c r="K63" s="97"/>
      <c r="L63" s="98"/>
      <c r="M63" s="98"/>
      <c r="N63" s="98"/>
      <c r="O63" s="98"/>
      <c r="P63" s="98"/>
      <c r="Q63" s="99"/>
      <c r="R63" s="49"/>
      <c r="S63" s="49"/>
      <c r="T63" s="49"/>
      <c r="U63" s="49"/>
    </row>
    <row r="64" spans="1:21" ht="18" customHeight="1" x14ac:dyDescent="0.15">
      <c r="A64" s="29"/>
      <c r="B64" s="97"/>
      <c r="C64" s="98"/>
      <c r="D64" s="98"/>
      <c r="E64" s="98"/>
      <c r="F64" s="99"/>
      <c r="G64" s="49"/>
      <c r="H64" s="49"/>
      <c r="I64" s="49"/>
      <c r="J64" s="49"/>
      <c r="K64" s="97"/>
      <c r="L64" s="98"/>
      <c r="M64" s="98"/>
      <c r="N64" s="98"/>
      <c r="O64" s="98"/>
      <c r="P64" s="98"/>
      <c r="Q64" s="99"/>
      <c r="R64" s="49"/>
      <c r="S64" s="49"/>
      <c r="T64" s="49"/>
      <c r="U64" s="49"/>
    </row>
    <row r="65" spans="1:21" ht="18" customHeight="1" x14ac:dyDescent="0.15">
      <c r="A65" s="29"/>
      <c r="B65" s="97"/>
      <c r="C65" s="98"/>
      <c r="D65" s="98"/>
      <c r="E65" s="98"/>
      <c r="F65" s="99"/>
      <c r="G65" s="49"/>
      <c r="H65" s="49"/>
      <c r="I65" s="49"/>
      <c r="J65" s="49"/>
      <c r="K65" s="97"/>
      <c r="L65" s="98"/>
      <c r="M65" s="98"/>
      <c r="N65" s="98"/>
      <c r="O65" s="98"/>
      <c r="P65" s="98"/>
      <c r="Q65" s="99"/>
      <c r="R65" s="49"/>
      <c r="S65" s="49"/>
      <c r="T65" s="49"/>
      <c r="U65" s="49"/>
    </row>
    <row r="66" spans="1:21" ht="18" customHeight="1" x14ac:dyDescent="0.15">
      <c r="A66" s="29"/>
      <c r="B66" s="116"/>
      <c r="C66" s="117"/>
      <c r="D66" s="117"/>
      <c r="E66" s="117"/>
      <c r="F66" s="118"/>
      <c r="G66" s="50"/>
      <c r="H66" s="50"/>
      <c r="I66" s="51"/>
      <c r="J66" s="51"/>
      <c r="K66" s="116"/>
      <c r="L66" s="117"/>
      <c r="M66" s="117"/>
      <c r="N66" s="117"/>
      <c r="O66" s="117"/>
      <c r="P66" s="117"/>
      <c r="Q66" s="118"/>
      <c r="R66" s="50"/>
      <c r="S66" s="50"/>
      <c r="T66" s="51"/>
      <c r="U66" s="51"/>
    </row>
    <row r="67" spans="1:21" ht="7.5" customHeight="1" x14ac:dyDescent="0.15">
      <c r="B67" s="52"/>
      <c r="C67" s="52"/>
      <c r="D67" s="52"/>
      <c r="E67" s="52"/>
      <c r="F67" s="52"/>
      <c r="G67" s="52"/>
      <c r="H67" s="52"/>
      <c r="I67" s="52"/>
      <c r="J67" s="52"/>
      <c r="K67" s="52"/>
      <c r="L67" s="52"/>
      <c r="M67" s="52"/>
      <c r="N67" s="52"/>
      <c r="O67" s="52"/>
      <c r="P67" s="52"/>
      <c r="Q67" s="52"/>
      <c r="R67" s="52"/>
      <c r="S67" s="52"/>
      <c r="T67" s="52"/>
    </row>
    <row r="68" spans="1:21" ht="18" customHeight="1" x14ac:dyDescent="0.15">
      <c r="A68" s="112" t="s">
        <v>105</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84" t="s">
        <v>51</v>
      </c>
      <c r="C70" s="85"/>
      <c r="D70" s="85"/>
      <c r="E70" s="85"/>
      <c r="F70" s="45" t="s">
        <v>77</v>
      </c>
      <c r="G70" s="46" t="s">
        <v>80</v>
      </c>
      <c r="H70" s="47" t="s">
        <v>92</v>
      </c>
      <c r="I70" s="47" t="s">
        <v>72</v>
      </c>
      <c r="J70" s="47" t="s">
        <v>73</v>
      </c>
      <c r="K70" s="84" t="s">
        <v>51</v>
      </c>
      <c r="L70" s="85"/>
      <c r="M70" s="85"/>
      <c r="N70" s="85"/>
      <c r="O70" s="85"/>
      <c r="P70" s="86"/>
      <c r="Q70" s="45" t="s">
        <v>77</v>
      </c>
      <c r="R70" s="46" t="s">
        <v>80</v>
      </c>
      <c r="S70" s="47" t="s">
        <v>92</v>
      </c>
      <c r="T70" s="47" t="s">
        <v>72</v>
      </c>
      <c r="U70" s="47" t="s">
        <v>73</v>
      </c>
    </row>
    <row r="71" spans="1:21" ht="18" customHeight="1" x14ac:dyDescent="0.15">
      <c r="A71" s="29"/>
      <c r="B71" s="113" t="s">
        <v>135</v>
      </c>
      <c r="C71" s="114"/>
      <c r="D71" s="114"/>
      <c r="E71" s="114"/>
      <c r="F71" s="48">
        <v>2</v>
      </c>
      <c r="G71" s="48" t="s">
        <v>137</v>
      </c>
      <c r="H71" s="48" t="s">
        <v>137</v>
      </c>
      <c r="I71" s="48" t="s">
        <v>137</v>
      </c>
      <c r="J71" s="48" t="s">
        <v>137</v>
      </c>
      <c r="K71" s="113"/>
      <c r="L71" s="114"/>
      <c r="M71" s="114"/>
      <c r="N71" s="114"/>
      <c r="O71" s="114"/>
      <c r="P71" s="115"/>
      <c r="Q71" s="48"/>
      <c r="R71" s="48"/>
      <c r="S71" s="48"/>
      <c r="T71" s="48"/>
      <c r="U71" s="48"/>
    </row>
    <row r="72" spans="1:21" ht="18" customHeight="1" x14ac:dyDescent="0.15">
      <c r="A72" s="29"/>
      <c r="B72" s="97"/>
      <c r="C72" s="98"/>
      <c r="D72" s="98"/>
      <c r="E72" s="98"/>
      <c r="F72" s="49"/>
      <c r="G72" s="49"/>
      <c r="H72" s="49"/>
      <c r="I72" s="49"/>
      <c r="J72" s="49"/>
      <c r="K72" s="97"/>
      <c r="L72" s="98"/>
      <c r="M72" s="98"/>
      <c r="N72" s="98"/>
      <c r="O72" s="98"/>
      <c r="P72" s="99"/>
      <c r="Q72" s="49"/>
      <c r="R72" s="49"/>
      <c r="S72" s="49"/>
      <c r="T72" s="49"/>
      <c r="U72" s="49"/>
    </row>
    <row r="73" spans="1:21" ht="18" customHeight="1" x14ac:dyDescent="0.15">
      <c r="A73" s="29"/>
      <c r="B73" s="97"/>
      <c r="C73" s="98"/>
      <c r="D73" s="98"/>
      <c r="E73" s="98"/>
      <c r="F73" s="49"/>
      <c r="G73" s="49"/>
      <c r="H73" s="49"/>
      <c r="I73" s="49"/>
      <c r="J73" s="49"/>
      <c r="K73" s="97"/>
      <c r="L73" s="98"/>
      <c r="M73" s="98"/>
      <c r="N73" s="98"/>
      <c r="O73" s="98"/>
      <c r="P73" s="99"/>
      <c r="Q73" s="49"/>
      <c r="R73" s="49"/>
      <c r="S73" s="49"/>
      <c r="T73" s="49"/>
      <c r="U73" s="49"/>
    </row>
    <row r="74" spans="1:21" ht="18" customHeight="1" x14ac:dyDescent="0.15">
      <c r="A74" s="29"/>
      <c r="B74" s="97"/>
      <c r="C74" s="98"/>
      <c r="D74" s="98"/>
      <c r="E74" s="98"/>
      <c r="F74" s="49"/>
      <c r="G74" s="49"/>
      <c r="H74" s="49"/>
      <c r="I74" s="49"/>
      <c r="J74" s="49"/>
      <c r="K74" s="97"/>
      <c r="L74" s="98"/>
      <c r="M74" s="98"/>
      <c r="N74" s="98"/>
      <c r="O74" s="98"/>
      <c r="P74" s="99"/>
      <c r="Q74" s="49"/>
      <c r="R74" s="49"/>
      <c r="S74" s="49"/>
      <c r="T74" s="49"/>
      <c r="U74" s="49"/>
    </row>
    <row r="75" spans="1:21" ht="18" customHeight="1" x14ac:dyDescent="0.15">
      <c r="A75" s="29"/>
      <c r="B75" s="97"/>
      <c r="C75" s="98"/>
      <c r="D75" s="98"/>
      <c r="E75" s="98"/>
      <c r="F75" s="49"/>
      <c r="G75" s="49"/>
      <c r="H75" s="49"/>
      <c r="I75" s="49"/>
      <c r="J75" s="49"/>
      <c r="K75" s="97"/>
      <c r="L75" s="98"/>
      <c r="M75" s="98"/>
      <c r="N75" s="98"/>
      <c r="O75" s="98"/>
      <c r="P75" s="99"/>
      <c r="Q75" s="49"/>
      <c r="R75" s="49"/>
      <c r="S75" s="49"/>
      <c r="T75" s="49"/>
      <c r="U75" s="49"/>
    </row>
    <row r="76" spans="1:21" ht="18" customHeight="1" x14ac:dyDescent="0.15">
      <c r="A76" s="29"/>
      <c r="B76" s="97"/>
      <c r="C76" s="98"/>
      <c r="D76" s="98"/>
      <c r="E76" s="98"/>
      <c r="F76" s="49"/>
      <c r="G76" s="49"/>
      <c r="H76" s="49"/>
      <c r="I76" s="49"/>
      <c r="J76" s="49"/>
      <c r="K76" s="97"/>
      <c r="L76" s="98"/>
      <c r="M76" s="98"/>
      <c r="N76" s="98"/>
      <c r="O76" s="98"/>
      <c r="P76" s="99"/>
      <c r="Q76" s="49"/>
      <c r="R76" s="49"/>
      <c r="S76" s="49"/>
      <c r="T76" s="49"/>
      <c r="U76" s="49"/>
    </row>
    <row r="77" spans="1:21" ht="18" customHeight="1" x14ac:dyDescent="0.15">
      <c r="A77" s="29"/>
      <c r="B77" s="116"/>
      <c r="C77" s="117"/>
      <c r="D77" s="117"/>
      <c r="E77" s="117"/>
      <c r="F77" s="50"/>
      <c r="G77" s="50"/>
      <c r="H77" s="51"/>
      <c r="I77" s="51"/>
      <c r="J77" s="51"/>
      <c r="K77" s="116"/>
      <c r="L77" s="117"/>
      <c r="M77" s="117"/>
      <c r="N77" s="117"/>
      <c r="O77" s="117"/>
      <c r="P77" s="118"/>
      <c r="Q77" s="50"/>
      <c r="R77" s="50"/>
      <c r="S77" s="51"/>
      <c r="T77" s="51"/>
      <c r="U77" s="51"/>
    </row>
    <row r="78" spans="1:21" ht="7.5" customHeight="1" x14ac:dyDescent="0.15">
      <c r="B78" s="52"/>
      <c r="C78" s="52"/>
      <c r="D78" s="52"/>
      <c r="E78" s="52"/>
      <c r="F78" s="52"/>
      <c r="G78" s="52"/>
      <c r="H78" s="52"/>
      <c r="I78" s="52"/>
      <c r="J78" s="52"/>
      <c r="K78" s="52"/>
      <c r="L78" s="52"/>
      <c r="M78" s="52"/>
      <c r="N78" s="52"/>
      <c r="O78" s="52"/>
      <c r="P78" s="52"/>
      <c r="Q78" s="52"/>
      <c r="R78" s="52"/>
      <c r="S78" s="52"/>
      <c r="T78" s="52"/>
    </row>
    <row r="79" spans="1:21" ht="18" customHeight="1" x14ac:dyDescent="0.15">
      <c r="A79" s="25" t="s">
        <v>106</v>
      </c>
      <c r="I79" s="29"/>
      <c r="J79" s="29"/>
      <c r="K79" s="29"/>
      <c r="L79" s="29"/>
      <c r="M79" s="29"/>
      <c r="N79" s="29"/>
      <c r="O79" s="29"/>
      <c r="P79" s="29"/>
      <c r="Q79" s="29"/>
      <c r="R79" s="29"/>
      <c r="S79" s="29"/>
      <c r="T79" s="29"/>
      <c r="U79" s="29"/>
    </row>
    <row r="80" spans="1:21" ht="18" customHeight="1" x14ac:dyDescent="0.15">
      <c r="B80" s="84" t="s">
        <v>51</v>
      </c>
      <c r="C80" s="85"/>
      <c r="D80" s="85"/>
      <c r="E80" s="85"/>
      <c r="F80" s="86"/>
      <c r="G80" s="84" t="s">
        <v>78</v>
      </c>
      <c r="H80" s="85"/>
      <c r="I80" s="85"/>
      <c r="J80" s="86"/>
      <c r="K80" s="119" t="s">
        <v>51</v>
      </c>
      <c r="L80" s="120"/>
      <c r="M80" s="120"/>
      <c r="N80" s="120"/>
      <c r="O80" s="120"/>
      <c r="P80" s="120"/>
      <c r="Q80" s="121"/>
      <c r="R80" s="84" t="s">
        <v>78</v>
      </c>
      <c r="S80" s="85"/>
      <c r="T80" s="85"/>
      <c r="U80" s="86"/>
    </row>
    <row r="81" spans="1:21" ht="18" customHeight="1" x14ac:dyDescent="0.15">
      <c r="A81" s="29"/>
      <c r="B81" s="113"/>
      <c r="C81" s="114"/>
      <c r="D81" s="114"/>
      <c r="E81" s="114"/>
      <c r="F81" s="115"/>
      <c r="G81" s="125"/>
      <c r="H81" s="126"/>
      <c r="I81" s="126"/>
      <c r="J81" s="127"/>
      <c r="K81" s="113"/>
      <c r="L81" s="114"/>
      <c r="M81" s="114"/>
      <c r="N81" s="114"/>
      <c r="O81" s="114"/>
      <c r="P81" s="114"/>
      <c r="Q81" s="115"/>
      <c r="R81" s="125"/>
      <c r="S81" s="126"/>
      <c r="T81" s="126"/>
      <c r="U81" s="127"/>
    </row>
    <row r="82" spans="1:21" ht="18" customHeight="1" x14ac:dyDescent="0.15">
      <c r="A82" s="29"/>
      <c r="B82" s="97"/>
      <c r="C82" s="98"/>
      <c r="D82" s="98"/>
      <c r="E82" s="98"/>
      <c r="F82" s="99"/>
      <c r="G82" s="122"/>
      <c r="H82" s="123"/>
      <c r="I82" s="123"/>
      <c r="J82" s="124"/>
      <c r="K82" s="97"/>
      <c r="L82" s="98"/>
      <c r="M82" s="98"/>
      <c r="N82" s="98"/>
      <c r="O82" s="98"/>
      <c r="P82" s="98"/>
      <c r="Q82" s="99"/>
      <c r="R82" s="122"/>
      <c r="S82" s="123"/>
      <c r="T82" s="123"/>
      <c r="U82" s="124"/>
    </row>
    <row r="83" spans="1:21" ht="18" customHeight="1" x14ac:dyDescent="0.15">
      <c r="A83" s="29"/>
      <c r="B83" s="97"/>
      <c r="C83" s="98"/>
      <c r="D83" s="98"/>
      <c r="E83" s="98"/>
      <c r="F83" s="99"/>
      <c r="G83" s="122"/>
      <c r="H83" s="123"/>
      <c r="I83" s="123"/>
      <c r="J83" s="124"/>
      <c r="K83" s="97"/>
      <c r="L83" s="98"/>
      <c r="M83" s="98"/>
      <c r="N83" s="98"/>
      <c r="O83" s="98"/>
      <c r="P83" s="98"/>
      <c r="Q83" s="99"/>
      <c r="R83" s="122"/>
      <c r="S83" s="123"/>
      <c r="T83" s="123"/>
      <c r="U83" s="124"/>
    </row>
    <row r="84" spans="1:21" ht="18" customHeight="1" x14ac:dyDescent="0.15">
      <c r="A84" s="29"/>
      <c r="B84" s="97"/>
      <c r="C84" s="98"/>
      <c r="D84" s="98"/>
      <c r="E84" s="98"/>
      <c r="F84" s="99"/>
      <c r="G84" s="122"/>
      <c r="H84" s="123"/>
      <c r="I84" s="123"/>
      <c r="J84" s="124"/>
      <c r="K84" s="97"/>
      <c r="L84" s="98"/>
      <c r="M84" s="98"/>
      <c r="N84" s="98"/>
      <c r="O84" s="98"/>
      <c r="P84" s="98"/>
      <c r="Q84" s="99"/>
      <c r="R84" s="122"/>
      <c r="S84" s="123"/>
      <c r="T84" s="123"/>
      <c r="U84" s="124"/>
    </row>
    <row r="85" spans="1:21" ht="18" customHeight="1" x14ac:dyDescent="0.15">
      <c r="A85" s="29"/>
      <c r="B85" s="97"/>
      <c r="C85" s="98"/>
      <c r="D85" s="98"/>
      <c r="E85" s="98"/>
      <c r="F85" s="99"/>
      <c r="G85" s="122"/>
      <c r="H85" s="123"/>
      <c r="I85" s="123"/>
      <c r="J85" s="124"/>
      <c r="K85" s="97"/>
      <c r="L85" s="98"/>
      <c r="M85" s="98"/>
      <c r="N85" s="98"/>
      <c r="O85" s="98"/>
      <c r="P85" s="98"/>
      <c r="Q85" s="99"/>
      <c r="R85" s="122"/>
      <c r="S85" s="123"/>
      <c r="T85" s="123"/>
      <c r="U85" s="124"/>
    </row>
    <row r="86" spans="1:21" ht="18" customHeight="1" x14ac:dyDescent="0.15">
      <c r="A86" s="29"/>
      <c r="B86" s="97"/>
      <c r="C86" s="98"/>
      <c r="D86" s="98"/>
      <c r="E86" s="98"/>
      <c r="F86" s="99"/>
      <c r="G86" s="122"/>
      <c r="H86" s="123"/>
      <c r="I86" s="123"/>
      <c r="J86" s="124"/>
      <c r="K86" s="97"/>
      <c r="L86" s="98"/>
      <c r="M86" s="98"/>
      <c r="N86" s="98"/>
      <c r="O86" s="98"/>
      <c r="P86" s="98"/>
      <c r="Q86" s="99"/>
      <c r="R86" s="122"/>
      <c r="S86" s="123"/>
      <c r="T86" s="123"/>
      <c r="U86" s="124"/>
    </row>
    <row r="87" spans="1:21" ht="18" customHeight="1" x14ac:dyDescent="0.15">
      <c r="A87" s="29"/>
      <c r="B87" s="116"/>
      <c r="C87" s="117"/>
      <c r="D87" s="117"/>
      <c r="E87" s="117"/>
      <c r="F87" s="118"/>
      <c r="G87" s="128"/>
      <c r="H87" s="129"/>
      <c r="I87" s="129"/>
      <c r="J87" s="130"/>
      <c r="K87" s="116"/>
      <c r="L87" s="117"/>
      <c r="M87" s="117"/>
      <c r="N87" s="117"/>
      <c r="O87" s="117"/>
      <c r="P87" s="117"/>
      <c r="Q87" s="118"/>
      <c r="R87" s="128"/>
      <c r="S87" s="129"/>
      <c r="T87" s="129"/>
      <c r="U87" s="130"/>
    </row>
    <row r="88" spans="1:21" ht="18" customHeight="1" x14ac:dyDescent="0.15">
      <c r="A88" s="29"/>
      <c r="B88" s="27"/>
      <c r="C88" s="27"/>
      <c r="D88" s="27"/>
      <c r="E88" s="27"/>
      <c r="F88" s="27"/>
      <c r="G88" s="32"/>
      <c r="H88" s="32"/>
      <c r="I88" s="32"/>
      <c r="J88" s="32"/>
      <c r="K88" s="27"/>
      <c r="L88" s="27"/>
      <c r="M88" s="27"/>
      <c r="N88" s="27"/>
      <c r="O88" s="27"/>
      <c r="P88" s="27"/>
      <c r="Q88" s="27"/>
      <c r="R88" s="32"/>
      <c r="S88" s="32"/>
      <c r="T88" s="32"/>
      <c r="U88" s="32"/>
    </row>
    <row r="89" spans="1:21" ht="18.75" customHeight="1" x14ac:dyDescent="0.15">
      <c r="A89" s="25" t="s">
        <v>107</v>
      </c>
    </row>
    <row r="90" spans="1:21" ht="18.75" customHeight="1" x14ac:dyDescent="0.15">
      <c r="B90" s="131" t="s">
        <v>52</v>
      </c>
      <c r="C90" s="132"/>
      <c r="D90" s="84" t="s">
        <v>53</v>
      </c>
      <c r="E90" s="85"/>
      <c r="F90" s="85"/>
      <c r="G90" s="85"/>
      <c r="H90" s="85"/>
      <c r="I90" s="85"/>
      <c r="J90" s="85"/>
      <c r="K90" s="85"/>
      <c r="L90" s="85"/>
      <c r="M90" s="85"/>
      <c r="N90" s="85"/>
      <c r="O90" s="85"/>
      <c r="P90" s="85"/>
      <c r="Q90" s="85"/>
      <c r="R90" s="85"/>
      <c r="S90" s="85"/>
      <c r="T90" s="85"/>
      <c r="U90" s="86"/>
    </row>
    <row r="91" spans="1:21" ht="115.5" customHeight="1" x14ac:dyDescent="0.15">
      <c r="B91" s="133" t="s">
        <v>59</v>
      </c>
      <c r="C91" s="53" t="s">
        <v>54</v>
      </c>
      <c r="D91" s="135" t="s">
        <v>139</v>
      </c>
      <c r="E91" s="136"/>
      <c r="F91" s="136"/>
      <c r="G91" s="136"/>
      <c r="H91" s="136"/>
      <c r="I91" s="136"/>
      <c r="J91" s="136"/>
      <c r="K91" s="136"/>
      <c r="L91" s="136"/>
      <c r="M91" s="136"/>
      <c r="N91" s="136"/>
      <c r="O91" s="136"/>
      <c r="P91" s="136"/>
      <c r="Q91" s="136"/>
      <c r="R91" s="136"/>
      <c r="S91" s="136"/>
      <c r="T91" s="136"/>
      <c r="U91" s="137"/>
    </row>
    <row r="92" spans="1:21" ht="97.5" customHeight="1" x14ac:dyDescent="0.15">
      <c r="B92" s="141"/>
      <c r="C92" s="54" t="s">
        <v>74</v>
      </c>
      <c r="D92" s="138" t="s">
        <v>140</v>
      </c>
      <c r="E92" s="139"/>
      <c r="F92" s="139"/>
      <c r="G92" s="139"/>
      <c r="H92" s="139"/>
      <c r="I92" s="139"/>
      <c r="J92" s="139"/>
      <c r="K92" s="139"/>
      <c r="L92" s="139"/>
      <c r="M92" s="139"/>
      <c r="N92" s="139"/>
      <c r="O92" s="139"/>
      <c r="P92" s="139"/>
      <c r="Q92" s="139"/>
      <c r="R92" s="139"/>
      <c r="S92" s="139"/>
      <c r="T92" s="139"/>
      <c r="U92" s="140"/>
    </row>
    <row r="93" spans="1:21" ht="97.5" customHeight="1" x14ac:dyDescent="0.15">
      <c r="B93" s="133" t="s">
        <v>60</v>
      </c>
      <c r="C93" s="55" t="s">
        <v>68</v>
      </c>
      <c r="D93" s="135" t="s">
        <v>206</v>
      </c>
      <c r="E93" s="136"/>
      <c r="F93" s="136"/>
      <c r="G93" s="136"/>
      <c r="H93" s="136"/>
      <c r="I93" s="136"/>
      <c r="J93" s="136"/>
      <c r="K93" s="136"/>
      <c r="L93" s="136"/>
      <c r="M93" s="136"/>
      <c r="N93" s="136"/>
      <c r="O93" s="136"/>
      <c r="P93" s="136"/>
      <c r="Q93" s="136"/>
      <c r="R93" s="136"/>
      <c r="S93" s="136"/>
      <c r="T93" s="136"/>
      <c r="U93" s="137"/>
    </row>
    <row r="94" spans="1:21" ht="97.5" customHeight="1" x14ac:dyDescent="0.15">
      <c r="B94" s="134"/>
      <c r="C94" s="56" t="s">
        <v>69</v>
      </c>
      <c r="D94" s="138" t="s">
        <v>141</v>
      </c>
      <c r="E94" s="139"/>
      <c r="F94" s="139"/>
      <c r="G94" s="139"/>
      <c r="H94" s="139"/>
      <c r="I94" s="139"/>
      <c r="J94" s="139"/>
      <c r="K94" s="139"/>
      <c r="L94" s="139"/>
      <c r="M94" s="139"/>
      <c r="N94" s="139"/>
      <c r="O94" s="139"/>
      <c r="P94" s="139"/>
      <c r="Q94" s="139"/>
      <c r="R94" s="139"/>
      <c r="S94" s="139"/>
      <c r="T94" s="139"/>
      <c r="U94" s="140"/>
    </row>
    <row r="95" spans="1:21" ht="97.5" customHeight="1" x14ac:dyDescent="0.15">
      <c r="B95" s="133" t="s">
        <v>61</v>
      </c>
      <c r="C95" s="55" t="s">
        <v>70</v>
      </c>
      <c r="D95" s="135" t="s">
        <v>207</v>
      </c>
      <c r="E95" s="136"/>
      <c r="F95" s="136"/>
      <c r="G95" s="136"/>
      <c r="H95" s="136"/>
      <c r="I95" s="136"/>
      <c r="J95" s="136"/>
      <c r="K95" s="136"/>
      <c r="L95" s="136"/>
      <c r="M95" s="136"/>
      <c r="N95" s="136"/>
      <c r="O95" s="136"/>
      <c r="P95" s="136"/>
      <c r="Q95" s="136"/>
      <c r="R95" s="136"/>
      <c r="S95" s="136"/>
      <c r="T95" s="136"/>
      <c r="U95" s="137"/>
    </row>
    <row r="96" spans="1:21" ht="97.5" customHeight="1" x14ac:dyDescent="0.15">
      <c r="B96" s="134"/>
      <c r="C96" s="57" t="s">
        <v>71</v>
      </c>
      <c r="D96" s="138" t="s">
        <v>142</v>
      </c>
      <c r="E96" s="139"/>
      <c r="F96" s="139"/>
      <c r="G96" s="139"/>
      <c r="H96" s="139"/>
      <c r="I96" s="139"/>
      <c r="J96" s="139"/>
      <c r="K96" s="139"/>
      <c r="L96" s="139"/>
      <c r="M96" s="139"/>
      <c r="N96" s="139"/>
      <c r="O96" s="139"/>
      <c r="P96" s="139"/>
      <c r="Q96" s="139"/>
      <c r="R96" s="139"/>
      <c r="S96" s="139"/>
      <c r="T96" s="139"/>
      <c r="U96" s="140"/>
    </row>
    <row r="97" spans="1:33" ht="97.5" customHeight="1" x14ac:dyDescent="0.15">
      <c r="B97" s="133" t="s">
        <v>75</v>
      </c>
      <c r="C97" s="53" t="s">
        <v>56</v>
      </c>
      <c r="D97" s="135" t="s">
        <v>143</v>
      </c>
      <c r="E97" s="136"/>
      <c r="F97" s="136"/>
      <c r="G97" s="136"/>
      <c r="H97" s="136"/>
      <c r="I97" s="136"/>
      <c r="J97" s="136"/>
      <c r="K97" s="136"/>
      <c r="L97" s="136"/>
      <c r="M97" s="136"/>
      <c r="N97" s="136"/>
      <c r="O97" s="136"/>
      <c r="P97" s="136"/>
      <c r="Q97" s="136"/>
      <c r="R97" s="136"/>
      <c r="S97" s="136"/>
      <c r="T97" s="136"/>
      <c r="U97" s="137"/>
    </row>
    <row r="98" spans="1:33" ht="97.5" customHeight="1" x14ac:dyDescent="0.15">
      <c r="B98" s="134"/>
      <c r="C98" s="56" t="s">
        <v>58</v>
      </c>
      <c r="D98" s="138" t="s">
        <v>144</v>
      </c>
      <c r="E98" s="139"/>
      <c r="F98" s="139"/>
      <c r="G98" s="139"/>
      <c r="H98" s="139"/>
      <c r="I98" s="139"/>
      <c r="J98" s="139"/>
      <c r="K98" s="139"/>
      <c r="L98" s="139"/>
      <c r="M98" s="139"/>
      <c r="N98" s="139"/>
      <c r="O98" s="139"/>
      <c r="P98" s="139"/>
      <c r="Q98" s="139"/>
      <c r="R98" s="139"/>
      <c r="S98" s="139"/>
      <c r="T98" s="139"/>
      <c r="U98" s="140"/>
    </row>
    <row r="99" spans="1:33" ht="97.5" customHeight="1" x14ac:dyDescent="0.15">
      <c r="B99" s="133" t="s">
        <v>76</v>
      </c>
      <c r="C99" s="55" t="s">
        <v>55</v>
      </c>
      <c r="D99" s="135" t="s">
        <v>145</v>
      </c>
      <c r="E99" s="136"/>
      <c r="F99" s="136"/>
      <c r="G99" s="136"/>
      <c r="H99" s="136"/>
      <c r="I99" s="136"/>
      <c r="J99" s="136"/>
      <c r="K99" s="136"/>
      <c r="L99" s="136"/>
      <c r="M99" s="136"/>
      <c r="N99" s="136"/>
      <c r="O99" s="136"/>
      <c r="P99" s="136"/>
      <c r="Q99" s="136"/>
      <c r="R99" s="136"/>
      <c r="S99" s="136"/>
      <c r="T99" s="136"/>
      <c r="U99" s="137"/>
    </row>
    <row r="100" spans="1:33" ht="97.5" customHeight="1" x14ac:dyDescent="0.15">
      <c r="B100" s="141"/>
      <c r="C100" s="58" t="s">
        <v>72</v>
      </c>
      <c r="D100" s="145" t="s">
        <v>146</v>
      </c>
      <c r="E100" s="146"/>
      <c r="F100" s="146"/>
      <c r="G100" s="146"/>
      <c r="H100" s="146"/>
      <c r="I100" s="146"/>
      <c r="J100" s="146"/>
      <c r="K100" s="146"/>
      <c r="L100" s="146"/>
      <c r="M100" s="146"/>
      <c r="N100" s="146"/>
      <c r="O100" s="146"/>
      <c r="P100" s="146"/>
      <c r="Q100" s="146"/>
      <c r="R100" s="146"/>
      <c r="S100" s="146"/>
      <c r="T100" s="146"/>
      <c r="U100" s="147"/>
    </row>
    <row r="101" spans="1:33" ht="97.5" customHeight="1" x14ac:dyDescent="0.15">
      <c r="B101" s="134"/>
      <c r="C101" s="57" t="s">
        <v>73</v>
      </c>
      <c r="D101" s="138" t="s">
        <v>147</v>
      </c>
      <c r="E101" s="139"/>
      <c r="F101" s="139"/>
      <c r="G101" s="139"/>
      <c r="H101" s="139"/>
      <c r="I101" s="139"/>
      <c r="J101" s="139"/>
      <c r="K101" s="139"/>
      <c r="L101" s="139"/>
      <c r="M101" s="139"/>
      <c r="N101" s="139"/>
      <c r="O101" s="139"/>
      <c r="P101" s="139"/>
      <c r="Q101" s="139"/>
      <c r="R101" s="139"/>
      <c r="S101" s="139"/>
      <c r="T101" s="139"/>
      <c r="U101" s="140"/>
    </row>
    <row r="102" spans="1:33" ht="6" customHeight="1" x14ac:dyDescent="0.15"/>
    <row r="103" spans="1:33" ht="18.75" customHeight="1" x14ac:dyDescent="0.15">
      <c r="A103" s="25" t="s">
        <v>108</v>
      </c>
    </row>
    <row r="104" spans="1:33" ht="111.75" customHeight="1" x14ac:dyDescent="0.15">
      <c r="B104" s="148" t="s">
        <v>197</v>
      </c>
      <c r="C104" s="149"/>
      <c r="D104" s="149"/>
      <c r="E104" s="149"/>
      <c r="F104" s="149"/>
      <c r="G104" s="149"/>
      <c r="H104" s="149"/>
      <c r="I104" s="149"/>
      <c r="J104" s="149"/>
      <c r="K104" s="149"/>
      <c r="L104" s="149"/>
      <c r="M104" s="149"/>
      <c r="N104" s="149"/>
      <c r="O104" s="149"/>
      <c r="P104" s="149"/>
      <c r="Q104" s="149"/>
      <c r="R104" s="149"/>
      <c r="S104" s="149"/>
      <c r="T104" s="149"/>
      <c r="U104" s="150"/>
    </row>
    <row r="106" spans="1:33" ht="18.75" customHeight="1" x14ac:dyDescent="0.15">
      <c r="A106" s="24" t="s">
        <v>123</v>
      </c>
    </row>
    <row r="107" spans="1:33" ht="18.75" customHeight="1" x14ac:dyDescent="0.15">
      <c r="A107" s="24" t="s">
        <v>125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row>
    <row r="108" spans="1:33" ht="18.75" customHeight="1" x14ac:dyDescent="0.15">
      <c r="A108" s="24"/>
      <c r="B108" s="151" t="s">
        <v>128</v>
      </c>
      <c r="C108" s="151"/>
      <c r="D108" s="151"/>
      <c r="E108" s="151"/>
      <c r="F108" s="151"/>
      <c r="G108" s="151"/>
      <c r="H108" s="151"/>
      <c r="I108" s="151"/>
      <c r="J108" s="151"/>
      <c r="K108" s="151"/>
      <c r="L108" s="151"/>
      <c r="M108" s="151"/>
      <c r="N108" s="151"/>
      <c r="O108" s="151"/>
      <c r="P108" s="151"/>
      <c r="Q108" s="151"/>
      <c r="R108" s="151"/>
      <c r="S108" s="151"/>
      <c r="T108" s="151"/>
      <c r="U108" s="151"/>
      <c r="V108" s="59"/>
      <c r="W108" s="59"/>
      <c r="X108" s="59"/>
      <c r="Y108" s="59"/>
      <c r="Z108" s="59"/>
      <c r="AA108" s="59"/>
      <c r="AB108" s="59"/>
      <c r="AC108" s="59"/>
      <c r="AD108" s="59"/>
      <c r="AE108" s="59"/>
      <c r="AF108" s="59"/>
      <c r="AG108" s="59"/>
    </row>
    <row r="109" spans="1:33" ht="37.15" customHeight="1" x14ac:dyDescent="0.15">
      <c r="A109" s="24"/>
      <c r="B109" s="151"/>
      <c r="C109" s="151"/>
      <c r="D109" s="151"/>
      <c r="E109" s="151"/>
      <c r="F109" s="151"/>
      <c r="G109" s="151"/>
      <c r="H109" s="151"/>
      <c r="I109" s="151"/>
      <c r="J109" s="151"/>
      <c r="K109" s="151"/>
      <c r="L109" s="151"/>
      <c r="M109" s="151"/>
      <c r="N109" s="151"/>
      <c r="O109" s="151"/>
      <c r="P109" s="151"/>
      <c r="Q109" s="151"/>
      <c r="R109" s="151"/>
      <c r="S109" s="151"/>
      <c r="T109" s="151"/>
      <c r="U109" s="151"/>
      <c r="V109" s="59"/>
      <c r="W109" s="59"/>
      <c r="X109" s="59"/>
      <c r="Y109" s="59"/>
      <c r="Z109" s="59"/>
      <c r="AA109" s="59"/>
      <c r="AB109" s="59"/>
      <c r="AC109" s="59"/>
      <c r="AD109" s="59"/>
      <c r="AE109" s="59"/>
      <c r="AF109" s="59"/>
      <c r="AG109" s="59"/>
    </row>
    <row r="110" spans="1:33" ht="18.75" customHeight="1" x14ac:dyDescent="0.15">
      <c r="A110" s="24"/>
      <c r="B110" s="142" t="s">
        <v>124</v>
      </c>
      <c r="C110" s="142"/>
      <c r="D110" s="142"/>
      <c r="E110" s="142"/>
      <c r="F110" s="142"/>
      <c r="G110" s="142"/>
      <c r="H110" s="142"/>
      <c r="I110" s="142"/>
      <c r="J110" s="142"/>
      <c r="K110" s="142"/>
      <c r="L110" s="142"/>
      <c r="M110" s="142"/>
      <c r="N110" s="142"/>
      <c r="O110" s="142"/>
      <c r="P110" s="142"/>
      <c r="Q110" s="142"/>
      <c r="R110" s="142"/>
      <c r="S110" s="142"/>
      <c r="T110" s="142"/>
      <c r="U110" s="142"/>
      <c r="V110" s="59"/>
      <c r="W110" s="59"/>
      <c r="X110" s="59"/>
      <c r="Y110" s="59"/>
      <c r="Z110" s="59"/>
      <c r="AA110" s="59"/>
      <c r="AB110" s="59"/>
      <c r="AC110" s="59"/>
      <c r="AD110" s="59"/>
      <c r="AE110" s="59"/>
      <c r="AF110" s="59"/>
      <c r="AG110" s="59"/>
    </row>
    <row r="111" spans="1:33" ht="18.75" customHeight="1" x14ac:dyDescent="0.15">
      <c r="A111" s="24"/>
      <c r="B111" s="143" t="s">
        <v>53</v>
      </c>
      <c r="C111" s="143"/>
      <c r="D111" s="143"/>
      <c r="E111" s="143"/>
      <c r="F111" s="143"/>
      <c r="G111" s="143"/>
      <c r="H111" s="143"/>
      <c r="I111" s="143"/>
      <c r="J111" s="143"/>
      <c r="K111" s="143"/>
      <c r="L111" s="143"/>
      <c r="M111" s="143"/>
      <c r="N111" s="143"/>
      <c r="O111" s="143"/>
      <c r="P111" s="143"/>
      <c r="Q111" s="143"/>
      <c r="R111" s="143"/>
      <c r="S111" s="143"/>
      <c r="T111" s="143"/>
      <c r="U111" s="143"/>
      <c r="V111" s="24"/>
      <c r="W111" s="24"/>
      <c r="X111" s="24"/>
      <c r="Y111" s="24"/>
      <c r="Z111" s="24"/>
      <c r="AA111" s="24"/>
      <c r="AB111" s="24"/>
      <c r="AC111" s="24"/>
      <c r="AD111" s="24"/>
      <c r="AE111" s="24"/>
      <c r="AF111" s="24"/>
      <c r="AG111" s="24"/>
    </row>
    <row r="112" spans="1:33" ht="132" customHeight="1" x14ac:dyDescent="0.15">
      <c r="A112" s="24"/>
      <c r="B112" s="144" t="s">
        <v>160</v>
      </c>
      <c r="C112" s="144"/>
      <c r="D112" s="144"/>
      <c r="E112" s="144"/>
      <c r="F112" s="144"/>
      <c r="G112" s="144"/>
      <c r="H112" s="144"/>
      <c r="I112" s="144"/>
      <c r="J112" s="144"/>
      <c r="K112" s="144"/>
      <c r="L112" s="144"/>
      <c r="M112" s="144"/>
      <c r="N112" s="144"/>
      <c r="O112" s="144"/>
      <c r="P112" s="144"/>
      <c r="Q112" s="144"/>
      <c r="R112" s="144"/>
      <c r="S112" s="144"/>
      <c r="T112" s="144"/>
      <c r="U112" s="144"/>
      <c r="V112" s="60"/>
      <c r="W112" s="60"/>
      <c r="X112" s="60"/>
      <c r="Y112" s="60"/>
      <c r="Z112" s="60"/>
      <c r="AA112" s="60"/>
      <c r="AB112" s="60"/>
      <c r="AC112" s="60"/>
      <c r="AD112" s="60"/>
      <c r="AE112" s="60"/>
      <c r="AF112" s="60"/>
      <c r="AG112" s="60"/>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V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N22:V22">
      <formula1>$V$14:$V$16</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U34 U45 E34:H34 E45:H45">
      <formula1>"全学開講,一部開講"</formula1>
    </dataValidation>
    <dataValidation type="list" allowBlank="1" showInputMessage="1" showErrorMessage="1" sqref="H27:J33 S27:U33 H38:J44 S38:U44 H49:J55 S49:U55 H60:J66 S60:U66 G71:J77 R71:U77">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topLeftCell="A92" zoomScaleNormal="100" zoomScaleSheetLayoutView="100" workbookViewId="0">
      <selection activeCell="D95" sqref="D95:U95"/>
    </sheetView>
  </sheetViews>
  <sheetFormatPr defaultColWidth="9" defaultRowHeight="18.75" customHeight="1" x14ac:dyDescent="0.15"/>
  <cols>
    <col min="1" max="1" width="2.5" style="25" customWidth="1"/>
    <col min="2" max="2" width="16.5" style="25" customWidth="1"/>
    <col min="3" max="21" width="5.625" style="25" customWidth="1"/>
    <col min="22" max="22" width="9" style="25"/>
    <col min="23" max="23" width="3.625" style="25" customWidth="1"/>
    <col min="24" max="24" width="48.625" style="25" hidden="1" customWidth="1"/>
    <col min="25" max="16384" width="9" style="25"/>
  </cols>
  <sheetData>
    <row r="1" spans="1:24" ht="18.600000000000001" customHeight="1" x14ac:dyDescent="0.15">
      <c r="T1" s="83" t="s">
        <v>170</v>
      </c>
      <c r="U1" s="83"/>
      <c r="V1" s="24" t="s">
        <v>99</v>
      </c>
    </row>
    <row r="2" spans="1:24" ht="18.75" customHeight="1" x14ac:dyDescent="0.15">
      <c r="B2" s="42" t="s">
        <v>98</v>
      </c>
      <c r="C2" s="84" t="s">
        <v>134</v>
      </c>
      <c r="D2" s="85"/>
      <c r="E2" s="85"/>
      <c r="F2" s="85"/>
      <c r="G2" s="85"/>
      <c r="H2" s="85"/>
      <c r="I2" s="85"/>
      <c r="J2" s="86"/>
      <c r="K2" s="26"/>
      <c r="L2" s="27"/>
      <c r="M2" s="27"/>
      <c r="N2" s="27"/>
      <c r="O2" s="27"/>
      <c r="P2" s="27"/>
      <c r="Q2" s="27"/>
      <c r="R2" s="27"/>
      <c r="S2" s="27"/>
      <c r="T2" s="27"/>
      <c r="U2" s="27"/>
    </row>
    <row r="3" spans="1:24" ht="18.75" customHeight="1" x14ac:dyDescent="0.15">
      <c r="B3" s="42" t="s">
        <v>93</v>
      </c>
      <c r="C3" s="84" t="s">
        <v>169</v>
      </c>
      <c r="D3" s="85"/>
      <c r="E3" s="85"/>
      <c r="F3" s="85"/>
      <c r="G3" s="85"/>
      <c r="H3" s="85"/>
      <c r="I3" s="85"/>
      <c r="J3" s="86"/>
      <c r="K3" s="26"/>
      <c r="L3" s="27"/>
      <c r="M3" s="27"/>
      <c r="N3" s="27"/>
      <c r="O3" s="27"/>
      <c r="P3" s="27"/>
      <c r="Q3" s="27"/>
      <c r="R3" s="27"/>
      <c r="S3" s="27"/>
      <c r="T3" s="27"/>
      <c r="U3" s="27"/>
    </row>
    <row r="4" spans="1:24" ht="15" customHeight="1" x14ac:dyDescent="0.15">
      <c r="L4" s="26"/>
      <c r="M4" s="28"/>
      <c r="N4" s="28"/>
      <c r="O4" s="28"/>
      <c r="P4" s="28"/>
      <c r="Q4" s="28"/>
      <c r="R4" s="28"/>
      <c r="S4" s="28"/>
      <c r="T4" s="28"/>
      <c r="U4" s="28"/>
    </row>
    <row r="5" spans="1:24" ht="18" customHeight="1" x14ac:dyDescent="0.15">
      <c r="A5" s="87" t="s">
        <v>37</v>
      </c>
      <c r="B5" s="87"/>
      <c r="C5" s="87"/>
      <c r="D5" s="87"/>
      <c r="E5" s="87"/>
      <c r="F5" s="87"/>
      <c r="G5" s="87"/>
      <c r="H5" s="87"/>
      <c r="I5" s="87"/>
      <c r="J5" s="87"/>
      <c r="K5" s="87"/>
      <c r="L5" s="87"/>
      <c r="M5" s="87"/>
      <c r="N5" s="87"/>
      <c r="O5" s="87"/>
      <c r="P5" s="87"/>
      <c r="Q5" s="87"/>
      <c r="R5" s="87"/>
      <c r="S5" s="87"/>
      <c r="T5" s="87"/>
      <c r="U5" s="87"/>
    </row>
    <row r="6" spans="1:24" ht="15" customHeight="1" x14ac:dyDescent="0.15">
      <c r="B6" s="29"/>
      <c r="C6" s="29"/>
      <c r="D6" s="29"/>
      <c r="E6" s="29"/>
      <c r="F6" s="29"/>
      <c r="G6" s="29"/>
      <c r="H6" s="29"/>
      <c r="I6" s="29"/>
      <c r="J6" s="29"/>
      <c r="K6" s="29"/>
      <c r="L6" s="29"/>
      <c r="M6" s="29"/>
      <c r="N6" s="29"/>
      <c r="O6" s="29"/>
      <c r="P6" s="29"/>
      <c r="Q6" s="29"/>
      <c r="R6" s="29"/>
      <c r="S6" s="29"/>
      <c r="T6" s="29"/>
      <c r="U6" s="29"/>
    </row>
    <row r="7" spans="1:24" ht="15" customHeight="1" x14ac:dyDescent="0.15">
      <c r="A7" s="25" t="s">
        <v>129</v>
      </c>
      <c r="B7" s="29"/>
      <c r="C7" s="29"/>
      <c r="D7" s="29"/>
      <c r="E7" s="29"/>
      <c r="F7" s="24"/>
      <c r="G7" s="24"/>
      <c r="H7" s="24"/>
      <c r="I7" s="24"/>
      <c r="J7" s="24"/>
      <c r="K7" s="24"/>
      <c r="L7" s="88" t="s">
        <v>163</v>
      </c>
      <c r="M7" s="89"/>
      <c r="N7" s="89"/>
      <c r="O7" s="89"/>
      <c r="P7" s="89"/>
      <c r="Q7" s="89"/>
      <c r="R7" s="89"/>
      <c r="S7" s="89"/>
      <c r="T7" s="89"/>
      <c r="U7" s="90"/>
    </row>
    <row r="8" spans="1:24" ht="6" customHeight="1" x14ac:dyDescent="0.15">
      <c r="B8" s="29"/>
      <c r="C8" s="29"/>
      <c r="D8" s="29"/>
      <c r="E8" s="29"/>
      <c r="F8" s="29"/>
      <c r="G8" s="29"/>
      <c r="H8" s="29"/>
      <c r="I8" s="29"/>
      <c r="J8" s="29"/>
      <c r="K8" s="29"/>
      <c r="L8" s="29"/>
      <c r="M8" s="29"/>
      <c r="N8" s="29"/>
      <c r="O8" s="29"/>
      <c r="P8" s="29"/>
      <c r="Q8" s="29"/>
      <c r="R8" s="29"/>
      <c r="S8" s="29"/>
      <c r="T8" s="29"/>
      <c r="U8" s="29"/>
    </row>
    <row r="9" spans="1:24" ht="18" customHeight="1" x14ac:dyDescent="0.15">
      <c r="A9" s="25" t="s">
        <v>130</v>
      </c>
      <c r="C9" s="29"/>
      <c r="D9" s="29"/>
      <c r="K9" s="26"/>
      <c r="L9" s="24"/>
      <c r="M9" s="24"/>
      <c r="N9" s="24"/>
      <c r="O9" s="24"/>
      <c r="P9" s="24"/>
      <c r="Q9" s="24"/>
      <c r="R9" s="24"/>
      <c r="S9" s="24"/>
      <c r="T9" s="24"/>
      <c r="U9" s="24"/>
    </row>
    <row r="10" spans="1:24" ht="6" customHeight="1" x14ac:dyDescent="0.15">
      <c r="B10" s="29"/>
      <c r="C10" s="29"/>
      <c r="D10" s="29"/>
      <c r="E10" s="29"/>
      <c r="F10" s="29"/>
      <c r="G10" s="29"/>
      <c r="H10" s="29"/>
      <c r="I10" s="29"/>
      <c r="J10" s="29"/>
      <c r="K10" s="29"/>
      <c r="L10" s="30"/>
      <c r="M10" s="29"/>
      <c r="N10" s="29"/>
      <c r="O10" s="29"/>
      <c r="P10" s="29"/>
      <c r="Q10" s="29"/>
      <c r="R10" s="29"/>
      <c r="S10" s="29"/>
      <c r="T10" s="29"/>
      <c r="U10" s="29"/>
    </row>
    <row r="11" spans="1:24" ht="18" customHeight="1" x14ac:dyDescent="0.15">
      <c r="B11" s="91" t="s">
        <v>165</v>
      </c>
      <c r="C11" s="92"/>
      <c r="D11" s="92"/>
      <c r="E11" s="92"/>
      <c r="F11" s="92"/>
      <c r="G11" s="92"/>
      <c r="H11" s="92"/>
      <c r="I11" s="92"/>
      <c r="J11" s="92"/>
      <c r="K11" s="92"/>
      <c r="L11" s="92"/>
      <c r="M11" s="92"/>
      <c r="N11" s="92"/>
      <c r="O11" s="92"/>
      <c r="P11" s="92"/>
      <c r="Q11" s="92"/>
      <c r="R11" s="92"/>
      <c r="S11" s="92"/>
      <c r="T11" s="92"/>
      <c r="U11" s="93"/>
    </row>
    <row r="12" spans="1:24" ht="18" customHeight="1" x14ac:dyDescent="0.15">
      <c r="B12" s="94"/>
      <c r="C12" s="95"/>
      <c r="D12" s="95"/>
      <c r="E12" s="95"/>
      <c r="F12" s="95"/>
      <c r="G12" s="95"/>
      <c r="H12" s="95"/>
      <c r="I12" s="95"/>
      <c r="J12" s="95"/>
      <c r="K12" s="95"/>
      <c r="L12" s="95"/>
      <c r="M12" s="95"/>
      <c r="N12" s="95"/>
      <c r="O12" s="95"/>
      <c r="P12" s="95"/>
      <c r="Q12" s="95"/>
      <c r="R12" s="95"/>
      <c r="S12" s="95"/>
      <c r="T12" s="95"/>
      <c r="U12" s="96"/>
    </row>
    <row r="13" spans="1:24" ht="6" customHeight="1" x14ac:dyDescent="0.15">
      <c r="B13" s="29"/>
      <c r="C13" s="29"/>
      <c r="D13" s="29"/>
      <c r="E13" s="29"/>
      <c r="F13" s="29"/>
      <c r="G13" s="29"/>
      <c r="H13" s="29"/>
      <c r="I13" s="29"/>
      <c r="J13" s="29"/>
      <c r="K13" s="29"/>
      <c r="L13" s="30"/>
      <c r="M13" s="29"/>
      <c r="N13" s="29"/>
      <c r="O13" s="29"/>
      <c r="P13" s="29"/>
      <c r="Q13" s="29"/>
      <c r="R13" s="29"/>
      <c r="S13" s="29"/>
      <c r="T13" s="29"/>
      <c r="U13" s="29"/>
    </row>
    <row r="14" spans="1:24" ht="18" customHeight="1" x14ac:dyDescent="0.15">
      <c r="A14" s="25" t="s">
        <v>100</v>
      </c>
      <c r="B14" s="29"/>
      <c r="C14" s="29"/>
      <c r="D14" s="29"/>
      <c r="E14" s="26"/>
      <c r="F14" s="26"/>
      <c r="G14" s="26"/>
      <c r="H14" s="26"/>
      <c r="I14" s="26"/>
      <c r="J14" s="26"/>
      <c r="K14" s="26"/>
      <c r="L14" s="31"/>
      <c r="M14" s="31"/>
      <c r="N14" s="31"/>
      <c r="O14" s="31"/>
      <c r="P14" s="31"/>
      <c r="Q14" s="31"/>
      <c r="R14" s="31"/>
      <c r="S14" s="31"/>
      <c r="T14" s="31"/>
      <c r="U14" s="31"/>
    </row>
    <row r="15" spans="1:24" ht="18" customHeight="1" x14ac:dyDescent="0.15">
      <c r="B15" s="100" t="s">
        <v>187</v>
      </c>
      <c r="C15" s="101"/>
      <c r="D15" s="101"/>
      <c r="E15" s="101"/>
      <c r="F15" s="101"/>
      <c r="G15" s="101"/>
      <c r="H15" s="101"/>
      <c r="I15" s="101"/>
      <c r="J15" s="101"/>
      <c r="K15" s="101"/>
      <c r="L15" s="101"/>
      <c r="M15" s="101"/>
      <c r="N15" s="101"/>
      <c r="O15" s="101"/>
      <c r="P15" s="101"/>
      <c r="Q15" s="101"/>
      <c r="R15" s="101"/>
      <c r="S15" s="101"/>
      <c r="T15" s="101"/>
      <c r="U15" s="102"/>
      <c r="X15" s="25" t="s">
        <v>94</v>
      </c>
    </row>
    <row r="16" spans="1:24" ht="18" customHeight="1" x14ac:dyDescent="0.15">
      <c r="B16" s="103"/>
      <c r="C16" s="104"/>
      <c r="D16" s="104"/>
      <c r="E16" s="104"/>
      <c r="F16" s="104"/>
      <c r="G16" s="104"/>
      <c r="H16" s="104"/>
      <c r="I16" s="104"/>
      <c r="J16" s="104"/>
      <c r="K16" s="104"/>
      <c r="L16" s="104"/>
      <c r="M16" s="104"/>
      <c r="N16" s="104"/>
      <c r="O16" s="104"/>
      <c r="P16" s="104"/>
      <c r="Q16" s="104"/>
      <c r="R16" s="104"/>
      <c r="S16" s="104"/>
      <c r="T16" s="104"/>
      <c r="U16" s="105"/>
      <c r="X16" s="25" t="s">
        <v>113</v>
      </c>
    </row>
    <row r="17" spans="1:24" ht="18" customHeight="1" x14ac:dyDescent="0.15">
      <c r="B17" s="103"/>
      <c r="C17" s="104"/>
      <c r="D17" s="104"/>
      <c r="E17" s="104"/>
      <c r="F17" s="104"/>
      <c r="G17" s="104"/>
      <c r="H17" s="104"/>
      <c r="I17" s="104"/>
      <c r="J17" s="104"/>
      <c r="K17" s="104"/>
      <c r="L17" s="104"/>
      <c r="M17" s="104"/>
      <c r="N17" s="104"/>
      <c r="O17" s="104"/>
      <c r="P17" s="104"/>
      <c r="Q17" s="104"/>
      <c r="R17" s="104"/>
      <c r="S17" s="104"/>
      <c r="T17" s="104"/>
      <c r="U17" s="105"/>
      <c r="X17" s="25" t="s">
        <v>114</v>
      </c>
    </row>
    <row r="18" spans="1:24" ht="18" customHeight="1" x14ac:dyDescent="0.15">
      <c r="B18" s="103"/>
      <c r="C18" s="104"/>
      <c r="D18" s="104"/>
      <c r="E18" s="104"/>
      <c r="F18" s="104"/>
      <c r="G18" s="104"/>
      <c r="H18" s="104"/>
      <c r="I18" s="104"/>
      <c r="J18" s="104"/>
      <c r="K18" s="104"/>
      <c r="L18" s="104"/>
      <c r="M18" s="104"/>
      <c r="N18" s="104"/>
      <c r="O18" s="104"/>
      <c r="P18" s="104"/>
      <c r="Q18" s="104"/>
      <c r="R18" s="104"/>
      <c r="S18" s="104"/>
      <c r="T18" s="104"/>
      <c r="U18" s="105"/>
      <c r="X18" s="25" t="s">
        <v>115</v>
      </c>
    </row>
    <row r="19" spans="1:24" ht="18" customHeight="1" x14ac:dyDescent="0.15">
      <c r="B19" s="103"/>
      <c r="C19" s="104"/>
      <c r="D19" s="104"/>
      <c r="E19" s="104"/>
      <c r="F19" s="104"/>
      <c r="G19" s="104"/>
      <c r="H19" s="104"/>
      <c r="I19" s="104"/>
      <c r="J19" s="104"/>
      <c r="K19" s="104"/>
      <c r="L19" s="104"/>
      <c r="M19" s="104"/>
      <c r="N19" s="104"/>
      <c r="O19" s="104"/>
      <c r="P19" s="104"/>
      <c r="Q19" s="104"/>
      <c r="R19" s="104"/>
      <c r="S19" s="104"/>
      <c r="T19" s="104"/>
      <c r="U19" s="105"/>
    </row>
    <row r="20" spans="1:24" ht="18" customHeight="1" x14ac:dyDescent="0.15">
      <c r="B20" s="106"/>
      <c r="C20" s="107"/>
      <c r="D20" s="107"/>
      <c r="E20" s="107"/>
      <c r="F20" s="107"/>
      <c r="G20" s="107"/>
      <c r="H20" s="107"/>
      <c r="I20" s="107"/>
      <c r="J20" s="107"/>
      <c r="K20" s="107"/>
      <c r="L20" s="107"/>
      <c r="M20" s="107"/>
      <c r="N20" s="107"/>
      <c r="O20" s="107"/>
      <c r="P20" s="107"/>
      <c r="Q20" s="107"/>
      <c r="R20" s="107"/>
      <c r="S20" s="107"/>
      <c r="T20" s="107"/>
      <c r="U20" s="108"/>
    </row>
    <row r="21" spans="1:24" ht="7.5" customHeight="1" x14ac:dyDescent="0.15">
      <c r="B21" s="29"/>
      <c r="C21" s="29"/>
      <c r="D21" s="29"/>
      <c r="E21" s="29"/>
      <c r="F21" s="29"/>
      <c r="G21" s="29"/>
      <c r="H21" s="29"/>
      <c r="I21" s="29"/>
      <c r="J21" s="29"/>
      <c r="K21" s="29"/>
      <c r="L21" s="29"/>
      <c r="M21" s="29"/>
      <c r="N21" s="29"/>
      <c r="O21" s="29"/>
      <c r="P21" s="29"/>
      <c r="Q21" s="29"/>
      <c r="R21" s="29"/>
      <c r="S21" s="29"/>
      <c r="T21" s="29"/>
      <c r="U21" s="29"/>
    </row>
    <row r="22" spans="1:24" ht="19.899999999999999" customHeight="1" x14ac:dyDescent="0.15">
      <c r="B22" s="25" t="s">
        <v>131</v>
      </c>
      <c r="E22" s="36">
        <v>1</v>
      </c>
      <c r="F22" s="25" t="s">
        <v>111</v>
      </c>
      <c r="H22" s="36">
        <v>2</v>
      </c>
      <c r="I22" s="29" t="s">
        <v>112</v>
      </c>
      <c r="J22" s="29"/>
      <c r="K22" s="26"/>
      <c r="M22" s="26" t="s">
        <v>109</v>
      </c>
      <c r="N22" s="109" t="s">
        <v>136</v>
      </c>
      <c r="O22" s="110"/>
      <c r="P22" s="110"/>
      <c r="Q22" s="110"/>
      <c r="R22" s="110"/>
      <c r="S22" s="110"/>
      <c r="T22" s="110"/>
      <c r="U22" s="110"/>
      <c r="V22" s="111"/>
    </row>
    <row r="23" spans="1:24" ht="17.649999999999999" customHeight="1" x14ac:dyDescent="0.15">
      <c r="B23" s="29"/>
      <c r="C23" s="29"/>
      <c r="D23" s="29"/>
      <c r="E23" s="29"/>
      <c r="F23" s="29"/>
      <c r="G23" s="29"/>
      <c r="H23" s="29"/>
      <c r="I23" s="29"/>
      <c r="J23" s="29"/>
      <c r="K23" s="29"/>
      <c r="L23" s="29"/>
      <c r="M23" s="29"/>
      <c r="N23" s="29"/>
      <c r="O23" s="29"/>
      <c r="P23" s="29"/>
      <c r="Q23" s="29"/>
      <c r="R23" s="29"/>
      <c r="S23" s="29"/>
      <c r="T23" s="29"/>
      <c r="U23" s="29"/>
    </row>
    <row r="24" spans="1:24" ht="18" customHeight="1" x14ac:dyDescent="0.15">
      <c r="A24" s="112" t="s">
        <v>101</v>
      </c>
      <c r="B24" s="112"/>
      <c r="C24" s="112"/>
      <c r="D24" s="112"/>
      <c r="E24" s="112"/>
      <c r="F24" s="112"/>
      <c r="G24" s="112"/>
      <c r="H24" s="112"/>
      <c r="I24" s="112"/>
      <c r="J24" s="112"/>
      <c r="K24" s="112"/>
      <c r="L24" s="112"/>
      <c r="M24" s="112"/>
      <c r="N24" s="112"/>
      <c r="O24" s="112"/>
      <c r="P24" s="112"/>
      <c r="Q24" s="112"/>
      <c r="R24" s="112"/>
      <c r="S24" s="112"/>
      <c r="T24" s="112"/>
      <c r="U24" s="112"/>
    </row>
    <row r="25" spans="1:24" ht="18" customHeight="1" x14ac:dyDescent="0.15">
      <c r="A25" s="112"/>
      <c r="B25" s="112"/>
      <c r="C25" s="112"/>
      <c r="D25" s="112"/>
      <c r="E25" s="112"/>
      <c r="F25" s="112"/>
      <c r="G25" s="112"/>
      <c r="H25" s="112"/>
      <c r="I25" s="112"/>
      <c r="J25" s="112"/>
      <c r="K25" s="112"/>
      <c r="L25" s="112"/>
      <c r="M25" s="112"/>
      <c r="N25" s="112"/>
      <c r="O25" s="112"/>
      <c r="P25" s="112"/>
      <c r="Q25" s="112"/>
      <c r="R25" s="112"/>
      <c r="S25" s="112"/>
      <c r="T25" s="112"/>
      <c r="U25" s="112"/>
    </row>
    <row r="26" spans="1:24" ht="18" customHeight="1" x14ac:dyDescent="0.15">
      <c r="B26" s="84" t="s">
        <v>51</v>
      </c>
      <c r="C26" s="85"/>
      <c r="D26" s="85"/>
      <c r="E26" s="85"/>
      <c r="F26" s="86"/>
      <c r="G26" s="45" t="s">
        <v>77</v>
      </c>
      <c r="H26" s="46" t="s">
        <v>80</v>
      </c>
      <c r="I26" s="47" t="s">
        <v>54</v>
      </c>
      <c r="J26" s="47" t="s">
        <v>57</v>
      </c>
      <c r="K26" s="84" t="s">
        <v>51</v>
      </c>
      <c r="L26" s="85"/>
      <c r="M26" s="85"/>
      <c r="N26" s="85"/>
      <c r="O26" s="85"/>
      <c r="P26" s="85"/>
      <c r="Q26" s="86"/>
      <c r="R26" s="45" t="s">
        <v>77</v>
      </c>
      <c r="S26" s="46" t="s">
        <v>80</v>
      </c>
      <c r="T26" s="47" t="s">
        <v>54</v>
      </c>
      <c r="U26" s="47" t="s">
        <v>57</v>
      </c>
    </row>
    <row r="27" spans="1:24" ht="18" customHeight="1" x14ac:dyDescent="0.15">
      <c r="B27" s="113" t="s">
        <v>135</v>
      </c>
      <c r="C27" s="114"/>
      <c r="D27" s="114"/>
      <c r="E27" s="114"/>
      <c r="F27" s="115"/>
      <c r="G27" s="48">
        <v>2</v>
      </c>
      <c r="H27" s="48" t="s">
        <v>138</v>
      </c>
      <c r="I27" s="48" t="s">
        <v>137</v>
      </c>
      <c r="J27" s="48" t="s">
        <v>137</v>
      </c>
      <c r="K27" s="113"/>
      <c r="L27" s="114"/>
      <c r="M27" s="114"/>
      <c r="N27" s="114"/>
      <c r="O27" s="114"/>
      <c r="P27" s="114"/>
      <c r="Q27" s="115"/>
      <c r="R27" s="48"/>
      <c r="S27" s="48"/>
      <c r="T27" s="48"/>
      <c r="U27" s="48"/>
    </row>
    <row r="28" spans="1:24" ht="18" customHeight="1" x14ac:dyDescent="0.15">
      <c r="B28" s="97" t="s">
        <v>167</v>
      </c>
      <c r="C28" s="98"/>
      <c r="D28" s="98"/>
      <c r="E28" s="98"/>
      <c r="F28" s="99"/>
      <c r="G28" s="49">
        <v>4</v>
      </c>
      <c r="H28" s="49"/>
      <c r="I28" s="61" t="s">
        <v>137</v>
      </c>
      <c r="J28" s="61" t="s">
        <v>137</v>
      </c>
      <c r="K28" s="97"/>
      <c r="L28" s="98"/>
      <c r="M28" s="98"/>
      <c r="N28" s="98"/>
      <c r="O28" s="98"/>
      <c r="P28" s="98"/>
      <c r="Q28" s="99"/>
      <c r="R28" s="49"/>
      <c r="S28" s="49"/>
      <c r="T28" s="49"/>
      <c r="U28" s="49"/>
    </row>
    <row r="29" spans="1:24" ht="18" customHeight="1" x14ac:dyDescent="0.15">
      <c r="B29" s="97" t="s">
        <v>171</v>
      </c>
      <c r="C29" s="98"/>
      <c r="D29" s="98"/>
      <c r="E29" s="98"/>
      <c r="F29" s="99"/>
      <c r="G29" s="49">
        <v>4</v>
      </c>
      <c r="H29" s="49"/>
      <c r="I29" s="49"/>
      <c r="J29" s="49"/>
      <c r="K29" s="97"/>
      <c r="L29" s="98"/>
      <c r="M29" s="98"/>
      <c r="N29" s="98"/>
      <c r="O29" s="98"/>
      <c r="P29" s="98"/>
      <c r="Q29" s="99"/>
      <c r="R29" s="49"/>
      <c r="S29" s="49"/>
      <c r="T29" s="49"/>
      <c r="U29" s="49"/>
    </row>
    <row r="30" spans="1:24" ht="18" customHeight="1" x14ac:dyDescent="0.15">
      <c r="B30" s="97" t="s">
        <v>172</v>
      </c>
      <c r="C30" s="98"/>
      <c r="D30" s="98"/>
      <c r="E30" s="98"/>
      <c r="F30" s="99"/>
      <c r="G30" s="49">
        <v>4</v>
      </c>
      <c r="H30" s="49"/>
      <c r="I30" s="61" t="s">
        <v>137</v>
      </c>
      <c r="J30" s="61" t="s">
        <v>137</v>
      </c>
      <c r="K30" s="97"/>
      <c r="L30" s="98"/>
      <c r="M30" s="98"/>
      <c r="N30" s="98"/>
      <c r="O30" s="98"/>
      <c r="P30" s="98"/>
      <c r="Q30" s="99"/>
      <c r="R30" s="49"/>
      <c r="S30" s="49"/>
      <c r="T30" s="49"/>
      <c r="U30" s="49"/>
    </row>
    <row r="31" spans="1:24" ht="18" customHeight="1" x14ac:dyDescent="0.15">
      <c r="B31" s="97"/>
      <c r="C31" s="98"/>
      <c r="D31" s="98"/>
      <c r="E31" s="98"/>
      <c r="F31" s="99"/>
      <c r="G31" s="49"/>
      <c r="H31" s="49"/>
      <c r="I31" s="49"/>
      <c r="J31" s="49"/>
      <c r="K31" s="97"/>
      <c r="L31" s="98"/>
      <c r="M31" s="98"/>
      <c r="N31" s="98"/>
      <c r="O31" s="98"/>
      <c r="P31" s="98"/>
      <c r="Q31" s="99"/>
      <c r="R31" s="49"/>
      <c r="S31" s="49"/>
      <c r="T31" s="49"/>
      <c r="U31" s="49"/>
    </row>
    <row r="32" spans="1:24" ht="18" customHeight="1" x14ac:dyDescent="0.15">
      <c r="A32" s="29"/>
      <c r="B32" s="97"/>
      <c r="C32" s="98"/>
      <c r="D32" s="98"/>
      <c r="E32" s="98"/>
      <c r="F32" s="99"/>
      <c r="G32" s="49"/>
      <c r="H32" s="49"/>
      <c r="I32" s="49"/>
      <c r="J32" s="49"/>
      <c r="K32" s="97"/>
      <c r="L32" s="98"/>
      <c r="M32" s="98"/>
      <c r="N32" s="98"/>
      <c r="O32" s="98"/>
      <c r="P32" s="98"/>
      <c r="Q32" s="99"/>
      <c r="R32" s="49"/>
      <c r="S32" s="49"/>
      <c r="T32" s="49"/>
      <c r="U32" s="49"/>
    </row>
    <row r="33" spans="1:21" ht="18" customHeight="1" x14ac:dyDescent="0.15">
      <c r="A33" s="29"/>
      <c r="B33" s="116"/>
      <c r="C33" s="117"/>
      <c r="D33" s="117"/>
      <c r="E33" s="117"/>
      <c r="F33" s="118"/>
      <c r="G33" s="50"/>
      <c r="H33" s="50"/>
      <c r="I33" s="51"/>
      <c r="J33" s="51"/>
      <c r="K33" s="116"/>
      <c r="L33" s="117"/>
      <c r="M33" s="117"/>
      <c r="N33" s="117"/>
      <c r="O33" s="117"/>
      <c r="P33" s="117"/>
      <c r="Q33" s="118"/>
      <c r="R33" s="50"/>
      <c r="S33" s="50"/>
      <c r="T33" s="51"/>
      <c r="U33" s="51"/>
    </row>
    <row r="34" spans="1:21" ht="7.5" customHeight="1" x14ac:dyDescent="0.15">
      <c r="A34" s="29"/>
      <c r="B34" s="27"/>
      <c r="C34" s="27"/>
      <c r="D34" s="27"/>
      <c r="E34" s="29"/>
      <c r="F34" s="29"/>
      <c r="G34" s="29"/>
      <c r="H34" s="29"/>
      <c r="I34" s="27"/>
      <c r="J34" s="27"/>
      <c r="K34" s="27"/>
      <c r="L34" s="27"/>
      <c r="M34" s="27"/>
      <c r="N34" s="27"/>
      <c r="O34" s="27"/>
      <c r="P34" s="27"/>
      <c r="Q34" s="27"/>
      <c r="R34" s="27"/>
      <c r="S34" s="27"/>
      <c r="T34" s="27"/>
      <c r="U34" s="29"/>
    </row>
    <row r="35" spans="1:21" ht="18" customHeight="1" x14ac:dyDescent="0.15">
      <c r="A35" s="112" t="s">
        <v>102</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84" t="s">
        <v>51</v>
      </c>
      <c r="C37" s="85"/>
      <c r="D37" s="85"/>
      <c r="E37" s="85"/>
      <c r="F37" s="86"/>
      <c r="G37" s="45" t="s">
        <v>77</v>
      </c>
      <c r="H37" s="46" t="s">
        <v>80</v>
      </c>
      <c r="I37" s="47" t="s">
        <v>68</v>
      </c>
      <c r="J37" s="47" t="s">
        <v>69</v>
      </c>
      <c r="K37" s="84" t="s">
        <v>51</v>
      </c>
      <c r="L37" s="85"/>
      <c r="M37" s="85"/>
      <c r="N37" s="85"/>
      <c r="O37" s="85"/>
      <c r="P37" s="85"/>
      <c r="Q37" s="86"/>
      <c r="R37" s="45" t="s">
        <v>77</v>
      </c>
      <c r="S37" s="46" t="s">
        <v>80</v>
      </c>
      <c r="T37" s="47" t="s">
        <v>68</v>
      </c>
      <c r="U37" s="47" t="s">
        <v>69</v>
      </c>
    </row>
    <row r="38" spans="1:21" ht="18" customHeight="1" x14ac:dyDescent="0.15">
      <c r="B38" s="113" t="s">
        <v>135</v>
      </c>
      <c r="C38" s="114"/>
      <c r="D38" s="114"/>
      <c r="E38" s="114"/>
      <c r="F38" s="115"/>
      <c r="G38" s="48">
        <v>2</v>
      </c>
      <c r="H38" s="48" t="s">
        <v>137</v>
      </c>
      <c r="I38" s="48" t="s">
        <v>137</v>
      </c>
      <c r="J38" s="48" t="s">
        <v>137</v>
      </c>
      <c r="K38" s="113"/>
      <c r="L38" s="114"/>
      <c r="M38" s="114"/>
      <c r="N38" s="114"/>
      <c r="O38" s="114"/>
      <c r="P38" s="114"/>
      <c r="Q38" s="115"/>
      <c r="R38" s="48"/>
      <c r="S38" s="48"/>
      <c r="T38" s="48"/>
      <c r="U38" s="48"/>
    </row>
    <row r="39" spans="1:21" ht="18" customHeight="1" x14ac:dyDescent="0.15">
      <c r="B39" s="97" t="s">
        <v>167</v>
      </c>
      <c r="C39" s="98"/>
      <c r="D39" s="98"/>
      <c r="E39" s="98"/>
      <c r="F39" s="99"/>
      <c r="G39" s="49">
        <v>4</v>
      </c>
      <c r="H39" s="49"/>
      <c r="I39" s="61" t="s">
        <v>137</v>
      </c>
      <c r="J39" s="61" t="s">
        <v>137</v>
      </c>
      <c r="K39" s="97"/>
      <c r="L39" s="98"/>
      <c r="M39" s="98"/>
      <c r="N39" s="98"/>
      <c r="O39" s="98"/>
      <c r="P39" s="98"/>
      <c r="Q39" s="99"/>
      <c r="R39" s="49"/>
      <c r="S39" s="49"/>
      <c r="T39" s="49"/>
      <c r="U39" s="49"/>
    </row>
    <row r="40" spans="1:21" ht="18" customHeight="1" x14ac:dyDescent="0.15">
      <c r="B40" s="97" t="s">
        <v>171</v>
      </c>
      <c r="C40" s="98"/>
      <c r="D40" s="98"/>
      <c r="E40" s="98"/>
      <c r="F40" s="99"/>
      <c r="G40" s="49">
        <v>4</v>
      </c>
      <c r="H40" s="49"/>
      <c r="I40" s="49"/>
      <c r="J40" s="49"/>
      <c r="K40" s="97"/>
      <c r="L40" s="98"/>
      <c r="M40" s="98"/>
      <c r="N40" s="98"/>
      <c r="O40" s="98"/>
      <c r="P40" s="98"/>
      <c r="Q40" s="99"/>
      <c r="R40" s="49"/>
      <c r="S40" s="49"/>
      <c r="T40" s="49"/>
      <c r="U40" s="49"/>
    </row>
    <row r="41" spans="1:21" ht="18" customHeight="1" x14ac:dyDescent="0.15">
      <c r="B41" s="97" t="s">
        <v>172</v>
      </c>
      <c r="C41" s="98"/>
      <c r="D41" s="98"/>
      <c r="E41" s="98"/>
      <c r="F41" s="99"/>
      <c r="G41" s="49">
        <v>4</v>
      </c>
      <c r="H41" s="49"/>
      <c r="I41" s="61" t="s">
        <v>137</v>
      </c>
      <c r="J41" s="61" t="s">
        <v>137</v>
      </c>
      <c r="K41" s="97"/>
      <c r="L41" s="98"/>
      <c r="M41" s="98"/>
      <c r="N41" s="98"/>
      <c r="O41" s="98"/>
      <c r="P41" s="98"/>
      <c r="Q41" s="99"/>
      <c r="R41" s="49"/>
      <c r="S41" s="49"/>
      <c r="T41" s="49"/>
      <c r="U41" s="49"/>
    </row>
    <row r="42" spans="1:21" ht="18" customHeight="1" x14ac:dyDescent="0.15">
      <c r="B42" s="97"/>
      <c r="C42" s="98"/>
      <c r="D42" s="98"/>
      <c r="E42" s="98"/>
      <c r="F42" s="99"/>
      <c r="G42" s="49"/>
      <c r="H42" s="49"/>
      <c r="I42" s="49"/>
      <c r="J42" s="49"/>
      <c r="K42" s="97"/>
      <c r="L42" s="98"/>
      <c r="M42" s="98"/>
      <c r="N42" s="98"/>
      <c r="O42" s="98"/>
      <c r="P42" s="98"/>
      <c r="Q42" s="99"/>
      <c r="R42" s="49"/>
      <c r="S42" s="49"/>
      <c r="T42" s="49"/>
      <c r="U42" s="49"/>
    </row>
    <row r="43" spans="1:21" ht="18" customHeight="1" x14ac:dyDescent="0.15">
      <c r="B43" s="97"/>
      <c r="C43" s="98"/>
      <c r="D43" s="98"/>
      <c r="E43" s="98"/>
      <c r="F43" s="99"/>
      <c r="G43" s="49"/>
      <c r="H43" s="49"/>
      <c r="I43" s="49"/>
      <c r="J43" s="49"/>
      <c r="K43" s="97"/>
      <c r="L43" s="98"/>
      <c r="M43" s="98"/>
      <c r="N43" s="98"/>
      <c r="O43" s="98"/>
      <c r="P43" s="98"/>
      <c r="Q43" s="99"/>
      <c r="R43" s="49"/>
      <c r="S43" s="49"/>
      <c r="T43" s="49"/>
      <c r="U43" s="49"/>
    </row>
    <row r="44" spans="1:21" ht="18" customHeight="1" x14ac:dyDescent="0.15">
      <c r="B44" s="116"/>
      <c r="C44" s="117"/>
      <c r="D44" s="117"/>
      <c r="E44" s="117"/>
      <c r="F44" s="118"/>
      <c r="G44" s="50"/>
      <c r="H44" s="50"/>
      <c r="I44" s="51"/>
      <c r="J44" s="51"/>
      <c r="K44" s="116"/>
      <c r="L44" s="117"/>
      <c r="M44" s="117"/>
      <c r="N44" s="117"/>
      <c r="O44" s="117"/>
      <c r="P44" s="117"/>
      <c r="Q44" s="118"/>
      <c r="R44" s="50"/>
      <c r="S44" s="50"/>
      <c r="T44" s="51"/>
      <c r="U44" s="51"/>
    </row>
    <row r="45" spans="1:21" ht="7.5" customHeight="1" x14ac:dyDescent="0.15">
      <c r="A45" s="29"/>
      <c r="B45" s="27"/>
      <c r="C45" s="27"/>
      <c r="D45" s="27"/>
      <c r="E45" s="29"/>
      <c r="F45" s="29"/>
      <c r="G45" s="29"/>
      <c r="H45" s="29"/>
      <c r="I45" s="27"/>
      <c r="J45" s="27"/>
      <c r="K45" s="27"/>
      <c r="L45" s="27"/>
      <c r="M45" s="27"/>
      <c r="N45" s="27"/>
      <c r="O45" s="27"/>
      <c r="P45" s="27"/>
      <c r="Q45" s="27"/>
      <c r="R45" s="27"/>
      <c r="S45" s="27"/>
      <c r="T45" s="27"/>
      <c r="U45" s="29"/>
    </row>
    <row r="46" spans="1:21" ht="18" customHeight="1" x14ac:dyDescent="0.15">
      <c r="A46" s="112" t="s">
        <v>103</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84" t="s">
        <v>51</v>
      </c>
      <c r="C48" s="85"/>
      <c r="D48" s="85"/>
      <c r="E48" s="85"/>
      <c r="F48" s="86"/>
      <c r="G48" s="45" t="s">
        <v>77</v>
      </c>
      <c r="H48" s="46" t="s">
        <v>80</v>
      </c>
      <c r="I48" s="47" t="s">
        <v>70</v>
      </c>
      <c r="J48" s="47" t="s">
        <v>71</v>
      </c>
      <c r="K48" s="84" t="s">
        <v>51</v>
      </c>
      <c r="L48" s="85"/>
      <c r="M48" s="85"/>
      <c r="N48" s="85"/>
      <c r="O48" s="85"/>
      <c r="P48" s="85"/>
      <c r="Q48" s="86"/>
      <c r="R48" s="45" t="s">
        <v>77</v>
      </c>
      <c r="S48" s="46" t="s">
        <v>80</v>
      </c>
      <c r="T48" s="47" t="s">
        <v>70</v>
      </c>
      <c r="U48" s="47" t="s">
        <v>71</v>
      </c>
    </row>
    <row r="49" spans="1:21" ht="18" customHeight="1" x14ac:dyDescent="0.15">
      <c r="A49" s="29"/>
      <c r="B49" s="113" t="s">
        <v>135</v>
      </c>
      <c r="C49" s="114"/>
      <c r="D49" s="114"/>
      <c r="E49" s="114"/>
      <c r="F49" s="115"/>
      <c r="G49" s="48">
        <v>2</v>
      </c>
      <c r="H49" s="48" t="s">
        <v>137</v>
      </c>
      <c r="I49" s="48" t="s">
        <v>137</v>
      </c>
      <c r="J49" s="48" t="s">
        <v>137</v>
      </c>
      <c r="K49" s="113"/>
      <c r="L49" s="114"/>
      <c r="M49" s="114"/>
      <c r="N49" s="114"/>
      <c r="O49" s="114"/>
      <c r="P49" s="114"/>
      <c r="Q49" s="115"/>
      <c r="R49" s="48"/>
      <c r="S49" s="48"/>
      <c r="T49" s="48"/>
      <c r="U49" s="48"/>
    </row>
    <row r="50" spans="1:21" ht="18" customHeight="1" x14ac:dyDescent="0.15">
      <c r="A50" s="29"/>
      <c r="B50" s="97" t="s">
        <v>167</v>
      </c>
      <c r="C50" s="98"/>
      <c r="D50" s="98"/>
      <c r="E50" s="98"/>
      <c r="F50" s="99"/>
      <c r="G50" s="49">
        <v>4</v>
      </c>
      <c r="H50" s="49"/>
      <c r="I50" s="61" t="s">
        <v>137</v>
      </c>
      <c r="J50" s="61" t="s">
        <v>137</v>
      </c>
      <c r="K50" s="97"/>
      <c r="L50" s="98"/>
      <c r="M50" s="98"/>
      <c r="N50" s="98"/>
      <c r="O50" s="98"/>
      <c r="P50" s="98"/>
      <c r="Q50" s="99"/>
      <c r="R50" s="49"/>
      <c r="S50" s="49"/>
      <c r="T50" s="49"/>
      <c r="U50" s="49"/>
    </row>
    <row r="51" spans="1:21" ht="18" customHeight="1" x14ac:dyDescent="0.15">
      <c r="A51" s="29"/>
      <c r="B51" s="97" t="s">
        <v>171</v>
      </c>
      <c r="C51" s="98"/>
      <c r="D51" s="98"/>
      <c r="E51" s="98"/>
      <c r="F51" s="99"/>
      <c r="G51" s="49">
        <v>4</v>
      </c>
      <c r="H51" s="49"/>
      <c r="I51" s="49"/>
      <c r="J51" s="49"/>
      <c r="K51" s="97"/>
      <c r="L51" s="98"/>
      <c r="M51" s="98"/>
      <c r="N51" s="98"/>
      <c r="O51" s="98"/>
      <c r="P51" s="98"/>
      <c r="Q51" s="99"/>
      <c r="R51" s="49"/>
      <c r="S51" s="49"/>
      <c r="T51" s="49"/>
      <c r="U51" s="49"/>
    </row>
    <row r="52" spans="1:21" ht="18" customHeight="1" x14ac:dyDescent="0.15">
      <c r="A52" s="29"/>
      <c r="B52" s="97" t="s">
        <v>172</v>
      </c>
      <c r="C52" s="98"/>
      <c r="D52" s="98"/>
      <c r="E52" s="98"/>
      <c r="F52" s="99"/>
      <c r="G52" s="49">
        <v>4</v>
      </c>
      <c r="H52" s="49"/>
      <c r="I52" s="61" t="s">
        <v>137</v>
      </c>
      <c r="J52" s="61" t="s">
        <v>137</v>
      </c>
      <c r="K52" s="97"/>
      <c r="L52" s="98"/>
      <c r="M52" s="98"/>
      <c r="N52" s="98"/>
      <c r="O52" s="98"/>
      <c r="P52" s="98"/>
      <c r="Q52" s="99"/>
      <c r="R52" s="49"/>
      <c r="S52" s="49"/>
      <c r="T52" s="49"/>
      <c r="U52" s="49"/>
    </row>
    <row r="53" spans="1:21" ht="18" customHeight="1" x14ac:dyDescent="0.15">
      <c r="A53" s="29"/>
      <c r="B53" s="97"/>
      <c r="C53" s="98"/>
      <c r="D53" s="98"/>
      <c r="E53" s="98"/>
      <c r="F53" s="99"/>
      <c r="G53" s="49"/>
      <c r="H53" s="49"/>
      <c r="I53" s="49"/>
      <c r="J53" s="49"/>
      <c r="K53" s="97"/>
      <c r="L53" s="98"/>
      <c r="M53" s="98"/>
      <c r="N53" s="98"/>
      <c r="O53" s="98"/>
      <c r="P53" s="98"/>
      <c r="Q53" s="99"/>
      <c r="R53" s="49"/>
      <c r="S53" s="49"/>
      <c r="T53" s="49"/>
      <c r="U53" s="49"/>
    </row>
    <row r="54" spans="1:21" ht="18" customHeight="1" x14ac:dyDescent="0.15">
      <c r="A54" s="29"/>
      <c r="B54" s="97"/>
      <c r="C54" s="98"/>
      <c r="D54" s="98"/>
      <c r="E54" s="98"/>
      <c r="F54" s="99"/>
      <c r="G54" s="49"/>
      <c r="H54" s="49"/>
      <c r="I54" s="49"/>
      <c r="J54" s="49"/>
      <c r="K54" s="97"/>
      <c r="L54" s="98"/>
      <c r="M54" s="98"/>
      <c r="N54" s="98"/>
      <c r="O54" s="98"/>
      <c r="P54" s="98"/>
      <c r="Q54" s="99"/>
      <c r="R54" s="49"/>
      <c r="S54" s="49"/>
      <c r="T54" s="49"/>
      <c r="U54" s="49"/>
    </row>
    <row r="55" spans="1:21" ht="18" customHeight="1" x14ac:dyDescent="0.15">
      <c r="A55" s="29"/>
      <c r="B55" s="116"/>
      <c r="C55" s="117"/>
      <c r="D55" s="117"/>
      <c r="E55" s="117"/>
      <c r="F55" s="118"/>
      <c r="G55" s="50"/>
      <c r="H55" s="50"/>
      <c r="I55" s="51"/>
      <c r="J55" s="51"/>
      <c r="K55" s="116"/>
      <c r="L55" s="117"/>
      <c r="M55" s="117"/>
      <c r="N55" s="117"/>
      <c r="O55" s="117"/>
      <c r="P55" s="117"/>
      <c r="Q55" s="118"/>
      <c r="R55" s="50"/>
      <c r="S55" s="50"/>
      <c r="T55" s="51"/>
      <c r="U55" s="51"/>
    </row>
    <row r="56" spans="1:21" ht="7.5" customHeight="1" x14ac:dyDescent="0.15">
      <c r="B56" s="52"/>
      <c r="C56" s="52"/>
      <c r="D56" s="52"/>
      <c r="E56" s="52"/>
      <c r="F56" s="52"/>
      <c r="G56" s="52"/>
      <c r="H56" s="52"/>
      <c r="I56" s="52"/>
      <c r="J56" s="52"/>
      <c r="K56" s="52"/>
      <c r="L56" s="52"/>
      <c r="M56" s="52"/>
      <c r="N56" s="52"/>
      <c r="O56" s="52"/>
      <c r="P56" s="52"/>
      <c r="Q56" s="52"/>
      <c r="R56" s="52"/>
      <c r="S56" s="52"/>
      <c r="T56" s="52"/>
    </row>
    <row r="57" spans="1:21" ht="18" customHeight="1" x14ac:dyDescent="0.15">
      <c r="A57" s="112" t="s">
        <v>104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84" t="s">
        <v>51</v>
      </c>
      <c r="C59" s="85"/>
      <c r="D59" s="85"/>
      <c r="E59" s="85"/>
      <c r="F59" s="86"/>
      <c r="G59" s="45" t="s">
        <v>77</v>
      </c>
      <c r="H59" s="46" t="s">
        <v>80</v>
      </c>
      <c r="I59" s="47" t="s">
        <v>56</v>
      </c>
      <c r="J59" s="47" t="s">
        <v>58</v>
      </c>
      <c r="K59" s="84" t="s">
        <v>51</v>
      </c>
      <c r="L59" s="85"/>
      <c r="M59" s="85"/>
      <c r="N59" s="85"/>
      <c r="O59" s="85"/>
      <c r="P59" s="85"/>
      <c r="Q59" s="86"/>
      <c r="R59" s="45" t="s">
        <v>77</v>
      </c>
      <c r="S59" s="46" t="s">
        <v>80</v>
      </c>
      <c r="T59" s="47" t="s">
        <v>56</v>
      </c>
      <c r="U59" s="47" t="s">
        <v>58</v>
      </c>
    </row>
    <row r="60" spans="1:21" ht="18" customHeight="1" x14ac:dyDescent="0.15">
      <c r="A60" s="29"/>
      <c r="B60" s="113" t="s">
        <v>135</v>
      </c>
      <c r="C60" s="114"/>
      <c r="D60" s="114"/>
      <c r="E60" s="114"/>
      <c r="F60" s="115"/>
      <c r="G60" s="48">
        <v>2</v>
      </c>
      <c r="H60" s="48" t="s">
        <v>137</v>
      </c>
      <c r="I60" s="48" t="s">
        <v>137</v>
      </c>
      <c r="J60" s="48" t="s">
        <v>137</v>
      </c>
      <c r="K60" s="113"/>
      <c r="L60" s="114"/>
      <c r="M60" s="114"/>
      <c r="N60" s="114"/>
      <c r="O60" s="114"/>
      <c r="P60" s="114"/>
      <c r="Q60" s="115"/>
      <c r="R60" s="48"/>
      <c r="S60" s="48"/>
      <c r="T60" s="48"/>
      <c r="U60" s="48"/>
    </row>
    <row r="61" spans="1:21" ht="18" customHeight="1" x14ac:dyDescent="0.15">
      <c r="A61" s="29"/>
      <c r="B61" s="97" t="s">
        <v>167</v>
      </c>
      <c r="C61" s="98"/>
      <c r="D61" s="98"/>
      <c r="E61" s="98"/>
      <c r="F61" s="99"/>
      <c r="G61" s="49">
        <v>4</v>
      </c>
      <c r="H61" s="49"/>
      <c r="I61" s="61" t="s">
        <v>137</v>
      </c>
      <c r="J61" s="61" t="s">
        <v>137</v>
      </c>
      <c r="K61" s="97"/>
      <c r="L61" s="98"/>
      <c r="M61" s="98"/>
      <c r="N61" s="98"/>
      <c r="O61" s="98"/>
      <c r="P61" s="98"/>
      <c r="Q61" s="99"/>
      <c r="R61" s="49"/>
      <c r="S61" s="49"/>
      <c r="T61" s="49"/>
      <c r="U61" s="49"/>
    </row>
    <row r="62" spans="1:21" ht="18" customHeight="1" x14ac:dyDescent="0.15">
      <c r="A62" s="29"/>
      <c r="B62" s="97" t="s">
        <v>171</v>
      </c>
      <c r="C62" s="98"/>
      <c r="D62" s="98"/>
      <c r="E62" s="98"/>
      <c r="F62" s="99"/>
      <c r="G62" s="49">
        <v>4</v>
      </c>
      <c r="H62" s="49"/>
      <c r="I62" s="49"/>
      <c r="J62" s="49"/>
      <c r="K62" s="97"/>
      <c r="L62" s="98"/>
      <c r="M62" s="98"/>
      <c r="N62" s="98"/>
      <c r="O62" s="98"/>
      <c r="P62" s="98"/>
      <c r="Q62" s="99"/>
      <c r="R62" s="49"/>
      <c r="S62" s="49"/>
      <c r="T62" s="49"/>
      <c r="U62" s="49"/>
    </row>
    <row r="63" spans="1:21" ht="18" customHeight="1" x14ac:dyDescent="0.15">
      <c r="A63" s="29"/>
      <c r="B63" s="97" t="s">
        <v>172</v>
      </c>
      <c r="C63" s="98"/>
      <c r="D63" s="98"/>
      <c r="E63" s="98"/>
      <c r="F63" s="99"/>
      <c r="G63" s="49">
        <v>4</v>
      </c>
      <c r="H63" s="49"/>
      <c r="I63" s="61" t="s">
        <v>137</v>
      </c>
      <c r="J63" s="61" t="s">
        <v>137</v>
      </c>
      <c r="K63" s="97"/>
      <c r="L63" s="98"/>
      <c r="M63" s="98"/>
      <c r="N63" s="98"/>
      <c r="O63" s="98"/>
      <c r="P63" s="98"/>
      <c r="Q63" s="99"/>
      <c r="R63" s="49"/>
      <c r="S63" s="49"/>
      <c r="T63" s="49"/>
      <c r="U63" s="49"/>
    </row>
    <row r="64" spans="1:21" ht="18" customHeight="1" x14ac:dyDescent="0.15">
      <c r="A64" s="29"/>
      <c r="B64" s="97"/>
      <c r="C64" s="98"/>
      <c r="D64" s="98"/>
      <c r="E64" s="98"/>
      <c r="F64" s="99"/>
      <c r="G64" s="49"/>
      <c r="H64" s="49"/>
      <c r="I64" s="49"/>
      <c r="J64" s="49"/>
      <c r="K64" s="97"/>
      <c r="L64" s="98"/>
      <c r="M64" s="98"/>
      <c r="N64" s="98"/>
      <c r="O64" s="98"/>
      <c r="P64" s="98"/>
      <c r="Q64" s="99"/>
      <c r="R64" s="49"/>
      <c r="S64" s="49"/>
      <c r="T64" s="49"/>
      <c r="U64" s="49"/>
    </row>
    <row r="65" spans="1:21" ht="18" customHeight="1" x14ac:dyDescent="0.15">
      <c r="A65" s="29"/>
      <c r="B65" s="97"/>
      <c r="C65" s="98"/>
      <c r="D65" s="98"/>
      <c r="E65" s="98"/>
      <c r="F65" s="99"/>
      <c r="G65" s="49"/>
      <c r="H65" s="49"/>
      <c r="I65" s="49"/>
      <c r="J65" s="49"/>
      <c r="K65" s="97"/>
      <c r="L65" s="98"/>
      <c r="M65" s="98"/>
      <c r="N65" s="98"/>
      <c r="O65" s="98"/>
      <c r="P65" s="98"/>
      <c r="Q65" s="99"/>
      <c r="R65" s="49"/>
      <c r="S65" s="49"/>
      <c r="T65" s="49"/>
      <c r="U65" s="49"/>
    </row>
    <row r="66" spans="1:21" ht="18" customHeight="1" x14ac:dyDescent="0.15">
      <c r="A66" s="29"/>
      <c r="B66" s="116"/>
      <c r="C66" s="117"/>
      <c r="D66" s="117"/>
      <c r="E66" s="117"/>
      <c r="F66" s="118"/>
      <c r="G66" s="50"/>
      <c r="H66" s="50"/>
      <c r="I66" s="51"/>
      <c r="J66" s="51"/>
      <c r="K66" s="116"/>
      <c r="L66" s="117"/>
      <c r="M66" s="117"/>
      <c r="N66" s="117"/>
      <c r="O66" s="117"/>
      <c r="P66" s="117"/>
      <c r="Q66" s="118"/>
      <c r="R66" s="50"/>
      <c r="S66" s="50"/>
      <c r="T66" s="51"/>
      <c r="U66" s="51"/>
    </row>
    <row r="67" spans="1:21" ht="7.5" customHeight="1" x14ac:dyDescent="0.15">
      <c r="B67" s="52"/>
      <c r="C67" s="52"/>
      <c r="D67" s="52"/>
      <c r="E67" s="52"/>
      <c r="F67" s="52"/>
      <c r="G67" s="52"/>
      <c r="H67" s="52"/>
      <c r="I67" s="52"/>
      <c r="J67" s="52"/>
      <c r="K67" s="52"/>
      <c r="L67" s="52"/>
      <c r="M67" s="52"/>
      <c r="N67" s="52"/>
      <c r="O67" s="52"/>
      <c r="P67" s="52"/>
      <c r="Q67" s="52"/>
      <c r="R67" s="52"/>
      <c r="S67" s="52"/>
      <c r="T67" s="52"/>
    </row>
    <row r="68" spans="1:21" ht="18" customHeight="1" x14ac:dyDescent="0.15">
      <c r="A68" s="112" t="s">
        <v>105</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84" t="s">
        <v>51</v>
      </c>
      <c r="C70" s="85"/>
      <c r="D70" s="85"/>
      <c r="E70" s="85"/>
      <c r="F70" s="45" t="s">
        <v>77</v>
      </c>
      <c r="G70" s="46" t="s">
        <v>80</v>
      </c>
      <c r="H70" s="47" t="s">
        <v>92</v>
      </c>
      <c r="I70" s="47" t="s">
        <v>72</v>
      </c>
      <c r="J70" s="47" t="s">
        <v>73</v>
      </c>
      <c r="K70" s="84" t="s">
        <v>51</v>
      </c>
      <c r="L70" s="85"/>
      <c r="M70" s="85"/>
      <c r="N70" s="85"/>
      <c r="O70" s="85"/>
      <c r="P70" s="86"/>
      <c r="Q70" s="45" t="s">
        <v>77</v>
      </c>
      <c r="R70" s="46" t="s">
        <v>80</v>
      </c>
      <c r="S70" s="47" t="s">
        <v>92</v>
      </c>
      <c r="T70" s="47" t="s">
        <v>72</v>
      </c>
      <c r="U70" s="47" t="s">
        <v>73</v>
      </c>
    </row>
    <row r="71" spans="1:21" ht="18" customHeight="1" x14ac:dyDescent="0.15">
      <c r="A71" s="29"/>
      <c r="B71" s="113" t="s">
        <v>135</v>
      </c>
      <c r="C71" s="114"/>
      <c r="D71" s="114"/>
      <c r="E71" s="114"/>
      <c r="F71" s="48">
        <v>2</v>
      </c>
      <c r="G71" s="48" t="s">
        <v>137</v>
      </c>
      <c r="H71" s="48" t="s">
        <v>137</v>
      </c>
      <c r="I71" s="48" t="s">
        <v>137</v>
      </c>
      <c r="J71" s="48" t="s">
        <v>137</v>
      </c>
      <c r="K71" s="113"/>
      <c r="L71" s="114"/>
      <c r="M71" s="114"/>
      <c r="N71" s="114"/>
      <c r="O71" s="114"/>
      <c r="P71" s="115"/>
      <c r="Q71" s="48"/>
      <c r="R71" s="48"/>
      <c r="S71" s="48"/>
      <c r="T71" s="48"/>
      <c r="U71" s="48"/>
    </row>
    <row r="72" spans="1:21" ht="18" customHeight="1" x14ac:dyDescent="0.15">
      <c r="A72" s="29"/>
      <c r="B72" s="97" t="s">
        <v>167</v>
      </c>
      <c r="C72" s="98"/>
      <c r="D72" s="98"/>
      <c r="E72" s="99"/>
      <c r="F72" s="49">
        <v>4</v>
      </c>
      <c r="G72" s="49"/>
      <c r="H72" s="49" t="s">
        <v>137</v>
      </c>
      <c r="I72" s="49" t="s">
        <v>137</v>
      </c>
      <c r="J72" s="49" t="s">
        <v>137</v>
      </c>
      <c r="K72" s="97"/>
      <c r="L72" s="98"/>
      <c r="M72" s="98"/>
      <c r="N72" s="98"/>
      <c r="O72" s="98"/>
      <c r="P72" s="99"/>
      <c r="Q72" s="49"/>
      <c r="R72" s="49"/>
      <c r="S72" s="49"/>
      <c r="T72" s="49"/>
      <c r="U72" s="49"/>
    </row>
    <row r="73" spans="1:21" ht="18" customHeight="1" x14ac:dyDescent="0.15">
      <c r="A73" s="29"/>
      <c r="B73" s="97" t="s">
        <v>173</v>
      </c>
      <c r="C73" s="98"/>
      <c r="D73" s="98"/>
      <c r="E73" s="98"/>
      <c r="F73" s="49">
        <v>4</v>
      </c>
      <c r="G73" s="49"/>
      <c r="H73" s="49" t="s">
        <v>137</v>
      </c>
      <c r="I73" s="49" t="s">
        <v>137</v>
      </c>
      <c r="J73" s="49" t="s">
        <v>137</v>
      </c>
      <c r="K73" s="97"/>
      <c r="L73" s="98"/>
      <c r="M73" s="98"/>
      <c r="N73" s="98"/>
      <c r="O73" s="98"/>
      <c r="P73" s="99"/>
      <c r="Q73" s="49"/>
      <c r="R73" s="49"/>
      <c r="S73" s="49"/>
      <c r="T73" s="49"/>
      <c r="U73" s="49"/>
    </row>
    <row r="74" spans="1:21" ht="18" customHeight="1" x14ac:dyDescent="0.15">
      <c r="A74" s="29"/>
      <c r="B74" s="97" t="s">
        <v>174</v>
      </c>
      <c r="C74" s="98"/>
      <c r="D74" s="98"/>
      <c r="E74" s="98"/>
      <c r="F74" s="49">
        <v>4</v>
      </c>
      <c r="G74" s="49"/>
      <c r="H74" s="49"/>
      <c r="I74" s="49"/>
      <c r="J74" s="49"/>
      <c r="K74" s="97"/>
      <c r="L74" s="98"/>
      <c r="M74" s="98"/>
      <c r="N74" s="98"/>
      <c r="O74" s="98"/>
      <c r="P74" s="99"/>
      <c r="Q74" s="49"/>
      <c r="R74" s="49"/>
      <c r="S74" s="49"/>
      <c r="T74" s="49"/>
      <c r="U74" s="49"/>
    </row>
    <row r="75" spans="1:21" ht="18" customHeight="1" x14ac:dyDescent="0.15">
      <c r="A75" s="29"/>
      <c r="B75" s="97"/>
      <c r="C75" s="98"/>
      <c r="D75" s="98"/>
      <c r="E75" s="98"/>
      <c r="F75" s="49"/>
      <c r="G75" s="49"/>
      <c r="H75" s="49"/>
      <c r="I75" s="49"/>
      <c r="J75" s="49"/>
      <c r="K75" s="97"/>
      <c r="L75" s="98"/>
      <c r="M75" s="98"/>
      <c r="N75" s="98"/>
      <c r="O75" s="98"/>
      <c r="P75" s="99"/>
      <c r="Q75" s="49"/>
      <c r="R75" s="49"/>
      <c r="S75" s="49"/>
      <c r="T75" s="49"/>
      <c r="U75" s="49"/>
    </row>
    <row r="76" spans="1:21" ht="18" customHeight="1" x14ac:dyDescent="0.15">
      <c r="A76" s="29"/>
      <c r="B76" s="97"/>
      <c r="C76" s="98"/>
      <c r="D76" s="98"/>
      <c r="E76" s="98"/>
      <c r="F76" s="49"/>
      <c r="G76" s="49"/>
      <c r="H76" s="49"/>
      <c r="I76" s="49"/>
      <c r="J76" s="49"/>
      <c r="K76" s="97"/>
      <c r="L76" s="98"/>
      <c r="M76" s="98"/>
      <c r="N76" s="98"/>
      <c r="O76" s="98"/>
      <c r="P76" s="99"/>
      <c r="Q76" s="49"/>
      <c r="R76" s="49"/>
      <c r="S76" s="49"/>
      <c r="T76" s="49"/>
      <c r="U76" s="49"/>
    </row>
    <row r="77" spans="1:21" ht="18" customHeight="1" x14ac:dyDescent="0.15">
      <c r="A77" s="29"/>
      <c r="B77" s="116"/>
      <c r="C77" s="117"/>
      <c r="D77" s="117"/>
      <c r="E77" s="117"/>
      <c r="F77" s="50"/>
      <c r="G77" s="50"/>
      <c r="H77" s="51"/>
      <c r="I77" s="51"/>
      <c r="J77" s="51"/>
      <c r="K77" s="116"/>
      <c r="L77" s="117"/>
      <c r="M77" s="117"/>
      <c r="N77" s="117"/>
      <c r="O77" s="117"/>
      <c r="P77" s="118"/>
      <c r="Q77" s="50"/>
      <c r="R77" s="50"/>
      <c r="S77" s="51"/>
      <c r="T77" s="51"/>
      <c r="U77" s="51"/>
    </row>
    <row r="78" spans="1:21" ht="7.5" customHeight="1" x14ac:dyDescent="0.15">
      <c r="B78" s="52"/>
      <c r="C78" s="52"/>
      <c r="D78" s="52"/>
      <c r="E78" s="52"/>
      <c r="F78" s="52"/>
      <c r="G78" s="52"/>
      <c r="H78" s="52"/>
      <c r="I78" s="52"/>
      <c r="J78" s="52"/>
      <c r="K78" s="52"/>
      <c r="L78" s="52"/>
      <c r="M78" s="52"/>
      <c r="N78" s="52"/>
      <c r="O78" s="52"/>
      <c r="P78" s="52"/>
      <c r="Q78" s="52"/>
      <c r="R78" s="52"/>
      <c r="S78" s="52"/>
      <c r="T78" s="52"/>
    </row>
    <row r="79" spans="1:21" ht="18" customHeight="1" x14ac:dyDescent="0.15">
      <c r="A79" s="25" t="s">
        <v>106</v>
      </c>
      <c r="I79" s="29"/>
      <c r="J79" s="29"/>
      <c r="K79" s="29"/>
      <c r="L79" s="29"/>
      <c r="M79" s="29"/>
      <c r="N79" s="29"/>
      <c r="O79" s="29"/>
      <c r="P79" s="29"/>
      <c r="Q79" s="29"/>
      <c r="R79" s="29"/>
      <c r="S79" s="29"/>
      <c r="T79" s="29"/>
      <c r="U79" s="29"/>
    </row>
    <row r="80" spans="1:21" ht="18" customHeight="1" x14ac:dyDescent="0.15">
      <c r="B80" s="84" t="s">
        <v>51</v>
      </c>
      <c r="C80" s="85"/>
      <c r="D80" s="85"/>
      <c r="E80" s="85"/>
      <c r="F80" s="86"/>
      <c r="G80" s="84" t="s">
        <v>78</v>
      </c>
      <c r="H80" s="85"/>
      <c r="I80" s="85"/>
      <c r="J80" s="86"/>
      <c r="K80" s="119" t="s">
        <v>51</v>
      </c>
      <c r="L80" s="120"/>
      <c r="M80" s="120"/>
      <c r="N80" s="120"/>
      <c r="O80" s="120"/>
      <c r="P80" s="120"/>
      <c r="Q80" s="121"/>
      <c r="R80" s="84" t="s">
        <v>78</v>
      </c>
      <c r="S80" s="85"/>
      <c r="T80" s="85"/>
      <c r="U80" s="86"/>
    </row>
    <row r="81" spans="1:21" ht="18" customHeight="1" x14ac:dyDescent="0.15">
      <c r="A81" s="29"/>
      <c r="B81" s="113" t="s">
        <v>175</v>
      </c>
      <c r="C81" s="114"/>
      <c r="D81" s="114"/>
      <c r="E81" s="114"/>
      <c r="F81" s="115"/>
      <c r="G81" s="125" t="s">
        <v>176</v>
      </c>
      <c r="H81" s="126"/>
      <c r="I81" s="126"/>
      <c r="J81" s="127"/>
      <c r="K81" s="113"/>
      <c r="L81" s="114"/>
      <c r="M81" s="114"/>
      <c r="N81" s="114"/>
      <c r="O81" s="114"/>
      <c r="P81" s="114"/>
      <c r="Q81" s="115"/>
      <c r="R81" s="125"/>
      <c r="S81" s="126"/>
      <c r="T81" s="126"/>
      <c r="U81" s="127"/>
    </row>
    <row r="82" spans="1:21" ht="18" customHeight="1" x14ac:dyDescent="0.15">
      <c r="A82" s="29"/>
      <c r="B82" s="97" t="s">
        <v>172</v>
      </c>
      <c r="C82" s="98"/>
      <c r="D82" s="98"/>
      <c r="E82" s="98"/>
      <c r="F82" s="99"/>
      <c r="G82" s="122" t="s">
        <v>177</v>
      </c>
      <c r="H82" s="123"/>
      <c r="I82" s="123"/>
      <c r="J82" s="124"/>
      <c r="K82" s="97"/>
      <c r="L82" s="98"/>
      <c r="M82" s="98"/>
      <c r="N82" s="98"/>
      <c r="O82" s="98"/>
      <c r="P82" s="98"/>
      <c r="Q82" s="99"/>
      <c r="R82" s="122"/>
      <c r="S82" s="123"/>
      <c r="T82" s="123"/>
      <c r="U82" s="124"/>
    </row>
    <row r="83" spans="1:21" ht="18" customHeight="1" x14ac:dyDescent="0.15">
      <c r="A83" s="29"/>
      <c r="B83" s="97"/>
      <c r="C83" s="98"/>
      <c r="D83" s="98"/>
      <c r="E83" s="98"/>
      <c r="F83" s="99"/>
      <c r="G83" s="122"/>
      <c r="H83" s="123"/>
      <c r="I83" s="123"/>
      <c r="J83" s="124"/>
      <c r="K83" s="97"/>
      <c r="L83" s="98"/>
      <c r="M83" s="98"/>
      <c r="N83" s="98"/>
      <c r="O83" s="98"/>
      <c r="P83" s="98"/>
      <c r="Q83" s="99"/>
      <c r="R83" s="122"/>
      <c r="S83" s="123"/>
      <c r="T83" s="123"/>
      <c r="U83" s="124"/>
    </row>
    <row r="84" spans="1:21" ht="18" customHeight="1" x14ac:dyDescent="0.15">
      <c r="A84" s="29"/>
      <c r="B84" s="97"/>
      <c r="C84" s="98"/>
      <c r="D84" s="98"/>
      <c r="E84" s="98"/>
      <c r="F84" s="99"/>
      <c r="G84" s="122"/>
      <c r="H84" s="123"/>
      <c r="I84" s="123"/>
      <c r="J84" s="124"/>
      <c r="K84" s="97"/>
      <c r="L84" s="98"/>
      <c r="M84" s="98"/>
      <c r="N84" s="98"/>
      <c r="O84" s="98"/>
      <c r="P84" s="98"/>
      <c r="Q84" s="99"/>
      <c r="R84" s="122"/>
      <c r="S84" s="123"/>
      <c r="T84" s="123"/>
      <c r="U84" s="124"/>
    </row>
    <row r="85" spans="1:21" ht="18" customHeight="1" x14ac:dyDescent="0.15">
      <c r="A85" s="29"/>
      <c r="B85" s="97"/>
      <c r="C85" s="98"/>
      <c r="D85" s="98"/>
      <c r="E85" s="98"/>
      <c r="F85" s="99"/>
      <c r="G85" s="122"/>
      <c r="H85" s="123"/>
      <c r="I85" s="123"/>
      <c r="J85" s="124"/>
      <c r="K85" s="97"/>
      <c r="L85" s="98"/>
      <c r="M85" s="98"/>
      <c r="N85" s="98"/>
      <c r="O85" s="98"/>
      <c r="P85" s="98"/>
      <c r="Q85" s="99"/>
      <c r="R85" s="122"/>
      <c r="S85" s="123"/>
      <c r="T85" s="123"/>
      <c r="U85" s="124"/>
    </row>
    <row r="86" spans="1:21" ht="18" customHeight="1" x14ac:dyDescent="0.15">
      <c r="A86" s="29"/>
      <c r="B86" s="97"/>
      <c r="C86" s="98"/>
      <c r="D86" s="98"/>
      <c r="E86" s="98"/>
      <c r="F86" s="99"/>
      <c r="G86" s="122"/>
      <c r="H86" s="123"/>
      <c r="I86" s="123"/>
      <c r="J86" s="124"/>
      <c r="K86" s="97"/>
      <c r="L86" s="98"/>
      <c r="M86" s="98"/>
      <c r="N86" s="98"/>
      <c r="O86" s="98"/>
      <c r="P86" s="98"/>
      <c r="Q86" s="99"/>
      <c r="R86" s="122"/>
      <c r="S86" s="123"/>
      <c r="T86" s="123"/>
      <c r="U86" s="124"/>
    </row>
    <row r="87" spans="1:21" ht="18" customHeight="1" x14ac:dyDescent="0.15">
      <c r="A87" s="29"/>
      <c r="B87" s="116"/>
      <c r="C87" s="117"/>
      <c r="D87" s="117"/>
      <c r="E87" s="117"/>
      <c r="F87" s="118"/>
      <c r="G87" s="128"/>
      <c r="H87" s="129"/>
      <c r="I87" s="129"/>
      <c r="J87" s="130"/>
      <c r="K87" s="116"/>
      <c r="L87" s="117"/>
      <c r="M87" s="117"/>
      <c r="N87" s="117"/>
      <c r="O87" s="117"/>
      <c r="P87" s="117"/>
      <c r="Q87" s="118"/>
      <c r="R87" s="128"/>
      <c r="S87" s="129"/>
      <c r="T87" s="129"/>
      <c r="U87" s="130"/>
    </row>
    <row r="88" spans="1:21" ht="18" customHeight="1" x14ac:dyDescent="0.15">
      <c r="A88" s="29"/>
      <c r="B88" s="27"/>
      <c r="C88" s="27"/>
      <c r="D88" s="27"/>
      <c r="E88" s="27"/>
      <c r="F88" s="27"/>
      <c r="G88" s="32"/>
      <c r="H88" s="32"/>
      <c r="I88" s="32"/>
      <c r="J88" s="32"/>
      <c r="K88" s="27"/>
      <c r="L88" s="27"/>
      <c r="M88" s="27"/>
      <c r="N88" s="27"/>
      <c r="O88" s="27"/>
      <c r="P88" s="27"/>
      <c r="Q88" s="27"/>
      <c r="R88" s="32"/>
      <c r="S88" s="32"/>
      <c r="T88" s="32"/>
      <c r="U88" s="32"/>
    </row>
    <row r="89" spans="1:21" ht="18.75" customHeight="1" x14ac:dyDescent="0.15">
      <c r="A89" s="25" t="s">
        <v>107</v>
      </c>
    </row>
    <row r="90" spans="1:21" ht="18.75" customHeight="1" x14ac:dyDescent="0.15">
      <c r="B90" s="131" t="s">
        <v>52</v>
      </c>
      <c r="C90" s="132"/>
      <c r="D90" s="84" t="s">
        <v>53</v>
      </c>
      <c r="E90" s="85"/>
      <c r="F90" s="85"/>
      <c r="G90" s="85"/>
      <c r="H90" s="85"/>
      <c r="I90" s="85"/>
      <c r="J90" s="85"/>
      <c r="K90" s="85"/>
      <c r="L90" s="85"/>
      <c r="M90" s="85"/>
      <c r="N90" s="85"/>
      <c r="O90" s="85"/>
      <c r="P90" s="85"/>
      <c r="Q90" s="85"/>
      <c r="R90" s="85"/>
      <c r="S90" s="85"/>
      <c r="T90" s="85"/>
      <c r="U90" s="86"/>
    </row>
    <row r="91" spans="1:21" ht="190.35" customHeight="1" x14ac:dyDescent="0.15">
      <c r="B91" s="133" t="s">
        <v>59</v>
      </c>
      <c r="C91" s="53" t="s">
        <v>54</v>
      </c>
      <c r="D91" s="135" t="s">
        <v>184</v>
      </c>
      <c r="E91" s="136"/>
      <c r="F91" s="136"/>
      <c r="G91" s="136"/>
      <c r="H91" s="136"/>
      <c r="I91" s="136"/>
      <c r="J91" s="136"/>
      <c r="K91" s="136"/>
      <c r="L91" s="136"/>
      <c r="M91" s="136"/>
      <c r="N91" s="136"/>
      <c r="O91" s="136"/>
      <c r="P91" s="136"/>
      <c r="Q91" s="136"/>
      <c r="R91" s="136"/>
      <c r="S91" s="136"/>
      <c r="T91" s="136"/>
      <c r="U91" s="137"/>
    </row>
    <row r="92" spans="1:21" ht="142.5" customHeight="1" x14ac:dyDescent="0.15">
      <c r="B92" s="141"/>
      <c r="C92" s="54" t="s">
        <v>74</v>
      </c>
      <c r="D92" s="138" t="s">
        <v>179</v>
      </c>
      <c r="E92" s="139"/>
      <c r="F92" s="139"/>
      <c r="G92" s="139"/>
      <c r="H92" s="139"/>
      <c r="I92" s="139"/>
      <c r="J92" s="139"/>
      <c r="K92" s="139"/>
      <c r="L92" s="139"/>
      <c r="M92" s="139"/>
      <c r="N92" s="139"/>
      <c r="O92" s="139"/>
      <c r="P92" s="139"/>
      <c r="Q92" s="139"/>
      <c r="R92" s="139"/>
      <c r="S92" s="139"/>
      <c r="T92" s="139"/>
      <c r="U92" s="140"/>
    </row>
    <row r="93" spans="1:21" ht="115.15" customHeight="1" x14ac:dyDescent="0.15">
      <c r="B93" s="133" t="s">
        <v>60</v>
      </c>
      <c r="C93" s="55" t="s">
        <v>68</v>
      </c>
      <c r="D93" s="135" t="s">
        <v>208</v>
      </c>
      <c r="E93" s="136"/>
      <c r="F93" s="136"/>
      <c r="G93" s="136"/>
      <c r="H93" s="136"/>
      <c r="I93" s="136"/>
      <c r="J93" s="136"/>
      <c r="K93" s="136"/>
      <c r="L93" s="136"/>
      <c r="M93" s="136"/>
      <c r="N93" s="136"/>
      <c r="O93" s="136"/>
      <c r="P93" s="136"/>
      <c r="Q93" s="136"/>
      <c r="R93" s="136"/>
      <c r="S93" s="136"/>
      <c r="T93" s="136"/>
      <c r="U93" s="137"/>
    </row>
    <row r="94" spans="1:21" ht="152.25" customHeight="1" x14ac:dyDescent="0.15">
      <c r="B94" s="134"/>
      <c r="C94" s="56" t="s">
        <v>69</v>
      </c>
      <c r="D94" s="138" t="s">
        <v>180</v>
      </c>
      <c r="E94" s="139"/>
      <c r="F94" s="139"/>
      <c r="G94" s="139"/>
      <c r="H94" s="139"/>
      <c r="I94" s="139"/>
      <c r="J94" s="139"/>
      <c r="K94" s="139"/>
      <c r="L94" s="139"/>
      <c r="M94" s="139"/>
      <c r="N94" s="139"/>
      <c r="O94" s="139"/>
      <c r="P94" s="139"/>
      <c r="Q94" s="139"/>
      <c r="R94" s="139"/>
      <c r="S94" s="139"/>
      <c r="T94" s="139"/>
      <c r="U94" s="140"/>
    </row>
    <row r="95" spans="1:21" ht="175.5" customHeight="1" x14ac:dyDescent="0.15">
      <c r="B95" s="133" t="s">
        <v>61</v>
      </c>
      <c r="C95" s="55" t="s">
        <v>70</v>
      </c>
      <c r="D95" s="135" t="s">
        <v>209</v>
      </c>
      <c r="E95" s="136"/>
      <c r="F95" s="136"/>
      <c r="G95" s="136"/>
      <c r="H95" s="136"/>
      <c r="I95" s="136"/>
      <c r="J95" s="136"/>
      <c r="K95" s="136"/>
      <c r="L95" s="136"/>
      <c r="M95" s="136"/>
      <c r="N95" s="136"/>
      <c r="O95" s="136"/>
      <c r="P95" s="136"/>
      <c r="Q95" s="136"/>
      <c r="R95" s="136"/>
      <c r="S95" s="136"/>
      <c r="T95" s="136"/>
      <c r="U95" s="137"/>
    </row>
    <row r="96" spans="1:21" ht="126" customHeight="1" x14ac:dyDescent="0.15">
      <c r="B96" s="134"/>
      <c r="C96" s="57" t="s">
        <v>71</v>
      </c>
      <c r="D96" s="138" t="s">
        <v>185</v>
      </c>
      <c r="E96" s="139"/>
      <c r="F96" s="139"/>
      <c r="G96" s="139"/>
      <c r="H96" s="139"/>
      <c r="I96" s="139"/>
      <c r="J96" s="139"/>
      <c r="K96" s="139"/>
      <c r="L96" s="139"/>
      <c r="M96" s="139"/>
      <c r="N96" s="139"/>
      <c r="O96" s="139"/>
      <c r="P96" s="139"/>
      <c r="Q96" s="139"/>
      <c r="R96" s="139"/>
      <c r="S96" s="139"/>
      <c r="T96" s="139"/>
      <c r="U96" s="140"/>
    </row>
    <row r="97" spans="1:33" ht="185.45" customHeight="1" x14ac:dyDescent="0.15">
      <c r="B97" s="133" t="s">
        <v>75</v>
      </c>
      <c r="C97" s="53" t="s">
        <v>56</v>
      </c>
      <c r="D97" s="135" t="s">
        <v>181</v>
      </c>
      <c r="E97" s="136"/>
      <c r="F97" s="136"/>
      <c r="G97" s="136"/>
      <c r="H97" s="136"/>
      <c r="I97" s="136"/>
      <c r="J97" s="136"/>
      <c r="K97" s="136"/>
      <c r="L97" s="136"/>
      <c r="M97" s="136"/>
      <c r="N97" s="136"/>
      <c r="O97" s="136"/>
      <c r="P97" s="136"/>
      <c r="Q97" s="136"/>
      <c r="R97" s="136"/>
      <c r="S97" s="136"/>
      <c r="T97" s="136"/>
      <c r="U97" s="137"/>
    </row>
    <row r="98" spans="1:33" ht="148.5" customHeight="1" x14ac:dyDescent="0.15">
      <c r="B98" s="134"/>
      <c r="C98" s="56" t="s">
        <v>58</v>
      </c>
      <c r="D98" s="138" t="s">
        <v>178</v>
      </c>
      <c r="E98" s="139"/>
      <c r="F98" s="139"/>
      <c r="G98" s="139"/>
      <c r="H98" s="139"/>
      <c r="I98" s="139"/>
      <c r="J98" s="139"/>
      <c r="K98" s="139"/>
      <c r="L98" s="139"/>
      <c r="M98" s="139"/>
      <c r="N98" s="139"/>
      <c r="O98" s="139"/>
      <c r="P98" s="139"/>
      <c r="Q98" s="139"/>
      <c r="R98" s="139"/>
      <c r="S98" s="139"/>
      <c r="T98" s="139"/>
      <c r="U98" s="140"/>
    </row>
    <row r="99" spans="1:33" ht="144" customHeight="1" x14ac:dyDescent="0.15">
      <c r="B99" s="133" t="s">
        <v>76</v>
      </c>
      <c r="C99" s="55" t="s">
        <v>55</v>
      </c>
      <c r="D99" s="135" t="s">
        <v>190</v>
      </c>
      <c r="E99" s="136"/>
      <c r="F99" s="136"/>
      <c r="G99" s="136"/>
      <c r="H99" s="136"/>
      <c r="I99" s="136"/>
      <c r="J99" s="136"/>
      <c r="K99" s="136"/>
      <c r="L99" s="136"/>
      <c r="M99" s="136"/>
      <c r="N99" s="136"/>
      <c r="O99" s="136"/>
      <c r="P99" s="136"/>
      <c r="Q99" s="136"/>
      <c r="R99" s="136"/>
      <c r="S99" s="136"/>
      <c r="T99" s="136"/>
      <c r="U99" s="137"/>
    </row>
    <row r="100" spans="1:33" ht="144" customHeight="1" x14ac:dyDescent="0.15">
      <c r="B100" s="141"/>
      <c r="C100" s="58" t="s">
        <v>72</v>
      </c>
      <c r="D100" s="145" t="s">
        <v>182</v>
      </c>
      <c r="E100" s="146"/>
      <c r="F100" s="146"/>
      <c r="G100" s="146"/>
      <c r="H100" s="146"/>
      <c r="I100" s="146"/>
      <c r="J100" s="146"/>
      <c r="K100" s="146"/>
      <c r="L100" s="146"/>
      <c r="M100" s="146"/>
      <c r="N100" s="146"/>
      <c r="O100" s="146"/>
      <c r="P100" s="146"/>
      <c r="Q100" s="146"/>
      <c r="R100" s="146"/>
      <c r="S100" s="146"/>
      <c r="T100" s="146"/>
      <c r="U100" s="147"/>
    </row>
    <row r="101" spans="1:33" ht="194.25" customHeight="1" x14ac:dyDescent="0.15">
      <c r="B101" s="134"/>
      <c r="C101" s="57" t="s">
        <v>73</v>
      </c>
      <c r="D101" s="138" t="s">
        <v>183</v>
      </c>
      <c r="E101" s="139"/>
      <c r="F101" s="139"/>
      <c r="G101" s="139"/>
      <c r="H101" s="139"/>
      <c r="I101" s="139"/>
      <c r="J101" s="139"/>
      <c r="K101" s="139"/>
      <c r="L101" s="139"/>
      <c r="M101" s="139"/>
      <c r="N101" s="139"/>
      <c r="O101" s="139"/>
      <c r="P101" s="139"/>
      <c r="Q101" s="139"/>
      <c r="R101" s="139"/>
      <c r="S101" s="139"/>
      <c r="T101" s="139"/>
      <c r="U101" s="140"/>
    </row>
    <row r="102" spans="1:33" ht="12.75" customHeight="1" x14ac:dyDescent="0.15"/>
    <row r="103" spans="1:33" ht="18.75" customHeight="1" x14ac:dyDescent="0.15">
      <c r="A103" s="25" t="s">
        <v>108</v>
      </c>
    </row>
    <row r="104" spans="1:33" ht="313.7" customHeight="1" x14ac:dyDescent="0.15">
      <c r="B104" s="148" t="s">
        <v>198</v>
      </c>
      <c r="C104" s="149"/>
      <c r="D104" s="149"/>
      <c r="E104" s="149"/>
      <c r="F104" s="149"/>
      <c r="G104" s="149"/>
      <c r="H104" s="149"/>
      <c r="I104" s="149"/>
      <c r="J104" s="149"/>
      <c r="K104" s="149"/>
      <c r="L104" s="149"/>
      <c r="M104" s="149"/>
      <c r="N104" s="149"/>
      <c r="O104" s="149"/>
      <c r="P104" s="149"/>
      <c r="Q104" s="149"/>
      <c r="R104" s="149"/>
      <c r="S104" s="149"/>
      <c r="T104" s="149"/>
      <c r="U104" s="150"/>
    </row>
    <row r="106" spans="1:33" ht="18.75" customHeight="1" x14ac:dyDescent="0.15">
      <c r="A106" s="24" t="s">
        <v>123</v>
      </c>
    </row>
    <row r="107" spans="1:33" ht="18.75" customHeight="1" x14ac:dyDescent="0.15">
      <c r="A107" s="24" t="s">
        <v>125</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row>
    <row r="108" spans="1:33" ht="18.75" customHeight="1" x14ac:dyDescent="0.15">
      <c r="A108" s="24"/>
      <c r="B108" s="151" t="s">
        <v>128</v>
      </c>
      <c r="C108" s="151"/>
      <c r="D108" s="151"/>
      <c r="E108" s="151"/>
      <c r="F108" s="151"/>
      <c r="G108" s="151"/>
      <c r="H108" s="151"/>
      <c r="I108" s="151"/>
      <c r="J108" s="151"/>
      <c r="K108" s="151"/>
      <c r="L108" s="151"/>
      <c r="M108" s="151"/>
      <c r="N108" s="151"/>
      <c r="O108" s="151"/>
      <c r="P108" s="151"/>
      <c r="Q108" s="151"/>
      <c r="R108" s="151"/>
      <c r="S108" s="151"/>
      <c r="T108" s="151"/>
      <c r="U108" s="151"/>
      <c r="V108" s="59"/>
      <c r="W108" s="59"/>
      <c r="X108" s="59"/>
      <c r="Y108" s="59"/>
      <c r="Z108" s="59"/>
      <c r="AA108" s="59"/>
      <c r="AB108" s="59"/>
      <c r="AC108" s="59"/>
      <c r="AD108" s="59"/>
      <c r="AE108" s="59"/>
      <c r="AF108" s="59"/>
      <c r="AG108" s="59"/>
    </row>
    <row r="109" spans="1:33" ht="37.15" customHeight="1" x14ac:dyDescent="0.15">
      <c r="A109" s="24"/>
      <c r="B109" s="151"/>
      <c r="C109" s="151"/>
      <c r="D109" s="151"/>
      <c r="E109" s="151"/>
      <c r="F109" s="151"/>
      <c r="G109" s="151"/>
      <c r="H109" s="151"/>
      <c r="I109" s="151"/>
      <c r="J109" s="151"/>
      <c r="K109" s="151"/>
      <c r="L109" s="151"/>
      <c r="M109" s="151"/>
      <c r="N109" s="151"/>
      <c r="O109" s="151"/>
      <c r="P109" s="151"/>
      <c r="Q109" s="151"/>
      <c r="R109" s="151"/>
      <c r="S109" s="151"/>
      <c r="T109" s="151"/>
      <c r="U109" s="151"/>
      <c r="V109" s="59"/>
      <c r="W109" s="59"/>
      <c r="X109" s="59"/>
      <c r="Y109" s="59"/>
      <c r="Z109" s="59"/>
      <c r="AA109" s="59"/>
      <c r="AB109" s="59"/>
      <c r="AC109" s="59"/>
      <c r="AD109" s="59"/>
      <c r="AE109" s="59"/>
      <c r="AF109" s="59"/>
      <c r="AG109" s="59"/>
    </row>
    <row r="110" spans="1:33" ht="18.75" customHeight="1" x14ac:dyDescent="0.15">
      <c r="A110" s="24"/>
      <c r="B110" s="142" t="s">
        <v>124</v>
      </c>
      <c r="C110" s="142"/>
      <c r="D110" s="142"/>
      <c r="E110" s="142"/>
      <c r="F110" s="142"/>
      <c r="G110" s="142"/>
      <c r="H110" s="142"/>
      <c r="I110" s="142"/>
      <c r="J110" s="142"/>
      <c r="K110" s="142"/>
      <c r="L110" s="142"/>
      <c r="M110" s="142"/>
      <c r="N110" s="142"/>
      <c r="O110" s="142"/>
      <c r="P110" s="142"/>
      <c r="Q110" s="142"/>
      <c r="R110" s="142"/>
      <c r="S110" s="142"/>
      <c r="T110" s="142"/>
      <c r="U110" s="142"/>
      <c r="V110" s="59"/>
      <c r="W110" s="59"/>
      <c r="X110" s="59"/>
      <c r="Y110" s="59"/>
      <c r="Z110" s="59"/>
      <c r="AA110" s="59"/>
      <c r="AB110" s="59"/>
      <c r="AC110" s="59"/>
      <c r="AD110" s="59"/>
      <c r="AE110" s="59"/>
      <c r="AF110" s="59"/>
      <c r="AG110" s="59"/>
    </row>
    <row r="111" spans="1:33" ht="18.75" customHeight="1" x14ac:dyDescent="0.15">
      <c r="A111" s="24"/>
      <c r="B111" s="143" t="s">
        <v>53</v>
      </c>
      <c r="C111" s="143"/>
      <c r="D111" s="143"/>
      <c r="E111" s="143"/>
      <c r="F111" s="143"/>
      <c r="G111" s="143"/>
      <c r="H111" s="143"/>
      <c r="I111" s="143"/>
      <c r="J111" s="143"/>
      <c r="K111" s="143"/>
      <c r="L111" s="143"/>
      <c r="M111" s="143"/>
      <c r="N111" s="143"/>
      <c r="O111" s="143"/>
      <c r="P111" s="143"/>
      <c r="Q111" s="143"/>
      <c r="R111" s="143"/>
      <c r="S111" s="143"/>
      <c r="T111" s="143"/>
      <c r="U111" s="143"/>
      <c r="V111" s="24"/>
      <c r="W111" s="24"/>
      <c r="X111" s="24"/>
      <c r="Y111" s="24"/>
      <c r="Z111" s="24"/>
      <c r="AA111" s="24"/>
      <c r="AB111" s="24"/>
      <c r="AC111" s="24"/>
      <c r="AD111" s="24"/>
      <c r="AE111" s="24"/>
      <c r="AF111" s="24"/>
      <c r="AG111" s="24"/>
    </row>
    <row r="112" spans="1:33" ht="132" customHeight="1" x14ac:dyDescent="0.15">
      <c r="A112" s="24"/>
      <c r="B112" s="144" t="s">
        <v>160</v>
      </c>
      <c r="C112" s="144"/>
      <c r="D112" s="144"/>
      <c r="E112" s="144"/>
      <c r="F112" s="144"/>
      <c r="G112" s="144"/>
      <c r="H112" s="144"/>
      <c r="I112" s="144"/>
      <c r="J112" s="144"/>
      <c r="K112" s="144"/>
      <c r="L112" s="144"/>
      <c r="M112" s="144"/>
      <c r="N112" s="144"/>
      <c r="O112" s="144"/>
      <c r="P112" s="144"/>
      <c r="Q112" s="144"/>
      <c r="R112" s="144"/>
      <c r="S112" s="144"/>
      <c r="T112" s="144"/>
      <c r="U112" s="144"/>
      <c r="V112" s="60"/>
      <c r="W112" s="60"/>
      <c r="X112" s="60"/>
      <c r="Y112" s="60"/>
      <c r="Z112" s="60"/>
      <c r="AA112" s="60"/>
      <c r="AB112" s="60"/>
      <c r="AC112" s="60"/>
      <c r="AD112" s="60"/>
      <c r="AE112" s="60"/>
      <c r="AF112" s="60"/>
      <c r="AG112" s="60"/>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N22:V22"/>
    <mergeCell ref="B108:U109"/>
    <mergeCell ref="D98:U98"/>
    <mergeCell ref="D99:U99"/>
    <mergeCell ref="D100:U100"/>
    <mergeCell ref="D101:U101"/>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49:J55 S49:U55 H60:J66 S60:U66 H38:J44 G75:J77 H71:J74 G74 G71:G72">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S85:U88 R81:R88 S81:U82 H85:J88 G81:G88 H81:J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V22">
      <formula1>$V$14:$V$16</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3" manualBreakCount="3">
    <brk id="67" max="20" man="1"/>
    <brk id="94" max="20" man="1"/>
    <brk id="101"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29"/>
  <sheetViews>
    <sheetView view="pageBreakPreview" zoomScaleNormal="100" zoomScaleSheetLayoutView="100" workbookViewId="0">
      <selection activeCell="I24" sqref="I2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25"/>
      <c r="B1" s="25"/>
      <c r="C1" s="25"/>
      <c r="D1" s="25"/>
      <c r="E1" s="25"/>
      <c r="F1" s="25"/>
      <c r="G1" s="25"/>
      <c r="H1" s="25"/>
      <c r="I1" s="25"/>
      <c r="J1" s="25"/>
      <c r="K1" s="25"/>
      <c r="L1" s="25"/>
      <c r="M1" s="25"/>
      <c r="N1" s="25"/>
      <c r="O1" s="25"/>
      <c r="P1" s="25"/>
      <c r="Q1" s="25"/>
      <c r="R1" s="25"/>
      <c r="S1" s="25" t="s">
        <v>97</v>
      </c>
    </row>
    <row r="2" spans="1:21" ht="18" customHeight="1" x14ac:dyDescent="0.15">
      <c r="A2" s="25"/>
      <c r="B2" s="25"/>
      <c r="C2" s="25"/>
      <c r="D2" s="25"/>
      <c r="E2" s="25"/>
      <c r="F2" s="25"/>
      <c r="G2" s="25"/>
      <c r="H2" s="25"/>
      <c r="I2" s="25"/>
      <c r="J2" s="25"/>
      <c r="K2" s="25"/>
      <c r="L2" s="25"/>
      <c r="M2" s="25"/>
      <c r="N2" s="25"/>
      <c r="O2" s="25"/>
      <c r="P2" s="25"/>
      <c r="Q2" s="153" t="str">
        <f>'様式１-2　プログラムを構成する授業科目'!C2</f>
        <v>東京国際大学</v>
      </c>
      <c r="R2" s="153"/>
      <c r="S2" s="153"/>
    </row>
    <row r="3" spans="1:21" ht="18" customHeight="1" x14ac:dyDescent="0.15">
      <c r="A3" s="87" t="s">
        <v>46</v>
      </c>
      <c r="B3" s="87"/>
      <c r="C3" s="87"/>
      <c r="D3" s="87"/>
      <c r="E3" s="87"/>
      <c r="F3" s="87"/>
      <c r="G3" s="87"/>
      <c r="H3" s="87"/>
      <c r="I3" s="87"/>
      <c r="J3" s="87"/>
      <c r="K3" s="87"/>
      <c r="L3" s="87"/>
      <c r="M3" s="87"/>
      <c r="N3" s="87"/>
      <c r="O3" s="87"/>
      <c r="P3" s="87"/>
      <c r="Q3" s="87"/>
      <c r="R3" s="87"/>
      <c r="S3" s="87"/>
    </row>
    <row r="4" spans="1:21" ht="7.5" customHeight="1" x14ac:dyDescent="0.15">
      <c r="A4" s="29"/>
      <c r="B4" s="29"/>
      <c r="C4" s="29"/>
      <c r="D4" s="29"/>
      <c r="E4" s="29"/>
      <c r="F4" s="29"/>
      <c r="G4" s="29"/>
      <c r="H4" s="29"/>
      <c r="I4" s="29"/>
      <c r="J4" s="29"/>
      <c r="K4" s="29"/>
      <c r="L4" s="29"/>
      <c r="M4" s="29"/>
      <c r="N4" s="29"/>
      <c r="O4" s="29"/>
      <c r="P4" s="29"/>
      <c r="Q4" s="29"/>
      <c r="R4" s="29"/>
      <c r="S4" s="29"/>
    </row>
    <row r="5" spans="1:21" ht="18" customHeight="1" x14ac:dyDescent="0.15">
      <c r="A5" s="25" t="s">
        <v>79</v>
      </c>
      <c r="B5" s="25"/>
      <c r="C5" s="154" t="s">
        <v>148</v>
      </c>
      <c r="D5" s="155"/>
      <c r="E5" s="29" t="s">
        <v>50</v>
      </c>
      <c r="F5" s="29"/>
      <c r="G5" s="29"/>
      <c r="H5" s="29"/>
      <c r="I5" s="29"/>
      <c r="J5" s="29"/>
      <c r="K5" s="29"/>
      <c r="L5" s="29"/>
      <c r="M5" s="29"/>
      <c r="N5" s="29"/>
      <c r="O5" s="29"/>
      <c r="P5" s="29"/>
      <c r="Q5" s="29"/>
      <c r="R5" s="27"/>
      <c r="S5" s="27"/>
    </row>
    <row r="6" spans="1:21" ht="7.15" customHeight="1" x14ac:dyDescent="0.15">
      <c r="A6" s="25"/>
      <c r="B6" s="25"/>
      <c r="C6" s="32"/>
      <c r="D6" s="32"/>
      <c r="E6" s="29"/>
      <c r="F6" s="29"/>
      <c r="G6" s="29"/>
      <c r="H6" s="29"/>
      <c r="I6" s="29"/>
      <c r="J6" s="29"/>
      <c r="K6" s="29"/>
      <c r="L6" s="29"/>
      <c r="M6" s="29"/>
      <c r="N6" s="29"/>
      <c r="O6" s="29"/>
      <c r="P6" s="29"/>
      <c r="Q6" s="29"/>
      <c r="R6" s="27"/>
      <c r="S6" s="27"/>
    </row>
    <row r="7" spans="1:21" ht="18" customHeight="1" x14ac:dyDescent="0.15">
      <c r="A7" s="25" t="s">
        <v>116</v>
      </c>
      <c r="B7" s="25"/>
      <c r="C7" s="32"/>
      <c r="D7" s="32"/>
      <c r="E7" s="29" t="s">
        <v>117</v>
      </c>
      <c r="F7" s="36">
        <v>4634</v>
      </c>
      <c r="G7" s="30" t="s">
        <v>118</v>
      </c>
      <c r="H7" s="29" t="s">
        <v>119</v>
      </c>
      <c r="I7" s="36">
        <v>2135</v>
      </c>
      <c r="J7" s="30" t="s">
        <v>118</v>
      </c>
      <c r="K7" s="26" t="s">
        <v>120</v>
      </c>
      <c r="L7" s="29" t="s">
        <v>121</v>
      </c>
      <c r="M7" s="36">
        <f>F7+I7</f>
        <v>6769</v>
      </c>
      <c r="N7" s="29" t="s">
        <v>1</v>
      </c>
      <c r="O7" s="30" t="s">
        <v>122</v>
      </c>
      <c r="P7" s="29"/>
      <c r="Q7" s="29"/>
      <c r="R7" s="27"/>
      <c r="S7" s="27"/>
    </row>
    <row r="8" spans="1:21" ht="6" customHeight="1" x14ac:dyDescent="0.15">
      <c r="A8" s="29"/>
      <c r="B8" s="29"/>
      <c r="C8" s="29"/>
      <c r="D8" s="29"/>
      <c r="E8" s="29"/>
      <c r="F8" s="29"/>
      <c r="G8" s="29"/>
      <c r="H8" s="29"/>
      <c r="I8" s="29"/>
      <c r="J8" s="29"/>
      <c r="K8" s="29"/>
      <c r="L8" s="29"/>
      <c r="M8" s="29"/>
      <c r="N8" s="29"/>
      <c r="O8" s="29"/>
      <c r="P8" s="29"/>
      <c r="Q8" s="29"/>
      <c r="R8" s="29"/>
      <c r="S8" s="29"/>
    </row>
    <row r="9" spans="1:21" ht="18" customHeight="1" x14ac:dyDescent="0.15">
      <c r="A9" s="25" t="s">
        <v>132</v>
      </c>
      <c r="B9" s="29"/>
      <c r="C9" s="29"/>
      <c r="D9" s="29"/>
      <c r="E9" s="29"/>
      <c r="F9" s="29"/>
      <c r="G9" s="29"/>
      <c r="H9" s="29"/>
      <c r="I9" s="29"/>
      <c r="J9" s="29"/>
      <c r="K9" s="29"/>
      <c r="L9" s="29"/>
      <c r="M9" s="29"/>
      <c r="N9" s="29"/>
      <c r="O9" s="29"/>
      <c r="P9" s="29"/>
      <c r="Q9" s="29"/>
      <c r="R9" s="29"/>
      <c r="S9" s="2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6" t="s">
        <v>43</v>
      </c>
      <c r="C11" s="166" t="s">
        <v>82</v>
      </c>
      <c r="D11" s="158" t="s">
        <v>45</v>
      </c>
      <c r="E11" s="160" t="s">
        <v>38</v>
      </c>
      <c r="F11" s="152" t="s">
        <v>110</v>
      </c>
      <c r="G11" s="152"/>
      <c r="H11" s="152" t="s">
        <v>81</v>
      </c>
      <c r="I11" s="152"/>
      <c r="J11" s="152" t="s">
        <v>47</v>
      </c>
      <c r="K11" s="152"/>
      <c r="L11" s="152" t="s">
        <v>48</v>
      </c>
      <c r="M11" s="152"/>
      <c r="N11" s="152" t="s">
        <v>91</v>
      </c>
      <c r="O11" s="152"/>
      <c r="P11" s="152" t="s">
        <v>49</v>
      </c>
      <c r="Q11" s="152"/>
      <c r="R11" s="162" t="s">
        <v>34</v>
      </c>
      <c r="S11" s="164" t="s">
        <v>31</v>
      </c>
      <c r="U11" s="2"/>
    </row>
    <row r="12" spans="1:21" ht="16.899999999999999" customHeight="1" x14ac:dyDescent="0.15">
      <c r="B12" s="157"/>
      <c r="C12" s="167"/>
      <c r="D12" s="159"/>
      <c r="E12" s="161"/>
      <c r="F12" s="37" t="s">
        <v>90</v>
      </c>
      <c r="G12" s="37" t="s">
        <v>28</v>
      </c>
      <c r="H12" s="37" t="s">
        <v>90</v>
      </c>
      <c r="I12" s="37" t="s">
        <v>28</v>
      </c>
      <c r="J12" s="37" t="s">
        <v>90</v>
      </c>
      <c r="K12" s="37" t="s">
        <v>28</v>
      </c>
      <c r="L12" s="37" t="s">
        <v>90</v>
      </c>
      <c r="M12" s="37" t="s">
        <v>28</v>
      </c>
      <c r="N12" s="37" t="s">
        <v>90</v>
      </c>
      <c r="O12" s="37" t="s">
        <v>28</v>
      </c>
      <c r="P12" s="37" t="s">
        <v>90</v>
      </c>
      <c r="Q12" s="38" t="s">
        <v>28</v>
      </c>
      <c r="R12" s="163"/>
      <c r="S12" s="165"/>
      <c r="U12" s="2"/>
    </row>
    <row r="13" spans="1:21" ht="18" customHeight="1" x14ac:dyDescent="0.15">
      <c r="A13" s="4"/>
      <c r="B13" s="22" t="s">
        <v>199</v>
      </c>
      <c r="C13" s="10">
        <v>793</v>
      </c>
      <c r="D13" s="11">
        <v>260</v>
      </c>
      <c r="E13" s="12">
        <v>880</v>
      </c>
      <c r="F13" s="12">
        <v>242</v>
      </c>
      <c r="G13" s="12">
        <v>202</v>
      </c>
      <c r="H13" s="12">
        <v>0</v>
      </c>
      <c r="I13" s="12">
        <v>0</v>
      </c>
      <c r="J13" s="12">
        <v>0</v>
      </c>
      <c r="K13" s="12">
        <v>0</v>
      </c>
      <c r="L13" s="12">
        <v>0</v>
      </c>
      <c r="M13" s="12">
        <v>0</v>
      </c>
      <c r="N13" s="12">
        <v>0</v>
      </c>
      <c r="O13" s="12">
        <v>0</v>
      </c>
      <c r="P13" s="12">
        <v>0</v>
      </c>
      <c r="Q13" s="33">
        <v>0</v>
      </c>
      <c r="R13" s="11">
        <f t="shared" ref="R13:R18" si="0">F13+H13+J13+L13+N13+P13</f>
        <v>242</v>
      </c>
      <c r="S13" s="23">
        <f t="shared" ref="S13:S29" si="1">R13/E13</f>
        <v>0.27500000000000002</v>
      </c>
    </row>
    <row r="14" spans="1:21" ht="18" customHeight="1" x14ac:dyDescent="0.15">
      <c r="A14" s="4"/>
      <c r="B14" s="7" t="s">
        <v>200</v>
      </c>
      <c r="C14" s="13">
        <f>944+897</f>
        <v>1841</v>
      </c>
      <c r="D14" s="14">
        <v>475</v>
      </c>
      <c r="E14" s="15">
        <v>1860</v>
      </c>
      <c r="F14" s="44">
        <v>916</v>
      </c>
      <c r="G14" s="44">
        <v>846</v>
      </c>
      <c r="H14" s="16">
        <v>0</v>
      </c>
      <c r="I14" s="16">
        <v>0</v>
      </c>
      <c r="J14" s="16">
        <v>0</v>
      </c>
      <c r="K14" s="16">
        <v>0</v>
      </c>
      <c r="L14" s="16">
        <v>0</v>
      </c>
      <c r="M14" s="16">
        <v>0</v>
      </c>
      <c r="N14" s="16">
        <v>0</v>
      </c>
      <c r="O14" s="16">
        <v>0</v>
      </c>
      <c r="P14" s="16">
        <v>0</v>
      </c>
      <c r="Q14" s="34">
        <v>0</v>
      </c>
      <c r="R14" s="14">
        <f t="shared" si="0"/>
        <v>916</v>
      </c>
      <c r="S14" s="6">
        <f t="shared" si="1"/>
        <v>0.49247311827956991</v>
      </c>
    </row>
    <row r="15" spans="1:21" ht="18" customHeight="1" x14ac:dyDescent="0.15">
      <c r="A15" s="4"/>
      <c r="B15" s="7" t="s">
        <v>201</v>
      </c>
      <c r="C15" s="13">
        <v>819</v>
      </c>
      <c r="D15" s="14">
        <v>250</v>
      </c>
      <c r="E15" s="15">
        <v>980</v>
      </c>
      <c r="F15" s="16">
        <v>246</v>
      </c>
      <c r="G15" s="16">
        <v>202</v>
      </c>
      <c r="H15" s="16">
        <v>0</v>
      </c>
      <c r="I15" s="16">
        <v>0</v>
      </c>
      <c r="J15" s="16">
        <v>0</v>
      </c>
      <c r="K15" s="16">
        <v>0</v>
      </c>
      <c r="L15" s="16">
        <v>0</v>
      </c>
      <c r="M15" s="16">
        <v>0</v>
      </c>
      <c r="N15" s="16">
        <v>0</v>
      </c>
      <c r="O15" s="16">
        <v>0</v>
      </c>
      <c r="P15" s="16">
        <v>0</v>
      </c>
      <c r="Q15" s="34">
        <v>0</v>
      </c>
      <c r="R15" s="14">
        <f t="shared" si="0"/>
        <v>246</v>
      </c>
      <c r="S15" s="6">
        <f t="shared" si="1"/>
        <v>0.25102040816326532</v>
      </c>
    </row>
    <row r="16" spans="1:21" ht="18" customHeight="1" x14ac:dyDescent="0.15">
      <c r="A16" s="4"/>
      <c r="B16" s="7" t="s">
        <v>202</v>
      </c>
      <c r="C16" s="13">
        <v>1311</v>
      </c>
      <c r="D16" s="14">
        <v>370</v>
      </c>
      <c r="E16" s="15">
        <v>1415</v>
      </c>
      <c r="F16" s="44">
        <v>394</v>
      </c>
      <c r="G16" s="44">
        <v>344</v>
      </c>
      <c r="H16" s="16">
        <v>0</v>
      </c>
      <c r="I16" s="16">
        <v>0</v>
      </c>
      <c r="J16" s="16">
        <v>0</v>
      </c>
      <c r="K16" s="16">
        <v>0</v>
      </c>
      <c r="L16" s="16">
        <v>0</v>
      </c>
      <c r="M16" s="16">
        <v>0</v>
      </c>
      <c r="N16" s="16">
        <v>0</v>
      </c>
      <c r="O16" s="16">
        <v>0</v>
      </c>
      <c r="P16" s="16">
        <v>0</v>
      </c>
      <c r="Q16" s="34">
        <v>0</v>
      </c>
      <c r="R16" s="14">
        <f t="shared" si="0"/>
        <v>394</v>
      </c>
      <c r="S16" s="6">
        <f t="shared" si="1"/>
        <v>0.27844522968197882</v>
      </c>
    </row>
    <row r="17" spans="1:19" ht="18" customHeight="1" x14ac:dyDescent="0.15">
      <c r="A17" s="4"/>
      <c r="B17" s="7" t="s">
        <v>203</v>
      </c>
      <c r="C17" s="13">
        <v>1795</v>
      </c>
      <c r="D17" s="14">
        <v>500</v>
      </c>
      <c r="E17" s="15">
        <v>1885</v>
      </c>
      <c r="F17" s="16">
        <v>507</v>
      </c>
      <c r="G17" s="16">
        <v>456</v>
      </c>
      <c r="H17" s="16">
        <v>0</v>
      </c>
      <c r="I17" s="16">
        <v>0</v>
      </c>
      <c r="J17" s="16">
        <v>0</v>
      </c>
      <c r="K17" s="16">
        <v>0</v>
      </c>
      <c r="L17" s="16">
        <v>0</v>
      </c>
      <c r="M17" s="16">
        <v>0</v>
      </c>
      <c r="N17" s="16">
        <v>0</v>
      </c>
      <c r="O17" s="16">
        <v>0</v>
      </c>
      <c r="P17" s="16">
        <v>0</v>
      </c>
      <c r="Q17" s="34">
        <v>0</v>
      </c>
      <c r="R17" s="14">
        <f t="shared" si="0"/>
        <v>507</v>
      </c>
      <c r="S17" s="6">
        <f t="shared" si="1"/>
        <v>0.26896551724137929</v>
      </c>
    </row>
    <row r="18" spans="1:19" ht="18" customHeight="1" x14ac:dyDescent="0.15">
      <c r="A18" s="4"/>
      <c r="B18" s="7" t="s">
        <v>204</v>
      </c>
      <c r="C18" s="13">
        <v>210</v>
      </c>
      <c r="D18" s="14">
        <v>80</v>
      </c>
      <c r="E18" s="15">
        <v>240</v>
      </c>
      <c r="F18" s="16">
        <v>79</v>
      </c>
      <c r="G18" s="16">
        <v>78</v>
      </c>
      <c r="H18" s="16">
        <v>0</v>
      </c>
      <c r="I18" s="16">
        <v>0</v>
      </c>
      <c r="J18" s="16">
        <v>0</v>
      </c>
      <c r="K18" s="16">
        <v>0</v>
      </c>
      <c r="L18" s="16">
        <v>0</v>
      </c>
      <c r="M18" s="16">
        <v>0</v>
      </c>
      <c r="N18" s="16">
        <v>0</v>
      </c>
      <c r="O18" s="16">
        <v>0</v>
      </c>
      <c r="P18" s="16">
        <v>0</v>
      </c>
      <c r="Q18" s="34">
        <v>0</v>
      </c>
      <c r="R18" s="14">
        <f t="shared" si="0"/>
        <v>79</v>
      </c>
      <c r="S18" s="6">
        <f t="shared" si="1"/>
        <v>0.32916666666666666</v>
      </c>
    </row>
    <row r="19" spans="1:19" ht="18" customHeight="1" x14ac:dyDescent="0.15">
      <c r="A19" s="4"/>
      <c r="B19" s="7"/>
      <c r="C19" s="13"/>
      <c r="D19" s="14"/>
      <c r="E19" s="15"/>
      <c r="F19" s="16"/>
      <c r="G19" s="16"/>
      <c r="H19" s="16"/>
      <c r="I19" s="16"/>
      <c r="J19" s="16"/>
      <c r="K19" s="16"/>
      <c r="L19" s="16"/>
      <c r="M19" s="16"/>
      <c r="N19" s="16"/>
      <c r="O19" s="16"/>
      <c r="P19" s="16"/>
      <c r="Q19" s="34"/>
      <c r="R19" s="14"/>
      <c r="S19" s="6"/>
    </row>
    <row r="20" spans="1:19" ht="18" customHeight="1" x14ac:dyDescent="0.15">
      <c r="A20" s="4"/>
      <c r="B20" s="7"/>
      <c r="C20" s="13"/>
      <c r="D20" s="14"/>
      <c r="E20" s="15"/>
      <c r="F20" s="16"/>
      <c r="G20" s="16"/>
      <c r="H20" s="16"/>
      <c r="I20" s="16"/>
      <c r="J20" s="16"/>
      <c r="K20" s="16"/>
      <c r="L20" s="16"/>
      <c r="M20" s="16"/>
      <c r="N20" s="16"/>
      <c r="O20" s="16"/>
      <c r="P20" s="16"/>
      <c r="Q20" s="34"/>
      <c r="R20" s="14"/>
      <c r="S20" s="6"/>
    </row>
    <row r="21" spans="1:19" ht="18" customHeight="1" x14ac:dyDescent="0.15">
      <c r="A21" s="4"/>
      <c r="B21" s="7"/>
      <c r="C21" s="13"/>
      <c r="D21" s="14"/>
      <c r="E21" s="15"/>
      <c r="F21" s="16"/>
      <c r="G21" s="16"/>
      <c r="H21" s="16"/>
      <c r="I21" s="16"/>
      <c r="J21" s="16"/>
      <c r="K21" s="16"/>
      <c r="L21" s="16"/>
      <c r="M21" s="16"/>
      <c r="N21" s="16"/>
      <c r="O21" s="16"/>
      <c r="P21" s="16"/>
      <c r="Q21" s="34"/>
      <c r="R21" s="14"/>
      <c r="S21" s="6"/>
    </row>
    <row r="22" spans="1:19" ht="18" customHeight="1" x14ac:dyDescent="0.15">
      <c r="A22" s="4"/>
      <c r="B22" s="7"/>
      <c r="C22" s="13"/>
      <c r="D22" s="14"/>
      <c r="E22" s="15"/>
      <c r="F22" s="16"/>
      <c r="G22" s="16"/>
      <c r="H22" s="16"/>
      <c r="I22" s="16"/>
      <c r="J22" s="16"/>
      <c r="K22" s="16"/>
      <c r="L22" s="16"/>
      <c r="M22" s="16"/>
      <c r="N22" s="16"/>
      <c r="O22" s="16"/>
      <c r="P22" s="16"/>
      <c r="Q22" s="34"/>
      <c r="R22" s="14"/>
      <c r="S22" s="6"/>
    </row>
    <row r="23" spans="1:19" ht="18" customHeight="1" x14ac:dyDescent="0.15">
      <c r="A23" s="4"/>
      <c r="B23" s="7"/>
      <c r="C23" s="13"/>
      <c r="D23" s="14"/>
      <c r="E23" s="15"/>
      <c r="F23" s="16"/>
      <c r="G23" s="16"/>
      <c r="H23" s="16"/>
      <c r="I23" s="16"/>
      <c r="J23" s="16"/>
      <c r="K23" s="16"/>
      <c r="L23" s="16"/>
      <c r="M23" s="16"/>
      <c r="N23" s="16"/>
      <c r="O23" s="16"/>
      <c r="P23" s="16"/>
      <c r="Q23" s="34"/>
      <c r="R23" s="14"/>
      <c r="S23" s="6"/>
    </row>
    <row r="24" spans="1:19" ht="18" customHeight="1" x14ac:dyDescent="0.15">
      <c r="A24" s="4"/>
      <c r="B24" s="7"/>
      <c r="C24" s="13"/>
      <c r="D24" s="14"/>
      <c r="E24" s="15"/>
      <c r="F24" s="16"/>
      <c r="G24" s="16"/>
      <c r="H24" s="16"/>
      <c r="I24" s="16"/>
      <c r="J24" s="16"/>
      <c r="K24" s="16"/>
      <c r="L24" s="16"/>
      <c r="M24" s="16"/>
      <c r="N24" s="16"/>
      <c r="O24" s="16"/>
      <c r="P24" s="16"/>
      <c r="Q24" s="34"/>
      <c r="R24" s="14"/>
      <c r="S24" s="6"/>
    </row>
    <row r="25" spans="1:19" ht="18" customHeight="1" x14ac:dyDescent="0.15">
      <c r="A25" s="4"/>
      <c r="B25" s="7"/>
      <c r="C25" s="13"/>
      <c r="D25" s="14"/>
      <c r="E25" s="15"/>
      <c r="F25" s="16"/>
      <c r="G25" s="16"/>
      <c r="H25" s="16"/>
      <c r="I25" s="16"/>
      <c r="J25" s="16"/>
      <c r="K25" s="16"/>
      <c r="L25" s="16"/>
      <c r="M25" s="16"/>
      <c r="N25" s="16"/>
      <c r="O25" s="16"/>
      <c r="P25" s="16"/>
      <c r="Q25" s="34"/>
      <c r="R25" s="14"/>
      <c r="S25" s="6"/>
    </row>
    <row r="26" spans="1:19" ht="18" customHeight="1" x14ac:dyDescent="0.15">
      <c r="A26" s="4"/>
      <c r="B26" s="7"/>
      <c r="C26" s="13"/>
      <c r="D26" s="17"/>
      <c r="E26" s="15"/>
      <c r="F26" s="16"/>
      <c r="G26" s="16"/>
      <c r="H26" s="16"/>
      <c r="I26" s="16"/>
      <c r="J26" s="16"/>
      <c r="K26" s="16"/>
      <c r="L26" s="16"/>
      <c r="M26" s="16"/>
      <c r="N26" s="16"/>
      <c r="O26" s="16"/>
      <c r="P26" s="16"/>
      <c r="Q26" s="34"/>
      <c r="R26" s="17"/>
      <c r="S26" s="6"/>
    </row>
    <row r="27" spans="1:19" ht="18" customHeight="1" x14ac:dyDescent="0.15">
      <c r="A27" s="4"/>
      <c r="B27" s="7"/>
      <c r="C27" s="13"/>
      <c r="D27" s="17"/>
      <c r="E27" s="15"/>
      <c r="F27" s="16"/>
      <c r="G27" s="16"/>
      <c r="H27" s="16"/>
      <c r="I27" s="16"/>
      <c r="J27" s="16"/>
      <c r="K27" s="16"/>
      <c r="L27" s="16"/>
      <c r="M27" s="16"/>
      <c r="N27" s="16"/>
      <c r="O27" s="16"/>
      <c r="P27" s="16"/>
      <c r="Q27" s="34"/>
      <c r="R27" s="17"/>
      <c r="S27" s="6"/>
    </row>
    <row r="28" spans="1:19" ht="18" customHeight="1" thickBot="1" x14ac:dyDescent="0.2">
      <c r="A28" s="4"/>
      <c r="B28" s="8"/>
      <c r="C28" s="10"/>
      <c r="D28" s="18"/>
      <c r="E28" s="12"/>
      <c r="F28" s="12"/>
      <c r="G28" s="12"/>
      <c r="H28" s="12"/>
      <c r="I28" s="12"/>
      <c r="J28" s="12"/>
      <c r="K28" s="12"/>
      <c r="L28" s="12"/>
      <c r="M28" s="12"/>
      <c r="N28" s="12"/>
      <c r="O28" s="12"/>
      <c r="P28" s="12"/>
      <c r="Q28" s="35"/>
      <c r="R28" s="18"/>
      <c r="S28" s="5"/>
    </row>
    <row r="29" spans="1:19" ht="18" customHeight="1" thickTop="1" x14ac:dyDescent="0.15">
      <c r="B29" s="9" t="s">
        <v>32</v>
      </c>
      <c r="C29" s="19">
        <f t="shared" ref="C29:O29" si="2">SUM(C13:C28)</f>
        <v>6769</v>
      </c>
      <c r="D29" s="20">
        <f t="shared" si="2"/>
        <v>1935</v>
      </c>
      <c r="E29" s="21">
        <f t="shared" si="2"/>
        <v>7260</v>
      </c>
      <c r="F29" s="21">
        <f t="shared" si="2"/>
        <v>2384</v>
      </c>
      <c r="G29" s="21">
        <f t="shared" si="2"/>
        <v>2128</v>
      </c>
      <c r="H29" s="21">
        <f t="shared" si="2"/>
        <v>0</v>
      </c>
      <c r="I29" s="21">
        <f t="shared" si="2"/>
        <v>0</v>
      </c>
      <c r="J29" s="21">
        <f t="shared" si="2"/>
        <v>0</v>
      </c>
      <c r="K29" s="21">
        <f t="shared" si="2"/>
        <v>0</v>
      </c>
      <c r="L29" s="21">
        <f t="shared" si="2"/>
        <v>0</v>
      </c>
      <c r="M29" s="21">
        <f t="shared" si="2"/>
        <v>0</v>
      </c>
      <c r="N29" s="21">
        <f t="shared" si="2"/>
        <v>0</v>
      </c>
      <c r="O29" s="21">
        <f t="shared" si="2"/>
        <v>0</v>
      </c>
      <c r="P29" s="21">
        <f t="shared" ref="P29:Q29" si="3">SUM(P13:P28)</f>
        <v>0</v>
      </c>
      <c r="Q29" s="19">
        <f t="shared" si="3"/>
        <v>0</v>
      </c>
      <c r="R29" s="20">
        <f>SUM(R13:R28)</f>
        <v>2384</v>
      </c>
      <c r="S29" s="39">
        <f t="shared" si="1"/>
        <v>0.32837465564738294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45" zoomScaleNormal="100" zoomScaleSheetLayoutView="100" workbookViewId="0">
      <selection activeCell="B52" sqref="B52:I63"/>
    </sheetView>
  </sheetViews>
  <sheetFormatPr defaultColWidth="11.375" defaultRowHeight="18.75" customHeight="1" x14ac:dyDescent="0.15"/>
  <cols>
    <col min="1" max="1" width="2.75" style="62" customWidth="1"/>
    <col min="2" max="2" width="16.625" style="25" customWidth="1"/>
    <col min="3" max="3" width="8.875" style="25" customWidth="1"/>
    <col min="4" max="4" width="2.25" style="25" customWidth="1"/>
    <col min="5" max="5" width="16.625" style="25" customWidth="1"/>
    <col min="6" max="6" width="4.375" style="25" customWidth="1"/>
    <col min="7" max="7" width="9" style="25" customWidth="1"/>
    <col min="8" max="8" width="16.625" style="25" customWidth="1"/>
    <col min="9" max="9" width="12.125" style="25" customWidth="1"/>
    <col min="10" max="16384" width="11.375" style="25"/>
  </cols>
  <sheetData>
    <row r="1" spans="1:9" ht="18.75" customHeight="1" x14ac:dyDescent="0.15">
      <c r="A1" s="62" t="s">
        <v>62</v>
      </c>
      <c r="I1" s="26" t="s">
        <v>96</v>
      </c>
    </row>
    <row r="2" spans="1:9" ht="18.75" customHeight="1" x14ac:dyDescent="0.15">
      <c r="G2" s="26" t="s">
        <v>98</v>
      </c>
      <c r="H2" s="84" t="str">
        <f>'様式１-2　プログラムを構成する授業科目'!C2</f>
        <v>東京国際大学</v>
      </c>
      <c r="I2" s="86"/>
    </row>
    <row r="3" spans="1:9" ht="18.75" customHeight="1" x14ac:dyDescent="0.15">
      <c r="G3" s="26"/>
      <c r="H3" s="30"/>
      <c r="I3" s="30"/>
    </row>
    <row r="4" spans="1:9" ht="18.600000000000001" customHeight="1" x14ac:dyDescent="0.15">
      <c r="A4" s="87" t="s">
        <v>35</v>
      </c>
      <c r="B4" s="87"/>
      <c r="C4" s="87"/>
      <c r="D4" s="87"/>
      <c r="E4" s="87"/>
      <c r="F4" s="87"/>
      <c r="G4" s="87"/>
      <c r="H4" s="87"/>
      <c r="I4" s="87"/>
    </row>
    <row r="5" spans="1:9" ht="13.15" customHeight="1" x14ac:dyDescent="0.15">
      <c r="B5" s="29"/>
      <c r="C5" s="29"/>
      <c r="D5" s="29"/>
      <c r="E5" s="29"/>
      <c r="F5" s="29"/>
      <c r="G5" s="29"/>
      <c r="H5" s="29"/>
      <c r="I5" s="29"/>
    </row>
    <row r="6" spans="1:9" ht="18" customHeight="1" x14ac:dyDescent="0.15">
      <c r="A6" s="25" t="s">
        <v>0</v>
      </c>
      <c r="B6" s="30" t="s">
        <v>85</v>
      </c>
      <c r="C6" s="215" t="s">
        <v>86</v>
      </c>
      <c r="D6" s="215"/>
      <c r="E6" s="42">
        <v>250</v>
      </c>
      <c r="F6" s="29" t="s">
        <v>1</v>
      </c>
      <c r="G6" s="29" t="s">
        <v>2</v>
      </c>
      <c r="H6" s="42">
        <v>108</v>
      </c>
      <c r="I6" s="30" t="s">
        <v>1</v>
      </c>
    </row>
    <row r="7" spans="1:9" ht="12" customHeight="1" x14ac:dyDescent="0.15">
      <c r="C7" s="24"/>
      <c r="D7" s="24"/>
      <c r="E7" s="24"/>
      <c r="F7" s="24"/>
      <c r="G7" s="24"/>
      <c r="H7" s="24"/>
      <c r="I7" s="63"/>
    </row>
    <row r="8" spans="1:9" ht="18" customHeight="1" x14ac:dyDescent="0.15">
      <c r="A8" s="25" t="s">
        <v>3</v>
      </c>
      <c r="B8" s="30" t="s">
        <v>87</v>
      </c>
      <c r="E8" s="29"/>
      <c r="F8" s="29"/>
      <c r="G8" s="29"/>
      <c r="H8" s="42">
        <v>16</v>
      </c>
      <c r="I8" s="30" t="s">
        <v>1</v>
      </c>
    </row>
    <row r="9" spans="1:9" ht="9.1999999999999993" customHeight="1" x14ac:dyDescent="0.15">
      <c r="B9" s="29"/>
      <c r="C9" s="29"/>
      <c r="D9" s="29"/>
      <c r="E9" s="29"/>
      <c r="F9" s="29"/>
      <c r="G9" s="29"/>
      <c r="H9" s="29"/>
      <c r="I9" s="29"/>
    </row>
    <row r="10" spans="1:9" ht="18" customHeight="1" x14ac:dyDescent="0.15">
      <c r="A10" s="25" t="s">
        <v>4</v>
      </c>
      <c r="B10" s="30" t="s">
        <v>88</v>
      </c>
      <c r="C10" s="29"/>
      <c r="D10" s="29"/>
      <c r="E10" s="29"/>
      <c r="F10" s="29"/>
      <c r="G10" s="29"/>
      <c r="H10" s="29"/>
      <c r="I10" s="29"/>
    </row>
    <row r="11" spans="1:9" ht="18" customHeight="1" x14ac:dyDescent="0.15">
      <c r="B11" s="26" t="s">
        <v>41</v>
      </c>
      <c r="C11" s="210" t="s">
        <v>149</v>
      </c>
      <c r="D11" s="213"/>
      <c r="E11" s="214"/>
      <c r="F11" s="63"/>
      <c r="G11" s="26" t="s">
        <v>10</v>
      </c>
      <c r="H11" s="210" t="s">
        <v>150</v>
      </c>
      <c r="I11" s="214"/>
    </row>
    <row r="12" spans="1:9" ht="10.15" customHeight="1" x14ac:dyDescent="0.15">
      <c r="B12" s="26"/>
      <c r="C12" s="30"/>
      <c r="D12" s="63"/>
      <c r="E12" s="63"/>
      <c r="F12" s="63"/>
      <c r="G12" s="26"/>
      <c r="H12" s="30"/>
      <c r="I12" s="63"/>
    </row>
    <row r="13" spans="1:9" ht="18" customHeight="1" x14ac:dyDescent="0.15">
      <c r="A13" s="25" t="s">
        <v>7</v>
      </c>
      <c r="B13" s="30" t="s">
        <v>83</v>
      </c>
      <c r="C13" s="29"/>
      <c r="D13" s="29"/>
      <c r="E13" s="29"/>
      <c r="F13" s="29"/>
      <c r="G13" s="29"/>
      <c r="H13" s="29"/>
      <c r="I13" s="29"/>
    </row>
    <row r="14" spans="1:9" ht="18" customHeight="1" x14ac:dyDescent="0.15">
      <c r="B14" s="210" t="s">
        <v>151</v>
      </c>
      <c r="C14" s="211"/>
      <c r="D14" s="211"/>
      <c r="E14" s="211"/>
      <c r="F14" s="211"/>
      <c r="G14" s="211"/>
      <c r="H14" s="211"/>
      <c r="I14" s="212"/>
    </row>
    <row r="15" spans="1:9" ht="9.1999999999999993" customHeight="1" x14ac:dyDescent="0.15">
      <c r="B15" s="29"/>
      <c r="C15" s="29"/>
      <c r="D15" s="29"/>
      <c r="E15" s="29"/>
      <c r="F15" s="29"/>
      <c r="G15" s="29"/>
      <c r="H15" s="29"/>
      <c r="I15" s="29"/>
    </row>
    <row r="16" spans="1:9" ht="18" customHeight="1" x14ac:dyDescent="0.15">
      <c r="B16" s="26" t="s">
        <v>41</v>
      </c>
      <c r="C16" s="210" t="s">
        <v>152</v>
      </c>
      <c r="D16" s="213"/>
      <c r="E16" s="214"/>
      <c r="F16" s="63"/>
      <c r="G16" s="26" t="s">
        <v>10</v>
      </c>
      <c r="H16" s="210" t="s">
        <v>153</v>
      </c>
      <c r="I16" s="214"/>
    </row>
    <row r="17" spans="1:9" ht="18" customHeight="1" x14ac:dyDescent="0.15">
      <c r="B17" s="29"/>
      <c r="C17" s="29"/>
      <c r="D17" s="29"/>
      <c r="E17" s="29"/>
      <c r="F17" s="29"/>
      <c r="G17" s="29"/>
      <c r="H17" s="29"/>
      <c r="I17" s="29"/>
    </row>
    <row r="18" spans="1:9" ht="18.75" customHeight="1" x14ac:dyDescent="0.15">
      <c r="A18" s="25" t="s">
        <v>5</v>
      </c>
      <c r="B18" s="25" t="s">
        <v>40</v>
      </c>
      <c r="I18" s="29"/>
    </row>
    <row r="19" spans="1:9" ht="18.75" customHeight="1" x14ac:dyDescent="0.15">
      <c r="A19" s="25"/>
      <c r="B19" s="196" t="s">
        <v>154</v>
      </c>
      <c r="C19" s="197"/>
      <c r="D19" s="197"/>
      <c r="E19" s="197"/>
      <c r="F19" s="197"/>
      <c r="G19" s="197"/>
      <c r="H19" s="197"/>
      <c r="I19" s="198"/>
    </row>
    <row r="20" spans="1:9" ht="7.5" customHeight="1" x14ac:dyDescent="0.15">
      <c r="B20" s="29"/>
      <c r="C20" s="29"/>
      <c r="D20" s="29"/>
      <c r="E20" s="29"/>
      <c r="F20" s="29"/>
      <c r="G20" s="29"/>
      <c r="H20" s="29"/>
      <c r="I20" s="29"/>
    </row>
    <row r="21" spans="1:9" ht="18.75" customHeight="1" x14ac:dyDescent="0.15">
      <c r="A21" s="25" t="s">
        <v>8</v>
      </c>
      <c r="B21" s="25" t="s">
        <v>24</v>
      </c>
    </row>
    <row r="22" spans="1:9" ht="18.75" customHeight="1" x14ac:dyDescent="0.15">
      <c r="A22" s="52"/>
      <c r="B22" s="199" t="s">
        <v>155</v>
      </c>
      <c r="C22" s="200"/>
      <c r="D22" s="200"/>
      <c r="E22" s="200"/>
      <c r="F22" s="200"/>
      <c r="G22" s="200"/>
      <c r="H22" s="200"/>
      <c r="I22" s="201"/>
    </row>
    <row r="23" spans="1:9" ht="18.75" customHeight="1" x14ac:dyDescent="0.15">
      <c r="A23" s="52"/>
      <c r="B23" s="202"/>
      <c r="C23" s="203"/>
      <c r="D23" s="203"/>
      <c r="E23" s="203"/>
      <c r="F23" s="203"/>
      <c r="G23" s="203"/>
      <c r="H23" s="203"/>
      <c r="I23" s="204"/>
    </row>
    <row r="24" spans="1:9" ht="18.75" customHeight="1" x14ac:dyDescent="0.15">
      <c r="A24" s="52"/>
      <c r="B24" s="202"/>
      <c r="C24" s="203"/>
      <c r="D24" s="203"/>
      <c r="E24" s="203"/>
      <c r="F24" s="203"/>
      <c r="G24" s="203"/>
      <c r="H24" s="203"/>
      <c r="I24" s="204"/>
    </row>
    <row r="25" spans="1:9" ht="18.75" customHeight="1" x14ac:dyDescent="0.15">
      <c r="A25" s="52"/>
      <c r="B25" s="202"/>
      <c r="C25" s="203"/>
      <c r="D25" s="203"/>
      <c r="E25" s="203"/>
      <c r="F25" s="203"/>
      <c r="G25" s="203"/>
      <c r="H25" s="203"/>
      <c r="I25" s="204"/>
    </row>
    <row r="26" spans="1:9" ht="18.75" customHeight="1" x14ac:dyDescent="0.15">
      <c r="A26" s="52"/>
      <c r="B26" s="202"/>
      <c r="C26" s="203"/>
      <c r="D26" s="203"/>
      <c r="E26" s="203"/>
      <c r="F26" s="203"/>
      <c r="G26" s="203"/>
      <c r="H26" s="203"/>
      <c r="I26" s="204"/>
    </row>
    <row r="27" spans="1:9" ht="18.75" customHeight="1" x14ac:dyDescent="0.15">
      <c r="A27" s="52"/>
      <c r="B27" s="202"/>
      <c r="C27" s="203"/>
      <c r="D27" s="203"/>
      <c r="E27" s="203"/>
      <c r="F27" s="203"/>
      <c r="G27" s="203"/>
      <c r="H27" s="203"/>
      <c r="I27" s="204"/>
    </row>
    <row r="28" spans="1:9" ht="18.75" customHeight="1" x14ac:dyDescent="0.15">
      <c r="A28" s="52"/>
      <c r="B28" s="202"/>
      <c r="C28" s="203"/>
      <c r="D28" s="203"/>
      <c r="E28" s="203"/>
      <c r="F28" s="203"/>
      <c r="G28" s="203"/>
      <c r="H28" s="203"/>
      <c r="I28" s="204"/>
    </row>
    <row r="29" spans="1:9" ht="18.75" customHeight="1" x14ac:dyDescent="0.15">
      <c r="A29" s="52"/>
      <c r="B29" s="202"/>
      <c r="C29" s="203"/>
      <c r="D29" s="203"/>
      <c r="E29" s="203"/>
      <c r="F29" s="203"/>
      <c r="G29" s="203"/>
      <c r="H29" s="203"/>
      <c r="I29" s="204"/>
    </row>
    <row r="30" spans="1:9" ht="18.75" customHeight="1" x14ac:dyDescent="0.15">
      <c r="A30" s="52"/>
      <c r="B30" s="205"/>
      <c r="C30" s="206"/>
      <c r="D30" s="206"/>
      <c r="E30" s="206"/>
      <c r="F30" s="206"/>
      <c r="G30" s="206"/>
      <c r="H30" s="206"/>
      <c r="I30" s="204"/>
    </row>
    <row r="31" spans="1:9" ht="18.75" customHeight="1" x14ac:dyDescent="0.15">
      <c r="A31" s="52"/>
      <c r="B31" s="205"/>
      <c r="C31" s="206"/>
      <c r="D31" s="206"/>
      <c r="E31" s="206"/>
      <c r="F31" s="206"/>
      <c r="G31" s="206"/>
      <c r="H31" s="206"/>
      <c r="I31" s="204"/>
    </row>
    <row r="32" spans="1:9" ht="18.75" customHeight="1" x14ac:dyDescent="0.15">
      <c r="A32" s="52"/>
      <c r="B32" s="207"/>
      <c r="C32" s="208"/>
      <c r="D32" s="208"/>
      <c r="E32" s="208"/>
      <c r="F32" s="208"/>
      <c r="G32" s="208"/>
      <c r="H32" s="208"/>
      <c r="I32" s="209"/>
    </row>
    <row r="33" spans="1:9" ht="7.5" customHeight="1" x14ac:dyDescent="0.15">
      <c r="A33" s="52"/>
      <c r="B33" s="52"/>
      <c r="C33" s="52"/>
      <c r="D33" s="52"/>
      <c r="E33" s="52"/>
      <c r="F33" s="52"/>
      <c r="G33" s="52"/>
      <c r="H33" s="52"/>
      <c r="I33" s="52"/>
    </row>
    <row r="34" spans="1:9" ht="18.75" customHeight="1" x14ac:dyDescent="0.15">
      <c r="A34" s="40" t="s">
        <v>6</v>
      </c>
      <c r="B34" s="40" t="s">
        <v>9</v>
      </c>
      <c r="C34" s="30"/>
      <c r="D34" s="40"/>
      <c r="E34" s="40"/>
      <c r="F34" s="40"/>
      <c r="G34" s="40"/>
      <c r="H34" s="40"/>
      <c r="I34" s="40"/>
    </row>
    <row r="35" spans="1:9" ht="18.75" customHeight="1" x14ac:dyDescent="0.15">
      <c r="A35" s="52"/>
      <c r="B35" s="199" t="s">
        <v>156</v>
      </c>
      <c r="C35" s="200"/>
      <c r="D35" s="200"/>
      <c r="E35" s="200"/>
      <c r="F35" s="200"/>
      <c r="G35" s="200"/>
      <c r="H35" s="200"/>
      <c r="I35" s="201"/>
    </row>
    <row r="36" spans="1:9" ht="18.75" customHeight="1" x14ac:dyDescent="0.15">
      <c r="A36" s="52"/>
      <c r="B36" s="205"/>
      <c r="C36" s="206"/>
      <c r="D36" s="206"/>
      <c r="E36" s="206"/>
      <c r="F36" s="206"/>
      <c r="G36" s="206"/>
      <c r="H36" s="206"/>
      <c r="I36" s="204"/>
    </row>
    <row r="37" spans="1:9" ht="18.75" customHeight="1" x14ac:dyDescent="0.15">
      <c r="A37" s="52"/>
      <c r="B37" s="205"/>
      <c r="C37" s="206"/>
      <c r="D37" s="206"/>
      <c r="E37" s="206"/>
      <c r="F37" s="206"/>
      <c r="G37" s="206"/>
      <c r="H37" s="206"/>
      <c r="I37" s="204"/>
    </row>
    <row r="38" spans="1:9" ht="18.75" customHeight="1" x14ac:dyDescent="0.15">
      <c r="A38" s="52"/>
      <c r="B38" s="205"/>
      <c r="C38" s="206"/>
      <c r="D38" s="206"/>
      <c r="E38" s="206"/>
      <c r="F38" s="206"/>
      <c r="G38" s="206"/>
      <c r="H38" s="206"/>
      <c r="I38" s="204"/>
    </row>
    <row r="39" spans="1:9" ht="18.75" customHeight="1" x14ac:dyDescent="0.15">
      <c r="A39" s="52"/>
      <c r="B39" s="205"/>
      <c r="C39" s="206"/>
      <c r="D39" s="206"/>
      <c r="E39" s="206"/>
      <c r="F39" s="206"/>
      <c r="G39" s="206"/>
      <c r="H39" s="206"/>
      <c r="I39" s="204"/>
    </row>
    <row r="40" spans="1:9" ht="18.75" customHeight="1" x14ac:dyDescent="0.15">
      <c r="A40" s="52"/>
      <c r="B40" s="205"/>
      <c r="C40" s="206"/>
      <c r="D40" s="206"/>
      <c r="E40" s="206"/>
      <c r="F40" s="206"/>
      <c r="G40" s="206"/>
      <c r="H40" s="206"/>
      <c r="I40" s="204"/>
    </row>
    <row r="41" spans="1:9" ht="18.75" customHeight="1" x14ac:dyDescent="0.15">
      <c r="A41" s="52"/>
      <c r="B41" s="205"/>
      <c r="C41" s="206"/>
      <c r="D41" s="206"/>
      <c r="E41" s="206"/>
      <c r="F41" s="206"/>
      <c r="G41" s="206"/>
      <c r="H41" s="206"/>
      <c r="I41" s="204"/>
    </row>
    <row r="42" spans="1:9" ht="18.75" customHeight="1" x14ac:dyDescent="0.15">
      <c r="A42" s="52"/>
      <c r="B42" s="205"/>
      <c r="C42" s="206"/>
      <c r="D42" s="206"/>
      <c r="E42" s="206"/>
      <c r="F42" s="206"/>
      <c r="G42" s="206"/>
      <c r="H42" s="206"/>
      <c r="I42" s="204"/>
    </row>
    <row r="43" spans="1:9" ht="18.75" customHeight="1" x14ac:dyDescent="0.15">
      <c r="A43" s="52"/>
      <c r="B43" s="205"/>
      <c r="C43" s="206"/>
      <c r="D43" s="206"/>
      <c r="E43" s="206"/>
      <c r="F43" s="206"/>
      <c r="G43" s="206"/>
      <c r="H43" s="206"/>
      <c r="I43" s="204"/>
    </row>
    <row r="44" spans="1:9" ht="18.75" customHeight="1" x14ac:dyDescent="0.15">
      <c r="A44" s="52"/>
      <c r="B44" s="205"/>
      <c r="C44" s="206"/>
      <c r="D44" s="206"/>
      <c r="E44" s="206"/>
      <c r="F44" s="206"/>
      <c r="G44" s="206"/>
      <c r="H44" s="206"/>
      <c r="I44" s="204"/>
    </row>
    <row r="45" spans="1:9" ht="18.75" customHeight="1" x14ac:dyDescent="0.15">
      <c r="A45" s="52"/>
      <c r="B45" s="205"/>
      <c r="C45" s="206"/>
      <c r="D45" s="206"/>
      <c r="E45" s="206"/>
      <c r="F45" s="206"/>
      <c r="G45" s="206"/>
      <c r="H45" s="206"/>
      <c r="I45" s="204"/>
    </row>
    <row r="46" spans="1:9" ht="18.75" customHeight="1" x14ac:dyDescent="0.15">
      <c r="A46" s="52"/>
      <c r="B46" s="207"/>
      <c r="C46" s="208"/>
      <c r="D46" s="208"/>
      <c r="E46" s="208"/>
      <c r="F46" s="208"/>
      <c r="G46" s="208"/>
      <c r="H46" s="208"/>
      <c r="I46" s="209"/>
    </row>
    <row r="47" spans="1:9" ht="7.5" customHeight="1" x14ac:dyDescent="0.15">
      <c r="A47" s="66"/>
      <c r="B47" s="66"/>
      <c r="C47" s="66"/>
      <c r="D47" s="66"/>
      <c r="E47" s="66"/>
      <c r="F47" s="66"/>
      <c r="G47" s="66"/>
      <c r="H47" s="66"/>
      <c r="I47" s="66"/>
    </row>
    <row r="48" spans="1:9" ht="18.75" customHeight="1" x14ac:dyDescent="0.15">
      <c r="A48" s="25" t="s">
        <v>30</v>
      </c>
      <c r="B48" s="25" t="s">
        <v>188</v>
      </c>
    </row>
    <row r="49" spans="1:15" s="29" customFormat="1" ht="18.75" customHeight="1" x14ac:dyDescent="0.15">
      <c r="B49" s="67" t="s">
        <v>126</v>
      </c>
      <c r="C49" s="185">
        <f>'様式２ 履修者等数の実績'!S29</f>
        <v>0.32837465564738294</v>
      </c>
      <c r="D49" s="185"/>
      <c r="E49" s="67" t="s">
        <v>63</v>
      </c>
      <c r="F49" s="185">
        <v>0.59</v>
      </c>
      <c r="G49" s="185"/>
      <c r="H49" s="67" t="s">
        <v>64</v>
      </c>
      <c r="I49" s="43">
        <v>0.76</v>
      </c>
      <c r="J49" s="25"/>
      <c r="M49" s="25"/>
      <c r="N49" s="68"/>
    </row>
    <row r="50" spans="1:15" s="29" customFormat="1" ht="18.75" customHeight="1" x14ac:dyDescent="0.15">
      <c r="B50" s="69" t="s">
        <v>84</v>
      </c>
      <c r="C50" s="168">
        <v>0.92</v>
      </c>
      <c r="D50" s="168"/>
      <c r="E50" s="69" t="s">
        <v>127</v>
      </c>
      <c r="F50" s="168">
        <v>0.95</v>
      </c>
      <c r="G50" s="168"/>
      <c r="H50" s="69" t="s">
        <v>65</v>
      </c>
      <c r="I50" s="70">
        <f>'様式２ 履修者等数の実績'!E29</f>
        <v>7260</v>
      </c>
      <c r="J50" s="25"/>
      <c r="M50" s="25"/>
      <c r="N50" s="68"/>
    </row>
    <row r="51" spans="1:15" ht="18.75" customHeight="1" x14ac:dyDescent="0.15">
      <c r="A51" s="25"/>
      <c r="B51" s="217" t="s">
        <v>66</v>
      </c>
      <c r="C51" s="218"/>
      <c r="D51" s="218"/>
      <c r="E51" s="218"/>
      <c r="F51" s="218"/>
      <c r="G51" s="218"/>
      <c r="H51" s="218"/>
      <c r="I51" s="219"/>
      <c r="N51" s="68"/>
      <c r="O51" s="29"/>
    </row>
    <row r="52" spans="1:15" ht="18.75" customHeight="1" x14ac:dyDescent="0.15">
      <c r="A52" s="25"/>
      <c r="B52" s="186" t="s">
        <v>205</v>
      </c>
      <c r="C52" s="187"/>
      <c r="D52" s="187"/>
      <c r="E52" s="187"/>
      <c r="F52" s="187"/>
      <c r="G52" s="187"/>
      <c r="H52" s="187"/>
      <c r="I52" s="188"/>
      <c r="N52" s="68"/>
      <c r="O52" s="29"/>
    </row>
    <row r="53" spans="1:15" ht="18.75" customHeight="1" x14ac:dyDescent="0.15">
      <c r="A53" s="25"/>
      <c r="B53" s="189"/>
      <c r="C53" s="190"/>
      <c r="D53" s="190"/>
      <c r="E53" s="190"/>
      <c r="F53" s="190"/>
      <c r="G53" s="190"/>
      <c r="H53" s="190"/>
      <c r="I53" s="191"/>
      <c r="N53" s="68"/>
      <c r="O53" s="29"/>
    </row>
    <row r="54" spans="1:15" ht="18.75" customHeight="1" x14ac:dyDescent="0.15">
      <c r="A54" s="25"/>
      <c r="B54" s="189"/>
      <c r="C54" s="190"/>
      <c r="D54" s="190"/>
      <c r="E54" s="190"/>
      <c r="F54" s="190"/>
      <c r="G54" s="190"/>
      <c r="H54" s="190"/>
      <c r="I54" s="191"/>
    </row>
    <row r="55" spans="1:15" ht="18.75" customHeight="1" x14ac:dyDescent="0.15">
      <c r="A55" s="25"/>
      <c r="B55" s="189"/>
      <c r="C55" s="190"/>
      <c r="D55" s="190"/>
      <c r="E55" s="190"/>
      <c r="F55" s="190"/>
      <c r="G55" s="190"/>
      <c r="H55" s="190"/>
      <c r="I55" s="191"/>
    </row>
    <row r="56" spans="1:15" ht="18.75" customHeight="1" x14ac:dyDescent="0.15">
      <c r="A56" s="25"/>
      <c r="B56" s="189"/>
      <c r="C56" s="190"/>
      <c r="D56" s="190"/>
      <c r="E56" s="190"/>
      <c r="F56" s="190"/>
      <c r="G56" s="190"/>
      <c r="H56" s="190"/>
      <c r="I56" s="191"/>
    </row>
    <row r="57" spans="1:15" ht="18.75" customHeight="1" x14ac:dyDescent="0.15">
      <c r="A57" s="25"/>
      <c r="B57" s="189"/>
      <c r="C57" s="190"/>
      <c r="D57" s="190"/>
      <c r="E57" s="190"/>
      <c r="F57" s="190"/>
      <c r="G57" s="190"/>
      <c r="H57" s="190"/>
      <c r="I57" s="191"/>
    </row>
    <row r="58" spans="1:15" ht="18.75" customHeight="1" x14ac:dyDescent="0.15">
      <c r="A58" s="25"/>
      <c r="B58" s="189"/>
      <c r="C58" s="190"/>
      <c r="D58" s="190"/>
      <c r="E58" s="190"/>
      <c r="F58" s="190"/>
      <c r="G58" s="190"/>
      <c r="H58" s="190"/>
      <c r="I58" s="191"/>
    </row>
    <row r="59" spans="1:15" ht="18.75" customHeight="1" x14ac:dyDescent="0.15">
      <c r="A59" s="25"/>
      <c r="B59" s="189"/>
      <c r="C59" s="190"/>
      <c r="D59" s="190"/>
      <c r="E59" s="190"/>
      <c r="F59" s="190"/>
      <c r="G59" s="190"/>
      <c r="H59" s="190"/>
      <c r="I59" s="191"/>
    </row>
    <row r="60" spans="1:15" ht="18.75" customHeight="1" x14ac:dyDescent="0.15">
      <c r="A60" s="25"/>
      <c r="B60" s="189"/>
      <c r="C60" s="190"/>
      <c r="D60" s="190"/>
      <c r="E60" s="190"/>
      <c r="F60" s="190"/>
      <c r="G60" s="190"/>
      <c r="H60" s="190"/>
      <c r="I60" s="191"/>
    </row>
    <row r="61" spans="1:15" ht="18.75" customHeight="1" x14ac:dyDescent="0.15">
      <c r="A61" s="25"/>
      <c r="B61" s="189"/>
      <c r="C61" s="190"/>
      <c r="D61" s="190"/>
      <c r="E61" s="190"/>
      <c r="F61" s="190"/>
      <c r="G61" s="190"/>
      <c r="H61" s="190"/>
      <c r="I61" s="191"/>
    </row>
    <row r="62" spans="1:15" ht="18.75" customHeight="1" x14ac:dyDescent="0.15">
      <c r="A62" s="25"/>
      <c r="B62" s="189"/>
      <c r="C62" s="190"/>
      <c r="D62" s="190"/>
      <c r="E62" s="190"/>
      <c r="F62" s="190"/>
      <c r="G62" s="190"/>
      <c r="H62" s="190"/>
      <c r="I62" s="191"/>
    </row>
    <row r="63" spans="1:15" ht="18.75" customHeight="1" x14ac:dyDescent="0.15">
      <c r="A63" s="25"/>
      <c r="B63" s="192"/>
      <c r="C63" s="193"/>
      <c r="D63" s="193"/>
      <c r="E63" s="193"/>
      <c r="F63" s="193"/>
      <c r="G63" s="193"/>
      <c r="H63" s="193"/>
      <c r="I63" s="194"/>
    </row>
    <row r="64" spans="1:15" ht="7.5" customHeight="1" x14ac:dyDescent="0.15">
      <c r="A64" s="52"/>
      <c r="B64" s="52"/>
      <c r="C64" s="52"/>
      <c r="D64" s="52"/>
      <c r="E64" s="52"/>
      <c r="F64" s="52"/>
      <c r="G64" s="52"/>
      <c r="H64" s="52"/>
      <c r="I64" s="52"/>
    </row>
    <row r="65" spans="1:9" ht="18.75" customHeight="1" x14ac:dyDescent="0.15">
      <c r="A65" s="40" t="s">
        <v>33</v>
      </c>
      <c r="B65" s="25" t="s">
        <v>36</v>
      </c>
      <c r="I65" s="40"/>
    </row>
    <row r="66" spans="1:9" ht="18.75" customHeight="1" x14ac:dyDescent="0.15">
      <c r="A66" s="66"/>
      <c r="B66" s="169" t="s">
        <v>192</v>
      </c>
      <c r="C66" s="170"/>
      <c r="D66" s="170"/>
      <c r="E66" s="170"/>
      <c r="F66" s="170"/>
      <c r="G66" s="170"/>
      <c r="H66" s="170"/>
      <c r="I66" s="171"/>
    </row>
    <row r="67" spans="1:9" ht="18.75" customHeight="1" x14ac:dyDescent="0.15">
      <c r="A67" s="66"/>
      <c r="B67" s="172"/>
      <c r="C67" s="173"/>
      <c r="D67" s="173"/>
      <c r="E67" s="173"/>
      <c r="F67" s="173"/>
      <c r="G67" s="173"/>
      <c r="H67" s="173"/>
      <c r="I67" s="174"/>
    </row>
    <row r="68" spans="1:9" ht="18.75" customHeight="1" x14ac:dyDescent="0.15">
      <c r="A68" s="66"/>
      <c r="B68" s="172"/>
      <c r="C68" s="173"/>
      <c r="D68" s="173"/>
      <c r="E68" s="173"/>
      <c r="F68" s="173"/>
      <c r="G68" s="173"/>
      <c r="H68" s="173"/>
      <c r="I68" s="174"/>
    </row>
    <row r="69" spans="1:9" ht="18.75" customHeight="1" x14ac:dyDescent="0.15">
      <c r="A69" s="66"/>
      <c r="B69" s="172"/>
      <c r="C69" s="173"/>
      <c r="D69" s="173"/>
      <c r="E69" s="173"/>
      <c r="F69" s="173"/>
      <c r="G69" s="173"/>
      <c r="H69" s="173"/>
      <c r="I69" s="174"/>
    </row>
    <row r="70" spans="1:9" ht="18.75" customHeight="1" x14ac:dyDescent="0.15">
      <c r="A70" s="66"/>
      <c r="B70" s="172"/>
      <c r="C70" s="173"/>
      <c r="D70" s="173"/>
      <c r="E70" s="173"/>
      <c r="F70" s="173"/>
      <c r="G70" s="173"/>
      <c r="H70" s="173"/>
      <c r="I70" s="174"/>
    </row>
    <row r="71" spans="1:9" ht="18.75" customHeight="1" x14ac:dyDescent="0.15">
      <c r="A71" s="66"/>
      <c r="B71" s="172"/>
      <c r="C71" s="173"/>
      <c r="D71" s="173"/>
      <c r="E71" s="173"/>
      <c r="F71" s="173"/>
      <c r="G71" s="173"/>
      <c r="H71" s="173"/>
      <c r="I71" s="174"/>
    </row>
    <row r="72" spans="1:9" ht="18.75" customHeight="1" x14ac:dyDescent="0.15">
      <c r="A72" s="66"/>
      <c r="B72" s="172"/>
      <c r="C72" s="173"/>
      <c r="D72" s="173"/>
      <c r="E72" s="173"/>
      <c r="F72" s="173"/>
      <c r="G72" s="173"/>
      <c r="H72" s="173"/>
      <c r="I72" s="174"/>
    </row>
    <row r="73" spans="1:9" ht="18.75" customHeight="1" x14ac:dyDescent="0.15">
      <c r="A73" s="66"/>
      <c r="B73" s="172"/>
      <c r="C73" s="173"/>
      <c r="D73" s="173"/>
      <c r="E73" s="173"/>
      <c r="F73" s="173"/>
      <c r="G73" s="173"/>
      <c r="H73" s="173"/>
      <c r="I73" s="174"/>
    </row>
    <row r="74" spans="1:9" ht="18.75" customHeight="1" x14ac:dyDescent="0.15">
      <c r="A74" s="66"/>
      <c r="B74" s="172"/>
      <c r="C74" s="173"/>
      <c r="D74" s="173"/>
      <c r="E74" s="173"/>
      <c r="F74" s="173"/>
      <c r="G74" s="173"/>
      <c r="H74" s="173"/>
      <c r="I74" s="174"/>
    </row>
    <row r="75" spans="1:9" ht="18.75" customHeight="1" x14ac:dyDescent="0.15">
      <c r="A75" s="66"/>
      <c r="B75" s="172"/>
      <c r="C75" s="173"/>
      <c r="D75" s="173"/>
      <c r="E75" s="173"/>
      <c r="F75" s="173"/>
      <c r="G75" s="173"/>
      <c r="H75" s="173"/>
      <c r="I75" s="174"/>
    </row>
    <row r="76" spans="1:9" ht="18.75" customHeight="1" x14ac:dyDescent="0.15">
      <c r="A76" s="66"/>
      <c r="B76" s="172"/>
      <c r="C76" s="173"/>
      <c r="D76" s="173"/>
      <c r="E76" s="173"/>
      <c r="F76" s="173"/>
      <c r="G76" s="173"/>
      <c r="H76" s="173"/>
      <c r="I76" s="174"/>
    </row>
    <row r="77" spans="1:9" ht="18.75" customHeight="1" x14ac:dyDescent="0.15">
      <c r="A77" s="66"/>
      <c r="B77" s="175"/>
      <c r="C77" s="176"/>
      <c r="D77" s="176"/>
      <c r="E77" s="176"/>
      <c r="F77" s="176"/>
      <c r="G77" s="176"/>
      <c r="H77" s="176"/>
      <c r="I77" s="177"/>
    </row>
    <row r="78" spans="1:9" ht="7.5" customHeight="1" x14ac:dyDescent="0.15">
      <c r="A78" s="66"/>
      <c r="B78" s="66"/>
      <c r="C78" s="66"/>
      <c r="D78" s="66"/>
      <c r="E78" s="66"/>
      <c r="F78" s="66"/>
      <c r="G78" s="66"/>
      <c r="H78" s="66"/>
      <c r="I78" s="66"/>
    </row>
    <row r="79" spans="1:9" ht="18.75" customHeight="1" x14ac:dyDescent="0.15">
      <c r="A79" s="25" t="s">
        <v>11</v>
      </c>
      <c r="B79" s="25" t="s">
        <v>39</v>
      </c>
    </row>
    <row r="80" spans="1:9" ht="18.75" customHeight="1" x14ac:dyDescent="0.15">
      <c r="A80" s="25"/>
      <c r="B80" s="169" t="s">
        <v>186</v>
      </c>
      <c r="C80" s="170"/>
      <c r="D80" s="170"/>
      <c r="E80" s="170"/>
      <c r="F80" s="170"/>
      <c r="G80" s="170"/>
      <c r="H80" s="170"/>
      <c r="I80" s="178"/>
    </row>
    <row r="81" spans="1:9" ht="18.75" customHeight="1" x14ac:dyDescent="0.15">
      <c r="A81" s="25"/>
      <c r="B81" s="179"/>
      <c r="C81" s="180"/>
      <c r="D81" s="180"/>
      <c r="E81" s="180"/>
      <c r="F81" s="180"/>
      <c r="G81" s="180"/>
      <c r="H81" s="180"/>
      <c r="I81" s="181"/>
    </row>
    <row r="82" spans="1:9" ht="18.75" customHeight="1" x14ac:dyDescent="0.15">
      <c r="A82" s="25"/>
      <c r="B82" s="179"/>
      <c r="C82" s="180"/>
      <c r="D82" s="180"/>
      <c r="E82" s="180"/>
      <c r="F82" s="180"/>
      <c r="G82" s="180"/>
      <c r="H82" s="180"/>
      <c r="I82" s="181"/>
    </row>
    <row r="83" spans="1:9" ht="18.75" customHeight="1" x14ac:dyDescent="0.15">
      <c r="A83" s="25"/>
      <c r="B83" s="179"/>
      <c r="C83" s="180"/>
      <c r="D83" s="180"/>
      <c r="E83" s="180"/>
      <c r="F83" s="180"/>
      <c r="G83" s="180"/>
      <c r="H83" s="180"/>
      <c r="I83" s="181"/>
    </row>
    <row r="84" spans="1:9" ht="18.75" customHeight="1" x14ac:dyDescent="0.15">
      <c r="A84" s="25"/>
      <c r="B84" s="179"/>
      <c r="C84" s="180"/>
      <c r="D84" s="180"/>
      <c r="E84" s="180"/>
      <c r="F84" s="180"/>
      <c r="G84" s="180"/>
      <c r="H84" s="180"/>
      <c r="I84" s="181"/>
    </row>
    <row r="85" spans="1:9" ht="18.75" customHeight="1" x14ac:dyDescent="0.15">
      <c r="A85" s="25"/>
      <c r="B85" s="179"/>
      <c r="C85" s="180"/>
      <c r="D85" s="180"/>
      <c r="E85" s="180"/>
      <c r="F85" s="180"/>
      <c r="G85" s="180"/>
      <c r="H85" s="180"/>
      <c r="I85" s="181"/>
    </row>
    <row r="86" spans="1:9" ht="18.75" customHeight="1" x14ac:dyDescent="0.15">
      <c r="A86" s="25"/>
      <c r="B86" s="179"/>
      <c r="C86" s="180"/>
      <c r="D86" s="180"/>
      <c r="E86" s="180"/>
      <c r="F86" s="180"/>
      <c r="G86" s="180"/>
      <c r="H86" s="180"/>
      <c r="I86" s="181"/>
    </row>
    <row r="87" spans="1:9" ht="18.75" customHeight="1" x14ac:dyDescent="0.15">
      <c r="A87" s="25"/>
      <c r="B87" s="179"/>
      <c r="C87" s="180"/>
      <c r="D87" s="180"/>
      <c r="E87" s="180"/>
      <c r="F87" s="180"/>
      <c r="G87" s="180"/>
      <c r="H87" s="180"/>
      <c r="I87" s="181"/>
    </row>
    <row r="88" spans="1:9" ht="18.75" customHeight="1" x14ac:dyDescent="0.15">
      <c r="A88" s="25"/>
      <c r="B88" s="179"/>
      <c r="C88" s="180"/>
      <c r="D88" s="180"/>
      <c r="E88" s="180"/>
      <c r="F88" s="180"/>
      <c r="G88" s="180"/>
      <c r="H88" s="180"/>
      <c r="I88" s="181"/>
    </row>
    <row r="89" spans="1:9" ht="18.75" customHeight="1" x14ac:dyDescent="0.15">
      <c r="A89" s="25"/>
      <c r="B89" s="179"/>
      <c r="C89" s="180"/>
      <c r="D89" s="180"/>
      <c r="E89" s="180"/>
      <c r="F89" s="180"/>
      <c r="G89" s="180"/>
      <c r="H89" s="180"/>
      <c r="I89" s="181"/>
    </row>
    <row r="90" spans="1:9" ht="18.75" customHeight="1" x14ac:dyDescent="0.15">
      <c r="A90" s="66"/>
      <c r="B90" s="179"/>
      <c r="C90" s="180"/>
      <c r="D90" s="180"/>
      <c r="E90" s="180"/>
      <c r="F90" s="180"/>
      <c r="G90" s="180"/>
      <c r="H90" s="180"/>
      <c r="I90" s="181"/>
    </row>
    <row r="91" spans="1:9" ht="18.75" customHeight="1" x14ac:dyDescent="0.15">
      <c r="A91" s="66"/>
      <c r="B91" s="182"/>
      <c r="C91" s="183"/>
      <c r="D91" s="183"/>
      <c r="E91" s="183"/>
      <c r="F91" s="183"/>
      <c r="G91" s="183"/>
      <c r="H91" s="183"/>
      <c r="I91" s="184"/>
    </row>
    <row r="92" spans="1:9" ht="7.5" customHeight="1" x14ac:dyDescent="0.15">
      <c r="A92" s="66"/>
      <c r="B92" s="66"/>
      <c r="C92" s="66"/>
      <c r="D92" s="66"/>
      <c r="E92" s="66"/>
      <c r="F92" s="66"/>
      <c r="G92" s="66"/>
      <c r="H92" s="66"/>
      <c r="I92" s="66"/>
    </row>
    <row r="93" spans="1:9" ht="18.75" customHeight="1" x14ac:dyDescent="0.15">
      <c r="A93" s="25" t="s">
        <v>42</v>
      </c>
      <c r="B93" s="25" t="s">
        <v>12</v>
      </c>
    </row>
    <row r="94" spans="1:9" ht="18.75" customHeight="1" x14ac:dyDescent="0.15">
      <c r="A94" s="25"/>
      <c r="B94" s="199" t="s">
        <v>193</v>
      </c>
      <c r="C94" s="200"/>
      <c r="D94" s="200"/>
      <c r="E94" s="200"/>
      <c r="F94" s="200"/>
      <c r="G94" s="200"/>
      <c r="H94" s="200"/>
      <c r="I94" s="201"/>
    </row>
    <row r="95" spans="1:9" ht="18.75" customHeight="1" x14ac:dyDescent="0.15">
      <c r="A95" s="25"/>
      <c r="B95" s="205"/>
      <c r="C95" s="206"/>
      <c r="D95" s="206"/>
      <c r="E95" s="206"/>
      <c r="F95" s="206"/>
      <c r="G95" s="206"/>
      <c r="H95" s="206"/>
      <c r="I95" s="204"/>
    </row>
    <row r="96" spans="1:9" ht="18.75" customHeight="1" x14ac:dyDescent="0.15">
      <c r="A96" s="25"/>
      <c r="B96" s="205"/>
      <c r="C96" s="206"/>
      <c r="D96" s="206"/>
      <c r="E96" s="206"/>
      <c r="F96" s="206"/>
      <c r="G96" s="206"/>
      <c r="H96" s="206"/>
      <c r="I96" s="204"/>
    </row>
    <row r="97" spans="1:9" ht="18.75" customHeight="1" x14ac:dyDescent="0.15">
      <c r="A97" s="25"/>
      <c r="B97" s="205"/>
      <c r="C97" s="206"/>
      <c r="D97" s="206"/>
      <c r="E97" s="206"/>
      <c r="F97" s="206"/>
      <c r="G97" s="206"/>
      <c r="H97" s="206"/>
      <c r="I97" s="204"/>
    </row>
    <row r="98" spans="1:9" ht="18.75" customHeight="1" x14ac:dyDescent="0.15">
      <c r="A98" s="25"/>
      <c r="B98" s="205"/>
      <c r="C98" s="206"/>
      <c r="D98" s="206"/>
      <c r="E98" s="206"/>
      <c r="F98" s="206"/>
      <c r="G98" s="206"/>
      <c r="H98" s="206"/>
      <c r="I98" s="204"/>
    </row>
    <row r="99" spans="1:9" ht="18.75" customHeight="1" x14ac:dyDescent="0.15">
      <c r="A99" s="25"/>
      <c r="B99" s="205"/>
      <c r="C99" s="206"/>
      <c r="D99" s="206"/>
      <c r="E99" s="206"/>
      <c r="F99" s="206"/>
      <c r="G99" s="206"/>
      <c r="H99" s="206"/>
      <c r="I99" s="204"/>
    </row>
    <row r="100" spans="1:9" ht="18.75" customHeight="1" x14ac:dyDescent="0.15">
      <c r="A100" s="25"/>
      <c r="B100" s="205"/>
      <c r="C100" s="206"/>
      <c r="D100" s="206"/>
      <c r="E100" s="206"/>
      <c r="F100" s="206"/>
      <c r="G100" s="206"/>
      <c r="H100" s="206"/>
      <c r="I100" s="204"/>
    </row>
    <row r="101" spans="1:9" ht="18.75" customHeight="1" x14ac:dyDescent="0.15">
      <c r="A101" s="25"/>
      <c r="B101" s="205"/>
      <c r="C101" s="206"/>
      <c r="D101" s="206"/>
      <c r="E101" s="206"/>
      <c r="F101" s="206"/>
      <c r="G101" s="206"/>
      <c r="H101" s="206"/>
      <c r="I101" s="204"/>
    </row>
    <row r="102" spans="1:9" ht="18.75" customHeight="1" x14ac:dyDescent="0.15">
      <c r="A102" s="25"/>
      <c r="B102" s="205"/>
      <c r="C102" s="206"/>
      <c r="D102" s="206"/>
      <c r="E102" s="206"/>
      <c r="F102" s="206"/>
      <c r="G102" s="206"/>
      <c r="H102" s="206"/>
      <c r="I102" s="204"/>
    </row>
    <row r="103" spans="1:9" ht="18.75" customHeight="1" x14ac:dyDescent="0.15">
      <c r="A103" s="25"/>
      <c r="B103" s="205"/>
      <c r="C103" s="206"/>
      <c r="D103" s="206"/>
      <c r="E103" s="206"/>
      <c r="F103" s="206"/>
      <c r="G103" s="206"/>
      <c r="H103" s="206"/>
      <c r="I103" s="204"/>
    </row>
    <row r="104" spans="1:9" ht="18.75" customHeight="1" x14ac:dyDescent="0.15">
      <c r="A104" s="25"/>
      <c r="B104" s="205"/>
      <c r="C104" s="206"/>
      <c r="D104" s="206"/>
      <c r="E104" s="206"/>
      <c r="F104" s="206"/>
      <c r="G104" s="206"/>
      <c r="H104" s="206"/>
      <c r="I104" s="204"/>
    </row>
    <row r="105" spans="1:9" ht="18.75" customHeight="1" x14ac:dyDescent="0.15">
      <c r="A105" s="66"/>
      <c r="B105" s="207"/>
      <c r="C105" s="208"/>
      <c r="D105" s="208"/>
      <c r="E105" s="208"/>
      <c r="F105" s="208"/>
      <c r="G105" s="208"/>
      <c r="H105" s="208"/>
      <c r="I105" s="209"/>
    </row>
    <row r="106" spans="1:9" ht="7.5" customHeight="1" x14ac:dyDescent="0.15">
      <c r="A106" s="66"/>
      <c r="B106" s="66"/>
      <c r="C106" s="66"/>
      <c r="D106" s="66"/>
      <c r="E106" s="66"/>
      <c r="F106" s="66"/>
      <c r="G106" s="66"/>
      <c r="H106" s="66"/>
      <c r="I106" s="66"/>
    </row>
    <row r="107" spans="1:9" ht="18.75" customHeight="1" x14ac:dyDescent="0.15">
      <c r="A107" s="25" t="s">
        <v>29</v>
      </c>
      <c r="B107" s="216" t="s">
        <v>44</v>
      </c>
      <c r="C107" s="216"/>
      <c r="D107" s="216"/>
      <c r="E107" s="216"/>
      <c r="F107" s="216"/>
      <c r="G107" s="216"/>
      <c r="H107" s="216"/>
      <c r="I107" s="216"/>
    </row>
    <row r="108" spans="1:9" ht="18.75" customHeight="1" x14ac:dyDescent="0.15">
      <c r="A108" s="66"/>
      <c r="B108" s="199" t="s">
        <v>194</v>
      </c>
      <c r="C108" s="200"/>
      <c r="D108" s="200"/>
      <c r="E108" s="200"/>
      <c r="F108" s="200"/>
      <c r="G108" s="200"/>
      <c r="H108" s="200"/>
      <c r="I108" s="201"/>
    </row>
    <row r="109" spans="1:9" ht="18.75" customHeight="1" x14ac:dyDescent="0.15">
      <c r="A109" s="66"/>
      <c r="B109" s="205"/>
      <c r="C109" s="206"/>
      <c r="D109" s="206"/>
      <c r="E109" s="206"/>
      <c r="F109" s="206"/>
      <c r="G109" s="206"/>
      <c r="H109" s="206"/>
      <c r="I109" s="204"/>
    </row>
    <row r="110" spans="1:9" ht="18.75" customHeight="1" x14ac:dyDescent="0.15">
      <c r="A110" s="66"/>
      <c r="B110" s="205"/>
      <c r="C110" s="206"/>
      <c r="D110" s="206"/>
      <c r="E110" s="206"/>
      <c r="F110" s="206"/>
      <c r="G110" s="206"/>
      <c r="H110" s="206"/>
      <c r="I110" s="204"/>
    </row>
    <row r="111" spans="1:9" ht="18.75" customHeight="1" x14ac:dyDescent="0.15">
      <c r="A111" s="66"/>
      <c r="B111" s="205"/>
      <c r="C111" s="206"/>
      <c r="D111" s="206"/>
      <c r="E111" s="206"/>
      <c r="F111" s="206"/>
      <c r="G111" s="206"/>
      <c r="H111" s="206"/>
      <c r="I111" s="204"/>
    </row>
    <row r="112" spans="1:9" ht="18.75" customHeight="1" x14ac:dyDescent="0.15">
      <c r="A112" s="66"/>
      <c r="B112" s="205"/>
      <c r="C112" s="206"/>
      <c r="D112" s="206"/>
      <c r="E112" s="206"/>
      <c r="F112" s="206"/>
      <c r="G112" s="206"/>
      <c r="H112" s="206"/>
      <c r="I112" s="204"/>
    </row>
    <row r="113" spans="1:9" ht="18.75" customHeight="1" x14ac:dyDescent="0.15">
      <c r="A113" s="66"/>
      <c r="B113" s="205"/>
      <c r="C113" s="206"/>
      <c r="D113" s="206"/>
      <c r="E113" s="206"/>
      <c r="F113" s="206"/>
      <c r="G113" s="206"/>
      <c r="H113" s="206"/>
      <c r="I113" s="204"/>
    </row>
    <row r="114" spans="1:9" ht="18.75" customHeight="1" x14ac:dyDescent="0.15">
      <c r="A114" s="66"/>
      <c r="B114" s="205"/>
      <c r="C114" s="206"/>
      <c r="D114" s="206"/>
      <c r="E114" s="206"/>
      <c r="F114" s="206"/>
      <c r="G114" s="206"/>
      <c r="H114" s="206"/>
      <c r="I114" s="204"/>
    </row>
    <row r="115" spans="1:9" ht="18.75" customHeight="1" x14ac:dyDescent="0.15">
      <c r="A115" s="66"/>
      <c r="B115" s="205"/>
      <c r="C115" s="206"/>
      <c r="D115" s="206"/>
      <c r="E115" s="206"/>
      <c r="F115" s="206"/>
      <c r="G115" s="206"/>
      <c r="H115" s="206"/>
      <c r="I115" s="204"/>
    </row>
    <row r="116" spans="1:9" ht="18.75" customHeight="1" x14ac:dyDescent="0.15">
      <c r="A116" s="66"/>
      <c r="B116" s="205"/>
      <c r="C116" s="206"/>
      <c r="D116" s="206"/>
      <c r="E116" s="206"/>
      <c r="F116" s="206"/>
      <c r="G116" s="206"/>
      <c r="H116" s="206"/>
      <c r="I116" s="204"/>
    </row>
    <row r="117" spans="1:9" ht="18.75" customHeight="1" x14ac:dyDescent="0.15">
      <c r="A117" s="66"/>
      <c r="B117" s="205"/>
      <c r="C117" s="206"/>
      <c r="D117" s="206"/>
      <c r="E117" s="206"/>
      <c r="F117" s="206"/>
      <c r="G117" s="206"/>
      <c r="H117" s="206"/>
      <c r="I117" s="204"/>
    </row>
    <row r="118" spans="1:9" ht="18.75" customHeight="1" x14ac:dyDescent="0.15">
      <c r="A118" s="66"/>
      <c r="B118" s="205"/>
      <c r="C118" s="206"/>
      <c r="D118" s="206"/>
      <c r="E118" s="206"/>
      <c r="F118" s="206"/>
      <c r="G118" s="206"/>
      <c r="H118" s="206"/>
      <c r="I118" s="204"/>
    </row>
    <row r="119" spans="1:9" ht="18.75" customHeight="1" x14ac:dyDescent="0.15">
      <c r="A119" s="66"/>
      <c r="B119" s="207"/>
      <c r="C119" s="208"/>
      <c r="D119" s="208"/>
      <c r="E119" s="208"/>
      <c r="F119" s="208"/>
      <c r="G119" s="208"/>
      <c r="H119" s="208"/>
      <c r="I119" s="209"/>
    </row>
    <row r="120" spans="1:9" ht="7.5" customHeight="1" x14ac:dyDescent="0.15">
      <c r="A120" s="66"/>
      <c r="B120" s="71"/>
      <c r="C120" s="71"/>
      <c r="D120" s="71"/>
      <c r="E120" s="71"/>
      <c r="F120" s="71"/>
      <c r="G120" s="71"/>
      <c r="H120" s="71"/>
      <c r="I120" s="71"/>
    </row>
    <row r="121" spans="1:9" ht="18.75" customHeight="1" x14ac:dyDescent="0.15">
      <c r="A121" s="25"/>
      <c r="B121" s="195"/>
      <c r="C121" s="195"/>
      <c r="D121" s="195"/>
      <c r="E121" s="195"/>
      <c r="F121" s="195"/>
      <c r="G121" s="195"/>
      <c r="H121" s="195"/>
      <c r="I121" s="195"/>
    </row>
    <row r="122" spans="1:9" ht="18.75" customHeight="1" x14ac:dyDescent="0.15">
      <c r="A122" s="25"/>
      <c r="B122" s="195"/>
      <c r="C122" s="195"/>
      <c r="D122" s="195"/>
      <c r="E122" s="195"/>
      <c r="F122" s="195"/>
      <c r="G122" s="195"/>
      <c r="H122" s="195"/>
      <c r="I122" s="195"/>
    </row>
    <row r="123" spans="1:9" ht="18.75" customHeight="1" x14ac:dyDescent="0.15">
      <c r="A123" s="66"/>
      <c r="B123" s="64"/>
      <c r="C123" s="64"/>
      <c r="D123" s="64"/>
      <c r="E123" s="64"/>
      <c r="F123" s="64"/>
      <c r="G123" s="64"/>
      <c r="H123" s="64"/>
      <c r="I123" s="65"/>
    </row>
    <row r="124" spans="1:9" ht="18.75" customHeight="1" x14ac:dyDescent="0.15">
      <c r="A124" s="66"/>
      <c r="B124" s="65"/>
      <c r="C124" s="65"/>
      <c r="D124" s="65"/>
      <c r="E124" s="65"/>
      <c r="F124" s="65"/>
      <c r="G124" s="65"/>
      <c r="H124" s="65"/>
      <c r="I124" s="65"/>
    </row>
    <row r="125" spans="1:9" ht="18.75" customHeight="1" x14ac:dyDescent="0.15">
      <c r="A125" s="66"/>
      <c r="B125" s="65"/>
      <c r="C125" s="65"/>
      <c r="D125" s="65"/>
      <c r="E125" s="65"/>
      <c r="F125" s="65"/>
      <c r="G125" s="65"/>
      <c r="H125" s="65"/>
      <c r="I125" s="65"/>
    </row>
    <row r="126" spans="1:9" ht="18.75" customHeight="1" x14ac:dyDescent="0.15">
      <c r="A126" s="66"/>
      <c r="B126" s="65"/>
      <c r="C126" s="65"/>
      <c r="D126" s="65"/>
      <c r="E126" s="65"/>
      <c r="F126" s="65"/>
      <c r="G126" s="65"/>
      <c r="H126" s="65"/>
      <c r="I126" s="65"/>
    </row>
    <row r="127" spans="1:9" ht="18.75" customHeight="1" x14ac:dyDescent="0.15">
      <c r="A127" s="66"/>
      <c r="B127" s="65"/>
      <c r="C127" s="65"/>
      <c r="D127" s="65"/>
      <c r="E127" s="65"/>
      <c r="F127" s="65"/>
      <c r="G127" s="65"/>
      <c r="H127" s="65"/>
      <c r="I127" s="65"/>
    </row>
    <row r="128" spans="1:9" ht="18.75" customHeight="1" x14ac:dyDescent="0.15">
      <c r="A128" s="66"/>
      <c r="B128" s="65"/>
      <c r="C128" s="65"/>
      <c r="D128" s="65"/>
      <c r="E128" s="65"/>
      <c r="F128" s="65"/>
      <c r="G128" s="65"/>
      <c r="H128" s="65"/>
      <c r="I128" s="65"/>
    </row>
    <row r="129" spans="1:9" ht="18.75" customHeight="1" x14ac:dyDescent="0.15">
      <c r="A129" s="66"/>
      <c r="B129" s="65"/>
      <c r="C129" s="65"/>
      <c r="D129" s="65"/>
      <c r="E129" s="65"/>
      <c r="F129" s="65"/>
      <c r="G129" s="65"/>
      <c r="H129" s="65"/>
      <c r="I129" s="65"/>
    </row>
    <row r="130" spans="1:9" ht="18.75" customHeight="1" x14ac:dyDescent="0.15">
      <c r="A130" s="66"/>
      <c r="B130" s="65"/>
      <c r="C130" s="65"/>
      <c r="D130" s="65"/>
      <c r="E130" s="65"/>
      <c r="F130" s="65"/>
      <c r="G130" s="65"/>
      <c r="H130" s="65"/>
      <c r="I130" s="65"/>
    </row>
    <row r="131" spans="1:9" ht="18.75" customHeight="1" x14ac:dyDescent="0.15">
      <c r="A131" s="66"/>
      <c r="B131" s="65"/>
      <c r="C131" s="65"/>
      <c r="D131" s="65"/>
      <c r="E131" s="65"/>
      <c r="F131" s="65"/>
      <c r="G131" s="65"/>
      <c r="H131" s="65"/>
      <c r="I131" s="65"/>
    </row>
    <row r="132" spans="1:9" ht="18.75" customHeight="1" x14ac:dyDescent="0.15">
      <c r="A132" s="66"/>
      <c r="B132" s="65"/>
      <c r="C132" s="65"/>
      <c r="D132" s="65"/>
      <c r="E132" s="65"/>
      <c r="F132" s="65"/>
      <c r="G132" s="65"/>
      <c r="H132" s="65"/>
      <c r="I132" s="65"/>
    </row>
    <row r="133" spans="1:9" ht="14.25" x14ac:dyDescent="0.15">
      <c r="A133" s="66"/>
      <c r="B133" s="65"/>
      <c r="C133" s="65"/>
      <c r="D133" s="65"/>
      <c r="E133" s="65"/>
      <c r="F133" s="65"/>
      <c r="G133" s="65"/>
      <c r="H133" s="65"/>
      <c r="I133" s="65"/>
    </row>
    <row r="134" spans="1:9" ht="7.5" customHeight="1" x14ac:dyDescent="0.15">
      <c r="A134" s="66"/>
      <c r="B134" s="65"/>
      <c r="C134" s="65"/>
      <c r="D134" s="65"/>
      <c r="E134" s="65"/>
      <c r="F134" s="65"/>
      <c r="G134" s="65"/>
      <c r="H134" s="65"/>
      <c r="I134" s="65"/>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15" zoomScale="90" zoomScaleNormal="100" zoomScaleSheetLayoutView="90" workbookViewId="0">
      <selection activeCell="E16" sqref="E16:I16"/>
    </sheetView>
  </sheetViews>
  <sheetFormatPr defaultColWidth="11.375" defaultRowHeight="22.5" customHeight="1" x14ac:dyDescent="0.15"/>
  <cols>
    <col min="1" max="3" width="2.75" style="25" customWidth="1"/>
    <col min="4" max="4" width="22.25" style="25" customWidth="1"/>
    <col min="5" max="5" width="30.75" style="25" customWidth="1"/>
    <col min="6" max="7" width="7.75" style="25" customWidth="1"/>
    <col min="8" max="9" width="30.75" style="25" customWidth="1"/>
    <col min="10" max="10" width="4.125" style="25" customWidth="1"/>
    <col min="11" max="16384" width="11.375" style="25"/>
  </cols>
  <sheetData>
    <row r="1" spans="1:9" ht="18.75" customHeight="1" x14ac:dyDescent="0.15">
      <c r="A1" s="25" t="s">
        <v>67</v>
      </c>
      <c r="I1" s="26" t="s">
        <v>95</v>
      </c>
    </row>
    <row r="2" spans="1:9" ht="18.75" customHeight="1" x14ac:dyDescent="0.15">
      <c r="H2" s="26" t="s">
        <v>98</v>
      </c>
      <c r="I2" s="42" t="str">
        <f>'様式１-2　プログラムを構成する授業科目'!C2</f>
        <v>東京国際大学</v>
      </c>
    </row>
    <row r="3" spans="1:9" ht="18.75" customHeight="1" x14ac:dyDescent="0.15">
      <c r="A3" s="87" t="s">
        <v>27</v>
      </c>
      <c r="B3" s="87"/>
      <c r="C3" s="87"/>
      <c r="D3" s="87"/>
      <c r="E3" s="87"/>
      <c r="F3" s="87"/>
      <c r="G3" s="87"/>
      <c r="H3" s="87"/>
      <c r="I3" s="87"/>
    </row>
    <row r="4" spans="1:9" ht="18.75" customHeight="1" x14ac:dyDescent="0.15">
      <c r="A4" s="41"/>
      <c r="B4" s="41"/>
      <c r="C4" s="41"/>
      <c r="D4" s="41"/>
      <c r="E4" s="41"/>
      <c r="F4" s="41"/>
      <c r="G4" s="41"/>
      <c r="H4" s="41"/>
      <c r="I4" s="41"/>
    </row>
    <row r="5" spans="1:9" ht="18.75" customHeight="1" x14ac:dyDescent="0.15">
      <c r="A5" s="25" t="s">
        <v>0</v>
      </c>
      <c r="B5" s="30" t="s">
        <v>89</v>
      </c>
      <c r="C5" s="41"/>
      <c r="D5" s="41"/>
      <c r="E5" s="41"/>
      <c r="F5" s="41"/>
      <c r="G5" s="41"/>
      <c r="H5" s="41"/>
      <c r="I5" s="41"/>
    </row>
    <row r="6" spans="1:9" ht="26.25" customHeight="1" x14ac:dyDescent="0.15">
      <c r="A6" s="41"/>
      <c r="B6" s="210" t="s">
        <v>151</v>
      </c>
      <c r="C6" s="242"/>
      <c r="D6" s="242"/>
      <c r="E6" s="242"/>
      <c r="F6" s="242"/>
      <c r="G6" s="242"/>
      <c r="H6" s="243"/>
      <c r="I6" s="29"/>
    </row>
    <row r="7" spans="1:9" ht="9.1999999999999993" customHeight="1" x14ac:dyDescent="0.15">
      <c r="A7" s="41"/>
      <c r="B7" s="30"/>
      <c r="C7" s="30"/>
      <c r="D7" s="30"/>
      <c r="E7" s="30"/>
      <c r="F7" s="30"/>
      <c r="G7" s="30"/>
      <c r="H7" s="30"/>
      <c r="I7" s="29"/>
    </row>
    <row r="8" spans="1:9" ht="18.75" customHeight="1" x14ac:dyDescent="0.15">
      <c r="A8" s="41"/>
      <c r="B8" s="29"/>
      <c r="C8" s="29"/>
      <c r="D8" s="26" t="s">
        <v>41</v>
      </c>
      <c r="E8" s="72" t="s">
        <v>152</v>
      </c>
      <c r="F8" s="29"/>
      <c r="G8" s="26" t="s">
        <v>10</v>
      </c>
      <c r="H8" s="72" t="s">
        <v>153</v>
      </c>
      <c r="I8" s="29"/>
    </row>
    <row r="9" spans="1:9" ht="7.5" customHeight="1" x14ac:dyDescent="0.15">
      <c r="A9" s="41"/>
      <c r="B9" s="41"/>
      <c r="C9" s="41"/>
      <c r="D9" s="41"/>
      <c r="E9" s="41"/>
      <c r="F9" s="41"/>
      <c r="G9" s="41"/>
      <c r="H9" s="41"/>
      <c r="I9" s="41"/>
    </row>
    <row r="10" spans="1:9" ht="18.75" customHeight="1" x14ac:dyDescent="0.15">
      <c r="A10" s="25" t="s">
        <v>3</v>
      </c>
      <c r="B10" s="25" t="s">
        <v>26</v>
      </c>
      <c r="C10" s="66"/>
      <c r="D10" s="66"/>
      <c r="E10" s="66"/>
      <c r="F10" s="66"/>
      <c r="G10" s="66"/>
      <c r="H10" s="66"/>
      <c r="I10" s="66"/>
    </row>
    <row r="11" spans="1:9" ht="18.75" customHeight="1" x14ac:dyDescent="0.15">
      <c r="B11" s="84" t="s">
        <v>23</v>
      </c>
      <c r="C11" s="85"/>
      <c r="D11" s="86"/>
      <c r="E11" s="85" t="s">
        <v>25</v>
      </c>
      <c r="F11" s="85"/>
      <c r="G11" s="85"/>
      <c r="H11" s="85"/>
      <c r="I11" s="86"/>
    </row>
    <row r="12" spans="1:9" ht="26.25" customHeight="1" x14ac:dyDescent="0.15">
      <c r="B12" s="73" t="s">
        <v>13</v>
      </c>
      <c r="C12" s="74"/>
      <c r="D12" s="75"/>
      <c r="E12" s="76"/>
      <c r="F12" s="76"/>
      <c r="G12" s="76"/>
      <c r="H12" s="76"/>
      <c r="I12" s="75"/>
    </row>
    <row r="13" spans="1:9" ht="127.7" customHeight="1" x14ac:dyDescent="0.15">
      <c r="B13" s="77"/>
      <c r="C13" s="225" t="s">
        <v>14</v>
      </c>
      <c r="D13" s="226"/>
      <c r="E13" s="238" t="s">
        <v>189</v>
      </c>
      <c r="F13" s="227"/>
      <c r="G13" s="227"/>
      <c r="H13" s="227"/>
      <c r="I13" s="228"/>
    </row>
    <row r="14" spans="1:9" ht="210.75" customHeight="1" x14ac:dyDescent="0.15">
      <c r="B14" s="77"/>
      <c r="C14" s="240" t="s">
        <v>15</v>
      </c>
      <c r="D14" s="241"/>
      <c r="E14" s="238" t="s">
        <v>195</v>
      </c>
      <c r="F14" s="227"/>
      <c r="G14" s="227"/>
      <c r="H14" s="227"/>
      <c r="I14" s="228"/>
    </row>
    <row r="15" spans="1:9" ht="210.75" customHeight="1" x14ac:dyDescent="0.15">
      <c r="B15" s="77"/>
      <c r="C15" s="225" t="s">
        <v>16</v>
      </c>
      <c r="D15" s="226"/>
      <c r="E15" s="238" t="s">
        <v>157</v>
      </c>
      <c r="F15" s="227"/>
      <c r="G15" s="227"/>
      <c r="H15" s="227"/>
      <c r="I15" s="228"/>
    </row>
    <row r="16" spans="1:9" ht="142.5" customHeight="1" x14ac:dyDescent="0.15">
      <c r="B16" s="77"/>
      <c r="C16" s="225" t="s">
        <v>17</v>
      </c>
      <c r="D16" s="226"/>
      <c r="E16" s="238" t="s">
        <v>196</v>
      </c>
      <c r="F16" s="227"/>
      <c r="G16" s="227"/>
      <c r="H16" s="227"/>
      <c r="I16" s="228"/>
    </row>
    <row r="17" spans="2:9" ht="123" customHeight="1" x14ac:dyDescent="0.15">
      <c r="B17" s="78"/>
      <c r="C17" s="229" t="s">
        <v>18</v>
      </c>
      <c r="D17" s="230"/>
      <c r="E17" s="239" t="s">
        <v>158</v>
      </c>
      <c r="F17" s="231"/>
      <c r="G17" s="231"/>
      <c r="H17" s="231"/>
      <c r="I17" s="232"/>
    </row>
    <row r="18" spans="2:9" ht="24" customHeight="1" x14ac:dyDescent="0.15">
      <c r="B18" s="73" t="s">
        <v>19</v>
      </c>
      <c r="C18" s="79"/>
      <c r="D18" s="80"/>
      <c r="E18" s="81"/>
      <c r="F18" s="81"/>
      <c r="G18" s="81"/>
      <c r="H18" s="81"/>
      <c r="I18" s="82"/>
    </row>
    <row r="19" spans="2:9" ht="91.7" customHeight="1" x14ac:dyDescent="0.15">
      <c r="B19" s="77"/>
      <c r="C19" s="225" t="s">
        <v>20</v>
      </c>
      <c r="D19" s="226"/>
      <c r="E19" s="227" t="s">
        <v>168</v>
      </c>
      <c r="F19" s="227"/>
      <c r="G19" s="227"/>
      <c r="H19" s="227"/>
      <c r="I19" s="228"/>
    </row>
    <row r="20" spans="2:9" ht="141" customHeight="1" x14ac:dyDescent="0.15">
      <c r="B20" s="78"/>
      <c r="C20" s="229" t="s">
        <v>21</v>
      </c>
      <c r="D20" s="230"/>
      <c r="E20" s="231" t="s">
        <v>159</v>
      </c>
      <c r="F20" s="231"/>
      <c r="G20" s="231"/>
      <c r="H20" s="231"/>
      <c r="I20" s="232"/>
    </row>
    <row r="21" spans="2:9" ht="293.64999999999998" customHeight="1" x14ac:dyDescent="0.15">
      <c r="B21" s="233" t="s">
        <v>22</v>
      </c>
      <c r="C21" s="234"/>
      <c r="D21" s="235"/>
      <c r="E21" s="236" t="s">
        <v>191</v>
      </c>
      <c r="F21" s="236"/>
      <c r="G21" s="236"/>
      <c r="H21" s="236"/>
      <c r="I21" s="237"/>
    </row>
    <row r="22" spans="2:9" ht="193.5" customHeight="1" x14ac:dyDescent="0.15">
      <c r="B22" s="220" t="s">
        <v>133</v>
      </c>
      <c r="C22" s="221"/>
      <c r="D22" s="222"/>
      <c r="E22" s="223" t="s">
        <v>161</v>
      </c>
      <c r="F22" s="223"/>
      <c r="G22" s="223"/>
      <c r="H22" s="223"/>
      <c r="I22" s="224"/>
    </row>
    <row r="23" spans="2:9" ht="22.5" customHeight="1" x14ac:dyDescent="0.15">
      <c r="B23" s="66"/>
      <c r="C23" s="66"/>
      <c r="D23" s="66"/>
      <c r="E23" s="66"/>
      <c r="F23" s="66"/>
      <c r="G23" s="66"/>
      <c r="H23" s="66"/>
      <c r="I23" s="66"/>
    </row>
    <row r="24" spans="2:9" ht="22.5" customHeight="1" x14ac:dyDescent="0.15">
      <c r="B24" s="66"/>
      <c r="C24" s="66"/>
      <c r="D24" s="66"/>
      <c r="E24" s="66"/>
      <c r="F24" s="66"/>
      <c r="G24" s="66"/>
      <c r="H24" s="66"/>
      <c r="I24" s="66"/>
    </row>
    <row r="25" spans="2:9" ht="22.5" customHeight="1" x14ac:dyDescent="0.15">
      <c r="B25" s="66"/>
      <c r="C25" s="66"/>
      <c r="D25" s="66"/>
      <c r="E25" s="66"/>
      <c r="F25" s="66"/>
      <c r="G25" s="66"/>
      <c r="H25" s="66"/>
      <c r="I25" s="66"/>
    </row>
    <row r="26" spans="2:9" ht="22.5" customHeight="1" x14ac:dyDescent="0.15">
      <c r="B26" s="66"/>
      <c r="C26" s="66"/>
      <c r="D26" s="66"/>
      <c r="E26" s="66"/>
      <c r="F26" s="66"/>
      <c r="G26" s="66"/>
      <c r="H26" s="66"/>
      <c r="I26" s="66"/>
    </row>
    <row r="27" spans="2:9" ht="22.5" customHeight="1" x14ac:dyDescent="0.15">
      <c r="B27" s="66"/>
      <c r="C27" s="66"/>
      <c r="D27" s="66"/>
      <c r="E27" s="66"/>
      <c r="F27" s="66"/>
      <c r="G27" s="66"/>
      <c r="H27" s="66"/>
      <c r="I27" s="66"/>
    </row>
    <row r="28" spans="2:9" ht="22.5" customHeight="1" x14ac:dyDescent="0.15">
      <c r="B28" s="52"/>
      <c r="C28" s="52"/>
      <c r="D28" s="52"/>
      <c r="E28" s="52"/>
      <c r="F28" s="52"/>
      <c r="G28" s="52"/>
      <c r="H28" s="52"/>
      <c r="I28" s="52"/>
    </row>
    <row r="29" spans="2:9" ht="22.5" customHeight="1" x14ac:dyDescent="0.15">
      <c r="B29" s="52"/>
      <c r="C29" s="52"/>
      <c r="D29" s="52"/>
      <c r="E29" s="52"/>
      <c r="F29" s="52"/>
      <c r="G29" s="52"/>
      <c r="H29" s="52"/>
      <c r="I29" s="52"/>
    </row>
    <row r="30" spans="2:9" ht="22.5" customHeight="1" x14ac:dyDescent="0.15">
      <c r="B30" s="52"/>
      <c r="C30" s="52"/>
      <c r="D30" s="52"/>
      <c r="E30" s="52"/>
      <c r="F30" s="52"/>
      <c r="G30" s="52"/>
      <c r="H30" s="52"/>
      <c r="I30" s="52"/>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Windows ユーザー</cp:lastModifiedBy>
  <cp:lastPrinted>2024-06-05T07:01:39Z</cp:lastPrinted>
  <dcterms:created xsi:type="dcterms:W3CDTF">2011-06-14T05:32:50Z</dcterms:created>
  <dcterms:modified xsi:type="dcterms:W3CDTF">2024-06-18T01:11:28Z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