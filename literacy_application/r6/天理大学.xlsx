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KYOM22\d\文科省 教職 申請＆変更届\数理・データサイエンス・ＡＩ教育プログラム認定制度\令和6年度申請書類\"/>
    </mc:Choice>
  </mc:AlternateContent>
  <bookViews>
    <workbookView xWindow="28680" yWindow="-120" windowWidth="29040" windowHeight="15840" tabRatio="885"/>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教育の質・履修者数を向上させるための体制・計画'!$A$1:$I$141</definedName>
    <definedName name="_xlnm.Print_Area" localSheetId="3">'様式４　自己点検・評価'!$A$1:$I$22</definedName>
    <definedName name="_xlnm.Print_Titles" localSheetId="3">'様式４　自己点検・評価'!$11:$11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1" i="41" l="1"/>
  <c r="S16" i="40"/>
  <c r="S15" i="40"/>
  <c r="S14" i="40"/>
  <c r="G17" i="40"/>
  <c r="G16" i="40"/>
  <c r="M7" i="40" l="1"/>
  <c r="I2" i="42"/>
  <c r="H2" i="41"/>
  <c r="Q2" i="40"/>
  <c r="I33" i="40" l="1"/>
  <c r="M33" i="40"/>
  <c r="Q33" i="40"/>
  <c r="O33" i="40"/>
  <c r="K33" i="40"/>
  <c r="R18" i="40" l="1"/>
  <c r="R19" i="40"/>
  <c r="R20" i="40"/>
  <c r="R21" i="40"/>
  <c r="R22" i="40"/>
  <c r="R23" i="40"/>
  <c r="R24" i="40"/>
  <c r="R25" i="40"/>
  <c r="R26" i="40"/>
  <c r="R27" i="40"/>
  <c r="R28" i="40"/>
  <c r="R29" i="40"/>
  <c r="R30" i="40"/>
  <c r="R31" i="40"/>
  <c r="R32" i="40"/>
  <c r="C33" i="40"/>
  <c r="G33" i="40" l="1"/>
  <c r="E33" i="40" l="1"/>
  <c r="I72" i="41" s="1"/>
  <c r="D33" i="40"/>
  <c r="S32" i="40"/>
  <c r="S31" i="40"/>
  <c r="S30" i="40"/>
  <c r="S29" i="40"/>
  <c r="S28" i="40"/>
  <c r="S27" i="40"/>
  <c r="S26" i="40"/>
  <c r="S25" i="40"/>
  <c r="S24" i="40"/>
  <c r="S23" i="40"/>
  <c r="S22" i="40"/>
  <c r="S21" i="40"/>
  <c r="S20" i="40"/>
  <c r="S19" i="40"/>
  <c r="S18" i="40"/>
  <c r="F17" i="40"/>
  <c r="R17" i="40" s="1"/>
  <c r="S17" i="40" s="1"/>
  <c r="P33" i="40"/>
  <c r="R14" i="40"/>
  <c r="F16" i="40"/>
  <c r="R15" i="40"/>
  <c r="F33" i="40" l="1"/>
  <c r="R16" i="40"/>
  <c r="L33" i="40"/>
  <c r="N33" i="40"/>
  <c r="J33" i="40" l="1"/>
  <c r="R13" i="40" l="1"/>
  <c r="H33" i="40"/>
  <c r="R33" i="40" l="1"/>
  <c r="S33" i="40" s="1"/>
  <c r="S13" i="40"/>
</calcChain>
</file>

<file path=xl/comments1.xml><?xml version="1.0" encoding="utf-8"?>
<comments xmlns="http://schemas.openxmlformats.org/spreadsheetml/2006/main">
  <authors>
    <author>soyama</author>
  </authors>
  <commentList>
    <comment ref="J27" authorId="0" shapeId="0">
      <text>
        <r>
          <rPr>
            <b/>
            <sz val="9"/>
            <color indexed="81"/>
            <rFont val="MS P ゴシック"/>
            <family val="3"/>
            <charset val="128"/>
          </rPr>
          <t>soyama:</t>
        </r>
        <r>
          <rPr>
            <sz val="9"/>
            <color indexed="81"/>
            <rFont val="MS P ゴシック"/>
            <family val="3"/>
            <charset val="128"/>
          </rPr>
          <t xml:space="preserve">
データ・AI利活用の最新動向も授業で教えています</t>
        </r>
      </text>
    </comment>
    <comment ref="J38" authorId="0" shapeId="0">
      <text>
        <r>
          <rPr>
            <b/>
            <sz val="9"/>
            <color indexed="81"/>
            <rFont val="MS P ゴシック"/>
            <family val="3"/>
            <charset val="128"/>
          </rPr>
          <t>soyama:</t>
        </r>
        <r>
          <rPr>
            <sz val="9"/>
            <color indexed="81"/>
            <rFont val="MS P ゴシック"/>
            <family val="3"/>
            <charset val="128"/>
          </rPr>
          <t xml:space="preserve">
データ・AI利活用の最新動向も授業で教えています</t>
        </r>
      </text>
    </comment>
    <comment ref="J49" authorId="0" shapeId="0">
      <text>
        <r>
          <rPr>
            <b/>
            <sz val="9"/>
            <color indexed="81"/>
            <rFont val="MS P ゴシック"/>
            <family val="3"/>
            <charset val="128"/>
          </rPr>
          <t>soyama:</t>
        </r>
        <r>
          <rPr>
            <sz val="9"/>
            <color indexed="81"/>
            <rFont val="MS P ゴシック"/>
            <family val="3"/>
            <charset val="128"/>
          </rPr>
          <t xml:space="preserve">
データ・AI利活用の最新動向も授業で教えています</t>
        </r>
      </text>
    </comment>
    <comment ref="J60" authorId="0" shapeId="0">
      <text>
        <r>
          <rPr>
            <b/>
            <sz val="9"/>
            <color indexed="81"/>
            <rFont val="MS P ゴシック"/>
            <family val="3"/>
            <charset val="128"/>
          </rPr>
          <t>soyama:</t>
        </r>
        <r>
          <rPr>
            <sz val="9"/>
            <color indexed="81"/>
            <rFont val="MS P ゴシック"/>
            <family val="3"/>
            <charset val="128"/>
          </rPr>
          <t xml:space="preserve">
データ・AI利活用の最新動向も授業で教えています</t>
        </r>
      </text>
    </comment>
  </commentList>
</comments>
</file>

<file path=xl/sharedStrings.xml><?xml version="1.0" encoding="utf-8"?>
<sst xmlns="http://schemas.openxmlformats.org/spreadsheetml/2006/main" count="291" uniqueCount="186">
  <si>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</si>
  <si>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</si>
  <si>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</si>
  <si>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</si>
  <si>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</si>
  <si>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</si>
  <si>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</si>
  <si>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</si>
  <si>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</si>
  <si>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</si>
  <si>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</si>
  <si>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</si>
  <si>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</si>
  <si>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</si>
  <si>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</si>
  <si>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</si>
  <si>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</si>
  <si>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</si>
  <si>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</si>
  <si>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</si>
  <si>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</si>
  <si>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</si>
  <si>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</si>
  <si>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</si>
  <si>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</si>
  <si>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</si>
  <si>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</si>
  <si>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</si>
  <si>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</si>
  <si>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</si>
  <si>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</si>
  <si>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</si>
  <si>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</si>
  <si>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</si>
  <si>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</si>
  <si>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</si>
  <si>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</si>
  <si>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</si>
  <si>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</si>
  <si>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</si>
  <si>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</si>
  <si>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</si>
  <si>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</si>
  <si>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</si>
  <si>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</si>
  <si>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</si>
  <si>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</si>
  <si>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</si>
  <si>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</si>
  <si>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</si>
  <si>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</si>
  <si>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</si>
  <si>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</si>
  <si>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</si>
  <si>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</si>
  <si>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</si>
  <si>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</si>
  <si>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</si>
  <si>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</si>
  <si>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</si>
  <si>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</si>
  <si>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</si>
  <si>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</si>
  <si>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</si>
  <si>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</si>
  <si>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</si>
  <si>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</si>
  <si>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</si>
  <si>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</si>
  <si>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</si>
  <si>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</si>
  <si>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</si>
  <si>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</si>
  <si>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</si>
  <si>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</si>
  <si>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</si>
  <si>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</si>
  <si>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</si>
  <si>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</si>
  <si>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</si>
  <si>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</si>
  <si>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</si>
  <si>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</si>
  <si>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</si>
  <si>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</si>
  <si>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</si>
  <si>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</si>
  <si>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</si>
  <si>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</si>
  <si>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</si>
  <si>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</si>
  <si>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</si>
  <si>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</si>
  <si>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</si>
  <si>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</si>
  <si>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</si>
  <si>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</si>
  <si>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</si>
  <si>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</si>
  <si>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</si>
  <si>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</si>
  <si>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</si>
  <si>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</si>
  <si>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</si>
  <si>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</si>
  <si>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</si>
  <si>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</si>
  <si>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</si>
  <si>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</si>
  <si>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</si>
  <si>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</si>
  <si>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</si>
  <si>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</si>
  <si>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</si>
  <si>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</si>
  <si>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</si>
  <si>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</si>
  <si>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</si>
  <si>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</si>
  <si>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</si>
  <si>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</si>
  <si>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</si>
  <si>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</si>
  <si>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</si>
  <si>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</si>
  <si>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</si>
  <si>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</si>
  <si>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</si>
  <si>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</si>
  <si>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</si>
  <si>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</si>
  <si>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</si>
  <si>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</si>
  <si>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</si>
  <si>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天理大学</t>
    <rPh sb="0" eb="4">
      <t>テンリダイガク</t>
    </rPh>
    <phoneticPr fontId="1"/>
  </si>
  <si>
    <t>データサイエンス・ＡＩ教育プログラム（リテラシーレベル）</t>
    <phoneticPr fontId="1"/>
  </si>
  <si>
    <t>学部・学科によって、修了要件は相違しない</t>
  </si>
  <si>
    <t>「データサイエンス・ＡＩ入門」1科目（２単位）を修得すること。</t>
    <phoneticPr fontId="1"/>
  </si>
  <si>
    <t>○</t>
  </si>
  <si>
    <t>データサイエンス・ＡＩ入門</t>
    <phoneticPr fontId="1"/>
  </si>
  <si>
    <t>コンピュータ入門</t>
    <phoneticPr fontId="1"/>
  </si>
  <si>
    <t>情報処理</t>
    <phoneticPr fontId="1"/>
  </si>
  <si>
    <t>4‐3データ構造とプログラミング基礎</t>
    <phoneticPr fontId="1"/>
  </si>
  <si>
    <t>・IoTとビッグデータ・AI研究の歴史（データサイエンス・AI入門2回目）
・第４次産業革命とSociety5.0・Society5.0が目指す社会・SGDｓ・データ駆動型社会（データサイエンス・AI入門３回目）</t>
    <phoneticPr fontId="1"/>
  </si>
  <si>
    <t>・データ・AIを活用した最新のビジネスモデル（シェアリングエコノミー・レコメンデーション）（データサイエンス・AI入門１０回目）
・AIを活用した最新の技術（深層生成モデル・強化学習・転移学習）（データサイエンス・AI入門１１回目）</t>
    <phoneticPr fontId="1"/>
  </si>
  <si>
    <t>・多様な種類のデータ・1次データと2次データ・メタデータ・オープンデータ（データサイエンス・AI入門４回目）
・構造化データと非構造化データ・アノテーション（データサイエンス・AI入門５回目）</t>
    <phoneticPr fontId="1"/>
  </si>
  <si>
    <t>・データ・AI活用領域（文化保護・研究開発・マーケティング）とデータ・AI活用の目的（データサイエンス・AI入門６回目）</t>
    <phoneticPr fontId="1"/>
  </si>
  <si>
    <t>・データ解析の種類（予測・グルーピング）・構造化データの可視化・非構造化データの扱い方（自然言語処理，画像・動画処理，音声・音楽処理）（データサイエンス・AI入門７回目）
・特化型AIと汎用AI・強いAIと弱いAI・機械学習（ニューラルネットワーク・深層学習）（データサイエンス・AI入門８回目）</t>
    <phoneticPr fontId="1"/>
  </si>
  <si>
    <t>・データサイエンスサイクル・データ・AI利活用例（交通・医療介護・製造・農業・食品・防災・エネルギー（データサイエンス・AI入門９回目）</t>
    <phoneticPr fontId="1"/>
  </si>
  <si>
    <t>・倫理的・法的・社会的課題（ELSI・AIサービスの責任論）・自身に関するデータのコントロール（GDPR・忘れられる権利・オプトイン/オプトアウト）・データ倫理・人間中心のAI社会原則・データ・AI活用における負の事例（データサイエンス・AI入門１２回目）</t>
    <phoneticPr fontId="1"/>
  </si>
  <si>
    <t>・データを守るための原則（機密性・完全性・可用性）・データを守るための方法（暗号化・匿名化・認証）・セキュリティ事故の事例（データサイエンス・AI入門１３回目）</t>
    <phoneticPr fontId="1"/>
  </si>
  <si>
    <t>・データの種類（量的変数、質的変数）（データサイエンス・AI入門２回目）
・代表値（平均値、中央値、最頻値）（データサイエンス・AI入門４回目）
・データのばらつき（分散、標準偏差、偏差値）（データサイエンス・AI入門５，６回目）
・代表値の性質の違い・箱ひげ図（データサイエンス・AI入門７回目）
・度数分布表とヒストグラム（データサイエンス・AI入門８回目）
・散布図と相関係数（データサイエンス・AI入門９回目）</t>
    <phoneticPr fontId="1"/>
  </si>
  <si>
    <t>・時系列データのグラフによる可視化（データサイエンス・AI入門３回目）
・度数分布表とヒストグラムの作成方法（データサイエンス・AI入門８回目）
・散布図の作成と相関係数（データサイエンス・AI入門９回目）
・定性データの扱い方とクロス集計表（データサイエンス・AI入門１０回目）
・データの特徴とグラフの種類の適合性（データサイエンス・AI入門１２回目）</t>
    <phoneticPr fontId="1"/>
  </si>
  <si>
    <t>・オープンデータの利用方法・CSV形式ファイルの取り扱い方（データサイエンス・AI入門２回目）
・集計・基本統計量の算出（データサイエンス・AI入門３，４，５回目）
・データ分析ツールの使い方（データサイエンス・AI入門６，７．８．９回目）
・定性データの扱い方とクロス集計表の作成（データサイエンス・AI入門１０回目）
・データの並び替え・ランキング（データサイエンス・AI入門１１回目）</t>
    <phoneticPr fontId="1"/>
  </si>
  <si>
    <t xml:space="preserve">・ＡＩやデータサイエンスの意味と価値を理解する能力
（例：社会や日常生活におけるＡＩ・データサイエンスの活用やその意義）
・ＡＩやデータサイエンスにおけるデータ分析の方法を理解する能力
（例：基礎的な教養としてデータを集計したり分析したりする方法）
・ＡＩやデータサイエンスが各研究分野で広く活用されていることを理解する能力
（例：ＡＩの活用やデータサイエンスの活用の留意点）
</t>
    <phoneticPr fontId="1"/>
  </si>
  <si>
    <t>令和５</t>
    <rPh sb="0" eb="2">
      <t>レイワ</t>
    </rPh>
    <phoneticPr fontId="1"/>
  </si>
  <si>
    <t>人間学部</t>
    <rPh sb="0" eb="4">
      <t>ニンゲンガクブ</t>
    </rPh>
    <phoneticPr fontId="1"/>
  </si>
  <si>
    <t>文学部</t>
    <rPh sb="0" eb="3">
      <t>ブンガクブ</t>
    </rPh>
    <phoneticPr fontId="1"/>
  </si>
  <si>
    <t>国際学部</t>
    <rPh sb="0" eb="4">
      <t>コクサイガクブ</t>
    </rPh>
    <phoneticPr fontId="1"/>
  </si>
  <si>
    <t>体育学部</t>
    <rPh sb="0" eb="4">
      <t>タイイクガクブ</t>
    </rPh>
    <phoneticPr fontId="1"/>
  </si>
  <si>
    <t>医療学部</t>
    <rPh sb="0" eb="4">
      <t>イリョウガクブ</t>
    </rPh>
    <phoneticPr fontId="1"/>
  </si>
  <si>
    <t>永尾　比奈夫</t>
    <phoneticPr fontId="1"/>
  </si>
  <si>
    <t>学長</t>
    <rPh sb="0" eb="2">
      <t>ガクチョウ</t>
    </rPh>
    <phoneticPr fontId="1"/>
  </si>
  <si>
    <t>全学教育推進会議・全学教育推進機構</t>
    <phoneticPr fontId="1"/>
  </si>
  <si>
    <t>島田　勝巳</t>
    <phoneticPr fontId="1"/>
  </si>
  <si>
    <t>副学長</t>
    <phoneticPr fontId="1"/>
  </si>
  <si>
    <t>天理大学全学教育推進会議規程</t>
    <phoneticPr fontId="1"/>
  </si>
  <si>
    <t>　全学教育推進会議は、全学推進機構におかれている会議であり、天理大学の教育全般に関し全学的な連携を図ることにより、天理大学の教育理念及び教育目標に向けて、全学的な教学マネジメントを推進することを目的としている。
　データサイエンス・AIに関する教育については、現代社会におけるデータサイエンス・AI教育の重要性に鑑み、データサイエンス・AI関連科目の履修について、積極的に推進することを念頭に、教育課程の編成、運営、及び評価・改善、 総合教育の企画、運営、及び評価改善、高等教育の教育内容並びに授業方法の研究・支援及び評価・改善等に取り組み、その事業推進のために、総合教育センター、資格課程センター、学際的教育研究センターを設置して運営にあたっている。
　令和5年度より、学部横断的なプログラムとして、特定テーマ科目群に、「社会調査・データサイエンス」プログラムを新設し、データサイエンス・AIに関する教育の推進を図っている。
　</t>
    <phoneticPr fontId="1"/>
  </si>
  <si>
    <t>　現代社会におけるデータサイエンス・AI教育の重要性に鑑み、データサイエンスAIに関する教育を以下のように推進していく。
　令和5年度より、総合教育科目に「データサイエンス・AI入門」を選択科目として開設した。
　令和6年度からは、人文学部（収容定員240名/１年）及び国際学部（収容定員290名/１年）において、「データサイエンス・ＡＩ入門」を、必修科目として1年時に履修することとする。体育学部、医療学部については、総合教育科目として選択可能な科目としている。全学教育推進機構の主導のもと、令和6年度より、特定テーマ科目に学部横断プログラムとして「社会調査・データサイエンスプログラム」を新設し、「データサイエンス・ＡＩ入門」を組み入れるなど履修者の増加に努めるとともに、総合教育センターを中心に評価・改善の取り組みをおこなう。
　また、教職課程において教員免許を取得する学生が全学の40％程度いることから、今後、「データサイエンス・ＡＩ入門」を、教育職員免許法施行規則第66条の6に定める科目に位置づけるなどの履修率向上方策を検討していく。</t>
    <phoneticPr fontId="1"/>
  </si>
  <si>
    <t>　全学教育推進機構総合教育センターにおいて、データサイエンス・AI教育のカリキュラム及び教育コンテンツの企画・運営及び評価・改善をおこない、全学教育推進会議においてマネジメントを行う。
　プログラムを構成する授業科目は、総合科目として位置づけており、全学部学科の学生が履修可能となっている。</t>
    <phoneticPr fontId="1"/>
  </si>
  <si>
    <t>　入学後のガイダンスやクラスオリエンテーションで、周知を図るとともに、人文学部、国際学部では必修科目として、できる限り多くの学生が履修できるようにする。また、大学のホームページにも本プログラムのページをつくり、周知に努める。</t>
    <phoneticPr fontId="1"/>
  </si>
  <si>
    <t>　本教育プログラムについて、LMSに教育コンテンツを蓄積し、多くの学生が講義について閲覧可能にする環境を構築している。
　LMSの教材コンテンツを用いて、予習・復習ができるようにし、できる限り多くの学生が内容を確実に修得できるようなサポート体制を整える。</t>
    <phoneticPr fontId="1"/>
  </si>
  <si>
    <t>　担当教員にメールやLMSを経由して質問ができる体制を整備するとともに、オッフィスアワーに直接教員に質問したり、総合教育センター共同研究室に教員が常駐し、質問に対応できるような体制を整備する。</t>
    <phoneticPr fontId="1"/>
  </si>
  <si>
    <t>副学長</t>
    <rPh sb="0" eb="3">
      <t>フクガクチョウ</t>
    </rPh>
    <phoneticPr fontId="1"/>
  </si>
  <si>
    <t>　現在は後輩へ推奨する仕組み作りを積極的に行えていないが、「学生による授業評価」アンケート項目の「授業を受けて新しい知識や技能が得られ、問題意識や関心が高まった」や「今後の学習や研究などの学習生活、将来の仕事などの社会生活に役立つ授業であった」に対して8割以上の受講生が肯定的な回答をしており、後輩や他の受講生への推奨度は十分に高いと思われる。データサイエンスの知識・技能の重要性を学生に広く伝え、履修率の向上を図るため、今後、履修者・単位取得者のインタビューなどの記事を HP やパンフレットに掲載するなど積極的に広報活動を行い、次年度生や未履修生への推奨に活かすようにする。</t>
    <phoneticPr fontId="1"/>
  </si>
  <si>
    <t>　FD 委員会が中心になって実施している「学生による授業評価」アンケートにおける授業内容の理解度の評価や授業の実施方法に関する評価を分析するとともに、単位取得状況と照らし合わせて、授業の内容・水準が適切に運営されているか、学生目線での分かりやすい授業を実施するよう、組織的に連携して改善・向上に努める。令和5年度に実施したアンケートの「授業内容のレベルについてどう思いますか」の項目で、4割程の受講生が「高すぎる」または「やや高い」と回答している。この結果を踏まえ、令和6年度はテキスト教材、授業内容、実施方法の見直しを行う。また担当教員にメールや LMS を経由して質問ができる体制を整備するとともに、オフィスアワーに直接教員に質問したり、総合教育センター共同研究室に教員が常駐し、質問に対応できるような体制を整備し、丁寧な疑問解消に努める。</t>
    <phoneticPr fontId="1"/>
  </si>
  <si>
    <r>
      <t xml:space="preserve">内容・水準を維持・向上しつつ、より「分かりやすい」授業とすること
</t>
    </r>
    <r>
      <rPr>
        <sz val="12"/>
        <color rgb="FFFF0000"/>
        <rFont val="ＭＳ Ｐゴシック"/>
        <family val="3"/>
        <charset val="128"/>
        <scheme val="minor"/>
      </rPr>
      <t>※社会の変化や生成AI等の技術の発展を踏まえて教育内容を継続的に見直すなど、より教育効果の高まる授業内容・方法とするための取組や仕組みについても該当があれば記載</t>
    </r>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</si>
  <si>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 xml:space="preserve"> 　「デーサイエンス・AI 入門」の具体的な到達目標や授業計画はシラバスに明示している。学修成果の把握に関しては、本学の教育研究支援課が全ての科目において年2回、春学期と秋学期の授業終わりに実施している「学生による授業評価」アンケートや卒業時に実施している「卒業生、修了生アンケート」の調査を活用し、科目の到達目標に対する学生の理解度や達成度を検証している。また、検証結果をフィードバックすることで、本プログラムの改善・向上に活用している。令和5年度に実施したアンケートでは、「教員の授業に対する準備や熱意は十分だと感じた」や「教員の説明はわかりやすかった」、「授業を受けて新しい知識や技能が得られ、問題意識や関心が高まった」、「今後の学習や研究などの学習生活、将来の仕事などの社会生活に役立つ授業であった」の項目で8割以上の受講生が「強くそう思う」または「そう思う」という肯定的な回答をしており、十分な学修成果があったと思われる。</t>
    <rPh sb="402" eb="404">
      <t>ガクシュウ</t>
    </rPh>
    <phoneticPr fontId="1"/>
  </si>
  <si>
    <t>　現在は後輩へ推奨する仕組み作りを積極的に行えていないが、「学生による授業評価」アンケート項目の「授業を受けて新しい知識や技能が得られ、問題意識や関心が高まった」や「今後の学習や研究などの学習生活、将来の仕事などの社会生活に役立つ授業であった」に対して8割以上の受講生が肯定的な回答をしており、後輩や他の受講生への推奨度は十分に高いと思われる。データサイエンスの知識・技能の重要性を学生に広く伝え、履修率の向上を図るため、今後、履修者・単位取得者のインタビューなどの記事を HP やパンフレットに掲載するなど積極的に広報活動を行い、次年度生や未履修生への推奨に活かすようにする。</t>
  </si>
  <si>
    <t xml:space="preserve">　本プログラムは令和5年度に開設されたため、現時点で修了した卒業生はおらず、進路調査や活躍状況調査、企業からの評価は実施していない。本学のキャリア支援課は進路調査・活躍状況調査について卒業時に「卒業生、修了生アンケート」を実施している。このアンケート結果を活用し、今後、本プログラムを修了した卒業生の進路先調査、採用状況を確認し、プログラムが目標とする人材育成の状況を評価する。また、卒業生を輩出後は、卒業生に実施している「卒業生対象キャリアアンケート」や就職先の企業に対して実施している「企業等対象キャリアアンケート」の調査結果も活用して、企業のニーズや企業からの評価を踏まえた改善を行う。
</t>
  </si>
  <si>
    <t>　本プログラムは、具体的な事例で学生の興味を引くようにする授業構成や、幅広い分野を網羅できていることが望まれる。今後、データサイエンス関連業務に従事する管理職・研究員の方による講義の導入や、教育プログラムの内容・手法などについて専門家による産業界からの視点を含めた意見を取り入れ、授業内容や授業の進め方を改善するなどの取り組みを検討する。</t>
  </si>
  <si>
    <t>　データや AI が社会でどのように活用されているか、身近な例を積極的に用いて説明をし、数理・データサイエンス・ AI を学ぶ楽しさが得られるように努めている。また、学ぶ楽しさを実体験できるようパソコンを用いた AI・データ解析の演習を行い、身近にある様々なデータを実際に扱うことで、学び始めたばかりの学生にも親しみやすく、興味がもて、基礎学力から実用的、実践的な力が身につくように工夫している。学ぶことの意義については、データサイエンスや AI に関する知識や技能が社会でどのように活かされているか、また今後どのように必要とされるかなどについて説明を行い、学生自身に実感させるよう取り組んでいる。</t>
  </si>
  <si>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</si>
  <si>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 xml:space="preserve">全学教育推進会議の構成員は以下の通り。
島田　勝巳（機構長）
上田　喜彦（機構次長）
【人文学部】
山中　秀夫（人文学部　教授）
東馬場　郁生 （人文学部　教授）
西野　 由紀（人文学部　教授）
橋本　英将 （人文学部　教授）
高嶋　雄介（人文学部　教授）
石飛　和彦 （人文学部　教授）
渡辺　一城（人文学部　教授）
原　豊二（人文学部　教授）
幡鎌　一弘 （人文学部　教授）
【国際学部】
長森　美信（国際学部　教授）
熊木　勉（国際学部　教授）
中川　裕三（国際学部　教授）
森下　三郎（国際学部　教授）
野津　幸治（国際学部　教授）
山田　政信 （国際学部　教授）
芹澤　知広（国際学部　教授）
【体育学部】
中谷　敏昭 （体育学部　教授）
徳田　眞三 （体育学部　教授）
【医療学部】
小松　方（医療学部　教授）
江南　宣子（医療学部　教授）
畑中　徳子（医療学部　教授）
【その他（機構長が推薦するもの）】
山本　和行（国際学部　教授）
佐々木　保孝（人文学部　教授）
仲　淳（教職課程主任　教授）
金子　多妥志（学務部長）
鈴木　俊勝（教務課長）
北野　圭信（教育研究支援課長）
北浦　正一（ＩＲ推進課長）
</t>
    <rPh sb="46" eb="48">
      <t>ジンブン</t>
    </rPh>
    <rPh sb="52" eb="54">
      <t>ヤマナカ</t>
    </rPh>
    <rPh sb="55" eb="57">
      <t>ヒデオ</t>
    </rPh>
    <rPh sb="58" eb="62">
      <t>ジンブンガクブ</t>
    </rPh>
    <rPh sb="63" eb="65">
      <t>キョウジュ</t>
    </rPh>
    <rPh sb="75" eb="77">
      <t>ジンブン</t>
    </rPh>
    <rPh sb="91" eb="95">
      <t>ジンブンガクブ</t>
    </rPh>
    <rPh sb="107" eb="109">
      <t>ジンブン</t>
    </rPh>
    <rPh sb="116" eb="118">
      <t>タカシマ</t>
    </rPh>
    <rPh sb="119" eb="121">
      <t>ユウスケ</t>
    </rPh>
    <rPh sb="122" eb="124">
      <t>ジンブン</t>
    </rPh>
    <rPh sb="124" eb="126">
      <t>ガクブ</t>
    </rPh>
    <rPh sb="127" eb="129">
      <t>キョウジュ</t>
    </rPh>
    <rPh sb="138" eb="140">
      <t>ジンブン</t>
    </rPh>
    <rPh sb="147" eb="149">
      <t>ワタナベ</t>
    </rPh>
    <rPh sb="167" eb="169">
      <t>ジンブン</t>
    </rPh>
    <rPh sb="200" eb="202">
      <t>ナガモリ</t>
    </rPh>
    <rPh sb="203" eb="204">
      <t>ウツク</t>
    </rPh>
    <rPh sb="204" eb="205">
      <t>シン</t>
    </rPh>
    <rPh sb="206" eb="208">
      <t>コクサイ</t>
    </rPh>
    <rPh sb="208" eb="210">
      <t>ガクブ</t>
    </rPh>
    <rPh sb="211" eb="213">
      <t>キョウジュ</t>
    </rPh>
    <rPh sb="215" eb="217">
      <t>クマキ</t>
    </rPh>
    <rPh sb="218" eb="219">
      <t>ツトム</t>
    </rPh>
    <rPh sb="220" eb="222">
      <t>コクサイ</t>
    </rPh>
    <rPh sb="222" eb="224">
      <t>ガクブ</t>
    </rPh>
    <rPh sb="225" eb="227">
      <t>キョウジュ</t>
    </rPh>
    <rPh sb="229" eb="231">
      <t>ナカガワ</t>
    </rPh>
    <rPh sb="232" eb="234">
      <t>ユウゾウ</t>
    </rPh>
    <rPh sb="235" eb="239">
      <t>コクサイガクブ</t>
    </rPh>
    <rPh sb="240" eb="242">
      <t>キョウジュ</t>
    </rPh>
    <rPh sb="244" eb="246">
      <t>モリシタ</t>
    </rPh>
    <rPh sb="247" eb="249">
      <t>サブロウ</t>
    </rPh>
    <rPh sb="250" eb="254">
      <t>コクサイガクブ</t>
    </rPh>
    <rPh sb="255" eb="257">
      <t>キョウジュ</t>
    </rPh>
    <rPh sb="259" eb="261">
      <t>ノヅ</t>
    </rPh>
    <rPh sb="290" eb="292">
      <t>セリザワ</t>
    </rPh>
    <rPh sb="329" eb="331">
      <t>トクダ</t>
    </rPh>
    <rPh sb="332" eb="334">
      <t>シンゾウ</t>
    </rPh>
    <rPh sb="382" eb="384">
      <t>ハタナカ</t>
    </rPh>
    <rPh sb="385" eb="387">
      <t>トクコ</t>
    </rPh>
    <rPh sb="388" eb="392">
      <t>イリョウガクブ</t>
    </rPh>
    <rPh sb="393" eb="395">
      <t>キョウジュ</t>
    </rPh>
    <rPh sb="463" eb="465">
      <t>カネコ</t>
    </rPh>
    <rPh sb="476" eb="478">
      <t>スズキ</t>
    </rPh>
    <rPh sb="494" eb="496">
      <t>キョウイク</t>
    </rPh>
    <rPh sb="496" eb="498">
      <t>ケンキュウ</t>
    </rPh>
    <rPh sb="498" eb="500">
      <t>シエン</t>
    </rPh>
    <rPh sb="500" eb="502">
      <t>カチョウ</t>
    </rPh>
    <rPh sb="512" eb="514">
      <t>スイシン</t>
    </rPh>
    <rPh sb="514" eb="516">
      <t>カチョウ</t>
    </rPh>
    <phoneticPr fontId="1"/>
  </si>
  <si>
    <r>
      <t>　全学部の学生が履修可能な選択科目として令和5年度に開設した「データサイエンス・AI 入門」は、履修者が9名（履修率0.3%）で、その全員が単位を取得している。令和6年度からは人文学部及び国際学部において1年次の必修科目、体育学部及び医療学部においては総合教育科目として選択可能な科目となり、履修率は</t>
    </r>
    <r>
      <rPr>
        <sz val="12"/>
        <rFont val="ＭＳ Ｐゴシック"/>
        <family val="3"/>
        <charset val="128"/>
        <scheme val="minor"/>
      </rPr>
      <t>15%以上に増加する見込みである。</t>
    </r>
    <r>
      <rPr>
        <sz val="12"/>
        <color theme="1"/>
        <rFont val="ＭＳ Ｐゴシック"/>
        <family val="3"/>
        <charset val="128"/>
        <scheme val="minor"/>
      </rPr>
      <t>今後、履修率・修得率を確認、評価していくことで、本プログラムの履修・修得状況の改善に努める。</t>
    </r>
    <phoneticPr fontId="1"/>
  </si>
  <si>
    <r>
      <t>　令和6年度から「データサイエンス・AI 入門」は人文学部及び国際学部において必修科目となるため、</t>
    </r>
    <r>
      <rPr>
        <sz val="12"/>
        <rFont val="ＭＳ Ｐゴシック"/>
        <family val="3"/>
        <charset val="128"/>
        <scheme val="minor"/>
      </rPr>
      <t>15%以上</t>
    </r>
    <r>
      <rPr>
        <sz val="12"/>
        <color theme="1"/>
        <rFont val="ＭＳ Ｐゴシック"/>
        <family val="3"/>
        <charset val="128"/>
        <scheme val="minor"/>
      </rPr>
      <t>の履修率は保たれる見込みである。体育学部及び医療学部においては選択科目であるが、履修者数・単位修得者数の向上を図るため、新入生ガイダンスやオリエンテーションで積極的な周知に努めるとともに、全学教育推進機構総合教育センターを中心にプログラムの評価・改善の取り組みを行う。また、令和6年度に新設予定の「社会調査・データサイエンスプログラム」や教員免許取得に必要な科目に「データサイエンス・AI 入門 」を組み入れるなどの取り組みを行い、履修率を向上させる方策を検討する。</t>
    </r>
    <rPh sb="224" eb="225">
      <t>イン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</si>
</sst>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_ "/>
    <numFmt numFmtId="177" formatCode="0.0%"/>
  </numFmts>
  <fonts count="19">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sz val="14"/>
      <name val="ＭＳ Ｐゴシック"/>
      <family val="3"/>
      <charset val="128"/>
      <scheme val="minor"/>
    </font>
    <font>
      <b/>
      <sz val="9"/>
      <color indexed="81"/>
      <name val="MS P ゴシック"/>
      <family val="3"/>
      <charset val="128"/>
    </font>
    <font>
      <sz val="9"/>
      <color indexed="81"/>
      <name val="MS P ゴシック"/>
      <family val="3"/>
      <charset val="128"/>
    </font>
    <font>
      <sz val="9"/>
      <name val="ＭＳ Ｐゴシック"/>
      <family val="3"/>
      <charset val="128"/>
      <scheme val="minor"/>
    </font>
    <font>
      <sz val="10"/>
      <name val="ＭＳ Ｐゴシック"/>
      <family val="3"/>
      <charset val="128"/>
      <scheme val="minor"/>
    </font>
    <font>
      <b/>
      <sz val="11"/>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5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72">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2" fillId="0" borderId="1" xfId="0" applyFont="1" applyBorder="1" applyAlignment="1">
      <alignment horizontal="center" vertical="center"/>
    </xf>
    <xf numFmtId="0" fontId="2" fillId="0" borderId="0" xfId="0" applyFont="1" applyAlignment="1">
      <alignment horizontal="righ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38" fontId="2" fillId="0" borderId="48" xfId="2"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2" fillId="0" borderId="0" xfId="0" applyFont="1" applyAlignment="1">
      <alignment vertical="top" wrapText="1"/>
    </xf>
    <xf numFmtId="0" fontId="2" fillId="0" borderId="0" xfId="0" applyFont="1">
      <alignment vertical="center"/>
    </xf>
    <xf numFmtId="0" fontId="12" fillId="0" borderId="0" xfId="0" applyFont="1">
      <alignment vertical="center"/>
    </xf>
    <xf numFmtId="0" fontId="12" fillId="0" borderId="0" xfId="0" applyFont="1" applyAlignment="1">
      <alignment vertical="center" shrinkToFit="1"/>
    </xf>
    <xf numFmtId="0" fontId="12" fillId="0" borderId="0" xfId="0" applyFont="1" applyAlignment="1">
      <alignment horizontal="left" vertical="center" shrinkToFit="1"/>
    </xf>
    <xf numFmtId="0" fontId="12" fillId="0" borderId="0" xfId="0" applyFont="1" applyAlignment="1">
      <alignment horizontal="center" vertical="center"/>
    </xf>
    <xf numFmtId="0" fontId="11" fillId="0" borderId="0" xfId="0" applyFont="1">
      <alignment vertical="center"/>
    </xf>
    <xf numFmtId="0" fontId="12" fillId="0" borderId="0" xfId="0" applyFont="1" applyAlignment="1">
      <alignment horizontal="left" vertical="center"/>
    </xf>
    <xf numFmtId="0" fontId="11" fillId="0" borderId="0" xfId="0" applyFont="1" applyAlignment="1">
      <alignment horizontal="center" vertical="center"/>
    </xf>
    <xf numFmtId="0" fontId="12" fillId="0" borderId="0" xfId="0" applyFont="1" applyAlignment="1">
      <alignment horizontal="center" vertical="center" shrinkToFit="1"/>
    </xf>
    <xf numFmtId="0" fontId="2" fillId="0" borderId="14" xfId="0" applyFont="1" applyBorder="1" applyAlignment="1">
      <alignment horizontal="left" vertical="center" shrinkToFit="1"/>
    </xf>
    <xf numFmtId="177" fontId="2" fillId="0" borderId="20" xfId="0" applyNumberFormat="1" applyFont="1" applyBorder="1" applyAlignment="1">
      <alignment vertical="center" shrinkToFit="1"/>
    </xf>
    <xf numFmtId="177" fontId="2" fillId="0" borderId="45" xfId="0" applyNumberFormat="1" applyFont="1" applyBorder="1" applyAlignment="1">
      <alignment vertical="center" shrinkToFit="1"/>
    </xf>
    <xf numFmtId="177" fontId="2" fillId="0" borderId="24" xfId="0" applyNumberFormat="1" applyFont="1" applyBorder="1" applyAlignment="1">
      <alignment vertical="center" shrinkToFit="1"/>
    </xf>
    <xf numFmtId="0" fontId="12" fillId="0" borderId="0" xfId="0" applyFont="1" applyAlignment="1">
      <alignment horizontal="right" vertical="center"/>
    </xf>
    <xf numFmtId="0" fontId="12" fillId="0" borderId="1" xfId="0" applyFont="1" applyBorder="1" applyAlignment="1">
      <alignment horizontal="center" vertical="center"/>
    </xf>
    <xf numFmtId="0" fontId="12" fillId="0" borderId="1" xfId="0" applyFont="1" applyBorder="1" applyAlignment="1">
      <alignment horizontal="left" vertical="center"/>
    </xf>
    <xf numFmtId="0" fontId="16" fillId="0" borderId="1" xfId="0" applyFont="1" applyBorder="1" applyAlignment="1">
      <alignment horizontal="center" vertical="center" shrinkToFit="1"/>
    </xf>
    <xf numFmtId="0" fontId="16" fillId="0" borderId="4" xfId="0" applyFont="1" applyBorder="1" applyAlignment="1">
      <alignment horizontal="center" vertical="center" shrinkToFit="1"/>
    </xf>
    <xf numFmtId="49" fontId="16" fillId="0" borderId="1" xfId="0" applyNumberFormat="1" applyFont="1" applyBorder="1" applyAlignment="1">
      <alignment horizontal="center" vertical="center"/>
    </xf>
    <xf numFmtId="0" fontId="12" fillId="0" borderId="14" xfId="0" applyFont="1" applyBorder="1" applyAlignment="1">
      <alignment horizontal="center" vertical="center" shrinkToFit="1"/>
    </xf>
    <xf numFmtId="0" fontId="12" fillId="0" borderId="20" xfId="0" applyFont="1" applyBorder="1" applyAlignment="1">
      <alignment horizontal="center" vertical="center" shrinkToFit="1"/>
    </xf>
    <xf numFmtId="0" fontId="12" fillId="0" borderId="13" xfId="0" applyFont="1" applyBorder="1" applyAlignment="1">
      <alignment horizontal="center" vertical="center" shrinkToFit="1"/>
    </xf>
    <xf numFmtId="0" fontId="12" fillId="0" borderId="35" xfId="0" applyFont="1" applyBorder="1" applyAlignment="1">
      <alignment horizontal="center" vertical="center" shrinkToFit="1"/>
    </xf>
    <xf numFmtId="0" fontId="12" fillId="0" borderId="0" xfId="0" applyFont="1" applyAlignment="1">
      <alignment vertical="top" wrapText="1"/>
    </xf>
    <xf numFmtId="49" fontId="16" fillId="0" borderId="43" xfId="0" applyNumberFormat="1" applyFont="1" applyBorder="1" applyAlignment="1">
      <alignment horizontal="center" vertical="center"/>
    </xf>
    <xf numFmtId="49" fontId="16" fillId="0" borderId="44" xfId="0" applyNumberFormat="1" applyFont="1" applyBorder="1" applyAlignment="1">
      <alignment horizontal="center" vertical="center"/>
    </xf>
    <xf numFmtId="49" fontId="16" fillId="0" borderId="39" xfId="0" applyNumberFormat="1" applyFont="1" applyBorder="1" applyAlignment="1">
      <alignment horizontal="center" vertical="center"/>
    </xf>
    <xf numFmtId="49" fontId="16" fillId="0" borderId="26" xfId="0" applyNumberFormat="1" applyFont="1" applyBorder="1" applyAlignment="1">
      <alignment horizontal="center" vertical="center"/>
    </xf>
    <xf numFmtId="49" fontId="16" fillId="0" borderId="42" xfId="0" applyNumberFormat="1" applyFont="1" applyBorder="1" applyAlignment="1">
      <alignment horizontal="center" vertical="center"/>
    </xf>
    <xf numFmtId="49" fontId="16" fillId="0" borderId="28" xfId="0" applyNumberFormat="1" applyFont="1" applyBorder="1" applyAlignment="1">
      <alignment horizontal="center" vertical="center"/>
    </xf>
    <xf numFmtId="0" fontId="11" fillId="0" borderId="0" xfId="0" applyFont="1" applyFill="1">
      <alignment vertical="center"/>
    </xf>
    <xf numFmtId="0" fontId="12" fillId="0" borderId="0" xfId="0" applyFont="1" applyFill="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12" fillId="0" borderId="1" xfId="0" applyFont="1" applyBorder="1">
      <alignment vertical="center"/>
    </xf>
    <xf numFmtId="0" fontId="11" fillId="0" borderId="6" xfId="0" applyFont="1" applyFill="1" applyBorder="1" applyAlignment="1">
      <alignment horizontal="left" vertical="center" wrapText="1"/>
    </xf>
    <xf numFmtId="0" fontId="12" fillId="0" borderId="18" xfId="0" applyFont="1" applyBorder="1" applyAlignment="1">
      <alignment horizontal="center" vertical="center" shrinkToFit="1"/>
    </xf>
    <xf numFmtId="0" fontId="12" fillId="0" borderId="19" xfId="0" applyFont="1" applyBorder="1" applyAlignment="1">
      <alignment horizontal="center" vertical="center" shrinkToFit="1"/>
    </xf>
    <xf numFmtId="0" fontId="12" fillId="0" borderId="17"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2" fillId="0" borderId="18" xfId="0" applyFont="1" applyBorder="1" applyAlignment="1">
      <alignment vertical="center" shrinkToFit="1"/>
    </xf>
    <xf numFmtId="0" fontId="12" fillId="0" borderId="19" xfId="0" applyFont="1" applyBorder="1" applyAlignment="1">
      <alignment vertical="center" shrinkToFit="1"/>
    </xf>
    <xf numFmtId="0" fontId="12" fillId="0" borderId="17" xfId="0" applyFont="1" applyBorder="1" applyAlignment="1">
      <alignment vertical="center" shrinkToFit="1"/>
    </xf>
    <xf numFmtId="0" fontId="12" fillId="0" borderId="32" xfId="0" applyFont="1" applyBorder="1" applyAlignment="1">
      <alignment vertical="center" shrinkToFit="1"/>
    </xf>
    <xf numFmtId="0" fontId="12" fillId="0" borderId="33" xfId="0" applyFont="1" applyBorder="1" applyAlignment="1">
      <alignment vertical="center" shrinkToFit="1"/>
    </xf>
    <xf numFmtId="0" fontId="12" fillId="0" borderId="34" xfId="0" applyFont="1" applyBorder="1" applyAlignment="1">
      <alignment vertical="center" shrinkToFit="1"/>
    </xf>
    <xf numFmtId="0" fontId="11" fillId="0" borderId="1" xfId="0" applyFont="1" applyFill="1" applyBorder="1" applyAlignment="1">
      <alignment horizontal="center" vertical="center"/>
    </xf>
    <xf numFmtId="0" fontId="16" fillId="0" borderId="1" xfId="0" applyFont="1" applyFill="1" applyBorder="1" applyAlignment="1">
      <alignment vertical="center" wrapText="1"/>
    </xf>
    <xf numFmtId="0" fontId="12" fillId="0" borderId="29" xfId="0" applyFont="1" applyBorder="1" applyAlignment="1">
      <alignment vertical="center" shrinkToFit="1"/>
    </xf>
    <xf numFmtId="0" fontId="12" fillId="0" borderId="31" xfId="0" applyFont="1" applyBorder="1" applyAlignment="1">
      <alignment vertical="center" shrinkToFit="1"/>
    </xf>
    <xf numFmtId="0" fontId="12" fillId="0" borderId="30" xfId="0" applyFont="1" applyBorder="1" applyAlignment="1">
      <alignment vertical="center" shrinkToFit="1"/>
    </xf>
    <xf numFmtId="0" fontId="12" fillId="0" borderId="0" xfId="0" applyFont="1" applyAlignment="1">
      <alignment vertical="center" wrapText="1"/>
    </xf>
    <xf numFmtId="0" fontId="12" fillId="0" borderId="29" xfId="0" applyFont="1" applyBorder="1" applyAlignment="1">
      <alignment horizontal="center" vertical="center" shrinkToFit="1"/>
    </xf>
    <xf numFmtId="0" fontId="12" fillId="0" borderId="31" xfId="0" applyFont="1" applyBorder="1" applyAlignment="1">
      <alignment horizontal="center" vertical="center" shrinkToFit="1"/>
    </xf>
    <xf numFmtId="0" fontId="12" fillId="0" borderId="30" xfId="0" applyFont="1" applyBorder="1" applyAlignment="1">
      <alignment horizontal="center" vertical="center" shrinkToFit="1"/>
    </xf>
    <xf numFmtId="0" fontId="16" fillId="0" borderId="40" xfId="0" applyFont="1" applyBorder="1" applyAlignment="1">
      <alignment vertical="center" wrapText="1"/>
    </xf>
    <xf numFmtId="0" fontId="16" fillId="0" borderId="41" xfId="0" applyFont="1" applyBorder="1" applyAlignment="1">
      <alignment vertical="center" wrapText="1"/>
    </xf>
    <xf numFmtId="0" fontId="12" fillId="0" borderId="7" xfId="0" applyFont="1" applyBorder="1" applyAlignment="1">
      <alignment horizontal="center" vertical="center"/>
    </xf>
    <xf numFmtId="0" fontId="12" fillId="0" borderId="8" xfId="0" applyFont="1" applyBorder="1" applyAlignment="1">
      <alignment horizontal="center" vertical="center"/>
    </xf>
    <xf numFmtId="0" fontId="12" fillId="0" borderId="9" xfId="0" applyFont="1" applyBorder="1" applyAlignment="1">
      <alignment horizontal="center" vertical="center"/>
    </xf>
    <xf numFmtId="0" fontId="16" fillId="0" borderId="27" xfId="0" applyFont="1" applyBorder="1" applyAlignment="1">
      <alignment vertical="center" wrapText="1"/>
    </xf>
    <xf numFmtId="0" fontId="13" fillId="0" borderId="0" xfId="0" applyFont="1" applyAlignment="1">
      <alignment horizontal="center" vertical="center"/>
    </xf>
    <xf numFmtId="0" fontId="12" fillId="0" borderId="7" xfId="0" applyFont="1" applyBorder="1" applyAlignment="1">
      <alignment horizontal="left" vertical="top" wrapText="1" shrinkToFit="1"/>
    </xf>
    <xf numFmtId="0" fontId="12" fillId="0" borderId="8" xfId="0" applyFont="1" applyBorder="1" applyAlignment="1">
      <alignment horizontal="left" vertical="top" wrapText="1" shrinkToFit="1"/>
    </xf>
    <xf numFmtId="0" fontId="12" fillId="0" borderId="9" xfId="0" applyFont="1" applyBorder="1" applyAlignment="1">
      <alignment horizontal="left" vertical="top" wrapText="1" shrinkToFit="1"/>
    </xf>
    <xf numFmtId="0" fontId="12" fillId="0" borderId="5" xfId="0" applyFont="1" applyBorder="1" applyAlignment="1">
      <alignment horizontal="left" vertical="top" wrapText="1" shrinkToFit="1"/>
    </xf>
    <xf numFmtId="0" fontId="12" fillId="0" borderId="0" xfId="0" applyFont="1" applyAlignment="1">
      <alignment horizontal="left" vertical="top" wrapText="1" shrinkToFit="1"/>
    </xf>
    <xf numFmtId="0" fontId="12" fillId="0" borderId="10" xfId="0" applyFont="1" applyBorder="1" applyAlignment="1">
      <alignment horizontal="left" vertical="top" wrapText="1" shrinkToFit="1"/>
    </xf>
    <xf numFmtId="0" fontId="12" fillId="0" borderId="11" xfId="0" applyFont="1" applyBorder="1" applyAlignment="1">
      <alignment horizontal="left" vertical="top" wrapText="1" shrinkToFit="1"/>
    </xf>
    <xf numFmtId="0" fontId="12" fillId="0" borderId="6" xfId="0" applyFont="1" applyBorder="1" applyAlignment="1">
      <alignment horizontal="left" vertical="top" wrapText="1" shrinkToFit="1"/>
    </xf>
    <xf numFmtId="0" fontId="12" fillId="0" borderId="12" xfId="0" applyFont="1" applyBorder="1" applyAlignment="1">
      <alignment horizontal="left" vertical="top" wrapText="1" shrinkToFit="1"/>
    </xf>
    <xf numFmtId="0" fontId="12" fillId="0" borderId="2" xfId="0" applyFont="1" applyBorder="1" applyAlignment="1">
      <alignment vertical="center" wrapText="1" shrinkToFit="1"/>
    </xf>
    <xf numFmtId="0" fontId="12" fillId="0" borderId="3" xfId="0" applyFont="1" applyBorder="1" applyAlignment="1">
      <alignment vertical="center" wrapText="1" shrinkToFit="1"/>
    </xf>
    <xf numFmtId="0" fontId="12" fillId="0" borderId="4" xfId="0" applyFont="1" applyBorder="1" applyAlignment="1">
      <alignment vertical="center" wrapText="1" shrinkToFit="1"/>
    </xf>
    <xf numFmtId="0" fontId="12" fillId="0" borderId="32" xfId="0" applyFont="1" applyBorder="1" applyAlignment="1">
      <alignment horizontal="center" vertical="center" shrinkToFit="1"/>
    </xf>
    <xf numFmtId="0" fontId="12" fillId="0" borderId="33" xfId="0" applyFont="1" applyBorder="1" applyAlignment="1">
      <alignment horizontal="center" vertical="center" shrinkToFit="1"/>
    </xf>
    <xf numFmtId="0" fontId="12" fillId="0" borderId="34" xfId="0" applyFont="1" applyBorder="1" applyAlignment="1">
      <alignment horizontal="center" vertical="center" shrinkToFit="1"/>
    </xf>
    <xf numFmtId="0" fontId="17" fillId="0" borderId="2" xfId="0" applyFont="1" applyBorder="1" applyAlignment="1">
      <alignment horizontal="center" vertical="center" shrinkToFit="1"/>
    </xf>
    <xf numFmtId="0" fontId="17" fillId="0" borderId="4" xfId="0" applyFont="1" applyBorder="1" applyAlignment="1">
      <alignment horizontal="center" vertical="center" shrinkToFit="1"/>
    </xf>
    <xf numFmtId="0" fontId="12" fillId="0" borderId="0" xfId="0" applyFont="1" applyAlignment="1">
      <alignment horizontal="right" vertical="center"/>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1" fillId="0" borderId="0" xfId="0" applyFont="1" applyFill="1" applyAlignment="1">
      <alignment horizontal="left" vertical="center" wrapText="1"/>
    </xf>
    <xf numFmtId="49" fontId="12" fillId="0" borderId="32" xfId="0" applyNumberFormat="1" applyFont="1" applyBorder="1" applyAlignment="1">
      <alignment horizontal="left" vertical="center" wrapText="1"/>
    </xf>
    <xf numFmtId="49" fontId="12" fillId="0" borderId="33" xfId="0" applyNumberFormat="1" applyFont="1" applyBorder="1" applyAlignment="1">
      <alignment horizontal="left" vertical="center" wrapText="1"/>
    </xf>
    <xf numFmtId="49" fontId="12" fillId="0" borderId="34" xfId="0" applyNumberFormat="1" applyFont="1" applyBorder="1" applyAlignment="1">
      <alignment horizontal="left" vertical="center" wrapText="1"/>
    </xf>
    <xf numFmtId="49" fontId="12" fillId="0" borderId="29" xfId="0" applyNumberFormat="1" applyFont="1" applyBorder="1" applyAlignment="1">
      <alignment horizontal="left" vertical="center" wrapText="1"/>
    </xf>
    <xf numFmtId="49" fontId="12" fillId="0" borderId="31" xfId="0" applyNumberFormat="1" applyFont="1" applyBorder="1" applyAlignment="1">
      <alignment horizontal="left" vertical="center" wrapText="1"/>
    </xf>
    <xf numFmtId="49" fontId="12" fillId="0" borderId="30" xfId="0" applyNumberFormat="1" applyFont="1" applyBorder="1" applyAlignment="1">
      <alignment horizontal="left" vertical="center" wrapText="1"/>
    </xf>
    <xf numFmtId="49" fontId="12" fillId="0" borderId="18" xfId="0" applyNumberFormat="1" applyFont="1" applyBorder="1" applyAlignment="1">
      <alignment horizontal="left" vertical="center" wrapText="1"/>
    </xf>
    <xf numFmtId="49" fontId="12" fillId="0" borderId="19" xfId="0" applyNumberFormat="1" applyFont="1" applyBorder="1" applyAlignment="1">
      <alignment horizontal="left" vertical="center" wrapText="1"/>
    </xf>
    <xf numFmtId="49" fontId="12" fillId="0" borderId="17" xfId="0" applyNumberFormat="1" applyFont="1" applyBorder="1" applyAlignment="1">
      <alignment horizontal="left" vertical="center" wrapText="1"/>
    </xf>
    <xf numFmtId="0" fontId="11" fillId="0" borderId="2" xfId="0" applyFont="1" applyBorder="1" applyAlignment="1">
      <alignment horizontal="center" vertical="center" shrinkToFit="1"/>
    </xf>
    <xf numFmtId="0" fontId="11" fillId="0" borderId="3" xfId="0" applyFont="1" applyBorder="1" applyAlignment="1">
      <alignment horizontal="center" vertical="center" shrinkToFit="1"/>
    </xf>
    <xf numFmtId="0" fontId="11" fillId="0" borderId="4" xfId="0" applyFont="1" applyBorder="1" applyAlignment="1">
      <alignment horizontal="center" vertical="center" shrinkToFit="1"/>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49" fontId="12" fillId="0" borderId="31" xfId="0" applyNumberFormat="1" applyFont="1" applyBorder="1" applyAlignment="1">
      <alignment horizontal="left" vertical="center"/>
    </xf>
    <xf numFmtId="49" fontId="12" fillId="0" borderId="30" xfId="0" applyNumberFormat="1" applyFont="1" applyBorder="1" applyAlignment="1">
      <alignment horizontal="left" vertical="center"/>
    </xf>
    <xf numFmtId="49" fontId="12" fillId="0" borderId="33" xfId="0" applyNumberFormat="1" applyFont="1" applyBorder="1" applyAlignment="1">
      <alignment horizontal="left" vertical="center"/>
    </xf>
    <xf numFmtId="49" fontId="12" fillId="0" borderId="34" xfId="0" applyNumberFormat="1" applyFont="1" applyBorder="1" applyAlignment="1">
      <alignment horizontal="left" vertical="center"/>
    </xf>
    <xf numFmtId="49" fontId="12" fillId="0" borderId="32" xfId="0" applyNumberFormat="1" applyFont="1" applyBorder="1" applyAlignment="1">
      <alignment horizontal="left" vertical="center"/>
    </xf>
    <xf numFmtId="0" fontId="12" fillId="0" borderId="7" xfId="0" applyFont="1" applyBorder="1" applyAlignment="1">
      <alignment horizontal="left" vertical="center" wrapText="1"/>
    </xf>
    <xf numFmtId="0" fontId="12" fillId="0" borderId="8" xfId="0" applyFont="1" applyBorder="1" applyAlignment="1">
      <alignment horizontal="left" vertical="center" wrapText="1"/>
    </xf>
    <xf numFmtId="0" fontId="12" fillId="0" borderId="9" xfId="0" applyFont="1" applyBorder="1" applyAlignment="1">
      <alignment horizontal="left" vertical="center" wrapText="1"/>
    </xf>
    <xf numFmtId="0" fontId="12" fillId="0" borderId="11" xfId="0" applyFont="1" applyBorder="1" applyAlignment="1">
      <alignment horizontal="left" vertical="center" wrapText="1"/>
    </xf>
    <xf numFmtId="0" fontId="12" fillId="0" borderId="6" xfId="0" applyFont="1" applyBorder="1" applyAlignment="1">
      <alignment horizontal="left" vertical="center" wrapText="1"/>
    </xf>
    <xf numFmtId="0" fontId="12" fillId="0" borderId="12" xfId="0" applyFont="1" applyBorder="1" applyAlignment="1">
      <alignment horizontal="left" vertical="center" wrapText="1"/>
    </xf>
    <xf numFmtId="0" fontId="2" fillId="0" borderId="14" xfId="0" applyFont="1" applyBorder="1" applyAlignment="1">
      <alignment horizontal="center" vertical="center"/>
    </xf>
    <xf numFmtId="0" fontId="12" fillId="0" borderId="1" xfId="0" applyFont="1" applyBorder="1" applyAlignment="1">
      <alignment horizontal="center" vertical="center"/>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49" xfId="0" applyFont="1" applyBorder="1" applyAlignment="1">
      <alignment vertical="top" wrapText="1" shrinkToFit="1"/>
    </xf>
    <xf numFmtId="0" fontId="2" fillId="0" borderId="50" xfId="0" applyFont="1" applyBorder="1" applyAlignment="1">
      <alignment vertical="top" wrapText="1" shrinkToFit="1"/>
    </xf>
    <xf numFmtId="0" fontId="2" fillId="0" borderId="51" xfId="0" applyFont="1" applyBorder="1" applyAlignment="1">
      <alignment vertical="top" shrinkToFit="1"/>
    </xf>
    <xf numFmtId="0" fontId="2" fillId="0" borderId="52" xfId="0" applyFont="1" applyBorder="1" applyAlignment="1">
      <alignment vertical="top" shrinkToFit="1"/>
    </xf>
    <xf numFmtId="0" fontId="2" fillId="0" borderId="0" xfId="0" applyFont="1" applyBorder="1" applyAlignment="1">
      <alignment vertical="top" shrinkToFit="1"/>
    </xf>
    <xf numFmtId="0" fontId="2" fillId="0" borderId="53" xfId="0" applyFont="1" applyBorder="1" applyAlignment="1">
      <alignment vertical="top" shrinkToFit="1"/>
    </xf>
    <xf numFmtId="0" fontId="2" fillId="0" borderId="54" xfId="0" applyFont="1" applyBorder="1" applyAlignment="1">
      <alignment vertical="top" shrinkToFit="1"/>
    </xf>
    <xf numFmtId="0" fontId="2" fillId="0" borderId="55" xfId="0" applyFont="1" applyBorder="1" applyAlignment="1">
      <alignment vertical="top" shrinkToFit="1"/>
    </xf>
    <xf numFmtId="0" fontId="2" fillId="0" borderId="56"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Fill="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177" fontId="2" fillId="0" borderId="1" xfId="0" applyNumberFormat="1"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3" xfId="0" applyFont="1" applyBorder="1" applyAlignment="1">
      <alignment horizontal="center" vertical="center"/>
    </xf>
    <xf numFmtId="0" fontId="2" fillId="0" borderId="16" xfId="0" applyFont="1" applyBorder="1" applyAlignment="1">
      <alignment vertical="center" wrapText="1"/>
    </xf>
    <xf numFmtId="0" fontId="2" fillId="0" borderId="17" xfId="0" applyFont="1" applyBorder="1" applyAlignment="1">
      <alignment vertical="center" wrapText="1"/>
    </xf>
    <xf numFmtId="0" fontId="12" fillId="0" borderId="2" xfId="0" applyFont="1" applyBorder="1" applyAlignment="1">
      <alignment horizontal="left" vertical="center"/>
    </xf>
    <xf numFmtId="0" fontId="12" fillId="0" borderId="3" xfId="0" applyFont="1" applyBorder="1" applyAlignment="1">
      <alignment horizontal="left" vertical="center"/>
    </xf>
    <xf numFmtId="0" fontId="12" fillId="0" borderId="4" xfId="0" applyFont="1" applyBorder="1" applyAlignment="1">
      <alignment horizontal="left" vertical="center"/>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12" fillId="0" borderId="11" xfId="0" applyFont="1" applyBorder="1" applyAlignment="1">
      <alignment vertical="center" wrapText="1"/>
    </xf>
    <xf numFmtId="0" fontId="12" fillId="0" borderId="6" xfId="0" applyFont="1" applyBorder="1" applyAlignment="1">
      <alignment vertical="center" wrapText="1"/>
    </xf>
    <xf numFmtId="0" fontId="1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G114"/>
  <sheetViews>
    <sheetView showZeros="0" tabSelected="1" view="pageBreakPreview" zoomScale="90" zoomScaleNormal="100" zoomScaleSheetLayoutView="90" workbookViewId="0">
      <selection activeCell="B15" sqref="B15:U20"/>
    </sheetView>
  </sheetViews>
  <sheetFormatPr defaultColWidth="9" defaultRowHeight="18.75" customHeight="1"/>
  <cols>
    <col min="1" max="1" width="2.5" style="55" customWidth="1"/>
    <col min="2" max="2" width="16.5" style="55" customWidth="1"/>
    <col min="3" max="21" width="5.625" style="55" customWidth="1"/>
    <col min="22" max="22" width="9" style="55"/>
    <col min="23" max="23" width="3.625" style="55" customWidth="1"/>
    <col min="24" max="24" width="48.625" style="55" hidden="1" customWidth="1"/>
    <col min="25" max="16384" width="9" style="55"/>
  </cols>
  <sheetData>
    <row r="1" spans="1:24" ht="18.600000000000001" customHeight="1">
      <c r="T1" s="135" t="s">
        <v>12</v>
      </c>
      <c r="U1" s="135"/>
      <c r="V1" s="59" t="s">
        <v>100</v>
      </c>
    </row>
    <row r="2" spans="1:24" ht="18.75" customHeight="1">
      <c r="B2" s="68" t="s">
        <v>99</v>
      </c>
      <c r="C2" s="93" t="s">
        <v>134</v>
      </c>
      <c r="D2" s="94"/>
      <c r="E2" s="94"/>
      <c r="F2" s="94"/>
      <c r="G2" s="94"/>
      <c r="H2" s="94"/>
      <c r="I2" s="94"/>
      <c r="J2" s="95"/>
      <c r="K2" s="67"/>
      <c r="L2" s="56"/>
      <c r="M2" s="56"/>
      <c r="N2" s="56"/>
      <c r="O2" s="56"/>
      <c r="P2" s="56"/>
      <c r="Q2" s="56"/>
      <c r="R2" s="56"/>
      <c r="S2" s="56"/>
      <c r="T2" s="56"/>
      <c r="U2" s="56"/>
    </row>
    <row r="3" spans="1:24" ht="18.75" customHeight="1">
      <c r="B3" s="68" t="s">
        <v>94</v>
      </c>
      <c r="C3" s="136" t="s">
        <v>135</v>
      </c>
      <c r="D3" s="137"/>
      <c r="E3" s="137"/>
      <c r="F3" s="137"/>
      <c r="G3" s="137"/>
      <c r="H3" s="137"/>
      <c r="I3" s="137"/>
      <c r="J3" s="138"/>
      <c r="K3" s="67"/>
      <c r="L3" s="56"/>
      <c r="M3" s="56"/>
      <c r="N3" s="56"/>
      <c r="O3" s="56"/>
      <c r="P3" s="56"/>
      <c r="Q3" s="56"/>
      <c r="R3" s="56"/>
      <c r="S3" s="56"/>
      <c r="T3" s="56"/>
      <c r="U3" s="56"/>
    </row>
    <row r="4" spans="1:24" ht="15" customHeight="1">
      <c r="L4" s="67"/>
      <c r="M4" s="57"/>
      <c r="N4" s="57"/>
      <c r="O4" s="57"/>
      <c r="P4" s="57"/>
      <c r="Q4" s="57"/>
      <c r="R4" s="57"/>
      <c r="S4" s="57"/>
      <c r="T4" s="57"/>
      <c r="U4" s="57"/>
    </row>
    <row r="5" spans="1:24" ht="18" customHeight="1">
      <c r="A5" s="117" t="s">
        <v>38</v>
      </c>
      <c r="B5" s="117"/>
      <c r="C5" s="117"/>
      <c r="D5" s="117"/>
      <c r="E5" s="117"/>
      <c r="F5" s="117"/>
      <c r="G5" s="117"/>
      <c r="H5" s="117"/>
      <c r="I5" s="117"/>
      <c r="J5" s="117"/>
      <c r="K5" s="117"/>
      <c r="L5" s="117"/>
      <c r="M5" s="117"/>
      <c r="N5" s="117"/>
      <c r="O5" s="117"/>
      <c r="P5" s="117"/>
      <c r="Q5" s="117"/>
      <c r="R5" s="117"/>
      <c r="S5" s="117"/>
      <c r="T5" s="117"/>
      <c r="U5" s="117"/>
    </row>
    <row r="6" spans="1:24" ht="15" customHeight="1">
      <c r="B6" s="58"/>
      <c r="C6" s="58"/>
      <c r="D6" s="58"/>
      <c r="E6" s="58"/>
      <c r="F6" s="58"/>
      <c r="G6" s="58"/>
      <c r="H6" s="58"/>
      <c r="I6" s="58"/>
      <c r="J6" s="58"/>
      <c r="K6" s="58"/>
      <c r="L6" s="58"/>
      <c r="M6" s="58"/>
      <c r="N6" s="58"/>
      <c r="O6" s="58"/>
      <c r="P6" s="58"/>
      <c r="Q6" s="58"/>
      <c r="R6" s="58"/>
      <c r="S6" s="58"/>
      <c r="T6" s="58"/>
      <c r="U6" s="58"/>
    </row>
    <row r="7" spans="1:24" ht="15" customHeight="1">
      <c r="A7" s="55" t="s">
        <v>130</v>
      </c>
      <c r="B7" s="58"/>
      <c r="C7" s="58"/>
      <c r="D7" s="58"/>
      <c r="E7" s="58"/>
      <c r="F7" s="59"/>
      <c r="G7" s="59"/>
      <c r="H7" s="59"/>
      <c r="I7" s="59"/>
      <c r="J7" s="59"/>
      <c r="K7" s="59"/>
      <c r="L7" s="152" t="s">
        <v>136</v>
      </c>
      <c r="M7" s="153"/>
      <c r="N7" s="153"/>
      <c r="O7" s="153"/>
      <c r="P7" s="153"/>
      <c r="Q7" s="153"/>
      <c r="R7" s="153"/>
      <c r="S7" s="153"/>
      <c r="T7" s="153"/>
      <c r="U7" s="154"/>
    </row>
    <row r="8" spans="1:24" ht="6" customHeight="1">
      <c r="B8" s="58"/>
      <c r="C8" s="58"/>
      <c r="D8" s="58"/>
      <c r="E8" s="58"/>
      <c r="F8" s="58"/>
      <c r="G8" s="58"/>
      <c r="H8" s="58"/>
      <c r="I8" s="58"/>
      <c r="J8" s="58"/>
      <c r="K8" s="58"/>
      <c r="L8" s="58"/>
      <c r="M8" s="58"/>
      <c r="N8" s="58"/>
      <c r="O8" s="58"/>
      <c r="P8" s="58"/>
      <c r="Q8" s="58"/>
      <c r="R8" s="58"/>
      <c r="S8" s="58"/>
      <c r="T8" s="58"/>
      <c r="U8" s="58"/>
    </row>
    <row r="9" spans="1:24" ht="18" customHeight="1">
      <c r="A9" s="55" t="s">
        <v>131</v>
      </c>
      <c r="C9" s="58"/>
      <c r="D9" s="58"/>
      <c r="K9" s="67"/>
      <c r="L9" s="59"/>
      <c r="M9" s="59"/>
      <c r="N9" s="59"/>
      <c r="O9" s="59"/>
      <c r="P9" s="59"/>
      <c r="Q9" s="59"/>
      <c r="R9" s="59"/>
      <c r="S9" s="59"/>
      <c r="T9" s="59"/>
      <c r="U9" s="59"/>
    </row>
    <row r="10" spans="1:24" ht="6" customHeight="1">
      <c r="B10" s="58"/>
      <c r="C10" s="58"/>
      <c r="D10" s="58"/>
      <c r="E10" s="58"/>
      <c r="F10" s="58"/>
      <c r="G10" s="58"/>
      <c r="H10" s="58"/>
      <c r="I10" s="58"/>
      <c r="J10" s="58"/>
      <c r="K10" s="58"/>
      <c r="L10" s="60"/>
      <c r="M10" s="58"/>
      <c r="N10" s="58"/>
      <c r="O10" s="58"/>
      <c r="P10" s="58"/>
      <c r="Q10" s="58"/>
      <c r="R10" s="58"/>
      <c r="S10" s="58"/>
      <c r="T10" s="58"/>
      <c r="U10" s="58"/>
    </row>
    <row r="11" spans="1:24" ht="18" customHeight="1">
      <c r="B11" s="160"/>
      <c r="C11" s="161"/>
      <c r="D11" s="161"/>
      <c r="E11" s="161"/>
      <c r="F11" s="161"/>
      <c r="G11" s="161"/>
      <c r="H11" s="161"/>
      <c r="I11" s="161"/>
      <c r="J11" s="161"/>
      <c r="K11" s="161"/>
      <c r="L11" s="161"/>
      <c r="M11" s="161"/>
      <c r="N11" s="161"/>
      <c r="O11" s="161"/>
      <c r="P11" s="161"/>
      <c r="Q11" s="161"/>
      <c r="R11" s="161"/>
      <c r="S11" s="161"/>
      <c r="T11" s="161"/>
      <c r="U11" s="162"/>
    </row>
    <row r="12" spans="1:24" ht="18" customHeight="1">
      <c r="B12" s="163"/>
      <c r="C12" s="164"/>
      <c r="D12" s="164"/>
      <c r="E12" s="164"/>
      <c r="F12" s="164"/>
      <c r="G12" s="164"/>
      <c r="H12" s="164"/>
      <c r="I12" s="164"/>
      <c r="J12" s="164"/>
      <c r="K12" s="164"/>
      <c r="L12" s="164"/>
      <c r="M12" s="164"/>
      <c r="N12" s="164"/>
      <c r="O12" s="164"/>
      <c r="P12" s="164"/>
      <c r="Q12" s="164"/>
      <c r="R12" s="164"/>
      <c r="S12" s="164"/>
      <c r="T12" s="164"/>
      <c r="U12" s="165"/>
    </row>
    <row r="13" spans="1:24" ht="6" customHeight="1">
      <c r="B13" s="58"/>
      <c r="C13" s="58"/>
      <c r="D13" s="58"/>
      <c r="E13" s="58"/>
      <c r="F13" s="58"/>
      <c r="G13" s="58"/>
      <c r="H13" s="58"/>
      <c r="I13" s="58"/>
      <c r="J13" s="58"/>
      <c r="K13" s="58"/>
      <c r="L13" s="60"/>
      <c r="M13" s="58"/>
      <c r="N13" s="58"/>
      <c r="O13" s="58"/>
      <c r="P13" s="58"/>
      <c r="Q13" s="58"/>
      <c r="R13" s="58"/>
      <c r="S13" s="58"/>
      <c r="T13" s="58"/>
      <c r="U13" s="58"/>
    </row>
    <row r="14" spans="1:24" ht="18" customHeight="1">
      <c r="A14" s="55" t="s">
        <v>101</v>
      </c>
      <c r="B14" s="58"/>
      <c r="C14" s="58"/>
      <c r="D14" s="58"/>
      <c r="E14" s="67"/>
      <c r="F14" s="67"/>
      <c r="G14" s="67"/>
      <c r="H14" s="67"/>
      <c r="I14" s="67"/>
      <c r="J14" s="67"/>
      <c r="K14" s="67"/>
      <c r="L14" s="61"/>
      <c r="M14" s="61"/>
      <c r="N14" s="61"/>
      <c r="O14" s="61"/>
      <c r="P14" s="61"/>
      <c r="Q14" s="61"/>
      <c r="R14" s="61"/>
      <c r="S14" s="61"/>
      <c r="T14" s="61"/>
      <c r="U14" s="61"/>
    </row>
    <row r="15" spans="1:24" ht="18" customHeight="1">
      <c r="B15" s="118" t="s">
        <v>137</v>
      </c>
      <c r="C15" s="119"/>
      <c r="D15" s="119"/>
      <c r="E15" s="119"/>
      <c r="F15" s="119"/>
      <c r="G15" s="119"/>
      <c r="H15" s="119"/>
      <c r="I15" s="119"/>
      <c r="J15" s="119"/>
      <c r="K15" s="119"/>
      <c r="L15" s="119"/>
      <c r="M15" s="119"/>
      <c r="N15" s="119"/>
      <c r="O15" s="119"/>
      <c r="P15" s="119"/>
      <c r="Q15" s="119"/>
      <c r="R15" s="119"/>
      <c r="S15" s="119"/>
      <c r="T15" s="119"/>
      <c r="U15" s="120"/>
      <c r="X15" s="55" t="s">
        <v>95</v>
      </c>
    </row>
    <row r="16" spans="1:24" ht="18" customHeight="1">
      <c r="B16" s="121"/>
      <c r="C16" s="122"/>
      <c r="D16" s="122"/>
      <c r="E16" s="122"/>
      <c r="F16" s="122"/>
      <c r="G16" s="122"/>
      <c r="H16" s="122"/>
      <c r="I16" s="122"/>
      <c r="J16" s="122"/>
      <c r="K16" s="122"/>
      <c r="L16" s="122"/>
      <c r="M16" s="122"/>
      <c r="N16" s="122"/>
      <c r="O16" s="122"/>
      <c r="P16" s="122"/>
      <c r="Q16" s="122"/>
      <c r="R16" s="122"/>
      <c r="S16" s="122"/>
      <c r="T16" s="122"/>
      <c r="U16" s="123"/>
      <c r="X16" s="55" t="s">
        <v>115</v>
      </c>
    </row>
    <row r="17" spans="1:24" ht="18" customHeight="1">
      <c r="B17" s="121"/>
      <c r="C17" s="122"/>
      <c r="D17" s="122"/>
      <c r="E17" s="122"/>
      <c r="F17" s="122"/>
      <c r="G17" s="122"/>
      <c r="H17" s="122"/>
      <c r="I17" s="122"/>
      <c r="J17" s="122"/>
      <c r="K17" s="122"/>
      <c r="L17" s="122"/>
      <c r="M17" s="122"/>
      <c r="N17" s="122"/>
      <c r="O17" s="122"/>
      <c r="P17" s="122"/>
      <c r="Q17" s="122"/>
      <c r="R17" s="122"/>
      <c r="S17" s="122"/>
      <c r="T17" s="122"/>
      <c r="U17" s="123"/>
      <c r="X17" s="55" t="s">
        <v>116</v>
      </c>
    </row>
    <row r="18" spans="1:24" ht="18" customHeight="1">
      <c r="B18" s="121"/>
      <c r="C18" s="122"/>
      <c r="D18" s="122"/>
      <c r="E18" s="122"/>
      <c r="F18" s="122"/>
      <c r="G18" s="122"/>
      <c r="H18" s="122"/>
      <c r="I18" s="122"/>
      <c r="J18" s="122"/>
      <c r="K18" s="122"/>
      <c r="L18" s="122"/>
      <c r="M18" s="122"/>
      <c r="N18" s="122"/>
      <c r="O18" s="122"/>
      <c r="P18" s="122"/>
      <c r="Q18" s="122"/>
      <c r="R18" s="122"/>
      <c r="S18" s="122"/>
      <c r="T18" s="122"/>
      <c r="U18" s="123"/>
      <c r="X18" s="55" t="s">
        <v>117</v>
      </c>
    </row>
    <row r="19" spans="1:24" ht="18" customHeight="1">
      <c r="B19" s="121"/>
      <c r="C19" s="122"/>
      <c r="D19" s="122"/>
      <c r="E19" s="122"/>
      <c r="F19" s="122"/>
      <c r="G19" s="122"/>
      <c r="H19" s="122"/>
      <c r="I19" s="122"/>
      <c r="J19" s="122"/>
      <c r="K19" s="122"/>
      <c r="L19" s="122"/>
      <c r="M19" s="122"/>
      <c r="N19" s="122"/>
      <c r="O19" s="122"/>
      <c r="P19" s="122"/>
      <c r="Q19" s="122"/>
      <c r="R19" s="122"/>
      <c r="S19" s="122"/>
      <c r="T19" s="122"/>
      <c r="U19" s="123"/>
    </row>
    <row r="20" spans="1:24" ht="18" customHeight="1">
      <c r="B20" s="124"/>
      <c r="C20" s="125"/>
      <c r="D20" s="125"/>
      <c r="E20" s="125"/>
      <c r="F20" s="125"/>
      <c r="G20" s="125"/>
      <c r="H20" s="125"/>
      <c r="I20" s="125"/>
      <c r="J20" s="125"/>
      <c r="K20" s="125"/>
      <c r="L20" s="125"/>
      <c r="M20" s="125"/>
      <c r="N20" s="125"/>
      <c r="O20" s="125"/>
      <c r="P20" s="125"/>
      <c r="Q20" s="125"/>
      <c r="R20" s="125"/>
      <c r="S20" s="125"/>
      <c r="T20" s="125"/>
      <c r="U20" s="126"/>
    </row>
    <row r="21" spans="1:24" ht="7.5" customHeight="1">
      <c r="B21" s="58"/>
      <c r="C21" s="58"/>
      <c r="D21" s="58"/>
      <c r="E21" s="58"/>
      <c r="F21" s="58"/>
      <c r="G21" s="58"/>
      <c r="H21" s="58"/>
      <c r="I21" s="58"/>
      <c r="J21" s="58"/>
      <c r="K21" s="58"/>
      <c r="L21" s="58"/>
      <c r="M21" s="58"/>
      <c r="N21" s="58"/>
      <c r="O21" s="58"/>
      <c r="P21" s="58"/>
      <c r="Q21" s="58"/>
      <c r="R21" s="58"/>
      <c r="S21" s="58"/>
      <c r="T21" s="58"/>
      <c r="U21" s="58"/>
    </row>
    <row r="22" spans="1:24" ht="19.899999999999999" customHeight="1">
      <c r="B22" s="55" t="s">
        <v>132</v>
      </c>
      <c r="E22" s="68">
        <v>1</v>
      </c>
      <c r="F22" s="55" t="s">
        <v>113</v>
      </c>
      <c r="H22" s="68">
        <v>2</v>
      </c>
      <c r="I22" s="58" t="s">
        <v>114</v>
      </c>
      <c r="J22" s="58"/>
      <c r="K22" s="67"/>
      <c r="M22" s="67" t="s">
        <v>110</v>
      </c>
      <c r="N22" s="149" t="s">
        <v>117</v>
      </c>
      <c r="O22" s="150"/>
      <c r="P22" s="150"/>
      <c r="Q22" s="150"/>
      <c r="R22" s="150"/>
      <c r="S22" s="150"/>
      <c r="T22" s="150"/>
      <c r="U22" s="151"/>
    </row>
    <row r="23" spans="1:24" ht="7.5" customHeight="1">
      <c r="B23" s="58"/>
      <c r="C23" s="58"/>
      <c r="D23" s="58"/>
      <c r="E23" s="58"/>
      <c r="F23" s="58"/>
      <c r="G23" s="58"/>
      <c r="H23" s="58"/>
      <c r="I23" s="58"/>
      <c r="J23" s="58"/>
      <c r="K23" s="58"/>
      <c r="L23" s="58"/>
      <c r="M23" s="58"/>
      <c r="N23" s="58"/>
      <c r="O23" s="58"/>
      <c r="P23" s="58"/>
      <c r="Q23" s="58"/>
      <c r="R23" s="58"/>
      <c r="S23" s="58"/>
      <c r="T23" s="58"/>
      <c r="U23" s="58"/>
    </row>
    <row r="24" spans="1:24" ht="18" customHeight="1">
      <c r="A24" s="107" t="s">
        <v>102</v>
      </c>
      <c r="B24" s="107"/>
      <c r="C24" s="107"/>
      <c r="D24" s="107"/>
      <c r="E24" s="107"/>
      <c r="F24" s="107"/>
      <c r="G24" s="107"/>
      <c r="H24" s="107"/>
      <c r="I24" s="107"/>
      <c r="J24" s="107"/>
      <c r="K24" s="107"/>
      <c r="L24" s="107"/>
      <c r="M24" s="107"/>
      <c r="N24" s="107"/>
      <c r="O24" s="107"/>
      <c r="P24" s="107"/>
      <c r="Q24" s="107"/>
      <c r="R24" s="107"/>
      <c r="S24" s="107"/>
      <c r="T24" s="107"/>
      <c r="U24" s="107"/>
    </row>
    <row r="25" spans="1:24" ht="18" customHeight="1">
      <c r="A25" s="107"/>
      <c r="B25" s="107"/>
      <c r="C25" s="107"/>
      <c r="D25" s="107"/>
      <c r="E25" s="107"/>
      <c r="F25" s="107"/>
      <c r="G25" s="107"/>
      <c r="H25" s="107"/>
      <c r="I25" s="107"/>
      <c r="J25" s="107"/>
      <c r="K25" s="107"/>
      <c r="L25" s="107"/>
      <c r="M25" s="107"/>
      <c r="N25" s="107"/>
      <c r="O25" s="107"/>
      <c r="P25" s="107"/>
      <c r="Q25" s="107"/>
      <c r="R25" s="107"/>
      <c r="S25" s="107"/>
      <c r="T25" s="107"/>
      <c r="U25" s="107"/>
    </row>
    <row r="26" spans="1:24" ht="18" customHeight="1">
      <c r="B26" s="93" t="s">
        <v>52</v>
      </c>
      <c r="C26" s="94"/>
      <c r="D26" s="94"/>
      <c r="E26" s="94"/>
      <c r="F26" s="95"/>
      <c r="G26" s="70" t="s">
        <v>78</v>
      </c>
      <c r="H26" s="71" t="s">
        <v>81</v>
      </c>
      <c r="I26" s="72" t="s">
        <v>55</v>
      </c>
      <c r="J26" s="72" t="s">
        <v>58</v>
      </c>
      <c r="K26" s="93" t="s">
        <v>52</v>
      </c>
      <c r="L26" s="94"/>
      <c r="M26" s="94"/>
      <c r="N26" s="94"/>
      <c r="O26" s="94"/>
      <c r="P26" s="94"/>
      <c r="Q26" s="95"/>
      <c r="R26" s="70" t="s">
        <v>78</v>
      </c>
      <c r="S26" s="71" t="s">
        <v>81</v>
      </c>
      <c r="T26" s="72" t="s">
        <v>55</v>
      </c>
      <c r="U26" s="72" t="s">
        <v>58</v>
      </c>
    </row>
    <row r="27" spans="1:24" ht="18" customHeight="1">
      <c r="B27" s="104" t="s">
        <v>139</v>
      </c>
      <c r="C27" s="105"/>
      <c r="D27" s="105"/>
      <c r="E27" s="105"/>
      <c r="F27" s="106"/>
      <c r="G27" s="73">
        <v>2</v>
      </c>
      <c r="H27" s="73" t="s">
        <v>138</v>
      </c>
      <c r="I27" s="73" t="s">
        <v>138</v>
      </c>
      <c r="J27" s="73" t="s">
        <v>138</v>
      </c>
      <c r="K27" s="104"/>
      <c r="L27" s="105"/>
      <c r="M27" s="105"/>
      <c r="N27" s="105"/>
      <c r="O27" s="105"/>
      <c r="P27" s="105"/>
      <c r="Q27" s="106"/>
      <c r="R27" s="73"/>
      <c r="S27" s="73"/>
      <c r="T27" s="73"/>
      <c r="U27" s="73"/>
    </row>
    <row r="28" spans="1:24" ht="18" customHeight="1">
      <c r="B28" s="96"/>
      <c r="C28" s="97"/>
      <c r="D28" s="97"/>
      <c r="E28" s="97"/>
      <c r="F28" s="98"/>
      <c r="G28" s="74"/>
      <c r="H28" s="74"/>
      <c r="I28" s="74"/>
      <c r="J28" s="74"/>
      <c r="K28" s="96"/>
      <c r="L28" s="97"/>
      <c r="M28" s="97"/>
      <c r="N28" s="97"/>
      <c r="O28" s="97"/>
      <c r="P28" s="97"/>
      <c r="Q28" s="98"/>
      <c r="R28" s="74"/>
      <c r="S28" s="74"/>
      <c r="T28" s="74"/>
      <c r="U28" s="74"/>
    </row>
    <row r="29" spans="1:24" ht="18" customHeight="1">
      <c r="B29" s="96"/>
      <c r="C29" s="97"/>
      <c r="D29" s="97"/>
      <c r="E29" s="97"/>
      <c r="F29" s="98"/>
      <c r="G29" s="74"/>
      <c r="H29" s="74"/>
      <c r="I29" s="74"/>
      <c r="J29" s="74"/>
      <c r="K29" s="96"/>
      <c r="L29" s="97"/>
      <c r="M29" s="97"/>
      <c r="N29" s="97"/>
      <c r="O29" s="97"/>
      <c r="P29" s="97"/>
      <c r="Q29" s="98"/>
      <c r="R29" s="74"/>
      <c r="S29" s="74"/>
      <c r="T29" s="74"/>
      <c r="U29" s="74"/>
    </row>
    <row r="30" spans="1:24" ht="18" customHeight="1">
      <c r="B30" s="96"/>
      <c r="C30" s="97"/>
      <c r="D30" s="97"/>
      <c r="E30" s="97"/>
      <c r="F30" s="98"/>
      <c r="G30" s="74"/>
      <c r="H30" s="74"/>
      <c r="I30" s="74"/>
      <c r="J30" s="74"/>
      <c r="K30" s="96"/>
      <c r="L30" s="97"/>
      <c r="M30" s="97"/>
      <c r="N30" s="97"/>
      <c r="O30" s="97"/>
      <c r="P30" s="97"/>
      <c r="Q30" s="98"/>
      <c r="R30" s="74"/>
      <c r="S30" s="74"/>
      <c r="T30" s="74"/>
      <c r="U30" s="74"/>
    </row>
    <row r="31" spans="1:24" ht="18" customHeight="1">
      <c r="B31" s="96"/>
      <c r="C31" s="97"/>
      <c r="D31" s="97"/>
      <c r="E31" s="97"/>
      <c r="F31" s="98"/>
      <c r="G31" s="74"/>
      <c r="H31" s="74"/>
      <c r="I31" s="74"/>
      <c r="J31" s="74"/>
      <c r="K31" s="96"/>
      <c r="L31" s="97"/>
      <c r="M31" s="97"/>
      <c r="N31" s="97"/>
      <c r="O31" s="97"/>
      <c r="P31" s="97"/>
      <c r="Q31" s="98"/>
      <c r="R31" s="74"/>
      <c r="S31" s="74"/>
      <c r="T31" s="74"/>
      <c r="U31" s="74"/>
    </row>
    <row r="32" spans="1:24" ht="18" customHeight="1">
      <c r="A32" s="58"/>
      <c r="B32" s="96"/>
      <c r="C32" s="97"/>
      <c r="D32" s="97"/>
      <c r="E32" s="97"/>
      <c r="F32" s="98"/>
      <c r="G32" s="74"/>
      <c r="H32" s="74"/>
      <c r="I32" s="74"/>
      <c r="J32" s="74"/>
      <c r="K32" s="96"/>
      <c r="L32" s="97"/>
      <c r="M32" s="97"/>
      <c r="N32" s="97"/>
      <c r="O32" s="97"/>
      <c r="P32" s="97"/>
      <c r="Q32" s="98"/>
      <c r="R32" s="74"/>
      <c r="S32" s="74"/>
      <c r="T32" s="74"/>
      <c r="U32" s="74"/>
    </row>
    <row r="33" spans="1:21" ht="18" customHeight="1">
      <c r="A33" s="58"/>
      <c r="B33" s="99"/>
      <c r="C33" s="100"/>
      <c r="D33" s="100"/>
      <c r="E33" s="100"/>
      <c r="F33" s="101"/>
      <c r="G33" s="75"/>
      <c r="H33" s="75"/>
      <c r="I33" s="76"/>
      <c r="J33" s="76"/>
      <c r="K33" s="99"/>
      <c r="L33" s="100"/>
      <c r="M33" s="100"/>
      <c r="N33" s="100"/>
      <c r="O33" s="100"/>
      <c r="P33" s="100"/>
      <c r="Q33" s="101"/>
      <c r="R33" s="75"/>
      <c r="S33" s="75"/>
      <c r="T33" s="76"/>
      <c r="U33" s="76"/>
    </row>
    <row r="34" spans="1:21" ht="7.5" customHeight="1">
      <c r="A34" s="58"/>
      <c r="B34" s="56"/>
      <c r="C34" s="56"/>
      <c r="D34" s="56"/>
      <c r="E34" s="58"/>
      <c r="F34" s="58"/>
      <c r="G34" s="58"/>
      <c r="H34" s="58"/>
      <c r="I34" s="56"/>
      <c r="J34" s="56"/>
      <c r="K34" s="56"/>
      <c r="L34" s="56"/>
      <c r="M34" s="56"/>
      <c r="N34" s="56"/>
      <c r="O34" s="56"/>
      <c r="P34" s="56"/>
      <c r="Q34" s="56"/>
      <c r="R34" s="56"/>
      <c r="S34" s="56"/>
      <c r="T34" s="56"/>
      <c r="U34" s="58"/>
    </row>
    <row r="35" spans="1:21" ht="18" customHeight="1">
      <c r="A35" s="107" t="s">
        <v>103</v>
      </c>
      <c r="B35" s="107"/>
      <c r="C35" s="107"/>
      <c r="D35" s="107"/>
      <c r="E35" s="107"/>
      <c r="F35" s="107"/>
      <c r="G35" s="107"/>
      <c r="H35" s="107"/>
      <c r="I35" s="107"/>
      <c r="J35" s="107"/>
      <c r="K35" s="107"/>
      <c r="L35" s="107"/>
      <c r="M35" s="107"/>
      <c r="N35" s="107"/>
      <c r="O35" s="107"/>
      <c r="P35" s="107"/>
      <c r="Q35" s="107"/>
      <c r="R35" s="107"/>
      <c r="S35" s="107"/>
      <c r="T35" s="107"/>
      <c r="U35" s="107"/>
    </row>
    <row r="36" spans="1:21" ht="18" customHeight="1">
      <c r="A36" s="107"/>
      <c r="B36" s="107"/>
      <c r="C36" s="107"/>
      <c r="D36" s="107"/>
      <c r="E36" s="107"/>
      <c r="F36" s="107"/>
      <c r="G36" s="107"/>
      <c r="H36" s="107"/>
      <c r="I36" s="107"/>
      <c r="J36" s="107"/>
      <c r="K36" s="107"/>
      <c r="L36" s="107"/>
      <c r="M36" s="107"/>
      <c r="N36" s="107"/>
      <c r="O36" s="107"/>
      <c r="P36" s="107"/>
      <c r="Q36" s="107"/>
      <c r="R36" s="107"/>
      <c r="S36" s="107"/>
      <c r="T36" s="107"/>
      <c r="U36" s="107"/>
    </row>
    <row r="37" spans="1:21" ht="18" customHeight="1">
      <c r="B37" s="93" t="s">
        <v>52</v>
      </c>
      <c r="C37" s="94"/>
      <c r="D37" s="94"/>
      <c r="E37" s="94"/>
      <c r="F37" s="95"/>
      <c r="G37" s="70" t="s">
        <v>78</v>
      </c>
      <c r="H37" s="71" t="s">
        <v>81</v>
      </c>
      <c r="I37" s="72" t="s">
        <v>69</v>
      </c>
      <c r="J37" s="72" t="s">
        <v>70</v>
      </c>
      <c r="K37" s="93" t="s">
        <v>52</v>
      </c>
      <c r="L37" s="94"/>
      <c r="M37" s="94"/>
      <c r="N37" s="94"/>
      <c r="O37" s="94"/>
      <c r="P37" s="94"/>
      <c r="Q37" s="95"/>
      <c r="R37" s="70" t="s">
        <v>78</v>
      </c>
      <c r="S37" s="71" t="s">
        <v>81</v>
      </c>
      <c r="T37" s="72" t="s">
        <v>69</v>
      </c>
      <c r="U37" s="72" t="s">
        <v>70</v>
      </c>
    </row>
    <row r="38" spans="1:21" ht="18" customHeight="1">
      <c r="B38" s="104" t="s">
        <v>139</v>
      </c>
      <c r="C38" s="105"/>
      <c r="D38" s="105"/>
      <c r="E38" s="105"/>
      <c r="F38" s="106"/>
      <c r="G38" s="73">
        <v>2</v>
      </c>
      <c r="H38" s="73" t="s">
        <v>138</v>
      </c>
      <c r="I38" s="73" t="s">
        <v>138</v>
      </c>
      <c r="J38" s="73" t="s">
        <v>138</v>
      </c>
      <c r="K38" s="104"/>
      <c r="L38" s="105"/>
      <c r="M38" s="105"/>
      <c r="N38" s="105"/>
      <c r="O38" s="105"/>
      <c r="P38" s="105"/>
      <c r="Q38" s="106"/>
      <c r="R38" s="73"/>
      <c r="S38" s="73"/>
      <c r="T38" s="73"/>
      <c r="U38" s="73"/>
    </row>
    <row r="39" spans="1:21" ht="18" customHeight="1">
      <c r="B39" s="96"/>
      <c r="C39" s="97"/>
      <c r="D39" s="97"/>
      <c r="E39" s="97"/>
      <c r="F39" s="98"/>
      <c r="G39" s="74"/>
      <c r="H39" s="74"/>
      <c r="I39" s="74"/>
      <c r="J39" s="74"/>
      <c r="K39" s="96"/>
      <c r="L39" s="97"/>
      <c r="M39" s="97"/>
      <c r="N39" s="97"/>
      <c r="O39" s="97"/>
      <c r="P39" s="97"/>
      <c r="Q39" s="98"/>
      <c r="R39" s="74"/>
      <c r="S39" s="74"/>
      <c r="T39" s="74"/>
      <c r="U39" s="74"/>
    </row>
    <row r="40" spans="1:21" ht="18" customHeight="1">
      <c r="B40" s="96"/>
      <c r="C40" s="97"/>
      <c r="D40" s="97"/>
      <c r="E40" s="97"/>
      <c r="F40" s="98"/>
      <c r="G40" s="74"/>
      <c r="H40" s="74"/>
      <c r="I40" s="74"/>
      <c r="J40" s="74"/>
      <c r="K40" s="96"/>
      <c r="L40" s="97"/>
      <c r="M40" s="97"/>
      <c r="N40" s="97"/>
      <c r="O40" s="97"/>
      <c r="P40" s="97"/>
      <c r="Q40" s="98"/>
      <c r="R40" s="74"/>
      <c r="S40" s="74"/>
      <c r="T40" s="74"/>
      <c r="U40" s="74"/>
    </row>
    <row r="41" spans="1:21" ht="18" customHeight="1">
      <c r="B41" s="96"/>
      <c r="C41" s="97"/>
      <c r="D41" s="97"/>
      <c r="E41" s="97"/>
      <c r="F41" s="98"/>
      <c r="G41" s="74"/>
      <c r="H41" s="74"/>
      <c r="I41" s="74"/>
      <c r="J41" s="74"/>
      <c r="K41" s="96"/>
      <c r="L41" s="97"/>
      <c r="M41" s="97"/>
      <c r="N41" s="97"/>
      <c r="O41" s="97"/>
      <c r="P41" s="97"/>
      <c r="Q41" s="98"/>
      <c r="R41" s="74"/>
      <c r="S41" s="74"/>
      <c r="T41" s="74"/>
      <c r="U41" s="74"/>
    </row>
    <row r="42" spans="1:21" ht="18" customHeight="1">
      <c r="B42" s="96"/>
      <c r="C42" s="97"/>
      <c r="D42" s="97"/>
      <c r="E42" s="97"/>
      <c r="F42" s="98"/>
      <c r="G42" s="74"/>
      <c r="H42" s="74"/>
      <c r="I42" s="74"/>
      <c r="J42" s="74"/>
      <c r="K42" s="96"/>
      <c r="L42" s="97"/>
      <c r="M42" s="97"/>
      <c r="N42" s="97"/>
      <c r="O42" s="97"/>
      <c r="P42" s="97"/>
      <c r="Q42" s="98"/>
      <c r="R42" s="74"/>
      <c r="S42" s="74"/>
      <c r="T42" s="74"/>
      <c r="U42" s="74"/>
    </row>
    <row r="43" spans="1:21" ht="18" customHeight="1">
      <c r="B43" s="96"/>
      <c r="C43" s="97"/>
      <c r="D43" s="97"/>
      <c r="E43" s="97"/>
      <c r="F43" s="98"/>
      <c r="G43" s="74"/>
      <c r="H43" s="74"/>
      <c r="I43" s="74"/>
      <c r="J43" s="74"/>
      <c r="K43" s="96"/>
      <c r="L43" s="97"/>
      <c r="M43" s="97"/>
      <c r="N43" s="97"/>
      <c r="O43" s="97"/>
      <c r="P43" s="97"/>
      <c r="Q43" s="98"/>
      <c r="R43" s="74"/>
      <c r="S43" s="74"/>
      <c r="T43" s="74"/>
      <c r="U43" s="74"/>
    </row>
    <row r="44" spans="1:21" ht="18" customHeight="1">
      <c r="B44" s="99"/>
      <c r="C44" s="100"/>
      <c r="D44" s="100"/>
      <c r="E44" s="100"/>
      <c r="F44" s="101"/>
      <c r="G44" s="75"/>
      <c r="H44" s="75"/>
      <c r="I44" s="76"/>
      <c r="J44" s="76"/>
      <c r="K44" s="99"/>
      <c r="L44" s="100"/>
      <c r="M44" s="100"/>
      <c r="N44" s="100"/>
      <c r="O44" s="100"/>
      <c r="P44" s="100"/>
      <c r="Q44" s="101"/>
      <c r="R44" s="75"/>
      <c r="S44" s="75"/>
      <c r="T44" s="76"/>
      <c r="U44" s="76"/>
    </row>
    <row r="45" spans="1:21" ht="7.5" customHeight="1">
      <c r="A45" s="58"/>
      <c r="B45" s="56"/>
      <c r="C45" s="56"/>
      <c r="D45" s="56"/>
      <c r="E45" s="58"/>
      <c r="F45" s="58"/>
      <c r="G45" s="58"/>
      <c r="H45" s="58"/>
      <c r="I45" s="56"/>
      <c r="J45" s="56"/>
      <c r="K45" s="56"/>
      <c r="L45" s="56"/>
      <c r="M45" s="56"/>
      <c r="N45" s="56"/>
      <c r="O45" s="56"/>
      <c r="P45" s="56"/>
      <c r="Q45" s="56"/>
      <c r="R45" s="56"/>
      <c r="S45" s="56"/>
      <c r="T45" s="56"/>
      <c r="U45" s="58"/>
    </row>
    <row r="46" spans="1:21" ht="18" customHeight="1">
      <c r="A46" s="107" t="s">
        <v>104</v>
      </c>
      <c r="B46" s="107"/>
      <c r="C46" s="107"/>
      <c r="D46" s="107"/>
      <c r="E46" s="107"/>
      <c r="F46" s="107"/>
      <c r="G46" s="107"/>
      <c r="H46" s="107"/>
      <c r="I46" s="107"/>
      <c r="J46" s="107"/>
      <c r="K46" s="107"/>
      <c r="L46" s="107"/>
      <c r="M46" s="107"/>
      <c r="N46" s="107"/>
      <c r="O46" s="107"/>
      <c r="P46" s="107"/>
      <c r="Q46" s="107"/>
      <c r="R46" s="107"/>
      <c r="S46" s="107"/>
      <c r="T46" s="107"/>
      <c r="U46" s="107"/>
    </row>
    <row r="47" spans="1:21" ht="18" customHeight="1">
      <c r="A47" s="107"/>
      <c r="B47" s="107"/>
      <c r="C47" s="107"/>
      <c r="D47" s="107"/>
      <c r="E47" s="107"/>
      <c r="F47" s="107"/>
      <c r="G47" s="107"/>
      <c r="H47" s="107"/>
      <c r="I47" s="107"/>
      <c r="J47" s="107"/>
      <c r="K47" s="107"/>
      <c r="L47" s="107"/>
      <c r="M47" s="107"/>
      <c r="N47" s="107"/>
      <c r="O47" s="107"/>
      <c r="P47" s="107"/>
      <c r="Q47" s="107"/>
      <c r="R47" s="107"/>
      <c r="S47" s="107"/>
      <c r="T47" s="107"/>
      <c r="U47" s="107"/>
    </row>
    <row r="48" spans="1:21" ht="18" customHeight="1">
      <c r="B48" s="93" t="s">
        <v>52</v>
      </c>
      <c r="C48" s="94"/>
      <c r="D48" s="94"/>
      <c r="E48" s="94"/>
      <c r="F48" s="95"/>
      <c r="G48" s="70" t="s">
        <v>78</v>
      </c>
      <c r="H48" s="71" t="s">
        <v>81</v>
      </c>
      <c r="I48" s="72" t="s">
        <v>71</v>
      </c>
      <c r="J48" s="72" t="s">
        <v>72</v>
      </c>
      <c r="K48" s="93" t="s">
        <v>52</v>
      </c>
      <c r="L48" s="94"/>
      <c r="M48" s="94"/>
      <c r="N48" s="94"/>
      <c r="O48" s="94"/>
      <c r="P48" s="94"/>
      <c r="Q48" s="95"/>
      <c r="R48" s="70" t="s">
        <v>78</v>
      </c>
      <c r="S48" s="71" t="s">
        <v>81</v>
      </c>
      <c r="T48" s="72" t="s">
        <v>71</v>
      </c>
      <c r="U48" s="72" t="s">
        <v>72</v>
      </c>
    </row>
    <row r="49" spans="1:21" ht="18" customHeight="1">
      <c r="A49" s="58"/>
      <c r="B49" s="104" t="s">
        <v>139</v>
      </c>
      <c r="C49" s="105"/>
      <c r="D49" s="105"/>
      <c r="E49" s="105"/>
      <c r="F49" s="106"/>
      <c r="G49" s="73">
        <v>2</v>
      </c>
      <c r="H49" s="73" t="s">
        <v>138</v>
      </c>
      <c r="I49" s="73" t="s">
        <v>138</v>
      </c>
      <c r="J49" s="73" t="s">
        <v>138</v>
      </c>
      <c r="K49" s="104"/>
      <c r="L49" s="105"/>
      <c r="M49" s="105"/>
      <c r="N49" s="105"/>
      <c r="O49" s="105"/>
      <c r="P49" s="105"/>
      <c r="Q49" s="106"/>
      <c r="R49" s="73"/>
      <c r="S49" s="73"/>
      <c r="T49" s="73"/>
      <c r="U49" s="73"/>
    </row>
    <row r="50" spans="1:21" ht="18" customHeight="1">
      <c r="A50" s="58"/>
      <c r="B50" s="96"/>
      <c r="C50" s="97"/>
      <c r="D50" s="97"/>
      <c r="E50" s="97"/>
      <c r="F50" s="98"/>
      <c r="G50" s="74"/>
      <c r="H50" s="74"/>
      <c r="I50" s="74"/>
      <c r="J50" s="74"/>
      <c r="K50" s="96"/>
      <c r="L50" s="97"/>
      <c r="M50" s="97"/>
      <c r="N50" s="97"/>
      <c r="O50" s="97"/>
      <c r="P50" s="97"/>
      <c r="Q50" s="98"/>
      <c r="R50" s="74"/>
      <c r="S50" s="74"/>
      <c r="T50" s="74"/>
      <c r="U50" s="74"/>
    </row>
    <row r="51" spans="1:21" ht="18" customHeight="1">
      <c r="A51" s="58"/>
      <c r="B51" s="96"/>
      <c r="C51" s="97"/>
      <c r="D51" s="97"/>
      <c r="E51" s="97"/>
      <c r="F51" s="98"/>
      <c r="G51" s="74"/>
      <c r="H51" s="74"/>
      <c r="I51" s="74"/>
      <c r="J51" s="74"/>
      <c r="K51" s="96"/>
      <c r="L51" s="97"/>
      <c r="M51" s="97"/>
      <c r="N51" s="97"/>
      <c r="O51" s="97"/>
      <c r="P51" s="97"/>
      <c r="Q51" s="98"/>
      <c r="R51" s="74"/>
      <c r="S51" s="74"/>
      <c r="T51" s="74"/>
      <c r="U51" s="74"/>
    </row>
    <row r="52" spans="1:21" ht="18" customHeight="1">
      <c r="A52" s="58"/>
      <c r="B52" s="96"/>
      <c r="C52" s="97"/>
      <c r="D52" s="97"/>
      <c r="E52" s="97"/>
      <c r="F52" s="98"/>
      <c r="G52" s="74"/>
      <c r="H52" s="74"/>
      <c r="I52" s="74"/>
      <c r="J52" s="74"/>
      <c r="K52" s="96"/>
      <c r="L52" s="97"/>
      <c r="M52" s="97"/>
      <c r="N52" s="97"/>
      <c r="O52" s="97"/>
      <c r="P52" s="97"/>
      <c r="Q52" s="98"/>
      <c r="R52" s="74"/>
      <c r="S52" s="74"/>
      <c r="T52" s="74"/>
      <c r="U52" s="74"/>
    </row>
    <row r="53" spans="1:21" ht="18" customHeight="1">
      <c r="A53" s="58"/>
      <c r="B53" s="96"/>
      <c r="C53" s="97"/>
      <c r="D53" s="97"/>
      <c r="E53" s="97"/>
      <c r="F53" s="98"/>
      <c r="G53" s="74"/>
      <c r="H53" s="74"/>
      <c r="I53" s="74"/>
      <c r="J53" s="74"/>
      <c r="K53" s="96"/>
      <c r="L53" s="97"/>
      <c r="M53" s="97"/>
      <c r="N53" s="97"/>
      <c r="O53" s="97"/>
      <c r="P53" s="97"/>
      <c r="Q53" s="98"/>
      <c r="R53" s="74"/>
      <c r="S53" s="74"/>
      <c r="T53" s="74"/>
      <c r="U53" s="74"/>
    </row>
    <row r="54" spans="1:21" ht="18" customHeight="1">
      <c r="A54" s="58"/>
      <c r="B54" s="96"/>
      <c r="C54" s="97"/>
      <c r="D54" s="97"/>
      <c r="E54" s="97"/>
      <c r="F54" s="98"/>
      <c r="G54" s="74"/>
      <c r="H54" s="74"/>
      <c r="I54" s="74"/>
      <c r="J54" s="74"/>
      <c r="K54" s="96"/>
      <c r="L54" s="97"/>
      <c r="M54" s="97"/>
      <c r="N54" s="97"/>
      <c r="O54" s="97"/>
      <c r="P54" s="97"/>
      <c r="Q54" s="98"/>
      <c r="R54" s="74"/>
      <c r="S54" s="74"/>
      <c r="T54" s="74"/>
      <c r="U54" s="74"/>
    </row>
    <row r="55" spans="1:21" ht="18" customHeight="1">
      <c r="A55" s="58"/>
      <c r="B55" s="99"/>
      <c r="C55" s="100"/>
      <c r="D55" s="100"/>
      <c r="E55" s="100"/>
      <c r="F55" s="101"/>
      <c r="G55" s="75"/>
      <c r="H55" s="75"/>
      <c r="I55" s="76"/>
      <c r="J55" s="76"/>
      <c r="K55" s="99"/>
      <c r="L55" s="100"/>
      <c r="M55" s="100"/>
      <c r="N55" s="100"/>
      <c r="O55" s="100"/>
      <c r="P55" s="100"/>
      <c r="Q55" s="101"/>
      <c r="R55" s="75"/>
      <c r="S55" s="75"/>
      <c r="T55" s="76"/>
      <c r="U55" s="76"/>
    </row>
    <row r="56" spans="1:21" ht="7.5" customHeight="1">
      <c r="B56" s="77"/>
      <c r="C56" s="77"/>
      <c r="D56" s="77"/>
      <c r="E56" s="77"/>
      <c r="F56" s="77"/>
      <c r="G56" s="77"/>
      <c r="H56" s="77"/>
      <c r="I56" s="77"/>
      <c r="J56" s="77"/>
      <c r="K56" s="77"/>
      <c r="L56" s="77"/>
      <c r="M56" s="77"/>
      <c r="N56" s="77"/>
      <c r="O56" s="77"/>
      <c r="P56" s="77"/>
      <c r="Q56" s="77"/>
      <c r="R56" s="77"/>
      <c r="S56" s="77"/>
      <c r="T56" s="77"/>
    </row>
    <row r="57" spans="1:21" ht="18" customHeight="1">
      <c r="A57" s="107" t="s">
        <v>105</v>
      </c>
      <c r="B57" s="107"/>
      <c r="C57" s="107"/>
      <c r="D57" s="107"/>
      <c r="E57" s="107"/>
      <c r="F57" s="107"/>
      <c r="G57" s="107"/>
      <c r="H57" s="107"/>
      <c r="I57" s="107"/>
      <c r="J57" s="107"/>
      <c r="K57" s="107"/>
      <c r="L57" s="107"/>
      <c r="M57" s="107"/>
      <c r="N57" s="107"/>
      <c r="O57" s="107"/>
      <c r="P57" s="107"/>
      <c r="Q57" s="107"/>
      <c r="R57" s="107"/>
      <c r="S57" s="107"/>
      <c r="T57" s="107"/>
      <c r="U57" s="107"/>
    </row>
    <row r="58" spans="1:21" ht="18" customHeight="1">
      <c r="A58" s="107"/>
      <c r="B58" s="107"/>
      <c r="C58" s="107"/>
      <c r="D58" s="107"/>
      <c r="E58" s="107"/>
      <c r="F58" s="107"/>
      <c r="G58" s="107"/>
      <c r="H58" s="107"/>
      <c r="I58" s="107"/>
      <c r="J58" s="107"/>
      <c r="K58" s="107"/>
      <c r="L58" s="107"/>
      <c r="M58" s="107"/>
      <c r="N58" s="107"/>
      <c r="O58" s="107"/>
      <c r="P58" s="107"/>
      <c r="Q58" s="107"/>
      <c r="R58" s="107"/>
      <c r="S58" s="107"/>
      <c r="T58" s="107"/>
      <c r="U58" s="107"/>
    </row>
    <row r="59" spans="1:21" ht="18" customHeight="1">
      <c r="B59" s="93" t="s">
        <v>52</v>
      </c>
      <c r="C59" s="94"/>
      <c r="D59" s="94"/>
      <c r="E59" s="94"/>
      <c r="F59" s="95"/>
      <c r="G59" s="70" t="s">
        <v>78</v>
      </c>
      <c r="H59" s="71" t="s">
        <v>81</v>
      </c>
      <c r="I59" s="72" t="s">
        <v>57</v>
      </c>
      <c r="J59" s="72" t="s">
        <v>59</v>
      </c>
      <c r="K59" s="93" t="s">
        <v>52</v>
      </c>
      <c r="L59" s="94"/>
      <c r="M59" s="94"/>
      <c r="N59" s="94"/>
      <c r="O59" s="94"/>
      <c r="P59" s="94"/>
      <c r="Q59" s="95"/>
      <c r="R59" s="70" t="s">
        <v>78</v>
      </c>
      <c r="S59" s="71" t="s">
        <v>81</v>
      </c>
      <c r="T59" s="72" t="s">
        <v>57</v>
      </c>
      <c r="U59" s="72" t="s">
        <v>59</v>
      </c>
    </row>
    <row r="60" spans="1:21" ht="18" customHeight="1">
      <c r="A60" s="58"/>
      <c r="B60" s="104" t="s">
        <v>139</v>
      </c>
      <c r="C60" s="105"/>
      <c r="D60" s="105"/>
      <c r="E60" s="105"/>
      <c r="F60" s="106"/>
      <c r="G60" s="73">
        <v>2</v>
      </c>
      <c r="H60" s="73" t="s">
        <v>138</v>
      </c>
      <c r="I60" s="73" t="s">
        <v>138</v>
      </c>
      <c r="J60" s="73" t="s">
        <v>138</v>
      </c>
      <c r="K60" s="104"/>
      <c r="L60" s="105"/>
      <c r="M60" s="105"/>
      <c r="N60" s="105"/>
      <c r="O60" s="105"/>
      <c r="P60" s="105"/>
      <c r="Q60" s="106"/>
      <c r="R60" s="73"/>
      <c r="S60" s="73"/>
      <c r="T60" s="73"/>
      <c r="U60" s="73"/>
    </row>
    <row r="61" spans="1:21" ht="18" customHeight="1">
      <c r="A61" s="58"/>
      <c r="B61" s="96" t="s">
        <v>140</v>
      </c>
      <c r="C61" s="97"/>
      <c r="D61" s="97"/>
      <c r="E61" s="97"/>
      <c r="F61" s="98"/>
      <c r="G61" s="74">
        <v>2</v>
      </c>
      <c r="H61" s="74"/>
      <c r="I61" s="74" t="s">
        <v>138</v>
      </c>
      <c r="J61" s="74" t="s">
        <v>138</v>
      </c>
      <c r="K61" s="96"/>
      <c r="L61" s="97"/>
      <c r="M61" s="97"/>
      <c r="N61" s="97"/>
      <c r="O61" s="97"/>
      <c r="P61" s="97"/>
      <c r="Q61" s="98"/>
      <c r="R61" s="74"/>
      <c r="S61" s="74"/>
      <c r="T61" s="74"/>
      <c r="U61" s="74"/>
    </row>
    <row r="62" spans="1:21" ht="18" customHeight="1">
      <c r="A62" s="58"/>
      <c r="B62" s="96"/>
      <c r="C62" s="97"/>
      <c r="D62" s="97"/>
      <c r="E62" s="97"/>
      <c r="F62" s="98"/>
      <c r="G62" s="74"/>
      <c r="H62" s="74"/>
      <c r="I62" s="74"/>
      <c r="J62" s="74"/>
      <c r="K62" s="96"/>
      <c r="L62" s="97"/>
      <c r="M62" s="97"/>
      <c r="N62" s="97"/>
      <c r="O62" s="97"/>
      <c r="P62" s="97"/>
      <c r="Q62" s="98"/>
      <c r="R62" s="74"/>
      <c r="S62" s="74"/>
      <c r="T62" s="74"/>
      <c r="U62" s="74"/>
    </row>
    <row r="63" spans="1:21" ht="18" customHeight="1">
      <c r="A63" s="58"/>
      <c r="B63" s="96"/>
      <c r="C63" s="97"/>
      <c r="D63" s="97"/>
      <c r="E63" s="97"/>
      <c r="F63" s="98"/>
      <c r="G63" s="74"/>
      <c r="H63" s="74"/>
      <c r="I63" s="74"/>
      <c r="J63" s="74"/>
      <c r="K63" s="96"/>
      <c r="L63" s="97"/>
      <c r="M63" s="97"/>
      <c r="N63" s="97"/>
      <c r="O63" s="97"/>
      <c r="P63" s="97"/>
      <c r="Q63" s="98"/>
      <c r="R63" s="74"/>
      <c r="S63" s="74"/>
      <c r="T63" s="74"/>
      <c r="U63" s="74"/>
    </row>
    <row r="64" spans="1:21" ht="18" customHeight="1">
      <c r="A64" s="58"/>
      <c r="B64" s="96"/>
      <c r="C64" s="97"/>
      <c r="D64" s="97"/>
      <c r="E64" s="97"/>
      <c r="F64" s="98"/>
      <c r="G64" s="74"/>
      <c r="H64" s="74"/>
      <c r="I64" s="74"/>
      <c r="J64" s="74"/>
      <c r="K64" s="96"/>
      <c r="L64" s="97"/>
      <c r="M64" s="97"/>
      <c r="N64" s="97"/>
      <c r="O64" s="97"/>
      <c r="P64" s="97"/>
      <c r="Q64" s="98"/>
      <c r="R64" s="74"/>
      <c r="S64" s="74"/>
      <c r="T64" s="74"/>
      <c r="U64" s="74"/>
    </row>
    <row r="65" spans="1:21" ht="18" customHeight="1">
      <c r="A65" s="58"/>
      <c r="B65" s="96"/>
      <c r="C65" s="97"/>
      <c r="D65" s="97"/>
      <c r="E65" s="97"/>
      <c r="F65" s="98"/>
      <c r="G65" s="74"/>
      <c r="H65" s="74"/>
      <c r="I65" s="74"/>
      <c r="J65" s="74"/>
      <c r="K65" s="96"/>
      <c r="L65" s="97"/>
      <c r="M65" s="97"/>
      <c r="N65" s="97"/>
      <c r="O65" s="97"/>
      <c r="P65" s="97"/>
      <c r="Q65" s="98"/>
      <c r="R65" s="74"/>
      <c r="S65" s="74"/>
      <c r="T65" s="74"/>
      <c r="U65" s="74"/>
    </row>
    <row r="66" spans="1:21" ht="18" customHeight="1">
      <c r="A66" s="58"/>
      <c r="B66" s="99"/>
      <c r="C66" s="100"/>
      <c r="D66" s="100"/>
      <c r="E66" s="100"/>
      <c r="F66" s="101"/>
      <c r="G66" s="75"/>
      <c r="H66" s="75"/>
      <c r="I66" s="76"/>
      <c r="J66" s="76"/>
      <c r="K66" s="99"/>
      <c r="L66" s="100"/>
      <c r="M66" s="100"/>
      <c r="N66" s="100"/>
      <c r="O66" s="100"/>
      <c r="P66" s="100"/>
      <c r="Q66" s="101"/>
      <c r="R66" s="75"/>
      <c r="S66" s="75"/>
      <c r="T66" s="76"/>
      <c r="U66" s="76"/>
    </row>
    <row r="67" spans="1:21" ht="7.5" customHeight="1">
      <c r="B67" s="77"/>
      <c r="C67" s="77"/>
      <c r="D67" s="77"/>
      <c r="E67" s="77"/>
      <c r="F67" s="77"/>
      <c r="G67" s="77"/>
      <c r="H67" s="77"/>
      <c r="I67" s="77"/>
      <c r="J67" s="77"/>
      <c r="K67" s="77"/>
      <c r="L67" s="77"/>
      <c r="M67" s="77"/>
      <c r="N67" s="77"/>
      <c r="O67" s="77"/>
      <c r="P67" s="77"/>
      <c r="Q67" s="77"/>
      <c r="R67" s="77"/>
      <c r="S67" s="77"/>
      <c r="T67" s="77"/>
    </row>
    <row r="68" spans="1:21" ht="18" customHeight="1">
      <c r="A68" s="107" t="s">
        <v>106</v>
      </c>
      <c r="B68" s="107"/>
      <c r="C68" s="107"/>
      <c r="D68" s="107"/>
      <c r="E68" s="107"/>
      <c r="F68" s="107"/>
      <c r="G68" s="107"/>
      <c r="H68" s="107"/>
      <c r="I68" s="107"/>
      <c r="J68" s="107"/>
      <c r="K68" s="107"/>
      <c r="L68" s="107"/>
      <c r="M68" s="107"/>
      <c r="N68" s="107"/>
      <c r="O68" s="107"/>
      <c r="P68" s="107"/>
      <c r="Q68" s="107"/>
      <c r="R68" s="107"/>
      <c r="S68" s="107"/>
      <c r="T68" s="107"/>
      <c r="U68" s="107"/>
    </row>
    <row r="69" spans="1:21" ht="18" customHeight="1">
      <c r="A69" s="107"/>
      <c r="B69" s="107"/>
      <c r="C69" s="107"/>
      <c r="D69" s="107"/>
      <c r="E69" s="107"/>
      <c r="F69" s="107"/>
      <c r="G69" s="107"/>
      <c r="H69" s="107"/>
      <c r="I69" s="107"/>
      <c r="J69" s="107"/>
      <c r="K69" s="107"/>
      <c r="L69" s="107"/>
      <c r="M69" s="107"/>
      <c r="N69" s="107"/>
      <c r="O69" s="107"/>
      <c r="P69" s="107"/>
      <c r="Q69" s="107"/>
      <c r="R69" s="107"/>
      <c r="S69" s="107"/>
      <c r="T69" s="107"/>
      <c r="U69" s="107"/>
    </row>
    <row r="70" spans="1:21" ht="18" customHeight="1">
      <c r="B70" s="93" t="s">
        <v>52</v>
      </c>
      <c r="C70" s="94"/>
      <c r="D70" s="94"/>
      <c r="E70" s="94"/>
      <c r="F70" s="70" t="s">
        <v>78</v>
      </c>
      <c r="G70" s="71" t="s">
        <v>81</v>
      </c>
      <c r="H70" s="72" t="s">
        <v>93</v>
      </c>
      <c r="I70" s="72" t="s">
        <v>73</v>
      </c>
      <c r="J70" s="72" t="s">
        <v>74</v>
      </c>
      <c r="K70" s="93" t="s">
        <v>52</v>
      </c>
      <c r="L70" s="94"/>
      <c r="M70" s="94"/>
      <c r="N70" s="94"/>
      <c r="O70" s="94"/>
      <c r="P70" s="95"/>
      <c r="Q70" s="70" t="s">
        <v>78</v>
      </c>
      <c r="R70" s="71" t="s">
        <v>81</v>
      </c>
      <c r="S70" s="72" t="s">
        <v>93</v>
      </c>
      <c r="T70" s="72" t="s">
        <v>73</v>
      </c>
      <c r="U70" s="72" t="s">
        <v>74</v>
      </c>
    </row>
    <row r="71" spans="1:21" ht="18" customHeight="1">
      <c r="A71" s="58"/>
      <c r="B71" s="104" t="s">
        <v>139</v>
      </c>
      <c r="C71" s="105"/>
      <c r="D71" s="105"/>
      <c r="E71" s="105"/>
      <c r="F71" s="73">
        <v>2</v>
      </c>
      <c r="G71" s="73" t="s">
        <v>138</v>
      </c>
      <c r="H71" s="73" t="s">
        <v>138</v>
      </c>
      <c r="I71" s="73" t="s">
        <v>138</v>
      </c>
      <c r="J71" s="73" t="s">
        <v>138</v>
      </c>
      <c r="K71" s="104"/>
      <c r="L71" s="105"/>
      <c r="M71" s="105"/>
      <c r="N71" s="105"/>
      <c r="O71" s="105"/>
      <c r="P71" s="106"/>
      <c r="Q71" s="73"/>
      <c r="R71" s="73"/>
      <c r="S71" s="73"/>
      <c r="T71" s="73"/>
      <c r="U71" s="73"/>
    </row>
    <row r="72" spans="1:21" ht="18" customHeight="1">
      <c r="A72" s="58"/>
      <c r="B72" s="96" t="s">
        <v>140</v>
      </c>
      <c r="C72" s="97"/>
      <c r="D72" s="97"/>
      <c r="E72" s="97"/>
      <c r="F72" s="74">
        <v>2</v>
      </c>
      <c r="G72" s="74"/>
      <c r="H72" s="74" t="s">
        <v>138</v>
      </c>
      <c r="I72" s="74" t="s">
        <v>138</v>
      </c>
      <c r="J72" s="74" t="s">
        <v>138</v>
      </c>
      <c r="K72" s="96"/>
      <c r="L72" s="97"/>
      <c r="M72" s="97"/>
      <c r="N72" s="97"/>
      <c r="O72" s="97"/>
      <c r="P72" s="98"/>
      <c r="Q72" s="74"/>
      <c r="R72" s="74"/>
      <c r="S72" s="74"/>
      <c r="T72" s="74"/>
      <c r="U72" s="74"/>
    </row>
    <row r="73" spans="1:21" ht="18" customHeight="1">
      <c r="A73" s="58"/>
      <c r="B73" s="96" t="s">
        <v>141</v>
      </c>
      <c r="C73" s="97"/>
      <c r="D73" s="97"/>
      <c r="E73" s="97"/>
      <c r="F73" s="74">
        <v>2</v>
      </c>
      <c r="G73" s="74"/>
      <c r="H73" s="74" t="s">
        <v>138</v>
      </c>
      <c r="I73" s="74" t="s">
        <v>138</v>
      </c>
      <c r="J73" s="74" t="s">
        <v>138</v>
      </c>
      <c r="K73" s="96"/>
      <c r="L73" s="97"/>
      <c r="M73" s="97"/>
      <c r="N73" s="97"/>
      <c r="O73" s="97"/>
      <c r="P73" s="98"/>
      <c r="Q73" s="74"/>
      <c r="R73" s="74"/>
      <c r="S73" s="74"/>
      <c r="T73" s="74"/>
      <c r="U73" s="74"/>
    </row>
    <row r="74" spans="1:21" ht="18" customHeight="1">
      <c r="A74" s="58"/>
      <c r="B74" s="96"/>
      <c r="C74" s="97"/>
      <c r="D74" s="97"/>
      <c r="E74" s="97"/>
      <c r="F74" s="74"/>
      <c r="G74" s="74"/>
      <c r="H74" s="74"/>
      <c r="I74" s="74"/>
      <c r="J74" s="74"/>
      <c r="K74" s="96"/>
      <c r="L74" s="97"/>
      <c r="M74" s="97"/>
      <c r="N74" s="97"/>
      <c r="O74" s="97"/>
      <c r="P74" s="98"/>
      <c r="Q74" s="74"/>
      <c r="R74" s="74"/>
      <c r="S74" s="74"/>
      <c r="T74" s="74"/>
      <c r="U74" s="74"/>
    </row>
    <row r="75" spans="1:21" ht="18" customHeight="1">
      <c r="A75" s="58"/>
      <c r="B75" s="96"/>
      <c r="C75" s="97"/>
      <c r="D75" s="97"/>
      <c r="E75" s="97"/>
      <c r="F75" s="74"/>
      <c r="G75" s="74"/>
      <c r="H75" s="74"/>
      <c r="I75" s="74"/>
      <c r="J75" s="74"/>
      <c r="K75" s="96"/>
      <c r="L75" s="97"/>
      <c r="M75" s="97"/>
      <c r="N75" s="97"/>
      <c r="O75" s="97"/>
      <c r="P75" s="98"/>
      <c r="Q75" s="74"/>
      <c r="R75" s="74"/>
      <c r="S75" s="74"/>
      <c r="T75" s="74"/>
      <c r="U75" s="74"/>
    </row>
    <row r="76" spans="1:21" ht="18" customHeight="1">
      <c r="A76" s="58"/>
      <c r="B76" s="96"/>
      <c r="C76" s="97"/>
      <c r="D76" s="97"/>
      <c r="E76" s="97"/>
      <c r="F76" s="74"/>
      <c r="G76" s="74"/>
      <c r="H76" s="74"/>
      <c r="I76" s="74"/>
      <c r="J76" s="74"/>
      <c r="K76" s="96"/>
      <c r="L76" s="97"/>
      <c r="M76" s="97"/>
      <c r="N76" s="97"/>
      <c r="O76" s="97"/>
      <c r="P76" s="98"/>
      <c r="Q76" s="74"/>
      <c r="R76" s="74"/>
      <c r="S76" s="74"/>
      <c r="T76" s="74"/>
      <c r="U76" s="74"/>
    </row>
    <row r="77" spans="1:21" ht="18" customHeight="1">
      <c r="A77" s="58"/>
      <c r="B77" s="99"/>
      <c r="C77" s="100"/>
      <c r="D77" s="100"/>
      <c r="E77" s="100"/>
      <c r="F77" s="75"/>
      <c r="G77" s="75"/>
      <c r="H77" s="76"/>
      <c r="I77" s="76"/>
      <c r="J77" s="76"/>
      <c r="K77" s="99"/>
      <c r="L77" s="100"/>
      <c r="M77" s="100"/>
      <c r="N77" s="100"/>
      <c r="O77" s="100"/>
      <c r="P77" s="101"/>
      <c r="Q77" s="75"/>
      <c r="R77" s="75"/>
      <c r="S77" s="76"/>
      <c r="T77" s="76"/>
      <c r="U77" s="76"/>
    </row>
    <row r="78" spans="1:21" ht="7.5" customHeight="1">
      <c r="B78" s="77"/>
      <c r="C78" s="77"/>
      <c r="D78" s="77"/>
      <c r="E78" s="77"/>
      <c r="F78" s="77"/>
      <c r="G78" s="77"/>
      <c r="H78" s="77"/>
      <c r="I78" s="77"/>
      <c r="J78" s="77"/>
      <c r="K78" s="77"/>
      <c r="L78" s="77"/>
      <c r="M78" s="77"/>
      <c r="N78" s="77"/>
      <c r="O78" s="77"/>
      <c r="P78" s="77"/>
      <c r="Q78" s="77"/>
      <c r="R78" s="77"/>
      <c r="S78" s="77"/>
      <c r="T78" s="77"/>
    </row>
    <row r="79" spans="1:21" ht="18" customHeight="1">
      <c r="A79" s="55" t="s">
        <v>107</v>
      </c>
      <c r="I79" s="58"/>
      <c r="J79" s="58"/>
      <c r="K79" s="58"/>
      <c r="L79" s="58"/>
      <c r="M79" s="58"/>
      <c r="N79" s="58"/>
      <c r="O79" s="58"/>
      <c r="P79" s="58"/>
      <c r="Q79" s="58"/>
      <c r="R79" s="58"/>
      <c r="S79" s="58"/>
      <c r="T79" s="58"/>
      <c r="U79" s="58"/>
    </row>
    <row r="80" spans="1:21" ht="18" customHeight="1">
      <c r="B80" s="93" t="s">
        <v>52</v>
      </c>
      <c r="C80" s="94"/>
      <c r="D80" s="94"/>
      <c r="E80" s="94"/>
      <c r="F80" s="95"/>
      <c r="G80" s="93" t="s">
        <v>79</v>
      </c>
      <c r="H80" s="94"/>
      <c r="I80" s="94"/>
      <c r="J80" s="95"/>
      <c r="K80" s="113" t="s">
        <v>52</v>
      </c>
      <c r="L80" s="114"/>
      <c r="M80" s="114"/>
      <c r="N80" s="114"/>
      <c r="O80" s="114"/>
      <c r="P80" s="114"/>
      <c r="Q80" s="115"/>
      <c r="R80" s="93" t="s">
        <v>79</v>
      </c>
      <c r="S80" s="94"/>
      <c r="T80" s="94"/>
      <c r="U80" s="95"/>
    </row>
    <row r="81" spans="1:21" ht="18" customHeight="1">
      <c r="A81" s="58"/>
      <c r="B81" s="104" t="s">
        <v>141</v>
      </c>
      <c r="C81" s="105"/>
      <c r="D81" s="105"/>
      <c r="E81" s="105"/>
      <c r="F81" s="106"/>
      <c r="G81" s="108" t="s">
        <v>142</v>
      </c>
      <c r="H81" s="109"/>
      <c r="I81" s="109"/>
      <c r="J81" s="110"/>
      <c r="K81" s="104"/>
      <c r="L81" s="105"/>
      <c r="M81" s="105"/>
      <c r="N81" s="105"/>
      <c r="O81" s="105"/>
      <c r="P81" s="105"/>
      <c r="Q81" s="106"/>
      <c r="R81" s="108"/>
      <c r="S81" s="109"/>
      <c r="T81" s="109"/>
      <c r="U81" s="110"/>
    </row>
    <row r="82" spans="1:21" ht="18" customHeight="1">
      <c r="A82" s="58"/>
      <c r="B82" s="96"/>
      <c r="C82" s="97"/>
      <c r="D82" s="97"/>
      <c r="E82" s="97"/>
      <c r="F82" s="98"/>
      <c r="G82" s="90"/>
      <c r="H82" s="91"/>
      <c r="I82" s="91"/>
      <c r="J82" s="92"/>
      <c r="K82" s="96"/>
      <c r="L82" s="97"/>
      <c r="M82" s="97"/>
      <c r="N82" s="97"/>
      <c r="O82" s="97"/>
      <c r="P82" s="97"/>
      <c r="Q82" s="98"/>
      <c r="R82" s="90"/>
      <c r="S82" s="91"/>
      <c r="T82" s="91"/>
      <c r="U82" s="92"/>
    </row>
    <row r="83" spans="1:21" ht="18" customHeight="1">
      <c r="A83" s="58"/>
      <c r="B83" s="96"/>
      <c r="C83" s="97"/>
      <c r="D83" s="97"/>
      <c r="E83" s="97"/>
      <c r="F83" s="98"/>
      <c r="G83" s="90"/>
      <c r="H83" s="91"/>
      <c r="I83" s="91"/>
      <c r="J83" s="92"/>
      <c r="K83" s="96"/>
      <c r="L83" s="97"/>
      <c r="M83" s="97"/>
      <c r="N83" s="97"/>
      <c r="O83" s="97"/>
      <c r="P83" s="97"/>
      <c r="Q83" s="98"/>
      <c r="R83" s="90"/>
      <c r="S83" s="91"/>
      <c r="T83" s="91"/>
      <c r="U83" s="92"/>
    </row>
    <row r="84" spans="1:21" ht="18" customHeight="1">
      <c r="A84" s="58"/>
      <c r="B84" s="96"/>
      <c r="C84" s="97"/>
      <c r="D84" s="97"/>
      <c r="E84" s="97"/>
      <c r="F84" s="98"/>
      <c r="G84" s="90"/>
      <c r="H84" s="91"/>
      <c r="I84" s="91"/>
      <c r="J84" s="92"/>
      <c r="K84" s="96"/>
      <c r="L84" s="97"/>
      <c r="M84" s="97"/>
      <c r="N84" s="97"/>
      <c r="O84" s="97"/>
      <c r="P84" s="97"/>
      <c r="Q84" s="98"/>
      <c r="R84" s="90"/>
      <c r="S84" s="91"/>
      <c r="T84" s="91"/>
      <c r="U84" s="92"/>
    </row>
    <row r="85" spans="1:21" ht="18" customHeight="1">
      <c r="A85" s="58"/>
      <c r="B85" s="96"/>
      <c r="C85" s="97"/>
      <c r="D85" s="97"/>
      <c r="E85" s="97"/>
      <c r="F85" s="98"/>
      <c r="G85" s="90"/>
      <c r="H85" s="91"/>
      <c r="I85" s="91"/>
      <c r="J85" s="92"/>
      <c r="K85" s="96"/>
      <c r="L85" s="97"/>
      <c r="M85" s="97"/>
      <c r="N85" s="97"/>
      <c r="O85" s="97"/>
      <c r="P85" s="97"/>
      <c r="Q85" s="98"/>
      <c r="R85" s="90"/>
      <c r="S85" s="91"/>
      <c r="T85" s="91"/>
      <c r="U85" s="92"/>
    </row>
    <row r="86" spans="1:21" ht="18" customHeight="1">
      <c r="A86" s="58"/>
      <c r="B86" s="96"/>
      <c r="C86" s="97"/>
      <c r="D86" s="97"/>
      <c r="E86" s="97"/>
      <c r="F86" s="98"/>
      <c r="G86" s="90"/>
      <c r="H86" s="91"/>
      <c r="I86" s="91"/>
      <c r="J86" s="92"/>
      <c r="K86" s="96"/>
      <c r="L86" s="97"/>
      <c r="M86" s="97"/>
      <c r="N86" s="97"/>
      <c r="O86" s="97"/>
      <c r="P86" s="97"/>
      <c r="Q86" s="98"/>
      <c r="R86" s="90"/>
      <c r="S86" s="91"/>
      <c r="T86" s="91"/>
      <c r="U86" s="92"/>
    </row>
    <row r="87" spans="1:21" ht="18" customHeight="1">
      <c r="A87" s="58"/>
      <c r="B87" s="99"/>
      <c r="C87" s="100"/>
      <c r="D87" s="100"/>
      <c r="E87" s="100"/>
      <c r="F87" s="101"/>
      <c r="G87" s="130"/>
      <c r="H87" s="131"/>
      <c r="I87" s="131"/>
      <c r="J87" s="132"/>
      <c r="K87" s="99"/>
      <c r="L87" s="100"/>
      <c r="M87" s="100"/>
      <c r="N87" s="100"/>
      <c r="O87" s="100"/>
      <c r="P87" s="100"/>
      <c r="Q87" s="101"/>
      <c r="R87" s="130"/>
      <c r="S87" s="131"/>
      <c r="T87" s="131"/>
      <c r="U87" s="132"/>
    </row>
    <row r="88" spans="1:21" ht="18" customHeight="1">
      <c r="A88" s="58"/>
      <c r="B88" s="56"/>
      <c r="C88" s="56"/>
      <c r="D88" s="56"/>
      <c r="E88" s="56"/>
      <c r="F88" s="56"/>
      <c r="G88" s="62"/>
      <c r="H88" s="62"/>
      <c r="I88" s="62"/>
      <c r="J88" s="62"/>
      <c r="K88" s="56"/>
      <c r="L88" s="56"/>
      <c r="M88" s="56"/>
      <c r="N88" s="56"/>
      <c r="O88" s="56"/>
      <c r="P88" s="56"/>
      <c r="Q88" s="56"/>
      <c r="R88" s="62"/>
      <c r="S88" s="62"/>
      <c r="T88" s="62"/>
      <c r="U88" s="62"/>
    </row>
    <row r="89" spans="1:21" ht="18.75" customHeight="1">
      <c r="A89" s="55" t="s">
        <v>108</v>
      </c>
    </row>
    <row r="90" spans="1:21" ht="18.75" customHeight="1">
      <c r="B90" s="133" t="s">
        <v>53</v>
      </c>
      <c r="C90" s="134"/>
      <c r="D90" s="93" t="s">
        <v>54</v>
      </c>
      <c r="E90" s="94"/>
      <c r="F90" s="94"/>
      <c r="G90" s="94"/>
      <c r="H90" s="94"/>
      <c r="I90" s="94"/>
      <c r="J90" s="94"/>
      <c r="K90" s="94"/>
      <c r="L90" s="94"/>
      <c r="M90" s="94"/>
      <c r="N90" s="94"/>
      <c r="O90" s="94"/>
      <c r="P90" s="94"/>
      <c r="Q90" s="94"/>
      <c r="R90" s="94"/>
      <c r="S90" s="94"/>
      <c r="T90" s="94"/>
      <c r="U90" s="95"/>
    </row>
    <row r="91" spans="1:21" ht="97.5" customHeight="1">
      <c r="B91" s="111" t="s">
        <v>60</v>
      </c>
      <c r="C91" s="78" t="s">
        <v>55</v>
      </c>
      <c r="D91" s="143" t="s">
        <v>143</v>
      </c>
      <c r="E91" s="155"/>
      <c r="F91" s="155"/>
      <c r="G91" s="155"/>
      <c r="H91" s="155"/>
      <c r="I91" s="155"/>
      <c r="J91" s="155"/>
      <c r="K91" s="155"/>
      <c r="L91" s="155"/>
      <c r="M91" s="155"/>
      <c r="N91" s="155"/>
      <c r="O91" s="155"/>
      <c r="P91" s="155"/>
      <c r="Q91" s="155"/>
      <c r="R91" s="155"/>
      <c r="S91" s="155"/>
      <c r="T91" s="155"/>
      <c r="U91" s="156"/>
    </row>
    <row r="92" spans="1:21" ht="97.5" customHeight="1">
      <c r="B92" s="116"/>
      <c r="C92" s="79" t="s">
        <v>75</v>
      </c>
      <c r="D92" s="140" t="s">
        <v>144</v>
      </c>
      <c r="E92" s="157"/>
      <c r="F92" s="157"/>
      <c r="G92" s="157"/>
      <c r="H92" s="157"/>
      <c r="I92" s="157"/>
      <c r="J92" s="157"/>
      <c r="K92" s="157"/>
      <c r="L92" s="157"/>
      <c r="M92" s="157"/>
      <c r="N92" s="157"/>
      <c r="O92" s="157"/>
      <c r="P92" s="157"/>
      <c r="Q92" s="157"/>
      <c r="R92" s="157"/>
      <c r="S92" s="157"/>
      <c r="T92" s="157"/>
      <c r="U92" s="158"/>
    </row>
    <row r="93" spans="1:21" ht="97.5" customHeight="1">
      <c r="B93" s="111" t="s">
        <v>61</v>
      </c>
      <c r="C93" s="80" t="s">
        <v>69</v>
      </c>
      <c r="D93" s="143" t="s">
        <v>145</v>
      </c>
      <c r="E93" s="155"/>
      <c r="F93" s="155"/>
      <c r="G93" s="155"/>
      <c r="H93" s="155"/>
      <c r="I93" s="155"/>
      <c r="J93" s="155"/>
      <c r="K93" s="155"/>
      <c r="L93" s="155"/>
      <c r="M93" s="155"/>
      <c r="N93" s="155"/>
      <c r="O93" s="155"/>
      <c r="P93" s="155"/>
      <c r="Q93" s="155"/>
      <c r="R93" s="155"/>
      <c r="S93" s="155"/>
      <c r="T93" s="155"/>
      <c r="U93" s="156"/>
    </row>
    <row r="94" spans="1:21" ht="97.5" customHeight="1">
      <c r="B94" s="112"/>
      <c r="C94" s="81" t="s">
        <v>70</v>
      </c>
      <c r="D94" s="159" t="s">
        <v>146</v>
      </c>
      <c r="E94" s="157"/>
      <c r="F94" s="157"/>
      <c r="G94" s="157"/>
      <c r="H94" s="157"/>
      <c r="I94" s="157"/>
      <c r="J94" s="157"/>
      <c r="K94" s="157"/>
      <c r="L94" s="157"/>
      <c r="M94" s="157"/>
      <c r="N94" s="157"/>
      <c r="O94" s="157"/>
      <c r="P94" s="157"/>
      <c r="Q94" s="157"/>
      <c r="R94" s="157"/>
      <c r="S94" s="157"/>
      <c r="T94" s="157"/>
      <c r="U94" s="158"/>
    </row>
    <row r="95" spans="1:21" ht="97.5" customHeight="1">
      <c r="B95" s="111" t="s">
        <v>62</v>
      </c>
      <c r="C95" s="80" t="s">
        <v>71</v>
      </c>
      <c r="D95" s="143" t="s">
        <v>147</v>
      </c>
      <c r="E95" s="155"/>
      <c r="F95" s="155"/>
      <c r="G95" s="155"/>
      <c r="H95" s="155"/>
      <c r="I95" s="155"/>
      <c r="J95" s="155"/>
      <c r="K95" s="155"/>
      <c r="L95" s="155"/>
      <c r="M95" s="155"/>
      <c r="N95" s="155"/>
      <c r="O95" s="155"/>
      <c r="P95" s="155"/>
      <c r="Q95" s="155"/>
      <c r="R95" s="155"/>
      <c r="S95" s="155"/>
      <c r="T95" s="155"/>
      <c r="U95" s="156"/>
    </row>
    <row r="96" spans="1:21" ht="97.5" customHeight="1">
      <c r="B96" s="112"/>
      <c r="C96" s="82" t="s">
        <v>72</v>
      </c>
      <c r="D96" s="140" t="s">
        <v>148</v>
      </c>
      <c r="E96" s="141"/>
      <c r="F96" s="141"/>
      <c r="G96" s="141"/>
      <c r="H96" s="141"/>
      <c r="I96" s="141"/>
      <c r="J96" s="141"/>
      <c r="K96" s="141"/>
      <c r="L96" s="141"/>
      <c r="M96" s="141"/>
      <c r="N96" s="141"/>
      <c r="O96" s="141"/>
      <c r="P96" s="141"/>
      <c r="Q96" s="141"/>
      <c r="R96" s="141"/>
      <c r="S96" s="141"/>
      <c r="T96" s="141"/>
      <c r="U96" s="142"/>
    </row>
    <row r="97" spans="1:33" ht="97.5" customHeight="1">
      <c r="B97" s="111" t="s">
        <v>76</v>
      </c>
      <c r="C97" s="78" t="s">
        <v>57</v>
      </c>
      <c r="D97" s="143" t="s">
        <v>149</v>
      </c>
      <c r="E97" s="144"/>
      <c r="F97" s="144"/>
      <c r="G97" s="144"/>
      <c r="H97" s="144"/>
      <c r="I97" s="144"/>
      <c r="J97" s="144"/>
      <c r="K97" s="144"/>
      <c r="L97" s="144"/>
      <c r="M97" s="144"/>
      <c r="N97" s="144"/>
      <c r="O97" s="144"/>
      <c r="P97" s="144"/>
      <c r="Q97" s="144"/>
      <c r="R97" s="144"/>
      <c r="S97" s="144"/>
      <c r="T97" s="144"/>
      <c r="U97" s="145"/>
    </row>
    <row r="98" spans="1:33" ht="97.5" customHeight="1">
      <c r="B98" s="112"/>
      <c r="C98" s="81" t="s">
        <v>59</v>
      </c>
      <c r="D98" s="140" t="s">
        <v>150</v>
      </c>
      <c r="E98" s="141"/>
      <c r="F98" s="141"/>
      <c r="G98" s="141"/>
      <c r="H98" s="141"/>
      <c r="I98" s="141"/>
      <c r="J98" s="141"/>
      <c r="K98" s="141"/>
      <c r="L98" s="141"/>
      <c r="M98" s="141"/>
      <c r="N98" s="141"/>
      <c r="O98" s="141"/>
      <c r="P98" s="141"/>
      <c r="Q98" s="141"/>
      <c r="R98" s="141"/>
      <c r="S98" s="141"/>
      <c r="T98" s="141"/>
      <c r="U98" s="142"/>
    </row>
    <row r="99" spans="1:33" ht="97.5" customHeight="1">
      <c r="B99" s="111" t="s">
        <v>77</v>
      </c>
      <c r="C99" s="80" t="s">
        <v>56</v>
      </c>
      <c r="D99" s="143" t="s">
        <v>151</v>
      </c>
      <c r="E99" s="144"/>
      <c r="F99" s="144"/>
      <c r="G99" s="144"/>
      <c r="H99" s="144"/>
      <c r="I99" s="144"/>
      <c r="J99" s="144"/>
      <c r="K99" s="144"/>
      <c r="L99" s="144"/>
      <c r="M99" s="144"/>
      <c r="N99" s="144"/>
      <c r="O99" s="144"/>
      <c r="P99" s="144"/>
      <c r="Q99" s="144"/>
      <c r="R99" s="144"/>
      <c r="S99" s="144"/>
      <c r="T99" s="144"/>
      <c r="U99" s="145"/>
    </row>
    <row r="100" spans="1:33" ht="97.5" customHeight="1">
      <c r="B100" s="116"/>
      <c r="C100" s="83" t="s">
        <v>73</v>
      </c>
      <c r="D100" s="146" t="s">
        <v>152</v>
      </c>
      <c r="E100" s="147"/>
      <c r="F100" s="147"/>
      <c r="G100" s="147"/>
      <c r="H100" s="147"/>
      <c r="I100" s="147"/>
      <c r="J100" s="147"/>
      <c r="K100" s="147"/>
      <c r="L100" s="147"/>
      <c r="M100" s="147"/>
      <c r="N100" s="147"/>
      <c r="O100" s="147"/>
      <c r="P100" s="147"/>
      <c r="Q100" s="147"/>
      <c r="R100" s="147"/>
      <c r="S100" s="147"/>
      <c r="T100" s="147"/>
      <c r="U100" s="148"/>
    </row>
    <row r="101" spans="1:33" ht="97.5" customHeight="1">
      <c r="B101" s="112"/>
      <c r="C101" s="82" t="s">
        <v>74</v>
      </c>
      <c r="D101" s="140" t="s">
        <v>153</v>
      </c>
      <c r="E101" s="141"/>
      <c r="F101" s="141"/>
      <c r="G101" s="141"/>
      <c r="H101" s="141"/>
      <c r="I101" s="141"/>
      <c r="J101" s="141"/>
      <c r="K101" s="141"/>
      <c r="L101" s="141"/>
      <c r="M101" s="141"/>
      <c r="N101" s="141"/>
      <c r="O101" s="141"/>
      <c r="P101" s="141"/>
      <c r="Q101" s="141"/>
      <c r="R101" s="141"/>
      <c r="S101" s="141"/>
      <c r="T101" s="141"/>
      <c r="U101" s="142"/>
    </row>
    <row r="102" spans="1:33" ht="6" customHeight="1"/>
    <row r="103" spans="1:33" ht="18.75" customHeight="1">
      <c r="A103" s="55" t="s">
        <v>109</v>
      </c>
    </row>
    <row r="104" spans="1:33" ht="108.75" customHeight="1">
      <c r="B104" s="127" t="s">
        <v>154</v>
      </c>
      <c r="C104" s="128"/>
      <c r="D104" s="128"/>
      <c r="E104" s="128"/>
      <c r="F104" s="128"/>
      <c r="G104" s="128"/>
      <c r="H104" s="128"/>
      <c r="I104" s="128"/>
      <c r="J104" s="128"/>
      <c r="K104" s="128"/>
      <c r="L104" s="128"/>
      <c r="M104" s="128"/>
      <c r="N104" s="128"/>
      <c r="O104" s="128"/>
      <c r="P104" s="128"/>
      <c r="Q104" s="128"/>
      <c r="R104" s="128"/>
      <c r="S104" s="128"/>
      <c r="T104" s="128"/>
      <c r="U104" s="129"/>
    </row>
    <row r="106" spans="1:33" ht="18.75" customHeight="1">
      <c r="A106" s="84" t="s">
        <v>125</v>
      </c>
      <c r="B106" s="85"/>
      <c r="C106" s="85"/>
      <c r="D106" s="85"/>
      <c r="E106" s="85"/>
      <c r="F106" s="85"/>
      <c r="G106" s="85"/>
      <c r="H106" s="85"/>
      <c r="I106" s="85"/>
      <c r="J106" s="85"/>
      <c r="K106" s="85"/>
      <c r="L106" s="85"/>
      <c r="M106" s="85"/>
      <c r="N106" s="85"/>
      <c r="O106" s="85"/>
      <c r="P106" s="85"/>
      <c r="Q106" s="85"/>
      <c r="R106" s="85"/>
      <c r="S106" s="85"/>
      <c r="T106" s="85"/>
      <c r="U106" s="85"/>
    </row>
    <row r="107" spans="1:33" ht="18.75" customHeight="1">
      <c r="A107" s="84" t="s">
        <v>127</v>
      </c>
      <c r="B107" s="84"/>
      <c r="C107" s="84"/>
      <c r="D107" s="84"/>
      <c r="E107" s="84"/>
      <c r="F107" s="84"/>
      <c r="G107" s="84"/>
      <c r="H107" s="84"/>
      <c r="I107" s="84"/>
      <c r="J107" s="84"/>
      <c r="K107" s="84"/>
      <c r="L107" s="84"/>
      <c r="M107" s="84"/>
      <c r="N107" s="84"/>
      <c r="O107" s="84"/>
      <c r="P107" s="84"/>
      <c r="Q107" s="84"/>
      <c r="R107" s="84"/>
      <c r="S107" s="84"/>
      <c r="T107" s="84"/>
      <c r="U107" s="84"/>
      <c r="V107" s="59"/>
      <c r="W107" s="59"/>
      <c r="X107" s="59"/>
      <c r="Y107" s="59"/>
      <c r="Z107" s="59"/>
      <c r="AA107" s="59"/>
      <c r="AB107" s="59"/>
      <c r="AC107" s="59"/>
      <c r="AD107" s="59"/>
      <c r="AE107" s="59"/>
      <c r="AF107" s="59"/>
      <c r="AG107" s="59"/>
    </row>
    <row r="108" spans="1:33" ht="18.75" customHeight="1">
      <c r="A108" s="84"/>
      <c r="B108" s="139" t="s">
        <v>182</v>
      </c>
      <c r="C108" s="139"/>
      <c r="D108" s="139"/>
      <c r="E108" s="139"/>
      <c r="F108" s="139"/>
      <c r="G108" s="139"/>
      <c r="H108" s="139"/>
      <c r="I108" s="139"/>
      <c r="J108" s="139"/>
      <c r="K108" s="139"/>
      <c r="L108" s="139"/>
      <c r="M108" s="139"/>
      <c r="N108" s="139"/>
      <c r="O108" s="139"/>
      <c r="P108" s="139"/>
      <c r="Q108" s="139"/>
      <c r="R108" s="139"/>
      <c r="S108" s="139"/>
      <c r="T108" s="139"/>
      <c r="U108" s="139"/>
      <c r="V108" s="86"/>
      <c r="W108" s="86"/>
      <c r="X108" s="86"/>
      <c r="Y108" s="86"/>
      <c r="Z108" s="86"/>
      <c r="AA108" s="86"/>
      <c r="AB108" s="86"/>
      <c r="AC108" s="86"/>
      <c r="AD108" s="86"/>
      <c r="AE108" s="86"/>
      <c r="AF108" s="86"/>
      <c r="AG108" s="86"/>
    </row>
    <row r="109" spans="1:33" ht="37.15" customHeight="1">
      <c r="A109" s="84"/>
      <c r="B109" s="139"/>
      <c r="C109" s="139"/>
      <c r="D109" s="139"/>
      <c r="E109" s="139"/>
      <c r="F109" s="139"/>
      <c r="G109" s="139"/>
      <c r="H109" s="139"/>
      <c r="I109" s="139"/>
      <c r="J109" s="139"/>
      <c r="K109" s="139"/>
      <c r="L109" s="139"/>
      <c r="M109" s="139"/>
      <c r="N109" s="139"/>
      <c r="O109" s="139"/>
      <c r="P109" s="139"/>
      <c r="Q109" s="139"/>
      <c r="R109" s="139"/>
      <c r="S109" s="139"/>
      <c r="T109" s="139"/>
      <c r="U109" s="139"/>
      <c r="V109" s="86"/>
      <c r="W109" s="86"/>
      <c r="X109" s="86"/>
      <c r="Y109" s="86"/>
      <c r="Z109" s="86"/>
      <c r="AA109" s="86"/>
      <c r="AB109" s="86"/>
      <c r="AC109" s="86"/>
      <c r="AD109" s="86"/>
      <c r="AE109" s="86"/>
      <c r="AF109" s="86"/>
      <c r="AG109" s="86"/>
    </row>
    <row r="110" spans="1:33" ht="18.75" customHeight="1">
      <c r="A110" s="84"/>
      <c r="B110" s="89" t="s">
        <v>126</v>
      </c>
      <c r="C110" s="89"/>
      <c r="D110" s="89"/>
      <c r="E110" s="89"/>
      <c r="F110" s="89"/>
      <c r="G110" s="89"/>
      <c r="H110" s="89"/>
      <c r="I110" s="89"/>
      <c r="J110" s="89"/>
      <c r="K110" s="89"/>
      <c r="L110" s="89"/>
      <c r="M110" s="89"/>
      <c r="N110" s="89"/>
      <c r="O110" s="89"/>
      <c r="P110" s="89"/>
      <c r="Q110" s="89"/>
      <c r="R110" s="89"/>
      <c r="S110" s="89"/>
      <c r="T110" s="89"/>
      <c r="U110" s="89"/>
      <c r="V110" s="86"/>
      <c r="W110" s="86"/>
      <c r="X110" s="86"/>
      <c r="Y110" s="86"/>
      <c r="Z110" s="86"/>
      <c r="AA110" s="86"/>
      <c r="AB110" s="86"/>
      <c r="AC110" s="86"/>
      <c r="AD110" s="86"/>
      <c r="AE110" s="86"/>
      <c r="AF110" s="86"/>
      <c r="AG110" s="86"/>
    </row>
    <row r="111" spans="1:33" ht="18.75" customHeight="1">
      <c r="A111" s="84"/>
      <c r="B111" s="102" t="s">
        <v>54</v>
      </c>
      <c r="C111" s="102"/>
      <c r="D111" s="102"/>
      <c r="E111" s="102"/>
      <c r="F111" s="102"/>
      <c r="G111" s="102"/>
      <c r="H111" s="102"/>
      <c r="I111" s="102"/>
      <c r="J111" s="102"/>
      <c r="K111" s="102"/>
      <c r="L111" s="102"/>
      <c r="M111" s="102"/>
      <c r="N111" s="102"/>
      <c r="O111" s="102"/>
      <c r="P111" s="102"/>
      <c r="Q111" s="102"/>
      <c r="R111" s="102"/>
      <c r="S111" s="102"/>
      <c r="T111" s="102"/>
      <c r="U111" s="102"/>
      <c r="V111" s="59"/>
      <c r="W111" s="59"/>
      <c r="X111" s="59"/>
      <c r="Y111" s="59"/>
      <c r="Z111" s="59"/>
      <c r="AA111" s="59"/>
      <c r="AB111" s="59"/>
      <c r="AC111" s="59"/>
      <c r="AD111" s="59"/>
      <c r="AE111" s="59"/>
      <c r="AF111" s="59"/>
      <c r="AG111" s="59"/>
    </row>
    <row r="112" spans="1:33" ht="132" customHeight="1">
      <c r="A112" s="84"/>
      <c r="B112" s="103"/>
      <c r="C112" s="103"/>
      <c r="D112" s="103"/>
      <c r="E112" s="103"/>
      <c r="F112" s="103"/>
      <c r="G112" s="103"/>
      <c r="H112" s="103"/>
      <c r="I112" s="103"/>
      <c r="J112" s="103"/>
      <c r="K112" s="103"/>
      <c r="L112" s="103"/>
      <c r="M112" s="103"/>
      <c r="N112" s="103"/>
      <c r="O112" s="103"/>
      <c r="P112" s="103"/>
      <c r="Q112" s="103"/>
      <c r="R112" s="103"/>
      <c r="S112" s="103"/>
      <c r="T112" s="103"/>
      <c r="U112" s="103"/>
      <c r="V112" s="87"/>
      <c r="W112" s="87"/>
      <c r="X112" s="87"/>
      <c r="Y112" s="87"/>
      <c r="Z112" s="87"/>
      <c r="AA112" s="87"/>
      <c r="AB112" s="87"/>
      <c r="AC112" s="87"/>
      <c r="AD112" s="87"/>
      <c r="AE112" s="87"/>
      <c r="AF112" s="87"/>
      <c r="AG112" s="87"/>
    </row>
    <row r="114" ht="18" customHeight="1"/>
  </sheetData>
  <mergeCells count="148">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K77:P77"/>
    <mergeCell ref="A68:U69"/>
    <mergeCell ref="K81:Q81"/>
    <mergeCell ref="R81:U81"/>
    <mergeCell ref="R80:U80"/>
    <mergeCell ref="B81:F81"/>
    <mergeCell ref="K61:Q61"/>
    <mergeCell ref="B80:F80"/>
    <mergeCell ref="G81:J81"/>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R71:U77 S27:U33 H27:J33 S38:U44 H38:J44 S49:U55 H49:J55 S60:U66 H60:J66 G71:J77">
      <formula1>"○"</formula1>
    </dataValidation>
    <dataValidation type="list" allowBlank="1" showInputMessage="1" showErrorMessage="1" sqref="U34 U45 E34:H34 E45:H45">
      <formula1>"全学開講,一部開講"</formula1>
    </dataValidation>
    <dataValidation type="list" allowBlank="1" showInputMessage="1" showErrorMessage="1" sqref="L14 L7:U7">
      <formula1>"学部・学科によって、修了要件は相違する,学部・学科によって、修了要件は相違しない"</formula1>
    </dataValidation>
    <dataValidation type="list" allowBlank="1" showInputMessage="1" showErrorMessage="1" sqref="G81:G88 R81:R88 H81:J82 H85:J88 S85:U88 S81:U82">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formula1>$X$16:$X$18</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3"/>
  <sheetViews>
    <sheetView view="pageBreakPreview" zoomScaleNormal="100" zoomScaleSheetLayoutView="100" workbookViewId="0">
      <selection activeCell="F25" sqref="F25"/>
    </sheetView>
  </sheetViews>
  <sheetFormatPr defaultColWidth="9" defaultRowHeight="18.75" customHeight="1"/>
  <cols>
    <col min="1" max="1" width="2.75" style="1" customWidth="1"/>
    <col min="2" max="2" width="20.75" style="1" customWidth="1"/>
    <col min="3" max="18" width="6.125" style="1" customWidth="1"/>
    <col min="19" max="19" width="6.625" style="1" customWidth="1"/>
    <col min="20" max="16384" width="9" style="1"/>
  </cols>
  <sheetData>
    <row r="1" spans="1:21" ht="18" customHeight="1">
      <c r="A1" s="55"/>
      <c r="B1" s="55"/>
      <c r="C1" s="55"/>
      <c r="D1" s="55"/>
      <c r="E1" s="55"/>
      <c r="F1" s="55"/>
      <c r="G1" s="55"/>
      <c r="H1" s="55"/>
      <c r="I1" s="55"/>
      <c r="J1" s="55"/>
      <c r="K1" s="55"/>
      <c r="L1" s="55"/>
      <c r="M1" s="55"/>
      <c r="N1" s="55"/>
      <c r="O1" s="55"/>
      <c r="P1" s="55"/>
      <c r="Q1" s="55"/>
      <c r="R1" s="55"/>
      <c r="S1" s="55" t="s">
        <v>98</v>
      </c>
    </row>
    <row r="2" spans="1:21" ht="18" customHeight="1">
      <c r="A2" s="55"/>
      <c r="B2" s="55"/>
      <c r="C2" s="55"/>
      <c r="D2" s="55"/>
      <c r="E2" s="55"/>
      <c r="F2" s="55"/>
      <c r="G2" s="55"/>
      <c r="H2" s="55"/>
      <c r="I2" s="55"/>
      <c r="J2" s="55"/>
      <c r="K2" s="55"/>
      <c r="L2" s="55"/>
      <c r="M2" s="55"/>
      <c r="N2" s="55"/>
      <c r="O2" s="55"/>
      <c r="P2" s="55"/>
      <c r="Q2" s="167" t="str">
        <f>'様式１　プログラムを構成する授業科目'!C2</f>
        <v>天理大学</v>
      </c>
      <c r="R2" s="167"/>
      <c r="S2" s="167"/>
    </row>
    <row r="3" spans="1:21" ht="18" customHeight="1">
      <c r="A3" s="117" t="s">
        <v>47</v>
      </c>
      <c r="B3" s="117"/>
      <c r="C3" s="117"/>
      <c r="D3" s="117"/>
      <c r="E3" s="117"/>
      <c r="F3" s="117"/>
      <c r="G3" s="117"/>
      <c r="H3" s="117"/>
      <c r="I3" s="117"/>
      <c r="J3" s="117"/>
      <c r="K3" s="117"/>
      <c r="L3" s="117"/>
      <c r="M3" s="117"/>
      <c r="N3" s="117"/>
      <c r="O3" s="117"/>
      <c r="P3" s="117"/>
      <c r="Q3" s="117"/>
      <c r="R3" s="117"/>
      <c r="S3" s="117"/>
    </row>
    <row r="4" spans="1:21" ht="7.5" customHeight="1">
      <c r="A4" s="58"/>
      <c r="B4" s="58"/>
      <c r="C4" s="58"/>
      <c r="D4" s="58"/>
      <c r="E4" s="58"/>
      <c r="F4" s="58"/>
      <c r="G4" s="58"/>
      <c r="H4" s="58"/>
      <c r="I4" s="58"/>
      <c r="J4" s="58"/>
      <c r="K4" s="58"/>
      <c r="L4" s="58"/>
      <c r="M4" s="58"/>
      <c r="N4" s="58"/>
      <c r="O4" s="58"/>
      <c r="P4" s="58"/>
      <c r="Q4" s="58"/>
      <c r="R4" s="58"/>
      <c r="S4" s="58"/>
    </row>
    <row r="5" spans="1:21" ht="18" customHeight="1">
      <c r="A5" s="55" t="s">
        <v>80</v>
      </c>
      <c r="B5" s="55"/>
      <c r="C5" s="136" t="s">
        <v>155</v>
      </c>
      <c r="D5" s="138"/>
      <c r="E5" s="58" t="s">
        <v>51</v>
      </c>
      <c r="F5" s="58"/>
      <c r="G5" s="58"/>
      <c r="H5" s="58"/>
      <c r="I5" s="58"/>
      <c r="J5" s="58"/>
      <c r="K5" s="58"/>
      <c r="L5" s="58"/>
      <c r="M5" s="58"/>
      <c r="N5" s="58"/>
      <c r="O5" s="58"/>
      <c r="P5" s="58"/>
      <c r="Q5" s="58"/>
      <c r="R5" s="56"/>
      <c r="S5" s="56"/>
    </row>
    <row r="6" spans="1:21" ht="7.15" customHeight="1">
      <c r="A6" s="55"/>
      <c r="B6" s="55"/>
      <c r="C6" s="62"/>
      <c r="D6" s="62"/>
      <c r="E6" s="58"/>
      <c r="F6" s="58"/>
      <c r="G6" s="58"/>
      <c r="H6" s="58"/>
      <c r="I6" s="58"/>
      <c r="J6" s="58"/>
      <c r="K6" s="58"/>
      <c r="L6" s="58"/>
      <c r="M6" s="58"/>
      <c r="N6" s="58"/>
      <c r="O6" s="58"/>
      <c r="P6" s="58"/>
      <c r="Q6" s="58"/>
      <c r="R6" s="56"/>
      <c r="S6" s="56"/>
    </row>
    <row r="7" spans="1:21" ht="18" customHeight="1">
      <c r="A7" s="55" t="s">
        <v>118</v>
      </c>
      <c r="B7" s="55"/>
      <c r="C7" s="62"/>
      <c r="D7" s="62"/>
      <c r="E7" s="58" t="s">
        <v>119</v>
      </c>
      <c r="F7" s="88">
        <v>1716</v>
      </c>
      <c r="G7" s="60" t="s">
        <v>120</v>
      </c>
      <c r="H7" s="58" t="s">
        <v>121</v>
      </c>
      <c r="I7" s="88">
        <v>1235</v>
      </c>
      <c r="J7" s="60" t="s">
        <v>120</v>
      </c>
      <c r="K7" s="67" t="s">
        <v>122</v>
      </c>
      <c r="L7" s="58" t="s">
        <v>123</v>
      </c>
      <c r="M7" s="88">
        <f>F7+I7</f>
        <v>2951</v>
      </c>
      <c r="N7" s="58" t="s">
        <v>1</v>
      </c>
      <c r="O7" s="60" t="s">
        <v>124</v>
      </c>
      <c r="P7" s="58"/>
      <c r="Q7" s="58"/>
      <c r="R7" s="56"/>
      <c r="S7" s="56"/>
    </row>
    <row r="8" spans="1:21" ht="6" customHeight="1">
      <c r="A8" s="58"/>
      <c r="B8" s="58"/>
      <c r="C8" s="58"/>
      <c r="D8" s="58"/>
      <c r="E8" s="58"/>
      <c r="F8" s="58"/>
      <c r="G8" s="58"/>
      <c r="H8" s="58"/>
      <c r="I8" s="58"/>
      <c r="J8" s="58"/>
      <c r="K8" s="58"/>
      <c r="L8" s="58"/>
      <c r="M8" s="58"/>
      <c r="N8" s="58"/>
      <c r="O8" s="58"/>
      <c r="P8" s="58"/>
      <c r="Q8" s="58"/>
      <c r="R8" s="58"/>
      <c r="S8" s="58"/>
    </row>
    <row r="9" spans="1:21" ht="18" customHeight="1">
      <c r="A9" s="55" t="s">
        <v>133</v>
      </c>
      <c r="B9" s="58"/>
      <c r="C9" s="58"/>
      <c r="D9" s="58"/>
      <c r="E9" s="58"/>
      <c r="F9" s="58"/>
      <c r="G9" s="58"/>
      <c r="H9" s="58"/>
      <c r="I9" s="58"/>
      <c r="J9" s="58"/>
      <c r="K9" s="58"/>
      <c r="L9" s="58"/>
      <c r="M9" s="58"/>
      <c r="N9" s="58"/>
      <c r="O9" s="58"/>
      <c r="P9" s="58"/>
      <c r="Q9" s="58"/>
      <c r="R9" s="58"/>
      <c r="S9" s="58"/>
    </row>
    <row r="10" spans="1:21" ht="6" customHeight="1">
      <c r="B10" s="3"/>
      <c r="C10" s="3"/>
      <c r="D10" s="3"/>
      <c r="E10" s="3"/>
      <c r="F10" s="3"/>
      <c r="G10" s="3"/>
      <c r="H10" s="3"/>
      <c r="I10" s="3"/>
      <c r="J10" s="3"/>
      <c r="K10" s="3"/>
      <c r="L10" s="3"/>
      <c r="M10" s="3"/>
      <c r="N10" s="3"/>
      <c r="O10" s="3"/>
      <c r="P10" s="3"/>
      <c r="Q10" s="3"/>
      <c r="R10" s="3"/>
      <c r="S10" s="3"/>
    </row>
    <row r="11" spans="1:21" ht="18" customHeight="1">
      <c r="B11" s="168" t="s">
        <v>44</v>
      </c>
      <c r="C11" s="178" t="s">
        <v>83</v>
      </c>
      <c r="D11" s="170" t="s">
        <v>46</v>
      </c>
      <c r="E11" s="172" t="s">
        <v>39</v>
      </c>
      <c r="F11" s="166" t="s">
        <v>112</v>
      </c>
      <c r="G11" s="166"/>
      <c r="H11" s="166" t="s">
        <v>82</v>
      </c>
      <c r="I11" s="166"/>
      <c r="J11" s="166" t="s">
        <v>48</v>
      </c>
      <c r="K11" s="166"/>
      <c r="L11" s="166" t="s">
        <v>49</v>
      </c>
      <c r="M11" s="166"/>
      <c r="N11" s="166" t="s">
        <v>92</v>
      </c>
      <c r="O11" s="166"/>
      <c r="P11" s="166" t="s">
        <v>50</v>
      </c>
      <c r="Q11" s="166"/>
      <c r="R11" s="174" t="s">
        <v>35</v>
      </c>
      <c r="S11" s="176" t="s">
        <v>32</v>
      </c>
      <c r="U11" s="2"/>
    </row>
    <row r="12" spans="1:21" ht="16.899999999999999" customHeight="1">
      <c r="B12" s="169"/>
      <c r="C12" s="179"/>
      <c r="D12" s="171"/>
      <c r="E12" s="173"/>
      <c r="F12" s="47" t="s">
        <v>91</v>
      </c>
      <c r="G12" s="47" t="s">
        <v>29</v>
      </c>
      <c r="H12" s="47" t="s">
        <v>91</v>
      </c>
      <c r="I12" s="47" t="s">
        <v>29</v>
      </c>
      <c r="J12" s="47" t="s">
        <v>91</v>
      </c>
      <c r="K12" s="47" t="s">
        <v>29</v>
      </c>
      <c r="L12" s="47" t="s">
        <v>91</v>
      </c>
      <c r="M12" s="47" t="s">
        <v>29</v>
      </c>
      <c r="N12" s="47" t="s">
        <v>91</v>
      </c>
      <c r="O12" s="47" t="s">
        <v>29</v>
      </c>
      <c r="P12" s="47" t="s">
        <v>91</v>
      </c>
      <c r="Q12" s="48" t="s">
        <v>29</v>
      </c>
      <c r="R12" s="175"/>
      <c r="S12" s="177"/>
      <c r="U12" s="2"/>
    </row>
    <row r="13" spans="1:21" ht="18" customHeight="1">
      <c r="A13" s="6"/>
      <c r="B13" s="63" t="s">
        <v>156</v>
      </c>
      <c r="C13" s="35">
        <v>392</v>
      </c>
      <c r="D13" s="36">
        <v>120</v>
      </c>
      <c r="E13" s="37">
        <v>480</v>
      </c>
      <c r="F13" s="37">
        <v>1</v>
      </c>
      <c r="G13" s="37">
        <v>1</v>
      </c>
      <c r="H13" s="37"/>
      <c r="I13" s="37"/>
      <c r="J13" s="37"/>
      <c r="K13" s="37"/>
      <c r="L13" s="37"/>
      <c r="M13" s="37"/>
      <c r="N13" s="37"/>
      <c r="O13" s="37"/>
      <c r="P13" s="37"/>
      <c r="Q13" s="49"/>
      <c r="R13" s="36">
        <f t="shared" ref="R13:R32" si="0">F13+H13+J13+L13+N13+P13</f>
        <v>1</v>
      </c>
      <c r="S13" s="65">
        <f t="shared" ref="S13:S33" si="1">R13/E13</f>
        <v>2.0833333333333333E-3</v>
      </c>
    </row>
    <row r="14" spans="1:21" ht="18" customHeight="1">
      <c r="A14" s="6"/>
      <c r="B14" s="10" t="s">
        <v>157</v>
      </c>
      <c r="C14" s="38">
        <v>270</v>
      </c>
      <c r="D14" s="39">
        <v>90</v>
      </c>
      <c r="E14" s="40">
        <v>360</v>
      </c>
      <c r="F14" s="41">
        <v>1</v>
      </c>
      <c r="G14" s="41">
        <v>1</v>
      </c>
      <c r="H14" s="41"/>
      <c r="I14" s="41"/>
      <c r="J14" s="41"/>
      <c r="K14" s="41"/>
      <c r="L14" s="41"/>
      <c r="M14" s="41"/>
      <c r="N14" s="41"/>
      <c r="O14" s="41"/>
      <c r="P14" s="41"/>
      <c r="Q14" s="38"/>
      <c r="R14" s="39">
        <f t="shared" si="0"/>
        <v>1</v>
      </c>
      <c r="S14" s="64">
        <f>R14/E14</f>
        <v>2.7777777777777779E-3</v>
      </c>
    </row>
    <row r="15" spans="1:21" ht="18" customHeight="1">
      <c r="A15" s="6"/>
      <c r="B15" s="10" t="s">
        <v>158</v>
      </c>
      <c r="C15" s="38">
        <v>1005</v>
      </c>
      <c r="D15" s="39">
        <v>360</v>
      </c>
      <c r="E15" s="40">
        <v>1440</v>
      </c>
      <c r="F15" s="41">
        <v>7</v>
      </c>
      <c r="G15" s="41">
        <v>7</v>
      </c>
      <c r="H15" s="41"/>
      <c r="I15" s="41"/>
      <c r="J15" s="41"/>
      <c r="K15" s="41"/>
      <c r="L15" s="41"/>
      <c r="M15" s="41"/>
      <c r="N15" s="41"/>
      <c r="O15" s="41"/>
      <c r="P15" s="41"/>
      <c r="Q15" s="38"/>
      <c r="R15" s="39">
        <f t="shared" si="0"/>
        <v>7</v>
      </c>
      <c r="S15" s="64">
        <f>R15/E15</f>
        <v>4.8611111111111112E-3</v>
      </c>
    </row>
    <row r="16" spans="1:21" ht="18" customHeight="1">
      <c r="A16" s="6"/>
      <c r="B16" s="10" t="s">
        <v>159</v>
      </c>
      <c r="C16" s="38">
        <v>872</v>
      </c>
      <c r="D16" s="39">
        <v>200</v>
      </c>
      <c r="E16" s="40">
        <v>800</v>
      </c>
      <c r="F16" s="41">
        <f t="shared" ref="F16:G17" si="2">G16+H16</f>
        <v>0</v>
      </c>
      <c r="G16" s="41">
        <f t="shared" si="2"/>
        <v>0</v>
      </c>
      <c r="H16" s="41"/>
      <c r="I16" s="41"/>
      <c r="J16" s="41"/>
      <c r="K16" s="41"/>
      <c r="L16" s="41"/>
      <c r="M16" s="41"/>
      <c r="N16" s="41"/>
      <c r="O16" s="41"/>
      <c r="P16" s="41"/>
      <c r="Q16" s="38"/>
      <c r="R16" s="39">
        <f t="shared" si="0"/>
        <v>0</v>
      </c>
      <c r="S16" s="64">
        <f>R16/E16</f>
        <v>0</v>
      </c>
    </row>
    <row r="17" spans="1:19" ht="18" customHeight="1">
      <c r="A17" s="6"/>
      <c r="B17" s="10" t="s">
        <v>160</v>
      </c>
      <c r="C17" s="38">
        <v>412</v>
      </c>
      <c r="D17" s="39">
        <v>100</v>
      </c>
      <c r="E17" s="40">
        <v>400</v>
      </c>
      <c r="F17" s="41">
        <f t="shared" si="2"/>
        <v>0</v>
      </c>
      <c r="G17" s="41">
        <f t="shared" si="2"/>
        <v>0</v>
      </c>
      <c r="H17" s="41"/>
      <c r="I17" s="41"/>
      <c r="J17" s="41"/>
      <c r="K17" s="41"/>
      <c r="L17" s="41"/>
      <c r="M17" s="41"/>
      <c r="N17" s="41"/>
      <c r="O17" s="41"/>
      <c r="P17" s="41"/>
      <c r="Q17" s="38"/>
      <c r="R17" s="39">
        <f t="shared" si="0"/>
        <v>0</v>
      </c>
      <c r="S17" s="64">
        <f t="shared" si="1"/>
        <v>0</v>
      </c>
    </row>
    <row r="18" spans="1:19" ht="18" customHeight="1">
      <c r="A18" s="6"/>
      <c r="B18" s="10"/>
      <c r="C18" s="38"/>
      <c r="D18" s="39"/>
      <c r="E18" s="40"/>
      <c r="F18" s="41"/>
      <c r="G18" s="41"/>
      <c r="H18" s="41"/>
      <c r="I18" s="41"/>
      <c r="J18" s="41"/>
      <c r="K18" s="41"/>
      <c r="L18" s="41"/>
      <c r="M18" s="41"/>
      <c r="N18" s="41"/>
      <c r="O18" s="41"/>
      <c r="P18" s="41"/>
      <c r="Q18" s="38"/>
      <c r="R18" s="39">
        <f t="shared" si="0"/>
        <v>0</v>
      </c>
      <c r="S18" s="8" t="e">
        <f t="shared" si="1"/>
        <v>#DIV/0!</v>
      </c>
    </row>
    <row r="19" spans="1:19" ht="18" customHeight="1">
      <c r="A19" s="6"/>
      <c r="B19" s="10"/>
      <c r="C19" s="38"/>
      <c r="D19" s="39"/>
      <c r="E19" s="40"/>
      <c r="F19" s="41"/>
      <c r="G19" s="41"/>
      <c r="H19" s="41"/>
      <c r="I19" s="41"/>
      <c r="J19" s="41"/>
      <c r="K19" s="41"/>
      <c r="L19" s="41"/>
      <c r="M19" s="41"/>
      <c r="N19" s="41"/>
      <c r="O19" s="41"/>
      <c r="P19" s="41"/>
      <c r="Q19" s="38"/>
      <c r="R19" s="39">
        <f t="shared" si="0"/>
        <v>0</v>
      </c>
      <c r="S19" s="8" t="e">
        <f t="shared" si="1"/>
        <v>#DIV/0!</v>
      </c>
    </row>
    <row r="20" spans="1:19" ht="18" customHeight="1">
      <c r="A20" s="6"/>
      <c r="B20" s="10"/>
      <c r="C20" s="38"/>
      <c r="D20" s="39"/>
      <c r="E20" s="40"/>
      <c r="F20" s="41"/>
      <c r="G20" s="41"/>
      <c r="H20" s="41"/>
      <c r="I20" s="41"/>
      <c r="J20" s="41"/>
      <c r="K20" s="41"/>
      <c r="L20" s="41"/>
      <c r="M20" s="41"/>
      <c r="N20" s="41"/>
      <c r="O20" s="41"/>
      <c r="P20" s="41"/>
      <c r="Q20" s="38"/>
      <c r="R20" s="39">
        <f t="shared" si="0"/>
        <v>0</v>
      </c>
      <c r="S20" s="8" t="e">
        <f t="shared" si="1"/>
        <v>#DIV/0!</v>
      </c>
    </row>
    <row r="21" spans="1:19" ht="18" customHeight="1">
      <c r="A21" s="6"/>
      <c r="B21" s="10"/>
      <c r="C21" s="38"/>
      <c r="D21" s="39"/>
      <c r="E21" s="40"/>
      <c r="F21" s="41"/>
      <c r="G21" s="41"/>
      <c r="H21" s="41"/>
      <c r="I21" s="41"/>
      <c r="J21" s="41"/>
      <c r="K21" s="41"/>
      <c r="L21" s="41"/>
      <c r="M21" s="41"/>
      <c r="N21" s="41"/>
      <c r="O21" s="41"/>
      <c r="P21" s="41"/>
      <c r="Q21" s="38"/>
      <c r="R21" s="39">
        <f t="shared" si="0"/>
        <v>0</v>
      </c>
      <c r="S21" s="8" t="e">
        <f t="shared" si="1"/>
        <v>#DIV/0!</v>
      </c>
    </row>
    <row r="22" spans="1:19" ht="18" customHeight="1">
      <c r="A22" s="6"/>
      <c r="B22" s="10"/>
      <c r="C22" s="38"/>
      <c r="D22" s="39"/>
      <c r="E22" s="40"/>
      <c r="F22" s="41"/>
      <c r="G22" s="41"/>
      <c r="H22" s="41"/>
      <c r="I22" s="41"/>
      <c r="J22" s="41"/>
      <c r="K22" s="41"/>
      <c r="L22" s="41"/>
      <c r="M22" s="41"/>
      <c r="N22" s="41"/>
      <c r="O22" s="41"/>
      <c r="P22" s="41"/>
      <c r="Q22" s="38"/>
      <c r="R22" s="39">
        <f t="shared" si="0"/>
        <v>0</v>
      </c>
      <c r="S22" s="8" t="e">
        <f t="shared" si="1"/>
        <v>#DIV/0!</v>
      </c>
    </row>
    <row r="23" spans="1:19" ht="18" customHeight="1">
      <c r="A23" s="6"/>
      <c r="B23" s="10"/>
      <c r="C23" s="38"/>
      <c r="D23" s="39"/>
      <c r="E23" s="40"/>
      <c r="F23" s="41"/>
      <c r="G23" s="41"/>
      <c r="H23" s="41"/>
      <c r="I23" s="41"/>
      <c r="J23" s="41"/>
      <c r="K23" s="41"/>
      <c r="L23" s="41"/>
      <c r="M23" s="41"/>
      <c r="N23" s="41"/>
      <c r="O23" s="41"/>
      <c r="P23" s="41"/>
      <c r="Q23" s="38"/>
      <c r="R23" s="39">
        <f t="shared" si="0"/>
        <v>0</v>
      </c>
      <c r="S23" s="8" t="e">
        <f t="shared" si="1"/>
        <v>#DIV/0!</v>
      </c>
    </row>
    <row r="24" spans="1:19" ht="18" customHeight="1">
      <c r="A24" s="6"/>
      <c r="B24" s="10"/>
      <c r="C24" s="38"/>
      <c r="D24" s="39"/>
      <c r="E24" s="40"/>
      <c r="F24" s="41"/>
      <c r="G24" s="41"/>
      <c r="H24" s="41"/>
      <c r="I24" s="41"/>
      <c r="J24" s="41"/>
      <c r="K24" s="41"/>
      <c r="L24" s="41"/>
      <c r="M24" s="41"/>
      <c r="N24" s="41"/>
      <c r="O24" s="41"/>
      <c r="P24" s="41"/>
      <c r="Q24" s="38"/>
      <c r="R24" s="39">
        <f t="shared" si="0"/>
        <v>0</v>
      </c>
      <c r="S24" s="8" t="e">
        <f t="shared" si="1"/>
        <v>#DIV/0!</v>
      </c>
    </row>
    <row r="25" spans="1:19" ht="18" customHeight="1">
      <c r="A25" s="6"/>
      <c r="B25" s="10"/>
      <c r="C25" s="38"/>
      <c r="D25" s="39"/>
      <c r="E25" s="40"/>
      <c r="F25" s="41"/>
      <c r="G25" s="41"/>
      <c r="H25" s="41"/>
      <c r="I25" s="41"/>
      <c r="J25" s="41"/>
      <c r="K25" s="41"/>
      <c r="L25" s="41"/>
      <c r="M25" s="41"/>
      <c r="N25" s="41"/>
      <c r="O25" s="41"/>
      <c r="P25" s="41"/>
      <c r="Q25" s="38"/>
      <c r="R25" s="39">
        <f t="shared" si="0"/>
        <v>0</v>
      </c>
      <c r="S25" s="8" t="e">
        <f t="shared" si="1"/>
        <v>#DIV/0!</v>
      </c>
    </row>
    <row r="26" spans="1:19" ht="18" customHeight="1">
      <c r="A26" s="6"/>
      <c r="B26" s="10"/>
      <c r="C26" s="38"/>
      <c r="D26" s="39"/>
      <c r="E26" s="40"/>
      <c r="F26" s="41"/>
      <c r="G26" s="41"/>
      <c r="H26" s="41"/>
      <c r="I26" s="41"/>
      <c r="J26" s="41"/>
      <c r="K26" s="41"/>
      <c r="L26" s="41"/>
      <c r="M26" s="41"/>
      <c r="N26" s="41"/>
      <c r="O26" s="41"/>
      <c r="P26" s="41"/>
      <c r="Q26" s="38"/>
      <c r="R26" s="39">
        <f t="shared" si="0"/>
        <v>0</v>
      </c>
      <c r="S26" s="8" t="e">
        <f t="shared" si="1"/>
        <v>#DIV/0!</v>
      </c>
    </row>
    <row r="27" spans="1:19" ht="18" customHeight="1">
      <c r="A27" s="6"/>
      <c r="B27" s="10"/>
      <c r="C27" s="38"/>
      <c r="D27" s="39"/>
      <c r="E27" s="40"/>
      <c r="F27" s="41"/>
      <c r="G27" s="41"/>
      <c r="H27" s="41"/>
      <c r="I27" s="41"/>
      <c r="J27" s="41"/>
      <c r="K27" s="41"/>
      <c r="L27" s="41"/>
      <c r="M27" s="41"/>
      <c r="N27" s="41"/>
      <c r="O27" s="41"/>
      <c r="P27" s="41"/>
      <c r="Q27" s="38"/>
      <c r="R27" s="39">
        <f t="shared" si="0"/>
        <v>0</v>
      </c>
      <c r="S27" s="8" t="e">
        <f t="shared" si="1"/>
        <v>#DIV/0!</v>
      </c>
    </row>
    <row r="28" spans="1:19" ht="18" customHeight="1">
      <c r="A28" s="6"/>
      <c r="B28" s="10"/>
      <c r="C28" s="38"/>
      <c r="D28" s="39"/>
      <c r="E28" s="40"/>
      <c r="F28" s="41"/>
      <c r="G28" s="41"/>
      <c r="H28" s="41"/>
      <c r="I28" s="41"/>
      <c r="J28" s="41"/>
      <c r="K28" s="41"/>
      <c r="L28" s="41"/>
      <c r="M28" s="41"/>
      <c r="N28" s="41"/>
      <c r="O28" s="41"/>
      <c r="P28" s="41"/>
      <c r="Q28" s="38"/>
      <c r="R28" s="39">
        <f t="shared" si="0"/>
        <v>0</v>
      </c>
      <c r="S28" s="8" t="e">
        <f t="shared" si="1"/>
        <v>#DIV/0!</v>
      </c>
    </row>
    <row r="29" spans="1:19" ht="18" customHeight="1">
      <c r="A29" s="6"/>
      <c r="B29" s="10"/>
      <c r="C29" s="38"/>
      <c r="D29" s="39"/>
      <c r="E29" s="40"/>
      <c r="F29" s="41"/>
      <c r="G29" s="41"/>
      <c r="H29" s="41"/>
      <c r="I29" s="41"/>
      <c r="J29" s="41"/>
      <c r="K29" s="41"/>
      <c r="L29" s="41"/>
      <c r="M29" s="41"/>
      <c r="N29" s="41"/>
      <c r="O29" s="41"/>
      <c r="P29" s="41"/>
      <c r="Q29" s="38"/>
      <c r="R29" s="39">
        <f t="shared" si="0"/>
        <v>0</v>
      </c>
      <c r="S29" s="8" t="e">
        <f t="shared" si="1"/>
        <v>#DIV/0!</v>
      </c>
    </row>
    <row r="30" spans="1:19" ht="18" customHeight="1">
      <c r="A30" s="6"/>
      <c r="B30" s="10"/>
      <c r="C30" s="38"/>
      <c r="D30" s="42"/>
      <c r="E30" s="40"/>
      <c r="F30" s="41"/>
      <c r="G30" s="41"/>
      <c r="H30" s="41"/>
      <c r="I30" s="41"/>
      <c r="J30" s="41"/>
      <c r="K30" s="41"/>
      <c r="L30" s="41"/>
      <c r="M30" s="41"/>
      <c r="N30" s="41"/>
      <c r="O30" s="41"/>
      <c r="P30" s="41"/>
      <c r="Q30" s="38"/>
      <c r="R30" s="42">
        <f t="shared" si="0"/>
        <v>0</v>
      </c>
      <c r="S30" s="8" t="e">
        <f t="shared" si="1"/>
        <v>#DIV/0!</v>
      </c>
    </row>
    <row r="31" spans="1:19" ht="18" customHeight="1">
      <c r="A31" s="6"/>
      <c r="B31" s="10"/>
      <c r="C31" s="38"/>
      <c r="D31" s="42"/>
      <c r="E31" s="40"/>
      <c r="F31" s="41"/>
      <c r="G31" s="41"/>
      <c r="H31" s="41"/>
      <c r="I31" s="41"/>
      <c r="J31" s="41"/>
      <c r="K31" s="41"/>
      <c r="L31" s="41"/>
      <c r="M31" s="41"/>
      <c r="N31" s="41"/>
      <c r="O31" s="41"/>
      <c r="P31" s="41"/>
      <c r="Q31" s="38"/>
      <c r="R31" s="42">
        <f t="shared" si="0"/>
        <v>0</v>
      </c>
      <c r="S31" s="8" t="e">
        <f t="shared" si="1"/>
        <v>#DIV/0!</v>
      </c>
    </row>
    <row r="32" spans="1:19" ht="18" customHeight="1" thickBot="1">
      <c r="A32" s="6"/>
      <c r="B32" s="11"/>
      <c r="C32" s="35"/>
      <c r="D32" s="43"/>
      <c r="E32" s="37"/>
      <c r="F32" s="37"/>
      <c r="G32" s="37"/>
      <c r="H32" s="37"/>
      <c r="I32" s="37"/>
      <c r="J32" s="37"/>
      <c r="K32" s="37"/>
      <c r="L32" s="37"/>
      <c r="M32" s="37"/>
      <c r="N32" s="37"/>
      <c r="O32" s="37"/>
      <c r="P32" s="37"/>
      <c r="Q32" s="38"/>
      <c r="R32" s="43">
        <f t="shared" si="0"/>
        <v>0</v>
      </c>
      <c r="S32" s="7" t="e">
        <f t="shared" si="1"/>
        <v>#DIV/0!</v>
      </c>
    </row>
    <row r="33" spans="2:19" ht="18" customHeight="1" thickTop="1">
      <c r="B33" s="12" t="s">
        <v>33</v>
      </c>
      <c r="C33" s="44">
        <f t="shared" ref="C33" si="3">SUM(C13:C32)</f>
        <v>2951</v>
      </c>
      <c r="D33" s="45">
        <f t="shared" ref="D33:R33" si="4">SUM(D13:D32)</f>
        <v>870</v>
      </c>
      <c r="E33" s="46">
        <f t="shared" si="4"/>
        <v>3480</v>
      </c>
      <c r="F33" s="46">
        <f t="shared" si="4"/>
        <v>9</v>
      </c>
      <c r="G33" s="46">
        <f t="shared" ref="G33:H33" si="5">SUM(G13:G32)</f>
        <v>9</v>
      </c>
      <c r="H33" s="46">
        <f t="shared" si="5"/>
        <v>0</v>
      </c>
      <c r="I33" s="46">
        <f t="shared" ref="I33:J33" si="6">SUM(I13:I32)</f>
        <v>0</v>
      </c>
      <c r="J33" s="46">
        <f t="shared" si="6"/>
        <v>0</v>
      </c>
      <c r="K33" s="46">
        <f t="shared" ref="K33:O33" si="7">SUM(K13:K32)</f>
        <v>0</v>
      </c>
      <c r="L33" s="46">
        <f t="shared" si="7"/>
        <v>0</v>
      </c>
      <c r="M33" s="46">
        <f t="shared" si="7"/>
        <v>0</v>
      </c>
      <c r="N33" s="46">
        <f t="shared" si="7"/>
        <v>0</v>
      </c>
      <c r="O33" s="46">
        <f t="shared" si="7"/>
        <v>0</v>
      </c>
      <c r="P33" s="46">
        <f t="shared" ref="P33:Q33" si="8">SUM(P13:P32)</f>
        <v>0</v>
      </c>
      <c r="Q33" s="44">
        <f t="shared" si="8"/>
        <v>0</v>
      </c>
      <c r="R33" s="45">
        <f t="shared" si="4"/>
        <v>9</v>
      </c>
      <c r="S33" s="66">
        <f t="shared" si="1"/>
        <v>2.5862068965517241E-3</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9"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56"/>
  <sheetViews>
    <sheetView showZeros="0" zoomScaleNormal="100" zoomScaleSheetLayoutView="100" workbookViewId="0">
      <selection activeCell="B88" sqref="B88:I99"/>
    </sheetView>
  </sheetViews>
  <sheetFormatPr defaultColWidth="11.375" defaultRowHeight="18.75" customHeight="1"/>
  <cols>
    <col min="1" max="1" width="2.75" style="17"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c r="A1" s="17" t="s">
        <v>63</v>
      </c>
      <c r="I1" s="16" t="s">
        <v>97</v>
      </c>
    </row>
    <row r="2" spans="1:9" ht="18.75" customHeight="1">
      <c r="G2" s="16" t="s">
        <v>99</v>
      </c>
      <c r="H2" s="181" t="str">
        <f>'様式１　プログラムを構成する授業科目'!C2</f>
        <v>天理大学</v>
      </c>
      <c r="I2" s="182"/>
    </row>
    <row r="3" spans="1:9" ht="18.75" customHeight="1">
      <c r="G3" s="16"/>
      <c r="H3" s="9"/>
      <c r="I3" s="9"/>
    </row>
    <row r="4" spans="1:9" ht="18.600000000000001" customHeight="1">
      <c r="A4" s="183" t="s">
        <v>36</v>
      </c>
      <c r="B4" s="183"/>
      <c r="C4" s="183"/>
      <c r="D4" s="183"/>
      <c r="E4" s="183"/>
      <c r="F4" s="183"/>
      <c r="G4" s="183"/>
      <c r="H4" s="183"/>
      <c r="I4" s="183"/>
    </row>
    <row r="5" spans="1:9" ht="13.15" customHeight="1">
      <c r="B5" s="3"/>
      <c r="C5" s="3"/>
      <c r="D5" s="3"/>
      <c r="E5" s="3"/>
      <c r="F5" s="3"/>
      <c r="G5" s="3"/>
      <c r="H5" s="3"/>
      <c r="I5" s="3"/>
    </row>
    <row r="6" spans="1:9" ht="18" customHeight="1">
      <c r="A6" s="1" t="s">
        <v>0</v>
      </c>
      <c r="B6" s="9" t="s">
        <v>86</v>
      </c>
      <c r="C6" s="212" t="s">
        <v>87</v>
      </c>
      <c r="D6" s="212"/>
      <c r="E6" s="15">
        <v>164</v>
      </c>
      <c r="F6" s="3" t="s">
        <v>1</v>
      </c>
      <c r="G6" s="3" t="s">
        <v>2</v>
      </c>
      <c r="H6" s="15">
        <v>271</v>
      </c>
      <c r="I6" s="9" t="s">
        <v>1</v>
      </c>
    </row>
    <row r="7" spans="1:9" ht="12" customHeight="1">
      <c r="C7" s="2"/>
      <c r="D7" s="2"/>
      <c r="E7" s="2"/>
      <c r="F7" s="2"/>
      <c r="G7" s="2"/>
      <c r="H7" s="2"/>
      <c r="I7" s="18"/>
    </row>
    <row r="8" spans="1:9" ht="18" customHeight="1">
      <c r="A8" s="1" t="s">
        <v>3</v>
      </c>
      <c r="B8" s="9" t="s">
        <v>88</v>
      </c>
      <c r="E8" s="3"/>
      <c r="F8" s="3"/>
      <c r="G8" s="3"/>
      <c r="H8" s="15">
        <v>3</v>
      </c>
      <c r="I8" s="9" t="s">
        <v>1</v>
      </c>
    </row>
    <row r="9" spans="1:9" ht="9" customHeight="1">
      <c r="B9" s="3"/>
      <c r="C9" s="3"/>
      <c r="D9" s="3"/>
      <c r="E9" s="3"/>
      <c r="F9" s="3"/>
      <c r="G9" s="3"/>
      <c r="H9" s="3"/>
      <c r="I9" s="3"/>
    </row>
    <row r="10" spans="1:9" ht="18" customHeight="1">
      <c r="A10" s="1" t="s">
        <v>4</v>
      </c>
      <c r="B10" s="9" t="s">
        <v>89</v>
      </c>
      <c r="C10" s="3"/>
      <c r="D10" s="3"/>
      <c r="E10" s="3"/>
      <c r="F10" s="3"/>
      <c r="G10" s="3"/>
      <c r="H10" s="3"/>
      <c r="I10" s="3"/>
    </row>
    <row r="11" spans="1:9" ht="18" customHeight="1">
      <c r="B11" s="16" t="s">
        <v>42</v>
      </c>
      <c r="C11" s="207" t="s">
        <v>161</v>
      </c>
      <c r="D11" s="210"/>
      <c r="E11" s="211"/>
      <c r="F11" s="18"/>
      <c r="G11" s="16" t="s">
        <v>10</v>
      </c>
      <c r="H11" s="207" t="s">
        <v>162</v>
      </c>
      <c r="I11" s="211"/>
    </row>
    <row r="12" spans="1:9" ht="10.15" customHeight="1">
      <c r="B12" s="16"/>
      <c r="C12" s="9"/>
      <c r="D12" s="18"/>
      <c r="E12" s="18"/>
      <c r="F12" s="18"/>
      <c r="G12" s="16"/>
      <c r="H12" s="9"/>
      <c r="I12" s="18"/>
    </row>
    <row r="13" spans="1:9" ht="18" customHeight="1">
      <c r="A13" s="1" t="s">
        <v>7</v>
      </c>
      <c r="B13" s="9" t="s">
        <v>84</v>
      </c>
      <c r="C13" s="3"/>
      <c r="D13" s="3"/>
      <c r="E13" s="3"/>
      <c r="F13" s="3"/>
      <c r="G13" s="3"/>
      <c r="H13" s="3"/>
      <c r="I13" s="3"/>
    </row>
    <row r="14" spans="1:9" ht="18" customHeight="1">
      <c r="B14" s="207" t="s">
        <v>163</v>
      </c>
      <c r="C14" s="208"/>
      <c r="D14" s="208"/>
      <c r="E14" s="208"/>
      <c r="F14" s="208"/>
      <c r="G14" s="208"/>
      <c r="H14" s="208"/>
      <c r="I14" s="209"/>
    </row>
    <row r="15" spans="1:9" ht="9" customHeight="1">
      <c r="B15" s="3"/>
      <c r="C15" s="3"/>
      <c r="D15" s="3"/>
      <c r="E15" s="3"/>
      <c r="F15" s="3"/>
      <c r="G15" s="3"/>
      <c r="H15" s="3"/>
      <c r="I15" s="3"/>
    </row>
    <row r="16" spans="1:9" ht="18" customHeight="1">
      <c r="B16" s="16" t="s">
        <v>42</v>
      </c>
      <c r="C16" s="207" t="s">
        <v>164</v>
      </c>
      <c r="D16" s="210"/>
      <c r="E16" s="211"/>
      <c r="F16" s="18"/>
      <c r="G16" s="16" t="s">
        <v>10</v>
      </c>
      <c r="H16" s="207" t="s">
        <v>165</v>
      </c>
      <c r="I16" s="211"/>
    </row>
    <row r="17" spans="1:9" ht="18" customHeight="1">
      <c r="B17" s="3"/>
      <c r="C17" s="3"/>
      <c r="D17" s="3"/>
      <c r="E17" s="3"/>
      <c r="F17" s="3"/>
      <c r="G17" s="3"/>
      <c r="H17" s="3"/>
      <c r="I17" s="3"/>
    </row>
    <row r="18" spans="1:9" ht="18.75" customHeight="1">
      <c r="A18" s="1" t="s">
        <v>5</v>
      </c>
      <c r="B18" s="1" t="s">
        <v>41</v>
      </c>
      <c r="I18" s="3"/>
    </row>
    <row r="19" spans="1:9" ht="18.75" customHeight="1">
      <c r="A19" s="1"/>
      <c r="B19" s="184" t="s">
        <v>166</v>
      </c>
      <c r="C19" s="185"/>
      <c r="D19" s="185"/>
      <c r="E19" s="185"/>
      <c r="F19" s="185"/>
      <c r="G19" s="185"/>
      <c r="H19" s="185"/>
      <c r="I19" s="186"/>
    </row>
    <row r="20" spans="1:9" ht="7.5" customHeight="1">
      <c r="B20" s="3"/>
      <c r="C20" s="3"/>
      <c r="D20" s="3"/>
      <c r="E20" s="3"/>
      <c r="F20" s="3"/>
      <c r="G20" s="3"/>
      <c r="H20" s="3"/>
      <c r="I20" s="3"/>
    </row>
    <row r="21" spans="1:9" ht="18.75" customHeight="1">
      <c r="A21" s="1" t="s">
        <v>8</v>
      </c>
      <c r="B21" s="1" t="s">
        <v>25</v>
      </c>
    </row>
    <row r="22" spans="1:9" ht="18.75" customHeight="1">
      <c r="A22" s="13"/>
      <c r="B22" s="187" t="s">
        <v>167</v>
      </c>
      <c r="C22" s="188"/>
      <c r="D22" s="188"/>
      <c r="E22" s="188"/>
      <c r="F22" s="188"/>
      <c r="G22" s="188"/>
      <c r="H22" s="188"/>
      <c r="I22" s="189"/>
    </row>
    <row r="23" spans="1:9" ht="18.75" customHeight="1">
      <c r="A23" s="13"/>
      <c r="B23" s="190"/>
      <c r="C23" s="191"/>
      <c r="D23" s="191"/>
      <c r="E23" s="191"/>
      <c r="F23" s="191"/>
      <c r="G23" s="191"/>
      <c r="H23" s="191"/>
      <c r="I23" s="192"/>
    </row>
    <row r="24" spans="1:9" ht="18.75" customHeight="1">
      <c r="A24" s="13"/>
      <c r="B24" s="190"/>
      <c r="C24" s="191"/>
      <c r="D24" s="191"/>
      <c r="E24" s="191"/>
      <c r="F24" s="191"/>
      <c r="G24" s="191"/>
      <c r="H24" s="191"/>
      <c r="I24" s="192"/>
    </row>
    <row r="25" spans="1:9" ht="18.75" customHeight="1">
      <c r="A25" s="13"/>
      <c r="B25" s="190"/>
      <c r="C25" s="191"/>
      <c r="D25" s="191"/>
      <c r="E25" s="191"/>
      <c r="F25" s="191"/>
      <c r="G25" s="191"/>
      <c r="H25" s="191"/>
      <c r="I25" s="192"/>
    </row>
    <row r="26" spans="1:9" ht="18.75" customHeight="1">
      <c r="A26" s="13"/>
      <c r="B26" s="190"/>
      <c r="C26" s="191"/>
      <c r="D26" s="191"/>
      <c r="E26" s="191"/>
      <c r="F26" s="191"/>
      <c r="G26" s="191"/>
      <c r="H26" s="191"/>
      <c r="I26" s="192"/>
    </row>
    <row r="27" spans="1:9" ht="18.75" customHeight="1">
      <c r="A27" s="13"/>
      <c r="B27" s="190"/>
      <c r="C27" s="191"/>
      <c r="D27" s="191"/>
      <c r="E27" s="191"/>
      <c r="F27" s="191"/>
      <c r="G27" s="191"/>
      <c r="H27" s="191"/>
      <c r="I27" s="192"/>
    </row>
    <row r="28" spans="1:9" ht="18.75" customHeight="1">
      <c r="A28" s="13"/>
      <c r="B28" s="190"/>
      <c r="C28" s="191"/>
      <c r="D28" s="191"/>
      <c r="E28" s="191"/>
      <c r="F28" s="191"/>
      <c r="G28" s="191"/>
      <c r="H28" s="191"/>
      <c r="I28" s="192"/>
    </row>
    <row r="29" spans="1:9" ht="18.75" customHeight="1">
      <c r="A29" s="13"/>
      <c r="B29" s="190"/>
      <c r="C29" s="191"/>
      <c r="D29" s="191"/>
      <c r="E29" s="191"/>
      <c r="F29" s="191"/>
      <c r="G29" s="191"/>
      <c r="H29" s="191"/>
      <c r="I29" s="192"/>
    </row>
    <row r="30" spans="1:9" ht="18.75" customHeight="1">
      <c r="A30" s="13"/>
      <c r="B30" s="193"/>
      <c r="C30" s="194"/>
      <c r="D30" s="194"/>
      <c r="E30" s="194"/>
      <c r="F30" s="194"/>
      <c r="G30" s="194"/>
      <c r="H30" s="194"/>
      <c r="I30" s="192"/>
    </row>
    <row r="31" spans="1:9" ht="18.75" customHeight="1">
      <c r="A31" s="13"/>
      <c r="B31" s="193"/>
      <c r="C31" s="194"/>
      <c r="D31" s="194"/>
      <c r="E31" s="194"/>
      <c r="F31" s="194"/>
      <c r="G31" s="194"/>
      <c r="H31" s="194"/>
      <c r="I31" s="192"/>
    </row>
    <row r="32" spans="1:9" ht="18.75" customHeight="1">
      <c r="A32" s="13"/>
      <c r="B32" s="195"/>
      <c r="C32" s="196"/>
      <c r="D32" s="196"/>
      <c r="E32" s="196"/>
      <c r="F32" s="196"/>
      <c r="G32" s="196"/>
      <c r="H32" s="196"/>
      <c r="I32" s="197"/>
    </row>
    <row r="33" spans="1:9" ht="7.5" customHeight="1">
      <c r="A33" s="13"/>
      <c r="B33" s="13"/>
      <c r="C33" s="13"/>
      <c r="D33" s="13"/>
      <c r="E33" s="13"/>
      <c r="F33" s="13"/>
      <c r="G33" s="13"/>
      <c r="H33" s="13"/>
      <c r="I33" s="13"/>
    </row>
    <row r="34" spans="1:9" ht="18.75" customHeight="1" thickBot="1">
      <c r="A34" s="14" t="s">
        <v>6</v>
      </c>
      <c r="B34" s="14" t="s">
        <v>9</v>
      </c>
      <c r="C34" s="9"/>
      <c r="D34" s="14"/>
      <c r="E34" s="14"/>
      <c r="F34" s="14"/>
      <c r="G34" s="14"/>
      <c r="H34" s="14"/>
      <c r="I34" s="14"/>
    </row>
    <row r="35" spans="1:9" ht="18.75" customHeight="1">
      <c r="A35" s="13"/>
      <c r="B35" s="198" t="s">
        <v>183</v>
      </c>
      <c r="C35" s="199"/>
      <c r="D35" s="199"/>
      <c r="E35" s="199"/>
      <c r="F35" s="199"/>
      <c r="G35" s="199"/>
      <c r="H35" s="199"/>
      <c r="I35" s="200"/>
    </row>
    <row r="36" spans="1:9" ht="18.75" customHeight="1">
      <c r="A36" s="13"/>
      <c r="B36" s="201"/>
      <c r="C36" s="202"/>
      <c r="D36" s="202"/>
      <c r="E36" s="202"/>
      <c r="F36" s="202"/>
      <c r="G36" s="202"/>
      <c r="H36" s="202"/>
      <c r="I36" s="203"/>
    </row>
    <row r="37" spans="1:9" s="54" customFormat="1" ht="18.75" customHeight="1">
      <c r="A37" s="53"/>
      <c r="B37" s="201"/>
      <c r="C37" s="202"/>
      <c r="D37" s="202"/>
      <c r="E37" s="202"/>
      <c r="F37" s="202"/>
      <c r="G37" s="202"/>
      <c r="H37" s="202"/>
      <c r="I37" s="203"/>
    </row>
    <row r="38" spans="1:9" s="54" customFormat="1" ht="18.75" customHeight="1">
      <c r="A38" s="53"/>
      <c r="B38" s="201"/>
      <c r="C38" s="202"/>
      <c r="D38" s="202"/>
      <c r="E38" s="202"/>
      <c r="F38" s="202"/>
      <c r="G38" s="202"/>
      <c r="H38" s="202"/>
      <c r="I38" s="203"/>
    </row>
    <row r="39" spans="1:9" s="54" customFormat="1" ht="18.75" customHeight="1">
      <c r="A39" s="53"/>
      <c r="B39" s="201"/>
      <c r="C39" s="202"/>
      <c r="D39" s="202"/>
      <c r="E39" s="202"/>
      <c r="F39" s="202"/>
      <c r="G39" s="202"/>
      <c r="H39" s="202"/>
      <c r="I39" s="203"/>
    </row>
    <row r="40" spans="1:9" s="54" customFormat="1" ht="18.75" customHeight="1">
      <c r="A40" s="53"/>
      <c r="B40" s="201"/>
      <c r="C40" s="202"/>
      <c r="D40" s="202"/>
      <c r="E40" s="202"/>
      <c r="F40" s="202"/>
      <c r="G40" s="202"/>
      <c r="H40" s="202"/>
      <c r="I40" s="203"/>
    </row>
    <row r="41" spans="1:9" s="54" customFormat="1" ht="18.75" customHeight="1">
      <c r="A41" s="53"/>
      <c r="B41" s="201"/>
      <c r="C41" s="202"/>
      <c r="D41" s="202"/>
      <c r="E41" s="202"/>
      <c r="F41" s="202"/>
      <c r="G41" s="202"/>
      <c r="H41" s="202"/>
      <c r="I41" s="203"/>
    </row>
    <row r="42" spans="1:9" s="54" customFormat="1" ht="18.75" customHeight="1">
      <c r="A42" s="53"/>
      <c r="B42" s="201"/>
      <c r="C42" s="202"/>
      <c r="D42" s="202"/>
      <c r="E42" s="202"/>
      <c r="F42" s="202"/>
      <c r="G42" s="202"/>
      <c r="H42" s="202"/>
      <c r="I42" s="203"/>
    </row>
    <row r="43" spans="1:9" s="54" customFormat="1" ht="18.75" customHeight="1">
      <c r="A43" s="53"/>
      <c r="B43" s="201"/>
      <c r="C43" s="202"/>
      <c r="D43" s="202"/>
      <c r="E43" s="202"/>
      <c r="F43" s="202"/>
      <c r="G43" s="202"/>
      <c r="H43" s="202"/>
      <c r="I43" s="203"/>
    </row>
    <row r="44" spans="1:9" s="54" customFormat="1" ht="18.75" customHeight="1">
      <c r="A44" s="53"/>
      <c r="B44" s="201"/>
      <c r="C44" s="202"/>
      <c r="D44" s="202"/>
      <c r="E44" s="202"/>
      <c r="F44" s="202"/>
      <c r="G44" s="202"/>
      <c r="H44" s="202"/>
      <c r="I44" s="203"/>
    </row>
    <row r="45" spans="1:9" s="54" customFormat="1" ht="31.5" customHeight="1">
      <c r="A45" s="53"/>
      <c r="B45" s="201"/>
      <c r="C45" s="202"/>
      <c r="D45" s="202"/>
      <c r="E45" s="202"/>
      <c r="F45" s="202"/>
      <c r="G45" s="202"/>
      <c r="H45" s="202"/>
      <c r="I45" s="203"/>
    </row>
    <row r="46" spans="1:9" s="54" customFormat="1" ht="15.75" customHeight="1">
      <c r="A46" s="53"/>
      <c r="B46" s="201"/>
      <c r="C46" s="202"/>
      <c r="D46" s="202"/>
      <c r="E46" s="202"/>
      <c r="F46" s="202"/>
      <c r="G46" s="202"/>
      <c r="H46" s="202"/>
      <c r="I46" s="203"/>
    </row>
    <row r="47" spans="1:9" ht="18.75" customHeight="1">
      <c r="A47" s="13"/>
      <c r="B47" s="201"/>
      <c r="C47" s="202"/>
      <c r="D47" s="202"/>
      <c r="E47" s="202"/>
      <c r="F47" s="202"/>
      <c r="G47" s="202"/>
      <c r="H47" s="202"/>
      <c r="I47" s="203"/>
    </row>
    <row r="48" spans="1:9" s="54" customFormat="1" ht="18.75" customHeight="1">
      <c r="A48" s="53"/>
      <c r="B48" s="201"/>
      <c r="C48" s="202"/>
      <c r="D48" s="202"/>
      <c r="E48" s="202"/>
      <c r="F48" s="202"/>
      <c r="G48" s="202"/>
      <c r="H48" s="202"/>
      <c r="I48" s="203"/>
    </row>
    <row r="49" spans="1:9" s="54" customFormat="1" ht="18.75" customHeight="1">
      <c r="A49" s="53"/>
      <c r="B49" s="201"/>
      <c r="C49" s="202"/>
      <c r="D49" s="202"/>
      <c r="E49" s="202"/>
      <c r="F49" s="202"/>
      <c r="G49" s="202"/>
      <c r="H49" s="202"/>
      <c r="I49" s="203"/>
    </row>
    <row r="50" spans="1:9" s="54" customFormat="1" ht="18.75" customHeight="1">
      <c r="A50" s="53"/>
      <c r="B50" s="201"/>
      <c r="C50" s="202"/>
      <c r="D50" s="202"/>
      <c r="E50" s="202"/>
      <c r="F50" s="202"/>
      <c r="G50" s="202"/>
      <c r="H50" s="202"/>
      <c r="I50" s="203"/>
    </row>
    <row r="51" spans="1:9" s="54" customFormat="1" ht="18.75" customHeight="1">
      <c r="A51" s="53"/>
      <c r="B51" s="201"/>
      <c r="C51" s="202"/>
      <c r="D51" s="202"/>
      <c r="E51" s="202"/>
      <c r="F51" s="202"/>
      <c r="G51" s="202"/>
      <c r="H51" s="202"/>
      <c r="I51" s="203"/>
    </row>
    <row r="52" spans="1:9" s="54" customFormat="1" ht="18.75" customHeight="1">
      <c r="A52" s="53"/>
      <c r="B52" s="201"/>
      <c r="C52" s="202"/>
      <c r="D52" s="202"/>
      <c r="E52" s="202"/>
      <c r="F52" s="202"/>
      <c r="G52" s="202"/>
      <c r="H52" s="202"/>
      <c r="I52" s="203"/>
    </row>
    <row r="53" spans="1:9" s="54" customFormat="1" ht="18.75" customHeight="1">
      <c r="A53" s="53"/>
      <c r="B53" s="201"/>
      <c r="C53" s="202"/>
      <c r="D53" s="202"/>
      <c r="E53" s="202"/>
      <c r="F53" s="202"/>
      <c r="G53" s="202"/>
      <c r="H53" s="202"/>
      <c r="I53" s="203"/>
    </row>
    <row r="54" spans="1:9" s="54" customFormat="1" ht="18.75" customHeight="1">
      <c r="A54" s="53"/>
      <c r="B54" s="201"/>
      <c r="C54" s="202"/>
      <c r="D54" s="202"/>
      <c r="E54" s="202"/>
      <c r="F54" s="202"/>
      <c r="G54" s="202"/>
      <c r="H54" s="202"/>
      <c r="I54" s="203"/>
    </row>
    <row r="55" spans="1:9" s="54" customFormat="1" ht="18.75" customHeight="1">
      <c r="A55" s="53"/>
      <c r="B55" s="201"/>
      <c r="C55" s="202"/>
      <c r="D55" s="202"/>
      <c r="E55" s="202"/>
      <c r="F55" s="202"/>
      <c r="G55" s="202"/>
      <c r="H55" s="202"/>
      <c r="I55" s="203"/>
    </row>
    <row r="56" spans="1:9" s="54" customFormat="1" ht="18.75" customHeight="1">
      <c r="A56" s="53"/>
      <c r="B56" s="201"/>
      <c r="C56" s="202"/>
      <c r="D56" s="202"/>
      <c r="E56" s="202"/>
      <c r="F56" s="202"/>
      <c r="G56" s="202"/>
      <c r="H56" s="202"/>
      <c r="I56" s="203"/>
    </row>
    <row r="57" spans="1:9" ht="18.75" customHeight="1">
      <c r="A57" s="13"/>
      <c r="B57" s="201"/>
      <c r="C57" s="202"/>
      <c r="D57" s="202"/>
      <c r="E57" s="202"/>
      <c r="F57" s="202"/>
      <c r="G57" s="202"/>
      <c r="H57" s="202"/>
      <c r="I57" s="203"/>
    </row>
    <row r="58" spans="1:9" ht="18.75" customHeight="1">
      <c r="A58" s="13"/>
      <c r="B58" s="201"/>
      <c r="C58" s="202"/>
      <c r="D58" s="202"/>
      <c r="E58" s="202"/>
      <c r="F58" s="202"/>
      <c r="G58" s="202"/>
      <c r="H58" s="202"/>
      <c r="I58" s="203"/>
    </row>
    <row r="59" spans="1:9" ht="18.75" customHeight="1">
      <c r="A59" s="13"/>
      <c r="B59" s="201"/>
      <c r="C59" s="202"/>
      <c r="D59" s="202"/>
      <c r="E59" s="202"/>
      <c r="F59" s="202"/>
      <c r="G59" s="202"/>
      <c r="H59" s="202"/>
      <c r="I59" s="203"/>
    </row>
    <row r="60" spans="1:9" ht="18.75" customHeight="1">
      <c r="A60" s="13"/>
      <c r="B60" s="201"/>
      <c r="C60" s="202"/>
      <c r="D60" s="202"/>
      <c r="E60" s="202"/>
      <c r="F60" s="202"/>
      <c r="G60" s="202"/>
      <c r="H60" s="202"/>
      <c r="I60" s="203"/>
    </row>
    <row r="61" spans="1:9" ht="18.75" customHeight="1">
      <c r="A61" s="13"/>
      <c r="B61" s="201"/>
      <c r="C61" s="202"/>
      <c r="D61" s="202"/>
      <c r="E61" s="202"/>
      <c r="F61" s="202"/>
      <c r="G61" s="202"/>
      <c r="H61" s="202"/>
      <c r="I61" s="203"/>
    </row>
    <row r="62" spans="1:9" ht="18.75" customHeight="1">
      <c r="A62" s="13"/>
      <c r="B62" s="201"/>
      <c r="C62" s="202"/>
      <c r="D62" s="202"/>
      <c r="E62" s="202"/>
      <c r="F62" s="202"/>
      <c r="G62" s="202"/>
      <c r="H62" s="202"/>
      <c r="I62" s="203"/>
    </row>
    <row r="63" spans="1:9" s="54" customFormat="1" ht="18.75" customHeight="1">
      <c r="A63" s="53"/>
      <c r="B63" s="201"/>
      <c r="C63" s="202"/>
      <c r="D63" s="202"/>
      <c r="E63" s="202"/>
      <c r="F63" s="202"/>
      <c r="G63" s="202"/>
      <c r="H63" s="202"/>
      <c r="I63" s="203"/>
    </row>
    <row r="64" spans="1:9" s="54" customFormat="1" ht="18.75" customHeight="1">
      <c r="A64" s="53"/>
      <c r="B64" s="201"/>
      <c r="C64" s="202"/>
      <c r="D64" s="202"/>
      <c r="E64" s="202"/>
      <c r="F64" s="202"/>
      <c r="G64" s="202"/>
      <c r="H64" s="202"/>
      <c r="I64" s="203"/>
    </row>
    <row r="65" spans="1:15" s="54" customFormat="1" ht="18.75" customHeight="1">
      <c r="A65" s="53"/>
      <c r="B65" s="201"/>
      <c r="C65" s="202"/>
      <c r="D65" s="202"/>
      <c r="E65" s="202"/>
      <c r="F65" s="202"/>
      <c r="G65" s="202"/>
      <c r="H65" s="202"/>
      <c r="I65" s="203"/>
    </row>
    <row r="66" spans="1:15" ht="18.75" customHeight="1">
      <c r="A66" s="13"/>
      <c r="B66" s="201"/>
      <c r="C66" s="202"/>
      <c r="D66" s="202"/>
      <c r="E66" s="202"/>
      <c r="F66" s="202"/>
      <c r="G66" s="202"/>
      <c r="H66" s="202"/>
      <c r="I66" s="203"/>
    </row>
    <row r="67" spans="1:15" ht="18" customHeight="1">
      <c r="A67" s="13"/>
      <c r="B67" s="201"/>
      <c r="C67" s="202"/>
      <c r="D67" s="202"/>
      <c r="E67" s="202"/>
      <c r="F67" s="202"/>
      <c r="G67" s="202"/>
      <c r="H67" s="202"/>
      <c r="I67" s="203"/>
    </row>
    <row r="68" spans="1:15" ht="14.25" customHeight="1" thickBot="1">
      <c r="A68" s="13"/>
      <c r="B68" s="204"/>
      <c r="C68" s="205"/>
      <c r="D68" s="205"/>
      <c r="E68" s="205"/>
      <c r="F68" s="205"/>
      <c r="G68" s="205"/>
      <c r="H68" s="205"/>
      <c r="I68" s="206"/>
    </row>
    <row r="69" spans="1:15" ht="24" customHeight="1">
      <c r="A69" s="4"/>
      <c r="B69" s="4"/>
      <c r="C69" s="4"/>
      <c r="D69" s="4"/>
      <c r="E69" s="4"/>
      <c r="F69" s="4"/>
      <c r="G69" s="4"/>
      <c r="H69" s="4"/>
      <c r="I69" s="4"/>
    </row>
    <row r="70" spans="1:15" ht="18.75" customHeight="1">
      <c r="A70" s="1" t="s">
        <v>31</v>
      </c>
      <c r="B70" s="1" t="s">
        <v>111</v>
      </c>
    </row>
    <row r="71" spans="1:15" s="3" customFormat="1" ht="18.75" customHeight="1">
      <c r="B71" s="19" t="s">
        <v>128</v>
      </c>
      <c r="C71" s="234">
        <f>'様式２ 履修者等数の実績'!S33</f>
        <v>2.5862068965517241E-3</v>
      </c>
      <c r="D71" s="234"/>
      <c r="E71" s="19" t="s">
        <v>64</v>
      </c>
      <c r="F71" s="236">
        <v>0.15</v>
      </c>
      <c r="G71" s="236"/>
      <c r="H71" s="19" t="s">
        <v>65</v>
      </c>
      <c r="I71" s="20">
        <v>0.22</v>
      </c>
      <c r="J71" s="1"/>
      <c r="M71" s="1"/>
      <c r="N71" s="21"/>
    </row>
    <row r="72" spans="1:15" s="3" customFormat="1" ht="18.75" customHeight="1">
      <c r="B72" s="22" t="s">
        <v>85</v>
      </c>
      <c r="C72" s="235">
        <v>0.25</v>
      </c>
      <c r="D72" s="235"/>
      <c r="E72" s="22" t="s">
        <v>129</v>
      </c>
      <c r="F72" s="217">
        <v>0.25</v>
      </c>
      <c r="G72" s="217"/>
      <c r="H72" s="22" t="s">
        <v>66</v>
      </c>
      <c r="I72" s="23">
        <f>'様式２ 履修者等数の実績'!E33</f>
        <v>3480</v>
      </c>
      <c r="J72" s="1"/>
      <c r="M72" s="1"/>
      <c r="N72" s="21"/>
    </row>
    <row r="73" spans="1:15" ht="18.75" customHeight="1">
      <c r="A73" s="1"/>
      <c r="B73" s="214" t="s">
        <v>67</v>
      </c>
      <c r="C73" s="215"/>
      <c r="D73" s="215"/>
      <c r="E73" s="215"/>
      <c r="F73" s="215"/>
      <c r="G73" s="215"/>
      <c r="H73" s="215"/>
      <c r="I73" s="216"/>
      <c r="N73" s="21"/>
      <c r="O73" s="3"/>
    </row>
    <row r="74" spans="1:15" ht="18.75" customHeight="1">
      <c r="A74" s="1"/>
      <c r="B74" s="237" t="s">
        <v>168</v>
      </c>
      <c r="C74" s="238"/>
      <c r="D74" s="238"/>
      <c r="E74" s="238"/>
      <c r="F74" s="238"/>
      <c r="G74" s="238"/>
      <c r="H74" s="238"/>
      <c r="I74" s="239"/>
      <c r="N74" s="21"/>
      <c r="O74" s="3"/>
    </row>
    <row r="75" spans="1:15" ht="18.75" customHeight="1">
      <c r="A75" s="1"/>
      <c r="B75" s="240"/>
      <c r="C75" s="241"/>
      <c r="D75" s="241"/>
      <c r="E75" s="241"/>
      <c r="F75" s="241"/>
      <c r="G75" s="241"/>
      <c r="H75" s="241"/>
      <c r="I75" s="242"/>
      <c r="N75" s="21"/>
      <c r="O75" s="3"/>
    </row>
    <row r="76" spans="1:15" ht="18.75" customHeight="1">
      <c r="A76" s="1"/>
      <c r="B76" s="240"/>
      <c r="C76" s="241"/>
      <c r="D76" s="241"/>
      <c r="E76" s="241"/>
      <c r="F76" s="241"/>
      <c r="G76" s="241"/>
      <c r="H76" s="241"/>
      <c r="I76" s="242"/>
    </row>
    <row r="77" spans="1:15" ht="18.75" customHeight="1">
      <c r="A77" s="1"/>
      <c r="B77" s="240"/>
      <c r="C77" s="241"/>
      <c r="D77" s="241"/>
      <c r="E77" s="241"/>
      <c r="F77" s="241"/>
      <c r="G77" s="241"/>
      <c r="H77" s="241"/>
      <c r="I77" s="242"/>
    </row>
    <row r="78" spans="1:15" ht="18.75" customHeight="1">
      <c r="A78" s="1"/>
      <c r="B78" s="240"/>
      <c r="C78" s="241"/>
      <c r="D78" s="241"/>
      <c r="E78" s="241"/>
      <c r="F78" s="241"/>
      <c r="G78" s="241"/>
      <c r="H78" s="241"/>
      <c r="I78" s="242"/>
    </row>
    <row r="79" spans="1:15" ht="18.75" customHeight="1">
      <c r="A79" s="1"/>
      <c r="B79" s="240"/>
      <c r="C79" s="241"/>
      <c r="D79" s="241"/>
      <c r="E79" s="241"/>
      <c r="F79" s="241"/>
      <c r="G79" s="241"/>
      <c r="H79" s="241"/>
      <c r="I79" s="242"/>
    </row>
    <row r="80" spans="1:15" ht="18.75" customHeight="1">
      <c r="A80" s="1"/>
      <c r="B80" s="240"/>
      <c r="C80" s="241"/>
      <c r="D80" s="241"/>
      <c r="E80" s="241"/>
      <c r="F80" s="241"/>
      <c r="G80" s="241"/>
      <c r="H80" s="241"/>
      <c r="I80" s="242"/>
    </row>
    <row r="81" spans="1:9" ht="18.75" customHeight="1">
      <c r="A81" s="1"/>
      <c r="B81" s="240"/>
      <c r="C81" s="241"/>
      <c r="D81" s="241"/>
      <c r="E81" s="241"/>
      <c r="F81" s="241"/>
      <c r="G81" s="241"/>
      <c r="H81" s="241"/>
      <c r="I81" s="242"/>
    </row>
    <row r="82" spans="1:9" ht="18.75" customHeight="1">
      <c r="A82" s="1"/>
      <c r="B82" s="240"/>
      <c r="C82" s="241"/>
      <c r="D82" s="241"/>
      <c r="E82" s="241"/>
      <c r="F82" s="241"/>
      <c r="G82" s="241"/>
      <c r="H82" s="241"/>
      <c r="I82" s="242"/>
    </row>
    <row r="83" spans="1:9" ht="18.75" customHeight="1">
      <c r="A83" s="1"/>
      <c r="B83" s="240"/>
      <c r="C83" s="241"/>
      <c r="D83" s="241"/>
      <c r="E83" s="241"/>
      <c r="F83" s="241"/>
      <c r="G83" s="241"/>
      <c r="H83" s="241"/>
      <c r="I83" s="242"/>
    </row>
    <row r="84" spans="1:9" ht="18.75" customHeight="1">
      <c r="A84" s="1"/>
      <c r="B84" s="240"/>
      <c r="C84" s="241"/>
      <c r="D84" s="241"/>
      <c r="E84" s="241"/>
      <c r="F84" s="241"/>
      <c r="G84" s="241"/>
      <c r="H84" s="241"/>
      <c r="I84" s="242"/>
    </row>
    <row r="85" spans="1:9" ht="18.75" customHeight="1">
      <c r="A85" s="1"/>
      <c r="B85" s="243"/>
      <c r="C85" s="244"/>
      <c r="D85" s="244"/>
      <c r="E85" s="244"/>
      <c r="F85" s="244"/>
      <c r="G85" s="244"/>
      <c r="H85" s="244"/>
      <c r="I85" s="245"/>
    </row>
    <row r="86" spans="1:9" ht="7.5" customHeight="1">
      <c r="A86" s="13"/>
      <c r="B86" s="13"/>
      <c r="C86" s="13"/>
      <c r="D86" s="13"/>
      <c r="E86" s="13"/>
      <c r="F86" s="13"/>
      <c r="G86" s="13"/>
      <c r="H86" s="13"/>
      <c r="I86" s="13"/>
    </row>
    <row r="87" spans="1:9" ht="18.75" customHeight="1">
      <c r="A87" s="14" t="s">
        <v>34</v>
      </c>
      <c r="B87" s="1" t="s">
        <v>37</v>
      </c>
      <c r="I87" s="14"/>
    </row>
    <row r="88" spans="1:9" ht="18.75" customHeight="1">
      <c r="A88" s="4"/>
      <c r="B88" s="218" t="s">
        <v>169</v>
      </c>
      <c r="C88" s="219"/>
      <c r="D88" s="219"/>
      <c r="E88" s="219"/>
      <c r="F88" s="219"/>
      <c r="G88" s="219"/>
      <c r="H88" s="219"/>
      <c r="I88" s="220"/>
    </row>
    <row r="89" spans="1:9" ht="18.75" customHeight="1">
      <c r="A89" s="4"/>
      <c r="B89" s="221"/>
      <c r="C89" s="222"/>
      <c r="D89" s="222"/>
      <c r="E89" s="222"/>
      <c r="F89" s="222"/>
      <c r="G89" s="222"/>
      <c r="H89" s="222"/>
      <c r="I89" s="223"/>
    </row>
    <row r="90" spans="1:9" ht="18.75" customHeight="1">
      <c r="A90" s="4"/>
      <c r="B90" s="221"/>
      <c r="C90" s="222"/>
      <c r="D90" s="222"/>
      <c r="E90" s="222"/>
      <c r="F90" s="222"/>
      <c r="G90" s="222"/>
      <c r="H90" s="222"/>
      <c r="I90" s="223"/>
    </row>
    <row r="91" spans="1:9" ht="18.75" customHeight="1">
      <c r="A91" s="4"/>
      <c r="B91" s="221"/>
      <c r="C91" s="222"/>
      <c r="D91" s="222"/>
      <c r="E91" s="222"/>
      <c r="F91" s="222"/>
      <c r="G91" s="222"/>
      <c r="H91" s="222"/>
      <c r="I91" s="223"/>
    </row>
    <row r="92" spans="1:9" ht="18.75" customHeight="1">
      <c r="A92" s="4"/>
      <c r="B92" s="221"/>
      <c r="C92" s="222"/>
      <c r="D92" s="222"/>
      <c r="E92" s="222"/>
      <c r="F92" s="222"/>
      <c r="G92" s="222"/>
      <c r="H92" s="222"/>
      <c r="I92" s="223"/>
    </row>
    <row r="93" spans="1:9" ht="18.75" customHeight="1">
      <c r="A93" s="4"/>
      <c r="B93" s="221"/>
      <c r="C93" s="222"/>
      <c r="D93" s="222"/>
      <c r="E93" s="222"/>
      <c r="F93" s="222"/>
      <c r="G93" s="222"/>
      <c r="H93" s="222"/>
      <c r="I93" s="223"/>
    </row>
    <row r="94" spans="1:9" ht="18.75" customHeight="1">
      <c r="A94" s="4"/>
      <c r="B94" s="221"/>
      <c r="C94" s="222"/>
      <c r="D94" s="222"/>
      <c r="E94" s="222"/>
      <c r="F94" s="222"/>
      <c r="G94" s="222"/>
      <c r="H94" s="222"/>
      <c r="I94" s="223"/>
    </row>
    <row r="95" spans="1:9" ht="18.75" customHeight="1">
      <c r="A95" s="4"/>
      <c r="B95" s="221"/>
      <c r="C95" s="222"/>
      <c r="D95" s="222"/>
      <c r="E95" s="222"/>
      <c r="F95" s="222"/>
      <c r="G95" s="222"/>
      <c r="H95" s="222"/>
      <c r="I95" s="223"/>
    </row>
    <row r="96" spans="1:9" ht="18.75" customHeight="1">
      <c r="A96" s="4"/>
      <c r="B96" s="221"/>
      <c r="C96" s="222"/>
      <c r="D96" s="222"/>
      <c r="E96" s="222"/>
      <c r="F96" s="222"/>
      <c r="G96" s="222"/>
      <c r="H96" s="222"/>
      <c r="I96" s="223"/>
    </row>
    <row r="97" spans="1:9" ht="18.75" customHeight="1">
      <c r="A97" s="4"/>
      <c r="B97" s="221"/>
      <c r="C97" s="222"/>
      <c r="D97" s="222"/>
      <c r="E97" s="222"/>
      <c r="F97" s="222"/>
      <c r="G97" s="222"/>
      <c r="H97" s="222"/>
      <c r="I97" s="223"/>
    </row>
    <row r="98" spans="1:9" ht="18.75" customHeight="1">
      <c r="A98" s="4"/>
      <c r="B98" s="221"/>
      <c r="C98" s="222"/>
      <c r="D98" s="222"/>
      <c r="E98" s="222"/>
      <c r="F98" s="222"/>
      <c r="G98" s="222"/>
      <c r="H98" s="222"/>
      <c r="I98" s="223"/>
    </row>
    <row r="99" spans="1:9" ht="18.75" customHeight="1">
      <c r="A99" s="4"/>
      <c r="B99" s="224"/>
      <c r="C99" s="225"/>
      <c r="D99" s="225"/>
      <c r="E99" s="225"/>
      <c r="F99" s="225"/>
      <c r="G99" s="225"/>
      <c r="H99" s="225"/>
      <c r="I99" s="226"/>
    </row>
    <row r="100" spans="1:9" ht="7.5" customHeight="1">
      <c r="A100" s="4"/>
      <c r="B100" s="4"/>
      <c r="C100" s="4"/>
      <c r="D100" s="4"/>
      <c r="E100" s="4"/>
      <c r="F100" s="4"/>
      <c r="G100" s="4"/>
      <c r="H100" s="4"/>
      <c r="I100" s="4"/>
    </row>
    <row r="101" spans="1:9" ht="18.75" customHeight="1">
      <c r="A101" s="1" t="s">
        <v>11</v>
      </c>
      <c r="B101" s="1" t="s">
        <v>40</v>
      </c>
    </row>
    <row r="102" spans="1:9" ht="18.75" customHeight="1">
      <c r="A102" s="1"/>
      <c r="B102" s="218" t="s">
        <v>170</v>
      </c>
      <c r="C102" s="219"/>
      <c r="D102" s="219"/>
      <c r="E102" s="219"/>
      <c r="F102" s="219"/>
      <c r="G102" s="219"/>
      <c r="H102" s="219"/>
      <c r="I102" s="227"/>
    </row>
    <row r="103" spans="1:9" ht="18.75" customHeight="1">
      <c r="A103" s="1"/>
      <c r="B103" s="228"/>
      <c r="C103" s="229"/>
      <c r="D103" s="229"/>
      <c r="E103" s="229"/>
      <c r="F103" s="229"/>
      <c r="G103" s="229"/>
      <c r="H103" s="229"/>
      <c r="I103" s="230"/>
    </row>
    <row r="104" spans="1:9" ht="18.75" customHeight="1">
      <c r="A104" s="1"/>
      <c r="B104" s="228"/>
      <c r="C104" s="229"/>
      <c r="D104" s="229"/>
      <c r="E104" s="229"/>
      <c r="F104" s="229"/>
      <c r="G104" s="229"/>
      <c r="H104" s="229"/>
      <c r="I104" s="230"/>
    </row>
    <row r="105" spans="1:9" ht="18.75" customHeight="1">
      <c r="A105" s="1"/>
      <c r="B105" s="228"/>
      <c r="C105" s="229"/>
      <c r="D105" s="229"/>
      <c r="E105" s="229"/>
      <c r="F105" s="229"/>
      <c r="G105" s="229"/>
      <c r="H105" s="229"/>
      <c r="I105" s="230"/>
    </row>
    <row r="106" spans="1:9" ht="18.75" customHeight="1">
      <c r="A106" s="1"/>
      <c r="B106" s="228"/>
      <c r="C106" s="229"/>
      <c r="D106" s="229"/>
      <c r="E106" s="229"/>
      <c r="F106" s="229"/>
      <c r="G106" s="229"/>
      <c r="H106" s="229"/>
      <c r="I106" s="230"/>
    </row>
    <row r="107" spans="1:9" ht="18.75" customHeight="1">
      <c r="A107" s="1"/>
      <c r="B107" s="228"/>
      <c r="C107" s="229"/>
      <c r="D107" s="229"/>
      <c r="E107" s="229"/>
      <c r="F107" s="229"/>
      <c r="G107" s="229"/>
      <c r="H107" s="229"/>
      <c r="I107" s="230"/>
    </row>
    <row r="108" spans="1:9" ht="18.75" customHeight="1">
      <c r="A108" s="1"/>
      <c r="B108" s="228"/>
      <c r="C108" s="229"/>
      <c r="D108" s="229"/>
      <c r="E108" s="229"/>
      <c r="F108" s="229"/>
      <c r="G108" s="229"/>
      <c r="H108" s="229"/>
      <c r="I108" s="230"/>
    </row>
    <row r="109" spans="1:9" ht="18.75" customHeight="1">
      <c r="A109" s="1"/>
      <c r="B109" s="228"/>
      <c r="C109" s="229"/>
      <c r="D109" s="229"/>
      <c r="E109" s="229"/>
      <c r="F109" s="229"/>
      <c r="G109" s="229"/>
      <c r="H109" s="229"/>
      <c r="I109" s="230"/>
    </row>
    <row r="110" spans="1:9" ht="18.75" customHeight="1">
      <c r="A110" s="1"/>
      <c r="B110" s="228"/>
      <c r="C110" s="229"/>
      <c r="D110" s="229"/>
      <c r="E110" s="229"/>
      <c r="F110" s="229"/>
      <c r="G110" s="229"/>
      <c r="H110" s="229"/>
      <c r="I110" s="230"/>
    </row>
    <row r="111" spans="1:9" ht="18.75" customHeight="1">
      <c r="A111" s="1"/>
      <c r="B111" s="228"/>
      <c r="C111" s="229"/>
      <c r="D111" s="229"/>
      <c r="E111" s="229"/>
      <c r="F111" s="229"/>
      <c r="G111" s="229"/>
      <c r="H111" s="229"/>
      <c r="I111" s="230"/>
    </row>
    <row r="112" spans="1:9" ht="18.75" customHeight="1">
      <c r="A112" s="4"/>
      <c r="B112" s="228"/>
      <c r="C112" s="229"/>
      <c r="D112" s="229"/>
      <c r="E112" s="229"/>
      <c r="F112" s="229"/>
      <c r="G112" s="229"/>
      <c r="H112" s="229"/>
      <c r="I112" s="230"/>
    </row>
    <row r="113" spans="1:9" ht="18.75" customHeight="1">
      <c r="A113" s="4"/>
      <c r="B113" s="231"/>
      <c r="C113" s="232"/>
      <c r="D113" s="232"/>
      <c r="E113" s="232"/>
      <c r="F113" s="232"/>
      <c r="G113" s="232"/>
      <c r="H113" s="232"/>
      <c r="I113" s="233"/>
    </row>
    <row r="114" spans="1:9" ht="7.5" customHeight="1">
      <c r="A114" s="4"/>
      <c r="B114" s="4"/>
      <c r="C114" s="4"/>
      <c r="D114" s="4"/>
      <c r="E114" s="4"/>
      <c r="F114" s="4"/>
      <c r="G114" s="4"/>
      <c r="H114" s="4"/>
      <c r="I114" s="4"/>
    </row>
    <row r="115" spans="1:9" ht="18.75" customHeight="1">
      <c r="A115" s="1" t="s">
        <v>43</v>
      </c>
      <c r="B115" s="1" t="s">
        <v>13</v>
      </c>
    </row>
    <row r="116" spans="1:9" ht="18.75" customHeight="1">
      <c r="A116" s="1"/>
      <c r="B116" s="187" t="s">
        <v>171</v>
      </c>
      <c r="C116" s="188"/>
      <c r="D116" s="188"/>
      <c r="E116" s="188"/>
      <c r="F116" s="188"/>
      <c r="G116" s="188"/>
      <c r="H116" s="188"/>
      <c r="I116" s="189"/>
    </row>
    <row r="117" spans="1:9" ht="18.75" customHeight="1">
      <c r="A117" s="1"/>
      <c r="B117" s="193"/>
      <c r="C117" s="194"/>
      <c r="D117" s="194"/>
      <c r="E117" s="194"/>
      <c r="F117" s="194"/>
      <c r="G117" s="194"/>
      <c r="H117" s="194"/>
      <c r="I117" s="192"/>
    </row>
    <row r="118" spans="1:9" ht="18.75" customHeight="1">
      <c r="A118" s="1"/>
      <c r="B118" s="193"/>
      <c r="C118" s="194"/>
      <c r="D118" s="194"/>
      <c r="E118" s="194"/>
      <c r="F118" s="194"/>
      <c r="G118" s="194"/>
      <c r="H118" s="194"/>
      <c r="I118" s="192"/>
    </row>
    <row r="119" spans="1:9" ht="18.75" customHeight="1">
      <c r="A119" s="1"/>
      <c r="B119" s="193"/>
      <c r="C119" s="194"/>
      <c r="D119" s="194"/>
      <c r="E119" s="194"/>
      <c r="F119" s="194"/>
      <c r="G119" s="194"/>
      <c r="H119" s="194"/>
      <c r="I119" s="192"/>
    </row>
    <row r="120" spans="1:9" ht="18.75" customHeight="1">
      <c r="A120" s="1"/>
      <c r="B120" s="193"/>
      <c r="C120" s="194"/>
      <c r="D120" s="194"/>
      <c r="E120" s="194"/>
      <c r="F120" s="194"/>
      <c r="G120" s="194"/>
      <c r="H120" s="194"/>
      <c r="I120" s="192"/>
    </row>
    <row r="121" spans="1:9" ht="18.75" customHeight="1">
      <c r="A121" s="1"/>
      <c r="B121" s="193"/>
      <c r="C121" s="194"/>
      <c r="D121" s="194"/>
      <c r="E121" s="194"/>
      <c r="F121" s="194"/>
      <c r="G121" s="194"/>
      <c r="H121" s="194"/>
      <c r="I121" s="192"/>
    </row>
    <row r="122" spans="1:9" ht="18.75" customHeight="1">
      <c r="A122" s="1"/>
      <c r="B122" s="193"/>
      <c r="C122" s="194"/>
      <c r="D122" s="194"/>
      <c r="E122" s="194"/>
      <c r="F122" s="194"/>
      <c r="G122" s="194"/>
      <c r="H122" s="194"/>
      <c r="I122" s="192"/>
    </row>
    <row r="123" spans="1:9" ht="18.75" customHeight="1">
      <c r="A123" s="1"/>
      <c r="B123" s="193"/>
      <c r="C123" s="194"/>
      <c r="D123" s="194"/>
      <c r="E123" s="194"/>
      <c r="F123" s="194"/>
      <c r="G123" s="194"/>
      <c r="H123" s="194"/>
      <c r="I123" s="192"/>
    </row>
    <row r="124" spans="1:9" ht="18.75" customHeight="1">
      <c r="A124" s="1"/>
      <c r="B124" s="193"/>
      <c r="C124" s="194"/>
      <c r="D124" s="194"/>
      <c r="E124" s="194"/>
      <c r="F124" s="194"/>
      <c r="G124" s="194"/>
      <c r="H124" s="194"/>
      <c r="I124" s="192"/>
    </row>
    <row r="125" spans="1:9" ht="18.75" customHeight="1">
      <c r="A125" s="1"/>
      <c r="B125" s="193"/>
      <c r="C125" s="194"/>
      <c r="D125" s="194"/>
      <c r="E125" s="194"/>
      <c r="F125" s="194"/>
      <c r="G125" s="194"/>
      <c r="H125" s="194"/>
      <c r="I125" s="192"/>
    </row>
    <row r="126" spans="1:9" ht="18.75" customHeight="1">
      <c r="A126" s="1"/>
      <c r="B126" s="193"/>
      <c r="C126" s="194"/>
      <c r="D126" s="194"/>
      <c r="E126" s="194"/>
      <c r="F126" s="194"/>
      <c r="G126" s="194"/>
      <c r="H126" s="194"/>
      <c r="I126" s="192"/>
    </row>
    <row r="127" spans="1:9" ht="18.75" customHeight="1">
      <c r="A127" s="4"/>
      <c r="B127" s="195"/>
      <c r="C127" s="196"/>
      <c r="D127" s="196"/>
      <c r="E127" s="196"/>
      <c r="F127" s="196"/>
      <c r="G127" s="196"/>
      <c r="H127" s="196"/>
      <c r="I127" s="197"/>
    </row>
    <row r="128" spans="1:9" ht="7.5" customHeight="1">
      <c r="A128" s="4"/>
      <c r="B128" s="4"/>
      <c r="C128" s="4"/>
      <c r="D128" s="4"/>
      <c r="E128" s="4"/>
      <c r="F128" s="4"/>
      <c r="G128" s="4"/>
      <c r="H128" s="4"/>
      <c r="I128" s="4"/>
    </row>
    <row r="129" spans="1:9" ht="18.75" customHeight="1">
      <c r="A129" s="1" t="s">
        <v>30</v>
      </c>
      <c r="B129" s="213" t="s">
        <v>45</v>
      </c>
      <c r="C129" s="213"/>
      <c r="D129" s="213"/>
      <c r="E129" s="213"/>
      <c r="F129" s="213"/>
      <c r="G129" s="213"/>
      <c r="H129" s="213"/>
      <c r="I129" s="213"/>
    </row>
    <row r="130" spans="1:9" ht="18.75" customHeight="1">
      <c r="A130" s="4"/>
      <c r="B130" s="187" t="s">
        <v>172</v>
      </c>
      <c r="C130" s="188"/>
      <c r="D130" s="188"/>
      <c r="E130" s="188"/>
      <c r="F130" s="188"/>
      <c r="G130" s="188"/>
      <c r="H130" s="188"/>
      <c r="I130" s="189"/>
    </row>
    <row r="131" spans="1:9" ht="18.75" customHeight="1">
      <c r="A131" s="4"/>
      <c r="B131" s="193"/>
      <c r="C131" s="194"/>
      <c r="D131" s="194"/>
      <c r="E131" s="194"/>
      <c r="F131" s="194"/>
      <c r="G131" s="194"/>
      <c r="H131" s="194"/>
      <c r="I131" s="192"/>
    </row>
    <row r="132" spans="1:9" ht="18.75" customHeight="1">
      <c r="A132" s="4"/>
      <c r="B132" s="193"/>
      <c r="C132" s="194"/>
      <c r="D132" s="194"/>
      <c r="E132" s="194"/>
      <c r="F132" s="194"/>
      <c r="G132" s="194"/>
      <c r="H132" s="194"/>
      <c r="I132" s="192"/>
    </row>
    <row r="133" spans="1:9" ht="18.75" customHeight="1">
      <c r="A133" s="4"/>
      <c r="B133" s="193"/>
      <c r="C133" s="194"/>
      <c r="D133" s="194"/>
      <c r="E133" s="194"/>
      <c r="F133" s="194"/>
      <c r="G133" s="194"/>
      <c r="H133" s="194"/>
      <c r="I133" s="192"/>
    </row>
    <row r="134" spans="1:9" ht="18.75" customHeight="1">
      <c r="A134" s="4"/>
      <c r="B134" s="193"/>
      <c r="C134" s="194"/>
      <c r="D134" s="194"/>
      <c r="E134" s="194"/>
      <c r="F134" s="194"/>
      <c r="G134" s="194"/>
      <c r="H134" s="194"/>
      <c r="I134" s="192"/>
    </row>
    <row r="135" spans="1:9" ht="18.75" customHeight="1">
      <c r="A135" s="4"/>
      <c r="B135" s="193"/>
      <c r="C135" s="194"/>
      <c r="D135" s="194"/>
      <c r="E135" s="194"/>
      <c r="F135" s="194"/>
      <c r="G135" s="194"/>
      <c r="H135" s="194"/>
      <c r="I135" s="192"/>
    </row>
    <row r="136" spans="1:9" ht="18.75" customHeight="1">
      <c r="A136" s="4"/>
      <c r="B136" s="193"/>
      <c r="C136" s="194"/>
      <c r="D136" s="194"/>
      <c r="E136" s="194"/>
      <c r="F136" s="194"/>
      <c r="G136" s="194"/>
      <c r="H136" s="194"/>
      <c r="I136" s="192"/>
    </row>
    <row r="137" spans="1:9" ht="18.75" customHeight="1">
      <c r="A137" s="4"/>
      <c r="B137" s="193"/>
      <c r="C137" s="194"/>
      <c r="D137" s="194"/>
      <c r="E137" s="194"/>
      <c r="F137" s="194"/>
      <c r="G137" s="194"/>
      <c r="H137" s="194"/>
      <c r="I137" s="192"/>
    </row>
    <row r="138" spans="1:9" ht="18.75" customHeight="1">
      <c r="A138" s="4"/>
      <c r="B138" s="193"/>
      <c r="C138" s="194"/>
      <c r="D138" s="194"/>
      <c r="E138" s="194"/>
      <c r="F138" s="194"/>
      <c r="G138" s="194"/>
      <c r="H138" s="194"/>
      <c r="I138" s="192"/>
    </row>
    <row r="139" spans="1:9" ht="18.75" customHeight="1">
      <c r="A139" s="4"/>
      <c r="B139" s="193"/>
      <c r="C139" s="194"/>
      <c r="D139" s="194"/>
      <c r="E139" s="194"/>
      <c r="F139" s="194"/>
      <c r="G139" s="194"/>
      <c r="H139" s="194"/>
      <c r="I139" s="192"/>
    </row>
    <row r="140" spans="1:9" ht="18.75" customHeight="1">
      <c r="A140" s="4"/>
      <c r="B140" s="193"/>
      <c r="C140" s="194"/>
      <c r="D140" s="194"/>
      <c r="E140" s="194"/>
      <c r="F140" s="194"/>
      <c r="G140" s="194"/>
      <c r="H140" s="194"/>
      <c r="I140" s="192"/>
    </row>
    <row r="141" spans="1:9" ht="18.75" customHeight="1">
      <c r="A141" s="4"/>
      <c r="B141" s="195"/>
      <c r="C141" s="196"/>
      <c r="D141" s="196"/>
      <c r="E141" s="196"/>
      <c r="F141" s="196"/>
      <c r="G141" s="196"/>
      <c r="H141" s="196"/>
      <c r="I141" s="197"/>
    </row>
    <row r="142" spans="1:9" ht="7.5" customHeight="1">
      <c r="A142" s="4"/>
      <c r="B142" s="24"/>
      <c r="C142" s="24"/>
      <c r="D142" s="24"/>
      <c r="E142" s="24"/>
      <c r="F142" s="24"/>
      <c r="G142" s="24"/>
      <c r="H142" s="24"/>
      <c r="I142" s="24"/>
    </row>
    <row r="143" spans="1:9" ht="18.75" customHeight="1">
      <c r="A143" s="50"/>
      <c r="B143" s="180"/>
      <c r="C143" s="180"/>
      <c r="D143" s="180"/>
      <c r="E143" s="180"/>
      <c r="F143" s="180"/>
      <c r="G143" s="180"/>
      <c r="H143" s="180"/>
      <c r="I143" s="180"/>
    </row>
    <row r="144" spans="1:9" ht="18.75" customHeight="1">
      <c r="A144" s="50"/>
      <c r="B144" s="180"/>
      <c r="C144" s="180"/>
      <c r="D144" s="180"/>
      <c r="E144" s="180"/>
      <c r="F144" s="180"/>
      <c r="G144" s="180"/>
      <c r="H144" s="180"/>
      <c r="I144" s="180"/>
    </row>
    <row r="145" spans="1:9" ht="18.75" customHeight="1">
      <c r="A145" s="4"/>
      <c r="B145" s="51"/>
      <c r="C145" s="51"/>
      <c r="D145" s="51"/>
      <c r="E145" s="51"/>
      <c r="F145" s="51"/>
      <c r="G145" s="51"/>
      <c r="H145" s="51"/>
      <c r="I145" s="52"/>
    </row>
    <row r="146" spans="1:9" ht="18.75" customHeight="1">
      <c r="A146" s="4"/>
      <c r="B146" s="52"/>
      <c r="C146" s="52"/>
      <c r="D146" s="52"/>
      <c r="E146" s="52"/>
      <c r="F146" s="52"/>
      <c r="G146" s="52"/>
      <c r="H146" s="52"/>
      <c r="I146" s="52"/>
    </row>
    <row r="147" spans="1:9" ht="18.75" customHeight="1">
      <c r="A147" s="4"/>
      <c r="B147" s="52"/>
      <c r="C147" s="52"/>
      <c r="D147" s="52"/>
      <c r="E147" s="52"/>
      <c r="F147" s="52"/>
      <c r="G147" s="52"/>
      <c r="H147" s="52"/>
      <c r="I147" s="52"/>
    </row>
    <row r="148" spans="1:9" ht="18.75" customHeight="1">
      <c r="A148" s="4"/>
      <c r="B148" s="52"/>
      <c r="C148" s="52"/>
      <c r="D148" s="52"/>
      <c r="E148" s="52"/>
      <c r="F148" s="52"/>
      <c r="G148" s="52"/>
      <c r="H148" s="52"/>
      <c r="I148" s="52"/>
    </row>
    <row r="149" spans="1:9" ht="18.75" customHeight="1">
      <c r="A149" s="4"/>
      <c r="B149" s="52"/>
      <c r="C149" s="52"/>
      <c r="D149" s="52"/>
      <c r="E149" s="52"/>
      <c r="F149" s="52"/>
      <c r="G149" s="52"/>
      <c r="H149" s="52"/>
      <c r="I149" s="52"/>
    </row>
    <row r="150" spans="1:9" ht="18.75" customHeight="1">
      <c r="A150" s="4"/>
      <c r="B150" s="52"/>
      <c r="C150" s="52"/>
      <c r="D150" s="52"/>
      <c r="E150" s="52"/>
      <c r="F150" s="52"/>
      <c r="G150" s="52"/>
      <c r="H150" s="52"/>
      <c r="I150" s="52"/>
    </row>
    <row r="151" spans="1:9" ht="18.75" customHeight="1">
      <c r="A151" s="4"/>
      <c r="B151" s="52"/>
      <c r="C151" s="52"/>
      <c r="D151" s="52"/>
      <c r="E151" s="52"/>
      <c r="F151" s="52"/>
      <c r="G151" s="52"/>
      <c r="H151" s="52"/>
      <c r="I151" s="52"/>
    </row>
    <row r="152" spans="1:9" ht="18.75" customHeight="1">
      <c r="A152" s="4"/>
      <c r="B152" s="52"/>
      <c r="C152" s="52"/>
      <c r="D152" s="52"/>
      <c r="E152" s="52"/>
      <c r="F152" s="52"/>
      <c r="G152" s="52"/>
      <c r="H152" s="52"/>
      <c r="I152" s="52"/>
    </row>
    <row r="153" spans="1:9" ht="18.75" customHeight="1">
      <c r="A153" s="4"/>
      <c r="B153" s="52"/>
      <c r="C153" s="52"/>
      <c r="D153" s="52"/>
      <c r="E153" s="52"/>
      <c r="F153" s="52"/>
      <c r="G153" s="52"/>
      <c r="H153" s="52"/>
      <c r="I153" s="52"/>
    </row>
    <row r="154" spans="1:9" ht="18.75" customHeight="1">
      <c r="A154" s="4"/>
      <c r="B154" s="52"/>
      <c r="C154" s="52"/>
      <c r="D154" s="52"/>
      <c r="E154" s="52"/>
      <c r="F154" s="52"/>
      <c r="G154" s="52"/>
      <c r="H154" s="52"/>
      <c r="I154" s="52"/>
    </row>
    <row r="155" spans="1:9" ht="14.25">
      <c r="A155" s="4"/>
      <c r="B155" s="52"/>
      <c r="C155" s="52"/>
      <c r="D155" s="52"/>
      <c r="E155" s="52"/>
      <c r="F155" s="52"/>
      <c r="G155" s="52"/>
      <c r="H155" s="52"/>
      <c r="I155" s="52"/>
    </row>
    <row r="156" spans="1:9" ht="7.5" customHeight="1">
      <c r="A156" s="4"/>
      <c r="B156" s="52"/>
      <c r="C156" s="52"/>
      <c r="D156" s="52"/>
      <c r="E156" s="52"/>
      <c r="F156" s="52"/>
      <c r="G156" s="52"/>
      <c r="H156" s="52"/>
      <c r="I156" s="52"/>
    </row>
  </sheetData>
  <mergeCells count="23">
    <mergeCell ref="F72:G72"/>
    <mergeCell ref="B88:I99"/>
    <mergeCell ref="B102:I113"/>
    <mergeCell ref="C71:D71"/>
    <mergeCell ref="C72:D72"/>
    <mergeCell ref="F71:G71"/>
    <mergeCell ref="B74:I85"/>
    <mergeCell ref="B143:I144"/>
    <mergeCell ref="H2:I2"/>
    <mergeCell ref="A4:I4"/>
    <mergeCell ref="B19:I19"/>
    <mergeCell ref="B22:I32"/>
    <mergeCell ref="B35:I68"/>
    <mergeCell ref="B14:I14"/>
    <mergeCell ref="C16:E16"/>
    <mergeCell ref="H16:I16"/>
    <mergeCell ref="C11:E11"/>
    <mergeCell ref="H11:I11"/>
    <mergeCell ref="C6:D6"/>
    <mergeCell ref="B116:I127"/>
    <mergeCell ref="B129:I129"/>
    <mergeCell ref="B130:I141"/>
    <mergeCell ref="B73:I7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3" manualBreakCount="3">
    <brk id="45" max="8" man="1"/>
    <brk id="69" max="8" man="1"/>
    <brk id="114"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view="pageBreakPreview" zoomScale="90" zoomScaleNormal="100" zoomScaleSheetLayoutView="90" workbookViewId="0">
      <selection activeCell="E17" sqref="E17:I17"/>
    </sheetView>
  </sheetViews>
  <sheetFormatPr defaultColWidth="11.375" defaultRowHeight="22.5" customHeight="1"/>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c r="A1" s="1" t="s">
        <v>68</v>
      </c>
      <c r="I1" s="16" t="s">
        <v>96</v>
      </c>
    </row>
    <row r="2" spans="1:9" ht="18.75" customHeight="1">
      <c r="H2" s="16" t="s">
        <v>99</v>
      </c>
      <c r="I2" s="15" t="str">
        <f>'様式１　プログラムを構成する授業科目'!C2</f>
        <v>天理大学</v>
      </c>
    </row>
    <row r="3" spans="1:9" ht="18.75" customHeight="1">
      <c r="A3" s="183" t="s">
        <v>28</v>
      </c>
      <c r="B3" s="183"/>
      <c r="C3" s="183"/>
      <c r="D3" s="183"/>
      <c r="E3" s="183"/>
      <c r="F3" s="183"/>
      <c r="G3" s="183"/>
      <c r="H3" s="183"/>
      <c r="I3" s="183"/>
    </row>
    <row r="4" spans="1:9" ht="18.75" customHeight="1">
      <c r="A4" s="5"/>
      <c r="B4" s="5"/>
      <c r="C4" s="5"/>
      <c r="D4" s="5"/>
      <c r="E4" s="5"/>
      <c r="F4" s="5"/>
      <c r="G4" s="5"/>
      <c r="H4" s="5"/>
      <c r="I4" s="5"/>
    </row>
    <row r="5" spans="1:9" ht="18.75" customHeight="1">
      <c r="A5" s="1" t="s">
        <v>0</v>
      </c>
      <c r="B5" s="9" t="s">
        <v>90</v>
      </c>
      <c r="C5" s="5"/>
      <c r="D5" s="5"/>
      <c r="E5" s="5"/>
      <c r="F5" s="5"/>
      <c r="G5" s="5"/>
      <c r="H5" s="5"/>
      <c r="I5" s="5"/>
    </row>
    <row r="6" spans="1:9" ht="26.25" customHeight="1">
      <c r="A6" s="5"/>
      <c r="B6" s="254" t="s">
        <v>163</v>
      </c>
      <c r="C6" s="255"/>
      <c r="D6" s="255"/>
      <c r="E6" s="255"/>
      <c r="F6" s="255"/>
      <c r="G6" s="255"/>
      <c r="H6" s="256"/>
      <c r="I6" s="3"/>
    </row>
    <row r="7" spans="1:9" ht="9" customHeight="1">
      <c r="A7" s="5"/>
      <c r="B7" s="60"/>
      <c r="C7" s="60"/>
      <c r="D7" s="60"/>
      <c r="E7" s="60"/>
      <c r="F7" s="60"/>
      <c r="G7" s="60"/>
      <c r="H7" s="60"/>
      <c r="I7" s="3"/>
    </row>
    <row r="8" spans="1:9" ht="18.75" customHeight="1">
      <c r="A8" s="5"/>
      <c r="B8" s="58"/>
      <c r="C8" s="58"/>
      <c r="D8" s="67" t="s">
        <v>42</v>
      </c>
      <c r="E8" s="69" t="s">
        <v>164</v>
      </c>
      <c r="F8" s="58"/>
      <c r="G8" s="67" t="s">
        <v>10</v>
      </c>
      <c r="H8" s="69" t="s">
        <v>173</v>
      </c>
      <c r="I8" s="3"/>
    </row>
    <row r="9" spans="1:9" ht="7.5" customHeight="1">
      <c r="A9" s="5"/>
      <c r="B9" s="5"/>
      <c r="C9" s="5"/>
      <c r="D9" s="5"/>
      <c r="E9" s="5"/>
      <c r="F9" s="5"/>
      <c r="G9" s="5"/>
      <c r="H9" s="5"/>
      <c r="I9" s="5"/>
    </row>
    <row r="10" spans="1:9" ht="18.75" customHeight="1">
      <c r="A10" s="1" t="s">
        <v>3</v>
      </c>
      <c r="B10" s="1" t="s">
        <v>27</v>
      </c>
      <c r="C10" s="4"/>
      <c r="D10" s="4"/>
      <c r="E10" s="4"/>
      <c r="F10" s="4"/>
      <c r="G10" s="4"/>
      <c r="H10" s="4"/>
      <c r="I10" s="4"/>
    </row>
    <row r="11" spans="1:9" ht="18.75" customHeight="1">
      <c r="B11" s="181" t="s">
        <v>24</v>
      </c>
      <c r="C11" s="251"/>
      <c r="D11" s="182"/>
      <c r="E11" s="251" t="s">
        <v>26</v>
      </c>
      <c r="F11" s="251"/>
      <c r="G11" s="251"/>
      <c r="H11" s="251"/>
      <c r="I11" s="182"/>
    </row>
    <row r="12" spans="1:9" ht="26.25" customHeight="1">
      <c r="B12" s="25" t="s">
        <v>14</v>
      </c>
      <c r="C12" s="32"/>
      <c r="D12" s="26"/>
      <c r="E12" s="33"/>
      <c r="F12" s="33"/>
      <c r="G12" s="33"/>
      <c r="H12" s="33"/>
      <c r="I12" s="26"/>
    </row>
    <row r="13" spans="1:9" ht="210.75" customHeight="1">
      <c r="B13" s="27"/>
      <c r="C13" s="252" t="s">
        <v>15</v>
      </c>
      <c r="D13" s="253"/>
      <c r="E13" s="248" t="s">
        <v>184</v>
      </c>
      <c r="F13" s="249"/>
      <c r="G13" s="249"/>
      <c r="H13" s="249"/>
      <c r="I13" s="250"/>
    </row>
    <row r="14" spans="1:9" ht="210.75" customHeight="1">
      <c r="B14" s="27"/>
      <c r="C14" s="246" t="s">
        <v>16</v>
      </c>
      <c r="D14" s="247"/>
      <c r="E14" s="248" t="s">
        <v>177</v>
      </c>
      <c r="F14" s="249"/>
      <c r="G14" s="249"/>
      <c r="H14" s="249"/>
      <c r="I14" s="250"/>
    </row>
    <row r="15" spans="1:9" ht="210.75" customHeight="1">
      <c r="B15" s="27"/>
      <c r="C15" s="252" t="s">
        <v>17</v>
      </c>
      <c r="D15" s="253"/>
      <c r="E15" s="248" t="s">
        <v>178</v>
      </c>
      <c r="F15" s="249"/>
      <c r="G15" s="249"/>
      <c r="H15" s="249"/>
      <c r="I15" s="250"/>
    </row>
    <row r="16" spans="1:9" ht="210.75" customHeight="1">
      <c r="B16" s="27"/>
      <c r="C16" s="252" t="s">
        <v>18</v>
      </c>
      <c r="D16" s="253"/>
      <c r="E16" s="248" t="s">
        <v>174</v>
      </c>
      <c r="F16" s="249"/>
      <c r="G16" s="249"/>
      <c r="H16" s="249"/>
      <c r="I16" s="250"/>
    </row>
    <row r="17" spans="2:9" ht="210.75" customHeight="1">
      <c r="B17" s="28"/>
      <c r="C17" s="257" t="s">
        <v>19</v>
      </c>
      <c r="D17" s="258"/>
      <c r="E17" s="259" t="s">
        <v>185</v>
      </c>
      <c r="F17" s="260"/>
      <c r="G17" s="260"/>
      <c r="H17" s="260"/>
      <c r="I17" s="261"/>
    </row>
    <row r="18" spans="2:9" ht="24" customHeight="1">
      <c r="B18" s="25" t="s">
        <v>20</v>
      </c>
      <c r="C18" s="29"/>
      <c r="D18" s="30"/>
      <c r="E18" s="31"/>
      <c r="F18" s="31"/>
      <c r="G18" s="31"/>
      <c r="H18" s="31"/>
      <c r="I18" s="34"/>
    </row>
    <row r="19" spans="2:9" ht="218.25" customHeight="1">
      <c r="B19" s="27"/>
      <c r="C19" s="252" t="s">
        <v>21</v>
      </c>
      <c r="D19" s="253"/>
      <c r="E19" s="249" t="s">
        <v>179</v>
      </c>
      <c r="F19" s="249"/>
      <c r="G19" s="249"/>
      <c r="H19" s="249"/>
      <c r="I19" s="250"/>
    </row>
    <row r="20" spans="2:9" ht="218.25" customHeight="1">
      <c r="B20" s="28"/>
      <c r="C20" s="257" t="s">
        <v>22</v>
      </c>
      <c r="D20" s="258"/>
      <c r="E20" s="260" t="s">
        <v>180</v>
      </c>
      <c r="F20" s="260"/>
      <c r="G20" s="260"/>
      <c r="H20" s="260"/>
      <c r="I20" s="261"/>
    </row>
    <row r="21" spans="2:9" ht="218.25" customHeight="1">
      <c r="B21" s="267" t="s">
        <v>23</v>
      </c>
      <c r="C21" s="268"/>
      <c r="D21" s="269"/>
      <c r="E21" s="270" t="s">
        <v>181</v>
      </c>
      <c r="F21" s="270"/>
      <c r="G21" s="270"/>
      <c r="H21" s="270"/>
      <c r="I21" s="271"/>
    </row>
    <row r="22" spans="2:9" ht="218.25" customHeight="1">
      <c r="B22" s="262" t="s">
        <v>176</v>
      </c>
      <c r="C22" s="263"/>
      <c r="D22" s="264"/>
      <c r="E22" s="265" t="s">
        <v>175</v>
      </c>
      <c r="F22" s="265"/>
      <c r="G22" s="265"/>
      <c r="H22" s="265"/>
      <c r="I22" s="266"/>
    </row>
    <row r="23" spans="2:9" ht="22.5" customHeight="1">
      <c r="B23" s="4"/>
      <c r="C23" s="4"/>
      <c r="D23" s="4"/>
      <c r="E23" s="4"/>
      <c r="F23" s="4"/>
      <c r="G23" s="4"/>
      <c r="H23" s="4"/>
      <c r="I23" s="4"/>
    </row>
    <row r="24" spans="2:9" ht="22.5" customHeight="1">
      <c r="B24" s="4"/>
      <c r="C24" s="4"/>
      <c r="D24" s="4"/>
      <c r="E24" s="4"/>
      <c r="F24" s="4"/>
      <c r="G24" s="4"/>
      <c r="H24" s="4"/>
      <c r="I24" s="4"/>
    </row>
    <row r="25" spans="2:9" ht="22.5" customHeight="1">
      <c r="B25" s="4"/>
      <c r="C25" s="4"/>
      <c r="D25" s="4"/>
      <c r="E25" s="4"/>
      <c r="F25" s="4"/>
      <c r="G25" s="4"/>
      <c r="H25" s="4"/>
      <c r="I25" s="4"/>
    </row>
    <row r="26" spans="2:9" ht="22.5" customHeight="1">
      <c r="B26" s="4"/>
      <c r="C26" s="4"/>
      <c r="D26" s="4"/>
      <c r="E26" s="4"/>
      <c r="F26" s="4"/>
      <c r="G26" s="4"/>
      <c r="H26" s="4"/>
      <c r="I26" s="4"/>
    </row>
    <row r="27" spans="2:9" ht="22.5" customHeight="1">
      <c r="B27" s="4"/>
      <c r="C27" s="4"/>
      <c r="D27" s="4"/>
      <c r="E27" s="4"/>
      <c r="F27" s="4"/>
      <c r="G27" s="4"/>
      <c r="H27" s="4"/>
      <c r="I27" s="4"/>
    </row>
    <row r="28" spans="2:9" ht="22.5" customHeight="1">
      <c r="B28" s="13"/>
      <c r="C28" s="13"/>
      <c r="D28" s="13"/>
      <c r="E28" s="13"/>
      <c r="F28" s="13"/>
      <c r="G28" s="13"/>
      <c r="H28" s="13"/>
      <c r="I28" s="13"/>
    </row>
    <row r="29" spans="2:9" ht="22.5" customHeight="1">
      <c r="B29" s="13"/>
      <c r="C29" s="13"/>
      <c r="D29" s="13"/>
      <c r="E29" s="13"/>
      <c r="F29" s="13"/>
      <c r="G29" s="13"/>
      <c r="H29" s="13"/>
      <c r="I29" s="13"/>
    </row>
    <row r="30" spans="2:9" ht="22.5" customHeight="1">
      <c r="B30" s="13"/>
      <c r="C30" s="13"/>
      <c r="D30" s="13"/>
      <c r="E30" s="13"/>
      <c r="F30" s="13"/>
      <c r="G30" s="13"/>
      <c r="H30" s="13"/>
      <c r="I30" s="13"/>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石田　万起子</cp:lastModifiedBy>
  <cp:lastPrinted>2024-04-24T07:03:22Z</cp:lastPrinted>
  <dcterms:created xsi:type="dcterms:W3CDTF">2011-06-14T05:32:50Z</dcterms:created>
  <dcterms:modified xsi:type="dcterms:W3CDTF">2024-06-20T08:51:23Z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