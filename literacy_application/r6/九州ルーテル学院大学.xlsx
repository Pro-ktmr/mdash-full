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172.17.1.11\disk1\5.教学\52.大学\522.学務・入試センター\★教務\2020年度～\DS申請関係（数理・データサイエンス・AI教育プログラム）\申請関係書類\★★最終提出様式一式＿再提出20240612\"/>
    </mc:Choice>
  </mc:AlternateContent>
  <xr:revisionPtr revIDLastSave="0" documentId="13_ncr:1_{C167D133-4B6E-4B8C-9555-08F835FA0DF9}" xr6:coauthVersionLast="47" xr6:coauthVersionMax="47" xr10:uidLastSave="{00000000-0000-0000-0000-000000000000}"/>
  <bookViews>
    <workbookView xWindow="-120" yWindow="-120" windowWidth="29040" windowHeight="15990" tabRatio="885" xr2:uid="{00000000-000D-0000-FFFF-FFFF00000000}"/>
  </bookViews>
  <sheets>
    <sheet name="様式１プログラムを構成する授業科目" sheetId="39" r:id="rId1"/>
    <sheet name="様式２履修者等数の実績" sheetId="40" r:id="rId2"/>
    <sheet name="様式３教育の質・履修者数を向上させるための体制・計画" sheetId="41" r:id="rId3"/>
    <sheet name="様式４自己点検・評価" sheetId="42" r:id="rId4"/>
  </sheets>
  <definedNames>
    <definedName name="_xlnm._FilterDatabase" localSheetId="0" hidden="1">様式１プログラムを構成する授業科目!$X$16:$X$18</definedName>
    <definedName name="_xlnm._FilterDatabase" localSheetId="1" hidden="1">様式２履修者等数の実績!#REF!</definedName>
    <definedName name="_xlnm.Print_Area" localSheetId="0">様式１プログラムを構成する授業科目!$A$1:$U$112</definedName>
    <definedName name="_xlnm.Print_Area" localSheetId="1">様式２履修者等数の実績!$A$1:$S$33</definedName>
    <definedName name="_xlnm.Print_Area" localSheetId="2">様式３教育の質・履修者数を向上させるための体制・計画!$A$1:$I$119</definedName>
    <definedName name="_xlnm.Print_Area" localSheetId="3">様式４自己点検・評価!$A$1:$I$22</definedName>
    <definedName name="_xlnm.Print_Titles" localSheetId="3">様式４自己点検・評価!$11:$11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9" i="41" l="1"/>
  <c r="M7" i="40"/>
  <c r="I2" i="42"/>
  <c r="Q2" i="40"/>
  <c r="I33" i="40" l="1"/>
  <c r="M33" i="40"/>
  <c r="P33" i="40"/>
  <c r="Q33" i="40"/>
  <c r="O33" i="40"/>
  <c r="N33" i="40"/>
  <c r="L33" i="40"/>
  <c r="J33" i="40"/>
  <c r="K33" i="40"/>
  <c r="H33" i="40"/>
  <c r="R14" i="40" l="1"/>
  <c r="R13" i="40"/>
  <c r="S13" i="40" s="1"/>
  <c r="C33" i="40"/>
  <c r="G33" i="40" l="1"/>
  <c r="F33" i="40" l="1"/>
  <c r="E33" i="40"/>
  <c r="I50" i="41" s="1"/>
  <c r="D33" i="40"/>
  <c r="S14" i="40"/>
  <c r="R33" i="40" l="1"/>
  <c r="S33" i="40" s="1"/>
</calcChain>
</file>

<file path=xl/sharedStrings.xml><?xml version="1.0" encoding="utf-8"?>
<sst xmlns="http://schemas.openxmlformats.org/spreadsheetml/2006/main" count="307" uniqueCount="193">
  <si>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</si>
  <si>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</si>
  <si>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</si>
  <si>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</si>
  <si>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</si>
  <si>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</si>
  <si>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</si>
  <si>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</si>
  <si>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</si>
  <si>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</si>
  <si>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</si>
  <si>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</si>
  <si>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</si>
  <si>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</si>
  <si>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</si>
  <si>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</si>
  <si>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</si>
  <si>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</si>
  <si>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</si>
  <si>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</si>
  <si>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</si>
  <si>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</si>
  <si>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</si>
  <si>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</si>
  <si>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</si>
  <si>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</si>
  <si>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</si>
  <si>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</si>
  <si>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</si>
  <si>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</si>
  <si>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</si>
  <si>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</si>
  <si>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</si>
  <si>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</si>
  <si>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</si>
  <si>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</si>
  <si>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</si>
  <si>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</si>
  <si>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</si>
  <si>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</si>
  <si>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</si>
  <si>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</si>
  <si>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</si>
  <si>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</si>
  <si>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</si>
  <si>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</si>
  <si>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</si>
  <si>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</si>
  <si>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</si>
  <si>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</si>
  <si>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</si>
  <si>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</si>
  <si>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</si>
  <si>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</si>
  <si>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</si>
  <si>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</si>
  <si>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</si>
  <si>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</si>
  <si>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</si>
  <si>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</si>
  <si>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</si>
  <si>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</si>
  <si>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</si>
  <si>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</si>
  <si>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</si>
  <si>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</si>
  <si>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</si>
  <si>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</si>
  <si>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</si>
  <si>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</si>
  <si>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</si>
  <si>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</si>
  <si>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</si>
  <si>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</si>
  <si>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</si>
  <si>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</si>
  <si>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</si>
  <si>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</si>
  <si>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</si>
  <si>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</si>
  <si>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</si>
  <si>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</si>
  <si>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</si>
  <si>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</si>
  <si>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</si>
  <si>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</si>
  <si>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</si>
  <si>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</si>
  <si>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</si>
  <si>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</si>
  <si>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</si>
  <si>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</si>
  <si>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</si>
  <si>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</si>
  <si>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</si>
  <si>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</si>
  <si>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</si>
  <si>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</si>
  <si>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</si>
  <si>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</si>
  <si>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</si>
  <si>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</si>
  <si>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</si>
  <si>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</si>
  <si>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</si>
  <si>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</si>
  <si>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</si>
  <si>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</si>
  <si>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</si>
  <si>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</si>
  <si>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</si>
  <si>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</si>
  <si>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</si>
  <si>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</si>
  <si>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</si>
  <si>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</si>
  <si>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</si>
  <si>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</si>
  <si>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</si>
  <si>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</si>
  <si>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</si>
  <si>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</si>
  <si>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</si>
  <si>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</si>
  <si>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</si>
  <si>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</si>
  <si>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</si>
  <si>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</si>
  <si>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</si>
  <si>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</si>
  <si>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</si>
  <si>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</si>
  <si>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</si>
  <si>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</si>
  <si>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</si>
  <si>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九州ルーテル学院大学</t>
    <rPh sb="0" eb="2">
      <t>キュウシュウ</t>
    </rPh>
    <rPh sb="6" eb="8">
      <t>ガクイン</t>
    </rPh>
    <rPh sb="8" eb="10">
      <t>ダイガク</t>
    </rPh>
    <phoneticPr fontId="1"/>
  </si>
  <si>
    <t>久﨑孝浩</t>
    <rPh sb="0" eb="1">
      <t>ヒサ</t>
    </rPh>
    <rPh sb="1" eb="2">
      <t>サキ</t>
    </rPh>
    <rPh sb="2" eb="3">
      <t>タカシ</t>
    </rPh>
    <rPh sb="3" eb="4">
      <t>ヒロ</t>
    </rPh>
    <phoneticPr fontId="1"/>
  </si>
  <si>
    <t>ICT教育部会は，ＩＣＴ教育を推進するため，ＩＣＴ教育に係る教育プログラムの構築及び管理，ＩＣＴ教育の質向上，全学的なＩＣＴ教育環境の整備及び管理を担うべく設置された。ICTとは，情報通信機器を用いて行うコミュニケーションを実現する技術のことを言うが，そこにはインターネット・アプリケーション・ソフトウェアの活用だけでなく情報・データ処理技術やプログラミング・AI活用も関わるため，この度申請するプログラムの具体的な構築と管理，プログラム推進に係る教育設備やソフトウェア等の検討・整備も行う。</t>
    <phoneticPr fontId="1"/>
  </si>
  <si>
    <t xml:space="preserve">・入学生・在学生には，本学のネットワーク環境や教育環境で使用しやすいスペックのPCを推奨し，本プログラムの科目を受講しやすいようにしている。
・「データサイエンス概論」はLMS上で学生が質問を発しやすいように質問受付サイトを設けて，担当教員が速やかに返信できる体制をとっている。
・「データサイエンス概論」では毎授業回で学修すべき重要事項に関する小テストを設け，不正解の場合でも復習できるように具体的なコメント・フィードバックを設定している。
・データ処理・分析スキル修得を目標とする「情報活用基礎」「データサイエンス基礎Ⅰ」「データサイエンス基礎Ⅱ」や，プログラミングスキル修得を目標とする「情報活用と情報デザイン」「プログラミングとAI活用入門」では，受講者間で修得度の格差が大きくなることが予想され，SAやTAの配置を検討している。
</t>
    <phoneticPr fontId="1"/>
  </si>
  <si>
    <t>人文学科</t>
    <rPh sb="0" eb="2">
      <t>ジンブン</t>
    </rPh>
    <rPh sb="2" eb="4">
      <t>ガッカ</t>
    </rPh>
    <phoneticPr fontId="1"/>
  </si>
  <si>
    <t>心理臨床学科</t>
    <rPh sb="0" eb="6">
      <t>シンリリンショウガッカ</t>
    </rPh>
    <phoneticPr fontId="1"/>
  </si>
  <si>
    <t>香﨑智郁代</t>
    <rPh sb="0" eb="1">
      <t>カオル</t>
    </rPh>
    <rPh sb="1" eb="2">
      <t>サキ</t>
    </rPh>
    <rPh sb="2" eb="3">
      <t>サトシ</t>
    </rPh>
    <rPh sb="3" eb="5">
      <t>イクヨ</t>
    </rPh>
    <phoneticPr fontId="1"/>
  </si>
  <si>
    <t>九州ルーテル学院大学</t>
    <rPh sb="0" eb="2">
      <t>キュウシュウ</t>
    </rPh>
    <rPh sb="6" eb="10">
      <t>ガクインダイガク</t>
    </rPh>
    <phoneticPr fontId="1"/>
  </si>
  <si>
    <t>データサイエンス・AI ユーザープログラム</t>
    <phoneticPr fontId="1"/>
  </si>
  <si>
    <t xml:space="preserve">共通教育科目「データサイエンス概論」１単位を必修科目とし，これに加えて，以下の３つ共通教育科目を選択必修科目としてそこから２単位以上，合計3単位以上を取得すること。
　共通教育科目（必修科目）：「データサイエンス概論」（１単位，１年次開講）
　共通教育科目（選択必修科目）：「データサイエンス基礎Ⅰ」「データサイエンス基礎Ⅱ」「情報活用基礎」（各２単位，１年次開講）
　共通教育科目（選択科目）：「情報活用と情報デザイン」「プログラミング・AI活用入門」（各２単位，２年次開講）
　※選択科目の「情報活用と情報デザイン」「プログラミング・AI活用入門」はwebアプリケーションやAI・プログラミング活用に関する入門
　　　科目であり，３年次開講のプログラミングや機械学習を実践する科目に接続するものであるが，修了要件には含めていない。
</t>
    <rPh sb="0" eb="2">
      <t>キョウツウ</t>
    </rPh>
    <rPh sb="2" eb="4">
      <t>キョウイク</t>
    </rPh>
    <rPh sb="4" eb="6">
      <t>カモク</t>
    </rPh>
    <rPh sb="15" eb="17">
      <t>ガイロン</t>
    </rPh>
    <rPh sb="22" eb="24">
      <t>ヒッシュウ</t>
    </rPh>
    <rPh sb="36" eb="38">
      <t>イカ</t>
    </rPh>
    <rPh sb="43" eb="45">
      <t>キョウイク</t>
    </rPh>
    <rPh sb="45" eb="47">
      <t>カモク</t>
    </rPh>
    <rPh sb="48" eb="50">
      <t>センタク</t>
    </rPh>
    <rPh sb="50" eb="52">
      <t>ヒッシュウ</t>
    </rPh>
    <rPh sb="52" eb="54">
      <t>カモク</t>
    </rPh>
    <rPh sb="86" eb="88">
      <t>キョウイク</t>
    </rPh>
    <rPh sb="91" eb="93">
      <t>ヒッシュウ</t>
    </rPh>
    <rPh sb="106" eb="108">
      <t>ガイロン</t>
    </rPh>
    <rPh sb="111" eb="113">
      <t>タンイ</t>
    </rPh>
    <rPh sb="115" eb="117">
      <t>ネンジ</t>
    </rPh>
    <rPh sb="117" eb="119">
      <t>カイコウ</t>
    </rPh>
    <rPh sb="124" eb="126">
      <t>キョウイク</t>
    </rPh>
    <rPh sb="126" eb="128">
      <t>カモク</t>
    </rPh>
    <rPh sb="129" eb="131">
      <t>センタク</t>
    </rPh>
    <rPh sb="131" eb="133">
      <t>ヒッシュウ</t>
    </rPh>
    <rPh sb="133" eb="135">
      <t>カモク</t>
    </rPh>
    <rPh sb="146" eb="148">
      <t>キソ</t>
    </rPh>
    <rPh sb="159" eb="161">
      <t>キソ</t>
    </rPh>
    <rPh sb="172" eb="173">
      <t>カク</t>
    </rPh>
    <rPh sb="174" eb="176">
      <t>タンイ</t>
    </rPh>
    <rPh sb="178" eb="180">
      <t>ネンジ</t>
    </rPh>
    <rPh sb="180" eb="182">
      <t>カイコウ</t>
    </rPh>
    <rPh sb="185" eb="187">
      <t>キョウツウ</t>
    </rPh>
    <rPh sb="187" eb="189">
      <t>キョウイク</t>
    </rPh>
    <rPh sb="189" eb="191">
      <t>カモク</t>
    </rPh>
    <rPh sb="192" eb="194">
      <t>センタク</t>
    </rPh>
    <rPh sb="194" eb="196">
      <t>カモク</t>
    </rPh>
    <rPh sb="199" eb="201">
      <t>ジョウホウ</t>
    </rPh>
    <rPh sb="201" eb="203">
      <t>カツヨウ</t>
    </rPh>
    <rPh sb="204" eb="206">
      <t>ジョウホウ</t>
    </rPh>
    <rPh sb="222" eb="224">
      <t>カツヨウ</t>
    </rPh>
    <rPh sb="224" eb="226">
      <t>ニュウモン</t>
    </rPh>
    <rPh sb="228" eb="229">
      <t>カク</t>
    </rPh>
    <rPh sb="230" eb="232">
      <t>タンイ</t>
    </rPh>
    <rPh sb="234" eb="236">
      <t>ネンジ</t>
    </rPh>
    <rPh sb="236" eb="238">
      <t>カイコウ</t>
    </rPh>
    <rPh sb="242" eb="244">
      <t>センタク</t>
    </rPh>
    <rPh sb="244" eb="246">
      <t>カモク</t>
    </rPh>
    <rPh sb="299" eb="301">
      <t>カツヨウ</t>
    </rPh>
    <rPh sb="302" eb="303">
      <t>カン</t>
    </rPh>
    <rPh sb="305" eb="307">
      <t>ニュウモン</t>
    </rPh>
    <rPh sb="311" eb="313">
      <t>カモク</t>
    </rPh>
    <rPh sb="318" eb="320">
      <t>ネンジ</t>
    </rPh>
    <rPh sb="320" eb="322">
      <t>カイコウ</t>
    </rPh>
    <rPh sb="331" eb="335">
      <t>キカイガクシュウ</t>
    </rPh>
    <rPh sb="336" eb="338">
      <t>ジッセン</t>
    </rPh>
    <rPh sb="340" eb="342">
      <t>カモク</t>
    </rPh>
    <rPh sb="343" eb="345">
      <t>セツゾク</t>
    </rPh>
    <rPh sb="354" eb="358">
      <t>シュウリョウヨウケン</t>
    </rPh>
    <rPh sb="360" eb="361">
      <t>フク</t>
    </rPh>
    <phoneticPr fontId="1"/>
  </si>
  <si>
    <t>データサイエンス概論</t>
    <rPh sb="8" eb="10">
      <t>ガイロン</t>
    </rPh>
    <phoneticPr fontId="1"/>
  </si>
  <si>
    <t>○</t>
  </si>
  <si>
    <t>データサイエンス基礎Ⅰ</t>
    <rPh sb="8" eb="11">
      <t>キソイチ</t>
    </rPh>
    <phoneticPr fontId="1"/>
  </si>
  <si>
    <t>データサイエンス基礎Ⅱ</t>
    <rPh sb="8" eb="10">
      <t>キソ</t>
    </rPh>
    <phoneticPr fontId="1"/>
  </si>
  <si>
    <t>情報活用基礎</t>
    <rPh sb="0" eb="4">
      <t>ジョウホウカツヨウ</t>
    </rPh>
    <rPh sb="4" eb="6">
      <t>キソ</t>
    </rPh>
    <phoneticPr fontId="1"/>
  </si>
  <si>
    <t>データサイエンス基礎Ⅰ</t>
    <rPh sb="8" eb="10">
      <t>キソ</t>
    </rPh>
    <phoneticPr fontId="1"/>
  </si>
  <si>
    <t>情報活用と情報デザイン</t>
    <rPh sb="0" eb="2">
      <t>ジョウホウ</t>
    </rPh>
    <rPh sb="2" eb="4">
      <t>カツヨウ</t>
    </rPh>
    <rPh sb="5" eb="7">
      <t>ジョウホウ</t>
    </rPh>
    <phoneticPr fontId="1"/>
  </si>
  <si>
    <t>プログラミングとAI活用入門</t>
    <rPh sb="10" eb="12">
      <t>カツヨウ</t>
    </rPh>
    <rPh sb="12" eb="14">
      <t>ニュウモン</t>
    </rPh>
    <phoneticPr fontId="1"/>
  </si>
  <si>
    <t>4‐3データ構造とプログラミング基礎</t>
  </si>
  <si>
    <t>4‐4時系列データ解析</t>
  </si>
  <si>
    <t>・ビッグデータ，第4次産業革命，AIの非連続的進化，人間の知的活動とAIの関係性「データサイエンス概論」（第1回）
・ビッグデータ「データサイエンス基礎Ⅰ」（第1～3回）
・ビッグデータ，データを起点としてものの見方「データサイエンス基礎Ⅱ」（第1回，第8回）</t>
    <rPh sb="19" eb="23">
      <t>ヒレンゾクテキ</t>
    </rPh>
    <rPh sb="23" eb="25">
      <t>シンカ</t>
    </rPh>
    <rPh sb="37" eb="40">
      <t>カンケイセイ</t>
    </rPh>
    <rPh sb="49" eb="51">
      <t>ガイロン</t>
    </rPh>
    <rPh sb="53" eb="54">
      <t>ダイ</t>
    </rPh>
    <rPh sb="55" eb="56">
      <t>カイ</t>
    </rPh>
    <rPh sb="74" eb="76">
      <t>キソ</t>
    </rPh>
    <rPh sb="79" eb="80">
      <t>ダイ</t>
    </rPh>
    <rPh sb="83" eb="84">
      <t>カイ</t>
    </rPh>
    <rPh sb="98" eb="100">
      <t>キテン</t>
    </rPh>
    <rPh sb="106" eb="108">
      <t>ミカタ</t>
    </rPh>
    <rPh sb="117" eb="119">
      <t>キソ</t>
    </rPh>
    <rPh sb="122" eb="123">
      <t>ダイ</t>
    </rPh>
    <rPh sb="124" eb="125">
      <t>カイ</t>
    </rPh>
    <rPh sb="126" eb="127">
      <t>ダイ</t>
    </rPh>
    <rPh sb="128" eb="129">
      <t>カイ</t>
    </rPh>
    <phoneticPr fontId="1"/>
  </si>
  <si>
    <t>・AI等を活用した新たなビジネスモデル，AI最新技術の活用例（深層生成モデル，強化学習，転移学習）「データサイエンス概論」（第6回）</t>
    <rPh sb="22" eb="24">
      <t>サイシン</t>
    </rPh>
    <rPh sb="27" eb="29">
      <t>カツヨウ</t>
    </rPh>
    <rPh sb="29" eb="30">
      <t>レイ</t>
    </rPh>
    <rPh sb="31" eb="35">
      <t>シンソウセイセイ</t>
    </rPh>
    <rPh sb="41" eb="43">
      <t>ガクシュウ</t>
    </rPh>
    <rPh sb="44" eb="46">
      <t>テンイ</t>
    </rPh>
    <rPh sb="58" eb="60">
      <t>ガイロン</t>
    </rPh>
    <rPh sb="62" eb="63">
      <t>ダイ</t>
    </rPh>
    <rPh sb="64" eb="65">
      <t>カイ</t>
    </rPh>
    <phoneticPr fontId="1"/>
  </si>
  <si>
    <t>・調査データ，実験データ，行動ログデータ，機械稼働ログデータ，1次・2次データ，構造化・非構造化データ「データサイエンス概論」（第2回）
・調査データ，実験データ「データサイエンス基礎Ⅰ」（第1～15回）
・調査データ，実験データ「データサイエンス基礎Ⅱ」（第6回，第8～9回，第11回）</t>
    <rPh sb="60" eb="62">
      <t>ガイロン</t>
    </rPh>
    <rPh sb="64" eb="65">
      <t>ダイ</t>
    </rPh>
    <rPh sb="66" eb="67">
      <t>カイ</t>
    </rPh>
    <rPh sb="70" eb="72">
      <t>チョウサ</t>
    </rPh>
    <rPh sb="76" eb="78">
      <t>ジッケン</t>
    </rPh>
    <rPh sb="90" eb="92">
      <t>キソ</t>
    </rPh>
    <rPh sb="95" eb="96">
      <t>ダイ</t>
    </rPh>
    <rPh sb="100" eb="101">
      <t>カイ</t>
    </rPh>
    <rPh sb="104" eb="106">
      <t>チョウサ</t>
    </rPh>
    <rPh sb="110" eb="112">
      <t>ジッケン</t>
    </rPh>
    <rPh sb="124" eb="126">
      <t>キソ</t>
    </rPh>
    <rPh sb="129" eb="130">
      <t>ダイ</t>
    </rPh>
    <rPh sb="131" eb="132">
      <t>カイ</t>
    </rPh>
    <rPh sb="133" eb="134">
      <t>ダイ</t>
    </rPh>
    <rPh sb="137" eb="138">
      <t>カイ</t>
    </rPh>
    <rPh sb="139" eb="140">
      <t>ダイ</t>
    </rPh>
    <rPh sb="142" eb="143">
      <t>カイ</t>
    </rPh>
    <phoneticPr fontId="1"/>
  </si>
  <si>
    <t>・データ・AI活用領域の広がり(製造，物流，販売，マーケティング，文化活動など），仮説検証・知識発見・原因究明等を目的としたデータ・AI活用事例「データサイエンス概論」（第3回）
・データ・AI活用領域の広がり「データサイエンス基礎Ⅰ」（第1回）
・データ・AI活用領域の広がり「データサイエンス基礎Ⅱ」（第11回）</t>
    <rPh sb="81" eb="83">
      <t>ガイロン</t>
    </rPh>
    <rPh sb="85" eb="86">
      <t>ダイ</t>
    </rPh>
    <rPh sb="87" eb="88">
      <t>カイ</t>
    </rPh>
    <rPh sb="114" eb="116">
      <t>キソ</t>
    </rPh>
    <rPh sb="119" eb="120">
      <t>ダイ</t>
    </rPh>
    <rPh sb="121" eb="122">
      <t>カイ</t>
    </rPh>
    <phoneticPr fontId="1"/>
  </si>
  <si>
    <t>・データ解析（予測、グルーピング、パターン発見等），データ可視化（多次元の可視化、関係性の可視化等），非構造化データ処理，認識技術，特化型AIと汎用型AI，AIとビッグデータ「データサイエンス概論」（第4回）</t>
    <rPh sb="48" eb="49">
      <t>ナド</t>
    </rPh>
    <rPh sb="66" eb="69">
      <t>トッカガタ</t>
    </rPh>
    <rPh sb="72" eb="75">
      <t>ハンヨウガタ</t>
    </rPh>
    <rPh sb="96" eb="98">
      <t>ガイロン</t>
    </rPh>
    <rPh sb="100" eb="101">
      <t>ダイ</t>
    </rPh>
    <rPh sb="102" eb="103">
      <t>カイ</t>
    </rPh>
    <phoneticPr fontId="1"/>
  </si>
  <si>
    <t>・データサイエンスのサイクル，教育・流通・製造・サービス等におけるデータ・AI利活用事例「データサイエンス概論」（第5回）
・データ・AI利活用事例「データサイエンス基礎Ⅰ」（第1回）</t>
    <rPh sb="28" eb="29">
      <t>トウ</t>
    </rPh>
    <rPh sb="39" eb="40">
      <t>リ</t>
    </rPh>
    <rPh sb="40" eb="44">
      <t>カツヨウジレイ</t>
    </rPh>
    <rPh sb="53" eb="55">
      <t>ガイロン</t>
    </rPh>
    <rPh sb="57" eb="58">
      <t>ダイ</t>
    </rPh>
    <rPh sb="59" eb="60">
      <t>カイ</t>
    </rPh>
    <rPh sb="83" eb="85">
      <t>キソ</t>
    </rPh>
    <phoneticPr fontId="1"/>
  </si>
  <si>
    <t>・ELSI，EU一般データ保護規則，個人情報保護，データ倫理，AI社会原則，データ・AI利活用における負の事例「データサイエンス概論」（第7回）
・個人情報保護「データサイエンス基礎Ⅰ」（第2回）</t>
    <rPh sb="64" eb="66">
      <t>ガイロン</t>
    </rPh>
    <rPh sb="68" eb="69">
      <t>ダイ</t>
    </rPh>
    <rPh sb="70" eb="71">
      <t>カイ</t>
    </rPh>
    <rPh sb="74" eb="80">
      <t>コジンジョウホウホゴ</t>
    </rPh>
    <rPh sb="89" eb="91">
      <t>キソ</t>
    </rPh>
    <rPh sb="94" eb="95">
      <t>ダイ</t>
    </rPh>
    <rPh sb="96" eb="97">
      <t>カイ</t>
    </rPh>
    <phoneticPr fontId="1"/>
  </si>
  <si>
    <t>・情報セキュリティの3要素（機密性，完全性，可用性），悪意ある情報搾取，暗号化と復号，ユーザ認証，アクセス制御，情報漏洩等によるセキュリティ事故「データサイエンス概論」（第8回）
・情報セキュリティ「データサイエンス基礎Ⅰ」（第3回）
・情報セキュリティ「情報活用と情報デザイン」（第3回）</t>
    <rPh sb="11" eb="13">
      <t>ヨウソ</t>
    </rPh>
    <rPh sb="81" eb="83">
      <t>ガイロン</t>
    </rPh>
    <rPh sb="85" eb="86">
      <t>ダイ</t>
    </rPh>
    <rPh sb="87" eb="88">
      <t>カイ</t>
    </rPh>
    <rPh sb="91" eb="93">
      <t>ジョウホウ</t>
    </rPh>
    <rPh sb="108" eb="110">
      <t>キソ</t>
    </rPh>
    <rPh sb="113" eb="114">
      <t>ダイ</t>
    </rPh>
    <rPh sb="115" eb="116">
      <t>カイ</t>
    </rPh>
    <rPh sb="119" eb="121">
      <t>ジョウホウ</t>
    </rPh>
    <phoneticPr fontId="1"/>
  </si>
  <si>
    <t>4-1統計および数理基礎</t>
    <phoneticPr fontId="1"/>
  </si>
  <si>
    <t>・データと社会の関係を理解し，データを社会倫理に照らして適切に取り扱うことができる
・データを数理的・形式的に処理したり，分かりやすく説明・可視化したりすることができる
・統計学的な知識を獲得して，データを有意味な形で加工・表現することができる
・データの種類，アプリケーションとAI，ハードウェアとネットワークについて理解し，それらを実生活・実社会で活用することができる
・プログラミングを通じてネットワーク，アプリケーション，AI等を活用することができる</t>
    <rPh sb="217" eb="218">
      <t>トウ</t>
    </rPh>
    <phoneticPr fontId="1"/>
  </si>
  <si>
    <t>・「データサイエンス概論」の第4回で，ChatGPTや音楽生成AIを紹介している。紹介する上で，本学の「教育・学習過程におけるAI（人工知能）技術の使用に関する方針」（https://www.klc.ac.jp/news/1123/?type=archive）を説明し，生成AIの出力を確認・検証すること，生成AIの出力をそのまま自分自身の成果物としないこと，生成AIに個人情報や機密情報を入力しないことを促している。</t>
    <rPh sb="10" eb="12">
      <t>ガイロン</t>
    </rPh>
    <rPh sb="14" eb="15">
      <t>ダイ</t>
    </rPh>
    <rPh sb="16" eb="17">
      <t>カイ</t>
    </rPh>
    <rPh sb="27" eb="29">
      <t>オンガク</t>
    </rPh>
    <rPh sb="29" eb="31">
      <t>セイセイ</t>
    </rPh>
    <rPh sb="34" eb="36">
      <t>ショウカイ</t>
    </rPh>
    <rPh sb="41" eb="43">
      <t>ショウカイ</t>
    </rPh>
    <rPh sb="45" eb="46">
      <t>ウエ</t>
    </rPh>
    <rPh sb="48" eb="50">
      <t>ホンガク</t>
    </rPh>
    <rPh sb="131" eb="133">
      <t>セツメイ</t>
    </rPh>
    <rPh sb="153" eb="155">
      <t>セイセイ</t>
    </rPh>
    <rPh sb="158" eb="160">
      <t>シュツリョク</t>
    </rPh>
    <rPh sb="165" eb="169">
      <t>ジブンジシン</t>
    </rPh>
    <rPh sb="170" eb="173">
      <t>セイカブツ</t>
    </rPh>
    <rPh sb="180" eb="182">
      <t>セイセイ</t>
    </rPh>
    <rPh sb="185" eb="189">
      <t>コジンジョウホウ</t>
    </rPh>
    <rPh sb="190" eb="192">
      <t>キミツ</t>
    </rPh>
    <rPh sb="192" eb="194">
      <t>ジョウホウ</t>
    </rPh>
    <rPh sb="195" eb="197">
      <t>ニュウリョク</t>
    </rPh>
    <rPh sb="203" eb="204">
      <t>ウナガ</t>
    </rPh>
    <phoneticPr fontId="1"/>
  </si>
  <si>
    <t xml:space="preserve"> 　（自己点検・評価） 本プログラムは、2023年度より開始している。プログラム修了に必要な科目は全て1年次に配当されており、160名のうち約半数である74名が修了できたことは評価できる。一方で、専攻によって修了者が全くいなかった状況もある。単位数上限や時間割の問題があることが挙げられるが、専攻に関わらず履修できるような工夫の検討を求めたい。さらに、教員を対象としたデータサイエンスに関する研修会を実施する等、現在も本プログラムの意義・目的を広く周知しているところであるが、教員の意識の差がある状況も推察される。科目履修には教員の指導が大きく影響するため、継続した取組をお願いしたい。（自己点検・総合評価委員会）
　（改善計画）保育・幼児教育専攻ではCAP制度で制限された中で1年次に履修すべき科目が集中して、1年次で本プログラムの選択必修科目や選択科目が履修できない状況であるため、2～4年次の科目履修によって本プログラムを修了できることを周知する予定である。
　また、教員を対象としたデータサイエンス教育に関する研修会について今年度は他大学との共催で他大学を会場としたため、本学の教員参加が難しかったが、次年度は本学を会場として実施することに努めたい。また、教員に限らず教職員全体に対して、データサイエンス教育の意義を体験的に学修できる機会を作って、本プログラムを学生が円滑に修得できる体制と雰囲気を作っていく予定である。（教務委員会・ICT教育部会）</t>
    <rPh sb="3" eb="7">
      <t>ジコテンケン</t>
    </rPh>
    <rPh sb="8" eb="10">
      <t>ヒョウカ</t>
    </rPh>
    <rPh sb="12" eb="13">
      <t>ホン</t>
    </rPh>
    <rPh sb="24" eb="26">
      <t>ネンド</t>
    </rPh>
    <rPh sb="28" eb="30">
      <t>カイシ</t>
    </rPh>
    <rPh sb="40" eb="42">
      <t>シュウリョウ</t>
    </rPh>
    <rPh sb="43" eb="45">
      <t>ヒツヨウ</t>
    </rPh>
    <rPh sb="46" eb="48">
      <t>カモク</t>
    </rPh>
    <rPh sb="49" eb="50">
      <t>スベ</t>
    </rPh>
    <rPh sb="52" eb="54">
      <t>ネンジ</t>
    </rPh>
    <rPh sb="55" eb="57">
      <t>ハイトウ</t>
    </rPh>
    <rPh sb="66" eb="67">
      <t>メイ</t>
    </rPh>
    <rPh sb="70" eb="71">
      <t>ヤク</t>
    </rPh>
    <rPh sb="71" eb="73">
      <t>ハンスウ</t>
    </rPh>
    <rPh sb="78" eb="79">
      <t>メイ</t>
    </rPh>
    <rPh sb="80" eb="82">
      <t>シュウリョウ</t>
    </rPh>
    <rPh sb="88" eb="90">
      <t>ヒョウカ</t>
    </rPh>
    <rPh sb="94" eb="96">
      <t>イッポウ</t>
    </rPh>
    <rPh sb="98" eb="100">
      <t>センコウ</t>
    </rPh>
    <rPh sb="104" eb="107">
      <t>シュウリョウシャ</t>
    </rPh>
    <rPh sb="108" eb="109">
      <t>マッタ</t>
    </rPh>
    <rPh sb="115" eb="117">
      <t>ジョウキョウ</t>
    </rPh>
    <rPh sb="121" eb="123">
      <t>タンイ</t>
    </rPh>
    <rPh sb="123" eb="124">
      <t>スウ</t>
    </rPh>
    <rPh sb="124" eb="126">
      <t>ジョウゲン</t>
    </rPh>
    <rPh sb="127" eb="130">
      <t>ジカンワリ</t>
    </rPh>
    <rPh sb="131" eb="133">
      <t>モンダイ</t>
    </rPh>
    <rPh sb="139" eb="140">
      <t>ア</t>
    </rPh>
    <rPh sb="146" eb="148">
      <t>センコウ</t>
    </rPh>
    <rPh sb="149" eb="150">
      <t>カカ</t>
    </rPh>
    <rPh sb="153" eb="155">
      <t>リシュウ</t>
    </rPh>
    <rPh sb="161" eb="163">
      <t>クフウ</t>
    </rPh>
    <rPh sb="164" eb="166">
      <t>ケントウ</t>
    </rPh>
    <rPh sb="167" eb="168">
      <t>モト</t>
    </rPh>
    <rPh sb="176" eb="178">
      <t>キョウイン</t>
    </rPh>
    <rPh sb="179" eb="181">
      <t>タイショウ</t>
    </rPh>
    <rPh sb="193" eb="194">
      <t>カン</t>
    </rPh>
    <rPh sb="196" eb="198">
      <t>ケンシュウ</t>
    </rPh>
    <rPh sb="198" eb="199">
      <t>カイ</t>
    </rPh>
    <rPh sb="200" eb="202">
      <t>ジッシ</t>
    </rPh>
    <rPh sb="204" eb="205">
      <t>ナド</t>
    </rPh>
    <rPh sb="206" eb="208">
      <t>ゲンザイ</t>
    </rPh>
    <rPh sb="209" eb="210">
      <t>ホン</t>
    </rPh>
    <rPh sb="216" eb="218">
      <t>イギ</t>
    </rPh>
    <rPh sb="219" eb="221">
      <t>モクテキ</t>
    </rPh>
    <rPh sb="222" eb="223">
      <t>ヒロ</t>
    </rPh>
    <rPh sb="224" eb="226">
      <t>シュウチ</t>
    </rPh>
    <rPh sb="238" eb="240">
      <t>キョウイン</t>
    </rPh>
    <rPh sb="241" eb="243">
      <t>イシキ</t>
    </rPh>
    <rPh sb="244" eb="245">
      <t>サ</t>
    </rPh>
    <rPh sb="248" eb="250">
      <t>ジョウキョウ</t>
    </rPh>
    <rPh sb="251" eb="253">
      <t>スイサツ</t>
    </rPh>
    <rPh sb="257" eb="259">
      <t>カモク</t>
    </rPh>
    <rPh sb="259" eb="261">
      <t>リシュウ</t>
    </rPh>
    <rPh sb="263" eb="265">
      <t>キョウイン</t>
    </rPh>
    <rPh sb="266" eb="268">
      <t>シドウ</t>
    </rPh>
    <rPh sb="269" eb="270">
      <t>オオ</t>
    </rPh>
    <rPh sb="272" eb="274">
      <t>エイキョウ</t>
    </rPh>
    <rPh sb="279" eb="281">
      <t>ケイゾク</t>
    </rPh>
    <rPh sb="283" eb="285">
      <t>トリクミ</t>
    </rPh>
    <rPh sb="287" eb="288">
      <t>ネガ</t>
    </rPh>
    <rPh sb="294" eb="298">
      <t>ジコテンケン</t>
    </rPh>
    <rPh sb="299" eb="303">
      <t>ソウゴウヒョウカ</t>
    </rPh>
    <rPh sb="303" eb="306">
      <t>イインカイ</t>
    </rPh>
    <rPh sb="310" eb="312">
      <t>カイゼン</t>
    </rPh>
    <rPh sb="312" eb="314">
      <t>ケイカク</t>
    </rPh>
    <rPh sb="615" eb="617">
      <t>キョウム</t>
    </rPh>
    <rPh sb="617" eb="620">
      <t>イインカイ</t>
    </rPh>
    <rPh sb="624" eb="626">
      <t>キョウイク</t>
    </rPh>
    <rPh sb="626" eb="628">
      <t>ブカイ</t>
    </rPh>
    <phoneticPr fontId="1"/>
  </si>
  <si>
    <t>　（自己点検・評価）本プログラムにかかる科目は全学で実施している授業評価アンケートによって、科目ごとに分析できる仕組みになっている。しかしながら、現在の授業評価アンケートでは、理解度を直接尋ねる項目はないため、評価しかねる。ただし、「科目の有用性」の評価ではどの科目においても「４：ある程度あてはまる」と回答した履修者が多くみられている。また、「データサイエンス概論」では、学生が質問しやすいようＬＭＳ上で質問受付サイトを設定したり、復習しやすいように教員から具体的なコメントやフィードバックを返却したりする等、学生の理解度向上に向けた取組を行っていることは評価したい。令和６年度からは、オンデマンド配信から対面授業へ移行することで、さらに学生の理解度向上につながることを期待したい。また、本プログラム独自のアンケート実施も含め、学生の理解度を把握する方法についても検討をお願いしたい。（自己点検・総合評価委員会）
　（改善計画）本プログラムに特化したアンケート作成・実施を検討する。具体的には、学生の理解度、他学生推奨度、だけでなく、学んで面白く感じる内容や理解しにくい内容等の傾向を把握できるアンケートを作成・実施したい。それによって、本プログラムの具体的な検証と教育目標の改善を進めたい。（教務委員会・ICT教育部会）</t>
    <rPh sb="2" eb="6">
      <t>ジコテンケン</t>
    </rPh>
    <rPh sb="7" eb="9">
      <t>ヒョウカ</t>
    </rPh>
    <rPh sb="20" eb="22">
      <t>カモク</t>
    </rPh>
    <rPh sb="23" eb="25">
      <t>ゼンガク</t>
    </rPh>
    <rPh sb="26" eb="28">
      <t>ジッシ</t>
    </rPh>
    <rPh sb="32" eb="34">
      <t>ジュギョウ</t>
    </rPh>
    <rPh sb="34" eb="36">
      <t>ヒョウカ</t>
    </rPh>
    <rPh sb="46" eb="48">
      <t>カモク</t>
    </rPh>
    <rPh sb="51" eb="53">
      <t>ブンセキ</t>
    </rPh>
    <rPh sb="56" eb="58">
      <t>シク</t>
    </rPh>
    <rPh sb="73" eb="75">
      <t>ゲンザイ</t>
    </rPh>
    <rPh sb="76" eb="78">
      <t>ジュギョウ</t>
    </rPh>
    <rPh sb="78" eb="80">
      <t>ヒョウカ</t>
    </rPh>
    <rPh sb="88" eb="91">
      <t>リカイド</t>
    </rPh>
    <rPh sb="92" eb="94">
      <t>チョクセツ</t>
    </rPh>
    <rPh sb="94" eb="95">
      <t>タズ</t>
    </rPh>
    <rPh sb="97" eb="99">
      <t>コウモク</t>
    </rPh>
    <rPh sb="105" eb="107">
      <t>ヒョウカ</t>
    </rPh>
    <rPh sb="117" eb="119">
      <t>カモク</t>
    </rPh>
    <rPh sb="120" eb="123">
      <t>ユウヨウセイ</t>
    </rPh>
    <rPh sb="125" eb="127">
      <t>ヒョウカ</t>
    </rPh>
    <rPh sb="131" eb="133">
      <t>カモク</t>
    </rPh>
    <rPh sb="143" eb="145">
      <t>テイド</t>
    </rPh>
    <rPh sb="152" eb="154">
      <t>カイトウ</t>
    </rPh>
    <rPh sb="156" eb="159">
      <t>リシュウシャ</t>
    </rPh>
    <rPh sb="160" eb="161">
      <t>オオ</t>
    </rPh>
    <rPh sb="181" eb="183">
      <t>ガイロン</t>
    </rPh>
    <rPh sb="187" eb="189">
      <t>ガクセイ</t>
    </rPh>
    <rPh sb="190" eb="192">
      <t>シツモン</t>
    </rPh>
    <rPh sb="201" eb="202">
      <t>ジョウ</t>
    </rPh>
    <rPh sb="203" eb="205">
      <t>シツモン</t>
    </rPh>
    <rPh sb="205" eb="207">
      <t>ウケツケ</t>
    </rPh>
    <rPh sb="211" eb="213">
      <t>セッテイ</t>
    </rPh>
    <rPh sb="217" eb="219">
      <t>フクシュウ</t>
    </rPh>
    <rPh sb="226" eb="228">
      <t>キョウイン</t>
    </rPh>
    <rPh sb="230" eb="233">
      <t>グタイテキ</t>
    </rPh>
    <rPh sb="247" eb="249">
      <t>ヘンキャク</t>
    </rPh>
    <rPh sb="254" eb="255">
      <t>ナド</t>
    </rPh>
    <rPh sb="256" eb="258">
      <t>ガクセイ</t>
    </rPh>
    <rPh sb="259" eb="262">
      <t>リカイド</t>
    </rPh>
    <rPh sb="262" eb="264">
      <t>コウジョウ</t>
    </rPh>
    <rPh sb="265" eb="266">
      <t>ム</t>
    </rPh>
    <rPh sb="268" eb="270">
      <t>トリクミ</t>
    </rPh>
    <rPh sb="271" eb="272">
      <t>オコナ</t>
    </rPh>
    <rPh sb="279" eb="281">
      <t>ヒョウカ</t>
    </rPh>
    <rPh sb="285" eb="287">
      <t>レイワ</t>
    </rPh>
    <rPh sb="288" eb="290">
      <t>ネンド</t>
    </rPh>
    <rPh sb="300" eb="302">
      <t>ハイシン</t>
    </rPh>
    <rPh sb="304" eb="306">
      <t>タイメン</t>
    </rPh>
    <rPh sb="306" eb="308">
      <t>ジュギョウ</t>
    </rPh>
    <rPh sb="309" eb="311">
      <t>イコウ</t>
    </rPh>
    <rPh sb="320" eb="322">
      <t>ガクセイ</t>
    </rPh>
    <rPh sb="323" eb="326">
      <t>リカイド</t>
    </rPh>
    <rPh sb="326" eb="328">
      <t>コウジョウ</t>
    </rPh>
    <rPh sb="336" eb="338">
      <t>キタイ</t>
    </rPh>
    <rPh sb="345" eb="346">
      <t>ホン</t>
    </rPh>
    <rPh sb="351" eb="353">
      <t>ドクジ</t>
    </rPh>
    <rPh sb="359" eb="361">
      <t>ジッシ</t>
    </rPh>
    <rPh sb="362" eb="363">
      <t>フク</t>
    </rPh>
    <rPh sb="365" eb="367">
      <t>ガクセイ</t>
    </rPh>
    <rPh sb="368" eb="371">
      <t>リカイド</t>
    </rPh>
    <rPh sb="372" eb="374">
      <t>ハアク</t>
    </rPh>
    <rPh sb="376" eb="378">
      <t>ホウホウ</t>
    </rPh>
    <rPh sb="383" eb="385">
      <t>ケントウ</t>
    </rPh>
    <rPh sb="387" eb="388">
      <t>ネガ</t>
    </rPh>
    <rPh sb="394" eb="398">
      <t>ジコテンケン</t>
    </rPh>
    <rPh sb="399" eb="403">
      <t>ソウゴウヒョウカ</t>
    </rPh>
    <rPh sb="403" eb="406">
      <t>イインカイ</t>
    </rPh>
    <rPh sb="410" eb="412">
      <t>カイゼン</t>
    </rPh>
    <rPh sb="412" eb="414">
      <t>ケイカク</t>
    </rPh>
    <rPh sb="548" eb="550">
      <t>キョウム</t>
    </rPh>
    <rPh sb="550" eb="553">
      <t>イインカイ</t>
    </rPh>
    <rPh sb="557" eb="559">
      <t>キョウイク</t>
    </rPh>
    <rPh sb="559" eb="561">
      <t>ブカイ</t>
    </rPh>
    <phoneticPr fontId="1"/>
  </si>
  <si>
    <t>　（自己点検・評価）全学で実施している授業評価アンケートでは、後輩等他の学生への推奨度を把握する項目がないが、「科目の有用性」について、いずれの授業も高い評価を得ており、他学生への推奨度は高いことがうかがえる。しかし、科目によっては「分かりやすくする工夫」、「必要十分な課題」、「提出物へのフィードバック」等、学生の授業満足度及び、推奨度に関係すると思われる項目において低い評価となっていることから、今後の授業改善が必要である。また推奨度を測る本プログラム独自の授業評価実施に向けた検討も期待したい。（自己点検・総合評価委員会）
　（改善計画）本プログラムの各科目の教育目標が十分であっても、それが学生の特質に合わない場合も想定されるため、早急な授業改善よりも上記のアンケート作成・実施によって、学生側の理解しにくい内容や面白いと感じる内容を把握したい。その結果によってより円滑で効果的な授業改善を図ることができると思われる。（教務委員会・ICT教育部会）</t>
    <rPh sb="2" eb="6">
      <t>ジコテンケン</t>
    </rPh>
    <rPh sb="7" eb="9">
      <t>ヒョウカ</t>
    </rPh>
    <rPh sb="10" eb="12">
      <t>ゼンガク</t>
    </rPh>
    <rPh sb="13" eb="15">
      <t>ジッシ</t>
    </rPh>
    <rPh sb="19" eb="21">
      <t>ジュギョウ</t>
    </rPh>
    <rPh sb="21" eb="23">
      <t>ヒョウカ</t>
    </rPh>
    <rPh sb="31" eb="33">
      <t>コウハイ</t>
    </rPh>
    <rPh sb="33" eb="34">
      <t>ナド</t>
    </rPh>
    <rPh sb="34" eb="35">
      <t>ホカ</t>
    </rPh>
    <rPh sb="36" eb="38">
      <t>ガクセイ</t>
    </rPh>
    <rPh sb="40" eb="42">
      <t>スイショウ</t>
    </rPh>
    <rPh sb="42" eb="43">
      <t>ド</t>
    </rPh>
    <rPh sb="44" eb="46">
      <t>ハアク</t>
    </rPh>
    <rPh sb="48" eb="50">
      <t>コウモク</t>
    </rPh>
    <rPh sb="56" eb="58">
      <t>カモク</t>
    </rPh>
    <rPh sb="59" eb="62">
      <t>ユウヨウセイ</t>
    </rPh>
    <rPh sb="72" eb="74">
      <t>ジュギョウ</t>
    </rPh>
    <rPh sb="75" eb="76">
      <t>タカ</t>
    </rPh>
    <rPh sb="77" eb="79">
      <t>ヒョウカ</t>
    </rPh>
    <rPh sb="80" eb="81">
      <t>エ</t>
    </rPh>
    <rPh sb="85" eb="87">
      <t>タガク</t>
    </rPh>
    <rPh sb="87" eb="88">
      <t>セイ</t>
    </rPh>
    <rPh sb="90" eb="92">
      <t>スイショウ</t>
    </rPh>
    <rPh sb="92" eb="93">
      <t>ド</t>
    </rPh>
    <rPh sb="94" eb="95">
      <t>タカ</t>
    </rPh>
    <rPh sb="109" eb="111">
      <t>カモク</t>
    </rPh>
    <rPh sb="117" eb="118">
      <t>ワ</t>
    </rPh>
    <rPh sb="125" eb="127">
      <t>クフウ</t>
    </rPh>
    <rPh sb="130" eb="132">
      <t>ヒツヨウ</t>
    </rPh>
    <rPh sb="132" eb="134">
      <t>ジュウブン</t>
    </rPh>
    <rPh sb="135" eb="137">
      <t>カダイ</t>
    </rPh>
    <rPh sb="140" eb="142">
      <t>テイシュツ</t>
    </rPh>
    <rPh sb="142" eb="143">
      <t>ブツ</t>
    </rPh>
    <rPh sb="153" eb="154">
      <t>ナド</t>
    </rPh>
    <rPh sb="155" eb="157">
      <t>ガクセイ</t>
    </rPh>
    <rPh sb="158" eb="160">
      <t>ジュギョウ</t>
    </rPh>
    <rPh sb="160" eb="162">
      <t>マンゾク</t>
    </rPh>
    <rPh sb="162" eb="163">
      <t>ド</t>
    </rPh>
    <rPh sb="163" eb="164">
      <t>オヨ</t>
    </rPh>
    <rPh sb="166" eb="169">
      <t>スイショウド</t>
    </rPh>
    <rPh sb="170" eb="172">
      <t>カンケイ</t>
    </rPh>
    <rPh sb="175" eb="176">
      <t>オモ</t>
    </rPh>
    <rPh sb="179" eb="181">
      <t>コウモク</t>
    </rPh>
    <rPh sb="185" eb="186">
      <t>ヒク</t>
    </rPh>
    <rPh sb="187" eb="189">
      <t>ヒョウカ</t>
    </rPh>
    <rPh sb="200" eb="202">
      <t>コンゴ</t>
    </rPh>
    <rPh sb="203" eb="205">
      <t>ジュギョウ</t>
    </rPh>
    <rPh sb="205" eb="207">
      <t>カイゼン</t>
    </rPh>
    <rPh sb="208" eb="210">
      <t>ヒツヨウ</t>
    </rPh>
    <rPh sb="216" eb="219">
      <t>スイショウド</t>
    </rPh>
    <rPh sb="220" eb="221">
      <t>ハカ</t>
    </rPh>
    <rPh sb="222" eb="223">
      <t>ホン</t>
    </rPh>
    <rPh sb="228" eb="230">
      <t>ドクジ</t>
    </rPh>
    <rPh sb="231" eb="233">
      <t>ジュギョウ</t>
    </rPh>
    <rPh sb="233" eb="235">
      <t>ヒョウカ</t>
    </rPh>
    <rPh sb="235" eb="237">
      <t>ジッシ</t>
    </rPh>
    <rPh sb="238" eb="239">
      <t>ム</t>
    </rPh>
    <rPh sb="241" eb="243">
      <t>ケントウ</t>
    </rPh>
    <rPh sb="244" eb="246">
      <t>キタイ</t>
    </rPh>
    <rPh sb="251" eb="255">
      <t>ジコテンケン</t>
    </rPh>
    <rPh sb="256" eb="263">
      <t>ソウゴウヒョウカイインカイ</t>
    </rPh>
    <rPh sb="267" eb="269">
      <t>カイゼン</t>
    </rPh>
    <rPh sb="269" eb="271">
      <t>ケイカク</t>
    </rPh>
    <rPh sb="414" eb="419">
      <t>キョウムイインカイ</t>
    </rPh>
    <rPh sb="423" eb="427">
      <t>キョウイクブカイ</t>
    </rPh>
    <phoneticPr fontId="1"/>
  </si>
  <si>
    <t>　（自己点検・評価）本プログラムは2023年度から新設し、開始初年度は160名中74名がプログラムを修了することができたことは評価したい。しかし、「情報活用基礎」が教職科目になっていることが履修者増につながっており、本プログラムを意識した履修者数としては、少ない状況にある。専攻によっては履修者がまったくいないこともあり、本プログラムの意義・目的の周知が不十分であることや履修にあたっての課題があることが推察される。今後は、履修にあたっての課題を明確にし対応していく必要がある。
　また、副専攻制度や学科専攻独自の教育的取組も始まり、例えば保育・幼児教育専攻ではそもそもCAP制度によって履修単位数が制限されて履修が難しい状況にあるため、学科専攻独自の取組みとCAP制度が考慮された上で履修率向上の検討が必要である。（自己点検・総合評価委員会）
　（改善計画）特に本プログラムの対象年次である1年次・２年次のオリエンテーションでは本プログラムの意義と修了に関する学生周知を徹底するとともに、教職員への十分な理解も図りたい。
　また、教職課程、副専攻課程、学科独自のカリキュラム方針、CAP制度といった他の教育制度との関わりで、データサイエンス教育の本質的な意義に基づいた本プログラムの履修が難しくなっていることについては、関係部署間で協議を進める予定である。（教務委員会・ICT教育部会）</t>
    <rPh sb="2" eb="6">
      <t>ジコテンケン</t>
    </rPh>
    <rPh sb="7" eb="9">
      <t>ヒョウカ</t>
    </rPh>
    <rPh sb="10" eb="11">
      <t>ホン</t>
    </rPh>
    <rPh sb="21" eb="22">
      <t>ネン</t>
    </rPh>
    <rPh sb="22" eb="23">
      <t>ド</t>
    </rPh>
    <rPh sb="25" eb="27">
      <t>シンセツ</t>
    </rPh>
    <rPh sb="29" eb="31">
      <t>カイシ</t>
    </rPh>
    <rPh sb="31" eb="34">
      <t>ショネンド</t>
    </rPh>
    <rPh sb="38" eb="39">
      <t>メイ</t>
    </rPh>
    <rPh sb="39" eb="40">
      <t>チュウ</t>
    </rPh>
    <rPh sb="42" eb="43">
      <t>メイ</t>
    </rPh>
    <rPh sb="50" eb="52">
      <t>シュウリョウ</t>
    </rPh>
    <rPh sb="63" eb="65">
      <t>ヒョウカ</t>
    </rPh>
    <rPh sb="74" eb="76">
      <t>ジョウホウ</t>
    </rPh>
    <rPh sb="76" eb="78">
      <t>カツヨウ</t>
    </rPh>
    <rPh sb="78" eb="80">
      <t>キソ</t>
    </rPh>
    <rPh sb="82" eb="84">
      <t>キョウショク</t>
    </rPh>
    <rPh sb="84" eb="86">
      <t>カモク</t>
    </rPh>
    <rPh sb="95" eb="98">
      <t>リシュウシャ</t>
    </rPh>
    <rPh sb="98" eb="99">
      <t>ゾウ</t>
    </rPh>
    <rPh sb="108" eb="109">
      <t>ホン</t>
    </rPh>
    <rPh sb="115" eb="117">
      <t>イシキ</t>
    </rPh>
    <rPh sb="119" eb="121">
      <t>リシュウ</t>
    </rPh>
    <rPh sb="121" eb="122">
      <t>シャ</t>
    </rPh>
    <rPh sb="122" eb="123">
      <t>スウ</t>
    </rPh>
    <rPh sb="128" eb="129">
      <t>スク</t>
    </rPh>
    <rPh sb="131" eb="133">
      <t>ジョウキョウ</t>
    </rPh>
    <rPh sb="137" eb="139">
      <t>センコウ</t>
    </rPh>
    <rPh sb="144" eb="147">
      <t>リシュウシャ</t>
    </rPh>
    <rPh sb="161" eb="162">
      <t>ホン</t>
    </rPh>
    <rPh sb="168" eb="170">
      <t>イギ</t>
    </rPh>
    <rPh sb="171" eb="173">
      <t>モクテキ</t>
    </rPh>
    <rPh sb="174" eb="176">
      <t>シュウチ</t>
    </rPh>
    <rPh sb="177" eb="180">
      <t>フジュウブン</t>
    </rPh>
    <rPh sb="186" eb="188">
      <t>リシュウ</t>
    </rPh>
    <rPh sb="194" eb="196">
      <t>カダイ</t>
    </rPh>
    <rPh sb="202" eb="204">
      <t>スイサツ</t>
    </rPh>
    <rPh sb="208" eb="210">
      <t>コンゴ</t>
    </rPh>
    <rPh sb="212" eb="214">
      <t>リシュウ</t>
    </rPh>
    <rPh sb="220" eb="222">
      <t>カダイ</t>
    </rPh>
    <rPh sb="223" eb="225">
      <t>メイカク</t>
    </rPh>
    <rPh sb="227" eb="229">
      <t>タイオウ</t>
    </rPh>
    <rPh sb="233" eb="235">
      <t>ヒツヨウ</t>
    </rPh>
    <rPh sb="359" eb="363">
      <t>ジコテンケン</t>
    </rPh>
    <rPh sb="364" eb="366">
      <t>ソウゴウ</t>
    </rPh>
    <rPh sb="366" eb="368">
      <t>ヒョウカ</t>
    </rPh>
    <rPh sb="368" eb="371">
      <t>イインカイ</t>
    </rPh>
    <rPh sb="375" eb="379">
      <t>カイゼンケイカク</t>
    </rPh>
    <rPh sb="580" eb="585">
      <t>キョウムイインカイ</t>
    </rPh>
    <rPh sb="589" eb="593">
      <t>キョウイクブカイ</t>
    </rPh>
    <phoneticPr fontId="1"/>
  </si>
  <si>
    <t>　（自己点検・評価）本プログラムは2023年度入学生より設置されており、まだ修了生は輩出していない状況にあるため評価できない。今後卒業生アンケート、雇用先アンケート等を通して、本プログラム修了者の評価を検討していく必要がある。（自己点検・総合評価委員会）
　（改善計画）　本プログラムでは、①データと社会の関係を理解し、データを社会倫理に照らして適切に取り扱うことができること、②データを数理的・形式的に処理したり、分かりやすく説明・可視化したりすることができること、③統計学的な知識を獲得して、データを有意味な形で加工・表現することができること、④データの種類、アプリケーションとAI、ハードウェアとネットワークについて理解し、それらを実生活・実社会で活用することができること、⑤プログラミングを通じてネットワーク、アプリケーション、AI等を活用することができることを教育目標として掲げている。これらの目標に挙げている資質・能力をどの程度発揮しているかを尋ねる項目を既成のアンケートに追加して、本プログラムの教育効果を検証したい。（教務委員会・ICT教育部会）</t>
    <rPh sb="2" eb="6">
      <t>ジコテンケン</t>
    </rPh>
    <rPh sb="7" eb="9">
      <t>ヒョウカ</t>
    </rPh>
    <rPh sb="10" eb="11">
      <t>ホン</t>
    </rPh>
    <rPh sb="21" eb="23">
      <t>ネンド</t>
    </rPh>
    <rPh sb="23" eb="26">
      <t>ニュウガクセイ</t>
    </rPh>
    <rPh sb="28" eb="30">
      <t>セッチ</t>
    </rPh>
    <rPh sb="38" eb="41">
      <t>シュウリョウセイ</t>
    </rPh>
    <rPh sb="42" eb="44">
      <t>ハイシュツ</t>
    </rPh>
    <rPh sb="49" eb="51">
      <t>ジョウキョウ</t>
    </rPh>
    <rPh sb="56" eb="58">
      <t>ヒョウカ</t>
    </rPh>
    <rPh sb="63" eb="65">
      <t>コンゴ</t>
    </rPh>
    <rPh sb="65" eb="68">
      <t>ソツギョウセイ</t>
    </rPh>
    <rPh sb="74" eb="77">
      <t>コヨウサキ</t>
    </rPh>
    <rPh sb="82" eb="83">
      <t>ナド</t>
    </rPh>
    <rPh sb="84" eb="85">
      <t>トオ</t>
    </rPh>
    <rPh sb="88" eb="89">
      <t>ホン</t>
    </rPh>
    <rPh sb="94" eb="97">
      <t>シュウリョウシャ</t>
    </rPh>
    <rPh sb="98" eb="100">
      <t>ヒョウカ</t>
    </rPh>
    <rPh sb="101" eb="103">
      <t>ケントウ</t>
    </rPh>
    <rPh sb="107" eb="109">
      <t>ヒツヨウ</t>
    </rPh>
    <rPh sb="114" eb="118">
      <t>ジコテンケン</t>
    </rPh>
    <rPh sb="119" eb="126">
      <t>ソウゴウヒョウカイインカイ</t>
    </rPh>
    <rPh sb="130" eb="132">
      <t>カイゼン</t>
    </rPh>
    <rPh sb="132" eb="134">
      <t>ケイカク</t>
    </rPh>
    <rPh sb="467" eb="472">
      <t>キョウムイインカイ</t>
    </rPh>
    <rPh sb="476" eb="480">
      <t>キョウイクブカイ</t>
    </rPh>
    <phoneticPr fontId="1"/>
  </si>
  <si>
    <t>　（自己点検・評価）2023年度末時点では、本プログラムの内容・手法等について学外からの意見は聴取していないため判断できない。しかしながら、本学が包括連携協定を締結している和水町の施設利用者データを活用する検討が進んでいるため、具体的にどのような方法が適切・可能であるかを検討し、可能な範囲でそれを実現することを目指すことが必要である。（自己点検・総合評価委員会）
　（改善計画）企業や自治体等が保有するデータをどのように授業内で活用するかについて本学の科目では先例がないため、他大学との協議会や数理・データサイエンス・AI教育強化拠点コンソーシアム主催の研修会で情報を得て具体的に検討する予定である。特にこうしたデータの教育活用においては、データ集約・分析の授業内容が想定され、学生のデータ分析スキルやモチベーションを高めるための教育方法を検討する予定である。（教務委員会・ICT教育部会）</t>
    <rPh sb="2" eb="6">
      <t>ジコテンケン</t>
    </rPh>
    <rPh sb="7" eb="9">
      <t>ヒョウカ</t>
    </rPh>
    <rPh sb="14" eb="16">
      <t>ネンド</t>
    </rPh>
    <rPh sb="16" eb="17">
      <t>マツ</t>
    </rPh>
    <rPh sb="17" eb="19">
      <t>ジテン</t>
    </rPh>
    <rPh sb="29" eb="31">
      <t>ナイヨウ</t>
    </rPh>
    <rPh sb="32" eb="34">
      <t>シュホウ</t>
    </rPh>
    <rPh sb="34" eb="35">
      <t>ナド</t>
    </rPh>
    <rPh sb="39" eb="41">
      <t>ガクガイ</t>
    </rPh>
    <rPh sb="44" eb="46">
      <t>イケン</t>
    </rPh>
    <rPh sb="47" eb="49">
      <t>チョウシュ</t>
    </rPh>
    <rPh sb="56" eb="58">
      <t>ハンダン</t>
    </rPh>
    <rPh sb="70" eb="72">
      <t>ホンガク</t>
    </rPh>
    <rPh sb="73" eb="75">
      <t>ホウカツ</t>
    </rPh>
    <rPh sb="75" eb="77">
      <t>レンケイ</t>
    </rPh>
    <rPh sb="77" eb="79">
      <t>キョウテイ</t>
    </rPh>
    <rPh sb="80" eb="82">
      <t>テイケツ</t>
    </rPh>
    <rPh sb="86" eb="88">
      <t>ナゴミ</t>
    </rPh>
    <rPh sb="88" eb="89">
      <t>マチ</t>
    </rPh>
    <rPh sb="90" eb="92">
      <t>シセツ</t>
    </rPh>
    <rPh sb="92" eb="95">
      <t>リヨウシャ</t>
    </rPh>
    <rPh sb="99" eb="101">
      <t>カツヨウ</t>
    </rPh>
    <rPh sb="103" eb="105">
      <t>ケントウ</t>
    </rPh>
    <rPh sb="106" eb="107">
      <t>スス</t>
    </rPh>
    <rPh sb="162" eb="164">
      <t>ヒツヨウ</t>
    </rPh>
    <rPh sb="169" eb="173">
      <t>ジコテンケン</t>
    </rPh>
    <rPh sb="174" eb="181">
      <t>ソウゴウヒョウカイインカイ</t>
    </rPh>
    <rPh sb="185" eb="187">
      <t>カイゼン</t>
    </rPh>
    <rPh sb="187" eb="189">
      <t>ケイカク</t>
    </rPh>
    <rPh sb="382" eb="387">
      <t>キョウムイインカイ</t>
    </rPh>
    <rPh sb="391" eb="395">
      <t>キョウイクブカイ</t>
    </rPh>
    <phoneticPr fontId="1"/>
  </si>
  <si>
    <t>　（自己点検・評価）本プログラムの必修科目である「データサイエンス概論」では、現在の社会におけるデータサイエンス、ＡＩ（人工知能）の活用例を提示し、今後学生生活や社会生活のなかで起こりうる変化と自らのあり方を時間を設けている。また、選択必修科目である「データサイエンス基礎Ⅰ」では、教育・保育・心理等、各学生の専攻分野におけるデータのあり方を取り上げる機会を設け、より興味をもって授業に取り組めるような構成となっている。授業評価アンケートをみても、すべての科目において「授業意義の説明」の項目の評価は高くなっており、学生は「学ぶことの意義」を理解できていると評価できる。一方で、科目によっては、「アクティブラーニング」、「教員とのコミュニケーション」、「分かりやすくする工夫」等、学生の「学ぶ楽しさ」に関わる項目が低くなっている科目も散見されるため、授業方法や内容の検討が必要である。（自己点検・総合評価委員会）
　（改善計画）　上記でも述べたが、本プログラムに特化したアンケート作成・実施し、学んで面白く感じる内容や理解しにくい内容等の傾向を把握して、授業内容・方法の検討を行う予定である。特に本学の各学科専攻の学生の就職先を想定して、その就職現場に関係するあるいは役立つ授業内容であれば、受講する学生の楽しさを向上させることができる。（教務委員会・ICT教育部会）</t>
    <rPh sb="2" eb="6">
      <t>ジコテンケン</t>
    </rPh>
    <rPh sb="7" eb="9">
      <t>ヒョウカ</t>
    </rPh>
    <rPh sb="10" eb="11">
      <t>ホン</t>
    </rPh>
    <rPh sb="17" eb="19">
      <t>ヒッシュウ</t>
    </rPh>
    <rPh sb="19" eb="21">
      <t>カモク</t>
    </rPh>
    <rPh sb="33" eb="35">
      <t>ガイロン</t>
    </rPh>
    <rPh sb="39" eb="41">
      <t>ゲンザイ</t>
    </rPh>
    <rPh sb="42" eb="44">
      <t>シャカイ</t>
    </rPh>
    <rPh sb="60" eb="62">
      <t>ジンコウ</t>
    </rPh>
    <rPh sb="62" eb="64">
      <t>チノウ</t>
    </rPh>
    <rPh sb="66" eb="68">
      <t>カツヨウ</t>
    </rPh>
    <rPh sb="68" eb="69">
      <t>レイ</t>
    </rPh>
    <rPh sb="70" eb="72">
      <t>テイジ</t>
    </rPh>
    <rPh sb="74" eb="76">
      <t>コンゴ</t>
    </rPh>
    <rPh sb="76" eb="78">
      <t>ガクセイ</t>
    </rPh>
    <rPh sb="78" eb="80">
      <t>セイカツ</t>
    </rPh>
    <rPh sb="81" eb="83">
      <t>シャカイ</t>
    </rPh>
    <rPh sb="83" eb="85">
      <t>セイカツ</t>
    </rPh>
    <rPh sb="89" eb="90">
      <t>オ</t>
    </rPh>
    <rPh sb="94" eb="96">
      <t>ヘンカ</t>
    </rPh>
    <rPh sb="97" eb="98">
      <t>ミズカ</t>
    </rPh>
    <rPh sb="102" eb="103">
      <t>カタ</t>
    </rPh>
    <rPh sb="104" eb="106">
      <t>ジカン</t>
    </rPh>
    <rPh sb="107" eb="108">
      <t>モウ</t>
    </rPh>
    <rPh sb="116" eb="118">
      <t>センタク</t>
    </rPh>
    <rPh sb="118" eb="120">
      <t>ヒッシュウ</t>
    </rPh>
    <rPh sb="120" eb="122">
      <t>カモク</t>
    </rPh>
    <rPh sb="134" eb="136">
      <t>キソ</t>
    </rPh>
    <rPh sb="141" eb="143">
      <t>キョウイク</t>
    </rPh>
    <rPh sb="144" eb="146">
      <t>ホイク</t>
    </rPh>
    <rPh sb="147" eb="149">
      <t>シンリ</t>
    </rPh>
    <rPh sb="149" eb="150">
      <t>ナド</t>
    </rPh>
    <rPh sb="151" eb="152">
      <t>カク</t>
    </rPh>
    <rPh sb="152" eb="154">
      <t>ガクセイ</t>
    </rPh>
    <rPh sb="155" eb="157">
      <t>センコウ</t>
    </rPh>
    <rPh sb="157" eb="159">
      <t>ブンヤ</t>
    </rPh>
    <rPh sb="169" eb="170">
      <t>カタ</t>
    </rPh>
    <rPh sb="171" eb="172">
      <t>ト</t>
    </rPh>
    <rPh sb="173" eb="174">
      <t>ア</t>
    </rPh>
    <rPh sb="178" eb="179">
      <t>モウ</t>
    </rPh>
    <rPh sb="183" eb="185">
      <t>キョウミ</t>
    </rPh>
    <rPh sb="189" eb="191">
      <t>ジュギョウ</t>
    </rPh>
    <rPh sb="192" eb="193">
      <t>ト</t>
    </rPh>
    <rPh sb="194" eb="195">
      <t>ク</t>
    </rPh>
    <rPh sb="200" eb="202">
      <t>コウセイ</t>
    </rPh>
    <rPh sb="211" eb="213">
      <t>ヒョウカ</t>
    </rPh>
    <rPh sb="228" eb="230">
      <t>カモク</t>
    </rPh>
    <rPh sb="236" eb="238">
      <t>ジュギョウ</t>
    </rPh>
    <rPh sb="238" eb="240">
      <t>イギ</t>
    </rPh>
    <rPh sb="241" eb="243">
      <t>セツメイ</t>
    </rPh>
    <rPh sb="245" eb="247">
      <t>コウモク</t>
    </rPh>
    <rPh sb="248" eb="250">
      <t>ヒョウカ</t>
    </rPh>
    <rPh sb="250" eb="251">
      <t>タカ</t>
    </rPh>
    <rPh sb="258" eb="260">
      <t>ガクセイ</t>
    </rPh>
    <rPh sb="262" eb="263">
      <t>マナ</t>
    </rPh>
    <rPh sb="267" eb="269">
      <t>イギ</t>
    </rPh>
    <rPh sb="271" eb="273">
      <t>リカイ</t>
    </rPh>
    <rPh sb="279" eb="281">
      <t>ヒョウカ</t>
    </rPh>
    <rPh sb="285" eb="287">
      <t>イッポウ</t>
    </rPh>
    <rPh sb="289" eb="291">
      <t>カモク</t>
    </rPh>
    <rPh sb="311" eb="313">
      <t>キョウイン</t>
    </rPh>
    <rPh sb="327" eb="328">
      <t>ワ</t>
    </rPh>
    <rPh sb="335" eb="337">
      <t>クフウ</t>
    </rPh>
    <rPh sb="338" eb="339">
      <t>ナド</t>
    </rPh>
    <rPh sb="340" eb="342">
      <t>ガクセイ</t>
    </rPh>
    <rPh sb="344" eb="345">
      <t>マナ</t>
    </rPh>
    <rPh sb="346" eb="347">
      <t>タノ</t>
    </rPh>
    <rPh sb="351" eb="352">
      <t>カカ</t>
    </rPh>
    <rPh sb="354" eb="356">
      <t>コウモク</t>
    </rPh>
    <rPh sb="357" eb="358">
      <t>ヒク</t>
    </rPh>
    <rPh sb="364" eb="366">
      <t>カモク</t>
    </rPh>
    <rPh sb="367" eb="369">
      <t>サンケン</t>
    </rPh>
    <rPh sb="375" eb="377">
      <t>ジュギョウ</t>
    </rPh>
    <rPh sb="377" eb="379">
      <t>ホウホウ</t>
    </rPh>
    <rPh sb="380" eb="382">
      <t>ナイヨウ</t>
    </rPh>
    <rPh sb="383" eb="385">
      <t>ケントウ</t>
    </rPh>
    <rPh sb="386" eb="388">
      <t>ヒツヨウ</t>
    </rPh>
    <rPh sb="393" eb="397">
      <t>ジコテンケン</t>
    </rPh>
    <rPh sb="398" eb="405">
      <t>ソウゴウヒョウカイインカイ</t>
    </rPh>
    <rPh sb="409" eb="411">
      <t>カイゼン</t>
    </rPh>
    <rPh sb="411" eb="413">
      <t>ケイカク</t>
    </rPh>
    <rPh sb="570" eb="575">
      <t>キョウムイインカイ</t>
    </rPh>
    <rPh sb="579" eb="583">
      <t>キョウイクブカイ</t>
    </rPh>
    <phoneticPr fontId="1"/>
  </si>
  <si>
    <t>　（自己点検・評価）全学で実施している授業評価アンケートにおいて、「分かりやすくする工夫」の評価が低くなっている科目があることは課題である。今後の履修者・修了者の増減に関係する点であるため、授業内容や方法等、学生の意見も参考にしながら要因を分析した上で検討が必要である。（自己点検・総合評価委員会）
　（改善計画）上記でも述べたが、本プログラムに特化したアンケート作成・実施し、理解しにくい内容等の傾向を把握して、授業内容・方法の改善を進める予定である。
　今年度実施した他大学とのデータサイエンス教育研修会では、分かりやすい授業の一例として身近な内容やデータは扱うことが挙げられていたが、それは改善の参考となる。また、PC・アプリケーション操作やプログラミングを要する授業内容では、そのスキルや知識の事前習熟度が分かりにくさに繋がることも想定されるため、TA（ティーチングアシスタント）やSA（スチューデントアシスタント）を配置して寄り添ったサポートを提供することで、分かりやすい授業に改善されることも考えられる。（教務委員会・ICT教育部会）</t>
    <rPh sb="2" eb="6">
      <t>ジコテンケン</t>
    </rPh>
    <rPh sb="7" eb="9">
      <t>ヒョウカ</t>
    </rPh>
    <rPh sb="10" eb="12">
      <t>ゼンガク</t>
    </rPh>
    <rPh sb="13" eb="15">
      <t>ジッシ</t>
    </rPh>
    <rPh sb="19" eb="21">
      <t>ジュギョウ</t>
    </rPh>
    <rPh sb="21" eb="23">
      <t>ヒョウカ</t>
    </rPh>
    <rPh sb="34" eb="35">
      <t>ワ</t>
    </rPh>
    <rPh sb="42" eb="44">
      <t>クフウ</t>
    </rPh>
    <rPh sb="46" eb="48">
      <t>ヒョウカ</t>
    </rPh>
    <rPh sb="49" eb="50">
      <t>ヒク</t>
    </rPh>
    <rPh sb="56" eb="58">
      <t>カモク</t>
    </rPh>
    <rPh sb="64" eb="66">
      <t>カダイ</t>
    </rPh>
    <rPh sb="70" eb="72">
      <t>コンゴ</t>
    </rPh>
    <rPh sb="73" eb="76">
      <t>リシュウシャ</t>
    </rPh>
    <rPh sb="77" eb="80">
      <t>シュウリョウシャ</t>
    </rPh>
    <rPh sb="81" eb="83">
      <t>ゾウゲン</t>
    </rPh>
    <rPh sb="84" eb="86">
      <t>カンケイ</t>
    </rPh>
    <rPh sb="88" eb="89">
      <t>テン</t>
    </rPh>
    <rPh sb="95" eb="97">
      <t>ジュギョウ</t>
    </rPh>
    <rPh sb="97" eb="99">
      <t>ナイヨウ</t>
    </rPh>
    <rPh sb="100" eb="102">
      <t>ホウホウ</t>
    </rPh>
    <rPh sb="102" eb="103">
      <t>ナド</t>
    </rPh>
    <rPh sb="104" eb="106">
      <t>ガクセイ</t>
    </rPh>
    <rPh sb="107" eb="109">
      <t>イケン</t>
    </rPh>
    <rPh sb="110" eb="112">
      <t>サンコウ</t>
    </rPh>
    <rPh sb="117" eb="119">
      <t>ヨウイン</t>
    </rPh>
    <rPh sb="120" eb="122">
      <t>ブンセキ</t>
    </rPh>
    <rPh sb="124" eb="125">
      <t>ウエ</t>
    </rPh>
    <rPh sb="126" eb="128">
      <t>ケントウ</t>
    </rPh>
    <rPh sb="129" eb="131">
      <t>ヒツヨウ</t>
    </rPh>
    <rPh sb="136" eb="140">
      <t>ジコテンケン</t>
    </rPh>
    <rPh sb="141" eb="148">
      <t>ソウゴウヒョウカイインカイ</t>
    </rPh>
    <rPh sb="152" eb="154">
      <t>カイゼン</t>
    </rPh>
    <rPh sb="154" eb="156">
      <t>ケイカク</t>
    </rPh>
    <rPh sb="459" eb="464">
      <t>キョウムイインカイ</t>
    </rPh>
    <rPh sb="468" eb="472">
      <t>キョウイクブカイ</t>
    </rPh>
    <phoneticPr fontId="1"/>
  </si>
  <si>
    <t>　（自己点検・評価）本プログラムのなかで、必修科目となっている「データサイエンス概論」は、履修登録者に占める単位修得者の割合が9割を超えている。また、「データサイエンス概論」とその他1科目を履修した単位修得率もすべて8割を超えていることから、シラバス上の到達目標に鑑みた履修者の学修成果は所定の水準に達していると判断できる。一方で、「データサイエンス基礎Ⅱ」、「情報活用基礎」の得点分布をみると、得点の低い履修者が一定数いるため、学生の理解度を把握するとともに授業内容・方法等の改善も今後必要であろう。
　また、特に「データサイエンス概論」においては高成績をとった学生割合が多く、本学の成績評価基準（優・秀の割合が３割以下）と合致していない状況があるので、その点は課題として改善すべきである。（自己点検・総合評価委員会）
　（改善計画）　「データサイエンス概論」については全学必修として卒業要件も絡んでいるため学修意欲は高まるが、本学の成績評価ガイドラインに沿った評価となるよう小テストの難度を調整する。
　「データサイエンス基礎Ⅱ」や「情報活用基礎」については授業内容はデータサイエンス基礎の重要な学修内容であり、まずは成績評価の在り方を検討する予定である。（教務委員会・ICT教育部会）</t>
    <rPh sb="2" eb="6">
      <t>ジコテンケン</t>
    </rPh>
    <rPh sb="7" eb="9">
      <t>ヒョウカ</t>
    </rPh>
    <rPh sb="347" eb="351">
      <t>ジコテンケン</t>
    </rPh>
    <rPh sb="352" eb="359">
      <t>ソウゴウヒョウカイインカイ</t>
    </rPh>
    <rPh sb="363" eb="365">
      <t>カイゼン</t>
    </rPh>
    <rPh sb="365" eb="367">
      <t>ケイカク</t>
    </rPh>
    <rPh sb="531" eb="536">
      <t>キョウムイインカイ</t>
    </rPh>
    <rPh sb="540" eb="542">
      <t>キョウイク</t>
    </rPh>
    <rPh sb="542" eb="544">
      <t>ブカイ</t>
    </rPh>
    <phoneticPr fontId="1"/>
  </si>
  <si>
    <t>和田由美子</t>
    <rPh sb="0" eb="2">
      <t>ワダ</t>
    </rPh>
    <rPh sb="2" eb="5">
      <t>ユミコ</t>
    </rPh>
    <phoneticPr fontId="1"/>
  </si>
  <si>
    <t>学長補佐(将来ビジョン)／自己点検･総合評価委員会委員長</t>
    <rPh sb="0" eb="4">
      <t>ガクチョウホサ</t>
    </rPh>
    <rPh sb="5" eb="7">
      <t>ショウライ</t>
    </rPh>
    <rPh sb="13" eb="17">
      <t>ジコテンケン</t>
    </rPh>
    <rPh sb="18" eb="20">
      <t>ソウゴウ</t>
    </rPh>
    <rPh sb="20" eb="22">
      <t>ヒョウカ</t>
    </rPh>
    <rPh sb="22" eb="25">
      <t>イインカイ</t>
    </rPh>
    <rPh sb="25" eb="27">
      <t>イイン</t>
    </rPh>
    <rPh sb="27" eb="28">
      <t>チョウ</t>
    </rPh>
    <phoneticPr fontId="1"/>
  </si>
  <si>
    <t>教務委員会 ICT教育部会 委員長</t>
    <rPh sb="0" eb="2">
      <t>キョウム</t>
    </rPh>
    <rPh sb="2" eb="5">
      <t>イインカイ</t>
    </rPh>
    <rPh sb="9" eb="11">
      <t>キョウイク</t>
    </rPh>
    <rPh sb="11" eb="13">
      <t>ブカイ</t>
    </rPh>
    <rPh sb="14" eb="16">
      <t>イイン</t>
    </rPh>
    <rPh sb="16" eb="17">
      <t>チョウ</t>
    </rPh>
    <phoneticPr fontId="1"/>
  </si>
  <si>
    <t>副学長（教務）／教務委員長</t>
    <rPh sb="0" eb="3">
      <t>フクガクチョウ</t>
    </rPh>
    <rPh sb="4" eb="6">
      <t>キョウム</t>
    </rPh>
    <rPh sb="8" eb="13">
      <t>キョウムイインチョウ</t>
    </rPh>
    <phoneticPr fontId="1"/>
  </si>
  <si>
    <t>令和５</t>
    <rPh sb="0" eb="2">
      <t>レイワ</t>
    </rPh>
    <phoneticPr fontId="1"/>
  </si>
  <si>
    <t>・本プログラムの全ての科目はLMS上に開設されており，学生は科目担当者にメッセージを授業時間内外で送ることができ，科目担当者もそのメッセージ受信をメールで確認できるような体制になっている。したがって，学生はLMSを通じて，授業時間外でも質問したり学習指導を求めたりすることができる。
・履修者の多かった「情報活用基礎」は学生がExcelによるデータ処理・分析を行う実習的要素が強いため，学習指導を受けやすいように複数のクラスに時間割上も分けて実施している。
・Excel，統計ソフト，プログラミングにおいて一定レベルのスキルをもつ学生をSAまたはTAとして起用できる制度を作り，授業中に学生が必要なサポートを受けられるよう検討を急いでいる。</t>
    <rPh sb="8" eb="9">
      <t>スベ</t>
    </rPh>
    <rPh sb="17" eb="18">
      <t>ジョウ</t>
    </rPh>
    <rPh sb="19" eb="21">
      <t>カイセツ</t>
    </rPh>
    <rPh sb="57" eb="62">
      <t>カモクタントウシャ</t>
    </rPh>
    <rPh sb="70" eb="72">
      <t>ジュシン</t>
    </rPh>
    <rPh sb="77" eb="79">
      <t>カクニン</t>
    </rPh>
    <rPh sb="85" eb="87">
      <t>タイセイ</t>
    </rPh>
    <rPh sb="111" eb="115">
      <t>ジュギョウジカン</t>
    </rPh>
    <rPh sb="115" eb="116">
      <t>ガイ</t>
    </rPh>
    <rPh sb="143" eb="146">
      <t>リシュウシャ</t>
    </rPh>
    <rPh sb="147" eb="148">
      <t>オオ</t>
    </rPh>
    <rPh sb="156" eb="158">
      <t>キソ</t>
    </rPh>
    <rPh sb="160" eb="162">
      <t>ガクセイ</t>
    </rPh>
    <rPh sb="174" eb="176">
      <t>ショリ</t>
    </rPh>
    <rPh sb="177" eb="179">
      <t>ブンセキ</t>
    </rPh>
    <rPh sb="180" eb="181">
      <t>オコナ</t>
    </rPh>
    <rPh sb="182" eb="184">
      <t>ジッシュウ</t>
    </rPh>
    <rPh sb="184" eb="187">
      <t>テキヨウソ</t>
    </rPh>
    <rPh sb="188" eb="189">
      <t>ツヨ</t>
    </rPh>
    <rPh sb="193" eb="197">
      <t>ガクシュウシドウ</t>
    </rPh>
    <rPh sb="198" eb="199">
      <t>ウ</t>
    </rPh>
    <rPh sb="206" eb="208">
      <t>フクスウ</t>
    </rPh>
    <rPh sb="213" eb="217">
      <t>ジカンワリジョウ</t>
    </rPh>
    <rPh sb="218" eb="219">
      <t>ワ</t>
    </rPh>
    <rPh sb="221" eb="223">
      <t>ジッシ</t>
    </rPh>
    <rPh sb="236" eb="238">
      <t>トウケイ</t>
    </rPh>
    <rPh sb="253" eb="255">
      <t>イッテイ</t>
    </rPh>
    <rPh sb="283" eb="285">
      <t>セイド</t>
    </rPh>
    <rPh sb="286" eb="287">
      <t>ツク</t>
    </rPh>
    <rPh sb="289" eb="292">
      <t>ジュギョウチュウ</t>
    </rPh>
    <rPh sb="293" eb="295">
      <t>ガクセイ</t>
    </rPh>
    <rPh sb="296" eb="298">
      <t>ヒツヨウ</t>
    </rPh>
    <rPh sb="304" eb="305">
      <t>ウ</t>
    </rPh>
    <rPh sb="311" eb="313">
      <t>ケントウ</t>
    </rPh>
    <rPh sb="314" eb="315">
      <t>イソ</t>
    </rPh>
    <phoneticPr fontId="1"/>
  </si>
  <si>
    <t>学部・学科によって、修了要件は相違しない</t>
  </si>
  <si>
    <t xml:space="preserve">・令和4年度以前より，データサイエンス・AIを取り巻く社会事情とそれらの活用状況や情報リテラシー及びセキュリティ教育に関する研修会を教職員向けに数回実施して，本プログラムの意義・目的に対する理解を高めて，本プログラムの履修を学生に促すよう教員全員に周知している。
・本プログラムの目的や内容を本学HP・SNS・入学案内パンフレット等に掲載し，入学前から履修の動機づけを高めるために，地域の児童生徒とその保護者に発信している（今後は教育効果も発信する予定）。
・入学時オリエンテーション時に，修了証明書が発行されるものとして本プログラムの目的・内容を説明している。
・令和６年度に開講する「プログラミングとAI活用入門」の体験授業を提供することを目的として令和４・５年度に在学生や高校生を対象とする課外講座を開催し，またその講座の参加者募集広報において本プログラムを在学生や高校生・保護者に周知してきた。
</t>
    <phoneticPr fontId="1"/>
  </si>
  <si>
    <t xml:space="preserve">・本プログラムを構成している科目は学生全員が受講できるよう共通教育科目に配置している。
・学生全員がデータ処理・分析に有用なMicrosoft Excelを無償で使用できるように，令和4年度よりMicrosoft365を導入した。
・本プログラムの科目では授業中に学生がネットワークやwebサービスを頻繁に活用することが予想され，教室にWifiを設置して本学のネットワーク通信速度を増強した。
・データの統計的処理・可視化だけでなく，社会人に必要なITスキルとしてwebサービスの利用方法やAIを活用する方法を身につけることを目的とした「情報活用と情報デザイン」「プログラミングとAI活用入門」を設置した。
</t>
    <rPh sb="90" eb="92">
      <t>レイワ</t>
    </rPh>
    <phoneticPr fontId="1"/>
  </si>
  <si>
    <t>九州ルーテル学院大学教務委員会ＩＣＴ教育部会内規</t>
    <phoneticPr fontId="1"/>
  </si>
  <si>
    <t>九州ルーテル学院大学教務委員会ＩＣＴ教育部会</t>
    <rPh sb="0" eb="10">
      <t>キュウシュウルーテルガクインダイガク</t>
    </rPh>
    <rPh sb="10" eb="12">
      <t>キョウム</t>
    </rPh>
    <rPh sb="12" eb="15">
      <t>イインカイ</t>
    </rPh>
    <rPh sb="18" eb="20">
      <t>キョウイク</t>
    </rPh>
    <rPh sb="20" eb="22">
      <t>ブカイ</t>
    </rPh>
    <phoneticPr fontId="1"/>
  </si>
  <si>
    <t>・データの種類「データサイエンス基礎Ⅰ」（第4回），「データサイエンス基礎Ⅱ」（第6回），「情報活用基礎」（第1～2回,第6回）
・データの代表値（平均値，中央値，最頻値）「データサイエンス基礎Ⅰ」（第5回），「データサイエンス基礎Ⅱ」（第3回，第9回）
・代表値の性質の違い「データサイエンス基礎Ⅱ」（第9回）
・データのばらつき（分散，標準偏差）「データサイエンス基礎Ⅰ」（第5回），「データサイエンス基礎Ⅱ」（第10回）
・相関と因果（相関係数，擬似相関）「データサイエンス基礎Ⅰ」（第7回），「データサイエンス基礎Ⅱ」（第12回）
・母集団と標本抽出「データサイエンス基礎Ⅱ」（第14回）
・クロス集計表「データサイエンス基礎Ⅰ」（第6回），「データサイエンス基礎Ⅱ」（第13回），「情報活用基礎」（第12回）</t>
    <rPh sb="21" eb="22">
      <t>ダイ</t>
    </rPh>
    <rPh sb="23" eb="24">
      <t>カイ</t>
    </rPh>
    <rPh sb="40" eb="41">
      <t>ダイ</t>
    </rPh>
    <rPh sb="42" eb="43">
      <t>カイ</t>
    </rPh>
    <rPh sb="46" eb="48">
      <t>ジョウホウ</t>
    </rPh>
    <rPh sb="48" eb="50">
      <t>カツヨウ</t>
    </rPh>
    <rPh sb="50" eb="52">
      <t>キソ</t>
    </rPh>
    <rPh sb="54" eb="55">
      <t>ダイ</t>
    </rPh>
    <rPh sb="58" eb="59">
      <t>カイ</t>
    </rPh>
    <rPh sb="60" eb="61">
      <t>ダイ</t>
    </rPh>
    <rPh sb="62" eb="63">
      <t>カイ</t>
    </rPh>
    <rPh sb="123" eb="124">
      <t>ダイ</t>
    </rPh>
    <rPh sb="125" eb="126">
      <t>カイ</t>
    </rPh>
    <rPh sb="339" eb="340">
      <t>ダイ</t>
    </rPh>
    <rPh sb="342" eb="343">
      <t>カイ</t>
    </rPh>
    <rPh sb="346" eb="352">
      <t>ジョウホウカツヨウキソ</t>
    </rPh>
    <rPh sb="354" eb="355">
      <t>ダイ</t>
    </rPh>
    <rPh sb="357" eb="358">
      <t>カイ</t>
    </rPh>
    <phoneticPr fontId="1"/>
  </si>
  <si>
    <t>・データ表現（棒グラフ，折線グラフ，散布図等）「データサイエンス基礎Ⅰ」（第7回，第13回），「データサイエンス基礎Ⅱ」（第6～7回，第9回，第11～13回），「情報活用基礎」（第7回）
・データの比較（条件をそろえた比較,，処理の前後での比較等)「データサイエンス基礎Ⅰ」（第6回），「データサイエンス基礎Ⅱ」（第11回）</t>
    <rPh sb="21" eb="22">
      <t>トウ</t>
    </rPh>
    <rPh sb="41" eb="42">
      <t>ダイ</t>
    </rPh>
    <rPh sb="44" eb="45">
      <t>カイ</t>
    </rPh>
    <rPh sb="67" eb="68">
      <t>ダイ</t>
    </rPh>
    <rPh sb="69" eb="70">
      <t>カイ</t>
    </rPh>
    <rPh sb="71" eb="72">
      <t>ダイ</t>
    </rPh>
    <rPh sb="77" eb="78">
      <t>カイ</t>
    </rPh>
    <rPh sb="122" eb="123">
      <t>ナド</t>
    </rPh>
    <phoneticPr fontId="1"/>
  </si>
  <si>
    <t>・データの取得（機械判読可能なデータの作成・表記方法）「情報活用基礎」（第1～3回）
・データの集計（和，平均）「データサイエンス基礎Ⅰ」（第5回），「データサイエンス基礎Ⅱ」（第9回，第14回），「情報活用基礎」（第8回，第12回）
・データの並び替え，ランキング「情報活用基礎」（第8～9回）
・データ解析ツール「データサイエンス基礎Ⅰ」（第5～13回），「データサイエンス基礎Ⅱ」（第9回，第14回），「情報活用基礎」（第6～13回）</t>
    <phoneticPr fontId="1"/>
  </si>
  <si>
    <t>人文学部心理臨床学科　教授（教務委員会 ICT教育部会 委員長） 久﨑孝浩
人文学部人文学科児童教育専攻　教授（教務委員会 ICT教育部会 委員） 本田裕紀
人文学部人文学科児童教育専攻　講師（教務委員会 ICT教育部会 委員） 赤井秀行
人文学部人文学科ｷｬﾘｱｲﾝｸﾞﾘｯｼｭ専攻　助教（教務委員会 ICT教育部会 委員） 久保幸貴
情報担当事務職員 総務課員（教務委員会 ICT教育部会 委員） 緒方　聡</t>
    <rPh sb="0" eb="4">
      <t>ジンブンガクブ</t>
    </rPh>
    <rPh sb="11" eb="13">
      <t>キョウジュ</t>
    </rPh>
    <rPh sb="33" eb="34">
      <t>ヒサ</t>
    </rPh>
    <rPh sb="34" eb="35">
      <t>サキ</t>
    </rPh>
    <rPh sb="35" eb="36">
      <t>タカシ</t>
    </rPh>
    <rPh sb="36" eb="37">
      <t>ヒロ</t>
    </rPh>
    <rPh sb="46" eb="52">
      <t>ジドウキョウイクセンコウ</t>
    </rPh>
    <rPh sb="53" eb="55">
      <t>キョウジュ</t>
    </rPh>
    <rPh sb="74" eb="76">
      <t>ホンダ</t>
    </rPh>
    <rPh sb="76" eb="78">
      <t>ユウキ</t>
    </rPh>
    <rPh sb="79" eb="83">
      <t>ジンブンガクブ</t>
    </rPh>
    <rPh sb="83" eb="87">
      <t>ジンブンガッカ</t>
    </rPh>
    <rPh sb="87" eb="89">
      <t>ジドウ</t>
    </rPh>
    <rPh sb="89" eb="91">
      <t>キョウイク</t>
    </rPh>
    <rPh sb="91" eb="93">
      <t>センコウ</t>
    </rPh>
    <rPh sb="94" eb="96">
      <t>コウシ</t>
    </rPh>
    <rPh sb="111" eb="113">
      <t>イイン</t>
    </rPh>
    <rPh sb="115" eb="117">
      <t>アカイ</t>
    </rPh>
    <rPh sb="117" eb="119">
      <t>ヒデユキ</t>
    </rPh>
    <rPh sb="120" eb="124">
      <t>ジンブンガクブ</t>
    </rPh>
    <rPh sb="124" eb="128">
      <t>ジンブンガッカ</t>
    </rPh>
    <rPh sb="140" eb="142">
      <t>センコウ</t>
    </rPh>
    <rPh sb="143" eb="145">
      <t>ジョキョウ</t>
    </rPh>
    <rPh sb="169" eb="171">
      <t>ジョウホウ</t>
    </rPh>
    <rPh sb="171" eb="173">
      <t>タントウ</t>
    </rPh>
    <rPh sb="173" eb="177">
      <t>ジムショクイン</t>
    </rPh>
    <rPh sb="178" eb="181">
      <t>ソウムカ</t>
    </rPh>
    <rPh sb="201" eb="203">
      <t>オガタ</t>
    </rPh>
    <phoneticPr fontId="1"/>
  </si>
  <si>
    <r>
      <t xml:space="preserve">履修者数・履修率の向上に向けた計画 </t>
    </r>
    <r>
      <rPr>
        <sz val="6"/>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</si>
  <si>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　令和４年度より本学はBYODの方針が発し，新入生も在学生もノートPCを持参して授業を受けることが求められるようになった。また，諸事情で持参できない学生にはノートPCを貸与する体制を整えた。これにより令和５年度からは，本プログラムの選択必修科目においてノートPCによるデータ処理・分析の授業を一般教室で実現できるようになった。
　令和６年度は，学生がデータサイエンスについて関係教員とコミュニケーションをとりやすくするために，必修科目のデータサイエンス概論はオンデマンド配信授業から対面授業に移行する。また，本プログラムにおけるデータ処理・分析の授業等でどの学生も円滑にノートPCを操作できるようにするために，フレッシュマンゼミというゼミ形式の共通教育科目にノートPC操作スキルを体得できる授業回を組み込むことを検討している。令和７年度は，本プログラムを構成する選択必修科目の授業内容をより時代にあったもの，社会人に必要なスキルに結びつくものに洗練し，履修指導を行う各教員の協力を得て学生により有意義な本プログラムの履修を推進する予定である。令和８年度は，本プログラムの上位にあって令和７年度より開講された高次科目「データサイエンス応用」「プログラミング応用」の履修実績をもとに，本プログラムの有意味性を学生に伝えて履修推進を図る予定である。令和９年度は，選択科目であった「情報活用と情報デザイン」「プログラミングとAI活用入門」も選択必修科目とし，本学共通教育の一環である本プログラムを他の共通教育科目と連関させるべく，データの統計処理・可視化やアプリケーション・AI・プログラミング活用が求められる産業・地域連携科目を共通教育内に開設して，本プロログラムやその高次科目の授業内容が社会生活・企業業務に活かせるものとして学生・教職員に周知し，本プログラムの履修率を向上させることを計画している。</t>
    <rPh sb="1" eb="3">
      <t>レイワ</t>
    </rPh>
    <rPh sb="4" eb="6">
      <t>ネンド</t>
    </rPh>
    <rPh sb="8" eb="10">
      <t>ホンガク</t>
    </rPh>
    <rPh sb="16" eb="18">
      <t>ホウシン</t>
    </rPh>
    <rPh sb="19" eb="20">
      <t>ハッ</t>
    </rPh>
    <rPh sb="22" eb="25">
      <t>シンニュウセイ</t>
    </rPh>
    <rPh sb="26" eb="29">
      <t>ザイガクセイ</t>
    </rPh>
    <rPh sb="36" eb="38">
      <t>ジサン</t>
    </rPh>
    <rPh sb="40" eb="42">
      <t>ジュギョウ</t>
    </rPh>
    <rPh sb="43" eb="44">
      <t>ウ</t>
    </rPh>
    <rPh sb="49" eb="50">
      <t>モト</t>
    </rPh>
    <rPh sb="64" eb="67">
      <t>ショジジョウ</t>
    </rPh>
    <rPh sb="68" eb="70">
      <t>ジサン</t>
    </rPh>
    <rPh sb="74" eb="76">
      <t>ガクセイ</t>
    </rPh>
    <rPh sb="84" eb="86">
      <t>タイヨ</t>
    </rPh>
    <rPh sb="88" eb="90">
      <t>タイセイ</t>
    </rPh>
    <rPh sb="91" eb="92">
      <t>トトノ</t>
    </rPh>
    <rPh sb="100" eb="102">
      <t>レイワ</t>
    </rPh>
    <rPh sb="103" eb="105">
      <t>ネンド</t>
    </rPh>
    <rPh sb="109" eb="110">
      <t>ホン</t>
    </rPh>
    <rPh sb="116" eb="118">
      <t>センタク</t>
    </rPh>
    <rPh sb="118" eb="120">
      <t>ヒッシュウ</t>
    </rPh>
    <rPh sb="120" eb="122">
      <t>カモク</t>
    </rPh>
    <rPh sb="137" eb="139">
      <t>ショリ</t>
    </rPh>
    <rPh sb="140" eb="142">
      <t>ブンセキ</t>
    </rPh>
    <rPh sb="143" eb="145">
      <t>ジュギョウ</t>
    </rPh>
    <rPh sb="146" eb="148">
      <t>イッパン</t>
    </rPh>
    <rPh sb="148" eb="150">
      <t>キョウシツ</t>
    </rPh>
    <rPh sb="151" eb="153">
      <t>ジツゲン</t>
    </rPh>
    <rPh sb="165" eb="167">
      <t>レイワ</t>
    </rPh>
    <rPh sb="168" eb="170">
      <t>ネンド</t>
    </rPh>
    <rPh sb="319" eb="321">
      <t>ケイシキ</t>
    </rPh>
    <rPh sb="322" eb="326">
      <t>キョウツウキョウイク</t>
    </rPh>
    <rPh sb="326" eb="328">
      <t>カモク</t>
    </rPh>
    <rPh sb="334" eb="336">
      <t>ソウサ</t>
    </rPh>
    <rPh sb="340" eb="342">
      <t>タイトク</t>
    </rPh>
    <rPh sb="345" eb="347">
      <t>ジュギョウ</t>
    </rPh>
    <rPh sb="347" eb="348">
      <t>カイ</t>
    </rPh>
    <rPh sb="349" eb="350">
      <t>ク</t>
    </rPh>
    <rPh sb="351" eb="352">
      <t>コ</t>
    </rPh>
    <rPh sb="363" eb="365">
      <t>レイワ</t>
    </rPh>
    <rPh sb="366" eb="368">
      <t>ネンド</t>
    </rPh>
    <rPh sb="370" eb="371">
      <t>ホン</t>
    </rPh>
    <rPh sb="377" eb="379">
      <t>コウセイ</t>
    </rPh>
    <rPh sb="388" eb="392">
      <t>ジュギョウナイヨウ</t>
    </rPh>
    <rPh sb="395" eb="397">
      <t>ジダイ</t>
    </rPh>
    <rPh sb="404" eb="407">
      <t>シャカイジン</t>
    </rPh>
    <rPh sb="408" eb="410">
      <t>ヒツヨウ</t>
    </rPh>
    <rPh sb="415" eb="416">
      <t>ムス</t>
    </rPh>
    <rPh sb="422" eb="424">
      <t>センレン</t>
    </rPh>
    <rPh sb="426" eb="430">
      <t>リシュウシドウ</t>
    </rPh>
    <rPh sb="431" eb="432">
      <t>オコナ</t>
    </rPh>
    <rPh sb="433" eb="436">
      <t>カクキョウイン</t>
    </rPh>
    <rPh sb="437" eb="439">
      <t>キョウリョク</t>
    </rPh>
    <rPh sb="440" eb="441">
      <t>エ</t>
    </rPh>
    <rPh sb="442" eb="444">
      <t>ガクセイ</t>
    </rPh>
    <rPh sb="447" eb="450">
      <t>ユウイギ</t>
    </rPh>
    <rPh sb="451" eb="452">
      <t>ホン</t>
    </rPh>
    <rPh sb="458" eb="460">
      <t>リシュウ</t>
    </rPh>
    <rPh sb="461" eb="463">
      <t>スイシン</t>
    </rPh>
    <rPh sb="465" eb="467">
      <t>ヨテイ</t>
    </rPh>
    <rPh sb="471" eb="473">
      <t>レイワ</t>
    </rPh>
    <rPh sb="474" eb="476">
      <t>ネンド</t>
    </rPh>
    <rPh sb="478" eb="479">
      <t>ホン</t>
    </rPh>
    <rPh sb="485" eb="487">
      <t>ジョウイ</t>
    </rPh>
    <rPh sb="491" eb="493">
      <t>レイワ</t>
    </rPh>
    <rPh sb="494" eb="496">
      <t>ネンド</t>
    </rPh>
    <rPh sb="498" eb="500">
      <t>カイコウ</t>
    </rPh>
    <rPh sb="503" eb="505">
      <t>コウジ</t>
    </rPh>
    <rPh sb="505" eb="507">
      <t>カモク</t>
    </rPh>
    <rPh sb="516" eb="518">
      <t>オウヨウ</t>
    </rPh>
    <rPh sb="527" eb="529">
      <t>オウヨウ</t>
    </rPh>
    <rPh sb="531" eb="533">
      <t>リシュウ</t>
    </rPh>
    <rPh sb="533" eb="535">
      <t>ジッセキ</t>
    </rPh>
    <rPh sb="540" eb="541">
      <t>ホン</t>
    </rPh>
    <rPh sb="547" eb="551">
      <t>ユウイミセイ</t>
    </rPh>
    <rPh sb="552" eb="554">
      <t>ガクセイ</t>
    </rPh>
    <rPh sb="555" eb="556">
      <t>ツタ</t>
    </rPh>
    <rPh sb="558" eb="560">
      <t>リシュウ</t>
    </rPh>
    <rPh sb="560" eb="562">
      <t>スイシン</t>
    </rPh>
    <rPh sb="563" eb="564">
      <t>ハカ</t>
    </rPh>
    <rPh sb="565" eb="567">
      <t>ヨテイ</t>
    </rPh>
    <rPh sb="571" eb="573">
      <t>レイワ</t>
    </rPh>
    <rPh sb="574" eb="576">
      <t>ネンド</t>
    </rPh>
    <rPh sb="578" eb="582">
      <t>センタクカモク</t>
    </rPh>
    <rPh sb="587" eb="589">
      <t>ジョウホウ</t>
    </rPh>
    <rPh sb="589" eb="591">
      <t>カツヨウ</t>
    </rPh>
    <rPh sb="592" eb="594">
      <t>ジョウホウ</t>
    </rPh>
    <rPh sb="610" eb="612">
      <t>カツヨウ</t>
    </rPh>
    <rPh sb="612" eb="614">
      <t>ニュウモン</t>
    </rPh>
    <rPh sb="616" eb="618">
      <t>センタク</t>
    </rPh>
    <rPh sb="618" eb="620">
      <t>ヒッシュウ</t>
    </rPh>
    <rPh sb="620" eb="622">
      <t>カモク</t>
    </rPh>
    <rPh sb="625" eb="627">
      <t>ホンガク</t>
    </rPh>
    <rPh sb="627" eb="631">
      <t>キョウツウキョウイク</t>
    </rPh>
    <rPh sb="632" eb="634">
      <t>イッカン</t>
    </rPh>
    <rPh sb="637" eb="638">
      <t>ホン</t>
    </rPh>
    <rPh sb="644" eb="645">
      <t>タ</t>
    </rPh>
    <rPh sb="646" eb="650">
      <t>キョウツウキョウイク</t>
    </rPh>
    <rPh sb="650" eb="652">
      <t>カモク</t>
    </rPh>
    <rPh sb="653" eb="655">
      <t>レンカン</t>
    </rPh>
    <rPh sb="665" eb="669">
      <t>トウケイショリ</t>
    </rPh>
    <rPh sb="670" eb="673">
      <t>カシカ</t>
    </rPh>
    <rPh sb="693" eb="695">
      <t>カツヨウ</t>
    </rPh>
    <rPh sb="696" eb="697">
      <t>モト</t>
    </rPh>
    <rPh sb="701" eb="703">
      <t>サンギョウ</t>
    </rPh>
    <rPh sb="704" eb="706">
      <t>チイキ</t>
    </rPh>
    <rPh sb="706" eb="708">
      <t>レンケイ</t>
    </rPh>
    <rPh sb="708" eb="710">
      <t>カモク</t>
    </rPh>
    <rPh sb="711" eb="715">
      <t>キョウツウキョウイク</t>
    </rPh>
    <rPh sb="715" eb="716">
      <t>ナイ</t>
    </rPh>
    <rPh sb="717" eb="719">
      <t>カイセツ</t>
    </rPh>
    <rPh sb="722" eb="723">
      <t>ホン</t>
    </rPh>
    <rPh sb="732" eb="734">
      <t>コウジ</t>
    </rPh>
    <rPh sb="734" eb="736">
      <t>カモク</t>
    </rPh>
    <rPh sb="737" eb="741">
      <t>ジュギョウナイヨウ</t>
    </rPh>
    <rPh sb="742" eb="744">
      <t>シャカイ</t>
    </rPh>
    <rPh sb="744" eb="746">
      <t>セイカツ</t>
    </rPh>
    <rPh sb="747" eb="749">
      <t>キギョウ</t>
    </rPh>
    <rPh sb="749" eb="751">
      <t>ギョウム</t>
    </rPh>
    <rPh sb="752" eb="753">
      <t>イ</t>
    </rPh>
    <rPh sb="761" eb="763">
      <t>ガクセイ</t>
    </rPh>
    <rPh sb="764" eb="767">
      <t>キョウショクイン</t>
    </rPh>
    <rPh sb="768" eb="770">
      <t>シュウチ</t>
    </rPh>
    <rPh sb="772" eb="773">
      <t>ホン</t>
    </rPh>
    <rPh sb="779" eb="781">
      <t>リシュウ</t>
    </rPh>
    <rPh sb="781" eb="782">
      <t>リツ</t>
    </rPh>
    <rPh sb="783" eb="785">
      <t>コウジョウ</t>
    </rPh>
    <rPh sb="791" eb="793">
      <t>ケイカク</t>
    </rPh>
    <phoneticPr fontId="1"/>
  </si>
  <si>
    <t>九州ルーテル学院大学自己点検・総合評価委員会</t>
    <rPh sb="0" eb="10">
      <t>キュウシュウルーテルガクインダイガク</t>
    </rPh>
    <rPh sb="10" eb="14">
      <t>ジコテンケン</t>
    </rPh>
    <rPh sb="15" eb="17">
      <t>ソウゴウ</t>
    </rPh>
    <rPh sb="17" eb="19">
      <t>ヒョウカ</t>
    </rPh>
    <rPh sb="19" eb="22">
      <t>イインカイ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</si>
</sst>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1.5"/>
      <name val="ＭＳ Ｐゴシック"/>
      <family val="3"/>
      <charset val="128"/>
      <scheme val="minor"/>
    </font>
    <font>
      <sz val="10"/>
      <name val="ＭＳ Ｐゴシック"/>
      <family val="3"/>
      <charset val="128"/>
      <scheme val="minor"/>
    </font>
    <font>
      <sz val="6"/>
      <name val="ＭＳ Ｐゴシック"/>
      <family val="3"/>
      <charset val="128"/>
      <scheme val="minor"/>
    </font>
    <font>
      <sz val="7"/>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cellStyleXfs>
  <cellXfs count="248">
    <xf numFmtId="0" fontId="0" fillId="0" borderId="0" xfId="0">
      <alignment vertical="center"/>
    </xf>
    <xf numFmtId="0" fontId="3" fillId="0" borderId="0" xfId="0" applyFont="1">
      <alignment vertical="center"/>
    </xf>
    <xf numFmtId="0" fontId="4" fillId="0" borderId="0" xfId="0" applyFont="1">
      <alignment vertical="center"/>
    </xf>
    <xf numFmtId="0" fontId="4" fillId="0" borderId="1" xfId="0"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vertical="center" shrinkToFit="1"/>
    </xf>
    <xf numFmtId="0" fontId="4" fillId="0" borderId="0" xfId="0" applyFont="1" applyAlignment="1">
      <alignment horizontal="left" vertical="center" shrinkToFit="1"/>
    </xf>
    <xf numFmtId="0" fontId="4"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center" vertical="center"/>
    </xf>
    <xf numFmtId="0" fontId="4" fillId="0" borderId="1" xfId="0" applyFont="1" applyBorder="1">
      <alignment vertical="center"/>
    </xf>
    <xf numFmtId="0" fontId="4" fillId="0" borderId="0" xfId="0" applyFont="1" applyAlignment="1">
      <alignment horizontal="center" vertical="center" shrinkToFit="1"/>
    </xf>
    <xf numFmtId="0" fontId="4" fillId="0" borderId="20" xfId="0" applyFont="1" applyBorder="1" applyAlignment="1">
      <alignment horizontal="center" vertical="center" shrinkToFit="1"/>
    </xf>
    <xf numFmtId="0" fontId="7" fillId="0" borderId="0" xfId="0" applyFont="1" applyAlignment="1">
      <alignment horizontal="center" vertical="center"/>
    </xf>
    <xf numFmtId="0" fontId="4" fillId="0" borderId="0" xfId="0" applyFont="1" applyAlignment="1">
      <alignment vertical="center" wrapText="1"/>
    </xf>
    <xf numFmtId="0" fontId="4" fillId="0" borderId="1" xfId="0" applyFont="1" applyBorder="1" applyAlignment="1">
      <alignment horizontal="center" vertical="center" shrinkToFit="1"/>
    </xf>
    <xf numFmtId="0" fontId="3" fillId="0" borderId="6" xfId="0" applyFont="1" applyBorder="1" applyAlignment="1">
      <alignment horizontal="left" vertical="center" wrapText="1"/>
    </xf>
    <xf numFmtId="0" fontId="3" fillId="0" borderId="1" xfId="0" applyFont="1" applyBorder="1" applyAlignment="1">
      <alignment horizontal="center" vertical="center"/>
    </xf>
    <xf numFmtId="0" fontId="4" fillId="0" borderId="1" xfId="0" applyFont="1" applyBorder="1" applyAlignment="1">
      <alignment vertical="center" wrapText="1"/>
    </xf>
    <xf numFmtId="0" fontId="6" fillId="0" borderId="1" xfId="0" applyFont="1" applyBorder="1" applyAlignment="1">
      <alignment vertical="center" wrapText="1"/>
    </xf>
    <xf numFmtId="0" fontId="7" fillId="0" borderId="0" xfId="0" applyFont="1" applyAlignment="1">
      <alignment horizontal="center" vertical="center"/>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4" fillId="0" borderId="0" xfId="0" applyFont="1" applyAlignment="1">
      <alignment vertical="center" wrapText="1"/>
    </xf>
    <xf numFmtId="0" fontId="4" fillId="0" borderId="0" xfId="0" applyFont="1" applyAlignment="1">
      <alignment horizontal="right"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0" xfId="0" applyFont="1" applyAlignment="1">
      <alignment horizontal="left" vertical="center" wrapTex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0" fontId="4" fillId="3" borderId="11"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3" borderId="12" xfId="0" applyFont="1" applyFill="1" applyBorder="1" applyAlignment="1">
      <alignment horizontal="left" vertical="center" wrapTex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4" xfId="0" applyFont="1" applyBorder="1" applyAlignment="1">
      <alignment horizontal="center" vertical="center" shrinkToFit="1"/>
    </xf>
    <xf numFmtId="0" fontId="4" fillId="0" borderId="11" xfId="0" applyFont="1" applyBorder="1" applyAlignment="1">
      <alignment vertical="center" wrapText="1"/>
    </xf>
    <xf numFmtId="0" fontId="4" fillId="0" borderId="6" xfId="0" applyFont="1" applyBorder="1" applyAlignment="1">
      <alignment vertical="center" wrapText="1"/>
    </xf>
    <xf numFmtId="0" fontId="4" fillId="0" borderId="12" xfId="0" applyFont="1" applyBorder="1" applyAlignment="1">
      <alignment vertical="center" wrapText="1"/>
    </xf>
    <xf numFmtId="0" fontId="6" fillId="0" borderId="1" xfId="0" applyFont="1" applyBorder="1" applyAlignment="1">
      <alignment horizontal="center" vertical="center" shrinkToFit="1"/>
    </xf>
    <xf numFmtId="0" fontId="6" fillId="0" borderId="4" xfId="0" applyFont="1" applyBorder="1" applyAlignment="1">
      <alignment horizontal="center" vertical="center" shrinkToFit="1"/>
    </xf>
    <xf numFmtId="49" fontId="6" fillId="0" borderId="1" xfId="0" applyNumberFormat="1" applyFont="1" applyBorder="1" applyAlignment="1">
      <alignment horizontal="center" vertical="center"/>
    </xf>
    <xf numFmtId="0" fontId="4" fillId="0" borderId="28" xfId="0" applyFont="1" applyBorder="1" applyAlignment="1">
      <alignment vertical="center" shrinkToFit="1"/>
    </xf>
    <xf numFmtId="0" fontId="4" fillId="0" borderId="30" xfId="0" applyFont="1" applyBorder="1" applyAlignment="1">
      <alignment vertical="center" shrinkToFit="1"/>
    </xf>
    <xf numFmtId="0" fontId="4" fillId="0" borderId="29" xfId="0" applyFont="1" applyBorder="1" applyAlignment="1">
      <alignment vertical="center" shrinkToFit="1"/>
    </xf>
    <xf numFmtId="0" fontId="4" fillId="0" borderId="14" xfId="0" applyFont="1" applyBorder="1" applyAlignment="1">
      <alignment horizontal="center" vertical="center" shrinkToFit="1"/>
    </xf>
    <xf numFmtId="0" fontId="4" fillId="0" borderId="18" xfId="0" applyFont="1" applyBorder="1" applyAlignment="1">
      <alignment vertical="center" shrinkToFit="1"/>
    </xf>
    <xf numFmtId="0" fontId="4" fillId="0" borderId="19" xfId="0" applyFont="1" applyBorder="1" applyAlignment="1">
      <alignment vertical="center" shrinkToFit="1"/>
    </xf>
    <xf numFmtId="0" fontId="4" fillId="0" borderId="17" xfId="0" applyFont="1" applyBorder="1" applyAlignment="1">
      <alignment vertical="center" shrinkToFit="1"/>
    </xf>
    <xf numFmtId="0" fontId="4" fillId="0" borderId="31" xfId="0" applyFont="1" applyBorder="1" applyAlignment="1">
      <alignment vertical="center" shrinkToFit="1"/>
    </xf>
    <xf numFmtId="0" fontId="4" fillId="0" borderId="32" xfId="0" applyFont="1" applyBorder="1" applyAlignment="1">
      <alignment vertical="center" shrinkToFit="1"/>
    </xf>
    <xf numFmtId="0" fontId="4" fillId="0" borderId="33" xfId="0" applyFont="1" applyBorder="1" applyAlignment="1">
      <alignment vertical="center" shrinkToFit="1"/>
    </xf>
    <xf numFmtId="0" fontId="4" fillId="0" borderId="13"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0" xfId="0" applyFont="1" applyAlignment="1">
      <alignment vertical="top" wrapText="1"/>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0" fontId="4" fillId="0" borderId="28"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19" xfId="0" applyFont="1" applyBorder="1" applyAlignment="1">
      <alignment horizontal="center" vertical="center" shrinkToFit="1"/>
    </xf>
    <xf numFmtId="0" fontId="4" fillId="0" borderId="17" xfId="0" applyFont="1" applyBorder="1" applyAlignment="1">
      <alignment horizontal="center" vertical="center" shrinkToFit="1"/>
    </xf>
    <xf numFmtId="0" fontId="4" fillId="0" borderId="31" xfId="0" applyFont="1" applyBorder="1" applyAlignment="1">
      <alignment horizontal="center" vertical="center" shrinkToFit="1"/>
    </xf>
    <xf numFmtId="0" fontId="4" fillId="0" borderId="32" xfId="0" applyFont="1" applyBorder="1" applyAlignment="1">
      <alignment horizontal="center" vertical="center" shrinkToFit="1"/>
    </xf>
    <xf numFmtId="0" fontId="4" fillId="0" borderId="33"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4" xfId="0" applyFont="1" applyBorder="1" applyAlignment="1">
      <alignment horizontal="center" vertical="center" shrinkToFit="1"/>
    </xf>
    <xf numFmtId="0" fontId="6" fillId="0" borderId="39" xfId="0" applyFont="1" applyBorder="1" applyAlignment="1">
      <alignment vertical="center" wrapText="1"/>
    </xf>
    <xf numFmtId="49" fontId="6" fillId="0" borderId="42" xfId="0" applyNumberFormat="1" applyFont="1" applyBorder="1" applyAlignment="1">
      <alignment horizontal="center" vertical="center"/>
    </xf>
    <xf numFmtId="49" fontId="6" fillId="0" borderId="28" xfId="0" applyNumberFormat="1" applyFont="1" applyBorder="1" applyAlignment="1">
      <alignment horizontal="left" vertical="center" wrapText="1"/>
    </xf>
    <xf numFmtId="49" fontId="6" fillId="0" borderId="30" xfId="0" applyNumberFormat="1" applyFont="1" applyBorder="1" applyAlignment="1">
      <alignment horizontal="left" vertical="center" wrapText="1"/>
    </xf>
    <xf numFmtId="49" fontId="6" fillId="0" borderId="29" xfId="0" applyNumberFormat="1" applyFont="1" applyBorder="1" applyAlignment="1">
      <alignment horizontal="left" vertical="center" wrapText="1"/>
    </xf>
    <xf numFmtId="0" fontId="6" fillId="0" borderId="26" xfId="0" applyFont="1" applyBorder="1" applyAlignment="1">
      <alignment vertical="center" wrapText="1"/>
    </xf>
    <xf numFmtId="49" fontId="6" fillId="0" borderId="43" xfId="0" applyNumberFormat="1" applyFont="1" applyBorder="1" applyAlignment="1">
      <alignment horizontal="center" vertical="center"/>
    </xf>
    <xf numFmtId="49" fontId="6" fillId="0" borderId="31" xfId="0" applyNumberFormat="1" applyFont="1" applyBorder="1" applyAlignment="1">
      <alignment horizontal="left" vertical="center" wrapText="1"/>
    </xf>
    <xf numFmtId="49" fontId="6" fillId="0" borderId="32" xfId="0" applyNumberFormat="1" applyFont="1" applyBorder="1" applyAlignment="1">
      <alignment horizontal="left" vertical="center" wrapText="1"/>
    </xf>
    <xf numFmtId="49" fontId="6" fillId="0" borderId="33" xfId="0" applyNumberFormat="1" applyFont="1" applyBorder="1" applyAlignment="1">
      <alignment horizontal="left" vertical="center" wrapText="1"/>
    </xf>
    <xf numFmtId="49" fontId="6" fillId="0" borderId="38" xfId="0" applyNumberFormat="1" applyFont="1" applyBorder="1" applyAlignment="1">
      <alignment horizontal="center" vertical="center"/>
    </xf>
    <xf numFmtId="0" fontId="6" fillId="0" borderId="40" xfId="0" applyFont="1" applyBorder="1" applyAlignment="1">
      <alignment vertical="center" wrapText="1"/>
    </xf>
    <xf numFmtId="49" fontId="6" fillId="0" borderId="25"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18" xfId="0" applyNumberFormat="1" applyFont="1" applyBorder="1" applyAlignment="1">
      <alignment horizontal="left" vertical="center" wrapText="1"/>
    </xf>
    <xf numFmtId="49" fontId="6" fillId="0" borderId="19" xfId="0" applyNumberFormat="1" applyFont="1" applyBorder="1" applyAlignment="1">
      <alignment horizontal="left" vertical="center" wrapText="1"/>
    </xf>
    <xf numFmtId="49" fontId="6" fillId="0" borderId="17" xfId="0" applyNumberFormat="1" applyFont="1" applyBorder="1" applyAlignment="1">
      <alignment horizontal="left" vertical="center" wrapText="1"/>
    </xf>
    <xf numFmtId="0" fontId="4" fillId="0" borderId="2" xfId="0" applyFont="1" applyBorder="1" applyAlignment="1">
      <alignment vertical="center" wrapText="1" shrinkToFit="1"/>
    </xf>
    <xf numFmtId="0" fontId="4" fillId="0" borderId="3" xfId="0" applyFont="1" applyBorder="1" applyAlignment="1">
      <alignment vertical="center" wrapText="1" shrinkToFit="1"/>
    </xf>
    <xf numFmtId="0" fontId="4" fillId="0" borderId="4" xfId="0" applyFont="1" applyBorder="1" applyAlignment="1">
      <alignment vertical="center" wrapText="1" shrinkToFit="1"/>
    </xf>
    <xf numFmtId="0" fontId="3" fillId="0" borderId="0" xfId="0" applyFont="1" applyAlignment="1">
      <alignment vertical="center" wrapText="1"/>
    </xf>
    <xf numFmtId="49" fontId="3" fillId="0" borderId="0" xfId="0" applyNumberFormat="1" applyFont="1" applyAlignment="1">
      <alignment vertical="center" shrinkToFi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6" fillId="0" borderId="0" xfId="0" applyFont="1" applyAlignment="1">
      <alignment vertical="top" wrapText="1"/>
    </xf>
    <xf numFmtId="0" fontId="4" fillId="2" borderId="5" xfId="0" applyFont="1" applyFill="1" applyBorder="1">
      <alignment vertical="center"/>
    </xf>
    <xf numFmtId="0" fontId="6" fillId="2" borderId="0" xfId="0" applyFont="1" applyFill="1" applyAlignment="1">
      <alignment vertical="top" wrapText="1"/>
    </xf>
    <xf numFmtId="0" fontId="6" fillId="2" borderId="10" xfId="0" applyFont="1" applyFill="1" applyBorder="1" applyAlignment="1">
      <alignment vertical="top" wrapText="1"/>
    </xf>
    <xf numFmtId="0" fontId="4" fillId="2" borderId="0" xfId="0" applyFont="1" applyFill="1">
      <alignment vertical="center"/>
    </xf>
    <xf numFmtId="0" fontId="6" fillId="2" borderId="5" xfId="0" applyFont="1" applyFill="1" applyBorder="1" applyAlignment="1">
      <alignment vertical="top" wrapText="1"/>
    </xf>
    <xf numFmtId="0" fontId="4" fillId="0" borderId="16" xfId="0" applyFont="1" applyBorder="1" applyAlignment="1">
      <alignment vertical="center" wrapText="1"/>
    </xf>
    <xf numFmtId="0" fontId="4" fillId="0" borderId="17" xfId="0" applyFont="1" applyBorder="1" applyAlignment="1">
      <alignment vertical="center" wrapText="1"/>
    </xf>
    <xf numFmtId="0" fontId="4" fillId="0" borderId="18" xfId="0" applyFont="1" applyBorder="1" applyAlignment="1">
      <alignment vertical="top" wrapText="1" shrinkToFit="1"/>
    </xf>
    <xf numFmtId="0" fontId="4" fillId="0" borderId="19" xfId="0" applyFont="1" applyBorder="1" applyAlignment="1">
      <alignment vertical="top" wrapText="1" shrinkToFit="1"/>
    </xf>
    <xf numFmtId="0" fontId="4" fillId="0" borderId="17" xfId="0" applyFont="1" applyBorder="1" applyAlignment="1">
      <alignment vertical="top" wrapText="1" shrinkToFit="1"/>
    </xf>
    <xf numFmtId="0" fontId="4" fillId="0" borderId="16" xfId="0" applyFont="1" applyBorder="1">
      <alignment vertical="center"/>
    </xf>
    <xf numFmtId="0" fontId="3" fillId="0" borderId="17" xfId="0" applyFont="1" applyBorder="1">
      <alignment vertical="center"/>
    </xf>
    <xf numFmtId="0" fontId="6" fillId="2" borderId="11" xfId="0" applyFont="1" applyFill="1" applyBorder="1" applyAlignment="1">
      <alignment vertical="top" wrapText="1"/>
    </xf>
    <xf numFmtId="0" fontId="4" fillId="0" borderId="46" xfId="0" applyFont="1" applyBorder="1" applyAlignment="1">
      <alignment vertical="center" wrapText="1"/>
    </xf>
    <xf numFmtId="0" fontId="4" fillId="0" borderId="33" xfId="0" applyFont="1" applyBorder="1" applyAlignment="1">
      <alignment vertical="center" wrapText="1"/>
    </xf>
    <xf numFmtId="0" fontId="4" fillId="0" borderId="31" xfId="0" applyFont="1" applyBorder="1" applyAlignment="1">
      <alignment vertical="top" wrapText="1" shrinkToFit="1"/>
    </xf>
    <xf numFmtId="0" fontId="4" fillId="0" borderId="32" xfId="0" applyFont="1" applyBorder="1" applyAlignment="1">
      <alignment vertical="top" wrapText="1" shrinkToFit="1"/>
    </xf>
    <xf numFmtId="0" fontId="4" fillId="0" borderId="33" xfId="0" applyFont="1" applyBorder="1" applyAlignment="1">
      <alignment vertical="top" wrapText="1" shrinkToFit="1"/>
    </xf>
    <xf numFmtId="0" fontId="6" fillId="2" borderId="36" xfId="0" applyFont="1" applyFill="1" applyBorder="1" applyAlignment="1">
      <alignment vertical="top" wrapText="1"/>
    </xf>
    <xf numFmtId="0" fontId="6" fillId="2" borderId="37" xfId="0" applyFont="1" applyFill="1" applyBorder="1" applyAlignment="1">
      <alignment vertical="top" wrapText="1"/>
    </xf>
    <xf numFmtId="0" fontId="6" fillId="2" borderId="36" xfId="0" applyFont="1" applyFill="1" applyBorder="1" applyAlignment="1">
      <alignment vertical="top" shrinkToFit="1"/>
    </xf>
    <xf numFmtId="0" fontId="6" fillId="2" borderId="37" xfId="0" applyFont="1" applyFill="1" applyBorder="1" applyAlignment="1">
      <alignment vertical="top" shrinkToFit="1"/>
    </xf>
    <xf numFmtId="0" fontId="4" fillId="0" borderId="35" xfId="0" applyFont="1" applyBorder="1" applyAlignment="1">
      <alignment vertical="center" wrapText="1"/>
    </xf>
    <xf numFmtId="0" fontId="4" fillId="0" borderId="36" xfId="0" applyFont="1" applyBorder="1" applyAlignment="1">
      <alignment vertical="center" wrapText="1"/>
    </xf>
    <xf numFmtId="0" fontId="4" fillId="0" borderId="37" xfId="0" applyFont="1" applyBorder="1" applyAlignment="1">
      <alignment vertical="center" wrapText="1"/>
    </xf>
    <xf numFmtId="0" fontId="4" fillId="0" borderId="36" xfId="0" applyFont="1" applyBorder="1" applyAlignment="1">
      <alignment vertical="top" wrapText="1" shrinkToFit="1"/>
    </xf>
    <xf numFmtId="0" fontId="4" fillId="0" borderId="37" xfId="0" applyFont="1" applyBorder="1" applyAlignment="1">
      <alignment vertical="top" wrapText="1" shrinkToFit="1"/>
    </xf>
    <xf numFmtId="0" fontId="4" fillId="0" borderId="6" xfId="0" applyFont="1" applyBorder="1" applyAlignment="1">
      <alignment vertical="top" wrapText="1" shrinkToFit="1"/>
    </xf>
    <xf numFmtId="0" fontId="4" fillId="0" borderId="12" xfId="0" applyFont="1" applyBorder="1" applyAlignment="1">
      <alignment vertical="top" wrapText="1" shrinkToFit="1"/>
    </xf>
    <xf numFmtId="0" fontId="6" fillId="0" borderId="0" xfId="0" applyFont="1">
      <alignment vertical="center"/>
    </xf>
    <xf numFmtId="0" fontId="4" fillId="0" borderId="0" xfId="0" applyFont="1" applyAlignment="1">
      <alignment horizontal="center" vertical="center"/>
    </xf>
    <xf numFmtId="0" fontId="3" fillId="0" borderId="0" xfId="0" applyFont="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4" fillId="0" borderId="2"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3" xfId="0" applyFont="1" applyBorder="1">
      <alignment vertical="center"/>
    </xf>
    <xf numFmtId="0" fontId="3" fillId="0" borderId="4" xfId="0" applyFont="1" applyBorder="1">
      <alignment vertical="center"/>
    </xf>
    <xf numFmtId="0" fontId="4" fillId="0" borderId="2" xfId="0" applyFont="1" applyBorder="1" applyAlignment="1">
      <alignment vertical="center" shrinkToFit="1"/>
    </xf>
    <xf numFmtId="0" fontId="4" fillId="0" borderId="3" xfId="0" applyFont="1" applyBorder="1" applyAlignment="1">
      <alignment vertical="center" shrinkToFit="1"/>
    </xf>
    <xf numFmtId="0" fontId="4" fillId="0" borderId="4" xfId="0" applyFont="1" applyBorder="1" applyAlignment="1">
      <alignment vertical="center" shrinkToFit="1"/>
    </xf>
    <xf numFmtId="0" fontId="4" fillId="0" borderId="7" xfId="0" applyFont="1" applyBorder="1" applyAlignment="1">
      <alignment vertical="top" wrapText="1" shrinkToFit="1"/>
    </xf>
    <xf numFmtId="0" fontId="4" fillId="0" borderId="8" xfId="0" applyFont="1" applyBorder="1" applyAlignment="1">
      <alignment vertical="top" wrapText="1" shrinkToFit="1"/>
    </xf>
    <xf numFmtId="0" fontId="4" fillId="0" borderId="9" xfId="0" applyFont="1" applyBorder="1" applyAlignment="1">
      <alignment vertical="top" shrinkToFit="1"/>
    </xf>
    <xf numFmtId="0" fontId="4" fillId="0" borderId="5" xfId="0" applyFont="1" applyBorder="1" applyAlignment="1">
      <alignment vertical="top" wrapText="1" shrinkToFit="1"/>
    </xf>
    <xf numFmtId="0" fontId="4" fillId="0" borderId="0" xfId="0" applyFont="1" applyAlignment="1">
      <alignment vertical="top" wrapText="1" shrinkToFit="1"/>
    </xf>
    <xf numFmtId="0" fontId="4" fillId="0" borderId="10" xfId="0" applyFont="1" applyBorder="1" applyAlignment="1">
      <alignment vertical="top" shrinkToFit="1"/>
    </xf>
    <xf numFmtId="0" fontId="4" fillId="0" borderId="5" xfId="0" applyFont="1" applyBorder="1" applyAlignment="1">
      <alignment vertical="top" shrinkToFit="1"/>
    </xf>
    <xf numFmtId="0" fontId="4" fillId="0" borderId="0" xfId="0" applyFont="1" applyAlignment="1">
      <alignment vertical="top" shrinkToFit="1"/>
    </xf>
    <xf numFmtId="0" fontId="4" fillId="0" borderId="11" xfId="0" applyFont="1" applyBorder="1" applyAlignment="1">
      <alignment vertical="top" shrinkToFit="1"/>
    </xf>
    <xf numFmtId="0" fontId="4" fillId="0" borderId="6" xfId="0" applyFont="1" applyBorder="1" applyAlignment="1">
      <alignment vertical="top" shrinkToFit="1"/>
    </xf>
    <xf numFmtId="0" fontId="4" fillId="0" borderId="12" xfId="0" applyFont="1" applyBorder="1" applyAlignment="1">
      <alignment vertical="top" shrinkToFit="1"/>
    </xf>
    <xf numFmtId="0" fontId="4" fillId="0" borderId="1" xfId="0" applyFont="1" applyBorder="1" applyAlignment="1">
      <alignment horizontal="center" vertical="center" wrapText="1" shrinkToFit="1"/>
    </xf>
    <xf numFmtId="9" fontId="4" fillId="0" borderId="1" xfId="0" applyNumberFormat="1" applyFont="1" applyBorder="1" applyAlignment="1">
      <alignment horizontal="center" vertical="center" wrapText="1" shrinkToFit="1"/>
    </xf>
    <xf numFmtId="9" fontId="4" fillId="0" borderId="1" xfId="0" applyNumberFormat="1" applyFont="1" applyBorder="1" applyAlignment="1">
      <alignment horizontal="center" vertical="center" shrinkToFit="1"/>
    </xf>
    <xf numFmtId="9" fontId="4" fillId="0" borderId="0" xfId="1" applyFont="1" applyAlignment="1">
      <alignment horizontal="center" vertical="center"/>
    </xf>
    <xf numFmtId="9" fontId="4" fillId="0" borderId="1" xfId="0" applyNumberFormat="1" applyFont="1" applyBorder="1" applyAlignment="1">
      <alignment horizontal="center" vertical="center" shrinkToFit="1"/>
    </xf>
    <xf numFmtId="176" fontId="4" fillId="0" borderId="1" xfId="0" applyNumberFormat="1" applyFont="1" applyBorder="1" applyAlignment="1">
      <alignment horizontal="center" vertical="center" shrinkToFit="1"/>
    </xf>
    <xf numFmtId="0" fontId="4" fillId="2" borderId="5" xfId="0" applyFont="1" applyFill="1" applyBorder="1" applyAlignment="1">
      <alignment horizontal="center" vertical="center" shrinkToFit="1"/>
    </xf>
    <xf numFmtId="0" fontId="4" fillId="2" borderId="0" xfId="0" applyFont="1" applyFill="1" applyAlignment="1">
      <alignment horizontal="center" vertical="center" shrinkToFit="1"/>
    </xf>
    <xf numFmtId="0" fontId="4" fillId="2" borderId="10" xfId="0" applyFont="1" applyFill="1" applyBorder="1" applyAlignment="1">
      <alignment horizontal="center" vertical="center" shrinkToFi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9" xfId="0" applyFont="1" applyBorder="1" applyAlignment="1">
      <alignment horizontal="left" vertical="top" wrapText="1"/>
    </xf>
    <xf numFmtId="0" fontId="4" fillId="0" borderId="5" xfId="0" applyFont="1" applyBorder="1" applyAlignment="1">
      <alignment horizontal="left" vertical="top" wrapText="1"/>
    </xf>
    <xf numFmtId="0" fontId="4" fillId="0" borderId="0" xfId="0" applyFont="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6" xfId="0" applyFont="1" applyBorder="1" applyAlignment="1">
      <alignment horizontal="left" vertical="top" wrapText="1"/>
    </xf>
    <xf numFmtId="0" fontId="4" fillId="0" borderId="12" xfId="0" applyFont="1" applyBorder="1" applyAlignment="1">
      <alignment horizontal="lef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9" xfId="0" applyFont="1" applyBorder="1" applyAlignment="1">
      <alignment vertical="top" wrapText="1"/>
    </xf>
    <xf numFmtId="0" fontId="4" fillId="0" borderId="5" xfId="0" applyFont="1" applyBorder="1" applyAlignment="1">
      <alignment vertical="top" wrapText="1"/>
    </xf>
    <xf numFmtId="0" fontId="4" fillId="0" borderId="0" xfId="0" applyFont="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0" fontId="4" fillId="0" borderId="6" xfId="0" applyFont="1" applyBorder="1" applyAlignment="1">
      <alignment vertical="top" wrapText="1"/>
    </xf>
    <xf numFmtId="0" fontId="4" fillId="0" borderId="12" xfId="0" applyFont="1" applyBorder="1" applyAlignment="1">
      <alignment vertical="top" wrapText="1"/>
    </xf>
    <xf numFmtId="0" fontId="4" fillId="0" borderId="9" xfId="0" applyFont="1" applyBorder="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10" xfId="0" applyFont="1" applyBorder="1" applyAlignment="1">
      <alignment vertical="top"/>
    </xf>
    <xf numFmtId="0" fontId="4" fillId="0" borderId="11" xfId="0" applyFont="1" applyBorder="1" applyAlignment="1">
      <alignment vertical="top"/>
    </xf>
    <xf numFmtId="0" fontId="4" fillId="0" borderId="6" xfId="0" applyFont="1" applyBorder="1" applyAlignment="1">
      <alignment vertical="top"/>
    </xf>
    <xf numFmtId="0" fontId="4" fillId="0" borderId="12" xfId="0" applyFont="1" applyBorder="1" applyAlignment="1">
      <alignment vertical="top"/>
    </xf>
    <xf numFmtId="0" fontId="4" fillId="0" borderId="0" xfId="0" applyFont="1">
      <alignment vertical="center"/>
    </xf>
    <xf numFmtId="0" fontId="6" fillId="0" borderId="0" xfId="0" applyFont="1" applyAlignment="1">
      <alignment vertical="top" shrinkToFit="1"/>
    </xf>
    <xf numFmtId="0" fontId="4" fillId="0" borderId="0" xfId="0" applyFont="1" applyAlignment="1">
      <alignment horizontal="left" vertical="center" wrapText="1"/>
    </xf>
    <xf numFmtId="0" fontId="4" fillId="0" borderId="0" xfId="0" applyFont="1" applyAlignment="1">
      <alignment vertical="top" wrapText="1" shrinkToFit="1"/>
    </xf>
    <xf numFmtId="0" fontId="4" fillId="0" borderId="0" xfId="0" applyFont="1" applyAlignment="1">
      <alignment vertical="top" shrinkToFit="1"/>
    </xf>
    <xf numFmtId="0" fontId="4" fillId="0" borderId="15" xfId="0" applyFont="1" applyBorder="1" applyAlignment="1">
      <alignment horizontal="center" vertical="center"/>
    </xf>
    <xf numFmtId="0" fontId="9" fillId="0" borderId="15" xfId="0" applyFont="1" applyBorder="1" applyAlignment="1">
      <alignment horizontal="center" vertical="center" wrapText="1"/>
    </xf>
    <xf numFmtId="0" fontId="9" fillId="0" borderId="8" xfId="0" applyFont="1" applyBorder="1" applyAlignment="1">
      <alignment horizontal="center" vertical="center" wrapText="1"/>
    </xf>
    <xf numFmtId="0" fontId="9" fillId="0" borderId="7" xfId="0" applyFont="1" applyBorder="1" applyAlignment="1">
      <alignment horizontal="center" vertical="center" wrapText="1"/>
    </xf>
    <xf numFmtId="0" fontId="4" fillId="0" borderId="14" xfId="0" applyFont="1" applyBorder="1" applyAlignment="1">
      <alignment horizontal="center" vertical="center"/>
    </xf>
    <xf numFmtId="0" fontId="11" fillId="0" borderId="9" xfId="0" applyFont="1" applyBorder="1" applyAlignment="1">
      <alignment horizontal="center" vertical="center" wrapText="1"/>
    </xf>
    <xf numFmtId="0" fontId="9" fillId="0" borderId="9" xfId="0" applyFont="1" applyBorder="1" applyAlignment="1">
      <alignment horizontal="center" vertical="center"/>
    </xf>
    <xf numFmtId="0" fontId="4" fillId="0" borderId="13" xfId="0" applyFont="1" applyBorder="1" applyAlignment="1">
      <alignment horizontal="center" vertical="center"/>
    </xf>
    <xf numFmtId="0" fontId="9" fillId="0" borderId="13"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1" xfId="0" applyFont="1" applyBorder="1" applyAlignment="1">
      <alignment horizontal="center" vertical="center" wrapText="1"/>
    </xf>
    <xf numFmtId="0" fontId="11" fillId="0" borderId="31" xfId="0" applyFont="1" applyBorder="1" applyAlignment="1">
      <alignment horizontal="center" vertical="center"/>
    </xf>
    <xf numFmtId="0" fontId="11" fillId="0" borderId="34" xfId="0" applyFont="1" applyBorder="1" applyAlignment="1">
      <alignment horizontal="center" vertical="center"/>
    </xf>
    <xf numFmtId="0" fontId="11" fillId="0" borderId="12" xfId="0" applyFont="1" applyBorder="1" applyAlignment="1">
      <alignment horizontal="center" vertical="center" wrapText="1"/>
    </xf>
    <xf numFmtId="0" fontId="9" fillId="0" borderId="12" xfId="0" applyFont="1" applyBorder="1" applyAlignment="1">
      <alignment horizontal="center" vertical="center"/>
    </xf>
    <xf numFmtId="0" fontId="4" fillId="0" borderId="47" xfId="0" applyFont="1" applyBorder="1" applyAlignment="1">
      <alignment horizontal="left" vertical="center" shrinkToFit="1"/>
    </xf>
    <xf numFmtId="38" fontId="4" fillId="0" borderId="44" xfId="2" applyFont="1" applyFill="1" applyBorder="1" applyAlignment="1">
      <alignment vertical="center" shrinkToFit="1"/>
    </xf>
    <xf numFmtId="38" fontId="4" fillId="0" borderId="0" xfId="2" applyFont="1" applyFill="1" applyAlignment="1">
      <alignment vertical="center" shrinkToFit="1"/>
    </xf>
    <xf numFmtId="38" fontId="4" fillId="0" borderId="5" xfId="2" applyFont="1" applyFill="1" applyBorder="1" applyAlignment="1">
      <alignment vertical="center" shrinkToFit="1"/>
    </xf>
    <xf numFmtId="38" fontId="4" fillId="0" borderId="5" xfId="2" applyFont="1" applyBorder="1" applyAlignment="1">
      <alignment vertical="center" shrinkToFit="1"/>
    </xf>
    <xf numFmtId="38" fontId="4" fillId="0" borderId="47" xfId="2" applyFont="1" applyBorder="1" applyAlignment="1">
      <alignment vertical="center" shrinkToFit="1"/>
    </xf>
    <xf numFmtId="38" fontId="4" fillId="0" borderId="0" xfId="2" applyFont="1" applyAlignment="1">
      <alignment vertical="center" shrinkToFit="1"/>
    </xf>
    <xf numFmtId="9" fontId="4" fillId="0" borderId="14" xfId="0" applyNumberFormat="1" applyFont="1" applyBorder="1" applyAlignment="1">
      <alignment vertical="center" shrinkToFit="1"/>
    </xf>
    <xf numFmtId="0" fontId="4" fillId="0" borderId="20" xfId="0" applyFont="1" applyBorder="1" applyAlignment="1">
      <alignment horizontal="left" vertical="center" shrinkToFit="1"/>
    </xf>
    <xf numFmtId="38" fontId="4" fillId="0" borderId="20" xfId="2" applyFont="1" applyFill="1" applyBorder="1" applyAlignment="1">
      <alignment vertical="center" shrinkToFit="1"/>
    </xf>
    <xf numFmtId="38" fontId="4" fillId="0" borderId="19" xfId="2" applyFont="1" applyFill="1" applyBorder="1" applyAlignment="1">
      <alignment vertical="center" shrinkToFit="1"/>
    </xf>
    <xf numFmtId="38" fontId="4" fillId="0" borderId="18" xfId="2" applyFont="1" applyFill="1" applyBorder="1" applyAlignment="1">
      <alignment vertical="center" shrinkToFit="1"/>
    </xf>
    <xf numFmtId="38" fontId="4" fillId="0" borderId="45" xfId="2" applyFont="1" applyFill="1" applyBorder="1" applyAlignment="1">
      <alignment vertical="center" shrinkToFit="1"/>
    </xf>
    <xf numFmtId="38" fontId="4" fillId="0" borderId="45" xfId="2" applyFont="1" applyBorder="1" applyAlignment="1">
      <alignment vertical="center" shrinkToFit="1"/>
    </xf>
    <xf numFmtId="38" fontId="4" fillId="0" borderId="20" xfId="2" applyFont="1" applyBorder="1" applyAlignment="1">
      <alignment vertical="center" shrinkToFit="1"/>
    </xf>
    <xf numFmtId="38" fontId="4" fillId="0" borderId="19" xfId="2" applyFont="1" applyBorder="1" applyAlignment="1">
      <alignment vertical="center" shrinkToFit="1"/>
    </xf>
    <xf numFmtId="9" fontId="4" fillId="0" borderId="47" xfId="0" applyNumberFormat="1" applyFont="1" applyBorder="1" applyAlignment="1">
      <alignment vertical="center" shrinkToFit="1"/>
    </xf>
    <xf numFmtId="38" fontId="4" fillId="0" borderId="18" xfId="2" applyFont="1" applyBorder="1" applyAlignment="1">
      <alignment vertical="center" shrinkToFit="1"/>
    </xf>
    <xf numFmtId="9" fontId="4" fillId="0" borderId="20" xfId="0" applyNumberFormat="1" applyFont="1" applyBorder="1" applyAlignment="1">
      <alignment vertical="center" shrinkToFit="1"/>
    </xf>
    <xf numFmtId="38" fontId="4" fillId="0" borderId="17" xfId="2" applyFont="1" applyBorder="1" applyAlignment="1">
      <alignment vertical="center" shrinkToFit="1"/>
    </xf>
    <xf numFmtId="0" fontId="4" fillId="0" borderId="21" xfId="0" applyFont="1" applyBorder="1" applyAlignment="1">
      <alignment horizontal="left" vertical="center" shrinkToFit="1"/>
    </xf>
    <xf numFmtId="38" fontId="4" fillId="0" borderId="44" xfId="2" applyFont="1" applyBorder="1" applyAlignment="1">
      <alignment vertical="center" shrinkToFit="1"/>
    </xf>
    <xf numFmtId="38" fontId="4" fillId="0" borderId="10" xfId="2" applyFont="1" applyBorder="1" applyAlignment="1">
      <alignment vertical="center" shrinkToFit="1"/>
    </xf>
    <xf numFmtId="9" fontId="4" fillId="0" borderId="10" xfId="0" applyNumberFormat="1" applyFont="1" applyBorder="1" applyAlignment="1">
      <alignment vertical="center" shrinkToFit="1"/>
    </xf>
    <xf numFmtId="0" fontId="4" fillId="0" borderId="24" xfId="0" applyFont="1" applyBorder="1" applyAlignment="1">
      <alignment horizontal="center" vertical="center" shrinkToFit="1"/>
    </xf>
    <xf numFmtId="38" fontId="4" fillId="0" borderId="24" xfId="2" applyFont="1" applyBorder="1" applyAlignment="1">
      <alignment vertical="center" shrinkToFit="1"/>
    </xf>
    <xf numFmtId="38" fontId="4" fillId="0" borderId="23" xfId="2" applyFont="1" applyBorder="1" applyAlignment="1">
      <alignment vertical="center" shrinkToFit="1"/>
    </xf>
    <xf numFmtId="38" fontId="4" fillId="0" borderId="22" xfId="2" applyFont="1" applyBorder="1" applyAlignment="1">
      <alignment vertical="center" shrinkToFit="1"/>
    </xf>
    <xf numFmtId="9" fontId="4" fillId="0" borderId="24" xfId="0" applyNumberFormat="1" applyFont="1" applyBorder="1" applyAlignment="1">
      <alignment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tabSelected="1" view="pageBreakPreview" zoomScaleNormal="100" zoomScaleSheetLayoutView="100" workbookViewId="0">
      <selection activeCell="I9" sqref="I9"/>
    </sheetView>
  </sheetViews>
  <sheetFormatPr defaultColWidth="9" defaultRowHeight="18.75" customHeight="1" x14ac:dyDescent="0.15"/>
  <cols>
    <col min="1" max="1" width="2.5" style="2" customWidth="1"/>
    <col min="2" max="2" width="16.5" style="2" customWidth="1"/>
    <col min="3" max="21" width="5.625" style="2" customWidth="1"/>
    <col min="22" max="22" width="9" style="2"/>
    <col min="23" max="23" width="3.625" style="2" customWidth="1"/>
    <col min="24" max="24" width="48.625" style="2" hidden="1" customWidth="1"/>
    <col min="25" max="16384" width="9" style="2"/>
  </cols>
  <sheetData>
    <row r="1" spans="1:24" ht="18.600000000000001" customHeight="1" x14ac:dyDescent="0.15">
      <c r="T1" s="31" t="s">
        <v>12</v>
      </c>
      <c r="U1" s="31"/>
      <c r="V1" s="1" t="s">
        <v>100</v>
      </c>
    </row>
    <row r="2" spans="1:24" ht="18.75" customHeight="1" x14ac:dyDescent="0.15">
      <c r="B2" s="3" t="s">
        <v>99</v>
      </c>
      <c r="C2" s="32" t="s">
        <v>142</v>
      </c>
      <c r="D2" s="33"/>
      <c r="E2" s="33"/>
      <c r="F2" s="33"/>
      <c r="G2" s="33"/>
      <c r="H2" s="33"/>
      <c r="I2" s="33"/>
      <c r="J2" s="34"/>
      <c r="K2" s="4"/>
      <c r="L2" s="5"/>
      <c r="M2" s="5"/>
      <c r="N2" s="5"/>
      <c r="O2" s="5"/>
      <c r="P2" s="5"/>
      <c r="Q2" s="5"/>
      <c r="R2" s="5"/>
      <c r="S2" s="5"/>
      <c r="T2" s="5"/>
      <c r="U2" s="5"/>
    </row>
    <row r="3" spans="1:24" ht="18.75" customHeight="1" x14ac:dyDescent="0.15">
      <c r="B3" s="3" t="s">
        <v>94</v>
      </c>
      <c r="C3" s="32" t="s">
        <v>143</v>
      </c>
      <c r="D3" s="33"/>
      <c r="E3" s="33"/>
      <c r="F3" s="33"/>
      <c r="G3" s="33"/>
      <c r="H3" s="33"/>
      <c r="I3" s="33"/>
      <c r="J3" s="34"/>
      <c r="K3" s="4"/>
      <c r="L3" s="5"/>
      <c r="M3" s="5"/>
      <c r="N3" s="5"/>
      <c r="O3" s="5"/>
      <c r="P3" s="5"/>
      <c r="Q3" s="5"/>
      <c r="R3" s="5"/>
      <c r="S3" s="5"/>
      <c r="T3" s="5"/>
      <c r="U3" s="5"/>
    </row>
    <row r="4" spans="1:24" ht="15" customHeight="1" x14ac:dyDescent="0.15">
      <c r="L4" s="4"/>
      <c r="M4" s="6"/>
      <c r="N4" s="6"/>
      <c r="O4" s="6"/>
      <c r="P4" s="6"/>
      <c r="Q4" s="6"/>
      <c r="R4" s="6"/>
      <c r="S4" s="6"/>
      <c r="T4" s="6"/>
      <c r="U4" s="6"/>
    </row>
    <row r="5" spans="1:24" ht="18" customHeight="1" x14ac:dyDescent="0.15">
      <c r="A5" s="20" t="s">
        <v>38</v>
      </c>
      <c r="B5" s="20"/>
      <c r="C5" s="20"/>
      <c r="D5" s="20"/>
      <c r="E5" s="20"/>
      <c r="F5" s="20"/>
      <c r="G5" s="20"/>
      <c r="H5" s="20"/>
      <c r="I5" s="20"/>
      <c r="J5" s="20"/>
      <c r="K5" s="20"/>
      <c r="L5" s="20"/>
      <c r="M5" s="20"/>
      <c r="N5" s="20"/>
      <c r="O5" s="20"/>
      <c r="P5" s="20"/>
      <c r="Q5" s="20"/>
      <c r="R5" s="20"/>
      <c r="S5" s="20"/>
      <c r="T5" s="20"/>
      <c r="U5" s="20"/>
    </row>
    <row r="6" spans="1:24" ht="15" customHeight="1" x14ac:dyDescent="0.15">
      <c r="B6" s="7"/>
      <c r="C6" s="7"/>
      <c r="D6" s="7"/>
      <c r="E6" s="7"/>
      <c r="F6" s="7"/>
      <c r="G6" s="7"/>
      <c r="H6" s="7"/>
      <c r="I6" s="7"/>
      <c r="J6" s="7"/>
      <c r="K6" s="7"/>
      <c r="L6" s="7"/>
      <c r="M6" s="7"/>
      <c r="N6" s="7"/>
      <c r="O6" s="7"/>
      <c r="P6" s="7"/>
      <c r="Q6" s="7"/>
      <c r="R6" s="7"/>
      <c r="S6" s="7"/>
      <c r="T6" s="7"/>
      <c r="U6" s="7"/>
    </row>
    <row r="7" spans="1:24" ht="15" customHeight="1" x14ac:dyDescent="0.15">
      <c r="A7" s="2" t="s">
        <v>130</v>
      </c>
      <c r="B7" s="7"/>
      <c r="C7" s="7"/>
      <c r="D7" s="7"/>
      <c r="E7" s="7"/>
      <c r="F7" s="1"/>
      <c r="G7" s="1"/>
      <c r="H7" s="1"/>
      <c r="I7" s="1"/>
      <c r="J7" s="1"/>
      <c r="K7" s="1"/>
      <c r="L7" s="39" t="s">
        <v>181</v>
      </c>
      <c r="M7" s="40"/>
      <c r="N7" s="40"/>
      <c r="O7" s="40"/>
      <c r="P7" s="40"/>
      <c r="Q7" s="40"/>
      <c r="R7" s="40"/>
      <c r="S7" s="40"/>
      <c r="T7" s="40"/>
      <c r="U7" s="41"/>
    </row>
    <row r="8" spans="1:24" ht="6" customHeight="1" x14ac:dyDescent="0.15">
      <c r="B8" s="7"/>
      <c r="C8" s="7"/>
      <c r="D8" s="7"/>
      <c r="E8" s="7"/>
      <c r="F8" s="7"/>
      <c r="G8" s="7"/>
      <c r="H8" s="7"/>
      <c r="I8" s="7"/>
      <c r="J8" s="7"/>
      <c r="K8" s="7"/>
      <c r="L8" s="7"/>
      <c r="M8" s="7"/>
      <c r="N8" s="7"/>
      <c r="O8" s="7"/>
      <c r="P8" s="7"/>
      <c r="Q8" s="7"/>
      <c r="R8" s="7"/>
      <c r="S8" s="7"/>
      <c r="T8" s="7"/>
      <c r="U8" s="7"/>
    </row>
    <row r="9" spans="1:24" ht="18" customHeight="1" x14ac:dyDescent="0.15">
      <c r="A9" s="2" t="s">
        <v>131</v>
      </c>
      <c r="C9" s="7"/>
      <c r="D9" s="7"/>
      <c r="K9" s="4"/>
      <c r="L9" s="1"/>
      <c r="M9" s="1"/>
      <c r="N9" s="1"/>
      <c r="O9" s="1"/>
      <c r="P9" s="1"/>
      <c r="Q9" s="1"/>
      <c r="R9" s="1"/>
      <c r="S9" s="1"/>
      <c r="T9" s="1"/>
      <c r="U9" s="1"/>
    </row>
    <row r="10" spans="1:24" ht="6" customHeight="1" x14ac:dyDescent="0.15">
      <c r="B10" s="7"/>
      <c r="C10" s="7"/>
      <c r="D10" s="7"/>
      <c r="E10" s="7"/>
      <c r="F10" s="7"/>
      <c r="G10" s="7"/>
      <c r="H10" s="7"/>
      <c r="I10" s="7"/>
      <c r="J10" s="7"/>
      <c r="K10" s="7"/>
      <c r="L10" s="8"/>
      <c r="M10" s="7"/>
      <c r="N10" s="7"/>
      <c r="O10" s="7"/>
      <c r="P10" s="7"/>
      <c r="Q10" s="7"/>
      <c r="R10" s="7"/>
      <c r="S10" s="7"/>
      <c r="T10" s="7"/>
      <c r="U10" s="7"/>
    </row>
    <row r="11" spans="1:24" ht="18" customHeight="1" x14ac:dyDescent="0.15">
      <c r="B11" s="42"/>
      <c r="C11" s="43"/>
      <c r="D11" s="43"/>
      <c r="E11" s="43"/>
      <c r="F11" s="43"/>
      <c r="G11" s="43"/>
      <c r="H11" s="43"/>
      <c r="I11" s="43"/>
      <c r="J11" s="43"/>
      <c r="K11" s="43"/>
      <c r="L11" s="43"/>
      <c r="M11" s="43"/>
      <c r="N11" s="43"/>
      <c r="O11" s="43"/>
      <c r="P11" s="43"/>
      <c r="Q11" s="43"/>
      <c r="R11" s="43"/>
      <c r="S11" s="43"/>
      <c r="T11" s="43"/>
      <c r="U11" s="44"/>
    </row>
    <row r="12" spans="1:24" ht="18" customHeight="1" x14ac:dyDescent="0.15">
      <c r="B12" s="45"/>
      <c r="C12" s="46"/>
      <c r="D12" s="46"/>
      <c r="E12" s="46"/>
      <c r="F12" s="46"/>
      <c r="G12" s="46"/>
      <c r="H12" s="46"/>
      <c r="I12" s="46"/>
      <c r="J12" s="46"/>
      <c r="K12" s="46"/>
      <c r="L12" s="46"/>
      <c r="M12" s="46"/>
      <c r="N12" s="46"/>
      <c r="O12" s="46"/>
      <c r="P12" s="46"/>
      <c r="Q12" s="46"/>
      <c r="R12" s="46"/>
      <c r="S12" s="46"/>
      <c r="T12" s="46"/>
      <c r="U12" s="47"/>
    </row>
    <row r="13" spans="1:24" ht="6" customHeight="1" x14ac:dyDescent="0.15">
      <c r="B13" s="7"/>
      <c r="C13" s="7"/>
      <c r="D13" s="7"/>
      <c r="E13" s="7"/>
      <c r="F13" s="7"/>
      <c r="G13" s="7"/>
      <c r="H13" s="7"/>
      <c r="I13" s="7"/>
      <c r="J13" s="7"/>
      <c r="K13" s="7"/>
      <c r="L13" s="8"/>
      <c r="M13" s="7"/>
      <c r="N13" s="7"/>
      <c r="O13" s="7"/>
      <c r="P13" s="7"/>
      <c r="Q13" s="7"/>
      <c r="R13" s="7"/>
      <c r="S13" s="7"/>
      <c r="T13" s="7"/>
      <c r="U13" s="7"/>
    </row>
    <row r="14" spans="1:24" ht="18" customHeight="1" x14ac:dyDescent="0.15">
      <c r="A14" s="2" t="s">
        <v>101</v>
      </c>
      <c r="B14" s="7"/>
      <c r="C14" s="7"/>
      <c r="D14" s="7"/>
      <c r="E14" s="4"/>
      <c r="F14" s="4"/>
      <c r="G14" s="4"/>
      <c r="H14" s="4"/>
      <c r="I14" s="4"/>
      <c r="J14" s="4"/>
      <c r="K14" s="4"/>
      <c r="L14" s="9"/>
      <c r="M14" s="9"/>
      <c r="N14" s="9"/>
      <c r="O14" s="9"/>
      <c r="P14" s="9"/>
      <c r="Q14" s="9"/>
      <c r="R14" s="9"/>
      <c r="S14" s="9"/>
      <c r="T14" s="9"/>
      <c r="U14" s="9"/>
    </row>
    <row r="15" spans="1:24" ht="18" customHeight="1" x14ac:dyDescent="0.15">
      <c r="B15" s="21" t="s">
        <v>144</v>
      </c>
      <c r="C15" s="22"/>
      <c r="D15" s="22"/>
      <c r="E15" s="22"/>
      <c r="F15" s="22"/>
      <c r="G15" s="22"/>
      <c r="H15" s="22"/>
      <c r="I15" s="22"/>
      <c r="J15" s="22"/>
      <c r="K15" s="22"/>
      <c r="L15" s="22"/>
      <c r="M15" s="22"/>
      <c r="N15" s="22"/>
      <c r="O15" s="22"/>
      <c r="P15" s="22"/>
      <c r="Q15" s="22"/>
      <c r="R15" s="22"/>
      <c r="S15" s="22"/>
      <c r="T15" s="22"/>
      <c r="U15" s="23"/>
      <c r="X15" s="2" t="s">
        <v>95</v>
      </c>
    </row>
    <row r="16" spans="1:24" ht="18" customHeight="1" x14ac:dyDescent="0.15">
      <c r="B16" s="24"/>
      <c r="C16" s="25"/>
      <c r="D16" s="25"/>
      <c r="E16" s="25"/>
      <c r="F16" s="25"/>
      <c r="G16" s="25"/>
      <c r="H16" s="25"/>
      <c r="I16" s="25"/>
      <c r="J16" s="25"/>
      <c r="K16" s="25"/>
      <c r="L16" s="25"/>
      <c r="M16" s="25"/>
      <c r="N16" s="25"/>
      <c r="O16" s="25"/>
      <c r="P16" s="25"/>
      <c r="Q16" s="25"/>
      <c r="R16" s="25"/>
      <c r="S16" s="25"/>
      <c r="T16" s="25"/>
      <c r="U16" s="26"/>
      <c r="X16" s="2" t="s">
        <v>114</v>
      </c>
    </row>
    <row r="17" spans="1:24" ht="18" customHeight="1" x14ac:dyDescent="0.15">
      <c r="B17" s="24"/>
      <c r="C17" s="25"/>
      <c r="D17" s="25"/>
      <c r="E17" s="25"/>
      <c r="F17" s="25"/>
      <c r="G17" s="25"/>
      <c r="H17" s="25"/>
      <c r="I17" s="25"/>
      <c r="J17" s="25"/>
      <c r="K17" s="25"/>
      <c r="L17" s="25"/>
      <c r="M17" s="25"/>
      <c r="N17" s="25"/>
      <c r="O17" s="25"/>
      <c r="P17" s="25"/>
      <c r="Q17" s="25"/>
      <c r="R17" s="25"/>
      <c r="S17" s="25"/>
      <c r="T17" s="25"/>
      <c r="U17" s="26"/>
      <c r="X17" s="2" t="s">
        <v>115</v>
      </c>
    </row>
    <row r="18" spans="1:24" ht="18" customHeight="1" x14ac:dyDescent="0.15">
      <c r="B18" s="24"/>
      <c r="C18" s="25"/>
      <c r="D18" s="25"/>
      <c r="E18" s="25"/>
      <c r="F18" s="25"/>
      <c r="G18" s="25"/>
      <c r="H18" s="25"/>
      <c r="I18" s="25"/>
      <c r="J18" s="25"/>
      <c r="K18" s="25"/>
      <c r="L18" s="25"/>
      <c r="M18" s="25"/>
      <c r="N18" s="25"/>
      <c r="O18" s="25"/>
      <c r="P18" s="25"/>
      <c r="Q18" s="25"/>
      <c r="R18" s="25"/>
      <c r="S18" s="25"/>
      <c r="T18" s="25"/>
      <c r="U18" s="26"/>
      <c r="X18" s="2" t="s">
        <v>116</v>
      </c>
    </row>
    <row r="19" spans="1:24" ht="18" customHeight="1" x14ac:dyDescent="0.15">
      <c r="B19" s="24"/>
      <c r="C19" s="25"/>
      <c r="D19" s="25"/>
      <c r="E19" s="25"/>
      <c r="F19" s="25"/>
      <c r="G19" s="25"/>
      <c r="H19" s="25"/>
      <c r="I19" s="25"/>
      <c r="J19" s="25"/>
      <c r="K19" s="25"/>
      <c r="L19" s="25"/>
      <c r="M19" s="25"/>
      <c r="N19" s="25"/>
      <c r="O19" s="25"/>
      <c r="P19" s="25"/>
      <c r="Q19" s="25"/>
      <c r="R19" s="25"/>
      <c r="S19" s="25"/>
      <c r="T19" s="25"/>
      <c r="U19" s="26"/>
    </row>
    <row r="20" spans="1:24" ht="18" customHeight="1" x14ac:dyDescent="0.15">
      <c r="B20" s="27"/>
      <c r="C20" s="28"/>
      <c r="D20" s="28"/>
      <c r="E20" s="28"/>
      <c r="F20" s="28"/>
      <c r="G20" s="28"/>
      <c r="H20" s="28"/>
      <c r="I20" s="28"/>
      <c r="J20" s="28"/>
      <c r="K20" s="28"/>
      <c r="L20" s="28"/>
      <c r="M20" s="28"/>
      <c r="N20" s="28"/>
      <c r="O20" s="28"/>
      <c r="P20" s="28"/>
      <c r="Q20" s="28"/>
      <c r="R20" s="28"/>
      <c r="S20" s="28"/>
      <c r="T20" s="28"/>
      <c r="U20" s="29"/>
    </row>
    <row r="21" spans="1:24" ht="7.5" customHeight="1" x14ac:dyDescent="0.15">
      <c r="B21" s="7"/>
      <c r="C21" s="7"/>
      <c r="D21" s="7"/>
      <c r="E21" s="7"/>
      <c r="F21" s="7"/>
      <c r="G21" s="7"/>
      <c r="H21" s="7"/>
      <c r="I21" s="7"/>
      <c r="J21" s="7"/>
      <c r="K21" s="7"/>
      <c r="L21" s="7"/>
      <c r="M21" s="7"/>
      <c r="N21" s="7"/>
      <c r="O21" s="7"/>
      <c r="P21" s="7"/>
      <c r="Q21" s="7"/>
      <c r="R21" s="7"/>
      <c r="S21" s="7"/>
      <c r="T21" s="7"/>
      <c r="U21" s="7"/>
    </row>
    <row r="22" spans="1:24" ht="20.100000000000001" customHeight="1" x14ac:dyDescent="0.15">
      <c r="B22" s="2" t="s">
        <v>132</v>
      </c>
      <c r="E22" s="3">
        <v>2</v>
      </c>
      <c r="F22" s="2" t="s">
        <v>112</v>
      </c>
      <c r="H22" s="3">
        <v>3</v>
      </c>
      <c r="I22" s="7" t="s">
        <v>113</v>
      </c>
      <c r="J22" s="7"/>
      <c r="K22" s="4"/>
      <c r="M22" s="4" t="s">
        <v>110</v>
      </c>
      <c r="N22" s="36" t="s">
        <v>116</v>
      </c>
      <c r="O22" s="37"/>
      <c r="P22" s="37"/>
      <c r="Q22" s="37"/>
      <c r="R22" s="37"/>
      <c r="S22" s="37"/>
      <c r="T22" s="37"/>
      <c r="U22" s="38"/>
    </row>
    <row r="23" spans="1:24" ht="7.5" customHeight="1" x14ac:dyDescent="0.15">
      <c r="B23" s="7"/>
      <c r="C23" s="7"/>
      <c r="D23" s="7"/>
      <c r="E23" s="7"/>
      <c r="F23" s="7"/>
      <c r="G23" s="7"/>
      <c r="H23" s="7"/>
      <c r="I23" s="7"/>
      <c r="J23" s="7"/>
      <c r="K23" s="7"/>
      <c r="L23" s="7"/>
      <c r="M23" s="7"/>
      <c r="N23" s="7"/>
      <c r="O23" s="7"/>
      <c r="P23" s="7"/>
      <c r="Q23" s="7"/>
      <c r="R23" s="7"/>
      <c r="S23" s="7"/>
      <c r="T23" s="7"/>
      <c r="U23" s="7"/>
    </row>
    <row r="24" spans="1:24" ht="18" customHeight="1" x14ac:dyDescent="0.15">
      <c r="A24" s="30" t="s">
        <v>102</v>
      </c>
      <c r="B24" s="30"/>
      <c r="C24" s="30"/>
      <c r="D24" s="30"/>
      <c r="E24" s="30"/>
      <c r="F24" s="30"/>
      <c r="G24" s="30"/>
      <c r="H24" s="30"/>
      <c r="I24" s="30"/>
      <c r="J24" s="30"/>
      <c r="K24" s="30"/>
      <c r="L24" s="30"/>
      <c r="M24" s="30"/>
      <c r="N24" s="30"/>
      <c r="O24" s="30"/>
      <c r="P24" s="30"/>
      <c r="Q24" s="30"/>
      <c r="R24" s="30"/>
      <c r="S24" s="30"/>
      <c r="T24" s="30"/>
      <c r="U24" s="30"/>
    </row>
    <row r="25" spans="1:24" ht="18" customHeight="1" x14ac:dyDescent="0.15">
      <c r="A25" s="30"/>
      <c r="B25" s="30"/>
      <c r="C25" s="30"/>
      <c r="D25" s="30"/>
      <c r="E25" s="30"/>
      <c r="F25" s="30"/>
      <c r="G25" s="30"/>
      <c r="H25" s="30"/>
      <c r="I25" s="30"/>
      <c r="J25" s="30"/>
      <c r="K25" s="30"/>
      <c r="L25" s="30"/>
      <c r="M25" s="30"/>
      <c r="N25" s="30"/>
      <c r="O25" s="30"/>
      <c r="P25" s="30"/>
      <c r="Q25" s="30"/>
      <c r="R25" s="30"/>
      <c r="S25" s="30"/>
      <c r="T25" s="30"/>
      <c r="U25" s="30"/>
    </row>
    <row r="26" spans="1:24" ht="18" customHeight="1" x14ac:dyDescent="0.15">
      <c r="B26" s="32" t="s">
        <v>52</v>
      </c>
      <c r="C26" s="33"/>
      <c r="D26" s="33"/>
      <c r="E26" s="33"/>
      <c r="F26" s="34"/>
      <c r="G26" s="54" t="s">
        <v>78</v>
      </c>
      <c r="H26" s="55" t="s">
        <v>81</v>
      </c>
      <c r="I26" s="56" t="s">
        <v>55</v>
      </c>
      <c r="J26" s="56" t="s">
        <v>58</v>
      </c>
      <c r="K26" s="32" t="s">
        <v>52</v>
      </c>
      <c r="L26" s="33"/>
      <c r="M26" s="33"/>
      <c r="N26" s="33"/>
      <c r="O26" s="33"/>
      <c r="P26" s="33"/>
      <c r="Q26" s="34"/>
      <c r="R26" s="54" t="s">
        <v>78</v>
      </c>
      <c r="S26" s="55" t="s">
        <v>81</v>
      </c>
      <c r="T26" s="56" t="s">
        <v>55</v>
      </c>
      <c r="U26" s="56" t="s">
        <v>58</v>
      </c>
    </row>
    <row r="27" spans="1:24" ht="18" customHeight="1" x14ac:dyDescent="0.15">
      <c r="B27" s="57" t="s">
        <v>145</v>
      </c>
      <c r="C27" s="58"/>
      <c r="D27" s="58"/>
      <c r="E27" s="58"/>
      <c r="F27" s="59"/>
      <c r="G27" s="60">
        <v>1</v>
      </c>
      <c r="H27" s="60" t="s">
        <v>146</v>
      </c>
      <c r="I27" s="60" t="s">
        <v>146</v>
      </c>
      <c r="J27" s="60" t="s">
        <v>146</v>
      </c>
      <c r="K27" s="57"/>
      <c r="L27" s="58"/>
      <c r="M27" s="58"/>
      <c r="N27" s="58"/>
      <c r="O27" s="58"/>
      <c r="P27" s="58"/>
      <c r="Q27" s="59"/>
      <c r="R27" s="60"/>
      <c r="S27" s="60"/>
      <c r="T27" s="60"/>
      <c r="U27" s="60"/>
    </row>
    <row r="28" spans="1:24" ht="18" customHeight="1" x14ac:dyDescent="0.15">
      <c r="B28" s="61" t="s">
        <v>150</v>
      </c>
      <c r="C28" s="62"/>
      <c r="D28" s="62"/>
      <c r="E28" s="62"/>
      <c r="F28" s="63"/>
      <c r="G28" s="12">
        <v>2</v>
      </c>
      <c r="H28" s="12"/>
      <c r="I28" s="12" t="s">
        <v>146</v>
      </c>
      <c r="J28" s="12"/>
      <c r="K28" s="61"/>
      <c r="L28" s="62"/>
      <c r="M28" s="62"/>
      <c r="N28" s="62"/>
      <c r="O28" s="62"/>
      <c r="P28" s="62"/>
      <c r="Q28" s="63"/>
      <c r="R28" s="12"/>
      <c r="S28" s="12"/>
      <c r="T28" s="12"/>
      <c r="U28" s="12"/>
    </row>
    <row r="29" spans="1:24" ht="18" customHeight="1" x14ac:dyDescent="0.15">
      <c r="B29" s="61" t="s">
        <v>148</v>
      </c>
      <c r="C29" s="62"/>
      <c r="D29" s="62"/>
      <c r="E29" s="62"/>
      <c r="F29" s="63"/>
      <c r="G29" s="12">
        <v>2</v>
      </c>
      <c r="H29" s="12"/>
      <c r="I29" s="12" t="s">
        <v>146</v>
      </c>
      <c r="J29" s="12"/>
      <c r="K29" s="61"/>
      <c r="L29" s="62"/>
      <c r="M29" s="62"/>
      <c r="N29" s="62"/>
      <c r="O29" s="62"/>
      <c r="P29" s="62"/>
      <c r="Q29" s="63"/>
      <c r="R29" s="12"/>
      <c r="S29" s="12"/>
      <c r="T29" s="12"/>
      <c r="U29" s="12"/>
    </row>
    <row r="30" spans="1:24" ht="18" customHeight="1" x14ac:dyDescent="0.15">
      <c r="B30" s="61"/>
      <c r="C30" s="62"/>
      <c r="D30" s="62"/>
      <c r="E30" s="62"/>
      <c r="F30" s="63"/>
      <c r="G30" s="12"/>
      <c r="H30" s="12"/>
      <c r="I30" s="12"/>
      <c r="J30" s="12"/>
      <c r="K30" s="61"/>
      <c r="L30" s="62"/>
      <c r="M30" s="62"/>
      <c r="N30" s="62"/>
      <c r="O30" s="62"/>
      <c r="P30" s="62"/>
      <c r="Q30" s="63"/>
      <c r="R30" s="12"/>
      <c r="S30" s="12"/>
      <c r="T30" s="12"/>
      <c r="U30" s="12"/>
    </row>
    <row r="31" spans="1:24" ht="18" customHeight="1" x14ac:dyDescent="0.15">
      <c r="B31" s="61"/>
      <c r="C31" s="62"/>
      <c r="D31" s="62"/>
      <c r="E31" s="62"/>
      <c r="F31" s="63"/>
      <c r="G31" s="12"/>
      <c r="H31" s="12"/>
      <c r="I31" s="12"/>
      <c r="J31" s="12"/>
      <c r="K31" s="61"/>
      <c r="L31" s="62"/>
      <c r="M31" s="62"/>
      <c r="N31" s="62"/>
      <c r="O31" s="62"/>
      <c r="P31" s="62"/>
      <c r="Q31" s="63"/>
      <c r="R31" s="12"/>
      <c r="S31" s="12"/>
      <c r="T31" s="12"/>
      <c r="U31" s="12"/>
    </row>
    <row r="32" spans="1:24" ht="18" customHeight="1" x14ac:dyDescent="0.15">
      <c r="A32" s="7"/>
      <c r="B32" s="61"/>
      <c r="C32" s="62"/>
      <c r="D32" s="62"/>
      <c r="E32" s="62"/>
      <c r="F32" s="63"/>
      <c r="G32" s="12"/>
      <c r="H32" s="12"/>
      <c r="I32" s="12"/>
      <c r="J32" s="12"/>
      <c r="K32" s="61"/>
      <c r="L32" s="62"/>
      <c r="M32" s="62"/>
      <c r="N32" s="62"/>
      <c r="O32" s="62"/>
      <c r="P32" s="62"/>
      <c r="Q32" s="63"/>
      <c r="R32" s="12"/>
      <c r="S32" s="12"/>
      <c r="T32" s="12"/>
      <c r="U32" s="12"/>
    </row>
    <row r="33" spans="1:21" ht="18" customHeight="1" x14ac:dyDescent="0.15">
      <c r="A33" s="7"/>
      <c r="B33" s="64"/>
      <c r="C33" s="65"/>
      <c r="D33" s="65"/>
      <c r="E33" s="65"/>
      <c r="F33" s="66"/>
      <c r="G33" s="67"/>
      <c r="H33" s="67"/>
      <c r="I33" s="68"/>
      <c r="J33" s="68"/>
      <c r="K33" s="64"/>
      <c r="L33" s="65"/>
      <c r="M33" s="65"/>
      <c r="N33" s="65"/>
      <c r="O33" s="65"/>
      <c r="P33" s="65"/>
      <c r="Q33" s="66"/>
      <c r="R33" s="67"/>
      <c r="S33" s="67"/>
      <c r="T33" s="68"/>
      <c r="U33" s="68"/>
    </row>
    <row r="34" spans="1:21" ht="7.5" customHeight="1" x14ac:dyDescent="0.15">
      <c r="A34" s="7"/>
      <c r="B34" s="5"/>
      <c r="C34" s="5"/>
      <c r="D34" s="5"/>
      <c r="E34" s="7"/>
      <c r="F34" s="7"/>
      <c r="G34" s="7"/>
      <c r="H34" s="7"/>
      <c r="I34" s="5"/>
      <c r="J34" s="5"/>
      <c r="K34" s="5"/>
      <c r="L34" s="5"/>
      <c r="M34" s="5"/>
      <c r="N34" s="5"/>
      <c r="O34" s="5"/>
      <c r="P34" s="5"/>
      <c r="Q34" s="5"/>
      <c r="R34" s="5"/>
      <c r="S34" s="5"/>
      <c r="T34" s="5"/>
      <c r="U34" s="7"/>
    </row>
    <row r="35" spans="1:21" ht="18" customHeight="1" x14ac:dyDescent="0.15">
      <c r="A35" s="30" t="s">
        <v>103</v>
      </c>
      <c r="B35" s="30"/>
      <c r="C35" s="30"/>
      <c r="D35" s="30"/>
      <c r="E35" s="30"/>
      <c r="F35" s="30"/>
      <c r="G35" s="30"/>
      <c r="H35" s="30"/>
      <c r="I35" s="30"/>
      <c r="J35" s="30"/>
      <c r="K35" s="30"/>
      <c r="L35" s="30"/>
      <c r="M35" s="30"/>
      <c r="N35" s="30"/>
      <c r="O35" s="30"/>
      <c r="P35" s="30"/>
      <c r="Q35" s="30"/>
      <c r="R35" s="30"/>
      <c r="S35" s="30"/>
      <c r="T35" s="30"/>
      <c r="U35" s="30"/>
    </row>
    <row r="36" spans="1:21" ht="18" customHeight="1" x14ac:dyDescent="0.15">
      <c r="A36" s="30"/>
      <c r="B36" s="30"/>
      <c r="C36" s="30"/>
      <c r="D36" s="30"/>
      <c r="E36" s="30"/>
      <c r="F36" s="30"/>
      <c r="G36" s="30"/>
      <c r="H36" s="30"/>
      <c r="I36" s="30"/>
      <c r="J36" s="30"/>
      <c r="K36" s="30"/>
      <c r="L36" s="30"/>
      <c r="M36" s="30"/>
      <c r="N36" s="30"/>
      <c r="O36" s="30"/>
      <c r="P36" s="30"/>
      <c r="Q36" s="30"/>
      <c r="R36" s="30"/>
      <c r="S36" s="30"/>
      <c r="T36" s="30"/>
      <c r="U36" s="30"/>
    </row>
    <row r="37" spans="1:21" ht="18" customHeight="1" x14ac:dyDescent="0.15">
      <c r="B37" s="32" t="s">
        <v>52</v>
      </c>
      <c r="C37" s="33"/>
      <c r="D37" s="33"/>
      <c r="E37" s="33"/>
      <c r="F37" s="34"/>
      <c r="G37" s="54" t="s">
        <v>78</v>
      </c>
      <c r="H37" s="55" t="s">
        <v>81</v>
      </c>
      <c r="I37" s="56" t="s">
        <v>69</v>
      </c>
      <c r="J37" s="56" t="s">
        <v>70</v>
      </c>
      <c r="K37" s="32" t="s">
        <v>52</v>
      </c>
      <c r="L37" s="33"/>
      <c r="M37" s="33"/>
      <c r="N37" s="33"/>
      <c r="O37" s="33"/>
      <c r="P37" s="33"/>
      <c r="Q37" s="34"/>
      <c r="R37" s="54" t="s">
        <v>78</v>
      </c>
      <c r="S37" s="55" t="s">
        <v>81</v>
      </c>
      <c r="T37" s="56" t="s">
        <v>69</v>
      </c>
      <c r="U37" s="56" t="s">
        <v>70</v>
      </c>
    </row>
    <row r="38" spans="1:21" ht="18" customHeight="1" x14ac:dyDescent="0.15">
      <c r="B38" s="57" t="s">
        <v>145</v>
      </c>
      <c r="C38" s="58"/>
      <c r="D38" s="58"/>
      <c r="E38" s="58"/>
      <c r="F38" s="59"/>
      <c r="G38" s="60">
        <v>1</v>
      </c>
      <c r="H38" s="60" t="s">
        <v>146</v>
      </c>
      <c r="I38" s="60" t="s">
        <v>146</v>
      </c>
      <c r="J38" s="60" t="s">
        <v>146</v>
      </c>
      <c r="K38" s="57"/>
      <c r="L38" s="58"/>
      <c r="M38" s="58"/>
      <c r="N38" s="58"/>
      <c r="O38" s="58"/>
      <c r="P38" s="58"/>
      <c r="Q38" s="59"/>
      <c r="R38" s="60"/>
      <c r="S38" s="60"/>
      <c r="T38" s="60"/>
      <c r="U38" s="60"/>
    </row>
    <row r="39" spans="1:21" ht="18" customHeight="1" x14ac:dyDescent="0.15">
      <c r="B39" s="61" t="s">
        <v>150</v>
      </c>
      <c r="C39" s="62"/>
      <c r="D39" s="62"/>
      <c r="E39" s="62"/>
      <c r="F39" s="63"/>
      <c r="G39" s="12">
        <v>2</v>
      </c>
      <c r="H39" s="12"/>
      <c r="I39" s="12" t="s">
        <v>146</v>
      </c>
      <c r="J39" s="12" t="s">
        <v>146</v>
      </c>
      <c r="K39" s="61"/>
      <c r="L39" s="62"/>
      <c r="M39" s="62"/>
      <c r="N39" s="62"/>
      <c r="O39" s="62"/>
      <c r="P39" s="62"/>
      <c r="Q39" s="63"/>
      <c r="R39" s="12"/>
      <c r="S39" s="12"/>
      <c r="T39" s="12"/>
      <c r="U39" s="12"/>
    </row>
    <row r="40" spans="1:21" ht="18" customHeight="1" x14ac:dyDescent="0.15">
      <c r="B40" s="61" t="s">
        <v>148</v>
      </c>
      <c r="C40" s="62"/>
      <c r="D40" s="62"/>
      <c r="E40" s="62"/>
      <c r="F40" s="63"/>
      <c r="G40" s="12">
        <v>2</v>
      </c>
      <c r="H40" s="12"/>
      <c r="I40" s="12" t="s">
        <v>146</v>
      </c>
      <c r="J40" s="12" t="s">
        <v>146</v>
      </c>
      <c r="K40" s="61"/>
      <c r="L40" s="62"/>
      <c r="M40" s="62"/>
      <c r="N40" s="62"/>
      <c r="O40" s="62"/>
      <c r="P40" s="62"/>
      <c r="Q40" s="63"/>
      <c r="R40" s="12"/>
      <c r="S40" s="12"/>
      <c r="T40" s="12"/>
      <c r="U40" s="12"/>
    </row>
    <row r="41" spans="1:21" ht="18" customHeight="1" x14ac:dyDescent="0.15">
      <c r="B41" s="61"/>
      <c r="C41" s="62"/>
      <c r="D41" s="62"/>
      <c r="E41" s="62"/>
      <c r="F41" s="63"/>
      <c r="G41" s="12"/>
      <c r="H41" s="12"/>
      <c r="I41" s="12"/>
      <c r="J41" s="12"/>
      <c r="K41" s="61"/>
      <c r="L41" s="62"/>
      <c r="M41" s="62"/>
      <c r="N41" s="62"/>
      <c r="O41" s="62"/>
      <c r="P41" s="62"/>
      <c r="Q41" s="63"/>
      <c r="R41" s="12"/>
      <c r="S41" s="12"/>
      <c r="T41" s="12"/>
      <c r="U41" s="12"/>
    </row>
    <row r="42" spans="1:21" ht="18" customHeight="1" x14ac:dyDescent="0.15">
      <c r="B42" s="61"/>
      <c r="C42" s="62"/>
      <c r="D42" s="62"/>
      <c r="E42" s="62"/>
      <c r="F42" s="63"/>
      <c r="G42" s="12"/>
      <c r="H42" s="12"/>
      <c r="I42" s="12"/>
      <c r="J42" s="12"/>
      <c r="K42" s="61"/>
      <c r="L42" s="62"/>
      <c r="M42" s="62"/>
      <c r="N42" s="62"/>
      <c r="O42" s="62"/>
      <c r="P42" s="62"/>
      <c r="Q42" s="63"/>
      <c r="R42" s="12"/>
      <c r="S42" s="12"/>
      <c r="T42" s="12"/>
      <c r="U42" s="12"/>
    </row>
    <row r="43" spans="1:21" ht="18" customHeight="1" x14ac:dyDescent="0.15">
      <c r="B43" s="61"/>
      <c r="C43" s="62"/>
      <c r="D43" s="62"/>
      <c r="E43" s="62"/>
      <c r="F43" s="63"/>
      <c r="G43" s="12"/>
      <c r="H43" s="12"/>
      <c r="I43" s="12"/>
      <c r="J43" s="12"/>
      <c r="K43" s="61"/>
      <c r="L43" s="62"/>
      <c r="M43" s="62"/>
      <c r="N43" s="62"/>
      <c r="O43" s="62"/>
      <c r="P43" s="62"/>
      <c r="Q43" s="63"/>
      <c r="R43" s="12"/>
      <c r="S43" s="12"/>
      <c r="T43" s="12"/>
      <c r="U43" s="12"/>
    </row>
    <row r="44" spans="1:21" ht="18" customHeight="1" x14ac:dyDescent="0.15">
      <c r="B44" s="64"/>
      <c r="C44" s="65"/>
      <c r="D44" s="65"/>
      <c r="E44" s="65"/>
      <c r="F44" s="66"/>
      <c r="G44" s="67"/>
      <c r="H44" s="67"/>
      <c r="I44" s="68"/>
      <c r="J44" s="68"/>
      <c r="K44" s="64"/>
      <c r="L44" s="65"/>
      <c r="M44" s="65"/>
      <c r="N44" s="65"/>
      <c r="O44" s="65"/>
      <c r="P44" s="65"/>
      <c r="Q44" s="66"/>
      <c r="R44" s="67"/>
      <c r="S44" s="67"/>
      <c r="T44" s="68"/>
      <c r="U44" s="68"/>
    </row>
    <row r="45" spans="1:21" ht="7.5" customHeight="1" x14ac:dyDescent="0.15">
      <c r="A45" s="7"/>
      <c r="B45" s="5"/>
      <c r="C45" s="5"/>
      <c r="D45" s="5"/>
      <c r="E45" s="7"/>
      <c r="F45" s="7"/>
      <c r="G45" s="7"/>
      <c r="H45" s="7"/>
      <c r="I45" s="5"/>
      <c r="J45" s="5"/>
      <c r="K45" s="5"/>
      <c r="L45" s="5"/>
      <c r="M45" s="5"/>
      <c r="N45" s="5"/>
      <c r="O45" s="5"/>
      <c r="P45" s="5"/>
      <c r="Q45" s="5"/>
      <c r="R45" s="5"/>
      <c r="S45" s="5"/>
      <c r="T45" s="5"/>
      <c r="U45" s="7"/>
    </row>
    <row r="46" spans="1:21" ht="18" customHeight="1" x14ac:dyDescent="0.15">
      <c r="A46" s="30" t="s">
        <v>104</v>
      </c>
      <c r="B46" s="30"/>
      <c r="C46" s="30"/>
      <c r="D46" s="30"/>
      <c r="E46" s="30"/>
      <c r="F46" s="30"/>
      <c r="G46" s="30"/>
      <c r="H46" s="30"/>
      <c r="I46" s="30"/>
      <c r="J46" s="30"/>
      <c r="K46" s="30"/>
      <c r="L46" s="30"/>
      <c r="M46" s="30"/>
      <c r="N46" s="30"/>
      <c r="O46" s="30"/>
      <c r="P46" s="30"/>
      <c r="Q46" s="30"/>
      <c r="R46" s="30"/>
      <c r="S46" s="30"/>
      <c r="T46" s="30"/>
      <c r="U46" s="30"/>
    </row>
    <row r="47" spans="1:21" ht="18" customHeight="1" x14ac:dyDescent="0.15">
      <c r="A47" s="30"/>
      <c r="B47" s="30"/>
      <c r="C47" s="30"/>
      <c r="D47" s="30"/>
      <c r="E47" s="30"/>
      <c r="F47" s="30"/>
      <c r="G47" s="30"/>
      <c r="H47" s="30"/>
      <c r="I47" s="30"/>
      <c r="J47" s="30"/>
      <c r="K47" s="30"/>
      <c r="L47" s="30"/>
      <c r="M47" s="30"/>
      <c r="N47" s="30"/>
      <c r="O47" s="30"/>
      <c r="P47" s="30"/>
      <c r="Q47" s="30"/>
      <c r="R47" s="30"/>
      <c r="S47" s="30"/>
      <c r="T47" s="30"/>
      <c r="U47" s="30"/>
    </row>
    <row r="48" spans="1:21" ht="18" customHeight="1" x14ac:dyDescent="0.15">
      <c r="B48" s="32" t="s">
        <v>52</v>
      </c>
      <c r="C48" s="33"/>
      <c r="D48" s="33"/>
      <c r="E48" s="33"/>
      <c r="F48" s="34"/>
      <c r="G48" s="54" t="s">
        <v>78</v>
      </c>
      <c r="H48" s="55" t="s">
        <v>81</v>
      </c>
      <c r="I48" s="56" t="s">
        <v>71</v>
      </c>
      <c r="J48" s="56" t="s">
        <v>72</v>
      </c>
      <c r="K48" s="32" t="s">
        <v>52</v>
      </c>
      <c r="L48" s="33"/>
      <c r="M48" s="33"/>
      <c r="N48" s="33"/>
      <c r="O48" s="33"/>
      <c r="P48" s="33"/>
      <c r="Q48" s="34"/>
      <c r="R48" s="54" t="s">
        <v>78</v>
      </c>
      <c r="S48" s="55" t="s">
        <v>81</v>
      </c>
      <c r="T48" s="56" t="s">
        <v>71</v>
      </c>
      <c r="U48" s="56" t="s">
        <v>72</v>
      </c>
    </row>
    <row r="49" spans="1:21" ht="18" customHeight="1" x14ac:dyDescent="0.15">
      <c r="A49" s="7"/>
      <c r="B49" s="57" t="s">
        <v>145</v>
      </c>
      <c r="C49" s="58"/>
      <c r="D49" s="58"/>
      <c r="E49" s="58"/>
      <c r="F49" s="59"/>
      <c r="G49" s="60">
        <v>1</v>
      </c>
      <c r="H49" s="60" t="s">
        <v>146</v>
      </c>
      <c r="I49" s="60" t="s">
        <v>146</v>
      </c>
      <c r="J49" s="60" t="s">
        <v>146</v>
      </c>
      <c r="K49" s="57"/>
      <c r="L49" s="58"/>
      <c r="M49" s="58"/>
      <c r="N49" s="58"/>
      <c r="O49" s="58"/>
      <c r="P49" s="58"/>
      <c r="Q49" s="59"/>
      <c r="R49" s="60"/>
      <c r="S49" s="60"/>
      <c r="T49" s="60"/>
      <c r="U49" s="60"/>
    </row>
    <row r="50" spans="1:21" ht="18" customHeight="1" x14ac:dyDescent="0.15">
      <c r="A50" s="7"/>
      <c r="B50" s="61" t="s">
        <v>150</v>
      </c>
      <c r="C50" s="62"/>
      <c r="D50" s="62"/>
      <c r="E50" s="62"/>
      <c r="F50" s="63"/>
      <c r="G50" s="12">
        <v>2</v>
      </c>
      <c r="H50" s="12"/>
      <c r="I50" s="12"/>
      <c r="J50" s="12" t="s">
        <v>146</v>
      </c>
      <c r="K50" s="61"/>
      <c r="L50" s="62"/>
      <c r="M50" s="62"/>
      <c r="N50" s="62"/>
      <c r="O50" s="62"/>
      <c r="P50" s="62"/>
      <c r="Q50" s="63"/>
      <c r="R50" s="12"/>
      <c r="S50" s="12"/>
      <c r="T50" s="12"/>
      <c r="U50" s="12"/>
    </row>
    <row r="51" spans="1:21" ht="18" customHeight="1" x14ac:dyDescent="0.15">
      <c r="A51" s="7"/>
      <c r="B51" s="61"/>
      <c r="C51" s="62"/>
      <c r="D51" s="62"/>
      <c r="E51" s="62"/>
      <c r="F51" s="63"/>
      <c r="G51" s="12"/>
      <c r="H51" s="12"/>
      <c r="I51" s="12"/>
      <c r="J51" s="12"/>
      <c r="K51" s="61"/>
      <c r="L51" s="62"/>
      <c r="M51" s="62"/>
      <c r="N51" s="62"/>
      <c r="O51" s="62"/>
      <c r="P51" s="62"/>
      <c r="Q51" s="63"/>
      <c r="R51" s="12"/>
      <c r="S51" s="12"/>
      <c r="T51" s="12"/>
      <c r="U51" s="12"/>
    </row>
    <row r="52" spans="1:21" ht="18" customHeight="1" x14ac:dyDescent="0.15">
      <c r="A52" s="7"/>
      <c r="B52" s="61"/>
      <c r="C52" s="62"/>
      <c r="D52" s="62"/>
      <c r="E52" s="62"/>
      <c r="F52" s="63"/>
      <c r="G52" s="12"/>
      <c r="H52" s="12"/>
      <c r="I52" s="12"/>
      <c r="J52" s="12"/>
      <c r="K52" s="61"/>
      <c r="L52" s="62"/>
      <c r="M52" s="62"/>
      <c r="N52" s="62"/>
      <c r="O52" s="62"/>
      <c r="P52" s="62"/>
      <c r="Q52" s="63"/>
      <c r="R52" s="12"/>
      <c r="S52" s="12"/>
      <c r="T52" s="12"/>
      <c r="U52" s="12"/>
    </row>
    <row r="53" spans="1:21" ht="18" customHeight="1" x14ac:dyDescent="0.15">
      <c r="A53" s="7"/>
      <c r="B53" s="61"/>
      <c r="C53" s="62"/>
      <c r="D53" s="62"/>
      <c r="E53" s="62"/>
      <c r="F53" s="63"/>
      <c r="G53" s="12"/>
      <c r="H53" s="12"/>
      <c r="I53" s="12"/>
      <c r="J53" s="12"/>
      <c r="K53" s="61"/>
      <c r="L53" s="62"/>
      <c r="M53" s="62"/>
      <c r="N53" s="62"/>
      <c r="O53" s="62"/>
      <c r="P53" s="62"/>
      <c r="Q53" s="63"/>
      <c r="R53" s="12"/>
      <c r="S53" s="12"/>
      <c r="T53" s="12"/>
      <c r="U53" s="12"/>
    </row>
    <row r="54" spans="1:21" ht="18" customHeight="1" x14ac:dyDescent="0.15">
      <c r="A54" s="7"/>
      <c r="B54" s="61"/>
      <c r="C54" s="62"/>
      <c r="D54" s="62"/>
      <c r="E54" s="62"/>
      <c r="F54" s="63"/>
      <c r="G54" s="12"/>
      <c r="H54" s="12"/>
      <c r="I54" s="12"/>
      <c r="J54" s="12"/>
      <c r="K54" s="61"/>
      <c r="L54" s="62"/>
      <c r="M54" s="62"/>
      <c r="N54" s="62"/>
      <c r="O54" s="62"/>
      <c r="P54" s="62"/>
      <c r="Q54" s="63"/>
      <c r="R54" s="12"/>
      <c r="S54" s="12"/>
      <c r="T54" s="12"/>
      <c r="U54" s="12"/>
    </row>
    <row r="55" spans="1:21" ht="18" customHeight="1" x14ac:dyDescent="0.15">
      <c r="A55" s="7"/>
      <c r="B55" s="64"/>
      <c r="C55" s="65"/>
      <c r="D55" s="65"/>
      <c r="E55" s="65"/>
      <c r="F55" s="66"/>
      <c r="G55" s="67"/>
      <c r="H55" s="67"/>
      <c r="I55" s="68"/>
      <c r="J55" s="68"/>
      <c r="K55" s="64"/>
      <c r="L55" s="65"/>
      <c r="M55" s="65"/>
      <c r="N55" s="65"/>
      <c r="O55" s="65"/>
      <c r="P55" s="65"/>
      <c r="Q55" s="66"/>
      <c r="R55" s="67"/>
      <c r="S55" s="67"/>
      <c r="T55" s="68"/>
      <c r="U55" s="68"/>
    </row>
    <row r="56" spans="1:21" ht="7.5" customHeight="1" x14ac:dyDescent="0.15">
      <c r="B56" s="69"/>
      <c r="C56" s="69"/>
      <c r="D56" s="69"/>
      <c r="E56" s="69"/>
      <c r="F56" s="69"/>
      <c r="G56" s="69"/>
      <c r="H56" s="69"/>
      <c r="I56" s="69"/>
      <c r="J56" s="69"/>
      <c r="K56" s="69"/>
      <c r="L56" s="69"/>
      <c r="M56" s="69"/>
      <c r="N56" s="69"/>
      <c r="O56" s="69"/>
      <c r="P56" s="69"/>
      <c r="Q56" s="69"/>
      <c r="R56" s="69"/>
      <c r="S56" s="69"/>
      <c r="T56" s="69"/>
    </row>
    <row r="57" spans="1:21" ht="18" customHeight="1" x14ac:dyDescent="0.15">
      <c r="A57" s="30" t="s">
        <v>105</v>
      </c>
      <c r="B57" s="30"/>
      <c r="C57" s="30"/>
      <c r="D57" s="30"/>
      <c r="E57" s="30"/>
      <c r="F57" s="30"/>
      <c r="G57" s="30"/>
      <c r="H57" s="30"/>
      <c r="I57" s="30"/>
      <c r="J57" s="30"/>
      <c r="K57" s="30"/>
      <c r="L57" s="30"/>
      <c r="M57" s="30"/>
      <c r="N57" s="30"/>
      <c r="O57" s="30"/>
      <c r="P57" s="30"/>
      <c r="Q57" s="30"/>
      <c r="R57" s="30"/>
      <c r="S57" s="30"/>
      <c r="T57" s="30"/>
      <c r="U57" s="30"/>
    </row>
    <row r="58" spans="1:21" ht="18" customHeight="1" x14ac:dyDescent="0.15">
      <c r="A58" s="30"/>
      <c r="B58" s="30"/>
      <c r="C58" s="30"/>
      <c r="D58" s="30"/>
      <c r="E58" s="30"/>
      <c r="F58" s="30"/>
      <c r="G58" s="30"/>
      <c r="H58" s="30"/>
      <c r="I58" s="30"/>
      <c r="J58" s="30"/>
      <c r="K58" s="30"/>
      <c r="L58" s="30"/>
      <c r="M58" s="30"/>
      <c r="N58" s="30"/>
      <c r="O58" s="30"/>
      <c r="P58" s="30"/>
      <c r="Q58" s="30"/>
      <c r="R58" s="30"/>
      <c r="S58" s="30"/>
      <c r="T58" s="30"/>
      <c r="U58" s="30"/>
    </row>
    <row r="59" spans="1:21" ht="18" customHeight="1" x14ac:dyDescent="0.15">
      <c r="B59" s="32" t="s">
        <v>52</v>
      </c>
      <c r="C59" s="33"/>
      <c r="D59" s="33"/>
      <c r="E59" s="33"/>
      <c r="F59" s="34"/>
      <c r="G59" s="54" t="s">
        <v>78</v>
      </c>
      <c r="H59" s="55" t="s">
        <v>81</v>
      </c>
      <c r="I59" s="56" t="s">
        <v>57</v>
      </c>
      <c r="J59" s="56" t="s">
        <v>59</v>
      </c>
      <c r="K59" s="32" t="s">
        <v>52</v>
      </c>
      <c r="L59" s="33"/>
      <c r="M59" s="33"/>
      <c r="N59" s="33"/>
      <c r="O59" s="33"/>
      <c r="P59" s="33"/>
      <c r="Q59" s="34"/>
      <c r="R59" s="54" t="s">
        <v>78</v>
      </c>
      <c r="S59" s="55" t="s">
        <v>81</v>
      </c>
      <c r="T59" s="56" t="s">
        <v>57</v>
      </c>
      <c r="U59" s="56" t="s">
        <v>59</v>
      </c>
    </row>
    <row r="60" spans="1:21" ht="18" customHeight="1" x14ac:dyDescent="0.15">
      <c r="A60" s="7"/>
      <c r="B60" s="57" t="s">
        <v>145</v>
      </c>
      <c r="C60" s="58"/>
      <c r="D60" s="58"/>
      <c r="E60" s="58"/>
      <c r="F60" s="59"/>
      <c r="G60" s="60">
        <v>1</v>
      </c>
      <c r="H60" s="60" t="s">
        <v>146</v>
      </c>
      <c r="I60" s="60" t="s">
        <v>146</v>
      </c>
      <c r="J60" s="60" t="s">
        <v>146</v>
      </c>
      <c r="K60" s="57"/>
      <c r="L60" s="58"/>
      <c r="M60" s="58"/>
      <c r="N60" s="58"/>
      <c r="O60" s="58"/>
      <c r="P60" s="58"/>
      <c r="Q60" s="59"/>
      <c r="R60" s="60"/>
      <c r="S60" s="60"/>
      <c r="T60" s="60"/>
      <c r="U60" s="60"/>
    </row>
    <row r="61" spans="1:21" ht="18" customHeight="1" x14ac:dyDescent="0.15">
      <c r="A61" s="7"/>
      <c r="B61" s="61" t="s">
        <v>150</v>
      </c>
      <c r="C61" s="62"/>
      <c r="D61" s="62"/>
      <c r="E61" s="62"/>
      <c r="F61" s="63"/>
      <c r="G61" s="12">
        <v>2</v>
      </c>
      <c r="H61" s="12"/>
      <c r="I61" s="12" t="s">
        <v>146</v>
      </c>
      <c r="J61" s="12" t="s">
        <v>146</v>
      </c>
      <c r="K61" s="61"/>
      <c r="L61" s="62"/>
      <c r="M61" s="62"/>
      <c r="N61" s="62"/>
      <c r="O61" s="62"/>
      <c r="P61" s="62"/>
      <c r="Q61" s="63"/>
      <c r="R61" s="12"/>
      <c r="S61" s="12"/>
      <c r="T61" s="12"/>
      <c r="U61" s="12"/>
    </row>
    <row r="62" spans="1:21" ht="18" customHeight="1" x14ac:dyDescent="0.15">
      <c r="A62" s="7"/>
      <c r="B62" s="61" t="s">
        <v>151</v>
      </c>
      <c r="C62" s="62"/>
      <c r="D62" s="62"/>
      <c r="E62" s="62"/>
      <c r="F62" s="63"/>
      <c r="G62" s="12">
        <v>2</v>
      </c>
      <c r="H62" s="12"/>
      <c r="I62" s="12"/>
      <c r="J62" s="12" t="s">
        <v>146</v>
      </c>
      <c r="K62" s="61"/>
      <c r="L62" s="62"/>
      <c r="M62" s="62"/>
      <c r="N62" s="62"/>
      <c r="O62" s="62"/>
      <c r="P62" s="62"/>
      <c r="Q62" s="63"/>
      <c r="R62" s="12"/>
      <c r="S62" s="12"/>
      <c r="T62" s="12"/>
      <c r="U62" s="12"/>
    </row>
    <row r="63" spans="1:21" ht="18" customHeight="1" x14ac:dyDescent="0.15">
      <c r="A63" s="7"/>
      <c r="B63" s="61"/>
      <c r="C63" s="62"/>
      <c r="D63" s="62"/>
      <c r="E63" s="62"/>
      <c r="F63" s="63"/>
      <c r="G63" s="12"/>
      <c r="H63" s="12"/>
      <c r="I63" s="12"/>
      <c r="J63" s="12"/>
      <c r="K63" s="61"/>
      <c r="L63" s="62"/>
      <c r="M63" s="62"/>
      <c r="N63" s="62"/>
      <c r="O63" s="62"/>
      <c r="P63" s="62"/>
      <c r="Q63" s="63"/>
      <c r="R63" s="12"/>
      <c r="S63" s="12"/>
      <c r="T63" s="12"/>
      <c r="U63" s="12"/>
    </row>
    <row r="64" spans="1:21" ht="18" customHeight="1" x14ac:dyDescent="0.15">
      <c r="A64" s="7"/>
      <c r="B64" s="61"/>
      <c r="C64" s="62"/>
      <c r="D64" s="62"/>
      <c r="E64" s="62"/>
      <c r="F64" s="63"/>
      <c r="G64" s="12"/>
      <c r="H64" s="12"/>
      <c r="I64" s="12"/>
      <c r="J64" s="12"/>
      <c r="K64" s="61"/>
      <c r="L64" s="62"/>
      <c r="M64" s="62"/>
      <c r="N64" s="62"/>
      <c r="O64" s="62"/>
      <c r="P64" s="62"/>
      <c r="Q64" s="63"/>
      <c r="R64" s="12"/>
      <c r="S64" s="12"/>
      <c r="T64" s="12"/>
      <c r="U64" s="12"/>
    </row>
    <row r="65" spans="1:21" ht="18" customHeight="1" x14ac:dyDescent="0.15">
      <c r="A65" s="7"/>
      <c r="B65" s="61"/>
      <c r="C65" s="62"/>
      <c r="D65" s="62"/>
      <c r="E65" s="62"/>
      <c r="F65" s="63"/>
      <c r="G65" s="12"/>
      <c r="H65" s="12"/>
      <c r="I65" s="12"/>
      <c r="J65" s="12"/>
      <c r="K65" s="61"/>
      <c r="L65" s="62"/>
      <c r="M65" s="62"/>
      <c r="N65" s="62"/>
      <c r="O65" s="62"/>
      <c r="P65" s="62"/>
      <c r="Q65" s="63"/>
      <c r="R65" s="12"/>
      <c r="S65" s="12"/>
      <c r="T65" s="12"/>
      <c r="U65" s="12"/>
    </row>
    <row r="66" spans="1:21" ht="18" customHeight="1" x14ac:dyDescent="0.15">
      <c r="A66" s="7"/>
      <c r="B66" s="64"/>
      <c r="C66" s="65"/>
      <c r="D66" s="65"/>
      <c r="E66" s="65"/>
      <c r="F66" s="66"/>
      <c r="G66" s="67"/>
      <c r="H66" s="67"/>
      <c r="I66" s="68"/>
      <c r="J66" s="68"/>
      <c r="K66" s="64"/>
      <c r="L66" s="65"/>
      <c r="M66" s="65"/>
      <c r="N66" s="65"/>
      <c r="O66" s="65"/>
      <c r="P66" s="65"/>
      <c r="Q66" s="66"/>
      <c r="R66" s="67"/>
      <c r="S66" s="67"/>
      <c r="T66" s="68"/>
      <c r="U66" s="68"/>
    </row>
    <row r="67" spans="1:21" ht="7.5" customHeight="1" x14ac:dyDescent="0.15">
      <c r="B67" s="69"/>
      <c r="C67" s="69"/>
      <c r="D67" s="69"/>
      <c r="E67" s="69"/>
      <c r="F67" s="69"/>
      <c r="G67" s="69"/>
      <c r="H67" s="69"/>
      <c r="I67" s="69"/>
      <c r="J67" s="69"/>
      <c r="K67" s="69"/>
      <c r="L67" s="69"/>
      <c r="M67" s="69"/>
      <c r="N67" s="69"/>
      <c r="O67" s="69"/>
      <c r="P67" s="69"/>
      <c r="Q67" s="69"/>
      <c r="R67" s="69"/>
      <c r="S67" s="69"/>
      <c r="T67" s="69"/>
    </row>
    <row r="68" spans="1:21" ht="18" customHeight="1" x14ac:dyDescent="0.15">
      <c r="A68" s="30" t="s">
        <v>106</v>
      </c>
      <c r="B68" s="30"/>
      <c r="C68" s="30"/>
      <c r="D68" s="30"/>
      <c r="E68" s="30"/>
      <c r="F68" s="30"/>
      <c r="G68" s="30"/>
      <c r="H68" s="30"/>
      <c r="I68" s="30"/>
      <c r="J68" s="30"/>
      <c r="K68" s="30"/>
      <c r="L68" s="30"/>
      <c r="M68" s="30"/>
      <c r="N68" s="30"/>
      <c r="O68" s="30"/>
      <c r="P68" s="30"/>
      <c r="Q68" s="30"/>
      <c r="R68" s="30"/>
      <c r="S68" s="30"/>
      <c r="T68" s="30"/>
      <c r="U68" s="30"/>
    </row>
    <row r="69" spans="1:21" ht="18" customHeight="1" x14ac:dyDescent="0.15">
      <c r="A69" s="30"/>
      <c r="B69" s="30"/>
      <c r="C69" s="30"/>
      <c r="D69" s="30"/>
      <c r="E69" s="30"/>
      <c r="F69" s="30"/>
      <c r="G69" s="30"/>
      <c r="H69" s="30"/>
      <c r="I69" s="30"/>
      <c r="J69" s="30"/>
      <c r="K69" s="30"/>
      <c r="L69" s="30"/>
      <c r="M69" s="30"/>
      <c r="N69" s="30"/>
      <c r="O69" s="30"/>
      <c r="P69" s="30"/>
      <c r="Q69" s="30"/>
      <c r="R69" s="30"/>
      <c r="S69" s="30"/>
      <c r="T69" s="30"/>
      <c r="U69" s="30"/>
    </row>
    <row r="70" spans="1:21" ht="18" customHeight="1" x14ac:dyDescent="0.15">
      <c r="B70" s="32" t="s">
        <v>52</v>
      </c>
      <c r="C70" s="33"/>
      <c r="D70" s="33"/>
      <c r="E70" s="33"/>
      <c r="F70" s="54" t="s">
        <v>78</v>
      </c>
      <c r="G70" s="55" t="s">
        <v>81</v>
      </c>
      <c r="H70" s="56" t="s">
        <v>93</v>
      </c>
      <c r="I70" s="56" t="s">
        <v>73</v>
      </c>
      <c r="J70" s="56" t="s">
        <v>74</v>
      </c>
      <c r="K70" s="32" t="s">
        <v>52</v>
      </c>
      <c r="L70" s="33"/>
      <c r="M70" s="33"/>
      <c r="N70" s="33"/>
      <c r="O70" s="33"/>
      <c r="P70" s="34"/>
      <c r="Q70" s="54" t="s">
        <v>78</v>
      </c>
      <c r="R70" s="55" t="s">
        <v>81</v>
      </c>
      <c r="S70" s="56" t="s">
        <v>93</v>
      </c>
      <c r="T70" s="56" t="s">
        <v>73</v>
      </c>
      <c r="U70" s="56" t="s">
        <v>74</v>
      </c>
    </row>
    <row r="71" spans="1:21" ht="18" customHeight="1" x14ac:dyDescent="0.15">
      <c r="A71" s="7"/>
      <c r="B71" s="57" t="s">
        <v>147</v>
      </c>
      <c r="C71" s="58"/>
      <c r="D71" s="58"/>
      <c r="E71" s="58"/>
      <c r="F71" s="60">
        <v>2</v>
      </c>
      <c r="G71" s="60"/>
      <c r="H71" s="60" t="s">
        <v>146</v>
      </c>
      <c r="I71" s="60" t="s">
        <v>146</v>
      </c>
      <c r="J71" s="60" t="s">
        <v>146</v>
      </c>
      <c r="K71" s="57"/>
      <c r="L71" s="58"/>
      <c r="M71" s="58"/>
      <c r="N71" s="58"/>
      <c r="O71" s="58"/>
      <c r="P71" s="59"/>
      <c r="Q71" s="60"/>
      <c r="R71" s="60"/>
      <c r="S71" s="60"/>
      <c r="T71" s="60"/>
      <c r="U71" s="60"/>
    </row>
    <row r="72" spans="1:21" ht="18" customHeight="1" x14ac:dyDescent="0.15">
      <c r="A72" s="7"/>
      <c r="B72" s="61" t="s">
        <v>148</v>
      </c>
      <c r="C72" s="62"/>
      <c r="D72" s="62"/>
      <c r="E72" s="62"/>
      <c r="F72" s="12">
        <v>2</v>
      </c>
      <c r="G72" s="12"/>
      <c r="H72" s="12" t="s">
        <v>146</v>
      </c>
      <c r="I72" s="12" t="s">
        <v>146</v>
      </c>
      <c r="J72" s="12" t="s">
        <v>146</v>
      </c>
      <c r="K72" s="61"/>
      <c r="L72" s="62"/>
      <c r="M72" s="62"/>
      <c r="N72" s="62"/>
      <c r="O72" s="62"/>
      <c r="P72" s="63"/>
      <c r="Q72" s="12"/>
      <c r="R72" s="12"/>
      <c r="S72" s="12"/>
      <c r="T72" s="12"/>
      <c r="U72" s="12"/>
    </row>
    <row r="73" spans="1:21" ht="18" customHeight="1" x14ac:dyDescent="0.15">
      <c r="A73" s="7"/>
      <c r="B73" s="61" t="s">
        <v>149</v>
      </c>
      <c r="C73" s="62"/>
      <c r="D73" s="62"/>
      <c r="E73" s="62"/>
      <c r="F73" s="12">
        <v>2</v>
      </c>
      <c r="G73" s="12"/>
      <c r="H73" s="12" t="s">
        <v>146</v>
      </c>
      <c r="I73" s="12" t="s">
        <v>146</v>
      </c>
      <c r="J73" s="12" t="s">
        <v>146</v>
      </c>
      <c r="K73" s="61"/>
      <c r="L73" s="62"/>
      <c r="M73" s="62"/>
      <c r="N73" s="62"/>
      <c r="O73" s="62"/>
      <c r="P73" s="63"/>
      <c r="Q73" s="12"/>
      <c r="R73" s="12"/>
      <c r="S73" s="12"/>
      <c r="T73" s="12"/>
      <c r="U73" s="12"/>
    </row>
    <row r="74" spans="1:21" ht="18" customHeight="1" x14ac:dyDescent="0.15">
      <c r="A74" s="7"/>
      <c r="B74" s="61"/>
      <c r="C74" s="62"/>
      <c r="D74" s="62"/>
      <c r="E74" s="62"/>
      <c r="F74" s="12"/>
      <c r="G74" s="12"/>
      <c r="H74" s="12"/>
      <c r="I74" s="12"/>
      <c r="J74" s="12"/>
      <c r="K74" s="61"/>
      <c r="L74" s="62"/>
      <c r="M74" s="62"/>
      <c r="N74" s="62"/>
      <c r="O74" s="62"/>
      <c r="P74" s="63"/>
      <c r="Q74" s="12"/>
      <c r="R74" s="12"/>
      <c r="S74" s="12"/>
      <c r="T74" s="12"/>
      <c r="U74" s="12"/>
    </row>
    <row r="75" spans="1:21" ht="18" customHeight="1" x14ac:dyDescent="0.15">
      <c r="A75" s="7"/>
      <c r="B75" s="61"/>
      <c r="C75" s="62"/>
      <c r="D75" s="62"/>
      <c r="E75" s="62"/>
      <c r="F75" s="12"/>
      <c r="G75" s="12"/>
      <c r="H75" s="12"/>
      <c r="I75" s="12"/>
      <c r="J75" s="12"/>
      <c r="K75" s="61"/>
      <c r="L75" s="62"/>
      <c r="M75" s="62"/>
      <c r="N75" s="62"/>
      <c r="O75" s="62"/>
      <c r="P75" s="63"/>
      <c r="Q75" s="12"/>
      <c r="R75" s="12"/>
      <c r="S75" s="12"/>
      <c r="T75" s="12"/>
      <c r="U75" s="12"/>
    </row>
    <row r="76" spans="1:21" ht="18" customHeight="1" x14ac:dyDescent="0.15">
      <c r="A76" s="7"/>
      <c r="B76" s="61"/>
      <c r="C76" s="62"/>
      <c r="D76" s="62"/>
      <c r="E76" s="62"/>
      <c r="F76" s="12"/>
      <c r="G76" s="12"/>
      <c r="H76" s="12"/>
      <c r="I76" s="12"/>
      <c r="J76" s="12"/>
      <c r="K76" s="61"/>
      <c r="L76" s="62"/>
      <c r="M76" s="62"/>
      <c r="N76" s="62"/>
      <c r="O76" s="62"/>
      <c r="P76" s="63"/>
      <c r="Q76" s="12"/>
      <c r="R76" s="12"/>
      <c r="S76" s="12"/>
      <c r="T76" s="12"/>
      <c r="U76" s="12"/>
    </row>
    <row r="77" spans="1:21" ht="18" customHeight="1" x14ac:dyDescent="0.15">
      <c r="A77" s="7"/>
      <c r="B77" s="64"/>
      <c r="C77" s="65"/>
      <c r="D77" s="65"/>
      <c r="E77" s="65"/>
      <c r="F77" s="67"/>
      <c r="G77" s="67"/>
      <c r="H77" s="68"/>
      <c r="I77" s="68"/>
      <c r="J77" s="68"/>
      <c r="K77" s="64"/>
      <c r="L77" s="65"/>
      <c r="M77" s="65"/>
      <c r="N77" s="65"/>
      <c r="O77" s="65"/>
      <c r="P77" s="66"/>
      <c r="Q77" s="67"/>
      <c r="R77" s="67"/>
      <c r="S77" s="68"/>
      <c r="T77" s="68"/>
      <c r="U77" s="68"/>
    </row>
    <row r="78" spans="1:21" ht="7.5" customHeight="1" x14ac:dyDescent="0.15">
      <c r="B78" s="69"/>
      <c r="C78" s="69"/>
      <c r="D78" s="69"/>
      <c r="E78" s="69"/>
      <c r="F78" s="69"/>
      <c r="G78" s="69"/>
      <c r="H78" s="69"/>
      <c r="I78" s="69"/>
      <c r="J78" s="69"/>
      <c r="K78" s="69"/>
      <c r="L78" s="69"/>
      <c r="M78" s="69"/>
      <c r="N78" s="69"/>
      <c r="O78" s="69"/>
      <c r="P78" s="69"/>
      <c r="Q78" s="69"/>
      <c r="R78" s="69"/>
      <c r="S78" s="69"/>
      <c r="T78" s="69"/>
    </row>
    <row r="79" spans="1:21" ht="18" customHeight="1" x14ac:dyDescent="0.15">
      <c r="A79" s="2" t="s">
        <v>107</v>
      </c>
      <c r="I79" s="7"/>
      <c r="J79" s="7"/>
      <c r="K79" s="7"/>
      <c r="L79" s="7"/>
      <c r="M79" s="7"/>
      <c r="N79" s="7"/>
      <c r="O79" s="7"/>
      <c r="P79" s="7"/>
      <c r="Q79" s="7"/>
      <c r="R79" s="7"/>
      <c r="S79" s="7"/>
      <c r="T79" s="7"/>
      <c r="U79" s="7"/>
    </row>
    <row r="80" spans="1:21" ht="18" customHeight="1" x14ac:dyDescent="0.15">
      <c r="B80" s="32" t="s">
        <v>52</v>
      </c>
      <c r="C80" s="33"/>
      <c r="D80" s="33"/>
      <c r="E80" s="33"/>
      <c r="F80" s="34"/>
      <c r="G80" s="32" t="s">
        <v>79</v>
      </c>
      <c r="H80" s="33"/>
      <c r="I80" s="33"/>
      <c r="J80" s="34"/>
      <c r="K80" s="70" t="s">
        <v>52</v>
      </c>
      <c r="L80" s="71"/>
      <c r="M80" s="71"/>
      <c r="N80" s="71"/>
      <c r="O80" s="71"/>
      <c r="P80" s="71"/>
      <c r="Q80" s="72"/>
      <c r="R80" s="32" t="s">
        <v>79</v>
      </c>
      <c r="S80" s="33"/>
      <c r="T80" s="33"/>
      <c r="U80" s="34"/>
    </row>
    <row r="81" spans="1:21" ht="18" customHeight="1" x14ac:dyDescent="0.15">
      <c r="A81" s="7"/>
      <c r="B81" s="57" t="s">
        <v>152</v>
      </c>
      <c r="C81" s="58"/>
      <c r="D81" s="58"/>
      <c r="E81" s="58"/>
      <c r="F81" s="59"/>
      <c r="G81" s="57" t="s">
        <v>153</v>
      </c>
      <c r="H81" s="58"/>
      <c r="I81" s="58"/>
      <c r="J81" s="59"/>
      <c r="K81" s="57"/>
      <c r="L81" s="58"/>
      <c r="M81" s="58"/>
      <c r="N81" s="58"/>
      <c r="O81" s="58"/>
      <c r="P81" s="58"/>
      <c r="Q81" s="59"/>
      <c r="R81" s="73"/>
      <c r="S81" s="74"/>
      <c r="T81" s="74"/>
      <c r="U81" s="75"/>
    </row>
    <row r="82" spans="1:21" ht="18" customHeight="1" x14ac:dyDescent="0.15">
      <c r="A82" s="7"/>
      <c r="B82" s="61" t="s">
        <v>150</v>
      </c>
      <c r="C82" s="62"/>
      <c r="D82" s="62"/>
      <c r="E82" s="62"/>
      <c r="F82" s="63"/>
      <c r="G82" s="61" t="s">
        <v>154</v>
      </c>
      <c r="H82" s="62"/>
      <c r="I82" s="62"/>
      <c r="J82" s="63"/>
      <c r="K82" s="61"/>
      <c r="L82" s="62"/>
      <c r="M82" s="62"/>
      <c r="N82" s="62"/>
      <c r="O82" s="62"/>
      <c r="P82" s="62"/>
      <c r="Q82" s="63"/>
      <c r="R82" s="76"/>
      <c r="S82" s="77"/>
      <c r="T82" s="77"/>
      <c r="U82" s="78"/>
    </row>
    <row r="83" spans="1:21" ht="18" customHeight="1" x14ac:dyDescent="0.15">
      <c r="A83" s="7"/>
      <c r="B83" s="61" t="s">
        <v>148</v>
      </c>
      <c r="C83" s="62"/>
      <c r="D83" s="62"/>
      <c r="E83" s="62"/>
      <c r="F83" s="63"/>
      <c r="G83" s="61" t="s">
        <v>163</v>
      </c>
      <c r="H83" s="62"/>
      <c r="I83" s="62"/>
      <c r="J83" s="63"/>
      <c r="K83" s="61"/>
      <c r="L83" s="62"/>
      <c r="M83" s="62"/>
      <c r="N83" s="62"/>
      <c r="O83" s="62"/>
      <c r="P83" s="62"/>
      <c r="Q83" s="63"/>
      <c r="R83" s="76"/>
      <c r="S83" s="77"/>
      <c r="T83" s="77"/>
      <c r="U83" s="78"/>
    </row>
    <row r="84" spans="1:21" ht="18" customHeight="1" x14ac:dyDescent="0.15">
      <c r="A84" s="7"/>
      <c r="B84" s="61"/>
      <c r="C84" s="62"/>
      <c r="D84" s="62"/>
      <c r="E84" s="62"/>
      <c r="F84" s="63"/>
      <c r="G84" s="76"/>
      <c r="H84" s="77"/>
      <c r="I84" s="77"/>
      <c r="J84" s="78"/>
      <c r="K84" s="61"/>
      <c r="L84" s="62"/>
      <c r="M84" s="62"/>
      <c r="N84" s="62"/>
      <c r="O84" s="62"/>
      <c r="P84" s="62"/>
      <c r="Q84" s="63"/>
      <c r="R84" s="76"/>
      <c r="S84" s="77"/>
      <c r="T84" s="77"/>
      <c r="U84" s="78"/>
    </row>
    <row r="85" spans="1:21" ht="18" customHeight="1" x14ac:dyDescent="0.15">
      <c r="A85" s="7"/>
      <c r="B85" s="61"/>
      <c r="C85" s="62"/>
      <c r="D85" s="62"/>
      <c r="E85" s="62"/>
      <c r="F85" s="63"/>
      <c r="G85" s="76"/>
      <c r="H85" s="77"/>
      <c r="I85" s="77"/>
      <c r="J85" s="78"/>
      <c r="K85" s="61"/>
      <c r="L85" s="62"/>
      <c r="M85" s="62"/>
      <c r="N85" s="62"/>
      <c r="O85" s="62"/>
      <c r="P85" s="62"/>
      <c r="Q85" s="63"/>
      <c r="R85" s="76"/>
      <c r="S85" s="77"/>
      <c r="T85" s="77"/>
      <c r="U85" s="78"/>
    </row>
    <row r="86" spans="1:21" ht="18" customHeight="1" x14ac:dyDescent="0.15">
      <c r="A86" s="7"/>
      <c r="B86" s="61"/>
      <c r="C86" s="62"/>
      <c r="D86" s="62"/>
      <c r="E86" s="62"/>
      <c r="F86" s="63"/>
      <c r="G86" s="76"/>
      <c r="H86" s="77"/>
      <c r="I86" s="77"/>
      <c r="J86" s="78"/>
      <c r="K86" s="61"/>
      <c r="L86" s="62"/>
      <c r="M86" s="62"/>
      <c r="N86" s="62"/>
      <c r="O86" s="62"/>
      <c r="P86" s="62"/>
      <c r="Q86" s="63"/>
      <c r="R86" s="76"/>
      <c r="S86" s="77"/>
      <c r="T86" s="77"/>
      <c r="U86" s="78"/>
    </row>
    <row r="87" spans="1:21" ht="18" customHeight="1" x14ac:dyDescent="0.15">
      <c r="A87" s="7"/>
      <c r="B87" s="64"/>
      <c r="C87" s="65"/>
      <c r="D87" s="65"/>
      <c r="E87" s="65"/>
      <c r="F87" s="66"/>
      <c r="G87" s="79"/>
      <c r="H87" s="80"/>
      <c r="I87" s="80"/>
      <c r="J87" s="81"/>
      <c r="K87" s="64"/>
      <c r="L87" s="65"/>
      <c r="M87" s="65"/>
      <c r="N87" s="65"/>
      <c r="O87" s="65"/>
      <c r="P87" s="65"/>
      <c r="Q87" s="66"/>
      <c r="R87" s="79"/>
      <c r="S87" s="80"/>
      <c r="T87" s="80"/>
      <c r="U87" s="81"/>
    </row>
    <row r="88" spans="1:21" ht="18" customHeight="1" x14ac:dyDescent="0.15">
      <c r="A88" s="7"/>
      <c r="B88" s="5"/>
      <c r="C88" s="5"/>
      <c r="D88" s="5"/>
      <c r="E88" s="5"/>
      <c r="F88" s="5"/>
      <c r="G88" s="11"/>
      <c r="H88" s="11"/>
      <c r="I88" s="11"/>
      <c r="J88" s="11"/>
      <c r="K88" s="5"/>
      <c r="L88" s="5"/>
      <c r="M88" s="5"/>
      <c r="N88" s="5"/>
      <c r="O88" s="5"/>
      <c r="P88" s="5"/>
      <c r="Q88" s="5"/>
      <c r="R88" s="11"/>
      <c r="S88" s="11"/>
      <c r="T88" s="11"/>
      <c r="U88" s="11"/>
    </row>
    <row r="89" spans="1:21" ht="18.75" customHeight="1" x14ac:dyDescent="0.15">
      <c r="A89" s="2" t="s">
        <v>108</v>
      </c>
    </row>
    <row r="90" spans="1:21" ht="18.75" customHeight="1" x14ac:dyDescent="0.15">
      <c r="B90" s="82" t="s">
        <v>53</v>
      </c>
      <c r="C90" s="83"/>
      <c r="D90" s="32" t="s">
        <v>54</v>
      </c>
      <c r="E90" s="33"/>
      <c r="F90" s="33"/>
      <c r="G90" s="33"/>
      <c r="H90" s="33"/>
      <c r="I90" s="33"/>
      <c r="J90" s="33"/>
      <c r="K90" s="33"/>
      <c r="L90" s="33"/>
      <c r="M90" s="33"/>
      <c r="N90" s="33"/>
      <c r="O90" s="33"/>
      <c r="P90" s="33"/>
      <c r="Q90" s="33"/>
      <c r="R90" s="33"/>
      <c r="S90" s="33"/>
      <c r="T90" s="33"/>
      <c r="U90" s="34"/>
    </row>
    <row r="91" spans="1:21" ht="97.5" customHeight="1" x14ac:dyDescent="0.15">
      <c r="B91" s="84" t="s">
        <v>60</v>
      </c>
      <c r="C91" s="85" t="s">
        <v>55</v>
      </c>
      <c r="D91" s="86" t="s">
        <v>155</v>
      </c>
      <c r="E91" s="87"/>
      <c r="F91" s="87"/>
      <c r="G91" s="87"/>
      <c r="H91" s="87"/>
      <c r="I91" s="87"/>
      <c r="J91" s="87"/>
      <c r="K91" s="87"/>
      <c r="L91" s="87"/>
      <c r="M91" s="87"/>
      <c r="N91" s="87"/>
      <c r="O91" s="87"/>
      <c r="P91" s="87"/>
      <c r="Q91" s="87"/>
      <c r="R91" s="87"/>
      <c r="S91" s="87"/>
      <c r="T91" s="87"/>
      <c r="U91" s="88"/>
    </row>
    <row r="92" spans="1:21" ht="97.5" customHeight="1" x14ac:dyDescent="0.15">
      <c r="B92" s="89"/>
      <c r="C92" s="90" t="s">
        <v>75</v>
      </c>
      <c r="D92" s="91" t="s">
        <v>156</v>
      </c>
      <c r="E92" s="92"/>
      <c r="F92" s="92"/>
      <c r="G92" s="92"/>
      <c r="H92" s="92"/>
      <c r="I92" s="92"/>
      <c r="J92" s="92"/>
      <c r="K92" s="92"/>
      <c r="L92" s="92"/>
      <c r="M92" s="92"/>
      <c r="N92" s="92"/>
      <c r="O92" s="92"/>
      <c r="P92" s="92"/>
      <c r="Q92" s="92"/>
      <c r="R92" s="92"/>
      <c r="S92" s="92"/>
      <c r="T92" s="92"/>
      <c r="U92" s="93"/>
    </row>
    <row r="93" spans="1:21" ht="97.5" customHeight="1" x14ac:dyDescent="0.15">
      <c r="B93" s="84" t="s">
        <v>61</v>
      </c>
      <c r="C93" s="94" t="s">
        <v>69</v>
      </c>
      <c r="D93" s="86" t="s">
        <v>157</v>
      </c>
      <c r="E93" s="87"/>
      <c r="F93" s="87"/>
      <c r="G93" s="87"/>
      <c r="H93" s="87"/>
      <c r="I93" s="87"/>
      <c r="J93" s="87"/>
      <c r="K93" s="87"/>
      <c r="L93" s="87"/>
      <c r="M93" s="87"/>
      <c r="N93" s="87"/>
      <c r="O93" s="87"/>
      <c r="P93" s="87"/>
      <c r="Q93" s="87"/>
      <c r="R93" s="87"/>
      <c r="S93" s="87"/>
      <c r="T93" s="87"/>
      <c r="U93" s="88"/>
    </row>
    <row r="94" spans="1:21" ht="97.5" customHeight="1" x14ac:dyDescent="0.15">
      <c r="B94" s="95"/>
      <c r="C94" s="96" t="s">
        <v>70</v>
      </c>
      <c r="D94" s="91" t="s">
        <v>158</v>
      </c>
      <c r="E94" s="92"/>
      <c r="F94" s="92"/>
      <c r="G94" s="92"/>
      <c r="H94" s="92"/>
      <c r="I94" s="92"/>
      <c r="J94" s="92"/>
      <c r="K94" s="92"/>
      <c r="L94" s="92"/>
      <c r="M94" s="92"/>
      <c r="N94" s="92"/>
      <c r="O94" s="92"/>
      <c r="P94" s="92"/>
      <c r="Q94" s="92"/>
      <c r="R94" s="92"/>
      <c r="S94" s="92"/>
      <c r="T94" s="92"/>
      <c r="U94" s="93"/>
    </row>
    <row r="95" spans="1:21" ht="97.5" customHeight="1" x14ac:dyDescent="0.15">
      <c r="B95" s="84" t="s">
        <v>62</v>
      </c>
      <c r="C95" s="94" t="s">
        <v>71</v>
      </c>
      <c r="D95" s="86" t="s">
        <v>159</v>
      </c>
      <c r="E95" s="87"/>
      <c r="F95" s="87"/>
      <c r="G95" s="87"/>
      <c r="H95" s="87"/>
      <c r="I95" s="87"/>
      <c r="J95" s="87"/>
      <c r="K95" s="87"/>
      <c r="L95" s="87"/>
      <c r="M95" s="87"/>
      <c r="N95" s="87"/>
      <c r="O95" s="87"/>
      <c r="P95" s="87"/>
      <c r="Q95" s="87"/>
      <c r="R95" s="87"/>
      <c r="S95" s="87"/>
      <c r="T95" s="87"/>
      <c r="U95" s="88"/>
    </row>
    <row r="96" spans="1:21" ht="97.5" customHeight="1" x14ac:dyDescent="0.15">
      <c r="B96" s="95"/>
      <c r="C96" s="97" t="s">
        <v>72</v>
      </c>
      <c r="D96" s="91" t="s">
        <v>160</v>
      </c>
      <c r="E96" s="92"/>
      <c r="F96" s="92"/>
      <c r="G96" s="92"/>
      <c r="H96" s="92"/>
      <c r="I96" s="92"/>
      <c r="J96" s="92"/>
      <c r="K96" s="92"/>
      <c r="L96" s="92"/>
      <c r="M96" s="92"/>
      <c r="N96" s="92"/>
      <c r="O96" s="92"/>
      <c r="P96" s="92"/>
      <c r="Q96" s="92"/>
      <c r="R96" s="92"/>
      <c r="S96" s="92"/>
      <c r="T96" s="92"/>
      <c r="U96" s="93"/>
    </row>
    <row r="97" spans="1:33" ht="97.5" customHeight="1" x14ac:dyDescent="0.15">
      <c r="B97" s="84" t="s">
        <v>76</v>
      </c>
      <c r="C97" s="85" t="s">
        <v>57</v>
      </c>
      <c r="D97" s="86" t="s">
        <v>161</v>
      </c>
      <c r="E97" s="87"/>
      <c r="F97" s="87"/>
      <c r="G97" s="87"/>
      <c r="H97" s="87"/>
      <c r="I97" s="87"/>
      <c r="J97" s="87"/>
      <c r="K97" s="87"/>
      <c r="L97" s="87"/>
      <c r="M97" s="87"/>
      <c r="N97" s="87"/>
      <c r="O97" s="87"/>
      <c r="P97" s="87"/>
      <c r="Q97" s="87"/>
      <c r="R97" s="87"/>
      <c r="S97" s="87"/>
      <c r="T97" s="87"/>
      <c r="U97" s="88"/>
    </row>
    <row r="98" spans="1:33" ht="97.5" customHeight="1" x14ac:dyDescent="0.15">
      <c r="B98" s="95"/>
      <c r="C98" s="96" t="s">
        <v>59</v>
      </c>
      <c r="D98" s="91" t="s">
        <v>162</v>
      </c>
      <c r="E98" s="92"/>
      <c r="F98" s="92"/>
      <c r="G98" s="92"/>
      <c r="H98" s="92"/>
      <c r="I98" s="92"/>
      <c r="J98" s="92"/>
      <c r="K98" s="92"/>
      <c r="L98" s="92"/>
      <c r="M98" s="92"/>
      <c r="N98" s="92"/>
      <c r="O98" s="92"/>
      <c r="P98" s="92"/>
      <c r="Q98" s="92"/>
      <c r="R98" s="92"/>
      <c r="S98" s="92"/>
      <c r="T98" s="92"/>
      <c r="U98" s="93"/>
    </row>
    <row r="99" spans="1:33" ht="97.5" customHeight="1" x14ac:dyDescent="0.15">
      <c r="B99" s="84" t="s">
        <v>77</v>
      </c>
      <c r="C99" s="94" t="s">
        <v>56</v>
      </c>
      <c r="D99" s="86" t="s">
        <v>186</v>
      </c>
      <c r="E99" s="87"/>
      <c r="F99" s="87"/>
      <c r="G99" s="87"/>
      <c r="H99" s="87"/>
      <c r="I99" s="87"/>
      <c r="J99" s="87"/>
      <c r="K99" s="87"/>
      <c r="L99" s="87"/>
      <c r="M99" s="87"/>
      <c r="N99" s="87"/>
      <c r="O99" s="87"/>
      <c r="P99" s="87"/>
      <c r="Q99" s="87"/>
      <c r="R99" s="87"/>
      <c r="S99" s="87"/>
      <c r="T99" s="87"/>
      <c r="U99" s="88"/>
    </row>
    <row r="100" spans="1:33" ht="97.5" customHeight="1" x14ac:dyDescent="0.15">
      <c r="B100" s="89"/>
      <c r="C100" s="98" t="s">
        <v>73</v>
      </c>
      <c r="D100" s="99" t="s">
        <v>187</v>
      </c>
      <c r="E100" s="100"/>
      <c r="F100" s="100"/>
      <c r="G100" s="100"/>
      <c r="H100" s="100"/>
      <c r="I100" s="100"/>
      <c r="J100" s="100"/>
      <c r="K100" s="100"/>
      <c r="L100" s="100"/>
      <c r="M100" s="100"/>
      <c r="N100" s="100"/>
      <c r="O100" s="100"/>
      <c r="P100" s="100"/>
      <c r="Q100" s="100"/>
      <c r="R100" s="100"/>
      <c r="S100" s="100"/>
      <c r="T100" s="100"/>
      <c r="U100" s="101"/>
    </row>
    <row r="101" spans="1:33" ht="97.5" customHeight="1" x14ac:dyDescent="0.15">
      <c r="B101" s="95"/>
      <c r="C101" s="97" t="s">
        <v>74</v>
      </c>
      <c r="D101" s="91" t="s">
        <v>188</v>
      </c>
      <c r="E101" s="92"/>
      <c r="F101" s="92"/>
      <c r="G101" s="92"/>
      <c r="H101" s="92"/>
      <c r="I101" s="92"/>
      <c r="J101" s="92"/>
      <c r="K101" s="92"/>
      <c r="L101" s="92"/>
      <c r="M101" s="92"/>
      <c r="N101" s="92"/>
      <c r="O101" s="92"/>
      <c r="P101" s="92"/>
      <c r="Q101" s="92"/>
      <c r="R101" s="92"/>
      <c r="S101" s="92"/>
      <c r="T101" s="92"/>
      <c r="U101" s="93"/>
    </row>
    <row r="102" spans="1:33" ht="6" customHeight="1" x14ac:dyDescent="0.15"/>
    <row r="103" spans="1:33" ht="18.75" customHeight="1" x14ac:dyDescent="0.15">
      <c r="A103" s="2" t="s">
        <v>109</v>
      </c>
    </row>
    <row r="104" spans="1:33" ht="81.75" customHeight="1" x14ac:dyDescent="0.15">
      <c r="B104" s="102" t="s">
        <v>164</v>
      </c>
      <c r="C104" s="103"/>
      <c r="D104" s="103"/>
      <c r="E104" s="103"/>
      <c r="F104" s="103"/>
      <c r="G104" s="103"/>
      <c r="H104" s="103"/>
      <c r="I104" s="103"/>
      <c r="J104" s="103"/>
      <c r="K104" s="103"/>
      <c r="L104" s="103"/>
      <c r="M104" s="103"/>
      <c r="N104" s="103"/>
      <c r="O104" s="103"/>
      <c r="P104" s="103"/>
      <c r="Q104" s="103"/>
      <c r="R104" s="103"/>
      <c r="S104" s="103"/>
      <c r="T104" s="103"/>
      <c r="U104" s="104"/>
    </row>
    <row r="106" spans="1:33" ht="18.75" customHeight="1" x14ac:dyDescent="0.15">
      <c r="A106" s="1" t="s">
        <v>124</v>
      </c>
    </row>
    <row r="107" spans="1:33" ht="18.75" customHeight="1" x14ac:dyDescent="0.15">
      <c r="A107" s="1" t="s">
        <v>126</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row>
    <row r="108" spans="1:33" ht="18.75" customHeight="1" x14ac:dyDescent="0.15">
      <c r="A108" s="1"/>
      <c r="B108" s="35" t="s">
        <v>129</v>
      </c>
      <c r="C108" s="35"/>
      <c r="D108" s="35"/>
      <c r="E108" s="35"/>
      <c r="F108" s="35"/>
      <c r="G108" s="35"/>
      <c r="H108" s="35"/>
      <c r="I108" s="35"/>
      <c r="J108" s="35"/>
      <c r="K108" s="35"/>
      <c r="L108" s="35"/>
      <c r="M108" s="35"/>
      <c r="N108" s="35"/>
      <c r="O108" s="35"/>
      <c r="P108" s="35"/>
      <c r="Q108" s="35"/>
      <c r="R108" s="35"/>
      <c r="S108" s="35"/>
      <c r="T108" s="35"/>
      <c r="U108" s="35"/>
      <c r="V108" s="105"/>
      <c r="W108" s="105"/>
      <c r="X108" s="105"/>
      <c r="Y108" s="105"/>
      <c r="Z108" s="105"/>
      <c r="AA108" s="105"/>
      <c r="AB108" s="105"/>
      <c r="AC108" s="105"/>
      <c r="AD108" s="105"/>
      <c r="AE108" s="105"/>
      <c r="AF108" s="105"/>
      <c r="AG108" s="105"/>
    </row>
    <row r="109" spans="1:33" ht="37.35" customHeight="1" x14ac:dyDescent="0.15">
      <c r="A109" s="1"/>
      <c r="B109" s="35"/>
      <c r="C109" s="35"/>
      <c r="D109" s="35"/>
      <c r="E109" s="35"/>
      <c r="F109" s="35"/>
      <c r="G109" s="35"/>
      <c r="H109" s="35"/>
      <c r="I109" s="35"/>
      <c r="J109" s="35"/>
      <c r="K109" s="35"/>
      <c r="L109" s="35"/>
      <c r="M109" s="35"/>
      <c r="N109" s="35"/>
      <c r="O109" s="35"/>
      <c r="P109" s="35"/>
      <c r="Q109" s="35"/>
      <c r="R109" s="35"/>
      <c r="S109" s="35"/>
      <c r="T109" s="35"/>
      <c r="U109" s="35"/>
      <c r="V109" s="105"/>
      <c r="W109" s="105"/>
      <c r="X109" s="105"/>
      <c r="Y109" s="105"/>
      <c r="Z109" s="105"/>
      <c r="AA109" s="105"/>
      <c r="AB109" s="105"/>
      <c r="AC109" s="105"/>
      <c r="AD109" s="105"/>
      <c r="AE109" s="105"/>
      <c r="AF109" s="105"/>
      <c r="AG109" s="105"/>
    </row>
    <row r="110" spans="1:33" ht="18.75" customHeight="1" x14ac:dyDescent="0.15">
      <c r="A110" s="1"/>
      <c r="B110" s="16" t="s">
        <v>125</v>
      </c>
      <c r="C110" s="16"/>
      <c r="D110" s="16"/>
      <c r="E110" s="16"/>
      <c r="F110" s="16"/>
      <c r="G110" s="16"/>
      <c r="H110" s="16"/>
      <c r="I110" s="16"/>
      <c r="J110" s="16"/>
      <c r="K110" s="16"/>
      <c r="L110" s="16"/>
      <c r="M110" s="16"/>
      <c r="N110" s="16"/>
      <c r="O110" s="16"/>
      <c r="P110" s="16"/>
      <c r="Q110" s="16"/>
      <c r="R110" s="16"/>
      <c r="S110" s="16"/>
      <c r="T110" s="16"/>
      <c r="U110" s="16"/>
      <c r="V110" s="105"/>
      <c r="W110" s="105"/>
      <c r="X110" s="105"/>
      <c r="Y110" s="105"/>
      <c r="Z110" s="105"/>
      <c r="AA110" s="105"/>
      <c r="AB110" s="105"/>
      <c r="AC110" s="105"/>
      <c r="AD110" s="105"/>
      <c r="AE110" s="105"/>
      <c r="AF110" s="105"/>
      <c r="AG110" s="105"/>
    </row>
    <row r="111" spans="1:33" ht="18.75" customHeight="1" x14ac:dyDescent="0.15">
      <c r="A111" s="1"/>
      <c r="B111" s="17" t="s">
        <v>54</v>
      </c>
      <c r="C111" s="17"/>
      <c r="D111" s="17"/>
      <c r="E111" s="17"/>
      <c r="F111" s="17"/>
      <c r="G111" s="17"/>
      <c r="H111" s="17"/>
      <c r="I111" s="17"/>
      <c r="J111" s="17"/>
      <c r="K111" s="17"/>
      <c r="L111" s="17"/>
      <c r="M111" s="17"/>
      <c r="N111" s="17"/>
      <c r="O111" s="17"/>
      <c r="P111" s="17"/>
      <c r="Q111" s="17"/>
      <c r="R111" s="17"/>
      <c r="S111" s="17"/>
      <c r="T111" s="17"/>
      <c r="U111" s="17"/>
      <c r="V111" s="1"/>
      <c r="W111" s="1"/>
      <c r="X111" s="1"/>
      <c r="Y111" s="1"/>
      <c r="Z111" s="1"/>
      <c r="AA111" s="1"/>
      <c r="AB111" s="1"/>
      <c r="AC111" s="1"/>
      <c r="AD111" s="1"/>
      <c r="AE111" s="1"/>
      <c r="AF111" s="1"/>
      <c r="AG111" s="1"/>
    </row>
    <row r="112" spans="1:33" ht="132" customHeight="1" x14ac:dyDescent="0.15">
      <c r="A112" s="1"/>
      <c r="B112" s="18" t="s">
        <v>165</v>
      </c>
      <c r="C112" s="19"/>
      <c r="D112" s="19"/>
      <c r="E112" s="19"/>
      <c r="F112" s="19"/>
      <c r="G112" s="19"/>
      <c r="H112" s="19"/>
      <c r="I112" s="19"/>
      <c r="J112" s="19"/>
      <c r="K112" s="19"/>
      <c r="L112" s="19"/>
      <c r="M112" s="19"/>
      <c r="N112" s="19"/>
      <c r="O112" s="19"/>
      <c r="P112" s="19"/>
      <c r="Q112" s="19"/>
      <c r="R112" s="19"/>
      <c r="S112" s="19"/>
      <c r="T112" s="19"/>
      <c r="U112" s="19"/>
      <c r="V112" s="106"/>
      <c r="W112" s="106"/>
      <c r="X112" s="106"/>
      <c r="Y112" s="106"/>
      <c r="Z112" s="106"/>
      <c r="AA112" s="106"/>
      <c r="AB112" s="106"/>
      <c r="AC112" s="106"/>
      <c r="AD112" s="106"/>
      <c r="AE112" s="106"/>
      <c r="AF112" s="106"/>
      <c r="AG112" s="106"/>
    </row>
    <row r="114" s="2" customFormat="1"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R71:U77 S60:U66 H60:J66 G71:J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59055118110236227" right="0.78740157480314965" top="0.78740157480314965" bottom="0.59055118110236227" header="0.31496062992125984" footer="0.31496062992125984"/>
  <pageSetup paperSize="9" scale="70" fitToHeight="0" orientation="portrait" r:id="rId1"/>
  <headerFooter>
    <oddHeader>&amp;C数理・データサイエンス・AI教育プログラム認定制度【リテラシーレベル】</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view="pageBreakPreview" zoomScaleNormal="100" zoomScaleSheetLayoutView="100" workbookViewId="0">
      <selection activeCell="I9" sqref="I9"/>
    </sheetView>
  </sheetViews>
  <sheetFormatPr defaultColWidth="9" defaultRowHeight="18.75" customHeight="1" x14ac:dyDescent="0.15"/>
  <cols>
    <col min="1" max="1" width="2.875" style="2" customWidth="1"/>
    <col min="2" max="2" width="20.875" style="2" customWidth="1"/>
    <col min="3" max="18" width="6.125" style="2" customWidth="1"/>
    <col min="19" max="19" width="6.625" style="2" customWidth="1"/>
    <col min="20" max="16384" width="9" style="2"/>
  </cols>
  <sheetData>
    <row r="1" spans="1:21" ht="18" customHeight="1" x14ac:dyDescent="0.15">
      <c r="S1" s="2" t="s">
        <v>98</v>
      </c>
    </row>
    <row r="2" spans="1:21" ht="18" customHeight="1" x14ac:dyDescent="0.15">
      <c r="Q2" s="48" t="str">
        <f>様式１プログラムを構成する授業科目!C2</f>
        <v>九州ルーテル学院大学</v>
      </c>
      <c r="R2" s="48"/>
      <c r="S2" s="48"/>
    </row>
    <row r="3" spans="1:21" ht="18" customHeight="1" x14ac:dyDescent="0.15">
      <c r="A3" s="20" t="s">
        <v>47</v>
      </c>
      <c r="B3" s="20"/>
      <c r="C3" s="20"/>
      <c r="D3" s="20"/>
      <c r="E3" s="20"/>
      <c r="F3" s="20"/>
      <c r="G3" s="20"/>
      <c r="H3" s="20"/>
      <c r="I3" s="20"/>
      <c r="J3" s="20"/>
      <c r="K3" s="20"/>
      <c r="L3" s="20"/>
      <c r="M3" s="20"/>
      <c r="N3" s="20"/>
      <c r="O3" s="20"/>
      <c r="P3" s="20"/>
      <c r="Q3" s="20"/>
      <c r="R3" s="20"/>
      <c r="S3" s="20"/>
    </row>
    <row r="4" spans="1:21" ht="7.5" customHeight="1" x14ac:dyDescent="0.15">
      <c r="A4" s="7"/>
      <c r="B4" s="7"/>
      <c r="C4" s="7"/>
      <c r="D4" s="7"/>
      <c r="E4" s="7"/>
      <c r="F4" s="7"/>
      <c r="G4" s="7"/>
      <c r="H4" s="7"/>
      <c r="I4" s="7"/>
      <c r="J4" s="7"/>
      <c r="K4" s="7"/>
      <c r="L4" s="7"/>
      <c r="M4" s="7"/>
      <c r="N4" s="7"/>
      <c r="O4" s="7"/>
      <c r="P4" s="7"/>
      <c r="Q4" s="7"/>
      <c r="R4" s="7"/>
      <c r="S4" s="7"/>
    </row>
    <row r="5" spans="1:21" ht="18" customHeight="1" x14ac:dyDescent="0.15">
      <c r="A5" s="2" t="s">
        <v>80</v>
      </c>
      <c r="C5" s="49" t="s">
        <v>179</v>
      </c>
      <c r="D5" s="50"/>
      <c r="E5" s="7" t="s">
        <v>51</v>
      </c>
      <c r="F5" s="7"/>
      <c r="G5" s="7"/>
      <c r="H5" s="7"/>
      <c r="I5" s="7"/>
      <c r="J5" s="7"/>
      <c r="K5" s="7"/>
      <c r="L5" s="7"/>
      <c r="M5" s="7"/>
      <c r="N5" s="7"/>
      <c r="O5" s="7"/>
      <c r="P5" s="7"/>
      <c r="Q5" s="7"/>
      <c r="R5" s="5"/>
      <c r="S5" s="5"/>
    </row>
    <row r="6" spans="1:21" ht="7.35" customHeight="1" x14ac:dyDescent="0.15">
      <c r="C6" s="11"/>
      <c r="D6" s="11"/>
      <c r="E6" s="7"/>
      <c r="F6" s="7"/>
      <c r="G6" s="7"/>
      <c r="H6" s="7"/>
      <c r="I6" s="7"/>
      <c r="J6" s="7"/>
      <c r="K6" s="7"/>
      <c r="L6" s="7"/>
      <c r="M6" s="7"/>
      <c r="N6" s="7"/>
      <c r="O6" s="7"/>
      <c r="P6" s="7"/>
      <c r="Q6" s="7"/>
      <c r="R6" s="5"/>
      <c r="S6" s="5"/>
    </row>
    <row r="7" spans="1:21" ht="18" customHeight="1" x14ac:dyDescent="0.15">
      <c r="A7" s="2" t="s">
        <v>117</v>
      </c>
      <c r="C7" s="11"/>
      <c r="D7" s="11"/>
      <c r="E7" s="7" t="s">
        <v>118</v>
      </c>
      <c r="F7" s="10">
        <v>143</v>
      </c>
      <c r="G7" s="8" t="s">
        <v>119</v>
      </c>
      <c r="H7" s="7" t="s">
        <v>120</v>
      </c>
      <c r="I7" s="10">
        <v>532</v>
      </c>
      <c r="J7" s="8" t="s">
        <v>119</v>
      </c>
      <c r="K7" s="4" t="s">
        <v>121</v>
      </c>
      <c r="L7" s="7" t="s">
        <v>122</v>
      </c>
      <c r="M7" s="10">
        <f>F7+I7</f>
        <v>675</v>
      </c>
      <c r="N7" s="7" t="s">
        <v>1</v>
      </c>
      <c r="O7" s="8" t="s">
        <v>123</v>
      </c>
      <c r="P7" s="7"/>
      <c r="Q7" s="7"/>
      <c r="R7" s="5"/>
      <c r="S7" s="5"/>
    </row>
    <row r="8" spans="1:21" ht="6" customHeight="1" x14ac:dyDescent="0.15">
      <c r="A8" s="7"/>
      <c r="B8" s="7"/>
      <c r="C8" s="7"/>
      <c r="D8" s="7"/>
      <c r="E8" s="7"/>
      <c r="F8" s="7"/>
      <c r="G8" s="7"/>
      <c r="H8" s="7"/>
      <c r="I8" s="7"/>
      <c r="J8" s="7"/>
      <c r="K8" s="7"/>
      <c r="L8" s="7"/>
      <c r="M8" s="7"/>
      <c r="N8" s="7"/>
      <c r="O8" s="7"/>
      <c r="P8" s="7"/>
      <c r="Q8" s="7"/>
      <c r="R8" s="7"/>
      <c r="S8" s="7"/>
    </row>
    <row r="9" spans="1:21" ht="18" customHeight="1" x14ac:dyDescent="0.15">
      <c r="A9" s="2" t="s">
        <v>133</v>
      </c>
      <c r="B9" s="7"/>
      <c r="C9" s="7"/>
      <c r="D9" s="7"/>
      <c r="E9" s="7"/>
      <c r="F9" s="7"/>
      <c r="G9" s="7"/>
      <c r="H9" s="7"/>
      <c r="I9" s="7"/>
      <c r="J9" s="7"/>
      <c r="K9" s="7"/>
      <c r="L9" s="7"/>
      <c r="M9" s="7"/>
      <c r="N9" s="7"/>
      <c r="O9" s="7"/>
      <c r="P9" s="7"/>
      <c r="Q9" s="7"/>
      <c r="R9" s="7"/>
      <c r="S9" s="7"/>
    </row>
    <row r="10" spans="1:21" ht="6" customHeight="1" x14ac:dyDescent="0.15">
      <c r="B10" s="7"/>
      <c r="C10" s="7"/>
      <c r="D10" s="7"/>
      <c r="E10" s="7"/>
      <c r="F10" s="7"/>
      <c r="G10" s="7"/>
      <c r="H10" s="7"/>
      <c r="I10" s="7"/>
      <c r="J10" s="7"/>
      <c r="K10" s="7"/>
      <c r="L10" s="7"/>
      <c r="M10" s="7"/>
      <c r="N10" s="7"/>
      <c r="O10" s="7"/>
      <c r="P10" s="7"/>
      <c r="Q10" s="7"/>
      <c r="R10" s="7"/>
      <c r="S10" s="7"/>
    </row>
    <row r="11" spans="1:21" ht="18" customHeight="1" x14ac:dyDescent="0.15">
      <c r="B11" s="204" t="s">
        <v>44</v>
      </c>
      <c r="C11" s="205" t="s">
        <v>83</v>
      </c>
      <c r="D11" s="206" t="s">
        <v>46</v>
      </c>
      <c r="E11" s="207" t="s">
        <v>39</v>
      </c>
      <c r="F11" s="208" t="s">
        <v>111</v>
      </c>
      <c r="G11" s="208"/>
      <c r="H11" s="208" t="s">
        <v>82</v>
      </c>
      <c r="I11" s="208"/>
      <c r="J11" s="208" t="s">
        <v>48</v>
      </c>
      <c r="K11" s="208"/>
      <c r="L11" s="208" t="s">
        <v>49</v>
      </c>
      <c r="M11" s="208"/>
      <c r="N11" s="208" t="s">
        <v>92</v>
      </c>
      <c r="O11" s="208"/>
      <c r="P11" s="208" t="s">
        <v>50</v>
      </c>
      <c r="Q11" s="208"/>
      <c r="R11" s="209" t="s">
        <v>35</v>
      </c>
      <c r="S11" s="210" t="s">
        <v>32</v>
      </c>
      <c r="U11" s="1"/>
    </row>
    <row r="12" spans="1:21" ht="17.100000000000001" customHeight="1" x14ac:dyDescent="0.15">
      <c r="B12" s="211"/>
      <c r="C12" s="212"/>
      <c r="D12" s="213"/>
      <c r="E12" s="214"/>
      <c r="F12" s="215" t="s">
        <v>91</v>
      </c>
      <c r="G12" s="215" t="s">
        <v>29</v>
      </c>
      <c r="H12" s="215" t="s">
        <v>91</v>
      </c>
      <c r="I12" s="215" t="s">
        <v>29</v>
      </c>
      <c r="J12" s="215" t="s">
        <v>91</v>
      </c>
      <c r="K12" s="215" t="s">
        <v>29</v>
      </c>
      <c r="L12" s="215" t="s">
        <v>91</v>
      </c>
      <c r="M12" s="215" t="s">
        <v>29</v>
      </c>
      <c r="N12" s="215" t="s">
        <v>91</v>
      </c>
      <c r="O12" s="215" t="s">
        <v>29</v>
      </c>
      <c r="P12" s="215" t="s">
        <v>91</v>
      </c>
      <c r="Q12" s="216" t="s">
        <v>29</v>
      </c>
      <c r="R12" s="217"/>
      <c r="S12" s="218"/>
      <c r="U12" s="1"/>
    </row>
    <row r="13" spans="1:21" ht="18" customHeight="1" x14ac:dyDescent="0.15">
      <c r="A13" s="5"/>
      <c r="B13" s="219" t="s">
        <v>139</v>
      </c>
      <c r="C13" s="220">
        <v>394</v>
      </c>
      <c r="D13" s="221">
        <v>100</v>
      </c>
      <c r="E13" s="222">
        <v>355</v>
      </c>
      <c r="F13" s="222">
        <v>99</v>
      </c>
      <c r="G13" s="222">
        <v>42</v>
      </c>
      <c r="H13" s="222"/>
      <c r="I13" s="222"/>
      <c r="J13" s="222"/>
      <c r="K13" s="222"/>
      <c r="L13" s="222"/>
      <c r="M13" s="222"/>
      <c r="N13" s="222"/>
      <c r="O13" s="222"/>
      <c r="P13" s="223"/>
      <c r="Q13" s="224"/>
      <c r="R13" s="225">
        <f t="shared" ref="R13:R14" si="0">F13+H13+J13+L13+N13+P13</f>
        <v>99</v>
      </c>
      <c r="S13" s="226">
        <f t="shared" ref="S13:S33" si="1">R13/E13</f>
        <v>0.27887323943661974</v>
      </c>
    </row>
    <row r="14" spans="1:21" ht="18" customHeight="1" x14ac:dyDescent="0.15">
      <c r="A14" s="5"/>
      <c r="B14" s="227" t="s">
        <v>140</v>
      </c>
      <c r="C14" s="228">
        <v>281</v>
      </c>
      <c r="D14" s="229">
        <v>50</v>
      </c>
      <c r="E14" s="230">
        <v>245</v>
      </c>
      <c r="F14" s="231">
        <v>61</v>
      </c>
      <c r="G14" s="231">
        <v>32</v>
      </c>
      <c r="H14" s="231"/>
      <c r="I14" s="231"/>
      <c r="J14" s="231"/>
      <c r="K14" s="231"/>
      <c r="L14" s="231"/>
      <c r="M14" s="231"/>
      <c r="N14" s="231"/>
      <c r="O14" s="231"/>
      <c r="P14" s="232"/>
      <c r="Q14" s="233"/>
      <c r="R14" s="234">
        <f t="shared" si="0"/>
        <v>61</v>
      </c>
      <c r="S14" s="235">
        <f t="shared" si="1"/>
        <v>0.24897959183673468</v>
      </c>
    </row>
    <row r="15" spans="1:21" ht="18" customHeight="1" x14ac:dyDescent="0.15">
      <c r="A15" s="5"/>
      <c r="B15" s="227"/>
      <c r="C15" s="233"/>
      <c r="D15" s="234"/>
      <c r="E15" s="236"/>
      <c r="F15" s="232"/>
      <c r="G15" s="232"/>
      <c r="H15" s="232"/>
      <c r="I15" s="232"/>
      <c r="J15" s="232"/>
      <c r="K15" s="232"/>
      <c r="L15" s="232"/>
      <c r="M15" s="232"/>
      <c r="N15" s="232"/>
      <c r="O15" s="232"/>
      <c r="P15" s="232"/>
      <c r="Q15" s="233"/>
      <c r="R15" s="234"/>
      <c r="S15" s="237"/>
    </row>
    <row r="16" spans="1:21" ht="18" customHeight="1" x14ac:dyDescent="0.15">
      <c r="A16" s="5"/>
      <c r="B16" s="227"/>
      <c r="C16" s="233"/>
      <c r="D16" s="234"/>
      <c r="E16" s="236"/>
      <c r="F16" s="232"/>
      <c r="G16" s="232"/>
      <c r="H16" s="232"/>
      <c r="I16" s="232"/>
      <c r="J16" s="232"/>
      <c r="K16" s="232"/>
      <c r="L16" s="232"/>
      <c r="M16" s="232"/>
      <c r="N16" s="232"/>
      <c r="O16" s="232"/>
      <c r="P16" s="232"/>
      <c r="Q16" s="233"/>
      <c r="R16" s="234"/>
      <c r="S16" s="237"/>
    </row>
    <row r="17" spans="1:19" ht="18" customHeight="1" x14ac:dyDescent="0.15">
      <c r="A17" s="5"/>
      <c r="B17" s="227"/>
      <c r="C17" s="233"/>
      <c r="D17" s="234"/>
      <c r="E17" s="236"/>
      <c r="F17" s="232"/>
      <c r="G17" s="232"/>
      <c r="H17" s="232"/>
      <c r="I17" s="232"/>
      <c r="J17" s="232"/>
      <c r="K17" s="232"/>
      <c r="L17" s="232"/>
      <c r="M17" s="232"/>
      <c r="N17" s="232"/>
      <c r="O17" s="232"/>
      <c r="P17" s="232"/>
      <c r="Q17" s="233"/>
      <c r="R17" s="234"/>
      <c r="S17" s="237"/>
    </row>
    <row r="18" spans="1:19" ht="18" customHeight="1" x14ac:dyDescent="0.15">
      <c r="A18" s="5"/>
      <c r="B18" s="227"/>
      <c r="C18" s="233"/>
      <c r="D18" s="234"/>
      <c r="E18" s="236"/>
      <c r="F18" s="232"/>
      <c r="G18" s="232"/>
      <c r="H18" s="232"/>
      <c r="I18" s="232"/>
      <c r="J18" s="232"/>
      <c r="K18" s="232"/>
      <c r="L18" s="232"/>
      <c r="M18" s="232"/>
      <c r="N18" s="232"/>
      <c r="O18" s="232"/>
      <c r="P18" s="232"/>
      <c r="Q18" s="233"/>
      <c r="R18" s="234"/>
      <c r="S18" s="237"/>
    </row>
    <row r="19" spans="1:19" ht="18" customHeight="1" x14ac:dyDescent="0.15">
      <c r="A19" s="5"/>
      <c r="B19" s="227"/>
      <c r="C19" s="233"/>
      <c r="D19" s="234"/>
      <c r="E19" s="236"/>
      <c r="F19" s="232"/>
      <c r="G19" s="232"/>
      <c r="H19" s="232"/>
      <c r="I19" s="232"/>
      <c r="J19" s="232"/>
      <c r="K19" s="232"/>
      <c r="L19" s="232"/>
      <c r="M19" s="232"/>
      <c r="N19" s="232"/>
      <c r="O19" s="232"/>
      <c r="P19" s="232"/>
      <c r="Q19" s="233"/>
      <c r="R19" s="234"/>
      <c r="S19" s="237"/>
    </row>
    <row r="20" spans="1:19" ht="18" customHeight="1" x14ac:dyDescent="0.15">
      <c r="A20" s="5"/>
      <c r="B20" s="227"/>
      <c r="C20" s="233"/>
      <c r="D20" s="234"/>
      <c r="E20" s="236"/>
      <c r="F20" s="232"/>
      <c r="G20" s="232"/>
      <c r="H20" s="232"/>
      <c r="I20" s="232"/>
      <c r="J20" s="232"/>
      <c r="K20" s="232"/>
      <c r="L20" s="232"/>
      <c r="M20" s="232"/>
      <c r="N20" s="232"/>
      <c r="O20" s="232"/>
      <c r="P20" s="232"/>
      <c r="Q20" s="233"/>
      <c r="R20" s="234"/>
      <c r="S20" s="237"/>
    </row>
    <row r="21" spans="1:19" ht="18" customHeight="1" x14ac:dyDescent="0.15">
      <c r="A21" s="5"/>
      <c r="B21" s="227"/>
      <c r="C21" s="233"/>
      <c r="D21" s="234"/>
      <c r="E21" s="236"/>
      <c r="F21" s="232"/>
      <c r="G21" s="232"/>
      <c r="H21" s="232"/>
      <c r="I21" s="232"/>
      <c r="J21" s="232"/>
      <c r="K21" s="232"/>
      <c r="L21" s="232"/>
      <c r="M21" s="232"/>
      <c r="N21" s="232"/>
      <c r="O21" s="232"/>
      <c r="P21" s="232"/>
      <c r="Q21" s="233"/>
      <c r="R21" s="234"/>
      <c r="S21" s="237"/>
    </row>
    <row r="22" spans="1:19" ht="18" customHeight="1" x14ac:dyDescent="0.15">
      <c r="A22" s="5"/>
      <c r="B22" s="227"/>
      <c r="C22" s="233"/>
      <c r="D22" s="234"/>
      <c r="E22" s="236"/>
      <c r="F22" s="232"/>
      <c r="G22" s="232"/>
      <c r="H22" s="232"/>
      <c r="I22" s="232"/>
      <c r="J22" s="232"/>
      <c r="K22" s="232"/>
      <c r="L22" s="232"/>
      <c r="M22" s="232"/>
      <c r="N22" s="232"/>
      <c r="O22" s="232"/>
      <c r="P22" s="232"/>
      <c r="Q22" s="233"/>
      <c r="R22" s="234"/>
      <c r="S22" s="237"/>
    </row>
    <row r="23" spans="1:19" ht="18" customHeight="1" x14ac:dyDescent="0.15">
      <c r="A23" s="5"/>
      <c r="B23" s="227"/>
      <c r="C23" s="233"/>
      <c r="D23" s="234"/>
      <c r="E23" s="236"/>
      <c r="F23" s="232"/>
      <c r="G23" s="232"/>
      <c r="H23" s="232"/>
      <c r="I23" s="232"/>
      <c r="J23" s="232"/>
      <c r="K23" s="232"/>
      <c r="L23" s="232"/>
      <c r="M23" s="232"/>
      <c r="N23" s="232"/>
      <c r="O23" s="232"/>
      <c r="P23" s="232"/>
      <c r="Q23" s="233"/>
      <c r="R23" s="234"/>
      <c r="S23" s="237"/>
    </row>
    <row r="24" spans="1:19" ht="18" customHeight="1" x14ac:dyDescent="0.15">
      <c r="A24" s="5"/>
      <c r="B24" s="227"/>
      <c r="C24" s="233"/>
      <c r="D24" s="234"/>
      <c r="E24" s="236"/>
      <c r="F24" s="232"/>
      <c r="G24" s="232"/>
      <c r="H24" s="232"/>
      <c r="I24" s="232"/>
      <c r="J24" s="232"/>
      <c r="K24" s="232"/>
      <c r="L24" s="232"/>
      <c r="M24" s="232"/>
      <c r="N24" s="232"/>
      <c r="O24" s="232"/>
      <c r="P24" s="232"/>
      <c r="Q24" s="233"/>
      <c r="R24" s="234"/>
      <c r="S24" s="237"/>
    </row>
    <row r="25" spans="1:19" ht="18" customHeight="1" x14ac:dyDescent="0.15">
      <c r="A25" s="5"/>
      <c r="B25" s="227"/>
      <c r="C25" s="233"/>
      <c r="D25" s="234"/>
      <c r="E25" s="236"/>
      <c r="F25" s="232"/>
      <c r="G25" s="232"/>
      <c r="H25" s="232"/>
      <c r="I25" s="232"/>
      <c r="J25" s="232"/>
      <c r="K25" s="232"/>
      <c r="L25" s="232"/>
      <c r="M25" s="232"/>
      <c r="N25" s="232"/>
      <c r="O25" s="232"/>
      <c r="P25" s="232"/>
      <c r="Q25" s="233"/>
      <c r="R25" s="234"/>
      <c r="S25" s="237"/>
    </row>
    <row r="26" spans="1:19" ht="18" customHeight="1" x14ac:dyDescent="0.15">
      <c r="A26" s="5"/>
      <c r="B26" s="227"/>
      <c r="C26" s="233"/>
      <c r="D26" s="234"/>
      <c r="E26" s="236"/>
      <c r="F26" s="232"/>
      <c r="G26" s="232"/>
      <c r="H26" s="232"/>
      <c r="I26" s="232"/>
      <c r="J26" s="232"/>
      <c r="K26" s="232"/>
      <c r="L26" s="232"/>
      <c r="M26" s="232"/>
      <c r="N26" s="232"/>
      <c r="O26" s="232"/>
      <c r="P26" s="232"/>
      <c r="Q26" s="233"/>
      <c r="R26" s="234"/>
      <c r="S26" s="237"/>
    </row>
    <row r="27" spans="1:19" ht="18" customHeight="1" x14ac:dyDescent="0.15">
      <c r="A27" s="5"/>
      <c r="B27" s="227"/>
      <c r="C27" s="233"/>
      <c r="D27" s="234"/>
      <c r="E27" s="236"/>
      <c r="F27" s="232"/>
      <c r="G27" s="232"/>
      <c r="H27" s="232"/>
      <c r="I27" s="232"/>
      <c r="J27" s="232"/>
      <c r="K27" s="232"/>
      <c r="L27" s="232"/>
      <c r="M27" s="232"/>
      <c r="N27" s="232"/>
      <c r="O27" s="232"/>
      <c r="P27" s="232"/>
      <c r="Q27" s="233"/>
      <c r="R27" s="234"/>
      <c r="S27" s="237"/>
    </row>
    <row r="28" spans="1:19" ht="18" customHeight="1" x14ac:dyDescent="0.15">
      <c r="A28" s="5"/>
      <c r="B28" s="227"/>
      <c r="C28" s="233"/>
      <c r="D28" s="234"/>
      <c r="E28" s="236"/>
      <c r="F28" s="232"/>
      <c r="G28" s="232"/>
      <c r="H28" s="232"/>
      <c r="I28" s="232"/>
      <c r="J28" s="232"/>
      <c r="K28" s="232"/>
      <c r="L28" s="232"/>
      <c r="M28" s="232"/>
      <c r="N28" s="232"/>
      <c r="O28" s="232"/>
      <c r="P28" s="232"/>
      <c r="Q28" s="233"/>
      <c r="R28" s="234"/>
      <c r="S28" s="237"/>
    </row>
    <row r="29" spans="1:19" ht="18" customHeight="1" x14ac:dyDescent="0.15">
      <c r="A29" s="5"/>
      <c r="B29" s="227"/>
      <c r="C29" s="233"/>
      <c r="D29" s="234"/>
      <c r="E29" s="236"/>
      <c r="F29" s="232"/>
      <c r="G29" s="232"/>
      <c r="H29" s="232"/>
      <c r="I29" s="232"/>
      <c r="J29" s="232"/>
      <c r="K29" s="232"/>
      <c r="L29" s="232"/>
      <c r="M29" s="232"/>
      <c r="N29" s="232"/>
      <c r="O29" s="232"/>
      <c r="P29" s="232"/>
      <c r="Q29" s="233"/>
      <c r="R29" s="234"/>
      <c r="S29" s="237"/>
    </row>
    <row r="30" spans="1:19" ht="18" customHeight="1" x14ac:dyDescent="0.15">
      <c r="A30" s="5"/>
      <c r="B30" s="227"/>
      <c r="C30" s="233"/>
      <c r="D30" s="238"/>
      <c r="E30" s="236"/>
      <c r="F30" s="232"/>
      <c r="G30" s="232"/>
      <c r="H30" s="232"/>
      <c r="I30" s="232"/>
      <c r="J30" s="232"/>
      <c r="K30" s="232"/>
      <c r="L30" s="232"/>
      <c r="M30" s="232"/>
      <c r="N30" s="232"/>
      <c r="O30" s="232"/>
      <c r="P30" s="232"/>
      <c r="Q30" s="233"/>
      <c r="R30" s="238"/>
      <c r="S30" s="237"/>
    </row>
    <row r="31" spans="1:19" ht="18" customHeight="1" x14ac:dyDescent="0.15">
      <c r="A31" s="5"/>
      <c r="B31" s="227"/>
      <c r="C31" s="233"/>
      <c r="D31" s="238"/>
      <c r="E31" s="236"/>
      <c r="F31" s="232"/>
      <c r="G31" s="232"/>
      <c r="H31" s="232"/>
      <c r="I31" s="232"/>
      <c r="J31" s="232"/>
      <c r="K31" s="232"/>
      <c r="L31" s="232"/>
      <c r="M31" s="232"/>
      <c r="N31" s="232"/>
      <c r="O31" s="232"/>
      <c r="P31" s="232"/>
      <c r="Q31" s="233"/>
      <c r="R31" s="238"/>
      <c r="S31" s="237"/>
    </row>
    <row r="32" spans="1:19" ht="18" customHeight="1" thickBot="1" x14ac:dyDescent="0.2">
      <c r="A32" s="5"/>
      <c r="B32" s="239"/>
      <c r="C32" s="240"/>
      <c r="D32" s="241"/>
      <c r="E32" s="223"/>
      <c r="F32" s="223"/>
      <c r="G32" s="223"/>
      <c r="H32" s="223"/>
      <c r="I32" s="223"/>
      <c r="J32" s="223"/>
      <c r="K32" s="223"/>
      <c r="L32" s="223"/>
      <c r="M32" s="223"/>
      <c r="N32" s="223"/>
      <c r="O32" s="223"/>
      <c r="P32" s="223"/>
      <c r="Q32" s="233"/>
      <c r="R32" s="241"/>
      <c r="S32" s="242"/>
    </row>
    <row r="33" spans="2:19" ht="18" customHeight="1" thickTop="1" x14ac:dyDescent="0.15">
      <c r="B33" s="243" t="s">
        <v>33</v>
      </c>
      <c r="C33" s="244">
        <f t="shared" ref="C33" si="2">SUM(C13:C32)</f>
        <v>675</v>
      </c>
      <c r="D33" s="245">
        <f t="shared" ref="D33:R33" si="3">SUM(D13:D32)</f>
        <v>150</v>
      </c>
      <c r="E33" s="246">
        <f t="shared" si="3"/>
        <v>600</v>
      </c>
      <c r="F33" s="246">
        <f t="shared" si="3"/>
        <v>160</v>
      </c>
      <c r="G33" s="246">
        <f t="shared" ref="G33:H33" si="4">SUM(G13:G32)</f>
        <v>74</v>
      </c>
      <c r="H33" s="246">
        <f t="shared" si="4"/>
        <v>0</v>
      </c>
      <c r="I33" s="246">
        <f t="shared" ref="I33:J33" si="5">SUM(I13:I32)</f>
        <v>0</v>
      </c>
      <c r="J33" s="246">
        <f t="shared" si="5"/>
        <v>0</v>
      </c>
      <c r="K33" s="246">
        <f t="shared" ref="K33:O33" si="6">SUM(K13:K32)</f>
        <v>0</v>
      </c>
      <c r="L33" s="246">
        <f t="shared" si="6"/>
        <v>0</v>
      </c>
      <c r="M33" s="246">
        <f t="shared" si="6"/>
        <v>0</v>
      </c>
      <c r="N33" s="246">
        <f t="shared" si="6"/>
        <v>0</v>
      </c>
      <c r="O33" s="246">
        <f t="shared" si="6"/>
        <v>0</v>
      </c>
      <c r="P33" s="246">
        <f t="shared" ref="P33:Q33" si="7">SUM(P13:P32)</f>
        <v>0</v>
      </c>
      <c r="Q33" s="244">
        <f t="shared" si="7"/>
        <v>0</v>
      </c>
      <c r="R33" s="245">
        <f t="shared" si="3"/>
        <v>160</v>
      </c>
      <c r="S33" s="247">
        <f t="shared" si="1"/>
        <v>0.26666666666666666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59055118110236227" right="0.78740157480314965" top="0.78740157480314965" bottom="0.59055118110236227" header="0.31496062992125984" footer="0.31496062992125984"/>
  <pageSetup paperSize="9" scale="70" fitToHeight="0" orientation="portrait"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134"/>
  <sheetViews>
    <sheetView showZeros="0" view="pageBreakPreview" zoomScaleNormal="100" zoomScaleSheetLayoutView="100" workbookViewId="0">
      <selection activeCell="I9" sqref="I9"/>
    </sheetView>
  </sheetViews>
  <sheetFormatPr defaultColWidth="11.375" defaultRowHeight="18.75" customHeight="1" x14ac:dyDescent="0.15"/>
  <cols>
    <col min="1" max="1" width="2.875" style="142" customWidth="1"/>
    <col min="2" max="2" width="16.625" style="2" customWidth="1"/>
    <col min="3" max="3" width="8.875" style="2" customWidth="1"/>
    <col min="4" max="4" width="2.125" style="2" customWidth="1"/>
    <col min="5" max="5" width="16.625" style="2" customWidth="1"/>
    <col min="6" max="6" width="4.375" style="2" customWidth="1"/>
    <col min="7" max="7" width="9" style="2" customWidth="1"/>
    <col min="8" max="8" width="16.625" style="2" customWidth="1"/>
    <col min="9" max="9" width="12.125" style="2" customWidth="1"/>
    <col min="10" max="16384" width="11.375" style="2"/>
  </cols>
  <sheetData>
    <row r="1" spans="1:9" ht="18.75" customHeight="1" x14ac:dyDescent="0.15">
      <c r="A1" s="142" t="s">
        <v>63</v>
      </c>
      <c r="I1" s="4" t="s">
        <v>97</v>
      </c>
    </row>
    <row r="2" spans="1:9" ht="18.75" customHeight="1" x14ac:dyDescent="0.15">
      <c r="G2" s="4" t="s">
        <v>99</v>
      </c>
      <c r="H2" s="49" t="s">
        <v>135</v>
      </c>
      <c r="I2" s="50"/>
    </row>
    <row r="3" spans="1:9" ht="18.75" customHeight="1" x14ac:dyDescent="0.15">
      <c r="G3" s="4"/>
      <c r="H3" s="8"/>
      <c r="I3" s="8"/>
    </row>
    <row r="4" spans="1:9" ht="18.600000000000001" customHeight="1" x14ac:dyDescent="0.15">
      <c r="A4" s="20" t="s">
        <v>36</v>
      </c>
      <c r="B4" s="20"/>
      <c r="C4" s="20"/>
      <c r="D4" s="20"/>
      <c r="E4" s="20"/>
      <c r="F4" s="20"/>
      <c r="G4" s="20"/>
      <c r="H4" s="20"/>
      <c r="I4" s="20"/>
    </row>
    <row r="5" spans="1:9" ht="13.35" customHeight="1" x14ac:dyDescent="0.15">
      <c r="B5" s="7"/>
      <c r="C5" s="7"/>
      <c r="D5" s="7"/>
      <c r="E5" s="7"/>
      <c r="F5" s="7"/>
      <c r="G5" s="7"/>
      <c r="H5" s="7"/>
      <c r="I5" s="7"/>
    </row>
    <row r="6" spans="1:9" ht="18" customHeight="1" x14ac:dyDescent="0.15">
      <c r="A6" s="2" t="s">
        <v>0</v>
      </c>
      <c r="B6" s="8" t="s">
        <v>86</v>
      </c>
      <c r="C6" s="143" t="s">
        <v>87</v>
      </c>
      <c r="D6" s="143"/>
      <c r="E6" s="3">
        <v>37</v>
      </c>
      <c r="F6" s="7" t="s">
        <v>1</v>
      </c>
      <c r="G6" s="7" t="s">
        <v>2</v>
      </c>
      <c r="H6" s="3">
        <v>73</v>
      </c>
      <c r="I6" s="8" t="s">
        <v>1</v>
      </c>
    </row>
    <row r="7" spans="1:9" ht="12" customHeight="1" x14ac:dyDescent="0.15">
      <c r="C7" s="1"/>
      <c r="D7" s="1"/>
      <c r="E7" s="1"/>
      <c r="F7" s="1"/>
      <c r="G7" s="1"/>
      <c r="H7" s="1"/>
      <c r="I7" s="144"/>
    </row>
    <row r="8" spans="1:9" ht="18" customHeight="1" x14ac:dyDescent="0.15">
      <c r="A8" s="2" t="s">
        <v>3</v>
      </c>
      <c r="B8" s="8" t="s">
        <v>88</v>
      </c>
      <c r="E8" s="7"/>
      <c r="F8" s="7"/>
      <c r="G8" s="7"/>
      <c r="H8" s="3">
        <v>6</v>
      </c>
      <c r="I8" s="8" t="s">
        <v>1</v>
      </c>
    </row>
    <row r="9" spans="1:9" ht="9" customHeight="1" x14ac:dyDescent="0.15">
      <c r="B9" s="7"/>
      <c r="C9" s="7"/>
      <c r="D9" s="7"/>
      <c r="E9" s="7"/>
      <c r="F9" s="7"/>
      <c r="G9" s="7"/>
      <c r="H9" s="7"/>
      <c r="I9" s="7"/>
    </row>
    <row r="10" spans="1:9" ht="18" customHeight="1" x14ac:dyDescent="0.15">
      <c r="A10" s="2" t="s">
        <v>4</v>
      </c>
      <c r="B10" s="8" t="s">
        <v>89</v>
      </c>
      <c r="C10" s="7"/>
      <c r="D10" s="7"/>
      <c r="E10" s="7"/>
      <c r="F10" s="7"/>
      <c r="G10" s="7"/>
      <c r="H10" s="7"/>
      <c r="I10" s="7"/>
    </row>
    <row r="11" spans="1:9" ht="18" customHeight="1" x14ac:dyDescent="0.15">
      <c r="B11" s="4" t="s">
        <v>42</v>
      </c>
      <c r="C11" s="107" t="s">
        <v>136</v>
      </c>
      <c r="D11" s="145"/>
      <c r="E11" s="146"/>
      <c r="F11" s="144"/>
      <c r="G11" s="4" t="s">
        <v>10</v>
      </c>
      <c r="H11" s="147" t="s">
        <v>177</v>
      </c>
      <c r="I11" s="148"/>
    </row>
    <row r="12" spans="1:9" ht="10.35" customHeight="1" x14ac:dyDescent="0.15">
      <c r="B12" s="4"/>
      <c r="C12" s="8"/>
      <c r="D12" s="144"/>
      <c r="E12" s="144"/>
      <c r="F12" s="144"/>
      <c r="G12" s="4"/>
      <c r="H12" s="8"/>
      <c r="I12" s="144"/>
    </row>
    <row r="13" spans="1:9" ht="18" customHeight="1" x14ac:dyDescent="0.15">
      <c r="A13" s="2" t="s">
        <v>7</v>
      </c>
      <c r="B13" s="8" t="s">
        <v>84</v>
      </c>
      <c r="C13" s="7"/>
      <c r="D13" s="7"/>
      <c r="E13" s="7"/>
      <c r="F13" s="7"/>
      <c r="G13" s="7"/>
      <c r="H13" s="7"/>
      <c r="I13" s="7"/>
    </row>
    <row r="14" spans="1:9" ht="18" customHeight="1" x14ac:dyDescent="0.15">
      <c r="B14" s="107" t="s">
        <v>185</v>
      </c>
      <c r="C14" s="149"/>
      <c r="D14" s="149"/>
      <c r="E14" s="149"/>
      <c r="F14" s="149"/>
      <c r="G14" s="149"/>
      <c r="H14" s="149"/>
      <c r="I14" s="150"/>
    </row>
    <row r="15" spans="1:9" ht="9" customHeight="1" x14ac:dyDescent="0.15">
      <c r="B15" s="7"/>
      <c r="C15" s="7"/>
      <c r="D15" s="7"/>
      <c r="E15" s="7"/>
      <c r="F15" s="7"/>
      <c r="G15" s="7"/>
      <c r="H15" s="7"/>
      <c r="I15" s="7"/>
    </row>
    <row r="16" spans="1:9" ht="18" customHeight="1" x14ac:dyDescent="0.15">
      <c r="B16" s="4" t="s">
        <v>42</v>
      </c>
      <c r="C16" s="107" t="s">
        <v>175</v>
      </c>
      <c r="D16" s="145"/>
      <c r="E16" s="146"/>
      <c r="F16" s="144"/>
      <c r="G16" s="4" t="s">
        <v>10</v>
      </c>
      <c r="H16" s="107" t="s">
        <v>178</v>
      </c>
      <c r="I16" s="146"/>
    </row>
    <row r="17" spans="1:9" ht="18" customHeight="1" x14ac:dyDescent="0.15">
      <c r="B17" s="7"/>
      <c r="C17" s="7"/>
      <c r="D17" s="7"/>
      <c r="E17" s="7"/>
      <c r="F17" s="7"/>
      <c r="G17" s="7"/>
      <c r="H17" s="7"/>
      <c r="I17" s="7"/>
    </row>
    <row r="18" spans="1:9" ht="18.75" customHeight="1" x14ac:dyDescent="0.15">
      <c r="A18" s="2" t="s">
        <v>5</v>
      </c>
      <c r="B18" s="2" t="s">
        <v>41</v>
      </c>
      <c r="I18" s="7"/>
    </row>
    <row r="19" spans="1:9" ht="18.75" customHeight="1" x14ac:dyDescent="0.15">
      <c r="A19" s="2"/>
      <c r="B19" s="151" t="s">
        <v>184</v>
      </c>
      <c r="C19" s="152"/>
      <c r="D19" s="152"/>
      <c r="E19" s="152"/>
      <c r="F19" s="152"/>
      <c r="G19" s="152"/>
      <c r="H19" s="152"/>
      <c r="I19" s="153"/>
    </row>
    <row r="20" spans="1:9" ht="7.5" customHeight="1" x14ac:dyDescent="0.15">
      <c r="B20" s="7"/>
      <c r="C20" s="7"/>
      <c r="D20" s="7"/>
      <c r="E20" s="7"/>
      <c r="F20" s="7"/>
      <c r="G20" s="7"/>
      <c r="H20" s="7"/>
      <c r="I20" s="7"/>
    </row>
    <row r="21" spans="1:9" ht="18.75" customHeight="1" x14ac:dyDescent="0.15">
      <c r="A21" s="2" t="s">
        <v>8</v>
      </c>
      <c r="B21" s="2" t="s">
        <v>25</v>
      </c>
    </row>
    <row r="22" spans="1:9" ht="18.75" customHeight="1" x14ac:dyDescent="0.15">
      <c r="A22" s="69"/>
      <c r="B22" s="154" t="s">
        <v>137</v>
      </c>
      <c r="C22" s="155"/>
      <c r="D22" s="155"/>
      <c r="E22" s="155"/>
      <c r="F22" s="155"/>
      <c r="G22" s="155"/>
      <c r="H22" s="155"/>
      <c r="I22" s="156"/>
    </row>
    <row r="23" spans="1:9" ht="18.75" customHeight="1" x14ac:dyDescent="0.15">
      <c r="A23" s="69"/>
      <c r="B23" s="157"/>
      <c r="C23" s="158"/>
      <c r="D23" s="158"/>
      <c r="E23" s="158"/>
      <c r="F23" s="158"/>
      <c r="G23" s="158"/>
      <c r="H23" s="158"/>
      <c r="I23" s="159"/>
    </row>
    <row r="24" spans="1:9" ht="18.75" customHeight="1" x14ac:dyDescent="0.15">
      <c r="A24" s="69"/>
      <c r="B24" s="157"/>
      <c r="C24" s="158"/>
      <c r="D24" s="158"/>
      <c r="E24" s="158"/>
      <c r="F24" s="158"/>
      <c r="G24" s="158"/>
      <c r="H24" s="158"/>
      <c r="I24" s="159"/>
    </row>
    <row r="25" spans="1:9" ht="18.75" customHeight="1" x14ac:dyDescent="0.15">
      <c r="A25" s="69"/>
      <c r="B25" s="157"/>
      <c r="C25" s="158"/>
      <c r="D25" s="158"/>
      <c r="E25" s="158"/>
      <c r="F25" s="158"/>
      <c r="G25" s="158"/>
      <c r="H25" s="158"/>
      <c r="I25" s="159"/>
    </row>
    <row r="26" spans="1:9" ht="18.75" customHeight="1" x14ac:dyDescent="0.15">
      <c r="A26" s="69"/>
      <c r="B26" s="157"/>
      <c r="C26" s="158"/>
      <c r="D26" s="158"/>
      <c r="E26" s="158"/>
      <c r="F26" s="158"/>
      <c r="G26" s="158"/>
      <c r="H26" s="158"/>
      <c r="I26" s="159"/>
    </row>
    <row r="27" spans="1:9" ht="13.5" customHeight="1" x14ac:dyDescent="0.15">
      <c r="A27" s="69"/>
      <c r="B27" s="157"/>
      <c r="C27" s="158"/>
      <c r="D27" s="158"/>
      <c r="E27" s="158"/>
      <c r="F27" s="158"/>
      <c r="G27" s="158"/>
      <c r="H27" s="158"/>
      <c r="I27" s="159"/>
    </row>
    <row r="28" spans="1:9" ht="13.5" customHeight="1" x14ac:dyDescent="0.15">
      <c r="A28" s="69"/>
      <c r="B28" s="157"/>
      <c r="C28" s="158"/>
      <c r="D28" s="158"/>
      <c r="E28" s="158"/>
      <c r="F28" s="158"/>
      <c r="G28" s="158"/>
      <c r="H28" s="158"/>
      <c r="I28" s="159"/>
    </row>
    <row r="29" spans="1:9" ht="13.5" customHeight="1" x14ac:dyDescent="0.15">
      <c r="A29" s="69"/>
      <c r="B29" s="157"/>
      <c r="C29" s="158"/>
      <c r="D29" s="158"/>
      <c r="E29" s="158"/>
      <c r="F29" s="158"/>
      <c r="G29" s="158"/>
      <c r="H29" s="158"/>
      <c r="I29" s="159"/>
    </row>
    <row r="30" spans="1:9" ht="13.5" customHeight="1" x14ac:dyDescent="0.15">
      <c r="A30" s="69"/>
      <c r="B30" s="160"/>
      <c r="C30" s="161"/>
      <c r="D30" s="161"/>
      <c r="E30" s="161"/>
      <c r="F30" s="161"/>
      <c r="G30" s="161"/>
      <c r="H30" s="161"/>
      <c r="I30" s="159"/>
    </row>
    <row r="31" spans="1:9" ht="13.5" customHeight="1" x14ac:dyDescent="0.15">
      <c r="A31" s="69"/>
      <c r="B31" s="160"/>
      <c r="C31" s="161"/>
      <c r="D31" s="161"/>
      <c r="E31" s="161"/>
      <c r="F31" s="161"/>
      <c r="G31" s="161"/>
      <c r="H31" s="161"/>
      <c r="I31" s="159"/>
    </row>
    <row r="32" spans="1:9" ht="13.5" customHeight="1" x14ac:dyDescent="0.15">
      <c r="A32" s="69"/>
      <c r="B32" s="162"/>
      <c r="C32" s="163"/>
      <c r="D32" s="163"/>
      <c r="E32" s="163"/>
      <c r="F32" s="163"/>
      <c r="G32" s="163"/>
      <c r="H32" s="163"/>
      <c r="I32" s="164"/>
    </row>
    <row r="33" spans="1:9" ht="7.5" customHeight="1" x14ac:dyDescent="0.15">
      <c r="A33" s="69"/>
      <c r="B33" s="69"/>
      <c r="C33" s="69"/>
      <c r="D33" s="69"/>
      <c r="E33" s="69"/>
      <c r="F33" s="69"/>
      <c r="G33" s="69"/>
      <c r="H33" s="69"/>
      <c r="I33" s="69"/>
    </row>
    <row r="34" spans="1:9" ht="18.75" customHeight="1" x14ac:dyDescent="0.15">
      <c r="A34" s="14" t="s">
        <v>6</v>
      </c>
      <c r="B34" s="14" t="s">
        <v>9</v>
      </c>
      <c r="C34" s="8"/>
      <c r="D34" s="14"/>
      <c r="E34" s="14"/>
      <c r="F34" s="14"/>
      <c r="G34" s="14"/>
      <c r="H34" s="14"/>
      <c r="I34" s="14"/>
    </row>
    <row r="35" spans="1:9" ht="18.75" customHeight="1" x14ac:dyDescent="0.15">
      <c r="A35" s="69"/>
      <c r="B35" s="154" t="s">
        <v>189</v>
      </c>
      <c r="C35" s="155"/>
      <c r="D35" s="155"/>
      <c r="E35" s="155"/>
      <c r="F35" s="155"/>
      <c r="G35" s="155"/>
      <c r="H35" s="155"/>
      <c r="I35" s="156"/>
    </row>
    <row r="36" spans="1:9" ht="18.75" customHeight="1" x14ac:dyDescent="0.15">
      <c r="A36" s="69"/>
      <c r="B36" s="160"/>
      <c r="C36" s="161"/>
      <c r="D36" s="161"/>
      <c r="E36" s="161"/>
      <c r="F36" s="161"/>
      <c r="G36" s="161"/>
      <c r="H36" s="161"/>
      <c r="I36" s="159"/>
    </row>
    <row r="37" spans="1:9" ht="18.75" customHeight="1" x14ac:dyDescent="0.15">
      <c r="A37" s="69"/>
      <c r="B37" s="160"/>
      <c r="C37" s="161"/>
      <c r="D37" s="161"/>
      <c r="E37" s="161"/>
      <c r="F37" s="161"/>
      <c r="G37" s="161"/>
      <c r="H37" s="161"/>
      <c r="I37" s="159"/>
    </row>
    <row r="38" spans="1:9" ht="18.75" customHeight="1" x14ac:dyDescent="0.15">
      <c r="A38" s="69"/>
      <c r="B38" s="160"/>
      <c r="C38" s="161"/>
      <c r="D38" s="161"/>
      <c r="E38" s="161"/>
      <c r="F38" s="161"/>
      <c r="G38" s="161"/>
      <c r="H38" s="161"/>
      <c r="I38" s="159"/>
    </row>
    <row r="39" spans="1:9" ht="18.75" customHeight="1" x14ac:dyDescent="0.15">
      <c r="A39" s="69"/>
      <c r="B39" s="160"/>
      <c r="C39" s="161"/>
      <c r="D39" s="161"/>
      <c r="E39" s="161"/>
      <c r="F39" s="161"/>
      <c r="G39" s="161"/>
      <c r="H39" s="161"/>
      <c r="I39" s="159"/>
    </row>
    <row r="40" spans="1:9" ht="18.75" customHeight="1" x14ac:dyDescent="0.15">
      <c r="A40" s="69"/>
      <c r="B40" s="160"/>
      <c r="C40" s="161"/>
      <c r="D40" s="161"/>
      <c r="E40" s="161"/>
      <c r="F40" s="161"/>
      <c r="G40" s="161"/>
      <c r="H40" s="161"/>
      <c r="I40" s="159"/>
    </row>
    <row r="41" spans="1:9" ht="18.75" customHeight="1" x14ac:dyDescent="0.15">
      <c r="A41" s="69"/>
      <c r="B41" s="160"/>
      <c r="C41" s="161"/>
      <c r="D41" s="161"/>
      <c r="E41" s="161"/>
      <c r="F41" s="161"/>
      <c r="G41" s="161"/>
      <c r="H41" s="161"/>
      <c r="I41" s="159"/>
    </row>
    <row r="42" spans="1:9" ht="18.75" customHeight="1" x14ac:dyDescent="0.15">
      <c r="A42" s="69"/>
      <c r="B42" s="160"/>
      <c r="C42" s="161"/>
      <c r="D42" s="161"/>
      <c r="E42" s="161"/>
      <c r="F42" s="161"/>
      <c r="G42" s="161"/>
      <c r="H42" s="161"/>
      <c r="I42" s="159"/>
    </row>
    <row r="43" spans="1:9" ht="18.75" customHeight="1" x14ac:dyDescent="0.15">
      <c r="A43" s="69"/>
      <c r="B43" s="160"/>
      <c r="C43" s="161"/>
      <c r="D43" s="161"/>
      <c r="E43" s="161"/>
      <c r="F43" s="161"/>
      <c r="G43" s="161"/>
      <c r="H43" s="161"/>
      <c r="I43" s="159"/>
    </row>
    <row r="44" spans="1:9" ht="18.75" customHeight="1" x14ac:dyDescent="0.15">
      <c r="A44" s="69"/>
      <c r="B44" s="160"/>
      <c r="C44" s="161"/>
      <c r="D44" s="161"/>
      <c r="E44" s="161"/>
      <c r="F44" s="161"/>
      <c r="G44" s="161"/>
      <c r="H44" s="161"/>
      <c r="I44" s="159"/>
    </row>
    <row r="45" spans="1:9" ht="18.75" customHeight="1" x14ac:dyDescent="0.15">
      <c r="A45" s="69"/>
      <c r="B45" s="160"/>
      <c r="C45" s="161"/>
      <c r="D45" s="161"/>
      <c r="E45" s="161"/>
      <c r="F45" s="161"/>
      <c r="G45" s="161"/>
      <c r="H45" s="161"/>
      <c r="I45" s="159"/>
    </row>
    <row r="46" spans="1:9" ht="18.75" customHeight="1" x14ac:dyDescent="0.15">
      <c r="A46" s="69"/>
      <c r="B46" s="162"/>
      <c r="C46" s="163"/>
      <c r="D46" s="163"/>
      <c r="E46" s="163"/>
      <c r="F46" s="163"/>
      <c r="G46" s="163"/>
      <c r="H46" s="163"/>
      <c r="I46" s="164"/>
    </row>
    <row r="47" spans="1:9" ht="7.5" customHeight="1" x14ac:dyDescent="0.15">
      <c r="A47" s="112"/>
      <c r="B47" s="112"/>
      <c r="C47" s="112"/>
      <c r="D47" s="112"/>
      <c r="E47" s="112"/>
      <c r="F47" s="112"/>
      <c r="G47" s="112"/>
      <c r="H47" s="112"/>
      <c r="I47" s="112"/>
    </row>
    <row r="48" spans="1:9" ht="18.75" customHeight="1" x14ac:dyDescent="0.15">
      <c r="A48" s="2" t="s">
        <v>31</v>
      </c>
      <c r="B48" s="2" t="s">
        <v>190</v>
      </c>
    </row>
    <row r="49" spans="1:15" s="7" customFormat="1" ht="18.75" customHeight="1" x14ac:dyDescent="0.15">
      <c r="B49" s="165" t="s">
        <v>127</v>
      </c>
      <c r="C49" s="166">
        <f>様式２履修者等数の実績!S33</f>
        <v>0.26666666666666666</v>
      </c>
      <c r="D49" s="166"/>
      <c r="E49" s="165" t="s">
        <v>64</v>
      </c>
      <c r="F49" s="166">
        <v>0.4</v>
      </c>
      <c r="G49" s="166"/>
      <c r="H49" s="165" t="s">
        <v>65</v>
      </c>
      <c r="I49" s="167">
        <v>0.6</v>
      </c>
      <c r="J49" s="2"/>
      <c r="M49" s="2"/>
      <c r="N49" s="168"/>
    </row>
    <row r="50" spans="1:15" s="7" customFormat="1" ht="18.75" customHeight="1" x14ac:dyDescent="0.15">
      <c r="B50" s="15" t="s">
        <v>85</v>
      </c>
      <c r="C50" s="169">
        <v>0.7</v>
      </c>
      <c r="D50" s="169"/>
      <c r="E50" s="15" t="s">
        <v>128</v>
      </c>
      <c r="F50" s="169">
        <v>0.9</v>
      </c>
      <c r="G50" s="169"/>
      <c r="H50" s="15" t="s">
        <v>66</v>
      </c>
      <c r="I50" s="170">
        <f>様式２履修者等数の実績!E33</f>
        <v>600</v>
      </c>
      <c r="J50" s="2"/>
      <c r="M50" s="2"/>
      <c r="N50" s="168"/>
    </row>
    <row r="51" spans="1:15" ht="18.75" customHeight="1" x14ac:dyDescent="0.15">
      <c r="A51" s="2"/>
      <c r="B51" s="171" t="s">
        <v>67</v>
      </c>
      <c r="C51" s="172"/>
      <c r="D51" s="172"/>
      <c r="E51" s="172"/>
      <c r="F51" s="172"/>
      <c r="G51" s="172"/>
      <c r="H51" s="172"/>
      <c r="I51" s="173"/>
      <c r="N51" s="168"/>
      <c r="O51" s="7"/>
    </row>
    <row r="52" spans="1:15" ht="18.75" customHeight="1" x14ac:dyDescent="0.15">
      <c r="A52" s="2"/>
      <c r="B52" s="174" t="s">
        <v>191</v>
      </c>
      <c r="C52" s="175"/>
      <c r="D52" s="175"/>
      <c r="E52" s="175"/>
      <c r="F52" s="175"/>
      <c r="G52" s="175"/>
      <c r="H52" s="175"/>
      <c r="I52" s="176"/>
      <c r="N52" s="168"/>
      <c r="O52" s="7"/>
    </row>
    <row r="53" spans="1:15" ht="18.75" customHeight="1" x14ac:dyDescent="0.15">
      <c r="A53" s="2"/>
      <c r="B53" s="177"/>
      <c r="C53" s="178"/>
      <c r="D53" s="178"/>
      <c r="E53" s="178"/>
      <c r="F53" s="178"/>
      <c r="G53" s="178"/>
      <c r="H53" s="178"/>
      <c r="I53" s="179"/>
      <c r="N53" s="168"/>
      <c r="O53" s="7"/>
    </row>
    <row r="54" spans="1:15" ht="18.75" customHeight="1" x14ac:dyDescent="0.15">
      <c r="A54" s="2"/>
      <c r="B54" s="177"/>
      <c r="C54" s="178"/>
      <c r="D54" s="178"/>
      <c r="E54" s="178"/>
      <c r="F54" s="178"/>
      <c r="G54" s="178"/>
      <c r="H54" s="178"/>
      <c r="I54" s="179"/>
    </row>
    <row r="55" spans="1:15" ht="18.75" customHeight="1" x14ac:dyDescent="0.15">
      <c r="A55" s="2"/>
      <c r="B55" s="177"/>
      <c r="C55" s="178"/>
      <c r="D55" s="178"/>
      <c r="E55" s="178"/>
      <c r="F55" s="178"/>
      <c r="G55" s="178"/>
      <c r="H55" s="178"/>
      <c r="I55" s="179"/>
    </row>
    <row r="56" spans="1:15" ht="18.75" customHeight="1" x14ac:dyDescent="0.15">
      <c r="A56" s="2"/>
      <c r="B56" s="177"/>
      <c r="C56" s="178"/>
      <c r="D56" s="178"/>
      <c r="E56" s="178"/>
      <c r="F56" s="178"/>
      <c r="G56" s="178"/>
      <c r="H56" s="178"/>
      <c r="I56" s="179"/>
    </row>
    <row r="57" spans="1:15" ht="18.75" customHeight="1" x14ac:dyDescent="0.15">
      <c r="A57" s="2"/>
      <c r="B57" s="177"/>
      <c r="C57" s="178"/>
      <c r="D57" s="178"/>
      <c r="E57" s="178"/>
      <c r="F57" s="178"/>
      <c r="G57" s="178"/>
      <c r="H57" s="178"/>
      <c r="I57" s="179"/>
    </row>
    <row r="58" spans="1:15" ht="18.75" customHeight="1" x14ac:dyDescent="0.15">
      <c r="A58" s="2"/>
      <c r="B58" s="177"/>
      <c r="C58" s="178"/>
      <c r="D58" s="178"/>
      <c r="E58" s="178"/>
      <c r="F58" s="178"/>
      <c r="G58" s="178"/>
      <c r="H58" s="178"/>
      <c r="I58" s="179"/>
    </row>
    <row r="59" spans="1:15" ht="18.75" customHeight="1" x14ac:dyDescent="0.15">
      <c r="A59" s="2"/>
      <c r="B59" s="177"/>
      <c r="C59" s="178"/>
      <c r="D59" s="178"/>
      <c r="E59" s="178"/>
      <c r="F59" s="178"/>
      <c r="G59" s="178"/>
      <c r="H59" s="178"/>
      <c r="I59" s="179"/>
    </row>
    <row r="60" spans="1:15" ht="18.75" customHeight="1" x14ac:dyDescent="0.15">
      <c r="A60" s="2"/>
      <c r="B60" s="177"/>
      <c r="C60" s="178"/>
      <c r="D60" s="178"/>
      <c r="E60" s="178"/>
      <c r="F60" s="178"/>
      <c r="G60" s="178"/>
      <c r="H60" s="178"/>
      <c r="I60" s="179"/>
    </row>
    <row r="61" spans="1:15" ht="18.75" customHeight="1" x14ac:dyDescent="0.15">
      <c r="A61" s="2"/>
      <c r="B61" s="177"/>
      <c r="C61" s="178"/>
      <c r="D61" s="178"/>
      <c r="E61" s="178"/>
      <c r="F61" s="178"/>
      <c r="G61" s="178"/>
      <c r="H61" s="178"/>
      <c r="I61" s="179"/>
    </row>
    <row r="62" spans="1:15" ht="18.75" customHeight="1" x14ac:dyDescent="0.15">
      <c r="A62" s="2"/>
      <c r="B62" s="177"/>
      <c r="C62" s="178"/>
      <c r="D62" s="178"/>
      <c r="E62" s="178"/>
      <c r="F62" s="178"/>
      <c r="G62" s="178"/>
      <c r="H62" s="178"/>
      <c r="I62" s="179"/>
    </row>
    <row r="63" spans="1:15" ht="98.25" customHeight="1" x14ac:dyDescent="0.15">
      <c r="A63" s="2"/>
      <c r="B63" s="180"/>
      <c r="C63" s="181"/>
      <c r="D63" s="181"/>
      <c r="E63" s="181"/>
      <c r="F63" s="181"/>
      <c r="G63" s="181"/>
      <c r="H63" s="181"/>
      <c r="I63" s="182"/>
    </row>
    <row r="64" spans="1:15" ht="7.5" customHeight="1" x14ac:dyDescent="0.15">
      <c r="A64" s="69"/>
      <c r="B64" s="69"/>
      <c r="C64" s="69"/>
      <c r="D64" s="69"/>
      <c r="E64" s="69"/>
      <c r="F64" s="69"/>
      <c r="G64" s="69"/>
      <c r="H64" s="69"/>
      <c r="I64" s="69"/>
    </row>
    <row r="65" spans="1:9" ht="18.75" customHeight="1" x14ac:dyDescent="0.15">
      <c r="A65" s="14" t="s">
        <v>34</v>
      </c>
      <c r="B65" s="2" t="s">
        <v>37</v>
      </c>
      <c r="I65" s="14"/>
    </row>
    <row r="66" spans="1:9" ht="18.75" customHeight="1" x14ac:dyDescent="0.15">
      <c r="A66" s="112"/>
      <c r="B66" s="183" t="s">
        <v>183</v>
      </c>
      <c r="C66" s="184"/>
      <c r="D66" s="184"/>
      <c r="E66" s="184"/>
      <c r="F66" s="184"/>
      <c r="G66" s="184"/>
      <c r="H66" s="184"/>
      <c r="I66" s="185"/>
    </row>
    <row r="67" spans="1:9" ht="18.75" customHeight="1" x14ac:dyDescent="0.15">
      <c r="A67" s="112"/>
      <c r="B67" s="186"/>
      <c r="C67" s="187"/>
      <c r="D67" s="187"/>
      <c r="E67" s="187"/>
      <c r="F67" s="187"/>
      <c r="G67" s="187"/>
      <c r="H67" s="187"/>
      <c r="I67" s="188"/>
    </row>
    <row r="68" spans="1:9" ht="18.75" customHeight="1" x14ac:dyDescent="0.15">
      <c r="A68" s="112"/>
      <c r="B68" s="186"/>
      <c r="C68" s="187"/>
      <c r="D68" s="187"/>
      <c r="E68" s="187"/>
      <c r="F68" s="187"/>
      <c r="G68" s="187"/>
      <c r="H68" s="187"/>
      <c r="I68" s="188"/>
    </row>
    <row r="69" spans="1:9" ht="18.75" customHeight="1" x14ac:dyDescent="0.15">
      <c r="A69" s="112"/>
      <c r="B69" s="186"/>
      <c r="C69" s="187"/>
      <c r="D69" s="187"/>
      <c r="E69" s="187"/>
      <c r="F69" s="187"/>
      <c r="G69" s="187"/>
      <c r="H69" s="187"/>
      <c r="I69" s="188"/>
    </row>
    <row r="70" spans="1:9" ht="18.75" customHeight="1" x14ac:dyDescent="0.15">
      <c r="A70" s="112"/>
      <c r="B70" s="186"/>
      <c r="C70" s="187"/>
      <c r="D70" s="187"/>
      <c r="E70" s="187"/>
      <c r="F70" s="187"/>
      <c r="G70" s="187"/>
      <c r="H70" s="187"/>
      <c r="I70" s="188"/>
    </row>
    <row r="71" spans="1:9" ht="18.75" customHeight="1" x14ac:dyDescent="0.15">
      <c r="A71" s="112"/>
      <c r="B71" s="186"/>
      <c r="C71" s="187"/>
      <c r="D71" s="187"/>
      <c r="E71" s="187"/>
      <c r="F71" s="187"/>
      <c r="G71" s="187"/>
      <c r="H71" s="187"/>
      <c r="I71" s="188"/>
    </row>
    <row r="72" spans="1:9" ht="9.75" customHeight="1" x14ac:dyDescent="0.15">
      <c r="A72" s="112"/>
      <c r="B72" s="186"/>
      <c r="C72" s="187"/>
      <c r="D72" s="187"/>
      <c r="E72" s="187"/>
      <c r="F72" s="187"/>
      <c r="G72" s="187"/>
      <c r="H72" s="187"/>
      <c r="I72" s="188"/>
    </row>
    <row r="73" spans="1:9" ht="9.75" customHeight="1" x14ac:dyDescent="0.15">
      <c r="A73" s="112"/>
      <c r="B73" s="186"/>
      <c r="C73" s="187"/>
      <c r="D73" s="187"/>
      <c r="E73" s="187"/>
      <c r="F73" s="187"/>
      <c r="G73" s="187"/>
      <c r="H73" s="187"/>
      <c r="I73" s="188"/>
    </row>
    <row r="74" spans="1:9" ht="9.75" customHeight="1" x14ac:dyDescent="0.15">
      <c r="A74" s="112"/>
      <c r="B74" s="186"/>
      <c r="C74" s="187"/>
      <c r="D74" s="187"/>
      <c r="E74" s="187"/>
      <c r="F74" s="187"/>
      <c r="G74" s="187"/>
      <c r="H74" s="187"/>
      <c r="I74" s="188"/>
    </row>
    <row r="75" spans="1:9" ht="9.75" customHeight="1" x14ac:dyDescent="0.15">
      <c r="A75" s="112"/>
      <c r="B75" s="186"/>
      <c r="C75" s="187"/>
      <c r="D75" s="187"/>
      <c r="E75" s="187"/>
      <c r="F75" s="187"/>
      <c r="G75" s="187"/>
      <c r="H75" s="187"/>
      <c r="I75" s="188"/>
    </row>
    <row r="76" spans="1:9" ht="9.75" customHeight="1" x14ac:dyDescent="0.15">
      <c r="A76" s="112"/>
      <c r="B76" s="186"/>
      <c r="C76" s="187"/>
      <c r="D76" s="187"/>
      <c r="E76" s="187"/>
      <c r="F76" s="187"/>
      <c r="G76" s="187"/>
      <c r="H76" s="187"/>
      <c r="I76" s="188"/>
    </row>
    <row r="77" spans="1:9" ht="9.75" customHeight="1" x14ac:dyDescent="0.15">
      <c r="A77" s="112"/>
      <c r="B77" s="189"/>
      <c r="C77" s="190"/>
      <c r="D77" s="190"/>
      <c r="E77" s="190"/>
      <c r="F77" s="190"/>
      <c r="G77" s="190"/>
      <c r="H77" s="190"/>
      <c r="I77" s="191"/>
    </row>
    <row r="78" spans="1:9" ht="7.5" customHeight="1" x14ac:dyDescent="0.15">
      <c r="A78" s="112"/>
      <c r="B78" s="112"/>
      <c r="C78" s="112"/>
      <c r="D78" s="112"/>
      <c r="E78" s="112"/>
      <c r="F78" s="112"/>
      <c r="G78" s="112"/>
      <c r="H78" s="112"/>
      <c r="I78" s="112"/>
    </row>
    <row r="79" spans="1:9" ht="18.75" customHeight="1" x14ac:dyDescent="0.15">
      <c r="A79" s="2" t="s">
        <v>11</v>
      </c>
      <c r="B79" s="2" t="s">
        <v>40</v>
      </c>
    </row>
    <row r="80" spans="1:9" ht="18.75" customHeight="1" x14ac:dyDescent="0.15">
      <c r="A80" s="2"/>
      <c r="B80" s="183" t="s">
        <v>182</v>
      </c>
      <c r="C80" s="184"/>
      <c r="D80" s="184"/>
      <c r="E80" s="184"/>
      <c r="F80" s="184"/>
      <c r="G80" s="184"/>
      <c r="H80" s="184"/>
      <c r="I80" s="192"/>
    </row>
    <row r="81" spans="1:9" ht="18.75" customHeight="1" x14ac:dyDescent="0.15">
      <c r="A81" s="2"/>
      <c r="B81" s="193"/>
      <c r="C81" s="194"/>
      <c r="D81" s="194"/>
      <c r="E81" s="194"/>
      <c r="F81" s="194"/>
      <c r="G81" s="194"/>
      <c r="H81" s="194"/>
      <c r="I81" s="195"/>
    </row>
    <row r="82" spans="1:9" ht="18.75" customHeight="1" x14ac:dyDescent="0.15">
      <c r="A82" s="2"/>
      <c r="B82" s="193"/>
      <c r="C82" s="194"/>
      <c r="D82" s="194"/>
      <c r="E82" s="194"/>
      <c r="F82" s="194"/>
      <c r="G82" s="194"/>
      <c r="H82" s="194"/>
      <c r="I82" s="195"/>
    </row>
    <row r="83" spans="1:9" ht="18.75" customHeight="1" x14ac:dyDescent="0.15">
      <c r="A83" s="2"/>
      <c r="B83" s="193"/>
      <c r="C83" s="194"/>
      <c r="D83" s="194"/>
      <c r="E83" s="194"/>
      <c r="F83" s="194"/>
      <c r="G83" s="194"/>
      <c r="H83" s="194"/>
      <c r="I83" s="195"/>
    </row>
    <row r="84" spans="1:9" ht="18.75" customHeight="1" x14ac:dyDescent="0.15">
      <c r="A84" s="2"/>
      <c r="B84" s="193"/>
      <c r="C84" s="194"/>
      <c r="D84" s="194"/>
      <c r="E84" s="194"/>
      <c r="F84" s="194"/>
      <c r="G84" s="194"/>
      <c r="H84" s="194"/>
      <c r="I84" s="195"/>
    </row>
    <row r="85" spans="1:9" ht="18.75" customHeight="1" x14ac:dyDescent="0.15">
      <c r="A85" s="2"/>
      <c r="B85" s="193"/>
      <c r="C85" s="194"/>
      <c r="D85" s="194"/>
      <c r="E85" s="194"/>
      <c r="F85" s="194"/>
      <c r="G85" s="194"/>
      <c r="H85" s="194"/>
      <c r="I85" s="195"/>
    </row>
    <row r="86" spans="1:9" ht="18.75" customHeight="1" x14ac:dyDescent="0.15">
      <c r="A86" s="2"/>
      <c r="B86" s="193"/>
      <c r="C86" s="194"/>
      <c r="D86" s="194"/>
      <c r="E86" s="194"/>
      <c r="F86" s="194"/>
      <c r="G86" s="194"/>
      <c r="H86" s="194"/>
      <c r="I86" s="195"/>
    </row>
    <row r="87" spans="1:9" ht="18.75" customHeight="1" x14ac:dyDescent="0.15">
      <c r="A87" s="2"/>
      <c r="B87" s="193"/>
      <c r="C87" s="194"/>
      <c r="D87" s="194"/>
      <c r="E87" s="194"/>
      <c r="F87" s="194"/>
      <c r="G87" s="194"/>
      <c r="H87" s="194"/>
      <c r="I87" s="195"/>
    </row>
    <row r="88" spans="1:9" ht="18.75" customHeight="1" x14ac:dyDescent="0.15">
      <c r="A88" s="2"/>
      <c r="B88" s="193"/>
      <c r="C88" s="194"/>
      <c r="D88" s="194"/>
      <c r="E88" s="194"/>
      <c r="F88" s="194"/>
      <c r="G88" s="194"/>
      <c r="H88" s="194"/>
      <c r="I88" s="195"/>
    </row>
    <row r="89" spans="1:9" ht="13.5" customHeight="1" x14ac:dyDescent="0.15">
      <c r="A89" s="2"/>
      <c r="B89" s="193"/>
      <c r="C89" s="194"/>
      <c r="D89" s="194"/>
      <c r="E89" s="194"/>
      <c r="F89" s="194"/>
      <c r="G89" s="194"/>
      <c r="H89" s="194"/>
      <c r="I89" s="195"/>
    </row>
    <row r="90" spans="1:9" ht="13.5" customHeight="1" x14ac:dyDescent="0.15">
      <c r="A90" s="112"/>
      <c r="B90" s="193"/>
      <c r="C90" s="194"/>
      <c r="D90" s="194"/>
      <c r="E90" s="194"/>
      <c r="F90" s="194"/>
      <c r="G90" s="194"/>
      <c r="H90" s="194"/>
      <c r="I90" s="195"/>
    </row>
    <row r="91" spans="1:9" ht="13.5" customHeight="1" x14ac:dyDescent="0.15">
      <c r="A91" s="112"/>
      <c r="B91" s="196"/>
      <c r="C91" s="197"/>
      <c r="D91" s="197"/>
      <c r="E91" s="197"/>
      <c r="F91" s="197"/>
      <c r="G91" s="197"/>
      <c r="H91" s="197"/>
      <c r="I91" s="198"/>
    </row>
    <row r="92" spans="1:9" ht="7.5" customHeight="1" x14ac:dyDescent="0.15">
      <c r="A92" s="112"/>
      <c r="B92" s="112"/>
      <c r="C92" s="112"/>
      <c r="D92" s="112"/>
      <c r="E92" s="112"/>
      <c r="F92" s="112"/>
      <c r="G92" s="112"/>
      <c r="H92" s="112"/>
      <c r="I92" s="112"/>
    </row>
    <row r="93" spans="1:9" ht="18.75" customHeight="1" x14ac:dyDescent="0.15">
      <c r="A93" s="2" t="s">
        <v>43</v>
      </c>
      <c r="B93" s="2" t="s">
        <v>13</v>
      </c>
    </row>
    <row r="94" spans="1:9" ht="18.75" customHeight="1" x14ac:dyDescent="0.15">
      <c r="A94" s="2"/>
      <c r="B94" s="154" t="s">
        <v>138</v>
      </c>
      <c r="C94" s="155"/>
      <c r="D94" s="155"/>
      <c r="E94" s="155"/>
      <c r="F94" s="155"/>
      <c r="G94" s="155"/>
      <c r="H94" s="155"/>
      <c r="I94" s="156"/>
    </row>
    <row r="95" spans="1:9" ht="18.75" customHeight="1" x14ac:dyDescent="0.15">
      <c r="A95" s="2"/>
      <c r="B95" s="160"/>
      <c r="C95" s="161"/>
      <c r="D95" s="161"/>
      <c r="E95" s="161"/>
      <c r="F95" s="161"/>
      <c r="G95" s="161"/>
      <c r="H95" s="161"/>
      <c r="I95" s="159"/>
    </row>
    <row r="96" spans="1:9" ht="18.75" customHeight="1" x14ac:dyDescent="0.15">
      <c r="A96" s="2"/>
      <c r="B96" s="160"/>
      <c r="C96" s="161"/>
      <c r="D96" s="161"/>
      <c r="E96" s="161"/>
      <c r="F96" s="161"/>
      <c r="G96" s="161"/>
      <c r="H96" s="161"/>
      <c r="I96" s="159"/>
    </row>
    <row r="97" spans="1:9" ht="18.75" customHeight="1" x14ac:dyDescent="0.15">
      <c r="A97" s="2"/>
      <c r="B97" s="160"/>
      <c r="C97" s="161"/>
      <c r="D97" s="161"/>
      <c r="E97" s="161"/>
      <c r="F97" s="161"/>
      <c r="G97" s="161"/>
      <c r="H97" s="161"/>
      <c r="I97" s="159"/>
    </row>
    <row r="98" spans="1:9" ht="18.75" customHeight="1" x14ac:dyDescent="0.15">
      <c r="A98" s="2"/>
      <c r="B98" s="160"/>
      <c r="C98" s="161"/>
      <c r="D98" s="161"/>
      <c r="E98" s="161"/>
      <c r="F98" s="161"/>
      <c r="G98" s="161"/>
      <c r="H98" s="161"/>
      <c r="I98" s="159"/>
    </row>
    <row r="99" spans="1:9" ht="18.75" customHeight="1" x14ac:dyDescent="0.15">
      <c r="A99" s="2"/>
      <c r="B99" s="160"/>
      <c r="C99" s="161"/>
      <c r="D99" s="161"/>
      <c r="E99" s="161"/>
      <c r="F99" s="161"/>
      <c r="G99" s="161"/>
      <c r="H99" s="161"/>
      <c r="I99" s="159"/>
    </row>
    <row r="100" spans="1:9" ht="18.75" customHeight="1" x14ac:dyDescent="0.15">
      <c r="A100" s="2"/>
      <c r="B100" s="160"/>
      <c r="C100" s="161"/>
      <c r="D100" s="161"/>
      <c r="E100" s="161"/>
      <c r="F100" s="161"/>
      <c r="G100" s="161"/>
      <c r="H100" s="161"/>
      <c r="I100" s="159"/>
    </row>
    <row r="101" spans="1:9" ht="18.75" customHeight="1" x14ac:dyDescent="0.15">
      <c r="A101" s="2"/>
      <c r="B101" s="160"/>
      <c r="C101" s="161"/>
      <c r="D101" s="161"/>
      <c r="E101" s="161"/>
      <c r="F101" s="161"/>
      <c r="G101" s="161"/>
      <c r="H101" s="161"/>
      <c r="I101" s="159"/>
    </row>
    <row r="102" spans="1:9" ht="18.75" customHeight="1" x14ac:dyDescent="0.15">
      <c r="A102" s="2"/>
      <c r="B102" s="160"/>
      <c r="C102" s="161"/>
      <c r="D102" s="161"/>
      <c r="E102" s="161"/>
      <c r="F102" s="161"/>
      <c r="G102" s="161"/>
      <c r="H102" s="161"/>
      <c r="I102" s="159"/>
    </row>
    <row r="103" spans="1:9" ht="18.75" customHeight="1" x14ac:dyDescent="0.15">
      <c r="A103" s="2"/>
      <c r="B103" s="160"/>
      <c r="C103" s="161"/>
      <c r="D103" s="161"/>
      <c r="E103" s="161"/>
      <c r="F103" s="161"/>
      <c r="G103" s="161"/>
      <c r="H103" s="161"/>
      <c r="I103" s="159"/>
    </row>
    <row r="104" spans="1:9" ht="18.75" customHeight="1" x14ac:dyDescent="0.15">
      <c r="A104" s="2"/>
      <c r="B104" s="160"/>
      <c r="C104" s="161"/>
      <c r="D104" s="161"/>
      <c r="E104" s="161"/>
      <c r="F104" s="161"/>
      <c r="G104" s="161"/>
      <c r="H104" s="161"/>
      <c r="I104" s="159"/>
    </row>
    <row r="105" spans="1:9" ht="18.75" customHeight="1" x14ac:dyDescent="0.15">
      <c r="A105" s="112"/>
      <c r="B105" s="162"/>
      <c r="C105" s="163"/>
      <c r="D105" s="163"/>
      <c r="E105" s="163"/>
      <c r="F105" s="163"/>
      <c r="G105" s="163"/>
      <c r="H105" s="163"/>
      <c r="I105" s="164"/>
    </row>
    <row r="106" spans="1:9" ht="7.5" customHeight="1" x14ac:dyDescent="0.15">
      <c r="A106" s="112"/>
      <c r="B106" s="112"/>
      <c r="C106" s="112"/>
      <c r="D106" s="112"/>
      <c r="E106" s="112"/>
      <c r="F106" s="112"/>
      <c r="G106" s="112"/>
      <c r="H106" s="112"/>
      <c r="I106" s="112"/>
    </row>
    <row r="107" spans="1:9" ht="18.75" customHeight="1" x14ac:dyDescent="0.15">
      <c r="A107" s="2" t="s">
        <v>30</v>
      </c>
      <c r="B107" s="199" t="s">
        <v>45</v>
      </c>
      <c r="C107" s="199"/>
      <c r="D107" s="199"/>
      <c r="E107" s="199"/>
      <c r="F107" s="199"/>
      <c r="G107" s="199"/>
      <c r="H107" s="199"/>
      <c r="I107" s="199"/>
    </row>
    <row r="108" spans="1:9" ht="18.75" customHeight="1" x14ac:dyDescent="0.15">
      <c r="A108" s="112"/>
      <c r="B108" s="154" t="s">
        <v>180</v>
      </c>
      <c r="C108" s="155"/>
      <c r="D108" s="155"/>
      <c r="E108" s="155"/>
      <c r="F108" s="155"/>
      <c r="G108" s="155"/>
      <c r="H108" s="155"/>
      <c r="I108" s="156"/>
    </row>
    <row r="109" spans="1:9" ht="18.75" customHeight="1" x14ac:dyDescent="0.15">
      <c r="A109" s="112"/>
      <c r="B109" s="160"/>
      <c r="C109" s="161"/>
      <c r="D109" s="161"/>
      <c r="E109" s="161"/>
      <c r="F109" s="161"/>
      <c r="G109" s="161"/>
      <c r="H109" s="161"/>
      <c r="I109" s="159"/>
    </row>
    <row r="110" spans="1:9" ht="18.75" customHeight="1" x14ac:dyDescent="0.15">
      <c r="A110" s="112"/>
      <c r="B110" s="160"/>
      <c r="C110" s="161"/>
      <c r="D110" s="161"/>
      <c r="E110" s="161"/>
      <c r="F110" s="161"/>
      <c r="G110" s="161"/>
      <c r="H110" s="161"/>
      <c r="I110" s="159"/>
    </row>
    <row r="111" spans="1:9" ht="18.75" customHeight="1" x14ac:dyDescent="0.15">
      <c r="A111" s="112"/>
      <c r="B111" s="160"/>
      <c r="C111" s="161"/>
      <c r="D111" s="161"/>
      <c r="E111" s="161"/>
      <c r="F111" s="161"/>
      <c r="G111" s="161"/>
      <c r="H111" s="161"/>
      <c r="I111" s="159"/>
    </row>
    <row r="112" spans="1:9" ht="18.75" customHeight="1" x14ac:dyDescent="0.15">
      <c r="A112" s="112"/>
      <c r="B112" s="160"/>
      <c r="C112" s="161"/>
      <c r="D112" s="161"/>
      <c r="E112" s="161"/>
      <c r="F112" s="161"/>
      <c r="G112" s="161"/>
      <c r="H112" s="161"/>
      <c r="I112" s="159"/>
    </row>
    <row r="113" spans="1:9" ht="18.75" customHeight="1" x14ac:dyDescent="0.15">
      <c r="A113" s="112"/>
      <c r="B113" s="160"/>
      <c r="C113" s="161"/>
      <c r="D113" s="161"/>
      <c r="E113" s="161"/>
      <c r="F113" s="161"/>
      <c r="G113" s="161"/>
      <c r="H113" s="161"/>
      <c r="I113" s="159"/>
    </row>
    <row r="114" spans="1:9" ht="18.75" customHeight="1" x14ac:dyDescent="0.15">
      <c r="A114" s="112"/>
      <c r="B114" s="160"/>
      <c r="C114" s="161"/>
      <c r="D114" s="161"/>
      <c r="E114" s="161"/>
      <c r="F114" s="161"/>
      <c r="G114" s="161"/>
      <c r="H114" s="161"/>
      <c r="I114" s="159"/>
    </row>
    <row r="115" spans="1:9" ht="18.75" customHeight="1" x14ac:dyDescent="0.15">
      <c r="A115" s="112"/>
      <c r="B115" s="160"/>
      <c r="C115" s="161"/>
      <c r="D115" s="161"/>
      <c r="E115" s="161"/>
      <c r="F115" s="161"/>
      <c r="G115" s="161"/>
      <c r="H115" s="161"/>
      <c r="I115" s="159"/>
    </row>
    <row r="116" spans="1:9" ht="18.75" customHeight="1" x14ac:dyDescent="0.15">
      <c r="A116" s="112"/>
      <c r="B116" s="160"/>
      <c r="C116" s="161"/>
      <c r="D116" s="161"/>
      <c r="E116" s="161"/>
      <c r="F116" s="161"/>
      <c r="G116" s="161"/>
      <c r="H116" s="161"/>
      <c r="I116" s="159"/>
    </row>
    <row r="117" spans="1:9" ht="18.75" customHeight="1" x14ac:dyDescent="0.15">
      <c r="A117" s="112"/>
      <c r="B117" s="160"/>
      <c r="C117" s="161"/>
      <c r="D117" s="161"/>
      <c r="E117" s="161"/>
      <c r="F117" s="161"/>
      <c r="G117" s="161"/>
      <c r="H117" s="161"/>
      <c r="I117" s="159"/>
    </row>
    <row r="118" spans="1:9" ht="18.75" customHeight="1" x14ac:dyDescent="0.15">
      <c r="A118" s="112"/>
      <c r="B118" s="160"/>
      <c r="C118" s="161"/>
      <c r="D118" s="161"/>
      <c r="E118" s="161"/>
      <c r="F118" s="161"/>
      <c r="G118" s="161"/>
      <c r="H118" s="161"/>
      <c r="I118" s="159"/>
    </row>
    <row r="119" spans="1:9" ht="18.75" customHeight="1" x14ac:dyDescent="0.15">
      <c r="A119" s="112"/>
      <c r="B119" s="162"/>
      <c r="C119" s="163"/>
      <c r="D119" s="163"/>
      <c r="E119" s="163"/>
      <c r="F119" s="163"/>
      <c r="G119" s="163"/>
      <c r="H119" s="163"/>
      <c r="I119" s="164"/>
    </row>
    <row r="120" spans="1:9" ht="7.5" customHeight="1" x14ac:dyDescent="0.15">
      <c r="A120" s="112"/>
      <c r="B120" s="200"/>
      <c r="C120" s="200"/>
      <c r="D120" s="200"/>
      <c r="E120" s="200"/>
      <c r="F120" s="200"/>
      <c r="G120" s="200"/>
      <c r="H120" s="200"/>
      <c r="I120" s="200"/>
    </row>
    <row r="121" spans="1:9" ht="18.75" customHeight="1" x14ac:dyDescent="0.15">
      <c r="A121" s="2"/>
      <c r="B121" s="201"/>
      <c r="C121" s="201"/>
      <c r="D121" s="201"/>
      <c r="E121" s="201"/>
      <c r="F121" s="201"/>
      <c r="G121" s="201"/>
      <c r="H121" s="201"/>
      <c r="I121" s="201"/>
    </row>
    <row r="122" spans="1:9" ht="18.75" customHeight="1" x14ac:dyDescent="0.15">
      <c r="A122" s="2"/>
      <c r="B122" s="201"/>
      <c r="C122" s="201"/>
      <c r="D122" s="201"/>
      <c r="E122" s="201"/>
      <c r="F122" s="201"/>
      <c r="G122" s="201"/>
      <c r="H122" s="201"/>
      <c r="I122" s="201"/>
    </row>
    <row r="123" spans="1:9" ht="18.75" customHeight="1" x14ac:dyDescent="0.15">
      <c r="A123" s="112"/>
      <c r="B123" s="202"/>
      <c r="C123" s="202"/>
      <c r="D123" s="202"/>
      <c r="E123" s="202"/>
      <c r="F123" s="202"/>
      <c r="G123" s="202"/>
      <c r="H123" s="202"/>
      <c r="I123" s="203"/>
    </row>
    <row r="124" spans="1:9" ht="18.75" customHeight="1" x14ac:dyDescent="0.15">
      <c r="A124" s="112"/>
      <c r="B124" s="203"/>
      <c r="C124" s="203"/>
      <c r="D124" s="203"/>
      <c r="E124" s="203"/>
      <c r="F124" s="203"/>
      <c r="G124" s="203"/>
      <c r="H124" s="203"/>
      <c r="I124" s="203"/>
    </row>
    <row r="125" spans="1:9" ht="18.75" customHeight="1" x14ac:dyDescent="0.15">
      <c r="A125" s="112"/>
      <c r="B125" s="203"/>
      <c r="C125" s="203"/>
      <c r="D125" s="203"/>
      <c r="E125" s="203"/>
      <c r="F125" s="203"/>
      <c r="G125" s="203"/>
      <c r="H125" s="203"/>
      <c r="I125" s="203"/>
    </row>
    <row r="126" spans="1:9" ht="18.75" customHeight="1" x14ac:dyDescent="0.15">
      <c r="A126" s="112"/>
      <c r="B126" s="203"/>
      <c r="C126" s="203"/>
      <c r="D126" s="203"/>
      <c r="E126" s="203"/>
      <c r="F126" s="203"/>
      <c r="G126" s="203"/>
      <c r="H126" s="203"/>
      <c r="I126" s="203"/>
    </row>
    <row r="127" spans="1:9" ht="18.75" customHeight="1" x14ac:dyDescent="0.15">
      <c r="A127" s="112"/>
      <c r="B127" s="203"/>
      <c r="C127" s="203"/>
      <c r="D127" s="203"/>
      <c r="E127" s="203"/>
      <c r="F127" s="203"/>
      <c r="G127" s="203"/>
      <c r="H127" s="203"/>
      <c r="I127" s="203"/>
    </row>
    <row r="128" spans="1:9" ht="18.75" customHeight="1" x14ac:dyDescent="0.15">
      <c r="A128" s="112"/>
      <c r="B128" s="203"/>
      <c r="C128" s="203"/>
      <c r="D128" s="203"/>
      <c r="E128" s="203"/>
      <c r="F128" s="203"/>
      <c r="G128" s="203"/>
      <c r="H128" s="203"/>
      <c r="I128" s="203"/>
    </row>
    <row r="129" spans="1:9" ht="18.75" customHeight="1" x14ac:dyDescent="0.15">
      <c r="A129" s="112"/>
      <c r="B129" s="203"/>
      <c r="C129" s="203"/>
      <c r="D129" s="203"/>
      <c r="E129" s="203"/>
      <c r="F129" s="203"/>
      <c r="G129" s="203"/>
      <c r="H129" s="203"/>
      <c r="I129" s="203"/>
    </row>
    <row r="130" spans="1:9" ht="18.75" customHeight="1" x14ac:dyDescent="0.15">
      <c r="A130" s="112"/>
      <c r="B130" s="203"/>
      <c r="C130" s="203"/>
      <c r="D130" s="203"/>
      <c r="E130" s="203"/>
      <c r="F130" s="203"/>
      <c r="G130" s="203"/>
      <c r="H130" s="203"/>
      <c r="I130" s="203"/>
    </row>
    <row r="131" spans="1:9" ht="18.75" customHeight="1" x14ac:dyDescent="0.15">
      <c r="A131" s="112"/>
      <c r="B131" s="203"/>
      <c r="C131" s="203"/>
      <c r="D131" s="203"/>
      <c r="E131" s="203"/>
      <c r="F131" s="203"/>
      <c r="G131" s="203"/>
      <c r="H131" s="203"/>
      <c r="I131" s="203"/>
    </row>
    <row r="132" spans="1:9" ht="18.75" customHeight="1" x14ac:dyDescent="0.15">
      <c r="A132" s="112"/>
      <c r="B132" s="203"/>
      <c r="C132" s="203"/>
      <c r="D132" s="203"/>
      <c r="E132" s="203"/>
      <c r="F132" s="203"/>
      <c r="G132" s="203"/>
      <c r="H132" s="203"/>
      <c r="I132" s="203"/>
    </row>
    <row r="133" spans="1:9" ht="14.25" x14ac:dyDescent="0.15">
      <c r="A133" s="112"/>
      <c r="B133" s="203"/>
      <c r="C133" s="203"/>
      <c r="D133" s="203"/>
      <c r="E133" s="203"/>
      <c r="F133" s="203"/>
      <c r="G133" s="203"/>
      <c r="H133" s="203"/>
      <c r="I133" s="203"/>
    </row>
    <row r="134" spans="1:9" ht="7.5" customHeight="1" x14ac:dyDescent="0.15">
      <c r="A134" s="112"/>
      <c r="B134" s="203"/>
      <c r="C134" s="203"/>
      <c r="D134" s="203"/>
      <c r="E134" s="203"/>
      <c r="F134" s="203"/>
      <c r="G134" s="203"/>
      <c r="H134" s="203"/>
      <c r="I134" s="20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78740157480314965" top="0.78740157480314965" bottom="0.59055118110236227" header="0.31496062992125984" footer="0.31496062992125984"/>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N13" sqref="N13"/>
    </sheetView>
  </sheetViews>
  <sheetFormatPr defaultColWidth="11.375" defaultRowHeight="22.5" customHeight="1" x14ac:dyDescent="0.15"/>
  <cols>
    <col min="1" max="3" width="2.875" style="2" customWidth="1"/>
    <col min="4" max="4" width="22.125" style="2" customWidth="1"/>
    <col min="5" max="5" width="30.875" style="2" customWidth="1"/>
    <col min="6" max="7" width="7.875" style="2" customWidth="1"/>
    <col min="8" max="9" width="30.875" style="2" customWidth="1"/>
    <col min="10" max="10" width="4.125" style="2" customWidth="1"/>
    <col min="11" max="16384" width="11.375" style="2"/>
  </cols>
  <sheetData>
    <row r="1" spans="1:9" ht="18.75" customHeight="1" x14ac:dyDescent="0.15">
      <c r="A1" s="2" t="s">
        <v>68</v>
      </c>
      <c r="I1" s="4" t="s">
        <v>96</v>
      </c>
    </row>
    <row r="2" spans="1:9" ht="18.75" customHeight="1" x14ac:dyDescent="0.15">
      <c r="H2" s="4" t="s">
        <v>99</v>
      </c>
      <c r="I2" s="3" t="str">
        <f>様式１プログラムを構成する授業科目!C2</f>
        <v>九州ルーテル学院大学</v>
      </c>
    </row>
    <row r="3" spans="1:9" ht="18.75" customHeight="1" x14ac:dyDescent="0.15">
      <c r="A3" s="20" t="s">
        <v>28</v>
      </c>
      <c r="B3" s="20"/>
      <c r="C3" s="20"/>
      <c r="D3" s="20"/>
      <c r="E3" s="20"/>
      <c r="F3" s="20"/>
      <c r="G3" s="20"/>
      <c r="H3" s="20"/>
      <c r="I3" s="20"/>
    </row>
    <row r="4" spans="1:9" ht="18.75" customHeight="1" x14ac:dyDescent="0.15">
      <c r="A4" s="13"/>
      <c r="B4" s="13"/>
      <c r="C4" s="13"/>
      <c r="D4" s="13"/>
      <c r="E4" s="13"/>
      <c r="F4" s="13"/>
      <c r="G4" s="13"/>
      <c r="H4" s="13"/>
      <c r="I4" s="13"/>
    </row>
    <row r="5" spans="1:9" ht="18.75" customHeight="1" x14ac:dyDescent="0.15">
      <c r="A5" s="2" t="s">
        <v>0</v>
      </c>
      <c r="B5" s="8" t="s">
        <v>90</v>
      </c>
      <c r="C5" s="13"/>
      <c r="D5" s="13"/>
      <c r="E5" s="13"/>
      <c r="F5" s="13"/>
      <c r="G5" s="13"/>
      <c r="H5" s="13"/>
      <c r="I5" s="13"/>
    </row>
    <row r="6" spans="1:9" ht="26.25" customHeight="1" x14ac:dyDescent="0.15">
      <c r="A6" s="13"/>
      <c r="B6" s="107" t="s">
        <v>192</v>
      </c>
      <c r="C6" s="108"/>
      <c r="D6" s="108"/>
      <c r="E6" s="108"/>
      <c r="F6" s="108"/>
      <c r="G6" s="108"/>
      <c r="H6" s="109"/>
      <c r="I6" s="7"/>
    </row>
    <row r="7" spans="1:9" ht="9" customHeight="1" x14ac:dyDescent="0.15">
      <c r="A7" s="13"/>
      <c r="B7" s="8"/>
      <c r="C7" s="8"/>
      <c r="D7" s="8"/>
      <c r="E7" s="8"/>
      <c r="F7" s="8"/>
      <c r="G7" s="8"/>
      <c r="H7" s="8"/>
      <c r="I7" s="7"/>
    </row>
    <row r="8" spans="1:9" ht="18.75" customHeight="1" x14ac:dyDescent="0.15">
      <c r="A8" s="13"/>
      <c r="B8" s="7"/>
      <c r="C8" s="7"/>
      <c r="D8" s="4" t="s">
        <v>42</v>
      </c>
      <c r="E8" s="110" t="s">
        <v>141</v>
      </c>
      <c r="F8" s="7"/>
      <c r="G8" s="4" t="s">
        <v>10</v>
      </c>
      <c r="H8" s="111" t="s">
        <v>176</v>
      </c>
      <c r="I8" s="111"/>
    </row>
    <row r="9" spans="1:9" ht="7.5" customHeight="1" x14ac:dyDescent="0.15">
      <c r="A9" s="13"/>
      <c r="B9" s="13"/>
      <c r="C9" s="13"/>
      <c r="D9" s="13"/>
      <c r="E9" s="13"/>
      <c r="F9" s="13"/>
      <c r="G9" s="13"/>
      <c r="H9" s="13"/>
      <c r="I9" s="13"/>
    </row>
    <row r="10" spans="1:9" ht="18.75" customHeight="1" x14ac:dyDescent="0.15">
      <c r="A10" s="2" t="s">
        <v>3</v>
      </c>
      <c r="B10" s="2" t="s">
        <v>27</v>
      </c>
      <c r="C10" s="112"/>
      <c r="D10" s="112"/>
      <c r="E10" s="112"/>
      <c r="F10" s="112"/>
      <c r="G10" s="112"/>
      <c r="H10" s="112"/>
      <c r="I10" s="112"/>
    </row>
    <row r="11" spans="1:9" ht="18.75" customHeight="1" x14ac:dyDescent="0.15">
      <c r="B11" s="32" t="s">
        <v>24</v>
      </c>
      <c r="C11" s="33"/>
      <c r="D11" s="34"/>
      <c r="E11" s="33" t="s">
        <v>26</v>
      </c>
      <c r="F11" s="33"/>
      <c r="G11" s="33"/>
      <c r="H11" s="33"/>
      <c r="I11" s="34"/>
    </row>
    <row r="12" spans="1:9" ht="26.25" customHeight="1" x14ac:dyDescent="0.15">
      <c r="B12" s="113" t="s">
        <v>14</v>
      </c>
      <c r="C12" s="114"/>
      <c r="D12" s="115"/>
      <c r="E12" s="116"/>
      <c r="F12" s="116"/>
      <c r="G12" s="116"/>
      <c r="H12" s="116"/>
      <c r="I12" s="115"/>
    </row>
    <row r="13" spans="1:9" ht="217.5" customHeight="1" x14ac:dyDescent="0.15">
      <c r="B13" s="117"/>
      <c r="C13" s="118" t="s">
        <v>15</v>
      </c>
      <c r="D13" s="119"/>
      <c r="E13" s="120" t="s">
        <v>166</v>
      </c>
      <c r="F13" s="121"/>
      <c r="G13" s="121"/>
      <c r="H13" s="121"/>
      <c r="I13" s="122"/>
    </row>
    <row r="14" spans="1:9" ht="210.75" customHeight="1" x14ac:dyDescent="0.15">
      <c r="B14" s="117"/>
      <c r="C14" s="123" t="s">
        <v>16</v>
      </c>
      <c r="D14" s="124"/>
      <c r="E14" s="120" t="s">
        <v>174</v>
      </c>
      <c r="F14" s="121"/>
      <c r="G14" s="121"/>
      <c r="H14" s="121"/>
      <c r="I14" s="122"/>
    </row>
    <row r="15" spans="1:9" ht="210.75" customHeight="1" x14ac:dyDescent="0.15">
      <c r="B15" s="117"/>
      <c r="C15" s="118" t="s">
        <v>17</v>
      </c>
      <c r="D15" s="119"/>
      <c r="E15" s="120" t="s">
        <v>167</v>
      </c>
      <c r="F15" s="121"/>
      <c r="G15" s="121"/>
      <c r="H15" s="121"/>
      <c r="I15" s="122"/>
    </row>
    <row r="16" spans="1:9" ht="176.25" customHeight="1" x14ac:dyDescent="0.15">
      <c r="B16" s="117"/>
      <c r="C16" s="118" t="s">
        <v>18</v>
      </c>
      <c r="D16" s="119"/>
      <c r="E16" s="120" t="s">
        <v>168</v>
      </c>
      <c r="F16" s="121"/>
      <c r="G16" s="121"/>
      <c r="H16" s="121"/>
      <c r="I16" s="122"/>
    </row>
    <row r="17" spans="2:9" ht="220.5" customHeight="1" x14ac:dyDescent="0.15">
      <c r="B17" s="125"/>
      <c r="C17" s="126" t="s">
        <v>19</v>
      </c>
      <c r="D17" s="127"/>
      <c r="E17" s="128" t="s">
        <v>169</v>
      </c>
      <c r="F17" s="129"/>
      <c r="G17" s="129"/>
      <c r="H17" s="129"/>
      <c r="I17" s="130"/>
    </row>
    <row r="18" spans="2:9" ht="24" customHeight="1" x14ac:dyDescent="0.15">
      <c r="B18" s="113" t="s">
        <v>20</v>
      </c>
      <c r="C18" s="131"/>
      <c r="D18" s="132"/>
      <c r="E18" s="133"/>
      <c r="F18" s="133"/>
      <c r="G18" s="133"/>
      <c r="H18" s="133"/>
      <c r="I18" s="134"/>
    </row>
    <row r="19" spans="2:9" ht="209.25" customHeight="1" x14ac:dyDescent="0.15">
      <c r="B19" s="117"/>
      <c r="C19" s="118" t="s">
        <v>21</v>
      </c>
      <c r="D19" s="119"/>
      <c r="E19" s="121" t="s">
        <v>170</v>
      </c>
      <c r="F19" s="121"/>
      <c r="G19" s="121"/>
      <c r="H19" s="121"/>
      <c r="I19" s="122"/>
    </row>
    <row r="20" spans="2:9" ht="198.75" customHeight="1" x14ac:dyDescent="0.15">
      <c r="B20" s="125"/>
      <c r="C20" s="126" t="s">
        <v>22</v>
      </c>
      <c r="D20" s="127"/>
      <c r="E20" s="129" t="s">
        <v>171</v>
      </c>
      <c r="F20" s="129"/>
      <c r="G20" s="129"/>
      <c r="H20" s="129"/>
      <c r="I20" s="130"/>
    </row>
    <row r="21" spans="2:9" ht="225" customHeight="1" x14ac:dyDescent="0.15">
      <c r="B21" s="135" t="s">
        <v>23</v>
      </c>
      <c r="C21" s="136"/>
      <c r="D21" s="137"/>
      <c r="E21" s="138" t="s">
        <v>172</v>
      </c>
      <c r="F21" s="138"/>
      <c r="G21" s="138"/>
      <c r="H21" s="138"/>
      <c r="I21" s="139"/>
    </row>
    <row r="22" spans="2:9" ht="218.25" customHeight="1" x14ac:dyDescent="0.15">
      <c r="B22" s="51" t="s">
        <v>134</v>
      </c>
      <c r="C22" s="52"/>
      <c r="D22" s="53"/>
      <c r="E22" s="140" t="s">
        <v>173</v>
      </c>
      <c r="F22" s="140"/>
      <c r="G22" s="140"/>
      <c r="H22" s="140"/>
      <c r="I22" s="141"/>
    </row>
    <row r="23" spans="2:9" ht="22.5" customHeight="1" x14ac:dyDescent="0.15">
      <c r="B23" s="112"/>
      <c r="C23" s="112"/>
      <c r="D23" s="112"/>
      <c r="E23" s="112"/>
      <c r="F23" s="112"/>
      <c r="G23" s="112"/>
      <c r="H23" s="112"/>
      <c r="I23" s="112"/>
    </row>
    <row r="24" spans="2:9" ht="22.5" customHeight="1" x14ac:dyDescent="0.15">
      <c r="B24" s="112"/>
      <c r="C24" s="112"/>
      <c r="D24" s="112"/>
      <c r="E24" s="112"/>
      <c r="F24" s="112"/>
      <c r="G24" s="112"/>
      <c r="H24" s="112"/>
      <c r="I24" s="112"/>
    </row>
    <row r="25" spans="2:9" ht="22.5" customHeight="1" x14ac:dyDescent="0.15">
      <c r="B25" s="112"/>
      <c r="C25" s="112"/>
      <c r="D25" s="112"/>
      <c r="E25" s="112"/>
      <c r="F25" s="112"/>
      <c r="G25" s="112"/>
      <c r="H25" s="112"/>
      <c r="I25" s="112"/>
    </row>
    <row r="26" spans="2:9" ht="22.5" customHeight="1" x14ac:dyDescent="0.15">
      <c r="B26" s="112"/>
      <c r="C26" s="112"/>
      <c r="D26" s="112"/>
      <c r="E26" s="112"/>
      <c r="F26" s="112"/>
      <c r="G26" s="112"/>
      <c r="H26" s="112"/>
      <c r="I26" s="112"/>
    </row>
    <row r="27" spans="2:9" ht="22.5" customHeight="1" x14ac:dyDescent="0.15">
      <c r="B27" s="112"/>
      <c r="C27" s="112"/>
      <c r="D27" s="112"/>
      <c r="E27" s="112"/>
      <c r="F27" s="112"/>
      <c r="G27" s="112"/>
      <c r="H27" s="112"/>
      <c r="I27" s="112"/>
    </row>
    <row r="28" spans="2:9" ht="22.5" customHeight="1" x14ac:dyDescent="0.15">
      <c r="B28" s="69"/>
      <c r="C28" s="69"/>
      <c r="D28" s="69"/>
      <c r="E28" s="69"/>
      <c r="F28" s="69"/>
      <c r="G28" s="69"/>
      <c r="H28" s="69"/>
      <c r="I28" s="69"/>
    </row>
    <row r="29" spans="2:9" ht="22.5" customHeight="1" x14ac:dyDescent="0.15">
      <c r="B29" s="69"/>
      <c r="C29" s="69"/>
      <c r="D29" s="69"/>
      <c r="E29" s="69"/>
      <c r="F29" s="69"/>
      <c r="G29" s="69"/>
      <c r="H29" s="69"/>
      <c r="I29" s="69"/>
    </row>
    <row r="30" spans="2:9" ht="22.5" customHeight="1" x14ac:dyDescent="0.15">
      <c r="B30" s="69"/>
      <c r="C30" s="69"/>
      <c r="D30" s="69"/>
      <c r="E30" s="69"/>
      <c r="F30" s="69"/>
      <c r="G30" s="69"/>
      <c r="H30" s="69"/>
      <c r="I30" s="69"/>
    </row>
  </sheetData>
  <mergeCells count="23">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 ref="H8:I8"/>
  </mergeCells>
  <phoneticPr fontId="1"/>
  <printOptions horizontalCentered="1"/>
  <pageMargins left="0.59055118110236227"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様式１プログラムを構成する授業科目</vt:lpstr>
      <vt:lpstr>様式２履修者等数の実績</vt:lpstr>
      <vt:lpstr>様式３教育の質・履修者数を向上させるための体制・計画</vt:lpstr>
      <vt:lpstr>様式４自己点検・評価</vt:lpstr>
      <vt:lpstr>様式１プログラムを構成する授業科目!Print_Area</vt:lpstr>
      <vt:lpstr>様式２履修者等数の実績!Print_Area</vt:lpstr>
      <vt:lpstr>様式３教育の質・履修者数を向上させるための体制・計画!Print_Area</vt:lpstr>
      <vt:lpstr>様式４自己点検・評価!Print_Area</vt:lpstr>
      <vt:lpstr>様式４自己点検・評価!Print_Titles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野田志保</cp:lastModifiedBy>
  <cp:lastPrinted>2024-06-12T00:11:03Z</cp:lastPrinted>
  <dcterms:created xsi:type="dcterms:W3CDTF">2011-06-14T05:32:50Z</dcterms:created>
  <dcterms:modified xsi:type="dcterms:W3CDTF">2024-06-12T00:22:59Z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