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24226"/>
  <mc:AlternateContent xmlns:mc="http://schemas.openxmlformats.org/markup-compatibility/2006">
    <mc:Choice Requires="x15">
      <x15ac:absPath xmlns:x15ac="http://schemas.microsoft.com/office/spreadsheetml/2010/11/ac" url="O:\【共通】教務課・高等研共有\30．数理・データサイエンス・AI認定制度\03b_申請後再提出\（再）関東学院大学\01_関東学院大学_リテラシー\"/>
    </mc:Choice>
  </mc:AlternateContent>
  <xr:revisionPtr revIDLastSave="0" documentId="13_ncr:1_{5A336150-01AC-4879-AE63-0D5308497914}" xr6:coauthVersionLast="36" xr6:coauthVersionMax="47" xr10:uidLastSave="{00000000-0000-0000-0000-000000000000}"/>
  <bookViews>
    <workbookView xWindow="28680" yWindow="-120" windowWidth="29040" windowHeight="15840" tabRatio="885" xr2:uid="{00000000-000D-0000-FFFF-FFFF00000000}"/>
  </bookViews>
  <sheets>
    <sheet name="様式１　プログラムを構成する授業科目" sheetId="39" r:id="rId1"/>
    <sheet name="様式２ 履修者等数の実績" sheetId="43"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履修者等数の実績'!$A$1:$S$24</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0" i="41" l="1"/>
  <c r="C49" i="41"/>
  <c r="S13" i="43"/>
  <c r="S14" i="43"/>
  <c r="S23" i="43"/>
  <c r="S24" i="43"/>
  <c r="E24" i="43"/>
  <c r="Q24" i="43" l="1"/>
  <c r="P24" i="43"/>
  <c r="O24" i="43"/>
  <c r="N24" i="43"/>
  <c r="M24" i="43"/>
  <c r="L24" i="43"/>
  <c r="K24" i="43"/>
  <c r="J24" i="43"/>
  <c r="I24" i="43"/>
  <c r="H24" i="43"/>
  <c r="G24" i="43"/>
  <c r="F24" i="43"/>
  <c r="D24" i="43"/>
  <c r="C24" i="43"/>
  <c r="R23" i="43"/>
  <c r="R22" i="43"/>
  <c r="S22" i="43" s="1"/>
  <c r="R21" i="43"/>
  <c r="S21" i="43" s="1"/>
  <c r="R20" i="43"/>
  <c r="S20" i="43" s="1"/>
  <c r="R19" i="43"/>
  <c r="S19" i="43" s="1"/>
  <c r="R18" i="43"/>
  <c r="S18" i="43" s="1"/>
  <c r="R17" i="43"/>
  <c r="S17" i="43" s="1"/>
  <c r="R16" i="43"/>
  <c r="S16" i="43" s="1"/>
  <c r="R15" i="43"/>
  <c r="S15" i="43" s="1"/>
  <c r="R14" i="43"/>
  <c r="R13" i="43"/>
  <c r="M7" i="43"/>
  <c r="Q2" i="43"/>
  <c r="R24" i="43" l="1"/>
  <c r="I2" i="42" l="1"/>
  <c r="H2" i="41"/>
</calcChain>
</file>

<file path=xl/sharedStrings.xml><?xml version="1.0" encoding="utf-8"?>
<sst xmlns="http://schemas.openxmlformats.org/spreadsheetml/2006/main" count="288" uniqueCount="190">
  <si>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</si>
  <si>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</si>
  <si>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</si>
  <si>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</si>
  <si>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</si>
  <si>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</si>
  <si>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</si>
  <si>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</si>
  <si>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</si>
  <si>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</si>
  <si>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</si>
  <si>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</si>
  <si>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</si>
  <si>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</si>
  <si>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</si>
  <si>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</si>
  <si>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</si>
  <si>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</si>
  <si>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</si>
  <si>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</si>
  <si>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</si>
  <si>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</si>
  <si>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</si>
  <si>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</si>
  <si>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</si>
  <si>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</si>
  <si>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</si>
  <si>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</si>
  <si>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</si>
  <si>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</si>
  <si>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</si>
  <si>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</si>
  <si>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</si>
  <si>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</si>
  <si>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</si>
  <si>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</si>
  <si>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</si>
  <si>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</si>
  <si>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</si>
  <si>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</si>
  <si>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</si>
  <si>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</si>
  <si>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</si>
  <si>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</si>
  <si>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</si>
  <si>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</si>
  <si>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</si>
  <si>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</si>
  <si>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</si>
  <si>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</si>
  <si>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</si>
  <si>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</si>
  <si>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</si>
  <si>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</si>
  <si>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</si>
  <si>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</si>
  <si>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</si>
  <si>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</si>
  <si>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</si>
  <si>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</si>
  <si>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</si>
  <si>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</si>
  <si>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</si>
  <si>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</si>
  <si>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</si>
  <si>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</si>
  <si>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</si>
  <si>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</si>
  <si>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</si>
  <si>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</si>
  <si>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</si>
  <si>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</si>
  <si>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</si>
  <si>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</si>
  <si>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</si>
  <si>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</si>
  <si>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</si>
  <si>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</si>
  <si>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</si>
  <si>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</si>
  <si>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</si>
  <si>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</si>
  <si>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</si>
  <si>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</si>
  <si>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</si>
  <si>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</si>
  <si>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</si>
  <si>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</si>
  <si>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</si>
  <si>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</si>
  <si>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</si>
  <si>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</si>
  <si>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</si>
  <si>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</si>
  <si>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</si>
  <si>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</si>
  <si>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</si>
  <si>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</si>
  <si>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</si>
  <si>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</si>
  <si>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</si>
  <si>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</si>
  <si>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</si>
  <si>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</si>
  <si>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</si>
  <si>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</si>
  <si>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</si>
  <si>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</si>
  <si>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</si>
  <si>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</si>
  <si>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</si>
  <si>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</si>
  <si>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</si>
  <si>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</si>
  <si>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</si>
  <si>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</si>
  <si>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</si>
  <si>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</si>
  <si>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</si>
  <si>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</si>
  <si>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</si>
  <si>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</si>
  <si>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</si>
  <si>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</si>
  <si>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</si>
  <si>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</si>
  <si>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</si>
  <si>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</si>
  <si>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</si>
  <si>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</si>
  <si>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</si>
  <si>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</si>
  <si>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</si>
  <si>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</si>
  <si>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</si>
  <si>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</si>
  <si>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関東学院大学</t>
    <rPh sb="0" eb="6">
      <t>カントウガクインダイガク</t>
    </rPh>
    <phoneticPr fontId="1"/>
  </si>
  <si>
    <t>ＫＧＵデータサイエンスプログラム</t>
    <phoneticPr fontId="1"/>
  </si>
  <si>
    <t>学部・学科によって、修了要件は相違しない</t>
  </si>
  <si>
    <t>プログラムを構成する「ＫＧＵデータサイエンス概論」及び「ＫＧＵデータサイエンス演習」（計２科目４単位）を修得すること</t>
    <phoneticPr fontId="1"/>
  </si>
  <si>
    <t>ＫＧＵデータサイエンス概論</t>
    <phoneticPr fontId="1"/>
  </si>
  <si>
    <t>○</t>
  </si>
  <si>
    <t>KGUデータサイエンス概論</t>
    <rPh sb="11" eb="13">
      <t>ガイロン</t>
    </rPh>
    <phoneticPr fontId="1"/>
  </si>
  <si>
    <t>KGUデータサイエンス演習</t>
    <rPh sb="11" eb="13">
      <t>エンシュウ</t>
    </rPh>
    <phoneticPr fontId="1"/>
  </si>
  <si>
    <t>・AI 「ＫＧＵデータサイエンス概論」（1回目、3回目、5回目、9回目）
・ロボット 「ＫＧＵデータサイエンス概論」（3回目）
・ビッグデータ 「ＫＧＵデータサイエンス概論」（10回目）
・第4次産業革命 「ＫＧＵデータサイエンス概論」（5回目）
・複数技術を組み合わせたAIサービス 「ＫＧＵデータサイエンス概論」（9回目）</t>
    <phoneticPr fontId="1"/>
  </si>
  <si>
    <t>・AI等を活用した新しいビジネスモデル 「ＫＧＵデータサイエンス概論」（5回目、13回目）
・AI最新技術の活用例 「ＫＧＵデータサイエンス概論」（7回目、9回目）</t>
    <phoneticPr fontId="1"/>
  </si>
  <si>
    <t>・構造化データ、非構造化データ（文章、画像/動画、音声/音楽など） 「ＫＧＵデータサイエンス概論」（3回目、5回目）
・データ作成（7回目）</t>
    <phoneticPr fontId="1"/>
  </si>
  <si>
    <t>・販売、マーケティング、サービス 「ＫＧＵデータサイエンス概論」（1回目、4回目、6回目、12回目）
・計画策定、判断支援 「ＫＧＵデータサイエンス概論」（1回目、2回目、4回目）
・データ・AI活用領域の広がり(生産、消費、文化活動など) 「ＫＧＵデータサイエンス概論」（9回目、11回目）</t>
    <phoneticPr fontId="1"/>
  </si>
  <si>
    <t>・データ可視化：2軸グラフ 「ＫＧＵデータサイエンス概論」（1回目、2回目、6回目、8回目）
・特化型AIと汎用AI、今のAIで出来ることと出来ないこと、AIとビッグデータ 「ＫＧＵデータサイエンス概論」（3回目）
・認識技術、ルールベース、自動化技術 「ＫＧＵデータサイエンス概論」（3回目）
・非構造化データ処理：言語処理、画像/動画処理、音声/音楽処理など 「ＫＧＵデータサイエンス概論」（5回目）</t>
    <phoneticPr fontId="1"/>
  </si>
  <si>
    <t>・データ・AI利活用事例紹介 「ＫＧＵデータサイエンス概論」（3回目）
・データ解析と推論 「ＫＧＵデータサイエンス概論」（8回目）</t>
    <phoneticPr fontId="1"/>
  </si>
  <si>
    <t>・データバイアス 、アルゴリズムバイアス「ＫＧＵデータサイエンス概論」（14回目）</t>
    <phoneticPr fontId="1"/>
  </si>
  <si>
    <t>・情報漏洩等によるセキュリティ事故の事例紹介　「ＫＧＵデータサイエンス概論」（13回目）</t>
    <phoneticPr fontId="1"/>
  </si>
  <si>
    <t>・統計情報の正しい理解（誇張表現に惑わされない） 「ＫＧＵデータサイエンス概論」（2回目）
・代表値の性質の違い（実社会では平均値＝最頻値でないことが多い）  「ＫＧＵデータサイエンス概論」（2回目）</t>
    <phoneticPr fontId="1"/>
  </si>
  <si>
    <t>・優れた可視化事例の紹介（可視化することによって新たな気づきがあった事例など） 「ＫＧＵデータサイエンス概論」（7回目）
・データの比較（条件をそろえた比較、処理の前後での比較、A/Bテスト) 「ＫＧＵデータサイエンス概論」（10回目）</t>
    <phoneticPr fontId="1"/>
  </si>
  <si>
    <t>・データの集計（和、平均） 「ＫＧＵデータサイエンス演習」（3回目）
・データ解析ツール（スプレッドシート）「ＫＧＵデータサイエンス演習」（4回目、5回目）</t>
    <phoneticPr fontId="1"/>
  </si>
  <si>
    <t>令和5</t>
    <rPh sb="0" eb="2">
      <t>レイワ</t>
    </rPh>
    <phoneticPr fontId="1"/>
  </si>
  <si>
    <t>吉田　広毅</t>
    <rPh sb="0" eb="5">
      <t>ヨシダ</t>
    </rPh>
    <phoneticPr fontId="1"/>
  </si>
  <si>
    <t>高等教育研究・開発センター長</t>
    <rPh sb="0" eb="13">
      <t>コウトウケン</t>
    </rPh>
    <rPh sb="13" eb="14">
      <t>チョウ</t>
    </rPh>
    <phoneticPr fontId="1"/>
  </si>
  <si>
    <t>センターは、全学的な教育支援体制に係る諸施策の企画及び開発をするとともに、組織的かつ継続的に教育内容及び教育技法の改善を支援することによって、本学の教育の充実と発展に寄与することを目的とする。</t>
    <phoneticPr fontId="1"/>
  </si>
  <si>
    <t>・令和５年度の履修希望者数を鑑み、令和６年度は「ＫＧＵデータサイエンス概論」はクラス数を増やして、開講することを決定した。
・一部の学部（国際文化学部、社会学部）においては、カリキュラムの特性上、令和５年度は1年生のみが履修対象者となっていたが、年次進行で、令和６年度以降、履修可能となる学年が増加する予定である。
・全学部の学生に万遍なく履修機会を提供するべく、各学部・学年の必修科目等の時間割とかぶらないような時間割編成を行っており、これを次年度以降も継続する。
・令和６年度からは、プログラム修了者には卒業時に修了証を発行することで、履修の動機付けに繋げる。</t>
    <phoneticPr fontId="1"/>
  </si>
  <si>
    <t>・「ＫＧＵデータサイエンス概論」は、オンライン授業とすることで、履修者が何度でも動画を閲覧し、復習できる仕組みとした。
・「ＫＧＵデータサイエンス演習」では、ティーチング・アシスタントまたはスチューデント・アシスタントを配置し、履修者のサポートができる体制を整えた。</t>
    <phoneticPr fontId="1"/>
  </si>
  <si>
    <t>・「ＫＧＵデータサイエンス概論」「ＫＧＵデータサイエンス演習」にて、授業支援システム（manaba）を活用した。授業に関するお知らせの確認、教材閲覧、課題提出、教員への質問等を授業支援システムを通じて、授業時間外でも行えるようにした。manabaは学内外からノートPCやスマートフォンを用いて、簡単にアクセスできるため、学生の任意のタイミングで学習や課題の取り組みができるようになっている。</t>
    <phoneticPr fontId="1"/>
  </si>
  <si>
    <t>吉田　広毅</t>
    <rPh sb="0" eb="5">
      <t>ヨシダ</t>
    </rPh>
    <phoneticPr fontId="1"/>
  </si>
  <si>
    <t>高等教育研究・開発センター長</t>
    <rPh sb="0" eb="13">
      <t>コウトウケン</t>
    </rPh>
    <rPh sb="13" eb="14">
      <t>チョウ</t>
    </rPh>
    <phoneticPr fontId="1"/>
  </si>
  <si>
    <t>オンライン授業で展開している「ＫＧＵデータサイエンス概論」では、授業の運営に授業支援システム（LMS）manabaを活用しており、履修者のアクセス・資料閲覧状況や課題への回答状況等を把握するとともに、フィードバックを提供することができる。また対面授業の「ＫＧＵデータサイエンス演習」においても、manabaを補完的に用いて学習支援を行うとともに、出席確認システムを通じて履修者の出席状況の確認が可能である。
以上のことから、本学では、プログラムの履修状況を確認し、適宜サポートやフィードバックを学生に提供することにより、単位等の修得を促すとともに、プログラム運営の適切性を担保している。</t>
    <phoneticPr fontId="1"/>
  </si>
  <si>
    <t>「学生による授業改善アンケート」における「シラバスの到達目標に掲げられている知識や能力は身に付きましたか」という設問において、７割以上が身についたと回答していることから、到達目標に掲げられている学修成果を概ね達成したものと思われる。
以上により本プログラムを修了した学生は、到達目標に掲げられているデータサイエンスに関する基礎的概念やデータの読み方データなどのデータリテラシーへの理解を深めることができたものと考えられ、分析目的に応じて、適切なデータ分析手法を学んだことで、専門分野での学習や研究に繋がっていると思われる。</t>
    <phoneticPr fontId="1"/>
  </si>
  <si>
    <t>本学では、原則として一定規模以上の全ての科目について、全学的に「学生による授業改善アンケート」を実施しており、当プログラムを構成する「ＫＧＵデータサイエンス概論」「ＫＧＵデータサイエンス演習」についても、アンケートの実施対象科目と位置付けている。授業改善アンケートにおける「授業の内容を理解できましたか」という設問において約7割が理解できたと回答していることを把握している。
以上の学生アンケートの結果から、本プログラムの到達目標に定められた内容に関する学生の理解度は高いと知覚されていることが示唆される。</t>
    <phoneticPr fontId="1"/>
  </si>
  <si>
    <t>アンケート項目のうちに、後輩等他の学生への推奨度を測る設問はないが、授業の総合評価を問う設問（「この授業の総合評価は、どれにあてはまりますか。」）では、7割以上が「非常に良い」もしくは「良い」と回答している。また、授業の難易度を問う設問（「この授業の難易度は適切でしたか。」）についても、７割以上が「適切であった」と回答している。
以上のことから、本プログラムを受講した学生の本プログラムを後輩等他の学生への推奨度は高いことが予想される。</t>
    <phoneticPr fontId="1"/>
  </si>
  <si>
    <t>「ＫＧＵデータサイエンス概論」は、授業形式をオンラインで開講したことで、教室定員等に縛られることなく、履修を希望する全学生に履修機会を提供することができた。その結果、履修者数の当初予想を超える履修登録があり、来年度、本科目のクラス数を増やすことを決定した。
「ＫＧＵデータサイエンス演習」については、対面授業であるため、各学部の必修科目の時間割と調整した上で、開講曜日・講時を設定したことで、文理横断的に多くの学部の学生の履修に繋がった。
以上のことから、全学的な履修者数、履修率向上に向けた計画の達成・進捗状況は概ね良好であるといえる。</t>
    <phoneticPr fontId="1"/>
  </si>
  <si>
    <t>本プログラムは令和５年度から開講しているため、現時点で、プログラム修了者の進路、活躍状況、企業等の評価についての情報入手が困難であるが、今後は、進路や活躍状況について確認する仕組みを検討したい。
なお、本プログラムの構成科目は、来年度より、全学部横断の社会課題解決型カリキュラムである「グローバルインスティテュート」にも導入する予定である。また、「ＫＧＵデータサイエンス演習」には授業を補助するティーチング・アシスタントまたはスチューデント・アシスタントを配置している。今後、本プログラムの修了者が専門分野を超えて協働したり、他の学生の学びをサポートしたりすることが期待される。</t>
    <phoneticPr fontId="1"/>
  </si>
  <si>
    <t>高大連携制度により、高校生が当プログラムを構成する科目を履修できるようにしており、本年度、30名を超える高校生の履修があった。高校生を対象に実施したアンケートにおいて、興味・関心を問う設問（「この授業の学問分野に興味を持ちましたか。」）において、８割が「よりデータサイエンスに興味を持った」と回答している。このことから、。本プログラムは、学外者からも相当の評価を得ているものと判断できる。
なお、本プログラムは、令和５年度より開始したプログラムであるため、現時点で産業界からの意見を聴取することは難しいが、今後学外からの意見聴取の方法を検討したい。</t>
    <phoneticPr fontId="1"/>
  </si>
  <si>
    <t>本プログラムの導入科目となる「ＫＧＵデータサイエンス概論」において、講義形式でありながら、実際にＥｘｃｅｌでデータを扱う等、演習の要素も取り入れることで、データを活用することの意義を実感できる授業構成となっている。また、実社会で使われているデータに多く触れることで、学生にとり、より身近なものと感じさせるよう工夫している。その結果、授業改善アンケートにおける学問分野への興味を問う設問において、7割の受講生がデータサイエンスに「強い興味を持った」または「やや興味を持った」と回答した。
以上のことから、データサーエンス等の「学び楽しさ」「学ぶことの意義」を受講生は知覚していることが予想される。</t>
    <phoneticPr fontId="1"/>
  </si>
  <si>
    <t>「ＫＧＵデータサイエンス演習」では、１クラスごとの人数制限を設けることで、教員の指導が行き届くよう配慮している。また、各クラスに１名以上のティーチング・アシスタント（またはスチューデント・アシスタント）を配置し、履修者が疑問を分からないままにせず、すぐに解決できるような仕組みにした。その結果、授業改善アンケートにおける授業内容の理解度を問う設問において約7割の受講生が理解できたと回答した。
以上のことから、本プログラムは、内容・水準を維持・向上しつつ、より「分かりやすい」授業となっていることが予想される。</t>
    <phoneticPr fontId="1"/>
  </si>
  <si>
    <t>・「ＫＧＵデータサイエンス概論」は、オンライン授業とすることで、教室収容数による人数制限に縛られることなく、履修できるようにした。
・多くの学部では、１年生の推奨科目やモデルカリキュラムに組み込み、履修の動機付けとした。
・大学ホームページにて、当プログラム及び科目について周知した。</t>
    <rPh sb="67" eb="68">
      <t>オオ</t>
    </rPh>
    <rPh sb="79" eb="83">
      <t>スイショウカモク</t>
    </rPh>
    <rPh sb="94" eb="95">
      <t>ク</t>
    </rPh>
    <rPh sb="96" eb="97">
      <t>コ</t>
    </rPh>
    <rPh sb="112" eb="114">
      <t>ダイガク</t>
    </rPh>
    <rPh sb="123" eb="124">
      <t>トウ</t>
    </rPh>
    <rPh sb="129" eb="130">
      <t>オヨ</t>
    </rPh>
    <rPh sb="131" eb="133">
      <t>カモク</t>
    </rPh>
    <rPh sb="137" eb="139">
      <t>シュウチ</t>
    </rPh>
    <phoneticPr fontId="1"/>
  </si>
  <si>
    <t>「ＫＧＵデータサイエンス概論」、「ＫＧＵデータサイエンス演習」の両科目は、文理融合を目指し、学部・学科に関係なく希望する学生全員が受講できるよう、「全学共通科目」の位置づけで開講し、全学部の履修要項に掲載した。
加えて、本学は２キャンパスが存在するため、「ＫＧＵデータサイエンス概論」はオンライン授業で実施し、「ＫＧＵデータサイエンス演習」は対面授業をそれぞれのキャンパスごとに開講し、学生がどの学部に所属していても、受講可能となるようにした。</t>
    <rPh sb="37" eb="41">
      <t>ブンリユウゴウ</t>
    </rPh>
    <rPh sb="42" eb="44">
      <t>メザ</t>
    </rPh>
    <phoneticPr fontId="1"/>
  </si>
  <si>
    <t>「数理・データサイエンス・AI」に関する知識・技能をもとに、社会においてデータの収集・生成に関する適切な判断ができ、自らの意思でデータを読み、説明し、活用できる力を育成する</t>
    <rPh sb="82" eb="84">
      <t>イクセイ</t>
    </rPh>
    <phoneticPr fontId="1"/>
  </si>
  <si>
    <t>国際文化学部</t>
    <rPh sb="0" eb="6">
      <t>コクサイブンカガクブ</t>
    </rPh>
    <phoneticPr fontId="17"/>
  </si>
  <si>
    <t>社会学部</t>
    <rPh sb="0" eb="4">
      <t>シャカイガクブ</t>
    </rPh>
    <phoneticPr fontId="17"/>
  </si>
  <si>
    <t>経済学部</t>
    <rPh sb="0" eb="4">
      <t>ケイザイガクブ</t>
    </rPh>
    <phoneticPr fontId="17"/>
  </si>
  <si>
    <t>経営学部</t>
    <rPh sb="0" eb="4">
      <t>ケイエイガクブ</t>
    </rPh>
    <phoneticPr fontId="17"/>
  </si>
  <si>
    <t>法学部</t>
    <rPh sb="0" eb="3">
      <t>ホウガクブ</t>
    </rPh>
    <phoneticPr fontId="17"/>
  </si>
  <si>
    <t>理工学部</t>
    <rPh sb="0" eb="4">
      <t>リコウガクブ</t>
    </rPh>
    <phoneticPr fontId="17"/>
  </si>
  <si>
    <t>建築・環境学部</t>
    <rPh sb="5" eb="7">
      <t>ガクブ</t>
    </rPh>
    <phoneticPr fontId="17"/>
  </si>
  <si>
    <t>栄養学部</t>
    <rPh sb="0" eb="4">
      <t>エイヨウガクブ</t>
    </rPh>
    <phoneticPr fontId="17"/>
  </si>
  <si>
    <t>教育学部</t>
    <rPh sb="0" eb="4">
      <t>キョウイクガクブ</t>
    </rPh>
    <phoneticPr fontId="17"/>
  </si>
  <si>
    <t>看護学部</t>
    <rPh sb="0" eb="4">
      <t>カンゴガクブ</t>
    </rPh>
    <phoneticPr fontId="17"/>
  </si>
  <si>
    <t>人間共生学部</t>
    <rPh sb="0" eb="6">
      <t>ニンゲンキョウセイガクブ</t>
    </rPh>
    <phoneticPr fontId="17"/>
  </si>
  <si>
    <t>関東学院大学高等教育研究・開発センター</t>
    <rPh sb="0" eb="6">
      <t>カントウガクインダイガク</t>
    </rPh>
    <rPh sb="6" eb="19">
      <t>コウトウケン</t>
    </rPh>
    <phoneticPr fontId="1"/>
  </si>
  <si>
    <t>関東学院大学高等教育研究・開発センター規程</t>
    <rPh sb="6" eb="19">
      <t>コウトウケン</t>
    </rPh>
    <rPh sb="19" eb="21">
      <t>キテイ</t>
    </rPh>
    <phoneticPr fontId="1"/>
  </si>
  <si>
    <t xml:space="preserve">2023年度 関東学院大学高等教育研究・開発センター構成員
〔センター長〕
吉田　広毅（副学長／国際文化学部教授）
〔センター次長〕
江頭　幸代（副学長／経営学部教授）
山本　勝造（経済学部教授）
〔センター員〕
千葉　敏雄（教学支援部長）
児玉　晃二（国際文化学部准教授）
藤根　雅之（社会学部准教授）
元木　　誠（理工学部教授）
菅　　洋子（栄養学部教授）
滝口　宣明（教務課担当課長）
千葉　隆行（教務課担当課長）
冨田　茂美（高等教育研究・開発センター准教授）
</t>
    <rPh sb="44" eb="47">
      <t>フクガクチョウ</t>
    </rPh>
    <rPh sb="48" eb="54">
      <t>コクサイブンカガクブ</t>
    </rPh>
    <rPh sb="54" eb="56">
      <t>キョウジュ</t>
    </rPh>
    <rPh sb="73" eb="76">
      <t>フクガクチョウ</t>
    </rPh>
    <rPh sb="77" eb="81">
      <t>ケイエイガクブ</t>
    </rPh>
    <rPh sb="81" eb="83">
      <t>キョウジュ</t>
    </rPh>
    <rPh sb="91" eb="95">
      <t>ケイザイガクブ</t>
    </rPh>
    <rPh sb="95" eb="97">
      <t>キョウジュ</t>
    </rPh>
    <rPh sb="113" eb="119">
      <t>キョウガクシエンブチョウ</t>
    </rPh>
    <rPh sb="127" eb="133">
      <t>コクサイブンカガクブ</t>
    </rPh>
    <rPh sb="133" eb="136">
      <t>ジュンキョウジュ</t>
    </rPh>
    <rPh sb="144" eb="148">
      <t>シャカイガクブ</t>
    </rPh>
    <rPh sb="148" eb="151">
      <t>ジュンキョウジュ</t>
    </rPh>
    <rPh sb="159" eb="163">
      <t>リコウガクブ</t>
    </rPh>
    <rPh sb="163" eb="165">
      <t>キョウジュ</t>
    </rPh>
    <rPh sb="173" eb="177">
      <t>エイヨウガクブ</t>
    </rPh>
    <rPh sb="177" eb="179">
      <t>キョウジュ</t>
    </rPh>
    <rPh sb="190" eb="194">
      <t>タントウカチョウ</t>
    </rPh>
    <rPh sb="217" eb="230">
      <t>コウトウケン</t>
    </rPh>
    <rPh sb="230" eb="233">
      <t>ジュンキョウジュ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</si>
</sst>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b/>
      <sz val="15"/>
      <color theme="3"/>
      <name val="ＭＳ Ｐゴシック"/>
      <family val="2"/>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center" wrapText="1"/>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9" fontId="2" fillId="0" borderId="21" xfId="0" applyNumberFormat="1" applyFont="1" applyBorder="1" applyAlignment="1">
      <alignment vertical="center" shrinkToFit="1"/>
    </xf>
    <xf numFmtId="0" fontId="2" fillId="0" borderId="20" xfId="0" applyFont="1" applyFill="1" applyBorder="1" applyAlignment="1">
      <alignment horizontal="left" vertical="center" shrinkToFit="1"/>
    </xf>
    <xf numFmtId="38" fontId="2" fillId="0" borderId="20" xfId="2" applyFont="1" applyFill="1" applyBorder="1" applyAlignment="1">
      <alignment vertical="center" shrinkToFit="1"/>
    </xf>
    <xf numFmtId="38" fontId="2" fillId="0" borderId="45" xfId="2" applyFont="1" applyFill="1" applyBorder="1" applyAlignment="1">
      <alignment vertical="center" shrinkToFit="1"/>
    </xf>
    <xf numFmtId="38" fontId="2" fillId="0" borderId="19" xfId="2" applyFont="1" applyFill="1" applyBorder="1" applyAlignment="1">
      <alignment vertical="center" shrinkToFit="1"/>
    </xf>
    <xf numFmtId="9" fontId="2" fillId="0" borderId="20" xfId="0" applyNumberFormat="1" applyFont="1" applyFill="1" applyBorder="1" applyAlignment="1">
      <alignment vertical="center" shrinkToFit="1"/>
    </xf>
    <xf numFmtId="38" fontId="2" fillId="0" borderId="18" xfId="2" applyFont="1" applyFill="1" applyBorder="1" applyAlignment="1">
      <alignment vertical="center" shrinkToFit="1"/>
    </xf>
    <xf numFmtId="38" fontId="2" fillId="0" borderId="48" xfId="2" applyFont="1" applyFill="1" applyBorder="1" applyAlignment="1">
      <alignment vertical="center" shrinkToFit="1"/>
    </xf>
    <xf numFmtId="0" fontId="13" fillId="0" borderId="0" xfId="0" applyFont="1" applyAlignment="1">
      <alignment horizontal="right" vertical="center"/>
    </xf>
    <xf numFmtId="0" fontId="2" fillId="0" borderId="0" xfId="0" applyFont="1" applyAlignment="1">
      <alignment horizontal="center" vertical="center"/>
    </xf>
    <xf numFmtId="9" fontId="2" fillId="0" borderId="24" xfId="0" applyNumberFormat="1" applyFont="1" applyBorder="1" applyAlignment="1">
      <alignment vertical="center" shrinkToFi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6"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1" xfId="0" applyNumberFormat="1" applyFont="1" applyBorder="1" applyAlignment="1">
      <alignment horizontal="lef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1"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8"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2" fillId="0" borderId="14" xfId="0" applyFont="1" applyBorder="1" applyAlignment="1">
      <alignment horizontal="center" vertical="center"/>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pplyAlignment="1">
      <alignment vertical="center"/>
    </xf>
    <xf numFmtId="0" fontId="5" fillId="0" borderId="17" xfId="0" applyFont="1" applyBorder="1" applyAlignment="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85" zoomScaleNormal="100" zoomScaleSheetLayoutView="85" workbookViewId="0">
      <selection activeCell="B104" sqref="B104:U10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46" t="s">
        <v>0</v>
      </c>
      <c r="U1" s="146"/>
      <c r="V1" s="2" t="s">
        <v>1</v>
      </c>
      <c r="W1" s="72"/>
      <c r="X1" s="72"/>
    </row>
    <row r="2" spans="1:24" ht="18.75" customHeight="1" x14ac:dyDescent="0.15">
      <c r="A2" s="75"/>
      <c r="B2" s="85" t="s">
        <v>2</v>
      </c>
      <c r="C2" s="147" t="s">
        <v>136</v>
      </c>
      <c r="D2" s="148"/>
      <c r="E2" s="148"/>
      <c r="F2" s="148"/>
      <c r="G2" s="148"/>
      <c r="H2" s="148"/>
      <c r="I2" s="148"/>
      <c r="J2" s="149"/>
      <c r="K2" s="76"/>
      <c r="L2" s="77"/>
      <c r="M2" s="77"/>
      <c r="N2" s="77"/>
      <c r="O2" s="77"/>
      <c r="P2" s="77"/>
      <c r="Q2" s="77"/>
      <c r="R2" s="77"/>
      <c r="S2" s="77"/>
      <c r="T2" s="77"/>
      <c r="U2" s="77"/>
      <c r="V2" s="72"/>
      <c r="W2" s="72"/>
      <c r="X2" s="72"/>
    </row>
    <row r="3" spans="1:24" ht="18.75" customHeight="1" x14ac:dyDescent="0.15">
      <c r="A3" s="75"/>
      <c r="B3" s="85" t="s">
        <v>3</v>
      </c>
      <c r="C3" s="147" t="s">
        <v>137</v>
      </c>
      <c r="D3" s="148"/>
      <c r="E3" s="148"/>
      <c r="F3" s="148"/>
      <c r="G3" s="148"/>
      <c r="H3" s="148"/>
      <c r="I3" s="148"/>
      <c r="J3" s="149"/>
      <c r="K3" s="76"/>
      <c r="L3" s="77"/>
      <c r="M3" s="77"/>
      <c r="N3" s="77"/>
      <c r="O3" s="77"/>
      <c r="P3" s="77"/>
      <c r="Q3" s="77"/>
      <c r="R3" s="77"/>
      <c r="S3" s="77"/>
      <c r="T3" s="77"/>
      <c r="U3" s="77"/>
      <c r="V3" s="72"/>
      <c r="W3" s="72"/>
      <c r="X3" s="72"/>
    </row>
    <row r="4" spans="1:24" ht="15" customHeight="1" x14ac:dyDescent="0.15">
      <c r="A4" s="75"/>
      <c r="B4" s="75"/>
      <c r="C4" s="75"/>
      <c r="D4" s="75"/>
      <c r="E4" s="75"/>
      <c r="F4" s="75"/>
      <c r="G4" s="75"/>
      <c r="H4" s="75"/>
      <c r="I4" s="75"/>
      <c r="J4" s="75"/>
      <c r="K4" s="75"/>
      <c r="L4" s="76"/>
      <c r="M4" s="78"/>
      <c r="N4" s="78"/>
      <c r="O4" s="78"/>
      <c r="P4" s="78"/>
      <c r="Q4" s="78"/>
      <c r="R4" s="78"/>
      <c r="S4" s="78"/>
      <c r="T4" s="78"/>
      <c r="U4" s="78"/>
      <c r="V4" s="72"/>
      <c r="W4" s="72"/>
      <c r="X4" s="72"/>
    </row>
    <row r="5" spans="1:24" ht="18" customHeight="1" x14ac:dyDescent="0.15">
      <c r="A5" s="127" t="s">
        <v>4</v>
      </c>
      <c r="B5" s="127"/>
      <c r="C5" s="127"/>
      <c r="D5" s="127"/>
      <c r="E5" s="127"/>
      <c r="F5" s="127"/>
      <c r="G5" s="127"/>
      <c r="H5" s="127"/>
      <c r="I5" s="127"/>
      <c r="J5" s="127"/>
      <c r="K5" s="127"/>
      <c r="L5" s="127"/>
      <c r="M5" s="127"/>
      <c r="N5" s="127"/>
      <c r="O5" s="127"/>
      <c r="P5" s="127"/>
      <c r="Q5" s="127"/>
      <c r="R5" s="127"/>
      <c r="S5" s="127"/>
      <c r="T5" s="127"/>
      <c r="U5" s="127"/>
      <c r="V5" s="72"/>
      <c r="W5" s="72"/>
      <c r="X5" s="72"/>
    </row>
    <row r="6" spans="1:24" ht="15" customHeight="1" x14ac:dyDescent="0.15">
      <c r="A6" s="75"/>
      <c r="B6" s="79"/>
      <c r="C6" s="79"/>
      <c r="D6" s="79"/>
      <c r="E6" s="79"/>
      <c r="F6" s="79"/>
      <c r="G6" s="79"/>
      <c r="H6" s="79"/>
      <c r="I6" s="79"/>
      <c r="J6" s="79"/>
      <c r="K6" s="79"/>
      <c r="L6" s="79"/>
      <c r="M6" s="79"/>
      <c r="N6" s="79"/>
      <c r="O6" s="79"/>
      <c r="P6" s="79"/>
      <c r="Q6" s="79"/>
      <c r="R6" s="79"/>
      <c r="S6" s="79"/>
      <c r="T6" s="79"/>
      <c r="U6" s="79"/>
      <c r="V6" s="72"/>
      <c r="W6" s="72"/>
      <c r="X6" s="72"/>
    </row>
    <row r="7" spans="1:24" ht="15" customHeight="1" x14ac:dyDescent="0.15">
      <c r="A7" s="75" t="s">
        <v>5</v>
      </c>
      <c r="B7" s="79"/>
      <c r="C7" s="79"/>
      <c r="D7" s="79"/>
      <c r="E7" s="79"/>
      <c r="F7" s="80"/>
      <c r="G7" s="80"/>
      <c r="H7" s="80"/>
      <c r="I7" s="80"/>
      <c r="J7" s="80"/>
      <c r="K7" s="80"/>
      <c r="L7" s="164" t="s">
        <v>138</v>
      </c>
      <c r="M7" s="165"/>
      <c r="N7" s="165"/>
      <c r="O7" s="165"/>
      <c r="P7" s="165"/>
      <c r="Q7" s="165"/>
      <c r="R7" s="165"/>
      <c r="S7" s="165"/>
      <c r="T7" s="165"/>
      <c r="U7" s="166"/>
      <c r="V7" s="72"/>
      <c r="W7" s="72"/>
      <c r="X7" s="72"/>
    </row>
    <row r="8" spans="1:24" ht="6" customHeight="1" x14ac:dyDescent="0.15">
      <c r="A8" s="75"/>
      <c r="B8" s="79"/>
      <c r="C8" s="79"/>
      <c r="D8" s="79"/>
      <c r="E8" s="79"/>
      <c r="F8" s="79"/>
      <c r="G8" s="79"/>
      <c r="H8" s="79"/>
      <c r="I8" s="79"/>
      <c r="J8" s="79"/>
      <c r="K8" s="79"/>
      <c r="L8" s="79"/>
      <c r="M8" s="79"/>
      <c r="N8" s="79"/>
      <c r="O8" s="79"/>
      <c r="P8" s="79"/>
      <c r="Q8" s="79"/>
      <c r="R8" s="79"/>
      <c r="S8" s="79"/>
      <c r="T8" s="79"/>
      <c r="U8" s="79"/>
      <c r="V8" s="72"/>
      <c r="W8" s="72"/>
      <c r="X8" s="72"/>
    </row>
    <row r="9" spans="1:24" ht="18" customHeight="1" x14ac:dyDescent="0.15">
      <c r="A9" s="75" t="s">
        <v>6</v>
      </c>
      <c r="B9" s="75"/>
      <c r="C9" s="79"/>
      <c r="D9" s="79"/>
      <c r="E9" s="75"/>
      <c r="F9" s="75"/>
      <c r="G9" s="75"/>
      <c r="H9" s="75"/>
      <c r="I9" s="75"/>
      <c r="J9" s="75"/>
      <c r="K9" s="76"/>
      <c r="L9" s="80"/>
      <c r="M9" s="80"/>
      <c r="N9" s="80"/>
      <c r="O9" s="80"/>
      <c r="P9" s="80"/>
      <c r="Q9" s="80"/>
      <c r="R9" s="80"/>
      <c r="S9" s="80"/>
      <c r="T9" s="80"/>
      <c r="U9" s="80"/>
      <c r="V9" s="72"/>
      <c r="W9" s="72"/>
      <c r="X9" s="72"/>
    </row>
    <row r="10" spans="1:24" ht="6" customHeight="1" x14ac:dyDescent="0.15">
      <c r="A10" s="75"/>
      <c r="B10" s="79"/>
      <c r="C10" s="79"/>
      <c r="D10" s="79"/>
      <c r="E10" s="79"/>
      <c r="F10" s="79"/>
      <c r="G10" s="79"/>
      <c r="H10" s="79"/>
      <c r="I10" s="79"/>
      <c r="J10" s="79"/>
      <c r="K10" s="79"/>
      <c r="L10" s="81"/>
      <c r="M10" s="79"/>
      <c r="N10" s="79"/>
      <c r="O10" s="79"/>
      <c r="P10" s="79"/>
      <c r="Q10" s="79"/>
      <c r="R10" s="79"/>
      <c r="S10" s="79"/>
      <c r="T10" s="79"/>
      <c r="U10" s="79"/>
      <c r="V10" s="72"/>
      <c r="W10" s="72"/>
      <c r="X10" s="72"/>
    </row>
    <row r="11" spans="1:24" ht="18" customHeight="1" x14ac:dyDescent="0.15">
      <c r="A11" s="75"/>
      <c r="B11" s="168"/>
      <c r="C11" s="169"/>
      <c r="D11" s="169"/>
      <c r="E11" s="169"/>
      <c r="F11" s="169"/>
      <c r="G11" s="169"/>
      <c r="H11" s="169"/>
      <c r="I11" s="169"/>
      <c r="J11" s="169"/>
      <c r="K11" s="169"/>
      <c r="L11" s="169"/>
      <c r="M11" s="169"/>
      <c r="N11" s="169"/>
      <c r="O11" s="169"/>
      <c r="P11" s="169"/>
      <c r="Q11" s="169"/>
      <c r="R11" s="169"/>
      <c r="S11" s="169"/>
      <c r="T11" s="169"/>
      <c r="U11" s="170"/>
      <c r="V11" s="72"/>
      <c r="W11" s="72"/>
      <c r="X11" s="72"/>
    </row>
    <row r="12" spans="1:24" ht="18" customHeight="1" x14ac:dyDescent="0.15">
      <c r="A12" s="75"/>
      <c r="B12" s="171"/>
      <c r="C12" s="172"/>
      <c r="D12" s="172"/>
      <c r="E12" s="172"/>
      <c r="F12" s="172"/>
      <c r="G12" s="172"/>
      <c r="H12" s="172"/>
      <c r="I12" s="172"/>
      <c r="J12" s="172"/>
      <c r="K12" s="172"/>
      <c r="L12" s="172"/>
      <c r="M12" s="172"/>
      <c r="N12" s="172"/>
      <c r="O12" s="172"/>
      <c r="P12" s="172"/>
      <c r="Q12" s="172"/>
      <c r="R12" s="172"/>
      <c r="S12" s="172"/>
      <c r="T12" s="172"/>
      <c r="U12" s="173"/>
      <c r="V12" s="72"/>
      <c r="W12" s="72"/>
      <c r="X12" s="72"/>
    </row>
    <row r="13" spans="1:24" ht="6" customHeight="1" x14ac:dyDescent="0.15">
      <c r="A13" s="75"/>
      <c r="B13" s="79"/>
      <c r="C13" s="79"/>
      <c r="D13" s="79"/>
      <c r="E13" s="79"/>
      <c r="F13" s="79"/>
      <c r="G13" s="79"/>
      <c r="H13" s="79"/>
      <c r="I13" s="79"/>
      <c r="J13" s="79"/>
      <c r="K13" s="79"/>
      <c r="L13" s="81"/>
      <c r="M13" s="79"/>
      <c r="N13" s="79"/>
      <c r="O13" s="79"/>
      <c r="P13" s="79"/>
      <c r="Q13" s="79"/>
      <c r="R13" s="79"/>
      <c r="S13" s="79"/>
      <c r="T13" s="79"/>
      <c r="U13" s="79"/>
      <c r="V13" s="72"/>
      <c r="W13" s="72"/>
      <c r="X13" s="72"/>
    </row>
    <row r="14" spans="1:24" ht="18" customHeight="1" x14ac:dyDescent="0.15">
      <c r="A14" s="75" t="s">
        <v>7</v>
      </c>
      <c r="B14" s="79"/>
      <c r="C14" s="79"/>
      <c r="D14" s="79"/>
      <c r="E14" s="76"/>
      <c r="F14" s="76"/>
      <c r="G14" s="76"/>
      <c r="H14" s="76"/>
      <c r="I14" s="76"/>
      <c r="J14" s="76"/>
      <c r="K14" s="76"/>
      <c r="L14" s="82"/>
      <c r="M14" s="82"/>
      <c r="N14" s="82"/>
      <c r="O14" s="82"/>
      <c r="P14" s="82"/>
      <c r="Q14" s="82"/>
      <c r="R14" s="82"/>
      <c r="S14" s="82"/>
      <c r="T14" s="82"/>
      <c r="U14" s="82"/>
      <c r="V14" s="72"/>
      <c r="W14" s="72"/>
      <c r="X14" s="72"/>
    </row>
    <row r="15" spans="1:24" ht="18" customHeight="1" x14ac:dyDescent="0.15">
      <c r="A15" s="75"/>
      <c r="B15" s="128" t="s">
        <v>139</v>
      </c>
      <c r="C15" s="129"/>
      <c r="D15" s="129"/>
      <c r="E15" s="129"/>
      <c r="F15" s="129"/>
      <c r="G15" s="129"/>
      <c r="H15" s="129"/>
      <c r="I15" s="129"/>
      <c r="J15" s="129"/>
      <c r="K15" s="129"/>
      <c r="L15" s="129"/>
      <c r="M15" s="129"/>
      <c r="N15" s="129"/>
      <c r="O15" s="129"/>
      <c r="P15" s="129"/>
      <c r="Q15" s="129"/>
      <c r="R15" s="129"/>
      <c r="S15" s="129"/>
      <c r="T15" s="129"/>
      <c r="U15" s="130"/>
      <c r="V15" s="72"/>
      <c r="W15" s="72"/>
      <c r="X15" s="72" t="s">
        <v>8</v>
      </c>
    </row>
    <row r="16" spans="1:24" ht="18" customHeight="1" x14ac:dyDescent="0.15">
      <c r="A16" s="75"/>
      <c r="B16" s="131"/>
      <c r="C16" s="132"/>
      <c r="D16" s="132"/>
      <c r="E16" s="132"/>
      <c r="F16" s="132"/>
      <c r="G16" s="132"/>
      <c r="H16" s="132"/>
      <c r="I16" s="132"/>
      <c r="J16" s="132"/>
      <c r="K16" s="132"/>
      <c r="L16" s="132"/>
      <c r="M16" s="132"/>
      <c r="N16" s="132"/>
      <c r="O16" s="132"/>
      <c r="P16" s="132"/>
      <c r="Q16" s="132"/>
      <c r="R16" s="132"/>
      <c r="S16" s="132"/>
      <c r="T16" s="132"/>
      <c r="U16" s="133"/>
      <c r="V16" s="72"/>
      <c r="W16" s="72"/>
      <c r="X16" s="72" t="s">
        <v>9</v>
      </c>
    </row>
    <row r="17" spans="1:24" ht="18" customHeight="1" x14ac:dyDescent="0.15">
      <c r="A17" s="75"/>
      <c r="B17" s="131"/>
      <c r="C17" s="132"/>
      <c r="D17" s="132"/>
      <c r="E17" s="132"/>
      <c r="F17" s="132"/>
      <c r="G17" s="132"/>
      <c r="H17" s="132"/>
      <c r="I17" s="132"/>
      <c r="J17" s="132"/>
      <c r="K17" s="132"/>
      <c r="L17" s="132"/>
      <c r="M17" s="132"/>
      <c r="N17" s="132"/>
      <c r="O17" s="132"/>
      <c r="P17" s="132"/>
      <c r="Q17" s="132"/>
      <c r="R17" s="132"/>
      <c r="S17" s="132"/>
      <c r="T17" s="132"/>
      <c r="U17" s="133"/>
      <c r="V17" s="72"/>
      <c r="W17" s="72"/>
      <c r="X17" s="72" t="s">
        <v>10</v>
      </c>
    </row>
    <row r="18" spans="1:24" ht="18" customHeight="1" x14ac:dyDescent="0.15">
      <c r="A18" s="75"/>
      <c r="B18" s="131"/>
      <c r="C18" s="132"/>
      <c r="D18" s="132"/>
      <c r="E18" s="132"/>
      <c r="F18" s="132"/>
      <c r="G18" s="132"/>
      <c r="H18" s="132"/>
      <c r="I18" s="132"/>
      <c r="J18" s="132"/>
      <c r="K18" s="132"/>
      <c r="L18" s="132"/>
      <c r="M18" s="132"/>
      <c r="N18" s="132"/>
      <c r="O18" s="132"/>
      <c r="P18" s="132"/>
      <c r="Q18" s="132"/>
      <c r="R18" s="132"/>
      <c r="S18" s="132"/>
      <c r="T18" s="132"/>
      <c r="U18" s="133"/>
      <c r="V18" s="72"/>
      <c r="W18" s="72"/>
      <c r="X18" s="72" t="s">
        <v>11</v>
      </c>
    </row>
    <row r="19" spans="1:24" ht="18" customHeight="1" x14ac:dyDescent="0.15">
      <c r="A19" s="75"/>
      <c r="B19" s="131"/>
      <c r="C19" s="132"/>
      <c r="D19" s="132"/>
      <c r="E19" s="132"/>
      <c r="F19" s="132"/>
      <c r="G19" s="132"/>
      <c r="H19" s="132"/>
      <c r="I19" s="132"/>
      <c r="J19" s="132"/>
      <c r="K19" s="132"/>
      <c r="L19" s="132"/>
      <c r="M19" s="132"/>
      <c r="N19" s="132"/>
      <c r="O19" s="132"/>
      <c r="P19" s="132"/>
      <c r="Q19" s="132"/>
      <c r="R19" s="132"/>
      <c r="S19" s="132"/>
      <c r="T19" s="132"/>
      <c r="U19" s="133"/>
      <c r="V19" s="72"/>
      <c r="W19" s="72"/>
      <c r="X19" s="72"/>
    </row>
    <row r="20" spans="1:24" ht="18" customHeight="1" x14ac:dyDescent="0.15">
      <c r="A20" s="75"/>
      <c r="B20" s="134"/>
      <c r="C20" s="135"/>
      <c r="D20" s="135"/>
      <c r="E20" s="135"/>
      <c r="F20" s="135"/>
      <c r="G20" s="135"/>
      <c r="H20" s="135"/>
      <c r="I20" s="135"/>
      <c r="J20" s="135"/>
      <c r="K20" s="135"/>
      <c r="L20" s="135"/>
      <c r="M20" s="135"/>
      <c r="N20" s="135"/>
      <c r="O20" s="135"/>
      <c r="P20" s="135"/>
      <c r="Q20" s="135"/>
      <c r="R20" s="135"/>
      <c r="S20" s="135"/>
      <c r="T20" s="135"/>
      <c r="U20" s="136"/>
      <c r="V20" s="72"/>
      <c r="W20" s="72"/>
      <c r="X20" s="72"/>
    </row>
    <row r="21" spans="1:24" ht="7.5" customHeight="1" x14ac:dyDescent="0.15">
      <c r="A21" s="75"/>
      <c r="B21" s="79"/>
      <c r="C21" s="79"/>
      <c r="D21" s="79"/>
      <c r="E21" s="79"/>
      <c r="F21" s="79"/>
      <c r="G21" s="79"/>
      <c r="H21" s="79"/>
      <c r="I21" s="79"/>
      <c r="J21" s="79"/>
      <c r="K21" s="79"/>
      <c r="L21" s="79"/>
      <c r="M21" s="79"/>
      <c r="N21" s="79"/>
      <c r="O21" s="79"/>
      <c r="P21" s="79"/>
      <c r="Q21" s="79"/>
      <c r="R21" s="79"/>
      <c r="S21" s="79"/>
      <c r="T21" s="79"/>
      <c r="U21" s="79"/>
      <c r="V21" s="72"/>
      <c r="W21" s="72"/>
      <c r="X21" s="72"/>
    </row>
    <row r="22" spans="1:24" ht="19.899999999999999" customHeight="1" x14ac:dyDescent="0.15">
      <c r="A22" s="75"/>
      <c r="B22" s="75" t="s">
        <v>12</v>
      </c>
      <c r="C22" s="75"/>
      <c r="D22" s="75"/>
      <c r="E22" s="83">
        <v>2</v>
      </c>
      <c r="F22" s="75" t="s">
        <v>13</v>
      </c>
      <c r="G22" s="75"/>
      <c r="H22" s="84">
        <v>4</v>
      </c>
      <c r="I22" s="79" t="s">
        <v>14</v>
      </c>
      <c r="J22" s="79"/>
      <c r="K22" s="76"/>
      <c r="L22" s="75"/>
      <c r="M22" s="76" t="s">
        <v>15</v>
      </c>
      <c r="N22" s="161" t="s">
        <v>11</v>
      </c>
      <c r="O22" s="162"/>
      <c r="P22" s="162"/>
      <c r="Q22" s="162"/>
      <c r="R22" s="162"/>
      <c r="S22" s="162"/>
      <c r="T22" s="162"/>
      <c r="U22" s="163"/>
      <c r="V22" s="72"/>
      <c r="W22" s="72"/>
      <c r="X22" s="72"/>
    </row>
    <row r="23" spans="1:24" ht="7.5" customHeight="1" x14ac:dyDescent="0.15">
      <c r="A23" s="75"/>
      <c r="B23" s="79"/>
      <c r="C23" s="79"/>
      <c r="D23" s="79"/>
      <c r="E23" s="79"/>
      <c r="F23" s="79"/>
      <c r="G23" s="79"/>
      <c r="H23" s="79"/>
      <c r="I23" s="79"/>
      <c r="J23" s="79"/>
      <c r="K23" s="79"/>
      <c r="L23" s="79"/>
      <c r="M23" s="79"/>
      <c r="N23" s="79"/>
      <c r="O23" s="79"/>
      <c r="P23" s="79"/>
      <c r="Q23" s="79"/>
      <c r="R23" s="79"/>
      <c r="S23" s="79"/>
      <c r="T23" s="79"/>
      <c r="U23" s="79"/>
      <c r="V23" s="72"/>
      <c r="W23" s="72"/>
      <c r="X23" s="72"/>
    </row>
    <row r="24" spans="1:24" ht="18" customHeight="1" x14ac:dyDescent="0.15">
      <c r="A24" s="137" t="s">
        <v>16</v>
      </c>
      <c r="B24" s="137"/>
      <c r="C24" s="137"/>
      <c r="D24" s="137"/>
      <c r="E24" s="137"/>
      <c r="F24" s="137"/>
      <c r="G24" s="137"/>
      <c r="H24" s="137"/>
      <c r="I24" s="137"/>
      <c r="J24" s="137"/>
      <c r="K24" s="137"/>
      <c r="L24" s="137"/>
      <c r="M24" s="137"/>
      <c r="N24" s="137"/>
      <c r="O24" s="137"/>
      <c r="P24" s="137"/>
      <c r="Q24" s="137"/>
      <c r="R24" s="137"/>
      <c r="S24" s="137"/>
      <c r="T24" s="137"/>
      <c r="U24" s="137"/>
      <c r="V24" s="72"/>
      <c r="W24" s="72"/>
      <c r="X24" s="72"/>
    </row>
    <row r="25" spans="1:24" ht="18" customHeight="1" x14ac:dyDescent="0.15">
      <c r="A25" s="137"/>
      <c r="B25" s="137"/>
      <c r="C25" s="137"/>
      <c r="D25" s="137"/>
      <c r="E25" s="137"/>
      <c r="F25" s="137"/>
      <c r="G25" s="137"/>
      <c r="H25" s="137"/>
      <c r="I25" s="137"/>
      <c r="J25" s="137"/>
      <c r="K25" s="137"/>
      <c r="L25" s="137"/>
      <c r="M25" s="137"/>
      <c r="N25" s="137"/>
      <c r="O25" s="137"/>
      <c r="P25" s="137"/>
      <c r="Q25" s="137"/>
      <c r="R25" s="137"/>
      <c r="S25" s="137"/>
      <c r="T25" s="137"/>
      <c r="U25" s="137"/>
      <c r="V25" s="72"/>
      <c r="W25" s="72"/>
      <c r="X25" s="72"/>
    </row>
    <row r="26" spans="1:24" ht="18" customHeight="1" x14ac:dyDescent="0.15">
      <c r="A26" s="72"/>
      <c r="B26" s="103" t="s">
        <v>17</v>
      </c>
      <c r="C26" s="104"/>
      <c r="D26" s="104"/>
      <c r="E26" s="104"/>
      <c r="F26" s="105"/>
      <c r="G26" s="44" t="s">
        <v>18</v>
      </c>
      <c r="H26" s="43" t="s">
        <v>19</v>
      </c>
      <c r="I26" s="11" t="s">
        <v>20</v>
      </c>
      <c r="J26" s="11" t="s">
        <v>21</v>
      </c>
      <c r="K26" s="103" t="s">
        <v>17</v>
      </c>
      <c r="L26" s="104"/>
      <c r="M26" s="104"/>
      <c r="N26" s="104"/>
      <c r="O26" s="104"/>
      <c r="P26" s="104"/>
      <c r="Q26" s="105"/>
      <c r="R26" s="44" t="s">
        <v>18</v>
      </c>
      <c r="S26" s="43" t="s">
        <v>19</v>
      </c>
      <c r="T26" s="11" t="s">
        <v>20</v>
      </c>
      <c r="U26" s="11" t="s">
        <v>21</v>
      </c>
      <c r="V26" s="72"/>
      <c r="W26" s="72"/>
      <c r="X26" s="72"/>
    </row>
    <row r="27" spans="1:24" ht="18" customHeight="1" x14ac:dyDescent="0.15">
      <c r="A27" s="72"/>
      <c r="B27" s="114" t="s">
        <v>140</v>
      </c>
      <c r="C27" s="115"/>
      <c r="D27" s="115"/>
      <c r="E27" s="115"/>
      <c r="F27" s="116"/>
      <c r="G27" s="12">
        <v>2</v>
      </c>
      <c r="H27" s="12" t="s">
        <v>141</v>
      </c>
      <c r="I27" s="12" t="s">
        <v>141</v>
      </c>
      <c r="J27" s="12" t="s">
        <v>141</v>
      </c>
      <c r="K27" s="114"/>
      <c r="L27" s="115"/>
      <c r="M27" s="115"/>
      <c r="N27" s="115"/>
      <c r="O27" s="115"/>
      <c r="P27" s="115"/>
      <c r="Q27" s="116"/>
      <c r="R27" s="12"/>
      <c r="S27" s="12"/>
      <c r="T27" s="12"/>
      <c r="U27" s="12"/>
      <c r="V27" s="72"/>
      <c r="W27" s="72"/>
      <c r="X27" s="72"/>
    </row>
    <row r="28" spans="1:24" ht="18" customHeight="1" x14ac:dyDescent="0.15">
      <c r="A28" s="72"/>
      <c r="B28" s="106"/>
      <c r="C28" s="107"/>
      <c r="D28" s="107"/>
      <c r="E28" s="107"/>
      <c r="F28" s="108"/>
      <c r="G28" s="13"/>
      <c r="H28" s="13"/>
      <c r="I28" s="13"/>
      <c r="J28" s="13"/>
      <c r="K28" s="106"/>
      <c r="L28" s="107"/>
      <c r="M28" s="107"/>
      <c r="N28" s="107"/>
      <c r="O28" s="107"/>
      <c r="P28" s="107"/>
      <c r="Q28" s="108"/>
      <c r="R28" s="13"/>
      <c r="S28" s="13"/>
      <c r="T28" s="13"/>
      <c r="U28" s="13"/>
      <c r="V28" s="72"/>
      <c r="W28" s="72"/>
      <c r="X28" s="72"/>
    </row>
    <row r="29" spans="1:24" ht="18" customHeight="1" x14ac:dyDescent="0.15">
      <c r="A29" s="72"/>
      <c r="B29" s="106"/>
      <c r="C29" s="107"/>
      <c r="D29" s="107"/>
      <c r="E29" s="107"/>
      <c r="F29" s="108"/>
      <c r="G29" s="13"/>
      <c r="H29" s="13"/>
      <c r="I29" s="13"/>
      <c r="J29" s="13"/>
      <c r="K29" s="106"/>
      <c r="L29" s="107"/>
      <c r="M29" s="107"/>
      <c r="N29" s="107"/>
      <c r="O29" s="107"/>
      <c r="P29" s="107"/>
      <c r="Q29" s="108"/>
      <c r="R29" s="13"/>
      <c r="S29" s="13"/>
      <c r="T29" s="13"/>
      <c r="U29" s="13"/>
      <c r="V29" s="72"/>
      <c r="W29" s="72"/>
      <c r="X29" s="72"/>
    </row>
    <row r="30" spans="1:24" ht="18" customHeight="1" x14ac:dyDescent="0.15">
      <c r="A30" s="72"/>
      <c r="B30" s="106"/>
      <c r="C30" s="107"/>
      <c r="D30" s="107"/>
      <c r="E30" s="107"/>
      <c r="F30" s="108"/>
      <c r="G30" s="13"/>
      <c r="H30" s="13"/>
      <c r="I30" s="13"/>
      <c r="J30" s="13"/>
      <c r="K30" s="106"/>
      <c r="L30" s="107"/>
      <c r="M30" s="107"/>
      <c r="N30" s="107"/>
      <c r="O30" s="107"/>
      <c r="P30" s="107"/>
      <c r="Q30" s="108"/>
      <c r="R30" s="13"/>
      <c r="S30" s="13"/>
      <c r="T30" s="13"/>
      <c r="U30" s="13"/>
      <c r="V30" s="72"/>
      <c r="W30" s="72"/>
      <c r="X30" s="72"/>
    </row>
    <row r="31" spans="1:24" ht="18" customHeight="1" x14ac:dyDescent="0.15">
      <c r="A31" s="72"/>
      <c r="B31" s="106"/>
      <c r="C31" s="107"/>
      <c r="D31" s="107"/>
      <c r="E31" s="107"/>
      <c r="F31" s="108"/>
      <c r="G31" s="13"/>
      <c r="H31" s="13"/>
      <c r="I31" s="13"/>
      <c r="J31" s="13"/>
      <c r="K31" s="106"/>
      <c r="L31" s="107"/>
      <c r="M31" s="107"/>
      <c r="N31" s="107"/>
      <c r="O31" s="107"/>
      <c r="P31" s="107"/>
      <c r="Q31" s="108"/>
      <c r="R31" s="13"/>
      <c r="S31" s="13"/>
      <c r="T31" s="13"/>
      <c r="U31" s="13"/>
      <c r="V31" s="72"/>
      <c r="W31" s="72"/>
      <c r="X31" s="72"/>
    </row>
    <row r="32" spans="1:24" ht="18" customHeight="1" x14ac:dyDescent="0.15">
      <c r="A32" s="71"/>
      <c r="B32" s="106"/>
      <c r="C32" s="107"/>
      <c r="D32" s="107"/>
      <c r="E32" s="107"/>
      <c r="F32" s="108"/>
      <c r="G32" s="13"/>
      <c r="H32" s="13"/>
      <c r="I32" s="13"/>
      <c r="J32" s="13"/>
      <c r="K32" s="106"/>
      <c r="L32" s="107"/>
      <c r="M32" s="107"/>
      <c r="N32" s="107"/>
      <c r="O32" s="107"/>
      <c r="P32" s="107"/>
      <c r="Q32" s="108"/>
      <c r="R32" s="13"/>
      <c r="S32" s="13"/>
      <c r="T32" s="13"/>
      <c r="U32" s="13"/>
      <c r="V32" s="72"/>
      <c r="W32" s="72"/>
      <c r="X32" s="72"/>
    </row>
    <row r="33" spans="1:21" ht="18" customHeight="1" x14ac:dyDescent="0.15">
      <c r="A33" s="71"/>
      <c r="B33" s="109"/>
      <c r="C33" s="110"/>
      <c r="D33" s="110"/>
      <c r="E33" s="110"/>
      <c r="F33" s="111"/>
      <c r="G33" s="14"/>
      <c r="H33" s="14"/>
      <c r="I33" s="15"/>
      <c r="J33" s="15"/>
      <c r="K33" s="109"/>
      <c r="L33" s="110"/>
      <c r="M33" s="110"/>
      <c r="N33" s="110"/>
      <c r="O33" s="110"/>
      <c r="P33" s="110"/>
      <c r="Q33" s="111"/>
      <c r="R33" s="14"/>
      <c r="S33" s="14"/>
      <c r="T33" s="15"/>
      <c r="U33" s="15"/>
    </row>
    <row r="34" spans="1:21" ht="7.5" customHeight="1" x14ac:dyDescent="0.15">
      <c r="A34" s="71"/>
      <c r="B34" s="5"/>
      <c r="C34" s="5"/>
      <c r="D34" s="5"/>
      <c r="E34" s="71"/>
      <c r="F34" s="71"/>
      <c r="G34" s="71"/>
      <c r="H34" s="71"/>
      <c r="I34" s="5"/>
      <c r="J34" s="5"/>
      <c r="K34" s="5"/>
      <c r="L34" s="5"/>
      <c r="M34" s="5"/>
      <c r="N34" s="5"/>
      <c r="O34" s="5"/>
      <c r="P34" s="5"/>
      <c r="Q34" s="5"/>
      <c r="R34" s="5"/>
      <c r="S34" s="5"/>
      <c r="T34" s="5"/>
      <c r="U34" s="71"/>
    </row>
    <row r="35" spans="1:21" ht="18" customHeight="1" x14ac:dyDescent="0.15">
      <c r="A35" s="117" t="s">
        <v>22</v>
      </c>
      <c r="B35" s="117"/>
      <c r="C35" s="117"/>
      <c r="D35" s="117"/>
      <c r="E35" s="117"/>
      <c r="F35" s="117"/>
      <c r="G35" s="117"/>
      <c r="H35" s="117"/>
      <c r="I35" s="117"/>
      <c r="J35" s="117"/>
      <c r="K35" s="117"/>
      <c r="L35" s="117"/>
      <c r="M35" s="117"/>
      <c r="N35" s="117"/>
      <c r="O35" s="117"/>
      <c r="P35" s="117"/>
      <c r="Q35" s="117"/>
      <c r="R35" s="117"/>
      <c r="S35" s="117"/>
      <c r="T35" s="117"/>
      <c r="U35" s="117"/>
    </row>
    <row r="36" spans="1:21" ht="18" customHeight="1" x14ac:dyDescent="0.15">
      <c r="A36" s="117"/>
      <c r="B36" s="117"/>
      <c r="C36" s="117"/>
      <c r="D36" s="117"/>
      <c r="E36" s="117"/>
      <c r="F36" s="117"/>
      <c r="G36" s="117"/>
      <c r="H36" s="117"/>
      <c r="I36" s="117"/>
      <c r="J36" s="117"/>
      <c r="K36" s="117"/>
      <c r="L36" s="117"/>
      <c r="M36" s="117"/>
      <c r="N36" s="117"/>
      <c r="O36" s="117"/>
      <c r="P36" s="117"/>
      <c r="Q36" s="117"/>
      <c r="R36" s="117"/>
      <c r="S36" s="117"/>
      <c r="T36" s="117"/>
      <c r="U36" s="117"/>
    </row>
    <row r="37" spans="1:21" ht="18" customHeight="1" x14ac:dyDescent="0.15">
      <c r="A37" s="72"/>
      <c r="B37" s="103" t="s">
        <v>17</v>
      </c>
      <c r="C37" s="104"/>
      <c r="D37" s="104"/>
      <c r="E37" s="104"/>
      <c r="F37" s="105"/>
      <c r="G37" s="44" t="s">
        <v>18</v>
      </c>
      <c r="H37" s="43" t="s">
        <v>19</v>
      </c>
      <c r="I37" s="11" t="s">
        <v>23</v>
      </c>
      <c r="J37" s="11" t="s">
        <v>24</v>
      </c>
      <c r="K37" s="103" t="s">
        <v>17</v>
      </c>
      <c r="L37" s="104"/>
      <c r="M37" s="104"/>
      <c r="N37" s="104"/>
      <c r="O37" s="104"/>
      <c r="P37" s="104"/>
      <c r="Q37" s="105"/>
      <c r="R37" s="44" t="s">
        <v>18</v>
      </c>
      <c r="S37" s="43" t="s">
        <v>19</v>
      </c>
      <c r="T37" s="11" t="s">
        <v>23</v>
      </c>
      <c r="U37" s="11" t="s">
        <v>24</v>
      </c>
    </row>
    <row r="38" spans="1:21" ht="18" customHeight="1" x14ac:dyDescent="0.15">
      <c r="A38" s="72"/>
      <c r="B38" s="114" t="s">
        <v>140</v>
      </c>
      <c r="C38" s="115"/>
      <c r="D38" s="115"/>
      <c r="E38" s="115"/>
      <c r="F38" s="116"/>
      <c r="G38" s="12">
        <v>2</v>
      </c>
      <c r="H38" s="12" t="s">
        <v>141</v>
      </c>
      <c r="I38" s="12" t="s">
        <v>141</v>
      </c>
      <c r="J38" s="12" t="s">
        <v>141</v>
      </c>
      <c r="K38" s="114"/>
      <c r="L38" s="115"/>
      <c r="M38" s="115"/>
      <c r="N38" s="115"/>
      <c r="O38" s="115"/>
      <c r="P38" s="115"/>
      <c r="Q38" s="116"/>
      <c r="R38" s="12"/>
      <c r="S38" s="12"/>
      <c r="T38" s="12"/>
      <c r="U38" s="12"/>
    </row>
    <row r="39" spans="1:21" ht="18" customHeight="1" x14ac:dyDescent="0.15">
      <c r="A39" s="72"/>
      <c r="B39" s="106"/>
      <c r="C39" s="107"/>
      <c r="D39" s="107"/>
      <c r="E39" s="107"/>
      <c r="F39" s="108"/>
      <c r="G39" s="13"/>
      <c r="H39" s="13"/>
      <c r="I39" s="13"/>
      <c r="J39" s="13"/>
      <c r="K39" s="106"/>
      <c r="L39" s="107"/>
      <c r="M39" s="107"/>
      <c r="N39" s="107"/>
      <c r="O39" s="107"/>
      <c r="P39" s="107"/>
      <c r="Q39" s="108"/>
      <c r="R39" s="13"/>
      <c r="S39" s="13"/>
      <c r="T39" s="13"/>
      <c r="U39" s="13"/>
    </row>
    <row r="40" spans="1:21" ht="18" customHeight="1" x14ac:dyDescent="0.15">
      <c r="A40" s="72"/>
      <c r="B40" s="106"/>
      <c r="C40" s="107"/>
      <c r="D40" s="107"/>
      <c r="E40" s="107"/>
      <c r="F40" s="108"/>
      <c r="G40" s="13"/>
      <c r="H40" s="13"/>
      <c r="I40" s="13"/>
      <c r="J40" s="13"/>
      <c r="K40" s="106"/>
      <c r="L40" s="107"/>
      <c r="M40" s="107"/>
      <c r="N40" s="107"/>
      <c r="O40" s="107"/>
      <c r="P40" s="107"/>
      <c r="Q40" s="108"/>
      <c r="R40" s="13"/>
      <c r="S40" s="13"/>
      <c r="T40" s="13"/>
      <c r="U40" s="13"/>
    </row>
    <row r="41" spans="1:21" ht="18" customHeight="1" x14ac:dyDescent="0.15">
      <c r="A41" s="72"/>
      <c r="B41" s="106"/>
      <c r="C41" s="107"/>
      <c r="D41" s="107"/>
      <c r="E41" s="107"/>
      <c r="F41" s="108"/>
      <c r="G41" s="13"/>
      <c r="H41" s="13"/>
      <c r="I41" s="13"/>
      <c r="J41" s="13"/>
      <c r="K41" s="106"/>
      <c r="L41" s="107"/>
      <c r="M41" s="107"/>
      <c r="N41" s="107"/>
      <c r="O41" s="107"/>
      <c r="P41" s="107"/>
      <c r="Q41" s="108"/>
      <c r="R41" s="13"/>
      <c r="S41" s="13"/>
      <c r="T41" s="13"/>
      <c r="U41" s="13"/>
    </row>
    <row r="42" spans="1:21" ht="18" customHeight="1" x14ac:dyDescent="0.15">
      <c r="A42" s="72"/>
      <c r="B42" s="106"/>
      <c r="C42" s="107"/>
      <c r="D42" s="107"/>
      <c r="E42" s="107"/>
      <c r="F42" s="108"/>
      <c r="G42" s="13"/>
      <c r="H42" s="13"/>
      <c r="I42" s="13"/>
      <c r="J42" s="13"/>
      <c r="K42" s="106"/>
      <c r="L42" s="107"/>
      <c r="M42" s="107"/>
      <c r="N42" s="107"/>
      <c r="O42" s="107"/>
      <c r="P42" s="107"/>
      <c r="Q42" s="108"/>
      <c r="R42" s="13"/>
      <c r="S42" s="13"/>
      <c r="T42" s="13"/>
      <c r="U42" s="13"/>
    </row>
    <row r="43" spans="1:21" ht="18" customHeight="1" x14ac:dyDescent="0.15">
      <c r="A43" s="72"/>
      <c r="B43" s="106"/>
      <c r="C43" s="107"/>
      <c r="D43" s="107"/>
      <c r="E43" s="107"/>
      <c r="F43" s="108"/>
      <c r="G43" s="13"/>
      <c r="H43" s="13"/>
      <c r="I43" s="13"/>
      <c r="J43" s="13"/>
      <c r="K43" s="106"/>
      <c r="L43" s="107"/>
      <c r="M43" s="107"/>
      <c r="N43" s="107"/>
      <c r="O43" s="107"/>
      <c r="P43" s="107"/>
      <c r="Q43" s="108"/>
      <c r="R43" s="13"/>
      <c r="S43" s="13"/>
      <c r="T43" s="13"/>
      <c r="U43" s="13"/>
    </row>
    <row r="44" spans="1:21" ht="18" customHeight="1" x14ac:dyDescent="0.15">
      <c r="A44" s="72"/>
      <c r="B44" s="109"/>
      <c r="C44" s="110"/>
      <c r="D44" s="110"/>
      <c r="E44" s="110"/>
      <c r="F44" s="111"/>
      <c r="G44" s="14"/>
      <c r="H44" s="14"/>
      <c r="I44" s="15"/>
      <c r="J44" s="15"/>
      <c r="K44" s="109"/>
      <c r="L44" s="110"/>
      <c r="M44" s="110"/>
      <c r="N44" s="110"/>
      <c r="O44" s="110"/>
      <c r="P44" s="110"/>
      <c r="Q44" s="111"/>
      <c r="R44" s="14"/>
      <c r="S44" s="14"/>
      <c r="T44" s="15"/>
      <c r="U44" s="15"/>
    </row>
    <row r="45" spans="1:21" ht="7.5" customHeight="1" x14ac:dyDescent="0.15">
      <c r="A45" s="71"/>
      <c r="B45" s="5"/>
      <c r="C45" s="5"/>
      <c r="D45" s="5"/>
      <c r="E45" s="71"/>
      <c r="F45" s="71"/>
      <c r="G45" s="71"/>
      <c r="H45" s="71"/>
      <c r="I45" s="5"/>
      <c r="J45" s="5"/>
      <c r="K45" s="5"/>
      <c r="L45" s="5"/>
      <c r="M45" s="5"/>
      <c r="N45" s="5"/>
      <c r="O45" s="5"/>
      <c r="P45" s="5"/>
      <c r="Q45" s="5"/>
      <c r="R45" s="5"/>
      <c r="S45" s="5"/>
      <c r="T45" s="5"/>
      <c r="U45" s="71"/>
    </row>
    <row r="46" spans="1:21" ht="18" customHeight="1" x14ac:dyDescent="0.15">
      <c r="A46" s="117" t="s">
        <v>25</v>
      </c>
      <c r="B46" s="117"/>
      <c r="C46" s="117"/>
      <c r="D46" s="117"/>
      <c r="E46" s="117"/>
      <c r="F46" s="117"/>
      <c r="G46" s="117"/>
      <c r="H46" s="117"/>
      <c r="I46" s="117"/>
      <c r="J46" s="117"/>
      <c r="K46" s="117"/>
      <c r="L46" s="117"/>
      <c r="M46" s="117"/>
      <c r="N46" s="117"/>
      <c r="O46" s="117"/>
      <c r="P46" s="117"/>
      <c r="Q46" s="117"/>
      <c r="R46" s="117"/>
      <c r="S46" s="117"/>
      <c r="T46" s="117"/>
      <c r="U46" s="117"/>
    </row>
    <row r="47" spans="1:21" ht="18" customHeight="1" x14ac:dyDescent="0.15">
      <c r="A47" s="117"/>
      <c r="B47" s="117"/>
      <c r="C47" s="117"/>
      <c r="D47" s="117"/>
      <c r="E47" s="117"/>
      <c r="F47" s="117"/>
      <c r="G47" s="117"/>
      <c r="H47" s="117"/>
      <c r="I47" s="117"/>
      <c r="J47" s="117"/>
      <c r="K47" s="117"/>
      <c r="L47" s="117"/>
      <c r="M47" s="117"/>
      <c r="N47" s="117"/>
      <c r="O47" s="117"/>
      <c r="P47" s="117"/>
      <c r="Q47" s="117"/>
      <c r="R47" s="117"/>
      <c r="S47" s="117"/>
      <c r="T47" s="117"/>
      <c r="U47" s="117"/>
    </row>
    <row r="48" spans="1:21" ht="18" customHeight="1" x14ac:dyDescent="0.15">
      <c r="A48" s="72"/>
      <c r="B48" s="103" t="s">
        <v>17</v>
      </c>
      <c r="C48" s="104"/>
      <c r="D48" s="104"/>
      <c r="E48" s="104"/>
      <c r="F48" s="105"/>
      <c r="G48" s="44" t="s">
        <v>18</v>
      </c>
      <c r="H48" s="43" t="s">
        <v>19</v>
      </c>
      <c r="I48" s="11" t="s">
        <v>26</v>
      </c>
      <c r="J48" s="11" t="s">
        <v>27</v>
      </c>
      <c r="K48" s="103" t="s">
        <v>17</v>
      </c>
      <c r="L48" s="104"/>
      <c r="M48" s="104"/>
      <c r="N48" s="104"/>
      <c r="O48" s="104"/>
      <c r="P48" s="104"/>
      <c r="Q48" s="105"/>
      <c r="R48" s="44" t="s">
        <v>18</v>
      </c>
      <c r="S48" s="43" t="s">
        <v>19</v>
      </c>
      <c r="T48" s="11" t="s">
        <v>26</v>
      </c>
      <c r="U48" s="11" t="s">
        <v>27</v>
      </c>
    </row>
    <row r="49" spans="1:21" ht="18" customHeight="1" x14ac:dyDescent="0.15">
      <c r="A49" s="71"/>
      <c r="B49" s="114" t="s">
        <v>140</v>
      </c>
      <c r="C49" s="115"/>
      <c r="D49" s="115"/>
      <c r="E49" s="115"/>
      <c r="F49" s="116"/>
      <c r="G49" s="12">
        <v>2</v>
      </c>
      <c r="H49" s="12" t="s">
        <v>141</v>
      </c>
      <c r="I49" s="12" t="s">
        <v>141</v>
      </c>
      <c r="J49" s="12" t="s">
        <v>141</v>
      </c>
      <c r="K49" s="114"/>
      <c r="L49" s="115"/>
      <c r="M49" s="115"/>
      <c r="N49" s="115"/>
      <c r="O49" s="115"/>
      <c r="P49" s="115"/>
      <c r="Q49" s="116"/>
      <c r="R49" s="12"/>
      <c r="S49" s="12"/>
      <c r="T49" s="12"/>
      <c r="U49" s="12"/>
    </row>
    <row r="50" spans="1:21" ht="18" customHeight="1" x14ac:dyDescent="0.15">
      <c r="A50" s="71"/>
      <c r="B50" s="106"/>
      <c r="C50" s="107"/>
      <c r="D50" s="107"/>
      <c r="E50" s="107"/>
      <c r="F50" s="108"/>
      <c r="G50" s="13"/>
      <c r="H50" s="13"/>
      <c r="I50" s="13"/>
      <c r="J50" s="13"/>
      <c r="K50" s="106"/>
      <c r="L50" s="107"/>
      <c r="M50" s="107"/>
      <c r="N50" s="107"/>
      <c r="O50" s="107"/>
      <c r="P50" s="107"/>
      <c r="Q50" s="108"/>
      <c r="R50" s="13"/>
      <c r="S50" s="13"/>
      <c r="T50" s="13"/>
      <c r="U50" s="13"/>
    </row>
    <row r="51" spans="1:21" ht="18" customHeight="1" x14ac:dyDescent="0.15">
      <c r="A51" s="71"/>
      <c r="B51" s="106"/>
      <c r="C51" s="107"/>
      <c r="D51" s="107"/>
      <c r="E51" s="107"/>
      <c r="F51" s="108"/>
      <c r="G51" s="13"/>
      <c r="H51" s="13"/>
      <c r="I51" s="13"/>
      <c r="J51" s="13"/>
      <c r="K51" s="106"/>
      <c r="L51" s="107"/>
      <c r="M51" s="107"/>
      <c r="N51" s="107"/>
      <c r="O51" s="107"/>
      <c r="P51" s="107"/>
      <c r="Q51" s="108"/>
      <c r="R51" s="13"/>
      <c r="S51" s="13"/>
      <c r="T51" s="13"/>
      <c r="U51" s="13"/>
    </row>
    <row r="52" spans="1:21" ht="18" customHeight="1" x14ac:dyDescent="0.15">
      <c r="A52" s="71"/>
      <c r="B52" s="106"/>
      <c r="C52" s="107"/>
      <c r="D52" s="107"/>
      <c r="E52" s="107"/>
      <c r="F52" s="108"/>
      <c r="G52" s="13"/>
      <c r="H52" s="13"/>
      <c r="I52" s="13"/>
      <c r="J52" s="13"/>
      <c r="K52" s="106"/>
      <c r="L52" s="107"/>
      <c r="M52" s="107"/>
      <c r="N52" s="107"/>
      <c r="O52" s="107"/>
      <c r="P52" s="107"/>
      <c r="Q52" s="108"/>
      <c r="R52" s="13"/>
      <c r="S52" s="13"/>
      <c r="T52" s="13"/>
      <c r="U52" s="13"/>
    </row>
    <row r="53" spans="1:21" ht="18" customHeight="1" x14ac:dyDescent="0.15">
      <c r="A53" s="71"/>
      <c r="B53" s="106"/>
      <c r="C53" s="107"/>
      <c r="D53" s="107"/>
      <c r="E53" s="107"/>
      <c r="F53" s="108"/>
      <c r="G53" s="13"/>
      <c r="H53" s="13"/>
      <c r="I53" s="13"/>
      <c r="J53" s="13"/>
      <c r="K53" s="106"/>
      <c r="L53" s="107"/>
      <c r="M53" s="107"/>
      <c r="N53" s="107"/>
      <c r="O53" s="107"/>
      <c r="P53" s="107"/>
      <c r="Q53" s="108"/>
      <c r="R53" s="13"/>
      <c r="S53" s="13"/>
      <c r="T53" s="13"/>
      <c r="U53" s="13"/>
    </row>
    <row r="54" spans="1:21" ht="18" customHeight="1" x14ac:dyDescent="0.15">
      <c r="A54" s="71"/>
      <c r="B54" s="106"/>
      <c r="C54" s="107"/>
      <c r="D54" s="107"/>
      <c r="E54" s="107"/>
      <c r="F54" s="108"/>
      <c r="G54" s="13"/>
      <c r="H54" s="13"/>
      <c r="I54" s="13"/>
      <c r="J54" s="13"/>
      <c r="K54" s="106"/>
      <c r="L54" s="107"/>
      <c r="M54" s="107"/>
      <c r="N54" s="107"/>
      <c r="O54" s="107"/>
      <c r="P54" s="107"/>
      <c r="Q54" s="108"/>
      <c r="R54" s="13"/>
      <c r="S54" s="13"/>
      <c r="T54" s="13"/>
      <c r="U54" s="13"/>
    </row>
    <row r="55" spans="1:21" ht="18" customHeight="1" x14ac:dyDescent="0.15">
      <c r="A55" s="71"/>
      <c r="B55" s="109"/>
      <c r="C55" s="110"/>
      <c r="D55" s="110"/>
      <c r="E55" s="110"/>
      <c r="F55" s="111"/>
      <c r="G55" s="14"/>
      <c r="H55" s="14"/>
      <c r="I55" s="15"/>
      <c r="J55" s="15"/>
      <c r="K55" s="109"/>
      <c r="L55" s="110"/>
      <c r="M55" s="110"/>
      <c r="N55" s="110"/>
      <c r="O55" s="110"/>
      <c r="P55" s="110"/>
      <c r="Q55" s="111"/>
      <c r="R55" s="14"/>
      <c r="S55" s="14"/>
      <c r="T55" s="15"/>
      <c r="U55" s="15"/>
    </row>
    <row r="56" spans="1:21" ht="7.5" customHeight="1" x14ac:dyDescent="0.15">
      <c r="A56" s="72"/>
      <c r="B56" s="68"/>
      <c r="C56" s="68"/>
      <c r="D56" s="68"/>
      <c r="E56" s="68"/>
      <c r="F56" s="68"/>
      <c r="G56" s="68"/>
      <c r="H56" s="68"/>
      <c r="I56" s="68"/>
      <c r="J56" s="68"/>
      <c r="K56" s="68"/>
      <c r="L56" s="68"/>
      <c r="M56" s="68"/>
      <c r="N56" s="68"/>
      <c r="O56" s="68"/>
      <c r="P56" s="68"/>
      <c r="Q56" s="68"/>
      <c r="R56" s="68"/>
      <c r="S56" s="68"/>
      <c r="T56" s="68"/>
      <c r="U56" s="72"/>
    </row>
    <row r="57" spans="1:21" ht="18" customHeight="1" x14ac:dyDescent="0.15">
      <c r="A57" s="117" t="s">
        <v>28</v>
      </c>
      <c r="B57" s="117"/>
      <c r="C57" s="117"/>
      <c r="D57" s="117"/>
      <c r="E57" s="117"/>
      <c r="F57" s="117"/>
      <c r="G57" s="117"/>
      <c r="H57" s="117"/>
      <c r="I57" s="117"/>
      <c r="J57" s="117"/>
      <c r="K57" s="117"/>
      <c r="L57" s="117"/>
      <c r="M57" s="117"/>
      <c r="N57" s="117"/>
      <c r="O57" s="117"/>
      <c r="P57" s="117"/>
      <c r="Q57" s="117"/>
      <c r="R57" s="117"/>
      <c r="S57" s="117"/>
      <c r="T57" s="117"/>
      <c r="U57" s="117"/>
    </row>
    <row r="58" spans="1:21" ht="18" customHeight="1" x14ac:dyDescent="0.15">
      <c r="A58" s="117"/>
      <c r="B58" s="117"/>
      <c r="C58" s="117"/>
      <c r="D58" s="117"/>
      <c r="E58" s="117"/>
      <c r="F58" s="117"/>
      <c r="G58" s="117"/>
      <c r="H58" s="117"/>
      <c r="I58" s="117"/>
      <c r="J58" s="117"/>
      <c r="K58" s="117"/>
      <c r="L58" s="117"/>
      <c r="M58" s="117"/>
      <c r="N58" s="117"/>
      <c r="O58" s="117"/>
      <c r="P58" s="117"/>
      <c r="Q58" s="117"/>
      <c r="R58" s="117"/>
      <c r="S58" s="117"/>
      <c r="T58" s="117"/>
      <c r="U58" s="117"/>
    </row>
    <row r="59" spans="1:21" ht="18" customHeight="1" x14ac:dyDescent="0.15">
      <c r="A59" s="72"/>
      <c r="B59" s="103" t="s">
        <v>17</v>
      </c>
      <c r="C59" s="104"/>
      <c r="D59" s="104"/>
      <c r="E59" s="104"/>
      <c r="F59" s="105"/>
      <c r="G59" s="44" t="s">
        <v>18</v>
      </c>
      <c r="H59" s="43" t="s">
        <v>19</v>
      </c>
      <c r="I59" s="11" t="s">
        <v>29</v>
      </c>
      <c r="J59" s="11" t="s">
        <v>30</v>
      </c>
      <c r="K59" s="103" t="s">
        <v>17</v>
      </c>
      <c r="L59" s="104"/>
      <c r="M59" s="104"/>
      <c r="N59" s="104"/>
      <c r="O59" s="104"/>
      <c r="P59" s="104"/>
      <c r="Q59" s="105"/>
      <c r="R59" s="44" t="s">
        <v>18</v>
      </c>
      <c r="S59" s="43" t="s">
        <v>19</v>
      </c>
      <c r="T59" s="11" t="s">
        <v>29</v>
      </c>
      <c r="U59" s="11" t="s">
        <v>30</v>
      </c>
    </row>
    <row r="60" spans="1:21" ht="18" customHeight="1" x14ac:dyDescent="0.15">
      <c r="A60" s="71"/>
      <c r="B60" s="114" t="s">
        <v>140</v>
      </c>
      <c r="C60" s="115"/>
      <c r="D60" s="115"/>
      <c r="E60" s="115"/>
      <c r="F60" s="116"/>
      <c r="G60" s="12">
        <v>2</v>
      </c>
      <c r="H60" s="12" t="s">
        <v>141</v>
      </c>
      <c r="I60" s="12" t="s">
        <v>141</v>
      </c>
      <c r="J60" s="12" t="s">
        <v>141</v>
      </c>
      <c r="K60" s="114"/>
      <c r="L60" s="115"/>
      <c r="M60" s="115"/>
      <c r="N60" s="115"/>
      <c r="O60" s="115"/>
      <c r="P60" s="115"/>
      <c r="Q60" s="116"/>
      <c r="R60" s="12"/>
      <c r="S60" s="12"/>
      <c r="T60" s="12"/>
      <c r="U60" s="12"/>
    </row>
    <row r="61" spans="1:21" ht="18" customHeight="1" x14ac:dyDescent="0.15">
      <c r="A61" s="71"/>
      <c r="B61" s="106"/>
      <c r="C61" s="107"/>
      <c r="D61" s="107"/>
      <c r="E61" s="107"/>
      <c r="F61" s="108"/>
      <c r="G61" s="13"/>
      <c r="H61" s="13"/>
      <c r="I61" s="13"/>
      <c r="J61" s="13"/>
      <c r="K61" s="106"/>
      <c r="L61" s="107"/>
      <c r="M61" s="107"/>
      <c r="N61" s="107"/>
      <c r="O61" s="107"/>
      <c r="P61" s="107"/>
      <c r="Q61" s="108"/>
      <c r="R61" s="13"/>
      <c r="S61" s="13"/>
      <c r="T61" s="13"/>
      <c r="U61" s="13"/>
    </row>
    <row r="62" spans="1:21" ht="18" customHeight="1" x14ac:dyDescent="0.15">
      <c r="A62" s="71"/>
      <c r="B62" s="106"/>
      <c r="C62" s="107"/>
      <c r="D62" s="107"/>
      <c r="E62" s="107"/>
      <c r="F62" s="108"/>
      <c r="G62" s="13"/>
      <c r="H62" s="13"/>
      <c r="I62" s="13"/>
      <c r="J62" s="13"/>
      <c r="K62" s="106"/>
      <c r="L62" s="107"/>
      <c r="M62" s="107"/>
      <c r="N62" s="107"/>
      <c r="O62" s="107"/>
      <c r="P62" s="107"/>
      <c r="Q62" s="108"/>
      <c r="R62" s="13"/>
      <c r="S62" s="13"/>
      <c r="T62" s="13"/>
      <c r="U62" s="13"/>
    </row>
    <row r="63" spans="1:21" ht="18" customHeight="1" x14ac:dyDescent="0.15">
      <c r="A63" s="71"/>
      <c r="B63" s="106"/>
      <c r="C63" s="107"/>
      <c r="D63" s="107"/>
      <c r="E63" s="107"/>
      <c r="F63" s="108"/>
      <c r="G63" s="13"/>
      <c r="H63" s="13"/>
      <c r="I63" s="13"/>
      <c r="J63" s="13"/>
      <c r="K63" s="106"/>
      <c r="L63" s="107"/>
      <c r="M63" s="107"/>
      <c r="N63" s="107"/>
      <c r="O63" s="107"/>
      <c r="P63" s="107"/>
      <c r="Q63" s="108"/>
      <c r="R63" s="13"/>
      <c r="S63" s="13"/>
      <c r="T63" s="13"/>
      <c r="U63" s="13"/>
    </row>
    <row r="64" spans="1:21" ht="18" customHeight="1" x14ac:dyDescent="0.15">
      <c r="A64" s="71"/>
      <c r="B64" s="106"/>
      <c r="C64" s="107"/>
      <c r="D64" s="107"/>
      <c r="E64" s="107"/>
      <c r="F64" s="108"/>
      <c r="G64" s="13"/>
      <c r="H64" s="13"/>
      <c r="I64" s="13"/>
      <c r="J64" s="13"/>
      <c r="K64" s="106"/>
      <c r="L64" s="107"/>
      <c r="M64" s="107"/>
      <c r="N64" s="107"/>
      <c r="O64" s="107"/>
      <c r="P64" s="107"/>
      <c r="Q64" s="108"/>
      <c r="R64" s="13"/>
      <c r="S64" s="13"/>
      <c r="T64" s="13"/>
      <c r="U64" s="13"/>
    </row>
    <row r="65" spans="1:21" ht="18" customHeight="1" x14ac:dyDescent="0.15">
      <c r="A65" s="71"/>
      <c r="B65" s="106"/>
      <c r="C65" s="107"/>
      <c r="D65" s="107"/>
      <c r="E65" s="107"/>
      <c r="F65" s="108"/>
      <c r="G65" s="13"/>
      <c r="H65" s="13"/>
      <c r="I65" s="13"/>
      <c r="J65" s="13"/>
      <c r="K65" s="106"/>
      <c r="L65" s="107"/>
      <c r="M65" s="107"/>
      <c r="N65" s="107"/>
      <c r="O65" s="107"/>
      <c r="P65" s="107"/>
      <c r="Q65" s="108"/>
      <c r="R65" s="13"/>
      <c r="S65" s="13"/>
      <c r="T65" s="13"/>
      <c r="U65" s="13"/>
    </row>
    <row r="66" spans="1:21" ht="18" customHeight="1" x14ac:dyDescent="0.15">
      <c r="A66" s="71"/>
      <c r="B66" s="109"/>
      <c r="C66" s="110"/>
      <c r="D66" s="110"/>
      <c r="E66" s="110"/>
      <c r="F66" s="111"/>
      <c r="G66" s="14"/>
      <c r="H66" s="14"/>
      <c r="I66" s="15"/>
      <c r="J66" s="15"/>
      <c r="K66" s="109"/>
      <c r="L66" s="110"/>
      <c r="M66" s="110"/>
      <c r="N66" s="110"/>
      <c r="O66" s="110"/>
      <c r="P66" s="110"/>
      <c r="Q66" s="111"/>
      <c r="R66" s="14"/>
      <c r="S66" s="14"/>
      <c r="T66" s="15"/>
      <c r="U66" s="15"/>
    </row>
    <row r="67" spans="1:21" ht="7.5" customHeight="1" x14ac:dyDescent="0.15">
      <c r="A67" s="72"/>
      <c r="B67" s="68"/>
      <c r="C67" s="68"/>
      <c r="D67" s="68"/>
      <c r="E67" s="68"/>
      <c r="F67" s="68"/>
      <c r="G67" s="68"/>
      <c r="H67" s="68"/>
      <c r="I67" s="68"/>
      <c r="J67" s="68"/>
      <c r="K67" s="68"/>
      <c r="L67" s="68"/>
      <c r="M67" s="68"/>
      <c r="N67" s="68"/>
      <c r="O67" s="68"/>
      <c r="P67" s="68"/>
      <c r="Q67" s="68"/>
      <c r="R67" s="68"/>
      <c r="S67" s="68"/>
      <c r="T67" s="68"/>
      <c r="U67" s="72"/>
    </row>
    <row r="68" spans="1:21" ht="18" customHeight="1" x14ac:dyDescent="0.15">
      <c r="A68" s="117" t="s">
        <v>31</v>
      </c>
      <c r="B68" s="117"/>
      <c r="C68" s="117"/>
      <c r="D68" s="117"/>
      <c r="E68" s="117"/>
      <c r="F68" s="117"/>
      <c r="G68" s="117"/>
      <c r="H68" s="117"/>
      <c r="I68" s="117"/>
      <c r="J68" s="117"/>
      <c r="K68" s="117"/>
      <c r="L68" s="117"/>
      <c r="M68" s="117"/>
      <c r="N68" s="117"/>
      <c r="O68" s="117"/>
      <c r="P68" s="117"/>
      <c r="Q68" s="117"/>
      <c r="R68" s="117"/>
      <c r="S68" s="117"/>
      <c r="T68" s="117"/>
      <c r="U68" s="117"/>
    </row>
    <row r="69" spans="1:21" ht="18" customHeight="1" x14ac:dyDescent="0.15">
      <c r="A69" s="117"/>
      <c r="B69" s="117"/>
      <c r="C69" s="117"/>
      <c r="D69" s="117"/>
      <c r="E69" s="117"/>
      <c r="F69" s="117"/>
      <c r="G69" s="117"/>
      <c r="H69" s="117"/>
      <c r="I69" s="117"/>
      <c r="J69" s="117"/>
      <c r="K69" s="117"/>
      <c r="L69" s="117"/>
      <c r="M69" s="117"/>
      <c r="N69" s="117"/>
      <c r="O69" s="117"/>
      <c r="P69" s="117"/>
      <c r="Q69" s="117"/>
      <c r="R69" s="117"/>
      <c r="S69" s="117"/>
      <c r="T69" s="117"/>
      <c r="U69" s="117"/>
    </row>
    <row r="70" spans="1:21" ht="18" customHeight="1" x14ac:dyDescent="0.15">
      <c r="A70" s="72"/>
      <c r="B70" s="103" t="s">
        <v>17</v>
      </c>
      <c r="C70" s="104"/>
      <c r="D70" s="104"/>
      <c r="E70" s="104"/>
      <c r="F70" s="44" t="s">
        <v>18</v>
      </c>
      <c r="G70" s="43" t="s">
        <v>19</v>
      </c>
      <c r="H70" s="11" t="s">
        <v>32</v>
      </c>
      <c r="I70" s="11" t="s">
        <v>33</v>
      </c>
      <c r="J70" s="11" t="s">
        <v>34</v>
      </c>
      <c r="K70" s="103" t="s">
        <v>17</v>
      </c>
      <c r="L70" s="104"/>
      <c r="M70" s="104"/>
      <c r="N70" s="104"/>
      <c r="O70" s="104"/>
      <c r="P70" s="105"/>
      <c r="Q70" s="44" t="s">
        <v>18</v>
      </c>
      <c r="R70" s="43" t="s">
        <v>19</v>
      </c>
      <c r="S70" s="11" t="s">
        <v>32</v>
      </c>
      <c r="T70" s="11" t="s">
        <v>33</v>
      </c>
      <c r="U70" s="11" t="s">
        <v>34</v>
      </c>
    </row>
    <row r="71" spans="1:21" ht="18" customHeight="1" x14ac:dyDescent="0.15">
      <c r="A71" s="71"/>
      <c r="B71" s="114" t="s">
        <v>142</v>
      </c>
      <c r="C71" s="115"/>
      <c r="D71" s="115"/>
      <c r="E71" s="115"/>
      <c r="F71" s="12">
        <v>2</v>
      </c>
      <c r="G71" s="12" t="s">
        <v>141</v>
      </c>
      <c r="H71" s="12" t="s">
        <v>141</v>
      </c>
      <c r="I71" s="12" t="s">
        <v>141</v>
      </c>
      <c r="J71" s="12"/>
      <c r="K71" s="114"/>
      <c r="L71" s="115"/>
      <c r="M71" s="115"/>
      <c r="N71" s="115"/>
      <c r="O71" s="115"/>
      <c r="P71" s="116"/>
      <c r="Q71" s="12"/>
      <c r="R71" s="12"/>
      <c r="S71" s="12"/>
      <c r="T71" s="12"/>
      <c r="U71" s="12"/>
    </row>
    <row r="72" spans="1:21" ht="18" customHeight="1" x14ac:dyDescent="0.15">
      <c r="A72" s="71"/>
      <c r="B72" s="106" t="s">
        <v>143</v>
      </c>
      <c r="C72" s="107"/>
      <c r="D72" s="107"/>
      <c r="E72" s="107"/>
      <c r="F72" s="13">
        <v>2</v>
      </c>
      <c r="G72" s="13" t="s">
        <v>141</v>
      </c>
      <c r="H72" s="13" t="s">
        <v>141</v>
      </c>
      <c r="I72" s="13" t="s">
        <v>141</v>
      </c>
      <c r="J72" s="13" t="s">
        <v>141</v>
      </c>
      <c r="K72" s="106"/>
      <c r="L72" s="107"/>
      <c r="M72" s="107"/>
      <c r="N72" s="107"/>
      <c r="O72" s="107"/>
      <c r="P72" s="108"/>
      <c r="Q72" s="13"/>
      <c r="R72" s="13"/>
      <c r="S72" s="13"/>
      <c r="T72" s="13"/>
      <c r="U72" s="13"/>
    </row>
    <row r="73" spans="1:21" ht="18" customHeight="1" x14ac:dyDescent="0.15">
      <c r="A73" s="71"/>
      <c r="B73" s="106"/>
      <c r="C73" s="107"/>
      <c r="D73" s="107"/>
      <c r="E73" s="107"/>
      <c r="F73" s="13"/>
      <c r="G73" s="13"/>
      <c r="H73" s="13"/>
      <c r="I73" s="13"/>
      <c r="J73" s="13"/>
      <c r="K73" s="106"/>
      <c r="L73" s="107"/>
      <c r="M73" s="107"/>
      <c r="N73" s="107"/>
      <c r="O73" s="107"/>
      <c r="P73" s="108"/>
      <c r="Q73" s="13"/>
      <c r="R73" s="13"/>
      <c r="S73" s="13"/>
      <c r="T73" s="13"/>
      <c r="U73" s="13"/>
    </row>
    <row r="74" spans="1:21" ht="18" customHeight="1" x14ac:dyDescent="0.15">
      <c r="A74" s="71"/>
      <c r="B74" s="106"/>
      <c r="C74" s="107"/>
      <c r="D74" s="107"/>
      <c r="E74" s="107"/>
      <c r="F74" s="13"/>
      <c r="G74" s="13"/>
      <c r="H74" s="13"/>
      <c r="I74" s="13"/>
      <c r="J74" s="13"/>
      <c r="K74" s="106"/>
      <c r="L74" s="107"/>
      <c r="M74" s="107"/>
      <c r="N74" s="107"/>
      <c r="O74" s="107"/>
      <c r="P74" s="108"/>
      <c r="Q74" s="13"/>
      <c r="R74" s="13"/>
      <c r="S74" s="13"/>
      <c r="T74" s="13"/>
      <c r="U74" s="13"/>
    </row>
    <row r="75" spans="1:21" ht="18" customHeight="1" x14ac:dyDescent="0.15">
      <c r="A75" s="71"/>
      <c r="B75" s="106"/>
      <c r="C75" s="107"/>
      <c r="D75" s="107"/>
      <c r="E75" s="107"/>
      <c r="F75" s="13"/>
      <c r="G75" s="13"/>
      <c r="H75" s="13"/>
      <c r="I75" s="13"/>
      <c r="J75" s="13"/>
      <c r="K75" s="106"/>
      <c r="L75" s="107"/>
      <c r="M75" s="107"/>
      <c r="N75" s="107"/>
      <c r="O75" s="107"/>
      <c r="P75" s="108"/>
      <c r="Q75" s="13"/>
      <c r="R75" s="13"/>
      <c r="S75" s="13"/>
      <c r="T75" s="13"/>
      <c r="U75" s="13"/>
    </row>
    <row r="76" spans="1:21" ht="18" customHeight="1" x14ac:dyDescent="0.15">
      <c r="A76" s="71"/>
      <c r="B76" s="106"/>
      <c r="C76" s="107"/>
      <c r="D76" s="107"/>
      <c r="E76" s="107"/>
      <c r="F76" s="13"/>
      <c r="G76" s="13"/>
      <c r="H76" s="13"/>
      <c r="I76" s="13"/>
      <c r="J76" s="13"/>
      <c r="K76" s="106"/>
      <c r="L76" s="107"/>
      <c r="M76" s="107"/>
      <c r="N76" s="107"/>
      <c r="O76" s="107"/>
      <c r="P76" s="108"/>
      <c r="Q76" s="13"/>
      <c r="R76" s="13"/>
      <c r="S76" s="13"/>
      <c r="T76" s="13"/>
      <c r="U76" s="13"/>
    </row>
    <row r="77" spans="1:21" ht="18" customHeight="1" x14ac:dyDescent="0.15">
      <c r="A77" s="71"/>
      <c r="B77" s="109"/>
      <c r="C77" s="110"/>
      <c r="D77" s="110"/>
      <c r="E77" s="110"/>
      <c r="F77" s="14"/>
      <c r="G77" s="14"/>
      <c r="H77" s="15"/>
      <c r="I77" s="15"/>
      <c r="J77" s="15"/>
      <c r="K77" s="109"/>
      <c r="L77" s="110"/>
      <c r="M77" s="110"/>
      <c r="N77" s="110"/>
      <c r="O77" s="110"/>
      <c r="P77" s="111"/>
      <c r="Q77" s="14"/>
      <c r="R77" s="14"/>
      <c r="S77" s="15"/>
      <c r="T77" s="15"/>
      <c r="U77" s="15"/>
    </row>
    <row r="78" spans="1:21" ht="7.5" customHeight="1" x14ac:dyDescent="0.15">
      <c r="A78" s="72"/>
      <c r="B78" s="68"/>
      <c r="C78" s="68"/>
      <c r="D78" s="68"/>
      <c r="E78" s="68"/>
      <c r="F78" s="68"/>
      <c r="G78" s="68"/>
      <c r="H78" s="68"/>
      <c r="I78" s="68"/>
      <c r="J78" s="68"/>
      <c r="K78" s="68"/>
      <c r="L78" s="68"/>
      <c r="M78" s="68"/>
      <c r="N78" s="68"/>
      <c r="O78" s="68"/>
      <c r="P78" s="68"/>
      <c r="Q78" s="68"/>
      <c r="R78" s="68"/>
      <c r="S78" s="68"/>
      <c r="T78" s="68"/>
      <c r="U78" s="72"/>
    </row>
    <row r="79" spans="1:21" ht="18" customHeight="1" x14ac:dyDescent="0.15">
      <c r="A79" s="72" t="s">
        <v>35</v>
      </c>
      <c r="B79" s="72"/>
      <c r="C79" s="72"/>
      <c r="D79" s="72"/>
      <c r="E79" s="72"/>
      <c r="F79" s="72"/>
      <c r="G79" s="72"/>
      <c r="H79" s="72"/>
      <c r="I79" s="71"/>
      <c r="J79" s="71"/>
      <c r="K79" s="71"/>
      <c r="L79" s="71"/>
      <c r="M79" s="71"/>
      <c r="N79" s="71"/>
      <c r="O79" s="71"/>
      <c r="P79" s="71"/>
      <c r="Q79" s="71"/>
      <c r="R79" s="71"/>
      <c r="S79" s="71"/>
      <c r="T79" s="71"/>
      <c r="U79" s="71"/>
    </row>
    <row r="80" spans="1:21" ht="18" customHeight="1" x14ac:dyDescent="0.15">
      <c r="A80" s="72"/>
      <c r="B80" s="103" t="s">
        <v>17</v>
      </c>
      <c r="C80" s="104"/>
      <c r="D80" s="104"/>
      <c r="E80" s="104"/>
      <c r="F80" s="105"/>
      <c r="G80" s="103" t="s">
        <v>36</v>
      </c>
      <c r="H80" s="104"/>
      <c r="I80" s="104"/>
      <c r="J80" s="105"/>
      <c r="K80" s="123" t="s">
        <v>17</v>
      </c>
      <c r="L80" s="124"/>
      <c r="M80" s="124"/>
      <c r="N80" s="124"/>
      <c r="O80" s="124"/>
      <c r="P80" s="124"/>
      <c r="Q80" s="125"/>
      <c r="R80" s="103" t="s">
        <v>36</v>
      </c>
      <c r="S80" s="104"/>
      <c r="T80" s="104"/>
      <c r="U80" s="105"/>
    </row>
    <row r="81" spans="1:21" ht="18" customHeight="1" x14ac:dyDescent="0.15">
      <c r="A81" s="71"/>
      <c r="B81" s="114"/>
      <c r="C81" s="115"/>
      <c r="D81" s="115"/>
      <c r="E81" s="115"/>
      <c r="F81" s="116"/>
      <c r="G81" s="118"/>
      <c r="H81" s="119"/>
      <c r="I81" s="119"/>
      <c r="J81" s="120"/>
      <c r="K81" s="114"/>
      <c r="L81" s="115"/>
      <c r="M81" s="115"/>
      <c r="N81" s="115"/>
      <c r="O81" s="115"/>
      <c r="P81" s="115"/>
      <c r="Q81" s="116"/>
      <c r="R81" s="118"/>
      <c r="S81" s="119"/>
      <c r="T81" s="119"/>
      <c r="U81" s="120"/>
    </row>
    <row r="82" spans="1:21" ht="18" customHeight="1" x14ac:dyDescent="0.15">
      <c r="A82" s="71"/>
      <c r="B82" s="106"/>
      <c r="C82" s="107"/>
      <c r="D82" s="107"/>
      <c r="E82" s="107"/>
      <c r="F82" s="108"/>
      <c r="G82" s="100"/>
      <c r="H82" s="101"/>
      <c r="I82" s="101"/>
      <c r="J82" s="102"/>
      <c r="K82" s="106"/>
      <c r="L82" s="107"/>
      <c r="M82" s="107"/>
      <c r="N82" s="107"/>
      <c r="O82" s="107"/>
      <c r="P82" s="107"/>
      <c r="Q82" s="108"/>
      <c r="R82" s="100"/>
      <c r="S82" s="101"/>
      <c r="T82" s="101"/>
      <c r="U82" s="102"/>
    </row>
    <row r="83" spans="1:21" ht="18" customHeight="1" x14ac:dyDescent="0.15">
      <c r="A83" s="71"/>
      <c r="B83" s="106"/>
      <c r="C83" s="107"/>
      <c r="D83" s="107"/>
      <c r="E83" s="107"/>
      <c r="F83" s="108"/>
      <c r="G83" s="100"/>
      <c r="H83" s="101"/>
      <c r="I83" s="101"/>
      <c r="J83" s="102"/>
      <c r="K83" s="106"/>
      <c r="L83" s="107"/>
      <c r="M83" s="107"/>
      <c r="N83" s="107"/>
      <c r="O83" s="107"/>
      <c r="P83" s="107"/>
      <c r="Q83" s="108"/>
      <c r="R83" s="100"/>
      <c r="S83" s="101"/>
      <c r="T83" s="101"/>
      <c r="U83" s="102"/>
    </row>
    <row r="84" spans="1:21" ht="18" customHeight="1" x14ac:dyDescent="0.15">
      <c r="A84" s="71"/>
      <c r="B84" s="106"/>
      <c r="C84" s="107"/>
      <c r="D84" s="107"/>
      <c r="E84" s="107"/>
      <c r="F84" s="108"/>
      <c r="G84" s="100"/>
      <c r="H84" s="101"/>
      <c r="I84" s="101"/>
      <c r="J84" s="102"/>
      <c r="K84" s="106"/>
      <c r="L84" s="107"/>
      <c r="M84" s="107"/>
      <c r="N84" s="107"/>
      <c r="O84" s="107"/>
      <c r="P84" s="107"/>
      <c r="Q84" s="108"/>
      <c r="R84" s="100"/>
      <c r="S84" s="101"/>
      <c r="T84" s="101"/>
      <c r="U84" s="102"/>
    </row>
    <row r="85" spans="1:21" ht="18" customHeight="1" x14ac:dyDescent="0.15">
      <c r="A85" s="71"/>
      <c r="B85" s="106"/>
      <c r="C85" s="107"/>
      <c r="D85" s="107"/>
      <c r="E85" s="107"/>
      <c r="F85" s="108"/>
      <c r="G85" s="100"/>
      <c r="H85" s="101"/>
      <c r="I85" s="101"/>
      <c r="J85" s="102"/>
      <c r="K85" s="106"/>
      <c r="L85" s="107"/>
      <c r="M85" s="107"/>
      <c r="N85" s="107"/>
      <c r="O85" s="107"/>
      <c r="P85" s="107"/>
      <c r="Q85" s="108"/>
      <c r="R85" s="100"/>
      <c r="S85" s="101"/>
      <c r="T85" s="101"/>
      <c r="U85" s="102"/>
    </row>
    <row r="86" spans="1:21" ht="18" customHeight="1" x14ac:dyDescent="0.15">
      <c r="A86" s="71"/>
      <c r="B86" s="106"/>
      <c r="C86" s="107"/>
      <c r="D86" s="107"/>
      <c r="E86" s="107"/>
      <c r="F86" s="108"/>
      <c r="G86" s="100"/>
      <c r="H86" s="101"/>
      <c r="I86" s="101"/>
      <c r="J86" s="102"/>
      <c r="K86" s="106"/>
      <c r="L86" s="107"/>
      <c r="M86" s="107"/>
      <c r="N86" s="107"/>
      <c r="O86" s="107"/>
      <c r="P86" s="107"/>
      <c r="Q86" s="108"/>
      <c r="R86" s="100"/>
      <c r="S86" s="101"/>
      <c r="T86" s="101"/>
      <c r="U86" s="102"/>
    </row>
    <row r="87" spans="1:21" ht="18" customHeight="1" x14ac:dyDescent="0.15">
      <c r="A87" s="71"/>
      <c r="B87" s="109"/>
      <c r="C87" s="110"/>
      <c r="D87" s="110"/>
      <c r="E87" s="110"/>
      <c r="F87" s="111"/>
      <c r="G87" s="141"/>
      <c r="H87" s="142"/>
      <c r="I87" s="142"/>
      <c r="J87" s="143"/>
      <c r="K87" s="109"/>
      <c r="L87" s="110"/>
      <c r="M87" s="110"/>
      <c r="N87" s="110"/>
      <c r="O87" s="110"/>
      <c r="P87" s="110"/>
      <c r="Q87" s="111"/>
      <c r="R87" s="141"/>
      <c r="S87" s="142"/>
      <c r="T87" s="142"/>
      <c r="U87" s="143"/>
    </row>
    <row r="88" spans="1:21" ht="18" customHeight="1" x14ac:dyDescent="0.15">
      <c r="A88" s="71"/>
      <c r="B88" s="5"/>
      <c r="C88" s="5"/>
      <c r="D88" s="5"/>
      <c r="E88" s="5"/>
      <c r="F88" s="5"/>
      <c r="G88" s="16"/>
      <c r="H88" s="16"/>
      <c r="I88" s="16"/>
      <c r="J88" s="16"/>
      <c r="K88" s="5"/>
      <c r="L88" s="5"/>
      <c r="M88" s="5"/>
      <c r="N88" s="5"/>
      <c r="O88" s="5"/>
      <c r="P88" s="5"/>
      <c r="Q88" s="5"/>
      <c r="R88" s="16"/>
      <c r="S88" s="16"/>
      <c r="T88" s="16"/>
      <c r="U88" s="16"/>
    </row>
    <row r="89" spans="1:21" ht="18.75" customHeight="1" x14ac:dyDescent="0.15">
      <c r="A89" s="72" t="s">
        <v>37</v>
      </c>
      <c r="B89" s="72"/>
      <c r="C89" s="72"/>
      <c r="D89" s="72"/>
      <c r="E89" s="72"/>
      <c r="F89" s="72"/>
      <c r="G89" s="72"/>
      <c r="H89" s="72"/>
      <c r="I89" s="72"/>
      <c r="J89" s="72"/>
      <c r="K89" s="72"/>
      <c r="L89" s="72"/>
      <c r="M89" s="72"/>
      <c r="N89" s="72"/>
      <c r="O89" s="72"/>
      <c r="P89" s="72"/>
      <c r="Q89" s="72"/>
      <c r="R89" s="72"/>
      <c r="S89" s="72"/>
      <c r="T89" s="72"/>
      <c r="U89" s="72"/>
    </row>
    <row r="90" spans="1:21" ht="18.75" customHeight="1" x14ac:dyDescent="0.15">
      <c r="A90" s="72"/>
      <c r="B90" s="144" t="s">
        <v>38</v>
      </c>
      <c r="C90" s="145"/>
      <c r="D90" s="103" t="s">
        <v>39</v>
      </c>
      <c r="E90" s="104"/>
      <c r="F90" s="104"/>
      <c r="G90" s="104"/>
      <c r="H90" s="104"/>
      <c r="I90" s="104"/>
      <c r="J90" s="104"/>
      <c r="K90" s="104"/>
      <c r="L90" s="104"/>
      <c r="M90" s="104"/>
      <c r="N90" s="104"/>
      <c r="O90" s="104"/>
      <c r="P90" s="104"/>
      <c r="Q90" s="104"/>
      <c r="R90" s="104"/>
      <c r="S90" s="104"/>
      <c r="T90" s="104"/>
      <c r="U90" s="105"/>
    </row>
    <row r="91" spans="1:21" ht="97.5" customHeight="1" x14ac:dyDescent="0.15">
      <c r="A91" s="72"/>
      <c r="B91" s="121" t="s">
        <v>40</v>
      </c>
      <c r="C91" s="17" t="s">
        <v>20</v>
      </c>
      <c r="D91" s="154" t="s">
        <v>144</v>
      </c>
      <c r="E91" s="155"/>
      <c r="F91" s="155"/>
      <c r="G91" s="155"/>
      <c r="H91" s="155"/>
      <c r="I91" s="155"/>
      <c r="J91" s="155"/>
      <c r="K91" s="155"/>
      <c r="L91" s="155"/>
      <c r="M91" s="155"/>
      <c r="N91" s="155"/>
      <c r="O91" s="155"/>
      <c r="P91" s="155"/>
      <c r="Q91" s="155"/>
      <c r="R91" s="155"/>
      <c r="S91" s="155"/>
      <c r="T91" s="155"/>
      <c r="U91" s="156"/>
    </row>
    <row r="92" spans="1:21" ht="97.5" customHeight="1" x14ac:dyDescent="0.15">
      <c r="A92" s="72"/>
      <c r="B92" s="126"/>
      <c r="C92" s="18" t="s">
        <v>41</v>
      </c>
      <c r="D92" s="160" t="s">
        <v>145</v>
      </c>
      <c r="E92" s="152"/>
      <c r="F92" s="152"/>
      <c r="G92" s="152"/>
      <c r="H92" s="152"/>
      <c r="I92" s="152"/>
      <c r="J92" s="152"/>
      <c r="K92" s="152"/>
      <c r="L92" s="152"/>
      <c r="M92" s="152"/>
      <c r="N92" s="152"/>
      <c r="O92" s="152"/>
      <c r="P92" s="152"/>
      <c r="Q92" s="152"/>
      <c r="R92" s="152"/>
      <c r="S92" s="152"/>
      <c r="T92" s="152"/>
      <c r="U92" s="153"/>
    </row>
    <row r="93" spans="1:21" ht="97.5" customHeight="1" x14ac:dyDescent="0.15">
      <c r="A93" s="72"/>
      <c r="B93" s="121" t="s">
        <v>42</v>
      </c>
      <c r="C93" s="19" t="s">
        <v>23</v>
      </c>
      <c r="D93" s="154" t="s">
        <v>146</v>
      </c>
      <c r="E93" s="155"/>
      <c r="F93" s="155"/>
      <c r="G93" s="155"/>
      <c r="H93" s="155"/>
      <c r="I93" s="155"/>
      <c r="J93" s="155"/>
      <c r="K93" s="155"/>
      <c r="L93" s="155"/>
      <c r="M93" s="155"/>
      <c r="N93" s="155"/>
      <c r="O93" s="155"/>
      <c r="P93" s="155"/>
      <c r="Q93" s="155"/>
      <c r="R93" s="155"/>
      <c r="S93" s="155"/>
      <c r="T93" s="155"/>
      <c r="U93" s="156"/>
    </row>
    <row r="94" spans="1:21" ht="97.5" customHeight="1" x14ac:dyDescent="0.15">
      <c r="A94" s="72"/>
      <c r="B94" s="122"/>
      <c r="C94" s="20" t="s">
        <v>24</v>
      </c>
      <c r="D94" s="160" t="s">
        <v>147</v>
      </c>
      <c r="E94" s="152"/>
      <c r="F94" s="152"/>
      <c r="G94" s="152"/>
      <c r="H94" s="152"/>
      <c r="I94" s="152"/>
      <c r="J94" s="152"/>
      <c r="K94" s="152"/>
      <c r="L94" s="152"/>
      <c r="M94" s="152"/>
      <c r="N94" s="152"/>
      <c r="O94" s="152"/>
      <c r="P94" s="152"/>
      <c r="Q94" s="152"/>
      <c r="R94" s="152"/>
      <c r="S94" s="152"/>
      <c r="T94" s="152"/>
      <c r="U94" s="153"/>
    </row>
    <row r="95" spans="1:21" ht="97.5" customHeight="1" x14ac:dyDescent="0.15">
      <c r="A95" s="72"/>
      <c r="B95" s="121" t="s">
        <v>43</v>
      </c>
      <c r="C95" s="19" t="s">
        <v>26</v>
      </c>
      <c r="D95" s="154" t="s">
        <v>148</v>
      </c>
      <c r="E95" s="155"/>
      <c r="F95" s="155"/>
      <c r="G95" s="155"/>
      <c r="H95" s="155"/>
      <c r="I95" s="155"/>
      <c r="J95" s="155"/>
      <c r="K95" s="155"/>
      <c r="L95" s="155"/>
      <c r="M95" s="155"/>
      <c r="N95" s="155"/>
      <c r="O95" s="155"/>
      <c r="P95" s="155"/>
      <c r="Q95" s="155"/>
      <c r="R95" s="155"/>
      <c r="S95" s="155"/>
      <c r="T95" s="155"/>
      <c r="U95" s="156"/>
    </row>
    <row r="96" spans="1:21" ht="97.5" customHeight="1" x14ac:dyDescent="0.15">
      <c r="A96" s="72"/>
      <c r="B96" s="122"/>
      <c r="C96" s="21" t="s">
        <v>27</v>
      </c>
      <c r="D96" s="160" t="s">
        <v>149</v>
      </c>
      <c r="E96" s="152"/>
      <c r="F96" s="152"/>
      <c r="G96" s="152"/>
      <c r="H96" s="152"/>
      <c r="I96" s="152"/>
      <c r="J96" s="152"/>
      <c r="K96" s="152"/>
      <c r="L96" s="152"/>
      <c r="M96" s="152"/>
      <c r="N96" s="152"/>
      <c r="O96" s="152"/>
      <c r="P96" s="152"/>
      <c r="Q96" s="152"/>
      <c r="R96" s="152"/>
      <c r="S96" s="152"/>
      <c r="T96" s="152"/>
      <c r="U96" s="153"/>
    </row>
    <row r="97" spans="1:33" ht="97.5" customHeight="1" x14ac:dyDescent="0.15">
      <c r="A97" s="72"/>
      <c r="B97" s="121" t="s">
        <v>44</v>
      </c>
      <c r="C97" s="17" t="s">
        <v>29</v>
      </c>
      <c r="D97" s="167" t="s">
        <v>150</v>
      </c>
      <c r="E97" s="155"/>
      <c r="F97" s="155"/>
      <c r="G97" s="155"/>
      <c r="H97" s="155"/>
      <c r="I97" s="155"/>
      <c r="J97" s="155"/>
      <c r="K97" s="155"/>
      <c r="L97" s="155"/>
      <c r="M97" s="155"/>
      <c r="N97" s="155"/>
      <c r="O97" s="155"/>
      <c r="P97" s="155"/>
      <c r="Q97" s="155"/>
      <c r="R97" s="155"/>
      <c r="S97" s="155"/>
      <c r="T97" s="155"/>
      <c r="U97" s="156"/>
      <c r="V97" s="72"/>
      <c r="W97" s="72"/>
      <c r="X97" s="72"/>
      <c r="Y97" s="72"/>
      <c r="Z97" s="72"/>
      <c r="AA97" s="72"/>
      <c r="AB97" s="72"/>
      <c r="AC97" s="72"/>
      <c r="AD97" s="72"/>
      <c r="AE97" s="72"/>
      <c r="AF97" s="72"/>
      <c r="AG97" s="72"/>
    </row>
    <row r="98" spans="1:33" ht="97.5" customHeight="1" x14ac:dyDescent="0.15">
      <c r="A98" s="72"/>
      <c r="B98" s="122"/>
      <c r="C98" s="20" t="s">
        <v>30</v>
      </c>
      <c r="D98" s="151" t="s">
        <v>151</v>
      </c>
      <c r="E98" s="152"/>
      <c r="F98" s="152"/>
      <c r="G98" s="152"/>
      <c r="H98" s="152"/>
      <c r="I98" s="152"/>
      <c r="J98" s="152"/>
      <c r="K98" s="152"/>
      <c r="L98" s="152"/>
      <c r="M98" s="152"/>
      <c r="N98" s="152"/>
      <c r="O98" s="152"/>
      <c r="P98" s="152"/>
      <c r="Q98" s="152"/>
      <c r="R98" s="152"/>
      <c r="S98" s="152"/>
      <c r="T98" s="152"/>
      <c r="U98" s="153"/>
      <c r="V98" s="72"/>
      <c r="W98" s="72"/>
      <c r="X98" s="72"/>
      <c r="Y98" s="72"/>
      <c r="Z98" s="72"/>
      <c r="AA98" s="72"/>
      <c r="AB98" s="72"/>
      <c r="AC98" s="72"/>
      <c r="AD98" s="72"/>
      <c r="AE98" s="72"/>
      <c r="AF98" s="72"/>
      <c r="AG98" s="72"/>
    </row>
    <row r="99" spans="1:33" ht="97.5" customHeight="1" x14ac:dyDescent="0.15">
      <c r="A99" s="72"/>
      <c r="B99" s="121" t="s">
        <v>45</v>
      </c>
      <c r="C99" s="19" t="s">
        <v>46</v>
      </c>
      <c r="D99" s="154" t="s">
        <v>152</v>
      </c>
      <c r="E99" s="155"/>
      <c r="F99" s="155"/>
      <c r="G99" s="155"/>
      <c r="H99" s="155"/>
      <c r="I99" s="155"/>
      <c r="J99" s="155"/>
      <c r="K99" s="155"/>
      <c r="L99" s="155"/>
      <c r="M99" s="155"/>
      <c r="N99" s="155"/>
      <c r="O99" s="155"/>
      <c r="P99" s="155"/>
      <c r="Q99" s="155"/>
      <c r="R99" s="155"/>
      <c r="S99" s="155"/>
      <c r="T99" s="155"/>
      <c r="U99" s="156"/>
      <c r="V99" s="72"/>
      <c r="W99" s="72"/>
      <c r="X99" s="72"/>
      <c r="Y99" s="72"/>
      <c r="Z99" s="72"/>
      <c r="AA99" s="72"/>
      <c r="AB99" s="72"/>
      <c r="AC99" s="72"/>
      <c r="AD99" s="72"/>
      <c r="AE99" s="72"/>
      <c r="AF99" s="72"/>
      <c r="AG99" s="72"/>
    </row>
    <row r="100" spans="1:33" ht="97.5" customHeight="1" x14ac:dyDescent="0.15">
      <c r="A100" s="72"/>
      <c r="B100" s="126"/>
      <c r="C100" s="22" t="s">
        <v>33</v>
      </c>
      <c r="D100" s="157" t="s">
        <v>153</v>
      </c>
      <c r="E100" s="158"/>
      <c r="F100" s="158"/>
      <c r="G100" s="158"/>
      <c r="H100" s="158"/>
      <c r="I100" s="158"/>
      <c r="J100" s="158"/>
      <c r="K100" s="158"/>
      <c r="L100" s="158"/>
      <c r="M100" s="158"/>
      <c r="N100" s="158"/>
      <c r="O100" s="158"/>
      <c r="P100" s="158"/>
      <c r="Q100" s="158"/>
      <c r="R100" s="158"/>
      <c r="S100" s="158"/>
      <c r="T100" s="158"/>
      <c r="U100" s="159"/>
      <c r="V100" s="72"/>
      <c r="W100" s="72"/>
      <c r="X100" s="72"/>
      <c r="Y100" s="72"/>
      <c r="Z100" s="72"/>
      <c r="AA100" s="72"/>
      <c r="AB100" s="72"/>
      <c r="AC100" s="72"/>
      <c r="AD100" s="72"/>
      <c r="AE100" s="72"/>
      <c r="AF100" s="72"/>
      <c r="AG100" s="72"/>
    </row>
    <row r="101" spans="1:33" ht="97.5" customHeight="1" x14ac:dyDescent="0.15">
      <c r="A101" s="72"/>
      <c r="B101" s="122"/>
      <c r="C101" s="21" t="s">
        <v>34</v>
      </c>
      <c r="D101" s="160" t="s">
        <v>154</v>
      </c>
      <c r="E101" s="152"/>
      <c r="F101" s="152"/>
      <c r="G101" s="152"/>
      <c r="H101" s="152"/>
      <c r="I101" s="152"/>
      <c r="J101" s="152"/>
      <c r="K101" s="152"/>
      <c r="L101" s="152"/>
      <c r="M101" s="152"/>
      <c r="N101" s="152"/>
      <c r="O101" s="152"/>
      <c r="P101" s="152"/>
      <c r="Q101" s="152"/>
      <c r="R101" s="152"/>
      <c r="S101" s="152"/>
      <c r="T101" s="152"/>
      <c r="U101" s="153"/>
      <c r="V101" s="72"/>
      <c r="W101" s="72"/>
      <c r="X101" s="72"/>
      <c r="Y101" s="72"/>
      <c r="Z101" s="72"/>
      <c r="AA101" s="72"/>
      <c r="AB101" s="72"/>
      <c r="AC101" s="72"/>
      <c r="AD101" s="72"/>
      <c r="AE101" s="72"/>
      <c r="AF101" s="72"/>
      <c r="AG101" s="72"/>
    </row>
    <row r="102" spans="1:33" ht="6" customHeight="1" x14ac:dyDescent="0.1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row>
    <row r="103" spans="1:33" ht="18.75" customHeight="1" x14ac:dyDescent="0.15">
      <c r="A103" s="72" t="s">
        <v>47</v>
      </c>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row>
    <row r="104" spans="1:33" ht="81.75" customHeight="1" x14ac:dyDescent="0.15">
      <c r="A104" s="72"/>
      <c r="B104" s="138" t="s">
        <v>175</v>
      </c>
      <c r="C104" s="139"/>
      <c r="D104" s="139"/>
      <c r="E104" s="139"/>
      <c r="F104" s="139"/>
      <c r="G104" s="139"/>
      <c r="H104" s="139"/>
      <c r="I104" s="139"/>
      <c r="J104" s="139"/>
      <c r="K104" s="139"/>
      <c r="L104" s="139"/>
      <c r="M104" s="139"/>
      <c r="N104" s="139"/>
      <c r="O104" s="139"/>
      <c r="P104" s="139"/>
      <c r="Q104" s="139"/>
      <c r="R104" s="139"/>
      <c r="S104" s="139"/>
      <c r="T104" s="139"/>
      <c r="U104" s="140"/>
      <c r="V104" s="72"/>
      <c r="W104" s="72"/>
      <c r="X104" s="72"/>
      <c r="Y104" s="72"/>
      <c r="Z104" s="72"/>
      <c r="AA104" s="72"/>
      <c r="AB104" s="72"/>
      <c r="AC104" s="72"/>
      <c r="AD104" s="72"/>
      <c r="AE104" s="72"/>
      <c r="AF104" s="72"/>
      <c r="AG104" s="72"/>
    </row>
    <row r="106" spans="1:33" ht="18.75" customHeight="1" x14ac:dyDescent="0.15">
      <c r="A106" s="73" t="s">
        <v>48</v>
      </c>
      <c r="B106" s="74"/>
      <c r="C106" s="74"/>
      <c r="D106" s="74"/>
      <c r="E106" s="74"/>
      <c r="F106" s="74"/>
      <c r="G106" s="74"/>
      <c r="H106" s="74"/>
      <c r="I106" s="74"/>
      <c r="J106" s="74"/>
      <c r="K106" s="74"/>
      <c r="L106" s="74"/>
      <c r="M106" s="74"/>
      <c r="N106" s="74"/>
      <c r="O106" s="74"/>
      <c r="P106" s="74"/>
      <c r="Q106" s="74"/>
      <c r="R106" s="74"/>
      <c r="S106" s="74"/>
      <c r="T106" s="74"/>
      <c r="U106" s="74"/>
      <c r="V106" s="72"/>
      <c r="W106" s="72"/>
      <c r="X106" s="72"/>
      <c r="Y106" s="72"/>
      <c r="Z106" s="72"/>
      <c r="AA106" s="72"/>
      <c r="AB106" s="72"/>
      <c r="AC106" s="72"/>
      <c r="AD106" s="72"/>
      <c r="AE106" s="72"/>
      <c r="AF106" s="72"/>
      <c r="AG106" s="72"/>
    </row>
    <row r="107" spans="1:33" ht="18.75" customHeight="1" x14ac:dyDescent="0.15">
      <c r="A107" s="73" t="s">
        <v>49</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150" t="s">
        <v>50</v>
      </c>
      <c r="C108" s="150"/>
      <c r="D108" s="150"/>
      <c r="E108" s="150"/>
      <c r="F108" s="150"/>
      <c r="G108" s="150"/>
      <c r="H108" s="150"/>
      <c r="I108" s="150"/>
      <c r="J108" s="150"/>
      <c r="K108" s="150"/>
      <c r="L108" s="150"/>
      <c r="M108" s="150"/>
      <c r="N108" s="150"/>
      <c r="O108" s="150"/>
      <c r="P108" s="150"/>
      <c r="Q108" s="150"/>
      <c r="R108" s="150"/>
      <c r="S108" s="150"/>
      <c r="T108" s="150"/>
      <c r="U108" s="150"/>
      <c r="V108" s="63"/>
      <c r="W108" s="63"/>
      <c r="X108" s="63"/>
      <c r="Y108" s="63"/>
      <c r="Z108" s="63"/>
      <c r="AA108" s="63"/>
      <c r="AB108" s="63"/>
      <c r="AC108" s="63"/>
      <c r="AD108" s="63"/>
      <c r="AE108" s="63"/>
      <c r="AF108" s="63"/>
      <c r="AG108" s="63"/>
    </row>
    <row r="109" spans="1:33" ht="37.15" customHeight="1" x14ac:dyDescent="0.15">
      <c r="A109" s="73"/>
      <c r="B109" s="150"/>
      <c r="C109" s="150"/>
      <c r="D109" s="150"/>
      <c r="E109" s="150"/>
      <c r="F109" s="150"/>
      <c r="G109" s="150"/>
      <c r="H109" s="150"/>
      <c r="I109" s="150"/>
      <c r="J109" s="150"/>
      <c r="K109" s="150"/>
      <c r="L109" s="150"/>
      <c r="M109" s="150"/>
      <c r="N109" s="150"/>
      <c r="O109" s="150"/>
      <c r="P109" s="150"/>
      <c r="Q109" s="150"/>
      <c r="R109" s="150"/>
      <c r="S109" s="150"/>
      <c r="T109" s="150"/>
      <c r="U109" s="150"/>
      <c r="V109" s="63"/>
      <c r="W109" s="63"/>
      <c r="X109" s="63"/>
      <c r="Y109" s="63"/>
      <c r="Z109" s="63"/>
      <c r="AA109" s="63"/>
      <c r="AB109" s="63"/>
      <c r="AC109" s="63"/>
      <c r="AD109" s="63"/>
      <c r="AE109" s="63"/>
      <c r="AF109" s="63"/>
      <c r="AG109" s="63"/>
    </row>
    <row r="110" spans="1:33" ht="18.75" customHeight="1" x14ac:dyDescent="0.15">
      <c r="A110" s="73"/>
      <c r="B110" s="99" t="s">
        <v>51</v>
      </c>
      <c r="C110" s="99"/>
      <c r="D110" s="99"/>
      <c r="E110" s="99"/>
      <c r="F110" s="99"/>
      <c r="G110" s="99"/>
      <c r="H110" s="99"/>
      <c r="I110" s="99"/>
      <c r="J110" s="99"/>
      <c r="K110" s="99"/>
      <c r="L110" s="99"/>
      <c r="M110" s="99"/>
      <c r="N110" s="99"/>
      <c r="O110" s="99"/>
      <c r="P110" s="99"/>
      <c r="Q110" s="99"/>
      <c r="R110" s="99"/>
      <c r="S110" s="99"/>
      <c r="T110" s="99"/>
      <c r="U110" s="99"/>
      <c r="V110" s="63"/>
      <c r="W110" s="63"/>
      <c r="X110" s="63"/>
      <c r="Y110" s="63"/>
      <c r="Z110" s="63"/>
      <c r="AA110" s="63"/>
      <c r="AB110" s="63"/>
      <c r="AC110" s="63"/>
      <c r="AD110" s="63"/>
      <c r="AE110" s="63"/>
      <c r="AF110" s="63"/>
      <c r="AG110" s="63"/>
    </row>
    <row r="111" spans="1:33" ht="18.75" customHeight="1" x14ac:dyDescent="0.15">
      <c r="A111" s="73"/>
      <c r="B111" s="112" t="s">
        <v>39</v>
      </c>
      <c r="C111" s="112"/>
      <c r="D111" s="112"/>
      <c r="E111" s="112"/>
      <c r="F111" s="112"/>
      <c r="G111" s="112"/>
      <c r="H111" s="112"/>
      <c r="I111" s="112"/>
      <c r="J111" s="112"/>
      <c r="K111" s="112"/>
      <c r="L111" s="112"/>
      <c r="M111" s="112"/>
      <c r="N111" s="112"/>
      <c r="O111" s="112"/>
      <c r="P111" s="112"/>
      <c r="Q111" s="112"/>
      <c r="R111" s="112"/>
      <c r="S111" s="112"/>
      <c r="T111" s="112"/>
      <c r="U111" s="112"/>
      <c r="V111" s="62"/>
      <c r="W111" s="62"/>
      <c r="X111" s="62"/>
      <c r="Y111" s="62"/>
      <c r="Z111" s="62"/>
      <c r="AA111" s="62"/>
      <c r="AB111" s="62"/>
      <c r="AC111" s="62"/>
      <c r="AD111" s="62"/>
      <c r="AE111" s="62"/>
      <c r="AF111" s="62"/>
      <c r="AG111" s="62"/>
    </row>
    <row r="112" spans="1:33" ht="132" customHeight="1" x14ac:dyDescent="0.15">
      <c r="A112" s="73"/>
      <c r="B112" s="113"/>
      <c r="C112" s="113"/>
      <c r="D112" s="113"/>
      <c r="E112" s="113"/>
      <c r="F112" s="113"/>
      <c r="G112" s="113"/>
      <c r="H112" s="113"/>
      <c r="I112" s="113"/>
      <c r="J112" s="113"/>
      <c r="K112" s="113"/>
      <c r="L112" s="113"/>
      <c r="M112" s="113"/>
      <c r="N112" s="113"/>
      <c r="O112" s="113"/>
      <c r="P112" s="113"/>
      <c r="Q112" s="113"/>
      <c r="R112" s="113"/>
      <c r="S112" s="113"/>
      <c r="T112" s="113"/>
      <c r="U112" s="113"/>
      <c r="V112" s="64"/>
      <c r="W112" s="64"/>
      <c r="X112" s="64"/>
      <c r="Y112" s="64"/>
      <c r="Z112" s="64"/>
      <c r="AA112" s="64"/>
      <c r="AB112" s="64"/>
      <c r="AC112" s="64"/>
      <c r="AD112" s="64"/>
      <c r="AE112" s="64"/>
      <c r="AF112" s="64"/>
      <c r="AG112" s="64"/>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E38C-E80D-4815-8CF4-2D633B90F066}">
  <sheetPr>
    <pageSetUpPr fitToPage="1"/>
  </sheetPr>
  <dimension ref="A1:U24"/>
  <sheetViews>
    <sheetView view="pageBreakPreview" zoomScaleNormal="100" zoomScaleSheetLayoutView="100" workbookViewId="0">
      <selection activeCell="K27" sqref="K27"/>
    </sheetView>
  </sheetViews>
  <sheetFormatPr defaultColWidth="9" defaultRowHeight="18.75" customHeight="1" x14ac:dyDescent="0.15"/>
  <cols>
    <col min="1" max="1" width="2.75" style="72" customWidth="1"/>
    <col min="2" max="2" width="20.75" style="72" customWidth="1"/>
    <col min="3" max="18" width="6.125" style="72" customWidth="1"/>
    <col min="19" max="19" width="6.625" style="72" customWidth="1"/>
    <col min="20" max="16384" width="9" style="72"/>
  </cols>
  <sheetData>
    <row r="1" spans="1:21" ht="18" customHeight="1" x14ac:dyDescent="0.15">
      <c r="A1" s="75"/>
      <c r="B1" s="75"/>
      <c r="C1" s="75"/>
      <c r="D1" s="75"/>
      <c r="E1" s="75"/>
      <c r="F1" s="75"/>
      <c r="G1" s="75"/>
      <c r="H1" s="75"/>
      <c r="I1" s="75"/>
      <c r="J1" s="75"/>
      <c r="K1" s="75"/>
      <c r="L1" s="75"/>
      <c r="M1" s="75"/>
      <c r="N1" s="75"/>
      <c r="O1" s="75"/>
      <c r="P1" s="75"/>
      <c r="Q1" s="75"/>
      <c r="R1" s="75"/>
      <c r="S1" s="75" t="s">
        <v>52</v>
      </c>
    </row>
    <row r="2" spans="1:21" ht="18" customHeight="1" x14ac:dyDescent="0.15">
      <c r="A2" s="75"/>
      <c r="B2" s="75"/>
      <c r="C2" s="75"/>
      <c r="D2" s="75"/>
      <c r="E2" s="75"/>
      <c r="F2" s="75"/>
      <c r="G2" s="75"/>
      <c r="H2" s="75"/>
      <c r="I2" s="75"/>
      <c r="J2" s="75"/>
      <c r="K2" s="75"/>
      <c r="L2" s="75"/>
      <c r="M2" s="75"/>
      <c r="N2" s="75"/>
      <c r="O2" s="75"/>
      <c r="P2" s="75"/>
      <c r="Q2" s="174" t="str">
        <f>'様式１　プログラムを構成する授業科目'!C2</f>
        <v>関東学院大学</v>
      </c>
      <c r="R2" s="174"/>
      <c r="S2" s="174"/>
    </row>
    <row r="3" spans="1:21" ht="18" customHeight="1" x14ac:dyDescent="0.15">
      <c r="A3" s="127" t="s">
        <v>53</v>
      </c>
      <c r="B3" s="127"/>
      <c r="C3" s="127"/>
      <c r="D3" s="127"/>
      <c r="E3" s="127"/>
      <c r="F3" s="127"/>
      <c r="G3" s="127"/>
      <c r="H3" s="127"/>
      <c r="I3" s="127"/>
      <c r="J3" s="127"/>
      <c r="K3" s="127"/>
      <c r="L3" s="127"/>
      <c r="M3" s="127"/>
      <c r="N3" s="127"/>
      <c r="O3" s="127"/>
      <c r="P3" s="127"/>
      <c r="Q3" s="127"/>
      <c r="R3" s="127"/>
      <c r="S3" s="127"/>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5" t="s">
        <v>54</v>
      </c>
      <c r="B5" s="75"/>
      <c r="C5" s="175" t="s">
        <v>155</v>
      </c>
      <c r="D5" s="176"/>
      <c r="E5" s="79" t="s">
        <v>55</v>
      </c>
      <c r="F5" s="79"/>
      <c r="G5" s="79"/>
      <c r="H5" s="79"/>
      <c r="I5" s="79"/>
      <c r="J5" s="79"/>
      <c r="K5" s="79"/>
      <c r="L5" s="79"/>
      <c r="M5" s="79"/>
      <c r="N5" s="79"/>
      <c r="O5" s="79"/>
      <c r="P5" s="79"/>
      <c r="Q5" s="79"/>
      <c r="R5" s="77"/>
      <c r="S5" s="77"/>
    </row>
    <row r="6" spans="1:21" ht="7.15" customHeight="1" x14ac:dyDescent="0.15">
      <c r="A6" s="75"/>
      <c r="B6" s="75"/>
      <c r="C6" s="86"/>
      <c r="D6" s="86"/>
      <c r="E6" s="79"/>
      <c r="F6" s="79"/>
      <c r="G6" s="79"/>
      <c r="H6" s="79"/>
      <c r="I6" s="79"/>
      <c r="J6" s="79"/>
      <c r="K6" s="79"/>
      <c r="L6" s="79"/>
      <c r="M6" s="79"/>
      <c r="N6" s="79"/>
      <c r="O6" s="79"/>
      <c r="P6" s="79"/>
      <c r="Q6" s="79"/>
      <c r="R6" s="77"/>
      <c r="S6" s="77"/>
    </row>
    <row r="7" spans="1:21" ht="18" customHeight="1" x14ac:dyDescent="0.15">
      <c r="A7" s="75" t="s">
        <v>56</v>
      </c>
      <c r="B7" s="75"/>
      <c r="C7" s="86"/>
      <c r="D7" s="86"/>
      <c r="E7" s="79" t="s">
        <v>57</v>
      </c>
      <c r="F7" s="83">
        <v>7328</v>
      </c>
      <c r="G7" s="81" t="s">
        <v>58</v>
      </c>
      <c r="H7" s="79" t="s">
        <v>59</v>
      </c>
      <c r="I7" s="83">
        <v>3632</v>
      </c>
      <c r="J7" s="81" t="s">
        <v>58</v>
      </c>
      <c r="K7" s="96" t="s">
        <v>60</v>
      </c>
      <c r="L7" s="79" t="s">
        <v>61</v>
      </c>
      <c r="M7" s="83">
        <f>F7+I7</f>
        <v>10960</v>
      </c>
      <c r="N7" s="79" t="s">
        <v>62</v>
      </c>
      <c r="O7" s="81" t="s">
        <v>63</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5" t="s">
        <v>64</v>
      </c>
      <c r="B9" s="79"/>
      <c r="C9" s="79"/>
      <c r="D9" s="79"/>
      <c r="E9" s="79"/>
      <c r="F9" s="79"/>
      <c r="G9" s="79"/>
      <c r="H9" s="79"/>
      <c r="I9" s="79"/>
      <c r="J9" s="79"/>
      <c r="K9" s="79"/>
      <c r="L9" s="79"/>
      <c r="M9" s="79"/>
      <c r="N9" s="79"/>
      <c r="O9" s="79"/>
      <c r="P9" s="79"/>
      <c r="Q9" s="79"/>
      <c r="R9" s="79"/>
      <c r="S9" s="79"/>
    </row>
    <row r="10" spans="1:21" ht="6" customHeight="1" x14ac:dyDescent="0.15">
      <c r="B10" s="97"/>
      <c r="C10" s="97"/>
      <c r="D10" s="97"/>
      <c r="E10" s="97"/>
      <c r="F10" s="97"/>
      <c r="G10" s="97"/>
      <c r="H10" s="97"/>
      <c r="I10" s="97"/>
      <c r="J10" s="97"/>
      <c r="K10" s="97"/>
      <c r="L10" s="97"/>
      <c r="M10" s="97"/>
      <c r="N10" s="97"/>
      <c r="O10" s="97"/>
      <c r="P10" s="97"/>
      <c r="Q10" s="97"/>
      <c r="R10" s="97"/>
      <c r="S10" s="97"/>
    </row>
    <row r="11" spans="1:21" ht="18" customHeight="1" x14ac:dyDescent="0.15">
      <c r="B11" s="177" t="s">
        <v>65</v>
      </c>
      <c r="C11" s="179" t="s">
        <v>66</v>
      </c>
      <c r="D11" s="181" t="s">
        <v>67</v>
      </c>
      <c r="E11" s="183" t="s">
        <v>68</v>
      </c>
      <c r="F11" s="185" t="s">
        <v>69</v>
      </c>
      <c r="G11" s="185"/>
      <c r="H11" s="185" t="s">
        <v>70</v>
      </c>
      <c r="I11" s="185"/>
      <c r="J11" s="185" t="s">
        <v>71</v>
      </c>
      <c r="K11" s="185"/>
      <c r="L11" s="185" t="s">
        <v>72</v>
      </c>
      <c r="M11" s="185"/>
      <c r="N11" s="185" t="s">
        <v>73</v>
      </c>
      <c r="O11" s="185"/>
      <c r="P11" s="185" t="s">
        <v>74</v>
      </c>
      <c r="Q11" s="185"/>
      <c r="R11" s="186" t="s">
        <v>75</v>
      </c>
      <c r="S11" s="188" t="s">
        <v>76</v>
      </c>
      <c r="U11" s="2"/>
    </row>
    <row r="12" spans="1:21" ht="16.899999999999999" customHeight="1" x14ac:dyDescent="0.15">
      <c r="B12" s="178"/>
      <c r="C12" s="180"/>
      <c r="D12" s="182"/>
      <c r="E12" s="184"/>
      <c r="F12" s="57" t="s">
        <v>77</v>
      </c>
      <c r="G12" s="57" t="s">
        <v>78</v>
      </c>
      <c r="H12" s="57" t="s">
        <v>77</v>
      </c>
      <c r="I12" s="57" t="s">
        <v>78</v>
      </c>
      <c r="J12" s="57" t="s">
        <v>77</v>
      </c>
      <c r="K12" s="57" t="s">
        <v>78</v>
      </c>
      <c r="L12" s="57" t="s">
        <v>77</v>
      </c>
      <c r="M12" s="57" t="s">
        <v>78</v>
      </c>
      <c r="N12" s="57" t="s">
        <v>77</v>
      </c>
      <c r="O12" s="57" t="s">
        <v>78</v>
      </c>
      <c r="P12" s="57" t="s">
        <v>77</v>
      </c>
      <c r="Q12" s="58" t="s">
        <v>78</v>
      </c>
      <c r="R12" s="187"/>
      <c r="S12" s="189"/>
      <c r="U12" s="2"/>
    </row>
    <row r="13" spans="1:21" ht="18" customHeight="1" x14ac:dyDescent="0.15">
      <c r="A13" s="5"/>
      <c r="B13" s="59" t="s">
        <v>176</v>
      </c>
      <c r="C13" s="45">
        <v>1112</v>
      </c>
      <c r="D13" s="46">
        <v>276</v>
      </c>
      <c r="E13" s="47">
        <v>1116</v>
      </c>
      <c r="F13" s="47">
        <v>11</v>
      </c>
      <c r="G13" s="47">
        <v>1</v>
      </c>
      <c r="H13" s="47"/>
      <c r="I13" s="47"/>
      <c r="J13" s="47"/>
      <c r="K13" s="47"/>
      <c r="L13" s="47"/>
      <c r="M13" s="47"/>
      <c r="N13" s="47"/>
      <c r="O13" s="47"/>
      <c r="P13" s="47"/>
      <c r="Q13" s="60"/>
      <c r="R13" s="46">
        <f t="shared" ref="R13:R23" si="0">F13+H13+J13+L13+N13+P13</f>
        <v>11</v>
      </c>
      <c r="S13" s="87">
        <f>R13/E13</f>
        <v>9.8566308243727592E-3</v>
      </c>
    </row>
    <row r="14" spans="1:21" ht="18" customHeight="1" x14ac:dyDescent="0.15">
      <c r="A14" s="5"/>
      <c r="B14" s="8" t="s">
        <v>177</v>
      </c>
      <c r="C14" s="48">
        <v>789</v>
      </c>
      <c r="D14" s="49">
        <v>195</v>
      </c>
      <c r="E14" s="50">
        <v>784</v>
      </c>
      <c r="F14" s="51">
        <v>3</v>
      </c>
      <c r="G14" s="51">
        <v>1</v>
      </c>
      <c r="H14" s="51"/>
      <c r="I14" s="51"/>
      <c r="J14" s="51"/>
      <c r="K14" s="51"/>
      <c r="L14" s="51"/>
      <c r="M14" s="51"/>
      <c r="N14" s="51"/>
      <c r="O14" s="51"/>
      <c r="P14" s="51"/>
      <c r="Q14" s="48"/>
      <c r="R14" s="49">
        <f t="shared" si="0"/>
        <v>3</v>
      </c>
      <c r="S14" s="6">
        <f t="shared" ref="S14:S24" si="1">R14/E14</f>
        <v>3.8265306122448979E-3</v>
      </c>
    </row>
    <row r="15" spans="1:21" ht="18" customHeight="1" x14ac:dyDescent="0.15">
      <c r="A15" s="5"/>
      <c r="B15" s="8" t="s">
        <v>178</v>
      </c>
      <c r="C15" s="48">
        <v>1463</v>
      </c>
      <c r="D15" s="49">
        <v>355</v>
      </c>
      <c r="E15" s="50">
        <v>1426</v>
      </c>
      <c r="F15" s="51">
        <v>308</v>
      </c>
      <c r="G15" s="51">
        <v>10</v>
      </c>
      <c r="H15" s="51"/>
      <c r="I15" s="51"/>
      <c r="J15" s="51"/>
      <c r="K15" s="51"/>
      <c r="L15" s="51"/>
      <c r="M15" s="51"/>
      <c r="N15" s="51"/>
      <c r="O15" s="51"/>
      <c r="P15" s="51"/>
      <c r="Q15" s="48"/>
      <c r="R15" s="49">
        <f t="shared" si="0"/>
        <v>308</v>
      </c>
      <c r="S15" s="6">
        <f t="shared" si="1"/>
        <v>0.21598877980364656</v>
      </c>
    </row>
    <row r="16" spans="1:21" ht="18" customHeight="1" x14ac:dyDescent="0.15">
      <c r="A16" s="5"/>
      <c r="B16" s="89" t="s">
        <v>179</v>
      </c>
      <c r="C16" s="90">
        <v>1481</v>
      </c>
      <c r="D16" s="92">
        <v>380</v>
      </c>
      <c r="E16" s="94">
        <v>1526</v>
      </c>
      <c r="F16" s="91">
        <v>96</v>
      </c>
      <c r="G16" s="91">
        <v>3</v>
      </c>
      <c r="H16" s="91"/>
      <c r="I16" s="91"/>
      <c r="J16" s="91"/>
      <c r="K16" s="91"/>
      <c r="L16" s="91"/>
      <c r="M16" s="91"/>
      <c r="N16" s="91"/>
      <c r="O16" s="91"/>
      <c r="P16" s="91"/>
      <c r="Q16" s="90"/>
      <c r="R16" s="92">
        <f t="shared" ref="R16:R17" si="2">F16+H16+J16+L16+N16+P16</f>
        <v>96</v>
      </c>
      <c r="S16" s="93">
        <f t="shared" si="1"/>
        <v>6.2909567496723454E-2</v>
      </c>
    </row>
    <row r="17" spans="1:19" ht="18" customHeight="1" x14ac:dyDescent="0.15">
      <c r="A17" s="5"/>
      <c r="B17" s="89" t="s">
        <v>180</v>
      </c>
      <c r="C17" s="90">
        <v>1368</v>
      </c>
      <c r="D17" s="92">
        <v>360</v>
      </c>
      <c r="E17" s="94">
        <v>1448</v>
      </c>
      <c r="F17" s="91">
        <v>120</v>
      </c>
      <c r="G17" s="91">
        <v>1</v>
      </c>
      <c r="H17" s="91"/>
      <c r="I17" s="91"/>
      <c r="J17" s="91"/>
      <c r="K17" s="91"/>
      <c r="L17" s="91"/>
      <c r="M17" s="91"/>
      <c r="N17" s="91"/>
      <c r="O17" s="91"/>
      <c r="P17" s="91"/>
      <c r="Q17" s="90"/>
      <c r="R17" s="92">
        <f t="shared" si="2"/>
        <v>120</v>
      </c>
      <c r="S17" s="93">
        <f t="shared" si="1"/>
        <v>8.2872928176795577E-2</v>
      </c>
    </row>
    <row r="18" spans="1:19" ht="18" customHeight="1" x14ac:dyDescent="0.15">
      <c r="A18" s="5"/>
      <c r="B18" s="89" t="s">
        <v>181</v>
      </c>
      <c r="C18" s="90">
        <v>1871</v>
      </c>
      <c r="D18" s="92">
        <v>487</v>
      </c>
      <c r="E18" s="95">
        <v>1980</v>
      </c>
      <c r="F18" s="91">
        <v>230</v>
      </c>
      <c r="G18" s="91">
        <v>25</v>
      </c>
      <c r="H18" s="91"/>
      <c r="I18" s="91"/>
      <c r="J18" s="91"/>
      <c r="K18" s="91"/>
      <c r="L18" s="91"/>
      <c r="M18" s="91"/>
      <c r="N18" s="91"/>
      <c r="O18" s="91"/>
      <c r="P18" s="91"/>
      <c r="Q18" s="90"/>
      <c r="R18" s="92">
        <f t="shared" si="0"/>
        <v>230</v>
      </c>
      <c r="S18" s="93">
        <f t="shared" si="1"/>
        <v>0.11616161616161616</v>
      </c>
    </row>
    <row r="19" spans="1:19" ht="18" customHeight="1" x14ac:dyDescent="0.15">
      <c r="A19" s="5"/>
      <c r="B19" s="89" t="s">
        <v>182</v>
      </c>
      <c r="C19" s="90">
        <v>569</v>
      </c>
      <c r="D19" s="92">
        <v>138</v>
      </c>
      <c r="E19" s="94">
        <v>556</v>
      </c>
      <c r="F19" s="91">
        <v>21</v>
      </c>
      <c r="G19" s="91">
        <v>2</v>
      </c>
      <c r="H19" s="91"/>
      <c r="I19" s="91"/>
      <c r="J19" s="91"/>
      <c r="K19" s="91"/>
      <c r="L19" s="91"/>
      <c r="M19" s="91"/>
      <c r="N19" s="91"/>
      <c r="O19" s="91"/>
      <c r="P19" s="91"/>
      <c r="Q19" s="90"/>
      <c r="R19" s="92">
        <f t="shared" si="0"/>
        <v>21</v>
      </c>
      <c r="S19" s="93">
        <f t="shared" si="1"/>
        <v>3.7769784172661872E-2</v>
      </c>
    </row>
    <row r="20" spans="1:19" ht="18" customHeight="1" x14ac:dyDescent="0.15">
      <c r="A20" s="5"/>
      <c r="B20" s="8" t="s">
        <v>186</v>
      </c>
      <c r="C20" s="48">
        <v>1010</v>
      </c>
      <c r="D20" s="49">
        <v>243</v>
      </c>
      <c r="E20" s="50">
        <v>980</v>
      </c>
      <c r="F20" s="51">
        <v>12</v>
      </c>
      <c r="G20" s="51">
        <v>0</v>
      </c>
      <c r="H20" s="51"/>
      <c r="I20" s="51"/>
      <c r="J20" s="51"/>
      <c r="K20" s="51"/>
      <c r="L20" s="51"/>
      <c r="M20" s="51"/>
      <c r="N20" s="51"/>
      <c r="O20" s="51"/>
      <c r="P20" s="51"/>
      <c r="Q20" s="48"/>
      <c r="R20" s="49">
        <f t="shared" si="0"/>
        <v>12</v>
      </c>
      <c r="S20" s="6">
        <f t="shared" si="1"/>
        <v>1.2244897959183673E-2</v>
      </c>
    </row>
    <row r="21" spans="1:19" ht="18" customHeight="1" x14ac:dyDescent="0.15">
      <c r="A21" s="5"/>
      <c r="B21" s="8" t="s">
        <v>183</v>
      </c>
      <c r="C21" s="48">
        <v>405</v>
      </c>
      <c r="D21" s="52">
        <v>100</v>
      </c>
      <c r="E21" s="50">
        <v>400</v>
      </c>
      <c r="F21" s="51">
        <v>0</v>
      </c>
      <c r="G21" s="51">
        <v>0</v>
      </c>
      <c r="H21" s="51"/>
      <c r="I21" s="51"/>
      <c r="J21" s="51"/>
      <c r="K21" s="51"/>
      <c r="L21" s="51"/>
      <c r="M21" s="51"/>
      <c r="N21" s="51"/>
      <c r="O21" s="51"/>
      <c r="P21" s="51"/>
      <c r="Q21" s="48"/>
      <c r="R21" s="52">
        <f t="shared" si="0"/>
        <v>0</v>
      </c>
      <c r="S21" s="6">
        <f t="shared" si="1"/>
        <v>0</v>
      </c>
    </row>
    <row r="22" spans="1:19" ht="18" customHeight="1" x14ac:dyDescent="0.15">
      <c r="A22" s="5"/>
      <c r="B22" s="8" t="s">
        <v>184</v>
      </c>
      <c r="C22" s="48">
        <v>563</v>
      </c>
      <c r="D22" s="52">
        <v>140</v>
      </c>
      <c r="E22" s="50">
        <v>560</v>
      </c>
      <c r="F22" s="51">
        <v>2</v>
      </c>
      <c r="G22" s="51">
        <v>0</v>
      </c>
      <c r="H22" s="51"/>
      <c r="I22" s="51"/>
      <c r="J22" s="51"/>
      <c r="K22" s="51"/>
      <c r="L22" s="51"/>
      <c r="M22" s="51"/>
      <c r="N22" s="51"/>
      <c r="O22" s="51"/>
      <c r="P22" s="51"/>
      <c r="Q22" s="48"/>
      <c r="R22" s="52">
        <f t="shared" si="0"/>
        <v>2</v>
      </c>
      <c r="S22" s="6">
        <f t="shared" si="1"/>
        <v>3.5714285714285713E-3</v>
      </c>
    </row>
    <row r="23" spans="1:19" ht="18" customHeight="1" thickBot="1" x14ac:dyDescent="0.2">
      <c r="A23" s="5"/>
      <c r="B23" s="9" t="s">
        <v>185</v>
      </c>
      <c r="C23" s="45">
        <v>329</v>
      </c>
      <c r="D23" s="53">
        <v>80</v>
      </c>
      <c r="E23" s="47">
        <v>320</v>
      </c>
      <c r="F23" s="47">
        <v>17</v>
      </c>
      <c r="G23" s="47">
        <v>0</v>
      </c>
      <c r="H23" s="47"/>
      <c r="I23" s="47"/>
      <c r="J23" s="47"/>
      <c r="K23" s="47"/>
      <c r="L23" s="47"/>
      <c r="M23" s="47"/>
      <c r="N23" s="47"/>
      <c r="O23" s="47"/>
      <c r="P23" s="47"/>
      <c r="Q23" s="48"/>
      <c r="R23" s="53">
        <f t="shared" si="0"/>
        <v>17</v>
      </c>
      <c r="S23" s="88">
        <f t="shared" si="1"/>
        <v>5.3124999999999999E-2</v>
      </c>
    </row>
    <row r="24" spans="1:19" ht="18" customHeight="1" thickTop="1" x14ac:dyDescent="0.15">
      <c r="B24" s="10" t="s">
        <v>79</v>
      </c>
      <c r="C24" s="54">
        <f t="shared" ref="C24:R24" si="3">SUM(C13:C23)</f>
        <v>10960</v>
      </c>
      <c r="D24" s="55">
        <f t="shared" si="3"/>
        <v>2754</v>
      </c>
      <c r="E24" s="56">
        <f t="shared" si="3"/>
        <v>11096</v>
      </c>
      <c r="F24" s="56">
        <f t="shared" si="3"/>
        <v>820</v>
      </c>
      <c r="G24" s="56">
        <f t="shared" si="3"/>
        <v>43</v>
      </c>
      <c r="H24" s="56">
        <f t="shared" si="3"/>
        <v>0</v>
      </c>
      <c r="I24" s="56">
        <f t="shared" si="3"/>
        <v>0</v>
      </c>
      <c r="J24" s="56">
        <f t="shared" si="3"/>
        <v>0</v>
      </c>
      <c r="K24" s="56">
        <f t="shared" si="3"/>
        <v>0</v>
      </c>
      <c r="L24" s="56">
        <f t="shared" si="3"/>
        <v>0</v>
      </c>
      <c r="M24" s="56">
        <f t="shared" si="3"/>
        <v>0</v>
      </c>
      <c r="N24" s="56">
        <f t="shared" si="3"/>
        <v>0</v>
      </c>
      <c r="O24" s="56">
        <f t="shared" si="3"/>
        <v>0</v>
      </c>
      <c r="P24" s="56">
        <f t="shared" si="3"/>
        <v>0</v>
      </c>
      <c r="Q24" s="54">
        <f t="shared" si="3"/>
        <v>0</v>
      </c>
      <c r="R24" s="55">
        <f t="shared" si="3"/>
        <v>820</v>
      </c>
      <c r="S24" s="98">
        <f t="shared" si="1"/>
        <v>7.3900504686373464E-2</v>
      </c>
    </row>
  </sheetData>
  <mergeCells count="15">
    <mergeCell ref="Q2:S2"/>
    <mergeCell ref="A3:S3"/>
    <mergeCell ref="C5:D5"/>
    <mergeCell ref="B11:B12"/>
    <mergeCell ref="C11:C12"/>
    <mergeCell ref="D11:D12"/>
    <mergeCell ref="E11:E12"/>
    <mergeCell ref="F11:G11"/>
    <mergeCell ref="H11:I11"/>
    <mergeCell ref="J11:K11"/>
    <mergeCell ref="L11:M11"/>
    <mergeCell ref="N11:O11"/>
    <mergeCell ref="P11:Q11"/>
    <mergeCell ref="R11:R12"/>
    <mergeCell ref="S11:S12"/>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94" zoomScaleNormal="100" zoomScaleSheetLayoutView="100" workbookViewId="0">
      <selection activeCell="B52" sqref="B52:I63"/>
    </sheetView>
  </sheetViews>
  <sheetFormatPr defaultColWidth="11.375" defaultRowHeight="18.75" customHeight="1" x14ac:dyDescent="0.15"/>
  <cols>
    <col min="1" max="1" width="2.75" style="26"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6" t="s">
        <v>80</v>
      </c>
      <c r="B1" s="72"/>
      <c r="C1" s="72"/>
      <c r="D1" s="72"/>
      <c r="E1" s="72"/>
      <c r="F1" s="72"/>
      <c r="G1" s="72"/>
      <c r="H1" s="72"/>
      <c r="I1" s="24" t="s">
        <v>81</v>
      </c>
    </row>
    <row r="2" spans="1:9" ht="18.75" customHeight="1" x14ac:dyDescent="0.15">
      <c r="B2" s="72"/>
      <c r="C2" s="72"/>
      <c r="D2" s="72"/>
      <c r="E2" s="72"/>
      <c r="F2" s="72"/>
      <c r="G2" s="24" t="s">
        <v>2</v>
      </c>
      <c r="H2" s="103" t="str">
        <f>'様式１　プログラムを構成する授業科目'!C2</f>
        <v>関東学院大学</v>
      </c>
      <c r="I2" s="105"/>
    </row>
    <row r="3" spans="1:9" ht="18.75" customHeight="1" x14ac:dyDescent="0.15">
      <c r="B3" s="72"/>
      <c r="C3" s="72"/>
      <c r="D3" s="72"/>
      <c r="E3" s="72"/>
      <c r="F3" s="72"/>
      <c r="G3" s="24"/>
      <c r="H3" s="7"/>
      <c r="I3" s="7"/>
    </row>
    <row r="4" spans="1:9" ht="18.600000000000001" customHeight="1" x14ac:dyDescent="0.15">
      <c r="A4" s="191" t="s">
        <v>82</v>
      </c>
      <c r="B4" s="191"/>
      <c r="C4" s="191"/>
      <c r="D4" s="191"/>
      <c r="E4" s="191"/>
      <c r="F4" s="191"/>
      <c r="G4" s="191"/>
      <c r="H4" s="191"/>
      <c r="I4" s="191"/>
    </row>
    <row r="5" spans="1:9" ht="13.15" customHeight="1" x14ac:dyDescent="0.15">
      <c r="B5" s="71"/>
      <c r="C5" s="71"/>
      <c r="D5" s="71"/>
      <c r="E5" s="71"/>
      <c r="F5" s="71"/>
      <c r="G5" s="71"/>
      <c r="H5" s="71"/>
      <c r="I5" s="71"/>
    </row>
    <row r="6" spans="1:9" ht="18" customHeight="1" x14ac:dyDescent="0.15">
      <c r="A6" s="72" t="s">
        <v>83</v>
      </c>
      <c r="B6" s="7" t="s">
        <v>84</v>
      </c>
      <c r="C6" s="211" t="s">
        <v>85</v>
      </c>
      <c r="D6" s="211"/>
      <c r="E6" s="23">
        <v>347</v>
      </c>
      <c r="F6" s="71" t="s">
        <v>62</v>
      </c>
      <c r="G6" s="71" t="s">
        <v>86</v>
      </c>
      <c r="H6" s="23">
        <v>888</v>
      </c>
      <c r="I6" s="7" t="s">
        <v>62</v>
      </c>
    </row>
    <row r="7" spans="1:9" ht="12" customHeight="1" x14ac:dyDescent="0.15">
      <c r="B7" s="72"/>
      <c r="C7" s="2"/>
      <c r="D7" s="2"/>
      <c r="E7" s="2"/>
      <c r="F7" s="2"/>
      <c r="G7" s="2"/>
      <c r="H7" s="2"/>
      <c r="I7" s="27"/>
    </row>
    <row r="8" spans="1:9" ht="18" customHeight="1" x14ac:dyDescent="0.15">
      <c r="A8" s="72" t="s">
        <v>87</v>
      </c>
      <c r="B8" s="7" t="s">
        <v>88</v>
      </c>
      <c r="C8" s="72"/>
      <c r="D8" s="72"/>
      <c r="E8" s="71"/>
      <c r="F8" s="71"/>
      <c r="G8" s="71"/>
      <c r="H8" s="23">
        <v>4</v>
      </c>
      <c r="I8" s="7" t="s">
        <v>62</v>
      </c>
    </row>
    <row r="9" spans="1:9" ht="9" customHeight="1" x14ac:dyDescent="0.15">
      <c r="B9" s="71"/>
      <c r="C9" s="71"/>
      <c r="D9" s="71"/>
      <c r="E9" s="71"/>
      <c r="F9" s="71"/>
      <c r="G9" s="71"/>
      <c r="H9" s="71"/>
      <c r="I9" s="71"/>
    </row>
    <row r="10" spans="1:9" ht="18" customHeight="1" x14ac:dyDescent="0.15">
      <c r="A10" s="72" t="s">
        <v>89</v>
      </c>
      <c r="B10" s="7" t="s">
        <v>90</v>
      </c>
      <c r="C10" s="71"/>
      <c r="D10" s="71"/>
      <c r="E10" s="71"/>
      <c r="F10" s="71"/>
      <c r="G10" s="71"/>
      <c r="H10" s="71"/>
      <c r="I10" s="71"/>
    </row>
    <row r="11" spans="1:9" ht="18" customHeight="1" x14ac:dyDescent="0.15">
      <c r="B11" s="24" t="s">
        <v>91</v>
      </c>
      <c r="C11" s="206" t="s">
        <v>156</v>
      </c>
      <c r="D11" s="209"/>
      <c r="E11" s="210"/>
      <c r="F11" s="27"/>
      <c r="G11" s="24" t="s">
        <v>92</v>
      </c>
      <c r="H11" s="206" t="s">
        <v>157</v>
      </c>
      <c r="I11" s="210"/>
    </row>
    <row r="12" spans="1:9" ht="10.15" customHeight="1" x14ac:dyDescent="0.15">
      <c r="B12" s="24"/>
      <c r="C12" s="7"/>
      <c r="D12" s="27"/>
      <c r="E12" s="27"/>
      <c r="F12" s="27"/>
      <c r="G12" s="24"/>
      <c r="H12" s="7"/>
      <c r="I12" s="27"/>
    </row>
    <row r="13" spans="1:9" ht="18" customHeight="1" x14ac:dyDescent="0.15">
      <c r="A13" s="72" t="s">
        <v>93</v>
      </c>
      <c r="B13" s="7" t="s">
        <v>94</v>
      </c>
      <c r="C13" s="71"/>
      <c r="D13" s="71"/>
      <c r="E13" s="71"/>
      <c r="F13" s="71"/>
      <c r="G13" s="71"/>
      <c r="H13" s="71"/>
      <c r="I13" s="71"/>
    </row>
    <row r="14" spans="1:9" ht="18" customHeight="1" x14ac:dyDescent="0.15">
      <c r="B14" s="206" t="s">
        <v>187</v>
      </c>
      <c r="C14" s="207"/>
      <c r="D14" s="207"/>
      <c r="E14" s="207"/>
      <c r="F14" s="207"/>
      <c r="G14" s="207"/>
      <c r="H14" s="207"/>
      <c r="I14" s="208"/>
    </row>
    <row r="15" spans="1:9" ht="9" customHeight="1" x14ac:dyDescent="0.15">
      <c r="B15" s="71"/>
      <c r="C15" s="71"/>
      <c r="D15" s="71"/>
      <c r="E15" s="71"/>
      <c r="F15" s="71"/>
      <c r="G15" s="71"/>
      <c r="H15" s="71"/>
      <c r="I15" s="71"/>
    </row>
    <row r="16" spans="1:9" ht="18" customHeight="1" x14ac:dyDescent="0.15">
      <c r="B16" s="24" t="s">
        <v>91</v>
      </c>
      <c r="C16" s="206" t="s">
        <v>156</v>
      </c>
      <c r="D16" s="209"/>
      <c r="E16" s="210"/>
      <c r="F16" s="27"/>
      <c r="G16" s="24" t="s">
        <v>92</v>
      </c>
      <c r="H16" s="206" t="s">
        <v>157</v>
      </c>
      <c r="I16" s="210"/>
    </row>
    <row r="17" spans="1:9" ht="18" customHeight="1" x14ac:dyDescent="0.15">
      <c r="B17" s="71"/>
      <c r="C17" s="71"/>
      <c r="D17" s="71"/>
      <c r="E17" s="71"/>
      <c r="F17" s="71"/>
      <c r="G17" s="71"/>
      <c r="H17" s="71"/>
      <c r="I17" s="71"/>
    </row>
    <row r="18" spans="1:9" ht="18.75" customHeight="1" x14ac:dyDescent="0.15">
      <c r="A18" s="72" t="s">
        <v>95</v>
      </c>
      <c r="B18" s="72" t="s">
        <v>96</v>
      </c>
      <c r="C18" s="72"/>
      <c r="D18" s="72"/>
      <c r="E18" s="72"/>
      <c r="F18" s="72"/>
      <c r="G18" s="72"/>
      <c r="H18" s="72"/>
      <c r="I18" s="71"/>
    </row>
    <row r="19" spans="1:9" ht="18.75" customHeight="1" x14ac:dyDescent="0.15">
      <c r="A19" s="72"/>
      <c r="B19" s="192" t="s">
        <v>188</v>
      </c>
      <c r="C19" s="193"/>
      <c r="D19" s="193"/>
      <c r="E19" s="193"/>
      <c r="F19" s="193"/>
      <c r="G19" s="193"/>
      <c r="H19" s="193"/>
      <c r="I19" s="194"/>
    </row>
    <row r="20" spans="1:9" ht="7.5" customHeight="1" x14ac:dyDescent="0.15">
      <c r="B20" s="71"/>
      <c r="C20" s="71"/>
      <c r="D20" s="71"/>
      <c r="E20" s="71"/>
      <c r="F20" s="71"/>
      <c r="G20" s="71"/>
      <c r="H20" s="71"/>
      <c r="I20" s="71"/>
    </row>
    <row r="21" spans="1:9" ht="18.75" customHeight="1" x14ac:dyDescent="0.15">
      <c r="A21" s="72" t="s">
        <v>97</v>
      </c>
      <c r="B21" s="72" t="s">
        <v>98</v>
      </c>
      <c r="C21" s="72"/>
      <c r="D21" s="72"/>
      <c r="E21" s="72"/>
      <c r="F21" s="72"/>
      <c r="G21" s="72"/>
      <c r="H21" s="72"/>
      <c r="I21" s="72"/>
    </row>
    <row r="22" spans="1:9" ht="18.75" customHeight="1" x14ac:dyDescent="0.15">
      <c r="A22" s="68"/>
      <c r="B22" s="195" t="s">
        <v>158</v>
      </c>
      <c r="C22" s="196"/>
      <c r="D22" s="196"/>
      <c r="E22" s="196"/>
      <c r="F22" s="196"/>
      <c r="G22" s="196"/>
      <c r="H22" s="196"/>
      <c r="I22" s="197"/>
    </row>
    <row r="23" spans="1:9" ht="18.75" customHeight="1" x14ac:dyDescent="0.15">
      <c r="A23" s="68"/>
      <c r="B23" s="198"/>
      <c r="C23" s="199"/>
      <c r="D23" s="199"/>
      <c r="E23" s="199"/>
      <c r="F23" s="199"/>
      <c r="G23" s="199"/>
      <c r="H23" s="199"/>
      <c r="I23" s="200"/>
    </row>
    <row r="24" spans="1:9" ht="18.75" customHeight="1" x14ac:dyDescent="0.15">
      <c r="A24" s="68"/>
      <c r="B24" s="198"/>
      <c r="C24" s="199"/>
      <c r="D24" s="199"/>
      <c r="E24" s="199"/>
      <c r="F24" s="199"/>
      <c r="G24" s="199"/>
      <c r="H24" s="199"/>
      <c r="I24" s="200"/>
    </row>
    <row r="25" spans="1:9" ht="18.75" customHeight="1" x14ac:dyDescent="0.15">
      <c r="A25" s="68"/>
      <c r="B25" s="198"/>
      <c r="C25" s="199"/>
      <c r="D25" s="199"/>
      <c r="E25" s="199"/>
      <c r="F25" s="199"/>
      <c r="G25" s="199"/>
      <c r="H25" s="199"/>
      <c r="I25" s="200"/>
    </row>
    <row r="26" spans="1:9" ht="18.75" customHeight="1" x14ac:dyDescent="0.15">
      <c r="A26" s="68"/>
      <c r="B26" s="198"/>
      <c r="C26" s="199"/>
      <c r="D26" s="199"/>
      <c r="E26" s="199"/>
      <c r="F26" s="199"/>
      <c r="G26" s="199"/>
      <c r="H26" s="199"/>
      <c r="I26" s="200"/>
    </row>
    <row r="27" spans="1:9" ht="18.75" customHeight="1" x14ac:dyDescent="0.15">
      <c r="A27" s="68"/>
      <c r="B27" s="198"/>
      <c r="C27" s="199"/>
      <c r="D27" s="199"/>
      <c r="E27" s="199"/>
      <c r="F27" s="199"/>
      <c r="G27" s="199"/>
      <c r="H27" s="199"/>
      <c r="I27" s="200"/>
    </row>
    <row r="28" spans="1:9" ht="18.75" customHeight="1" x14ac:dyDescent="0.15">
      <c r="A28" s="68"/>
      <c r="B28" s="198"/>
      <c r="C28" s="199"/>
      <c r="D28" s="199"/>
      <c r="E28" s="199"/>
      <c r="F28" s="199"/>
      <c r="G28" s="199"/>
      <c r="H28" s="199"/>
      <c r="I28" s="200"/>
    </row>
    <row r="29" spans="1:9" ht="18.75" customHeight="1" x14ac:dyDescent="0.15">
      <c r="A29" s="68"/>
      <c r="B29" s="198"/>
      <c r="C29" s="199"/>
      <c r="D29" s="199"/>
      <c r="E29" s="199"/>
      <c r="F29" s="199"/>
      <c r="G29" s="199"/>
      <c r="H29" s="199"/>
      <c r="I29" s="200"/>
    </row>
    <row r="30" spans="1:9" ht="18.75" customHeight="1" x14ac:dyDescent="0.15">
      <c r="A30" s="68"/>
      <c r="B30" s="201"/>
      <c r="C30" s="202"/>
      <c r="D30" s="202"/>
      <c r="E30" s="202"/>
      <c r="F30" s="202"/>
      <c r="G30" s="202"/>
      <c r="H30" s="202"/>
      <c r="I30" s="200"/>
    </row>
    <row r="31" spans="1:9" ht="18.75" customHeight="1" x14ac:dyDescent="0.15">
      <c r="A31" s="68"/>
      <c r="B31" s="201"/>
      <c r="C31" s="202"/>
      <c r="D31" s="202"/>
      <c r="E31" s="202"/>
      <c r="F31" s="202"/>
      <c r="G31" s="202"/>
      <c r="H31" s="202"/>
      <c r="I31" s="200"/>
    </row>
    <row r="32" spans="1:9" ht="18.75" customHeight="1" x14ac:dyDescent="0.15">
      <c r="A32" s="68"/>
      <c r="B32" s="203"/>
      <c r="C32" s="204"/>
      <c r="D32" s="204"/>
      <c r="E32" s="204"/>
      <c r="F32" s="204"/>
      <c r="G32" s="204"/>
      <c r="H32" s="204"/>
      <c r="I32" s="205"/>
    </row>
    <row r="33" spans="1:9" ht="7.5" customHeight="1" x14ac:dyDescent="0.15">
      <c r="A33" s="68"/>
      <c r="B33" s="68"/>
      <c r="C33" s="68"/>
      <c r="D33" s="68"/>
      <c r="E33" s="68"/>
      <c r="F33" s="68"/>
      <c r="G33" s="68"/>
      <c r="H33" s="68"/>
      <c r="I33" s="68"/>
    </row>
    <row r="34" spans="1:9" ht="18.75" customHeight="1" x14ac:dyDescent="0.15">
      <c r="A34" s="65" t="s">
        <v>99</v>
      </c>
      <c r="B34" s="65" t="s">
        <v>100</v>
      </c>
      <c r="C34" s="7"/>
      <c r="D34" s="65"/>
      <c r="E34" s="65"/>
      <c r="F34" s="65"/>
      <c r="G34" s="65"/>
      <c r="H34" s="65"/>
      <c r="I34" s="65"/>
    </row>
    <row r="35" spans="1:9" ht="18.75" customHeight="1" x14ac:dyDescent="0.15">
      <c r="A35" s="68"/>
      <c r="B35" s="195" t="s">
        <v>189</v>
      </c>
      <c r="C35" s="196"/>
      <c r="D35" s="196"/>
      <c r="E35" s="196"/>
      <c r="F35" s="196"/>
      <c r="G35" s="196"/>
      <c r="H35" s="196"/>
      <c r="I35" s="197"/>
    </row>
    <row r="36" spans="1:9" ht="18.75" customHeight="1" x14ac:dyDescent="0.15">
      <c r="A36" s="68"/>
      <c r="B36" s="201"/>
      <c r="C36" s="202"/>
      <c r="D36" s="202"/>
      <c r="E36" s="202"/>
      <c r="F36" s="202"/>
      <c r="G36" s="202"/>
      <c r="H36" s="202"/>
      <c r="I36" s="200"/>
    </row>
    <row r="37" spans="1:9" ht="18.75" customHeight="1" x14ac:dyDescent="0.15">
      <c r="A37" s="68"/>
      <c r="B37" s="201"/>
      <c r="C37" s="202"/>
      <c r="D37" s="202"/>
      <c r="E37" s="202"/>
      <c r="F37" s="202"/>
      <c r="G37" s="202"/>
      <c r="H37" s="202"/>
      <c r="I37" s="200"/>
    </row>
    <row r="38" spans="1:9" ht="18.75" customHeight="1" x14ac:dyDescent="0.15">
      <c r="A38" s="68"/>
      <c r="B38" s="201"/>
      <c r="C38" s="202"/>
      <c r="D38" s="202"/>
      <c r="E38" s="202"/>
      <c r="F38" s="202"/>
      <c r="G38" s="202"/>
      <c r="H38" s="202"/>
      <c r="I38" s="200"/>
    </row>
    <row r="39" spans="1:9" ht="18.75" customHeight="1" x14ac:dyDescent="0.15">
      <c r="A39" s="68"/>
      <c r="B39" s="201"/>
      <c r="C39" s="202"/>
      <c r="D39" s="202"/>
      <c r="E39" s="202"/>
      <c r="F39" s="202"/>
      <c r="G39" s="202"/>
      <c r="H39" s="202"/>
      <c r="I39" s="200"/>
    </row>
    <row r="40" spans="1:9" ht="18.75" customHeight="1" x14ac:dyDescent="0.15">
      <c r="A40" s="68"/>
      <c r="B40" s="201"/>
      <c r="C40" s="202"/>
      <c r="D40" s="202"/>
      <c r="E40" s="202"/>
      <c r="F40" s="202"/>
      <c r="G40" s="202"/>
      <c r="H40" s="202"/>
      <c r="I40" s="200"/>
    </row>
    <row r="41" spans="1:9" ht="18.75" customHeight="1" x14ac:dyDescent="0.15">
      <c r="A41" s="68"/>
      <c r="B41" s="201"/>
      <c r="C41" s="202"/>
      <c r="D41" s="202"/>
      <c r="E41" s="202"/>
      <c r="F41" s="202"/>
      <c r="G41" s="202"/>
      <c r="H41" s="202"/>
      <c r="I41" s="200"/>
    </row>
    <row r="42" spans="1:9" ht="18.75" customHeight="1" x14ac:dyDescent="0.15">
      <c r="A42" s="68"/>
      <c r="B42" s="201"/>
      <c r="C42" s="202"/>
      <c r="D42" s="202"/>
      <c r="E42" s="202"/>
      <c r="F42" s="202"/>
      <c r="G42" s="202"/>
      <c r="H42" s="202"/>
      <c r="I42" s="200"/>
    </row>
    <row r="43" spans="1:9" ht="18.75" customHeight="1" x14ac:dyDescent="0.15">
      <c r="A43" s="68"/>
      <c r="B43" s="201"/>
      <c r="C43" s="202"/>
      <c r="D43" s="202"/>
      <c r="E43" s="202"/>
      <c r="F43" s="202"/>
      <c r="G43" s="202"/>
      <c r="H43" s="202"/>
      <c r="I43" s="200"/>
    </row>
    <row r="44" spans="1:9" ht="18.75" customHeight="1" x14ac:dyDescent="0.15">
      <c r="A44" s="68"/>
      <c r="B44" s="201"/>
      <c r="C44" s="202"/>
      <c r="D44" s="202"/>
      <c r="E44" s="202"/>
      <c r="F44" s="202"/>
      <c r="G44" s="202"/>
      <c r="H44" s="202"/>
      <c r="I44" s="200"/>
    </row>
    <row r="45" spans="1:9" ht="18.75" customHeight="1" x14ac:dyDescent="0.15">
      <c r="A45" s="68"/>
      <c r="B45" s="201"/>
      <c r="C45" s="202"/>
      <c r="D45" s="202"/>
      <c r="E45" s="202"/>
      <c r="F45" s="202"/>
      <c r="G45" s="202"/>
      <c r="H45" s="202"/>
      <c r="I45" s="200"/>
    </row>
    <row r="46" spans="1:9" ht="18.75" customHeight="1" x14ac:dyDescent="0.15">
      <c r="A46" s="68"/>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72" t="s">
        <v>101</v>
      </c>
      <c r="B48" s="72" t="s">
        <v>102</v>
      </c>
      <c r="C48" s="72"/>
      <c r="D48" s="72"/>
      <c r="E48" s="72"/>
      <c r="F48" s="72"/>
      <c r="G48" s="72"/>
      <c r="H48" s="72"/>
      <c r="I48" s="72"/>
    </row>
    <row r="49" spans="1:15" s="3" customFormat="1" ht="18.75" customHeight="1" x14ac:dyDescent="0.15">
      <c r="A49" s="71"/>
      <c r="B49" s="28" t="s">
        <v>103</v>
      </c>
      <c r="C49" s="233">
        <f>'様式２ 履修者等数の実績'!S24</f>
        <v>7.3900504686373464E-2</v>
      </c>
      <c r="D49" s="233"/>
      <c r="E49" s="28" t="s">
        <v>104</v>
      </c>
      <c r="F49" s="233">
        <v>0.3</v>
      </c>
      <c r="G49" s="233"/>
      <c r="H49" s="28" t="s">
        <v>105</v>
      </c>
      <c r="I49" s="67">
        <v>0.45</v>
      </c>
      <c r="J49" s="72"/>
      <c r="K49" s="71"/>
      <c r="L49" s="71"/>
      <c r="M49" s="72"/>
      <c r="N49" s="29"/>
      <c r="O49" s="71"/>
    </row>
    <row r="50" spans="1:15" s="3" customFormat="1" ht="18.75" customHeight="1" x14ac:dyDescent="0.15">
      <c r="A50" s="71"/>
      <c r="B50" s="30" t="s">
        <v>106</v>
      </c>
      <c r="C50" s="216">
        <v>0.5</v>
      </c>
      <c r="D50" s="216"/>
      <c r="E50" s="30" t="s">
        <v>107</v>
      </c>
      <c r="F50" s="216">
        <v>0.55000000000000004</v>
      </c>
      <c r="G50" s="216"/>
      <c r="H50" s="30" t="s">
        <v>108</v>
      </c>
      <c r="I50" s="31">
        <f>'様式２ 履修者等数の実績'!E24</f>
        <v>11096</v>
      </c>
      <c r="J50" s="72"/>
      <c r="K50" s="71"/>
      <c r="L50" s="71"/>
      <c r="M50" s="72"/>
      <c r="N50" s="29"/>
      <c r="O50" s="71"/>
    </row>
    <row r="51" spans="1:15" ht="18.75" customHeight="1" x14ac:dyDescent="0.15">
      <c r="A51" s="72"/>
      <c r="B51" s="213" t="s">
        <v>109</v>
      </c>
      <c r="C51" s="214"/>
      <c r="D51" s="214"/>
      <c r="E51" s="214"/>
      <c r="F51" s="214"/>
      <c r="G51" s="214"/>
      <c r="H51" s="214"/>
      <c r="I51" s="215"/>
      <c r="J51" s="72"/>
      <c r="K51" s="72"/>
      <c r="L51" s="72"/>
      <c r="M51" s="72"/>
      <c r="N51" s="29"/>
      <c r="O51" s="71"/>
    </row>
    <row r="52" spans="1:15" ht="18.75" customHeight="1" x14ac:dyDescent="0.15">
      <c r="A52" s="72"/>
      <c r="B52" s="234" t="s">
        <v>159</v>
      </c>
      <c r="C52" s="235"/>
      <c r="D52" s="235"/>
      <c r="E52" s="235"/>
      <c r="F52" s="235"/>
      <c r="G52" s="235"/>
      <c r="H52" s="235"/>
      <c r="I52" s="236"/>
      <c r="J52" s="72"/>
      <c r="K52" s="72"/>
      <c r="L52" s="72"/>
      <c r="M52" s="72"/>
      <c r="N52" s="29"/>
      <c r="O52" s="71"/>
    </row>
    <row r="53" spans="1:15" ht="18.75" customHeight="1" x14ac:dyDescent="0.15">
      <c r="A53" s="72"/>
      <c r="B53" s="237"/>
      <c r="C53" s="238"/>
      <c r="D53" s="238"/>
      <c r="E53" s="238"/>
      <c r="F53" s="238"/>
      <c r="G53" s="238"/>
      <c r="H53" s="238"/>
      <c r="I53" s="239"/>
      <c r="J53" s="72"/>
      <c r="K53" s="72"/>
      <c r="L53" s="72"/>
      <c r="M53" s="72"/>
      <c r="N53" s="29"/>
      <c r="O53" s="71"/>
    </row>
    <row r="54" spans="1:15" ht="18.75" customHeight="1" x14ac:dyDescent="0.15">
      <c r="A54" s="72"/>
      <c r="B54" s="237"/>
      <c r="C54" s="238"/>
      <c r="D54" s="238"/>
      <c r="E54" s="238"/>
      <c r="F54" s="238"/>
      <c r="G54" s="238"/>
      <c r="H54" s="238"/>
      <c r="I54" s="239"/>
      <c r="J54" s="72"/>
      <c r="K54" s="72"/>
      <c r="L54" s="72"/>
      <c r="M54" s="72"/>
      <c r="N54" s="72"/>
      <c r="O54" s="72"/>
    </row>
    <row r="55" spans="1:15" ht="18.75" customHeight="1" x14ac:dyDescent="0.15">
      <c r="A55" s="72"/>
      <c r="B55" s="237"/>
      <c r="C55" s="238"/>
      <c r="D55" s="238"/>
      <c r="E55" s="238"/>
      <c r="F55" s="238"/>
      <c r="G55" s="238"/>
      <c r="H55" s="238"/>
      <c r="I55" s="239"/>
      <c r="J55" s="72"/>
      <c r="K55" s="72"/>
      <c r="L55" s="72"/>
      <c r="M55" s="72"/>
      <c r="N55" s="72"/>
      <c r="O55" s="72"/>
    </row>
    <row r="56" spans="1:15" ht="18.75" customHeight="1" x14ac:dyDescent="0.15">
      <c r="A56" s="72"/>
      <c r="B56" s="237"/>
      <c r="C56" s="238"/>
      <c r="D56" s="238"/>
      <c r="E56" s="238"/>
      <c r="F56" s="238"/>
      <c r="G56" s="238"/>
      <c r="H56" s="238"/>
      <c r="I56" s="239"/>
      <c r="J56" s="72"/>
      <c r="K56" s="72"/>
      <c r="L56" s="72"/>
      <c r="M56" s="72"/>
      <c r="N56" s="72"/>
      <c r="O56" s="72"/>
    </row>
    <row r="57" spans="1:15" ht="18.75" customHeight="1" x14ac:dyDescent="0.15">
      <c r="A57" s="72"/>
      <c r="B57" s="237"/>
      <c r="C57" s="238"/>
      <c r="D57" s="238"/>
      <c r="E57" s="238"/>
      <c r="F57" s="238"/>
      <c r="G57" s="238"/>
      <c r="H57" s="238"/>
      <c r="I57" s="239"/>
      <c r="J57" s="72"/>
      <c r="K57" s="72"/>
      <c r="L57" s="72"/>
      <c r="M57" s="72"/>
      <c r="N57" s="72"/>
      <c r="O57" s="72"/>
    </row>
    <row r="58" spans="1:15" ht="18.75" customHeight="1" x14ac:dyDescent="0.15">
      <c r="A58" s="72"/>
      <c r="B58" s="237"/>
      <c r="C58" s="238"/>
      <c r="D58" s="238"/>
      <c r="E58" s="238"/>
      <c r="F58" s="238"/>
      <c r="G58" s="238"/>
      <c r="H58" s="238"/>
      <c r="I58" s="239"/>
      <c r="J58" s="72"/>
      <c r="K58" s="72"/>
      <c r="L58" s="72"/>
      <c r="M58" s="72"/>
      <c r="N58" s="72"/>
      <c r="O58" s="72"/>
    </row>
    <row r="59" spans="1:15" ht="18.75" customHeight="1" x14ac:dyDescent="0.15">
      <c r="A59" s="72"/>
      <c r="B59" s="237"/>
      <c r="C59" s="238"/>
      <c r="D59" s="238"/>
      <c r="E59" s="238"/>
      <c r="F59" s="238"/>
      <c r="G59" s="238"/>
      <c r="H59" s="238"/>
      <c r="I59" s="239"/>
      <c r="J59" s="72"/>
      <c r="K59" s="72"/>
      <c r="L59" s="72"/>
      <c r="M59" s="72"/>
      <c r="N59" s="72"/>
      <c r="O59" s="72"/>
    </row>
    <row r="60" spans="1:15" ht="18.75" customHeight="1" x14ac:dyDescent="0.15">
      <c r="A60" s="72"/>
      <c r="B60" s="237"/>
      <c r="C60" s="238"/>
      <c r="D60" s="238"/>
      <c r="E60" s="238"/>
      <c r="F60" s="238"/>
      <c r="G60" s="238"/>
      <c r="H60" s="238"/>
      <c r="I60" s="239"/>
      <c r="J60" s="72"/>
      <c r="K60" s="72"/>
      <c r="L60" s="72"/>
      <c r="M60" s="72"/>
      <c r="N60" s="72"/>
      <c r="O60" s="72"/>
    </row>
    <row r="61" spans="1:15" ht="18.75" customHeight="1" x14ac:dyDescent="0.15">
      <c r="A61" s="72"/>
      <c r="B61" s="237"/>
      <c r="C61" s="238"/>
      <c r="D61" s="238"/>
      <c r="E61" s="238"/>
      <c r="F61" s="238"/>
      <c r="G61" s="238"/>
      <c r="H61" s="238"/>
      <c r="I61" s="239"/>
      <c r="J61" s="72"/>
      <c r="K61" s="72"/>
      <c r="L61" s="72"/>
      <c r="M61" s="72"/>
      <c r="N61" s="72"/>
      <c r="O61" s="72"/>
    </row>
    <row r="62" spans="1:15" ht="18.75" customHeight="1" x14ac:dyDescent="0.15">
      <c r="A62" s="72"/>
      <c r="B62" s="237"/>
      <c r="C62" s="238"/>
      <c r="D62" s="238"/>
      <c r="E62" s="238"/>
      <c r="F62" s="238"/>
      <c r="G62" s="238"/>
      <c r="H62" s="238"/>
      <c r="I62" s="239"/>
      <c r="J62" s="72"/>
      <c r="K62" s="72"/>
      <c r="L62" s="72"/>
      <c r="M62" s="72"/>
      <c r="N62" s="72"/>
      <c r="O62" s="72"/>
    </row>
    <row r="63" spans="1:15" ht="18.75" customHeight="1" x14ac:dyDescent="0.15">
      <c r="A63" s="72"/>
      <c r="B63" s="240"/>
      <c r="C63" s="241"/>
      <c r="D63" s="241"/>
      <c r="E63" s="241"/>
      <c r="F63" s="241"/>
      <c r="G63" s="241"/>
      <c r="H63" s="241"/>
      <c r="I63" s="242"/>
      <c r="J63" s="72"/>
      <c r="K63" s="72"/>
      <c r="L63" s="72"/>
      <c r="M63" s="72"/>
      <c r="N63" s="72"/>
      <c r="O63" s="72"/>
    </row>
    <row r="64" spans="1:15" ht="7.5" customHeight="1" x14ac:dyDescent="0.15">
      <c r="A64" s="68"/>
      <c r="B64" s="68"/>
      <c r="C64" s="68"/>
      <c r="D64" s="68"/>
      <c r="E64" s="68"/>
      <c r="F64" s="68"/>
      <c r="G64" s="68"/>
      <c r="H64" s="68"/>
      <c r="I64" s="68"/>
      <c r="J64" s="72"/>
      <c r="K64" s="72"/>
      <c r="L64" s="72"/>
      <c r="M64" s="72"/>
      <c r="N64" s="72"/>
      <c r="O64" s="72"/>
    </row>
    <row r="65" spans="1:9" ht="18.75" customHeight="1" x14ac:dyDescent="0.15">
      <c r="A65" s="65" t="s">
        <v>110</v>
      </c>
      <c r="B65" s="72" t="s">
        <v>111</v>
      </c>
      <c r="C65" s="72"/>
      <c r="D65" s="72"/>
      <c r="E65" s="72"/>
      <c r="F65" s="72"/>
      <c r="G65" s="72"/>
      <c r="H65" s="72"/>
      <c r="I65" s="65"/>
    </row>
    <row r="66" spans="1:9" ht="18.75" customHeight="1" x14ac:dyDescent="0.15">
      <c r="A66" s="4"/>
      <c r="B66" s="217" t="s">
        <v>174</v>
      </c>
      <c r="C66" s="218"/>
      <c r="D66" s="218"/>
      <c r="E66" s="218"/>
      <c r="F66" s="218"/>
      <c r="G66" s="218"/>
      <c r="H66" s="218"/>
      <c r="I66" s="219"/>
    </row>
    <row r="67" spans="1:9" ht="18.75" customHeight="1" x14ac:dyDescent="0.15">
      <c r="A67" s="4"/>
      <c r="B67" s="220"/>
      <c r="C67" s="221"/>
      <c r="D67" s="221"/>
      <c r="E67" s="221"/>
      <c r="F67" s="221"/>
      <c r="G67" s="221"/>
      <c r="H67" s="221"/>
      <c r="I67" s="222"/>
    </row>
    <row r="68" spans="1:9" ht="18.75" customHeight="1" x14ac:dyDescent="0.15">
      <c r="A68" s="4"/>
      <c r="B68" s="220"/>
      <c r="C68" s="221"/>
      <c r="D68" s="221"/>
      <c r="E68" s="221"/>
      <c r="F68" s="221"/>
      <c r="G68" s="221"/>
      <c r="H68" s="221"/>
      <c r="I68" s="222"/>
    </row>
    <row r="69" spans="1:9" ht="18.75" customHeight="1" x14ac:dyDescent="0.15">
      <c r="A69" s="4"/>
      <c r="B69" s="220"/>
      <c r="C69" s="221"/>
      <c r="D69" s="221"/>
      <c r="E69" s="221"/>
      <c r="F69" s="221"/>
      <c r="G69" s="221"/>
      <c r="H69" s="221"/>
      <c r="I69" s="222"/>
    </row>
    <row r="70" spans="1:9" ht="18.75" customHeight="1" x14ac:dyDescent="0.15">
      <c r="A70" s="4"/>
      <c r="B70" s="220"/>
      <c r="C70" s="221"/>
      <c r="D70" s="221"/>
      <c r="E70" s="221"/>
      <c r="F70" s="221"/>
      <c r="G70" s="221"/>
      <c r="H70" s="221"/>
      <c r="I70" s="222"/>
    </row>
    <row r="71" spans="1:9" ht="18.75" customHeight="1" x14ac:dyDescent="0.15">
      <c r="A71" s="4"/>
      <c r="B71" s="220"/>
      <c r="C71" s="221"/>
      <c r="D71" s="221"/>
      <c r="E71" s="221"/>
      <c r="F71" s="221"/>
      <c r="G71" s="221"/>
      <c r="H71" s="221"/>
      <c r="I71" s="222"/>
    </row>
    <row r="72" spans="1:9" ht="18.75" customHeight="1" x14ac:dyDescent="0.15">
      <c r="A72" s="4"/>
      <c r="B72" s="220"/>
      <c r="C72" s="221"/>
      <c r="D72" s="221"/>
      <c r="E72" s="221"/>
      <c r="F72" s="221"/>
      <c r="G72" s="221"/>
      <c r="H72" s="221"/>
      <c r="I72" s="222"/>
    </row>
    <row r="73" spans="1:9" ht="18.75" customHeight="1" x14ac:dyDescent="0.15">
      <c r="A73" s="4"/>
      <c r="B73" s="220"/>
      <c r="C73" s="221"/>
      <c r="D73" s="221"/>
      <c r="E73" s="221"/>
      <c r="F73" s="221"/>
      <c r="G73" s="221"/>
      <c r="H73" s="221"/>
      <c r="I73" s="222"/>
    </row>
    <row r="74" spans="1:9" ht="18.75" customHeight="1" x14ac:dyDescent="0.15">
      <c r="A74" s="4"/>
      <c r="B74" s="220"/>
      <c r="C74" s="221"/>
      <c r="D74" s="221"/>
      <c r="E74" s="221"/>
      <c r="F74" s="221"/>
      <c r="G74" s="221"/>
      <c r="H74" s="221"/>
      <c r="I74" s="222"/>
    </row>
    <row r="75" spans="1:9" ht="18.75" customHeight="1" x14ac:dyDescent="0.15">
      <c r="A75" s="4"/>
      <c r="B75" s="220"/>
      <c r="C75" s="221"/>
      <c r="D75" s="221"/>
      <c r="E75" s="221"/>
      <c r="F75" s="221"/>
      <c r="G75" s="221"/>
      <c r="H75" s="221"/>
      <c r="I75" s="222"/>
    </row>
    <row r="76" spans="1:9" ht="18.75" customHeight="1" x14ac:dyDescent="0.15">
      <c r="A76" s="4"/>
      <c r="B76" s="220"/>
      <c r="C76" s="221"/>
      <c r="D76" s="221"/>
      <c r="E76" s="221"/>
      <c r="F76" s="221"/>
      <c r="G76" s="221"/>
      <c r="H76" s="221"/>
      <c r="I76" s="222"/>
    </row>
    <row r="77" spans="1:9" ht="18.75" customHeight="1" x14ac:dyDescent="0.15">
      <c r="A77" s="4"/>
      <c r="B77" s="223"/>
      <c r="C77" s="224"/>
      <c r="D77" s="224"/>
      <c r="E77" s="224"/>
      <c r="F77" s="224"/>
      <c r="G77" s="224"/>
      <c r="H77" s="224"/>
      <c r="I77" s="225"/>
    </row>
    <row r="78" spans="1:9" ht="7.5" customHeight="1" x14ac:dyDescent="0.15">
      <c r="A78" s="4"/>
      <c r="B78" s="4"/>
      <c r="C78" s="4"/>
      <c r="D78" s="4"/>
      <c r="E78" s="4"/>
      <c r="F78" s="4"/>
      <c r="G78" s="4"/>
      <c r="H78" s="4"/>
      <c r="I78" s="4"/>
    </row>
    <row r="79" spans="1:9" ht="18.75" customHeight="1" x14ac:dyDescent="0.15">
      <c r="A79" s="72" t="s">
        <v>112</v>
      </c>
      <c r="B79" s="72" t="s">
        <v>113</v>
      </c>
      <c r="C79" s="72"/>
      <c r="D79" s="72"/>
      <c r="E79" s="72"/>
      <c r="F79" s="72"/>
      <c r="G79" s="72"/>
      <c r="H79" s="72"/>
      <c r="I79" s="72"/>
    </row>
    <row r="80" spans="1:9" ht="18.75" customHeight="1" x14ac:dyDescent="0.15">
      <c r="A80" s="72"/>
      <c r="B80" s="217" t="s">
        <v>173</v>
      </c>
      <c r="C80" s="218"/>
      <c r="D80" s="218"/>
      <c r="E80" s="218"/>
      <c r="F80" s="218"/>
      <c r="G80" s="218"/>
      <c r="H80" s="218"/>
      <c r="I80" s="226"/>
    </row>
    <row r="81" spans="1:9" ht="18.75" customHeight="1" x14ac:dyDescent="0.15">
      <c r="A81" s="72"/>
      <c r="B81" s="227"/>
      <c r="C81" s="228"/>
      <c r="D81" s="228"/>
      <c r="E81" s="228"/>
      <c r="F81" s="228"/>
      <c r="G81" s="228"/>
      <c r="H81" s="228"/>
      <c r="I81" s="229"/>
    </row>
    <row r="82" spans="1:9" ht="18.75" customHeight="1" x14ac:dyDescent="0.15">
      <c r="A82" s="72"/>
      <c r="B82" s="227"/>
      <c r="C82" s="228"/>
      <c r="D82" s="228"/>
      <c r="E82" s="228"/>
      <c r="F82" s="228"/>
      <c r="G82" s="228"/>
      <c r="H82" s="228"/>
      <c r="I82" s="229"/>
    </row>
    <row r="83" spans="1:9" ht="18.75" customHeight="1" x14ac:dyDescent="0.15">
      <c r="A83" s="72"/>
      <c r="B83" s="227"/>
      <c r="C83" s="228"/>
      <c r="D83" s="228"/>
      <c r="E83" s="228"/>
      <c r="F83" s="228"/>
      <c r="G83" s="228"/>
      <c r="H83" s="228"/>
      <c r="I83" s="229"/>
    </row>
    <row r="84" spans="1:9" ht="18.75" customHeight="1" x14ac:dyDescent="0.15">
      <c r="A84" s="72"/>
      <c r="B84" s="227"/>
      <c r="C84" s="228"/>
      <c r="D84" s="228"/>
      <c r="E84" s="228"/>
      <c r="F84" s="228"/>
      <c r="G84" s="228"/>
      <c r="H84" s="228"/>
      <c r="I84" s="229"/>
    </row>
    <row r="85" spans="1:9" ht="18.75" customHeight="1" x14ac:dyDescent="0.15">
      <c r="A85" s="72"/>
      <c r="B85" s="227"/>
      <c r="C85" s="228"/>
      <c r="D85" s="228"/>
      <c r="E85" s="228"/>
      <c r="F85" s="228"/>
      <c r="G85" s="228"/>
      <c r="H85" s="228"/>
      <c r="I85" s="229"/>
    </row>
    <row r="86" spans="1:9" ht="18.75" customHeight="1" x14ac:dyDescent="0.15">
      <c r="A86" s="72"/>
      <c r="B86" s="227"/>
      <c r="C86" s="228"/>
      <c r="D86" s="228"/>
      <c r="E86" s="228"/>
      <c r="F86" s="228"/>
      <c r="G86" s="228"/>
      <c r="H86" s="228"/>
      <c r="I86" s="229"/>
    </row>
    <row r="87" spans="1:9" ht="18.75" customHeight="1" x14ac:dyDescent="0.15">
      <c r="A87" s="72"/>
      <c r="B87" s="227"/>
      <c r="C87" s="228"/>
      <c r="D87" s="228"/>
      <c r="E87" s="228"/>
      <c r="F87" s="228"/>
      <c r="G87" s="228"/>
      <c r="H87" s="228"/>
      <c r="I87" s="229"/>
    </row>
    <row r="88" spans="1:9" ht="18.75" customHeight="1" x14ac:dyDescent="0.15">
      <c r="A88" s="72"/>
      <c r="B88" s="227"/>
      <c r="C88" s="228"/>
      <c r="D88" s="228"/>
      <c r="E88" s="228"/>
      <c r="F88" s="228"/>
      <c r="G88" s="228"/>
      <c r="H88" s="228"/>
      <c r="I88" s="229"/>
    </row>
    <row r="89" spans="1:9" ht="18.75" customHeight="1" x14ac:dyDescent="0.15">
      <c r="A89" s="72"/>
      <c r="B89" s="227"/>
      <c r="C89" s="228"/>
      <c r="D89" s="228"/>
      <c r="E89" s="228"/>
      <c r="F89" s="228"/>
      <c r="G89" s="228"/>
      <c r="H89" s="228"/>
      <c r="I89" s="229"/>
    </row>
    <row r="90" spans="1:9" ht="18.75" customHeight="1" x14ac:dyDescent="0.15">
      <c r="A90" s="4"/>
      <c r="B90" s="227"/>
      <c r="C90" s="228"/>
      <c r="D90" s="228"/>
      <c r="E90" s="228"/>
      <c r="F90" s="228"/>
      <c r="G90" s="228"/>
      <c r="H90" s="228"/>
      <c r="I90" s="229"/>
    </row>
    <row r="91" spans="1:9" ht="18.75" customHeight="1" x14ac:dyDescent="0.15">
      <c r="A91" s="4"/>
      <c r="B91" s="230"/>
      <c r="C91" s="231"/>
      <c r="D91" s="231"/>
      <c r="E91" s="231"/>
      <c r="F91" s="231"/>
      <c r="G91" s="231"/>
      <c r="H91" s="231"/>
      <c r="I91" s="232"/>
    </row>
    <row r="92" spans="1:9" ht="7.5" customHeight="1" x14ac:dyDescent="0.15">
      <c r="A92" s="4"/>
      <c r="B92" s="4"/>
      <c r="C92" s="4"/>
      <c r="D92" s="4"/>
      <c r="E92" s="4"/>
      <c r="F92" s="4"/>
      <c r="G92" s="4"/>
      <c r="H92" s="4"/>
      <c r="I92" s="4"/>
    </row>
    <row r="93" spans="1:9" ht="18.75" customHeight="1" x14ac:dyDescent="0.15">
      <c r="A93" s="72" t="s">
        <v>114</v>
      </c>
      <c r="B93" s="72" t="s">
        <v>115</v>
      </c>
      <c r="C93" s="72"/>
      <c r="D93" s="72"/>
      <c r="E93" s="72"/>
      <c r="F93" s="72"/>
      <c r="G93" s="72"/>
      <c r="H93" s="72"/>
      <c r="I93" s="72"/>
    </row>
    <row r="94" spans="1:9" ht="18.75" customHeight="1" x14ac:dyDescent="0.15">
      <c r="A94" s="72"/>
      <c r="B94" s="195" t="s">
        <v>160</v>
      </c>
      <c r="C94" s="196"/>
      <c r="D94" s="196"/>
      <c r="E94" s="196"/>
      <c r="F94" s="196"/>
      <c r="G94" s="196"/>
      <c r="H94" s="196"/>
      <c r="I94" s="197"/>
    </row>
    <row r="95" spans="1:9" ht="18.75" customHeight="1" x14ac:dyDescent="0.15">
      <c r="A95" s="72"/>
      <c r="B95" s="201"/>
      <c r="C95" s="202"/>
      <c r="D95" s="202"/>
      <c r="E95" s="202"/>
      <c r="F95" s="202"/>
      <c r="G95" s="202"/>
      <c r="H95" s="202"/>
      <c r="I95" s="200"/>
    </row>
    <row r="96" spans="1:9" ht="18.75" customHeight="1" x14ac:dyDescent="0.15">
      <c r="A96" s="72"/>
      <c r="B96" s="201"/>
      <c r="C96" s="202"/>
      <c r="D96" s="202"/>
      <c r="E96" s="202"/>
      <c r="F96" s="202"/>
      <c r="G96" s="202"/>
      <c r="H96" s="202"/>
      <c r="I96" s="200"/>
    </row>
    <row r="97" spans="1:9" ht="18.75" customHeight="1" x14ac:dyDescent="0.15">
      <c r="A97" s="72"/>
      <c r="B97" s="201"/>
      <c r="C97" s="202"/>
      <c r="D97" s="202"/>
      <c r="E97" s="202"/>
      <c r="F97" s="202"/>
      <c r="G97" s="202"/>
      <c r="H97" s="202"/>
      <c r="I97" s="200"/>
    </row>
    <row r="98" spans="1:9" ht="18.75" customHeight="1" x14ac:dyDescent="0.15">
      <c r="A98" s="72"/>
      <c r="B98" s="201"/>
      <c r="C98" s="202"/>
      <c r="D98" s="202"/>
      <c r="E98" s="202"/>
      <c r="F98" s="202"/>
      <c r="G98" s="202"/>
      <c r="H98" s="202"/>
      <c r="I98" s="200"/>
    </row>
    <row r="99" spans="1:9" ht="18.75" customHeight="1" x14ac:dyDescent="0.15">
      <c r="A99" s="72"/>
      <c r="B99" s="201"/>
      <c r="C99" s="202"/>
      <c r="D99" s="202"/>
      <c r="E99" s="202"/>
      <c r="F99" s="202"/>
      <c r="G99" s="202"/>
      <c r="H99" s="202"/>
      <c r="I99" s="200"/>
    </row>
    <row r="100" spans="1:9" ht="18.75" customHeight="1" x14ac:dyDescent="0.15">
      <c r="A100" s="72"/>
      <c r="B100" s="201"/>
      <c r="C100" s="202"/>
      <c r="D100" s="202"/>
      <c r="E100" s="202"/>
      <c r="F100" s="202"/>
      <c r="G100" s="202"/>
      <c r="H100" s="202"/>
      <c r="I100" s="200"/>
    </row>
    <row r="101" spans="1:9" ht="18.75" customHeight="1" x14ac:dyDescent="0.15">
      <c r="A101" s="72"/>
      <c r="B101" s="201"/>
      <c r="C101" s="202"/>
      <c r="D101" s="202"/>
      <c r="E101" s="202"/>
      <c r="F101" s="202"/>
      <c r="G101" s="202"/>
      <c r="H101" s="202"/>
      <c r="I101" s="200"/>
    </row>
    <row r="102" spans="1:9" ht="18.75" customHeight="1" x14ac:dyDescent="0.15">
      <c r="A102" s="72"/>
      <c r="B102" s="201"/>
      <c r="C102" s="202"/>
      <c r="D102" s="202"/>
      <c r="E102" s="202"/>
      <c r="F102" s="202"/>
      <c r="G102" s="202"/>
      <c r="H102" s="202"/>
      <c r="I102" s="200"/>
    </row>
    <row r="103" spans="1:9" ht="18.75" customHeight="1" x14ac:dyDescent="0.15">
      <c r="A103" s="72"/>
      <c r="B103" s="201"/>
      <c r="C103" s="202"/>
      <c r="D103" s="202"/>
      <c r="E103" s="202"/>
      <c r="F103" s="202"/>
      <c r="G103" s="202"/>
      <c r="H103" s="202"/>
      <c r="I103" s="200"/>
    </row>
    <row r="104" spans="1:9" ht="18.75" customHeight="1" x14ac:dyDescent="0.15">
      <c r="A104" s="72"/>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72" t="s">
        <v>116</v>
      </c>
      <c r="B107" s="212" t="s">
        <v>117</v>
      </c>
      <c r="C107" s="212"/>
      <c r="D107" s="212"/>
      <c r="E107" s="212"/>
      <c r="F107" s="212"/>
      <c r="G107" s="212"/>
      <c r="H107" s="212"/>
      <c r="I107" s="212"/>
    </row>
    <row r="108" spans="1:9" ht="18.75" customHeight="1" x14ac:dyDescent="0.15">
      <c r="A108" s="4"/>
      <c r="B108" s="195" t="s">
        <v>161</v>
      </c>
      <c r="C108" s="196"/>
      <c r="D108" s="196"/>
      <c r="E108" s="196"/>
      <c r="F108" s="196"/>
      <c r="G108" s="196"/>
      <c r="H108" s="196"/>
      <c r="I108" s="197"/>
    </row>
    <row r="109" spans="1:9" ht="18.75" customHeight="1" x14ac:dyDescent="0.15">
      <c r="A109" s="4"/>
      <c r="B109" s="201"/>
      <c r="C109" s="202"/>
      <c r="D109" s="202"/>
      <c r="E109" s="202"/>
      <c r="F109" s="202"/>
      <c r="G109" s="202"/>
      <c r="H109" s="202"/>
      <c r="I109" s="200"/>
    </row>
    <row r="110" spans="1:9" ht="18.75" customHeight="1" x14ac:dyDescent="0.15">
      <c r="A110" s="4"/>
      <c r="B110" s="201"/>
      <c r="C110" s="202"/>
      <c r="D110" s="202"/>
      <c r="E110" s="202"/>
      <c r="F110" s="202"/>
      <c r="G110" s="202"/>
      <c r="H110" s="202"/>
      <c r="I110" s="200"/>
    </row>
    <row r="111" spans="1:9" ht="18.75" customHeight="1" x14ac:dyDescent="0.15">
      <c r="A111" s="4"/>
      <c r="B111" s="201"/>
      <c r="C111" s="202"/>
      <c r="D111" s="202"/>
      <c r="E111" s="202"/>
      <c r="F111" s="202"/>
      <c r="G111" s="202"/>
      <c r="H111" s="202"/>
      <c r="I111" s="200"/>
    </row>
    <row r="112" spans="1:9" ht="18.75" customHeight="1" x14ac:dyDescent="0.15">
      <c r="A112" s="4"/>
      <c r="B112" s="201"/>
      <c r="C112" s="202"/>
      <c r="D112" s="202"/>
      <c r="E112" s="202"/>
      <c r="F112" s="202"/>
      <c r="G112" s="202"/>
      <c r="H112" s="202"/>
      <c r="I112" s="200"/>
    </row>
    <row r="113" spans="1:9" ht="18.75" customHeight="1" x14ac:dyDescent="0.15">
      <c r="A113" s="4"/>
      <c r="B113" s="201"/>
      <c r="C113" s="202"/>
      <c r="D113" s="202"/>
      <c r="E113" s="202"/>
      <c r="F113" s="202"/>
      <c r="G113" s="202"/>
      <c r="H113" s="202"/>
      <c r="I113" s="200"/>
    </row>
    <row r="114" spans="1:9" ht="18.75" customHeight="1" x14ac:dyDescent="0.15">
      <c r="A114" s="4"/>
      <c r="B114" s="201"/>
      <c r="C114" s="202"/>
      <c r="D114" s="202"/>
      <c r="E114" s="202"/>
      <c r="F114" s="202"/>
      <c r="G114" s="202"/>
      <c r="H114" s="202"/>
      <c r="I114" s="200"/>
    </row>
    <row r="115" spans="1:9" ht="18.75" customHeight="1" x14ac:dyDescent="0.15">
      <c r="A115" s="4"/>
      <c r="B115" s="201"/>
      <c r="C115" s="202"/>
      <c r="D115" s="202"/>
      <c r="E115" s="202"/>
      <c r="F115" s="202"/>
      <c r="G115" s="202"/>
      <c r="H115" s="202"/>
      <c r="I115" s="200"/>
    </row>
    <row r="116" spans="1:9" ht="18.75" customHeight="1" x14ac:dyDescent="0.15">
      <c r="A116" s="4"/>
      <c r="B116" s="201"/>
      <c r="C116" s="202"/>
      <c r="D116" s="202"/>
      <c r="E116" s="202"/>
      <c r="F116" s="202"/>
      <c r="G116" s="202"/>
      <c r="H116" s="202"/>
      <c r="I116" s="200"/>
    </row>
    <row r="117" spans="1:9" ht="18.75" customHeight="1" x14ac:dyDescent="0.15">
      <c r="A117" s="4"/>
      <c r="B117" s="201"/>
      <c r="C117" s="202"/>
      <c r="D117" s="202"/>
      <c r="E117" s="202"/>
      <c r="F117" s="202"/>
      <c r="G117" s="202"/>
      <c r="H117" s="202"/>
      <c r="I117" s="200"/>
    </row>
    <row r="118" spans="1:9" ht="18.75" customHeight="1" x14ac:dyDescent="0.15">
      <c r="A118" s="4"/>
      <c r="B118" s="201"/>
      <c r="C118" s="202"/>
      <c r="D118" s="202"/>
      <c r="E118" s="202"/>
      <c r="F118" s="202"/>
      <c r="G118" s="202"/>
      <c r="H118" s="202"/>
      <c r="I118" s="200"/>
    </row>
    <row r="119" spans="1:9" ht="18.75" customHeight="1" x14ac:dyDescent="0.15">
      <c r="A119" s="4"/>
      <c r="B119" s="203"/>
      <c r="C119" s="204"/>
      <c r="D119" s="204"/>
      <c r="E119" s="204"/>
      <c r="F119" s="204"/>
      <c r="G119" s="204"/>
      <c r="H119" s="204"/>
      <c r="I119" s="205"/>
    </row>
    <row r="120" spans="1:9" ht="7.5" customHeight="1" x14ac:dyDescent="0.15">
      <c r="A120" s="4"/>
      <c r="B120" s="32"/>
      <c r="C120" s="32"/>
      <c r="D120" s="32"/>
      <c r="E120" s="32"/>
      <c r="F120" s="32"/>
      <c r="G120" s="32"/>
      <c r="H120" s="32"/>
      <c r="I120" s="32"/>
    </row>
    <row r="121" spans="1:9" ht="18.75" customHeight="1" x14ac:dyDescent="0.15">
      <c r="A121" s="61"/>
      <c r="B121" s="190"/>
      <c r="C121" s="190"/>
      <c r="D121" s="190"/>
      <c r="E121" s="190"/>
      <c r="F121" s="190"/>
      <c r="G121" s="190"/>
      <c r="H121" s="190"/>
      <c r="I121" s="190"/>
    </row>
    <row r="122" spans="1:9" ht="18.75" customHeight="1" x14ac:dyDescent="0.15">
      <c r="A122" s="61"/>
      <c r="B122" s="190"/>
      <c r="C122" s="190"/>
      <c r="D122" s="190"/>
      <c r="E122" s="190"/>
      <c r="F122" s="190"/>
      <c r="G122" s="190"/>
      <c r="H122" s="190"/>
      <c r="I122" s="190"/>
    </row>
    <row r="123" spans="1:9" ht="18.75" customHeight="1" x14ac:dyDescent="0.15">
      <c r="A123" s="4"/>
      <c r="B123" s="69"/>
      <c r="C123" s="69"/>
      <c r="D123" s="69"/>
      <c r="E123" s="69"/>
      <c r="F123" s="69"/>
      <c r="G123" s="69"/>
      <c r="H123" s="69"/>
      <c r="I123" s="70"/>
    </row>
    <row r="124" spans="1:9" ht="18.75" customHeight="1" x14ac:dyDescent="0.15">
      <c r="A124" s="4"/>
      <c r="B124" s="70"/>
      <c r="C124" s="70"/>
      <c r="D124" s="70"/>
      <c r="E124" s="70"/>
      <c r="F124" s="70"/>
      <c r="G124" s="70"/>
      <c r="H124" s="70"/>
      <c r="I124" s="70"/>
    </row>
    <row r="125" spans="1:9" ht="18.75" customHeight="1" x14ac:dyDescent="0.15">
      <c r="A125" s="4"/>
      <c r="B125" s="70"/>
      <c r="C125" s="70"/>
      <c r="D125" s="70"/>
      <c r="E125" s="70"/>
      <c r="F125" s="70"/>
      <c r="G125" s="70"/>
      <c r="H125" s="70"/>
      <c r="I125" s="70"/>
    </row>
    <row r="126" spans="1:9" ht="18.75" customHeight="1" x14ac:dyDescent="0.15">
      <c r="A126" s="4"/>
      <c r="B126" s="70"/>
      <c r="C126" s="70"/>
      <c r="D126" s="70"/>
      <c r="E126" s="70"/>
      <c r="F126" s="70"/>
      <c r="G126" s="70"/>
      <c r="H126" s="70"/>
      <c r="I126" s="70"/>
    </row>
    <row r="127" spans="1:9" ht="18.75" customHeight="1" x14ac:dyDescent="0.15">
      <c r="A127" s="4"/>
      <c r="B127" s="70"/>
      <c r="C127" s="70"/>
      <c r="D127" s="70"/>
      <c r="E127" s="70"/>
      <c r="F127" s="70"/>
      <c r="G127" s="70"/>
      <c r="H127" s="70"/>
      <c r="I127" s="70"/>
    </row>
    <row r="128" spans="1:9" ht="18.75" customHeight="1" x14ac:dyDescent="0.15">
      <c r="A128" s="4"/>
      <c r="B128" s="70"/>
      <c r="C128" s="70"/>
      <c r="D128" s="70"/>
      <c r="E128" s="70"/>
      <c r="F128" s="70"/>
      <c r="G128" s="70"/>
      <c r="H128" s="70"/>
      <c r="I128" s="70"/>
    </row>
    <row r="129" spans="1:9" ht="18.75" customHeight="1" x14ac:dyDescent="0.15">
      <c r="A129" s="4"/>
      <c r="B129" s="70"/>
      <c r="C129" s="70"/>
      <c r="D129" s="70"/>
      <c r="E129" s="70"/>
      <c r="F129" s="70"/>
      <c r="G129" s="70"/>
      <c r="H129" s="70"/>
      <c r="I129" s="70"/>
    </row>
    <row r="130" spans="1:9" ht="18.75" customHeight="1" x14ac:dyDescent="0.15">
      <c r="A130" s="4"/>
      <c r="B130" s="70"/>
      <c r="C130" s="70"/>
      <c r="D130" s="70"/>
      <c r="E130" s="70"/>
      <c r="F130" s="70"/>
      <c r="G130" s="70"/>
      <c r="H130" s="70"/>
      <c r="I130" s="70"/>
    </row>
    <row r="131" spans="1:9" ht="18.75" customHeight="1" x14ac:dyDescent="0.15">
      <c r="A131" s="4"/>
      <c r="B131" s="70"/>
      <c r="C131" s="70"/>
      <c r="D131" s="70"/>
      <c r="E131" s="70"/>
      <c r="F131" s="70"/>
      <c r="G131" s="70"/>
      <c r="H131" s="70"/>
      <c r="I131" s="70"/>
    </row>
    <row r="132" spans="1:9" ht="18.75" customHeight="1" x14ac:dyDescent="0.15">
      <c r="A132" s="4"/>
      <c r="B132" s="70"/>
      <c r="C132" s="70"/>
      <c r="D132" s="70"/>
      <c r="E132" s="70"/>
      <c r="F132" s="70"/>
      <c r="G132" s="70"/>
      <c r="H132" s="70"/>
      <c r="I132" s="70"/>
    </row>
    <row r="133" spans="1:9" ht="14.25" x14ac:dyDescent="0.15">
      <c r="A133" s="4"/>
      <c r="B133" s="70"/>
      <c r="C133" s="70"/>
      <c r="D133" s="70"/>
      <c r="E133" s="70"/>
      <c r="F133" s="70"/>
      <c r="G133" s="70"/>
      <c r="H133" s="70"/>
      <c r="I133" s="70"/>
    </row>
    <row r="134" spans="1:9" ht="7.5" customHeight="1" x14ac:dyDescent="0.15">
      <c r="A134" s="4"/>
      <c r="B134" s="70"/>
      <c r="C134" s="70"/>
      <c r="D134" s="70"/>
      <c r="E134" s="70"/>
      <c r="F134" s="70"/>
      <c r="G134" s="70"/>
      <c r="H134" s="70"/>
      <c r="I134" s="7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72" t="s">
        <v>118</v>
      </c>
      <c r="B1" s="72"/>
      <c r="C1" s="72"/>
      <c r="D1" s="72"/>
      <c r="E1" s="72"/>
      <c r="F1" s="72"/>
      <c r="G1" s="72"/>
      <c r="H1" s="72"/>
      <c r="I1" s="24" t="s">
        <v>119</v>
      </c>
    </row>
    <row r="2" spans="1:9" ht="18.75" customHeight="1" x14ac:dyDescent="0.15">
      <c r="A2" s="72"/>
      <c r="B2" s="72"/>
      <c r="C2" s="72"/>
      <c r="D2" s="72"/>
      <c r="E2" s="72"/>
      <c r="F2" s="72"/>
      <c r="G2" s="72"/>
      <c r="H2" s="24" t="s">
        <v>2</v>
      </c>
      <c r="I2" s="23" t="str">
        <f>'様式１　プログラムを構成する授業科目'!C2</f>
        <v>関東学院大学</v>
      </c>
    </row>
    <row r="3" spans="1:9" ht="18.75" customHeight="1" x14ac:dyDescent="0.15">
      <c r="A3" s="191" t="s">
        <v>120</v>
      </c>
      <c r="B3" s="191"/>
      <c r="C3" s="191"/>
      <c r="D3" s="191"/>
      <c r="E3" s="191"/>
      <c r="F3" s="191"/>
      <c r="G3" s="191"/>
      <c r="H3" s="191"/>
      <c r="I3" s="191"/>
    </row>
    <row r="4" spans="1:9" ht="18.75" customHeight="1" x14ac:dyDescent="0.15">
      <c r="A4" s="66"/>
      <c r="B4" s="66"/>
      <c r="C4" s="66"/>
      <c r="D4" s="66"/>
      <c r="E4" s="66"/>
      <c r="F4" s="66"/>
      <c r="G4" s="66"/>
      <c r="H4" s="66"/>
      <c r="I4" s="66"/>
    </row>
    <row r="5" spans="1:9" ht="18.75" customHeight="1" x14ac:dyDescent="0.15">
      <c r="A5" s="72" t="s">
        <v>83</v>
      </c>
      <c r="B5" s="7" t="s">
        <v>121</v>
      </c>
      <c r="C5" s="66"/>
      <c r="D5" s="66"/>
      <c r="E5" s="66"/>
      <c r="F5" s="66"/>
      <c r="G5" s="66"/>
      <c r="H5" s="66"/>
      <c r="I5" s="66"/>
    </row>
    <row r="6" spans="1:9" ht="26.25" customHeight="1" x14ac:dyDescent="0.15">
      <c r="A6" s="66"/>
      <c r="B6" s="206" t="s">
        <v>187</v>
      </c>
      <c r="C6" s="250"/>
      <c r="D6" s="250"/>
      <c r="E6" s="250"/>
      <c r="F6" s="250"/>
      <c r="G6" s="250"/>
      <c r="H6" s="251"/>
      <c r="I6" s="71"/>
    </row>
    <row r="7" spans="1:9" ht="9" customHeight="1" x14ac:dyDescent="0.15">
      <c r="A7" s="66"/>
      <c r="B7" s="7"/>
      <c r="C7" s="7"/>
      <c r="D7" s="7"/>
      <c r="E7" s="7"/>
      <c r="F7" s="7"/>
      <c r="G7" s="7"/>
      <c r="H7" s="7"/>
      <c r="I7" s="71"/>
    </row>
    <row r="8" spans="1:9" ht="18.75" customHeight="1" x14ac:dyDescent="0.15">
      <c r="A8" s="66"/>
      <c r="B8" s="71"/>
      <c r="C8" s="71"/>
      <c r="D8" s="24" t="s">
        <v>91</v>
      </c>
      <c r="E8" s="25" t="s">
        <v>162</v>
      </c>
      <c r="F8" s="71"/>
      <c r="G8" s="24" t="s">
        <v>92</v>
      </c>
      <c r="H8" s="25" t="s">
        <v>163</v>
      </c>
      <c r="I8" s="71"/>
    </row>
    <row r="9" spans="1:9" ht="7.5" customHeight="1" x14ac:dyDescent="0.15">
      <c r="A9" s="66"/>
      <c r="B9" s="66"/>
      <c r="C9" s="66"/>
      <c r="D9" s="66"/>
      <c r="E9" s="66"/>
      <c r="F9" s="66"/>
      <c r="G9" s="66"/>
      <c r="H9" s="66"/>
      <c r="I9" s="66"/>
    </row>
    <row r="10" spans="1:9" ht="18.75" customHeight="1" x14ac:dyDescent="0.15">
      <c r="A10" s="72" t="s">
        <v>87</v>
      </c>
      <c r="B10" s="72" t="s">
        <v>122</v>
      </c>
      <c r="C10" s="4"/>
      <c r="D10" s="4"/>
      <c r="E10" s="4"/>
      <c r="F10" s="4"/>
      <c r="G10" s="4"/>
      <c r="H10" s="4"/>
      <c r="I10" s="4"/>
    </row>
    <row r="11" spans="1:9" ht="18.75" customHeight="1" x14ac:dyDescent="0.15">
      <c r="A11" s="72"/>
      <c r="B11" s="103" t="s">
        <v>123</v>
      </c>
      <c r="C11" s="104"/>
      <c r="D11" s="105"/>
      <c r="E11" s="104" t="s">
        <v>124</v>
      </c>
      <c r="F11" s="104"/>
      <c r="G11" s="104"/>
      <c r="H11" s="104"/>
      <c r="I11" s="105"/>
    </row>
    <row r="12" spans="1:9" ht="26.25" customHeight="1" x14ac:dyDescent="0.15">
      <c r="A12" s="72"/>
      <c r="B12" s="33" t="s">
        <v>125</v>
      </c>
      <c r="C12" s="40"/>
      <c r="D12" s="34"/>
      <c r="E12" s="41"/>
      <c r="F12" s="41"/>
      <c r="G12" s="41"/>
      <c r="H12" s="41"/>
      <c r="I12" s="34"/>
    </row>
    <row r="13" spans="1:9" ht="210.75" customHeight="1" x14ac:dyDescent="0.15">
      <c r="A13" s="72"/>
      <c r="B13" s="35"/>
      <c r="C13" s="248" t="s">
        <v>126</v>
      </c>
      <c r="D13" s="249"/>
      <c r="E13" s="245" t="s">
        <v>164</v>
      </c>
      <c r="F13" s="246"/>
      <c r="G13" s="246"/>
      <c r="H13" s="246"/>
      <c r="I13" s="247"/>
    </row>
    <row r="14" spans="1:9" ht="210.75" customHeight="1" x14ac:dyDescent="0.15">
      <c r="A14" s="72"/>
      <c r="B14" s="35"/>
      <c r="C14" s="243" t="s">
        <v>127</v>
      </c>
      <c r="D14" s="244"/>
      <c r="E14" s="245" t="s">
        <v>165</v>
      </c>
      <c r="F14" s="246"/>
      <c r="G14" s="246"/>
      <c r="H14" s="246"/>
      <c r="I14" s="247"/>
    </row>
    <row r="15" spans="1:9" ht="210.75" customHeight="1" x14ac:dyDescent="0.15">
      <c r="A15" s="72"/>
      <c r="B15" s="35"/>
      <c r="C15" s="248" t="s">
        <v>128</v>
      </c>
      <c r="D15" s="249"/>
      <c r="E15" s="245" t="s">
        <v>166</v>
      </c>
      <c r="F15" s="246"/>
      <c r="G15" s="246"/>
      <c r="H15" s="246"/>
      <c r="I15" s="247"/>
    </row>
    <row r="16" spans="1:9" ht="210.75" customHeight="1" x14ac:dyDescent="0.15">
      <c r="A16" s="72"/>
      <c r="B16" s="35"/>
      <c r="C16" s="248" t="s">
        <v>129</v>
      </c>
      <c r="D16" s="249"/>
      <c r="E16" s="245" t="s">
        <v>167</v>
      </c>
      <c r="F16" s="246"/>
      <c r="G16" s="246"/>
      <c r="H16" s="246"/>
      <c r="I16" s="247"/>
    </row>
    <row r="17" spans="2:9" ht="210.75" customHeight="1" x14ac:dyDescent="0.15">
      <c r="B17" s="36"/>
      <c r="C17" s="252" t="s">
        <v>130</v>
      </c>
      <c r="D17" s="253"/>
      <c r="E17" s="254" t="s">
        <v>168</v>
      </c>
      <c r="F17" s="255"/>
      <c r="G17" s="255"/>
      <c r="H17" s="255"/>
      <c r="I17" s="256"/>
    </row>
    <row r="18" spans="2:9" ht="24" customHeight="1" x14ac:dyDescent="0.15">
      <c r="B18" s="33" t="s">
        <v>131</v>
      </c>
      <c r="C18" s="37"/>
      <c r="D18" s="38"/>
      <c r="E18" s="39"/>
      <c r="F18" s="39"/>
      <c r="G18" s="39"/>
      <c r="H18" s="39"/>
      <c r="I18" s="42"/>
    </row>
    <row r="19" spans="2:9" ht="218.25" customHeight="1" x14ac:dyDescent="0.15">
      <c r="B19" s="35"/>
      <c r="C19" s="248" t="s">
        <v>132</v>
      </c>
      <c r="D19" s="249"/>
      <c r="E19" s="246" t="s">
        <v>169</v>
      </c>
      <c r="F19" s="246"/>
      <c r="G19" s="246"/>
      <c r="H19" s="246"/>
      <c r="I19" s="247"/>
    </row>
    <row r="20" spans="2:9" ht="218.25" customHeight="1" x14ac:dyDescent="0.15">
      <c r="B20" s="36"/>
      <c r="C20" s="252" t="s">
        <v>133</v>
      </c>
      <c r="D20" s="253"/>
      <c r="E20" s="255" t="s">
        <v>170</v>
      </c>
      <c r="F20" s="255"/>
      <c r="G20" s="255"/>
      <c r="H20" s="255"/>
      <c r="I20" s="256"/>
    </row>
    <row r="21" spans="2:9" ht="218.25" customHeight="1" x14ac:dyDescent="0.15">
      <c r="B21" s="262" t="s">
        <v>134</v>
      </c>
      <c r="C21" s="263"/>
      <c r="D21" s="264"/>
      <c r="E21" s="265" t="s">
        <v>171</v>
      </c>
      <c r="F21" s="265"/>
      <c r="G21" s="265"/>
      <c r="H21" s="265"/>
      <c r="I21" s="266"/>
    </row>
    <row r="22" spans="2:9" ht="218.25" customHeight="1" x14ac:dyDescent="0.15">
      <c r="B22" s="257" t="s">
        <v>135</v>
      </c>
      <c r="C22" s="258"/>
      <c r="D22" s="259"/>
      <c r="E22" s="260" t="s">
        <v>172</v>
      </c>
      <c r="F22" s="260"/>
      <c r="G22" s="260"/>
      <c r="H22" s="260"/>
      <c r="I22" s="26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68"/>
      <c r="C28" s="68"/>
      <c r="D28" s="68"/>
      <c r="E28" s="68"/>
      <c r="F28" s="68"/>
      <c r="G28" s="68"/>
      <c r="H28" s="68"/>
      <c r="I28" s="68"/>
    </row>
    <row r="29" spans="2:9" ht="22.5" customHeight="1" x14ac:dyDescent="0.15">
      <c r="B29" s="68"/>
      <c r="C29" s="68"/>
      <c r="D29" s="68"/>
      <c r="E29" s="68"/>
      <c r="F29" s="68"/>
      <c r="G29" s="68"/>
      <c r="H29" s="68"/>
      <c r="I29" s="68"/>
    </row>
    <row r="30" spans="2:9" ht="22.5" customHeight="1" x14ac:dyDescent="0.15">
      <c r="B30" s="68"/>
      <c r="C30" s="68"/>
      <c r="D30" s="68"/>
      <c r="E30" s="68"/>
      <c r="F30" s="68"/>
      <c r="G30" s="68"/>
      <c r="H30" s="68"/>
      <c r="I30" s="68"/>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nagayosh</cp:lastModifiedBy>
  <cp:revision/>
  <cp:lastPrinted>2024-05-13T05:05:13Z</cp:lastPrinted>
  <dcterms:created xsi:type="dcterms:W3CDTF">2011-06-14T05:32:50Z</dcterms:created>
  <dcterms:modified xsi:type="dcterms:W3CDTF">2024-06-19T04:01:04Z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