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04"/>
  <workbookPr defaultThemeVersion="124226"/>
  <mc:AlternateContent xmlns:mc="http://schemas.openxmlformats.org/markup-compatibility/2006">
    <mc:Choice Requires="x15">
      <x15ac:absPath xmlns:x15ac="http://schemas.microsoft.com/office/spreadsheetml/2010/11/ac" url="X:\04学務課\01教務係\【永久保存用】確定データ\01　教育課程関係\学部\数理・データサイエンス・ＡＩモデルカリキュラム\01_R6.5　申請手続き\再_日本赤十字豊田看護大学_申請様式_リテラシー\"/>
    </mc:Choice>
  </mc:AlternateContent>
  <xr:revisionPtr revIDLastSave="6" documentId="13_ncr:1_{669DFDDF-BBBD-4C03-A458-E989885623F8}" xr6:coauthVersionLast="47" xr6:coauthVersionMax="47" xr10:uidLastSave="{5FA7D027-2A94-493B-B241-7E5EDE0FA94A}"/>
  <bookViews>
    <workbookView xWindow="-120" yWindow="-120" windowWidth="29040" windowHeight="15720" tabRatio="885" xr2:uid="{00000000-000D-0000-FFFF-FFFF00000000}"/>
  </bookViews>
  <sheets>
    <sheet name="様式１　プログラムを構成する授業科目" sheetId="43" r:id="rId1"/>
    <sheet name="様式２ 履修者等数の実績" sheetId="45" r:id="rId2"/>
    <sheet name="様式３ 教育の質・履修者数を向上させるための体制・計画" sheetId="46" r:id="rId3"/>
    <sheet name="様式４　自己点検・評価" sheetId="47"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7" l="1"/>
  <c r="S13" i="45"/>
  <c r="R13" i="45"/>
  <c r="I50" i="46"/>
  <c r="H2" i="46"/>
  <c r="Q2" i="45"/>
  <c r="Q33" i="45"/>
  <c r="P33" i="45"/>
  <c r="O33" i="45"/>
  <c r="N33" i="45"/>
  <c r="M33" i="45"/>
  <c r="L33" i="45"/>
  <c r="K33" i="45"/>
  <c r="J33" i="45"/>
  <c r="I33" i="45"/>
  <c r="H33" i="45"/>
  <c r="G33" i="45"/>
  <c r="F33" i="45"/>
  <c r="E33" i="45"/>
  <c r="D33" i="45"/>
  <c r="C33" i="45"/>
  <c r="R32" i="45"/>
  <c r="S32" i="45" s="1"/>
  <c r="R31" i="45"/>
  <c r="S31" i="45" s="1"/>
  <c r="R30" i="45"/>
  <c r="S30" i="45" s="1"/>
  <c r="R29" i="45"/>
  <c r="S29" i="45" s="1"/>
  <c r="R28" i="45"/>
  <c r="S28" i="45" s="1"/>
  <c r="R27" i="45"/>
  <c r="S27" i="45" s="1"/>
  <c r="R26" i="45"/>
  <c r="S26" i="45" s="1"/>
  <c r="R25" i="45"/>
  <c r="S25" i="45" s="1"/>
  <c r="R24" i="45"/>
  <c r="S24" i="45" s="1"/>
  <c r="R23" i="45"/>
  <c r="S23" i="45" s="1"/>
  <c r="R22" i="45"/>
  <c r="S22" i="45" s="1"/>
  <c r="R21" i="45"/>
  <c r="S21" i="45" s="1"/>
  <c r="R20" i="45"/>
  <c r="S20" i="45" s="1"/>
  <c r="R19" i="45"/>
  <c r="S19" i="45" s="1"/>
  <c r="R18" i="45"/>
  <c r="S18" i="45" s="1"/>
  <c r="R17" i="45"/>
  <c r="S17" i="45" s="1"/>
  <c r="R16" i="45"/>
  <c r="S16" i="45" s="1"/>
  <c r="R15" i="45"/>
  <c r="S15" i="45" s="1"/>
  <c r="R14" i="45"/>
  <c r="S14" i="45" s="1"/>
  <c r="R33" i="45"/>
  <c r="S33" i="45" s="1"/>
  <c r="C49" i="46" s="1"/>
  <c r="M7" i="45"/>
</calcChain>
</file>

<file path=xl/sharedStrings.xml><?xml version="1.0" encoding="utf-8"?>
<sst xmlns="http://schemas.openxmlformats.org/spreadsheetml/2006/main" count="296" uniqueCount="181">
  <si>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</si>
  <si>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</si>
  <si>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</si>
  <si>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日本赤十字豊田看護大学</t>
    <phoneticPr fontId="1"/>
  </si>
  <si>
    <t>プログラム名</t>
    <rPh sb="5" eb="6">
      <t>メイ</t>
    </rPh>
    <phoneticPr fontId="1"/>
  </si>
  <si>
    <t>看護のデータサイエンス</t>
  </si>
  <si>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</si>
  <si>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</si>
  <si>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</si>
  <si>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</si>
  <si>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</si>
  <si>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修了要件は、１年次に開講する情報リテラシーと保健情報演習、２年次に開講する保健統計、３年次に開講する疫学Ⅰの単位を修得することとする。いずれも必修科目でありこれら４科目の単位を修得することが卒業要件としても求められている。</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</si>
  <si>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</si>
  <si>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</si>
  <si>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</si>
  <si>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</si>
  <si>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</si>
  <si>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</si>
  <si>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</si>
  <si>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</si>
  <si>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</si>
  <si>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</si>
  <si>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</si>
  <si>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</si>
  <si>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</si>
  <si>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</si>
  <si>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保健情報演習</t>
    <phoneticPr fontId="1"/>
  </si>
  <si>
    <t>○</t>
  </si>
  <si>
    <t>保健統計</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</si>
  <si>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</si>
  <si>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</si>
  <si>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</si>
  <si>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</si>
  <si>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</si>
  <si>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</si>
  <si>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情報リテラシー</t>
    <phoneticPr fontId="1"/>
  </si>
  <si>
    <t xml:space="preserve">疫学Ⅰ		</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</si>
  <si>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</si>
  <si>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</si>
  <si>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</si>
  <si>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</si>
  <si>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</si>
  <si>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</si>
  <si>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</si>
  <si>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</si>
  <si>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</si>
  <si>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</si>
  <si>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</si>
  <si>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</si>
  <si>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</si>
  <si>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・多くの情報が取集され、それらのデータに基づいて判断や方針決定がなされる社会：「保健統計　第１回」
・統計の有用性と意思決定における応用：「保健情報演習 第１回」</t>
    <phoneticPr fontId="1"/>
  </si>
  <si>
    <t>1-6</t>
    <phoneticPr fontId="1"/>
  </si>
  <si>
    <t>・AI等を活用した新しいビジネスモデル：「保健統計 第１回、第２回」「保健情報演習　第１回」</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</si>
  <si>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</si>
  <si>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・調査データ、実験データ、人の行動ログデータ、機械の稼働ログデータなど：「保健統計　第１回、第２回」
・データのオープン化：「保健統計　第１回、第２回」</t>
  </si>
  <si>
    <t xml:space="preserve">・研究開発、医療、看護への統計学の応用：「保健情報演習」「保健統計　第１回、第２回」
・データや統計の仮説検定、知識発見、原因究明、判断支援への応用：「保健情報演習」「保健統計　第１回、第２回」		</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</si>
  <si>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</si>
  <si>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・データ可視化：グラフの作成：「情報リテラシー　第７回」
・AI（自然言語処理人工知能）のできることとできないこと：「情報リテラシー　第２回」</t>
    <phoneticPr fontId="1"/>
  </si>
  <si>
    <t>・データの取得・加工：「保健統計　第２回」
・データの加工、データ解析と推論、問題解決に向けた提案：「保健情報演習」
・公共、ヘルスケアにおけるデータ活用事例：「保健統計」「疫学Ⅰ」</t>
    <phoneticPr fontId="1"/>
  </si>
  <si>
    <t>（４）活用に当たっての様々な留意事項（ELSI、個人情報、データ倫理、ＡＩ社会原則等）を考慮し、情報セキュリティや情報漏洩等、データを守る上での留意事項への理解をする</t>
    <phoneticPr fontId="1"/>
  </si>
  <si>
    <t>・情報発信の安全性：「情報リテラシー　第２回」
・情報ネットワーク、データ活用における負の事例紹介：「情報リテラシー　第１回、第２回」
・データ倫理：データのねつ造、改ざん、盗用、プライバシー保護：「情報リテラシー第１回」</t>
    <phoneticPr fontId="1"/>
  </si>
  <si>
    <t>・情報セキュリティ：機密性、完全性、可用性：「情報リテラシー　第１回、第２回」
・パスワード、悪意ある情報搾取：「情報リテラシー　第１回、第２回」</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</si>
  <si>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</si>
  <si>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</si>
  <si>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・データの種類（量的変数・質的変数）：「保健情報演習　第２回」
・データの分布（ヒストグラム）と代表値（平均値・中央値・最頻値）：「保健情報演習　第５回」
・代表値の性質の違い：「保健情報演習　第４回」
・データのばらつき（分散、標準偏差、偏差値）：「保健情報演習　第５回」
・相関と因果：「保健情報演習　第６回」
・母集団と標本抽出（国勢調査、アンケート調査、全数調査、単純無作為抽出、層別抽出、多段抽出）：「保健情報演習　第２回」「保健統計　第２回」
・クロス集計表、分割表：「保健情報演習　第３回、第９回」</t>
    <phoneticPr fontId="1"/>
  </si>
  <si>
    <t>・データ表現（棒グラフ、散布図）：「情報リテラシー　第６回、第７回」
・データの図表表現：「情報リテラシー　第６回、第７回」
・データの比較（条件をそろえた場合・年齢値調整）：「保健統計　第２回」</t>
    <phoneticPr fontId="1"/>
  </si>
  <si>
    <t>・データの集計（和、平均）：「保健情報演習　第２回、第５回」
・データ解析ツール（スプレッドシート、SPSS）：「情報リテラシー　第５回-第８回」「保健情報演習」</t>
    <phoneticPr fontId="1"/>
  </si>
  <si>
    <t>⑪ プログラムの学修成果（学生等が身に付けられる能力等）</t>
    <phoneticPr fontId="1"/>
  </si>
  <si>
    <t>1.安全な情報管理について理解できる。
2.社会で収集されている、特に保健医療分野の情報について説明できる。
3.データの社会、特に保健医療分野における実態と利用の現状を理解できる。
4.保健医療分野で用いられる統計データの読解ができる。
5.エクセルで基本的な計算やグラフ作成による可視化ができる。
6.SPSSを用いた記述統計、基本的な推測統計分析を行うことができる。
7.SPSSによる記述統計、基本的な推測統計の出力を解釈し文章化できる。</t>
  </si>
  <si>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</si>
  <si>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</si>
  <si>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</si>
  <si>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</si>
  <si>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</si>
  <si>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</si>
  <si>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</si>
  <si>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</si>
  <si>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</si>
  <si>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</si>
  <si>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</si>
  <si>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</si>
  <si>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</si>
  <si>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</si>
  <si>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</si>
  <si>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</si>
  <si>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</si>
  <si>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</si>
  <si>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</si>
  <si>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</si>
  <si>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</si>
  <si>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</si>
  <si>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</si>
  <si>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</si>
  <si>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</si>
  <si>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</si>
  <si>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</si>
  <si>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</si>
  <si>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</si>
  <si>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</si>
  <si>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</si>
  <si>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</si>
  <si>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看護学部</t>
    <rPh sb="0" eb="4">
      <t>カンゴガクブ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</si>
  <si>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</si>
  <si>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</si>
  <si>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</si>
  <si>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</si>
  <si>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</si>
  <si>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</si>
  <si>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</si>
  <si>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</si>
  <si>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</si>
  <si>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</si>
  <si>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</si>
  <si>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</si>
  <si>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</si>
  <si>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森田　一三</t>
  </si>
  <si>
    <t>（役職名）</t>
    <rPh sb="1" eb="4">
      <t>ヤクショクメイ</t>
    </rPh>
    <phoneticPr fontId="1"/>
  </si>
  <si>
    <t>教授</t>
  </si>
  <si>
    <t>④</t>
    <phoneticPr fontId="1"/>
  </si>
  <si>
    <t>プログラムを改善・進化させるための体制（委員会・組織等）</t>
    <phoneticPr fontId="1"/>
  </si>
  <si>
    <t>教育の質保証委員会</t>
  </si>
  <si>
    <t>学長</t>
  </si>
  <si>
    <t>百瀬　由美子</t>
  </si>
  <si>
    <t>⑤</t>
    <phoneticPr fontId="1"/>
  </si>
  <si>
    <t>プログラムを改善・進化させるための体制を定める規則名称</t>
    <phoneticPr fontId="1"/>
  </si>
  <si>
    <t>日本赤十字豊田看護大学　教育の質保証委員会規程</t>
    <rPh sb="0" eb="5">
      <t>ニホンセキジュウジ</t>
    </rPh>
    <rPh sb="5" eb="11">
      <t>トヨタカンゴダイガク</t>
    </rPh>
    <phoneticPr fontId="1"/>
  </si>
  <si>
    <t>⑥</t>
    <phoneticPr fontId="1"/>
  </si>
  <si>
    <t>体制の目的</t>
    <rPh sb="0" eb="2">
      <t>タイセイ</t>
    </rPh>
    <rPh sb="3" eb="5">
      <t>モクテキ</t>
    </rPh>
    <phoneticPr fontId="1"/>
  </si>
  <si>
    <t xml:space="preserve">本学の教育の質を保証していくため、全学的な教学マネジメント及び内部質保証の確立に向けて、次に掲げる事項を検討する。
（１）人材育成目標及び教育プログラム編成の基本的事項に関すること
（２）教職員の資質・能力の向上と開発の基本的事項に関すること
（３）中長期計画及び年度計画、自己点検・評価に関すること
（４）カリキュラム検討及び改正に関すること
（５）職業実践力育成プログラム検討に関すること
（６）教育改善に関すること
（７）その他全学的な教学マネジメント及び内部質保証に関すること
</t>
  </si>
  <si>
    <t>⑦</t>
    <phoneticPr fontId="1"/>
  </si>
  <si>
    <t>具体的な構成員</t>
    <rPh sb="0" eb="3">
      <t>グタイテキ</t>
    </rPh>
    <rPh sb="4" eb="7">
      <t>コウセイイン</t>
    </rPh>
    <phoneticPr fontId="1"/>
  </si>
  <si>
    <t xml:space="preserve">学長　鎌倉　やよい
学部長兼学務部長　山田　聡子
研究科長兼自己点検評価委員会委員長　百瀬　由美子
事務局長　小林　寿
学術情報センター・図書館長　下間　正隆
教務委員会委員長　小林　尚司
大学院教務・学生委員会委員長兼ＦＤ・ＳＤ委員会委員長　長谷川　喜代美
総務課長　恒川　美智子
学務課長　加藤　信子
参事　ロベル　智子
</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</si>
  <si>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</si>
  <si>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</si>
  <si>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</si>
  <si>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</si>
  <si>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</si>
  <si>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</si>
  <si>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</si>
  <si>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</si>
  <si>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</si>
  <si>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本プログラムを構成する情報リテラシー、保健情報演習、保健統計、疫学Ⅰは全て必修科目から構成されており、全学生が履修する計画となっている。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</si>
  <si>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</si>
  <si>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</si>
  <si>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本プログラムを構成する情報リテラシー、保健情報演習、保健統計、疫学Ⅰは全て必修科目であり、全学生が受講可能となる時間割としている。</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</si>
  <si>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</si>
  <si>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</si>
  <si>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本プログラムを構成する情報リテラシー、保健情報演習、保健統計、疫学Ⅰは全て必修科目のため全員が履修する。</t>
    <phoneticPr fontId="1"/>
  </si>
  <si>
    <t>⑪</t>
    <phoneticPr fontId="1"/>
  </si>
  <si>
    <t>できる限り多くの学生が履修・修得できるようなサポート体制</t>
    <rPh sb="26" eb="28">
      <t>タイセイ</t>
    </rPh>
    <phoneticPr fontId="1"/>
  </si>
  <si>
    <t>本プログラムを構成する情報リテラシー、保健情報演習、保健統計、疫学Ⅰは全て必修科目のため全員が履修する。また、PCの操作など学生の修得状況に差がおきやすい内容については、詳細な資料を作成し、また動画で確認できる様にしている。</t>
  </si>
  <si>
    <t>⑫</t>
    <phoneticPr fontId="1"/>
  </si>
  <si>
    <t>授業時間内外で学習指導、質問を受け付ける具体的な仕組み</t>
    <rPh sb="20" eb="23">
      <t>グタイテキ</t>
    </rPh>
    <phoneticPr fontId="1"/>
  </si>
  <si>
    <t>教員はオフィスアワーを設定し、授業時間外でも学修指導、質問に対応している。また、PCの操作、情報セキュリティ等について随時相談、質問を受け付けることのできる教員を配置し対応している。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</si>
  <si>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</si>
  <si>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</si>
  <si>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</si>
  <si>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</si>
  <si>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</si>
  <si>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</si>
  <si>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</si>
  <si>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</si>
  <si>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</si>
  <si>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令和5年度において情報リテラシーは132名が履修し132名全員が単位を取得している。保健情報演習は138名が履修し137名が単位を取得している。保健統計は138名が履修し137名が単位を取得している。１名は退学のため未修得となった。疫学Ⅰは138名が履修し138名全員が単位を取得している。</t>
  </si>
  <si>
    <t>学修成果</t>
    <rPh sb="0" eb="2">
      <t>ガクシュウ</t>
    </rPh>
    <rPh sb="2" eb="4">
      <t>セイカ</t>
    </rPh>
    <phoneticPr fontId="1"/>
  </si>
  <si>
    <t xml:space="preserve">授業評価項目「総合的に見て、本科目の到達目標を達成できた」の評価が4.3から4.8（最大5）であり一定の学習成果を達成している。
特に保健情報演習はSPSSを用いて推測統計を行う難度の高い演習課題を課しているが、同評価項目の評価が4.7（最大5）であり、十分な成果があがっていることが確認できた。本教科の「使用された教材は知識・技術を身に着けるのに役に立った」の評価が4.9（最大5）と極めて高く、これまでアップデートを重ねた資料や独自開発した「文章改善支援システムfor 保健情報演習」を提供し、学生が課題として作成した文章の評価を学生自ら行い、より習熟度を高めることを可能としている環境が有効に働いたものと思われる。
</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</si>
  <si>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</si>
  <si>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授業評価において「総合的に見て、本科目の到達目標を達成できた」の評価が4.3から4.8（最大5）であり多くの学生が学習成果を実感していた。</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</si>
  <si>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</si>
  <si>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授業評価において「総合的に見て、本科目の到達目標を達成できた」の評価が4.3から4.8であり、「卒業時に期待される能力の獲得に一歩近づいた」の評価も4.4から4.7と高く、他学生への推奨度も高いことがうかがえ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</si>
  <si>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</si>
  <si>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本プログラムを構成する情報リテラシー、保健情報演習、保健統計、疫学Ⅰは全て必修科目のため今後も必修科目とすることで高い履修率を保てるようにする。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</si>
  <si>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</si>
  <si>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</si>
  <si>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を受講し、修了した者の多くは看護師や保健師として勤務している。本プログラムで学んだことが看護師や保健師の業務の中で行われる科学的、論理的な思考の一部となっていることを期待する。
卒後5年以内の卒業生を対象とした卒業生調査を実施しており、本教育プログラムを修了した卒業生の進路先や活躍状況の把握が可能である。また主な就職施設に対して本学の大学教育の成果に関する調査を実施しており、本教育プログラムを修了した卒業生における採用状況や就職先評価の把握が可能であ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</si>
  <si>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</si>
  <si>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主な就職先は医療機関であり、就職先調査において本プログラムの効果に関わる具体的な意見は得られにくい。しかし、看護師や保健師として業務に邁進する様が伝えられ、その活躍のほんの一部でも本プログラムで学んだことが支えになっていることを期待する。
本学の取り組みに対する助言や提言を外部有識者より受けることを目的として定期的に開催している参与会において、本プログラムの内容及び社会で必要とされるデータサイエンスリテラシーに関する意見を収集し、本プログラムの改善に活用する予定であ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</si>
  <si>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</si>
  <si>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保健統計および疫学Ⅰでは仮説実験授業の理論を応用した授業運営を行い、独自開発した意見共有システムを用いてリアルタイム参加型の講義を行っている。他の学生の意見を参考に考える仕組みを提供することで、学生同士が刺激しあいながら学ぶ環境を提供し学習意欲を高めている。 
　保健情報演習では統計手法を作ったピアソン、フィッシャー、ゴセットなどについて紹介をしている。現在も残る、これらの人々の暮らした家や研究にかかわった場所など教員が独自に所有する写真を多用し、これらの人々が様々な目的をもってデータ分析の方法を考案したことや、人々の交流の歴史について紹介し、統計学に興味を持てる工夫をしている。
</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</si>
  <si>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</si>
  <si>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保健情報演習では実際の健康データを加工したものを用いることで、看護学の専門性を踏まえた学習内容としている。
 保健医療分野で広く用いられている統計ソフトSPSSを学年全員が同時に使用できる設備を擁し、卒業後、看護師、保健師としての専門性を発揮することを可能とする学修環境をそろえ、授業の内容・水準の維持、向上をはかっ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</si>
</sst>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name val="ＭＳ Ｐゴシック"/>
      <family val="3"/>
      <charset val="128"/>
      <scheme val="minor"/>
    </font>
    <font>
      <sz val="12"/>
      <name val="ＭＳ Ｐゴシック"/>
      <family val="3"/>
      <charset val="128"/>
      <scheme val="minor"/>
    </font>
    <font>
      <sz val="12"/>
      <color rgb="FF000000"/>
      <name val="ＭＳ Ｐゴシック"/>
      <family val="3"/>
      <charset val="128"/>
      <scheme val="minor"/>
    </font>
    <font>
      <sz val="11"/>
      <color rgb="FF00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4" fillId="0" borderId="0" xfId="0" applyFont="1">
      <alignment vertical="center"/>
    </xf>
    <xf numFmtId="0" fontId="14" fillId="0" borderId="0" xfId="0" applyFont="1" applyAlignment="1">
      <alignment horizontal="center" vertical="center"/>
    </xf>
    <xf numFmtId="0" fontId="14" fillId="0" borderId="0" xfId="0" applyFont="1" applyAlignment="1">
      <alignment horizontal="right" vertical="center"/>
    </xf>
    <xf numFmtId="0" fontId="14" fillId="0" borderId="0" xfId="0" applyFont="1" applyAlignment="1">
      <alignment horizontal="left" vertical="center"/>
    </xf>
    <xf numFmtId="0" fontId="12" fillId="0" borderId="0" xfId="0" applyFont="1" applyAlignment="1">
      <alignment horizontal="center" vertical="center"/>
    </xf>
    <xf numFmtId="0" fontId="14" fillId="0" borderId="1" xfId="0" applyFont="1" applyBorder="1">
      <alignment vertical="center"/>
    </xf>
    <xf numFmtId="0" fontId="14" fillId="0" borderId="0" xfId="0" applyFont="1" applyAlignment="1">
      <alignment horizontal="center" vertical="center" shrinkToFit="1"/>
    </xf>
    <xf numFmtId="0" fontId="15" fillId="0" borderId="1" xfId="0" applyFont="1" applyBorder="1" applyAlignment="1">
      <alignment horizontal="center" vertical="center"/>
    </xf>
    <xf numFmtId="0" fontId="2" fillId="0" borderId="1" xfId="0" applyFont="1" applyBorder="1" applyAlignment="1">
      <alignment horizontal="lef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14" fillId="0" borderId="7" xfId="0" applyFont="1" applyBorder="1" applyAlignment="1">
      <alignment horizontal="left" vertical="top" wrapText="1" shrinkToFit="1"/>
    </xf>
    <xf numFmtId="0" fontId="14" fillId="0" borderId="8" xfId="0" applyFont="1" applyBorder="1" applyAlignment="1">
      <alignment horizontal="left" vertical="top" wrapText="1" shrinkToFit="1"/>
    </xf>
    <xf numFmtId="0" fontId="14" fillId="0" borderId="9" xfId="0" applyFont="1" applyBorder="1" applyAlignment="1">
      <alignment horizontal="left" vertical="top" wrapText="1" shrinkToFit="1"/>
    </xf>
    <xf numFmtId="0" fontId="14" fillId="0" borderId="5" xfId="0" applyFont="1" applyBorder="1" applyAlignment="1">
      <alignment horizontal="left" vertical="top" wrapText="1" shrinkToFit="1"/>
    </xf>
    <xf numFmtId="0" fontId="14" fillId="0" borderId="0" xfId="0" applyFont="1" applyAlignment="1">
      <alignment horizontal="left" vertical="top" wrapText="1" shrinkToFit="1"/>
    </xf>
    <xf numFmtId="0" fontId="14" fillId="0" borderId="10" xfId="0" applyFont="1" applyBorder="1" applyAlignment="1">
      <alignment horizontal="left" vertical="top" wrapText="1" shrinkToFit="1"/>
    </xf>
    <xf numFmtId="0" fontId="14" fillId="0" borderId="11" xfId="0" applyFont="1" applyBorder="1" applyAlignment="1">
      <alignment horizontal="left" vertical="top" wrapText="1" shrinkToFit="1"/>
    </xf>
    <xf numFmtId="0" fontId="14" fillId="0" borderId="6" xfId="0" applyFont="1" applyBorder="1" applyAlignment="1">
      <alignment horizontal="left" vertical="top" wrapText="1" shrinkToFit="1"/>
    </xf>
    <xf numFmtId="0" fontId="14"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1" xfId="0" applyFont="1" applyBorder="1" applyAlignment="1">
      <alignment horizontal="left" vertical="center" wrapText="1"/>
    </xf>
    <xf numFmtId="0" fontId="14" fillId="0" borderId="6" xfId="0" applyFont="1" applyBorder="1" applyAlignment="1">
      <alignment horizontal="left" vertical="center" wrapText="1"/>
    </xf>
    <xf numFmtId="0" fontId="14" fillId="0" borderId="12" xfId="0" applyFont="1" applyBorder="1" applyAlignment="1">
      <alignment horizontal="lef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3" fillId="0" borderId="27" xfId="0" applyFont="1" applyBorder="1" applyAlignment="1">
      <alignment vertical="center" wrapText="1"/>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4" fillId="0" borderId="2" xfId="0" applyFont="1" applyBorder="1" applyAlignment="1">
      <alignmen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2" fillId="0" borderId="0" xfId="0" applyFont="1" applyAlignment="1">
      <alignment horizontal="left" vertical="center" wrapText="1"/>
    </xf>
    <xf numFmtId="0" fontId="2"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2" fillId="0" borderId="14" xfId="0" applyFont="1" applyBorder="1" applyAlignment="1">
      <alignment horizontal="center" vertical="center"/>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0" fillId="0" borderId="0" xfId="0" applyFont="1" applyAlignment="1">
      <alignment horizontal="left" vertical="center" wrapText="1"/>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9" fontId="2" fillId="0" borderId="1" xfId="0" applyNumberFormat="1" applyFont="1" applyBorder="1" applyAlignment="1">
      <alignment horizontal="center" vertical="center" wrapText="1" shrinkToFit="1"/>
    </xf>
    <xf numFmtId="0" fontId="2" fillId="0" borderId="1" xfId="0" applyFont="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5" fillId="0" borderId="2"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5" fillId="0" borderId="7" xfId="0" applyFont="1" applyBorder="1" applyAlignment="1">
      <alignment vertical="top" wrapText="1" shrinkToFit="1"/>
    </xf>
    <xf numFmtId="0" fontId="15" fillId="0" borderId="8" xfId="0" applyFont="1" applyBorder="1" applyAlignment="1">
      <alignment vertical="top" wrapText="1" shrinkToFit="1"/>
    </xf>
    <xf numFmtId="0" fontId="15" fillId="0" borderId="9" xfId="0" applyFont="1" applyBorder="1" applyAlignment="1">
      <alignment vertical="top" shrinkToFit="1"/>
    </xf>
    <xf numFmtId="0" fontId="15" fillId="0" borderId="5" xfId="0" applyFont="1" applyBorder="1" applyAlignment="1">
      <alignment vertical="top" wrapText="1" shrinkToFit="1"/>
    </xf>
    <xf numFmtId="0" fontId="15" fillId="0" borderId="0" xfId="0" applyFont="1" applyAlignment="1">
      <alignment vertical="top" wrapText="1" shrinkToFit="1"/>
    </xf>
    <xf numFmtId="0" fontId="15" fillId="0" borderId="10" xfId="0" applyFont="1" applyBorder="1" applyAlignment="1">
      <alignment vertical="top" shrinkToFit="1"/>
    </xf>
    <xf numFmtId="0" fontId="15" fillId="0" borderId="5" xfId="0" applyFont="1" applyBorder="1" applyAlignment="1">
      <alignment vertical="top" shrinkToFit="1"/>
    </xf>
    <xf numFmtId="0" fontId="15" fillId="0" borderId="0" xfId="0" applyFont="1" applyAlignment="1">
      <alignment vertical="top" shrinkToFit="1"/>
    </xf>
    <xf numFmtId="0" fontId="15" fillId="0" borderId="11" xfId="0" applyFont="1" applyBorder="1" applyAlignment="1">
      <alignment vertical="top" shrinkToFit="1"/>
    </xf>
    <xf numFmtId="0" fontId="15" fillId="0" borderId="6" xfId="0" applyFont="1" applyBorder="1" applyAlignment="1">
      <alignment vertical="top" shrinkToFit="1"/>
    </xf>
    <xf numFmtId="0" fontId="15" fillId="0" borderId="12" xfId="0" applyFont="1" applyBorder="1" applyAlignment="1">
      <alignment vertical="top"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5" fillId="0" borderId="33" xfId="0" applyFont="1" applyBorder="1" applyAlignment="1">
      <alignment vertical="top" wrapText="1" shrinkToFit="1"/>
    </xf>
    <xf numFmtId="0" fontId="15" fillId="0" borderId="34" xfId="0" applyFont="1" applyBorder="1" applyAlignment="1">
      <alignment vertical="top" wrapText="1" shrinkToFit="1"/>
    </xf>
    <xf numFmtId="0" fontId="14" fillId="0" borderId="11" xfId="0" applyFont="1" applyBorder="1" applyAlignment="1">
      <alignment vertical="center" wrapText="1"/>
    </xf>
    <xf numFmtId="0" fontId="14" fillId="0" borderId="6" xfId="0" applyFont="1" applyBorder="1" applyAlignment="1">
      <alignment vertical="center" wrapText="1"/>
    </xf>
    <xf numFmtId="0" fontId="14" fillId="0" borderId="12" xfId="0" applyFont="1" applyBorder="1" applyAlignment="1">
      <alignment vertical="center" wrapTex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5" fillId="0" borderId="19" xfId="0" applyFont="1" applyBorder="1" applyAlignment="1">
      <alignment vertical="top" wrapText="1" shrinkToFit="1"/>
    </xf>
    <xf numFmtId="0" fontId="15" fillId="0" borderId="17" xfId="0" applyFont="1" applyBorder="1" applyAlignment="1">
      <alignment vertical="top" wrapText="1" shrinkToFi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15" fillId="0" borderId="3" xfId="0" applyFont="1" applyBorder="1" applyAlignment="1">
      <alignment horizontal="left"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0" fontId="16" fillId="0" borderId="3" xfId="0" applyFont="1" applyBorder="1" applyAlignment="1">
      <alignment vertical="center"/>
    </xf>
    <xf numFmtId="0" fontId="16" fillId="0" borderId="4" xfId="0" applyFont="1" applyBorder="1" applyAlignment="1">
      <alignment vertical="center"/>
    </xf>
    <xf numFmtId="0" fontId="2" fillId="0" borderId="0" xfId="0" applyFont="1" applyAlignment="1">
      <alignment vertical="center"/>
    </xf>
    <xf numFmtId="0" fontId="2" fillId="0" borderId="16" xfId="0" applyFont="1" applyBorder="1" applyAlignment="1">
      <alignment vertical="center"/>
    </xf>
    <xf numFmtId="0" fontId="5" fillId="0" borderId="17" xfId="0" applyFont="1" applyBorder="1" applyAlignment="1">
      <alignmen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9559-3B4B-4E29-A386-8D2E3542E7D7}">
  <sheetPr>
    <pageSetUpPr fitToPage="1"/>
  </sheetPr>
  <dimension ref="A1:AG114"/>
  <sheetViews>
    <sheetView showZeros="0" tabSelected="1" view="pageBreakPreview" topLeftCell="A90" zoomScaleNormal="100" zoomScaleSheetLayoutView="100" workbookViewId="0">
      <selection activeCell="D92" sqref="D92:U92"/>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T1" s="110" t="s">
        <v>0</v>
      </c>
      <c r="U1" s="110"/>
      <c r="V1" s="2" t="s">
        <v>1</v>
      </c>
    </row>
    <row r="2" spans="1:24" ht="18.75" customHeight="1">
      <c r="B2" s="29" t="s">
        <v>2</v>
      </c>
      <c r="C2" s="104" t="s">
        <v>3</v>
      </c>
      <c r="D2" s="105"/>
      <c r="E2" s="105"/>
      <c r="F2" s="105"/>
      <c r="G2" s="105"/>
      <c r="H2" s="105"/>
      <c r="I2" s="105"/>
      <c r="J2" s="106"/>
      <c r="K2" s="30"/>
      <c r="L2" s="6"/>
      <c r="M2" s="6"/>
      <c r="N2" s="6"/>
      <c r="O2" s="6"/>
      <c r="P2" s="6"/>
      <c r="Q2" s="6"/>
      <c r="R2" s="6"/>
      <c r="S2" s="6"/>
      <c r="T2" s="6"/>
      <c r="U2" s="6"/>
    </row>
    <row r="3" spans="1:24" ht="18.75" customHeight="1">
      <c r="B3" s="29" t="s">
        <v>4</v>
      </c>
      <c r="C3" s="104" t="s">
        <v>5</v>
      </c>
      <c r="D3" s="105"/>
      <c r="E3" s="105"/>
      <c r="F3" s="105"/>
      <c r="G3" s="105"/>
      <c r="H3" s="105"/>
      <c r="I3" s="105"/>
      <c r="J3" s="106"/>
      <c r="K3" s="30"/>
      <c r="L3" s="6"/>
      <c r="M3" s="6"/>
      <c r="N3" s="6"/>
      <c r="O3" s="6"/>
      <c r="P3" s="6"/>
      <c r="Q3" s="6"/>
      <c r="R3" s="6"/>
      <c r="S3" s="6"/>
      <c r="T3" s="6"/>
      <c r="U3" s="6"/>
    </row>
    <row r="4" spans="1:24" ht="15" customHeight="1">
      <c r="L4" s="30"/>
      <c r="M4" s="31"/>
      <c r="N4" s="31"/>
      <c r="O4" s="31"/>
      <c r="P4" s="31"/>
      <c r="Q4" s="31"/>
      <c r="R4" s="31"/>
      <c r="S4" s="31"/>
      <c r="T4" s="31"/>
      <c r="U4" s="31"/>
    </row>
    <row r="5" spans="1:24" ht="18" customHeight="1">
      <c r="A5" s="111" t="s">
        <v>6</v>
      </c>
      <c r="B5" s="111"/>
      <c r="C5" s="111"/>
      <c r="D5" s="111"/>
      <c r="E5" s="111"/>
      <c r="F5" s="111"/>
      <c r="G5" s="111"/>
      <c r="H5" s="111"/>
      <c r="I5" s="111"/>
      <c r="J5" s="111"/>
      <c r="K5" s="111"/>
      <c r="L5" s="111"/>
      <c r="M5" s="111"/>
      <c r="N5" s="111"/>
      <c r="O5" s="111"/>
      <c r="P5" s="111"/>
      <c r="Q5" s="111"/>
      <c r="R5" s="111"/>
      <c r="S5" s="111"/>
      <c r="T5" s="111"/>
      <c r="U5" s="111"/>
    </row>
    <row r="6" spans="1:24" ht="15" customHeight="1">
      <c r="B6" s="3"/>
      <c r="C6" s="3"/>
      <c r="D6" s="3"/>
      <c r="E6" s="3"/>
      <c r="F6" s="3"/>
      <c r="G6" s="3"/>
      <c r="H6" s="3"/>
      <c r="I6" s="3"/>
      <c r="J6" s="3"/>
      <c r="K6" s="3"/>
      <c r="L6" s="3"/>
      <c r="M6" s="3"/>
      <c r="N6" s="3"/>
      <c r="O6" s="3"/>
      <c r="P6" s="3"/>
      <c r="Q6" s="3"/>
      <c r="R6" s="3"/>
      <c r="S6" s="3"/>
      <c r="T6" s="3"/>
      <c r="U6" s="3"/>
    </row>
    <row r="7" spans="1:24" ht="15" customHeight="1">
      <c r="A7" s="76" t="s">
        <v>7</v>
      </c>
      <c r="B7" s="77"/>
      <c r="C7" s="77"/>
      <c r="D7" s="77"/>
      <c r="E7" s="77"/>
      <c r="F7" s="75"/>
      <c r="G7" s="75"/>
      <c r="H7" s="75"/>
      <c r="I7" s="75"/>
      <c r="J7" s="75"/>
      <c r="K7" s="75"/>
      <c r="L7" s="112" t="s">
        <v>8</v>
      </c>
      <c r="M7" s="113"/>
      <c r="N7" s="113"/>
      <c r="O7" s="113"/>
      <c r="P7" s="113"/>
      <c r="Q7" s="113"/>
      <c r="R7" s="113"/>
      <c r="S7" s="113"/>
      <c r="T7" s="113"/>
      <c r="U7" s="114"/>
    </row>
    <row r="8" spans="1:24" ht="6" customHeight="1">
      <c r="A8" s="76"/>
      <c r="B8" s="77"/>
      <c r="C8" s="77"/>
      <c r="D8" s="77"/>
      <c r="E8" s="77"/>
      <c r="F8" s="77"/>
      <c r="G8" s="77"/>
      <c r="H8" s="77"/>
      <c r="I8" s="77"/>
      <c r="J8" s="77"/>
      <c r="K8" s="77"/>
      <c r="L8" s="77"/>
      <c r="M8" s="77"/>
      <c r="N8" s="77"/>
      <c r="O8" s="77"/>
      <c r="P8" s="77"/>
      <c r="Q8" s="77"/>
      <c r="R8" s="77"/>
      <c r="S8" s="77"/>
      <c r="T8" s="77"/>
      <c r="U8" s="77"/>
    </row>
    <row r="9" spans="1:24" ht="18" customHeight="1">
      <c r="A9" s="76" t="s">
        <v>9</v>
      </c>
      <c r="B9" s="76"/>
      <c r="C9" s="77"/>
      <c r="D9" s="77"/>
      <c r="E9" s="76"/>
      <c r="F9" s="76"/>
      <c r="G9" s="76"/>
      <c r="H9" s="76"/>
      <c r="I9" s="76"/>
      <c r="J9" s="76"/>
      <c r="K9" s="78"/>
      <c r="L9" s="75"/>
      <c r="M9" s="75"/>
      <c r="N9" s="75"/>
      <c r="O9" s="75"/>
      <c r="P9" s="75"/>
      <c r="Q9" s="75"/>
      <c r="R9" s="75"/>
      <c r="S9" s="75"/>
      <c r="T9" s="75"/>
      <c r="U9" s="75"/>
    </row>
    <row r="10" spans="1:24" ht="6" customHeight="1">
      <c r="A10" s="76"/>
      <c r="B10" s="77"/>
      <c r="C10" s="77"/>
      <c r="D10" s="77"/>
      <c r="E10" s="77"/>
      <c r="F10" s="77"/>
      <c r="G10" s="77"/>
      <c r="H10" s="77"/>
      <c r="I10" s="77"/>
      <c r="J10" s="77"/>
      <c r="K10" s="77"/>
      <c r="L10" s="79"/>
      <c r="M10" s="77"/>
      <c r="N10" s="77"/>
      <c r="O10" s="77"/>
      <c r="P10" s="77"/>
      <c r="Q10" s="77"/>
      <c r="R10" s="77"/>
      <c r="S10" s="77"/>
      <c r="T10" s="77"/>
      <c r="U10" s="77"/>
    </row>
    <row r="11" spans="1:24" ht="18" customHeight="1">
      <c r="A11" s="76"/>
      <c r="B11" s="115"/>
      <c r="C11" s="116"/>
      <c r="D11" s="116"/>
      <c r="E11" s="116"/>
      <c r="F11" s="116"/>
      <c r="G11" s="116"/>
      <c r="H11" s="116"/>
      <c r="I11" s="116"/>
      <c r="J11" s="116"/>
      <c r="K11" s="116"/>
      <c r="L11" s="116"/>
      <c r="M11" s="116"/>
      <c r="N11" s="116"/>
      <c r="O11" s="116"/>
      <c r="P11" s="116"/>
      <c r="Q11" s="116"/>
      <c r="R11" s="116"/>
      <c r="S11" s="116"/>
      <c r="T11" s="116"/>
      <c r="U11" s="117"/>
    </row>
    <row r="12" spans="1:24" ht="18" customHeight="1">
      <c r="A12" s="76"/>
      <c r="B12" s="118"/>
      <c r="C12" s="119"/>
      <c r="D12" s="119"/>
      <c r="E12" s="119"/>
      <c r="F12" s="119"/>
      <c r="G12" s="119"/>
      <c r="H12" s="119"/>
      <c r="I12" s="119"/>
      <c r="J12" s="119"/>
      <c r="K12" s="119"/>
      <c r="L12" s="119"/>
      <c r="M12" s="119"/>
      <c r="N12" s="119"/>
      <c r="O12" s="119"/>
      <c r="P12" s="119"/>
      <c r="Q12" s="119"/>
      <c r="R12" s="119"/>
      <c r="S12" s="119"/>
      <c r="T12" s="119"/>
      <c r="U12" s="120"/>
    </row>
    <row r="13" spans="1:24" ht="6" customHeight="1">
      <c r="A13" s="76"/>
      <c r="B13" s="77"/>
      <c r="C13" s="77"/>
      <c r="D13" s="77"/>
      <c r="E13" s="77"/>
      <c r="F13" s="77"/>
      <c r="G13" s="77"/>
      <c r="H13" s="77"/>
      <c r="I13" s="77"/>
      <c r="J13" s="77"/>
      <c r="K13" s="77"/>
      <c r="L13" s="79"/>
      <c r="M13" s="77"/>
      <c r="N13" s="77"/>
      <c r="O13" s="77"/>
      <c r="P13" s="77"/>
      <c r="Q13" s="77"/>
      <c r="R13" s="77"/>
      <c r="S13" s="77"/>
      <c r="T13" s="77"/>
      <c r="U13" s="77"/>
    </row>
    <row r="14" spans="1:24" ht="18" customHeight="1">
      <c r="A14" s="76" t="s">
        <v>10</v>
      </c>
      <c r="B14" s="77"/>
      <c r="C14" s="77"/>
      <c r="D14" s="77"/>
      <c r="E14" s="78"/>
      <c r="F14" s="78"/>
      <c r="G14" s="78"/>
      <c r="H14" s="78"/>
      <c r="I14" s="78"/>
      <c r="J14" s="78"/>
      <c r="K14" s="78"/>
      <c r="L14" s="80"/>
      <c r="M14" s="80"/>
      <c r="N14" s="80"/>
      <c r="O14" s="80"/>
      <c r="P14" s="80"/>
      <c r="Q14" s="80"/>
      <c r="R14" s="80"/>
      <c r="S14" s="80"/>
      <c r="T14" s="80"/>
      <c r="U14" s="80"/>
    </row>
    <row r="15" spans="1:24" ht="18" customHeight="1">
      <c r="A15" s="76"/>
      <c r="B15" s="91" t="s">
        <v>11</v>
      </c>
      <c r="C15" s="92"/>
      <c r="D15" s="92"/>
      <c r="E15" s="92"/>
      <c r="F15" s="92"/>
      <c r="G15" s="92"/>
      <c r="H15" s="92"/>
      <c r="I15" s="92"/>
      <c r="J15" s="92"/>
      <c r="K15" s="92"/>
      <c r="L15" s="92"/>
      <c r="M15" s="92"/>
      <c r="N15" s="92"/>
      <c r="O15" s="92"/>
      <c r="P15" s="92"/>
      <c r="Q15" s="92"/>
      <c r="R15" s="92"/>
      <c r="S15" s="92"/>
      <c r="T15" s="92"/>
      <c r="U15" s="93"/>
      <c r="X15" s="1" t="s">
        <v>12</v>
      </c>
    </row>
    <row r="16" spans="1:24" ht="18" customHeight="1">
      <c r="A16" s="76"/>
      <c r="B16" s="94"/>
      <c r="C16" s="95"/>
      <c r="D16" s="95"/>
      <c r="E16" s="95"/>
      <c r="F16" s="95"/>
      <c r="G16" s="95"/>
      <c r="H16" s="95"/>
      <c r="I16" s="95"/>
      <c r="J16" s="95"/>
      <c r="K16" s="95"/>
      <c r="L16" s="95"/>
      <c r="M16" s="95"/>
      <c r="N16" s="95"/>
      <c r="O16" s="95"/>
      <c r="P16" s="95"/>
      <c r="Q16" s="95"/>
      <c r="R16" s="95"/>
      <c r="S16" s="95"/>
      <c r="T16" s="95"/>
      <c r="U16" s="96"/>
      <c r="X16" s="1" t="s">
        <v>13</v>
      </c>
    </row>
    <row r="17" spans="1:24" ht="18" customHeight="1">
      <c r="A17" s="76"/>
      <c r="B17" s="94"/>
      <c r="C17" s="95"/>
      <c r="D17" s="95"/>
      <c r="E17" s="95"/>
      <c r="F17" s="95"/>
      <c r="G17" s="95"/>
      <c r="H17" s="95"/>
      <c r="I17" s="95"/>
      <c r="J17" s="95"/>
      <c r="K17" s="95"/>
      <c r="L17" s="95"/>
      <c r="M17" s="95"/>
      <c r="N17" s="95"/>
      <c r="O17" s="95"/>
      <c r="P17" s="95"/>
      <c r="Q17" s="95"/>
      <c r="R17" s="95"/>
      <c r="S17" s="95"/>
      <c r="T17" s="95"/>
      <c r="U17" s="96"/>
      <c r="X17" s="1" t="s">
        <v>14</v>
      </c>
    </row>
    <row r="18" spans="1:24" ht="18" customHeight="1">
      <c r="A18" s="76"/>
      <c r="B18" s="94"/>
      <c r="C18" s="95"/>
      <c r="D18" s="95"/>
      <c r="E18" s="95"/>
      <c r="F18" s="95"/>
      <c r="G18" s="95"/>
      <c r="H18" s="95"/>
      <c r="I18" s="95"/>
      <c r="J18" s="95"/>
      <c r="K18" s="95"/>
      <c r="L18" s="95"/>
      <c r="M18" s="95"/>
      <c r="N18" s="95"/>
      <c r="O18" s="95"/>
      <c r="P18" s="95"/>
      <c r="Q18" s="95"/>
      <c r="R18" s="95"/>
      <c r="S18" s="95"/>
      <c r="T18" s="95"/>
      <c r="U18" s="96"/>
      <c r="X18" s="1" t="s">
        <v>15</v>
      </c>
    </row>
    <row r="19" spans="1:24" ht="18" customHeight="1">
      <c r="A19" s="76"/>
      <c r="B19" s="94"/>
      <c r="C19" s="95"/>
      <c r="D19" s="95"/>
      <c r="E19" s="95"/>
      <c r="F19" s="95"/>
      <c r="G19" s="95"/>
      <c r="H19" s="95"/>
      <c r="I19" s="95"/>
      <c r="J19" s="95"/>
      <c r="K19" s="95"/>
      <c r="L19" s="95"/>
      <c r="M19" s="95"/>
      <c r="N19" s="95"/>
      <c r="O19" s="95"/>
      <c r="P19" s="95"/>
      <c r="Q19" s="95"/>
      <c r="R19" s="95"/>
      <c r="S19" s="95"/>
      <c r="T19" s="95"/>
      <c r="U19" s="96"/>
    </row>
    <row r="20" spans="1:24" ht="18" customHeight="1">
      <c r="A20" s="76"/>
      <c r="B20" s="97"/>
      <c r="C20" s="98"/>
      <c r="D20" s="98"/>
      <c r="E20" s="98"/>
      <c r="F20" s="98"/>
      <c r="G20" s="98"/>
      <c r="H20" s="98"/>
      <c r="I20" s="98"/>
      <c r="J20" s="98"/>
      <c r="K20" s="98"/>
      <c r="L20" s="98"/>
      <c r="M20" s="98"/>
      <c r="N20" s="98"/>
      <c r="O20" s="98"/>
      <c r="P20" s="98"/>
      <c r="Q20" s="98"/>
      <c r="R20" s="98"/>
      <c r="S20" s="98"/>
      <c r="T20" s="98"/>
      <c r="U20" s="99"/>
    </row>
    <row r="21" spans="1:24" ht="7.5" customHeight="1">
      <c r="A21" s="76"/>
      <c r="B21" s="77"/>
      <c r="C21" s="77"/>
      <c r="D21" s="77"/>
      <c r="E21" s="77"/>
      <c r="F21" s="77"/>
      <c r="G21" s="77"/>
      <c r="H21" s="77"/>
      <c r="I21" s="77"/>
      <c r="J21" s="77"/>
      <c r="K21" s="77"/>
      <c r="L21" s="77"/>
      <c r="M21" s="77"/>
      <c r="N21" s="77"/>
      <c r="O21" s="77"/>
      <c r="P21" s="77"/>
      <c r="Q21" s="77"/>
      <c r="R21" s="77"/>
      <c r="S21" s="77"/>
      <c r="T21" s="77"/>
      <c r="U21" s="77"/>
    </row>
    <row r="22" spans="1:24" ht="19.899999999999999" customHeight="1">
      <c r="A22" s="76"/>
      <c r="B22" s="76" t="s">
        <v>16</v>
      </c>
      <c r="C22" s="76"/>
      <c r="D22" s="76"/>
      <c r="E22" s="81">
        <v>4</v>
      </c>
      <c r="F22" s="76" t="s">
        <v>17</v>
      </c>
      <c r="G22" s="76"/>
      <c r="H22" s="81">
        <v>4</v>
      </c>
      <c r="I22" s="77" t="s">
        <v>18</v>
      </c>
      <c r="J22" s="77"/>
      <c r="K22" s="78"/>
      <c r="L22" s="76"/>
      <c r="M22" s="78" t="s">
        <v>19</v>
      </c>
      <c r="N22" s="100" t="s">
        <v>13</v>
      </c>
      <c r="O22" s="101"/>
      <c r="P22" s="101"/>
      <c r="Q22" s="101"/>
      <c r="R22" s="101"/>
      <c r="S22" s="101"/>
      <c r="T22" s="101"/>
      <c r="U22" s="102"/>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03" t="s">
        <v>20</v>
      </c>
      <c r="B24" s="103"/>
      <c r="C24" s="103"/>
      <c r="D24" s="103"/>
      <c r="E24" s="103"/>
      <c r="F24" s="103"/>
      <c r="G24" s="103"/>
      <c r="H24" s="103"/>
      <c r="I24" s="103"/>
      <c r="J24" s="103"/>
      <c r="K24" s="103"/>
      <c r="L24" s="103"/>
      <c r="M24" s="103"/>
      <c r="N24" s="103"/>
      <c r="O24" s="103"/>
      <c r="P24" s="103"/>
      <c r="Q24" s="103"/>
      <c r="R24" s="103"/>
      <c r="S24" s="103"/>
      <c r="T24" s="103"/>
      <c r="U24" s="103"/>
    </row>
    <row r="25" spans="1:24" ht="18" customHeight="1">
      <c r="A25" s="103"/>
      <c r="B25" s="103"/>
      <c r="C25" s="103"/>
      <c r="D25" s="103"/>
      <c r="E25" s="103"/>
      <c r="F25" s="103"/>
      <c r="G25" s="103"/>
      <c r="H25" s="103"/>
      <c r="I25" s="103"/>
      <c r="J25" s="103"/>
      <c r="K25" s="103"/>
      <c r="L25" s="103"/>
      <c r="M25" s="103"/>
      <c r="N25" s="103"/>
      <c r="O25" s="103"/>
      <c r="P25" s="103"/>
      <c r="Q25" s="103"/>
      <c r="R25" s="103"/>
      <c r="S25" s="103"/>
      <c r="T25" s="103"/>
      <c r="U25" s="103"/>
    </row>
    <row r="26" spans="1:24" ht="18" customHeight="1">
      <c r="B26" s="104" t="s">
        <v>21</v>
      </c>
      <c r="C26" s="105"/>
      <c r="D26" s="105"/>
      <c r="E26" s="105"/>
      <c r="F26" s="106"/>
      <c r="G26" s="51" t="s">
        <v>22</v>
      </c>
      <c r="H26" s="50" t="s">
        <v>23</v>
      </c>
      <c r="I26" s="17" t="s">
        <v>24</v>
      </c>
      <c r="J26" s="17" t="s">
        <v>25</v>
      </c>
      <c r="K26" s="104" t="s">
        <v>21</v>
      </c>
      <c r="L26" s="105"/>
      <c r="M26" s="105"/>
      <c r="N26" s="105"/>
      <c r="O26" s="105"/>
      <c r="P26" s="105"/>
      <c r="Q26" s="106"/>
      <c r="R26" s="51" t="s">
        <v>22</v>
      </c>
      <c r="S26" s="50" t="s">
        <v>23</v>
      </c>
      <c r="T26" s="17" t="s">
        <v>24</v>
      </c>
      <c r="U26" s="17" t="s">
        <v>25</v>
      </c>
    </row>
    <row r="27" spans="1:24" ht="18" customHeight="1">
      <c r="B27" s="85" t="s">
        <v>26</v>
      </c>
      <c r="C27" s="86"/>
      <c r="D27" s="86"/>
      <c r="E27" s="86"/>
      <c r="F27" s="87"/>
      <c r="G27" s="19">
        <v>1</v>
      </c>
      <c r="H27" s="19" t="s">
        <v>27</v>
      </c>
      <c r="I27" s="19" t="s">
        <v>27</v>
      </c>
      <c r="J27" s="19" t="s">
        <v>27</v>
      </c>
      <c r="K27" s="107"/>
      <c r="L27" s="108"/>
      <c r="M27" s="108"/>
      <c r="N27" s="108"/>
      <c r="O27" s="108"/>
      <c r="P27" s="108"/>
      <c r="Q27" s="109"/>
      <c r="R27" s="18"/>
      <c r="S27" s="18"/>
      <c r="T27" s="18"/>
      <c r="U27" s="18"/>
    </row>
    <row r="28" spans="1:24" ht="18" customHeight="1">
      <c r="B28" s="88" t="s">
        <v>28</v>
      </c>
      <c r="C28" s="89"/>
      <c r="D28" s="89"/>
      <c r="E28" s="89"/>
      <c r="F28" s="90"/>
      <c r="G28" s="19">
        <v>1</v>
      </c>
      <c r="H28" s="19" t="s">
        <v>27</v>
      </c>
      <c r="I28" s="19" t="s">
        <v>27</v>
      </c>
      <c r="J28" s="19" t="s">
        <v>27</v>
      </c>
      <c r="K28" s="88"/>
      <c r="L28" s="89"/>
      <c r="M28" s="89"/>
      <c r="N28" s="89"/>
      <c r="O28" s="89"/>
      <c r="P28" s="89"/>
      <c r="Q28" s="90"/>
      <c r="R28" s="19"/>
      <c r="S28" s="19"/>
      <c r="T28" s="19"/>
      <c r="U28" s="19"/>
    </row>
    <row r="29" spans="1:24" ht="18" customHeight="1">
      <c r="B29" s="88"/>
      <c r="C29" s="89"/>
      <c r="D29" s="89"/>
      <c r="E29" s="89"/>
      <c r="F29" s="90"/>
      <c r="G29" s="19"/>
      <c r="H29" s="19"/>
      <c r="I29" s="19"/>
      <c r="J29" s="19"/>
      <c r="K29" s="88"/>
      <c r="L29" s="89"/>
      <c r="M29" s="89"/>
      <c r="N29" s="89"/>
      <c r="O29" s="89"/>
      <c r="P29" s="89"/>
      <c r="Q29" s="90"/>
      <c r="R29" s="19"/>
      <c r="S29" s="19"/>
      <c r="T29" s="19"/>
      <c r="U29" s="19"/>
    </row>
    <row r="30" spans="1:24" ht="18" customHeight="1">
      <c r="B30" s="88"/>
      <c r="C30" s="89"/>
      <c r="D30" s="89"/>
      <c r="E30" s="89"/>
      <c r="F30" s="90"/>
      <c r="G30" s="19"/>
      <c r="H30" s="19"/>
      <c r="I30" s="19"/>
      <c r="J30" s="19"/>
      <c r="K30" s="88"/>
      <c r="L30" s="89"/>
      <c r="M30" s="89"/>
      <c r="N30" s="89"/>
      <c r="O30" s="89"/>
      <c r="P30" s="89"/>
      <c r="Q30" s="90"/>
      <c r="R30" s="19"/>
      <c r="S30" s="19"/>
      <c r="T30" s="19"/>
      <c r="U30" s="19"/>
    </row>
    <row r="31" spans="1:24" ht="18" customHeight="1">
      <c r="B31" s="88"/>
      <c r="C31" s="89"/>
      <c r="D31" s="89"/>
      <c r="E31" s="89"/>
      <c r="F31" s="90"/>
      <c r="G31" s="19"/>
      <c r="H31" s="19"/>
      <c r="I31" s="19"/>
      <c r="J31" s="19"/>
      <c r="K31" s="88"/>
      <c r="L31" s="89"/>
      <c r="M31" s="89"/>
      <c r="N31" s="89"/>
      <c r="O31" s="89"/>
      <c r="P31" s="89"/>
      <c r="Q31" s="90"/>
      <c r="R31" s="19"/>
      <c r="S31" s="19"/>
      <c r="T31" s="19"/>
      <c r="U31" s="19"/>
    </row>
    <row r="32" spans="1:24" ht="18" customHeight="1">
      <c r="A32" s="3"/>
      <c r="B32" s="88"/>
      <c r="C32" s="89"/>
      <c r="D32" s="89"/>
      <c r="E32" s="89"/>
      <c r="F32" s="90"/>
      <c r="G32" s="19"/>
      <c r="H32" s="19"/>
      <c r="I32" s="19"/>
      <c r="J32" s="19"/>
      <c r="K32" s="88"/>
      <c r="L32" s="89"/>
      <c r="M32" s="89"/>
      <c r="N32" s="89"/>
      <c r="O32" s="89"/>
      <c r="P32" s="89"/>
      <c r="Q32" s="90"/>
      <c r="R32" s="19"/>
      <c r="S32" s="19"/>
      <c r="T32" s="19"/>
      <c r="U32" s="19"/>
    </row>
    <row r="33" spans="1:21" ht="18" customHeight="1">
      <c r="A33" s="3"/>
      <c r="B33" s="121"/>
      <c r="C33" s="122"/>
      <c r="D33" s="122"/>
      <c r="E33" s="122"/>
      <c r="F33" s="123"/>
      <c r="G33" s="20"/>
      <c r="H33" s="20"/>
      <c r="I33" s="21"/>
      <c r="J33" s="21"/>
      <c r="K33" s="121"/>
      <c r="L33" s="122"/>
      <c r="M33" s="122"/>
      <c r="N33" s="122"/>
      <c r="O33" s="122"/>
      <c r="P33" s="122"/>
      <c r="Q33" s="123"/>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03" t="s">
        <v>29</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c r="B37" s="104" t="s">
        <v>21</v>
      </c>
      <c r="C37" s="105"/>
      <c r="D37" s="105"/>
      <c r="E37" s="105"/>
      <c r="F37" s="106"/>
      <c r="G37" s="51" t="s">
        <v>22</v>
      </c>
      <c r="H37" s="50" t="s">
        <v>23</v>
      </c>
      <c r="I37" s="17" t="s">
        <v>30</v>
      </c>
      <c r="J37" s="17" t="s">
        <v>31</v>
      </c>
      <c r="K37" s="104" t="s">
        <v>21</v>
      </c>
      <c r="L37" s="105"/>
      <c r="M37" s="105"/>
      <c r="N37" s="105"/>
      <c r="O37" s="105"/>
      <c r="P37" s="105"/>
      <c r="Q37" s="106"/>
      <c r="R37" s="51" t="s">
        <v>22</v>
      </c>
      <c r="S37" s="50" t="s">
        <v>23</v>
      </c>
      <c r="T37" s="17" t="s">
        <v>30</v>
      </c>
      <c r="U37" s="17" t="s">
        <v>31</v>
      </c>
    </row>
    <row r="38" spans="1:21" ht="18" customHeight="1">
      <c r="B38" s="85" t="s">
        <v>26</v>
      </c>
      <c r="C38" s="86"/>
      <c r="D38" s="86"/>
      <c r="E38" s="86"/>
      <c r="F38" s="87"/>
      <c r="G38" s="19">
        <v>1</v>
      </c>
      <c r="H38" s="19" t="s">
        <v>27</v>
      </c>
      <c r="I38" s="19"/>
      <c r="J38" s="19" t="s">
        <v>27</v>
      </c>
      <c r="K38" s="107"/>
      <c r="L38" s="108"/>
      <c r="M38" s="108"/>
      <c r="N38" s="108"/>
      <c r="O38" s="108"/>
      <c r="P38" s="108"/>
      <c r="Q38" s="109"/>
      <c r="R38" s="18"/>
      <c r="S38" s="18"/>
      <c r="T38" s="18"/>
      <c r="U38" s="18"/>
    </row>
    <row r="39" spans="1:21" ht="18" customHeight="1">
      <c r="B39" s="88" t="s">
        <v>28</v>
      </c>
      <c r="C39" s="89"/>
      <c r="D39" s="89"/>
      <c r="E39" s="89"/>
      <c r="F39" s="90"/>
      <c r="G39" s="19">
        <v>1</v>
      </c>
      <c r="H39" s="19" t="s">
        <v>27</v>
      </c>
      <c r="I39" s="19" t="s">
        <v>27</v>
      </c>
      <c r="J39" s="19" t="s">
        <v>27</v>
      </c>
      <c r="K39" s="88"/>
      <c r="L39" s="89"/>
      <c r="M39" s="89"/>
      <c r="N39" s="89"/>
      <c r="O39" s="89"/>
      <c r="P39" s="89"/>
      <c r="Q39" s="90"/>
      <c r="R39" s="19"/>
      <c r="S39" s="19"/>
      <c r="T39" s="19"/>
      <c r="U39" s="19"/>
    </row>
    <row r="40" spans="1:21" ht="18" customHeight="1">
      <c r="B40" s="88"/>
      <c r="C40" s="89"/>
      <c r="D40" s="89"/>
      <c r="E40" s="89"/>
      <c r="F40" s="90"/>
      <c r="G40" s="19"/>
      <c r="H40" s="19"/>
      <c r="I40" s="19"/>
      <c r="J40" s="19"/>
      <c r="K40" s="88"/>
      <c r="L40" s="89"/>
      <c r="M40" s="89"/>
      <c r="N40" s="89"/>
      <c r="O40" s="89"/>
      <c r="P40" s="89"/>
      <c r="Q40" s="90"/>
      <c r="R40" s="19"/>
      <c r="S40" s="19"/>
      <c r="T40" s="19"/>
      <c r="U40" s="19"/>
    </row>
    <row r="41" spans="1:21" ht="18" customHeight="1">
      <c r="B41" s="88"/>
      <c r="C41" s="89"/>
      <c r="D41" s="89"/>
      <c r="E41" s="89"/>
      <c r="F41" s="90"/>
      <c r="G41" s="19"/>
      <c r="H41" s="19"/>
      <c r="I41" s="19"/>
      <c r="J41" s="19"/>
      <c r="K41" s="88"/>
      <c r="L41" s="89"/>
      <c r="M41" s="89"/>
      <c r="N41" s="89"/>
      <c r="O41" s="89"/>
      <c r="P41" s="89"/>
      <c r="Q41" s="90"/>
      <c r="R41" s="19"/>
      <c r="S41" s="19"/>
      <c r="T41" s="19"/>
      <c r="U41" s="19"/>
    </row>
    <row r="42" spans="1:21" ht="18" customHeight="1">
      <c r="B42" s="88"/>
      <c r="C42" s="89"/>
      <c r="D42" s="89"/>
      <c r="E42" s="89"/>
      <c r="F42" s="90"/>
      <c r="G42" s="19"/>
      <c r="H42" s="19"/>
      <c r="I42" s="19"/>
      <c r="J42" s="19"/>
      <c r="K42" s="88"/>
      <c r="L42" s="89"/>
      <c r="M42" s="89"/>
      <c r="N42" s="89"/>
      <c r="O42" s="89"/>
      <c r="P42" s="89"/>
      <c r="Q42" s="90"/>
      <c r="R42" s="19"/>
      <c r="S42" s="19"/>
      <c r="T42" s="19"/>
      <c r="U42" s="19"/>
    </row>
    <row r="43" spans="1:21" ht="18" customHeight="1">
      <c r="B43" s="88"/>
      <c r="C43" s="89"/>
      <c r="D43" s="89"/>
      <c r="E43" s="89"/>
      <c r="F43" s="90"/>
      <c r="G43" s="19"/>
      <c r="H43" s="19"/>
      <c r="I43" s="19"/>
      <c r="J43" s="19"/>
      <c r="K43" s="88"/>
      <c r="L43" s="89"/>
      <c r="M43" s="89"/>
      <c r="N43" s="89"/>
      <c r="O43" s="89"/>
      <c r="P43" s="89"/>
      <c r="Q43" s="90"/>
      <c r="R43" s="19"/>
      <c r="S43" s="19"/>
      <c r="T43" s="19"/>
      <c r="U43" s="19"/>
    </row>
    <row r="44" spans="1:21" ht="18" customHeight="1">
      <c r="B44" s="121"/>
      <c r="C44" s="122"/>
      <c r="D44" s="122"/>
      <c r="E44" s="122"/>
      <c r="F44" s="123"/>
      <c r="G44" s="20"/>
      <c r="H44" s="20"/>
      <c r="I44" s="21"/>
      <c r="J44" s="21"/>
      <c r="K44" s="121"/>
      <c r="L44" s="122"/>
      <c r="M44" s="122"/>
      <c r="N44" s="122"/>
      <c r="O44" s="122"/>
      <c r="P44" s="122"/>
      <c r="Q44" s="123"/>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03" t="s">
        <v>32</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c r="B48" s="104" t="s">
        <v>21</v>
      </c>
      <c r="C48" s="105"/>
      <c r="D48" s="105"/>
      <c r="E48" s="105"/>
      <c r="F48" s="106"/>
      <c r="G48" s="51" t="s">
        <v>22</v>
      </c>
      <c r="H48" s="50" t="s">
        <v>23</v>
      </c>
      <c r="I48" s="17" t="s">
        <v>33</v>
      </c>
      <c r="J48" s="17" t="s">
        <v>34</v>
      </c>
      <c r="K48" s="104" t="s">
        <v>21</v>
      </c>
      <c r="L48" s="105"/>
      <c r="M48" s="105"/>
      <c r="N48" s="105"/>
      <c r="O48" s="105"/>
      <c r="P48" s="105"/>
      <c r="Q48" s="106"/>
      <c r="R48" s="51" t="s">
        <v>22</v>
      </c>
      <c r="S48" s="50" t="s">
        <v>23</v>
      </c>
      <c r="T48" s="17" t="s">
        <v>33</v>
      </c>
      <c r="U48" s="17" t="s">
        <v>34</v>
      </c>
    </row>
    <row r="49" spans="1:21" ht="18" customHeight="1">
      <c r="A49" s="3"/>
      <c r="B49" s="107" t="s">
        <v>35</v>
      </c>
      <c r="C49" s="108"/>
      <c r="D49" s="108"/>
      <c r="E49" s="108"/>
      <c r="F49" s="109"/>
      <c r="G49" s="18">
        <v>1</v>
      </c>
      <c r="H49" s="18" t="s">
        <v>27</v>
      </c>
      <c r="I49" s="18" t="s">
        <v>27</v>
      </c>
      <c r="J49" s="18"/>
      <c r="K49" s="107"/>
      <c r="L49" s="108"/>
      <c r="M49" s="108"/>
      <c r="N49" s="108"/>
      <c r="O49" s="108"/>
      <c r="P49" s="108"/>
      <c r="Q49" s="109"/>
      <c r="R49" s="18"/>
      <c r="S49" s="18"/>
      <c r="T49" s="18"/>
      <c r="U49" s="18"/>
    </row>
    <row r="50" spans="1:21" ht="18" customHeight="1">
      <c r="A50" s="3"/>
      <c r="B50" s="88" t="s">
        <v>26</v>
      </c>
      <c r="C50" s="89"/>
      <c r="D50" s="89"/>
      <c r="E50" s="89"/>
      <c r="F50" s="90"/>
      <c r="G50" s="19">
        <v>1</v>
      </c>
      <c r="H50" s="19" t="s">
        <v>27</v>
      </c>
      <c r="I50" s="19"/>
      <c r="J50" s="19" t="s">
        <v>27</v>
      </c>
      <c r="K50" s="88"/>
      <c r="L50" s="89"/>
      <c r="M50" s="89"/>
      <c r="N50" s="89"/>
      <c r="O50" s="89"/>
      <c r="P50" s="89"/>
      <c r="Q50" s="90"/>
      <c r="R50" s="19"/>
      <c r="S50" s="19"/>
      <c r="T50" s="19"/>
      <c r="U50" s="19"/>
    </row>
    <row r="51" spans="1:21" ht="18" customHeight="1">
      <c r="A51" s="3"/>
      <c r="B51" s="88" t="s">
        <v>28</v>
      </c>
      <c r="C51" s="89"/>
      <c r="D51" s="89"/>
      <c r="E51" s="89"/>
      <c r="F51" s="90"/>
      <c r="G51" s="19">
        <v>1</v>
      </c>
      <c r="H51" s="19" t="s">
        <v>27</v>
      </c>
      <c r="I51" s="19"/>
      <c r="J51" s="19" t="s">
        <v>27</v>
      </c>
      <c r="K51" s="88"/>
      <c r="L51" s="89"/>
      <c r="M51" s="89"/>
      <c r="N51" s="89"/>
      <c r="O51" s="89"/>
      <c r="P51" s="89"/>
      <c r="Q51" s="90"/>
      <c r="R51" s="19"/>
      <c r="S51" s="19"/>
      <c r="T51" s="19"/>
      <c r="U51" s="19"/>
    </row>
    <row r="52" spans="1:21" ht="18" customHeight="1">
      <c r="A52" s="3"/>
      <c r="B52" s="88" t="s">
        <v>36</v>
      </c>
      <c r="C52" s="89"/>
      <c r="D52" s="89"/>
      <c r="E52" s="89"/>
      <c r="F52" s="90"/>
      <c r="G52" s="19">
        <v>1</v>
      </c>
      <c r="H52" s="19" t="s">
        <v>27</v>
      </c>
      <c r="I52" s="19"/>
      <c r="J52" s="19" t="s">
        <v>27</v>
      </c>
      <c r="K52" s="88"/>
      <c r="L52" s="89"/>
      <c r="M52" s="89"/>
      <c r="N52" s="89"/>
      <c r="O52" s="89"/>
      <c r="P52" s="89"/>
      <c r="Q52" s="90"/>
      <c r="R52" s="19"/>
      <c r="S52" s="19"/>
      <c r="T52" s="19"/>
      <c r="U52" s="19"/>
    </row>
    <row r="53" spans="1:21" ht="18" customHeight="1">
      <c r="A53" s="3"/>
      <c r="B53" s="88"/>
      <c r="C53" s="89"/>
      <c r="D53" s="89"/>
      <c r="E53" s="89"/>
      <c r="F53" s="90"/>
      <c r="G53" s="19"/>
      <c r="H53" s="19"/>
      <c r="I53" s="19"/>
      <c r="J53" s="19"/>
      <c r="K53" s="88"/>
      <c r="L53" s="89"/>
      <c r="M53" s="89"/>
      <c r="N53" s="89"/>
      <c r="O53" s="89"/>
      <c r="P53" s="89"/>
      <c r="Q53" s="90"/>
      <c r="R53" s="19"/>
      <c r="S53" s="19"/>
      <c r="T53" s="19"/>
      <c r="U53" s="19"/>
    </row>
    <row r="54" spans="1:21" ht="18" customHeight="1">
      <c r="A54" s="3"/>
      <c r="B54" s="88"/>
      <c r="C54" s="89"/>
      <c r="D54" s="89"/>
      <c r="E54" s="89"/>
      <c r="F54" s="90"/>
      <c r="G54" s="19"/>
      <c r="H54" s="19"/>
      <c r="I54" s="19"/>
      <c r="J54" s="19"/>
      <c r="K54" s="88"/>
      <c r="L54" s="89"/>
      <c r="M54" s="89"/>
      <c r="N54" s="89"/>
      <c r="O54" s="89"/>
      <c r="P54" s="89"/>
      <c r="Q54" s="90"/>
      <c r="R54" s="19"/>
      <c r="S54" s="19"/>
      <c r="T54" s="19"/>
      <c r="U54" s="19"/>
    </row>
    <row r="55" spans="1:21" ht="18" customHeight="1">
      <c r="A55" s="3"/>
      <c r="B55" s="121"/>
      <c r="C55" s="122"/>
      <c r="D55" s="122"/>
      <c r="E55" s="122"/>
      <c r="F55" s="123"/>
      <c r="G55" s="20"/>
      <c r="H55" s="20"/>
      <c r="I55" s="21"/>
      <c r="J55" s="21"/>
      <c r="K55" s="121"/>
      <c r="L55" s="122"/>
      <c r="M55" s="122"/>
      <c r="N55" s="122"/>
      <c r="O55" s="122"/>
      <c r="P55" s="122"/>
      <c r="Q55" s="123"/>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03" t="s">
        <v>37</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c r="B59" s="104" t="s">
        <v>21</v>
      </c>
      <c r="C59" s="105"/>
      <c r="D59" s="105"/>
      <c r="E59" s="105"/>
      <c r="F59" s="106"/>
      <c r="G59" s="51" t="s">
        <v>22</v>
      </c>
      <c r="H59" s="50" t="s">
        <v>23</v>
      </c>
      <c r="I59" s="17" t="s">
        <v>38</v>
      </c>
      <c r="J59" s="17" t="s">
        <v>39</v>
      </c>
      <c r="K59" s="104" t="s">
        <v>21</v>
      </c>
      <c r="L59" s="105"/>
      <c r="M59" s="105"/>
      <c r="N59" s="105"/>
      <c r="O59" s="105"/>
      <c r="P59" s="105"/>
      <c r="Q59" s="106"/>
      <c r="R59" s="51" t="s">
        <v>22</v>
      </c>
      <c r="S59" s="50" t="s">
        <v>23</v>
      </c>
      <c r="T59" s="17" t="s">
        <v>38</v>
      </c>
      <c r="U59" s="17" t="s">
        <v>39</v>
      </c>
    </row>
    <row r="60" spans="1:21" ht="18" customHeight="1">
      <c r="A60" s="3"/>
      <c r="B60" s="107" t="s">
        <v>35</v>
      </c>
      <c r="C60" s="108"/>
      <c r="D60" s="108"/>
      <c r="E60" s="108"/>
      <c r="F60" s="109"/>
      <c r="G60" s="18">
        <v>1</v>
      </c>
      <c r="H60" s="18" t="s">
        <v>27</v>
      </c>
      <c r="I60" s="18" t="s">
        <v>27</v>
      </c>
      <c r="J60" s="18" t="s">
        <v>27</v>
      </c>
      <c r="K60" s="107"/>
      <c r="L60" s="108"/>
      <c r="M60" s="108"/>
      <c r="N60" s="108"/>
      <c r="O60" s="108"/>
      <c r="P60" s="108"/>
      <c r="Q60" s="109"/>
      <c r="R60" s="18"/>
      <c r="S60" s="18"/>
      <c r="T60" s="18"/>
      <c r="U60" s="18"/>
    </row>
    <row r="61" spans="1:21" ht="18" customHeight="1">
      <c r="A61" s="3"/>
      <c r="B61" s="88"/>
      <c r="C61" s="89"/>
      <c r="D61" s="89"/>
      <c r="E61" s="89"/>
      <c r="F61" s="90"/>
      <c r="G61" s="19"/>
      <c r="H61" s="19"/>
      <c r="I61" s="19"/>
      <c r="J61" s="19"/>
      <c r="K61" s="88"/>
      <c r="L61" s="89"/>
      <c r="M61" s="89"/>
      <c r="N61" s="89"/>
      <c r="O61" s="89"/>
      <c r="P61" s="89"/>
      <c r="Q61" s="90"/>
      <c r="R61" s="19"/>
      <c r="S61" s="19"/>
      <c r="T61" s="19"/>
      <c r="U61" s="19"/>
    </row>
    <row r="62" spans="1:21" ht="18" customHeight="1">
      <c r="A62" s="3"/>
      <c r="B62" s="88"/>
      <c r="C62" s="89"/>
      <c r="D62" s="89"/>
      <c r="E62" s="89"/>
      <c r="F62" s="90"/>
      <c r="G62" s="19"/>
      <c r="H62" s="19"/>
      <c r="I62" s="19"/>
      <c r="J62" s="19"/>
      <c r="K62" s="88"/>
      <c r="L62" s="89"/>
      <c r="M62" s="89"/>
      <c r="N62" s="89"/>
      <c r="O62" s="89"/>
      <c r="P62" s="89"/>
      <c r="Q62" s="90"/>
      <c r="R62" s="19"/>
      <c r="S62" s="19"/>
      <c r="T62" s="19"/>
      <c r="U62" s="19"/>
    </row>
    <row r="63" spans="1:21" ht="18" customHeight="1">
      <c r="A63" s="3"/>
      <c r="B63" s="88"/>
      <c r="C63" s="89"/>
      <c r="D63" s="89"/>
      <c r="E63" s="89"/>
      <c r="F63" s="90"/>
      <c r="G63" s="19"/>
      <c r="H63" s="19"/>
      <c r="I63" s="19"/>
      <c r="J63" s="19"/>
      <c r="K63" s="88"/>
      <c r="L63" s="89"/>
      <c r="M63" s="89"/>
      <c r="N63" s="89"/>
      <c r="O63" s="89"/>
      <c r="P63" s="89"/>
      <c r="Q63" s="90"/>
      <c r="R63" s="19"/>
      <c r="S63" s="19"/>
      <c r="T63" s="19"/>
      <c r="U63" s="19"/>
    </row>
    <row r="64" spans="1:21" ht="18" customHeight="1">
      <c r="A64" s="3"/>
      <c r="B64" s="88"/>
      <c r="C64" s="89"/>
      <c r="D64" s="89"/>
      <c r="E64" s="89"/>
      <c r="F64" s="90"/>
      <c r="G64" s="19"/>
      <c r="H64" s="19"/>
      <c r="I64" s="19"/>
      <c r="J64" s="19"/>
      <c r="K64" s="88"/>
      <c r="L64" s="89"/>
      <c r="M64" s="89"/>
      <c r="N64" s="89"/>
      <c r="O64" s="89"/>
      <c r="P64" s="89"/>
      <c r="Q64" s="90"/>
      <c r="R64" s="19"/>
      <c r="S64" s="19"/>
      <c r="T64" s="19"/>
      <c r="U64" s="19"/>
    </row>
    <row r="65" spans="1:21" ht="18" customHeight="1">
      <c r="A65" s="3"/>
      <c r="B65" s="88"/>
      <c r="C65" s="89"/>
      <c r="D65" s="89"/>
      <c r="E65" s="89"/>
      <c r="F65" s="90"/>
      <c r="G65" s="19"/>
      <c r="H65" s="19"/>
      <c r="I65" s="19"/>
      <c r="J65" s="19"/>
      <c r="K65" s="88"/>
      <c r="L65" s="89"/>
      <c r="M65" s="89"/>
      <c r="N65" s="89"/>
      <c r="O65" s="89"/>
      <c r="P65" s="89"/>
      <c r="Q65" s="90"/>
      <c r="R65" s="19"/>
      <c r="S65" s="19"/>
      <c r="T65" s="19"/>
      <c r="U65" s="19"/>
    </row>
    <row r="66" spans="1:21" ht="18" customHeight="1">
      <c r="A66" s="3"/>
      <c r="B66" s="121"/>
      <c r="C66" s="122"/>
      <c r="D66" s="122"/>
      <c r="E66" s="122"/>
      <c r="F66" s="123"/>
      <c r="G66" s="20"/>
      <c r="H66" s="20"/>
      <c r="I66" s="21"/>
      <c r="J66" s="21"/>
      <c r="K66" s="121"/>
      <c r="L66" s="122"/>
      <c r="M66" s="122"/>
      <c r="N66" s="122"/>
      <c r="O66" s="122"/>
      <c r="P66" s="122"/>
      <c r="Q66" s="123"/>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03" t="s">
        <v>40</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c r="B70" s="104" t="s">
        <v>21</v>
      </c>
      <c r="C70" s="105"/>
      <c r="D70" s="105"/>
      <c r="E70" s="105"/>
      <c r="F70" s="51" t="s">
        <v>22</v>
      </c>
      <c r="G70" s="50" t="s">
        <v>23</v>
      </c>
      <c r="H70" s="17" t="s">
        <v>41</v>
      </c>
      <c r="I70" s="17" t="s">
        <v>42</v>
      </c>
      <c r="J70" s="17" t="s">
        <v>43</v>
      </c>
      <c r="K70" s="104" t="s">
        <v>21</v>
      </c>
      <c r="L70" s="105"/>
      <c r="M70" s="105"/>
      <c r="N70" s="105"/>
      <c r="O70" s="105"/>
      <c r="P70" s="106"/>
      <c r="Q70" s="51" t="s">
        <v>22</v>
      </c>
      <c r="R70" s="50" t="s">
        <v>23</v>
      </c>
      <c r="S70" s="17" t="s">
        <v>41</v>
      </c>
      <c r="T70" s="17" t="s">
        <v>42</v>
      </c>
      <c r="U70" s="17" t="s">
        <v>43</v>
      </c>
    </row>
    <row r="71" spans="1:21" ht="18" customHeight="1">
      <c r="A71" s="3"/>
      <c r="B71" s="107" t="s">
        <v>35</v>
      </c>
      <c r="C71" s="108"/>
      <c r="D71" s="108"/>
      <c r="E71" s="109"/>
      <c r="F71" s="18">
        <v>1</v>
      </c>
      <c r="G71" s="18" t="s">
        <v>27</v>
      </c>
      <c r="H71" s="18"/>
      <c r="I71" s="18" t="s">
        <v>27</v>
      </c>
      <c r="J71" s="18" t="s">
        <v>27</v>
      </c>
      <c r="K71" s="107"/>
      <c r="L71" s="108"/>
      <c r="M71" s="108"/>
      <c r="N71" s="108"/>
      <c r="O71" s="108"/>
      <c r="P71" s="109"/>
      <c r="Q71" s="18"/>
      <c r="R71" s="18"/>
      <c r="S71" s="18"/>
      <c r="T71" s="18"/>
      <c r="U71" s="18"/>
    </row>
    <row r="72" spans="1:21" ht="18" customHeight="1">
      <c r="A72" s="3"/>
      <c r="B72" s="88" t="s">
        <v>26</v>
      </c>
      <c r="C72" s="89"/>
      <c r="D72" s="89"/>
      <c r="E72" s="90"/>
      <c r="F72" s="19">
        <v>1</v>
      </c>
      <c r="G72" s="19" t="s">
        <v>27</v>
      </c>
      <c r="H72" s="19" t="s">
        <v>27</v>
      </c>
      <c r="I72" s="19"/>
      <c r="J72" s="19" t="s">
        <v>27</v>
      </c>
      <c r="K72" s="88"/>
      <c r="L72" s="89"/>
      <c r="M72" s="89"/>
      <c r="N72" s="89"/>
      <c r="O72" s="89"/>
      <c r="P72" s="90"/>
      <c r="Q72" s="19"/>
      <c r="R72" s="19"/>
      <c r="S72" s="19"/>
      <c r="T72" s="19"/>
      <c r="U72" s="19"/>
    </row>
    <row r="73" spans="1:21" ht="18" customHeight="1">
      <c r="A73" s="3"/>
      <c r="B73" s="88" t="s">
        <v>28</v>
      </c>
      <c r="C73" s="89"/>
      <c r="D73" s="89"/>
      <c r="E73" s="90"/>
      <c r="F73" s="19">
        <v>1</v>
      </c>
      <c r="G73" s="19" t="s">
        <v>27</v>
      </c>
      <c r="H73" s="19" t="s">
        <v>27</v>
      </c>
      <c r="I73" s="19" t="s">
        <v>27</v>
      </c>
      <c r="J73" s="19"/>
      <c r="K73" s="88"/>
      <c r="L73" s="89"/>
      <c r="M73" s="89"/>
      <c r="N73" s="89"/>
      <c r="O73" s="89"/>
      <c r="P73" s="90"/>
      <c r="Q73" s="19"/>
      <c r="R73" s="19"/>
      <c r="S73" s="19"/>
      <c r="T73" s="19"/>
      <c r="U73" s="19"/>
    </row>
    <row r="74" spans="1:21" ht="18" customHeight="1">
      <c r="A74" s="3"/>
      <c r="B74" s="88"/>
      <c r="C74" s="89"/>
      <c r="D74" s="89"/>
      <c r="E74" s="90"/>
      <c r="F74" s="19"/>
      <c r="G74" s="19"/>
      <c r="H74" s="19"/>
      <c r="I74" s="19"/>
      <c r="J74" s="19"/>
      <c r="K74" s="88"/>
      <c r="L74" s="89"/>
      <c r="M74" s="89"/>
      <c r="N74" s="89"/>
      <c r="O74" s="89"/>
      <c r="P74" s="90"/>
      <c r="Q74" s="19"/>
      <c r="R74" s="19"/>
      <c r="S74" s="19"/>
      <c r="T74" s="19"/>
      <c r="U74" s="19"/>
    </row>
    <row r="75" spans="1:21" ht="18" customHeight="1">
      <c r="A75" s="3"/>
      <c r="B75" s="88"/>
      <c r="C75" s="89"/>
      <c r="D75" s="89"/>
      <c r="E75" s="89"/>
      <c r="F75" s="19"/>
      <c r="G75" s="19"/>
      <c r="H75" s="19"/>
      <c r="I75" s="19"/>
      <c r="J75" s="19"/>
      <c r="K75" s="88"/>
      <c r="L75" s="89"/>
      <c r="M75" s="89"/>
      <c r="N75" s="89"/>
      <c r="O75" s="89"/>
      <c r="P75" s="90"/>
      <c r="Q75" s="19"/>
      <c r="R75" s="19"/>
      <c r="S75" s="19"/>
      <c r="T75" s="19"/>
      <c r="U75" s="19"/>
    </row>
    <row r="76" spans="1:21" ht="18" customHeight="1">
      <c r="A76" s="3"/>
      <c r="B76" s="88"/>
      <c r="C76" s="89"/>
      <c r="D76" s="89"/>
      <c r="E76" s="89"/>
      <c r="F76" s="19"/>
      <c r="G76" s="19"/>
      <c r="H76" s="19"/>
      <c r="I76" s="19"/>
      <c r="J76" s="19"/>
      <c r="K76" s="88"/>
      <c r="L76" s="89"/>
      <c r="M76" s="89"/>
      <c r="N76" s="89"/>
      <c r="O76" s="89"/>
      <c r="P76" s="90"/>
      <c r="Q76" s="19"/>
      <c r="R76" s="19"/>
      <c r="S76" s="19"/>
      <c r="T76" s="19"/>
      <c r="U76" s="19"/>
    </row>
    <row r="77" spans="1:21" ht="18" customHeight="1">
      <c r="A77" s="3"/>
      <c r="B77" s="121"/>
      <c r="C77" s="122"/>
      <c r="D77" s="122"/>
      <c r="E77" s="122"/>
      <c r="F77" s="20"/>
      <c r="G77" s="20"/>
      <c r="H77" s="21"/>
      <c r="I77" s="21"/>
      <c r="J77" s="21"/>
      <c r="K77" s="121"/>
      <c r="L77" s="122"/>
      <c r="M77" s="122"/>
      <c r="N77" s="122"/>
      <c r="O77" s="122"/>
      <c r="P77" s="123"/>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44</v>
      </c>
      <c r="I79" s="3"/>
      <c r="J79" s="3"/>
      <c r="K79" s="3"/>
      <c r="L79" s="3"/>
      <c r="M79" s="3"/>
      <c r="N79" s="3"/>
      <c r="O79" s="3"/>
      <c r="P79" s="3"/>
      <c r="Q79" s="3"/>
      <c r="R79" s="3"/>
      <c r="S79" s="3"/>
      <c r="T79" s="3"/>
      <c r="U79" s="3"/>
    </row>
    <row r="80" spans="1:21" ht="18" customHeight="1">
      <c r="B80" s="104" t="s">
        <v>21</v>
      </c>
      <c r="C80" s="105"/>
      <c r="D80" s="105"/>
      <c r="E80" s="105"/>
      <c r="F80" s="106"/>
      <c r="G80" s="104" t="s">
        <v>45</v>
      </c>
      <c r="H80" s="105"/>
      <c r="I80" s="105"/>
      <c r="J80" s="106"/>
      <c r="K80" s="124" t="s">
        <v>21</v>
      </c>
      <c r="L80" s="125"/>
      <c r="M80" s="125"/>
      <c r="N80" s="125"/>
      <c r="O80" s="125"/>
      <c r="P80" s="125"/>
      <c r="Q80" s="126"/>
      <c r="R80" s="104" t="s">
        <v>45</v>
      </c>
      <c r="S80" s="105"/>
      <c r="T80" s="105"/>
      <c r="U80" s="106"/>
    </row>
    <row r="81" spans="1:21" ht="18" customHeight="1">
      <c r="A81" s="3"/>
      <c r="B81" s="107"/>
      <c r="C81" s="108"/>
      <c r="D81" s="108"/>
      <c r="E81" s="108"/>
      <c r="F81" s="109"/>
      <c r="G81" s="130"/>
      <c r="H81" s="131"/>
      <c r="I81" s="131"/>
      <c r="J81" s="132"/>
      <c r="K81" s="107"/>
      <c r="L81" s="108"/>
      <c r="M81" s="108"/>
      <c r="N81" s="108"/>
      <c r="O81" s="108"/>
      <c r="P81" s="108"/>
      <c r="Q81" s="109"/>
      <c r="R81" s="130"/>
      <c r="S81" s="131"/>
      <c r="T81" s="131"/>
      <c r="U81" s="132"/>
    </row>
    <row r="82" spans="1:21" ht="18" customHeight="1">
      <c r="A82" s="3"/>
      <c r="B82" s="88"/>
      <c r="C82" s="89"/>
      <c r="D82" s="89"/>
      <c r="E82" s="89"/>
      <c r="F82" s="90"/>
      <c r="G82" s="127"/>
      <c r="H82" s="128"/>
      <c r="I82" s="128"/>
      <c r="J82" s="129"/>
      <c r="K82" s="88"/>
      <c r="L82" s="89"/>
      <c r="M82" s="89"/>
      <c r="N82" s="89"/>
      <c r="O82" s="89"/>
      <c r="P82" s="89"/>
      <c r="Q82" s="90"/>
      <c r="R82" s="127"/>
      <c r="S82" s="128"/>
      <c r="T82" s="128"/>
      <c r="U82" s="129"/>
    </row>
    <row r="83" spans="1:21" ht="18" customHeight="1">
      <c r="A83" s="3"/>
      <c r="B83" s="88"/>
      <c r="C83" s="89"/>
      <c r="D83" s="89"/>
      <c r="E83" s="89"/>
      <c r="F83" s="90"/>
      <c r="G83" s="127"/>
      <c r="H83" s="128"/>
      <c r="I83" s="128"/>
      <c r="J83" s="129"/>
      <c r="K83" s="88"/>
      <c r="L83" s="89"/>
      <c r="M83" s="89"/>
      <c r="N83" s="89"/>
      <c r="O83" s="89"/>
      <c r="P83" s="89"/>
      <c r="Q83" s="90"/>
      <c r="R83" s="127"/>
      <c r="S83" s="128"/>
      <c r="T83" s="128"/>
      <c r="U83" s="129"/>
    </row>
    <row r="84" spans="1:21" ht="18" customHeight="1">
      <c r="A84" s="3"/>
      <c r="B84" s="88"/>
      <c r="C84" s="89"/>
      <c r="D84" s="89"/>
      <c r="E84" s="89"/>
      <c r="F84" s="90"/>
      <c r="G84" s="127"/>
      <c r="H84" s="128"/>
      <c r="I84" s="128"/>
      <c r="J84" s="129"/>
      <c r="K84" s="88"/>
      <c r="L84" s="89"/>
      <c r="M84" s="89"/>
      <c r="N84" s="89"/>
      <c r="O84" s="89"/>
      <c r="P84" s="89"/>
      <c r="Q84" s="90"/>
      <c r="R84" s="127"/>
      <c r="S84" s="128"/>
      <c r="T84" s="128"/>
      <c r="U84" s="129"/>
    </row>
    <row r="85" spans="1:21" ht="18" customHeight="1">
      <c r="A85" s="3"/>
      <c r="B85" s="88"/>
      <c r="C85" s="89"/>
      <c r="D85" s="89"/>
      <c r="E85" s="89"/>
      <c r="F85" s="90"/>
      <c r="G85" s="127"/>
      <c r="H85" s="128"/>
      <c r="I85" s="128"/>
      <c r="J85" s="129"/>
      <c r="K85" s="88"/>
      <c r="L85" s="89"/>
      <c r="M85" s="89"/>
      <c r="N85" s="89"/>
      <c r="O85" s="89"/>
      <c r="P85" s="89"/>
      <c r="Q85" s="90"/>
      <c r="R85" s="127"/>
      <c r="S85" s="128"/>
      <c r="T85" s="128"/>
      <c r="U85" s="129"/>
    </row>
    <row r="86" spans="1:21" ht="18" customHeight="1">
      <c r="A86" s="3"/>
      <c r="B86" s="88"/>
      <c r="C86" s="89"/>
      <c r="D86" s="89"/>
      <c r="E86" s="89"/>
      <c r="F86" s="90"/>
      <c r="G86" s="127"/>
      <c r="H86" s="128"/>
      <c r="I86" s="128"/>
      <c r="J86" s="129"/>
      <c r="K86" s="88"/>
      <c r="L86" s="89"/>
      <c r="M86" s="89"/>
      <c r="N86" s="89"/>
      <c r="O86" s="89"/>
      <c r="P86" s="89"/>
      <c r="Q86" s="90"/>
      <c r="R86" s="127"/>
      <c r="S86" s="128"/>
      <c r="T86" s="128"/>
      <c r="U86" s="129"/>
    </row>
    <row r="87" spans="1:21" ht="18" customHeight="1">
      <c r="A87" s="3"/>
      <c r="B87" s="121"/>
      <c r="C87" s="122"/>
      <c r="D87" s="122"/>
      <c r="E87" s="122"/>
      <c r="F87" s="123"/>
      <c r="G87" s="133"/>
      <c r="H87" s="134"/>
      <c r="I87" s="134"/>
      <c r="J87" s="135"/>
      <c r="K87" s="121"/>
      <c r="L87" s="122"/>
      <c r="M87" s="122"/>
      <c r="N87" s="122"/>
      <c r="O87" s="122"/>
      <c r="P87" s="122"/>
      <c r="Q87" s="123"/>
      <c r="R87" s="133"/>
      <c r="S87" s="134"/>
      <c r="T87" s="134"/>
      <c r="U87" s="135"/>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46</v>
      </c>
    </row>
    <row r="90" spans="1:21" ht="18.75" customHeight="1">
      <c r="B90" s="136" t="s">
        <v>47</v>
      </c>
      <c r="C90" s="137"/>
      <c r="D90" s="104" t="s">
        <v>48</v>
      </c>
      <c r="E90" s="105"/>
      <c r="F90" s="105"/>
      <c r="G90" s="105"/>
      <c r="H90" s="105"/>
      <c r="I90" s="105"/>
      <c r="J90" s="105"/>
      <c r="K90" s="105"/>
      <c r="L90" s="105"/>
      <c r="M90" s="105"/>
      <c r="N90" s="105"/>
      <c r="O90" s="105"/>
      <c r="P90" s="105"/>
      <c r="Q90" s="105"/>
      <c r="R90" s="105"/>
      <c r="S90" s="105"/>
      <c r="T90" s="105"/>
      <c r="U90" s="106"/>
    </row>
    <row r="91" spans="1:21" ht="97.5" customHeight="1">
      <c r="B91" s="138" t="s">
        <v>49</v>
      </c>
      <c r="C91" s="23" t="s">
        <v>24</v>
      </c>
      <c r="D91" s="147" t="s">
        <v>50</v>
      </c>
      <c r="E91" s="148"/>
      <c r="F91" s="148"/>
      <c r="G91" s="148"/>
      <c r="H91" s="148"/>
      <c r="I91" s="148"/>
      <c r="J91" s="148"/>
      <c r="K91" s="148"/>
      <c r="L91" s="148"/>
      <c r="M91" s="148"/>
      <c r="N91" s="148"/>
      <c r="O91" s="148"/>
      <c r="P91" s="148"/>
      <c r="Q91" s="148"/>
      <c r="R91" s="148"/>
      <c r="S91" s="148"/>
      <c r="T91" s="148"/>
      <c r="U91" s="149"/>
    </row>
    <row r="92" spans="1:21" ht="97.5" customHeight="1">
      <c r="B92" s="146"/>
      <c r="C92" s="24" t="s">
        <v>51</v>
      </c>
      <c r="D92" s="252" t="s">
        <v>52</v>
      </c>
      <c r="E92" s="253"/>
      <c r="F92" s="253"/>
      <c r="G92" s="253"/>
      <c r="H92" s="253"/>
      <c r="I92" s="253"/>
      <c r="J92" s="253"/>
      <c r="K92" s="253"/>
      <c r="L92" s="253"/>
      <c r="M92" s="253"/>
      <c r="N92" s="253"/>
      <c r="O92" s="253"/>
      <c r="P92" s="253"/>
      <c r="Q92" s="253"/>
      <c r="R92" s="253"/>
      <c r="S92" s="253"/>
      <c r="T92" s="253"/>
      <c r="U92" s="254"/>
    </row>
    <row r="93" spans="1:21" ht="97.5" customHeight="1">
      <c r="B93" s="138" t="s">
        <v>53</v>
      </c>
      <c r="C93" s="25" t="s">
        <v>30</v>
      </c>
      <c r="D93" s="140" t="s">
        <v>54</v>
      </c>
      <c r="E93" s="141"/>
      <c r="F93" s="141"/>
      <c r="G93" s="141"/>
      <c r="H93" s="141"/>
      <c r="I93" s="141"/>
      <c r="J93" s="141"/>
      <c r="K93" s="141"/>
      <c r="L93" s="141"/>
      <c r="M93" s="141"/>
      <c r="N93" s="141"/>
      <c r="O93" s="141"/>
      <c r="P93" s="141"/>
      <c r="Q93" s="141"/>
      <c r="R93" s="141"/>
      <c r="S93" s="141"/>
      <c r="T93" s="141"/>
      <c r="U93" s="142"/>
    </row>
    <row r="94" spans="1:21" ht="97.5" customHeight="1">
      <c r="B94" s="139"/>
      <c r="C94" s="26" t="s">
        <v>31</v>
      </c>
      <c r="D94" s="143" t="s">
        <v>55</v>
      </c>
      <c r="E94" s="144"/>
      <c r="F94" s="144"/>
      <c r="G94" s="144"/>
      <c r="H94" s="144"/>
      <c r="I94" s="144"/>
      <c r="J94" s="144"/>
      <c r="K94" s="144"/>
      <c r="L94" s="144"/>
      <c r="M94" s="144"/>
      <c r="N94" s="144"/>
      <c r="O94" s="144"/>
      <c r="P94" s="144"/>
      <c r="Q94" s="144"/>
      <c r="R94" s="144"/>
      <c r="S94" s="144"/>
      <c r="T94" s="144"/>
      <c r="U94" s="145"/>
    </row>
    <row r="95" spans="1:21" ht="97.5" customHeight="1">
      <c r="B95" s="138" t="s">
        <v>56</v>
      </c>
      <c r="C95" s="25" t="s">
        <v>33</v>
      </c>
      <c r="D95" s="140" t="s">
        <v>57</v>
      </c>
      <c r="E95" s="141"/>
      <c r="F95" s="141"/>
      <c r="G95" s="141"/>
      <c r="H95" s="141"/>
      <c r="I95" s="141"/>
      <c r="J95" s="141"/>
      <c r="K95" s="141"/>
      <c r="L95" s="141"/>
      <c r="M95" s="141"/>
      <c r="N95" s="141"/>
      <c r="O95" s="141"/>
      <c r="P95" s="141"/>
      <c r="Q95" s="141"/>
      <c r="R95" s="141"/>
      <c r="S95" s="141"/>
      <c r="T95" s="141"/>
      <c r="U95" s="142"/>
    </row>
    <row r="96" spans="1:21" ht="97.5" customHeight="1">
      <c r="B96" s="139"/>
      <c r="C96" s="27" t="s">
        <v>34</v>
      </c>
      <c r="D96" s="143" t="s">
        <v>58</v>
      </c>
      <c r="E96" s="144"/>
      <c r="F96" s="144"/>
      <c r="G96" s="144"/>
      <c r="H96" s="144"/>
      <c r="I96" s="144"/>
      <c r="J96" s="144"/>
      <c r="K96" s="144"/>
      <c r="L96" s="144"/>
      <c r="M96" s="144"/>
      <c r="N96" s="144"/>
      <c r="O96" s="144"/>
      <c r="P96" s="144"/>
      <c r="Q96" s="144"/>
      <c r="R96" s="144"/>
      <c r="S96" s="144"/>
      <c r="T96" s="144"/>
      <c r="U96" s="145"/>
    </row>
    <row r="97" spans="1:33" ht="97.5" customHeight="1">
      <c r="B97" s="138" t="s">
        <v>59</v>
      </c>
      <c r="C97" s="23" t="s">
        <v>38</v>
      </c>
      <c r="D97" s="140" t="s">
        <v>60</v>
      </c>
      <c r="E97" s="141"/>
      <c r="F97" s="141"/>
      <c r="G97" s="141"/>
      <c r="H97" s="141"/>
      <c r="I97" s="141"/>
      <c r="J97" s="141"/>
      <c r="K97" s="141"/>
      <c r="L97" s="141"/>
      <c r="M97" s="141"/>
      <c r="N97" s="141"/>
      <c r="O97" s="141"/>
      <c r="P97" s="141"/>
      <c r="Q97" s="141"/>
      <c r="R97" s="141"/>
      <c r="S97" s="141"/>
      <c r="T97" s="141"/>
      <c r="U97" s="142"/>
    </row>
    <row r="98" spans="1:33" ht="97.5" customHeight="1">
      <c r="B98" s="139"/>
      <c r="C98" s="26" t="s">
        <v>39</v>
      </c>
      <c r="D98" s="143" t="s">
        <v>61</v>
      </c>
      <c r="E98" s="144"/>
      <c r="F98" s="144"/>
      <c r="G98" s="144"/>
      <c r="H98" s="144"/>
      <c r="I98" s="144"/>
      <c r="J98" s="144"/>
      <c r="K98" s="144"/>
      <c r="L98" s="144"/>
      <c r="M98" s="144"/>
      <c r="N98" s="144"/>
      <c r="O98" s="144"/>
      <c r="P98" s="144"/>
      <c r="Q98" s="144"/>
      <c r="R98" s="144"/>
      <c r="S98" s="144"/>
      <c r="T98" s="144"/>
      <c r="U98" s="145"/>
    </row>
    <row r="99" spans="1:33" ht="97.5" customHeight="1">
      <c r="B99" s="138" t="s">
        <v>62</v>
      </c>
      <c r="C99" s="25" t="s">
        <v>63</v>
      </c>
      <c r="D99" s="140" t="s">
        <v>64</v>
      </c>
      <c r="E99" s="141"/>
      <c r="F99" s="141"/>
      <c r="G99" s="141"/>
      <c r="H99" s="141"/>
      <c r="I99" s="141"/>
      <c r="J99" s="141"/>
      <c r="K99" s="141"/>
      <c r="L99" s="141"/>
      <c r="M99" s="141"/>
      <c r="N99" s="141"/>
      <c r="O99" s="141"/>
      <c r="P99" s="141"/>
      <c r="Q99" s="141"/>
      <c r="R99" s="141"/>
      <c r="S99" s="141"/>
      <c r="T99" s="141"/>
      <c r="U99" s="142"/>
    </row>
    <row r="100" spans="1:33" ht="97.5" customHeight="1">
      <c r="B100" s="146"/>
      <c r="C100" s="28" t="s">
        <v>42</v>
      </c>
      <c r="D100" s="155" t="s">
        <v>65</v>
      </c>
      <c r="E100" s="156"/>
      <c r="F100" s="156"/>
      <c r="G100" s="156"/>
      <c r="H100" s="156"/>
      <c r="I100" s="156"/>
      <c r="J100" s="156"/>
      <c r="K100" s="156"/>
      <c r="L100" s="156"/>
      <c r="M100" s="156"/>
      <c r="N100" s="156"/>
      <c r="O100" s="156"/>
      <c r="P100" s="156"/>
      <c r="Q100" s="156"/>
      <c r="R100" s="156"/>
      <c r="S100" s="156"/>
      <c r="T100" s="156"/>
      <c r="U100" s="157"/>
    </row>
    <row r="101" spans="1:33" ht="97.5" customHeight="1">
      <c r="B101" s="139"/>
      <c r="C101" s="27" t="s">
        <v>43</v>
      </c>
      <c r="D101" s="143" t="s">
        <v>66</v>
      </c>
      <c r="E101" s="144"/>
      <c r="F101" s="144"/>
      <c r="G101" s="144"/>
      <c r="H101" s="144"/>
      <c r="I101" s="144"/>
      <c r="J101" s="144"/>
      <c r="K101" s="144"/>
      <c r="L101" s="144"/>
      <c r="M101" s="144"/>
      <c r="N101" s="144"/>
      <c r="O101" s="144"/>
      <c r="P101" s="144"/>
      <c r="Q101" s="144"/>
      <c r="R101" s="144"/>
      <c r="S101" s="144"/>
      <c r="T101" s="144"/>
      <c r="U101" s="145"/>
    </row>
    <row r="102" spans="1:33" ht="6" customHeight="1"/>
    <row r="103" spans="1:33" ht="18.75" customHeight="1">
      <c r="A103" s="1" t="s">
        <v>67</v>
      </c>
    </row>
    <row r="104" spans="1:33" ht="112.5" customHeight="1">
      <c r="B104" s="158" t="s">
        <v>68</v>
      </c>
      <c r="C104" s="159"/>
      <c r="D104" s="159"/>
      <c r="E104" s="159"/>
      <c r="F104" s="159"/>
      <c r="G104" s="159"/>
      <c r="H104" s="159"/>
      <c r="I104" s="159"/>
      <c r="J104" s="159"/>
      <c r="K104" s="159"/>
      <c r="L104" s="159"/>
      <c r="M104" s="159"/>
      <c r="N104" s="159"/>
      <c r="O104" s="159"/>
      <c r="P104" s="159"/>
      <c r="Q104" s="159"/>
      <c r="R104" s="159"/>
      <c r="S104" s="159"/>
      <c r="T104" s="159"/>
      <c r="U104" s="160"/>
    </row>
    <row r="106" spans="1:33" ht="18.75" customHeight="1">
      <c r="A106" s="2" t="s">
        <v>69</v>
      </c>
    </row>
    <row r="107" spans="1:33" ht="18.75" customHeight="1">
      <c r="A107" s="75" t="s">
        <v>70</v>
      </c>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18.75" customHeight="1">
      <c r="A108" s="2"/>
      <c r="B108" s="161" t="s">
        <v>71</v>
      </c>
      <c r="C108" s="161"/>
      <c r="D108" s="161"/>
      <c r="E108" s="161"/>
      <c r="F108" s="161"/>
      <c r="G108" s="161"/>
      <c r="H108" s="161"/>
      <c r="I108" s="161"/>
      <c r="J108" s="161"/>
      <c r="K108" s="161"/>
      <c r="L108" s="161"/>
      <c r="M108" s="161"/>
      <c r="N108" s="161"/>
      <c r="O108" s="161"/>
      <c r="P108" s="161"/>
      <c r="Q108" s="161"/>
      <c r="R108" s="161"/>
      <c r="S108" s="161"/>
      <c r="T108" s="161"/>
      <c r="U108" s="161"/>
      <c r="V108" s="71"/>
      <c r="W108" s="71"/>
      <c r="X108" s="71"/>
      <c r="Y108" s="71"/>
      <c r="Z108" s="71"/>
      <c r="AA108" s="71"/>
      <c r="AB108" s="71"/>
      <c r="AC108" s="71"/>
      <c r="AD108" s="71"/>
      <c r="AE108" s="71"/>
      <c r="AF108" s="71"/>
      <c r="AG108" s="71"/>
    </row>
    <row r="109" spans="1:33" ht="37.15" customHeight="1">
      <c r="A109" s="2"/>
      <c r="B109" s="161"/>
      <c r="C109" s="161"/>
      <c r="D109" s="161"/>
      <c r="E109" s="161"/>
      <c r="F109" s="161"/>
      <c r="G109" s="161"/>
      <c r="H109" s="161"/>
      <c r="I109" s="161"/>
      <c r="J109" s="161"/>
      <c r="K109" s="161"/>
      <c r="L109" s="161"/>
      <c r="M109" s="161"/>
      <c r="N109" s="161"/>
      <c r="O109" s="161"/>
      <c r="P109" s="161"/>
      <c r="Q109" s="161"/>
      <c r="R109" s="161"/>
      <c r="S109" s="161"/>
      <c r="T109" s="161"/>
      <c r="U109" s="161"/>
      <c r="V109" s="71"/>
      <c r="W109" s="71"/>
      <c r="X109" s="71"/>
      <c r="Y109" s="71"/>
      <c r="Z109" s="71"/>
      <c r="AA109" s="71"/>
      <c r="AB109" s="71"/>
      <c r="AC109" s="71"/>
      <c r="AD109" s="71"/>
      <c r="AE109" s="71"/>
      <c r="AF109" s="71"/>
      <c r="AG109" s="71"/>
    </row>
    <row r="110" spans="1:33" ht="18.75" customHeight="1">
      <c r="A110" s="2"/>
      <c r="B110" s="150" t="s">
        <v>72</v>
      </c>
      <c r="C110" s="150"/>
      <c r="D110" s="150"/>
      <c r="E110" s="150"/>
      <c r="F110" s="150"/>
      <c r="G110" s="150"/>
      <c r="H110" s="150"/>
      <c r="I110" s="150"/>
      <c r="J110" s="150"/>
      <c r="K110" s="150"/>
      <c r="L110" s="150"/>
      <c r="M110" s="150"/>
      <c r="N110" s="150"/>
      <c r="O110" s="150"/>
      <c r="P110" s="150"/>
      <c r="Q110" s="150"/>
      <c r="R110" s="150"/>
      <c r="S110" s="150"/>
      <c r="T110" s="150"/>
      <c r="U110" s="150"/>
      <c r="V110" s="71"/>
      <c r="W110" s="71"/>
      <c r="X110" s="71"/>
      <c r="Y110" s="71"/>
      <c r="Z110" s="71"/>
      <c r="AA110" s="71"/>
      <c r="AB110" s="71"/>
      <c r="AC110" s="71"/>
      <c r="AD110" s="71"/>
      <c r="AE110" s="71"/>
      <c r="AF110" s="71"/>
      <c r="AG110" s="71"/>
    </row>
    <row r="111" spans="1:33" ht="18.75" customHeight="1">
      <c r="A111" s="2"/>
      <c r="B111" s="151" t="s">
        <v>48</v>
      </c>
      <c r="C111" s="151"/>
      <c r="D111" s="151"/>
      <c r="E111" s="151"/>
      <c r="F111" s="151"/>
      <c r="G111" s="151"/>
      <c r="H111" s="151"/>
      <c r="I111" s="151"/>
      <c r="J111" s="151"/>
      <c r="K111" s="151"/>
      <c r="L111" s="151"/>
      <c r="M111" s="151"/>
      <c r="N111" s="151"/>
      <c r="O111" s="151"/>
      <c r="P111" s="151"/>
      <c r="Q111" s="151"/>
      <c r="R111" s="151"/>
      <c r="S111" s="151"/>
      <c r="T111" s="151"/>
      <c r="U111" s="151"/>
      <c r="V111" s="70"/>
      <c r="W111" s="70"/>
      <c r="X111" s="70"/>
      <c r="Y111" s="70"/>
      <c r="Z111" s="70"/>
      <c r="AA111" s="70"/>
      <c r="AB111" s="70"/>
      <c r="AC111" s="70"/>
      <c r="AD111" s="70"/>
      <c r="AE111" s="70"/>
      <c r="AF111" s="70"/>
      <c r="AG111" s="70"/>
    </row>
    <row r="112" spans="1:33" ht="132" customHeight="1">
      <c r="A112" s="2"/>
      <c r="B112" s="152"/>
      <c r="C112" s="153"/>
      <c r="D112" s="153"/>
      <c r="E112" s="153"/>
      <c r="F112" s="153"/>
      <c r="G112" s="153"/>
      <c r="H112" s="153"/>
      <c r="I112" s="153"/>
      <c r="J112" s="153"/>
      <c r="K112" s="153"/>
      <c r="L112" s="153"/>
      <c r="M112" s="153"/>
      <c r="N112" s="153"/>
      <c r="O112" s="153"/>
      <c r="P112" s="153"/>
      <c r="Q112" s="153"/>
      <c r="R112" s="153"/>
      <c r="S112" s="153"/>
      <c r="T112" s="153"/>
      <c r="U112" s="154"/>
      <c r="V112" s="72"/>
      <c r="W112" s="72"/>
      <c r="X112" s="72"/>
      <c r="Y112" s="72"/>
      <c r="Z112" s="72"/>
      <c r="AA112" s="72"/>
      <c r="AB112" s="72"/>
      <c r="AC112" s="72"/>
      <c r="AD112" s="72"/>
      <c r="AE112" s="72"/>
      <c r="AF112" s="72"/>
      <c r="AG112" s="72"/>
    </row>
    <row r="114" ht="18" customHeight="1"/>
  </sheetData>
  <mergeCells count="146">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0" priority="1">
      <formula>$L$9="学部・学科によって、修了要件は相違しない"</formula>
    </cfRule>
  </conditionalFormatting>
  <dataValidations count="5">
    <dataValidation type="list" allowBlank="1" showInputMessage="1" showErrorMessage="1" sqref="N22:U22" xr:uid="{9E7328E4-E3EF-4B7A-84B4-89F3967E325A}">
      <formula1>$X$16:$X$18</formula1>
    </dataValidation>
    <dataValidation type="list" allowBlank="1" showInputMessage="1" showErrorMessage="1" sqref="S85:U88 R81:R88 S81:U82 H85:J88 G81:G88 H81:J82" xr:uid="{E302618C-4A47-4BDA-87C2-DC543F0462A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FD6347CF-C613-4EAD-AD0F-981CC52723AF}">
      <formula1>"学部・学科によって、修了要件は相違する,学部・学科によって、修了要件は相違しない"</formula1>
    </dataValidation>
    <dataValidation type="list" allowBlank="1" showInputMessage="1" showErrorMessage="1" sqref="U34 U45 E34:H34 E45:H45" xr:uid="{CDD28F20-F85D-4EEB-AFCD-264BCAEE3989}">
      <formula1>"全学開講,一部開講"</formula1>
    </dataValidation>
    <dataValidation type="list" allowBlank="1" showInputMessage="1" showErrorMessage="1" sqref="H60:J66 S27:U33 G71:J77 S38:U44 H27:J33 S49:U55 H49:J55 S60:U66 R71:U77 H38:J44" xr:uid="{3E6DAEF0-68B6-4E82-9285-18FEECC3D91C}">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B1C4-CD33-4247-84C3-72CDD1B325BF}">
  <sheetPr>
    <pageSetUpPr fitToPage="1"/>
  </sheetPr>
  <dimension ref="A1:U33"/>
  <sheetViews>
    <sheetView view="pageBreakPreview" zoomScaleNormal="100" zoomScaleSheetLayoutView="100" workbookViewId="0">
      <selection activeCell="H30" sqref="H30"/>
    </sheetView>
  </sheetViews>
  <sheetFormatPr defaultColWidth="9" defaultRowHeight="18.75" customHeight="1"/>
  <cols>
    <col min="1" max="1" width="2.75" style="1" customWidth="1"/>
    <col min="2" max="2" width="20.75" style="1" customWidth="1"/>
    <col min="3" max="18" width="6.125" style="1" customWidth="1"/>
    <col min="19" max="19" width="6.625" style="1" customWidth="1"/>
    <col min="20" max="16384" width="9" style="1"/>
  </cols>
  <sheetData>
    <row r="1" spans="1:21" ht="18" customHeight="1">
      <c r="S1" s="1" t="s">
        <v>73</v>
      </c>
    </row>
    <row r="2" spans="1:21" ht="18" customHeight="1">
      <c r="Q2" s="162" t="str">
        <f>'様式１　プログラムを構成する授業科目'!C2</f>
        <v>日本赤十字豊田看護大学</v>
      </c>
      <c r="R2" s="162"/>
      <c r="S2" s="162"/>
    </row>
    <row r="3" spans="1:21" ht="18" customHeight="1">
      <c r="A3" s="111" t="s">
        <v>74</v>
      </c>
      <c r="B3" s="111"/>
      <c r="C3" s="111"/>
      <c r="D3" s="111"/>
      <c r="E3" s="111"/>
      <c r="F3" s="111"/>
      <c r="G3" s="111"/>
      <c r="H3" s="111"/>
      <c r="I3" s="111"/>
      <c r="J3" s="111"/>
      <c r="K3" s="111"/>
      <c r="L3" s="111"/>
      <c r="M3" s="111"/>
      <c r="N3" s="111"/>
      <c r="O3" s="111"/>
      <c r="P3" s="111"/>
      <c r="Q3" s="111"/>
      <c r="R3" s="111"/>
      <c r="S3" s="111"/>
    </row>
    <row r="4" spans="1:21" ht="7.5" customHeight="1">
      <c r="A4" s="3"/>
      <c r="B4" s="3"/>
      <c r="C4" s="3"/>
      <c r="D4" s="3"/>
      <c r="E4" s="3"/>
      <c r="F4" s="3"/>
      <c r="G4" s="3"/>
      <c r="H4" s="3"/>
      <c r="I4" s="3"/>
      <c r="J4" s="3"/>
      <c r="K4" s="3"/>
      <c r="L4" s="3"/>
      <c r="M4" s="3"/>
      <c r="N4" s="3"/>
      <c r="O4" s="3"/>
      <c r="P4" s="3"/>
      <c r="Q4" s="3"/>
      <c r="R4" s="3"/>
      <c r="S4" s="3"/>
    </row>
    <row r="5" spans="1:21" ht="18" customHeight="1">
      <c r="A5" s="1" t="s">
        <v>75</v>
      </c>
      <c r="C5" s="163" t="s">
        <v>76</v>
      </c>
      <c r="D5" s="164"/>
      <c r="E5" s="3" t="s">
        <v>77</v>
      </c>
      <c r="F5" s="3"/>
      <c r="G5" s="3"/>
      <c r="H5" s="3"/>
      <c r="I5" s="3"/>
      <c r="J5" s="3"/>
      <c r="K5" s="3"/>
      <c r="L5" s="3"/>
      <c r="M5" s="3"/>
      <c r="N5" s="3"/>
      <c r="O5" s="3"/>
      <c r="P5" s="3"/>
      <c r="Q5" s="3"/>
      <c r="R5" s="6"/>
      <c r="S5" s="6"/>
    </row>
    <row r="6" spans="1:21" ht="7.15" customHeight="1">
      <c r="C6" s="22"/>
      <c r="D6" s="22"/>
      <c r="E6" s="3"/>
      <c r="F6" s="3"/>
      <c r="G6" s="3"/>
      <c r="H6" s="3"/>
      <c r="I6" s="3"/>
      <c r="J6" s="3"/>
      <c r="K6" s="3"/>
      <c r="L6" s="3"/>
      <c r="M6" s="3"/>
      <c r="N6" s="3"/>
      <c r="O6" s="3"/>
      <c r="P6" s="3"/>
      <c r="Q6" s="3"/>
      <c r="R6" s="6"/>
      <c r="S6" s="6"/>
    </row>
    <row r="7" spans="1:21" ht="18" customHeight="1">
      <c r="A7" s="76" t="s">
        <v>78</v>
      </c>
      <c r="B7" s="76"/>
      <c r="C7" s="82"/>
      <c r="D7" s="82"/>
      <c r="E7" s="77" t="s">
        <v>79</v>
      </c>
      <c r="F7" s="81">
        <v>47</v>
      </c>
      <c r="G7" s="79" t="s">
        <v>80</v>
      </c>
      <c r="H7" s="77" t="s">
        <v>81</v>
      </c>
      <c r="I7" s="81">
        <v>483</v>
      </c>
      <c r="J7" s="79" t="s">
        <v>80</v>
      </c>
      <c r="K7" s="78" t="s">
        <v>82</v>
      </c>
      <c r="L7" s="77" t="s">
        <v>83</v>
      </c>
      <c r="M7" s="81">
        <f>F7+I7</f>
        <v>530</v>
      </c>
      <c r="N7" s="77" t="s">
        <v>84</v>
      </c>
      <c r="O7" s="79" t="s">
        <v>85</v>
      </c>
      <c r="P7" s="3"/>
      <c r="Q7" s="3"/>
      <c r="R7" s="6"/>
      <c r="S7" s="6"/>
    </row>
    <row r="8" spans="1:21" ht="6" customHeight="1">
      <c r="A8" s="77"/>
      <c r="B8" s="77"/>
      <c r="C8" s="77"/>
      <c r="D8" s="77"/>
      <c r="E8" s="77"/>
      <c r="F8" s="77"/>
      <c r="G8" s="77"/>
      <c r="H8" s="77"/>
      <c r="I8" s="77"/>
      <c r="J8" s="77"/>
      <c r="K8" s="77"/>
      <c r="L8" s="77"/>
      <c r="M8" s="77"/>
      <c r="N8" s="77"/>
      <c r="O8" s="77"/>
      <c r="P8" s="3"/>
      <c r="Q8" s="3"/>
      <c r="R8" s="3"/>
      <c r="S8" s="3"/>
    </row>
    <row r="9" spans="1:21" ht="18" customHeight="1">
      <c r="A9" s="76" t="s">
        <v>86</v>
      </c>
      <c r="B9" s="77"/>
      <c r="C9" s="77"/>
      <c r="D9" s="77"/>
      <c r="E9" s="77"/>
      <c r="F9" s="77"/>
      <c r="G9" s="77"/>
      <c r="H9" s="77"/>
      <c r="I9" s="77"/>
      <c r="J9" s="77"/>
      <c r="K9" s="77"/>
      <c r="L9" s="77"/>
      <c r="M9" s="77"/>
      <c r="N9" s="77"/>
      <c r="O9" s="77"/>
      <c r="P9" s="3"/>
      <c r="Q9" s="3"/>
      <c r="R9" s="3"/>
      <c r="S9" s="3"/>
    </row>
    <row r="10" spans="1:21" ht="6" customHeight="1">
      <c r="B10" s="3"/>
      <c r="C10" s="3"/>
      <c r="D10" s="3"/>
      <c r="E10" s="3"/>
      <c r="F10" s="3"/>
      <c r="G10" s="3"/>
      <c r="H10" s="3"/>
      <c r="I10" s="3"/>
      <c r="J10" s="3"/>
      <c r="K10" s="3"/>
      <c r="L10" s="3"/>
      <c r="M10" s="3"/>
      <c r="N10" s="3"/>
      <c r="O10" s="3"/>
      <c r="P10" s="3"/>
      <c r="Q10" s="3"/>
      <c r="R10" s="3"/>
      <c r="S10" s="3"/>
    </row>
    <row r="11" spans="1:21" ht="18" customHeight="1">
      <c r="B11" s="165" t="s">
        <v>87</v>
      </c>
      <c r="C11" s="167" t="s">
        <v>88</v>
      </c>
      <c r="D11" s="169" t="s">
        <v>89</v>
      </c>
      <c r="E11" s="171" t="s">
        <v>90</v>
      </c>
      <c r="F11" s="173" t="s">
        <v>91</v>
      </c>
      <c r="G11" s="173"/>
      <c r="H11" s="173" t="s">
        <v>92</v>
      </c>
      <c r="I11" s="173"/>
      <c r="J11" s="173" t="s">
        <v>93</v>
      </c>
      <c r="K11" s="173"/>
      <c r="L11" s="173" t="s">
        <v>94</v>
      </c>
      <c r="M11" s="173"/>
      <c r="N11" s="173" t="s">
        <v>95</v>
      </c>
      <c r="O11" s="173"/>
      <c r="P11" s="173" t="s">
        <v>96</v>
      </c>
      <c r="Q11" s="173"/>
      <c r="R11" s="174" t="s">
        <v>97</v>
      </c>
      <c r="S11" s="176" t="s">
        <v>98</v>
      </c>
      <c r="U11" s="2"/>
    </row>
    <row r="12" spans="1:21" ht="16.899999999999999" customHeight="1">
      <c r="B12" s="166"/>
      <c r="C12" s="168"/>
      <c r="D12" s="170"/>
      <c r="E12" s="172"/>
      <c r="F12" s="64" t="s">
        <v>99</v>
      </c>
      <c r="G12" s="64" t="s">
        <v>100</v>
      </c>
      <c r="H12" s="64" t="s">
        <v>99</v>
      </c>
      <c r="I12" s="64" t="s">
        <v>100</v>
      </c>
      <c r="J12" s="64" t="s">
        <v>99</v>
      </c>
      <c r="K12" s="64" t="s">
        <v>100</v>
      </c>
      <c r="L12" s="64" t="s">
        <v>99</v>
      </c>
      <c r="M12" s="64" t="s">
        <v>100</v>
      </c>
      <c r="N12" s="64" t="s">
        <v>99</v>
      </c>
      <c r="O12" s="64" t="s">
        <v>100</v>
      </c>
      <c r="P12" s="64" t="s">
        <v>99</v>
      </c>
      <c r="Q12" s="65" t="s">
        <v>100</v>
      </c>
      <c r="R12" s="175"/>
      <c r="S12" s="177"/>
      <c r="U12" s="2"/>
    </row>
    <row r="13" spans="1:21" ht="18" customHeight="1">
      <c r="A13" s="6"/>
      <c r="B13" s="66" t="s">
        <v>101</v>
      </c>
      <c r="C13" s="52">
        <v>530</v>
      </c>
      <c r="D13" s="53">
        <v>120</v>
      </c>
      <c r="E13" s="54">
        <v>480</v>
      </c>
      <c r="F13" s="54">
        <v>132</v>
      </c>
      <c r="G13" s="54">
        <v>138</v>
      </c>
      <c r="H13" s="54">
        <v>138</v>
      </c>
      <c r="I13" s="54">
        <v>118</v>
      </c>
      <c r="J13" s="54"/>
      <c r="K13" s="54"/>
      <c r="L13" s="54"/>
      <c r="M13" s="54"/>
      <c r="N13" s="54"/>
      <c r="O13" s="54"/>
      <c r="P13" s="54"/>
      <c r="Q13" s="67"/>
      <c r="R13" s="53">
        <f>F13+H13+J13+L13+N13+P13</f>
        <v>270</v>
      </c>
      <c r="S13" s="68">
        <f>R13/E13</f>
        <v>0.5625</v>
      </c>
    </row>
    <row r="14" spans="1:21" ht="18" customHeight="1">
      <c r="A14" s="6"/>
      <c r="B14" s="11"/>
      <c r="C14" s="55"/>
      <c r="D14" s="56"/>
      <c r="E14" s="57"/>
      <c r="F14" s="58"/>
      <c r="G14" s="58"/>
      <c r="H14" s="58"/>
      <c r="I14" s="58"/>
      <c r="J14" s="58"/>
      <c r="K14" s="58"/>
      <c r="L14" s="58"/>
      <c r="M14" s="58"/>
      <c r="N14" s="58"/>
      <c r="O14" s="58"/>
      <c r="P14" s="58"/>
      <c r="Q14" s="55"/>
      <c r="R14" s="56">
        <f t="shared" ref="R14:R32" si="0">F14+H14+J14+L14+N14+P14</f>
        <v>0</v>
      </c>
      <c r="S14" s="16" t="e">
        <f t="shared" ref="S14:S33" si="1">R14/E14</f>
        <v>#DIV/0!</v>
      </c>
    </row>
    <row r="15" spans="1:21" ht="18" customHeight="1">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c r="B33" s="13" t="s">
        <v>102</v>
      </c>
      <c r="C33" s="61">
        <f t="shared" ref="C33:R33" si="2">SUM(C13:C32)</f>
        <v>530</v>
      </c>
      <c r="D33" s="62">
        <f t="shared" si="2"/>
        <v>120</v>
      </c>
      <c r="E33" s="63">
        <f t="shared" si="2"/>
        <v>480</v>
      </c>
      <c r="F33" s="63">
        <f t="shared" si="2"/>
        <v>132</v>
      </c>
      <c r="G33" s="63">
        <f t="shared" si="2"/>
        <v>138</v>
      </c>
      <c r="H33" s="63">
        <f t="shared" si="2"/>
        <v>138</v>
      </c>
      <c r="I33" s="63">
        <f t="shared" si="2"/>
        <v>118</v>
      </c>
      <c r="J33" s="63">
        <f t="shared" si="2"/>
        <v>0</v>
      </c>
      <c r="K33" s="63">
        <f t="shared" si="2"/>
        <v>0</v>
      </c>
      <c r="L33" s="63">
        <f t="shared" si="2"/>
        <v>0</v>
      </c>
      <c r="M33" s="63">
        <f t="shared" si="2"/>
        <v>0</v>
      </c>
      <c r="N33" s="63">
        <f t="shared" si="2"/>
        <v>0</v>
      </c>
      <c r="O33" s="63">
        <f t="shared" si="2"/>
        <v>0</v>
      </c>
      <c r="P33" s="63">
        <f t="shared" si="2"/>
        <v>0</v>
      </c>
      <c r="Q33" s="61">
        <f t="shared" si="2"/>
        <v>0</v>
      </c>
      <c r="R33" s="62">
        <f t="shared" si="2"/>
        <v>270</v>
      </c>
      <c r="S33" s="9">
        <f t="shared" si="1"/>
        <v>0.5625</v>
      </c>
    </row>
  </sheetData>
  <mergeCells count="15">
    <mergeCell ref="Q2:S2"/>
    <mergeCell ref="A3:S3"/>
    <mergeCell ref="C5:D5"/>
    <mergeCell ref="B11:B12"/>
    <mergeCell ref="C11:C12"/>
    <mergeCell ref="D11:D12"/>
    <mergeCell ref="E11:E12"/>
    <mergeCell ref="F11:G11"/>
    <mergeCell ref="H11:I11"/>
    <mergeCell ref="J11:K11"/>
    <mergeCell ref="L11:M11"/>
    <mergeCell ref="N11:O11"/>
    <mergeCell ref="P11:Q11"/>
    <mergeCell ref="R11:R12"/>
    <mergeCell ref="S11:S12"/>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0ABE8-A6F6-4CAB-9137-22358310039E}">
  <sheetPr>
    <pageSetUpPr fitToPage="1"/>
  </sheetPr>
  <dimension ref="A1:O134"/>
  <sheetViews>
    <sheetView showZeros="0" view="pageBreakPreview" topLeftCell="A34" zoomScaleNormal="100" zoomScaleSheetLayoutView="100" workbookViewId="0">
      <selection activeCell="B20" sqref="B20"/>
    </sheetView>
  </sheetViews>
  <sheetFormatPr defaultColWidth="11.375" defaultRowHeight="18.75" customHeight="1"/>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32" t="s">
        <v>103</v>
      </c>
      <c r="I1" s="30" t="s">
        <v>104</v>
      </c>
    </row>
    <row r="2" spans="1:9" ht="18.75" customHeight="1">
      <c r="G2" s="30" t="s">
        <v>2</v>
      </c>
      <c r="H2" s="104" t="str">
        <f>'様式１　プログラムを構成する授業科目'!C2</f>
        <v>日本赤十字豊田看護大学</v>
      </c>
      <c r="I2" s="106"/>
    </row>
    <row r="3" spans="1:9" ht="18.75" customHeight="1">
      <c r="G3" s="30"/>
      <c r="H3" s="10"/>
      <c r="I3" s="10"/>
    </row>
    <row r="4" spans="1:9" ht="18.600000000000001" customHeight="1">
      <c r="A4" s="111" t="s">
        <v>105</v>
      </c>
      <c r="B4" s="111"/>
      <c r="C4" s="111"/>
      <c r="D4" s="111"/>
      <c r="E4" s="111"/>
      <c r="F4" s="111"/>
      <c r="G4" s="111"/>
      <c r="H4" s="111"/>
      <c r="I4" s="111"/>
    </row>
    <row r="5" spans="1:9" ht="13.15" customHeight="1">
      <c r="B5" s="3"/>
      <c r="C5" s="3"/>
      <c r="D5" s="3"/>
      <c r="E5" s="3"/>
      <c r="F5" s="3"/>
      <c r="G5" s="3"/>
      <c r="H5" s="3"/>
      <c r="I5" s="3"/>
    </row>
    <row r="6" spans="1:9" ht="18" customHeight="1">
      <c r="A6" s="1" t="s">
        <v>106</v>
      </c>
      <c r="B6" s="10" t="s">
        <v>107</v>
      </c>
      <c r="C6" s="210" t="s">
        <v>108</v>
      </c>
      <c r="D6" s="210"/>
      <c r="E6" s="29">
        <v>51</v>
      </c>
      <c r="F6" s="3" t="s">
        <v>84</v>
      </c>
      <c r="G6" s="3" t="s">
        <v>109</v>
      </c>
      <c r="H6" s="83">
        <v>57</v>
      </c>
      <c r="I6" s="10" t="s">
        <v>84</v>
      </c>
    </row>
    <row r="7" spans="1:9" ht="12" customHeight="1">
      <c r="C7" s="2"/>
      <c r="D7" s="2"/>
      <c r="E7" s="2"/>
      <c r="F7" s="2"/>
      <c r="G7" s="2"/>
      <c r="H7" s="2"/>
      <c r="I7" s="33"/>
    </row>
    <row r="8" spans="1:9" ht="18" customHeight="1">
      <c r="A8" s="1" t="s">
        <v>110</v>
      </c>
      <c r="B8" s="10" t="s">
        <v>111</v>
      </c>
      <c r="E8" s="3"/>
      <c r="F8" s="3"/>
      <c r="G8" s="3"/>
      <c r="H8" s="83">
        <v>2</v>
      </c>
      <c r="I8" s="10" t="s">
        <v>84</v>
      </c>
    </row>
    <row r="9" spans="1:9" ht="9" customHeight="1">
      <c r="B9" s="3"/>
      <c r="C9" s="3"/>
      <c r="D9" s="3"/>
      <c r="E9" s="3"/>
      <c r="F9" s="3"/>
      <c r="G9" s="3"/>
      <c r="H9" s="3"/>
      <c r="I9" s="3"/>
    </row>
    <row r="10" spans="1:9" ht="18" customHeight="1">
      <c r="A10" s="1" t="s">
        <v>112</v>
      </c>
      <c r="B10" s="10" t="s">
        <v>113</v>
      </c>
      <c r="C10" s="3"/>
      <c r="D10" s="3"/>
      <c r="E10" s="3"/>
      <c r="F10" s="3"/>
      <c r="G10" s="3"/>
      <c r="H10" s="3"/>
      <c r="I10" s="3"/>
    </row>
    <row r="11" spans="1:9" ht="18" customHeight="1">
      <c r="B11" s="30" t="s">
        <v>114</v>
      </c>
      <c r="C11" s="211" t="s">
        <v>115</v>
      </c>
      <c r="D11" s="212"/>
      <c r="E11" s="213"/>
      <c r="F11" s="33"/>
      <c r="G11" s="30" t="s">
        <v>116</v>
      </c>
      <c r="H11" s="211" t="s">
        <v>117</v>
      </c>
      <c r="I11" s="213"/>
    </row>
    <row r="12" spans="1:9" ht="10.15" customHeight="1">
      <c r="B12" s="30"/>
      <c r="C12" s="10"/>
      <c r="D12" s="33"/>
      <c r="E12" s="33"/>
      <c r="F12" s="33"/>
      <c r="G12" s="30"/>
      <c r="H12" s="10"/>
      <c r="I12" s="33"/>
    </row>
    <row r="13" spans="1:9" ht="18" customHeight="1">
      <c r="A13" s="1" t="s">
        <v>118</v>
      </c>
      <c r="B13" s="10" t="s">
        <v>119</v>
      </c>
      <c r="C13" s="3"/>
      <c r="D13" s="3"/>
      <c r="E13" s="3"/>
      <c r="F13" s="3"/>
      <c r="G13" s="3"/>
      <c r="H13" s="3"/>
      <c r="I13" s="3"/>
    </row>
    <row r="14" spans="1:9" ht="18" customHeight="1">
      <c r="B14" s="214" t="s">
        <v>120</v>
      </c>
      <c r="C14" s="255"/>
      <c r="D14" s="255"/>
      <c r="E14" s="255"/>
      <c r="F14" s="255"/>
      <c r="G14" s="255"/>
      <c r="H14" s="255"/>
      <c r="I14" s="256"/>
    </row>
    <row r="15" spans="1:9" ht="9" customHeight="1">
      <c r="B15" s="3"/>
      <c r="C15" s="3"/>
      <c r="D15" s="3"/>
      <c r="E15" s="3"/>
      <c r="F15" s="3"/>
      <c r="G15" s="3"/>
      <c r="H15" s="3"/>
      <c r="I15" s="3"/>
    </row>
    <row r="16" spans="1:9" ht="18" customHeight="1">
      <c r="B16" s="30" t="s">
        <v>114</v>
      </c>
      <c r="C16" s="214" t="s">
        <v>121</v>
      </c>
      <c r="D16" s="215"/>
      <c r="E16" s="216"/>
      <c r="F16" s="33"/>
      <c r="G16" s="30" t="s">
        <v>116</v>
      </c>
      <c r="H16" s="214" t="s">
        <v>122</v>
      </c>
      <c r="I16" s="216"/>
    </row>
    <row r="17" spans="1:9" ht="18" customHeight="1">
      <c r="B17" s="3"/>
      <c r="C17" s="3"/>
      <c r="D17" s="3"/>
      <c r="E17" s="3"/>
      <c r="F17" s="3"/>
      <c r="G17" s="3"/>
      <c r="H17" s="3"/>
      <c r="I17" s="3"/>
    </row>
    <row r="18" spans="1:9" ht="18.75" customHeight="1">
      <c r="A18" s="1" t="s">
        <v>123</v>
      </c>
      <c r="B18" s="1" t="s">
        <v>124</v>
      </c>
      <c r="I18" s="3"/>
    </row>
    <row r="19" spans="1:9" ht="18.75" customHeight="1">
      <c r="A19" s="1"/>
      <c r="B19" s="217" t="s">
        <v>125</v>
      </c>
      <c r="C19" s="218"/>
      <c r="D19" s="218"/>
      <c r="E19" s="218"/>
      <c r="F19" s="218"/>
      <c r="G19" s="218"/>
      <c r="H19" s="218"/>
      <c r="I19" s="219"/>
    </row>
    <row r="20" spans="1:9" ht="7.5" customHeight="1">
      <c r="B20" s="3"/>
      <c r="C20" s="3"/>
      <c r="D20" s="3"/>
      <c r="E20" s="3"/>
      <c r="F20" s="3"/>
      <c r="G20" s="3"/>
      <c r="H20" s="3"/>
      <c r="I20" s="3"/>
    </row>
    <row r="21" spans="1:9" ht="18.75" customHeight="1">
      <c r="A21" s="1" t="s">
        <v>126</v>
      </c>
      <c r="B21" s="1" t="s">
        <v>127</v>
      </c>
    </row>
    <row r="22" spans="1:9" ht="18.75" customHeight="1">
      <c r="A22" s="14"/>
      <c r="B22" s="220" t="s">
        <v>128</v>
      </c>
      <c r="C22" s="221"/>
      <c r="D22" s="221"/>
      <c r="E22" s="221"/>
      <c r="F22" s="221"/>
      <c r="G22" s="221"/>
      <c r="H22" s="221"/>
      <c r="I22" s="222"/>
    </row>
    <row r="23" spans="1:9" ht="18.75" customHeight="1">
      <c r="A23" s="14"/>
      <c r="B23" s="223"/>
      <c r="C23" s="224"/>
      <c r="D23" s="224"/>
      <c r="E23" s="224"/>
      <c r="F23" s="224"/>
      <c r="G23" s="224"/>
      <c r="H23" s="224"/>
      <c r="I23" s="225"/>
    </row>
    <row r="24" spans="1:9" ht="18.75" customHeight="1">
      <c r="A24" s="14"/>
      <c r="B24" s="223"/>
      <c r="C24" s="224"/>
      <c r="D24" s="224"/>
      <c r="E24" s="224"/>
      <c r="F24" s="224"/>
      <c r="G24" s="224"/>
      <c r="H24" s="224"/>
      <c r="I24" s="225"/>
    </row>
    <row r="25" spans="1:9" ht="18.75" customHeight="1">
      <c r="A25" s="14"/>
      <c r="B25" s="223"/>
      <c r="C25" s="224"/>
      <c r="D25" s="224"/>
      <c r="E25" s="224"/>
      <c r="F25" s="224"/>
      <c r="G25" s="224"/>
      <c r="H25" s="224"/>
      <c r="I25" s="225"/>
    </row>
    <row r="26" spans="1:9" ht="18.75" customHeight="1">
      <c r="A26" s="14"/>
      <c r="B26" s="223"/>
      <c r="C26" s="224"/>
      <c r="D26" s="224"/>
      <c r="E26" s="224"/>
      <c r="F26" s="224"/>
      <c r="G26" s="224"/>
      <c r="H26" s="224"/>
      <c r="I26" s="225"/>
    </row>
    <row r="27" spans="1:9" ht="18.75" customHeight="1">
      <c r="A27" s="14"/>
      <c r="B27" s="223"/>
      <c r="C27" s="224"/>
      <c r="D27" s="224"/>
      <c r="E27" s="224"/>
      <c r="F27" s="224"/>
      <c r="G27" s="224"/>
      <c r="H27" s="224"/>
      <c r="I27" s="225"/>
    </row>
    <row r="28" spans="1:9" ht="18.75" customHeight="1">
      <c r="A28" s="14"/>
      <c r="B28" s="223"/>
      <c r="C28" s="224"/>
      <c r="D28" s="224"/>
      <c r="E28" s="224"/>
      <c r="F28" s="224"/>
      <c r="G28" s="224"/>
      <c r="H28" s="224"/>
      <c r="I28" s="225"/>
    </row>
    <row r="29" spans="1:9" ht="18.75" customHeight="1">
      <c r="A29" s="14"/>
      <c r="B29" s="223"/>
      <c r="C29" s="224"/>
      <c r="D29" s="224"/>
      <c r="E29" s="224"/>
      <c r="F29" s="224"/>
      <c r="G29" s="224"/>
      <c r="H29" s="224"/>
      <c r="I29" s="225"/>
    </row>
    <row r="30" spans="1:9" ht="18.75" customHeight="1">
      <c r="A30" s="14"/>
      <c r="B30" s="226"/>
      <c r="C30" s="227"/>
      <c r="D30" s="227"/>
      <c r="E30" s="227"/>
      <c r="F30" s="227"/>
      <c r="G30" s="227"/>
      <c r="H30" s="227"/>
      <c r="I30" s="225"/>
    </row>
    <row r="31" spans="1:9" ht="18.75" customHeight="1">
      <c r="A31" s="14"/>
      <c r="B31" s="226"/>
      <c r="C31" s="227"/>
      <c r="D31" s="227"/>
      <c r="E31" s="227"/>
      <c r="F31" s="227"/>
      <c r="G31" s="227"/>
      <c r="H31" s="227"/>
      <c r="I31" s="225"/>
    </row>
    <row r="32" spans="1:9" ht="18.75" customHeight="1">
      <c r="A32" s="14"/>
      <c r="B32" s="228"/>
      <c r="C32" s="229"/>
      <c r="D32" s="229"/>
      <c r="E32" s="229"/>
      <c r="F32" s="229"/>
      <c r="G32" s="229"/>
      <c r="H32" s="229"/>
      <c r="I32" s="230"/>
    </row>
    <row r="33" spans="1:9" ht="7.5" customHeight="1">
      <c r="A33" s="14"/>
      <c r="B33" s="14"/>
      <c r="C33" s="14"/>
      <c r="D33" s="14"/>
      <c r="E33" s="14"/>
      <c r="F33" s="14"/>
      <c r="G33" s="14"/>
      <c r="H33" s="14"/>
      <c r="I33" s="14"/>
    </row>
    <row r="34" spans="1:9" ht="18.75" customHeight="1">
      <c r="A34" s="15" t="s">
        <v>129</v>
      </c>
      <c r="B34" s="15" t="s">
        <v>130</v>
      </c>
      <c r="C34" s="10"/>
      <c r="D34" s="15"/>
      <c r="E34" s="15"/>
      <c r="F34" s="15"/>
      <c r="G34" s="15"/>
      <c r="H34" s="15"/>
      <c r="I34" s="15"/>
    </row>
    <row r="35" spans="1:9" ht="18.75" customHeight="1">
      <c r="A35" s="14"/>
      <c r="B35" s="178" t="s">
        <v>131</v>
      </c>
      <c r="C35" s="179"/>
      <c r="D35" s="179"/>
      <c r="E35" s="179"/>
      <c r="F35" s="179"/>
      <c r="G35" s="179"/>
      <c r="H35" s="179"/>
      <c r="I35" s="180"/>
    </row>
    <row r="36" spans="1:9" ht="18.75" customHeight="1">
      <c r="A36" s="14"/>
      <c r="B36" s="181"/>
      <c r="C36" s="182"/>
      <c r="D36" s="182"/>
      <c r="E36" s="182"/>
      <c r="F36" s="182"/>
      <c r="G36" s="182"/>
      <c r="H36" s="182"/>
      <c r="I36" s="183"/>
    </row>
    <row r="37" spans="1:9" ht="18.75" customHeight="1">
      <c r="A37" s="14"/>
      <c r="B37" s="181"/>
      <c r="C37" s="182"/>
      <c r="D37" s="182"/>
      <c r="E37" s="182"/>
      <c r="F37" s="182"/>
      <c r="G37" s="182"/>
      <c r="H37" s="182"/>
      <c r="I37" s="183"/>
    </row>
    <row r="38" spans="1:9" ht="18.75" customHeight="1">
      <c r="A38" s="14"/>
      <c r="B38" s="181"/>
      <c r="C38" s="182"/>
      <c r="D38" s="182"/>
      <c r="E38" s="182"/>
      <c r="F38" s="182"/>
      <c r="G38" s="182"/>
      <c r="H38" s="182"/>
      <c r="I38" s="183"/>
    </row>
    <row r="39" spans="1:9" ht="18.75" customHeight="1">
      <c r="A39" s="14"/>
      <c r="B39" s="181"/>
      <c r="C39" s="182"/>
      <c r="D39" s="182"/>
      <c r="E39" s="182"/>
      <c r="F39" s="182"/>
      <c r="G39" s="182"/>
      <c r="H39" s="182"/>
      <c r="I39" s="183"/>
    </row>
    <row r="40" spans="1:9" ht="18.75" customHeight="1">
      <c r="A40" s="14"/>
      <c r="B40" s="181"/>
      <c r="C40" s="182"/>
      <c r="D40" s="182"/>
      <c r="E40" s="182"/>
      <c r="F40" s="182"/>
      <c r="G40" s="182"/>
      <c r="H40" s="182"/>
      <c r="I40" s="183"/>
    </row>
    <row r="41" spans="1:9" ht="18.75" customHeight="1">
      <c r="A41" s="14"/>
      <c r="B41" s="181"/>
      <c r="C41" s="182"/>
      <c r="D41" s="182"/>
      <c r="E41" s="182"/>
      <c r="F41" s="182"/>
      <c r="G41" s="182"/>
      <c r="H41" s="182"/>
      <c r="I41" s="183"/>
    </row>
    <row r="42" spans="1:9" ht="18.75" customHeight="1">
      <c r="A42" s="14"/>
      <c r="B42" s="181"/>
      <c r="C42" s="182"/>
      <c r="D42" s="182"/>
      <c r="E42" s="182"/>
      <c r="F42" s="182"/>
      <c r="G42" s="182"/>
      <c r="H42" s="182"/>
      <c r="I42" s="183"/>
    </row>
    <row r="43" spans="1:9" ht="18.75" customHeight="1">
      <c r="A43" s="14"/>
      <c r="B43" s="181"/>
      <c r="C43" s="182"/>
      <c r="D43" s="182"/>
      <c r="E43" s="182"/>
      <c r="F43" s="182"/>
      <c r="G43" s="182"/>
      <c r="H43" s="182"/>
      <c r="I43" s="183"/>
    </row>
    <row r="44" spans="1:9" ht="18.75" customHeight="1">
      <c r="A44" s="14"/>
      <c r="B44" s="181"/>
      <c r="C44" s="182"/>
      <c r="D44" s="182"/>
      <c r="E44" s="182"/>
      <c r="F44" s="182"/>
      <c r="G44" s="182"/>
      <c r="H44" s="182"/>
      <c r="I44" s="183"/>
    </row>
    <row r="45" spans="1:9" ht="18.75" customHeight="1">
      <c r="A45" s="14"/>
      <c r="B45" s="181"/>
      <c r="C45" s="182"/>
      <c r="D45" s="182"/>
      <c r="E45" s="182"/>
      <c r="F45" s="182"/>
      <c r="G45" s="182"/>
      <c r="H45" s="182"/>
      <c r="I45" s="183"/>
    </row>
    <row r="46" spans="1:9" ht="18.75" customHeight="1">
      <c r="A46" s="14"/>
      <c r="B46" s="184"/>
      <c r="C46" s="185"/>
      <c r="D46" s="185"/>
      <c r="E46" s="185"/>
      <c r="F46" s="185"/>
      <c r="G46" s="185"/>
      <c r="H46" s="185"/>
      <c r="I46" s="186"/>
    </row>
    <row r="47" spans="1:9" ht="7.5" customHeight="1">
      <c r="A47" s="4"/>
      <c r="B47" s="4"/>
      <c r="C47" s="4"/>
      <c r="D47" s="4"/>
      <c r="E47" s="4"/>
      <c r="F47" s="4"/>
      <c r="G47" s="4"/>
      <c r="H47" s="4"/>
      <c r="I47" s="4"/>
    </row>
    <row r="48" spans="1:9" ht="18.75" customHeight="1">
      <c r="A48" s="1" t="s">
        <v>132</v>
      </c>
      <c r="B48" s="1" t="s">
        <v>133</v>
      </c>
    </row>
    <row r="49" spans="1:15" s="3" customFormat="1" ht="18.75" customHeight="1">
      <c r="B49" s="34" t="s">
        <v>134</v>
      </c>
      <c r="C49" s="208">
        <f>'様式２ 履修者等数の実績'!S33</f>
        <v>0.5625</v>
      </c>
      <c r="D49" s="208"/>
      <c r="E49" s="34" t="s">
        <v>135</v>
      </c>
      <c r="F49" s="208">
        <v>0.78</v>
      </c>
      <c r="G49" s="209"/>
      <c r="H49" s="34" t="s">
        <v>136</v>
      </c>
      <c r="I49" s="35">
        <v>1</v>
      </c>
      <c r="J49" s="1"/>
      <c r="M49" s="1"/>
      <c r="N49" s="36"/>
    </row>
    <row r="50" spans="1:15" s="3" customFormat="1" ht="18.75" customHeight="1">
      <c r="B50" s="37" t="s">
        <v>137</v>
      </c>
      <c r="C50" s="188">
        <v>1</v>
      </c>
      <c r="D50" s="188"/>
      <c r="E50" s="37" t="s">
        <v>138</v>
      </c>
      <c r="F50" s="188">
        <v>1</v>
      </c>
      <c r="G50" s="162"/>
      <c r="H50" s="37" t="s">
        <v>139</v>
      </c>
      <c r="I50" s="38">
        <f>'様式２ 履修者等数の実績'!E33</f>
        <v>480</v>
      </c>
      <c r="J50" s="1"/>
      <c r="M50" s="1"/>
      <c r="N50" s="36"/>
    </row>
    <row r="51" spans="1:15" ht="18.75" customHeight="1">
      <c r="A51" s="1"/>
      <c r="B51" s="189" t="s">
        <v>140</v>
      </c>
      <c r="C51" s="190"/>
      <c r="D51" s="190"/>
      <c r="E51" s="190"/>
      <c r="F51" s="190"/>
      <c r="G51" s="190"/>
      <c r="H51" s="190"/>
      <c r="I51" s="191"/>
      <c r="N51" s="36"/>
      <c r="O51" s="3"/>
    </row>
    <row r="52" spans="1:15" ht="18.75" customHeight="1">
      <c r="A52" s="1"/>
      <c r="B52" s="192" t="s">
        <v>141</v>
      </c>
      <c r="C52" s="193"/>
      <c r="D52" s="193"/>
      <c r="E52" s="193"/>
      <c r="F52" s="193"/>
      <c r="G52" s="193"/>
      <c r="H52" s="193"/>
      <c r="I52" s="194"/>
      <c r="N52" s="36"/>
      <c r="O52" s="3"/>
    </row>
    <row r="53" spans="1:15" ht="18.75" customHeight="1">
      <c r="A53" s="1"/>
      <c r="B53" s="195"/>
      <c r="C53" s="196"/>
      <c r="D53" s="196"/>
      <c r="E53" s="196"/>
      <c r="F53" s="196"/>
      <c r="G53" s="196"/>
      <c r="H53" s="196"/>
      <c r="I53" s="197"/>
      <c r="N53" s="36"/>
      <c r="O53" s="3"/>
    </row>
    <row r="54" spans="1:15" ht="18.75" customHeight="1">
      <c r="A54" s="1"/>
      <c r="B54" s="195"/>
      <c r="C54" s="196"/>
      <c r="D54" s="196"/>
      <c r="E54" s="196"/>
      <c r="F54" s="196"/>
      <c r="G54" s="196"/>
      <c r="H54" s="196"/>
      <c r="I54" s="197"/>
    </row>
    <row r="55" spans="1:15" ht="18.75" customHeight="1">
      <c r="A55" s="1"/>
      <c r="B55" s="195"/>
      <c r="C55" s="196"/>
      <c r="D55" s="196"/>
      <c r="E55" s="196"/>
      <c r="F55" s="196"/>
      <c r="G55" s="196"/>
      <c r="H55" s="196"/>
      <c r="I55" s="197"/>
    </row>
    <row r="56" spans="1:15" ht="18.75" customHeight="1">
      <c r="A56" s="1"/>
      <c r="B56" s="195"/>
      <c r="C56" s="196"/>
      <c r="D56" s="196"/>
      <c r="E56" s="196"/>
      <c r="F56" s="196"/>
      <c r="G56" s="196"/>
      <c r="H56" s="196"/>
      <c r="I56" s="197"/>
    </row>
    <row r="57" spans="1:15" ht="18.75" customHeight="1">
      <c r="A57" s="1"/>
      <c r="B57" s="195"/>
      <c r="C57" s="196"/>
      <c r="D57" s="196"/>
      <c r="E57" s="196"/>
      <c r="F57" s="196"/>
      <c r="G57" s="196"/>
      <c r="H57" s="196"/>
      <c r="I57" s="197"/>
    </row>
    <row r="58" spans="1:15" ht="18.75" customHeight="1">
      <c r="A58" s="1"/>
      <c r="B58" s="195"/>
      <c r="C58" s="196"/>
      <c r="D58" s="196"/>
      <c r="E58" s="196"/>
      <c r="F58" s="196"/>
      <c r="G58" s="196"/>
      <c r="H58" s="196"/>
      <c r="I58" s="197"/>
    </row>
    <row r="59" spans="1:15" ht="18.75" customHeight="1">
      <c r="A59" s="1"/>
      <c r="B59" s="195"/>
      <c r="C59" s="196"/>
      <c r="D59" s="196"/>
      <c r="E59" s="196"/>
      <c r="F59" s="196"/>
      <c r="G59" s="196"/>
      <c r="H59" s="196"/>
      <c r="I59" s="197"/>
    </row>
    <row r="60" spans="1:15" ht="18.75" customHeight="1">
      <c r="A60" s="1"/>
      <c r="B60" s="195"/>
      <c r="C60" s="196"/>
      <c r="D60" s="196"/>
      <c r="E60" s="196"/>
      <c r="F60" s="196"/>
      <c r="G60" s="196"/>
      <c r="H60" s="196"/>
      <c r="I60" s="197"/>
    </row>
    <row r="61" spans="1:15" ht="18.75" customHeight="1">
      <c r="A61" s="1"/>
      <c r="B61" s="195"/>
      <c r="C61" s="196"/>
      <c r="D61" s="196"/>
      <c r="E61" s="196"/>
      <c r="F61" s="196"/>
      <c r="G61" s="196"/>
      <c r="H61" s="196"/>
      <c r="I61" s="197"/>
    </row>
    <row r="62" spans="1:15" ht="18.75" customHeight="1">
      <c r="A62" s="1"/>
      <c r="B62" s="195"/>
      <c r="C62" s="196"/>
      <c r="D62" s="196"/>
      <c r="E62" s="196"/>
      <c r="F62" s="196"/>
      <c r="G62" s="196"/>
      <c r="H62" s="196"/>
      <c r="I62" s="197"/>
    </row>
    <row r="63" spans="1:15" ht="18.75" customHeight="1">
      <c r="A63" s="1"/>
      <c r="B63" s="198"/>
      <c r="C63" s="199"/>
      <c r="D63" s="199"/>
      <c r="E63" s="199"/>
      <c r="F63" s="199"/>
      <c r="G63" s="199"/>
      <c r="H63" s="199"/>
      <c r="I63" s="200"/>
    </row>
    <row r="64" spans="1:15" ht="7.5" customHeight="1">
      <c r="A64" s="14"/>
      <c r="B64" s="14"/>
      <c r="C64" s="14"/>
      <c r="D64" s="14"/>
      <c r="E64" s="14"/>
      <c r="F64" s="14"/>
      <c r="G64" s="14"/>
      <c r="H64" s="14"/>
      <c r="I64" s="14"/>
    </row>
    <row r="65" spans="1:9" ht="18.75" customHeight="1">
      <c r="A65" s="15" t="s">
        <v>142</v>
      </c>
      <c r="B65" s="1" t="s">
        <v>143</v>
      </c>
      <c r="I65" s="15"/>
    </row>
    <row r="66" spans="1:9" ht="18.75" customHeight="1">
      <c r="A66" s="4"/>
      <c r="B66" s="178" t="s">
        <v>144</v>
      </c>
      <c r="C66" s="179"/>
      <c r="D66" s="179"/>
      <c r="E66" s="179"/>
      <c r="F66" s="179"/>
      <c r="G66" s="179"/>
      <c r="H66" s="179"/>
      <c r="I66" s="201"/>
    </row>
    <row r="67" spans="1:9" ht="18.75" customHeight="1">
      <c r="A67" s="4"/>
      <c r="B67" s="202"/>
      <c r="C67" s="203"/>
      <c r="D67" s="203"/>
      <c r="E67" s="203"/>
      <c r="F67" s="203"/>
      <c r="G67" s="203"/>
      <c r="H67" s="203"/>
      <c r="I67" s="204"/>
    </row>
    <row r="68" spans="1:9" ht="18.75" customHeight="1">
      <c r="A68" s="4"/>
      <c r="B68" s="202"/>
      <c r="C68" s="203"/>
      <c r="D68" s="203"/>
      <c r="E68" s="203"/>
      <c r="F68" s="203"/>
      <c r="G68" s="203"/>
      <c r="H68" s="203"/>
      <c r="I68" s="204"/>
    </row>
    <row r="69" spans="1:9" ht="18.75" customHeight="1">
      <c r="A69" s="4"/>
      <c r="B69" s="202"/>
      <c r="C69" s="203"/>
      <c r="D69" s="203"/>
      <c r="E69" s="203"/>
      <c r="F69" s="203"/>
      <c r="G69" s="203"/>
      <c r="H69" s="203"/>
      <c r="I69" s="204"/>
    </row>
    <row r="70" spans="1:9" ht="18.75" customHeight="1">
      <c r="A70" s="4"/>
      <c r="B70" s="202"/>
      <c r="C70" s="203"/>
      <c r="D70" s="203"/>
      <c r="E70" s="203"/>
      <c r="F70" s="203"/>
      <c r="G70" s="203"/>
      <c r="H70" s="203"/>
      <c r="I70" s="204"/>
    </row>
    <row r="71" spans="1:9" ht="18.75" customHeight="1">
      <c r="A71" s="4"/>
      <c r="B71" s="202"/>
      <c r="C71" s="203"/>
      <c r="D71" s="203"/>
      <c r="E71" s="203"/>
      <c r="F71" s="203"/>
      <c r="G71" s="203"/>
      <c r="H71" s="203"/>
      <c r="I71" s="204"/>
    </row>
    <row r="72" spans="1:9" ht="18.75" customHeight="1">
      <c r="A72" s="4"/>
      <c r="B72" s="202"/>
      <c r="C72" s="203"/>
      <c r="D72" s="203"/>
      <c r="E72" s="203"/>
      <c r="F72" s="203"/>
      <c r="G72" s="203"/>
      <c r="H72" s="203"/>
      <c r="I72" s="204"/>
    </row>
    <row r="73" spans="1:9" ht="18.75" customHeight="1">
      <c r="A73" s="4"/>
      <c r="B73" s="202"/>
      <c r="C73" s="203"/>
      <c r="D73" s="203"/>
      <c r="E73" s="203"/>
      <c r="F73" s="203"/>
      <c r="G73" s="203"/>
      <c r="H73" s="203"/>
      <c r="I73" s="204"/>
    </row>
    <row r="74" spans="1:9" ht="18.75" customHeight="1">
      <c r="A74" s="4"/>
      <c r="B74" s="202"/>
      <c r="C74" s="203"/>
      <c r="D74" s="203"/>
      <c r="E74" s="203"/>
      <c r="F74" s="203"/>
      <c r="G74" s="203"/>
      <c r="H74" s="203"/>
      <c r="I74" s="204"/>
    </row>
    <row r="75" spans="1:9" ht="18.75" customHeight="1">
      <c r="A75" s="4"/>
      <c r="B75" s="202"/>
      <c r="C75" s="203"/>
      <c r="D75" s="203"/>
      <c r="E75" s="203"/>
      <c r="F75" s="203"/>
      <c r="G75" s="203"/>
      <c r="H75" s="203"/>
      <c r="I75" s="204"/>
    </row>
    <row r="76" spans="1:9" ht="18.75" customHeight="1">
      <c r="A76" s="4"/>
      <c r="B76" s="202"/>
      <c r="C76" s="203"/>
      <c r="D76" s="203"/>
      <c r="E76" s="203"/>
      <c r="F76" s="203"/>
      <c r="G76" s="203"/>
      <c r="H76" s="203"/>
      <c r="I76" s="204"/>
    </row>
    <row r="77" spans="1:9" ht="18.75" customHeight="1">
      <c r="A77" s="4"/>
      <c r="B77" s="205"/>
      <c r="C77" s="206"/>
      <c r="D77" s="206"/>
      <c r="E77" s="206"/>
      <c r="F77" s="206"/>
      <c r="G77" s="206"/>
      <c r="H77" s="206"/>
      <c r="I77" s="207"/>
    </row>
    <row r="78" spans="1:9" ht="7.5" customHeight="1">
      <c r="A78" s="4"/>
      <c r="B78" s="4"/>
      <c r="C78" s="4"/>
      <c r="D78" s="4"/>
      <c r="E78" s="4"/>
      <c r="F78" s="4"/>
      <c r="G78" s="4"/>
      <c r="H78" s="4"/>
      <c r="I78" s="4"/>
    </row>
    <row r="79" spans="1:9" ht="18.75" customHeight="1">
      <c r="A79" s="1" t="s">
        <v>145</v>
      </c>
      <c r="B79" s="1" t="s">
        <v>146</v>
      </c>
    </row>
    <row r="80" spans="1:9" ht="18.75" customHeight="1">
      <c r="A80" s="1"/>
      <c r="B80" s="178" t="s">
        <v>147</v>
      </c>
      <c r="C80" s="179"/>
      <c r="D80" s="179"/>
      <c r="E80" s="179"/>
      <c r="F80" s="179"/>
      <c r="G80" s="179"/>
      <c r="H80" s="179"/>
      <c r="I80" s="180"/>
    </row>
    <row r="81" spans="1:9" ht="18.75" customHeight="1">
      <c r="A81" s="1"/>
      <c r="B81" s="181"/>
      <c r="C81" s="182"/>
      <c r="D81" s="182"/>
      <c r="E81" s="182"/>
      <c r="F81" s="182"/>
      <c r="G81" s="182"/>
      <c r="H81" s="182"/>
      <c r="I81" s="183"/>
    </row>
    <row r="82" spans="1:9" ht="18.75" customHeight="1">
      <c r="A82" s="1"/>
      <c r="B82" s="181"/>
      <c r="C82" s="182"/>
      <c r="D82" s="182"/>
      <c r="E82" s="182"/>
      <c r="F82" s="182"/>
      <c r="G82" s="182"/>
      <c r="H82" s="182"/>
      <c r="I82" s="183"/>
    </row>
    <row r="83" spans="1:9" ht="18.75" customHeight="1">
      <c r="A83" s="1"/>
      <c r="B83" s="181"/>
      <c r="C83" s="182"/>
      <c r="D83" s="182"/>
      <c r="E83" s="182"/>
      <c r="F83" s="182"/>
      <c r="G83" s="182"/>
      <c r="H83" s="182"/>
      <c r="I83" s="183"/>
    </row>
    <row r="84" spans="1:9" ht="18.75" customHeight="1">
      <c r="A84" s="1"/>
      <c r="B84" s="181"/>
      <c r="C84" s="182"/>
      <c r="D84" s="182"/>
      <c r="E84" s="182"/>
      <c r="F84" s="182"/>
      <c r="G84" s="182"/>
      <c r="H84" s="182"/>
      <c r="I84" s="183"/>
    </row>
    <row r="85" spans="1:9" ht="18.75" customHeight="1">
      <c r="A85" s="1"/>
      <c r="B85" s="181"/>
      <c r="C85" s="182"/>
      <c r="D85" s="182"/>
      <c r="E85" s="182"/>
      <c r="F85" s="182"/>
      <c r="G85" s="182"/>
      <c r="H85" s="182"/>
      <c r="I85" s="183"/>
    </row>
    <row r="86" spans="1:9" ht="18.75" customHeight="1">
      <c r="A86" s="1"/>
      <c r="B86" s="181"/>
      <c r="C86" s="182"/>
      <c r="D86" s="182"/>
      <c r="E86" s="182"/>
      <c r="F86" s="182"/>
      <c r="G86" s="182"/>
      <c r="H86" s="182"/>
      <c r="I86" s="183"/>
    </row>
    <row r="87" spans="1:9" ht="18.75" customHeight="1">
      <c r="A87" s="1"/>
      <c r="B87" s="181"/>
      <c r="C87" s="182"/>
      <c r="D87" s="182"/>
      <c r="E87" s="182"/>
      <c r="F87" s="182"/>
      <c r="G87" s="182"/>
      <c r="H87" s="182"/>
      <c r="I87" s="183"/>
    </row>
    <row r="88" spans="1:9" ht="18.75" customHeight="1">
      <c r="A88" s="1"/>
      <c r="B88" s="181"/>
      <c r="C88" s="182"/>
      <c r="D88" s="182"/>
      <c r="E88" s="182"/>
      <c r="F88" s="182"/>
      <c r="G88" s="182"/>
      <c r="H88" s="182"/>
      <c r="I88" s="183"/>
    </row>
    <row r="89" spans="1:9" ht="18.75" customHeight="1">
      <c r="A89" s="1"/>
      <c r="B89" s="181"/>
      <c r="C89" s="182"/>
      <c r="D89" s="182"/>
      <c r="E89" s="182"/>
      <c r="F89" s="182"/>
      <c r="G89" s="182"/>
      <c r="H89" s="182"/>
      <c r="I89" s="183"/>
    </row>
    <row r="90" spans="1:9" ht="18.75" customHeight="1">
      <c r="A90" s="4"/>
      <c r="B90" s="181"/>
      <c r="C90" s="182"/>
      <c r="D90" s="182"/>
      <c r="E90" s="182"/>
      <c r="F90" s="182"/>
      <c r="G90" s="182"/>
      <c r="H90" s="182"/>
      <c r="I90" s="183"/>
    </row>
    <row r="91" spans="1:9" ht="18.75" customHeight="1">
      <c r="A91" s="4"/>
      <c r="B91" s="184"/>
      <c r="C91" s="185"/>
      <c r="D91" s="185"/>
      <c r="E91" s="185"/>
      <c r="F91" s="185"/>
      <c r="G91" s="185"/>
      <c r="H91" s="185"/>
      <c r="I91" s="186"/>
    </row>
    <row r="92" spans="1:9" ht="7.5" customHeight="1">
      <c r="A92" s="4"/>
      <c r="B92" s="4"/>
      <c r="C92" s="4"/>
      <c r="D92" s="4"/>
      <c r="E92" s="4"/>
      <c r="F92" s="4"/>
      <c r="G92" s="4"/>
      <c r="H92" s="4"/>
      <c r="I92" s="4"/>
    </row>
    <row r="93" spans="1:9" ht="18.75" customHeight="1">
      <c r="A93" s="1" t="s">
        <v>148</v>
      </c>
      <c r="B93" s="1" t="s">
        <v>149</v>
      </c>
    </row>
    <row r="94" spans="1:9" ht="18.75" customHeight="1">
      <c r="A94" s="1"/>
      <c r="B94" s="178" t="s">
        <v>150</v>
      </c>
      <c r="C94" s="179"/>
      <c r="D94" s="179"/>
      <c r="E94" s="179"/>
      <c r="F94" s="179"/>
      <c r="G94" s="179"/>
      <c r="H94" s="179"/>
      <c r="I94" s="180"/>
    </row>
    <row r="95" spans="1:9" ht="18.75" customHeight="1">
      <c r="A95" s="1"/>
      <c r="B95" s="181"/>
      <c r="C95" s="182"/>
      <c r="D95" s="182"/>
      <c r="E95" s="182"/>
      <c r="F95" s="182"/>
      <c r="G95" s="182"/>
      <c r="H95" s="182"/>
      <c r="I95" s="183"/>
    </row>
    <row r="96" spans="1:9" ht="18.75" customHeight="1">
      <c r="A96" s="1"/>
      <c r="B96" s="181"/>
      <c r="C96" s="182"/>
      <c r="D96" s="182"/>
      <c r="E96" s="182"/>
      <c r="F96" s="182"/>
      <c r="G96" s="182"/>
      <c r="H96" s="182"/>
      <c r="I96" s="183"/>
    </row>
    <row r="97" spans="1:9" ht="18.75" customHeight="1">
      <c r="A97" s="1"/>
      <c r="B97" s="181"/>
      <c r="C97" s="182"/>
      <c r="D97" s="182"/>
      <c r="E97" s="182"/>
      <c r="F97" s="182"/>
      <c r="G97" s="182"/>
      <c r="H97" s="182"/>
      <c r="I97" s="183"/>
    </row>
    <row r="98" spans="1:9" ht="18.75" customHeight="1">
      <c r="A98" s="1"/>
      <c r="B98" s="181"/>
      <c r="C98" s="182"/>
      <c r="D98" s="182"/>
      <c r="E98" s="182"/>
      <c r="F98" s="182"/>
      <c r="G98" s="182"/>
      <c r="H98" s="182"/>
      <c r="I98" s="183"/>
    </row>
    <row r="99" spans="1:9" ht="18.75" customHeight="1">
      <c r="A99" s="1"/>
      <c r="B99" s="181"/>
      <c r="C99" s="182"/>
      <c r="D99" s="182"/>
      <c r="E99" s="182"/>
      <c r="F99" s="182"/>
      <c r="G99" s="182"/>
      <c r="H99" s="182"/>
      <c r="I99" s="183"/>
    </row>
    <row r="100" spans="1:9" ht="18.75" customHeight="1">
      <c r="A100" s="1"/>
      <c r="B100" s="181"/>
      <c r="C100" s="182"/>
      <c r="D100" s="182"/>
      <c r="E100" s="182"/>
      <c r="F100" s="182"/>
      <c r="G100" s="182"/>
      <c r="H100" s="182"/>
      <c r="I100" s="183"/>
    </row>
    <row r="101" spans="1:9" ht="18.75" customHeight="1">
      <c r="A101" s="1"/>
      <c r="B101" s="181"/>
      <c r="C101" s="182"/>
      <c r="D101" s="182"/>
      <c r="E101" s="182"/>
      <c r="F101" s="182"/>
      <c r="G101" s="182"/>
      <c r="H101" s="182"/>
      <c r="I101" s="183"/>
    </row>
    <row r="102" spans="1:9" ht="18.75" customHeight="1">
      <c r="A102" s="1"/>
      <c r="B102" s="181"/>
      <c r="C102" s="182"/>
      <c r="D102" s="182"/>
      <c r="E102" s="182"/>
      <c r="F102" s="182"/>
      <c r="G102" s="182"/>
      <c r="H102" s="182"/>
      <c r="I102" s="183"/>
    </row>
    <row r="103" spans="1:9" ht="18.75" customHeight="1">
      <c r="A103" s="1"/>
      <c r="B103" s="181"/>
      <c r="C103" s="182"/>
      <c r="D103" s="182"/>
      <c r="E103" s="182"/>
      <c r="F103" s="182"/>
      <c r="G103" s="182"/>
      <c r="H103" s="182"/>
      <c r="I103" s="183"/>
    </row>
    <row r="104" spans="1:9" ht="18.75" customHeight="1">
      <c r="A104" s="1"/>
      <c r="B104" s="181"/>
      <c r="C104" s="182"/>
      <c r="D104" s="182"/>
      <c r="E104" s="182"/>
      <c r="F104" s="182"/>
      <c r="G104" s="182"/>
      <c r="H104" s="182"/>
      <c r="I104" s="183"/>
    </row>
    <row r="105" spans="1:9" ht="18.75" customHeight="1">
      <c r="A105" s="4"/>
      <c r="B105" s="184"/>
      <c r="C105" s="185"/>
      <c r="D105" s="185"/>
      <c r="E105" s="185"/>
      <c r="F105" s="185"/>
      <c r="G105" s="185"/>
      <c r="H105" s="185"/>
      <c r="I105" s="186"/>
    </row>
    <row r="106" spans="1:9" ht="7.5" customHeight="1">
      <c r="A106" s="4"/>
      <c r="B106" s="4"/>
      <c r="C106" s="4"/>
      <c r="D106" s="4"/>
      <c r="E106" s="4"/>
      <c r="F106" s="4"/>
      <c r="G106" s="4"/>
      <c r="H106" s="4"/>
      <c r="I106" s="4"/>
    </row>
    <row r="107" spans="1:9" ht="18.75" customHeight="1">
      <c r="A107" s="1" t="s">
        <v>151</v>
      </c>
      <c r="B107" s="257" t="s">
        <v>152</v>
      </c>
      <c r="C107" s="257"/>
      <c r="D107" s="257"/>
      <c r="E107" s="257"/>
      <c r="F107" s="257"/>
      <c r="G107" s="257"/>
      <c r="H107" s="257"/>
      <c r="I107" s="257"/>
    </row>
    <row r="108" spans="1:9" ht="18.75" customHeight="1">
      <c r="A108" s="4"/>
      <c r="B108" s="178" t="s">
        <v>153</v>
      </c>
      <c r="C108" s="179"/>
      <c r="D108" s="179"/>
      <c r="E108" s="179"/>
      <c r="F108" s="179"/>
      <c r="G108" s="179"/>
      <c r="H108" s="179"/>
      <c r="I108" s="180"/>
    </row>
    <row r="109" spans="1:9" ht="18.75" customHeight="1">
      <c r="A109" s="4"/>
      <c r="B109" s="181"/>
      <c r="C109" s="182"/>
      <c r="D109" s="182"/>
      <c r="E109" s="182"/>
      <c r="F109" s="182"/>
      <c r="G109" s="182"/>
      <c r="H109" s="182"/>
      <c r="I109" s="183"/>
    </row>
    <row r="110" spans="1:9" ht="18.75" customHeight="1">
      <c r="A110" s="4"/>
      <c r="B110" s="181"/>
      <c r="C110" s="182"/>
      <c r="D110" s="182"/>
      <c r="E110" s="182"/>
      <c r="F110" s="182"/>
      <c r="G110" s="182"/>
      <c r="H110" s="182"/>
      <c r="I110" s="183"/>
    </row>
    <row r="111" spans="1:9" ht="18.75" customHeight="1">
      <c r="A111" s="4"/>
      <c r="B111" s="181"/>
      <c r="C111" s="182"/>
      <c r="D111" s="182"/>
      <c r="E111" s="182"/>
      <c r="F111" s="182"/>
      <c r="G111" s="182"/>
      <c r="H111" s="182"/>
      <c r="I111" s="183"/>
    </row>
    <row r="112" spans="1:9" ht="18.75" customHeight="1">
      <c r="A112" s="4"/>
      <c r="B112" s="181"/>
      <c r="C112" s="182"/>
      <c r="D112" s="182"/>
      <c r="E112" s="182"/>
      <c r="F112" s="182"/>
      <c r="G112" s="182"/>
      <c r="H112" s="182"/>
      <c r="I112" s="183"/>
    </row>
    <row r="113" spans="1:9" ht="18.75" customHeight="1">
      <c r="A113" s="4"/>
      <c r="B113" s="181"/>
      <c r="C113" s="182"/>
      <c r="D113" s="182"/>
      <c r="E113" s="182"/>
      <c r="F113" s="182"/>
      <c r="G113" s="182"/>
      <c r="H113" s="182"/>
      <c r="I113" s="183"/>
    </row>
    <row r="114" spans="1:9" ht="18.75" customHeight="1">
      <c r="A114" s="4"/>
      <c r="B114" s="181"/>
      <c r="C114" s="182"/>
      <c r="D114" s="182"/>
      <c r="E114" s="182"/>
      <c r="F114" s="182"/>
      <c r="G114" s="182"/>
      <c r="H114" s="182"/>
      <c r="I114" s="183"/>
    </row>
    <row r="115" spans="1:9" ht="18.75" customHeight="1">
      <c r="A115" s="4"/>
      <c r="B115" s="181"/>
      <c r="C115" s="182"/>
      <c r="D115" s="182"/>
      <c r="E115" s="182"/>
      <c r="F115" s="182"/>
      <c r="G115" s="182"/>
      <c r="H115" s="182"/>
      <c r="I115" s="183"/>
    </row>
    <row r="116" spans="1:9" ht="18.75" customHeight="1">
      <c r="A116" s="4"/>
      <c r="B116" s="181"/>
      <c r="C116" s="182"/>
      <c r="D116" s="182"/>
      <c r="E116" s="182"/>
      <c r="F116" s="182"/>
      <c r="G116" s="182"/>
      <c r="H116" s="182"/>
      <c r="I116" s="183"/>
    </row>
    <row r="117" spans="1:9" ht="18.75" customHeight="1">
      <c r="A117" s="4"/>
      <c r="B117" s="181"/>
      <c r="C117" s="182"/>
      <c r="D117" s="182"/>
      <c r="E117" s="182"/>
      <c r="F117" s="182"/>
      <c r="G117" s="182"/>
      <c r="H117" s="182"/>
      <c r="I117" s="183"/>
    </row>
    <row r="118" spans="1:9" ht="18.75" customHeight="1">
      <c r="A118" s="4"/>
      <c r="B118" s="181"/>
      <c r="C118" s="182"/>
      <c r="D118" s="182"/>
      <c r="E118" s="182"/>
      <c r="F118" s="182"/>
      <c r="G118" s="182"/>
      <c r="H118" s="182"/>
      <c r="I118" s="183"/>
    </row>
    <row r="119" spans="1:9" ht="18.75" customHeight="1">
      <c r="A119" s="4"/>
      <c r="B119" s="184"/>
      <c r="C119" s="185"/>
      <c r="D119" s="185"/>
      <c r="E119" s="185"/>
      <c r="F119" s="185"/>
      <c r="G119" s="185"/>
      <c r="H119" s="185"/>
      <c r="I119" s="186"/>
    </row>
    <row r="120" spans="1:9" ht="7.5" customHeight="1">
      <c r="A120" s="4"/>
      <c r="B120" s="39"/>
      <c r="C120" s="39"/>
      <c r="D120" s="39"/>
      <c r="E120" s="39"/>
      <c r="F120" s="39"/>
      <c r="G120" s="39"/>
      <c r="H120" s="39"/>
      <c r="I120" s="39"/>
    </row>
    <row r="121" spans="1:9" ht="18.75" customHeight="1">
      <c r="A121" s="69"/>
      <c r="B121" s="187"/>
      <c r="C121" s="187"/>
      <c r="D121" s="187"/>
      <c r="E121" s="187"/>
      <c r="F121" s="187"/>
      <c r="G121" s="187"/>
      <c r="H121" s="187"/>
      <c r="I121" s="187"/>
    </row>
    <row r="122" spans="1:9" ht="18.75" customHeight="1">
      <c r="A122" s="69"/>
      <c r="B122" s="187"/>
      <c r="C122" s="187"/>
      <c r="D122" s="187"/>
      <c r="E122" s="187"/>
      <c r="F122" s="187"/>
      <c r="G122" s="187"/>
      <c r="H122" s="187"/>
      <c r="I122" s="187"/>
    </row>
    <row r="123" spans="1:9" ht="18.75" customHeight="1">
      <c r="A123" s="4"/>
      <c r="B123" s="73"/>
      <c r="C123" s="73"/>
      <c r="D123" s="73"/>
      <c r="E123" s="73"/>
      <c r="F123" s="73"/>
      <c r="G123" s="73"/>
      <c r="H123" s="73"/>
      <c r="I123" s="74"/>
    </row>
    <row r="124" spans="1:9" ht="18.75" customHeight="1">
      <c r="A124" s="4"/>
      <c r="B124" s="74"/>
      <c r="C124" s="74"/>
      <c r="D124" s="74"/>
      <c r="E124" s="74"/>
      <c r="F124" s="74"/>
      <c r="G124" s="74"/>
      <c r="H124" s="74"/>
      <c r="I124" s="74"/>
    </row>
    <row r="125" spans="1:9" ht="18.75" customHeight="1">
      <c r="A125" s="4"/>
      <c r="B125" s="74"/>
      <c r="C125" s="74"/>
      <c r="D125" s="74"/>
      <c r="E125" s="74"/>
      <c r="F125" s="74"/>
      <c r="G125" s="74"/>
      <c r="H125" s="74"/>
      <c r="I125" s="74"/>
    </row>
    <row r="126" spans="1:9" ht="18.75" customHeight="1">
      <c r="A126" s="4"/>
      <c r="B126" s="74"/>
      <c r="C126" s="74"/>
      <c r="D126" s="74"/>
      <c r="E126" s="74"/>
      <c r="F126" s="74"/>
      <c r="G126" s="74"/>
      <c r="H126" s="74"/>
      <c r="I126" s="74"/>
    </row>
    <row r="127" spans="1:9" ht="18.75" customHeight="1">
      <c r="A127" s="4"/>
      <c r="B127" s="74"/>
      <c r="C127" s="74"/>
      <c r="D127" s="74"/>
      <c r="E127" s="74"/>
      <c r="F127" s="74"/>
      <c r="G127" s="74"/>
      <c r="H127" s="74"/>
      <c r="I127" s="74"/>
    </row>
    <row r="128" spans="1:9" ht="18.75" customHeight="1">
      <c r="A128" s="4"/>
      <c r="B128" s="74"/>
      <c r="C128" s="74"/>
      <c r="D128" s="74"/>
      <c r="E128" s="74"/>
      <c r="F128" s="74"/>
      <c r="G128" s="74"/>
      <c r="H128" s="74"/>
      <c r="I128" s="74"/>
    </row>
    <row r="129" spans="1:9" ht="18.75" customHeight="1">
      <c r="A129" s="4"/>
      <c r="B129" s="74"/>
      <c r="C129" s="74"/>
      <c r="D129" s="74"/>
      <c r="E129" s="74"/>
      <c r="F129" s="74"/>
      <c r="G129" s="74"/>
      <c r="H129" s="74"/>
      <c r="I129" s="74"/>
    </row>
    <row r="130" spans="1:9" ht="18.75" customHeight="1">
      <c r="A130" s="4"/>
      <c r="B130" s="74"/>
      <c r="C130" s="74"/>
      <c r="D130" s="74"/>
      <c r="E130" s="74"/>
      <c r="F130" s="74"/>
      <c r="G130" s="74"/>
      <c r="H130" s="74"/>
      <c r="I130" s="74"/>
    </row>
    <row r="131" spans="1:9" ht="18.75" customHeight="1">
      <c r="A131" s="4"/>
      <c r="B131" s="74"/>
      <c r="C131" s="74"/>
      <c r="D131" s="74"/>
      <c r="E131" s="74"/>
      <c r="F131" s="74"/>
      <c r="G131" s="74"/>
      <c r="H131" s="74"/>
      <c r="I131" s="74"/>
    </row>
    <row r="132" spans="1:9" ht="18.75" customHeight="1">
      <c r="A132" s="4"/>
      <c r="B132" s="74"/>
      <c r="C132" s="74"/>
      <c r="D132" s="74"/>
      <c r="E132" s="74"/>
      <c r="F132" s="74"/>
      <c r="G132" s="74"/>
      <c r="H132" s="74"/>
      <c r="I132" s="74"/>
    </row>
    <row r="133" spans="1:9" ht="14.25">
      <c r="A133" s="4"/>
      <c r="B133" s="74"/>
      <c r="C133" s="74"/>
      <c r="D133" s="74"/>
      <c r="E133" s="74"/>
      <c r="F133" s="74"/>
      <c r="G133" s="74"/>
      <c r="H133" s="74"/>
      <c r="I133" s="74"/>
    </row>
    <row r="134" spans="1:9" ht="7.5" customHeight="1">
      <c r="A134" s="4"/>
      <c r="B134" s="74"/>
      <c r="C134" s="74"/>
      <c r="D134" s="74"/>
      <c r="E134" s="74"/>
      <c r="F134" s="74"/>
      <c r="G134" s="74"/>
      <c r="H134" s="74"/>
      <c r="I134" s="74"/>
    </row>
  </sheetData>
  <mergeCells count="23">
    <mergeCell ref="C49:D49"/>
    <mergeCell ref="F49:G49"/>
    <mergeCell ref="H2:I2"/>
    <mergeCell ref="A4:I4"/>
    <mergeCell ref="C6:D6"/>
    <mergeCell ref="C11:E11"/>
    <mergeCell ref="H11:I11"/>
    <mergeCell ref="B14:I14"/>
    <mergeCell ref="C16:E16"/>
    <mergeCell ref="H16:I16"/>
    <mergeCell ref="B19:I19"/>
    <mergeCell ref="B22:I32"/>
    <mergeCell ref="B35:I46"/>
    <mergeCell ref="B94:I105"/>
    <mergeCell ref="B107:I107"/>
    <mergeCell ref="B108:I119"/>
    <mergeCell ref="B121:I122"/>
    <mergeCell ref="C50:D50"/>
    <mergeCell ref="F50:G50"/>
    <mergeCell ref="B51:I51"/>
    <mergeCell ref="B52:I63"/>
    <mergeCell ref="B66:I77"/>
    <mergeCell ref="B80:I9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8D5D-15A9-4C76-85B4-686CE40EF613}">
  <sheetPr>
    <pageSetUpPr fitToPage="1"/>
  </sheetPr>
  <dimension ref="A1:I30"/>
  <sheetViews>
    <sheetView showZeros="0" view="pageBreakPreview" topLeftCell="A16" zoomScale="90" zoomScaleNormal="100" zoomScaleSheetLayoutView="90" workbookViewId="0">
      <selection activeCell="L14" sqref="L14"/>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154</v>
      </c>
      <c r="I1" s="30" t="s">
        <v>155</v>
      </c>
    </row>
    <row r="2" spans="1:9" ht="18.75" customHeight="1">
      <c r="H2" s="30" t="s">
        <v>2</v>
      </c>
      <c r="I2" s="29" t="str">
        <f>'様式１　プログラムを構成する授業科目'!C2</f>
        <v>日本赤十字豊田看護大学</v>
      </c>
    </row>
    <row r="3" spans="1:9" ht="18.75" customHeight="1">
      <c r="A3" s="111" t="s">
        <v>156</v>
      </c>
      <c r="B3" s="111"/>
      <c r="C3" s="111"/>
      <c r="D3" s="111"/>
      <c r="E3" s="111"/>
      <c r="F3" s="111"/>
      <c r="G3" s="111"/>
      <c r="H3" s="111"/>
      <c r="I3" s="111"/>
    </row>
    <row r="4" spans="1:9" ht="18.75" customHeight="1">
      <c r="A4" s="5"/>
      <c r="B4" s="5"/>
      <c r="C4" s="5"/>
      <c r="D4" s="5"/>
      <c r="E4" s="5"/>
      <c r="F4" s="5"/>
      <c r="G4" s="5"/>
      <c r="H4" s="5"/>
      <c r="I4" s="5"/>
    </row>
    <row r="5" spans="1:9" ht="18.75" customHeight="1">
      <c r="A5" s="1" t="s">
        <v>106</v>
      </c>
      <c r="B5" s="10" t="s">
        <v>157</v>
      </c>
      <c r="C5" s="5"/>
      <c r="D5" s="5"/>
      <c r="E5" s="5"/>
      <c r="F5" s="5"/>
      <c r="G5" s="5"/>
      <c r="H5" s="5"/>
      <c r="I5" s="5"/>
    </row>
    <row r="6" spans="1:9" ht="26.25" customHeight="1">
      <c r="A6" s="5"/>
      <c r="B6" s="214" t="s">
        <v>120</v>
      </c>
      <c r="C6" s="251"/>
      <c r="D6" s="251"/>
      <c r="E6" s="251"/>
      <c r="F6" s="251"/>
      <c r="G6" s="251"/>
      <c r="H6" s="251"/>
      <c r="I6" s="3"/>
    </row>
    <row r="7" spans="1:9" ht="9" customHeight="1">
      <c r="A7" s="5"/>
      <c r="B7" s="10"/>
      <c r="C7" s="10"/>
      <c r="D7" s="10"/>
      <c r="E7" s="10"/>
      <c r="F7" s="10"/>
      <c r="G7" s="10"/>
      <c r="H7" s="10"/>
      <c r="I7" s="3"/>
    </row>
    <row r="8" spans="1:9" ht="18.75" customHeight="1">
      <c r="A8" s="5"/>
      <c r="B8" s="3"/>
      <c r="C8" s="3"/>
      <c r="D8" s="30" t="s">
        <v>114</v>
      </c>
      <c r="E8" s="84" t="s">
        <v>121</v>
      </c>
      <c r="F8" s="3"/>
      <c r="G8" s="30" t="s">
        <v>116</v>
      </c>
      <c r="H8" s="84" t="s">
        <v>122</v>
      </c>
      <c r="I8" s="3"/>
    </row>
    <row r="9" spans="1:9" ht="7.5" customHeight="1">
      <c r="A9" s="5"/>
      <c r="B9" s="5"/>
      <c r="C9" s="5"/>
      <c r="D9" s="5"/>
      <c r="E9" s="5"/>
      <c r="F9" s="5"/>
      <c r="G9" s="5"/>
      <c r="H9" s="5"/>
      <c r="I9" s="5"/>
    </row>
    <row r="10" spans="1:9" ht="18.75" customHeight="1">
      <c r="A10" s="1" t="s">
        <v>110</v>
      </c>
      <c r="B10" s="1" t="s">
        <v>158</v>
      </c>
      <c r="C10" s="4"/>
      <c r="D10" s="4"/>
      <c r="E10" s="4"/>
      <c r="F10" s="4"/>
      <c r="G10" s="4"/>
      <c r="H10" s="4"/>
      <c r="I10" s="4"/>
    </row>
    <row r="11" spans="1:9" ht="18.75" customHeight="1">
      <c r="B11" s="104" t="s">
        <v>159</v>
      </c>
      <c r="C11" s="105"/>
      <c r="D11" s="106"/>
      <c r="E11" s="105" t="s">
        <v>160</v>
      </c>
      <c r="F11" s="105"/>
      <c r="G11" s="105"/>
      <c r="H11" s="105"/>
      <c r="I11" s="106"/>
    </row>
    <row r="12" spans="1:9" ht="26.25" customHeight="1">
      <c r="B12" s="40" t="s">
        <v>161</v>
      </c>
      <c r="C12" s="47"/>
      <c r="D12" s="41"/>
      <c r="E12" s="48"/>
      <c r="F12" s="48"/>
      <c r="G12" s="48"/>
      <c r="H12" s="48"/>
      <c r="I12" s="41"/>
    </row>
    <row r="13" spans="1:9" ht="210.75" customHeight="1">
      <c r="B13" s="42"/>
      <c r="C13" s="244" t="s">
        <v>162</v>
      </c>
      <c r="D13" s="245"/>
      <c r="E13" s="248" t="s">
        <v>163</v>
      </c>
      <c r="F13" s="249"/>
      <c r="G13" s="249"/>
      <c r="H13" s="249"/>
      <c r="I13" s="250"/>
    </row>
    <row r="14" spans="1:9" ht="210.75" customHeight="1">
      <c r="B14" s="42"/>
      <c r="C14" s="258" t="s">
        <v>164</v>
      </c>
      <c r="D14" s="259"/>
      <c r="E14" s="248" t="s">
        <v>165</v>
      </c>
      <c r="F14" s="249"/>
      <c r="G14" s="249"/>
      <c r="H14" s="249"/>
      <c r="I14" s="250"/>
    </row>
    <row r="15" spans="1:9" ht="210.75" customHeight="1">
      <c r="B15" s="42"/>
      <c r="C15" s="244" t="s">
        <v>166</v>
      </c>
      <c r="D15" s="245"/>
      <c r="E15" s="248" t="s">
        <v>167</v>
      </c>
      <c r="F15" s="249"/>
      <c r="G15" s="249"/>
      <c r="H15" s="249"/>
      <c r="I15" s="250"/>
    </row>
    <row r="16" spans="1:9" ht="210.75" customHeight="1">
      <c r="B16" s="42"/>
      <c r="C16" s="244" t="s">
        <v>168</v>
      </c>
      <c r="D16" s="245"/>
      <c r="E16" s="241" t="s">
        <v>169</v>
      </c>
      <c r="F16" s="242"/>
      <c r="G16" s="242"/>
      <c r="H16" s="242"/>
      <c r="I16" s="243"/>
    </row>
    <row r="17" spans="2:9" ht="210.75" customHeight="1">
      <c r="B17" s="43"/>
      <c r="C17" s="239" t="s">
        <v>170</v>
      </c>
      <c r="D17" s="240"/>
      <c r="E17" s="241" t="s">
        <v>171</v>
      </c>
      <c r="F17" s="242"/>
      <c r="G17" s="242"/>
      <c r="H17" s="242"/>
      <c r="I17" s="243"/>
    </row>
    <row r="18" spans="2:9" ht="24" customHeight="1">
      <c r="B18" s="40" t="s">
        <v>172</v>
      </c>
      <c r="C18" s="44"/>
      <c r="D18" s="45"/>
      <c r="E18" s="46"/>
      <c r="F18" s="46"/>
      <c r="G18" s="46"/>
      <c r="H18" s="46"/>
      <c r="I18" s="49"/>
    </row>
    <row r="19" spans="2:9" ht="218.25" customHeight="1">
      <c r="B19" s="42"/>
      <c r="C19" s="244" t="s">
        <v>173</v>
      </c>
      <c r="D19" s="245"/>
      <c r="E19" s="246" t="s">
        <v>174</v>
      </c>
      <c r="F19" s="246"/>
      <c r="G19" s="246"/>
      <c r="H19" s="246"/>
      <c r="I19" s="247"/>
    </row>
    <row r="20" spans="2:9" ht="218.25" customHeight="1">
      <c r="B20" s="43"/>
      <c r="C20" s="239" t="s">
        <v>175</v>
      </c>
      <c r="D20" s="240"/>
      <c r="E20" s="234" t="s">
        <v>176</v>
      </c>
      <c r="F20" s="234"/>
      <c r="G20" s="234"/>
      <c r="H20" s="234"/>
      <c r="I20" s="235"/>
    </row>
    <row r="21" spans="2:9" ht="218.25" customHeight="1">
      <c r="B21" s="231" t="s">
        <v>177</v>
      </c>
      <c r="C21" s="232"/>
      <c r="D21" s="233"/>
      <c r="E21" s="234" t="s">
        <v>178</v>
      </c>
      <c r="F21" s="234"/>
      <c r="G21" s="234"/>
      <c r="H21" s="234"/>
      <c r="I21" s="235"/>
    </row>
    <row r="22" spans="2:9" ht="218.25" customHeight="1">
      <c r="B22" s="236" t="s">
        <v>179</v>
      </c>
      <c r="C22" s="237"/>
      <c r="D22" s="238"/>
      <c r="E22" s="234" t="s">
        <v>180</v>
      </c>
      <c r="F22" s="234"/>
      <c r="G22" s="234"/>
      <c r="H22" s="234"/>
      <c r="I22" s="235"/>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7584547CFA4644CBEF9F263F25BFF90" ma:contentTypeVersion="6" ma:contentTypeDescription="新しいドキュメントを作成します。" ma:contentTypeScope="" ma:versionID="6af2776a5b0c8d83135cc3207bcae963">
  <xsd:schema xmlns:xsd="http://www.w3.org/2001/XMLSchema" xmlns:xs="http://www.w3.org/2001/XMLSchema" xmlns:p="http://schemas.microsoft.com/office/2006/metadata/properties" xmlns:ns2="bea7a651-90b4-4414-b954-14ce2dd6a90d" xmlns:ns3="e04fc046-dd77-4c22-918d-d4a19eec8547" targetNamespace="http://schemas.microsoft.com/office/2006/metadata/properties" ma:root="true" ma:fieldsID="5a557fefb2a8f82e74067e2f9f34cf56" ns2:_="" ns3:_="">
    <xsd:import namespace="bea7a651-90b4-4414-b954-14ce2dd6a90d"/>
    <xsd:import namespace="e04fc046-dd77-4c22-918d-d4a19eec85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a7a651-90b4-4414-b954-14ce2dd6a9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4fc046-dd77-4c22-918d-d4a19eec8547"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2633AB-553B-419B-8444-136EFA71AFBA}"/>
</file>

<file path=customXml/itemProps2.xml><?xml version="1.0" encoding="utf-8"?>
<ds:datastoreItem xmlns:ds="http://schemas.openxmlformats.org/officeDocument/2006/customXml" ds:itemID="{F71B4394-FC9D-4207-964B-3FC64D420562}"/>
</file>

<file path=customXml/itemProps3.xml><?xml version="1.0" encoding="utf-8"?>
<ds:datastoreItem xmlns:ds="http://schemas.openxmlformats.org/officeDocument/2006/customXml" ds:itemID="{CCA8942A-2782-42DD-A442-8856D8583D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木村 美希</cp:lastModifiedBy>
  <cp:revision/>
  <dcterms:created xsi:type="dcterms:W3CDTF">2011-06-14T05:32:50Z</dcterms:created>
  <dcterms:modified xsi:type="dcterms:W3CDTF">2024-06-11T06:55:55Z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0x01010077584547CFA4644CBEF9F263F25BFF90</vt:lpwstr>
  </property>
</Properties>
</file>