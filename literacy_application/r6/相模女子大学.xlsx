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camj-test\学事部\03_共有\05_各種委員会\02_共通教育機構運営委員会\2023\AI・データサイエンス申請関連\01_相模女子大学_リテラシー\【再提出】相模女子大学\"/>
    </mc:Choice>
  </mc:AlternateContent>
  <xr:revisionPtr revIDLastSave="0" documentId="13_ncr:1_{D06E18D9-94F6-43BE-8D4A-F65A6B4CEEA5}" xr6:coauthVersionLast="36" xr6:coauthVersionMax="47" xr10:uidLastSave="{00000000-0000-0000-0000-000000000000}"/>
  <bookViews>
    <workbookView xWindow="0" yWindow="0" windowWidth="19200" windowHeight="10545"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<sst xmlns="http://schemas.openxmlformats.org/spreadsheetml/2006/main" count="279" uniqueCount="184">
  <si>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</si>
  <si>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</si>
  <si>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</si>
  <si>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相模女子大学</t>
    <rPh sb="0" eb="6">
      <t>サガミジョシダイガク</t>
    </rPh>
    <phoneticPr fontId="1"/>
  </si>
  <si>
    <t>プログラム名</t>
    <rPh sb="5" eb="6">
      <t>メイ</t>
    </rPh>
    <phoneticPr fontId="1"/>
  </si>
  <si>
    <t>プログラムを構成する授業科目について</t>
  </si>
  <si>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</si>
  <si>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</si>
  <si>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</si>
  <si>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</si>
  <si>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</si>
  <si>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</si>
  <si>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</si>
  <si>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</si>
  <si>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</si>
  <si>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</si>
  <si>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</si>
  <si>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</si>
  <si>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</si>
  <si>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</si>
  <si>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</si>
  <si>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</si>
  <si>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</si>
  <si>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</si>
  <si>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数理の科学</t>
    <rPh sb="0" eb="2">
      <t>スウリ</t>
    </rPh>
    <rPh sb="3" eb="5">
      <t>カガク</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</si>
  <si>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</si>
  <si>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</si>
  <si>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</si>
  <si>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</si>
  <si>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</si>
  <si>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</si>
  <si>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</si>
  <si>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</si>
  <si>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</si>
  <si>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</si>
  <si>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</si>
  <si>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</si>
  <si>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</si>
  <si>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</si>
  <si>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</si>
  <si>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</si>
  <si>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</si>
  <si>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</si>
  <si>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</si>
  <si>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</si>
  <si>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</si>
  <si>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</si>
  <si>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</si>
  <si>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</si>
  <si>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</si>
  <si>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</si>
  <si>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</si>
  <si>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</si>
  <si>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 xml:space="preserve">ICT（情報通信技術）やAI技術の急激な発展・普及に、正しい知識を持って対応できるようになる。データに基づいて現状を理解でき、新しい価値を生み出すための基礎として、「データを適切に読み解ける」、「データに基づいて適切に説明できる」、「データを適切に扱える」能力を身に付ける。
</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</si>
  <si>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</si>
  <si>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</si>
  <si>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</si>
  <si>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</si>
  <si>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該当なし</t>
  </si>
  <si>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</si>
  <si>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</si>
  <si>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</si>
  <si>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</si>
  <si>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</si>
  <si>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</si>
  <si>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</si>
  <si>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</si>
  <si>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</si>
  <si>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</si>
  <si>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</si>
  <si>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</si>
  <si>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</si>
  <si>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</si>
  <si>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</si>
  <si>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</si>
  <si>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</si>
  <si>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</si>
  <si>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</si>
  <si>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</si>
  <si>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</si>
  <si>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</si>
  <si>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</si>
  <si>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</si>
  <si>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</si>
  <si>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</si>
  <si>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</si>
  <si>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学芸学部</t>
    <rPh sb="0" eb="4">
      <t>ガクゲイガクブ</t>
    </rPh>
    <phoneticPr fontId="1"/>
  </si>
  <si>
    <t>人間社会学部</t>
    <rPh sb="0" eb="2">
      <t>ニンゲン</t>
    </rPh>
    <rPh sb="2" eb="4">
      <t>シャカイ</t>
    </rPh>
    <rPh sb="4" eb="6">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</si>
  <si>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</si>
  <si>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</si>
  <si>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</si>
  <si>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</si>
  <si>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</si>
  <si>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</si>
  <si>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</si>
  <si>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</si>
  <si>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</si>
  <si>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</si>
  <si>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</si>
  <si>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</si>
  <si>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</si>
  <si>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中林　正身</t>
    <rPh sb="0" eb="2">
      <t>ナカバヤシ</t>
    </rPh>
    <rPh sb="3" eb="4">
      <t>マサ</t>
    </rPh>
    <rPh sb="4" eb="5">
      <t>ミ</t>
    </rPh>
    <phoneticPr fontId="1"/>
  </si>
  <si>
    <t>（役職名）</t>
    <rPh sb="1" eb="4">
      <t>ヤクショクメイ</t>
    </rPh>
    <phoneticPr fontId="1"/>
  </si>
  <si>
    <t>副学長（教育担当）</t>
    <rPh sb="0" eb="3">
      <t>フクガクチョウ</t>
    </rPh>
    <rPh sb="4" eb="8">
      <t>キョウイクタントウ</t>
    </rPh>
    <phoneticPr fontId="1"/>
  </si>
  <si>
    <t>④</t>
    <phoneticPr fontId="1"/>
  </si>
  <si>
    <t>プログラムを改善・進化させるための体制（委員会・組織等）</t>
    <phoneticPr fontId="1"/>
  </si>
  <si>
    <t>共通教育機構運営委員会</t>
    <rPh sb="0" eb="6">
      <t>キョウツウキョウイクキコウ</t>
    </rPh>
    <rPh sb="6" eb="11">
      <t>ウンエイイインカイ</t>
    </rPh>
    <phoneticPr fontId="1"/>
  </si>
  <si>
    <t>共通教育機構長</t>
    <rPh sb="0" eb="6">
      <t>キョウツウキョウイクキコウ</t>
    </rPh>
    <rPh sb="6" eb="7">
      <t>チョウ</t>
    </rPh>
    <phoneticPr fontId="1"/>
  </si>
  <si>
    <t>⑤</t>
    <phoneticPr fontId="1"/>
  </si>
  <si>
    <t>プログラムを改善・進化させるための体制を定める規則名称</t>
    <phoneticPr fontId="1"/>
  </si>
  <si>
    <t>相模女子大学共通教育機構規程</t>
    <rPh sb="0" eb="6">
      <t>サガミジョシダイガク</t>
    </rPh>
    <rPh sb="6" eb="12">
      <t>キョウツウキョウイクキコウ</t>
    </rPh>
    <rPh sb="12" eb="14">
      <t>キテイ</t>
    </rPh>
    <phoneticPr fontId="1"/>
  </si>
  <si>
    <t>⑥</t>
    <phoneticPr fontId="1"/>
  </si>
  <si>
    <t>体制の目的</t>
    <rPh sb="0" eb="2">
      <t>タイセイ</t>
    </rPh>
    <rPh sb="3" eb="5">
      <t>モクテキ</t>
    </rPh>
    <phoneticPr fontId="1"/>
  </si>
  <si>
    <t>学生の数理・データサイエンス・ＡＩへの関心を高め、かつ、数理・データサイエンス・ＡＩを適切に理解し、それを活用する基礎的な能力を育成すること、並びに、数理・データサイエンス・ＡＩに関する知識及び技術について体系的な教育を推進することを目的とする。</t>
    <phoneticPr fontId="1"/>
  </si>
  <si>
    <t>⑦</t>
    <phoneticPr fontId="1"/>
  </si>
  <si>
    <t>具体的な構成員</t>
    <rPh sb="0" eb="3">
      <t>グタイテキ</t>
    </rPh>
    <rPh sb="4" eb="7">
      <t>コウセイイン</t>
    </rPh>
    <phoneticPr fontId="1"/>
  </si>
  <si>
    <t>中林　正身（機構長・副学長（教育担当）・学芸学部英語文化コミュニケーション学科教授）
石上　正也（副機構長・学修・生活支援課長）
加藤　由樹（情報教育系列部会長・学芸学部メディア情報学科教授）
後藤　和宏（自然科学系列部会長・人間社会学部人間心理学科教授）
伊東　俊彦（人文科学系列部会長・人間社会学部人間心理学科教授）
小泉　京美（社会科学系列部会長・学芸学部英語文化コミュニケーション学科教授）
上條　美和子（語学教育系列部会長・学芸学部英語文化コミュニケーション学科教授）
笹田　周作（健康教育系列部会長・短期大学部食物栄養学科教授）
富田　充保（教職課程部会長・栄養科学部健康栄養学科教授）
金井　喜一郎（司書課程部会長・学芸学部日本語日本文学科教授）
渡辺　幸倫（さがみ総合講座運営委員会代表委員・学芸学部英語文化コミュニケーション学科教授）</t>
    <rPh sb="0" eb="2">
      <t>ナカバヤシ</t>
    </rPh>
    <rPh sb="3" eb="4">
      <t>タダシ</t>
    </rPh>
    <rPh sb="4" eb="5">
      <t>ミ</t>
    </rPh>
    <rPh sb="6" eb="9">
      <t>キコウチョウ</t>
    </rPh>
    <rPh sb="10" eb="13">
      <t>フクガクチョウ</t>
    </rPh>
    <rPh sb="14" eb="18">
      <t>キョウイクタントウ</t>
    </rPh>
    <rPh sb="43" eb="45">
      <t>イシガミ</t>
    </rPh>
    <rPh sb="46" eb="48">
      <t>マサヤ</t>
    </rPh>
    <rPh sb="49" eb="50">
      <t>フク</t>
    </rPh>
    <rPh sb="50" eb="53">
      <t>キコウチョウ</t>
    </rPh>
    <rPh sb="54" eb="56">
      <t>ガクシュウ</t>
    </rPh>
    <rPh sb="57" eb="59">
      <t>セイカツ</t>
    </rPh>
    <rPh sb="59" eb="62">
      <t>シエンカ</t>
    </rPh>
    <rPh sb="62" eb="63">
      <t>チョウ</t>
    </rPh>
    <rPh sb="75" eb="77">
      <t>ケイレツ</t>
    </rPh>
    <rPh sb="77" eb="80">
      <t>ブカイチョウ</t>
    </rPh>
    <rPh sb="103" eb="107">
      <t>シゼンカガク</t>
    </rPh>
    <rPh sb="107" eb="112">
      <t>ケイレツブカイチョウ</t>
    </rPh>
    <rPh sb="135" eb="144">
      <t>ジンブンカガクケイレツブカイチョウ</t>
    </rPh>
    <rPh sb="167" eb="171">
      <t>シャカイカガク</t>
    </rPh>
    <rPh sb="171" eb="176">
      <t>ケイレツブカイチョウ</t>
    </rPh>
    <rPh sb="207" eb="216">
      <t>ゴガクキョウイクケイレツブカイチョウ</t>
    </rPh>
    <rPh sb="250" eb="255">
      <t>ケイレツブカイチョウ</t>
    </rPh>
    <rPh sb="277" eb="281">
      <t>キョウショクカテイ</t>
    </rPh>
    <rPh sb="281" eb="284">
      <t>ブカイチョウ</t>
    </rPh>
    <rPh sb="307" eb="314">
      <t>シショカテイブカイチョウ</t>
    </rPh>
    <rPh sb="340" eb="344">
      <t>ソウゴウコウザ</t>
    </rPh>
    <rPh sb="344" eb="349">
      <t>ウンエイイインカイ</t>
    </rPh>
    <rPh sb="349" eb="353">
      <t>ダイヒョウイイン</t>
    </rPh>
    <phoneticPr fontId="1"/>
  </si>
  <si>
    <t>⑧</t>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</si>
  <si>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</si>
  <si>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</si>
  <si>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</si>
  <si>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</si>
  <si>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</si>
  <si>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</si>
  <si>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</si>
  <si>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</si>
  <si>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</si>
  <si>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学部・学科に関係なく希望する学生全員が受講可能となるよう、全学共通科目の選択必修科目として開講しており、卒業単位に含むことのできる科目である。</t>
    <rPh sb="29" eb="35">
      <t>ゼンガクキョウツウカモク</t>
    </rPh>
    <rPh sb="36" eb="38">
      <t>センタク</t>
    </rPh>
    <rPh sb="38" eb="40">
      <t>ヒッシュウ</t>
    </rPh>
    <rPh sb="40" eb="42">
      <t>カモク</t>
    </rPh>
    <rPh sb="45" eb="47">
      <t>カイコウ</t>
    </rPh>
    <rPh sb="52" eb="54">
      <t>ソツギョウ</t>
    </rPh>
    <rPh sb="54" eb="56">
      <t>タンイ</t>
    </rPh>
    <rPh sb="57" eb="58">
      <t>フク</t>
    </rPh>
    <rPh sb="65" eb="67">
      <t>カモク</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</si>
  <si>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</si>
  <si>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</si>
  <si>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オリエンテーション実施時に、チラシを作成して配布する。また、学内に掲示を貼り、学生の認知度を高める。合わせて、本学のポータルサイトを用い、全学生宛てに広報連絡を実施する。
2024年度の履修者数増加に向け、教授会などでも周知し、専任教員による履修相談や、情報系教員の授業等において、学生に本プログラム対象科目の履修を勧めてもらうよう、情報系に限らず全ての教員に周知し、協力を依頼していく。</t>
    <rPh sb="9" eb="12">
      <t>ジッシジ</t>
    </rPh>
    <rPh sb="18" eb="20">
      <t>サクセイ</t>
    </rPh>
    <rPh sb="22" eb="24">
      <t>ハイフ</t>
    </rPh>
    <rPh sb="30" eb="32">
      <t>ガクナイ</t>
    </rPh>
    <rPh sb="33" eb="35">
      <t>ケイジ</t>
    </rPh>
    <rPh sb="36" eb="37">
      <t>ハ</t>
    </rPh>
    <rPh sb="39" eb="41">
      <t>ガクセイ</t>
    </rPh>
    <rPh sb="42" eb="45">
      <t>ニンチド</t>
    </rPh>
    <rPh sb="46" eb="47">
      <t>タカ</t>
    </rPh>
    <rPh sb="50" eb="51">
      <t>ア</t>
    </rPh>
    <rPh sb="55" eb="57">
      <t>ホンガク</t>
    </rPh>
    <rPh sb="66" eb="67">
      <t>モチ</t>
    </rPh>
    <rPh sb="69" eb="72">
      <t>ゼンガクセイ</t>
    </rPh>
    <rPh sb="72" eb="73">
      <t>ア</t>
    </rPh>
    <rPh sb="75" eb="77">
      <t>コウホウ</t>
    </rPh>
    <rPh sb="77" eb="79">
      <t>レンラク</t>
    </rPh>
    <rPh sb="80" eb="82">
      <t>ジッシ</t>
    </rPh>
    <rPh sb="90" eb="92">
      <t>ネンド</t>
    </rPh>
    <rPh sb="93" eb="96">
      <t>リシュウシャ</t>
    </rPh>
    <rPh sb="96" eb="97">
      <t>スウ</t>
    </rPh>
    <rPh sb="97" eb="99">
      <t>ゾウカ</t>
    </rPh>
    <rPh sb="100" eb="101">
      <t>ム</t>
    </rPh>
    <rPh sb="103" eb="106">
      <t>キョウジュカイ</t>
    </rPh>
    <rPh sb="110" eb="112">
      <t>シュウチ</t>
    </rPh>
    <rPh sb="133" eb="135">
      <t>ジュギョウ</t>
    </rPh>
    <phoneticPr fontId="1"/>
  </si>
  <si>
    <t>⑪</t>
    <phoneticPr fontId="1"/>
  </si>
  <si>
    <t>できる限り多くの学生が履修・修得できるようなサポート体制</t>
    <rPh sb="26" eb="28">
      <t>タイセイ</t>
    </rPh>
    <phoneticPr fontId="1"/>
  </si>
  <si>
    <t>学期開始前に実施する各学科のオリエンテーション資料として紹介ちらしを配布し、全学生の目に触れるよう広報を実施している。また、本学のポータルサイトであるSmileSagamiへもデータを掲載し、いつでも情報が見られるようにしている。</t>
    <rPh sb="0" eb="2">
      <t>ガッキ</t>
    </rPh>
    <rPh sb="2" eb="5">
      <t>カイシマエ</t>
    </rPh>
    <rPh sb="6" eb="8">
      <t>ジッシ</t>
    </rPh>
    <rPh sb="10" eb="13">
      <t>カクガッカ</t>
    </rPh>
    <rPh sb="23" eb="25">
      <t>シリョウ</t>
    </rPh>
    <rPh sb="28" eb="30">
      <t>ショウカイ</t>
    </rPh>
    <rPh sb="34" eb="36">
      <t>ハイフ</t>
    </rPh>
    <rPh sb="38" eb="41">
      <t>ゼンガクセイ</t>
    </rPh>
    <rPh sb="42" eb="43">
      <t>メ</t>
    </rPh>
    <rPh sb="44" eb="45">
      <t>フ</t>
    </rPh>
    <rPh sb="49" eb="51">
      <t>コウホウ</t>
    </rPh>
    <rPh sb="52" eb="54">
      <t>ジッシ</t>
    </rPh>
    <rPh sb="62" eb="64">
      <t>ホンガク</t>
    </rPh>
    <rPh sb="92" eb="94">
      <t>ケイサイ</t>
    </rPh>
    <rPh sb="100" eb="102">
      <t>ジョウホウ</t>
    </rPh>
    <rPh sb="103" eb="104">
      <t>ミ</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</si>
  <si>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</si>
  <si>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</si>
  <si>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</si>
  <si>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</si>
  <si>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</si>
  <si>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</si>
  <si>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中林　正身</t>
    <rPh sb="0" eb="2">
      <t>ナカバヤシ</t>
    </rPh>
    <rPh sb="3" eb="4">
      <t>タダ</t>
    </rPh>
    <rPh sb="4" eb="5">
      <t>ミ</t>
    </rPh>
    <phoneticPr fontId="1"/>
  </si>
  <si>
    <t>共通教育機構長・副学長（教育担当）</t>
    <rPh sb="0" eb="4">
      <t>キョウツウキョウイク</t>
    </rPh>
    <rPh sb="4" eb="7">
      <t>キコウチョウ</t>
    </rPh>
    <rPh sb="8" eb="11">
      <t>フクガクチョウ</t>
    </rPh>
    <rPh sb="12" eb="16">
      <t>キョウイクタントウ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</si>
  <si>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</si>
  <si>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</si>
  <si>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</si>
  <si>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</si>
  <si>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</si>
  <si>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このプログラムの科目「数理の科学」は、2023年度は後期のみ開講し、履修者が31名であり、27名の単位を認定した。選択科目として内容を十分に習得した者を合格させる方針であったため、修了率はおよそ80%であったが、質の担保はされている。なお、2024年度はクラス数を増やし、前期・後期ともに開講する。更に2025年度からの新しいカリキュラムでは「コンピュータリテラシー」を全学で必修にして、すべての学生がPCの使い方を習得したうえで、「数理の科学」の内容を数理部分とAI部分に分割し、それぞれ「データサイエンス」と「AIと社会」として新たに開講するなど、このプログラムの更なる充実を予定している。</t>
  </si>
  <si>
    <t>学修成果</t>
    <rPh sb="0" eb="2">
      <t>ガクシュウ</t>
    </rPh>
    <rPh sb="2" eb="4">
      <t>セイカ</t>
    </rPh>
    <phoneticPr fontId="1"/>
  </si>
  <si>
    <t>情報処理室において、各回、前半は講義、後半は実際にデータを扱う演習という対面形式の授業を実施した。教員は事前に授業支援ツール（LMS）に授業資料と演習課題を置き、学生が授業中だけでなく、授業後にいつでも過去の授業内容を確認できるようにした。演習として、表計算ソフトウェアを用いてデータを分析することで、講義の内容を確認するようにした。さらに、各回の授業の終わりに学生にリアクションペーパーを提出してもらい、教員はそのフィードバックを行った。演習課題とリアクションペーパーで履修者の理解度を把握しつつ、次回の授業に活かした。各回の演習及び期末に行った表計算ソフトで行う確認課題と問題発見・解決の応用課題の結果を総合し、6割以上であることを単位認定の条件とした。</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</si>
  <si>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</si>
  <si>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回終了後に行った学修振り返りアンケートの回答者数は12件で、履修生の3分の1にとどまっていた。アンケートの回収率の低さはこの科目に限らないことであるが、今後、回収率を高める対策が求められる。回答の結果、「この授業に対してどの程度主体的・積極的に取り組むことができましたか。」、「この授業の内容は理解できましたか。」という設問に対して、いずれも肯定的回答率が8割を超えていた。また、シラバスに示された到達目標に対する自己評価および、「この授業を通して、どの程度物事を深く捉えることができるようになりましたか。」はいずれも肯定的回答率が75%であった。これらの結果から履修生が意欲的に取り組み、目標を達成したと考えられる。一方、アンケート回答者数が成績優秀者に限定される可能性も含めて、今後、更なる授業改善に努める必要があるだろう。</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</si>
  <si>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</si>
  <si>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修振り返りアンケートでは、後輩学生等への推奨度を回答する項目はないが、「この授業を通して、どの程度物事を深く捉えることができるようになりましたか。」が「十分にできた」あるいは「ややできた」と回答した割合が75%であったことなどを踏まえると、推奨度はある程度高いのではないかと考えられる。一方、数学的な内容に苦手意識を持つ学生が本学では少なくないことも考えると、数学的な内容を教育する工夫をさらに行っていく必要はあるだろう。</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</si>
  <si>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</si>
  <si>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2023年度の履修者は、非常に限定的であった。2024年度はクラス数を増やし、前期・後期ともに開講している。更に2025年度からの新しいカリキュラムでは、このプログラムの基礎となる情報教育科目「コンピュータリテラシー」を全学共通科目における1年生の前期の必修として位置づけ、現在の「数理の科学」の内容を充実させ、新たに開講する「データサイエンス」や「AIと社会」へつながっていくように履修を促していく。</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</si>
  <si>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</si>
  <si>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</si>
  <si>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教育プログラム履修者の進路/活躍状況については、2023年度後期より設置した教育プログラムであり、今後、本プログラム修了者の卒業後の進路調査を実施するとともに、就業後一定年次が経過した時点で活躍状況を確認する。また企業等の評価についても同様であ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</si>
  <si>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</si>
  <si>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現在まだプログラム修了者が卒業していない状況であるが、産業界および産業界出身者を外部評価委員として委嘱し、定期的に本プログラムについての評価、提言が得られる仕組みを構築する方向で検討す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</si>
  <si>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</si>
  <si>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授業では、実生活での身近な例や社会の変化に基づいてデータサイエンスやAIに関する話題を提供し、単に数式や計算だけの学びと学生に捉えられないように工夫している。また、講義だけでなく、データを扱う演習を毎回取り入れることで、技術的な知識だけでなく、実際にデータを活用できるスキルを身に付けるように工夫し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</si>
  <si>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</si>
  <si>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第1回目の授業で到達目標とキーワード、授業の流れと各回の内容の積み重ねが重要であることを説明し、また各回の授業のはじめにその回で何を学ぶのかについて提示する。文系向けの授業であるため、高校までの数学の学び直しも意識しつつ、各回の前半では、学生に馴染みのあることを例にとりながら、図やグラフ、動画なども適宜使用して、視覚的にも理解できるような講義内容になるよう努めている。各回の後半では、データを扱う演習を通じて、手を動かしながら前半の講義を理解してもらえるようにしている。また、毎回の終わりにリアクションペーパーを書いてもらい、学生の理解度を把握し、次回に活かしている。</t>
  </si>
  <si>
    <t>全学共通科目　数理・データサイエンス・AI教育プログラム</t>
    <rPh sb="21" eb="23">
      <t>キョウイク</t>
    </rPh>
    <phoneticPr fontId="1"/>
  </si>
  <si>
    <t>数理の科学</t>
    <phoneticPr fontId="1"/>
  </si>
  <si>
    <t xml:space="preserve">・AI最新技術の活用例（深層生成モデル、敵対的生成ネットワーク、強化学習、転移学習など）(15回）
この科目の最終回では、それまでの内容をAIや機械学習との関係からまとめ、AI最新技術の活用例の動向を紹介する。(15回）																	</t>
    <rPh sb="3" eb="7">
      <t>サイシンギジュツ</t>
    </rPh>
    <rPh sb="8" eb="11">
      <t>カツヨウレイ</t>
    </rPh>
    <rPh sb="12" eb="14">
      <t>シンソウ</t>
    </rPh>
    <rPh sb="14" eb="16">
      <t>セイセイ</t>
    </rPh>
    <rPh sb="20" eb="23">
      <t>テキタイテキ</t>
    </rPh>
    <rPh sb="23" eb="25">
      <t>セイセイ</t>
    </rPh>
    <rPh sb="32" eb="36">
      <t>キョウカガクシュウ</t>
    </rPh>
    <rPh sb="56" eb="59">
      <t xml:space="preserve">サイシュウカイ </t>
    </rPh>
    <rPh sb="67" eb="69">
      <t xml:space="preserve">ナイヨウ </t>
    </rPh>
    <rPh sb="73" eb="77">
      <t xml:space="preserve">キカイガクシュウ </t>
    </rPh>
    <rPh sb="79" eb="81">
      <t xml:space="preserve">カンケイ </t>
    </rPh>
    <rPh sb="89" eb="93">
      <t xml:space="preserve">サイシンギジュツ </t>
    </rPh>
    <rPh sb="94" eb="97">
      <t xml:space="preserve">カツヨウレイ </t>
    </rPh>
    <phoneticPr fontId="1"/>
  </si>
  <si>
    <t>・調査データ、実験データ、人の行動ログデータ、機械の稼働ログデータなど(2回）
社会で活用されている調査データや機械の稼動ログデータから、確率（離婚率や故障率など）がどのように算出されているか学ぶ。(2回）</t>
    <rPh sb="1" eb="3">
      <t>チョウサ</t>
    </rPh>
    <rPh sb="7" eb="9">
      <t>ジッケン</t>
    </rPh>
    <rPh sb="13" eb="14">
      <t>ヒト</t>
    </rPh>
    <rPh sb="15" eb="17">
      <t>コウドウ</t>
    </rPh>
    <rPh sb="23" eb="25">
      <t>キカイ</t>
    </rPh>
    <rPh sb="26" eb="28">
      <t>カドウ</t>
    </rPh>
    <phoneticPr fontId="1"/>
  </si>
  <si>
    <t>・データ・AI活用領域の広がり（生産、消費、文化活動など）（11回、12回）
・研究開発、調達、製造、物流、販売、マーケティング、サービスなど（11回、12回）
・仮説検証、知識発見、原因究明、計画策定、判断支援、活動代替、新規生成など（7回）
仮説検証の基礎となる背理法と帰無仮説について学ぶ。(7回）
販売、マーケティングにおいて、広告費を増額すると売上高がどうなるかという事例からデータ・AI活用領域の広がりを学ぶ。（11回、12回）</t>
    <rPh sb="7" eb="11">
      <t>カツヨウリョウイキ</t>
    </rPh>
    <rPh sb="12" eb="13">
      <t>ヒロ</t>
    </rPh>
    <rPh sb="16" eb="18">
      <t>セイサン</t>
    </rPh>
    <rPh sb="19" eb="21">
      <t>ショウヒ</t>
    </rPh>
    <rPh sb="22" eb="26">
      <t>ブンカカツドウ</t>
    </rPh>
    <rPh sb="40" eb="44">
      <t>ケンキュウカイハツ</t>
    </rPh>
    <rPh sb="45" eb="47">
      <t>チョウタツ</t>
    </rPh>
    <rPh sb="48" eb="50">
      <t>セイゾウ</t>
    </rPh>
    <rPh sb="51" eb="53">
      <t>ブツリュウ</t>
    </rPh>
    <rPh sb="54" eb="56">
      <t>ハンバイ</t>
    </rPh>
    <rPh sb="82" eb="86">
      <t>カセツケンショウ</t>
    </rPh>
    <rPh sb="87" eb="91">
      <t>チシキハッケン</t>
    </rPh>
    <rPh sb="92" eb="96">
      <t>ゲンインキュウメイ</t>
    </rPh>
    <rPh sb="97" eb="101">
      <t>ケイカクサクテイ</t>
    </rPh>
    <rPh sb="102" eb="106">
      <t>ハンダンシエン</t>
    </rPh>
    <rPh sb="107" eb="109">
      <t>カツドウ</t>
    </rPh>
    <rPh sb="109" eb="111">
      <t>ダイタイ</t>
    </rPh>
    <rPh sb="112" eb="114">
      <t>シンキ</t>
    </rPh>
    <rPh sb="114" eb="116">
      <t>セイセイ</t>
    </rPh>
    <rPh sb="120" eb="121">
      <t>カイ</t>
    </rPh>
    <phoneticPr fontId="1"/>
  </si>
  <si>
    <t>・データ倫理：データのねつ造、改ざん、盗用、プライバシー保護（15回）
・データ・AI活用における負の事例紹介（15回）
データのねつ造、改ざん、盗用、プライバシー保護など、データ倫理について学ぶ。（15回）
データ・AI活用における負の事例紹介を取り上げ、データ・AI活用の限界について学ぶ。（15回）</t>
    <rPh sb="4" eb="6">
      <t>リンリ</t>
    </rPh>
    <rPh sb="13" eb="14">
      <t>ゾウ</t>
    </rPh>
    <rPh sb="15" eb="16">
      <t>カイ</t>
    </rPh>
    <rPh sb="19" eb="21">
      <t>トウヨウ</t>
    </rPh>
    <rPh sb="28" eb="30">
      <t>ホゴ</t>
    </rPh>
    <rPh sb="33" eb="34">
      <t>カイ</t>
    </rPh>
    <rPh sb="43" eb="45">
      <t>カツヨウ</t>
    </rPh>
    <rPh sb="49" eb="50">
      <t>フ</t>
    </rPh>
    <rPh sb="70" eb="71">
      <t xml:space="preserve">カイザｎ </t>
    </rPh>
    <rPh sb="74" eb="76">
      <t xml:space="preserve">トウヨウ </t>
    </rPh>
    <rPh sb="83" eb="85">
      <t xml:space="preserve">ホゴ </t>
    </rPh>
    <rPh sb="97" eb="98">
      <t xml:space="preserve">マナブ </t>
    </rPh>
    <rPh sb="112" eb="114">
      <t xml:space="preserve">カツヨウ </t>
    </rPh>
    <rPh sb="118" eb="119">
      <t xml:space="preserve">フノジレイショウカイ </t>
    </rPh>
    <rPh sb="125" eb="126">
      <t xml:space="preserve">トリアゲ </t>
    </rPh>
    <rPh sb="136" eb="138">
      <t xml:space="preserve">カツヨウ </t>
    </rPh>
    <rPh sb="139" eb="141">
      <t xml:space="preserve">ゲンカイ </t>
    </rPh>
    <rPh sb="145" eb="146">
      <t xml:space="preserve">マナブ </t>
    </rPh>
    <phoneticPr fontId="1"/>
  </si>
  <si>
    <t>・情報セキュリティ：機密性、完全性、可用性（15回）
・情報漏洩等によるセキュリティ自己の事例紹介（15回）
情報セキュリティについて学ぶ。(15回）
情報漏洩等によるセキュリティ事故の事例紹介を通じて、データを扱う上での注意点について学ぶ。（15回）</t>
    <rPh sb="1" eb="3">
      <t>ジョウホウ</t>
    </rPh>
    <rPh sb="10" eb="13">
      <t>キミツセイ</t>
    </rPh>
    <rPh sb="14" eb="17">
      <t>カンゼンセイ</t>
    </rPh>
    <rPh sb="18" eb="21">
      <t>カヨウセイ</t>
    </rPh>
    <rPh sb="24" eb="25">
      <t>カイ</t>
    </rPh>
    <rPh sb="28" eb="30">
      <t>ジョウホウ</t>
    </rPh>
    <rPh sb="30" eb="32">
      <t>ロウエイ</t>
    </rPh>
    <rPh sb="32" eb="33">
      <t>トウ</t>
    </rPh>
    <rPh sb="42" eb="44">
      <t>ジコ</t>
    </rPh>
    <rPh sb="45" eb="49">
      <t>ジレイショウカイ</t>
    </rPh>
    <rPh sb="52" eb="53">
      <t>カイ</t>
    </rPh>
    <phoneticPr fontId="1"/>
  </si>
  <si>
    <t xml:space="preserve">
・データの種類（量的変数、質的変数）（13回、14回）
・データの分布（ヒストグラム）と代表値（平均値、中央値、最頻値）（2回、4回）
・観測データに含まれる誤差の扱い（14回）
・相関と因果（相関係数、疑似相関、交絡）（10回）
・母集団と表法抽出（国勢調査、アンケート調査、全数調査、単純無作為抽出、層別抽出、多段抽出）（5回）
・クロス集計表、分割表、相関係数行列、散布図行列（13回、14回）
データの種類（量的変数、質的変数）について学ぶ。(13回、14回）
データの分布（ヒストグラム）と代表値（平均値、中央値、最頻値）について学ぶ。（2回、4回）
チョコレートの消費量とノーベル賞の受賞数を例に、相関と因果（相関計数、擬似相関、交絡）について学ぶ。（10回）
街頭アンケートを例に、母集団と標本抽出について学ぶ。（5回）
健康診断の有無により、医療費が節約できるかクロス集計表で評価することを学ぶ。（13回、14回）
観測データに含まれる誤差の扱いについて学ぶ。(14回）</t>
    <rPh sb="6" eb="8">
      <t>シュルイ</t>
    </rPh>
    <rPh sb="9" eb="11">
      <t>リョウテキ</t>
    </rPh>
    <rPh sb="11" eb="13">
      <t>ヘンスウ</t>
    </rPh>
    <rPh sb="14" eb="18">
      <t>シツテキヘンスウ</t>
    </rPh>
    <rPh sb="22" eb="23">
      <t>カイ</t>
    </rPh>
    <rPh sb="26" eb="27">
      <t>カイ</t>
    </rPh>
    <rPh sb="34" eb="36">
      <t>ブンプ</t>
    </rPh>
    <phoneticPr fontId="1"/>
  </si>
  <si>
    <t>・データの比較（条件をそろえた比較、処理前後での比較、A/Bテスト）（9回）
工場での製品生産の精度を例に、データの比較について学ぶ。（9回）
データの比較においてRCTの重要性について学ぶ。（9回）
グラフとしてデータ表現することで、外れ地を発見する。（10回）</t>
    <rPh sb="5" eb="7">
      <t>ヒカク</t>
    </rPh>
    <rPh sb="8" eb="10">
      <t>ジョウケン</t>
    </rPh>
    <rPh sb="15" eb="17">
      <t>ヒカク</t>
    </rPh>
    <rPh sb="18" eb="22">
      <t>ショリゼンゴ</t>
    </rPh>
    <rPh sb="24" eb="26">
      <t>ヒカク</t>
    </rPh>
    <rPh sb="36" eb="37">
      <t>カイ</t>
    </rPh>
    <phoneticPr fontId="1"/>
  </si>
  <si>
    <t>・データの集計（和、平均）（2回）
・データ解析ツール（スプレッドシート）（2～14回）
データの集計（和、平均）について学ぶ。（2回）
データ解析ツール（スプレッドシート）を用いた演習に取り組む。(2-14回）</t>
    <rPh sb="5" eb="7">
      <t>シュウケイ</t>
    </rPh>
    <rPh sb="8" eb="9">
      <t>ワ</t>
    </rPh>
    <rPh sb="10" eb="12">
      <t>ヘイキン</t>
    </rPh>
    <rPh sb="15" eb="16">
      <t>カイ</t>
    </rPh>
    <rPh sb="22" eb="24">
      <t>カイセキ</t>
    </rPh>
    <rPh sb="42" eb="43">
      <t>カイ</t>
    </rPh>
    <rPh sb="50" eb="52">
      <t>シュウケイ</t>
    </rPh>
    <phoneticPr fontId="1"/>
  </si>
  <si>
    <t>・データ解析：予測、グルーピング、パターン発見、最適化、シミュレーション・データ同化など（6回）
天気図の予報円を例に、標本データから母集団の特性を予測する方法について学ぶ。（6回）</t>
    <rPh sb="4" eb="6">
      <t>カイセキ</t>
    </rPh>
    <rPh sb="7" eb="9">
      <t>ヨソク</t>
    </rPh>
    <rPh sb="21" eb="23">
      <t>ハッケン</t>
    </rPh>
    <rPh sb="24" eb="27">
      <t>サイテキカ</t>
    </rPh>
    <rPh sb="40" eb="42">
      <t>ドウカ</t>
    </rPh>
    <rPh sb="46" eb="47">
      <t>カイ</t>
    </rPh>
    <rPh sb="50" eb="53">
      <t xml:space="preserve">テンキズ </t>
    </rPh>
    <rPh sb="54" eb="57">
      <t xml:space="preserve">ヨホウエｎ </t>
    </rPh>
    <rPh sb="58" eb="59">
      <t xml:space="preserve">レイ </t>
    </rPh>
    <rPh sb="61" eb="63">
      <t xml:space="preserve">ヒョウホｎ </t>
    </rPh>
    <rPh sb="68" eb="71">
      <t xml:space="preserve">ボシュウダｎ </t>
    </rPh>
    <rPh sb="72" eb="74">
      <t xml:space="preserve">トクセイヲ </t>
    </rPh>
    <rPh sb="75" eb="77">
      <t xml:space="preserve">ヨソク </t>
    </rPh>
    <rPh sb="79" eb="81">
      <t xml:space="preserve">ホウホウ </t>
    </rPh>
    <rPh sb="85" eb="86">
      <t xml:space="preserve">マナブ </t>
    </rPh>
    <phoneticPr fontId="1"/>
  </si>
  <si>
    <t>・流通、製造、金融、サービス、インフラ、公共、ヘルスケア等におけるデータ・AI利活用事例紹介（8回）
工場で製造される製品の精度の評価について学ぶ。(8回）</t>
    <rPh sb="1" eb="3">
      <t>リュウツウ</t>
    </rPh>
    <rPh sb="4" eb="6">
      <t>セイゾウ</t>
    </rPh>
    <rPh sb="7" eb="9">
      <t>キンユウ</t>
    </rPh>
    <rPh sb="20" eb="22">
      <t>コウキョウ</t>
    </rPh>
    <rPh sb="28" eb="29">
      <t>トウ</t>
    </rPh>
    <rPh sb="39" eb="46">
      <t>リカツヨウジレイショウカイ</t>
    </rPh>
    <rPh sb="48" eb="49">
      <t>カイ</t>
    </rPh>
    <phoneticPr fontId="1"/>
  </si>
  <si>
    <t>本プログラムの目標達成に向けた学生のプログラム履修促進及び、数理・データサイエンス・AIを理解する必要性の認識を広げるため、学生への周知に努めている。
2023年度は、初年度という事もあり１クラス展開（秋学期のみ）で開講したが、2024年度は春学期・秋学期に2クラス展開として実施する。また、昨年度に引き続き広報にも力を入れ、より多くの学生が履修するように促していく。
2025年度の全学共通科目のカリキュラム改定では、より本プログラムの内容に即した科目（「データサイエンス」「AIと社会」等）を設置し、引き続き履修者増加を目指し、対策を進めていく。</t>
    <rPh sb="27" eb="28">
      <t>オヨ</t>
    </rPh>
    <rPh sb="66" eb="68">
      <t>シュウチ</t>
    </rPh>
    <rPh sb="69" eb="70">
      <t>ツト</t>
    </rPh>
    <rPh sb="80" eb="82">
      <t>ネンド</t>
    </rPh>
    <rPh sb="84" eb="87">
      <t>ショネンド</t>
    </rPh>
    <rPh sb="90" eb="91">
      <t>コト</t>
    </rPh>
    <rPh sb="98" eb="100">
      <t>テンカイ</t>
    </rPh>
    <rPh sb="101" eb="104">
      <t>アキガッキ</t>
    </rPh>
    <rPh sb="108" eb="110">
      <t>カイコウ</t>
    </rPh>
    <rPh sb="118" eb="120">
      <t>ネンド</t>
    </rPh>
    <rPh sb="121" eb="124">
      <t>ハルガッキ</t>
    </rPh>
    <rPh sb="125" eb="128">
      <t>アキガッキ</t>
    </rPh>
    <rPh sb="133" eb="135">
      <t>テンカイ</t>
    </rPh>
    <rPh sb="138" eb="140">
      <t>ジッシ</t>
    </rPh>
    <rPh sb="146" eb="149">
      <t>サクネンド</t>
    </rPh>
    <rPh sb="150" eb="151">
      <t>ヒ</t>
    </rPh>
    <rPh sb="152" eb="153">
      <t>ツヅ</t>
    </rPh>
    <rPh sb="154" eb="156">
      <t>コウホウ</t>
    </rPh>
    <rPh sb="158" eb="159">
      <t>チカラ</t>
    </rPh>
    <rPh sb="160" eb="161">
      <t>イ</t>
    </rPh>
    <rPh sb="165" eb="166">
      <t>オオ</t>
    </rPh>
    <rPh sb="168" eb="170">
      <t>ガクセイ</t>
    </rPh>
    <rPh sb="171" eb="173">
      <t>リシュウ</t>
    </rPh>
    <rPh sb="178" eb="179">
      <t>ウナガ</t>
    </rPh>
    <rPh sb="190" eb="192">
      <t>ネンド</t>
    </rPh>
    <rPh sb="193" eb="195">
      <t>ゼンガク</t>
    </rPh>
    <rPh sb="195" eb="199">
      <t>キョウツウカモク</t>
    </rPh>
    <rPh sb="206" eb="208">
      <t>カイテイ</t>
    </rPh>
    <rPh sb="213" eb="214">
      <t>ホン</t>
    </rPh>
    <rPh sb="220" eb="222">
      <t>ナイヨウ</t>
    </rPh>
    <rPh sb="223" eb="224">
      <t>ソク</t>
    </rPh>
    <rPh sb="226" eb="228">
      <t>カモク</t>
    </rPh>
    <rPh sb="243" eb="245">
      <t>シャカイ</t>
    </rPh>
    <rPh sb="246" eb="247">
      <t>トウ</t>
    </rPh>
    <rPh sb="249" eb="251">
      <t>セッチ</t>
    </rPh>
    <rPh sb="253" eb="254">
      <t>ヒ</t>
    </rPh>
    <rPh sb="255" eb="256">
      <t>ツヅ</t>
    </rPh>
    <rPh sb="257" eb="260">
      <t>リシュウシャ</t>
    </rPh>
    <rPh sb="260" eb="262">
      <t>ゾウカ</t>
    </rPh>
    <rPh sb="263" eb="265">
      <t>メザ</t>
    </rPh>
    <rPh sb="267" eb="269">
      <t>タイサク</t>
    </rPh>
    <rPh sb="270" eb="271">
      <t>スス</t>
    </rPh>
    <phoneticPr fontId="1"/>
  </si>
  <si>
    <t>授業支援ツール（LMS）に、授業で使用する資料（動画資料も含む）、演習課題を置いて、授業時間内だけでなく、授業時間外の事前・事後学修がいつでもどこでもできるようにしている。更に、履修者全員が閲覧可能な掲示板や、一人ひとりの学生に対して個別に指導ができる個別指導コレクションと呼ばれるLMS上の機能を用いて、学生から質問や相談を受け付ける仕組みもある。</t>
    <rPh sb="126" eb="130">
      <t>コベツシドウ</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</si>
  <si>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</si>
  <si>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数理の科学」(半期2単位)の修得をもって、プログラムの修了要件としている。「数理の科学」の内容は「数理・データサインエンス・AI(リテラシーレベル)モデルカリキュラム」(数理・データサイエンス教育強化拠点コンソーシアム)に準拠しており、各回、対面形式で開講するとともに、授業支援ツール（LMS）を用いて事前・事後学修の支援をしている。</t>
    <phoneticPr fontId="1"/>
  </si>
  <si>
    <t>・データを起点としたものの見方、人間の知的活動を起点としたもののみ方（1回, 3回）
この科目の初回に導入として、データを起点としたものの見方について、数理・データサイエンス・AIを学ぶ必要性を伝える。また、確定的に考えるのではなく、確率的に考える事を学ぶ。（1回, 3回）</t>
    <rPh sb="5" eb="7">
      <t>キテン</t>
    </rPh>
    <rPh sb="13" eb="15">
      <t>ミカタ</t>
    </rPh>
    <rPh sb="16" eb="18">
      <t>ニンゲン</t>
    </rPh>
    <rPh sb="19" eb="21">
      <t>チテキ</t>
    </rPh>
    <rPh sb="21" eb="23">
      <t>カツドウ</t>
    </rPh>
    <rPh sb="24" eb="26">
      <t>キテン</t>
    </rPh>
    <rPh sb="33" eb="34">
      <t>カタ</t>
    </rPh>
    <rPh sb="125" eb="126">
      <t>コト</t>
    </rPh>
    <phoneticPr fontId="1"/>
  </si>
  <si>
    <t>令和5</t>
    <rPh sb="0" eb="2">
      <t>レイワ</t>
    </rPh>
    <phoneticPr fontId="1"/>
  </si>
  <si>
    <t>栄養科学部</t>
    <rPh sb="0" eb="5">
      <t>エイヨウカガクブ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</si>
</sst>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12"/>
      <name val="ＭＳ Ｐゴシック"/>
      <family val="3"/>
      <charset val="128"/>
    </font>
    <font>
      <sz val="7"/>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47">
    <xf numFmtId="0" fontId="0" fillId="0" borderId="0" xfId="0">
      <alignment vertical="center"/>
    </xf>
    <xf numFmtId="0" fontId="4" fillId="0" borderId="0" xfId="0" applyFont="1" applyFill="1">
      <alignment vertical="center"/>
    </xf>
    <xf numFmtId="0" fontId="3" fillId="0" borderId="0" xfId="0" applyFont="1" applyFill="1">
      <alignment vertical="center"/>
    </xf>
    <xf numFmtId="0" fontId="4" fillId="0" borderId="1" xfId="0" applyFont="1" applyFill="1" applyBorder="1" applyAlignment="1">
      <alignment horizontal="center" vertical="center"/>
    </xf>
    <xf numFmtId="0" fontId="4" fillId="0" borderId="0" xfId="0" applyFont="1" applyFill="1" applyAlignment="1">
      <alignment horizontal="right" vertical="center"/>
    </xf>
    <xf numFmtId="0" fontId="4" fillId="0" borderId="0" xfId="0" applyFont="1" applyFill="1" applyAlignment="1">
      <alignment vertical="center" shrinkToFit="1"/>
    </xf>
    <xf numFmtId="0" fontId="4" fillId="0" borderId="0" xfId="0" applyFont="1" applyFill="1" applyAlignment="1">
      <alignment horizontal="left" vertical="center" shrinkToFit="1"/>
    </xf>
    <xf numFmtId="0" fontId="4" fillId="0" borderId="0" xfId="0" applyFont="1" applyFill="1" applyAlignment="1">
      <alignment horizontal="center" vertical="center"/>
    </xf>
    <xf numFmtId="0" fontId="4" fillId="0" borderId="0" xfId="0" applyFont="1" applyFill="1" applyAlignment="1">
      <alignment horizontal="left" vertical="center"/>
    </xf>
    <xf numFmtId="0" fontId="3" fillId="0" borderId="0" xfId="0" applyFont="1" applyFill="1" applyAlignment="1">
      <alignment horizontal="center" vertical="center"/>
    </xf>
    <xf numFmtId="0" fontId="4" fillId="0" borderId="1" xfId="0" applyFont="1" applyFill="1" applyBorder="1">
      <alignment vertical="center"/>
    </xf>
    <xf numFmtId="0" fontId="4" fillId="0" borderId="1" xfId="0" applyFont="1" applyFill="1" applyBorder="1" applyAlignment="1">
      <alignment horizontal="left" vertical="center"/>
    </xf>
    <xf numFmtId="0" fontId="7" fillId="0" borderId="1" xfId="0" applyFont="1" applyFill="1" applyBorder="1" applyAlignment="1">
      <alignment horizontal="center" vertical="center" shrinkToFit="1"/>
    </xf>
    <xf numFmtId="0" fontId="7" fillId="0" borderId="4" xfId="0" applyFont="1" applyFill="1" applyBorder="1" applyAlignment="1">
      <alignment horizontal="center" vertical="center" shrinkToFit="1"/>
    </xf>
    <xf numFmtId="49" fontId="7" fillId="0" borderId="1" xfId="0" applyNumberFormat="1" applyFont="1" applyFill="1" applyBorder="1" applyAlignment="1">
      <alignment horizontal="center" vertical="center"/>
    </xf>
    <xf numFmtId="0" fontId="4" fillId="0" borderId="14"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13" xfId="0" applyFont="1" applyFill="1" applyBorder="1" applyAlignment="1">
      <alignment horizontal="center" vertical="center" shrinkToFit="1"/>
    </xf>
    <xf numFmtId="0" fontId="4" fillId="0" borderId="35" xfId="0" applyFont="1" applyFill="1" applyBorder="1" applyAlignment="1">
      <alignment horizontal="center" vertical="center" shrinkToFit="1"/>
    </xf>
    <xf numFmtId="0" fontId="4" fillId="0" borderId="0" xfId="0" applyFont="1" applyFill="1" applyAlignment="1">
      <alignment vertical="top" wrapText="1"/>
    </xf>
    <xf numFmtId="0" fontId="4" fillId="0" borderId="0" xfId="0" applyFont="1" applyFill="1" applyAlignment="1">
      <alignment horizontal="center" vertical="center" shrinkToFit="1"/>
    </xf>
    <xf numFmtId="49" fontId="7" fillId="0" borderId="43" xfId="0" applyNumberFormat="1" applyFont="1" applyFill="1" applyBorder="1" applyAlignment="1">
      <alignment horizontal="center" vertical="center"/>
    </xf>
    <xf numFmtId="49" fontId="7" fillId="0" borderId="44" xfId="0" applyNumberFormat="1" applyFont="1" applyFill="1" applyBorder="1" applyAlignment="1">
      <alignment horizontal="center" vertical="center"/>
    </xf>
    <xf numFmtId="49" fontId="7" fillId="0" borderId="39" xfId="0" applyNumberFormat="1" applyFont="1" applyFill="1" applyBorder="1" applyAlignment="1">
      <alignment horizontal="center" vertical="center"/>
    </xf>
    <xf numFmtId="49" fontId="7" fillId="0" borderId="26" xfId="0" applyNumberFormat="1" applyFont="1" applyFill="1" applyBorder="1" applyAlignment="1">
      <alignment horizontal="center" vertical="center"/>
    </xf>
    <xf numFmtId="49" fontId="7" fillId="0" borderId="42" xfId="0" applyNumberFormat="1" applyFont="1" applyFill="1" applyBorder="1" applyAlignment="1">
      <alignment horizontal="center" vertical="center"/>
    </xf>
    <xf numFmtId="49" fontId="7" fillId="0" borderId="28" xfId="0" applyNumberFormat="1" applyFont="1" applyFill="1" applyBorder="1" applyAlignment="1">
      <alignment horizontal="center" vertical="center"/>
    </xf>
    <xf numFmtId="0" fontId="3" fillId="0" borderId="0" xfId="0" applyFont="1" applyFill="1" applyAlignment="1">
      <alignment vertical="center" wrapText="1"/>
    </xf>
    <xf numFmtId="49" fontId="3" fillId="0" borderId="0" xfId="0" applyNumberFormat="1" applyFont="1" applyFill="1" applyAlignment="1">
      <alignment vertical="center" shrinkToFit="1"/>
    </xf>
    <xf numFmtId="0" fontId="10" fillId="0" borderId="32" xfId="0" applyFont="1" applyFill="1" applyBorder="1" applyAlignment="1">
      <alignment horizontal="center" vertical="center"/>
    </xf>
    <xf numFmtId="0" fontId="10" fillId="0" borderId="35" xfId="0" applyFont="1" applyFill="1" applyBorder="1" applyAlignment="1">
      <alignment horizontal="center" vertical="center"/>
    </xf>
    <xf numFmtId="0" fontId="4" fillId="0" borderId="48" xfId="0" applyFont="1" applyFill="1" applyBorder="1" applyAlignment="1">
      <alignment horizontal="left" vertical="center" shrinkToFit="1"/>
    </xf>
    <xf numFmtId="38" fontId="4" fillId="0" borderId="45" xfId="2" applyFont="1" applyFill="1" applyBorder="1" applyAlignment="1">
      <alignment vertical="center" shrinkToFit="1"/>
    </xf>
    <xf numFmtId="38" fontId="4" fillId="0" borderId="0" xfId="2" applyFont="1" applyFill="1" applyAlignment="1">
      <alignment vertical="center" shrinkToFit="1"/>
    </xf>
    <xf numFmtId="38" fontId="4" fillId="0" borderId="5" xfId="2" applyFont="1" applyFill="1" applyBorder="1" applyAlignment="1">
      <alignment vertical="center" shrinkToFit="1"/>
    </xf>
    <xf numFmtId="38" fontId="4" fillId="0" borderId="48" xfId="2" applyFont="1" applyFill="1" applyBorder="1" applyAlignment="1">
      <alignment vertical="center" shrinkToFit="1"/>
    </xf>
    <xf numFmtId="9" fontId="4" fillId="0" borderId="14" xfId="0" applyNumberFormat="1" applyFont="1" applyFill="1" applyBorder="1" applyAlignment="1">
      <alignment vertical="center" shrinkToFit="1"/>
    </xf>
    <xf numFmtId="0" fontId="4" fillId="0" borderId="20" xfId="0" applyFont="1" applyFill="1" applyBorder="1" applyAlignment="1">
      <alignment horizontal="left" vertical="center" shrinkToFit="1"/>
    </xf>
    <xf numFmtId="38" fontId="4" fillId="0" borderId="20" xfId="2" applyFont="1" applyFill="1" applyBorder="1" applyAlignment="1">
      <alignment vertical="center" shrinkToFit="1"/>
    </xf>
    <xf numFmtId="38" fontId="4" fillId="0" borderId="19" xfId="2" applyFont="1" applyFill="1" applyBorder="1" applyAlignment="1">
      <alignment vertical="center" shrinkToFit="1"/>
    </xf>
    <xf numFmtId="38" fontId="4" fillId="0" borderId="18" xfId="2" applyFont="1" applyFill="1" applyBorder="1" applyAlignment="1">
      <alignment vertical="center" shrinkToFit="1"/>
    </xf>
    <xf numFmtId="38" fontId="4" fillId="0" borderId="46" xfId="2" applyFont="1" applyFill="1" applyBorder="1" applyAlignment="1">
      <alignment vertical="center" shrinkToFit="1"/>
    </xf>
    <xf numFmtId="9" fontId="4" fillId="0" borderId="20" xfId="0" applyNumberFormat="1" applyFont="1" applyFill="1" applyBorder="1" applyAlignment="1">
      <alignment vertical="center" shrinkToFit="1"/>
    </xf>
    <xf numFmtId="38" fontId="4" fillId="0" borderId="17" xfId="2" applyFont="1" applyFill="1" applyBorder="1" applyAlignment="1">
      <alignment vertical="center" shrinkToFit="1"/>
    </xf>
    <xf numFmtId="0" fontId="4" fillId="0" borderId="21" xfId="0" applyFont="1" applyFill="1" applyBorder="1" applyAlignment="1">
      <alignment horizontal="left" vertical="center" shrinkToFit="1"/>
    </xf>
    <xf numFmtId="38" fontId="4" fillId="0" borderId="10" xfId="2" applyFont="1" applyFill="1" applyBorder="1" applyAlignment="1">
      <alignment vertical="center" shrinkToFit="1"/>
    </xf>
    <xf numFmtId="9" fontId="4" fillId="0" borderId="10" xfId="0" applyNumberFormat="1" applyFont="1" applyFill="1" applyBorder="1" applyAlignment="1">
      <alignment vertical="center" shrinkToFit="1"/>
    </xf>
    <xf numFmtId="0" fontId="4" fillId="0" borderId="25" xfId="0" applyFont="1" applyFill="1" applyBorder="1" applyAlignment="1">
      <alignment horizontal="center" vertical="center" shrinkToFit="1"/>
    </xf>
    <xf numFmtId="38" fontId="4" fillId="0" borderId="25" xfId="2" applyFont="1" applyFill="1" applyBorder="1" applyAlignment="1">
      <alignment vertical="center" shrinkToFit="1"/>
    </xf>
    <xf numFmtId="38" fontId="4" fillId="0" borderId="23" xfId="2" applyFont="1" applyFill="1" applyBorder="1" applyAlignment="1">
      <alignment vertical="center" shrinkToFit="1"/>
    </xf>
    <xf numFmtId="38" fontId="4" fillId="0" borderId="22" xfId="2" applyFont="1" applyFill="1" applyBorder="1" applyAlignment="1">
      <alignment vertical="center" shrinkToFit="1"/>
    </xf>
    <xf numFmtId="9" fontId="4" fillId="0" borderId="24" xfId="0" applyNumberFormat="1" applyFont="1" applyFill="1" applyBorder="1" applyAlignment="1">
      <alignment vertical="center" shrinkToFit="1"/>
    </xf>
    <xf numFmtId="0" fontId="7" fillId="0" borderId="0" xfId="0" applyFont="1" applyFill="1">
      <alignment vertical="center"/>
    </xf>
    <xf numFmtId="0" fontId="3" fillId="0" borderId="0" xfId="0" applyFont="1" applyFill="1" applyAlignment="1">
      <alignment horizontal="left" vertical="center"/>
    </xf>
    <xf numFmtId="0" fontId="4" fillId="0" borderId="0" xfId="0" applyFont="1" applyFill="1" applyAlignment="1">
      <alignment vertical="center" wrapText="1"/>
    </xf>
    <xf numFmtId="0" fontId="7" fillId="0" borderId="0" xfId="0" applyFont="1" applyFill="1" applyAlignment="1">
      <alignment vertical="top" wrapText="1"/>
    </xf>
    <xf numFmtId="0" fontId="4" fillId="0" borderId="1" xfId="0" applyFont="1" applyFill="1" applyBorder="1" applyAlignment="1">
      <alignment horizontal="center" vertical="center" wrapText="1" shrinkToFit="1"/>
    </xf>
    <xf numFmtId="9" fontId="4" fillId="0" borderId="1" xfId="0" applyNumberFormat="1" applyFont="1" applyFill="1" applyBorder="1" applyAlignment="1">
      <alignment horizontal="center" vertical="center" shrinkToFit="1"/>
    </xf>
    <xf numFmtId="9" fontId="4" fillId="0" borderId="0" xfId="1" applyFont="1" applyFill="1" applyAlignment="1">
      <alignment horizontal="center" vertical="center"/>
    </xf>
    <xf numFmtId="0" fontId="4" fillId="0" borderId="1" xfId="0" applyFont="1" applyFill="1" applyBorder="1" applyAlignment="1">
      <alignment horizontal="center" vertical="center" shrinkToFit="1"/>
    </xf>
    <xf numFmtId="176" fontId="4" fillId="0" borderId="1" xfId="0" applyNumberFormat="1" applyFont="1" applyFill="1" applyBorder="1" applyAlignment="1">
      <alignment horizontal="center" vertical="center" shrinkToFit="1"/>
    </xf>
    <xf numFmtId="0" fontId="7" fillId="0" borderId="0" xfId="0" applyFont="1" applyFill="1" applyAlignment="1">
      <alignment vertical="top" shrinkToFit="1"/>
    </xf>
    <xf numFmtId="0" fontId="4" fillId="0" borderId="0" xfId="0" applyFont="1" applyFill="1" applyAlignment="1">
      <alignment vertical="top" wrapText="1" shrinkToFit="1"/>
    </xf>
    <xf numFmtId="0" fontId="4" fillId="0" borderId="0" xfId="0" applyFont="1" applyFill="1" applyAlignment="1">
      <alignment vertical="top" shrinkToFit="1"/>
    </xf>
    <xf numFmtId="0" fontId="6" fillId="0" borderId="0" xfId="0" applyFont="1" applyFill="1" applyAlignment="1">
      <alignment horizontal="center" vertical="center"/>
    </xf>
    <xf numFmtId="0" fontId="4" fillId="0" borderId="1" xfId="0" applyFont="1" applyFill="1" applyBorder="1" applyAlignment="1">
      <alignment horizontal="left" vertical="center" shrinkToFit="1"/>
    </xf>
    <xf numFmtId="0" fontId="4" fillId="0" borderId="5" xfId="0" applyFont="1" applyFill="1" applyBorder="1">
      <alignment vertical="center"/>
    </xf>
    <xf numFmtId="0" fontId="7" fillId="0" borderId="10" xfId="0" applyFont="1" applyFill="1" applyBorder="1" applyAlignment="1">
      <alignment vertical="top" wrapText="1"/>
    </xf>
    <xf numFmtId="0" fontId="7" fillId="0" borderId="5" xfId="0" applyFont="1" applyFill="1" applyBorder="1" applyAlignment="1">
      <alignment vertical="top" wrapText="1"/>
    </xf>
    <xf numFmtId="0" fontId="7" fillId="0" borderId="11" xfId="0" applyFont="1" applyFill="1" applyBorder="1" applyAlignment="1">
      <alignment vertical="top" wrapText="1"/>
    </xf>
    <xf numFmtId="0" fontId="7" fillId="0" borderId="37" xfId="0" applyFont="1" applyFill="1" applyBorder="1" applyAlignment="1">
      <alignment vertical="top" wrapText="1"/>
    </xf>
    <xf numFmtId="0" fontId="7" fillId="0" borderId="38" xfId="0" applyFont="1" applyFill="1" applyBorder="1" applyAlignment="1">
      <alignment vertical="top" wrapText="1"/>
    </xf>
    <xf numFmtId="0" fontId="7" fillId="0" borderId="37" xfId="0" applyFont="1" applyFill="1" applyBorder="1" applyAlignment="1">
      <alignment vertical="top" shrinkToFit="1"/>
    </xf>
    <xf numFmtId="0" fontId="7" fillId="0" borderId="38" xfId="0" applyFont="1" applyFill="1" applyBorder="1" applyAlignment="1">
      <alignment vertical="top" shrinkToFit="1"/>
    </xf>
    <xf numFmtId="0" fontId="4" fillId="0" borderId="0" xfId="0" applyFont="1" applyFill="1" applyAlignment="1">
      <alignment horizontal="right" vertical="center"/>
    </xf>
    <xf numFmtId="0" fontId="4" fillId="0" borderId="0" xfId="0" applyFont="1" applyFill="1" applyAlignment="1">
      <alignment horizontal="center" vertical="center"/>
    </xf>
    <xf numFmtId="0" fontId="4" fillId="0" borderId="0" xfId="0" applyFont="1" applyFill="1" applyAlignment="1">
      <alignment horizontal="center" vertical="center" shrinkToFit="1"/>
    </xf>
    <xf numFmtId="0" fontId="3" fillId="0" borderId="6" xfId="0" applyFont="1" applyFill="1" applyBorder="1" applyAlignment="1">
      <alignment horizontal="left" vertical="center" wrapText="1"/>
    </xf>
    <xf numFmtId="0" fontId="4" fillId="0" borderId="18" xfId="0" applyFont="1" applyFill="1" applyBorder="1" applyAlignment="1">
      <alignment horizontal="center" vertical="center" shrinkToFit="1"/>
    </xf>
    <xf numFmtId="0" fontId="4" fillId="0" borderId="19" xfId="0" applyFont="1" applyFill="1" applyBorder="1" applyAlignment="1">
      <alignment horizontal="center" vertical="center" shrinkToFit="1"/>
    </xf>
    <xf numFmtId="0" fontId="4" fillId="0" borderId="17" xfId="0" applyFont="1" applyFill="1" applyBorder="1" applyAlignment="1">
      <alignment horizontal="center" vertical="center"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18" xfId="0" applyFont="1" applyFill="1" applyBorder="1" applyAlignment="1">
      <alignment vertical="center" shrinkToFit="1"/>
    </xf>
    <xf numFmtId="0" fontId="4" fillId="0" borderId="19" xfId="0" applyFont="1" applyFill="1" applyBorder="1" applyAlignment="1">
      <alignment vertical="center" shrinkToFit="1"/>
    </xf>
    <xf numFmtId="0" fontId="4" fillId="0" borderId="17" xfId="0" applyFont="1" applyFill="1" applyBorder="1" applyAlignment="1">
      <alignment vertical="center" shrinkToFit="1"/>
    </xf>
    <xf numFmtId="0" fontId="4" fillId="0" borderId="32" xfId="0" applyFont="1" applyFill="1" applyBorder="1" applyAlignment="1">
      <alignment vertical="center" shrinkToFit="1"/>
    </xf>
    <xf numFmtId="0" fontId="4" fillId="0" borderId="33" xfId="0" applyFont="1" applyFill="1" applyBorder="1" applyAlignment="1">
      <alignment vertical="center" shrinkToFit="1"/>
    </xf>
    <xf numFmtId="0" fontId="4" fillId="0" borderId="34" xfId="0" applyFont="1" applyFill="1" applyBorder="1" applyAlignment="1">
      <alignment vertical="center" shrinkToFit="1"/>
    </xf>
    <xf numFmtId="0" fontId="3" fillId="0" borderId="1" xfId="0" applyFont="1" applyFill="1" applyBorder="1" applyAlignment="1">
      <alignment horizontal="center" vertical="center"/>
    </xf>
    <xf numFmtId="0" fontId="4" fillId="0" borderId="1" xfId="0" applyFont="1" applyFill="1" applyBorder="1" applyAlignment="1">
      <alignment horizontal="left" vertical="top" wrapText="1"/>
    </xf>
    <xf numFmtId="0" fontId="4" fillId="0" borderId="29" xfId="0" applyFont="1" applyFill="1" applyBorder="1" applyAlignment="1">
      <alignment vertical="center" shrinkToFit="1"/>
    </xf>
    <xf numFmtId="0" fontId="4" fillId="0" borderId="31" xfId="0" applyFont="1" applyFill="1" applyBorder="1" applyAlignment="1">
      <alignment vertical="center" shrinkToFit="1"/>
    </xf>
    <xf numFmtId="0" fontId="4" fillId="0" borderId="30" xfId="0" applyFont="1" applyFill="1" applyBorder="1" applyAlignment="1">
      <alignment vertical="center" shrinkToFit="1"/>
    </xf>
    <xf numFmtId="0" fontId="4" fillId="0" borderId="0" xfId="0" applyFont="1" applyFill="1" applyAlignment="1">
      <alignment vertical="center" wrapText="1"/>
    </xf>
    <xf numFmtId="0" fontId="4" fillId="0" borderId="29" xfId="0" applyFont="1" applyFill="1" applyBorder="1" applyAlignment="1">
      <alignment horizontal="center" vertical="center" shrinkToFit="1"/>
    </xf>
    <xf numFmtId="0" fontId="4" fillId="0" borderId="31" xfId="0" applyFont="1" applyFill="1" applyBorder="1" applyAlignment="1">
      <alignment horizontal="center" vertical="center" shrinkToFit="1"/>
    </xf>
    <xf numFmtId="0" fontId="4" fillId="0" borderId="30" xfId="0" applyFont="1" applyFill="1" applyBorder="1" applyAlignment="1">
      <alignment horizontal="center" vertical="center" shrinkToFit="1"/>
    </xf>
    <xf numFmtId="0" fontId="7" fillId="0" borderId="40" xfId="0" applyFont="1" applyFill="1" applyBorder="1" applyAlignment="1">
      <alignment vertical="center" wrapText="1"/>
    </xf>
    <xf numFmtId="0" fontId="7" fillId="0" borderId="41" xfId="0" applyFont="1" applyFill="1" applyBorder="1" applyAlignment="1">
      <alignment vertical="center" wrapText="1"/>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29" xfId="0" applyFont="1" applyFill="1" applyBorder="1" applyAlignment="1">
      <alignment horizontal="left" vertical="center" shrinkToFit="1"/>
    </xf>
    <xf numFmtId="0" fontId="4" fillId="0" borderId="31" xfId="0" applyFont="1" applyFill="1" applyBorder="1" applyAlignment="1">
      <alignment horizontal="left" vertical="center" shrinkToFit="1"/>
    </xf>
    <xf numFmtId="0" fontId="7" fillId="0" borderId="27" xfId="0" applyFont="1" applyFill="1" applyBorder="1" applyAlignment="1">
      <alignment vertical="center" wrapText="1"/>
    </xf>
    <xf numFmtId="0" fontId="6" fillId="0" borderId="0" xfId="0" applyFont="1" applyFill="1" applyAlignment="1">
      <alignment horizontal="center" vertical="center"/>
    </xf>
    <xf numFmtId="0" fontId="4" fillId="0" borderId="7" xfId="0" applyFont="1" applyFill="1" applyBorder="1" applyAlignment="1">
      <alignment horizontal="left" vertical="top" wrapText="1" shrinkToFit="1"/>
    </xf>
    <xf numFmtId="0" fontId="4" fillId="0" borderId="8" xfId="0" applyFont="1" applyFill="1" applyBorder="1" applyAlignment="1">
      <alignment horizontal="left" vertical="top" wrapText="1" shrinkToFit="1"/>
    </xf>
    <xf numFmtId="0" fontId="4" fillId="0" borderId="9" xfId="0" applyFont="1" applyFill="1" applyBorder="1" applyAlignment="1">
      <alignment horizontal="left" vertical="top" wrapText="1" shrinkToFit="1"/>
    </xf>
    <xf numFmtId="0" fontId="4" fillId="0" borderId="5" xfId="0" applyFont="1" applyFill="1" applyBorder="1" applyAlignment="1">
      <alignment horizontal="left" vertical="top" wrapText="1" shrinkToFit="1"/>
    </xf>
    <xf numFmtId="0" fontId="4" fillId="0" borderId="0" xfId="0" applyFont="1" applyFill="1" applyAlignment="1">
      <alignment horizontal="left" vertical="top" wrapText="1" shrinkToFit="1"/>
    </xf>
    <xf numFmtId="0" fontId="4" fillId="0" borderId="10" xfId="0" applyFont="1" applyFill="1" applyBorder="1" applyAlignment="1">
      <alignment horizontal="left" vertical="top" wrapText="1" shrinkToFit="1"/>
    </xf>
    <xf numFmtId="0" fontId="4" fillId="0" borderId="11" xfId="0" applyFont="1" applyFill="1" applyBorder="1" applyAlignment="1">
      <alignment horizontal="left" vertical="top" wrapText="1" shrinkToFit="1"/>
    </xf>
    <xf numFmtId="0" fontId="4" fillId="0" borderId="6" xfId="0" applyFont="1" applyFill="1" applyBorder="1" applyAlignment="1">
      <alignment horizontal="left" vertical="top" wrapText="1" shrinkToFit="1"/>
    </xf>
    <xf numFmtId="0" fontId="4" fillId="0" borderId="12" xfId="0" applyFont="1" applyFill="1" applyBorder="1" applyAlignment="1">
      <alignment horizontal="left" vertical="top" wrapText="1" shrinkToFit="1"/>
    </xf>
    <xf numFmtId="0" fontId="4" fillId="0" borderId="2" xfId="0" applyFont="1" applyFill="1" applyBorder="1" applyAlignment="1">
      <alignment horizontal="left" vertical="top" wrapText="1" shrinkToFit="1"/>
    </xf>
    <xf numFmtId="0" fontId="4" fillId="0" borderId="3" xfId="0" applyFont="1" applyFill="1" applyBorder="1" applyAlignment="1">
      <alignment horizontal="left" vertical="top" wrapText="1" shrinkToFit="1"/>
    </xf>
    <xf numFmtId="0" fontId="4" fillId="0" borderId="4" xfId="0" applyFont="1" applyFill="1" applyBorder="1" applyAlignment="1">
      <alignment horizontal="left" vertical="top" wrapText="1" shrinkToFit="1"/>
    </xf>
    <xf numFmtId="0" fontId="4" fillId="0" borderId="32" xfId="0" applyFont="1" applyFill="1" applyBorder="1" applyAlignment="1">
      <alignment horizontal="center" vertical="center" shrinkToFit="1"/>
    </xf>
    <xf numFmtId="0" fontId="4" fillId="0" borderId="33" xfId="0" applyFont="1" applyFill="1" applyBorder="1" applyAlignment="1">
      <alignment horizontal="center" vertical="center" shrinkToFit="1"/>
    </xf>
    <xf numFmtId="0" fontId="4" fillId="0" borderId="34" xfId="0" applyFont="1" applyFill="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4" fillId="0" borderId="0" xfId="0" applyFont="1" applyFill="1" applyAlignment="1">
      <alignment horizontal="right"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3" fillId="0" borderId="0" xfId="0" applyFont="1" applyFill="1" applyAlignment="1">
      <alignment horizontal="left" vertical="center" wrapText="1"/>
    </xf>
    <xf numFmtId="49" fontId="4" fillId="0" borderId="32" xfId="0" applyNumberFormat="1" applyFont="1" applyFill="1" applyBorder="1" applyAlignment="1">
      <alignment horizontal="left" vertical="top" wrapText="1"/>
    </xf>
    <xf numFmtId="49" fontId="4" fillId="0" borderId="33" xfId="0" applyNumberFormat="1" applyFont="1" applyFill="1" applyBorder="1" applyAlignment="1">
      <alignment horizontal="left" vertical="top"/>
    </xf>
    <xf numFmtId="49" fontId="4" fillId="0" borderId="34" xfId="0" applyNumberFormat="1" applyFont="1" applyFill="1" applyBorder="1" applyAlignment="1">
      <alignment horizontal="left" vertical="top"/>
    </xf>
    <xf numFmtId="49" fontId="4" fillId="0" borderId="29" xfId="0" applyNumberFormat="1" applyFont="1" applyFill="1" applyBorder="1" applyAlignment="1">
      <alignment horizontal="left" vertical="top" wrapText="1"/>
    </xf>
    <xf numFmtId="49" fontId="4" fillId="0" borderId="31" xfId="0" applyNumberFormat="1" applyFont="1" applyFill="1" applyBorder="1" applyAlignment="1">
      <alignment horizontal="left" vertical="top"/>
    </xf>
    <xf numFmtId="49" fontId="4" fillId="0" borderId="30" xfId="0" applyNumberFormat="1" applyFont="1" applyFill="1" applyBorder="1" applyAlignment="1">
      <alignment horizontal="left" vertical="top"/>
    </xf>
    <xf numFmtId="49" fontId="4" fillId="0" borderId="18" xfId="0" applyNumberFormat="1" applyFont="1" applyFill="1" applyBorder="1" applyAlignment="1">
      <alignment horizontal="left" vertical="top" wrapText="1"/>
    </xf>
    <xf numFmtId="49" fontId="4" fillId="0" borderId="19" xfId="0" applyNumberFormat="1" applyFont="1" applyFill="1" applyBorder="1" applyAlignment="1">
      <alignment horizontal="left" vertical="top"/>
    </xf>
    <xf numFmtId="49" fontId="4" fillId="0" borderId="17" xfId="0" applyNumberFormat="1" applyFont="1" applyFill="1" applyBorder="1" applyAlignment="1">
      <alignment horizontal="left" vertical="top"/>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49" fontId="4" fillId="0" borderId="31" xfId="0" applyNumberFormat="1" applyFont="1" applyFill="1" applyBorder="1" applyAlignment="1">
      <alignment horizontal="left" vertical="top" wrapText="1"/>
    </xf>
    <xf numFmtId="49" fontId="4" fillId="0" borderId="30" xfId="0" applyNumberFormat="1" applyFont="1" applyFill="1" applyBorder="1" applyAlignment="1">
      <alignment horizontal="left" vertical="top" wrapText="1"/>
    </xf>
    <xf numFmtId="49" fontId="4" fillId="0" borderId="33" xfId="0" applyNumberFormat="1" applyFont="1" applyFill="1" applyBorder="1" applyAlignment="1">
      <alignment horizontal="left" vertical="top" wrapText="1"/>
    </xf>
    <xf numFmtId="49" fontId="4" fillId="0" borderId="34" xfId="0" applyNumberFormat="1" applyFont="1" applyFill="1" applyBorder="1" applyAlignment="1">
      <alignment horizontal="left" vertical="top" wrapText="1"/>
    </xf>
    <xf numFmtId="49" fontId="9" fillId="0" borderId="32" xfId="0" applyNumberFormat="1" applyFont="1" applyFill="1" applyBorder="1" applyAlignment="1">
      <alignment horizontal="left" vertical="top" wrapText="1"/>
    </xf>
    <xf numFmtId="0" fontId="4" fillId="0" borderId="7"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30" xfId="0" applyFont="1" applyFill="1" applyBorder="1" applyAlignment="1">
      <alignment horizontal="left" vertical="center" shrinkToFit="1"/>
    </xf>
    <xf numFmtId="0" fontId="4" fillId="0" borderId="14"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3" xfId="0" applyFont="1" applyFill="1" applyBorder="1" applyAlignment="1">
      <alignment horizontal="center" vertical="center"/>
    </xf>
    <xf numFmtId="0" fontId="8" fillId="0" borderId="8"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8" fillId="0" borderId="9"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5"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4" fillId="0" borderId="0" xfId="0" applyFont="1" applyFill="1" applyAlignment="1">
      <alignment horizontal="left" vertical="center" wrapText="1"/>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7" xfId="0" applyFont="1" applyFill="1" applyBorder="1" applyAlignment="1">
      <alignment vertical="top" wrapText="1" shrinkToFit="1"/>
    </xf>
    <xf numFmtId="0" fontId="4" fillId="0" borderId="8" xfId="0" applyFont="1" applyFill="1" applyBorder="1" applyAlignment="1">
      <alignment vertical="top" wrapText="1" shrinkToFit="1"/>
    </xf>
    <xf numFmtId="0" fontId="4" fillId="0" borderId="9" xfId="0" applyFont="1" applyFill="1" applyBorder="1" applyAlignment="1">
      <alignment vertical="top" shrinkToFit="1"/>
    </xf>
    <xf numFmtId="0" fontId="4" fillId="0" borderId="5" xfId="0" applyFont="1" applyFill="1" applyBorder="1" applyAlignment="1">
      <alignment vertical="top" wrapText="1" shrinkToFit="1"/>
    </xf>
    <xf numFmtId="0" fontId="4" fillId="0" borderId="0" xfId="0" applyFont="1" applyFill="1" applyAlignment="1">
      <alignment vertical="top" wrapText="1" shrinkToFit="1"/>
    </xf>
    <xf numFmtId="0" fontId="4" fillId="0" borderId="10" xfId="0" applyFont="1" applyFill="1" applyBorder="1" applyAlignment="1">
      <alignment vertical="top" shrinkToFit="1"/>
    </xf>
    <xf numFmtId="0" fontId="4" fillId="0" borderId="5" xfId="0" applyFont="1" applyFill="1" applyBorder="1" applyAlignment="1">
      <alignment vertical="top" shrinkToFit="1"/>
    </xf>
    <xf numFmtId="0" fontId="4" fillId="0" borderId="0" xfId="0" applyFont="1" applyFill="1" applyAlignment="1">
      <alignment vertical="top" shrinkToFit="1"/>
    </xf>
    <xf numFmtId="0" fontId="4" fillId="0" borderId="11" xfId="0" applyFont="1" applyFill="1" applyBorder="1" applyAlignment="1">
      <alignment vertical="top" shrinkToFit="1"/>
    </xf>
    <xf numFmtId="0" fontId="4" fillId="0" borderId="6" xfId="0" applyFont="1" applyFill="1" applyBorder="1" applyAlignment="1">
      <alignment vertical="top" shrinkToFit="1"/>
    </xf>
    <xf numFmtId="0" fontId="4" fillId="0" borderId="12" xfId="0" applyFont="1" applyFill="1" applyBorder="1" applyAlignment="1">
      <alignment vertical="top" shrinkToFit="1"/>
    </xf>
    <xf numFmtId="0" fontId="4" fillId="0" borderId="2" xfId="0" applyFont="1" applyFill="1" applyBorder="1" applyAlignment="1">
      <alignment horizontal="left" vertical="center"/>
    </xf>
    <xf numFmtId="0" fontId="3" fillId="0" borderId="3" xfId="0" applyFont="1" applyFill="1" applyBorder="1" applyAlignment="1">
      <alignment vertical="center"/>
    </xf>
    <xf numFmtId="0" fontId="3" fillId="0" borderId="4" xfId="0" applyFont="1" applyFill="1" applyBorder="1" applyAlignment="1">
      <alignment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4" fillId="0" borderId="0" xfId="0" applyFont="1" applyFill="1" applyAlignment="1">
      <alignment horizontal="center" vertical="center"/>
    </xf>
    <xf numFmtId="0" fontId="4" fillId="0" borderId="0" xfId="0" applyFont="1" applyFill="1" applyAlignment="1">
      <alignment vertical="center"/>
    </xf>
    <xf numFmtId="0" fontId="4" fillId="0" borderId="5" xfId="0" applyFont="1" applyFill="1" applyBorder="1" applyAlignment="1">
      <alignment horizontal="center" vertical="center" shrinkToFit="1"/>
    </xf>
    <xf numFmtId="0" fontId="4" fillId="0" borderId="0" xfId="0" applyFont="1" applyFill="1" applyAlignment="1">
      <alignment horizontal="center" vertical="center" shrinkToFit="1"/>
    </xf>
    <xf numFmtId="0" fontId="4" fillId="0" borderId="10" xfId="0" applyFont="1" applyFill="1" applyBorder="1" applyAlignment="1">
      <alignment horizontal="center" vertical="center" shrinkToFit="1"/>
    </xf>
    <xf numFmtId="9" fontId="4" fillId="0" borderId="1" xfId="0" applyNumberFormat="1" applyFont="1" applyFill="1" applyBorder="1" applyAlignment="1">
      <alignment horizontal="center" vertical="center" shrinkToFit="1"/>
    </xf>
    <xf numFmtId="0" fontId="4" fillId="0" borderId="7" xfId="0" applyFont="1" applyFill="1" applyBorder="1" applyAlignment="1">
      <alignment vertical="top" wrapText="1"/>
    </xf>
    <xf numFmtId="0" fontId="4" fillId="0" borderId="8" xfId="0" applyFont="1" applyFill="1" applyBorder="1" applyAlignment="1">
      <alignment vertical="top" wrapText="1"/>
    </xf>
    <xf numFmtId="0" fontId="4" fillId="0" borderId="9" xfId="0" applyFont="1" applyFill="1" applyBorder="1" applyAlignment="1">
      <alignment vertical="top" wrapText="1"/>
    </xf>
    <xf numFmtId="0" fontId="4" fillId="0" borderId="5" xfId="0" applyFont="1" applyFill="1" applyBorder="1" applyAlignment="1">
      <alignment vertical="top" wrapText="1"/>
    </xf>
    <xf numFmtId="0" fontId="4" fillId="0" borderId="0" xfId="0" applyFont="1" applyFill="1" applyAlignment="1">
      <alignment vertical="top" wrapText="1"/>
    </xf>
    <xf numFmtId="0" fontId="4" fillId="0" borderId="10" xfId="0" applyFont="1" applyFill="1" applyBorder="1" applyAlignment="1">
      <alignment vertical="top" wrapText="1"/>
    </xf>
    <xf numFmtId="0" fontId="4" fillId="0" borderId="11" xfId="0" applyFont="1" applyFill="1" applyBorder="1" applyAlignment="1">
      <alignment vertical="top" wrapText="1"/>
    </xf>
    <xf numFmtId="0" fontId="4" fillId="0" borderId="6" xfId="0" applyFont="1" applyFill="1" applyBorder="1" applyAlignment="1">
      <alignment vertical="top" wrapText="1"/>
    </xf>
    <xf numFmtId="0" fontId="4" fillId="0" borderId="12" xfId="0" applyFont="1" applyFill="1" applyBorder="1" applyAlignment="1">
      <alignment vertical="top" wrapText="1"/>
    </xf>
    <xf numFmtId="0" fontId="4" fillId="0" borderId="9" xfId="0" applyFont="1" applyFill="1" applyBorder="1" applyAlignment="1">
      <alignment vertical="top"/>
    </xf>
    <xf numFmtId="0" fontId="4" fillId="0" borderId="5" xfId="0" applyFont="1" applyFill="1" applyBorder="1" applyAlignment="1">
      <alignment vertical="top"/>
    </xf>
    <xf numFmtId="0" fontId="4" fillId="0" borderId="0" xfId="0" applyFont="1" applyFill="1" applyAlignment="1">
      <alignment vertical="top"/>
    </xf>
    <xf numFmtId="0" fontId="4" fillId="0" borderId="10" xfId="0" applyFont="1" applyFill="1" applyBorder="1" applyAlignment="1">
      <alignment vertical="top"/>
    </xf>
    <xf numFmtId="0" fontId="4" fillId="0" borderId="11" xfId="0" applyFont="1" applyFill="1" applyBorder="1" applyAlignment="1">
      <alignment vertical="top"/>
    </xf>
    <xf numFmtId="0" fontId="4" fillId="0" borderId="6" xfId="0" applyFont="1" applyFill="1" applyBorder="1" applyAlignment="1">
      <alignment vertical="top"/>
    </xf>
    <xf numFmtId="0" fontId="4" fillId="0" borderId="12" xfId="0" applyFont="1" applyFill="1" applyBorder="1" applyAlignment="1">
      <alignment vertical="top"/>
    </xf>
    <xf numFmtId="9" fontId="4" fillId="0" borderId="1" xfId="0" applyNumberFormat="1" applyFont="1" applyFill="1" applyBorder="1" applyAlignment="1">
      <alignment horizontal="center" vertical="center" wrapText="1" shrinkToFit="1"/>
    </xf>
    <xf numFmtId="0" fontId="4" fillId="0" borderId="7"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0" xfId="0" applyFont="1" applyFill="1" applyAlignment="1">
      <alignment horizontal="left" vertical="top"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16" xfId="0" applyFont="1" applyFill="1" applyBorder="1" applyAlignment="1">
      <alignment vertical="center"/>
    </xf>
    <xf numFmtId="0" fontId="3" fillId="0" borderId="17" xfId="0" applyFont="1" applyFill="1" applyBorder="1" applyAlignment="1">
      <alignment vertical="center"/>
    </xf>
    <xf numFmtId="0" fontId="4" fillId="0" borderId="18" xfId="0" applyFont="1" applyFill="1" applyBorder="1" applyAlignment="1">
      <alignment vertical="top" wrapText="1" shrinkToFit="1"/>
    </xf>
    <xf numFmtId="0" fontId="4" fillId="0" borderId="19" xfId="0" applyFont="1" applyFill="1" applyBorder="1" applyAlignment="1">
      <alignment vertical="top" wrapText="1" shrinkToFit="1"/>
    </xf>
    <xf numFmtId="0" fontId="4" fillId="0" borderId="17" xfId="0" applyFont="1" applyFill="1" applyBorder="1" applyAlignment="1">
      <alignment vertical="top" wrapText="1" shrinkToFit="1"/>
    </xf>
    <xf numFmtId="0" fontId="4" fillId="0" borderId="16" xfId="0" applyFont="1" applyFill="1" applyBorder="1" applyAlignment="1">
      <alignment vertical="center" wrapText="1"/>
    </xf>
    <xf numFmtId="0" fontId="4" fillId="0" borderId="17" xfId="0" applyFont="1" applyFill="1" applyBorder="1" applyAlignment="1">
      <alignment vertical="center" wrapText="1"/>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4" fillId="0" borderId="47" xfId="0" applyFont="1" applyFill="1" applyBorder="1" applyAlignment="1">
      <alignment vertical="center" wrapText="1"/>
    </xf>
    <xf numFmtId="0" fontId="4" fillId="0" borderId="34" xfId="0" applyFont="1" applyFill="1" applyBorder="1" applyAlignment="1">
      <alignment vertical="center" wrapText="1"/>
    </xf>
    <xf numFmtId="0" fontId="4" fillId="0" borderId="32" xfId="0" applyFont="1" applyFill="1" applyBorder="1" applyAlignment="1">
      <alignment vertical="top" wrapText="1" shrinkToFit="1"/>
    </xf>
    <xf numFmtId="0" fontId="4" fillId="0" borderId="33" xfId="0" applyFont="1" applyFill="1" applyBorder="1" applyAlignment="1">
      <alignment vertical="top" wrapText="1" shrinkToFit="1"/>
    </xf>
    <xf numFmtId="0" fontId="4" fillId="0" borderId="34" xfId="0" applyFont="1" applyFill="1" applyBorder="1" applyAlignment="1">
      <alignment vertical="top" wrapText="1" shrinkToFit="1"/>
    </xf>
    <xf numFmtId="0" fontId="4" fillId="0" borderId="11" xfId="0" applyFont="1" applyFill="1" applyBorder="1" applyAlignment="1">
      <alignment vertical="center" wrapText="1"/>
    </xf>
    <xf numFmtId="0" fontId="4" fillId="0" borderId="6" xfId="0" applyFont="1" applyFill="1" applyBorder="1" applyAlignment="1">
      <alignment vertical="center" wrapText="1"/>
    </xf>
    <xf numFmtId="0" fontId="4" fillId="0" borderId="12" xfId="0" applyFont="1" applyFill="1" applyBorder="1" applyAlignment="1">
      <alignment vertical="center" wrapText="1"/>
    </xf>
    <xf numFmtId="0" fontId="4" fillId="0" borderId="6" xfId="0" applyFont="1" applyFill="1" applyBorder="1" applyAlignment="1">
      <alignment vertical="top" wrapText="1" shrinkToFit="1"/>
    </xf>
    <xf numFmtId="0" fontId="4" fillId="0" borderId="12" xfId="0" applyFont="1" applyFill="1" applyBorder="1" applyAlignment="1">
      <alignment vertical="top" wrapText="1" shrinkToFit="1"/>
    </xf>
    <xf numFmtId="0" fontId="4" fillId="0" borderId="36" xfId="0" applyFont="1" applyFill="1" applyBorder="1" applyAlignment="1">
      <alignment vertical="center" wrapText="1"/>
    </xf>
    <xf numFmtId="0" fontId="4" fillId="0" borderId="37" xfId="0" applyFont="1" applyFill="1" applyBorder="1" applyAlignment="1">
      <alignment vertical="center" wrapText="1"/>
    </xf>
    <xf numFmtId="0" fontId="4" fillId="0" borderId="38" xfId="0" applyFont="1" applyFill="1" applyBorder="1" applyAlignment="1">
      <alignment vertical="center" wrapText="1"/>
    </xf>
    <xf numFmtId="0" fontId="4" fillId="0" borderId="37" xfId="0" applyFont="1" applyFill="1" applyBorder="1" applyAlignment="1">
      <alignment vertical="top" wrapText="1" shrinkToFit="1"/>
    </xf>
    <xf numFmtId="0" fontId="4" fillId="0" borderId="38"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85" zoomScaleNormal="100" zoomScaleSheetLayoutView="100" workbookViewId="0">
      <selection activeCell="Y91" sqref="Y9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T1" s="125" t="s">
        <v>0</v>
      </c>
      <c r="U1" s="125"/>
      <c r="V1" s="2" t="s">
        <v>1</v>
      </c>
    </row>
    <row r="2" spans="1:24" ht="18.75" customHeight="1" x14ac:dyDescent="0.15">
      <c r="B2" s="3" t="s">
        <v>2</v>
      </c>
      <c r="C2" s="81" t="s">
        <v>3</v>
      </c>
      <c r="D2" s="82"/>
      <c r="E2" s="82"/>
      <c r="F2" s="82"/>
      <c r="G2" s="82"/>
      <c r="H2" s="82"/>
      <c r="I2" s="82"/>
      <c r="J2" s="83"/>
      <c r="K2" s="4"/>
      <c r="L2" s="5"/>
      <c r="M2" s="5"/>
      <c r="N2" s="5"/>
      <c r="O2" s="5"/>
      <c r="P2" s="5"/>
      <c r="Q2" s="5"/>
      <c r="R2" s="5"/>
      <c r="S2" s="5"/>
      <c r="T2" s="5"/>
      <c r="U2" s="5"/>
    </row>
    <row r="3" spans="1:24" ht="18.75" customHeight="1" x14ac:dyDescent="0.15">
      <c r="B3" s="3" t="s">
        <v>4</v>
      </c>
      <c r="C3" s="126" t="s">
        <v>165</v>
      </c>
      <c r="D3" s="127"/>
      <c r="E3" s="127"/>
      <c r="F3" s="127"/>
      <c r="G3" s="127"/>
      <c r="H3" s="127"/>
      <c r="I3" s="127"/>
      <c r="J3" s="128"/>
      <c r="K3" s="4"/>
      <c r="L3" s="5"/>
      <c r="M3" s="5"/>
      <c r="N3" s="5"/>
      <c r="O3" s="5"/>
      <c r="P3" s="5"/>
      <c r="Q3" s="5"/>
      <c r="R3" s="5"/>
      <c r="S3" s="5"/>
      <c r="T3" s="5"/>
      <c r="U3" s="5"/>
    </row>
    <row r="4" spans="1:24" ht="15" customHeight="1" x14ac:dyDescent="0.15">
      <c r="L4" s="4"/>
      <c r="M4" s="6"/>
      <c r="N4" s="6"/>
      <c r="O4" s="6"/>
      <c r="P4" s="6"/>
      <c r="Q4" s="6"/>
      <c r="R4" s="6"/>
      <c r="S4" s="6"/>
      <c r="T4" s="6"/>
      <c r="U4" s="6"/>
    </row>
    <row r="5" spans="1:24" ht="18" customHeight="1" x14ac:dyDescent="0.15">
      <c r="A5" s="107" t="s">
        <v>5</v>
      </c>
      <c r="B5" s="107"/>
      <c r="C5" s="107"/>
      <c r="D5" s="107"/>
      <c r="E5" s="107"/>
      <c r="F5" s="107"/>
      <c r="G5" s="107"/>
      <c r="H5" s="107"/>
      <c r="I5" s="107"/>
      <c r="J5" s="107"/>
      <c r="K5" s="107"/>
      <c r="L5" s="107"/>
      <c r="M5" s="107"/>
      <c r="N5" s="107"/>
      <c r="O5" s="107"/>
      <c r="P5" s="107"/>
      <c r="Q5" s="107"/>
      <c r="R5" s="107"/>
      <c r="S5" s="107"/>
      <c r="T5" s="107"/>
      <c r="U5" s="107"/>
    </row>
    <row r="6" spans="1:24" ht="15" customHeight="1" x14ac:dyDescent="0.15">
      <c r="B6" s="7"/>
      <c r="C6" s="7"/>
      <c r="D6" s="7"/>
      <c r="E6" s="7"/>
      <c r="F6" s="7"/>
      <c r="G6" s="7"/>
      <c r="H6" s="7"/>
      <c r="I6" s="7"/>
      <c r="J6" s="7"/>
      <c r="K6" s="7"/>
      <c r="L6" s="7"/>
      <c r="M6" s="7"/>
      <c r="N6" s="7"/>
      <c r="O6" s="7"/>
      <c r="P6" s="7"/>
      <c r="Q6" s="7"/>
      <c r="R6" s="7"/>
      <c r="S6" s="7"/>
      <c r="T6" s="7"/>
      <c r="U6" s="7"/>
    </row>
    <row r="7" spans="1:24" ht="15" customHeight="1" x14ac:dyDescent="0.15">
      <c r="A7" s="1" t="s">
        <v>6</v>
      </c>
      <c r="B7" s="7"/>
      <c r="C7" s="7"/>
      <c r="D7" s="7"/>
      <c r="E7" s="7"/>
      <c r="F7" s="2"/>
      <c r="G7" s="2"/>
      <c r="H7" s="2"/>
      <c r="I7" s="2"/>
      <c r="J7" s="2"/>
      <c r="K7" s="2"/>
      <c r="L7" s="142" t="s">
        <v>7</v>
      </c>
      <c r="M7" s="143"/>
      <c r="N7" s="143"/>
      <c r="O7" s="143"/>
      <c r="P7" s="143"/>
      <c r="Q7" s="143"/>
      <c r="R7" s="143"/>
      <c r="S7" s="143"/>
      <c r="T7" s="143"/>
      <c r="U7" s="144"/>
    </row>
    <row r="8" spans="1:24" ht="6" customHeight="1" x14ac:dyDescent="0.15">
      <c r="B8" s="7"/>
      <c r="C8" s="7"/>
      <c r="D8" s="7"/>
      <c r="E8" s="7"/>
      <c r="F8" s="7"/>
      <c r="G8" s="7"/>
      <c r="H8" s="7"/>
      <c r="I8" s="7"/>
      <c r="J8" s="7"/>
      <c r="K8" s="7"/>
      <c r="L8" s="7"/>
      <c r="M8" s="7"/>
      <c r="N8" s="7"/>
      <c r="O8" s="7"/>
      <c r="P8" s="7"/>
      <c r="Q8" s="7"/>
      <c r="R8" s="7"/>
      <c r="S8" s="7"/>
      <c r="T8" s="7"/>
      <c r="U8" s="7"/>
    </row>
    <row r="9" spans="1:24" ht="18" customHeight="1" x14ac:dyDescent="0.15">
      <c r="A9" s="1" t="s">
        <v>8</v>
      </c>
      <c r="C9" s="7"/>
      <c r="D9" s="7"/>
      <c r="K9" s="4"/>
      <c r="L9" s="2"/>
      <c r="M9" s="2"/>
      <c r="N9" s="2"/>
      <c r="O9" s="2"/>
      <c r="P9" s="2"/>
      <c r="Q9" s="2"/>
      <c r="R9" s="2"/>
      <c r="S9" s="2"/>
      <c r="T9" s="2"/>
      <c r="U9" s="2"/>
    </row>
    <row r="10" spans="1:24" ht="6" customHeight="1" x14ac:dyDescent="0.15">
      <c r="B10" s="7"/>
      <c r="C10" s="7"/>
      <c r="D10" s="7"/>
      <c r="E10" s="7"/>
      <c r="F10" s="7"/>
      <c r="G10" s="7"/>
      <c r="H10" s="7"/>
      <c r="I10" s="7"/>
      <c r="J10" s="7"/>
      <c r="K10" s="7"/>
      <c r="L10" s="8"/>
      <c r="M10" s="7"/>
      <c r="N10" s="7"/>
      <c r="O10" s="7"/>
      <c r="P10" s="7"/>
      <c r="Q10" s="7"/>
      <c r="R10" s="7"/>
      <c r="S10" s="7"/>
      <c r="T10" s="7"/>
      <c r="U10" s="7"/>
    </row>
    <row r="11" spans="1:24" ht="18" customHeight="1" x14ac:dyDescent="0.15">
      <c r="B11" s="150"/>
      <c r="C11" s="151"/>
      <c r="D11" s="151"/>
      <c r="E11" s="151"/>
      <c r="F11" s="151"/>
      <c r="G11" s="151"/>
      <c r="H11" s="151"/>
      <c r="I11" s="151"/>
      <c r="J11" s="151"/>
      <c r="K11" s="151"/>
      <c r="L11" s="151"/>
      <c r="M11" s="151"/>
      <c r="N11" s="151"/>
      <c r="O11" s="151"/>
      <c r="P11" s="151"/>
      <c r="Q11" s="151"/>
      <c r="R11" s="151"/>
      <c r="S11" s="151"/>
      <c r="T11" s="151"/>
      <c r="U11" s="152"/>
    </row>
    <row r="12" spans="1:24" ht="18" customHeight="1" x14ac:dyDescent="0.15">
      <c r="B12" s="153"/>
      <c r="C12" s="154"/>
      <c r="D12" s="154"/>
      <c r="E12" s="154"/>
      <c r="F12" s="154"/>
      <c r="G12" s="154"/>
      <c r="H12" s="154"/>
      <c r="I12" s="154"/>
      <c r="J12" s="154"/>
      <c r="K12" s="154"/>
      <c r="L12" s="154"/>
      <c r="M12" s="154"/>
      <c r="N12" s="154"/>
      <c r="O12" s="154"/>
      <c r="P12" s="154"/>
      <c r="Q12" s="154"/>
      <c r="R12" s="154"/>
      <c r="S12" s="154"/>
      <c r="T12" s="154"/>
      <c r="U12" s="155"/>
    </row>
    <row r="13" spans="1:24" ht="6" customHeight="1" x14ac:dyDescent="0.15">
      <c r="B13" s="7"/>
      <c r="C13" s="7"/>
      <c r="D13" s="7"/>
      <c r="E13" s="7"/>
      <c r="F13" s="7"/>
      <c r="G13" s="7"/>
      <c r="H13" s="7"/>
      <c r="I13" s="7"/>
      <c r="J13" s="7"/>
      <c r="K13" s="7"/>
      <c r="L13" s="8"/>
      <c r="M13" s="7"/>
      <c r="N13" s="7"/>
      <c r="O13" s="7"/>
      <c r="P13" s="7"/>
      <c r="Q13" s="7"/>
      <c r="R13" s="7"/>
      <c r="S13" s="7"/>
      <c r="T13" s="7"/>
      <c r="U13" s="7"/>
    </row>
    <row r="14" spans="1:24" ht="18" customHeight="1" x14ac:dyDescent="0.15">
      <c r="A14" s="1" t="s">
        <v>9</v>
      </c>
      <c r="B14" s="7"/>
      <c r="C14" s="7"/>
      <c r="D14" s="7"/>
      <c r="E14" s="4"/>
      <c r="F14" s="4"/>
      <c r="G14" s="4"/>
      <c r="H14" s="4"/>
      <c r="I14" s="4"/>
      <c r="J14" s="4"/>
      <c r="K14" s="4"/>
      <c r="L14" s="9"/>
      <c r="M14" s="9"/>
      <c r="N14" s="9"/>
      <c r="O14" s="9"/>
      <c r="P14" s="9"/>
      <c r="Q14" s="9"/>
      <c r="R14" s="9"/>
      <c r="S14" s="9"/>
      <c r="T14" s="9"/>
      <c r="U14" s="9"/>
    </row>
    <row r="15" spans="1:24" ht="18" customHeight="1" x14ac:dyDescent="0.15">
      <c r="B15" s="108" t="s">
        <v>180</v>
      </c>
      <c r="C15" s="109"/>
      <c r="D15" s="109"/>
      <c r="E15" s="109"/>
      <c r="F15" s="109"/>
      <c r="G15" s="109"/>
      <c r="H15" s="109"/>
      <c r="I15" s="109"/>
      <c r="J15" s="109"/>
      <c r="K15" s="109"/>
      <c r="L15" s="109"/>
      <c r="M15" s="109"/>
      <c r="N15" s="109"/>
      <c r="O15" s="109"/>
      <c r="P15" s="109"/>
      <c r="Q15" s="109"/>
      <c r="R15" s="109"/>
      <c r="S15" s="109"/>
      <c r="T15" s="109"/>
      <c r="U15" s="110"/>
      <c r="X15" s="1" t="s">
        <v>10</v>
      </c>
    </row>
    <row r="16" spans="1:24" ht="18" customHeight="1" x14ac:dyDescent="0.15">
      <c r="B16" s="111"/>
      <c r="C16" s="112"/>
      <c r="D16" s="112"/>
      <c r="E16" s="112"/>
      <c r="F16" s="112"/>
      <c r="G16" s="112"/>
      <c r="H16" s="112"/>
      <c r="I16" s="112"/>
      <c r="J16" s="112"/>
      <c r="K16" s="112"/>
      <c r="L16" s="112"/>
      <c r="M16" s="112"/>
      <c r="N16" s="112"/>
      <c r="O16" s="112"/>
      <c r="P16" s="112"/>
      <c r="Q16" s="112"/>
      <c r="R16" s="112"/>
      <c r="S16" s="112"/>
      <c r="T16" s="112"/>
      <c r="U16" s="113"/>
      <c r="X16" s="1" t="s">
        <v>11</v>
      </c>
    </row>
    <row r="17" spans="1:24" ht="18" customHeight="1" x14ac:dyDescent="0.15">
      <c r="B17" s="111"/>
      <c r="C17" s="112"/>
      <c r="D17" s="112"/>
      <c r="E17" s="112"/>
      <c r="F17" s="112"/>
      <c r="G17" s="112"/>
      <c r="H17" s="112"/>
      <c r="I17" s="112"/>
      <c r="J17" s="112"/>
      <c r="K17" s="112"/>
      <c r="L17" s="112"/>
      <c r="M17" s="112"/>
      <c r="N17" s="112"/>
      <c r="O17" s="112"/>
      <c r="P17" s="112"/>
      <c r="Q17" s="112"/>
      <c r="R17" s="112"/>
      <c r="S17" s="112"/>
      <c r="T17" s="112"/>
      <c r="U17" s="113"/>
      <c r="X17" s="1" t="s">
        <v>12</v>
      </c>
    </row>
    <row r="18" spans="1:24" ht="18" customHeight="1" x14ac:dyDescent="0.15">
      <c r="B18" s="111"/>
      <c r="C18" s="112"/>
      <c r="D18" s="112"/>
      <c r="E18" s="112"/>
      <c r="F18" s="112"/>
      <c r="G18" s="112"/>
      <c r="H18" s="112"/>
      <c r="I18" s="112"/>
      <c r="J18" s="112"/>
      <c r="K18" s="112"/>
      <c r="L18" s="112"/>
      <c r="M18" s="112"/>
      <c r="N18" s="112"/>
      <c r="O18" s="112"/>
      <c r="P18" s="112"/>
      <c r="Q18" s="112"/>
      <c r="R18" s="112"/>
      <c r="S18" s="112"/>
      <c r="T18" s="112"/>
      <c r="U18" s="113"/>
      <c r="X18" s="1" t="s">
        <v>13</v>
      </c>
    </row>
    <row r="19" spans="1:24" ht="18" customHeight="1" x14ac:dyDescent="0.15">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15">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15">
      <c r="B21" s="7"/>
      <c r="C21" s="7"/>
      <c r="D21" s="7"/>
      <c r="E21" s="7"/>
      <c r="F21" s="7"/>
      <c r="G21" s="7"/>
      <c r="H21" s="7"/>
      <c r="I21" s="7"/>
      <c r="J21" s="7"/>
      <c r="K21" s="7"/>
      <c r="L21" s="7"/>
      <c r="M21" s="7"/>
      <c r="N21" s="7"/>
      <c r="O21" s="7"/>
      <c r="P21" s="7"/>
      <c r="Q21" s="7"/>
      <c r="R21" s="7"/>
      <c r="S21" s="7"/>
      <c r="T21" s="7"/>
      <c r="U21" s="7"/>
    </row>
    <row r="22" spans="1:24" ht="20.100000000000001" customHeight="1" x14ac:dyDescent="0.15">
      <c r="B22" s="1" t="s">
        <v>14</v>
      </c>
      <c r="E22" s="10">
        <v>1</v>
      </c>
      <c r="F22" s="1" t="s">
        <v>15</v>
      </c>
      <c r="H22" s="11">
        <v>2</v>
      </c>
      <c r="I22" s="7" t="s">
        <v>16</v>
      </c>
      <c r="J22" s="7"/>
      <c r="K22" s="4"/>
      <c r="M22" s="4" t="s">
        <v>17</v>
      </c>
      <c r="N22" s="139" t="s">
        <v>13</v>
      </c>
      <c r="O22" s="140"/>
      <c r="P22" s="140"/>
      <c r="Q22" s="140"/>
      <c r="R22" s="140"/>
      <c r="S22" s="140"/>
      <c r="T22" s="140"/>
      <c r="U22" s="141"/>
    </row>
    <row r="23" spans="1:24" ht="7.5" customHeight="1" x14ac:dyDescent="0.15">
      <c r="B23" s="7"/>
      <c r="C23" s="7"/>
      <c r="D23" s="7"/>
      <c r="E23" s="7"/>
      <c r="F23" s="7"/>
      <c r="G23" s="7"/>
      <c r="H23" s="7"/>
      <c r="I23" s="7"/>
      <c r="J23" s="7"/>
      <c r="K23" s="7"/>
      <c r="L23" s="7"/>
      <c r="M23" s="7"/>
      <c r="N23" s="7"/>
      <c r="O23" s="7"/>
      <c r="P23" s="7"/>
      <c r="Q23" s="7"/>
      <c r="R23" s="7"/>
      <c r="S23" s="7"/>
      <c r="T23" s="7"/>
      <c r="U23" s="7"/>
    </row>
    <row r="24" spans="1:24" ht="18" customHeight="1" x14ac:dyDescent="0.15">
      <c r="A24" s="95" t="s">
        <v>18</v>
      </c>
      <c r="B24" s="95"/>
      <c r="C24" s="95"/>
      <c r="D24" s="95"/>
      <c r="E24" s="95"/>
      <c r="F24" s="95"/>
      <c r="G24" s="95"/>
      <c r="H24" s="95"/>
      <c r="I24" s="95"/>
      <c r="J24" s="95"/>
      <c r="K24" s="95"/>
      <c r="L24" s="95"/>
      <c r="M24" s="95"/>
      <c r="N24" s="95"/>
      <c r="O24" s="95"/>
      <c r="P24" s="95"/>
      <c r="Q24" s="95"/>
      <c r="R24" s="95"/>
      <c r="S24" s="95"/>
      <c r="T24" s="95"/>
      <c r="U24" s="95"/>
    </row>
    <row r="25" spans="1:24" ht="18" customHeight="1" x14ac:dyDescent="0.15">
      <c r="A25" s="95"/>
      <c r="B25" s="95"/>
      <c r="C25" s="95"/>
      <c r="D25" s="95"/>
      <c r="E25" s="95"/>
      <c r="F25" s="95"/>
      <c r="G25" s="95"/>
      <c r="H25" s="95"/>
      <c r="I25" s="95"/>
      <c r="J25" s="95"/>
      <c r="K25" s="95"/>
      <c r="L25" s="95"/>
      <c r="M25" s="95"/>
      <c r="N25" s="95"/>
      <c r="O25" s="95"/>
      <c r="P25" s="95"/>
      <c r="Q25" s="95"/>
      <c r="R25" s="95"/>
      <c r="S25" s="95"/>
      <c r="T25" s="95"/>
      <c r="U25" s="95"/>
    </row>
    <row r="26" spans="1:24" ht="18" customHeight="1" x14ac:dyDescent="0.15">
      <c r="B26" s="81" t="s">
        <v>19</v>
      </c>
      <c r="C26" s="82"/>
      <c r="D26" s="82"/>
      <c r="E26" s="82"/>
      <c r="F26" s="83"/>
      <c r="G26" s="12" t="s">
        <v>20</v>
      </c>
      <c r="H26" s="13" t="s">
        <v>21</v>
      </c>
      <c r="I26" s="14" t="s">
        <v>22</v>
      </c>
      <c r="J26" s="14" t="s">
        <v>23</v>
      </c>
      <c r="K26" s="81" t="s">
        <v>19</v>
      </c>
      <c r="L26" s="82"/>
      <c r="M26" s="82"/>
      <c r="N26" s="82"/>
      <c r="O26" s="82"/>
      <c r="P26" s="82"/>
      <c r="Q26" s="83"/>
      <c r="R26" s="12" t="s">
        <v>20</v>
      </c>
      <c r="S26" s="13" t="s">
        <v>21</v>
      </c>
      <c r="T26" s="14" t="s">
        <v>22</v>
      </c>
      <c r="U26" s="14" t="s">
        <v>23</v>
      </c>
    </row>
    <row r="27" spans="1:24" ht="18" customHeight="1" x14ac:dyDescent="0.15">
      <c r="B27" s="92" t="s">
        <v>24</v>
      </c>
      <c r="C27" s="93"/>
      <c r="D27" s="93"/>
      <c r="E27" s="93"/>
      <c r="F27" s="94"/>
      <c r="G27" s="15">
        <v>2</v>
      </c>
      <c r="H27" s="15" t="s">
        <v>25</v>
      </c>
      <c r="I27" s="15" t="s">
        <v>25</v>
      </c>
      <c r="J27" s="15" t="s">
        <v>25</v>
      </c>
      <c r="K27" s="92"/>
      <c r="L27" s="93"/>
      <c r="M27" s="93"/>
      <c r="N27" s="93"/>
      <c r="O27" s="93"/>
      <c r="P27" s="93"/>
      <c r="Q27" s="94"/>
      <c r="R27" s="15"/>
      <c r="S27" s="15"/>
      <c r="T27" s="15"/>
      <c r="U27" s="15"/>
    </row>
    <row r="28" spans="1:24" ht="18" customHeight="1" x14ac:dyDescent="0.15">
      <c r="B28" s="84"/>
      <c r="C28" s="85"/>
      <c r="D28" s="85"/>
      <c r="E28" s="85"/>
      <c r="F28" s="86"/>
      <c r="G28" s="16"/>
      <c r="H28" s="16"/>
      <c r="I28" s="16"/>
      <c r="J28" s="16"/>
      <c r="K28" s="84"/>
      <c r="L28" s="85"/>
      <c r="M28" s="85"/>
      <c r="N28" s="85"/>
      <c r="O28" s="85"/>
      <c r="P28" s="85"/>
      <c r="Q28" s="86"/>
      <c r="R28" s="16"/>
      <c r="S28" s="16"/>
      <c r="T28" s="16"/>
      <c r="U28" s="16"/>
    </row>
    <row r="29" spans="1:24" ht="18" customHeight="1" x14ac:dyDescent="0.15">
      <c r="B29" s="84"/>
      <c r="C29" s="85"/>
      <c r="D29" s="85"/>
      <c r="E29" s="85"/>
      <c r="F29" s="86"/>
      <c r="G29" s="16"/>
      <c r="H29" s="16"/>
      <c r="I29" s="16"/>
      <c r="J29" s="16"/>
      <c r="K29" s="84"/>
      <c r="L29" s="85"/>
      <c r="M29" s="85"/>
      <c r="N29" s="85"/>
      <c r="O29" s="85"/>
      <c r="P29" s="85"/>
      <c r="Q29" s="86"/>
      <c r="R29" s="16"/>
      <c r="S29" s="16"/>
      <c r="T29" s="16"/>
      <c r="U29" s="16"/>
    </row>
    <row r="30" spans="1:24" ht="18" customHeight="1" x14ac:dyDescent="0.15">
      <c r="B30" s="84"/>
      <c r="C30" s="85"/>
      <c r="D30" s="85"/>
      <c r="E30" s="85"/>
      <c r="F30" s="86"/>
      <c r="G30" s="16"/>
      <c r="H30" s="16"/>
      <c r="I30" s="16"/>
      <c r="J30" s="16"/>
      <c r="K30" s="84"/>
      <c r="L30" s="85"/>
      <c r="M30" s="85"/>
      <c r="N30" s="85"/>
      <c r="O30" s="85"/>
      <c r="P30" s="85"/>
      <c r="Q30" s="86"/>
      <c r="R30" s="16"/>
      <c r="S30" s="16"/>
      <c r="T30" s="16"/>
      <c r="U30" s="16"/>
    </row>
    <row r="31" spans="1:24" ht="18" customHeight="1" x14ac:dyDescent="0.15">
      <c r="B31" s="84"/>
      <c r="C31" s="85"/>
      <c r="D31" s="85"/>
      <c r="E31" s="85"/>
      <c r="F31" s="86"/>
      <c r="G31" s="16"/>
      <c r="H31" s="16"/>
      <c r="I31" s="16"/>
      <c r="J31" s="16"/>
      <c r="K31" s="84"/>
      <c r="L31" s="85"/>
      <c r="M31" s="85"/>
      <c r="N31" s="85"/>
      <c r="O31" s="85"/>
      <c r="P31" s="85"/>
      <c r="Q31" s="86"/>
      <c r="R31" s="16"/>
      <c r="S31" s="16"/>
      <c r="T31" s="16"/>
      <c r="U31" s="16"/>
    </row>
    <row r="32" spans="1:24" ht="18" customHeight="1" x14ac:dyDescent="0.15">
      <c r="A32" s="7"/>
      <c r="B32" s="84"/>
      <c r="C32" s="85"/>
      <c r="D32" s="85"/>
      <c r="E32" s="85"/>
      <c r="F32" s="86"/>
      <c r="G32" s="16"/>
      <c r="H32" s="16"/>
      <c r="I32" s="16"/>
      <c r="J32" s="16"/>
      <c r="K32" s="84"/>
      <c r="L32" s="85"/>
      <c r="M32" s="85"/>
      <c r="N32" s="85"/>
      <c r="O32" s="85"/>
      <c r="P32" s="85"/>
      <c r="Q32" s="86"/>
      <c r="R32" s="16"/>
      <c r="S32" s="16"/>
      <c r="T32" s="16"/>
      <c r="U32" s="16"/>
    </row>
    <row r="33" spans="1:21" ht="18" customHeight="1" x14ac:dyDescent="0.15">
      <c r="A33" s="7"/>
      <c r="B33" s="87"/>
      <c r="C33" s="88"/>
      <c r="D33" s="88"/>
      <c r="E33" s="88"/>
      <c r="F33" s="89"/>
      <c r="G33" s="17"/>
      <c r="H33" s="17"/>
      <c r="I33" s="18"/>
      <c r="J33" s="18"/>
      <c r="K33" s="87"/>
      <c r="L33" s="88"/>
      <c r="M33" s="88"/>
      <c r="N33" s="88"/>
      <c r="O33" s="88"/>
      <c r="P33" s="88"/>
      <c r="Q33" s="89"/>
      <c r="R33" s="17"/>
      <c r="S33" s="17"/>
      <c r="T33" s="18"/>
      <c r="U33" s="18"/>
    </row>
    <row r="34" spans="1:21" ht="7.5" customHeight="1" x14ac:dyDescent="0.15">
      <c r="A34" s="7"/>
      <c r="B34" s="5"/>
      <c r="C34" s="5"/>
      <c r="D34" s="5"/>
      <c r="E34" s="7"/>
      <c r="F34" s="7"/>
      <c r="G34" s="7"/>
      <c r="H34" s="7"/>
      <c r="I34" s="5"/>
      <c r="J34" s="5"/>
      <c r="K34" s="5"/>
      <c r="L34" s="5"/>
      <c r="M34" s="5"/>
      <c r="N34" s="5"/>
      <c r="O34" s="5"/>
      <c r="P34" s="5"/>
      <c r="Q34" s="5"/>
      <c r="R34" s="5"/>
      <c r="S34" s="5"/>
      <c r="T34" s="5"/>
      <c r="U34" s="7"/>
    </row>
    <row r="35" spans="1:21" ht="18" customHeight="1" x14ac:dyDescent="0.15">
      <c r="A35" s="95" t="s">
        <v>26</v>
      </c>
      <c r="B35" s="95"/>
      <c r="C35" s="95"/>
      <c r="D35" s="95"/>
      <c r="E35" s="95"/>
      <c r="F35" s="95"/>
      <c r="G35" s="95"/>
      <c r="H35" s="95"/>
      <c r="I35" s="95"/>
      <c r="J35" s="95"/>
      <c r="K35" s="95"/>
      <c r="L35" s="95"/>
      <c r="M35" s="95"/>
      <c r="N35" s="95"/>
      <c r="O35" s="95"/>
      <c r="P35" s="95"/>
      <c r="Q35" s="95"/>
      <c r="R35" s="95"/>
      <c r="S35" s="95"/>
      <c r="T35" s="95"/>
      <c r="U35" s="95"/>
    </row>
    <row r="36" spans="1:21" ht="18" customHeight="1" x14ac:dyDescent="0.15">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15">
      <c r="B37" s="81" t="s">
        <v>19</v>
      </c>
      <c r="C37" s="82"/>
      <c r="D37" s="82"/>
      <c r="E37" s="82"/>
      <c r="F37" s="83"/>
      <c r="G37" s="12" t="s">
        <v>20</v>
      </c>
      <c r="H37" s="13" t="s">
        <v>21</v>
      </c>
      <c r="I37" s="14" t="s">
        <v>27</v>
      </c>
      <c r="J37" s="14" t="s">
        <v>28</v>
      </c>
      <c r="K37" s="81" t="s">
        <v>19</v>
      </c>
      <c r="L37" s="82"/>
      <c r="M37" s="82"/>
      <c r="N37" s="82"/>
      <c r="O37" s="82"/>
      <c r="P37" s="82"/>
      <c r="Q37" s="83"/>
      <c r="R37" s="12" t="s">
        <v>20</v>
      </c>
      <c r="S37" s="13" t="s">
        <v>21</v>
      </c>
      <c r="T37" s="14" t="s">
        <v>27</v>
      </c>
      <c r="U37" s="14" t="s">
        <v>28</v>
      </c>
    </row>
    <row r="38" spans="1:21" ht="18" customHeight="1" x14ac:dyDescent="0.15">
      <c r="B38" s="92" t="s">
        <v>24</v>
      </c>
      <c r="C38" s="93"/>
      <c r="D38" s="93"/>
      <c r="E38" s="93"/>
      <c r="F38" s="94"/>
      <c r="G38" s="15">
        <v>2</v>
      </c>
      <c r="H38" s="15" t="s">
        <v>25</v>
      </c>
      <c r="I38" s="15" t="s">
        <v>25</v>
      </c>
      <c r="J38" s="15" t="s">
        <v>25</v>
      </c>
      <c r="K38" s="92"/>
      <c r="L38" s="93"/>
      <c r="M38" s="93"/>
      <c r="N38" s="93"/>
      <c r="O38" s="93"/>
      <c r="P38" s="93"/>
      <c r="Q38" s="94"/>
      <c r="R38" s="15"/>
      <c r="S38" s="15"/>
      <c r="T38" s="15"/>
      <c r="U38" s="15"/>
    </row>
    <row r="39" spans="1:21" ht="18" customHeight="1" x14ac:dyDescent="0.15">
      <c r="B39" s="84"/>
      <c r="C39" s="85"/>
      <c r="D39" s="85"/>
      <c r="E39" s="85"/>
      <c r="F39" s="86"/>
      <c r="G39" s="16"/>
      <c r="H39" s="16"/>
      <c r="I39" s="16"/>
      <c r="J39" s="16"/>
      <c r="K39" s="84"/>
      <c r="L39" s="85"/>
      <c r="M39" s="85"/>
      <c r="N39" s="85"/>
      <c r="O39" s="85"/>
      <c r="P39" s="85"/>
      <c r="Q39" s="86"/>
      <c r="R39" s="16"/>
      <c r="S39" s="16"/>
      <c r="T39" s="16"/>
      <c r="U39" s="16"/>
    </row>
    <row r="40" spans="1:21" ht="18" customHeight="1" x14ac:dyDescent="0.15">
      <c r="B40" s="84"/>
      <c r="C40" s="85"/>
      <c r="D40" s="85"/>
      <c r="E40" s="85"/>
      <c r="F40" s="86"/>
      <c r="G40" s="16"/>
      <c r="H40" s="16"/>
      <c r="I40" s="16"/>
      <c r="J40" s="16"/>
      <c r="K40" s="84"/>
      <c r="L40" s="85"/>
      <c r="M40" s="85"/>
      <c r="N40" s="85"/>
      <c r="O40" s="85"/>
      <c r="P40" s="85"/>
      <c r="Q40" s="86"/>
      <c r="R40" s="16"/>
      <c r="S40" s="16"/>
      <c r="T40" s="16"/>
      <c r="U40" s="16"/>
    </row>
    <row r="41" spans="1:21" ht="18" customHeight="1" x14ac:dyDescent="0.15">
      <c r="B41" s="84"/>
      <c r="C41" s="85"/>
      <c r="D41" s="85"/>
      <c r="E41" s="85"/>
      <c r="F41" s="86"/>
      <c r="G41" s="16"/>
      <c r="H41" s="16"/>
      <c r="I41" s="16"/>
      <c r="J41" s="16"/>
      <c r="K41" s="84"/>
      <c r="L41" s="85"/>
      <c r="M41" s="85"/>
      <c r="N41" s="85"/>
      <c r="O41" s="85"/>
      <c r="P41" s="85"/>
      <c r="Q41" s="86"/>
      <c r="R41" s="16"/>
      <c r="S41" s="16"/>
      <c r="T41" s="16"/>
      <c r="U41" s="16"/>
    </row>
    <row r="42" spans="1:21" ht="18" customHeight="1" x14ac:dyDescent="0.15">
      <c r="B42" s="84"/>
      <c r="C42" s="85"/>
      <c r="D42" s="85"/>
      <c r="E42" s="85"/>
      <c r="F42" s="86"/>
      <c r="G42" s="16"/>
      <c r="H42" s="16"/>
      <c r="I42" s="16"/>
      <c r="J42" s="16"/>
      <c r="K42" s="84"/>
      <c r="L42" s="85"/>
      <c r="M42" s="85"/>
      <c r="N42" s="85"/>
      <c r="O42" s="85"/>
      <c r="P42" s="85"/>
      <c r="Q42" s="86"/>
      <c r="R42" s="16"/>
      <c r="S42" s="16"/>
      <c r="T42" s="16"/>
      <c r="U42" s="16"/>
    </row>
    <row r="43" spans="1:21" ht="18" customHeight="1" x14ac:dyDescent="0.15">
      <c r="B43" s="84"/>
      <c r="C43" s="85"/>
      <c r="D43" s="85"/>
      <c r="E43" s="85"/>
      <c r="F43" s="86"/>
      <c r="G43" s="16"/>
      <c r="H43" s="16"/>
      <c r="I43" s="16"/>
      <c r="J43" s="16"/>
      <c r="K43" s="84"/>
      <c r="L43" s="85"/>
      <c r="M43" s="85"/>
      <c r="N43" s="85"/>
      <c r="O43" s="85"/>
      <c r="P43" s="85"/>
      <c r="Q43" s="86"/>
      <c r="R43" s="16"/>
      <c r="S43" s="16"/>
      <c r="T43" s="16"/>
      <c r="U43" s="16"/>
    </row>
    <row r="44" spans="1:21" ht="18" customHeight="1" x14ac:dyDescent="0.15">
      <c r="B44" s="87"/>
      <c r="C44" s="88"/>
      <c r="D44" s="88"/>
      <c r="E44" s="88"/>
      <c r="F44" s="89"/>
      <c r="G44" s="17"/>
      <c r="H44" s="17"/>
      <c r="I44" s="18"/>
      <c r="J44" s="18"/>
      <c r="K44" s="87"/>
      <c r="L44" s="88"/>
      <c r="M44" s="88"/>
      <c r="N44" s="88"/>
      <c r="O44" s="88"/>
      <c r="P44" s="88"/>
      <c r="Q44" s="89"/>
      <c r="R44" s="17"/>
      <c r="S44" s="17"/>
      <c r="T44" s="18"/>
      <c r="U44" s="18"/>
    </row>
    <row r="45" spans="1:21" ht="7.5" customHeight="1" x14ac:dyDescent="0.15">
      <c r="A45" s="7"/>
      <c r="B45" s="5"/>
      <c r="C45" s="5"/>
      <c r="D45" s="5"/>
      <c r="E45" s="7"/>
      <c r="F45" s="7"/>
      <c r="G45" s="7"/>
      <c r="H45" s="7"/>
      <c r="I45" s="5"/>
      <c r="J45" s="5"/>
      <c r="K45" s="5"/>
      <c r="L45" s="5"/>
      <c r="M45" s="5"/>
      <c r="N45" s="5"/>
      <c r="O45" s="5"/>
      <c r="P45" s="5"/>
      <c r="Q45" s="5"/>
      <c r="R45" s="5"/>
      <c r="S45" s="5"/>
      <c r="T45" s="5"/>
      <c r="U45" s="7"/>
    </row>
    <row r="46" spans="1:21" ht="18" customHeight="1" x14ac:dyDescent="0.15">
      <c r="A46" s="95" t="s">
        <v>29</v>
      </c>
      <c r="B46" s="95"/>
      <c r="C46" s="95"/>
      <c r="D46" s="95"/>
      <c r="E46" s="95"/>
      <c r="F46" s="95"/>
      <c r="G46" s="95"/>
      <c r="H46" s="95"/>
      <c r="I46" s="95"/>
      <c r="J46" s="95"/>
      <c r="K46" s="95"/>
      <c r="L46" s="95"/>
      <c r="M46" s="95"/>
      <c r="N46" s="95"/>
      <c r="O46" s="95"/>
      <c r="P46" s="95"/>
      <c r="Q46" s="95"/>
      <c r="R46" s="95"/>
      <c r="S46" s="95"/>
      <c r="T46" s="95"/>
      <c r="U46" s="95"/>
    </row>
    <row r="47" spans="1:21" ht="18" customHeight="1" x14ac:dyDescent="0.15">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15">
      <c r="B48" s="81" t="s">
        <v>19</v>
      </c>
      <c r="C48" s="82"/>
      <c r="D48" s="82"/>
      <c r="E48" s="82"/>
      <c r="F48" s="83"/>
      <c r="G48" s="12" t="s">
        <v>20</v>
      </c>
      <c r="H48" s="13" t="s">
        <v>21</v>
      </c>
      <c r="I48" s="14" t="s">
        <v>30</v>
      </c>
      <c r="J48" s="14" t="s">
        <v>31</v>
      </c>
      <c r="K48" s="81" t="s">
        <v>19</v>
      </c>
      <c r="L48" s="82"/>
      <c r="M48" s="82"/>
      <c r="N48" s="82"/>
      <c r="O48" s="82"/>
      <c r="P48" s="82"/>
      <c r="Q48" s="83"/>
      <c r="R48" s="12" t="s">
        <v>20</v>
      </c>
      <c r="S48" s="13" t="s">
        <v>21</v>
      </c>
      <c r="T48" s="14" t="s">
        <v>30</v>
      </c>
      <c r="U48" s="14" t="s">
        <v>31</v>
      </c>
    </row>
    <row r="49" spans="1:21" ht="18" customHeight="1" x14ac:dyDescent="0.15">
      <c r="A49" s="7"/>
      <c r="B49" s="92" t="s">
        <v>24</v>
      </c>
      <c r="C49" s="93"/>
      <c r="D49" s="93"/>
      <c r="E49" s="93"/>
      <c r="F49" s="94"/>
      <c r="G49" s="15">
        <v>2</v>
      </c>
      <c r="H49" s="15" t="s">
        <v>25</v>
      </c>
      <c r="I49" s="15" t="s">
        <v>25</v>
      </c>
      <c r="J49" s="15" t="s">
        <v>25</v>
      </c>
      <c r="K49" s="92"/>
      <c r="L49" s="93"/>
      <c r="M49" s="93"/>
      <c r="N49" s="93"/>
      <c r="O49" s="93"/>
      <c r="P49" s="93"/>
      <c r="Q49" s="94"/>
      <c r="R49" s="15"/>
      <c r="S49" s="15"/>
      <c r="T49" s="15"/>
      <c r="U49" s="15"/>
    </row>
    <row r="50" spans="1:21" ht="18" customHeight="1" x14ac:dyDescent="0.15">
      <c r="A50" s="7"/>
      <c r="B50" s="84"/>
      <c r="C50" s="85"/>
      <c r="D50" s="85"/>
      <c r="E50" s="85"/>
      <c r="F50" s="86"/>
      <c r="G50" s="16"/>
      <c r="H50" s="16"/>
      <c r="I50" s="16"/>
      <c r="J50" s="16"/>
      <c r="K50" s="84"/>
      <c r="L50" s="85"/>
      <c r="M50" s="85"/>
      <c r="N50" s="85"/>
      <c r="O50" s="85"/>
      <c r="P50" s="85"/>
      <c r="Q50" s="86"/>
      <c r="R50" s="16"/>
      <c r="S50" s="16"/>
      <c r="T50" s="16"/>
      <c r="U50" s="16"/>
    </row>
    <row r="51" spans="1:21" ht="18" customHeight="1" x14ac:dyDescent="0.15">
      <c r="A51" s="7"/>
      <c r="B51" s="84"/>
      <c r="C51" s="85"/>
      <c r="D51" s="85"/>
      <c r="E51" s="85"/>
      <c r="F51" s="86"/>
      <c r="G51" s="16"/>
      <c r="H51" s="16"/>
      <c r="I51" s="16"/>
      <c r="J51" s="16"/>
      <c r="K51" s="84"/>
      <c r="L51" s="85"/>
      <c r="M51" s="85"/>
      <c r="N51" s="85"/>
      <c r="O51" s="85"/>
      <c r="P51" s="85"/>
      <c r="Q51" s="86"/>
      <c r="R51" s="16"/>
      <c r="S51" s="16"/>
      <c r="T51" s="16"/>
      <c r="U51" s="16"/>
    </row>
    <row r="52" spans="1:21" ht="18" customHeight="1" x14ac:dyDescent="0.15">
      <c r="A52" s="7"/>
      <c r="B52" s="84"/>
      <c r="C52" s="85"/>
      <c r="D52" s="85"/>
      <c r="E52" s="85"/>
      <c r="F52" s="86"/>
      <c r="G52" s="16"/>
      <c r="H52" s="16"/>
      <c r="I52" s="16"/>
      <c r="J52" s="16"/>
      <c r="K52" s="84"/>
      <c r="L52" s="85"/>
      <c r="M52" s="85"/>
      <c r="N52" s="85"/>
      <c r="O52" s="85"/>
      <c r="P52" s="85"/>
      <c r="Q52" s="86"/>
      <c r="R52" s="16"/>
      <c r="S52" s="16"/>
      <c r="T52" s="16"/>
      <c r="U52" s="16"/>
    </row>
    <row r="53" spans="1:21" ht="18" customHeight="1" x14ac:dyDescent="0.15">
      <c r="A53" s="7"/>
      <c r="B53" s="84"/>
      <c r="C53" s="85"/>
      <c r="D53" s="85"/>
      <c r="E53" s="85"/>
      <c r="F53" s="86"/>
      <c r="G53" s="16"/>
      <c r="H53" s="16"/>
      <c r="I53" s="16"/>
      <c r="J53" s="16"/>
      <c r="K53" s="84"/>
      <c r="L53" s="85"/>
      <c r="M53" s="85"/>
      <c r="N53" s="85"/>
      <c r="O53" s="85"/>
      <c r="P53" s="85"/>
      <c r="Q53" s="86"/>
      <c r="R53" s="16"/>
      <c r="S53" s="16"/>
      <c r="T53" s="16"/>
      <c r="U53" s="16"/>
    </row>
    <row r="54" spans="1:21" ht="18" customHeight="1" x14ac:dyDescent="0.15">
      <c r="A54" s="7"/>
      <c r="B54" s="84"/>
      <c r="C54" s="85"/>
      <c r="D54" s="85"/>
      <c r="E54" s="85"/>
      <c r="F54" s="86"/>
      <c r="G54" s="16"/>
      <c r="H54" s="16"/>
      <c r="I54" s="16"/>
      <c r="J54" s="16"/>
      <c r="K54" s="84"/>
      <c r="L54" s="85"/>
      <c r="M54" s="85"/>
      <c r="N54" s="85"/>
      <c r="O54" s="85"/>
      <c r="P54" s="85"/>
      <c r="Q54" s="86"/>
      <c r="R54" s="16"/>
      <c r="S54" s="16"/>
      <c r="T54" s="16"/>
      <c r="U54" s="16"/>
    </row>
    <row r="55" spans="1:21" ht="18" customHeight="1" x14ac:dyDescent="0.15">
      <c r="A55" s="7"/>
      <c r="B55" s="87"/>
      <c r="C55" s="88"/>
      <c r="D55" s="88"/>
      <c r="E55" s="88"/>
      <c r="F55" s="89"/>
      <c r="G55" s="17"/>
      <c r="H55" s="17"/>
      <c r="I55" s="18"/>
      <c r="J55" s="18"/>
      <c r="K55" s="87"/>
      <c r="L55" s="88"/>
      <c r="M55" s="88"/>
      <c r="N55" s="88"/>
      <c r="O55" s="88"/>
      <c r="P55" s="88"/>
      <c r="Q55" s="89"/>
      <c r="R55" s="17"/>
      <c r="S55" s="17"/>
      <c r="T55" s="18"/>
      <c r="U55" s="18"/>
    </row>
    <row r="56" spans="1:21" ht="7.5" customHeight="1" x14ac:dyDescent="0.15">
      <c r="B56" s="19"/>
      <c r="C56" s="19"/>
      <c r="D56" s="19"/>
      <c r="E56" s="19"/>
      <c r="F56" s="19"/>
      <c r="G56" s="19"/>
      <c r="H56" s="19"/>
      <c r="I56" s="19"/>
      <c r="J56" s="19"/>
      <c r="K56" s="19"/>
      <c r="L56" s="19"/>
      <c r="M56" s="19"/>
      <c r="N56" s="19"/>
      <c r="O56" s="19"/>
      <c r="P56" s="19"/>
      <c r="Q56" s="19"/>
      <c r="R56" s="19"/>
      <c r="S56" s="19"/>
      <c r="T56" s="19"/>
    </row>
    <row r="57" spans="1:21" ht="18" customHeight="1" x14ac:dyDescent="0.15">
      <c r="A57" s="95" t="s">
        <v>32</v>
      </c>
      <c r="B57" s="95"/>
      <c r="C57" s="95"/>
      <c r="D57" s="95"/>
      <c r="E57" s="95"/>
      <c r="F57" s="95"/>
      <c r="G57" s="95"/>
      <c r="H57" s="95"/>
      <c r="I57" s="95"/>
      <c r="J57" s="95"/>
      <c r="K57" s="95"/>
      <c r="L57" s="95"/>
      <c r="M57" s="95"/>
      <c r="N57" s="95"/>
      <c r="O57" s="95"/>
      <c r="P57" s="95"/>
      <c r="Q57" s="95"/>
      <c r="R57" s="95"/>
      <c r="S57" s="95"/>
      <c r="T57" s="95"/>
      <c r="U57" s="95"/>
    </row>
    <row r="58" spans="1:21" ht="18" customHeight="1" x14ac:dyDescent="0.15">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15">
      <c r="B59" s="81" t="s">
        <v>19</v>
      </c>
      <c r="C59" s="82"/>
      <c r="D59" s="82"/>
      <c r="E59" s="82"/>
      <c r="F59" s="83"/>
      <c r="G59" s="12" t="s">
        <v>20</v>
      </c>
      <c r="H59" s="13" t="s">
        <v>21</v>
      </c>
      <c r="I59" s="14" t="s">
        <v>33</v>
      </c>
      <c r="J59" s="14" t="s">
        <v>34</v>
      </c>
      <c r="K59" s="81" t="s">
        <v>19</v>
      </c>
      <c r="L59" s="82"/>
      <c r="M59" s="82"/>
      <c r="N59" s="82"/>
      <c r="O59" s="82"/>
      <c r="P59" s="82"/>
      <c r="Q59" s="83"/>
      <c r="R59" s="12" t="s">
        <v>20</v>
      </c>
      <c r="S59" s="13" t="s">
        <v>21</v>
      </c>
      <c r="T59" s="14" t="s">
        <v>33</v>
      </c>
      <c r="U59" s="14" t="s">
        <v>34</v>
      </c>
    </row>
    <row r="60" spans="1:21" ht="18" customHeight="1" x14ac:dyDescent="0.15">
      <c r="A60" s="7"/>
      <c r="B60" s="104" t="s">
        <v>24</v>
      </c>
      <c r="C60" s="105"/>
      <c r="D60" s="105"/>
      <c r="E60" s="105"/>
      <c r="F60" s="156"/>
      <c r="G60" s="15">
        <v>2</v>
      </c>
      <c r="H60" s="15" t="s">
        <v>25</v>
      </c>
      <c r="I60" s="15" t="s">
        <v>25</v>
      </c>
      <c r="J60" s="15" t="s">
        <v>25</v>
      </c>
      <c r="K60" s="92"/>
      <c r="L60" s="93"/>
      <c r="M60" s="93"/>
      <c r="N60" s="93"/>
      <c r="O60" s="93"/>
      <c r="P60" s="93"/>
      <c r="Q60" s="94"/>
      <c r="R60" s="15"/>
      <c r="S60" s="15"/>
      <c r="T60" s="15"/>
      <c r="U60" s="15"/>
    </row>
    <row r="61" spans="1:21" ht="18" customHeight="1" x14ac:dyDescent="0.15">
      <c r="A61" s="7"/>
      <c r="B61" s="84"/>
      <c r="C61" s="85"/>
      <c r="D61" s="85"/>
      <c r="E61" s="85"/>
      <c r="F61" s="86"/>
      <c r="G61" s="16"/>
      <c r="H61" s="16"/>
      <c r="I61" s="16"/>
      <c r="J61" s="16"/>
      <c r="K61" s="84"/>
      <c r="L61" s="85"/>
      <c r="M61" s="85"/>
      <c r="N61" s="85"/>
      <c r="O61" s="85"/>
      <c r="P61" s="85"/>
      <c r="Q61" s="86"/>
      <c r="R61" s="16"/>
      <c r="S61" s="16"/>
      <c r="T61" s="16"/>
      <c r="U61" s="16"/>
    </row>
    <row r="62" spans="1:21" ht="18" customHeight="1" x14ac:dyDescent="0.15">
      <c r="A62" s="7"/>
      <c r="B62" s="84"/>
      <c r="C62" s="85"/>
      <c r="D62" s="85"/>
      <c r="E62" s="85"/>
      <c r="F62" s="86"/>
      <c r="G62" s="16"/>
      <c r="H62" s="16"/>
      <c r="I62" s="16"/>
      <c r="J62" s="16"/>
      <c r="K62" s="84"/>
      <c r="L62" s="85"/>
      <c r="M62" s="85"/>
      <c r="N62" s="85"/>
      <c r="O62" s="85"/>
      <c r="P62" s="85"/>
      <c r="Q62" s="86"/>
      <c r="R62" s="16"/>
      <c r="S62" s="16"/>
      <c r="T62" s="16"/>
      <c r="U62" s="16"/>
    </row>
    <row r="63" spans="1:21" ht="18" customHeight="1" x14ac:dyDescent="0.15">
      <c r="A63" s="7"/>
      <c r="B63" s="84"/>
      <c r="C63" s="85"/>
      <c r="D63" s="85"/>
      <c r="E63" s="85"/>
      <c r="F63" s="86"/>
      <c r="G63" s="16"/>
      <c r="H63" s="16"/>
      <c r="I63" s="16"/>
      <c r="J63" s="16"/>
      <c r="K63" s="84"/>
      <c r="L63" s="85"/>
      <c r="M63" s="85"/>
      <c r="N63" s="85"/>
      <c r="O63" s="85"/>
      <c r="P63" s="85"/>
      <c r="Q63" s="86"/>
      <c r="R63" s="16"/>
      <c r="S63" s="16"/>
      <c r="T63" s="16"/>
      <c r="U63" s="16"/>
    </row>
    <row r="64" spans="1:21" ht="18" customHeight="1" x14ac:dyDescent="0.15">
      <c r="A64" s="7"/>
      <c r="B64" s="84"/>
      <c r="C64" s="85"/>
      <c r="D64" s="85"/>
      <c r="E64" s="85"/>
      <c r="F64" s="86"/>
      <c r="G64" s="16"/>
      <c r="H64" s="16"/>
      <c r="I64" s="16"/>
      <c r="J64" s="16"/>
      <c r="K64" s="84"/>
      <c r="L64" s="85"/>
      <c r="M64" s="85"/>
      <c r="N64" s="85"/>
      <c r="O64" s="85"/>
      <c r="P64" s="85"/>
      <c r="Q64" s="86"/>
      <c r="R64" s="16"/>
      <c r="S64" s="16"/>
      <c r="T64" s="16"/>
      <c r="U64" s="16"/>
    </row>
    <row r="65" spans="1:21" ht="18" customHeight="1" x14ac:dyDescent="0.15">
      <c r="A65" s="7"/>
      <c r="B65" s="84"/>
      <c r="C65" s="85"/>
      <c r="D65" s="85"/>
      <c r="E65" s="85"/>
      <c r="F65" s="86"/>
      <c r="G65" s="16"/>
      <c r="H65" s="16"/>
      <c r="I65" s="16"/>
      <c r="J65" s="16"/>
      <c r="K65" s="84"/>
      <c r="L65" s="85"/>
      <c r="M65" s="85"/>
      <c r="N65" s="85"/>
      <c r="O65" s="85"/>
      <c r="P65" s="85"/>
      <c r="Q65" s="86"/>
      <c r="R65" s="16"/>
      <c r="S65" s="16"/>
      <c r="T65" s="16"/>
      <c r="U65" s="16"/>
    </row>
    <row r="66" spans="1:21" ht="18" customHeight="1" x14ac:dyDescent="0.15">
      <c r="A66" s="7"/>
      <c r="B66" s="87"/>
      <c r="C66" s="88"/>
      <c r="D66" s="88"/>
      <c r="E66" s="88"/>
      <c r="F66" s="89"/>
      <c r="G66" s="17"/>
      <c r="H66" s="17"/>
      <c r="I66" s="18"/>
      <c r="J66" s="18"/>
      <c r="K66" s="87"/>
      <c r="L66" s="88"/>
      <c r="M66" s="88"/>
      <c r="N66" s="88"/>
      <c r="O66" s="88"/>
      <c r="P66" s="88"/>
      <c r="Q66" s="89"/>
      <c r="R66" s="17"/>
      <c r="S66" s="17"/>
      <c r="T66" s="18"/>
      <c r="U66" s="18"/>
    </row>
    <row r="67" spans="1:21" ht="7.5" customHeight="1" x14ac:dyDescent="0.15">
      <c r="B67" s="19"/>
      <c r="C67" s="19"/>
      <c r="D67" s="19"/>
      <c r="E67" s="19"/>
      <c r="F67" s="19"/>
      <c r="G67" s="19"/>
      <c r="H67" s="19"/>
      <c r="I67" s="19"/>
      <c r="J67" s="19"/>
      <c r="K67" s="19"/>
      <c r="L67" s="19"/>
      <c r="M67" s="19"/>
      <c r="N67" s="19"/>
      <c r="O67" s="19"/>
      <c r="P67" s="19"/>
      <c r="Q67" s="19"/>
      <c r="R67" s="19"/>
      <c r="S67" s="19"/>
      <c r="T67" s="19"/>
    </row>
    <row r="68" spans="1:21" ht="18" customHeight="1" x14ac:dyDescent="0.15">
      <c r="A68" s="95" t="s">
        <v>35</v>
      </c>
      <c r="B68" s="95"/>
      <c r="C68" s="95"/>
      <c r="D68" s="95"/>
      <c r="E68" s="95"/>
      <c r="F68" s="95"/>
      <c r="G68" s="95"/>
      <c r="H68" s="95"/>
      <c r="I68" s="95"/>
      <c r="J68" s="95"/>
      <c r="K68" s="95"/>
      <c r="L68" s="95"/>
      <c r="M68" s="95"/>
      <c r="N68" s="95"/>
      <c r="O68" s="95"/>
      <c r="P68" s="95"/>
      <c r="Q68" s="95"/>
      <c r="R68" s="95"/>
      <c r="S68" s="95"/>
      <c r="T68" s="95"/>
      <c r="U68" s="95"/>
    </row>
    <row r="69" spans="1:21" ht="18" customHeight="1" x14ac:dyDescent="0.15">
      <c r="A69" s="95"/>
      <c r="B69" s="95"/>
      <c r="C69" s="95"/>
      <c r="D69" s="95"/>
      <c r="E69" s="95"/>
      <c r="F69" s="95"/>
      <c r="G69" s="95"/>
      <c r="H69" s="95"/>
      <c r="I69" s="95"/>
      <c r="J69" s="95"/>
      <c r="K69" s="95"/>
      <c r="L69" s="95"/>
      <c r="M69" s="95"/>
      <c r="N69" s="95"/>
      <c r="O69" s="95"/>
      <c r="P69" s="95"/>
      <c r="Q69" s="95"/>
      <c r="R69" s="95"/>
      <c r="S69" s="95"/>
      <c r="T69" s="95"/>
      <c r="U69" s="95"/>
    </row>
    <row r="70" spans="1:21" ht="18" customHeight="1" x14ac:dyDescent="0.15">
      <c r="B70" s="81" t="s">
        <v>19</v>
      </c>
      <c r="C70" s="82"/>
      <c r="D70" s="82"/>
      <c r="E70" s="82"/>
      <c r="F70" s="12" t="s">
        <v>20</v>
      </c>
      <c r="G70" s="13" t="s">
        <v>21</v>
      </c>
      <c r="H70" s="14" t="s">
        <v>36</v>
      </c>
      <c r="I70" s="14" t="s">
        <v>37</v>
      </c>
      <c r="J70" s="14" t="s">
        <v>38</v>
      </c>
      <c r="K70" s="81" t="s">
        <v>19</v>
      </c>
      <c r="L70" s="82"/>
      <c r="M70" s="82"/>
      <c r="N70" s="82"/>
      <c r="O70" s="82"/>
      <c r="P70" s="83"/>
      <c r="Q70" s="12" t="s">
        <v>20</v>
      </c>
      <c r="R70" s="13" t="s">
        <v>21</v>
      </c>
      <c r="S70" s="14" t="s">
        <v>36</v>
      </c>
      <c r="T70" s="14" t="s">
        <v>37</v>
      </c>
      <c r="U70" s="14" t="s">
        <v>38</v>
      </c>
    </row>
    <row r="71" spans="1:21" ht="18" customHeight="1" x14ac:dyDescent="0.15">
      <c r="A71" s="7"/>
      <c r="B71" s="104" t="s">
        <v>24</v>
      </c>
      <c r="C71" s="105"/>
      <c r="D71" s="105"/>
      <c r="E71" s="105"/>
      <c r="F71" s="15">
        <v>2</v>
      </c>
      <c r="G71" s="15" t="s">
        <v>25</v>
      </c>
      <c r="H71" s="15" t="s">
        <v>25</v>
      </c>
      <c r="I71" s="15" t="s">
        <v>25</v>
      </c>
      <c r="J71" s="15" t="s">
        <v>25</v>
      </c>
      <c r="K71" s="92"/>
      <c r="L71" s="93"/>
      <c r="M71" s="93"/>
      <c r="N71" s="93"/>
      <c r="O71" s="93"/>
      <c r="P71" s="94"/>
      <c r="Q71" s="15"/>
      <c r="R71" s="15"/>
      <c r="S71" s="15"/>
      <c r="T71" s="15"/>
      <c r="U71" s="15"/>
    </row>
    <row r="72" spans="1:21" ht="18" customHeight="1" x14ac:dyDescent="0.15">
      <c r="A72" s="7"/>
      <c r="B72" s="84"/>
      <c r="C72" s="85"/>
      <c r="D72" s="85"/>
      <c r="E72" s="85"/>
      <c r="F72" s="16"/>
      <c r="G72" s="16"/>
      <c r="H72" s="16"/>
      <c r="I72" s="16"/>
      <c r="J72" s="16"/>
      <c r="K72" s="84"/>
      <c r="L72" s="85"/>
      <c r="M72" s="85"/>
      <c r="N72" s="85"/>
      <c r="O72" s="85"/>
      <c r="P72" s="86"/>
      <c r="Q72" s="16"/>
      <c r="R72" s="16"/>
      <c r="S72" s="16"/>
      <c r="T72" s="16"/>
      <c r="U72" s="16"/>
    </row>
    <row r="73" spans="1:21" ht="18" customHeight="1" x14ac:dyDescent="0.15">
      <c r="A73" s="7"/>
      <c r="B73" s="84"/>
      <c r="C73" s="85"/>
      <c r="D73" s="85"/>
      <c r="E73" s="85"/>
      <c r="F73" s="16"/>
      <c r="G73" s="16"/>
      <c r="H73" s="16"/>
      <c r="I73" s="16"/>
      <c r="J73" s="16"/>
      <c r="K73" s="84"/>
      <c r="L73" s="85"/>
      <c r="M73" s="85"/>
      <c r="N73" s="85"/>
      <c r="O73" s="85"/>
      <c r="P73" s="86"/>
      <c r="Q73" s="16"/>
      <c r="R73" s="16"/>
      <c r="S73" s="16"/>
      <c r="T73" s="16"/>
      <c r="U73" s="16"/>
    </row>
    <row r="74" spans="1:21" ht="18" customHeight="1" x14ac:dyDescent="0.15">
      <c r="A74" s="7"/>
      <c r="B74" s="84"/>
      <c r="C74" s="85"/>
      <c r="D74" s="85"/>
      <c r="E74" s="85"/>
      <c r="F74" s="16"/>
      <c r="G74" s="16"/>
      <c r="H74" s="16"/>
      <c r="I74" s="16"/>
      <c r="J74" s="16"/>
      <c r="K74" s="84"/>
      <c r="L74" s="85"/>
      <c r="M74" s="85"/>
      <c r="N74" s="85"/>
      <c r="O74" s="85"/>
      <c r="P74" s="86"/>
      <c r="Q74" s="16"/>
      <c r="R74" s="16"/>
      <c r="S74" s="16"/>
      <c r="T74" s="16"/>
      <c r="U74" s="16"/>
    </row>
    <row r="75" spans="1:21" ht="18" customHeight="1" x14ac:dyDescent="0.15">
      <c r="A75" s="7"/>
      <c r="B75" s="84"/>
      <c r="C75" s="85"/>
      <c r="D75" s="85"/>
      <c r="E75" s="85"/>
      <c r="F75" s="16"/>
      <c r="G75" s="16"/>
      <c r="H75" s="16"/>
      <c r="I75" s="16"/>
      <c r="J75" s="16"/>
      <c r="K75" s="84"/>
      <c r="L75" s="85"/>
      <c r="M75" s="85"/>
      <c r="N75" s="85"/>
      <c r="O75" s="85"/>
      <c r="P75" s="86"/>
      <c r="Q75" s="16"/>
      <c r="R75" s="16"/>
      <c r="S75" s="16"/>
      <c r="T75" s="16"/>
      <c r="U75" s="16"/>
    </row>
    <row r="76" spans="1:21" ht="18" customHeight="1" x14ac:dyDescent="0.15">
      <c r="A76" s="7"/>
      <c r="B76" s="84"/>
      <c r="C76" s="85"/>
      <c r="D76" s="85"/>
      <c r="E76" s="85"/>
      <c r="F76" s="16"/>
      <c r="G76" s="16"/>
      <c r="H76" s="16"/>
      <c r="I76" s="16"/>
      <c r="J76" s="16"/>
      <c r="K76" s="84"/>
      <c r="L76" s="85"/>
      <c r="M76" s="85"/>
      <c r="N76" s="85"/>
      <c r="O76" s="85"/>
      <c r="P76" s="86"/>
      <c r="Q76" s="16"/>
      <c r="R76" s="16"/>
      <c r="S76" s="16"/>
      <c r="T76" s="16"/>
      <c r="U76" s="16"/>
    </row>
    <row r="77" spans="1:21" ht="18" customHeight="1" x14ac:dyDescent="0.15">
      <c r="A77" s="7"/>
      <c r="B77" s="87"/>
      <c r="C77" s="88"/>
      <c r="D77" s="88"/>
      <c r="E77" s="88"/>
      <c r="F77" s="17"/>
      <c r="G77" s="17"/>
      <c r="H77" s="18"/>
      <c r="I77" s="18"/>
      <c r="J77" s="18"/>
      <c r="K77" s="87"/>
      <c r="L77" s="88"/>
      <c r="M77" s="88"/>
      <c r="N77" s="88"/>
      <c r="O77" s="88"/>
      <c r="P77" s="89"/>
      <c r="Q77" s="17"/>
      <c r="R77" s="17"/>
      <c r="S77" s="18"/>
      <c r="T77" s="18"/>
      <c r="U77" s="18"/>
    </row>
    <row r="78" spans="1:21" ht="7.5" customHeight="1" x14ac:dyDescent="0.15">
      <c r="B78" s="19"/>
      <c r="C78" s="19"/>
      <c r="D78" s="19"/>
      <c r="E78" s="19"/>
      <c r="F78" s="19"/>
      <c r="G78" s="19"/>
      <c r="H78" s="19"/>
      <c r="I78" s="19"/>
      <c r="J78" s="19"/>
      <c r="K78" s="19"/>
      <c r="L78" s="19"/>
      <c r="M78" s="19"/>
      <c r="N78" s="19"/>
      <c r="O78" s="19"/>
      <c r="P78" s="19"/>
      <c r="Q78" s="19"/>
      <c r="R78" s="19"/>
      <c r="S78" s="19"/>
      <c r="T78" s="19"/>
    </row>
    <row r="79" spans="1:21" ht="18" customHeight="1" x14ac:dyDescent="0.15">
      <c r="A79" s="1" t="s">
        <v>39</v>
      </c>
      <c r="I79" s="7"/>
      <c r="J79" s="7"/>
      <c r="K79" s="7"/>
      <c r="L79" s="7"/>
      <c r="M79" s="7"/>
      <c r="N79" s="7"/>
      <c r="O79" s="7"/>
      <c r="P79" s="7"/>
      <c r="Q79" s="7"/>
      <c r="R79" s="7"/>
      <c r="S79" s="7"/>
      <c r="T79" s="7"/>
      <c r="U79" s="7"/>
    </row>
    <row r="80" spans="1:21" ht="18" customHeight="1" x14ac:dyDescent="0.15">
      <c r="B80" s="81" t="s">
        <v>19</v>
      </c>
      <c r="C80" s="82"/>
      <c r="D80" s="82"/>
      <c r="E80" s="82"/>
      <c r="F80" s="83"/>
      <c r="G80" s="81" t="s">
        <v>40</v>
      </c>
      <c r="H80" s="82"/>
      <c r="I80" s="82"/>
      <c r="J80" s="83"/>
      <c r="K80" s="101" t="s">
        <v>19</v>
      </c>
      <c r="L80" s="102"/>
      <c r="M80" s="102"/>
      <c r="N80" s="102"/>
      <c r="O80" s="102"/>
      <c r="P80" s="102"/>
      <c r="Q80" s="103"/>
      <c r="R80" s="81" t="s">
        <v>40</v>
      </c>
      <c r="S80" s="82"/>
      <c r="T80" s="82"/>
      <c r="U80" s="83"/>
    </row>
    <row r="81" spans="1:21" ht="18" customHeight="1" x14ac:dyDescent="0.15">
      <c r="A81" s="7"/>
      <c r="B81" s="92" t="s">
        <v>166</v>
      </c>
      <c r="C81" s="93"/>
      <c r="D81" s="93"/>
      <c r="E81" s="93"/>
      <c r="F81" s="94"/>
      <c r="G81" s="96" t="s">
        <v>41</v>
      </c>
      <c r="H81" s="97"/>
      <c r="I81" s="97"/>
      <c r="J81" s="98"/>
      <c r="K81" s="92"/>
      <c r="L81" s="93"/>
      <c r="M81" s="93"/>
      <c r="N81" s="93"/>
      <c r="O81" s="93"/>
      <c r="P81" s="93"/>
      <c r="Q81" s="94"/>
      <c r="R81" s="96"/>
      <c r="S81" s="97"/>
      <c r="T81" s="97"/>
      <c r="U81" s="98"/>
    </row>
    <row r="82" spans="1:21" ht="18" customHeight="1" x14ac:dyDescent="0.15">
      <c r="A82" s="7"/>
      <c r="B82" s="84"/>
      <c r="C82" s="85"/>
      <c r="D82" s="85"/>
      <c r="E82" s="85"/>
      <c r="F82" s="86"/>
      <c r="G82" s="78"/>
      <c r="H82" s="79"/>
      <c r="I82" s="79"/>
      <c r="J82" s="80"/>
      <c r="K82" s="84"/>
      <c r="L82" s="85"/>
      <c r="M82" s="85"/>
      <c r="N82" s="85"/>
      <c r="O82" s="85"/>
      <c r="P82" s="85"/>
      <c r="Q82" s="86"/>
      <c r="R82" s="78"/>
      <c r="S82" s="79"/>
      <c r="T82" s="79"/>
      <c r="U82" s="80"/>
    </row>
    <row r="83" spans="1:21" ht="18" customHeight="1" x14ac:dyDescent="0.15">
      <c r="A83" s="7"/>
      <c r="B83" s="84"/>
      <c r="C83" s="85"/>
      <c r="D83" s="85"/>
      <c r="E83" s="85"/>
      <c r="F83" s="86"/>
      <c r="G83" s="78"/>
      <c r="H83" s="79"/>
      <c r="I83" s="79"/>
      <c r="J83" s="80"/>
      <c r="K83" s="84"/>
      <c r="L83" s="85"/>
      <c r="M83" s="85"/>
      <c r="N83" s="85"/>
      <c r="O83" s="85"/>
      <c r="P83" s="85"/>
      <c r="Q83" s="86"/>
      <c r="R83" s="78"/>
      <c r="S83" s="79"/>
      <c r="T83" s="79"/>
      <c r="U83" s="80"/>
    </row>
    <row r="84" spans="1:21" ht="18" customHeight="1" x14ac:dyDescent="0.15">
      <c r="A84" s="7"/>
      <c r="B84" s="84"/>
      <c r="C84" s="85"/>
      <c r="D84" s="85"/>
      <c r="E84" s="85"/>
      <c r="F84" s="86"/>
      <c r="G84" s="78"/>
      <c r="H84" s="79"/>
      <c r="I84" s="79"/>
      <c r="J84" s="80"/>
      <c r="K84" s="84"/>
      <c r="L84" s="85"/>
      <c r="M84" s="85"/>
      <c r="N84" s="85"/>
      <c r="O84" s="85"/>
      <c r="P84" s="85"/>
      <c r="Q84" s="86"/>
      <c r="R84" s="78"/>
      <c r="S84" s="79"/>
      <c r="T84" s="79"/>
      <c r="U84" s="80"/>
    </row>
    <row r="85" spans="1:21" ht="18" customHeight="1" x14ac:dyDescent="0.15">
      <c r="A85" s="7"/>
      <c r="B85" s="84"/>
      <c r="C85" s="85"/>
      <c r="D85" s="85"/>
      <c r="E85" s="85"/>
      <c r="F85" s="86"/>
      <c r="G85" s="78"/>
      <c r="H85" s="79"/>
      <c r="I85" s="79"/>
      <c r="J85" s="80"/>
      <c r="K85" s="84"/>
      <c r="L85" s="85"/>
      <c r="M85" s="85"/>
      <c r="N85" s="85"/>
      <c r="O85" s="85"/>
      <c r="P85" s="85"/>
      <c r="Q85" s="86"/>
      <c r="R85" s="78"/>
      <c r="S85" s="79"/>
      <c r="T85" s="79"/>
      <c r="U85" s="80"/>
    </row>
    <row r="86" spans="1:21" ht="18" customHeight="1" x14ac:dyDescent="0.15">
      <c r="A86" s="7"/>
      <c r="B86" s="84"/>
      <c r="C86" s="85"/>
      <c r="D86" s="85"/>
      <c r="E86" s="85"/>
      <c r="F86" s="86"/>
      <c r="G86" s="78"/>
      <c r="H86" s="79"/>
      <c r="I86" s="79"/>
      <c r="J86" s="80"/>
      <c r="K86" s="84"/>
      <c r="L86" s="85"/>
      <c r="M86" s="85"/>
      <c r="N86" s="85"/>
      <c r="O86" s="85"/>
      <c r="P86" s="85"/>
      <c r="Q86" s="86"/>
      <c r="R86" s="78"/>
      <c r="S86" s="79"/>
      <c r="T86" s="79"/>
      <c r="U86" s="80"/>
    </row>
    <row r="87" spans="1:21" ht="18" customHeight="1" x14ac:dyDescent="0.15">
      <c r="A87" s="7"/>
      <c r="B87" s="87"/>
      <c r="C87" s="88"/>
      <c r="D87" s="88"/>
      <c r="E87" s="88"/>
      <c r="F87" s="89"/>
      <c r="G87" s="120"/>
      <c r="H87" s="121"/>
      <c r="I87" s="121"/>
      <c r="J87" s="122"/>
      <c r="K87" s="87"/>
      <c r="L87" s="88"/>
      <c r="M87" s="88"/>
      <c r="N87" s="88"/>
      <c r="O87" s="88"/>
      <c r="P87" s="88"/>
      <c r="Q87" s="89"/>
      <c r="R87" s="120"/>
      <c r="S87" s="121"/>
      <c r="T87" s="121"/>
      <c r="U87" s="122"/>
    </row>
    <row r="88" spans="1:21" ht="18" customHeight="1" x14ac:dyDescent="0.15">
      <c r="A88" s="7"/>
      <c r="B88" s="5"/>
      <c r="C88" s="5"/>
      <c r="D88" s="5"/>
      <c r="E88" s="5"/>
      <c r="F88" s="5"/>
      <c r="G88" s="20"/>
      <c r="H88" s="20"/>
      <c r="I88" s="20"/>
      <c r="J88" s="20"/>
      <c r="K88" s="5"/>
      <c r="L88" s="5"/>
      <c r="M88" s="5"/>
      <c r="N88" s="5"/>
      <c r="O88" s="5"/>
      <c r="P88" s="5"/>
      <c r="Q88" s="5"/>
      <c r="R88" s="20"/>
      <c r="S88" s="20"/>
      <c r="T88" s="20"/>
      <c r="U88" s="20"/>
    </row>
    <row r="89" spans="1:21" ht="18.75" customHeight="1" x14ac:dyDescent="0.15">
      <c r="A89" s="1" t="s">
        <v>42</v>
      </c>
    </row>
    <row r="90" spans="1:21" ht="18.75" customHeight="1" x14ac:dyDescent="0.15">
      <c r="B90" s="123" t="s">
        <v>43</v>
      </c>
      <c r="C90" s="124"/>
      <c r="D90" s="81" t="s">
        <v>44</v>
      </c>
      <c r="E90" s="82"/>
      <c r="F90" s="82"/>
      <c r="G90" s="82"/>
      <c r="H90" s="82"/>
      <c r="I90" s="82"/>
      <c r="J90" s="82"/>
      <c r="K90" s="82"/>
      <c r="L90" s="82"/>
      <c r="M90" s="82"/>
      <c r="N90" s="82"/>
      <c r="O90" s="82"/>
      <c r="P90" s="82"/>
      <c r="Q90" s="82"/>
      <c r="R90" s="82"/>
      <c r="S90" s="82"/>
      <c r="T90" s="82"/>
      <c r="U90" s="83"/>
    </row>
    <row r="91" spans="1:21" ht="97.5" customHeight="1" x14ac:dyDescent="0.15">
      <c r="B91" s="99" t="s">
        <v>45</v>
      </c>
      <c r="C91" s="21" t="s">
        <v>22</v>
      </c>
      <c r="D91" s="133" t="s">
        <v>181</v>
      </c>
      <c r="E91" s="145"/>
      <c r="F91" s="145"/>
      <c r="G91" s="145"/>
      <c r="H91" s="145"/>
      <c r="I91" s="145"/>
      <c r="J91" s="145"/>
      <c r="K91" s="145"/>
      <c r="L91" s="145"/>
      <c r="M91" s="145"/>
      <c r="N91" s="145"/>
      <c r="O91" s="145"/>
      <c r="P91" s="145"/>
      <c r="Q91" s="145"/>
      <c r="R91" s="145"/>
      <c r="S91" s="145"/>
      <c r="T91" s="145"/>
      <c r="U91" s="146"/>
    </row>
    <row r="92" spans="1:21" ht="97.5" customHeight="1" x14ac:dyDescent="0.15">
      <c r="B92" s="106"/>
      <c r="C92" s="22" t="s">
        <v>46</v>
      </c>
      <c r="D92" s="130" t="s">
        <v>167</v>
      </c>
      <c r="E92" s="147"/>
      <c r="F92" s="147"/>
      <c r="G92" s="147"/>
      <c r="H92" s="147"/>
      <c r="I92" s="147"/>
      <c r="J92" s="147"/>
      <c r="K92" s="147"/>
      <c r="L92" s="147"/>
      <c r="M92" s="147"/>
      <c r="N92" s="147"/>
      <c r="O92" s="147"/>
      <c r="P92" s="147"/>
      <c r="Q92" s="147"/>
      <c r="R92" s="147"/>
      <c r="S92" s="147"/>
      <c r="T92" s="147"/>
      <c r="U92" s="148"/>
    </row>
    <row r="93" spans="1:21" ht="97.5" customHeight="1" x14ac:dyDescent="0.15">
      <c r="B93" s="99" t="s">
        <v>47</v>
      </c>
      <c r="C93" s="23" t="s">
        <v>27</v>
      </c>
      <c r="D93" s="133" t="s">
        <v>168</v>
      </c>
      <c r="E93" s="145"/>
      <c r="F93" s="145"/>
      <c r="G93" s="145"/>
      <c r="H93" s="145"/>
      <c r="I93" s="145"/>
      <c r="J93" s="145"/>
      <c r="K93" s="145"/>
      <c r="L93" s="145"/>
      <c r="M93" s="145"/>
      <c r="N93" s="145"/>
      <c r="O93" s="145"/>
      <c r="P93" s="145"/>
      <c r="Q93" s="145"/>
      <c r="R93" s="145"/>
      <c r="S93" s="145"/>
      <c r="T93" s="145"/>
      <c r="U93" s="146"/>
    </row>
    <row r="94" spans="1:21" ht="114" customHeight="1" x14ac:dyDescent="0.15">
      <c r="B94" s="100"/>
      <c r="C94" s="24" t="s">
        <v>28</v>
      </c>
      <c r="D94" s="130" t="s">
        <v>169</v>
      </c>
      <c r="E94" s="131"/>
      <c r="F94" s="131"/>
      <c r="G94" s="131"/>
      <c r="H94" s="131"/>
      <c r="I94" s="131"/>
      <c r="J94" s="131"/>
      <c r="K94" s="131"/>
      <c r="L94" s="131"/>
      <c r="M94" s="131"/>
      <c r="N94" s="131"/>
      <c r="O94" s="131"/>
      <c r="P94" s="131"/>
      <c r="Q94" s="131"/>
      <c r="R94" s="131"/>
      <c r="S94" s="131"/>
      <c r="T94" s="131"/>
      <c r="U94" s="132"/>
    </row>
    <row r="95" spans="1:21" ht="97.5" customHeight="1" x14ac:dyDescent="0.15">
      <c r="B95" s="99" t="s">
        <v>48</v>
      </c>
      <c r="C95" s="23" t="s">
        <v>30</v>
      </c>
      <c r="D95" s="133" t="s">
        <v>175</v>
      </c>
      <c r="E95" s="145"/>
      <c r="F95" s="145"/>
      <c r="G95" s="145"/>
      <c r="H95" s="145"/>
      <c r="I95" s="145"/>
      <c r="J95" s="145"/>
      <c r="K95" s="145"/>
      <c r="L95" s="145"/>
      <c r="M95" s="145"/>
      <c r="N95" s="145"/>
      <c r="O95" s="145"/>
      <c r="P95" s="145"/>
      <c r="Q95" s="145"/>
      <c r="R95" s="145"/>
      <c r="S95" s="145"/>
      <c r="T95" s="145"/>
      <c r="U95" s="146"/>
    </row>
    <row r="96" spans="1:21" ht="97.5" customHeight="1" x14ac:dyDescent="0.15">
      <c r="B96" s="100"/>
      <c r="C96" s="25" t="s">
        <v>31</v>
      </c>
      <c r="D96" s="149" t="s">
        <v>176</v>
      </c>
      <c r="E96" s="131"/>
      <c r="F96" s="131"/>
      <c r="G96" s="131"/>
      <c r="H96" s="131"/>
      <c r="I96" s="131"/>
      <c r="J96" s="131"/>
      <c r="K96" s="131"/>
      <c r="L96" s="131"/>
      <c r="M96" s="131"/>
      <c r="N96" s="131"/>
      <c r="O96" s="131"/>
      <c r="P96" s="131"/>
      <c r="Q96" s="131"/>
      <c r="R96" s="131"/>
      <c r="S96" s="131"/>
      <c r="T96" s="131"/>
      <c r="U96" s="132"/>
    </row>
    <row r="97" spans="1:33" ht="97.5" customHeight="1" x14ac:dyDescent="0.15">
      <c r="B97" s="99" t="s">
        <v>49</v>
      </c>
      <c r="C97" s="21" t="s">
        <v>33</v>
      </c>
      <c r="D97" s="133" t="s">
        <v>170</v>
      </c>
      <c r="E97" s="134"/>
      <c r="F97" s="134"/>
      <c r="G97" s="134"/>
      <c r="H97" s="134"/>
      <c r="I97" s="134"/>
      <c r="J97" s="134"/>
      <c r="K97" s="134"/>
      <c r="L97" s="134"/>
      <c r="M97" s="134"/>
      <c r="N97" s="134"/>
      <c r="O97" s="134"/>
      <c r="P97" s="134"/>
      <c r="Q97" s="134"/>
      <c r="R97" s="134"/>
      <c r="S97" s="134"/>
      <c r="T97" s="134"/>
      <c r="U97" s="135"/>
    </row>
    <row r="98" spans="1:33" ht="97.5" customHeight="1" x14ac:dyDescent="0.15">
      <c r="B98" s="100"/>
      <c r="C98" s="24" t="s">
        <v>34</v>
      </c>
      <c r="D98" s="130" t="s">
        <v>171</v>
      </c>
      <c r="E98" s="131"/>
      <c r="F98" s="131"/>
      <c r="G98" s="131"/>
      <c r="H98" s="131"/>
      <c r="I98" s="131"/>
      <c r="J98" s="131"/>
      <c r="K98" s="131"/>
      <c r="L98" s="131"/>
      <c r="M98" s="131"/>
      <c r="N98" s="131"/>
      <c r="O98" s="131"/>
      <c r="P98" s="131"/>
      <c r="Q98" s="131"/>
      <c r="R98" s="131"/>
      <c r="S98" s="131"/>
      <c r="T98" s="131"/>
      <c r="U98" s="132"/>
    </row>
    <row r="99" spans="1:33" ht="228.75" customHeight="1" x14ac:dyDescent="0.15">
      <c r="B99" s="99" t="s">
        <v>50</v>
      </c>
      <c r="C99" s="23" t="s">
        <v>51</v>
      </c>
      <c r="D99" s="133" t="s">
        <v>172</v>
      </c>
      <c r="E99" s="134"/>
      <c r="F99" s="134"/>
      <c r="G99" s="134"/>
      <c r="H99" s="134"/>
      <c r="I99" s="134"/>
      <c r="J99" s="134"/>
      <c r="K99" s="134"/>
      <c r="L99" s="134"/>
      <c r="M99" s="134"/>
      <c r="N99" s="134"/>
      <c r="O99" s="134"/>
      <c r="P99" s="134"/>
      <c r="Q99" s="134"/>
      <c r="R99" s="134"/>
      <c r="S99" s="134"/>
      <c r="T99" s="134"/>
      <c r="U99" s="135"/>
    </row>
    <row r="100" spans="1:33" ht="97.5" customHeight="1" x14ac:dyDescent="0.15">
      <c r="B100" s="106"/>
      <c r="C100" s="26" t="s">
        <v>37</v>
      </c>
      <c r="D100" s="136" t="s">
        <v>173</v>
      </c>
      <c r="E100" s="137"/>
      <c r="F100" s="137"/>
      <c r="G100" s="137"/>
      <c r="H100" s="137"/>
      <c r="I100" s="137"/>
      <c r="J100" s="137"/>
      <c r="K100" s="137"/>
      <c r="L100" s="137"/>
      <c r="M100" s="137"/>
      <c r="N100" s="137"/>
      <c r="O100" s="137"/>
      <c r="P100" s="137"/>
      <c r="Q100" s="137"/>
      <c r="R100" s="137"/>
      <c r="S100" s="137"/>
      <c r="T100" s="137"/>
      <c r="U100" s="138"/>
    </row>
    <row r="101" spans="1:33" ht="97.5" customHeight="1" x14ac:dyDescent="0.15">
      <c r="B101" s="100"/>
      <c r="C101" s="25" t="s">
        <v>38</v>
      </c>
      <c r="D101" s="130" t="s">
        <v>174</v>
      </c>
      <c r="E101" s="131"/>
      <c r="F101" s="131"/>
      <c r="G101" s="131"/>
      <c r="H101" s="131"/>
      <c r="I101" s="131"/>
      <c r="J101" s="131"/>
      <c r="K101" s="131"/>
      <c r="L101" s="131"/>
      <c r="M101" s="131"/>
      <c r="N101" s="131"/>
      <c r="O101" s="131"/>
      <c r="P101" s="131"/>
      <c r="Q101" s="131"/>
      <c r="R101" s="131"/>
      <c r="S101" s="131"/>
      <c r="T101" s="131"/>
      <c r="U101" s="132"/>
    </row>
    <row r="102" spans="1:33" ht="6" customHeight="1" x14ac:dyDescent="0.15"/>
    <row r="103" spans="1:33" ht="18.75" customHeight="1" x14ac:dyDescent="0.15">
      <c r="A103" s="1" t="s">
        <v>52</v>
      </c>
    </row>
    <row r="104" spans="1:33" ht="81.75" customHeight="1" x14ac:dyDescent="0.15">
      <c r="B104" s="117" t="s">
        <v>53</v>
      </c>
      <c r="C104" s="118"/>
      <c r="D104" s="118"/>
      <c r="E104" s="118"/>
      <c r="F104" s="118"/>
      <c r="G104" s="118"/>
      <c r="H104" s="118"/>
      <c r="I104" s="118"/>
      <c r="J104" s="118"/>
      <c r="K104" s="118"/>
      <c r="L104" s="118"/>
      <c r="M104" s="118"/>
      <c r="N104" s="118"/>
      <c r="O104" s="118"/>
      <c r="P104" s="118"/>
      <c r="Q104" s="118"/>
      <c r="R104" s="118"/>
      <c r="S104" s="118"/>
      <c r="T104" s="118"/>
      <c r="U104" s="119"/>
    </row>
    <row r="106" spans="1:33" ht="18.75" customHeight="1" x14ac:dyDescent="0.15">
      <c r="A106" s="2" t="s">
        <v>54</v>
      </c>
    </row>
    <row r="107" spans="1:33" ht="18.75" customHeight="1" x14ac:dyDescent="0.15">
      <c r="A107" s="2" t="s">
        <v>55</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8.75" customHeight="1" x14ac:dyDescent="0.15">
      <c r="A108" s="2"/>
      <c r="B108" s="129" t="s">
        <v>56</v>
      </c>
      <c r="C108" s="129"/>
      <c r="D108" s="129"/>
      <c r="E108" s="129"/>
      <c r="F108" s="129"/>
      <c r="G108" s="129"/>
      <c r="H108" s="129"/>
      <c r="I108" s="129"/>
      <c r="J108" s="129"/>
      <c r="K108" s="129"/>
      <c r="L108" s="129"/>
      <c r="M108" s="129"/>
      <c r="N108" s="129"/>
      <c r="O108" s="129"/>
      <c r="P108" s="129"/>
      <c r="Q108" s="129"/>
      <c r="R108" s="129"/>
      <c r="S108" s="129"/>
      <c r="T108" s="129"/>
      <c r="U108" s="129"/>
      <c r="V108" s="27"/>
      <c r="W108" s="27"/>
      <c r="X108" s="27"/>
      <c r="Y108" s="27"/>
      <c r="Z108" s="27"/>
      <c r="AA108" s="27"/>
      <c r="AB108" s="27"/>
      <c r="AC108" s="27"/>
      <c r="AD108" s="27"/>
      <c r="AE108" s="27"/>
      <c r="AF108" s="27"/>
      <c r="AG108" s="27"/>
    </row>
    <row r="109" spans="1:33" ht="37.35" customHeight="1" x14ac:dyDescent="0.15">
      <c r="A109" s="2"/>
      <c r="B109" s="129"/>
      <c r="C109" s="129"/>
      <c r="D109" s="129"/>
      <c r="E109" s="129"/>
      <c r="F109" s="129"/>
      <c r="G109" s="129"/>
      <c r="H109" s="129"/>
      <c r="I109" s="129"/>
      <c r="J109" s="129"/>
      <c r="K109" s="129"/>
      <c r="L109" s="129"/>
      <c r="M109" s="129"/>
      <c r="N109" s="129"/>
      <c r="O109" s="129"/>
      <c r="P109" s="129"/>
      <c r="Q109" s="129"/>
      <c r="R109" s="129"/>
      <c r="S109" s="129"/>
      <c r="T109" s="129"/>
      <c r="U109" s="129"/>
      <c r="V109" s="27"/>
      <c r="W109" s="27"/>
      <c r="X109" s="27"/>
      <c r="Y109" s="27"/>
      <c r="Z109" s="27"/>
      <c r="AA109" s="27"/>
      <c r="AB109" s="27"/>
      <c r="AC109" s="27"/>
      <c r="AD109" s="27"/>
      <c r="AE109" s="27"/>
      <c r="AF109" s="27"/>
      <c r="AG109" s="27"/>
    </row>
    <row r="110" spans="1:33" ht="18.75" customHeight="1" x14ac:dyDescent="0.15">
      <c r="A110" s="2"/>
      <c r="B110" s="77" t="s">
        <v>57</v>
      </c>
      <c r="C110" s="77"/>
      <c r="D110" s="77"/>
      <c r="E110" s="77"/>
      <c r="F110" s="77"/>
      <c r="G110" s="77"/>
      <c r="H110" s="77"/>
      <c r="I110" s="77"/>
      <c r="J110" s="77"/>
      <c r="K110" s="77"/>
      <c r="L110" s="77"/>
      <c r="M110" s="77"/>
      <c r="N110" s="77"/>
      <c r="O110" s="77"/>
      <c r="P110" s="77"/>
      <c r="Q110" s="77"/>
      <c r="R110" s="77"/>
      <c r="S110" s="77"/>
      <c r="T110" s="77"/>
      <c r="U110" s="77"/>
      <c r="V110" s="27"/>
      <c r="W110" s="27"/>
      <c r="X110" s="27"/>
      <c r="Y110" s="27"/>
      <c r="Z110" s="27"/>
      <c r="AA110" s="27"/>
      <c r="AB110" s="27"/>
      <c r="AC110" s="27"/>
      <c r="AD110" s="27"/>
      <c r="AE110" s="27"/>
      <c r="AF110" s="27"/>
      <c r="AG110" s="27"/>
    </row>
    <row r="111" spans="1:33" ht="18.75" customHeight="1" x14ac:dyDescent="0.15">
      <c r="A111" s="2"/>
      <c r="B111" s="90" t="s">
        <v>44</v>
      </c>
      <c r="C111" s="90"/>
      <c r="D111" s="90"/>
      <c r="E111" s="90"/>
      <c r="F111" s="90"/>
      <c r="G111" s="90"/>
      <c r="H111" s="90"/>
      <c r="I111" s="90"/>
      <c r="J111" s="90"/>
      <c r="K111" s="90"/>
      <c r="L111" s="90"/>
      <c r="M111" s="90"/>
      <c r="N111" s="90"/>
      <c r="O111" s="90"/>
      <c r="P111" s="90"/>
      <c r="Q111" s="90"/>
      <c r="R111" s="90"/>
      <c r="S111" s="90"/>
      <c r="T111" s="90"/>
      <c r="U111" s="90"/>
      <c r="V111" s="2"/>
      <c r="W111" s="2"/>
      <c r="X111" s="2"/>
      <c r="Y111" s="2"/>
      <c r="Z111" s="2"/>
      <c r="AA111" s="2"/>
      <c r="AB111" s="2"/>
      <c r="AC111" s="2"/>
      <c r="AD111" s="2"/>
      <c r="AE111" s="2"/>
      <c r="AF111" s="2"/>
      <c r="AG111" s="2"/>
    </row>
    <row r="112" spans="1:33" ht="132" customHeight="1" x14ac:dyDescent="0.15">
      <c r="A112" s="2"/>
      <c r="B112" s="91" t="s">
        <v>58</v>
      </c>
      <c r="C112" s="91"/>
      <c r="D112" s="91"/>
      <c r="E112" s="91"/>
      <c r="F112" s="91"/>
      <c r="G112" s="91"/>
      <c r="H112" s="91"/>
      <c r="I112" s="91"/>
      <c r="J112" s="91"/>
      <c r="K112" s="91"/>
      <c r="L112" s="91"/>
      <c r="M112" s="91"/>
      <c r="N112" s="91"/>
      <c r="O112" s="91"/>
      <c r="P112" s="91"/>
      <c r="Q112" s="91"/>
      <c r="R112" s="91"/>
      <c r="S112" s="91"/>
      <c r="T112" s="91"/>
      <c r="U112" s="91"/>
      <c r="V112" s="28"/>
      <c r="W112" s="28"/>
      <c r="X112" s="28"/>
      <c r="Y112" s="28"/>
      <c r="Z112" s="28"/>
      <c r="AA112" s="28"/>
      <c r="AB112" s="28"/>
      <c r="AC112" s="28"/>
      <c r="AD112" s="28"/>
      <c r="AE112" s="28"/>
      <c r="AF112" s="28"/>
      <c r="AG112" s="28"/>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4:Q54"/>
    <mergeCell ref="K55:Q55"/>
    <mergeCell ref="A57:U58"/>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K77:P77"/>
    <mergeCell ref="K81:Q81"/>
    <mergeCell ref="R81:U81"/>
    <mergeCell ref="R80:U80"/>
    <mergeCell ref="B81:F81"/>
    <mergeCell ref="K61:Q61"/>
    <mergeCell ref="B80:F80"/>
    <mergeCell ref="G81:J81"/>
    <mergeCell ref="B93:B94"/>
    <mergeCell ref="R84:U84"/>
    <mergeCell ref="G80:J80"/>
    <mergeCell ref="K80:Q80"/>
    <mergeCell ref="B72:E72"/>
    <mergeCell ref="B71:E7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A68:U6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topLeftCell="A4" zoomScaleNormal="100" zoomScaleSheetLayoutView="100" workbookViewId="0">
      <selection activeCell="H21" sqref="H21"/>
    </sheetView>
  </sheetViews>
  <sheetFormatPr defaultColWidth="9" defaultRowHeight="18.75" customHeight="1" x14ac:dyDescent="0.15"/>
  <cols>
    <col min="1" max="1" width="2.625" style="1" customWidth="1"/>
    <col min="2" max="2" width="20.625" style="1" customWidth="1"/>
    <col min="3" max="18" width="6.125" style="1" customWidth="1"/>
    <col min="19" max="19" width="6.625" style="1" customWidth="1"/>
    <col min="20" max="16384" width="9" style="1"/>
  </cols>
  <sheetData>
    <row r="1" spans="1:21" ht="18" customHeight="1" x14ac:dyDescent="0.15">
      <c r="S1" s="1" t="s">
        <v>59</v>
      </c>
    </row>
    <row r="2" spans="1:21" ht="18" customHeight="1" x14ac:dyDescent="0.15">
      <c r="Q2" s="158" t="str">
        <f>'様式１　プログラムを構成する授業科目'!C2</f>
        <v>相模女子大学</v>
      </c>
      <c r="R2" s="158"/>
      <c r="S2" s="158"/>
    </row>
    <row r="3" spans="1:21" ht="18" customHeight="1" x14ac:dyDescent="0.15">
      <c r="A3" s="107" t="s">
        <v>60</v>
      </c>
      <c r="B3" s="107"/>
      <c r="C3" s="107"/>
      <c r="D3" s="107"/>
      <c r="E3" s="107"/>
      <c r="F3" s="107"/>
      <c r="G3" s="107"/>
      <c r="H3" s="107"/>
      <c r="I3" s="107"/>
      <c r="J3" s="107"/>
      <c r="K3" s="107"/>
      <c r="L3" s="107"/>
      <c r="M3" s="107"/>
      <c r="N3" s="107"/>
      <c r="O3" s="107"/>
      <c r="P3" s="107"/>
      <c r="Q3" s="107"/>
      <c r="R3" s="107"/>
      <c r="S3" s="107"/>
    </row>
    <row r="4" spans="1:21" ht="7.5" customHeight="1" x14ac:dyDescent="0.15">
      <c r="A4" s="75"/>
      <c r="B4" s="75"/>
      <c r="C4" s="75"/>
      <c r="D4" s="75"/>
      <c r="E4" s="75"/>
      <c r="F4" s="75"/>
      <c r="G4" s="75"/>
      <c r="H4" s="75"/>
      <c r="I4" s="75"/>
      <c r="J4" s="75"/>
      <c r="K4" s="75"/>
      <c r="L4" s="75"/>
      <c r="M4" s="75"/>
      <c r="N4" s="75"/>
      <c r="O4" s="75"/>
      <c r="P4" s="75"/>
      <c r="Q4" s="75"/>
      <c r="R4" s="75"/>
      <c r="S4" s="75"/>
    </row>
    <row r="5" spans="1:21" ht="18" customHeight="1" x14ac:dyDescent="0.15">
      <c r="A5" s="1" t="s">
        <v>61</v>
      </c>
      <c r="C5" s="126" t="s">
        <v>182</v>
      </c>
      <c r="D5" s="128"/>
      <c r="E5" s="75" t="s">
        <v>62</v>
      </c>
      <c r="F5" s="75"/>
      <c r="G5" s="75"/>
      <c r="H5" s="75"/>
      <c r="I5" s="75"/>
      <c r="J5" s="75"/>
      <c r="K5" s="75"/>
      <c r="L5" s="75"/>
      <c r="M5" s="75"/>
      <c r="N5" s="75"/>
      <c r="O5" s="75"/>
      <c r="P5" s="75"/>
      <c r="Q5" s="75"/>
      <c r="R5" s="5"/>
      <c r="S5" s="5"/>
    </row>
    <row r="6" spans="1:21" ht="7.35" customHeight="1" x14ac:dyDescent="0.15">
      <c r="C6" s="76"/>
      <c r="D6" s="76"/>
      <c r="E6" s="75"/>
      <c r="F6" s="75"/>
      <c r="G6" s="75"/>
      <c r="H6" s="75"/>
      <c r="I6" s="75"/>
      <c r="J6" s="75"/>
      <c r="K6" s="75"/>
      <c r="L6" s="75"/>
      <c r="M6" s="75"/>
      <c r="N6" s="75"/>
      <c r="O6" s="75"/>
      <c r="P6" s="75"/>
      <c r="Q6" s="75"/>
      <c r="R6" s="5"/>
      <c r="S6" s="5"/>
    </row>
    <row r="7" spans="1:21" ht="18" customHeight="1" x14ac:dyDescent="0.15">
      <c r="A7" s="1" t="s">
        <v>63</v>
      </c>
      <c r="C7" s="76"/>
      <c r="D7" s="76"/>
      <c r="E7" s="75" t="s">
        <v>64</v>
      </c>
      <c r="F7" s="10">
        <v>0</v>
      </c>
      <c r="G7" s="8" t="s">
        <v>65</v>
      </c>
      <c r="H7" s="75" t="s">
        <v>66</v>
      </c>
      <c r="I7" s="10">
        <v>3481</v>
      </c>
      <c r="J7" s="8" t="s">
        <v>65</v>
      </c>
      <c r="K7" s="74" t="s">
        <v>67</v>
      </c>
      <c r="L7" s="75" t="s">
        <v>68</v>
      </c>
      <c r="M7" s="10">
        <f>F7+I7</f>
        <v>3481</v>
      </c>
      <c r="N7" s="75" t="s">
        <v>69</v>
      </c>
      <c r="O7" s="8" t="s">
        <v>70</v>
      </c>
      <c r="P7" s="75"/>
      <c r="Q7" s="75"/>
      <c r="R7" s="5"/>
      <c r="S7" s="5"/>
    </row>
    <row r="8" spans="1:21" ht="6" customHeight="1" x14ac:dyDescent="0.15">
      <c r="A8" s="75"/>
      <c r="B8" s="75"/>
      <c r="C8" s="75"/>
      <c r="D8" s="75"/>
      <c r="E8" s="75"/>
      <c r="F8" s="75"/>
      <c r="G8" s="75"/>
      <c r="H8" s="75"/>
      <c r="I8" s="75"/>
      <c r="J8" s="75"/>
      <c r="K8" s="75"/>
      <c r="L8" s="75"/>
      <c r="M8" s="75"/>
      <c r="N8" s="75"/>
      <c r="O8" s="75"/>
      <c r="P8" s="75"/>
      <c r="Q8" s="75"/>
      <c r="R8" s="75"/>
      <c r="S8" s="75"/>
    </row>
    <row r="9" spans="1:21" ht="18" customHeight="1" x14ac:dyDescent="0.15">
      <c r="A9" s="1" t="s">
        <v>71</v>
      </c>
      <c r="B9" s="75"/>
      <c r="C9" s="75"/>
      <c r="D9" s="75"/>
      <c r="E9" s="75"/>
      <c r="F9" s="75"/>
      <c r="G9" s="75"/>
      <c r="H9" s="75"/>
      <c r="I9" s="75"/>
      <c r="J9" s="75"/>
      <c r="K9" s="75"/>
      <c r="L9" s="75"/>
      <c r="M9" s="75"/>
      <c r="N9" s="75"/>
      <c r="O9" s="75"/>
      <c r="P9" s="75"/>
      <c r="Q9" s="75"/>
      <c r="R9" s="75"/>
      <c r="S9" s="75"/>
    </row>
    <row r="10" spans="1:21" ht="6" customHeight="1" x14ac:dyDescent="0.15">
      <c r="B10" s="75"/>
      <c r="C10" s="75"/>
      <c r="D10" s="75"/>
      <c r="E10" s="75"/>
      <c r="F10" s="75"/>
      <c r="G10" s="75"/>
      <c r="H10" s="75"/>
      <c r="I10" s="75"/>
      <c r="J10" s="75"/>
      <c r="K10" s="75"/>
      <c r="L10" s="75"/>
      <c r="M10" s="75"/>
      <c r="N10" s="75"/>
      <c r="O10" s="75"/>
      <c r="P10" s="75"/>
      <c r="Q10" s="75"/>
      <c r="R10" s="75"/>
      <c r="S10" s="75"/>
    </row>
    <row r="11" spans="1:21" ht="18" customHeight="1" x14ac:dyDescent="0.15">
      <c r="B11" s="159" t="s">
        <v>72</v>
      </c>
      <c r="C11" s="169" t="s">
        <v>73</v>
      </c>
      <c r="D11" s="161" t="s">
        <v>74</v>
      </c>
      <c r="E11" s="163" t="s">
        <v>75</v>
      </c>
      <c r="F11" s="157" t="s">
        <v>76</v>
      </c>
      <c r="G11" s="157"/>
      <c r="H11" s="157" t="s">
        <v>77</v>
      </c>
      <c r="I11" s="157"/>
      <c r="J11" s="157" t="s">
        <v>78</v>
      </c>
      <c r="K11" s="157"/>
      <c r="L11" s="157" t="s">
        <v>79</v>
      </c>
      <c r="M11" s="157"/>
      <c r="N11" s="157" t="s">
        <v>80</v>
      </c>
      <c r="O11" s="157"/>
      <c r="P11" s="157" t="s">
        <v>81</v>
      </c>
      <c r="Q11" s="157"/>
      <c r="R11" s="165" t="s">
        <v>82</v>
      </c>
      <c r="S11" s="167" t="s">
        <v>83</v>
      </c>
      <c r="U11" s="2"/>
    </row>
    <row r="12" spans="1:21" ht="17.100000000000001" customHeight="1" x14ac:dyDescent="0.15">
      <c r="B12" s="160"/>
      <c r="C12" s="170"/>
      <c r="D12" s="162"/>
      <c r="E12" s="164"/>
      <c r="F12" s="29" t="s">
        <v>84</v>
      </c>
      <c r="G12" s="29" t="s">
        <v>85</v>
      </c>
      <c r="H12" s="29" t="s">
        <v>84</v>
      </c>
      <c r="I12" s="29" t="s">
        <v>85</v>
      </c>
      <c r="J12" s="29" t="s">
        <v>84</v>
      </c>
      <c r="K12" s="29" t="s">
        <v>85</v>
      </c>
      <c r="L12" s="29" t="s">
        <v>84</v>
      </c>
      <c r="M12" s="29" t="s">
        <v>85</v>
      </c>
      <c r="N12" s="29" t="s">
        <v>84</v>
      </c>
      <c r="O12" s="29" t="s">
        <v>85</v>
      </c>
      <c r="P12" s="29" t="s">
        <v>84</v>
      </c>
      <c r="Q12" s="30" t="s">
        <v>85</v>
      </c>
      <c r="R12" s="166"/>
      <c r="S12" s="168"/>
      <c r="U12" s="2"/>
    </row>
    <row r="13" spans="1:21" ht="18" customHeight="1" x14ac:dyDescent="0.15">
      <c r="A13" s="5"/>
      <c r="B13" s="31" t="s">
        <v>86</v>
      </c>
      <c r="C13" s="32">
        <v>1870</v>
      </c>
      <c r="D13" s="33">
        <v>475</v>
      </c>
      <c r="E13" s="34">
        <v>1956</v>
      </c>
      <c r="F13" s="34">
        <v>11</v>
      </c>
      <c r="G13" s="34">
        <v>10</v>
      </c>
      <c r="H13" s="34"/>
      <c r="I13" s="34"/>
      <c r="J13" s="34"/>
      <c r="K13" s="34"/>
      <c r="L13" s="34"/>
      <c r="M13" s="34"/>
      <c r="N13" s="34"/>
      <c r="O13" s="34"/>
      <c r="P13" s="34"/>
      <c r="Q13" s="35"/>
      <c r="R13" s="33">
        <f t="shared" ref="R13:R32" si="0">F13+H13+J13+L13+N13+P13</f>
        <v>11</v>
      </c>
      <c r="S13" s="36">
        <f t="shared" ref="S13:S33" si="1">R13/E13</f>
        <v>5.6237218813905933E-3</v>
      </c>
    </row>
    <row r="14" spans="1:21" ht="18" customHeight="1" x14ac:dyDescent="0.15">
      <c r="A14" s="5"/>
      <c r="B14" s="37" t="s">
        <v>87</v>
      </c>
      <c r="C14" s="38">
        <v>895</v>
      </c>
      <c r="D14" s="39">
        <v>230</v>
      </c>
      <c r="E14" s="40">
        <v>964</v>
      </c>
      <c r="F14" s="41">
        <v>10</v>
      </c>
      <c r="G14" s="41">
        <v>8</v>
      </c>
      <c r="H14" s="41"/>
      <c r="I14" s="41"/>
      <c r="J14" s="41"/>
      <c r="K14" s="41"/>
      <c r="L14" s="41"/>
      <c r="M14" s="41"/>
      <c r="N14" s="41"/>
      <c r="O14" s="41"/>
      <c r="P14" s="41"/>
      <c r="Q14" s="38"/>
      <c r="R14" s="39">
        <f t="shared" si="0"/>
        <v>10</v>
      </c>
      <c r="S14" s="42">
        <f t="shared" si="1"/>
        <v>1.0373443983402489E-2</v>
      </c>
    </row>
    <row r="15" spans="1:21" ht="18" customHeight="1" x14ac:dyDescent="0.15">
      <c r="A15" s="5"/>
      <c r="B15" s="37" t="s">
        <v>183</v>
      </c>
      <c r="C15" s="38">
        <v>716</v>
      </c>
      <c r="D15" s="39">
        <v>180</v>
      </c>
      <c r="E15" s="40">
        <v>756</v>
      </c>
      <c r="F15" s="41">
        <v>10</v>
      </c>
      <c r="G15" s="41">
        <v>9</v>
      </c>
      <c r="H15" s="41"/>
      <c r="I15" s="41"/>
      <c r="J15" s="41"/>
      <c r="K15" s="41"/>
      <c r="L15" s="41"/>
      <c r="M15" s="41"/>
      <c r="N15" s="41"/>
      <c r="O15" s="41"/>
      <c r="P15" s="41"/>
      <c r="Q15" s="38"/>
      <c r="R15" s="39">
        <f t="shared" si="0"/>
        <v>10</v>
      </c>
      <c r="S15" s="42">
        <f t="shared" si="1"/>
        <v>1.3227513227513227E-2</v>
      </c>
    </row>
    <row r="16" spans="1:21" ht="18" customHeight="1" x14ac:dyDescent="0.15">
      <c r="A16" s="5"/>
      <c r="B16" s="37"/>
      <c r="C16" s="38"/>
      <c r="D16" s="39"/>
      <c r="E16" s="40"/>
      <c r="F16" s="41"/>
      <c r="G16" s="41"/>
      <c r="H16" s="41"/>
      <c r="I16" s="41"/>
      <c r="J16" s="41"/>
      <c r="K16" s="41"/>
      <c r="L16" s="41"/>
      <c r="M16" s="41"/>
      <c r="N16" s="41"/>
      <c r="O16" s="41"/>
      <c r="P16" s="41"/>
      <c r="Q16" s="38"/>
      <c r="R16" s="39">
        <f t="shared" si="0"/>
        <v>0</v>
      </c>
      <c r="S16" s="42" t="e">
        <f t="shared" si="1"/>
        <v>#DIV/0!</v>
      </c>
    </row>
    <row r="17" spans="1:19" ht="18" customHeight="1" x14ac:dyDescent="0.15">
      <c r="A17" s="5"/>
      <c r="B17" s="37"/>
      <c r="C17" s="38"/>
      <c r="D17" s="39"/>
      <c r="E17" s="40"/>
      <c r="F17" s="41"/>
      <c r="G17" s="41"/>
      <c r="H17" s="41"/>
      <c r="I17" s="41"/>
      <c r="J17" s="41"/>
      <c r="K17" s="41"/>
      <c r="L17" s="41"/>
      <c r="M17" s="41"/>
      <c r="N17" s="41"/>
      <c r="O17" s="41"/>
      <c r="P17" s="41"/>
      <c r="Q17" s="38"/>
      <c r="R17" s="39">
        <f t="shared" si="0"/>
        <v>0</v>
      </c>
      <c r="S17" s="42" t="e">
        <f t="shared" si="1"/>
        <v>#DIV/0!</v>
      </c>
    </row>
    <row r="18" spans="1:19" ht="18" customHeight="1" x14ac:dyDescent="0.15">
      <c r="A18" s="5"/>
      <c r="B18" s="37"/>
      <c r="C18" s="38"/>
      <c r="D18" s="39"/>
      <c r="E18" s="40"/>
      <c r="F18" s="41"/>
      <c r="G18" s="41"/>
      <c r="H18" s="41"/>
      <c r="I18" s="41"/>
      <c r="J18" s="41"/>
      <c r="K18" s="41"/>
      <c r="L18" s="41"/>
      <c r="M18" s="41"/>
      <c r="N18" s="41"/>
      <c r="O18" s="41"/>
      <c r="P18" s="41"/>
      <c r="Q18" s="38"/>
      <c r="R18" s="39">
        <f t="shared" si="0"/>
        <v>0</v>
      </c>
      <c r="S18" s="42" t="e">
        <f t="shared" si="1"/>
        <v>#DIV/0!</v>
      </c>
    </row>
    <row r="19" spans="1:19" ht="18" customHeight="1" x14ac:dyDescent="0.15">
      <c r="A19" s="5"/>
      <c r="B19" s="37"/>
      <c r="C19" s="38"/>
      <c r="D19" s="39"/>
      <c r="E19" s="40"/>
      <c r="F19" s="41"/>
      <c r="G19" s="41"/>
      <c r="H19" s="41"/>
      <c r="I19" s="41"/>
      <c r="J19" s="41"/>
      <c r="K19" s="41"/>
      <c r="L19" s="41"/>
      <c r="M19" s="41"/>
      <c r="N19" s="41"/>
      <c r="O19" s="41"/>
      <c r="P19" s="41"/>
      <c r="Q19" s="38"/>
      <c r="R19" s="39">
        <f t="shared" si="0"/>
        <v>0</v>
      </c>
      <c r="S19" s="42" t="e">
        <f t="shared" si="1"/>
        <v>#DIV/0!</v>
      </c>
    </row>
    <row r="20" spans="1:19" ht="18" customHeight="1" x14ac:dyDescent="0.15">
      <c r="A20" s="5"/>
      <c r="B20" s="37"/>
      <c r="C20" s="38"/>
      <c r="D20" s="39"/>
      <c r="E20" s="40"/>
      <c r="F20" s="41"/>
      <c r="G20" s="41"/>
      <c r="H20" s="41"/>
      <c r="I20" s="41"/>
      <c r="J20" s="41"/>
      <c r="K20" s="41"/>
      <c r="L20" s="41"/>
      <c r="M20" s="41"/>
      <c r="N20" s="41"/>
      <c r="O20" s="41"/>
      <c r="P20" s="41"/>
      <c r="Q20" s="38"/>
      <c r="R20" s="39">
        <f t="shared" si="0"/>
        <v>0</v>
      </c>
      <c r="S20" s="42" t="e">
        <f t="shared" si="1"/>
        <v>#DIV/0!</v>
      </c>
    </row>
    <row r="21" spans="1:19" ht="18" customHeight="1" x14ac:dyDescent="0.15">
      <c r="A21" s="5"/>
      <c r="B21" s="37"/>
      <c r="C21" s="38"/>
      <c r="D21" s="39"/>
      <c r="E21" s="40"/>
      <c r="F21" s="41"/>
      <c r="G21" s="41"/>
      <c r="H21" s="41"/>
      <c r="I21" s="41"/>
      <c r="J21" s="41"/>
      <c r="K21" s="41"/>
      <c r="L21" s="41"/>
      <c r="M21" s="41"/>
      <c r="N21" s="41"/>
      <c r="O21" s="41"/>
      <c r="P21" s="41"/>
      <c r="Q21" s="38"/>
      <c r="R21" s="39">
        <f t="shared" si="0"/>
        <v>0</v>
      </c>
      <c r="S21" s="42" t="e">
        <f t="shared" si="1"/>
        <v>#DIV/0!</v>
      </c>
    </row>
    <row r="22" spans="1:19" ht="18" customHeight="1" x14ac:dyDescent="0.15">
      <c r="A22" s="5"/>
      <c r="B22" s="37"/>
      <c r="C22" s="38"/>
      <c r="D22" s="39"/>
      <c r="E22" s="40"/>
      <c r="F22" s="41"/>
      <c r="G22" s="41"/>
      <c r="H22" s="41"/>
      <c r="I22" s="41"/>
      <c r="J22" s="41"/>
      <c r="K22" s="41"/>
      <c r="L22" s="41"/>
      <c r="M22" s="41"/>
      <c r="N22" s="41"/>
      <c r="O22" s="41"/>
      <c r="P22" s="41"/>
      <c r="Q22" s="38"/>
      <c r="R22" s="39">
        <f t="shared" si="0"/>
        <v>0</v>
      </c>
      <c r="S22" s="42" t="e">
        <f t="shared" si="1"/>
        <v>#DIV/0!</v>
      </c>
    </row>
    <row r="23" spans="1:19" ht="18" customHeight="1" x14ac:dyDescent="0.15">
      <c r="A23" s="5"/>
      <c r="B23" s="37"/>
      <c r="C23" s="38"/>
      <c r="D23" s="39"/>
      <c r="E23" s="40"/>
      <c r="F23" s="41"/>
      <c r="G23" s="41"/>
      <c r="H23" s="41"/>
      <c r="I23" s="41"/>
      <c r="J23" s="41"/>
      <c r="K23" s="41"/>
      <c r="L23" s="41"/>
      <c r="M23" s="41"/>
      <c r="N23" s="41"/>
      <c r="O23" s="41"/>
      <c r="P23" s="41"/>
      <c r="Q23" s="38"/>
      <c r="R23" s="39">
        <f t="shared" si="0"/>
        <v>0</v>
      </c>
      <c r="S23" s="42" t="e">
        <f t="shared" si="1"/>
        <v>#DIV/0!</v>
      </c>
    </row>
    <row r="24" spans="1:19" ht="18" customHeight="1" x14ac:dyDescent="0.15">
      <c r="A24" s="5"/>
      <c r="B24" s="37"/>
      <c r="C24" s="38"/>
      <c r="D24" s="39"/>
      <c r="E24" s="40"/>
      <c r="F24" s="41"/>
      <c r="G24" s="41"/>
      <c r="H24" s="41"/>
      <c r="I24" s="41"/>
      <c r="J24" s="41"/>
      <c r="K24" s="41"/>
      <c r="L24" s="41"/>
      <c r="M24" s="41"/>
      <c r="N24" s="41"/>
      <c r="O24" s="41"/>
      <c r="P24" s="41"/>
      <c r="Q24" s="38"/>
      <c r="R24" s="39">
        <f t="shared" si="0"/>
        <v>0</v>
      </c>
      <c r="S24" s="42" t="e">
        <f t="shared" si="1"/>
        <v>#DIV/0!</v>
      </c>
    </row>
    <row r="25" spans="1:19" ht="18" customHeight="1" x14ac:dyDescent="0.15">
      <c r="A25" s="5"/>
      <c r="B25" s="37"/>
      <c r="C25" s="38"/>
      <c r="D25" s="39"/>
      <c r="E25" s="40"/>
      <c r="F25" s="41"/>
      <c r="G25" s="41"/>
      <c r="H25" s="41"/>
      <c r="I25" s="41"/>
      <c r="J25" s="41"/>
      <c r="K25" s="41"/>
      <c r="L25" s="41"/>
      <c r="M25" s="41"/>
      <c r="N25" s="41"/>
      <c r="O25" s="41"/>
      <c r="P25" s="41"/>
      <c r="Q25" s="38"/>
      <c r="R25" s="39">
        <f t="shared" si="0"/>
        <v>0</v>
      </c>
      <c r="S25" s="42" t="e">
        <f t="shared" si="1"/>
        <v>#DIV/0!</v>
      </c>
    </row>
    <row r="26" spans="1:19" ht="18" customHeight="1" x14ac:dyDescent="0.15">
      <c r="A26" s="5"/>
      <c r="B26" s="37"/>
      <c r="C26" s="38"/>
      <c r="D26" s="39"/>
      <c r="E26" s="40"/>
      <c r="F26" s="41"/>
      <c r="G26" s="41"/>
      <c r="H26" s="41"/>
      <c r="I26" s="41"/>
      <c r="J26" s="41"/>
      <c r="K26" s="41"/>
      <c r="L26" s="41"/>
      <c r="M26" s="41"/>
      <c r="N26" s="41"/>
      <c r="O26" s="41"/>
      <c r="P26" s="41"/>
      <c r="Q26" s="38"/>
      <c r="R26" s="39">
        <f t="shared" si="0"/>
        <v>0</v>
      </c>
      <c r="S26" s="42" t="e">
        <f t="shared" si="1"/>
        <v>#DIV/0!</v>
      </c>
    </row>
    <row r="27" spans="1:19" ht="18" customHeight="1" x14ac:dyDescent="0.15">
      <c r="A27" s="5"/>
      <c r="B27" s="37"/>
      <c r="C27" s="38"/>
      <c r="D27" s="39"/>
      <c r="E27" s="40"/>
      <c r="F27" s="41"/>
      <c r="G27" s="41"/>
      <c r="H27" s="41"/>
      <c r="I27" s="41"/>
      <c r="J27" s="41"/>
      <c r="K27" s="41"/>
      <c r="L27" s="41"/>
      <c r="M27" s="41"/>
      <c r="N27" s="41"/>
      <c r="O27" s="41"/>
      <c r="P27" s="41"/>
      <c r="Q27" s="38"/>
      <c r="R27" s="39">
        <f t="shared" si="0"/>
        <v>0</v>
      </c>
      <c r="S27" s="42" t="e">
        <f t="shared" si="1"/>
        <v>#DIV/0!</v>
      </c>
    </row>
    <row r="28" spans="1:19" ht="18" customHeight="1" x14ac:dyDescent="0.15">
      <c r="A28" s="5"/>
      <c r="B28" s="37"/>
      <c r="C28" s="38"/>
      <c r="D28" s="39"/>
      <c r="E28" s="40"/>
      <c r="F28" s="41"/>
      <c r="G28" s="41"/>
      <c r="H28" s="41"/>
      <c r="I28" s="41"/>
      <c r="J28" s="41"/>
      <c r="K28" s="41"/>
      <c r="L28" s="41"/>
      <c r="M28" s="41"/>
      <c r="N28" s="41"/>
      <c r="O28" s="41"/>
      <c r="P28" s="41"/>
      <c r="Q28" s="38"/>
      <c r="R28" s="39">
        <f t="shared" si="0"/>
        <v>0</v>
      </c>
      <c r="S28" s="42" t="e">
        <f t="shared" si="1"/>
        <v>#DIV/0!</v>
      </c>
    </row>
    <row r="29" spans="1:19" ht="18" customHeight="1" x14ac:dyDescent="0.15">
      <c r="A29" s="5"/>
      <c r="B29" s="37"/>
      <c r="C29" s="38"/>
      <c r="D29" s="39"/>
      <c r="E29" s="40"/>
      <c r="F29" s="41"/>
      <c r="G29" s="41"/>
      <c r="H29" s="41"/>
      <c r="I29" s="41"/>
      <c r="J29" s="41"/>
      <c r="K29" s="41"/>
      <c r="L29" s="41"/>
      <c r="M29" s="41"/>
      <c r="N29" s="41"/>
      <c r="O29" s="41"/>
      <c r="P29" s="41"/>
      <c r="Q29" s="38"/>
      <c r="R29" s="39">
        <f t="shared" si="0"/>
        <v>0</v>
      </c>
      <c r="S29" s="42" t="e">
        <f t="shared" si="1"/>
        <v>#DIV/0!</v>
      </c>
    </row>
    <row r="30" spans="1:19" ht="18" customHeight="1" x14ac:dyDescent="0.15">
      <c r="A30" s="5"/>
      <c r="B30" s="37"/>
      <c r="C30" s="38"/>
      <c r="D30" s="43"/>
      <c r="E30" s="40"/>
      <c r="F30" s="41"/>
      <c r="G30" s="41"/>
      <c r="H30" s="41"/>
      <c r="I30" s="41"/>
      <c r="J30" s="41"/>
      <c r="K30" s="41"/>
      <c r="L30" s="41"/>
      <c r="M30" s="41"/>
      <c r="N30" s="41"/>
      <c r="O30" s="41"/>
      <c r="P30" s="41"/>
      <c r="Q30" s="38"/>
      <c r="R30" s="43">
        <f t="shared" si="0"/>
        <v>0</v>
      </c>
      <c r="S30" s="42" t="e">
        <f t="shared" si="1"/>
        <v>#DIV/0!</v>
      </c>
    </row>
    <row r="31" spans="1:19" ht="18" customHeight="1" x14ac:dyDescent="0.15">
      <c r="A31" s="5"/>
      <c r="B31" s="37"/>
      <c r="C31" s="38"/>
      <c r="D31" s="43"/>
      <c r="E31" s="40"/>
      <c r="F31" s="41"/>
      <c r="G31" s="41"/>
      <c r="H31" s="41"/>
      <c r="I31" s="41"/>
      <c r="J31" s="41"/>
      <c r="K31" s="41"/>
      <c r="L31" s="41"/>
      <c r="M31" s="41"/>
      <c r="N31" s="41"/>
      <c r="O31" s="41"/>
      <c r="P31" s="41"/>
      <c r="Q31" s="38"/>
      <c r="R31" s="43">
        <f t="shared" si="0"/>
        <v>0</v>
      </c>
      <c r="S31" s="42" t="e">
        <f t="shared" si="1"/>
        <v>#DIV/0!</v>
      </c>
    </row>
    <row r="32" spans="1:19" ht="18" customHeight="1" thickBot="1" x14ac:dyDescent="0.2">
      <c r="A32" s="5"/>
      <c r="B32" s="44"/>
      <c r="C32" s="32"/>
      <c r="D32" s="45"/>
      <c r="E32" s="34"/>
      <c r="F32" s="34"/>
      <c r="G32" s="34"/>
      <c r="H32" s="34"/>
      <c r="I32" s="34"/>
      <c r="J32" s="34"/>
      <c r="K32" s="34"/>
      <c r="L32" s="34"/>
      <c r="M32" s="34"/>
      <c r="N32" s="34"/>
      <c r="O32" s="34"/>
      <c r="P32" s="34"/>
      <c r="Q32" s="38"/>
      <c r="R32" s="45">
        <f t="shared" si="0"/>
        <v>0</v>
      </c>
      <c r="S32" s="46" t="e">
        <f t="shared" si="1"/>
        <v>#DIV/0!</v>
      </c>
    </row>
    <row r="33" spans="2:19" ht="18" customHeight="1" thickTop="1" x14ac:dyDescent="0.15">
      <c r="B33" s="47" t="s">
        <v>88</v>
      </c>
      <c r="C33" s="48">
        <f t="shared" ref="C33" si="2">SUM(C13:C32)</f>
        <v>3481</v>
      </c>
      <c r="D33" s="49">
        <f t="shared" ref="D33:R33" si="3">SUM(D13:D32)</f>
        <v>885</v>
      </c>
      <c r="E33" s="50">
        <f t="shared" si="3"/>
        <v>3676</v>
      </c>
      <c r="F33" s="50">
        <f t="shared" si="3"/>
        <v>31</v>
      </c>
      <c r="G33" s="50">
        <f t="shared" ref="G33:H33" si="4">SUM(G13:G32)</f>
        <v>27</v>
      </c>
      <c r="H33" s="50">
        <f t="shared" si="4"/>
        <v>0</v>
      </c>
      <c r="I33" s="50">
        <f t="shared" ref="I33:J33" si="5">SUM(I13:I32)</f>
        <v>0</v>
      </c>
      <c r="J33" s="50">
        <f t="shared" si="5"/>
        <v>0</v>
      </c>
      <c r="K33" s="50">
        <f t="shared" ref="K33:O33" si="6">SUM(K13:K32)</f>
        <v>0</v>
      </c>
      <c r="L33" s="50">
        <f t="shared" si="6"/>
        <v>0</v>
      </c>
      <c r="M33" s="50">
        <f t="shared" si="6"/>
        <v>0</v>
      </c>
      <c r="N33" s="50">
        <f t="shared" si="6"/>
        <v>0</v>
      </c>
      <c r="O33" s="50">
        <f t="shared" si="6"/>
        <v>0</v>
      </c>
      <c r="P33" s="50">
        <f t="shared" ref="P33:Q33" si="7">SUM(P13:P32)</f>
        <v>0</v>
      </c>
      <c r="Q33" s="48">
        <f t="shared" si="7"/>
        <v>0</v>
      </c>
      <c r="R33" s="49">
        <f t="shared" si="3"/>
        <v>31</v>
      </c>
      <c r="S33" s="51">
        <f t="shared" si="1"/>
        <v>8.433079434167573E-3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5" sqref="B15"/>
    </sheetView>
  </sheetViews>
  <sheetFormatPr defaultColWidth="11.375" defaultRowHeight="18.75" customHeight="1" x14ac:dyDescent="0.15"/>
  <cols>
    <col min="1" max="1" width="2.625" style="52"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52" t="s">
        <v>89</v>
      </c>
      <c r="I1" s="4" t="s">
        <v>90</v>
      </c>
    </row>
    <row r="2" spans="1:9" ht="18.75" customHeight="1" x14ac:dyDescent="0.15">
      <c r="G2" s="4" t="s">
        <v>2</v>
      </c>
      <c r="H2" s="81" t="str">
        <f>'様式１　プログラムを構成する授業科目'!C2</f>
        <v>相模女子大学</v>
      </c>
      <c r="I2" s="83"/>
    </row>
    <row r="3" spans="1:9" ht="18.75" customHeight="1" x14ac:dyDescent="0.15">
      <c r="G3" s="4"/>
      <c r="H3" s="8"/>
      <c r="I3" s="8"/>
    </row>
    <row r="4" spans="1:9" ht="18.600000000000001" customHeight="1" x14ac:dyDescent="0.15">
      <c r="A4" s="107" t="s">
        <v>91</v>
      </c>
      <c r="B4" s="107"/>
      <c r="C4" s="107"/>
      <c r="D4" s="107"/>
      <c r="E4" s="107"/>
      <c r="F4" s="107"/>
      <c r="G4" s="107"/>
      <c r="H4" s="107"/>
      <c r="I4" s="107"/>
    </row>
    <row r="5" spans="1:9" ht="13.35" customHeight="1" x14ac:dyDescent="0.15">
      <c r="B5" s="7"/>
      <c r="C5" s="7"/>
      <c r="D5" s="7"/>
      <c r="E5" s="7"/>
      <c r="F5" s="7"/>
      <c r="G5" s="7"/>
      <c r="H5" s="7"/>
      <c r="I5" s="7"/>
    </row>
    <row r="6" spans="1:9" ht="18" customHeight="1" x14ac:dyDescent="0.15">
      <c r="A6" s="1" t="s">
        <v>92</v>
      </c>
      <c r="B6" s="8" t="s">
        <v>93</v>
      </c>
      <c r="C6" s="191" t="s">
        <v>94</v>
      </c>
      <c r="D6" s="191"/>
      <c r="E6" s="3">
        <v>132</v>
      </c>
      <c r="F6" s="7" t="s">
        <v>69</v>
      </c>
      <c r="G6" s="7" t="s">
        <v>95</v>
      </c>
      <c r="H6" s="3">
        <v>272</v>
      </c>
      <c r="I6" s="8" t="s">
        <v>69</v>
      </c>
    </row>
    <row r="7" spans="1:9" ht="12" customHeight="1" x14ac:dyDescent="0.15">
      <c r="C7" s="2"/>
      <c r="D7" s="2"/>
      <c r="E7" s="2"/>
      <c r="F7" s="2"/>
      <c r="G7" s="2"/>
      <c r="H7" s="2"/>
      <c r="I7" s="53"/>
    </row>
    <row r="8" spans="1:9" ht="18" customHeight="1" x14ac:dyDescent="0.15">
      <c r="A8" s="1" t="s">
        <v>96</v>
      </c>
      <c r="B8" s="8" t="s">
        <v>97</v>
      </c>
      <c r="E8" s="7"/>
      <c r="F8" s="7"/>
      <c r="G8" s="7"/>
      <c r="H8" s="3">
        <v>2</v>
      </c>
      <c r="I8" s="8" t="s">
        <v>69</v>
      </c>
    </row>
    <row r="9" spans="1:9" ht="9" customHeight="1" x14ac:dyDescent="0.15">
      <c r="B9" s="7"/>
      <c r="C9" s="7"/>
      <c r="D9" s="7"/>
      <c r="E9" s="7"/>
      <c r="F9" s="7"/>
      <c r="G9" s="7"/>
      <c r="H9" s="7"/>
      <c r="I9" s="7"/>
    </row>
    <row r="10" spans="1:9" ht="18" customHeight="1" x14ac:dyDescent="0.15">
      <c r="A10" s="1" t="s">
        <v>98</v>
      </c>
      <c r="B10" s="8" t="s">
        <v>99</v>
      </c>
      <c r="C10" s="7"/>
      <c r="D10" s="7"/>
      <c r="E10" s="7"/>
      <c r="F10" s="7"/>
      <c r="G10" s="7"/>
      <c r="H10" s="7"/>
      <c r="I10" s="7"/>
    </row>
    <row r="11" spans="1:9" ht="18" customHeight="1" x14ac:dyDescent="0.15">
      <c r="B11" s="4" t="s">
        <v>100</v>
      </c>
      <c r="C11" s="186" t="s">
        <v>101</v>
      </c>
      <c r="D11" s="189"/>
      <c r="E11" s="190"/>
      <c r="F11" s="53"/>
      <c r="G11" s="4" t="s">
        <v>102</v>
      </c>
      <c r="H11" s="186" t="s">
        <v>103</v>
      </c>
      <c r="I11" s="190"/>
    </row>
    <row r="12" spans="1:9" ht="10.35" customHeight="1" x14ac:dyDescent="0.15">
      <c r="B12" s="4"/>
      <c r="C12" s="8"/>
      <c r="D12" s="53"/>
      <c r="E12" s="53"/>
      <c r="F12" s="53"/>
      <c r="G12" s="4"/>
      <c r="H12" s="8"/>
      <c r="I12" s="53"/>
    </row>
    <row r="13" spans="1:9" ht="18" customHeight="1" x14ac:dyDescent="0.15">
      <c r="A13" s="1" t="s">
        <v>104</v>
      </c>
      <c r="B13" s="8" t="s">
        <v>105</v>
      </c>
      <c r="C13" s="7"/>
      <c r="D13" s="7"/>
      <c r="E13" s="7"/>
      <c r="F13" s="7"/>
      <c r="G13" s="7"/>
      <c r="H13" s="7"/>
      <c r="I13" s="7"/>
    </row>
    <row r="14" spans="1:9" ht="18" customHeight="1" x14ac:dyDescent="0.15">
      <c r="B14" s="186" t="s">
        <v>106</v>
      </c>
      <c r="C14" s="187"/>
      <c r="D14" s="187"/>
      <c r="E14" s="187"/>
      <c r="F14" s="187"/>
      <c r="G14" s="187"/>
      <c r="H14" s="187"/>
      <c r="I14" s="188"/>
    </row>
    <row r="15" spans="1:9" ht="9" customHeight="1" x14ac:dyDescent="0.15">
      <c r="B15" s="7"/>
      <c r="C15" s="7"/>
      <c r="D15" s="7"/>
      <c r="E15" s="7"/>
      <c r="F15" s="7"/>
      <c r="G15" s="7"/>
      <c r="H15" s="7"/>
      <c r="I15" s="7"/>
    </row>
    <row r="16" spans="1:9" ht="18" customHeight="1" x14ac:dyDescent="0.15">
      <c r="B16" s="4" t="s">
        <v>100</v>
      </c>
      <c r="C16" s="186" t="s">
        <v>101</v>
      </c>
      <c r="D16" s="189"/>
      <c r="E16" s="190"/>
      <c r="F16" s="53"/>
      <c r="G16" s="4" t="s">
        <v>102</v>
      </c>
      <c r="H16" s="186" t="s">
        <v>107</v>
      </c>
      <c r="I16" s="190"/>
    </row>
    <row r="17" spans="1:9" ht="18" customHeight="1" x14ac:dyDescent="0.15">
      <c r="B17" s="7"/>
      <c r="C17" s="7"/>
      <c r="D17" s="7"/>
      <c r="E17" s="7"/>
      <c r="F17" s="7"/>
      <c r="G17" s="7"/>
      <c r="H17" s="7"/>
      <c r="I17" s="7"/>
    </row>
    <row r="18" spans="1:9" ht="18.75" customHeight="1" x14ac:dyDescent="0.15">
      <c r="A18" s="1" t="s">
        <v>108</v>
      </c>
      <c r="B18" s="1" t="s">
        <v>109</v>
      </c>
      <c r="I18" s="7"/>
    </row>
    <row r="19" spans="1:9" ht="18.75" customHeight="1" x14ac:dyDescent="0.15">
      <c r="A19" s="1"/>
      <c r="B19" s="172" t="s">
        <v>110</v>
      </c>
      <c r="C19" s="173"/>
      <c r="D19" s="173"/>
      <c r="E19" s="173"/>
      <c r="F19" s="173"/>
      <c r="G19" s="173"/>
      <c r="H19" s="173"/>
      <c r="I19" s="174"/>
    </row>
    <row r="20" spans="1:9" ht="7.5" customHeight="1" x14ac:dyDescent="0.15">
      <c r="B20" s="7"/>
      <c r="C20" s="7"/>
      <c r="D20" s="7"/>
      <c r="E20" s="7"/>
      <c r="F20" s="7"/>
      <c r="G20" s="7"/>
      <c r="H20" s="7"/>
      <c r="I20" s="7"/>
    </row>
    <row r="21" spans="1:9" ht="18.75" customHeight="1" x14ac:dyDescent="0.15">
      <c r="A21" s="1" t="s">
        <v>111</v>
      </c>
      <c r="B21" s="1" t="s">
        <v>112</v>
      </c>
    </row>
    <row r="22" spans="1:9" ht="18.75" customHeight="1" x14ac:dyDescent="0.15">
      <c r="A22" s="19"/>
      <c r="B22" s="175" t="s">
        <v>113</v>
      </c>
      <c r="C22" s="176"/>
      <c r="D22" s="176"/>
      <c r="E22" s="176"/>
      <c r="F22" s="176"/>
      <c r="G22" s="176"/>
      <c r="H22" s="176"/>
      <c r="I22" s="177"/>
    </row>
    <row r="23" spans="1:9" ht="18.75" customHeight="1" x14ac:dyDescent="0.15">
      <c r="A23" s="19"/>
      <c r="B23" s="178"/>
      <c r="C23" s="179"/>
      <c r="D23" s="179"/>
      <c r="E23" s="179"/>
      <c r="F23" s="179"/>
      <c r="G23" s="179"/>
      <c r="H23" s="179"/>
      <c r="I23" s="180"/>
    </row>
    <row r="24" spans="1:9" ht="18.75" customHeight="1" x14ac:dyDescent="0.15">
      <c r="A24" s="19"/>
      <c r="B24" s="178"/>
      <c r="C24" s="179"/>
      <c r="D24" s="179"/>
      <c r="E24" s="179"/>
      <c r="F24" s="179"/>
      <c r="G24" s="179"/>
      <c r="H24" s="179"/>
      <c r="I24" s="180"/>
    </row>
    <row r="25" spans="1:9" ht="18.75" customHeight="1" x14ac:dyDescent="0.15">
      <c r="A25" s="19"/>
      <c r="B25" s="178"/>
      <c r="C25" s="179"/>
      <c r="D25" s="179"/>
      <c r="E25" s="179"/>
      <c r="F25" s="179"/>
      <c r="G25" s="179"/>
      <c r="H25" s="179"/>
      <c r="I25" s="180"/>
    </row>
    <row r="26" spans="1:9" ht="18.75" customHeight="1" x14ac:dyDescent="0.15">
      <c r="A26" s="19"/>
      <c r="B26" s="178"/>
      <c r="C26" s="179"/>
      <c r="D26" s="179"/>
      <c r="E26" s="179"/>
      <c r="F26" s="179"/>
      <c r="G26" s="179"/>
      <c r="H26" s="179"/>
      <c r="I26" s="180"/>
    </row>
    <row r="27" spans="1:9" ht="18.75" customHeight="1" x14ac:dyDescent="0.15">
      <c r="A27" s="19"/>
      <c r="B27" s="178"/>
      <c r="C27" s="179"/>
      <c r="D27" s="179"/>
      <c r="E27" s="179"/>
      <c r="F27" s="179"/>
      <c r="G27" s="179"/>
      <c r="H27" s="179"/>
      <c r="I27" s="180"/>
    </row>
    <row r="28" spans="1:9" ht="18.75" customHeight="1" x14ac:dyDescent="0.15">
      <c r="A28" s="19"/>
      <c r="B28" s="178"/>
      <c r="C28" s="179"/>
      <c r="D28" s="179"/>
      <c r="E28" s="179"/>
      <c r="F28" s="179"/>
      <c r="G28" s="179"/>
      <c r="H28" s="179"/>
      <c r="I28" s="180"/>
    </row>
    <row r="29" spans="1:9" ht="18.75" customHeight="1" x14ac:dyDescent="0.15">
      <c r="A29" s="19"/>
      <c r="B29" s="178"/>
      <c r="C29" s="179"/>
      <c r="D29" s="179"/>
      <c r="E29" s="179"/>
      <c r="F29" s="179"/>
      <c r="G29" s="179"/>
      <c r="H29" s="179"/>
      <c r="I29" s="180"/>
    </row>
    <row r="30" spans="1:9" ht="18.75" customHeight="1" x14ac:dyDescent="0.15">
      <c r="A30" s="19"/>
      <c r="B30" s="181"/>
      <c r="C30" s="182"/>
      <c r="D30" s="182"/>
      <c r="E30" s="182"/>
      <c r="F30" s="182"/>
      <c r="G30" s="182"/>
      <c r="H30" s="182"/>
      <c r="I30" s="180"/>
    </row>
    <row r="31" spans="1:9" ht="18.75" customHeight="1" x14ac:dyDescent="0.15">
      <c r="A31" s="19"/>
      <c r="B31" s="181"/>
      <c r="C31" s="182"/>
      <c r="D31" s="182"/>
      <c r="E31" s="182"/>
      <c r="F31" s="182"/>
      <c r="G31" s="182"/>
      <c r="H31" s="182"/>
      <c r="I31" s="180"/>
    </row>
    <row r="32" spans="1:9" ht="18.75" customHeight="1" x14ac:dyDescent="0.15">
      <c r="A32" s="19"/>
      <c r="B32" s="183"/>
      <c r="C32" s="184"/>
      <c r="D32" s="184"/>
      <c r="E32" s="184"/>
      <c r="F32" s="184"/>
      <c r="G32" s="184"/>
      <c r="H32" s="184"/>
      <c r="I32" s="185"/>
    </row>
    <row r="33" spans="1:9" ht="7.5" customHeight="1" x14ac:dyDescent="0.15">
      <c r="A33" s="19"/>
      <c r="B33" s="19"/>
      <c r="C33" s="19"/>
      <c r="D33" s="19"/>
      <c r="E33" s="19"/>
      <c r="F33" s="19"/>
      <c r="G33" s="19"/>
      <c r="H33" s="19"/>
      <c r="I33" s="19"/>
    </row>
    <row r="34" spans="1:9" ht="18.75" customHeight="1" x14ac:dyDescent="0.15">
      <c r="A34" s="54" t="s">
        <v>114</v>
      </c>
      <c r="B34" s="54" t="s">
        <v>115</v>
      </c>
      <c r="C34" s="8"/>
      <c r="D34" s="54"/>
      <c r="E34" s="54"/>
      <c r="F34" s="54"/>
      <c r="G34" s="54"/>
      <c r="H34" s="54"/>
      <c r="I34" s="54"/>
    </row>
    <row r="35" spans="1:9" ht="18.75" customHeight="1" x14ac:dyDescent="0.15">
      <c r="A35" s="19"/>
      <c r="B35" s="175" t="s">
        <v>116</v>
      </c>
      <c r="C35" s="176"/>
      <c r="D35" s="176"/>
      <c r="E35" s="176"/>
      <c r="F35" s="176"/>
      <c r="G35" s="176"/>
      <c r="H35" s="176"/>
      <c r="I35" s="177"/>
    </row>
    <row r="36" spans="1:9" ht="18.75" customHeight="1" x14ac:dyDescent="0.15">
      <c r="A36" s="19"/>
      <c r="B36" s="181"/>
      <c r="C36" s="182"/>
      <c r="D36" s="182"/>
      <c r="E36" s="182"/>
      <c r="F36" s="182"/>
      <c r="G36" s="182"/>
      <c r="H36" s="182"/>
      <c r="I36" s="180"/>
    </row>
    <row r="37" spans="1:9" ht="18.75" customHeight="1" x14ac:dyDescent="0.15">
      <c r="A37" s="19"/>
      <c r="B37" s="181"/>
      <c r="C37" s="182"/>
      <c r="D37" s="182"/>
      <c r="E37" s="182"/>
      <c r="F37" s="182"/>
      <c r="G37" s="182"/>
      <c r="H37" s="182"/>
      <c r="I37" s="180"/>
    </row>
    <row r="38" spans="1:9" ht="18.75" customHeight="1" x14ac:dyDescent="0.15">
      <c r="A38" s="19"/>
      <c r="B38" s="181"/>
      <c r="C38" s="182"/>
      <c r="D38" s="182"/>
      <c r="E38" s="182"/>
      <c r="F38" s="182"/>
      <c r="G38" s="182"/>
      <c r="H38" s="182"/>
      <c r="I38" s="180"/>
    </row>
    <row r="39" spans="1:9" ht="18.75" customHeight="1" x14ac:dyDescent="0.15">
      <c r="A39" s="19"/>
      <c r="B39" s="181"/>
      <c r="C39" s="182"/>
      <c r="D39" s="182"/>
      <c r="E39" s="182"/>
      <c r="F39" s="182"/>
      <c r="G39" s="182"/>
      <c r="H39" s="182"/>
      <c r="I39" s="180"/>
    </row>
    <row r="40" spans="1:9" ht="18.75" customHeight="1" x14ac:dyDescent="0.15">
      <c r="A40" s="19"/>
      <c r="B40" s="181"/>
      <c r="C40" s="182"/>
      <c r="D40" s="182"/>
      <c r="E40" s="182"/>
      <c r="F40" s="182"/>
      <c r="G40" s="182"/>
      <c r="H40" s="182"/>
      <c r="I40" s="180"/>
    </row>
    <row r="41" spans="1:9" ht="18.75" customHeight="1" x14ac:dyDescent="0.15">
      <c r="A41" s="19"/>
      <c r="B41" s="181"/>
      <c r="C41" s="182"/>
      <c r="D41" s="182"/>
      <c r="E41" s="182"/>
      <c r="F41" s="182"/>
      <c r="G41" s="182"/>
      <c r="H41" s="182"/>
      <c r="I41" s="180"/>
    </row>
    <row r="42" spans="1:9" ht="18.75" customHeight="1" x14ac:dyDescent="0.15">
      <c r="A42" s="19"/>
      <c r="B42" s="181"/>
      <c r="C42" s="182"/>
      <c r="D42" s="182"/>
      <c r="E42" s="182"/>
      <c r="F42" s="182"/>
      <c r="G42" s="182"/>
      <c r="H42" s="182"/>
      <c r="I42" s="180"/>
    </row>
    <row r="43" spans="1:9" ht="18.75" customHeight="1" x14ac:dyDescent="0.15">
      <c r="A43" s="19"/>
      <c r="B43" s="181"/>
      <c r="C43" s="182"/>
      <c r="D43" s="182"/>
      <c r="E43" s="182"/>
      <c r="F43" s="182"/>
      <c r="G43" s="182"/>
      <c r="H43" s="182"/>
      <c r="I43" s="180"/>
    </row>
    <row r="44" spans="1:9" ht="18.75" customHeight="1" x14ac:dyDescent="0.15">
      <c r="A44" s="19"/>
      <c r="B44" s="181"/>
      <c r="C44" s="182"/>
      <c r="D44" s="182"/>
      <c r="E44" s="182"/>
      <c r="F44" s="182"/>
      <c r="G44" s="182"/>
      <c r="H44" s="182"/>
      <c r="I44" s="180"/>
    </row>
    <row r="45" spans="1:9" ht="18.75" customHeight="1" x14ac:dyDescent="0.15">
      <c r="A45" s="19"/>
      <c r="B45" s="181"/>
      <c r="C45" s="182"/>
      <c r="D45" s="182"/>
      <c r="E45" s="182"/>
      <c r="F45" s="182"/>
      <c r="G45" s="182"/>
      <c r="H45" s="182"/>
      <c r="I45" s="180"/>
    </row>
    <row r="46" spans="1:9" ht="18.75" customHeight="1" x14ac:dyDescent="0.15">
      <c r="A46" s="19"/>
      <c r="B46" s="183"/>
      <c r="C46" s="184"/>
      <c r="D46" s="184"/>
      <c r="E46" s="184"/>
      <c r="F46" s="184"/>
      <c r="G46" s="184"/>
      <c r="H46" s="184"/>
      <c r="I46" s="185"/>
    </row>
    <row r="47" spans="1:9" ht="7.5" customHeight="1" x14ac:dyDescent="0.15">
      <c r="A47" s="55"/>
      <c r="B47" s="55"/>
      <c r="C47" s="55"/>
      <c r="D47" s="55"/>
      <c r="E47" s="55"/>
      <c r="F47" s="55"/>
      <c r="G47" s="55"/>
      <c r="H47" s="55"/>
      <c r="I47" s="55"/>
    </row>
    <row r="48" spans="1:9" ht="18.75" customHeight="1" x14ac:dyDescent="0.15">
      <c r="A48" s="1" t="s">
        <v>117</v>
      </c>
      <c r="B48" s="1" t="s">
        <v>179</v>
      </c>
    </row>
    <row r="49" spans="1:15" s="7" customFormat="1" ht="18.75" customHeight="1" x14ac:dyDescent="0.15">
      <c r="B49" s="56" t="s">
        <v>118</v>
      </c>
      <c r="C49" s="213">
        <f>'様式２ 履修者等数の実績'!S33</f>
        <v>8.433079434167573E-3</v>
      </c>
      <c r="D49" s="213"/>
      <c r="E49" s="56" t="s">
        <v>119</v>
      </c>
      <c r="F49" s="213">
        <v>0.15</v>
      </c>
      <c r="G49" s="213"/>
      <c r="H49" s="56" t="s">
        <v>120</v>
      </c>
      <c r="I49" s="57">
        <v>0.25</v>
      </c>
      <c r="J49" s="1"/>
      <c r="M49" s="1"/>
      <c r="N49" s="58"/>
    </row>
    <row r="50" spans="1:15" s="7" customFormat="1" ht="18.75" customHeight="1" x14ac:dyDescent="0.15">
      <c r="B50" s="59" t="s">
        <v>121</v>
      </c>
      <c r="C50" s="196">
        <v>0.35</v>
      </c>
      <c r="D50" s="196"/>
      <c r="E50" s="59" t="s">
        <v>122</v>
      </c>
      <c r="F50" s="196">
        <v>0.5</v>
      </c>
      <c r="G50" s="196"/>
      <c r="H50" s="59" t="s">
        <v>123</v>
      </c>
      <c r="I50" s="60">
        <f>'様式２ 履修者等数の実績'!E33</f>
        <v>3676</v>
      </c>
      <c r="J50" s="1"/>
      <c r="M50" s="1"/>
      <c r="N50" s="58"/>
    </row>
    <row r="51" spans="1:15" ht="18.75" customHeight="1" x14ac:dyDescent="0.15">
      <c r="A51" s="1"/>
      <c r="B51" s="193" t="s">
        <v>124</v>
      </c>
      <c r="C51" s="194"/>
      <c r="D51" s="194"/>
      <c r="E51" s="194"/>
      <c r="F51" s="194"/>
      <c r="G51" s="194"/>
      <c r="H51" s="194"/>
      <c r="I51" s="195"/>
      <c r="N51" s="58"/>
      <c r="O51" s="7"/>
    </row>
    <row r="52" spans="1:15" ht="18.75" customHeight="1" x14ac:dyDescent="0.15">
      <c r="A52" s="1"/>
      <c r="B52" s="214" t="s">
        <v>177</v>
      </c>
      <c r="C52" s="215"/>
      <c r="D52" s="215"/>
      <c r="E52" s="215"/>
      <c r="F52" s="215"/>
      <c r="G52" s="215"/>
      <c r="H52" s="215"/>
      <c r="I52" s="216"/>
      <c r="N52" s="58"/>
      <c r="O52" s="7"/>
    </row>
    <row r="53" spans="1:15" ht="18.75" customHeight="1" x14ac:dyDescent="0.15">
      <c r="A53" s="1"/>
      <c r="B53" s="217"/>
      <c r="C53" s="218"/>
      <c r="D53" s="218"/>
      <c r="E53" s="218"/>
      <c r="F53" s="218"/>
      <c r="G53" s="218"/>
      <c r="H53" s="218"/>
      <c r="I53" s="219"/>
      <c r="N53" s="58"/>
      <c r="O53" s="7"/>
    </row>
    <row r="54" spans="1:15" ht="18.75" customHeight="1" x14ac:dyDescent="0.15">
      <c r="A54" s="1"/>
      <c r="B54" s="217"/>
      <c r="C54" s="218"/>
      <c r="D54" s="218"/>
      <c r="E54" s="218"/>
      <c r="F54" s="218"/>
      <c r="G54" s="218"/>
      <c r="H54" s="218"/>
      <c r="I54" s="219"/>
    </row>
    <row r="55" spans="1:15" ht="18.75" customHeight="1" x14ac:dyDescent="0.15">
      <c r="A55" s="1"/>
      <c r="B55" s="217"/>
      <c r="C55" s="218"/>
      <c r="D55" s="218"/>
      <c r="E55" s="218"/>
      <c r="F55" s="218"/>
      <c r="G55" s="218"/>
      <c r="H55" s="218"/>
      <c r="I55" s="219"/>
    </row>
    <row r="56" spans="1:15" ht="18.75" customHeight="1" x14ac:dyDescent="0.15">
      <c r="A56" s="1"/>
      <c r="B56" s="217"/>
      <c r="C56" s="218"/>
      <c r="D56" s="218"/>
      <c r="E56" s="218"/>
      <c r="F56" s="218"/>
      <c r="G56" s="218"/>
      <c r="H56" s="218"/>
      <c r="I56" s="219"/>
    </row>
    <row r="57" spans="1:15" ht="18.75" customHeight="1" x14ac:dyDescent="0.15">
      <c r="A57" s="1"/>
      <c r="B57" s="217"/>
      <c r="C57" s="218"/>
      <c r="D57" s="218"/>
      <c r="E57" s="218"/>
      <c r="F57" s="218"/>
      <c r="G57" s="218"/>
      <c r="H57" s="218"/>
      <c r="I57" s="219"/>
    </row>
    <row r="58" spans="1:15" ht="18.75" customHeight="1" x14ac:dyDescent="0.15">
      <c r="A58" s="1"/>
      <c r="B58" s="217"/>
      <c r="C58" s="218"/>
      <c r="D58" s="218"/>
      <c r="E58" s="218"/>
      <c r="F58" s="218"/>
      <c r="G58" s="218"/>
      <c r="H58" s="218"/>
      <c r="I58" s="219"/>
    </row>
    <row r="59" spans="1:15" ht="18.75" customHeight="1" x14ac:dyDescent="0.15">
      <c r="A59" s="1"/>
      <c r="B59" s="217"/>
      <c r="C59" s="218"/>
      <c r="D59" s="218"/>
      <c r="E59" s="218"/>
      <c r="F59" s="218"/>
      <c r="G59" s="218"/>
      <c r="H59" s="218"/>
      <c r="I59" s="219"/>
    </row>
    <row r="60" spans="1:15" ht="18.75" customHeight="1" x14ac:dyDescent="0.15">
      <c r="A60" s="1"/>
      <c r="B60" s="217"/>
      <c r="C60" s="218"/>
      <c r="D60" s="218"/>
      <c r="E60" s="218"/>
      <c r="F60" s="218"/>
      <c r="G60" s="218"/>
      <c r="H60" s="218"/>
      <c r="I60" s="219"/>
    </row>
    <row r="61" spans="1:15" ht="18.75" customHeight="1" x14ac:dyDescent="0.15">
      <c r="A61" s="1"/>
      <c r="B61" s="217"/>
      <c r="C61" s="218"/>
      <c r="D61" s="218"/>
      <c r="E61" s="218"/>
      <c r="F61" s="218"/>
      <c r="G61" s="218"/>
      <c r="H61" s="218"/>
      <c r="I61" s="219"/>
    </row>
    <row r="62" spans="1:15" ht="18.75" customHeight="1" x14ac:dyDescent="0.15">
      <c r="A62" s="1"/>
      <c r="B62" s="217"/>
      <c r="C62" s="218"/>
      <c r="D62" s="218"/>
      <c r="E62" s="218"/>
      <c r="F62" s="218"/>
      <c r="G62" s="218"/>
      <c r="H62" s="218"/>
      <c r="I62" s="219"/>
    </row>
    <row r="63" spans="1:15" ht="18.75" customHeight="1" x14ac:dyDescent="0.15">
      <c r="A63" s="1"/>
      <c r="B63" s="220"/>
      <c r="C63" s="221"/>
      <c r="D63" s="221"/>
      <c r="E63" s="221"/>
      <c r="F63" s="221"/>
      <c r="G63" s="221"/>
      <c r="H63" s="221"/>
      <c r="I63" s="222"/>
    </row>
    <row r="64" spans="1:15" ht="7.5" customHeight="1" x14ac:dyDescent="0.15">
      <c r="A64" s="19"/>
      <c r="B64" s="19"/>
      <c r="C64" s="19"/>
      <c r="D64" s="19"/>
      <c r="E64" s="19"/>
      <c r="F64" s="19"/>
      <c r="G64" s="19"/>
      <c r="H64" s="19"/>
      <c r="I64" s="19"/>
    </row>
    <row r="65" spans="1:9" ht="18.75" customHeight="1" x14ac:dyDescent="0.15">
      <c r="A65" s="54" t="s">
        <v>125</v>
      </c>
      <c r="B65" s="1" t="s">
        <v>126</v>
      </c>
      <c r="I65" s="54"/>
    </row>
    <row r="66" spans="1:9" ht="18.75" customHeight="1" x14ac:dyDescent="0.15">
      <c r="A66" s="55"/>
      <c r="B66" s="197" t="s">
        <v>127</v>
      </c>
      <c r="C66" s="198"/>
      <c r="D66" s="198"/>
      <c r="E66" s="198"/>
      <c r="F66" s="198"/>
      <c r="G66" s="198"/>
      <c r="H66" s="198"/>
      <c r="I66" s="199"/>
    </row>
    <row r="67" spans="1:9" ht="18.75" customHeight="1" x14ac:dyDescent="0.15">
      <c r="A67" s="55"/>
      <c r="B67" s="200"/>
      <c r="C67" s="201"/>
      <c r="D67" s="201"/>
      <c r="E67" s="201"/>
      <c r="F67" s="201"/>
      <c r="G67" s="201"/>
      <c r="H67" s="201"/>
      <c r="I67" s="202"/>
    </row>
    <row r="68" spans="1:9" ht="18.75" customHeight="1" x14ac:dyDescent="0.15">
      <c r="A68" s="55"/>
      <c r="B68" s="200"/>
      <c r="C68" s="201"/>
      <c r="D68" s="201"/>
      <c r="E68" s="201"/>
      <c r="F68" s="201"/>
      <c r="G68" s="201"/>
      <c r="H68" s="201"/>
      <c r="I68" s="202"/>
    </row>
    <row r="69" spans="1:9" ht="18.75" customHeight="1" x14ac:dyDescent="0.15">
      <c r="A69" s="55"/>
      <c r="B69" s="200"/>
      <c r="C69" s="201"/>
      <c r="D69" s="201"/>
      <c r="E69" s="201"/>
      <c r="F69" s="201"/>
      <c r="G69" s="201"/>
      <c r="H69" s="201"/>
      <c r="I69" s="202"/>
    </row>
    <row r="70" spans="1:9" ht="18.75" customHeight="1" x14ac:dyDescent="0.15">
      <c r="A70" s="55"/>
      <c r="B70" s="200"/>
      <c r="C70" s="201"/>
      <c r="D70" s="201"/>
      <c r="E70" s="201"/>
      <c r="F70" s="201"/>
      <c r="G70" s="201"/>
      <c r="H70" s="201"/>
      <c r="I70" s="202"/>
    </row>
    <row r="71" spans="1:9" ht="18.75" customHeight="1" x14ac:dyDescent="0.15">
      <c r="A71" s="55"/>
      <c r="B71" s="200"/>
      <c r="C71" s="201"/>
      <c r="D71" s="201"/>
      <c r="E71" s="201"/>
      <c r="F71" s="201"/>
      <c r="G71" s="201"/>
      <c r="H71" s="201"/>
      <c r="I71" s="202"/>
    </row>
    <row r="72" spans="1:9" ht="18.75" customHeight="1" x14ac:dyDescent="0.15">
      <c r="A72" s="55"/>
      <c r="B72" s="200"/>
      <c r="C72" s="201"/>
      <c r="D72" s="201"/>
      <c r="E72" s="201"/>
      <c r="F72" s="201"/>
      <c r="G72" s="201"/>
      <c r="H72" s="201"/>
      <c r="I72" s="202"/>
    </row>
    <row r="73" spans="1:9" ht="18.75" customHeight="1" x14ac:dyDescent="0.15">
      <c r="A73" s="55"/>
      <c r="B73" s="200"/>
      <c r="C73" s="201"/>
      <c r="D73" s="201"/>
      <c r="E73" s="201"/>
      <c r="F73" s="201"/>
      <c r="G73" s="201"/>
      <c r="H73" s="201"/>
      <c r="I73" s="202"/>
    </row>
    <row r="74" spans="1:9" ht="18.75" customHeight="1" x14ac:dyDescent="0.15">
      <c r="A74" s="55"/>
      <c r="B74" s="200"/>
      <c r="C74" s="201"/>
      <c r="D74" s="201"/>
      <c r="E74" s="201"/>
      <c r="F74" s="201"/>
      <c r="G74" s="201"/>
      <c r="H74" s="201"/>
      <c r="I74" s="202"/>
    </row>
    <row r="75" spans="1:9" ht="18.75" customHeight="1" x14ac:dyDescent="0.15">
      <c r="A75" s="55"/>
      <c r="B75" s="200"/>
      <c r="C75" s="201"/>
      <c r="D75" s="201"/>
      <c r="E75" s="201"/>
      <c r="F75" s="201"/>
      <c r="G75" s="201"/>
      <c r="H75" s="201"/>
      <c r="I75" s="202"/>
    </row>
    <row r="76" spans="1:9" ht="18.75" customHeight="1" x14ac:dyDescent="0.15">
      <c r="A76" s="55"/>
      <c r="B76" s="200"/>
      <c r="C76" s="201"/>
      <c r="D76" s="201"/>
      <c r="E76" s="201"/>
      <c r="F76" s="201"/>
      <c r="G76" s="201"/>
      <c r="H76" s="201"/>
      <c r="I76" s="202"/>
    </row>
    <row r="77" spans="1:9" ht="18.75" customHeight="1" x14ac:dyDescent="0.15">
      <c r="A77" s="55"/>
      <c r="B77" s="203"/>
      <c r="C77" s="204"/>
      <c r="D77" s="204"/>
      <c r="E77" s="204"/>
      <c r="F77" s="204"/>
      <c r="G77" s="204"/>
      <c r="H77" s="204"/>
      <c r="I77" s="205"/>
    </row>
    <row r="78" spans="1:9" ht="7.5" customHeight="1" x14ac:dyDescent="0.15">
      <c r="A78" s="55"/>
      <c r="B78" s="55"/>
      <c r="C78" s="55"/>
      <c r="D78" s="55"/>
      <c r="E78" s="55"/>
      <c r="F78" s="55"/>
      <c r="G78" s="55"/>
      <c r="H78" s="55"/>
      <c r="I78" s="55"/>
    </row>
    <row r="79" spans="1:9" ht="18.75" customHeight="1" x14ac:dyDescent="0.15">
      <c r="A79" s="1" t="s">
        <v>128</v>
      </c>
      <c r="B79" s="1" t="s">
        <v>129</v>
      </c>
    </row>
    <row r="80" spans="1:9" ht="18.75" customHeight="1" x14ac:dyDescent="0.15">
      <c r="A80" s="1"/>
      <c r="B80" s="197" t="s">
        <v>130</v>
      </c>
      <c r="C80" s="198"/>
      <c r="D80" s="198"/>
      <c r="E80" s="198"/>
      <c r="F80" s="198"/>
      <c r="G80" s="198"/>
      <c r="H80" s="198"/>
      <c r="I80" s="206"/>
    </row>
    <row r="81" spans="1:9" ht="18.75" customHeight="1" x14ac:dyDescent="0.15">
      <c r="A81" s="1"/>
      <c r="B81" s="207"/>
      <c r="C81" s="208"/>
      <c r="D81" s="208"/>
      <c r="E81" s="208"/>
      <c r="F81" s="208"/>
      <c r="G81" s="208"/>
      <c r="H81" s="208"/>
      <c r="I81" s="209"/>
    </row>
    <row r="82" spans="1:9" ht="18.75" customHeight="1" x14ac:dyDescent="0.15">
      <c r="A82" s="1"/>
      <c r="B82" s="207"/>
      <c r="C82" s="208"/>
      <c r="D82" s="208"/>
      <c r="E82" s="208"/>
      <c r="F82" s="208"/>
      <c r="G82" s="208"/>
      <c r="H82" s="208"/>
      <c r="I82" s="209"/>
    </row>
    <row r="83" spans="1:9" ht="18.75" customHeight="1" x14ac:dyDescent="0.15">
      <c r="A83" s="1"/>
      <c r="B83" s="207"/>
      <c r="C83" s="208"/>
      <c r="D83" s="208"/>
      <c r="E83" s="208"/>
      <c r="F83" s="208"/>
      <c r="G83" s="208"/>
      <c r="H83" s="208"/>
      <c r="I83" s="209"/>
    </row>
    <row r="84" spans="1:9" ht="18.75" customHeight="1" x14ac:dyDescent="0.15">
      <c r="A84" s="1"/>
      <c r="B84" s="207"/>
      <c r="C84" s="208"/>
      <c r="D84" s="208"/>
      <c r="E84" s="208"/>
      <c r="F84" s="208"/>
      <c r="G84" s="208"/>
      <c r="H84" s="208"/>
      <c r="I84" s="209"/>
    </row>
    <row r="85" spans="1:9" ht="18.75" customHeight="1" x14ac:dyDescent="0.15">
      <c r="A85" s="1"/>
      <c r="B85" s="207"/>
      <c r="C85" s="208"/>
      <c r="D85" s="208"/>
      <c r="E85" s="208"/>
      <c r="F85" s="208"/>
      <c r="G85" s="208"/>
      <c r="H85" s="208"/>
      <c r="I85" s="209"/>
    </row>
    <row r="86" spans="1:9" ht="18.75" customHeight="1" x14ac:dyDescent="0.15">
      <c r="A86" s="1"/>
      <c r="B86" s="207"/>
      <c r="C86" s="208"/>
      <c r="D86" s="208"/>
      <c r="E86" s="208"/>
      <c r="F86" s="208"/>
      <c r="G86" s="208"/>
      <c r="H86" s="208"/>
      <c r="I86" s="209"/>
    </row>
    <row r="87" spans="1:9" ht="18.75" customHeight="1" x14ac:dyDescent="0.15">
      <c r="A87" s="1"/>
      <c r="B87" s="207"/>
      <c r="C87" s="208"/>
      <c r="D87" s="208"/>
      <c r="E87" s="208"/>
      <c r="F87" s="208"/>
      <c r="G87" s="208"/>
      <c r="H87" s="208"/>
      <c r="I87" s="209"/>
    </row>
    <row r="88" spans="1:9" ht="18.75" customHeight="1" x14ac:dyDescent="0.15">
      <c r="A88" s="1"/>
      <c r="B88" s="207"/>
      <c r="C88" s="208"/>
      <c r="D88" s="208"/>
      <c r="E88" s="208"/>
      <c r="F88" s="208"/>
      <c r="G88" s="208"/>
      <c r="H88" s="208"/>
      <c r="I88" s="209"/>
    </row>
    <row r="89" spans="1:9" ht="18.75" customHeight="1" x14ac:dyDescent="0.15">
      <c r="A89" s="1"/>
      <c r="B89" s="207"/>
      <c r="C89" s="208"/>
      <c r="D89" s="208"/>
      <c r="E89" s="208"/>
      <c r="F89" s="208"/>
      <c r="G89" s="208"/>
      <c r="H89" s="208"/>
      <c r="I89" s="209"/>
    </row>
    <row r="90" spans="1:9" ht="18.75" customHeight="1" x14ac:dyDescent="0.15">
      <c r="A90" s="55"/>
      <c r="B90" s="207"/>
      <c r="C90" s="208"/>
      <c r="D90" s="208"/>
      <c r="E90" s="208"/>
      <c r="F90" s="208"/>
      <c r="G90" s="208"/>
      <c r="H90" s="208"/>
      <c r="I90" s="209"/>
    </row>
    <row r="91" spans="1:9" ht="18.75" customHeight="1" x14ac:dyDescent="0.15">
      <c r="A91" s="55"/>
      <c r="B91" s="210"/>
      <c r="C91" s="211"/>
      <c r="D91" s="211"/>
      <c r="E91" s="211"/>
      <c r="F91" s="211"/>
      <c r="G91" s="211"/>
      <c r="H91" s="211"/>
      <c r="I91" s="212"/>
    </row>
    <row r="92" spans="1:9" ht="7.5" customHeight="1" x14ac:dyDescent="0.15">
      <c r="A92" s="55"/>
      <c r="B92" s="55"/>
      <c r="C92" s="55"/>
      <c r="D92" s="55"/>
      <c r="E92" s="55"/>
      <c r="F92" s="55"/>
      <c r="G92" s="55"/>
      <c r="H92" s="55"/>
      <c r="I92" s="55"/>
    </row>
    <row r="93" spans="1:9" ht="18.75" customHeight="1" x14ac:dyDescent="0.15">
      <c r="A93" s="1" t="s">
        <v>131</v>
      </c>
      <c r="B93" s="1" t="s">
        <v>132</v>
      </c>
    </row>
    <row r="94" spans="1:9" ht="18.75" customHeight="1" x14ac:dyDescent="0.15">
      <c r="A94" s="1"/>
      <c r="B94" s="175" t="s">
        <v>133</v>
      </c>
      <c r="C94" s="176"/>
      <c r="D94" s="176"/>
      <c r="E94" s="176"/>
      <c r="F94" s="176"/>
      <c r="G94" s="176"/>
      <c r="H94" s="176"/>
      <c r="I94" s="177"/>
    </row>
    <row r="95" spans="1:9" ht="18.75" customHeight="1" x14ac:dyDescent="0.15">
      <c r="A95" s="1"/>
      <c r="B95" s="181"/>
      <c r="C95" s="182"/>
      <c r="D95" s="182"/>
      <c r="E95" s="182"/>
      <c r="F95" s="182"/>
      <c r="G95" s="182"/>
      <c r="H95" s="182"/>
      <c r="I95" s="180"/>
    </row>
    <row r="96" spans="1:9" ht="18.75" customHeight="1" x14ac:dyDescent="0.15">
      <c r="A96" s="1"/>
      <c r="B96" s="181"/>
      <c r="C96" s="182"/>
      <c r="D96" s="182"/>
      <c r="E96" s="182"/>
      <c r="F96" s="182"/>
      <c r="G96" s="182"/>
      <c r="H96" s="182"/>
      <c r="I96" s="180"/>
    </row>
    <row r="97" spans="1:9" ht="18.75" customHeight="1" x14ac:dyDescent="0.15">
      <c r="A97" s="1"/>
      <c r="B97" s="181"/>
      <c r="C97" s="182"/>
      <c r="D97" s="182"/>
      <c r="E97" s="182"/>
      <c r="F97" s="182"/>
      <c r="G97" s="182"/>
      <c r="H97" s="182"/>
      <c r="I97" s="180"/>
    </row>
    <row r="98" spans="1:9" ht="18.75" customHeight="1" x14ac:dyDescent="0.15">
      <c r="A98" s="1"/>
      <c r="B98" s="181"/>
      <c r="C98" s="182"/>
      <c r="D98" s="182"/>
      <c r="E98" s="182"/>
      <c r="F98" s="182"/>
      <c r="G98" s="182"/>
      <c r="H98" s="182"/>
      <c r="I98" s="180"/>
    </row>
    <row r="99" spans="1:9" ht="18.75" customHeight="1" x14ac:dyDescent="0.15">
      <c r="A99" s="1"/>
      <c r="B99" s="181"/>
      <c r="C99" s="182"/>
      <c r="D99" s="182"/>
      <c r="E99" s="182"/>
      <c r="F99" s="182"/>
      <c r="G99" s="182"/>
      <c r="H99" s="182"/>
      <c r="I99" s="180"/>
    </row>
    <row r="100" spans="1:9" ht="18.75" customHeight="1" x14ac:dyDescent="0.15">
      <c r="A100" s="1"/>
      <c r="B100" s="181"/>
      <c r="C100" s="182"/>
      <c r="D100" s="182"/>
      <c r="E100" s="182"/>
      <c r="F100" s="182"/>
      <c r="G100" s="182"/>
      <c r="H100" s="182"/>
      <c r="I100" s="180"/>
    </row>
    <row r="101" spans="1:9" ht="18.75" customHeight="1" x14ac:dyDescent="0.15">
      <c r="A101" s="1"/>
      <c r="B101" s="181"/>
      <c r="C101" s="182"/>
      <c r="D101" s="182"/>
      <c r="E101" s="182"/>
      <c r="F101" s="182"/>
      <c r="G101" s="182"/>
      <c r="H101" s="182"/>
      <c r="I101" s="180"/>
    </row>
    <row r="102" spans="1:9" ht="18.75" customHeight="1" x14ac:dyDescent="0.15">
      <c r="A102" s="1"/>
      <c r="B102" s="181"/>
      <c r="C102" s="182"/>
      <c r="D102" s="182"/>
      <c r="E102" s="182"/>
      <c r="F102" s="182"/>
      <c r="G102" s="182"/>
      <c r="H102" s="182"/>
      <c r="I102" s="180"/>
    </row>
    <row r="103" spans="1:9" ht="18.75" customHeight="1" x14ac:dyDescent="0.15">
      <c r="A103" s="1"/>
      <c r="B103" s="181"/>
      <c r="C103" s="182"/>
      <c r="D103" s="182"/>
      <c r="E103" s="182"/>
      <c r="F103" s="182"/>
      <c r="G103" s="182"/>
      <c r="H103" s="182"/>
      <c r="I103" s="180"/>
    </row>
    <row r="104" spans="1:9" ht="18.75" customHeight="1" x14ac:dyDescent="0.15">
      <c r="A104" s="1"/>
      <c r="B104" s="181"/>
      <c r="C104" s="182"/>
      <c r="D104" s="182"/>
      <c r="E104" s="182"/>
      <c r="F104" s="182"/>
      <c r="G104" s="182"/>
      <c r="H104" s="182"/>
      <c r="I104" s="180"/>
    </row>
    <row r="105" spans="1:9" ht="18.75" customHeight="1" x14ac:dyDescent="0.15">
      <c r="A105" s="55"/>
      <c r="B105" s="183"/>
      <c r="C105" s="184"/>
      <c r="D105" s="184"/>
      <c r="E105" s="184"/>
      <c r="F105" s="184"/>
      <c r="G105" s="184"/>
      <c r="H105" s="184"/>
      <c r="I105" s="185"/>
    </row>
    <row r="106" spans="1:9" ht="7.5" customHeight="1" x14ac:dyDescent="0.15">
      <c r="A106" s="55"/>
      <c r="B106" s="55"/>
      <c r="C106" s="55"/>
      <c r="D106" s="55"/>
      <c r="E106" s="55"/>
      <c r="F106" s="55"/>
      <c r="G106" s="55"/>
      <c r="H106" s="55"/>
      <c r="I106" s="55"/>
    </row>
    <row r="107" spans="1:9" ht="18.75" customHeight="1" x14ac:dyDescent="0.15">
      <c r="A107" s="1" t="s">
        <v>134</v>
      </c>
      <c r="B107" s="192" t="s">
        <v>135</v>
      </c>
      <c r="C107" s="192"/>
      <c r="D107" s="192"/>
      <c r="E107" s="192"/>
      <c r="F107" s="192"/>
      <c r="G107" s="192"/>
      <c r="H107" s="192"/>
      <c r="I107" s="192"/>
    </row>
    <row r="108" spans="1:9" ht="18.75" customHeight="1" x14ac:dyDescent="0.15">
      <c r="A108" s="55"/>
      <c r="B108" s="175" t="s">
        <v>178</v>
      </c>
      <c r="C108" s="176"/>
      <c r="D108" s="176"/>
      <c r="E108" s="176"/>
      <c r="F108" s="176"/>
      <c r="G108" s="176"/>
      <c r="H108" s="176"/>
      <c r="I108" s="177"/>
    </row>
    <row r="109" spans="1:9" ht="18.75" customHeight="1" x14ac:dyDescent="0.15">
      <c r="A109" s="55"/>
      <c r="B109" s="181"/>
      <c r="C109" s="182"/>
      <c r="D109" s="182"/>
      <c r="E109" s="182"/>
      <c r="F109" s="182"/>
      <c r="G109" s="182"/>
      <c r="H109" s="182"/>
      <c r="I109" s="180"/>
    </row>
    <row r="110" spans="1:9" ht="18.75" customHeight="1" x14ac:dyDescent="0.15">
      <c r="A110" s="55"/>
      <c r="B110" s="181"/>
      <c r="C110" s="182"/>
      <c r="D110" s="182"/>
      <c r="E110" s="182"/>
      <c r="F110" s="182"/>
      <c r="G110" s="182"/>
      <c r="H110" s="182"/>
      <c r="I110" s="180"/>
    </row>
    <row r="111" spans="1:9" ht="18.75" customHeight="1" x14ac:dyDescent="0.15">
      <c r="A111" s="55"/>
      <c r="B111" s="181"/>
      <c r="C111" s="182"/>
      <c r="D111" s="182"/>
      <c r="E111" s="182"/>
      <c r="F111" s="182"/>
      <c r="G111" s="182"/>
      <c r="H111" s="182"/>
      <c r="I111" s="180"/>
    </row>
    <row r="112" spans="1:9" ht="18.75" customHeight="1" x14ac:dyDescent="0.15">
      <c r="A112" s="55"/>
      <c r="B112" s="181"/>
      <c r="C112" s="182"/>
      <c r="D112" s="182"/>
      <c r="E112" s="182"/>
      <c r="F112" s="182"/>
      <c r="G112" s="182"/>
      <c r="H112" s="182"/>
      <c r="I112" s="180"/>
    </row>
    <row r="113" spans="1:9" ht="18.75" customHeight="1" x14ac:dyDescent="0.15">
      <c r="A113" s="55"/>
      <c r="B113" s="181"/>
      <c r="C113" s="182"/>
      <c r="D113" s="182"/>
      <c r="E113" s="182"/>
      <c r="F113" s="182"/>
      <c r="G113" s="182"/>
      <c r="H113" s="182"/>
      <c r="I113" s="180"/>
    </row>
    <row r="114" spans="1:9" ht="18.75" customHeight="1" x14ac:dyDescent="0.15">
      <c r="A114" s="55"/>
      <c r="B114" s="181"/>
      <c r="C114" s="182"/>
      <c r="D114" s="182"/>
      <c r="E114" s="182"/>
      <c r="F114" s="182"/>
      <c r="G114" s="182"/>
      <c r="H114" s="182"/>
      <c r="I114" s="180"/>
    </row>
    <row r="115" spans="1:9" ht="18.75" customHeight="1" x14ac:dyDescent="0.15">
      <c r="A115" s="55"/>
      <c r="B115" s="181"/>
      <c r="C115" s="182"/>
      <c r="D115" s="182"/>
      <c r="E115" s="182"/>
      <c r="F115" s="182"/>
      <c r="G115" s="182"/>
      <c r="H115" s="182"/>
      <c r="I115" s="180"/>
    </row>
    <row r="116" spans="1:9" ht="18.75" customHeight="1" x14ac:dyDescent="0.15">
      <c r="A116" s="55"/>
      <c r="B116" s="181"/>
      <c r="C116" s="182"/>
      <c r="D116" s="182"/>
      <c r="E116" s="182"/>
      <c r="F116" s="182"/>
      <c r="G116" s="182"/>
      <c r="H116" s="182"/>
      <c r="I116" s="180"/>
    </row>
    <row r="117" spans="1:9" ht="18.75" customHeight="1" x14ac:dyDescent="0.15">
      <c r="A117" s="55"/>
      <c r="B117" s="181"/>
      <c r="C117" s="182"/>
      <c r="D117" s="182"/>
      <c r="E117" s="182"/>
      <c r="F117" s="182"/>
      <c r="G117" s="182"/>
      <c r="H117" s="182"/>
      <c r="I117" s="180"/>
    </row>
    <row r="118" spans="1:9" ht="18.75" customHeight="1" x14ac:dyDescent="0.15">
      <c r="A118" s="55"/>
      <c r="B118" s="181"/>
      <c r="C118" s="182"/>
      <c r="D118" s="182"/>
      <c r="E118" s="182"/>
      <c r="F118" s="182"/>
      <c r="G118" s="182"/>
      <c r="H118" s="182"/>
      <c r="I118" s="180"/>
    </row>
    <row r="119" spans="1:9" ht="18.75" customHeight="1" x14ac:dyDescent="0.15">
      <c r="A119" s="55"/>
      <c r="B119" s="183"/>
      <c r="C119" s="184"/>
      <c r="D119" s="184"/>
      <c r="E119" s="184"/>
      <c r="F119" s="184"/>
      <c r="G119" s="184"/>
      <c r="H119" s="184"/>
      <c r="I119" s="185"/>
    </row>
    <row r="120" spans="1:9" ht="7.5" customHeight="1" x14ac:dyDescent="0.15">
      <c r="A120" s="55"/>
      <c r="B120" s="61"/>
      <c r="C120" s="61"/>
      <c r="D120" s="61"/>
      <c r="E120" s="61"/>
      <c r="F120" s="61"/>
      <c r="G120" s="61"/>
      <c r="H120" s="61"/>
      <c r="I120" s="61"/>
    </row>
    <row r="121" spans="1:9" ht="18.75" customHeight="1" x14ac:dyDescent="0.15">
      <c r="A121" s="1"/>
      <c r="B121" s="171"/>
      <c r="C121" s="171"/>
      <c r="D121" s="171"/>
      <c r="E121" s="171"/>
      <c r="F121" s="171"/>
      <c r="G121" s="171"/>
      <c r="H121" s="171"/>
      <c r="I121" s="171"/>
    </row>
    <row r="122" spans="1:9" ht="18.75" customHeight="1" x14ac:dyDescent="0.15">
      <c r="A122" s="1"/>
      <c r="B122" s="171"/>
      <c r="C122" s="171"/>
      <c r="D122" s="171"/>
      <c r="E122" s="171"/>
      <c r="F122" s="171"/>
      <c r="G122" s="171"/>
      <c r="H122" s="171"/>
      <c r="I122" s="171"/>
    </row>
    <row r="123" spans="1:9" ht="18.75" customHeight="1" x14ac:dyDescent="0.15">
      <c r="A123" s="55"/>
      <c r="B123" s="62"/>
      <c r="C123" s="62"/>
      <c r="D123" s="62"/>
      <c r="E123" s="62"/>
      <c r="F123" s="62"/>
      <c r="G123" s="62"/>
      <c r="H123" s="62"/>
      <c r="I123" s="63"/>
    </row>
    <row r="124" spans="1:9" ht="18.75" customHeight="1" x14ac:dyDescent="0.15">
      <c r="A124" s="55"/>
      <c r="B124" s="63"/>
      <c r="C124" s="63"/>
      <c r="D124" s="63"/>
      <c r="E124" s="63"/>
      <c r="F124" s="63"/>
      <c r="G124" s="63"/>
      <c r="H124" s="63"/>
      <c r="I124" s="63"/>
    </row>
    <row r="125" spans="1:9" ht="18.75" customHeight="1" x14ac:dyDescent="0.15">
      <c r="A125" s="55"/>
      <c r="B125" s="63"/>
      <c r="C125" s="63"/>
      <c r="D125" s="63"/>
      <c r="E125" s="63"/>
      <c r="F125" s="63"/>
      <c r="G125" s="63"/>
      <c r="H125" s="63"/>
      <c r="I125" s="63"/>
    </row>
    <row r="126" spans="1:9" ht="18.75" customHeight="1" x14ac:dyDescent="0.15">
      <c r="A126" s="55"/>
      <c r="B126" s="63"/>
      <c r="C126" s="63"/>
      <c r="D126" s="63"/>
      <c r="E126" s="63"/>
      <c r="F126" s="63"/>
      <c r="G126" s="63"/>
      <c r="H126" s="63"/>
      <c r="I126" s="63"/>
    </row>
    <row r="127" spans="1:9" ht="18.75" customHeight="1" x14ac:dyDescent="0.15">
      <c r="A127" s="55"/>
      <c r="B127" s="63"/>
      <c r="C127" s="63"/>
      <c r="D127" s="63"/>
      <c r="E127" s="63"/>
      <c r="F127" s="63"/>
      <c r="G127" s="63"/>
      <c r="H127" s="63"/>
      <c r="I127" s="63"/>
    </row>
    <row r="128" spans="1:9" ht="18.75" customHeight="1" x14ac:dyDescent="0.15">
      <c r="A128" s="55"/>
      <c r="B128" s="63"/>
      <c r="C128" s="63"/>
      <c r="D128" s="63"/>
      <c r="E128" s="63"/>
      <c r="F128" s="63"/>
      <c r="G128" s="63"/>
      <c r="H128" s="63"/>
      <c r="I128" s="63"/>
    </row>
    <row r="129" spans="1:9" ht="18.75" customHeight="1" x14ac:dyDescent="0.15">
      <c r="A129" s="55"/>
      <c r="B129" s="63"/>
      <c r="C129" s="63"/>
      <c r="D129" s="63"/>
      <c r="E129" s="63"/>
      <c r="F129" s="63"/>
      <c r="G129" s="63"/>
      <c r="H129" s="63"/>
      <c r="I129" s="63"/>
    </row>
    <row r="130" spans="1:9" ht="18.75" customHeight="1" x14ac:dyDescent="0.15">
      <c r="A130" s="55"/>
      <c r="B130" s="63"/>
      <c r="C130" s="63"/>
      <c r="D130" s="63"/>
      <c r="E130" s="63"/>
      <c r="F130" s="63"/>
      <c r="G130" s="63"/>
      <c r="H130" s="63"/>
      <c r="I130" s="63"/>
    </row>
    <row r="131" spans="1:9" ht="18.75" customHeight="1" x14ac:dyDescent="0.15">
      <c r="A131" s="55"/>
      <c r="B131" s="63"/>
      <c r="C131" s="63"/>
      <c r="D131" s="63"/>
      <c r="E131" s="63"/>
      <c r="F131" s="63"/>
      <c r="G131" s="63"/>
      <c r="H131" s="63"/>
      <c r="I131" s="63"/>
    </row>
    <row r="132" spans="1:9" ht="18.75" customHeight="1" x14ac:dyDescent="0.15">
      <c r="A132" s="55"/>
      <c r="B132" s="63"/>
      <c r="C132" s="63"/>
      <c r="D132" s="63"/>
      <c r="E132" s="63"/>
      <c r="F132" s="63"/>
      <c r="G132" s="63"/>
      <c r="H132" s="63"/>
      <c r="I132" s="63"/>
    </row>
    <row r="133" spans="1:9" ht="14.25" x14ac:dyDescent="0.15">
      <c r="A133" s="55"/>
      <c r="B133" s="63"/>
      <c r="C133" s="63"/>
      <c r="D133" s="63"/>
      <c r="E133" s="63"/>
      <c r="F133" s="63"/>
      <c r="G133" s="63"/>
      <c r="H133" s="63"/>
      <c r="I133" s="63"/>
    </row>
    <row r="134" spans="1:9" ht="7.5" customHeight="1" x14ac:dyDescent="0.15">
      <c r="A134" s="55"/>
      <c r="B134" s="63"/>
      <c r="C134" s="63"/>
      <c r="D134" s="63"/>
      <c r="E134" s="63"/>
      <c r="F134" s="63"/>
      <c r="G134" s="63"/>
      <c r="H134" s="63"/>
      <c r="I134" s="6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7" zoomScaleNormal="100" zoomScaleSheetLayoutView="100" workbookViewId="0">
      <selection activeCell="B15" sqref="B15"/>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136</v>
      </c>
      <c r="I1" s="4" t="s">
        <v>137</v>
      </c>
    </row>
    <row r="2" spans="1:9" ht="18.75" customHeight="1" x14ac:dyDescent="0.15">
      <c r="H2" s="4" t="s">
        <v>2</v>
      </c>
      <c r="I2" s="3" t="str">
        <f>'様式１　プログラムを構成する授業科目'!C2</f>
        <v>相模女子大学</v>
      </c>
    </row>
    <row r="3" spans="1:9" ht="18.75" customHeight="1" x14ac:dyDescent="0.15">
      <c r="A3" s="107" t="s">
        <v>138</v>
      </c>
      <c r="B3" s="107"/>
      <c r="C3" s="107"/>
      <c r="D3" s="107"/>
      <c r="E3" s="107"/>
      <c r="F3" s="107"/>
      <c r="G3" s="107"/>
      <c r="H3" s="107"/>
      <c r="I3" s="107"/>
    </row>
    <row r="4" spans="1:9" ht="18.75" customHeight="1" x14ac:dyDescent="0.15">
      <c r="A4" s="64"/>
      <c r="B4" s="64"/>
      <c r="C4" s="64"/>
      <c r="D4" s="64"/>
      <c r="E4" s="64"/>
      <c r="F4" s="64"/>
      <c r="G4" s="64"/>
      <c r="H4" s="64"/>
      <c r="I4" s="64"/>
    </row>
    <row r="5" spans="1:9" ht="18.75" customHeight="1" x14ac:dyDescent="0.15">
      <c r="A5" s="1" t="s">
        <v>92</v>
      </c>
      <c r="B5" s="8" t="s">
        <v>139</v>
      </c>
      <c r="C5" s="64"/>
      <c r="D5" s="64"/>
      <c r="E5" s="64"/>
      <c r="F5" s="64"/>
      <c r="G5" s="64"/>
      <c r="H5" s="64"/>
      <c r="I5" s="64"/>
    </row>
    <row r="6" spans="1:9" ht="26.25" customHeight="1" x14ac:dyDescent="0.15">
      <c r="A6" s="64"/>
      <c r="B6" s="186" t="s">
        <v>106</v>
      </c>
      <c r="C6" s="230"/>
      <c r="D6" s="230"/>
      <c r="E6" s="230"/>
      <c r="F6" s="230"/>
      <c r="G6" s="230"/>
      <c r="H6" s="231"/>
      <c r="I6" s="7"/>
    </row>
    <row r="7" spans="1:9" ht="9" customHeight="1" x14ac:dyDescent="0.15">
      <c r="A7" s="64"/>
      <c r="B7" s="8"/>
      <c r="C7" s="8"/>
      <c r="D7" s="8"/>
      <c r="E7" s="8"/>
      <c r="F7" s="8"/>
      <c r="G7" s="8"/>
      <c r="H7" s="8"/>
      <c r="I7" s="7"/>
    </row>
    <row r="8" spans="1:9" ht="18.75" customHeight="1" x14ac:dyDescent="0.15">
      <c r="A8" s="64"/>
      <c r="B8" s="7"/>
      <c r="C8" s="7"/>
      <c r="D8" s="4" t="s">
        <v>100</v>
      </c>
      <c r="E8" s="11" t="s">
        <v>140</v>
      </c>
      <c r="F8" s="7"/>
      <c r="G8" s="4" t="s">
        <v>102</v>
      </c>
      <c r="H8" s="65" t="s">
        <v>141</v>
      </c>
      <c r="I8" s="7"/>
    </row>
    <row r="9" spans="1:9" ht="7.5" customHeight="1" x14ac:dyDescent="0.15">
      <c r="A9" s="64"/>
      <c r="B9" s="64"/>
      <c r="C9" s="64"/>
      <c r="D9" s="64"/>
      <c r="E9" s="64"/>
      <c r="F9" s="64"/>
      <c r="G9" s="64"/>
      <c r="H9" s="64"/>
      <c r="I9" s="64"/>
    </row>
    <row r="10" spans="1:9" ht="18.75" customHeight="1" x14ac:dyDescent="0.15">
      <c r="A10" s="1" t="s">
        <v>96</v>
      </c>
      <c r="B10" s="1" t="s">
        <v>142</v>
      </c>
      <c r="C10" s="55"/>
      <c r="D10" s="55"/>
      <c r="E10" s="55"/>
      <c r="F10" s="55"/>
      <c r="G10" s="55"/>
      <c r="H10" s="55"/>
      <c r="I10" s="55"/>
    </row>
    <row r="11" spans="1:9" ht="18.75" customHeight="1" x14ac:dyDescent="0.15">
      <c r="B11" s="81" t="s">
        <v>143</v>
      </c>
      <c r="C11" s="82"/>
      <c r="D11" s="83"/>
      <c r="E11" s="82" t="s">
        <v>144</v>
      </c>
      <c r="F11" s="82"/>
      <c r="G11" s="82"/>
      <c r="H11" s="82"/>
      <c r="I11" s="83"/>
    </row>
    <row r="12" spans="1:9" ht="26.25" customHeight="1" x14ac:dyDescent="0.15">
      <c r="B12" s="66" t="s">
        <v>145</v>
      </c>
      <c r="C12" s="55"/>
      <c r="D12" s="67"/>
      <c r="I12" s="67"/>
    </row>
    <row r="13" spans="1:9" ht="210.75" customHeight="1" x14ac:dyDescent="0.15">
      <c r="B13" s="68"/>
      <c r="C13" s="228" t="s">
        <v>146</v>
      </c>
      <c r="D13" s="229"/>
      <c r="E13" s="225" t="s">
        <v>147</v>
      </c>
      <c r="F13" s="226"/>
      <c r="G13" s="226"/>
      <c r="H13" s="226"/>
      <c r="I13" s="227"/>
    </row>
    <row r="14" spans="1:9" ht="210.75" customHeight="1" x14ac:dyDescent="0.15">
      <c r="B14" s="68"/>
      <c r="C14" s="223" t="s">
        <v>148</v>
      </c>
      <c r="D14" s="224"/>
      <c r="E14" s="225" t="s">
        <v>149</v>
      </c>
      <c r="F14" s="226"/>
      <c r="G14" s="226"/>
      <c r="H14" s="226"/>
      <c r="I14" s="227"/>
    </row>
    <row r="15" spans="1:9" ht="210.75" customHeight="1" x14ac:dyDescent="0.15">
      <c r="B15" s="68"/>
      <c r="C15" s="228" t="s">
        <v>150</v>
      </c>
      <c r="D15" s="229"/>
      <c r="E15" s="225" t="s">
        <v>151</v>
      </c>
      <c r="F15" s="226"/>
      <c r="G15" s="226"/>
      <c r="H15" s="226"/>
      <c r="I15" s="227"/>
    </row>
    <row r="16" spans="1:9" ht="210.75" customHeight="1" x14ac:dyDescent="0.15">
      <c r="B16" s="68"/>
      <c r="C16" s="228" t="s">
        <v>152</v>
      </c>
      <c r="D16" s="229"/>
      <c r="E16" s="225" t="s">
        <v>153</v>
      </c>
      <c r="F16" s="226"/>
      <c r="G16" s="226"/>
      <c r="H16" s="226"/>
      <c r="I16" s="227"/>
    </row>
    <row r="17" spans="2:9" ht="210.75" customHeight="1" x14ac:dyDescent="0.15">
      <c r="B17" s="69"/>
      <c r="C17" s="232" t="s">
        <v>154</v>
      </c>
      <c r="D17" s="233"/>
      <c r="E17" s="234" t="s">
        <v>155</v>
      </c>
      <c r="F17" s="235"/>
      <c r="G17" s="235"/>
      <c r="H17" s="235"/>
      <c r="I17" s="236"/>
    </row>
    <row r="18" spans="2:9" ht="24" customHeight="1" x14ac:dyDescent="0.15">
      <c r="B18" s="66" t="s">
        <v>156</v>
      </c>
      <c r="C18" s="70"/>
      <c r="D18" s="71"/>
      <c r="E18" s="72"/>
      <c r="F18" s="72"/>
      <c r="G18" s="72"/>
      <c r="H18" s="72"/>
      <c r="I18" s="73"/>
    </row>
    <row r="19" spans="2:9" ht="218.25" customHeight="1" x14ac:dyDescent="0.15">
      <c r="B19" s="68"/>
      <c r="C19" s="228" t="s">
        <v>157</v>
      </c>
      <c r="D19" s="229"/>
      <c r="E19" s="226" t="s">
        <v>158</v>
      </c>
      <c r="F19" s="226"/>
      <c r="G19" s="226"/>
      <c r="H19" s="226"/>
      <c r="I19" s="227"/>
    </row>
    <row r="20" spans="2:9" ht="218.25" customHeight="1" x14ac:dyDescent="0.15">
      <c r="B20" s="69"/>
      <c r="C20" s="232" t="s">
        <v>159</v>
      </c>
      <c r="D20" s="233"/>
      <c r="E20" s="235" t="s">
        <v>160</v>
      </c>
      <c r="F20" s="235"/>
      <c r="G20" s="235"/>
      <c r="H20" s="235"/>
      <c r="I20" s="236"/>
    </row>
    <row r="21" spans="2:9" ht="218.25" customHeight="1" x14ac:dyDescent="0.15">
      <c r="B21" s="242" t="s">
        <v>161</v>
      </c>
      <c r="C21" s="243"/>
      <c r="D21" s="244"/>
      <c r="E21" s="245" t="s">
        <v>162</v>
      </c>
      <c r="F21" s="245"/>
      <c r="G21" s="245"/>
      <c r="H21" s="245"/>
      <c r="I21" s="246"/>
    </row>
    <row r="22" spans="2:9" ht="218.25" customHeight="1" x14ac:dyDescent="0.15">
      <c r="B22" s="237" t="s">
        <v>163</v>
      </c>
      <c r="C22" s="238"/>
      <c r="D22" s="239"/>
      <c r="E22" s="240" t="s">
        <v>164</v>
      </c>
      <c r="F22" s="240"/>
      <c r="G22" s="240"/>
      <c r="H22" s="240"/>
      <c r="I22" s="241"/>
    </row>
    <row r="23" spans="2:9" ht="22.5" customHeight="1" x14ac:dyDescent="0.15">
      <c r="B23" s="55"/>
      <c r="C23" s="55"/>
      <c r="D23" s="55"/>
      <c r="E23" s="55"/>
      <c r="F23" s="55"/>
      <c r="G23" s="55"/>
      <c r="H23" s="55"/>
      <c r="I23" s="55"/>
    </row>
    <row r="24" spans="2:9" ht="22.5" customHeight="1" x14ac:dyDescent="0.15">
      <c r="B24" s="55"/>
      <c r="C24" s="55"/>
      <c r="D24" s="55"/>
      <c r="E24" s="55"/>
      <c r="F24" s="55"/>
      <c r="G24" s="55"/>
      <c r="H24" s="55"/>
      <c r="I24" s="55"/>
    </row>
    <row r="25" spans="2:9" ht="22.5" customHeight="1" x14ac:dyDescent="0.15">
      <c r="B25" s="55"/>
      <c r="C25" s="55"/>
      <c r="D25" s="55"/>
      <c r="E25" s="55"/>
      <c r="F25" s="55"/>
      <c r="G25" s="55"/>
      <c r="H25" s="55"/>
      <c r="I25" s="55"/>
    </row>
    <row r="26" spans="2:9" ht="22.5" customHeight="1" x14ac:dyDescent="0.15">
      <c r="B26" s="55"/>
      <c r="C26" s="55"/>
      <c r="D26" s="55"/>
      <c r="E26" s="55"/>
      <c r="F26" s="55"/>
      <c r="G26" s="55"/>
      <c r="H26" s="55"/>
      <c r="I26" s="55"/>
    </row>
    <row r="27" spans="2:9" ht="22.5" customHeight="1" x14ac:dyDescent="0.15">
      <c r="B27" s="55"/>
      <c r="C27" s="55"/>
      <c r="D27" s="55"/>
      <c r="E27" s="55"/>
      <c r="F27" s="55"/>
      <c r="G27" s="55"/>
      <c r="H27" s="55"/>
      <c r="I27" s="55"/>
    </row>
    <row r="28" spans="2:9" ht="22.5" customHeight="1" x14ac:dyDescent="0.15">
      <c r="B28" s="19"/>
      <c r="C28" s="19"/>
      <c r="D28" s="19"/>
      <c r="E28" s="19"/>
      <c r="F28" s="19"/>
      <c r="G28" s="19"/>
      <c r="H28" s="19"/>
      <c r="I28" s="19"/>
    </row>
    <row r="29" spans="2:9" ht="22.5" customHeight="1" x14ac:dyDescent="0.15">
      <c r="B29" s="19"/>
      <c r="C29" s="19"/>
      <c r="D29" s="19"/>
      <c r="E29" s="19"/>
      <c r="F29" s="19"/>
      <c r="G29" s="19"/>
      <c r="H29" s="19"/>
      <c r="I29" s="19"/>
    </row>
    <row r="30" spans="2:9" ht="22.5" customHeight="1" x14ac:dyDescent="0.15">
      <c r="B30" s="19"/>
      <c r="C30" s="19"/>
      <c r="D30" s="19"/>
      <c r="E30" s="19"/>
      <c r="F30" s="19"/>
      <c r="G30" s="19"/>
      <c r="H30" s="19"/>
      <c r="I30" s="19"/>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中戸川　陽子</cp:lastModifiedBy>
  <cp:revision/>
  <cp:lastPrinted>2024-05-07T06:29:53Z</cp:lastPrinted>
  <dcterms:created xsi:type="dcterms:W3CDTF">2011-06-14T05:32:50Z</dcterms:created>
  <dcterms:modified xsi:type="dcterms:W3CDTF">2024-06-10T09:52:56Z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