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https://nguacjp.sharepoint.com/sites/jouhous365/Jouhous/■2024年度/数理・データサイエンス・ＡＩ教育プログラム/第１回数理・データサイエンス・ＡＩ教育プログラム委員会/申請書一式/★提出ファイル/(再)名古屋学院大学/01_名古屋学院大学_リテラシー/"/>
    </mc:Choice>
  </mc:AlternateContent>
  <xr:revisionPtr revIDLastSave="269" documentId="13_ncr:1_{BA4A8525-5936-4686-BC52-461CB0F6C3A1}" xr6:coauthVersionLast="47" xr6:coauthVersionMax="47" xr10:uidLastSave="{2E7BF3B9-E4A6-46D1-97BA-BC3E1AEE8AF6}"/>
  <bookViews>
    <workbookView xWindow="-108" yWindow="-13068" windowWidth="23256" windowHeight="12576"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40" l="1"/>
  <c r="S13" i="40" s="1"/>
  <c r="D33" i="40"/>
  <c r="R20" i="40"/>
  <c r="S20" i="40" s="1"/>
  <c r="M7" i="40" l="1"/>
  <c r="I2" i="42" l="1"/>
  <c r="H2" i="41"/>
  <c r="Q2" i="40"/>
  <c r="I33" i="40" l="1"/>
  <c r="M33" i="40"/>
  <c r="P33" i="40"/>
  <c r="Q33" i="40"/>
  <c r="O33" i="40"/>
  <c r="N33" i="40"/>
  <c r="L33" i="40"/>
  <c r="J33" i="40"/>
  <c r="K33" i="40"/>
  <c r="H33" i="40"/>
  <c r="R14" i="40" l="1"/>
  <c r="S14" i="40" s="1"/>
  <c r="R15" i="40"/>
  <c r="R16" i="40"/>
  <c r="R17" i="40"/>
  <c r="R18" i="40"/>
  <c r="R19" i="40"/>
  <c r="C33" i="40"/>
  <c r="G33" i="40" l="1"/>
  <c r="F33" i="40" l="1"/>
  <c r="E33" i="40"/>
  <c r="I50" i="41" s="1"/>
  <c r="S19" i="40"/>
  <c r="S18" i="40"/>
  <c r="S17" i="40"/>
  <c r="S16" i="40"/>
  <c r="S15" i="40"/>
  <c r="R33" i="40" l="1"/>
  <c r="S33" i="40" s="1"/>
  <c r="C49" i="41" s="1"/>
</calcChain>
</file>

<file path=xl/sharedStrings.xml><?xml version="1.0" encoding="utf-8"?>
<sst xmlns="http://schemas.openxmlformats.org/spreadsheetml/2006/main" count="309" uniqueCount="194">
  <si>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</si>
  <si>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</si>
  <si>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</si>
  <si>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</si>
  <si>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</si>
  <si>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</si>
  <si>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</si>
  <si>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</si>
  <si>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</si>
  <si>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</si>
  <si>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</si>
  <si>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</si>
  <si>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</si>
  <si>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</si>
  <si>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</si>
  <si>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</si>
  <si>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</si>
  <si>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</si>
  <si>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</si>
  <si>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</si>
  <si>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</si>
  <si>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</si>
  <si>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</si>
  <si>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</si>
  <si>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</si>
  <si>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</si>
  <si>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</si>
  <si>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</si>
  <si>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</si>
  <si>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</si>
  <si>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</si>
  <si>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</si>
  <si>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</si>
  <si>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</si>
  <si>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</si>
  <si>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</si>
  <si>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</si>
  <si>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</si>
  <si>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</si>
  <si>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</si>
  <si>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</si>
  <si>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</si>
  <si>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</si>
  <si>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</si>
  <si>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</si>
  <si>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</si>
  <si>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</si>
  <si>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</si>
  <si>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</si>
  <si>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</si>
  <si>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</si>
  <si>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</si>
  <si>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</si>
  <si>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</si>
  <si>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</si>
  <si>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</si>
  <si>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</si>
  <si>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</si>
  <si>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</si>
  <si>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</si>
  <si>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</si>
  <si>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</si>
  <si>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</si>
  <si>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</si>
  <si>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</si>
  <si>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</si>
  <si>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</si>
  <si>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</si>
  <si>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</si>
  <si>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</si>
  <si>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</si>
  <si>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</si>
  <si>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</si>
  <si>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</si>
  <si>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</si>
  <si>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</si>
  <si>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</si>
  <si>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</si>
  <si>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</si>
  <si>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</si>
  <si>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</si>
  <si>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</si>
  <si>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</si>
  <si>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</si>
  <si>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</si>
  <si>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</si>
  <si>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</si>
  <si>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</si>
  <si>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</si>
  <si>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</si>
  <si>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</si>
  <si>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</si>
  <si>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</si>
  <si>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</si>
  <si>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</si>
  <si>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</si>
  <si>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</si>
  <si>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</si>
  <si>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</si>
  <si>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</si>
  <si>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</si>
  <si>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</si>
  <si>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</si>
  <si>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</si>
  <si>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</si>
  <si>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</si>
  <si>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</si>
  <si>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</si>
  <si>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</si>
  <si>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</si>
  <si>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</si>
  <si>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</si>
  <si>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</si>
  <si>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</si>
  <si>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</si>
  <si>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</si>
  <si>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</si>
  <si>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</si>
  <si>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</si>
  <si>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</si>
  <si>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</si>
  <si>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</si>
  <si>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</si>
  <si>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</si>
  <si>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</si>
  <si>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</si>
  <si>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</si>
  <si>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</si>
  <si>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</si>
  <si>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</si>
  <si>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</si>
  <si>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</si>
  <si>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</si>
  <si>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</si>
  <si>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</si>
  <si>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名古屋学院大学</t>
    <phoneticPr fontId="1"/>
  </si>
  <si>
    <t>学部・学科によって、修了要件は相違しない</t>
  </si>
  <si>
    <t>本プログラムを通して、学生は大きく変わりつつある社会の中で求められる役割・責任を自覚し、数理・データサイエンス・AIの広範な適用領域を意識しながらデータを適切に読み解き、活用する方法を身につけることができる。また、本学ディプロマポリシーに基づく、知識・技能、思考力・判断力・表現力を主体的・複合的に身につけることができる。</t>
    <phoneticPr fontId="1"/>
  </si>
  <si>
    <t>令和5</t>
    <rPh sb="0" eb="2">
      <t>レイワ</t>
    </rPh>
    <phoneticPr fontId="1"/>
  </si>
  <si>
    <t>赤楚　治之</t>
    <rPh sb="0" eb="2">
      <t>アカソ</t>
    </rPh>
    <rPh sb="3" eb="5">
      <t>ナオユキ</t>
    </rPh>
    <phoneticPr fontId="1"/>
  </si>
  <si>
    <t>学長</t>
    <rPh sb="0" eb="2">
      <t>ガクチョウ</t>
    </rPh>
    <phoneticPr fontId="1"/>
  </si>
  <si>
    <t>数理・データサイエンス・ＡＩ教育プログラム委員会</t>
    <phoneticPr fontId="1"/>
  </si>
  <si>
    <t>赤楚　治之</t>
    <phoneticPr fontId="1"/>
  </si>
  <si>
    <t>学長</t>
    <phoneticPr fontId="1"/>
  </si>
  <si>
    <t>数理・データサイエンス・ＡＩ教育プログラム委員会規程</t>
    <phoneticPr fontId="1"/>
  </si>
  <si>
    <t>収容定員（名）</t>
    <phoneticPr fontId="1"/>
  </si>
  <si>
    <t>データサイエンスリテラシー</t>
    <phoneticPr fontId="1"/>
  </si>
  <si>
    <t>情報処理リテラシー</t>
    <rPh sb="0" eb="2">
      <t>ジョウホウ</t>
    </rPh>
    <rPh sb="2" eb="4">
      <t>ショリ</t>
    </rPh>
    <phoneticPr fontId="1"/>
  </si>
  <si>
    <t>情報処理リテラシー</t>
    <phoneticPr fontId="1"/>
  </si>
  <si>
    <t>○</t>
  </si>
  <si>
    <t>該当なし</t>
    <rPh sb="0" eb="2">
      <t>ガイトウ</t>
    </rPh>
    <phoneticPr fontId="1"/>
  </si>
  <si>
    <t>数理・データサイエンス・AI 教育プログラム</t>
    <phoneticPr fontId="1"/>
  </si>
  <si>
    <t xml:space="preserve">  </t>
    <phoneticPr fontId="1"/>
  </si>
  <si>
    <t>4‐2アルゴリズム基礎</t>
  </si>
  <si>
    <t>4‐3データ構造とプログラミング基礎</t>
  </si>
  <si>
    <t>4‐7データハンドリング</t>
  </si>
  <si>
    <t>4‐8データ活用実践（教師あり学習）</t>
  </si>
  <si>
    <t>4‐9データ活用実践（教師なし学習）</t>
  </si>
  <si>
    <t>（１）　学長(数理・データサイエンス・ＡＩ教育プログラム委員長)：赤楚　治之
（２）　学術情報センター長：肥田　朋子
（３）　教務部長 兼 教養教育運営委員長：濵　満久
（４）　教養教育運営委員会情報部会所属教員から若干名：齋藤　邦彦
（５）　事務局次長（教学担当）：加藤 高明
（６）　学術情報センター、教務部から事務職員各１名：牧野 雅(学術情報センター)、
　　　　　　　　　　　　　　　　　　　　　　　　　　　　　　　　　　 岡本　康(教務課)</t>
    <rPh sb="33" eb="35">
      <t>アカソ</t>
    </rPh>
    <rPh sb="36" eb="38">
      <t>ナオユキ</t>
    </rPh>
    <rPh sb="53" eb="55">
      <t>コエダ</t>
    </rPh>
    <rPh sb="56" eb="58">
      <t>トモコ</t>
    </rPh>
    <rPh sb="68" eb="69">
      <t>ケン</t>
    </rPh>
    <rPh sb="134" eb="136">
      <t>カトウ</t>
    </rPh>
    <rPh sb="137" eb="139">
      <t>タカアキ</t>
    </rPh>
    <rPh sb="166" eb="168">
      <t>マキノ</t>
    </rPh>
    <rPh sb="169" eb="170">
      <t>ミヤビ</t>
    </rPh>
    <rPh sb="171" eb="173">
      <t>ガクジュツ</t>
    </rPh>
    <rPh sb="173" eb="175">
      <t>ジョウホウ</t>
    </rPh>
    <phoneticPr fontId="1"/>
  </si>
  <si>
    <t>・AI利活用事例紹介「情報処理リテラシー」(１５回目)
・データサイエンスのサイクル(データの取得・管理・加工)「データサイエンスリテラシー」(２回目)
・金融におけるデータ・AI利活用事例紹介「データサイエンスリテラシー」(１３回目)</t>
    <phoneticPr fontId="1"/>
  </si>
  <si>
    <t>・情報セキュリティ：機密性、完全性、可用性「情報処理リテラシー」(９回目)
・匿名加工情報、暗号化、パスワード「情報処理リテラシー」(９回目)</t>
    <phoneticPr fontId="1"/>
  </si>
  <si>
    <t>・データ表現(棒グラフ、折線グラフ)「情報処理リテラシー」(１１回目)</t>
    <rPh sb="19" eb="21">
      <t>ジョウホウ</t>
    </rPh>
    <rPh sb="21" eb="23">
      <t>ショリ</t>
    </rPh>
    <phoneticPr fontId="1"/>
  </si>
  <si>
    <t>・データの集計（和、平均）「情報処理リテラシー」(１２回目)
・データの並び替え、ランキング「情報処理リテラシー」(１３回目)
・データ解析ツール（スプレッドシート）「情報処理リテラシー」(１３回目)
・表形式のデータ（csv）「情報処理リテラシー」(１４回目)</t>
    <rPh sb="27" eb="29">
      <t>カイメ</t>
    </rPh>
    <phoneticPr fontId="1"/>
  </si>
  <si>
    <t>・ビッグデータ「情報処理リテラシー」(１回目)
・IoT、AI「情報処理リテラシー」(１５回目)
・データ量の増加「情報処理リテラシー」(１回目)
・ビッグデータ、AI「データサイエンスリテラシー」(１回目)</t>
    <rPh sb="8" eb="10">
      <t>ジョウホウ</t>
    </rPh>
    <rPh sb="10" eb="12">
      <t>ショリ</t>
    </rPh>
    <rPh sb="20" eb="22">
      <t>カイメカイメ</t>
    </rPh>
    <phoneticPr fontId="1"/>
  </si>
  <si>
    <t>・データ可視化：複合グラフ、2軸グラフ「情報処理リテラシー」(１１回目)
・特化型AIと汎用AI「情報処理リテラシー」(１５回目)
・データ解析：予測、グルーピング、パターン発見「データサイエンスリテラシー」(６回目)
・データ解析：グルーピング「データサイエンスリテラシー」(７回目)
・画像処理、音声処理「データサイエンスリテラシー」(１４回目)
・AIとビッグデータ「データサイエンスリテラシー」(１回目)</t>
    <phoneticPr fontId="1"/>
  </si>
  <si>
    <t>委員会は、文部科学省が定める「数理・データサイエンス・AI教育プログラム認定制度」に基づく認定プログラムを運営、改善することを目的とする。
委員会では、具体的に以下を行う。
（１）　教育プログラムの立案、実施に関する事項
（２）　教育プログラムに設置する授業科目に関する事項
（３）　教育プログラムについての、自己点検・評価に関する事項
（４）　教育プログラムについての、情報公開に関する事項
（５）　その他教育プログラム実施に際し、必要な事項</t>
    <rPh sb="70" eb="73">
      <t>イインカイ</t>
    </rPh>
    <rPh sb="76" eb="79">
      <t>グタイテキ</t>
    </rPh>
    <rPh sb="80" eb="82">
      <t>イカ</t>
    </rPh>
    <rPh sb="83" eb="84">
      <t>オコナ</t>
    </rPh>
    <rPh sb="91" eb="93">
      <t>キョウイク</t>
    </rPh>
    <rPh sb="99" eb="101">
      <t>リツアン</t>
    </rPh>
    <rPh sb="102" eb="104">
      <t>ジッシ</t>
    </rPh>
    <rPh sb="105" eb="106">
      <t>カン</t>
    </rPh>
    <rPh sb="108" eb="110">
      <t>ジコウ</t>
    </rPh>
    <rPh sb="115" eb="117">
      <t>キョウイク</t>
    </rPh>
    <rPh sb="123" eb="125">
      <t>セッチ</t>
    </rPh>
    <rPh sb="127" eb="129">
      <t>ジュギョウ</t>
    </rPh>
    <rPh sb="129" eb="131">
      <t>カモク</t>
    </rPh>
    <rPh sb="132" eb="133">
      <t>カン</t>
    </rPh>
    <rPh sb="135" eb="137">
      <t>ジコウ</t>
    </rPh>
    <rPh sb="142" eb="144">
      <t>キョウイク</t>
    </rPh>
    <rPh sb="155" eb="157">
      <t>テンケン</t>
    </rPh>
    <rPh sb="158" eb="160">
      <t>ヒョウカ</t>
    </rPh>
    <rPh sb="161" eb="162">
      <t>カン</t>
    </rPh>
    <rPh sb="164" eb="166">
      <t>ジコウ</t>
    </rPh>
    <rPh sb="184" eb="186">
      <t>ジョウホウ</t>
    </rPh>
    <rPh sb="186" eb="188">
      <t>コウカイ</t>
    </rPh>
    <rPh sb="189" eb="190">
      <t>カン</t>
    </rPh>
    <rPh sb="192" eb="194">
      <t>ジコウ</t>
    </rPh>
    <rPh sb="201" eb="202">
      <t>タ</t>
    </rPh>
    <rPh sb="202" eb="204">
      <t>キョウイク</t>
    </rPh>
    <rPh sb="209" eb="211">
      <t>ジッシ</t>
    </rPh>
    <rPh sb="212" eb="213">
      <t>サイ</t>
    </rPh>
    <rPh sb="215" eb="217">
      <t>ヒツヨウ</t>
    </rPh>
    <rPh sb="218" eb="220">
      <t>ジコウ</t>
    </rPh>
    <rPh sb="221" eb="222">
      <t>オコナ</t>
    </rPh>
    <phoneticPr fontId="1"/>
  </si>
  <si>
    <t>本教育プログラムを構成する2科目とも全学共通科目であり、全ての学生が受講することができる科目である。「情報処理リテラシー」は、１年次の春学期全学部必修科目として位置づけられており名古屋キャンパス、瀬戸キャンパスで学科毎に開講クラスを設定し、2023年度は合計73コマ、教員数11名を確保している。「データサイエンスリテラシー」は、Microsoft Streamでの動画配信機能や本学独自開発のポータルサイト[CCS]の資料配布機能、レポート提出機能を利用したオンデマンド授業としており、他の科目の授業時間や課外活動、所属キャンパス等による制限を受けず、希望する学生は、全員受講可能な体制を整えている。</t>
    <rPh sb="80" eb="82">
      <t>イチ</t>
    </rPh>
    <rPh sb="89" eb="92">
      <t>ナゴヤ</t>
    </rPh>
    <rPh sb="98" eb="100">
      <t>セト</t>
    </rPh>
    <rPh sb="106" eb="108">
      <t>ガッカ</t>
    </rPh>
    <rPh sb="108" eb="109">
      <t>ゴト</t>
    </rPh>
    <rPh sb="110" eb="112">
      <t>カイコウ</t>
    </rPh>
    <rPh sb="116" eb="118">
      <t>セッテイ</t>
    </rPh>
    <rPh sb="124" eb="126">
      <t>ネンド</t>
    </rPh>
    <rPh sb="127" eb="129">
      <t>ゴウケイ</t>
    </rPh>
    <rPh sb="134" eb="136">
      <t>キョウイン</t>
    </rPh>
    <rPh sb="136" eb="137">
      <t>スウ</t>
    </rPh>
    <rPh sb="139" eb="140">
      <t>メイ</t>
    </rPh>
    <rPh sb="141" eb="143">
      <t>カクホ</t>
    </rPh>
    <rPh sb="187" eb="189">
      <t>キノウ</t>
    </rPh>
    <rPh sb="214" eb="216">
      <t>キノウ</t>
    </rPh>
    <rPh sb="223" eb="225">
      <t>キノウ</t>
    </rPh>
    <rPh sb="226" eb="228">
      <t>リヨウ</t>
    </rPh>
    <rPh sb="246" eb="248">
      <t>カモク</t>
    </rPh>
    <rPh sb="259" eb="261">
      <t>ショゾク</t>
    </rPh>
    <rPh sb="282" eb="284">
      <t>ホンガク</t>
    </rPh>
    <phoneticPr fontId="1"/>
  </si>
  <si>
    <t>卒業要件上の必修科目である「情報処理リテラシー」の授業内で数理・データサイエンス・AI教育プログラムの紹介を行い、本教育プログラムを修了することで、社会の中で求められる役割・責任を自覚し、数理・データサイエンス・AIの広範な適用領域を意識しながらデータを適切に読み解き、活用する方法を身につけることができる等のメリットを伝えている。また、大学公式ホームページに数理・データサイエンス・AI教育プログラム専用ページ(https://www.ngu.jp/faculty/department/datascience/)を作成し、学生が情報を受け取りやすい環境を整備し周知するとともに、大学案内などの広報媒体を使用し、本教育プログラムの情報を発信し、入学予定者へのさらなる訴求も行っていく。</t>
    <rPh sb="0" eb="2">
      <t>ソツギョウ</t>
    </rPh>
    <rPh sb="2" eb="4">
      <t>ヨウケン</t>
    </rPh>
    <rPh sb="4" eb="5">
      <t>ジョウ</t>
    </rPh>
    <rPh sb="57" eb="58">
      <t>ホン</t>
    </rPh>
    <rPh sb="58" eb="60">
      <t>キョウイク</t>
    </rPh>
    <rPh sb="66" eb="68">
      <t>シュウリョウ</t>
    </rPh>
    <rPh sb="153" eb="154">
      <t>トウ</t>
    </rPh>
    <rPh sb="160" eb="161">
      <t>ツタ</t>
    </rPh>
    <rPh sb="201" eb="203">
      <t>センヨウ</t>
    </rPh>
    <rPh sb="262" eb="264">
      <t>ガクセイ</t>
    </rPh>
    <rPh sb="265" eb="267">
      <t>ジョウホウ</t>
    </rPh>
    <rPh sb="268" eb="269">
      <t>ウ</t>
    </rPh>
    <rPh sb="270" eb="271">
      <t>ト</t>
    </rPh>
    <rPh sb="275" eb="277">
      <t>カンキョウ</t>
    </rPh>
    <rPh sb="278" eb="280">
      <t>セイビ</t>
    </rPh>
    <rPh sb="281" eb="283">
      <t>シュウチ</t>
    </rPh>
    <rPh sb="302" eb="304">
      <t>シヨウ</t>
    </rPh>
    <rPh sb="307" eb="308">
      <t>ホン</t>
    </rPh>
    <rPh sb="315" eb="317">
      <t>ジョウホウ</t>
    </rPh>
    <rPh sb="336" eb="337">
      <t>オコナ</t>
    </rPh>
    <phoneticPr fontId="1"/>
  </si>
  <si>
    <t>本学独自開発の学内ポータルサイト[CCS]で、学生は授業時間内外で担当教員に質問ができる。担当教員には質問が来ると通知がされ、返答できる仕組みとなっている。「情報処理リテラシー」では、授業内でのパソコン操作実習の進捗具合を都度確認し、進捗が遅れている学生がいた場合は、個別に対応し授業を進めていることに加え、Microsoft Teamsでのチャットやメールによる質問も受け付けており、学生からの質問受付の方法を複数用意している。また、学生からのパソコンの相談を受け付けるパソコン相談コーナーでは、パソコンの操作実習で使用するMicrosoft Office等の使用方法について相談を受け付けており、授業時間外でも対面でサポートできる体制を整えている。</t>
    <rPh sb="7" eb="9">
      <t>ガクナイ</t>
    </rPh>
    <rPh sb="23" eb="25">
      <t>ガクセイ</t>
    </rPh>
    <rPh sb="30" eb="31">
      <t>ナイ</t>
    </rPh>
    <rPh sb="31" eb="32">
      <t>ガイ</t>
    </rPh>
    <rPh sb="47" eb="49">
      <t>キョウイン</t>
    </rPh>
    <rPh sb="51" eb="53">
      <t>シツモン</t>
    </rPh>
    <rPh sb="54" eb="55">
      <t>ク</t>
    </rPh>
    <rPh sb="57" eb="59">
      <t>ツウチ</t>
    </rPh>
    <rPh sb="63" eb="65">
      <t>ヘントウ</t>
    </rPh>
    <rPh sb="68" eb="70">
      <t>シク</t>
    </rPh>
    <rPh sb="79" eb="81">
      <t>ジョウホウ</t>
    </rPh>
    <rPh sb="81" eb="83">
      <t>ショリ</t>
    </rPh>
    <rPh sb="92" eb="94">
      <t>ジュギョウ</t>
    </rPh>
    <rPh sb="94" eb="95">
      <t>ナイ</t>
    </rPh>
    <rPh sb="101" eb="103">
      <t>ソウサ</t>
    </rPh>
    <rPh sb="103" eb="105">
      <t>ジッシュウ</t>
    </rPh>
    <rPh sb="106" eb="108">
      <t>シンチョク</t>
    </rPh>
    <rPh sb="108" eb="110">
      <t>グアイ</t>
    </rPh>
    <rPh sb="111" eb="113">
      <t>ツド</t>
    </rPh>
    <rPh sb="113" eb="115">
      <t>カクニン</t>
    </rPh>
    <rPh sb="117" eb="119">
      <t>シンチョク</t>
    </rPh>
    <rPh sb="120" eb="121">
      <t>オク</t>
    </rPh>
    <rPh sb="125" eb="127">
      <t>ガクセイ</t>
    </rPh>
    <rPh sb="130" eb="132">
      <t>バアイ</t>
    </rPh>
    <rPh sb="134" eb="136">
      <t>コベツ</t>
    </rPh>
    <rPh sb="137" eb="139">
      <t>タイオウ</t>
    </rPh>
    <rPh sb="140" eb="142">
      <t>ジュギョウ</t>
    </rPh>
    <rPh sb="143" eb="144">
      <t>スス</t>
    </rPh>
    <rPh sb="151" eb="152">
      <t>クワ</t>
    </rPh>
    <rPh sb="254" eb="256">
      <t>ソウサ</t>
    </rPh>
    <rPh sb="256" eb="258">
      <t>ジッシュウ</t>
    </rPh>
    <rPh sb="259" eb="261">
      <t>シヨウ</t>
    </rPh>
    <rPh sb="279" eb="280">
      <t>トウ</t>
    </rPh>
    <rPh sb="281" eb="285">
      <t>シヨウホウホウ</t>
    </rPh>
    <rPh sb="289" eb="291">
      <t>ソウダン</t>
    </rPh>
    <rPh sb="292" eb="293">
      <t>ウ</t>
    </rPh>
    <rPh sb="294" eb="295">
      <t>ツ</t>
    </rPh>
    <rPh sb="300" eb="302">
      <t>ジュギョウ</t>
    </rPh>
    <rPh sb="302" eb="304">
      <t>ジカン</t>
    </rPh>
    <rPh sb="304" eb="305">
      <t>ガイ</t>
    </rPh>
    <rPh sb="307" eb="309">
      <t>タイメン</t>
    </rPh>
    <rPh sb="317" eb="319">
      <t>タイセイ</t>
    </rPh>
    <rPh sb="320" eb="321">
      <t>トトノ</t>
    </rPh>
    <phoneticPr fontId="1"/>
  </si>
  <si>
    <t>学内ポータルサイト[CCS]において、プログラムを構成する授業科目の履修・修得状況を管理するとともに、これらのデータは、数理・データサイエンス・ＡＩ教育プログラム委員会で共有し、本教育プログラムの評価・改善に活用している。令和5年度から開始した本教育プログラムの履修状況としては、全学で300人が履修、256人が修了した。教育プログラムの対象科目を履修できる1年次の本教育プログラムの全体に対する修了率は、15.5%であった。
(参考)
＜情報処理リテラシー＞ 履修者数：1,652名、修得者数：1,581名
＜データサイエンスリテラシー＞ 履修者数：300名、修得者数：256名</t>
    <rPh sb="0" eb="2">
      <t>ガクナイ</t>
    </rPh>
    <rPh sb="90" eb="92">
      <t>キョウイク</t>
    </rPh>
    <rPh sb="111" eb="113">
      <t>レイワ</t>
    </rPh>
    <rPh sb="114" eb="116">
      <t>ネンド</t>
    </rPh>
    <rPh sb="118" eb="120">
      <t>カイシ</t>
    </rPh>
    <rPh sb="122" eb="123">
      <t>ホン</t>
    </rPh>
    <rPh sb="123" eb="125">
      <t>キョウイク</t>
    </rPh>
    <rPh sb="131" eb="133">
      <t>リシュウ</t>
    </rPh>
    <rPh sb="133" eb="135">
      <t>ジョウキョウ</t>
    </rPh>
    <rPh sb="140" eb="142">
      <t>ゼンガク</t>
    </rPh>
    <rPh sb="144" eb="146">
      <t>リシュウ</t>
    </rPh>
    <rPh sb="146" eb="147">
      <t>ニン</t>
    </rPh>
    <rPh sb="154" eb="155">
      <t>ニン</t>
    </rPh>
    <rPh sb="156" eb="158">
      <t>シュウリョウ</t>
    </rPh>
    <rPh sb="177" eb="179">
      <t>ネンジ</t>
    </rPh>
    <rPh sb="180" eb="182">
      <t>リシュウ</t>
    </rPh>
    <rPh sb="182" eb="183">
      <t>リツ</t>
    </rPh>
    <rPh sb="183" eb="184">
      <t>ホン</t>
    </rPh>
    <rPh sb="184" eb="186">
      <t>キョウイク</t>
    </rPh>
    <rPh sb="192" eb="194">
      <t>ゼンタイ</t>
    </rPh>
    <rPh sb="195" eb="196">
      <t>タイ</t>
    </rPh>
    <rPh sb="198" eb="200">
      <t>シュウリョウ</t>
    </rPh>
    <rPh sb="200" eb="201">
      <t>リツ</t>
    </rPh>
    <phoneticPr fontId="1"/>
  </si>
  <si>
    <t>本教育プログラム受講者全員に対して授業アンケートを実施しており、学内ポータルサイト[CCS]で学生が授業に関する内容に、さらに興味・感心を持つようになったかや授業を通じて、新しい知識や技能を得たり、理解が深まったかを把握できる仕組みとなっている。令和5年度の結果では、興味関心に関する質問に対し、「情報処理リテラシー」は87.7%、「データサイエンスリテラシー」は72.4%の学生が興味を持ったと回答し、「理解・修得」に関する質問に対しては、「情報処理リテラシー」は95.9%、「データサイエンスリテラシー」は86.1%の学生が理解が高まったと回答している。</t>
    <rPh sb="32" eb="34">
      <t>ガクナイ</t>
    </rPh>
    <rPh sb="50" eb="52">
      <t>ジュギョウ</t>
    </rPh>
    <rPh sb="53" eb="54">
      <t>カン</t>
    </rPh>
    <rPh sb="56" eb="58">
      <t>ナイヨウ</t>
    </rPh>
    <rPh sb="63" eb="65">
      <t>キョウミ</t>
    </rPh>
    <rPh sb="66" eb="68">
      <t>カンシン</t>
    </rPh>
    <rPh sb="69" eb="70">
      <t>モ</t>
    </rPh>
    <rPh sb="79" eb="81">
      <t>ジュギョウ</t>
    </rPh>
    <rPh sb="82" eb="83">
      <t>ツウ</t>
    </rPh>
    <rPh sb="86" eb="87">
      <t>アタラ</t>
    </rPh>
    <rPh sb="89" eb="91">
      <t>チシキ</t>
    </rPh>
    <rPh sb="92" eb="94">
      <t>ギノウ</t>
    </rPh>
    <rPh sb="95" eb="96">
      <t>エ</t>
    </rPh>
    <rPh sb="99" eb="101">
      <t>リカイ</t>
    </rPh>
    <rPh sb="102" eb="103">
      <t>フカ</t>
    </rPh>
    <rPh sb="108" eb="110">
      <t>ハアク</t>
    </rPh>
    <rPh sb="123" eb="125">
      <t>レイワ</t>
    </rPh>
    <rPh sb="126" eb="128">
      <t>ネンド</t>
    </rPh>
    <rPh sb="129" eb="131">
      <t>ケッカ</t>
    </rPh>
    <rPh sb="132" eb="134">
      <t>イカ</t>
    </rPh>
    <rPh sb="134" eb="138">
      <t>キョウミカンシン</t>
    </rPh>
    <rPh sb="139" eb="140">
      <t>カン</t>
    </rPh>
    <rPh sb="149" eb="151">
      <t>ガクセイキ</t>
    </rPh>
    <rPh sb="151" eb="153">
      <t/>
    </rPh>
    <rPh sb="188" eb="190">
      <t>ガクセイ</t>
    </rPh>
    <rPh sb="191" eb="193">
      <t>キョウミ</t>
    </rPh>
    <rPh sb="194" eb="195">
      <t>モ</t>
    </rPh>
    <rPh sb="198" eb="200">
      <t>カイトウ</t>
    </rPh>
    <rPh sb="203" eb="205">
      <t>リカイ</t>
    </rPh>
    <rPh sb="206" eb="208">
      <t>シュウトク</t>
    </rPh>
    <rPh sb="210" eb="211">
      <t>カン</t>
    </rPh>
    <rPh sb="213" eb="215">
      <t>シツモン</t>
    </rPh>
    <rPh sb="216" eb="217">
      <t>タイ</t>
    </rPh>
    <rPh sb="264" eb="266">
      <t>リカイ</t>
    </rPh>
    <rPh sb="267" eb="268">
      <t>タカ</t>
    </rPh>
    <rPh sb="272" eb="274">
      <t>カイトウ</t>
    </rPh>
    <phoneticPr fontId="1"/>
  </si>
  <si>
    <t>本教育プログラム受講者全員に対して授業アンケートを実施しており、学内ポータルサイト[CCS]で学生の理解度を担当教員が把握できる仕組みとなっている。アンケート結果は数理・データサイエンス・ＡＩ教育プログラム委員会で共有し、本教育プログラムの評価・改善に活用している。前項(学修成果)に記載のとおり「理解・修得」に関するアンケート結果から、多くの学生が理解が深まったと回答している。記述式のアンケートでも社会で役立つIT関連の知識、スキルを身につけれられたなどの回答があり、授業内容を理解し、スキルを身につけられていることが分かる。</t>
    <rPh sb="112" eb="114">
      <t>キョウイク</t>
    </rPh>
    <rPh sb="133" eb="135">
      <t>ゼンコウ</t>
    </rPh>
    <rPh sb="136" eb="138">
      <t>ガクシュウ</t>
    </rPh>
    <rPh sb="138" eb="140">
      <t>セイカ</t>
    </rPh>
    <rPh sb="142" eb="144">
      <t>キサイ</t>
    </rPh>
    <rPh sb="164" eb="166">
      <t>ケッカ</t>
    </rPh>
    <rPh sb="169" eb="170">
      <t>オオ</t>
    </rPh>
    <rPh sb="178" eb="179">
      <t>フカ</t>
    </rPh>
    <rPh sb="190" eb="192">
      <t>キジュツ</t>
    </rPh>
    <rPh sb="192" eb="193">
      <t>シキ</t>
    </rPh>
    <rPh sb="201" eb="203">
      <t>シャカイ</t>
    </rPh>
    <rPh sb="204" eb="206">
      <t>ヤクダ</t>
    </rPh>
    <rPh sb="209" eb="211">
      <t>カンレン</t>
    </rPh>
    <rPh sb="212" eb="214">
      <t>チシキ</t>
    </rPh>
    <rPh sb="219" eb="220">
      <t>ミ</t>
    </rPh>
    <rPh sb="230" eb="232">
      <t>カイトウ</t>
    </rPh>
    <rPh sb="236" eb="238">
      <t>ジュギョウ</t>
    </rPh>
    <rPh sb="238" eb="240">
      <t>ナイヨウ</t>
    </rPh>
    <rPh sb="241" eb="243">
      <t>リカイ</t>
    </rPh>
    <rPh sb="249" eb="250">
      <t>ミ</t>
    </rPh>
    <rPh sb="261" eb="262">
      <t>ワ</t>
    </rPh>
    <phoneticPr fontId="1"/>
  </si>
  <si>
    <t>授業アンケートでは、授業に対する満足度を定量的に把握できる。また、記述式設問の「良かった点、評価できる点」等の回答でより具体的な意見を把握することができる。また、これら授業アンケートの結果は、常に全学生が閲覧可能な状態である。令和5年度のアンケート結果では、「総合的にみて、この授業の内容に満足しているか」の質問に対して、「情報処理リテラシー」は95.1%、「データサイエンスリテラシー」は78.6%の学生が満足していると回答していることから、後輩等他の学生への推奨度が高いことが分かる。</t>
    <rPh sb="0" eb="2">
      <t>ジュギョウ</t>
    </rPh>
    <rPh sb="10" eb="12">
      <t>ジュギョウ</t>
    </rPh>
    <rPh sb="13" eb="14">
      <t>タイ</t>
    </rPh>
    <rPh sb="113" eb="115">
      <t>レイワ</t>
    </rPh>
    <rPh sb="154" eb="156">
      <t>シツモン</t>
    </rPh>
    <rPh sb="157" eb="158">
      <t>タイ</t>
    </rPh>
    <rPh sb="204" eb="206">
      <t>マンゾク</t>
    </rPh>
    <rPh sb="211" eb="213">
      <t>カイトウ</t>
    </rPh>
    <rPh sb="222" eb="224">
      <t>コウハイ</t>
    </rPh>
    <rPh sb="224" eb="225">
      <t>トウ</t>
    </rPh>
    <rPh sb="225" eb="226">
      <t>ホカ</t>
    </rPh>
    <rPh sb="227" eb="229">
      <t>ガクセイ</t>
    </rPh>
    <rPh sb="231" eb="233">
      <t>スイショウ</t>
    </rPh>
    <rPh sb="233" eb="234">
      <t>ド</t>
    </rPh>
    <rPh sb="235" eb="236">
      <t>タカ</t>
    </rPh>
    <rPh sb="240" eb="241">
      <t>ワ</t>
    </rPh>
    <phoneticPr fontId="1"/>
  </si>
  <si>
    <t>本教育プログラムは令和5年度から開講しているため、プログラムを修了し、卒業した学生はいない状況であり、第1期生の卒業は令和8年度からとなる。今後に向けては、本教育プログラムを修了した卒業生の進路先や活躍状況を把握するため、就職先企業に対して調査を実施、本教育プログラムを修了した卒業生の企業における活用状況や評価を把握する仕組みを数理・データサイエンス・ＡＩ教育プログラム委員会で検討していく。</t>
    <rPh sb="0" eb="1">
      <t>ホン</t>
    </rPh>
    <rPh sb="1" eb="3">
      <t>キョウイク</t>
    </rPh>
    <rPh sb="9" eb="11">
      <t>レイワ</t>
    </rPh>
    <rPh sb="12" eb="14">
      <t>ネンド</t>
    </rPh>
    <rPh sb="16" eb="18">
      <t>カイコウ</t>
    </rPh>
    <rPh sb="54" eb="55">
      <t>セイ</t>
    </rPh>
    <rPh sb="56" eb="58">
      <t>ソツギョウ</t>
    </rPh>
    <rPh sb="59" eb="61">
      <t>レイワ</t>
    </rPh>
    <rPh sb="62" eb="64">
      <t>ネンド</t>
    </rPh>
    <rPh sb="70" eb="72">
      <t>コンゴ</t>
    </rPh>
    <rPh sb="73" eb="74">
      <t>ム</t>
    </rPh>
    <rPh sb="111" eb="113">
      <t>シュウショク</t>
    </rPh>
    <rPh sb="113" eb="114">
      <t>サキ</t>
    </rPh>
    <rPh sb="114" eb="116">
      <t>キギョウ</t>
    </rPh>
    <rPh sb="135" eb="137">
      <t>シュウリョウ</t>
    </rPh>
    <rPh sb="139" eb="142">
      <t>ソツギョウセイ</t>
    </rPh>
    <rPh sb="149" eb="151">
      <t>カツヨウ</t>
    </rPh>
    <rPh sb="151" eb="153">
      <t>ジョウキョウ</t>
    </rPh>
    <phoneticPr fontId="1"/>
  </si>
  <si>
    <t>学内就職説明会で来学した企業やインターンシップの依頼がある企業に対してアンケートを実施し、本教育プログラムの内容・手法等への意見をキャリアセンターを通じて収集していく。また、自治体や企業に教育プログラムの講義内容及び実データを活用した演習等の協力を仰ぎ、社会でデータがどのようなデータがどんな分析をされ、実際に活用されているか具体的なイメージがつくように内容・手法の見直しを行っていく。</t>
    <rPh sb="0" eb="2">
      <t>ガクナイ</t>
    </rPh>
    <rPh sb="2" eb="4">
      <t>シュウショク</t>
    </rPh>
    <rPh sb="4" eb="7">
      <t>セツメイカイ</t>
    </rPh>
    <rPh sb="8" eb="10">
      <t>ライガク</t>
    </rPh>
    <rPh sb="12" eb="14">
      <t>キギョウ</t>
    </rPh>
    <rPh sb="24" eb="26">
      <t>イライ</t>
    </rPh>
    <rPh sb="29" eb="31">
      <t>キギョウ</t>
    </rPh>
    <rPh sb="32" eb="33">
      <t>タイ</t>
    </rPh>
    <rPh sb="41" eb="43">
      <t>ジッシ</t>
    </rPh>
    <rPh sb="45" eb="46">
      <t>ホン</t>
    </rPh>
    <rPh sb="74" eb="75">
      <t>ツウ</t>
    </rPh>
    <rPh sb="77" eb="79">
      <t>シュウシュウ</t>
    </rPh>
    <rPh sb="121" eb="123">
      <t>キョウリョク</t>
    </rPh>
    <rPh sb="124" eb="125">
      <t>アオ</t>
    </rPh>
    <rPh sb="127" eb="129">
      <t>シャカイ</t>
    </rPh>
    <rPh sb="146" eb="148">
      <t>ブンセキ</t>
    </rPh>
    <rPh sb="152" eb="154">
      <t>ジッサイ</t>
    </rPh>
    <rPh sb="155" eb="157">
      <t>カツヨウ</t>
    </rPh>
    <rPh sb="177" eb="179">
      <t>ナイヨウ</t>
    </rPh>
    <rPh sb="180" eb="182">
      <t>シュホウ</t>
    </rPh>
    <rPh sb="183" eb="185">
      <t>ミナオ</t>
    </rPh>
    <rPh sb="187" eb="188">
      <t>オコナ</t>
    </rPh>
    <phoneticPr fontId="1"/>
  </si>
  <si>
    <t>本教育プログラムでは、時事やトレンドなど社会での実例をもとにAI技術等がどのように活用されているかの紹介や実際に統計解析ソフトR、プログラミング言語Pythonを使ったデータ分析を実施する等、好奇心を高める授業内容としている。令和5年度のアンケート結果では、「教員は学生が授業内容に興味を持つように工夫していた。」の質問に対して、「情報処理リテラシー」は92.2%、「データサイエンスリテラシー」は71.7%の学生が興味を持つよう工夫されていたと回答している。</t>
    <rPh sb="100" eb="101">
      <t>タカ</t>
    </rPh>
    <rPh sb="103" eb="105">
      <t>ジュギョウ</t>
    </rPh>
    <rPh sb="130" eb="132">
      <t>キョウイン</t>
    </rPh>
    <rPh sb="133" eb="135">
      <t>ガクセイ</t>
    </rPh>
    <rPh sb="136" eb="138">
      <t>ジュギョウ</t>
    </rPh>
    <rPh sb="138" eb="140">
      <t>ナイヨウ</t>
    </rPh>
    <rPh sb="141" eb="143">
      <t>キョウミ</t>
    </rPh>
    <rPh sb="144" eb="145">
      <t>モ</t>
    </rPh>
    <rPh sb="149" eb="151">
      <t>クフウ</t>
    </rPh>
    <rPh sb="158" eb="160">
      <t>シツモン</t>
    </rPh>
    <rPh sb="161" eb="162">
      <t>タイ</t>
    </rPh>
    <rPh sb="166" eb="168">
      <t>ジョウホウ</t>
    </rPh>
    <rPh sb="168" eb="170">
      <t>ショリ</t>
    </rPh>
    <rPh sb="208" eb="210">
      <t>キョウミ</t>
    </rPh>
    <rPh sb="211" eb="212">
      <t>モ</t>
    </rPh>
    <rPh sb="215" eb="217">
      <t>クフウ</t>
    </rPh>
    <phoneticPr fontId="1"/>
  </si>
  <si>
    <t>毎年の学生アンケートの意見を参考に、学生の「分かりやすさ」の観点から授業の内容・実施方法の見直しを行っていく。令和5年度のアンケート結果では、「授業における適切な教材・資料の提示が理解を促した。」の質問に対して、「情報処理リテラシー」は88.7%、「データサイエンスリテラシー」は83.8%の学生が授業における適切な教材・資料の提示が理解を促したと回答している。また、記述式のアンケートでは、「先生の丁寧な指導や個別サポートのおかげで分かりやすかった(情報処理リテラシー)」、「PDFと動画が両方配布されており、じっくりと理解できた(データサイエンスリテラシー)」等の感想があった。</t>
    <rPh sb="0" eb="2">
      <t>マイトシ</t>
    </rPh>
    <rPh sb="34" eb="36">
      <t>ジュギョウ</t>
    </rPh>
    <rPh sb="49" eb="50">
      <t>オコナ</t>
    </rPh>
    <rPh sb="146" eb="148">
      <t>ガクセイ</t>
    </rPh>
    <rPh sb="149" eb="151">
      <t>ジュギョウ</t>
    </rPh>
    <rPh sb="155" eb="157">
      <t>テキセツ</t>
    </rPh>
    <rPh sb="158" eb="160">
      <t>キョウザイ</t>
    </rPh>
    <rPh sb="161" eb="163">
      <t>シリョウ</t>
    </rPh>
    <rPh sb="164" eb="166">
      <t>テイジ</t>
    </rPh>
    <rPh sb="167" eb="169">
      <t>リカイ</t>
    </rPh>
    <rPh sb="170" eb="171">
      <t>ウナガ</t>
    </rPh>
    <rPh sb="174" eb="176">
      <t>カイトウ</t>
    </rPh>
    <rPh sb="184" eb="186">
      <t>キジュツ</t>
    </rPh>
    <rPh sb="186" eb="187">
      <t>シキ</t>
    </rPh>
    <rPh sb="197" eb="199">
      <t>センセイ</t>
    </rPh>
    <rPh sb="200" eb="202">
      <t>テイネイ</t>
    </rPh>
    <rPh sb="203" eb="205">
      <t>シドウ</t>
    </rPh>
    <rPh sb="206" eb="208">
      <t>コベツ</t>
    </rPh>
    <rPh sb="217" eb="218">
      <t>ワ</t>
    </rPh>
    <rPh sb="226" eb="228">
      <t>ジョウホウ</t>
    </rPh>
    <rPh sb="228" eb="230">
      <t>ショリ</t>
    </rPh>
    <rPh sb="243" eb="245">
      <t>ドウガ</t>
    </rPh>
    <rPh sb="246" eb="248">
      <t>リョウホウ</t>
    </rPh>
    <rPh sb="248" eb="250">
      <t>ハイフ</t>
    </rPh>
    <rPh sb="261" eb="263">
      <t>リカイ</t>
    </rPh>
    <rPh sb="282" eb="283">
      <t>トウ</t>
    </rPh>
    <rPh sb="284" eb="286">
      <t>カンソウ</t>
    </rPh>
    <phoneticPr fontId="1"/>
  </si>
  <si>
    <t>・AI最新技術の活用例（深層生成モデル、敵対的生成ネットワーク、強化学習、転移学習）「データサイエンスリテラシー」(８回目)</t>
    <phoneticPr fontId="1"/>
  </si>
  <si>
    <t>・マーケティング「データサイエンスリテラシー」(１３回目)</t>
    <phoneticPr fontId="1"/>
  </si>
  <si>
    <t>・データの種類（量的変数、質的変数）「情報処理リテラシー」(２回目)
・データの分布(ヒストグラム)と代表値（平均値、中央値、最頻値）「データサイエンスリテラシー」(３回目、６回目)
・代表値の性質の違い（実社会では平均値＝最頻値でないことが多い）「データサイエンスリテラシー」(６回目)
・データのばらつき（分散、標準偏差、偏差値）「データサイエンスリテラシー」(３回目、６回目)
・相関と因果（相関係数、擬似相関、交絡）「データサイエンスリテラシー」(４回目)
・統計情報の正しい理解（誇張表現に惑わされない）「データサイエンスリテラシー」(６回目)
・散布図行列「データサイエンスリテラシー」(４回目)
・クロス集計表「データサイエンスリテラシー」(５回目)</t>
    <rPh sb="88" eb="90">
      <t>カイメ</t>
    </rPh>
    <rPh sb="188" eb="190">
      <t>カイメ</t>
    </rPh>
    <phoneticPr fontId="1"/>
  </si>
  <si>
    <t>より多くの学生が履修・修得できるようにサポートする手段として、本学独自開発の学内ポータルサイト[CCS]で授業の資料提示やレポート提出、質問受付等を行っている。また、本学では、全ての学生に一台ずつノートPCを配付しているため、場所を選ばず予習や復習ができる環境となっている。「データサイエンスリテラシー」に関しては、授業で使用する教材を動画とPDFの両方で作成しており、動画での復習が可能となることに加え、動画が視聴できない環境下でもPDFを閲覧し、学習できるよう配慮している。また、学生からのパソコンの相談を受け付けるパソコン相談コーナーで授業で使用する統計解析ソフトR、プログラミング言語Python等のアプリケーションのインストールをサポートしている。</t>
    <rPh sb="158" eb="160">
      <t>ジュギョウ</t>
    </rPh>
    <rPh sb="161" eb="163">
      <t>シヨウ</t>
    </rPh>
    <rPh sb="165" eb="167">
      <t>キョウザイ</t>
    </rPh>
    <rPh sb="168" eb="170">
      <t>ドウガ</t>
    </rPh>
    <rPh sb="175" eb="177">
      <t>リョウホウ</t>
    </rPh>
    <rPh sb="178" eb="180">
      <t>サクセイ</t>
    </rPh>
    <rPh sb="185" eb="187">
      <t>ドウガ</t>
    </rPh>
    <rPh sb="189" eb="191">
      <t>フクシュウ</t>
    </rPh>
    <rPh sb="192" eb="194">
      <t>カノウ</t>
    </rPh>
    <rPh sb="200" eb="201">
      <t>クワ</t>
    </rPh>
    <rPh sb="203" eb="205">
      <t>ドウガ</t>
    </rPh>
    <rPh sb="206" eb="208">
      <t>シチョウ</t>
    </rPh>
    <rPh sb="212" eb="214">
      <t>カンキョウ</t>
    </rPh>
    <rPh sb="214" eb="215">
      <t>カ</t>
    </rPh>
    <rPh sb="221" eb="223">
      <t>エツラン</t>
    </rPh>
    <rPh sb="225" eb="227">
      <t>ガクシュウ</t>
    </rPh>
    <rPh sb="232" eb="234">
      <t>ハイリョ</t>
    </rPh>
    <rPh sb="242" eb="244">
      <t>ガクセイ</t>
    </rPh>
    <rPh sb="252" eb="254">
      <t>ソウダン</t>
    </rPh>
    <rPh sb="255" eb="256">
      <t>ウ</t>
    </rPh>
    <rPh sb="257" eb="258">
      <t>ツ</t>
    </rPh>
    <rPh sb="264" eb="266">
      <t>ソウダン</t>
    </rPh>
    <rPh sb="271" eb="273">
      <t>ジュギョウ</t>
    </rPh>
    <rPh sb="274" eb="276">
      <t>シヨウ</t>
    </rPh>
    <rPh sb="302" eb="303">
      <t>トウ</t>
    </rPh>
    <phoneticPr fontId="1"/>
  </si>
  <si>
    <t>プログラムを構成する授業科目の履修・修得状況を数理・データサイエンス・ＡＩ教育プログラム委員会で共有し、履修・修得状況に問題がないか点検し、必要があれば改善していく。本学は、3月下旬(在学生)と4月上旬(新入生)に春学期と秋学期の1年分をまとめて履修登録の受け付けをしている。本教育プログラムの構成科目である「データサイエンスリテラシー」は秋学期に開講している科目だが、開講する約半年前の早期段階で履修登録人数を把握することができるため、履修状況を確認し履修者が少ない等問題があれば、9月下旬の秋学期履修登録変更期間までに履修者が増えるよう情報発信するなど対策を講じていく。</t>
    <rPh sb="52" eb="54">
      <t>リシュウ</t>
    </rPh>
    <rPh sb="55" eb="57">
      <t>シュウトク</t>
    </rPh>
    <rPh sb="57" eb="59">
      <t>ジョウキョウ</t>
    </rPh>
    <rPh sb="60" eb="62">
      <t>モンダイ</t>
    </rPh>
    <rPh sb="66" eb="68">
      <t>テンケン</t>
    </rPh>
    <rPh sb="70" eb="72">
      <t>ヒツヨウ</t>
    </rPh>
    <rPh sb="76" eb="78">
      <t>カイゼン</t>
    </rPh>
    <rPh sb="83" eb="85">
      <t>ホンガク</t>
    </rPh>
    <rPh sb="88" eb="89">
      <t>ガツ</t>
    </rPh>
    <rPh sb="89" eb="91">
      <t>ゲジュン</t>
    </rPh>
    <rPh sb="92" eb="95">
      <t>ザイガクセイ</t>
    </rPh>
    <rPh sb="98" eb="99">
      <t>ガツ</t>
    </rPh>
    <rPh sb="99" eb="101">
      <t>ジョウジュン</t>
    </rPh>
    <rPh sb="102" eb="105">
      <t>シンニュウセイ</t>
    </rPh>
    <rPh sb="107" eb="110">
      <t>ハルガッキ</t>
    </rPh>
    <rPh sb="111" eb="114">
      <t>アキガッキ</t>
    </rPh>
    <rPh sb="117" eb="118">
      <t>ブン</t>
    </rPh>
    <rPh sb="147" eb="149">
      <t>コウセイ</t>
    </rPh>
    <rPh sb="149" eb="151">
      <t>カモク</t>
    </rPh>
    <rPh sb="180" eb="182">
      <t>カモク</t>
    </rPh>
    <rPh sb="185" eb="187">
      <t>カイコウ</t>
    </rPh>
    <rPh sb="189" eb="190">
      <t>ヤク</t>
    </rPh>
    <rPh sb="190" eb="192">
      <t>ハントシ</t>
    </rPh>
    <rPh sb="192" eb="193">
      <t>マエ</t>
    </rPh>
    <rPh sb="194" eb="196">
      <t>ソウキ</t>
    </rPh>
    <rPh sb="196" eb="198">
      <t>ダンカイ</t>
    </rPh>
    <rPh sb="206" eb="208">
      <t>ハアク</t>
    </rPh>
    <rPh sb="219" eb="223">
      <t>リシュウジョウキョウ</t>
    </rPh>
    <rPh sb="224" eb="226">
      <t>カクニン</t>
    </rPh>
    <rPh sb="227" eb="230">
      <t>リシュウシャ</t>
    </rPh>
    <rPh sb="231" eb="232">
      <t>スク</t>
    </rPh>
    <rPh sb="234" eb="235">
      <t>トウ</t>
    </rPh>
    <rPh sb="235" eb="237">
      <t>モンダイ</t>
    </rPh>
    <rPh sb="243" eb="244">
      <t>ガツ</t>
    </rPh>
    <rPh sb="244" eb="246">
      <t>ゲジュン</t>
    </rPh>
    <rPh sb="247" eb="250">
      <t>アキガッキ</t>
    </rPh>
    <rPh sb="250" eb="252">
      <t>リシュウ</t>
    </rPh>
    <rPh sb="252" eb="254">
      <t>トウロク</t>
    </rPh>
    <rPh sb="254" eb="256">
      <t>ヘンコウ</t>
    </rPh>
    <rPh sb="256" eb="258">
      <t>キカン</t>
    </rPh>
    <rPh sb="261" eb="264">
      <t>リシュウシャ</t>
    </rPh>
    <rPh sb="265" eb="266">
      <t>フ</t>
    </rPh>
    <rPh sb="270" eb="272">
      <t>ジョウホウ</t>
    </rPh>
    <rPh sb="272" eb="274">
      <t>ハッシン</t>
    </rPh>
    <rPh sb="278" eb="280">
      <t>タイサク</t>
    </rPh>
    <rPh sb="281" eb="282">
      <t>コウ</t>
    </rPh>
    <phoneticPr fontId="1"/>
  </si>
  <si>
    <t>・1次データ「情報処理リテラシー」(２回目)
・2次データ「情報処理リテラシー」(３回目、４回目)
・1次データ、2次データ「情報処理リテラシー」(９回目)
・非構造化データ（文章、画像/動画、音声/音楽など）「情報処理リテラシー」(２回目)
・構造化データ、非構造化データ（文章、画像/動画、音声/音楽など）「情報処理リテラシー」(９回目)
・データのオープン化「情報処理リテラシー」(９回目)</t>
    <rPh sb="46" eb="48">
      <t>カイメ</t>
    </rPh>
    <phoneticPr fontId="1"/>
  </si>
  <si>
    <t>・ELSI「情報処理リテラシー」(９回目)
・個人情報保護「情報処理リテラシー」(９回目)
・データ倫理：データのねつ造、改ざん、盗用、プライバシー保護「情報処理リテラシー」(１回目)
・データ倫理：プライバシー保護「情報処理リテラシー」(９回目)
・データ倫理：データのねつ造、改ざん、盗用、プライバシー保護「データサイエンスリテラシー」(１５回目)</t>
    <rPh sb="22" eb="24">
      <t>コジン</t>
    </rPh>
    <rPh sb="24" eb="26">
      <t>ジョウホウ</t>
    </rPh>
    <rPh sb="26" eb="28">
      <t>ホゴ</t>
    </rPh>
    <phoneticPr fontId="1"/>
  </si>
  <si>
    <t>経済学部</t>
    <rPh sb="0" eb="2">
      <t>ケイザイ</t>
    </rPh>
    <rPh sb="2" eb="4">
      <t>ガクブ</t>
    </rPh>
    <phoneticPr fontId="1"/>
  </si>
  <si>
    <t>現代社会学部</t>
    <phoneticPr fontId="1"/>
  </si>
  <si>
    <t>商学部</t>
    <phoneticPr fontId="1"/>
  </si>
  <si>
    <t>法学部</t>
    <phoneticPr fontId="1"/>
  </si>
  <si>
    <t>外国語学部</t>
    <phoneticPr fontId="1"/>
  </si>
  <si>
    <t>国際文化学部</t>
    <phoneticPr fontId="1"/>
  </si>
  <si>
    <t>スポーツ健康学部</t>
    <phoneticPr fontId="1"/>
  </si>
  <si>
    <t>リハビリテーション学部</t>
    <phoneticPr fontId="1"/>
  </si>
  <si>
    <t>本学公式ホームページの「数理・データサイエンス・AI教育プログラム」のサイトで履修することで身に付くことができる力を掲載するとともに本学ポータルサイト上に本プログラムに関するバナーを掲載し、修了することによるメリットを定期的に発信していく。また、本教育プログラムの授業科目である「情報処理リテラシー」は、１年次の春学期全学部必修科目となっているため、授業内で数理・データサイエンス・AI教育プログラムについて紹介し、修了要件で必要となる「データサイエンスリテラシー」の履修を全学部に対して促す。</t>
    <phoneticPr fontId="1"/>
  </si>
  <si>
    <t>「情報処理リテラシー（2単位）」と「データサイエンスリテラシー（2単位）」計4単位を修得すること。
「情報処理リテラシー」は、全学で卒業要件として必修科目である。
「データサイエンスリテラシー」は、全学で卒業要件として選択科目である。</t>
    <rPh sb="63" eb="65">
      <t>ゼンガク</t>
    </rPh>
    <rPh sb="66" eb="68">
      <t>ソツギョウ</t>
    </rPh>
    <rPh sb="68" eb="70">
      <t>ヨウケン</t>
    </rPh>
    <rPh sb="73" eb="75">
      <t>ヒッシュウ</t>
    </rPh>
    <rPh sb="75" eb="77">
      <t>カモク</t>
    </rPh>
    <rPh sb="99" eb="101">
      <t>ゼンガク</t>
    </rPh>
    <rPh sb="102" eb="104">
      <t>ソツギョウ</t>
    </rPh>
    <rPh sb="104" eb="106">
      <t>ヨウケン</t>
    </rPh>
    <rPh sb="109" eb="111">
      <t>センタク</t>
    </rPh>
    <rPh sb="111" eb="113">
      <t>カモク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</si>
</sst>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10" fillId="0" borderId="0" xfId="0" applyFont="1" applyAlignment="1">
      <alignment vertical="center" wrapText="1"/>
    </xf>
    <xf numFmtId="49" fontId="10"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2" fillId="0" borderId="0" xfId="0" applyFont="1">
      <alignment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0" xfId="0" applyFont="1" applyAlignment="1">
      <alignment horizontal="center" vertical="center" shrinkToFit="1"/>
    </xf>
    <xf numFmtId="9" fontId="2" fillId="0" borderId="14" xfId="0" applyNumberFormat="1" applyFont="1" applyBorder="1" applyAlignment="1">
      <alignment vertical="center" shrinkToFit="1"/>
    </xf>
    <xf numFmtId="9" fontId="2" fillId="0" borderId="0" xfId="1" applyFont="1">
      <alignment vertical="center"/>
    </xf>
    <xf numFmtId="1" fontId="2" fillId="0" borderId="0" xfId="0" applyNumberFormat="1" applyFont="1">
      <alignment vertical="center"/>
    </xf>
    <xf numFmtId="0" fontId="12" fillId="0" borderId="1" xfId="0" applyFont="1" applyBorder="1" applyAlignment="1">
      <alignment horizontal="right" vertical="center"/>
    </xf>
    <xf numFmtId="9" fontId="2" fillId="0" borderId="1" xfId="0" applyNumberFormat="1" applyFont="1" applyBorder="1" applyAlignment="1">
      <alignment horizontal="center" vertical="center" shrinkToFit="1"/>
    </xf>
    <xf numFmtId="0" fontId="2" fillId="0" borderId="48" xfId="0" applyFont="1" applyBorder="1" applyAlignment="1">
      <alignment horizontal="left"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11"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2" fillId="0" borderId="0" xfId="0" applyFont="1" applyAlignment="1">
      <alignment horizontal="righ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5" fillId="0" borderId="0" xfId="0" applyFont="1" applyAlignment="1">
      <alignment horizontal="center" vertical="center"/>
    </xf>
    <xf numFmtId="0" fontId="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1" fillId="0" borderId="6" xfId="0" applyFont="1" applyBorder="1" applyAlignment="1">
      <alignment horizontal="left" vertical="center" wrapTex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112" zoomScaleNormal="100" zoomScaleSheetLayoutView="112" workbookViewId="0"/>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1"/>
      <c r="B1" s="71"/>
      <c r="C1" s="71"/>
      <c r="D1" s="71"/>
      <c r="E1" s="71"/>
      <c r="F1" s="71"/>
      <c r="G1" s="71"/>
      <c r="H1" s="71"/>
      <c r="I1" s="71"/>
      <c r="J1" s="71"/>
      <c r="K1" s="71"/>
      <c r="L1" s="71"/>
      <c r="M1" s="71"/>
      <c r="N1" s="71"/>
      <c r="O1" s="71"/>
      <c r="P1" s="71"/>
      <c r="Q1" s="71"/>
      <c r="R1" s="71"/>
      <c r="S1" s="71"/>
      <c r="T1" s="124" t="s">
        <v>12</v>
      </c>
      <c r="U1" s="124"/>
      <c r="V1" s="2" t="s">
        <v>99</v>
      </c>
    </row>
    <row r="2" spans="1:24" ht="18.75" customHeight="1" x14ac:dyDescent="0.2">
      <c r="A2" s="71"/>
      <c r="B2" s="73" t="s">
        <v>98</v>
      </c>
      <c r="C2" s="125" t="s">
        <v>135</v>
      </c>
      <c r="D2" s="126"/>
      <c r="E2" s="126"/>
      <c r="F2" s="126"/>
      <c r="G2" s="126"/>
      <c r="H2" s="126"/>
      <c r="I2" s="126"/>
      <c r="J2" s="127"/>
      <c r="K2" s="72"/>
      <c r="L2" s="74"/>
      <c r="M2" s="74"/>
      <c r="N2" s="74"/>
      <c r="O2" s="74"/>
      <c r="P2" s="74"/>
      <c r="Q2" s="74"/>
      <c r="R2" s="74"/>
      <c r="S2" s="74"/>
      <c r="T2" s="74"/>
      <c r="U2" s="74"/>
    </row>
    <row r="3" spans="1:24" ht="18.75" customHeight="1" x14ac:dyDescent="0.2">
      <c r="A3" s="71"/>
      <c r="B3" s="73" t="s">
        <v>93</v>
      </c>
      <c r="C3" s="125" t="s">
        <v>151</v>
      </c>
      <c r="D3" s="126"/>
      <c r="E3" s="126"/>
      <c r="F3" s="126"/>
      <c r="G3" s="126"/>
      <c r="H3" s="126"/>
      <c r="I3" s="126"/>
      <c r="J3" s="127"/>
      <c r="K3" s="72"/>
      <c r="L3" s="74"/>
      <c r="M3" s="74"/>
      <c r="N3" s="74"/>
      <c r="O3" s="74"/>
      <c r="P3" s="74"/>
      <c r="Q3" s="74"/>
      <c r="R3" s="74"/>
      <c r="S3" s="74"/>
      <c r="T3" s="74"/>
      <c r="U3" s="74"/>
    </row>
    <row r="4" spans="1:24" ht="15" customHeight="1" x14ac:dyDescent="0.2">
      <c r="A4" s="71"/>
      <c r="B4" s="71"/>
      <c r="C4" s="71"/>
      <c r="D4" s="71"/>
      <c r="E4" s="71"/>
      <c r="F4" s="71"/>
      <c r="G4" s="71"/>
      <c r="H4" s="71"/>
      <c r="I4" s="71"/>
      <c r="J4" s="71"/>
      <c r="K4" s="71"/>
      <c r="L4" s="72"/>
      <c r="M4" s="75"/>
      <c r="N4" s="75"/>
      <c r="O4" s="75"/>
      <c r="P4" s="75"/>
      <c r="Q4" s="75"/>
      <c r="R4" s="75"/>
      <c r="S4" s="75"/>
      <c r="T4" s="75"/>
      <c r="U4" s="75"/>
    </row>
    <row r="5" spans="1:24" ht="18" customHeight="1" x14ac:dyDescent="0.2">
      <c r="A5" s="128" t="s">
        <v>38</v>
      </c>
      <c r="B5" s="128"/>
      <c r="C5" s="128"/>
      <c r="D5" s="128"/>
      <c r="E5" s="128"/>
      <c r="F5" s="128"/>
      <c r="G5" s="128"/>
      <c r="H5" s="128"/>
      <c r="I5" s="128"/>
      <c r="J5" s="128"/>
      <c r="K5" s="128"/>
      <c r="L5" s="128"/>
      <c r="M5" s="128"/>
      <c r="N5" s="128"/>
      <c r="O5" s="128"/>
      <c r="P5" s="128"/>
      <c r="Q5" s="128"/>
      <c r="R5" s="128"/>
      <c r="S5" s="128"/>
      <c r="T5" s="128"/>
      <c r="U5" s="128"/>
    </row>
    <row r="6" spans="1:24" ht="15" customHeight="1" x14ac:dyDescent="0.2">
      <c r="A6" s="71"/>
      <c r="B6" s="76"/>
      <c r="C6" s="76"/>
      <c r="D6" s="76"/>
      <c r="E6" s="76"/>
      <c r="F6" s="76"/>
      <c r="G6" s="76"/>
      <c r="H6" s="76"/>
      <c r="I6" s="76"/>
      <c r="J6" s="76"/>
      <c r="K6" s="76"/>
      <c r="L6" s="76"/>
      <c r="M6" s="76"/>
      <c r="N6" s="76"/>
      <c r="O6" s="76"/>
      <c r="P6" s="76"/>
      <c r="Q6" s="76"/>
      <c r="R6" s="76"/>
      <c r="S6" s="76"/>
      <c r="T6" s="76"/>
      <c r="U6" s="76"/>
    </row>
    <row r="7" spans="1:24" ht="15" customHeight="1" x14ac:dyDescent="0.2">
      <c r="A7" s="71" t="s">
        <v>130</v>
      </c>
      <c r="B7" s="76"/>
      <c r="C7" s="76"/>
      <c r="D7" s="76"/>
      <c r="E7" s="76"/>
      <c r="F7" s="70"/>
      <c r="G7" s="70"/>
      <c r="H7" s="70"/>
      <c r="I7" s="70"/>
      <c r="J7" s="70"/>
      <c r="K7" s="70"/>
      <c r="L7" s="102" t="s">
        <v>136</v>
      </c>
      <c r="M7" s="103"/>
      <c r="N7" s="103"/>
      <c r="O7" s="103"/>
      <c r="P7" s="103"/>
      <c r="Q7" s="103"/>
      <c r="R7" s="103"/>
      <c r="S7" s="103"/>
      <c r="T7" s="103"/>
      <c r="U7" s="104"/>
    </row>
    <row r="8" spans="1:24" ht="6" customHeight="1" x14ac:dyDescent="0.2">
      <c r="A8" s="71"/>
      <c r="B8" s="76"/>
      <c r="C8" s="76"/>
      <c r="D8" s="76"/>
      <c r="E8" s="76"/>
      <c r="F8" s="76"/>
      <c r="G8" s="76"/>
      <c r="H8" s="76"/>
      <c r="I8" s="76"/>
      <c r="J8" s="76"/>
      <c r="K8" s="76"/>
      <c r="L8" s="76"/>
      <c r="M8" s="76"/>
      <c r="N8" s="76"/>
      <c r="O8" s="76"/>
      <c r="P8" s="76"/>
      <c r="Q8" s="76"/>
      <c r="R8" s="76"/>
      <c r="S8" s="76"/>
      <c r="T8" s="76"/>
      <c r="U8" s="76"/>
    </row>
    <row r="9" spans="1:24" ht="18" customHeight="1" x14ac:dyDescent="0.2">
      <c r="A9" s="71" t="s">
        <v>131</v>
      </c>
      <c r="B9" s="71"/>
      <c r="C9" s="76"/>
      <c r="D9" s="76"/>
      <c r="E9" s="71"/>
      <c r="F9" s="71"/>
      <c r="G9" s="71"/>
      <c r="H9" s="71"/>
      <c r="I9" s="71"/>
      <c r="J9" s="71"/>
      <c r="K9" s="72"/>
      <c r="L9" s="70"/>
      <c r="M9" s="70"/>
      <c r="N9" s="70"/>
      <c r="O9" s="70"/>
      <c r="P9" s="70"/>
      <c r="Q9" s="70"/>
      <c r="R9" s="70"/>
      <c r="S9" s="70"/>
      <c r="T9" s="70"/>
      <c r="U9" s="70"/>
    </row>
    <row r="10" spans="1:24" ht="6" customHeight="1" x14ac:dyDescent="0.2">
      <c r="A10" s="71"/>
      <c r="B10" s="76"/>
      <c r="C10" s="76"/>
      <c r="D10" s="76"/>
      <c r="E10" s="76"/>
      <c r="F10" s="76"/>
      <c r="G10" s="76"/>
      <c r="H10" s="76"/>
      <c r="I10" s="76"/>
      <c r="J10" s="76"/>
      <c r="K10" s="76"/>
      <c r="L10" s="77"/>
      <c r="M10" s="76"/>
      <c r="N10" s="76"/>
      <c r="O10" s="76"/>
      <c r="P10" s="76"/>
      <c r="Q10" s="76"/>
      <c r="R10" s="76"/>
      <c r="S10" s="76"/>
      <c r="T10" s="76"/>
      <c r="U10" s="76"/>
    </row>
    <row r="11" spans="1:24" ht="18" customHeight="1" x14ac:dyDescent="0.2">
      <c r="A11" s="71"/>
      <c r="B11" s="108"/>
      <c r="C11" s="109"/>
      <c r="D11" s="109"/>
      <c r="E11" s="109"/>
      <c r="F11" s="109"/>
      <c r="G11" s="109"/>
      <c r="H11" s="109"/>
      <c r="I11" s="109"/>
      <c r="J11" s="109"/>
      <c r="K11" s="109"/>
      <c r="L11" s="109"/>
      <c r="M11" s="109"/>
      <c r="N11" s="109"/>
      <c r="O11" s="109"/>
      <c r="P11" s="109"/>
      <c r="Q11" s="109"/>
      <c r="R11" s="109"/>
      <c r="S11" s="109"/>
      <c r="T11" s="109"/>
      <c r="U11" s="110"/>
    </row>
    <row r="12" spans="1:24" ht="18" customHeight="1" x14ac:dyDescent="0.2">
      <c r="A12" s="71"/>
      <c r="B12" s="111"/>
      <c r="C12" s="112"/>
      <c r="D12" s="112"/>
      <c r="E12" s="112"/>
      <c r="F12" s="112"/>
      <c r="G12" s="112"/>
      <c r="H12" s="112"/>
      <c r="I12" s="112"/>
      <c r="J12" s="112"/>
      <c r="K12" s="112"/>
      <c r="L12" s="112"/>
      <c r="M12" s="112"/>
      <c r="N12" s="112"/>
      <c r="O12" s="112"/>
      <c r="P12" s="112"/>
      <c r="Q12" s="112"/>
      <c r="R12" s="112"/>
      <c r="S12" s="112"/>
      <c r="T12" s="112"/>
      <c r="U12" s="113"/>
    </row>
    <row r="13" spans="1:24" ht="6" customHeight="1" x14ac:dyDescent="0.2">
      <c r="A13" s="71"/>
      <c r="B13" s="76"/>
      <c r="C13" s="76"/>
      <c r="D13" s="76"/>
      <c r="E13" s="76"/>
      <c r="F13" s="76"/>
      <c r="G13" s="76"/>
      <c r="H13" s="76"/>
      <c r="I13" s="76"/>
      <c r="J13" s="76"/>
      <c r="K13" s="76"/>
      <c r="L13" s="77"/>
      <c r="M13" s="76"/>
      <c r="N13" s="76"/>
      <c r="O13" s="76"/>
      <c r="P13" s="76"/>
      <c r="Q13" s="76"/>
      <c r="R13" s="76"/>
      <c r="S13" s="76"/>
      <c r="T13" s="76"/>
      <c r="U13" s="76"/>
    </row>
    <row r="14" spans="1:24" ht="18" customHeight="1" x14ac:dyDescent="0.2">
      <c r="A14" s="71" t="s">
        <v>100</v>
      </c>
      <c r="B14" s="76"/>
      <c r="C14" s="76"/>
      <c r="D14" s="76"/>
      <c r="E14" s="72"/>
      <c r="F14" s="72"/>
      <c r="G14" s="72"/>
      <c r="H14" s="72"/>
      <c r="I14" s="72"/>
      <c r="J14" s="72"/>
      <c r="K14" s="72"/>
      <c r="L14" s="78"/>
      <c r="M14" s="78"/>
      <c r="N14" s="78"/>
      <c r="O14" s="78"/>
      <c r="P14" s="78"/>
      <c r="Q14" s="78"/>
      <c r="R14" s="78"/>
      <c r="S14" s="78"/>
      <c r="T14" s="78"/>
      <c r="U14" s="78"/>
    </row>
    <row r="15" spans="1:24" ht="18" customHeight="1" x14ac:dyDescent="0.2">
      <c r="A15" s="71"/>
      <c r="B15" s="129" t="s">
        <v>193</v>
      </c>
      <c r="C15" s="130"/>
      <c r="D15" s="130"/>
      <c r="E15" s="130"/>
      <c r="F15" s="130"/>
      <c r="G15" s="130"/>
      <c r="H15" s="130"/>
      <c r="I15" s="130"/>
      <c r="J15" s="130"/>
      <c r="K15" s="130"/>
      <c r="L15" s="130"/>
      <c r="M15" s="130"/>
      <c r="N15" s="130"/>
      <c r="O15" s="130"/>
      <c r="P15" s="130"/>
      <c r="Q15" s="130"/>
      <c r="R15" s="130"/>
      <c r="S15" s="130"/>
      <c r="T15" s="130"/>
      <c r="U15" s="131"/>
      <c r="X15" s="1" t="s">
        <v>94</v>
      </c>
    </row>
    <row r="16" spans="1:24" ht="18" customHeight="1" x14ac:dyDescent="0.2">
      <c r="A16" s="71"/>
      <c r="B16" s="132"/>
      <c r="C16" s="133"/>
      <c r="D16" s="133"/>
      <c r="E16" s="133"/>
      <c r="F16" s="133"/>
      <c r="G16" s="133"/>
      <c r="H16" s="133"/>
      <c r="I16" s="133"/>
      <c r="J16" s="133"/>
      <c r="K16" s="133"/>
      <c r="L16" s="133"/>
      <c r="M16" s="133"/>
      <c r="N16" s="133"/>
      <c r="O16" s="133"/>
      <c r="P16" s="133"/>
      <c r="Q16" s="133"/>
      <c r="R16" s="133"/>
      <c r="S16" s="133"/>
      <c r="T16" s="133"/>
      <c r="U16" s="134"/>
      <c r="X16" s="1" t="s">
        <v>114</v>
      </c>
    </row>
    <row r="17" spans="1:24" ht="18" customHeight="1" x14ac:dyDescent="0.2">
      <c r="A17" s="71"/>
      <c r="B17" s="132"/>
      <c r="C17" s="133"/>
      <c r="D17" s="133"/>
      <c r="E17" s="133"/>
      <c r="F17" s="133"/>
      <c r="G17" s="133"/>
      <c r="H17" s="133"/>
      <c r="I17" s="133"/>
      <c r="J17" s="133"/>
      <c r="K17" s="133"/>
      <c r="L17" s="133"/>
      <c r="M17" s="133"/>
      <c r="N17" s="133"/>
      <c r="O17" s="133"/>
      <c r="P17" s="133"/>
      <c r="Q17" s="133"/>
      <c r="R17" s="133"/>
      <c r="S17" s="133"/>
      <c r="T17" s="133"/>
      <c r="U17" s="134"/>
      <c r="X17" s="1" t="s">
        <v>115</v>
      </c>
    </row>
    <row r="18" spans="1:24" ht="18" customHeight="1" x14ac:dyDescent="0.2">
      <c r="A18" s="71"/>
      <c r="B18" s="132"/>
      <c r="C18" s="133"/>
      <c r="D18" s="133"/>
      <c r="E18" s="133"/>
      <c r="F18" s="133"/>
      <c r="G18" s="133"/>
      <c r="H18" s="133"/>
      <c r="I18" s="133"/>
      <c r="J18" s="133"/>
      <c r="K18" s="133"/>
      <c r="L18" s="133"/>
      <c r="M18" s="133"/>
      <c r="N18" s="133"/>
      <c r="O18" s="133"/>
      <c r="P18" s="133"/>
      <c r="Q18" s="133"/>
      <c r="R18" s="133"/>
      <c r="S18" s="133"/>
      <c r="T18" s="133"/>
      <c r="U18" s="134"/>
      <c r="X18" s="1" t="s">
        <v>116</v>
      </c>
    </row>
    <row r="19" spans="1:24" ht="18" customHeight="1" x14ac:dyDescent="0.2">
      <c r="A19" s="71"/>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x14ac:dyDescent="0.2">
      <c r="A20" s="71"/>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x14ac:dyDescent="0.2">
      <c r="A21" s="71"/>
      <c r="B21" s="76"/>
      <c r="C21" s="76"/>
      <c r="D21" s="76"/>
      <c r="E21" s="76"/>
      <c r="F21" s="76"/>
      <c r="G21" s="76"/>
      <c r="H21" s="76"/>
      <c r="I21" s="76"/>
      <c r="J21" s="76"/>
      <c r="K21" s="76"/>
      <c r="L21" s="76"/>
      <c r="M21" s="76"/>
      <c r="N21" s="76"/>
      <c r="O21" s="76"/>
      <c r="P21" s="76"/>
      <c r="Q21" s="76"/>
      <c r="R21" s="76"/>
      <c r="S21" s="76"/>
      <c r="T21" s="76"/>
      <c r="U21" s="76"/>
    </row>
    <row r="22" spans="1:24" ht="19.95" customHeight="1" x14ac:dyDescent="0.2">
      <c r="A22" s="71"/>
      <c r="B22" s="71" t="s">
        <v>132</v>
      </c>
      <c r="C22" s="71"/>
      <c r="D22" s="71"/>
      <c r="E22" s="79">
        <v>2</v>
      </c>
      <c r="F22" s="71" t="s">
        <v>112</v>
      </c>
      <c r="G22" s="71"/>
      <c r="H22" s="84">
        <v>4</v>
      </c>
      <c r="I22" s="76" t="s">
        <v>113</v>
      </c>
      <c r="J22" s="76"/>
      <c r="K22" s="72"/>
      <c r="L22" s="71"/>
      <c r="M22" s="72" t="s">
        <v>109</v>
      </c>
      <c r="N22" s="99" t="s">
        <v>116</v>
      </c>
      <c r="O22" s="100"/>
      <c r="P22" s="100"/>
      <c r="Q22" s="100"/>
      <c r="R22" s="100"/>
      <c r="S22" s="100"/>
      <c r="T22" s="100"/>
      <c r="U22" s="101"/>
    </row>
    <row r="23" spans="1:24" ht="7.5" customHeight="1" x14ac:dyDescent="0.2">
      <c r="A23" s="71"/>
      <c r="B23" s="76"/>
      <c r="C23" s="76"/>
      <c r="D23" s="76"/>
      <c r="E23" s="76"/>
      <c r="F23" s="76"/>
      <c r="G23" s="76"/>
      <c r="H23" s="76"/>
      <c r="I23" s="76"/>
      <c r="J23" s="76"/>
      <c r="K23" s="76"/>
      <c r="L23" s="76"/>
      <c r="M23" s="76"/>
      <c r="N23" s="76"/>
      <c r="O23" s="76"/>
      <c r="P23" s="76"/>
      <c r="Q23" s="76"/>
      <c r="R23" s="76"/>
      <c r="S23" s="76"/>
      <c r="T23" s="76"/>
      <c r="U23" s="76"/>
    </row>
    <row r="24" spans="1:24" ht="18" customHeight="1" x14ac:dyDescent="0.2">
      <c r="A24" s="138" t="s">
        <v>101</v>
      </c>
      <c r="B24" s="138"/>
      <c r="C24" s="138"/>
      <c r="D24" s="138"/>
      <c r="E24" s="138"/>
      <c r="F24" s="138"/>
      <c r="G24" s="138"/>
      <c r="H24" s="138"/>
      <c r="I24" s="138"/>
      <c r="J24" s="138"/>
      <c r="K24" s="138"/>
      <c r="L24" s="138"/>
      <c r="M24" s="138"/>
      <c r="N24" s="138"/>
      <c r="O24" s="138"/>
      <c r="P24" s="138"/>
      <c r="Q24" s="138"/>
      <c r="R24" s="138"/>
      <c r="S24" s="138"/>
      <c r="T24" s="138"/>
      <c r="U24" s="138"/>
    </row>
    <row r="25" spans="1:24" ht="18" customHeight="1" x14ac:dyDescent="0.2">
      <c r="A25" s="138"/>
      <c r="B25" s="138"/>
      <c r="C25" s="138"/>
      <c r="D25" s="138"/>
      <c r="E25" s="138"/>
      <c r="F25" s="138"/>
      <c r="G25" s="138"/>
      <c r="H25" s="138"/>
      <c r="I25" s="138"/>
      <c r="J25" s="138"/>
      <c r="K25" s="138"/>
      <c r="L25" s="138"/>
      <c r="M25" s="138"/>
      <c r="N25" s="138"/>
      <c r="O25" s="138"/>
      <c r="P25" s="138"/>
      <c r="Q25" s="138"/>
      <c r="R25" s="138"/>
      <c r="S25" s="138"/>
      <c r="T25" s="138"/>
      <c r="U25" s="138"/>
    </row>
    <row r="26" spans="1:24" ht="18" customHeight="1" x14ac:dyDescent="0.2">
      <c r="B26" s="105" t="s">
        <v>52</v>
      </c>
      <c r="C26" s="106"/>
      <c r="D26" s="106"/>
      <c r="E26" s="106"/>
      <c r="F26" s="107"/>
      <c r="G26" s="49" t="s">
        <v>77</v>
      </c>
      <c r="H26" s="48" t="s">
        <v>80</v>
      </c>
      <c r="I26" s="16" t="s">
        <v>55</v>
      </c>
      <c r="J26" s="16" t="s">
        <v>58</v>
      </c>
      <c r="K26" s="105" t="s">
        <v>52</v>
      </c>
      <c r="L26" s="106"/>
      <c r="M26" s="106"/>
      <c r="N26" s="106"/>
      <c r="O26" s="106"/>
      <c r="P26" s="106"/>
      <c r="Q26" s="107"/>
      <c r="R26" s="49" t="s">
        <v>77</v>
      </c>
      <c r="S26" s="48" t="s">
        <v>80</v>
      </c>
      <c r="T26" s="16" t="s">
        <v>55</v>
      </c>
      <c r="U26" s="16" t="s">
        <v>58</v>
      </c>
    </row>
    <row r="27" spans="1:24" ht="18" customHeight="1" x14ac:dyDescent="0.2">
      <c r="B27" s="120" t="s">
        <v>148</v>
      </c>
      <c r="C27" s="121"/>
      <c r="D27" s="121"/>
      <c r="E27" s="121"/>
      <c r="F27" s="122"/>
      <c r="G27" s="17">
        <v>2</v>
      </c>
      <c r="H27" s="17" t="s">
        <v>149</v>
      </c>
      <c r="I27" s="17" t="s">
        <v>149</v>
      </c>
      <c r="J27" s="17"/>
      <c r="K27" s="120"/>
      <c r="L27" s="121"/>
      <c r="M27" s="121"/>
      <c r="N27" s="121"/>
      <c r="O27" s="121"/>
      <c r="P27" s="121"/>
      <c r="Q27" s="122"/>
      <c r="R27" s="17"/>
      <c r="S27" s="17"/>
      <c r="T27" s="17"/>
      <c r="U27" s="17"/>
    </row>
    <row r="28" spans="1:24" ht="18" customHeight="1" x14ac:dyDescent="0.2">
      <c r="B28" s="114" t="s">
        <v>146</v>
      </c>
      <c r="C28" s="115"/>
      <c r="D28" s="115"/>
      <c r="E28" s="115"/>
      <c r="F28" s="116"/>
      <c r="G28" s="18">
        <v>2</v>
      </c>
      <c r="H28" s="18" t="s">
        <v>149</v>
      </c>
      <c r="I28" s="18" t="s">
        <v>149</v>
      </c>
      <c r="J28" s="18" t="s">
        <v>149</v>
      </c>
      <c r="K28" s="114"/>
      <c r="L28" s="115"/>
      <c r="M28" s="115"/>
      <c r="N28" s="115"/>
      <c r="O28" s="115"/>
      <c r="P28" s="115"/>
      <c r="Q28" s="116"/>
      <c r="R28" s="18"/>
      <c r="S28" s="18"/>
      <c r="T28" s="18"/>
      <c r="U28" s="18"/>
    </row>
    <row r="29" spans="1:24" ht="18" customHeight="1" x14ac:dyDescent="0.2">
      <c r="B29" s="114"/>
      <c r="C29" s="115"/>
      <c r="D29" s="115"/>
      <c r="E29" s="115"/>
      <c r="F29" s="116"/>
      <c r="G29" s="18"/>
      <c r="H29" s="18"/>
      <c r="I29" s="18"/>
      <c r="J29" s="18"/>
      <c r="K29" s="114"/>
      <c r="L29" s="115"/>
      <c r="M29" s="115"/>
      <c r="N29" s="115"/>
      <c r="O29" s="115"/>
      <c r="P29" s="115"/>
      <c r="Q29" s="116"/>
      <c r="R29" s="18"/>
      <c r="S29" s="18"/>
      <c r="T29" s="18"/>
      <c r="U29" s="18"/>
    </row>
    <row r="30" spans="1:24" ht="18" customHeight="1" x14ac:dyDescent="0.2">
      <c r="B30" s="114"/>
      <c r="C30" s="115"/>
      <c r="D30" s="115"/>
      <c r="E30" s="115"/>
      <c r="F30" s="116"/>
      <c r="G30" s="18"/>
      <c r="H30" s="18"/>
      <c r="I30" s="18"/>
      <c r="J30" s="18"/>
      <c r="K30" s="114"/>
      <c r="L30" s="115"/>
      <c r="M30" s="115"/>
      <c r="N30" s="115"/>
      <c r="O30" s="115"/>
      <c r="P30" s="115"/>
      <c r="Q30" s="116"/>
      <c r="R30" s="18"/>
      <c r="S30" s="18"/>
      <c r="T30" s="18"/>
      <c r="U30" s="18"/>
    </row>
    <row r="31" spans="1:24" ht="18" customHeight="1" x14ac:dyDescent="0.2">
      <c r="B31" s="114"/>
      <c r="C31" s="115"/>
      <c r="D31" s="115"/>
      <c r="E31" s="115"/>
      <c r="F31" s="116"/>
      <c r="G31" s="18"/>
      <c r="H31" s="18"/>
      <c r="I31" s="18"/>
      <c r="J31" s="18"/>
      <c r="K31" s="114"/>
      <c r="L31" s="115"/>
      <c r="M31" s="115"/>
      <c r="N31" s="115"/>
      <c r="O31" s="115"/>
      <c r="P31" s="115"/>
      <c r="Q31" s="116"/>
      <c r="R31" s="18"/>
      <c r="S31" s="18"/>
      <c r="T31" s="18"/>
      <c r="U31" s="18"/>
    </row>
    <row r="32" spans="1:24" ht="18" customHeight="1" x14ac:dyDescent="0.2">
      <c r="A32" s="3"/>
      <c r="B32" s="114"/>
      <c r="C32" s="115"/>
      <c r="D32" s="115"/>
      <c r="E32" s="115"/>
      <c r="F32" s="116"/>
      <c r="G32" s="18"/>
      <c r="H32" s="18"/>
      <c r="I32" s="18"/>
      <c r="J32" s="18"/>
      <c r="K32" s="114"/>
      <c r="L32" s="115"/>
      <c r="M32" s="115"/>
      <c r="N32" s="115"/>
      <c r="O32" s="115"/>
      <c r="P32" s="115"/>
      <c r="Q32" s="116"/>
      <c r="R32" s="18"/>
      <c r="S32" s="18"/>
      <c r="T32" s="18"/>
      <c r="U32" s="18"/>
    </row>
    <row r="33" spans="1:21" ht="18" customHeight="1" x14ac:dyDescent="0.2">
      <c r="A33" s="3"/>
      <c r="B33" s="117"/>
      <c r="C33" s="118"/>
      <c r="D33" s="118"/>
      <c r="E33" s="118"/>
      <c r="F33" s="119"/>
      <c r="G33" s="19"/>
      <c r="H33" s="19"/>
      <c r="I33" s="20"/>
      <c r="J33" s="20"/>
      <c r="K33" s="117"/>
      <c r="L33" s="118"/>
      <c r="M33" s="118"/>
      <c r="N33" s="118"/>
      <c r="O33" s="118"/>
      <c r="P33" s="118"/>
      <c r="Q33" s="119"/>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3" t="s">
        <v>102</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x14ac:dyDescent="0.2">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x14ac:dyDescent="0.2">
      <c r="B37" s="105" t="s">
        <v>52</v>
      </c>
      <c r="C37" s="106"/>
      <c r="D37" s="106"/>
      <c r="E37" s="106"/>
      <c r="F37" s="107"/>
      <c r="G37" s="49" t="s">
        <v>77</v>
      </c>
      <c r="H37" s="48" t="s">
        <v>80</v>
      </c>
      <c r="I37" s="16" t="s">
        <v>68</v>
      </c>
      <c r="J37" s="16" t="s">
        <v>69</v>
      </c>
      <c r="K37" s="105" t="s">
        <v>52</v>
      </c>
      <c r="L37" s="106"/>
      <c r="M37" s="106"/>
      <c r="N37" s="106"/>
      <c r="O37" s="106"/>
      <c r="P37" s="106"/>
      <c r="Q37" s="107"/>
      <c r="R37" s="49" t="s">
        <v>77</v>
      </c>
      <c r="S37" s="48" t="s">
        <v>80</v>
      </c>
      <c r="T37" s="16" t="s">
        <v>68</v>
      </c>
      <c r="U37" s="16" t="s">
        <v>69</v>
      </c>
    </row>
    <row r="38" spans="1:21" ht="18" customHeight="1" x14ac:dyDescent="0.2">
      <c r="B38" s="120" t="s">
        <v>147</v>
      </c>
      <c r="C38" s="121"/>
      <c r="D38" s="121"/>
      <c r="E38" s="121"/>
      <c r="F38" s="122"/>
      <c r="G38" s="17">
        <v>2</v>
      </c>
      <c r="H38" s="17" t="s">
        <v>149</v>
      </c>
      <c r="I38" s="17" t="s">
        <v>149</v>
      </c>
      <c r="J38" s="17"/>
      <c r="K38" s="120"/>
      <c r="L38" s="121"/>
      <c r="M38" s="121"/>
      <c r="N38" s="121"/>
      <c r="O38" s="121"/>
      <c r="P38" s="121"/>
      <c r="Q38" s="122"/>
      <c r="R38" s="17"/>
      <c r="S38" s="17"/>
      <c r="T38" s="17"/>
      <c r="U38" s="17"/>
    </row>
    <row r="39" spans="1:21" ht="18" customHeight="1" x14ac:dyDescent="0.2">
      <c r="B39" s="114" t="s">
        <v>146</v>
      </c>
      <c r="C39" s="115"/>
      <c r="D39" s="115"/>
      <c r="E39" s="115"/>
      <c r="F39" s="116"/>
      <c r="G39" s="18">
        <v>2</v>
      </c>
      <c r="H39" s="18" t="s">
        <v>149</v>
      </c>
      <c r="I39" s="18"/>
      <c r="J39" s="18" t="s">
        <v>149</v>
      </c>
      <c r="K39" s="114"/>
      <c r="L39" s="115"/>
      <c r="M39" s="115"/>
      <c r="N39" s="115"/>
      <c r="O39" s="115"/>
      <c r="P39" s="115"/>
      <c r="Q39" s="116"/>
      <c r="R39" s="18"/>
      <c r="S39" s="18"/>
      <c r="T39" s="18"/>
      <c r="U39" s="18"/>
    </row>
    <row r="40" spans="1:21" ht="18" customHeight="1" x14ac:dyDescent="0.2">
      <c r="B40" s="114"/>
      <c r="C40" s="115"/>
      <c r="D40" s="115"/>
      <c r="E40" s="115"/>
      <c r="F40" s="116"/>
      <c r="G40" s="18"/>
      <c r="H40" s="18"/>
      <c r="I40" s="18"/>
      <c r="J40" s="18"/>
      <c r="K40" s="114"/>
      <c r="L40" s="115"/>
      <c r="M40" s="115"/>
      <c r="N40" s="115"/>
      <c r="O40" s="115"/>
      <c r="P40" s="115"/>
      <c r="Q40" s="116"/>
      <c r="R40" s="18"/>
      <c r="S40" s="18"/>
      <c r="T40" s="18"/>
      <c r="U40" s="18"/>
    </row>
    <row r="41" spans="1:21" ht="18" customHeight="1" x14ac:dyDescent="0.2">
      <c r="B41" s="114"/>
      <c r="C41" s="115"/>
      <c r="D41" s="115"/>
      <c r="E41" s="115"/>
      <c r="F41" s="116"/>
      <c r="G41" s="18"/>
      <c r="H41" s="18"/>
      <c r="I41" s="18"/>
      <c r="J41" s="18"/>
      <c r="K41" s="114"/>
      <c r="L41" s="115"/>
      <c r="M41" s="115"/>
      <c r="N41" s="115"/>
      <c r="O41" s="115"/>
      <c r="P41" s="115"/>
      <c r="Q41" s="116"/>
      <c r="R41" s="18"/>
      <c r="S41" s="18"/>
      <c r="T41" s="18"/>
      <c r="U41" s="18"/>
    </row>
    <row r="42" spans="1:21" ht="18" customHeight="1" x14ac:dyDescent="0.2">
      <c r="B42" s="114"/>
      <c r="C42" s="115"/>
      <c r="D42" s="115"/>
      <c r="E42" s="115"/>
      <c r="F42" s="116"/>
      <c r="G42" s="18"/>
      <c r="H42" s="18"/>
      <c r="I42" s="18"/>
      <c r="J42" s="18"/>
      <c r="K42" s="114"/>
      <c r="L42" s="115"/>
      <c r="M42" s="115"/>
      <c r="N42" s="115"/>
      <c r="O42" s="115"/>
      <c r="P42" s="115"/>
      <c r="Q42" s="116"/>
      <c r="R42" s="18"/>
      <c r="S42" s="18"/>
      <c r="T42" s="18"/>
      <c r="U42" s="18"/>
    </row>
    <row r="43" spans="1:21" ht="18" customHeight="1" x14ac:dyDescent="0.2">
      <c r="B43" s="114"/>
      <c r="C43" s="115"/>
      <c r="D43" s="115"/>
      <c r="E43" s="115"/>
      <c r="F43" s="116"/>
      <c r="G43" s="18"/>
      <c r="H43" s="18"/>
      <c r="I43" s="18"/>
      <c r="J43" s="18"/>
      <c r="K43" s="114"/>
      <c r="L43" s="115"/>
      <c r="M43" s="115"/>
      <c r="N43" s="115"/>
      <c r="O43" s="115"/>
      <c r="P43" s="115"/>
      <c r="Q43" s="116"/>
      <c r="R43" s="18"/>
      <c r="S43" s="18"/>
      <c r="T43" s="18"/>
      <c r="U43" s="18"/>
    </row>
    <row r="44" spans="1:21" ht="18" customHeight="1" x14ac:dyDescent="0.2">
      <c r="B44" s="117"/>
      <c r="C44" s="118"/>
      <c r="D44" s="118"/>
      <c r="E44" s="118"/>
      <c r="F44" s="119"/>
      <c r="G44" s="19"/>
      <c r="H44" s="19"/>
      <c r="I44" s="20"/>
      <c r="J44" s="20"/>
      <c r="K44" s="117"/>
      <c r="L44" s="118"/>
      <c r="M44" s="118"/>
      <c r="N44" s="118"/>
      <c r="O44" s="118"/>
      <c r="P44" s="118"/>
      <c r="Q44" s="119"/>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3" t="s">
        <v>103</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x14ac:dyDescent="0.2">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x14ac:dyDescent="0.2">
      <c r="B48" s="105" t="s">
        <v>52</v>
      </c>
      <c r="C48" s="106"/>
      <c r="D48" s="106"/>
      <c r="E48" s="106"/>
      <c r="F48" s="107"/>
      <c r="G48" s="49" t="s">
        <v>77</v>
      </c>
      <c r="H48" s="48" t="s">
        <v>80</v>
      </c>
      <c r="I48" s="16" t="s">
        <v>70</v>
      </c>
      <c r="J48" s="16" t="s">
        <v>71</v>
      </c>
      <c r="K48" s="105" t="s">
        <v>52</v>
      </c>
      <c r="L48" s="106"/>
      <c r="M48" s="106"/>
      <c r="N48" s="106"/>
      <c r="O48" s="106"/>
      <c r="P48" s="106"/>
      <c r="Q48" s="107"/>
      <c r="R48" s="49" t="s">
        <v>77</v>
      </c>
      <c r="S48" s="48" t="s">
        <v>80</v>
      </c>
      <c r="T48" s="16" t="s">
        <v>70</v>
      </c>
      <c r="U48" s="16" t="s">
        <v>71</v>
      </c>
    </row>
    <row r="49" spans="1:21" ht="18" customHeight="1" x14ac:dyDescent="0.2">
      <c r="A49" s="3"/>
      <c r="B49" s="120" t="s">
        <v>148</v>
      </c>
      <c r="C49" s="121"/>
      <c r="D49" s="121"/>
      <c r="E49" s="121"/>
      <c r="F49" s="122"/>
      <c r="G49" s="17">
        <v>2</v>
      </c>
      <c r="H49" s="17" t="s">
        <v>149</v>
      </c>
      <c r="I49" s="17" t="s">
        <v>149</v>
      </c>
      <c r="J49" s="17" t="s">
        <v>149</v>
      </c>
      <c r="K49" s="120"/>
      <c r="L49" s="121"/>
      <c r="M49" s="121"/>
      <c r="N49" s="121"/>
      <c r="O49" s="121"/>
      <c r="P49" s="121"/>
      <c r="Q49" s="122"/>
      <c r="R49" s="17"/>
      <c r="S49" s="17"/>
      <c r="T49" s="17"/>
      <c r="U49" s="17"/>
    </row>
    <row r="50" spans="1:21" ht="18" customHeight="1" x14ac:dyDescent="0.2">
      <c r="A50" s="3"/>
      <c r="B50" s="114" t="s">
        <v>146</v>
      </c>
      <c r="C50" s="115"/>
      <c r="D50" s="115"/>
      <c r="E50" s="115"/>
      <c r="F50" s="116"/>
      <c r="G50" s="18">
        <v>2</v>
      </c>
      <c r="H50" s="18" t="s">
        <v>149</v>
      </c>
      <c r="I50" s="18" t="s">
        <v>149</v>
      </c>
      <c r="J50" s="18" t="s">
        <v>149</v>
      </c>
      <c r="K50" s="114"/>
      <c r="L50" s="115"/>
      <c r="M50" s="115"/>
      <c r="N50" s="115"/>
      <c r="O50" s="115"/>
      <c r="P50" s="115"/>
      <c r="Q50" s="116"/>
      <c r="R50" s="18"/>
      <c r="S50" s="18"/>
      <c r="T50" s="18"/>
      <c r="U50" s="18"/>
    </row>
    <row r="51" spans="1:21" ht="18" customHeight="1" x14ac:dyDescent="0.2">
      <c r="A51" s="3"/>
      <c r="B51" s="114"/>
      <c r="C51" s="115"/>
      <c r="D51" s="115"/>
      <c r="E51" s="115"/>
      <c r="F51" s="116"/>
      <c r="G51" s="18"/>
      <c r="H51" s="18"/>
      <c r="I51" s="18"/>
      <c r="J51" s="18"/>
      <c r="K51" s="114"/>
      <c r="L51" s="115"/>
      <c r="M51" s="115"/>
      <c r="N51" s="115"/>
      <c r="O51" s="115"/>
      <c r="P51" s="115"/>
      <c r="Q51" s="116"/>
      <c r="R51" s="18"/>
      <c r="S51" s="18"/>
      <c r="T51" s="18"/>
      <c r="U51" s="18"/>
    </row>
    <row r="52" spans="1:21" ht="18" customHeight="1" x14ac:dyDescent="0.2">
      <c r="A52" s="3"/>
      <c r="B52" s="114"/>
      <c r="C52" s="115"/>
      <c r="D52" s="115"/>
      <c r="E52" s="115"/>
      <c r="F52" s="116"/>
      <c r="G52" s="18"/>
      <c r="H52" s="18"/>
      <c r="I52" s="18"/>
      <c r="J52" s="18"/>
      <c r="K52" s="114"/>
      <c r="L52" s="115"/>
      <c r="M52" s="115"/>
      <c r="N52" s="115"/>
      <c r="O52" s="115"/>
      <c r="P52" s="115"/>
      <c r="Q52" s="116"/>
      <c r="R52" s="18"/>
      <c r="S52" s="18"/>
      <c r="T52" s="18"/>
      <c r="U52" s="18"/>
    </row>
    <row r="53" spans="1:21" ht="18" customHeight="1" x14ac:dyDescent="0.2">
      <c r="A53" s="3"/>
      <c r="B53" s="114"/>
      <c r="C53" s="115"/>
      <c r="D53" s="115"/>
      <c r="E53" s="115"/>
      <c r="F53" s="116"/>
      <c r="G53" s="18"/>
      <c r="H53" s="18"/>
      <c r="I53" s="18"/>
      <c r="J53" s="18"/>
      <c r="K53" s="114"/>
      <c r="L53" s="115"/>
      <c r="M53" s="115"/>
      <c r="N53" s="115"/>
      <c r="O53" s="115"/>
      <c r="P53" s="115"/>
      <c r="Q53" s="116"/>
      <c r="R53" s="18"/>
      <c r="S53" s="18"/>
      <c r="T53" s="18"/>
      <c r="U53" s="18"/>
    </row>
    <row r="54" spans="1:21" ht="18" customHeight="1" x14ac:dyDescent="0.2">
      <c r="A54" s="3"/>
      <c r="B54" s="114"/>
      <c r="C54" s="115"/>
      <c r="D54" s="115"/>
      <c r="E54" s="115"/>
      <c r="F54" s="116"/>
      <c r="G54" s="18"/>
      <c r="H54" s="18"/>
      <c r="I54" s="18"/>
      <c r="J54" s="18"/>
      <c r="K54" s="114"/>
      <c r="L54" s="115"/>
      <c r="M54" s="115"/>
      <c r="N54" s="115"/>
      <c r="O54" s="115"/>
      <c r="P54" s="115"/>
      <c r="Q54" s="116"/>
      <c r="R54" s="18"/>
      <c r="S54" s="18"/>
      <c r="T54" s="18"/>
      <c r="U54" s="18"/>
    </row>
    <row r="55" spans="1:21" ht="18" customHeight="1" x14ac:dyDescent="0.2">
      <c r="A55" s="3"/>
      <c r="B55" s="117"/>
      <c r="C55" s="118"/>
      <c r="D55" s="118"/>
      <c r="E55" s="118"/>
      <c r="F55" s="119"/>
      <c r="G55" s="19"/>
      <c r="H55" s="19"/>
      <c r="I55" s="20"/>
      <c r="J55" s="20"/>
      <c r="K55" s="117"/>
      <c r="L55" s="118"/>
      <c r="M55" s="118"/>
      <c r="N55" s="118"/>
      <c r="O55" s="118"/>
      <c r="P55" s="118"/>
      <c r="Q55" s="119"/>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3" t="s">
        <v>104</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x14ac:dyDescent="0.2">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x14ac:dyDescent="0.2">
      <c r="B59" s="105" t="s">
        <v>52</v>
      </c>
      <c r="C59" s="106"/>
      <c r="D59" s="106"/>
      <c r="E59" s="106"/>
      <c r="F59" s="107"/>
      <c r="G59" s="49" t="s">
        <v>77</v>
      </c>
      <c r="H59" s="48" t="s">
        <v>80</v>
      </c>
      <c r="I59" s="16" t="s">
        <v>57</v>
      </c>
      <c r="J59" s="16" t="s">
        <v>59</v>
      </c>
      <c r="K59" s="105" t="s">
        <v>52</v>
      </c>
      <c r="L59" s="106"/>
      <c r="M59" s="106"/>
      <c r="N59" s="106"/>
      <c r="O59" s="106"/>
      <c r="P59" s="106"/>
      <c r="Q59" s="107"/>
      <c r="R59" s="49" t="s">
        <v>77</v>
      </c>
      <c r="S59" s="48" t="s">
        <v>80</v>
      </c>
      <c r="T59" s="16" t="s">
        <v>57</v>
      </c>
      <c r="U59" s="16" t="s">
        <v>59</v>
      </c>
    </row>
    <row r="60" spans="1:21" ht="18" customHeight="1" x14ac:dyDescent="0.2">
      <c r="A60" s="3"/>
      <c r="B60" s="120" t="s">
        <v>148</v>
      </c>
      <c r="C60" s="121"/>
      <c r="D60" s="121"/>
      <c r="E60" s="121"/>
      <c r="F60" s="122"/>
      <c r="G60" s="17">
        <v>2</v>
      </c>
      <c r="H60" s="17" t="s">
        <v>149</v>
      </c>
      <c r="I60" s="17" t="s">
        <v>149</v>
      </c>
      <c r="J60" s="17" t="s">
        <v>149</v>
      </c>
      <c r="K60" s="120"/>
      <c r="L60" s="121"/>
      <c r="M60" s="121"/>
      <c r="N60" s="121"/>
      <c r="O60" s="121"/>
      <c r="P60" s="121"/>
      <c r="Q60" s="122"/>
      <c r="R60" s="17"/>
      <c r="S60" s="17"/>
      <c r="T60" s="17"/>
      <c r="U60" s="17"/>
    </row>
    <row r="61" spans="1:21" ht="18" customHeight="1" x14ac:dyDescent="0.2">
      <c r="A61" s="3"/>
      <c r="B61" s="114" t="s">
        <v>146</v>
      </c>
      <c r="C61" s="115"/>
      <c r="D61" s="115"/>
      <c r="E61" s="115"/>
      <c r="F61" s="116"/>
      <c r="G61" s="18">
        <v>2</v>
      </c>
      <c r="H61" s="18" t="s">
        <v>149</v>
      </c>
      <c r="I61" s="18" t="s">
        <v>149</v>
      </c>
      <c r="J61" s="18"/>
      <c r="K61" s="114"/>
      <c r="L61" s="115"/>
      <c r="M61" s="115"/>
      <c r="N61" s="115"/>
      <c r="O61" s="115"/>
      <c r="P61" s="115"/>
      <c r="Q61" s="116"/>
      <c r="R61" s="18"/>
      <c r="S61" s="18"/>
      <c r="T61" s="18"/>
      <c r="U61" s="18"/>
    </row>
    <row r="62" spans="1:21" ht="18" customHeight="1" x14ac:dyDescent="0.2">
      <c r="A62" s="3"/>
      <c r="B62" s="114"/>
      <c r="C62" s="115"/>
      <c r="D62" s="115"/>
      <c r="E62" s="115"/>
      <c r="F62" s="116"/>
      <c r="G62" s="18"/>
      <c r="H62" s="18"/>
      <c r="I62" s="18"/>
      <c r="J62" s="18"/>
      <c r="K62" s="114"/>
      <c r="L62" s="115"/>
      <c r="M62" s="115"/>
      <c r="N62" s="115"/>
      <c r="O62" s="115"/>
      <c r="P62" s="115"/>
      <c r="Q62" s="116"/>
      <c r="R62" s="18"/>
      <c r="S62" s="18"/>
      <c r="T62" s="18"/>
      <c r="U62" s="18"/>
    </row>
    <row r="63" spans="1:21" ht="18" customHeight="1" x14ac:dyDescent="0.2">
      <c r="A63" s="3"/>
      <c r="B63" s="114"/>
      <c r="C63" s="115"/>
      <c r="D63" s="115"/>
      <c r="E63" s="115"/>
      <c r="F63" s="116"/>
      <c r="G63" s="18"/>
      <c r="H63" s="18"/>
      <c r="I63" s="18"/>
      <c r="J63" s="18"/>
      <c r="K63" s="114"/>
      <c r="L63" s="115"/>
      <c r="M63" s="115"/>
      <c r="N63" s="115"/>
      <c r="O63" s="115"/>
      <c r="P63" s="115"/>
      <c r="Q63" s="116"/>
      <c r="R63" s="18"/>
      <c r="S63" s="18"/>
      <c r="T63" s="18"/>
      <c r="U63" s="18"/>
    </row>
    <row r="64" spans="1:21" ht="18" customHeight="1" x14ac:dyDescent="0.2">
      <c r="A64" s="3"/>
      <c r="B64" s="114"/>
      <c r="C64" s="115"/>
      <c r="D64" s="115"/>
      <c r="E64" s="115"/>
      <c r="F64" s="116"/>
      <c r="G64" s="18"/>
      <c r="H64" s="18"/>
      <c r="I64" s="18"/>
      <c r="J64" s="18"/>
      <c r="K64" s="114"/>
      <c r="L64" s="115"/>
      <c r="M64" s="115"/>
      <c r="N64" s="115"/>
      <c r="O64" s="115"/>
      <c r="P64" s="115"/>
      <c r="Q64" s="116"/>
      <c r="R64" s="18"/>
      <c r="S64" s="18"/>
      <c r="T64" s="18"/>
      <c r="U64" s="18"/>
    </row>
    <row r="65" spans="1:21" ht="18" customHeight="1" x14ac:dyDescent="0.2">
      <c r="A65" s="3"/>
      <c r="B65" s="114"/>
      <c r="C65" s="115"/>
      <c r="D65" s="115"/>
      <c r="E65" s="115"/>
      <c r="F65" s="116"/>
      <c r="G65" s="18"/>
      <c r="H65" s="18"/>
      <c r="I65" s="18"/>
      <c r="J65" s="18"/>
      <c r="K65" s="114"/>
      <c r="L65" s="115"/>
      <c r="M65" s="115"/>
      <c r="N65" s="115"/>
      <c r="O65" s="115"/>
      <c r="P65" s="115"/>
      <c r="Q65" s="116"/>
      <c r="R65" s="18"/>
      <c r="S65" s="18"/>
      <c r="T65" s="18"/>
      <c r="U65" s="18"/>
    </row>
    <row r="66" spans="1:21" ht="18" customHeight="1" x14ac:dyDescent="0.2">
      <c r="A66" s="3"/>
      <c r="B66" s="117"/>
      <c r="C66" s="118"/>
      <c r="D66" s="118"/>
      <c r="E66" s="118"/>
      <c r="F66" s="119"/>
      <c r="G66" s="19"/>
      <c r="H66" s="19"/>
      <c r="I66" s="20"/>
      <c r="J66" s="20"/>
      <c r="K66" s="117"/>
      <c r="L66" s="118"/>
      <c r="M66" s="118"/>
      <c r="N66" s="118"/>
      <c r="O66" s="118"/>
      <c r="P66" s="118"/>
      <c r="Q66" s="119"/>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3" t="s">
        <v>105</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x14ac:dyDescent="0.2">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x14ac:dyDescent="0.2">
      <c r="B70" s="105" t="s">
        <v>52</v>
      </c>
      <c r="C70" s="106"/>
      <c r="D70" s="106"/>
      <c r="E70" s="106"/>
      <c r="F70" s="49" t="s">
        <v>77</v>
      </c>
      <c r="G70" s="48" t="s">
        <v>80</v>
      </c>
      <c r="H70" s="16" t="s">
        <v>92</v>
      </c>
      <c r="I70" s="16" t="s">
        <v>72</v>
      </c>
      <c r="J70" s="16" t="s">
        <v>73</v>
      </c>
      <c r="K70" s="105" t="s">
        <v>52</v>
      </c>
      <c r="L70" s="106"/>
      <c r="M70" s="106"/>
      <c r="N70" s="106"/>
      <c r="O70" s="106"/>
      <c r="P70" s="107"/>
      <c r="Q70" s="49" t="s">
        <v>77</v>
      </c>
      <c r="R70" s="48" t="s">
        <v>80</v>
      </c>
      <c r="S70" s="16" t="s">
        <v>92</v>
      </c>
      <c r="T70" s="16" t="s">
        <v>72</v>
      </c>
      <c r="U70" s="16" t="s">
        <v>73</v>
      </c>
    </row>
    <row r="71" spans="1:21" ht="18" customHeight="1" x14ac:dyDescent="0.2">
      <c r="A71" s="3"/>
      <c r="B71" s="120" t="s">
        <v>148</v>
      </c>
      <c r="C71" s="121"/>
      <c r="D71" s="121"/>
      <c r="E71" s="121"/>
      <c r="F71" s="17">
        <v>2</v>
      </c>
      <c r="G71" s="17" t="s">
        <v>149</v>
      </c>
      <c r="H71" s="17" t="s">
        <v>149</v>
      </c>
      <c r="I71" s="17" t="s">
        <v>149</v>
      </c>
      <c r="J71" s="17" t="s">
        <v>149</v>
      </c>
      <c r="K71" s="120"/>
      <c r="L71" s="121"/>
      <c r="M71" s="121"/>
      <c r="N71" s="121"/>
      <c r="O71" s="121"/>
      <c r="P71" s="122"/>
      <c r="Q71" s="17"/>
      <c r="R71" s="17"/>
      <c r="S71" s="17"/>
      <c r="T71" s="17"/>
      <c r="U71" s="17"/>
    </row>
    <row r="72" spans="1:21" ht="18" customHeight="1" x14ac:dyDescent="0.2">
      <c r="A72" s="3"/>
      <c r="B72" s="114" t="s">
        <v>146</v>
      </c>
      <c r="C72" s="115"/>
      <c r="D72" s="115"/>
      <c r="E72" s="115"/>
      <c r="F72" s="18">
        <v>2</v>
      </c>
      <c r="G72" s="18" t="s">
        <v>149</v>
      </c>
      <c r="H72" s="18" t="s">
        <v>149</v>
      </c>
      <c r="I72" s="18"/>
      <c r="J72" s="18"/>
      <c r="K72" s="114"/>
      <c r="L72" s="115"/>
      <c r="M72" s="115"/>
      <c r="N72" s="115"/>
      <c r="O72" s="115"/>
      <c r="P72" s="116"/>
      <c r="Q72" s="18"/>
      <c r="R72" s="18"/>
      <c r="S72" s="18"/>
      <c r="T72" s="18"/>
      <c r="U72" s="18"/>
    </row>
    <row r="73" spans="1:21" ht="18" customHeight="1" x14ac:dyDescent="0.2">
      <c r="A73" s="3"/>
      <c r="B73" s="114"/>
      <c r="C73" s="115"/>
      <c r="D73" s="115"/>
      <c r="E73" s="115"/>
      <c r="F73" s="18"/>
      <c r="G73" s="18"/>
      <c r="H73" s="18"/>
      <c r="I73" s="18"/>
      <c r="J73" s="18"/>
      <c r="K73" s="114"/>
      <c r="L73" s="115"/>
      <c r="M73" s="115"/>
      <c r="N73" s="115"/>
      <c r="O73" s="115"/>
      <c r="P73" s="116"/>
      <c r="Q73" s="18"/>
      <c r="R73" s="18"/>
      <c r="S73" s="18"/>
      <c r="T73" s="18"/>
      <c r="U73" s="18"/>
    </row>
    <row r="74" spans="1:21" ht="18" customHeight="1" x14ac:dyDescent="0.2">
      <c r="A74" s="3"/>
      <c r="B74" s="114"/>
      <c r="C74" s="115"/>
      <c r="D74" s="115"/>
      <c r="E74" s="115"/>
      <c r="F74" s="18"/>
      <c r="G74" s="18"/>
      <c r="H74" s="18"/>
      <c r="I74" s="18"/>
      <c r="J74" s="18"/>
      <c r="K74" s="114"/>
      <c r="L74" s="115"/>
      <c r="M74" s="115"/>
      <c r="N74" s="115"/>
      <c r="O74" s="115"/>
      <c r="P74" s="116"/>
      <c r="Q74" s="18"/>
      <c r="R74" s="18"/>
      <c r="S74" s="18"/>
      <c r="T74" s="18"/>
      <c r="U74" s="18"/>
    </row>
    <row r="75" spans="1:21" ht="18" customHeight="1" x14ac:dyDescent="0.2">
      <c r="A75" s="3"/>
      <c r="B75" s="114"/>
      <c r="C75" s="115"/>
      <c r="D75" s="115"/>
      <c r="E75" s="115"/>
      <c r="F75" s="18"/>
      <c r="G75" s="18"/>
      <c r="H75" s="18"/>
      <c r="I75" s="18"/>
      <c r="J75" s="18"/>
      <c r="K75" s="114"/>
      <c r="L75" s="115"/>
      <c r="M75" s="115"/>
      <c r="N75" s="115"/>
      <c r="O75" s="115"/>
      <c r="P75" s="116"/>
      <c r="Q75" s="18"/>
      <c r="R75" s="18"/>
      <c r="S75" s="18"/>
      <c r="T75" s="18"/>
      <c r="U75" s="18"/>
    </row>
    <row r="76" spans="1:21" ht="18" customHeight="1" x14ac:dyDescent="0.2">
      <c r="A76" s="3"/>
      <c r="B76" s="114"/>
      <c r="C76" s="115"/>
      <c r="D76" s="115"/>
      <c r="E76" s="115"/>
      <c r="F76" s="18"/>
      <c r="G76" s="18"/>
      <c r="H76" s="18"/>
      <c r="I76" s="18"/>
      <c r="J76" s="18"/>
      <c r="K76" s="114"/>
      <c r="L76" s="115"/>
      <c r="M76" s="115"/>
      <c r="N76" s="115"/>
      <c r="O76" s="115"/>
      <c r="P76" s="116"/>
      <c r="Q76" s="18"/>
      <c r="R76" s="18"/>
      <c r="S76" s="18"/>
      <c r="T76" s="18"/>
      <c r="U76" s="18"/>
    </row>
    <row r="77" spans="1:21" ht="18" customHeight="1" x14ac:dyDescent="0.2">
      <c r="A77" s="3"/>
      <c r="B77" s="117"/>
      <c r="C77" s="118"/>
      <c r="D77" s="118"/>
      <c r="E77" s="118"/>
      <c r="F77" s="19"/>
      <c r="G77" s="19"/>
      <c r="H77" s="20"/>
      <c r="I77" s="20"/>
      <c r="J77" s="20"/>
      <c r="K77" s="117"/>
      <c r="L77" s="118"/>
      <c r="M77" s="118"/>
      <c r="N77" s="118"/>
      <c r="O77" s="118"/>
      <c r="P77" s="119"/>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106</v>
      </c>
      <c r="I79" s="3"/>
      <c r="J79" s="3"/>
      <c r="K79" s="3"/>
      <c r="L79" s="3"/>
      <c r="M79" s="3"/>
      <c r="N79" s="3"/>
      <c r="O79" s="3"/>
      <c r="P79" s="3"/>
      <c r="Q79" s="3"/>
      <c r="R79" s="3"/>
      <c r="S79" s="3"/>
      <c r="T79" s="3"/>
      <c r="U79" s="3"/>
    </row>
    <row r="80" spans="1:21" ht="18" customHeight="1" x14ac:dyDescent="0.2">
      <c r="B80" s="105" t="s">
        <v>52</v>
      </c>
      <c r="C80" s="106"/>
      <c r="D80" s="106"/>
      <c r="E80" s="106"/>
      <c r="F80" s="107"/>
      <c r="G80" s="105" t="s">
        <v>78</v>
      </c>
      <c r="H80" s="106"/>
      <c r="I80" s="106"/>
      <c r="J80" s="107"/>
      <c r="K80" s="153" t="s">
        <v>52</v>
      </c>
      <c r="L80" s="154"/>
      <c r="M80" s="154"/>
      <c r="N80" s="154"/>
      <c r="O80" s="154"/>
      <c r="P80" s="154"/>
      <c r="Q80" s="155"/>
      <c r="R80" s="105" t="s">
        <v>78</v>
      </c>
      <c r="S80" s="106"/>
      <c r="T80" s="106"/>
      <c r="U80" s="107"/>
    </row>
    <row r="81" spans="1:21" ht="18" customHeight="1" x14ac:dyDescent="0.2">
      <c r="A81" s="3"/>
      <c r="B81" s="120" t="s">
        <v>147</v>
      </c>
      <c r="C81" s="121"/>
      <c r="D81" s="121"/>
      <c r="E81" s="121"/>
      <c r="F81" s="122"/>
      <c r="G81" s="156" t="s">
        <v>153</v>
      </c>
      <c r="H81" s="157"/>
      <c r="I81" s="157"/>
      <c r="J81" s="158"/>
      <c r="K81" s="120"/>
      <c r="L81" s="121"/>
      <c r="M81" s="121"/>
      <c r="N81" s="121"/>
      <c r="O81" s="121"/>
      <c r="P81" s="121"/>
      <c r="Q81" s="122"/>
      <c r="R81" s="156"/>
      <c r="S81" s="157"/>
      <c r="T81" s="157"/>
      <c r="U81" s="158"/>
    </row>
    <row r="82" spans="1:21" ht="18" customHeight="1" x14ac:dyDescent="0.2">
      <c r="A82" s="3"/>
      <c r="B82" s="114" t="s">
        <v>148</v>
      </c>
      <c r="C82" s="115"/>
      <c r="D82" s="115"/>
      <c r="E82" s="115"/>
      <c r="F82" s="116"/>
      <c r="G82" s="145" t="s">
        <v>154</v>
      </c>
      <c r="H82" s="146"/>
      <c r="I82" s="146"/>
      <c r="J82" s="147"/>
      <c r="K82" s="114"/>
      <c r="L82" s="115"/>
      <c r="M82" s="115"/>
      <c r="N82" s="115"/>
      <c r="O82" s="115"/>
      <c r="P82" s="115"/>
      <c r="Q82" s="116"/>
      <c r="R82" s="145"/>
      <c r="S82" s="146"/>
      <c r="T82" s="146"/>
      <c r="U82" s="147"/>
    </row>
    <row r="83" spans="1:21" ht="18" customHeight="1" x14ac:dyDescent="0.2">
      <c r="A83" s="3"/>
      <c r="B83" s="114" t="s">
        <v>146</v>
      </c>
      <c r="C83" s="115"/>
      <c r="D83" s="115"/>
      <c r="E83" s="115"/>
      <c r="F83" s="116"/>
      <c r="G83" s="145" t="s">
        <v>155</v>
      </c>
      <c r="H83" s="146"/>
      <c r="I83" s="146"/>
      <c r="J83" s="147"/>
      <c r="K83" s="114"/>
      <c r="L83" s="115"/>
      <c r="M83" s="115"/>
      <c r="N83" s="115"/>
      <c r="O83" s="115"/>
      <c r="P83" s="115"/>
      <c r="Q83" s="116"/>
      <c r="R83" s="145"/>
      <c r="S83" s="146"/>
      <c r="T83" s="146"/>
      <c r="U83" s="147"/>
    </row>
    <row r="84" spans="1:21" ht="18" customHeight="1" x14ac:dyDescent="0.2">
      <c r="A84" s="3"/>
      <c r="B84" s="114" t="s">
        <v>146</v>
      </c>
      <c r="C84" s="115"/>
      <c r="D84" s="115"/>
      <c r="E84" s="115"/>
      <c r="F84" s="116"/>
      <c r="G84" s="145" t="s">
        <v>156</v>
      </c>
      <c r="H84" s="146"/>
      <c r="I84" s="146"/>
      <c r="J84" s="147"/>
      <c r="K84" s="114"/>
      <c r="L84" s="115"/>
      <c r="M84" s="115"/>
      <c r="N84" s="115"/>
      <c r="O84" s="115"/>
      <c r="P84" s="115"/>
      <c r="Q84" s="116"/>
      <c r="R84" s="145"/>
      <c r="S84" s="146"/>
      <c r="T84" s="146"/>
      <c r="U84" s="147"/>
    </row>
    <row r="85" spans="1:21" ht="18" customHeight="1" x14ac:dyDescent="0.2">
      <c r="A85" s="3"/>
      <c r="B85" s="114" t="s">
        <v>146</v>
      </c>
      <c r="C85" s="115"/>
      <c r="D85" s="115"/>
      <c r="E85" s="115"/>
      <c r="F85" s="116"/>
      <c r="G85" s="145" t="s">
        <v>157</v>
      </c>
      <c r="H85" s="146"/>
      <c r="I85" s="146"/>
      <c r="J85" s="147"/>
      <c r="K85" s="114"/>
      <c r="L85" s="115"/>
      <c r="M85" s="115"/>
      <c r="N85" s="115"/>
      <c r="O85" s="115"/>
      <c r="P85" s="115"/>
      <c r="Q85" s="116"/>
      <c r="R85" s="145"/>
      <c r="S85" s="146"/>
      <c r="T85" s="146"/>
      <c r="U85" s="147"/>
    </row>
    <row r="86" spans="1:21" ht="18" customHeight="1" x14ac:dyDescent="0.2">
      <c r="A86" s="3"/>
      <c r="B86" s="114"/>
      <c r="C86" s="115"/>
      <c r="D86" s="115"/>
      <c r="E86" s="115"/>
      <c r="F86" s="116"/>
      <c r="G86" s="145"/>
      <c r="H86" s="146"/>
      <c r="I86" s="146"/>
      <c r="J86" s="147"/>
      <c r="K86" s="114"/>
      <c r="L86" s="115"/>
      <c r="M86" s="115"/>
      <c r="N86" s="115"/>
      <c r="O86" s="115"/>
      <c r="P86" s="115"/>
      <c r="Q86" s="116"/>
      <c r="R86" s="145"/>
      <c r="S86" s="146"/>
      <c r="T86" s="146"/>
      <c r="U86" s="147"/>
    </row>
    <row r="87" spans="1:21" ht="18" customHeight="1" x14ac:dyDescent="0.2">
      <c r="A87" s="3"/>
      <c r="B87" s="117"/>
      <c r="C87" s="118"/>
      <c r="D87" s="118"/>
      <c r="E87" s="118"/>
      <c r="F87" s="119"/>
      <c r="G87" s="142"/>
      <c r="H87" s="143"/>
      <c r="I87" s="143"/>
      <c r="J87" s="144"/>
      <c r="K87" s="117"/>
      <c r="L87" s="118"/>
      <c r="M87" s="118"/>
      <c r="N87" s="118"/>
      <c r="O87" s="118"/>
      <c r="P87" s="118"/>
      <c r="Q87" s="119"/>
      <c r="R87" s="142"/>
      <c r="S87" s="143"/>
      <c r="T87" s="143"/>
      <c r="U87" s="144"/>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107</v>
      </c>
    </row>
    <row r="90" spans="1:21" ht="18.75" customHeight="1" x14ac:dyDescent="0.2">
      <c r="B90" s="151" t="s">
        <v>53</v>
      </c>
      <c r="C90" s="152"/>
      <c r="D90" s="105" t="s">
        <v>54</v>
      </c>
      <c r="E90" s="106"/>
      <c r="F90" s="106"/>
      <c r="G90" s="106"/>
      <c r="H90" s="106"/>
      <c r="I90" s="106"/>
      <c r="J90" s="106"/>
      <c r="K90" s="106"/>
      <c r="L90" s="106"/>
      <c r="M90" s="106"/>
      <c r="N90" s="106"/>
      <c r="O90" s="106"/>
      <c r="P90" s="106"/>
      <c r="Q90" s="106"/>
      <c r="R90" s="106"/>
      <c r="S90" s="106"/>
      <c r="T90" s="106"/>
      <c r="U90" s="107"/>
    </row>
    <row r="91" spans="1:21" ht="97.5" customHeight="1" x14ac:dyDescent="0.2">
      <c r="B91" s="148" t="s">
        <v>60</v>
      </c>
      <c r="C91" s="22" t="s">
        <v>55</v>
      </c>
      <c r="D91" s="93" t="s">
        <v>163</v>
      </c>
      <c r="E91" s="94"/>
      <c r="F91" s="94"/>
      <c r="G91" s="94"/>
      <c r="H91" s="94"/>
      <c r="I91" s="94"/>
      <c r="J91" s="94"/>
      <c r="K91" s="94"/>
      <c r="L91" s="94"/>
      <c r="M91" s="94"/>
      <c r="N91" s="94"/>
      <c r="O91" s="94"/>
      <c r="P91" s="94"/>
      <c r="Q91" s="94"/>
      <c r="R91" s="94"/>
      <c r="S91" s="94"/>
      <c r="T91" s="94"/>
      <c r="U91" s="95"/>
    </row>
    <row r="92" spans="1:21" ht="97.5" customHeight="1" x14ac:dyDescent="0.2">
      <c r="B92" s="149"/>
      <c r="C92" s="23" t="s">
        <v>74</v>
      </c>
      <c r="D92" s="90" t="s">
        <v>177</v>
      </c>
      <c r="E92" s="91"/>
      <c r="F92" s="91"/>
      <c r="G92" s="91"/>
      <c r="H92" s="91"/>
      <c r="I92" s="91"/>
      <c r="J92" s="91"/>
      <c r="K92" s="91"/>
      <c r="L92" s="91"/>
      <c r="M92" s="91"/>
      <c r="N92" s="91"/>
      <c r="O92" s="91"/>
      <c r="P92" s="91"/>
      <c r="Q92" s="91"/>
      <c r="R92" s="91"/>
      <c r="S92" s="91"/>
      <c r="T92" s="91"/>
      <c r="U92" s="92"/>
    </row>
    <row r="93" spans="1:21" ht="97.5" customHeight="1" x14ac:dyDescent="0.2">
      <c r="B93" s="148" t="s">
        <v>61</v>
      </c>
      <c r="C93" s="24" t="s">
        <v>68</v>
      </c>
      <c r="D93" s="93" t="s">
        <v>182</v>
      </c>
      <c r="E93" s="94"/>
      <c r="F93" s="94"/>
      <c r="G93" s="94"/>
      <c r="H93" s="94"/>
      <c r="I93" s="94"/>
      <c r="J93" s="94"/>
      <c r="K93" s="94"/>
      <c r="L93" s="94"/>
      <c r="M93" s="94"/>
      <c r="N93" s="94"/>
      <c r="O93" s="94"/>
      <c r="P93" s="94"/>
      <c r="Q93" s="94"/>
      <c r="R93" s="94"/>
      <c r="S93" s="94"/>
      <c r="T93" s="94"/>
      <c r="U93" s="95"/>
    </row>
    <row r="94" spans="1:21" ht="97.5" customHeight="1" x14ac:dyDescent="0.2">
      <c r="B94" s="150"/>
      <c r="C94" s="25" t="s">
        <v>69</v>
      </c>
      <c r="D94" s="90" t="s">
        <v>178</v>
      </c>
      <c r="E94" s="91"/>
      <c r="F94" s="91"/>
      <c r="G94" s="91"/>
      <c r="H94" s="91"/>
      <c r="I94" s="91"/>
      <c r="J94" s="91"/>
      <c r="K94" s="91"/>
      <c r="L94" s="91"/>
      <c r="M94" s="91"/>
      <c r="N94" s="91"/>
      <c r="O94" s="91"/>
      <c r="P94" s="91"/>
      <c r="Q94" s="91"/>
      <c r="R94" s="91"/>
      <c r="S94" s="91"/>
      <c r="T94" s="91"/>
      <c r="U94" s="92"/>
    </row>
    <row r="95" spans="1:21" ht="97.5" customHeight="1" x14ac:dyDescent="0.2">
      <c r="B95" s="148" t="s">
        <v>62</v>
      </c>
      <c r="C95" s="24" t="s">
        <v>70</v>
      </c>
      <c r="D95" s="93" t="s">
        <v>164</v>
      </c>
      <c r="E95" s="94"/>
      <c r="F95" s="94"/>
      <c r="G95" s="94"/>
      <c r="H95" s="94"/>
      <c r="I95" s="94"/>
      <c r="J95" s="94"/>
      <c r="K95" s="94"/>
      <c r="L95" s="94"/>
      <c r="M95" s="94"/>
      <c r="N95" s="94"/>
      <c r="O95" s="94"/>
      <c r="P95" s="94"/>
      <c r="Q95" s="94"/>
      <c r="R95" s="94"/>
      <c r="S95" s="94"/>
      <c r="T95" s="94"/>
      <c r="U95" s="95"/>
    </row>
    <row r="96" spans="1:21" ht="97.5" customHeight="1" x14ac:dyDescent="0.2">
      <c r="B96" s="150"/>
      <c r="C96" s="26" t="s">
        <v>71</v>
      </c>
      <c r="D96" s="90" t="s">
        <v>159</v>
      </c>
      <c r="E96" s="91"/>
      <c r="F96" s="91"/>
      <c r="G96" s="91"/>
      <c r="H96" s="91"/>
      <c r="I96" s="91"/>
      <c r="J96" s="91"/>
      <c r="K96" s="91"/>
      <c r="L96" s="91"/>
      <c r="M96" s="91"/>
      <c r="N96" s="91"/>
      <c r="O96" s="91"/>
      <c r="P96" s="91"/>
      <c r="Q96" s="91"/>
      <c r="R96" s="91"/>
      <c r="S96" s="91"/>
      <c r="T96" s="91"/>
      <c r="U96" s="92"/>
    </row>
    <row r="97" spans="1:33" ht="97.5" customHeight="1" x14ac:dyDescent="0.2">
      <c r="B97" s="148" t="s">
        <v>75</v>
      </c>
      <c r="C97" s="22" t="s">
        <v>57</v>
      </c>
      <c r="D97" s="93" t="s">
        <v>183</v>
      </c>
      <c r="E97" s="94"/>
      <c r="F97" s="94"/>
      <c r="G97" s="94"/>
      <c r="H97" s="94"/>
      <c r="I97" s="94"/>
      <c r="J97" s="94"/>
      <c r="K97" s="94"/>
      <c r="L97" s="94"/>
      <c r="M97" s="94"/>
      <c r="N97" s="94"/>
      <c r="O97" s="94"/>
      <c r="P97" s="94"/>
      <c r="Q97" s="94"/>
      <c r="R97" s="94"/>
      <c r="S97" s="94"/>
      <c r="T97" s="94"/>
      <c r="U97" s="95"/>
    </row>
    <row r="98" spans="1:33" ht="97.5" customHeight="1" x14ac:dyDescent="0.2">
      <c r="B98" s="150"/>
      <c r="C98" s="25" t="s">
        <v>59</v>
      </c>
      <c r="D98" s="90" t="s">
        <v>160</v>
      </c>
      <c r="E98" s="91"/>
      <c r="F98" s="91"/>
      <c r="G98" s="91"/>
      <c r="H98" s="91"/>
      <c r="I98" s="91"/>
      <c r="J98" s="91"/>
      <c r="K98" s="91"/>
      <c r="L98" s="91"/>
      <c r="M98" s="91"/>
      <c r="N98" s="91"/>
      <c r="O98" s="91"/>
      <c r="P98" s="91"/>
      <c r="Q98" s="91"/>
      <c r="R98" s="91"/>
      <c r="S98" s="91"/>
      <c r="T98" s="91"/>
      <c r="U98" s="92"/>
    </row>
    <row r="99" spans="1:33" ht="97.5" customHeight="1" x14ac:dyDescent="0.2">
      <c r="B99" s="148" t="s">
        <v>76</v>
      </c>
      <c r="C99" s="24" t="s">
        <v>56</v>
      </c>
      <c r="D99" s="93" t="s">
        <v>179</v>
      </c>
      <c r="E99" s="94"/>
      <c r="F99" s="94"/>
      <c r="G99" s="94"/>
      <c r="H99" s="94"/>
      <c r="I99" s="94"/>
      <c r="J99" s="94"/>
      <c r="K99" s="94"/>
      <c r="L99" s="94"/>
      <c r="M99" s="94"/>
      <c r="N99" s="94"/>
      <c r="O99" s="94"/>
      <c r="P99" s="94"/>
      <c r="Q99" s="94"/>
      <c r="R99" s="94"/>
      <c r="S99" s="94"/>
      <c r="T99" s="94"/>
      <c r="U99" s="95"/>
    </row>
    <row r="100" spans="1:33" ht="97.5" customHeight="1" x14ac:dyDescent="0.2">
      <c r="B100" s="149"/>
      <c r="C100" s="27" t="s">
        <v>72</v>
      </c>
      <c r="D100" s="96" t="s">
        <v>161</v>
      </c>
      <c r="E100" s="97"/>
      <c r="F100" s="97"/>
      <c r="G100" s="97"/>
      <c r="H100" s="97"/>
      <c r="I100" s="97"/>
      <c r="J100" s="97"/>
      <c r="K100" s="97"/>
      <c r="L100" s="97"/>
      <c r="M100" s="97"/>
      <c r="N100" s="97"/>
      <c r="O100" s="97"/>
      <c r="P100" s="97"/>
      <c r="Q100" s="97"/>
      <c r="R100" s="97"/>
      <c r="S100" s="97"/>
      <c r="T100" s="97"/>
      <c r="U100" s="98"/>
    </row>
    <row r="101" spans="1:33" ht="97.5" customHeight="1" x14ac:dyDescent="0.2">
      <c r="B101" s="150"/>
      <c r="C101" s="26" t="s">
        <v>73</v>
      </c>
      <c r="D101" s="90" t="s">
        <v>162</v>
      </c>
      <c r="E101" s="91"/>
      <c r="F101" s="91"/>
      <c r="G101" s="91"/>
      <c r="H101" s="91"/>
      <c r="I101" s="91"/>
      <c r="J101" s="91"/>
      <c r="K101" s="91"/>
      <c r="L101" s="91"/>
      <c r="M101" s="91"/>
      <c r="N101" s="91"/>
      <c r="O101" s="91"/>
      <c r="P101" s="91"/>
      <c r="Q101" s="91"/>
      <c r="R101" s="91"/>
      <c r="S101" s="91"/>
      <c r="T101" s="91"/>
      <c r="U101" s="92"/>
    </row>
    <row r="102" spans="1:33" ht="6" customHeight="1" x14ac:dyDescent="0.2"/>
    <row r="103" spans="1:33" ht="18.75" customHeight="1" x14ac:dyDescent="0.2">
      <c r="A103" s="1" t="s">
        <v>108</v>
      </c>
    </row>
    <row r="104" spans="1:33" ht="81.75" customHeight="1" x14ac:dyDescent="0.2">
      <c r="B104" s="139" t="s">
        <v>137</v>
      </c>
      <c r="C104" s="140"/>
      <c r="D104" s="140"/>
      <c r="E104" s="140"/>
      <c r="F104" s="140"/>
      <c r="G104" s="140"/>
      <c r="H104" s="140"/>
      <c r="I104" s="140"/>
      <c r="J104" s="140"/>
      <c r="K104" s="140"/>
      <c r="L104" s="140"/>
      <c r="M104" s="140"/>
      <c r="N104" s="140"/>
      <c r="O104" s="140"/>
      <c r="P104" s="140"/>
      <c r="Q104" s="140"/>
      <c r="R104" s="140"/>
      <c r="S104" s="140"/>
      <c r="T104" s="140"/>
      <c r="U104" s="141"/>
    </row>
    <row r="106" spans="1:33" ht="18.75" customHeight="1" x14ac:dyDescent="0.2">
      <c r="A106" s="70" t="s">
        <v>124</v>
      </c>
      <c r="B106" s="71"/>
      <c r="C106" s="71"/>
      <c r="D106" s="71"/>
      <c r="E106" s="71"/>
      <c r="F106" s="71"/>
      <c r="G106" s="71"/>
      <c r="H106" s="71"/>
      <c r="I106" s="71"/>
      <c r="J106" s="71"/>
      <c r="K106" s="71"/>
      <c r="L106" s="71"/>
      <c r="M106" s="71"/>
      <c r="N106" s="71"/>
      <c r="O106" s="71"/>
      <c r="P106" s="71"/>
      <c r="Q106" s="71"/>
      <c r="R106" s="71"/>
      <c r="S106" s="71"/>
      <c r="T106" s="71"/>
      <c r="U106" s="71"/>
    </row>
    <row r="107" spans="1:33" ht="18.75" customHeight="1" x14ac:dyDescent="0.2">
      <c r="A107" s="70" t="s">
        <v>126</v>
      </c>
      <c r="B107" s="70"/>
      <c r="C107" s="70"/>
      <c r="D107" s="70"/>
      <c r="E107" s="70"/>
      <c r="F107" s="70"/>
      <c r="G107" s="70"/>
      <c r="H107" s="70"/>
      <c r="I107" s="70"/>
      <c r="J107" s="70"/>
      <c r="K107" s="70"/>
      <c r="L107" s="70"/>
      <c r="M107" s="70"/>
      <c r="N107" s="70"/>
      <c r="O107" s="70"/>
      <c r="P107" s="70"/>
      <c r="Q107" s="70"/>
      <c r="R107" s="70"/>
      <c r="S107" s="70"/>
      <c r="T107" s="70"/>
      <c r="U107" s="70"/>
      <c r="V107" s="2"/>
      <c r="W107" s="2"/>
      <c r="X107" s="2"/>
      <c r="Y107" s="2"/>
      <c r="Z107" s="2"/>
      <c r="AA107" s="2"/>
      <c r="AB107" s="2"/>
      <c r="AC107" s="2"/>
      <c r="AD107" s="2"/>
      <c r="AE107" s="2"/>
      <c r="AF107" s="2"/>
      <c r="AG107" s="2"/>
    </row>
    <row r="108" spans="1:33" ht="18.75" customHeight="1" x14ac:dyDescent="0.2">
      <c r="A108" s="70"/>
      <c r="B108" s="89" t="s">
        <v>129</v>
      </c>
      <c r="C108" s="89"/>
      <c r="D108" s="89"/>
      <c r="E108" s="89"/>
      <c r="F108" s="89"/>
      <c r="G108" s="89"/>
      <c r="H108" s="89"/>
      <c r="I108" s="89"/>
      <c r="J108" s="89"/>
      <c r="K108" s="89"/>
      <c r="L108" s="89"/>
      <c r="M108" s="89"/>
      <c r="N108" s="89"/>
      <c r="O108" s="89"/>
      <c r="P108" s="89"/>
      <c r="Q108" s="89"/>
      <c r="R108" s="89"/>
      <c r="S108" s="89"/>
      <c r="T108" s="89"/>
      <c r="U108" s="89"/>
      <c r="V108" s="66"/>
      <c r="W108" s="66"/>
      <c r="X108" s="66"/>
      <c r="Y108" s="66"/>
      <c r="Z108" s="66"/>
      <c r="AA108" s="66"/>
      <c r="AB108" s="66"/>
      <c r="AC108" s="66"/>
      <c r="AD108" s="66"/>
      <c r="AE108" s="66"/>
      <c r="AF108" s="66"/>
      <c r="AG108" s="66"/>
    </row>
    <row r="109" spans="1:33" ht="37.200000000000003" customHeight="1" x14ac:dyDescent="0.2">
      <c r="A109" s="70"/>
      <c r="B109" s="89"/>
      <c r="C109" s="89"/>
      <c r="D109" s="89"/>
      <c r="E109" s="89"/>
      <c r="F109" s="89"/>
      <c r="G109" s="89"/>
      <c r="H109" s="89"/>
      <c r="I109" s="89"/>
      <c r="J109" s="89"/>
      <c r="K109" s="89"/>
      <c r="L109" s="89"/>
      <c r="M109" s="89"/>
      <c r="N109" s="89"/>
      <c r="O109" s="89"/>
      <c r="P109" s="89"/>
      <c r="Q109" s="89"/>
      <c r="R109" s="89"/>
      <c r="S109" s="89"/>
      <c r="T109" s="89"/>
      <c r="U109" s="89"/>
      <c r="V109" s="66"/>
      <c r="W109" s="66"/>
      <c r="X109" s="66"/>
      <c r="Y109" s="66"/>
      <c r="Z109" s="66"/>
      <c r="AA109" s="66"/>
      <c r="AB109" s="66"/>
      <c r="AC109" s="66"/>
      <c r="AD109" s="66"/>
      <c r="AE109" s="66"/>
      <c r="AF109" s="66"/>
      <c r="AG109" s="66"/>
    </row>
    <row r="110" spans="1:33" ht="18.75" customHeight="1" x14ac:dyDescent="0.2">
      <c r="A110" s="70"/>
      <c r="B110" s="159" t="s">
        <v>125</v>
      </c>
      <c r="C110" s="159"/>
      <c r="D110" s="159"/>
      <c r="E110" s="159"/>
      <c r="F110" s="159"/>
      <c r="G110" s="159"/>
      <c r="H110" s="159"/>
      <c r="I110" s="159"/>
      <c r="J110" s="159"/>
      <c r="K110" s="159"/>
      <c r="L110" s="159"/>
      <c r="M110" s="159"/>
      <c r="N110" s="159"/>
      <c r="O110" s="159"/>
      <c r="P110" s="159"/>
      <c r="Q110" s="159"/>
      <c r="R110" s="159"/>
      <c r="S110" s="159"/>
      <c r="T110" s="159"/>
      <c r="U110" s="159"/>
      <c r="V110" s="66"/>
      <c r="W110" s="66"/>
      <c r="X110" s="66"/>
      <c r="Y110" s="66"/>
      <c r="Z110" s="66"/>
      <c r="AA110" s="66"/>
      <c r="AB110" s="66"/>
      <c r="AC110" s="66"/>
      <c r="AD110" s="66"/>
      <c r="AE110" s="66"/>
      <c r="AF110" s="66"/>
      <c r="AG110" s="66"/>
    </row>
    <row r="111" spans="1:33" ht="18.75" customHeight="1" x14ac:dyDescent="0.2">
      <c r="A111" s="70"/>
      <c r="B111" s="160" t="s">
        <v>54</v>
      </c>
      <c r="C111" s="160"/>
      <c r="D111" s="160"/>
      <c r="E111" s="160"/>
      <c r="F111" s="160"/>
      <c r="G111" s="160"/>
      <c r="H111" s="160"/>
      <c r="I111" s="160"/>
      <c r="J111" s="160"/>
      <c r="K111" s="160"/>
      <c r="L111" s="160"/>
      <c r="M111" s="160"/>
      <c r="N111" s="160"/>
      <c r="O111" s="160"/>
      <c r="P111" s="160"/>
      <c r="Q111" s="160"/>
      <c r="R111" s="160"/>
      <c r="S111" s="160"/>
      <c r="T111" s="160"/>
      <c r="U111" s="160"/>
      <c r="V111" s="65"/>
      <c r="W111" s="65"/>
      <c r="X111" s="65"/>
      <c r="Y111" s="65"/>
      <c r="Z111" s="65"/>
      <c r="AA111" s="65"/>
      <c r="AB111" s="65"/>
      <c r="AC111" s="65"/>
      <c r="AD111" s="65"/>
      <c r="AE111" s="65"/>
      <c r="AF111" s="65"/>
      <c r="AG111" s="65"/>
    </row>
    <row r="112" spans="1:33" ht="132" customHeight="1" x14ac:dyDescent="0.2">
      <c r="A112" s="70"/>
      <c r="B112" s="161" t="s">
        <v>150</v>
      </c>
      <c r="C112" s="161"/>
      <c r="D112" s="161"/>
      <c r="E112" s="161"/>
      <c r="F112" s="161"/>
      <c r="G112" s="161"/>
      <c r="H112" s="161"/>
      <c r="I112" s="161"/>
      <c r="J112" s="161"/>
      <c r="K112" s="161"/>
      <c r="L112" s="161"/>
      <c r="M112" s="161"/>
      <c r="N112" s="161"/>
      <c r="O112" s="161"/>
      <c r="P112" s="161"/>
      <c r="Q112" s="161"/>
      <c r="R112" s="161"/>
      <c r="S112" s="161"/>
      <c r="T112" s="161"/>
      <c r="U112" s="161"/>
      <c r="V112" s="67"/>
      <c r="W112" s="67"/>
      <c r="X112" s="67"/>
      <c r="Y112" s="67"/>
      <c r="Z112" s="67"/>
      <c r="AA112" s="67"/>
      <c r="AB112" s="67"/>
      <c r="AC112" s="67"/>
      <c r="AD112" s="67"/>
      <c r="AE112" s="67"/>
      <c r="AF112" s="67"/>
      <c r="AG112" s="67"/>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38:J44 S38:U44 H49:J55 S49:U55 H60:J66 S60:U66 G71:J77 H27:J33"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1"/>
      <c r="B1" s="71"/>
      <c r="C1" s="71"/>
      <c r="D1" s="71"/>
      <c r="E1" s="71"/>
      <c r="F1" s="71"/>
      <c r="G1" s="71"/>
      <c r="H1" s="71"/>
      <c r="I1" s="71"/>
      <c r="J1" s="71"/>
      <c r="K1" s="71"/>
      <c r="L1" s="71"/>
      <c r="M1" s="71"/>
      <c r="N1" s="71"/>
      <c r="O1" s="71"/>
      <c r="P1" s="71"/>
      <c r="Q1" s="71"/>
      <c r="R1" s="71"/>
      <c r="S1" s="71" t="s">
        <v>97</v>
      </c>
    </row>
    <row r="2" spans="1:21" ht="18" customHeight="1" x14ac:dyDescent="0.2">
      <c r="A2" s="71"/>
      <c r="B2" s="71"/>
      <c r="C2" s="71"/>
      <c r="D2" s="71"/>
      <c r="E2" s="71"/>
      <c r="F2" s="71"/>
      <c r="G2" s="71"/>
      <c r="H2" s="71"/>
      <c r="I2" s="71"/>
      <c r="J2" s="71"/>
      <c r="K2" s="71"/>
      <c r="L2" s="71"/>
      <c r="M2" s="71"/>
      <c r="N2" s="71"/>
      <c r="O2" s="71"/>
      <c r="P2" s="71"/>
      <c r="Q2" s="163" t="str">
        <f>'様式１　プログラムを構成する授業科目'!C2</f>
        <v>名古屋学院大学</v>
      </c>
      <c r="R2" s="163"/>
      <c r="S2" s="163"/>
    </row>
    <row r="3" spans="1:21" ht="18" customHeight="1" x14ac:dyDescent="0.2">
      <c r="A3" s="128" t="s">
        <v>47</v>
      </c>
      <c r="B3" s="128"/>
      <c r="C3" s="128"/>
      <c r="D3" s="128"/>
      <c r="E3" s="128"/>
      <c r="F3" s="128"/>
      <c r="G3" s="128"/>
      <c r="H3" s="128"/>
      <c r="I3" s="128"/>
      <c r="J3" s="128"/>
      <c r="K3" s="128"/>
      <c r="L3" s="128"/>
      <c r="M3" s="128"/>
      <c r="N3" s="128"/>
      <c r="O3" s="128"/>
      <c r="P3" s="128"/>
      <c r="Q3" s="128"/>
      <c r="R3" s="128"/>
      <c r="S3" s="128"/>
    </row>
    <row r="4" spans="1:21" ht="7.5" customHeight="1" x14ac:dyDescent="0.2">
      <c r="A4" s="76"/>
      <c r="B4" s="76"/>
      <c r="C4" s="76"/>
      <c r="D4" s="76"/>
      <c r="E4" s="76"/>
      <c r="F4" s="76"/>
      <c r="G4" s="76"/>
      <c r="H4" s="76"/>
      <c r="I4" s="76"/>
      <c r="J4" s="76"/>
      <c r="K4" s="76"/>
      <c r="L4" s="76"/>
      <c r="M4" s="76"/>
      <c r="N4" s="76"/>
      <c r="O4" s="76"/>
      <c r="P4" s="76"/>
      <c r="Q4" s="76"/>
      <c r="R4" s="76"/>
      <c r="S4" s="76"/>
    </row>
    <row r="5" spans="1:21" ht="18" customHeight="1" x14ac:dyDescent="0.2">
      <c r="A5" s="71" t="s">
        <v>79</v>
      </c>
      <c r="B5" s="71"/>
      <c r="C5" s="164" t="s">
        <v>138</v>
      </c>
      <c r="D5" s="165"/>
      <c r="E5" s="76" t="s">
        <v>51</v>
      </c>
      <c r="F5" s="76"/>
      <c r="G5" s="76"/>
      <c r="H5" s="76"/>
      <c r="I5" s="76"/>
      <c r="J5" s="76"/>
      <c r="K5" s="76"/>
      <c r="L5" s="76"/>
      <c r="M5" s="76"/>
      <c r="N5" s="76"/>
      <c r="O5" s="76"/>
      <c r="P5" s="76"/>
      <c r="Q5" s="76"/>
      <c r="R5" s="74"/>
      <c r="S5" s="74"/>
    </row>
    <row r="6" spans="1:21" ht="7.2" customHeight="1" x14ac:dyDescent="0.2">
      <c r="A6" s="71"/>
      <c r="B6" s="71"/>
      <c r="C6" s="80"/>
      <c r="D6" s="80"/>
      <c r="E6" s="76"/>
      <c r="F6" s="76"/>
      <c r="G6" s="76"/>
      <c r="H6" s="76"/>
      <c r="I6" s="76"/>
      <c r="J6" s="76"/>
      <c r="K6" s="76"/>
      <c r="L6" s="76"/>
      <c r="M6" s="76"/>
      <c r="N6" s="76"/>
      <c r="O6" s="76"/>
      <c r="P6" s="76"/>
      <c r="Q6" s="76"/>
      <c r="R6" s="74"/>
      <c r="S6" s="74"/>
    </row>
    <row r="7" spans="1:21" ht="18" customHeight="1" x14ac:dyDescent="0.2">
      <c r="A7" s="71" t="s">
        <v>117</v>
      </c>
      <c r="B7" s="71"/>
      <c r="C7" s="80"/>
      <c r="D7" s="80"/>
      <c r="E7" s="76" t="s">
        <v>118</v>
      </c>
      <c r="F7" s="79">
        <v>4388</v>
      </c>
      <c r="G7" s="77" t="s">
        <v>119</v>
      </c>
      <c r="H7" s="76" t="s">
        <v>120</v>
      </c>
      <c r="I7" s="79">
        <v>1787</v>
      </c>
      <c r="J7" s="77" t="s">
        <v>119</v>
      </c>
      <c r="K7" s="72" t="s">
        <v>121</v>
      </c>
      <c r="L7" s="76" t="s">
        <v>122</v>
      </c>
      <c r="M7" s="79">
        <f>F7+I7</f>
        <v>6175</v>
      </c>
      <c r="N7" s="76" t="s">
        <v>1</v>
      </c>
      <c r="O7" s="77" t="s">
        <v>123</v>
      </c>
      <c r="P7" s="76"/>
      <c r="Q7" s="76"/>
      <c r="R7" s="74"/>
      <c r="S7" s="74"/>
    </row>
    <row r="8" spans="1:21" ht="6" customHeight="1" x14ac:dyDescent="0.2">
      <c r="A8" s="76"/>
      <c r="B8" s="76"/>
      <c r="C8" s="76"/>
      <c r="D8" s="76"/>
      <c r="E8" s="76"/>
      <c r="F8" s="76"/>
      <c r="G8" s="76"/>
      <c r="H8" s="76"/>
      <c r="I8" s="76"/>
      <c r="J8" s="76"/>
      <c r="K8" s="76"/>
      <c r="L8" s="76"/>
      <c r="M8" s="76"/>
      <c r="N8" s="76"/>
      <c r="O8" s="76"/>
      <c r="P8" s="76"/>
      <c r="Q8" s="76"/>
      <c r="R8" s="76"/>
      <c r="S8" s="76"/>
    </row>
    <row r="9" spans="1:21" ht="18" customHeight="1" x14ac:dyDescent="0.2">
      <c r="A9" s="71" t="s">
        <v>133</v>
      </c>
      <c r="B9" s="76"/>
      <c r="C9" s="76"/>
      <c r="D9" s="76"/>
      <c r="E9" s="76"/>
      <c r="F9" s="76"/>
      <c r="G9" s="76"/>
      <c r="H9" s="76"/>
      <c r="I9" s="76"/>
      <c r="J9" s="76"/>
      <c r="K9" s="76"/>
      <c r="L9" s="76"/>
      <c r="M9" s="76"/>
      <c r="N9" s="76"/>
      <c r="O9" s="76"/>
      <c r="P9" s="76"/>
      <c r="Q9" s="76"/>
      <c r="R9" s="76"/>
      <c r="S9" s="7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6" t="s">
        <v>44</v>
      </c>
      <c r="C11" s="176" t="s">
        <v>82</v>
      </c>
      <c r="D11" s="168" t="s">
        <v>46</v>
      </c>
      <c r="E11" s="170" t="s">
        <v>39</v>
      </c>
      <c r="F11" s="162" t="s">
        <v>111</v>
      </c>
      <c r="G11" s="162"/>
      <c r="H11" s="162" t="s">
        <v>81</v>
      </c>
      <c r="I11" s="162"/>
      <c r="J11" s="162" t="s">
        <v>48</v>
      </c>
      <c r="K11" s="162"/>
      <c r="L11" s="162" t="s">
        <v>49</v>
      </c>
      <c r="M11" s="162"/>
      <c r="N11" s="162" t="s">
        <v>91</v>
      </c>
      <c r="O11" s="162"/>
      <c r="P11" s="162" t="s">
        <v>50</v>
      </c>
      <c r="Q11" s="162"/>
      <c r="R11" s="172" t="s">
        <v>35</v>
      </c>
      <c r="S11" s="174" t="s">
        <v>32</v>
      </c>
      <c r="U11" s="2"/>
    </row>
    <row r="12" spans="1:21" ht="16.95" customHeight="1" x14ac:dyDescent="0.2">
      <c r="B12" s="167"/>
      <c r="C12" s="177"/>
      <c r="D12" s="169"/>
      <c r="E12" s="171"/>
      <c r="F12" s="62" t="s">
        <v>90</v>
      </c>
      <c r="G12" s="62" t="s">
        <v>29</v>
      </c>
      <c r="H12" s="62" t="s">
        <v>90</v>
      </c>
      <c r="I12" s="62" t="s">
        <v>29</v>
      </c>
      <c r="J12" s="62" t="s">
        <v>90</v>
      </c>
      <c r="K12" s="62" t="s">
        <v>29</v>
      </c>
      <c r="L12" s="62" t="s">
        <v>90</v>
      </c>
      <c r="M12" s="62" t="s">
        <v>29</v>
      </c>
      <c r="N12" s="62" t="s">
        <v>90</v>
      </c>
      <c r="O12" s="62" t="s">
        <v>29</v>
      </c>
      <c r="P12" s="62" t="s">
        <v>90</v>
      </c>
      <c r="Q12" s="63" t="s">
        <v>29</v>
      </c>
      <c r="R12" s="173"/>
      <c r="S12" s="175"/>
      <c r="U12" s="2"/>
    </row>
    <row r="13" spans="1:21" ht="18" customHeight="1" x14ac:dyDescent="0.2">
      <c r="A13" s="6"/>
      <c r="B13" s="86" t="s">
        <v>184</v>
      </c>
      <c r="C13" s="50">
        <v>1169</v>
      </c>
      <c r="D13" s="51">
        <v>250</v>
      </c>
      <c r="E13" s="52">
        <v>1000</v>
      </c>
      <c r="F13" s="87">
        <v>279</v>
      </c>
      <c r="G13" s="52">
        <v>47</v>
      </c>
      <c r="H13" s="52"/>
      <c r="I13" s="52"/>
      <c r="J13" s="52"/>
      <c r="K13" s="52"/>
      <c r="L13" s="52"/>
      <c r="M13" s="52"/>
      <c r="N13" s="52"/>
      <c r="O13" s="52"/>
      <c r="P13" s="52"/>
      <c r="Q13" s="64"/>
      <c r="R13" s="51">
        <f>F13+H13+J13+L13+N13+P13</f>
        <v>279</v>
      </c>
      <c r="S13" s="81">
        <f>R13/E13</f>
        <v>0.27900000000000003</v>
      </c>
    </row>
    <row r="14" spans="1:21" ht="18" customHeight="1" x14ac:dyDescent="0.2">
      <c r="A14" s="6"/>
      <c r="B14" s="11" t="s">
        <v>185</v>
      </c>
      <c r="C14" s="53">
        <v>704</v>
      </c>
      <c r="D14" s="54">
        <v>150</v>
      </c>
      <c r="E14" s="55">
        <v>600</v>
      </c>
      <c r="F14" s="88">
        <v>184</v>
      </c>
      <c r="G14" s="56">
        <v>6</v>
      </c>
      <c r="H14" s="56"/>
      <c r="I14" s="56"/>
      <c r="J14" s="56"/>
      <c r="K14" s="56"/>
      <c r="L14" s="56"/>
      <c r="M14" s="56"/>
      <c r="N14" s="56"/>
      <c r="O14" s="56"/>
      <c r="P14" s="56"/>
      <c r="Q14" s="53"/>
      <c r="R14" s="54">
        <f t="shared" ref="R14:R19" si="0">F14+H14+J14+L14+N14+P14</f>
        <v>184</v>
      </c>
      <c r="S14" s="8">
        <f>R14/E14</f>
        <v>0.30666666666666664</v>
      </c>
    </row>
    <row r="15" spans="1:21" ht="18" customHeight="1" x14ac:dyDescent="0.2">
      <c r="A15" s="6"/>
      <c r="B15" s="11" t="s">
        <v>186</v>
      </c>
      <c r="C15" s="53">
        <v>1339</v>
      </c>
      <c r="D15" s="54">
        <v>295</v>
      </c>
      <c r="E15" s="55">
        <v>1180</v>
      </c>
      <c r="F15" s="88">
        <v>356</v>
      </c>
      <c r="G15" s="56">
        <v>82</v>
      </c>
      <c r="H15" s="56"/>
      <c r="I15" s="56"/>
      <c r="J15" s="56"/>
      <c r="K15" s="56"/>
      <c r="L15" s="56"/>
      <c r="M15" s="56"/>
      <c r="N15" s="56"/>
      <c r="O15" s="56"/>
      <c r="P15" s="56"/>
      <c r="Q15" s="53"/>
      <c r="R15" s="54">
        <f t="shared" si="0"/>
        <v>356</v>
      </c>
      <c r="S15" s="8">
        <f t="shared" ref="S15:S19" si="1">R15/E15</f>
        <v>0.30169491525423731</v>
      </c>
    </row>
    <row r="16" spans="1:21" ht="18" customHeight="1" x14ac:dyDescent="0.2">
      <c r="A16" s="6"/>
      <c r="B16" s="11" t="s">
        <v>187</v>
      </c>
      <c r="C16" s="53">
        <v>782</v>
      </c>
      <c r="D16" s="54">
        <v>165</v>
      </c>
      <c r="E16" s="55">
        <v>660</v>
      </c>
      <c r="F16" s="88">
        <v>206</v>
      </c>
      <c r="G16" s="56">
        <v>56</v>
      </c>
      <c r="H16" s="56"/>
      <c r="I16" s="56"/>
      <c r="J16" s="56"/>
      <c r="K16" s="56"/>
      <c r="L16" s="56"/>
      <c r="M16" s="56"/>
      <c r="N16" s="56"/>
      <c r="O16" s="56"/>
      <c r="P16" s="56"/>
      <c r="Q16" s="53"/>
      <c r="R16" s="54">
        <f t="shared" si="0"/>
        <v>206</v>
      </c>
      <c r="S16" s="8">
        <f t="shared" si="1"/>
        <v>0.31212121212121213</v>
      </c>
    </row>
    <row r="17" spans="1:19" ht="18" customHeight="1" x14ac:dyDescent="0.2">
      <c r="A17" s="6"/>
      <c r="B17" s="11" t="s">
        <v>188</v>
      </c>
      <c r="C17" s="53">
        <v>570</v>
      </c>
      <c r="D17" s="54">
        <v>140</v>
      </c>
      <c r="E17" s="55">
        <v>560</v>
      </c>
      <c r="F17" s="88">
        <v>163</v>
      </c>
      <c r="G17" s="56">
        <v>19</v>
      </c>
      <c r="H17" s="56"/>
      <c r="I17" s="56"/>
      <c r="J17" s="56"/>
      <c r="K17" s="56"/>
      <c r="L17" s="56"/>
      <c r="M17" s="56"/>
      <c r="N17" s="56"/>
      <c r="O17" s="56"/>
      <c r="P17" s="56"/>
      <c r="Q17" s="53"/>
      <c r="R17" s="54">
        <f t="shared" si="0"/>
        <v>163</v>
      </c>
      <c r="S17" s="8">
        <f t="shared" si="1"/>
        <v>0.29107142857142859</v>
      </c>
    </row>
    <row r="18" spans="1:19" ht="18" customHeight="1" x14ac:dyDescent="0.2">
      <c r="A18" s="6"/>
      <c r="B18" s="11" t="s">
        <v>189</v>
      </c>
      <c r="C18" s="53">
        <v>615</v>
      </c>
      <c r="D18" s="54">
        <v>150</v>
      </c>
      <c r="E18" s="55">
        <v>600</v>
      </c>
      <c r="F18" s="88">
        <v>202</v>
      </c>
      <c r="G18" s="56">
        <v>46</v>
      </c>
      <c r="H18" s="56"/>
      <c r="I18" s="56"/>
      <c r="J18" s="56"/>
      <c r="K18" s="56"/>
      <c r="L18" s="56"/>
      <c r="M18" s="56"/>
      <c r="N18" s="56"/>
      <c r="O18" s="56"/>
      <c r="P18" s="56"/>
      <c r="Q18" s="53"/>
      <c r="R18" s="54">
        <f t="shared" si="0"/>
        <v>202</v>
      </c>
      <c r="S18" s="8">
        <f t="shared" si="1"/>
        <v>0.33666666666666667</v>
      </c>
    </row>
    <row r="19" spans="1:19" ht="18" customHeight="1" x14ac:dyDescent="0.2">
      <c r="A19" s="6"/>
      <c r="B19" s="11" t="s">
        <v>190</v>
      </c>
      <c r="C19" s="53">
        <v>675</v>
      </c>
      <c r="D19" s="54">
        <v>170</v>
      </c>
      <c r="E19" s="55">
        <v>680</v>
      </c>
      <c r="F19" s="88">
        <v>172</v>
      </c>
      <c r="G19" s="56">
        <v>0</v>
      </c>
      <c r="H19" s="56"/>
      <c r="I19" s="56"/>
      <c r="J19" s="56"/>
      <c r="K19" s="56"/>
      <c r="L19" s="56"/>
      <c r="M19" s="56"/>
      <c r="N19" s="56"/>
      <c r="O19" s="56"/>
      <c r="P19" s="56"/>
      <c r="Q19" s="53"/>
      <c r="R19" s="54">
        <f t="shared" si="0"/>
        <v>172</v>
      </c>
      <c r="S19" s="8">
        <f t="shared" si="1"/>
        <v>0.25294117647058822</v>
      </c>
    </row>
    <row r="20" spans="1:19" ht="18" customHeight="1" x14ac:dyDescent="0.2">
      <c r="A20" s="6"/>
      <c r="B20" s="11" t="s">
        <v>191</v>
      </c>
      <c r="C20" s="53">
        <v>321</v>
      </c>
      <c r="D20" s="54">
        <v>80</v>
      </c>
      <c r="E20" s="55">
        <v>320</v>
      </c>
      <c r="F20" s="88">
        <v>90</v>
      </c>
      <c r="G20" s="56">
        <v>0</v>
      </c>
      <c r="H20" s="56"/>
      <c r="I20" s="56"/>
      <c r="J20" s="56"/>
      <c r="K20" s="56"/>
      <c r="L20" s="56"/>
      <c r="M20" s="56"/>
      <c r="N20" s="56"/>
      <c r="O20" s="56"/>
      <c r="P20" s="56"/>
      <c r="Q20" s="53"/>
      <c r="R20" s="54">
        <f t="shared" ref="R20" si="2">F20+H20+J20+L20+N20+P20</f>
        <v>90</v>
      </c>
      <c r="S20" s="8">
        <f t="shared" ref="S20" si="3">R20/E20</f>
        <v>0.28125</v>
      </c>
    </row>
    <row r="21" spans="1:19" ht="18" customHeight="1" x14ac:dyDescent="0.2">
      <c r="A21" s="6"/>
      <c r="B21" s="11"/>
      <c r="C21" s="53"/>
      <c r="D21" s="54"/>
      <c r="E21" s="55"/>
      <c r="F21" s="56"/>
      <c r="G21" s="56"/>
      <c r="H21" s="56"/>
      <c r="I21" s="56"/>
      <c r="J21" s="56"/>
      <c r="K21" s="56"/>
      <c r="L21" s="56"/>
      <c r="M21" s="56"/>
      <c r="N21" s="56"/>
      <c r="O21" s="56"/>
      <c r="P21" s="56"/>
      <c r="Q21" s="53"/>
      <c r="R21" s="54"/>
      <c r="S21" s="8"/>
    </row>
    <row r="22" spans="1:19" ht="18" customHeight="1" x14ac:dyDescent="0.2">
      <c r="A22" s="6"/>
      <c r="B22" s="11"/>
      <c r="C22" s="53"/>
      <c r="D22" s="54"/>
      <c r="E22" s="55"/>
      <c r="F22" s="56"/>
      <c r="G22" s="56"/>
      <c r="H22" s="56"/>
      <c r="I22" s="56"/>
      <c r="J22" s="56"/>
      <c r="K22" s="56"/>
      <c r="L22" s="56"/>
      <c r="M22" s="56"/>
      <c r="N22" s="56"/>
      <c r="O22" s="56"/>
      <c r="P22" s="56"/>
      <c r="Q22" s="53"/>
      <c r="R22" s="54"/>
      <c r="S22" s="8"/>
    </row>
    <row r="23" spans="1:19" ht="18" customHeight="1" x14ac:dyDescent="0.2">
      <c r="A23" s="6"/>
      <c r="B23" s="11"/>
      <c r="C23" s="53"/>
      <c r="D23" s="54"/>
      <c r="E23" s="55"/>
      <c r="F23" s="56"/>
      <c r="G23" s="56"/>
      <c r="H23" s="56"/>
      <c r="I23" s="56"/>
      <c r="J23" s="56"/>
      <c r="K23" s="56"/>
      <c r="L23" s="56"/>
      <c r="M23" s="56"/>
      <c r="N23" s="56"/>
      <c r="O23" s="56"/>
      <c r="P23" s="56"/>
      <c r="Q23" s="53"/>
      <c r="R23" s="54"/>
      <c r="S23" s="8"/>
    </row>
    <row r="24" spans="1:19" ht="18" customHeight="1" x14ac:dyDescent="0.2">
      <c r="A24" s="6"/>
      <c r="B24" s="11"/>
      <c r="C24" s="53"/>
      <c r="D24" s="54"/>
      <c r="E24" s="55"/>
      <c r="F24" s="56"/>
      <c r="G24" s="56"/>
      <c r="H24" s="56"/>
      <c r="I24" s="56"/>
      <c r="J24" s="56"/>
      <c r="K24" s="56"/>
      <c r="L24" s="56"/>
      <c r="M24" s="56"/>
      <c r="N24" s="56"/>
      <c r="O24" s="56"/>
      <c r="P24" s="56"/>
      <c r="Q24" s="53"/>
      <c r="R24" s="54"/>
      <c r="S24" s="8"/>
    </row>
    <row r="25" spans="1:19" ht="18" customHeight="1" x14ac:dyDescent="0.2">
      <c r="A25" s="6"/>
      <c r="B25" s="11"/>
      <c r="C25" s="53"/>
      <c r="D25" s="54"/>
      <c r="E25" s="55"/>
      <c r="F25" s="56"/>
      <c r="G25" s="56"/>
      <c r="H25" s="56"/>
      <c r="I25" s="56"/>
      <c r="J25" s="56"/>
      <c r="K25" s="56"/>
      <c r="L25" s="56"/>
      <c r="M25" s="56"/>
      <c r="N25" s="56"/>
      <c r="O25" s="56"/>
      <c r="P25" s="56"/>
      <c r="Q25" s="53"/>
      <c r="R25" s="54"/>
      <c r="S25" s="8"/>
    </row>
    <row r="26" spans="1:19" ht="18" customHeight="1" x14ac:dyDescent="0.2">
      <c r="A26" s="6"/>
      <c r="B26" s="11"/>
      <c r="C26" s="53"/>
      <c r="D26" s="54"/>
      <c r="E26" s="55"/>
      <c r="F26" s="56"/>
      <c r="G26" s="56"/>
      <c r="H26" s="56"/>
      <c r="I26" s="56"/>
      <c r="J26" s="56"/>
      <c r="K26" s="56"/>
      <c r="L26" s="56"/>
      <c r="M26" s="56"/>
      <c r="N26" s="56"/>
      <c r="O26" s="56"/>
      <c r="P26" s="56"/>
      <c r="Q26" s="53"/>
      <c r="R26" s="54"/>
      <c r="S26" s="8"/>
    </row>
    <row r="27" spans="1:19" ht="18" customHeight="1" x14ac:dyDescent="0.2">
      <c r="A27" s="6"/>
      <c r="B27" s="11"/>
      <c r="C27" s="53"/>
      <c r="D27" s="54"/>
      <c r="E27" s="55"/>
      <c r="F27" s="56"/>
      <c r="G27" s="56"/>
      <c r="H27" s="56"/>
      <c r="I27" s="56"/>
      <c r="J27" s="56"/>
      <c r="K27" s="56"/>
      <c r="L27" s="56"/>
      <c r="M27" s="56"/>
      <c r="N27" s="56"/>
      <c r="O27" s="56"/>
      <c r="P27" s="56"/>
      <c r="Q27" s="53"/>
      <c r="R27" s="54"/>
      <c r="S27" s="8"/>
    </row>
    <row r="28" spans="1:19" ht="18" customHeight="1" x14ac:dyDescent="0.2">
      <c r="A28" s="6"/>
      <c r="B28" s="11"/>
      <c r="C28" s="53"/>
      <c r="D28" s="54"/>
      <c r="E28" s="55"/>
      <c r="F28" s="56"/>
      <c r="G28" s="56"/>
      <c r="H28" s="56"/>
      <c r="I28" s="56"/>
      <c r="J28" s="56"/>
      <c r="K28" s="56"/>
      <c r="L28" s="56"/>
      <c r="M28" s="56"/>
      <c r="N28" s="56"/>
      <c r="O28" s="56"/>
      <c r="P28" s="56"/>
      <c r="Q28" s="53"/>
      <c r="R28" s="54"/>
      <c r="S28" s="8"/>
    </row>
    <row r="29" spans="1:19" ht="18" customHeight="1" x14ac:dyDescent="0.2">
      <c r="A29" s="6"/>
      <c r="B29" s="11"/>
      <c r="C29" s="53"/>
      <c r="D29" s="54"/>
      <c r="E29" s="55"/>
      <c r="F29" s="56"/>
      <c r="G29" s="56"/>
      <c r="H29" s="56"/>
      <c r="I29" s="56"/>
      <c r="J29" s="56"/>
      <c r="K29" s="56"/>
      <c r="L29" s="56"/>
      <c r="M29" s="56"/>
      <c r="N29" s="56"/>
      <c r="O29" s="56"/>
      <c r="P29" s="56"/>
      <c r="Q29" s="53"/>
      <c r="R29" s="54"/>
      <c r="S29" s="8"/>
    </row>
    <row r="30" spans="1:19" ht="18" customHeight="1" x14ac:dyDescent="0.2">
      <c r="A30" s="6"/>
      <c r="B30" s="11"/>
      <c r="C30" s="53"/>
      <c r="D30" s="57"/>
      <c r="E30" s="55"/>
      <c r="F30" s="56"/>
      <c r="G30" s="56"/>
      <c r="H30" s="56"/>
      <c r="I30" s="56"/>
      <c r="J30" s="56"/>
      <c r="K30" s="56"/>
      <c r="L30" s="56"/>
      <c r="M30" s="56"/>
      <c r="N30" s="56"/>
      <c r="O30" s="56"/>
      <c r="P30" s="56"/>
      <c r="Q30" s="53"/>
      <c r="R30" s="57"/>
      <c r="S30" s="8"/>
    </row>
    <row r="31" spans="1:19" ht="18" customHeight="1" x14ac:dyDescent="0.2">
      <c r="A31" s="6"/>
      <c r="B31" s="11"/>
      <c r="C31" s="53"/>
      <c r="D31" s="57"/>
      <c r="E31" s="55"/>
      <c r="F31" s="56"/>
      <c r="G31" s="56"/>
      <c r="H31" s="56"/>
      <c r="I31" s="56"/>
      <c r="J31" s="56"/>
      <c r="K31" s="56"/>
      <c r="L31" s="56"/>
      <c r="M31" s="56"/>
      <c r="N31" s="56"/>
      <c r="O31" s="56"/>
      <c r="P31" s="56"/>
      <c r="Q31" s="53"/>
      <c r="R31" s="57"/>
      <c r="S31" s="8"/>
    </row>
    <row r="32" spans="1:19" ht="18" customHeight="1" thickBot="1" x14ac:dyDescent="0.25">
      <c r="A32" s="6"/>
      <c r="B32" s="12"/>
      <c r="C32" s="50"/>
      <c r="D32" s="58"/>
      <c r="E32" s="52"/>
      <c r="F32" s="52"/>
      <c r="G32" s="52"/>
      <c r="H32" s="52"/>
      <c r="I32" s="52"/>
      <c r="J32" s="52"/>
      <c r="K32" s="52"/>
      <c r="L32" s="52"/>
      <c r="M32" s="52"/>
      <c r="N32" s="52"/>
      <c r="O32" s="52"/>
      <c r="P32" s="52"/>
      <c r="Q32" s="53"/>
      <c r="R32" s="58"/>
      <c r="S32" s="7"/>
    </row>
    <row r="33" spans="2:19" ht="18" customHeight="1" thickTop="1" x14ac:dyDescent="0.2">
      <c r="B33" s="13" t="s">
        <v>33</v>
      </c>
      <c r="C33" s="59">
        <f t="shared" ref="C33" si="4">SUM(C13:C32)</f>
        <v>6175</v>
      </c>
      <c r="D33" s="60">
        <f>SUM(D13:D32)</f>
        <v>1400</v>
      </c>
      <c r="E33" s="61">
        <f t="shared" ref="E33:R33" si="5">SUM(E13:E32)</f>
        <v>5600</v>
      </c>
      <c r="F33" s="61">
        <f t="shared" si="5"/>
        <v>1652</v>
      </c>
      <c r="G33" s="61">
        <f t="shared" ref="G33:H33" si="6">SUM(G13:G32)</f>
        <v>256</v>
      </c>
      <c r="H33" s="61">
        <f t="shared" si="6"/>
        <v>0</v>
      </c>
      <c r="I33" s="61">
        <f t="shared" ref="I33:J33" si="7">SUM(I13:I32)</f>
        <v>0</v>
      </c>
      <c r="J33" s="61">
        <f t="shared" si="7"/>
        <v>0</v>
      </c>
      <c r="K33" s="61">
        <f t="shared" ref="K33:O33" si="8">SUM(K13:K32)</f>
        <v>0</v>
      </c>
      <c r="L33" s="61">
        <f t="shared" si="8"/>
        <v>0</v>
      </c>
      <c r="M33" s="61">
        <f t="shared" si="8"/>
        <v>0</v>
      </c>
      <c r="N33" s="61">
        <f t="shared" si="8"/>
        <v>0</v>
      </c>
      <c r="O33" s="61">
        <f t="shared" si="8"/>
        <v>0</v>
      </c>
      <c r="P33" s="61">
        <f t="shared" ref="P33:Q33" si="9">SUM(P13:P32)</f>
        <v>0</v>
      </c>
      <c r="Q33" s="59">
        <f t="shared" si="9"/>
        <v>0</v>
      </c>
      <c r="R33" s="60">
        <f t="shared" si="5"/>
        <v>1652</v>
      </c>
      <c r="S33" s="9">
        <f>R33/E33</f>
        <v>0.29499999999999998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3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1" t="s">
        <v>63</v>
      </c>
      <c r="I1" s="29" t="s">
        <v>96</v>
      </c>
    </row>
    <row r="2" spans="1:9" ht="18.75" customHeight="1" x14ac:dyDescent="0.2">
      <c r="G2" s="29" t="s">
        <v>98</v>
      </c>
      <c r="H2" s="105" t="str">
        <f>'様式１　プログラムを構成する授業科目'!C2</f>
        <v>名古屋学院大学</v>
      </c>
      <c r="I2" s="107"/>
    </row>
    <row r="3" spans="1:9" ht="18.75" customHeight="1" x14ac:dyDescent="0.2">
      <c r="C3" s="1" t="s">
        <v>151</v>
      </c>
      <c r="G3" s="29"/>
      <c r="H3" s="10"/>
      <c r="I3" s="10"/>
    </row>
    <row r="4" spans="1:9" ht="18.600000000000001" customHeight="1" x14ac:dyDescent="0.2">
      <c r="A4" s="206" t="s">
        <v>36</v>
      </c>
      <c r="B4" s="206"/>
      <c r="C4" s="206"/>
      <c r="D4" s="206"/>
      <c r="E4" s="206"/>
      <c r="F4" s="206"/>
      <c r="G4" s="206"/>
      <c r="H4" s="206"/>
      <c r="I4" s="206"/>
    </row>
    <row r="5" spans="1:9" ht="13.2" customHeight="1" x14ac:dyDescent="0.2">
      <c r="B5" s="3"/>
      <c r="C5" s="3"/>
      <c r="D5" s="3"/>
      <c r="E5" s="3"/>
      <c r="F5" s="3"/>
      <c r="G5" s="3"/>
      <c r="H5" s="3"/>
      <c r="I5" s="3"/>
    </row>
    <row r="6" spans="1:9" ht="18" customHeight="1" x14ac:dyDescent="0.2">
      <c r="A6" s="1" t="s">
        <v>0</v>
      </c>
      <c r="B6" s="10" t="s">
        <v>85</v>
      </c>
      <c r="C6" s="226" t="s">
        <v>86</v>
      </c>
      <c r="D6" s="226"/>
      <c r="E6" s="28">
        <v>170</v>
      </c>
      <c r="F6" s="3" t="s">
        <v>1</v>
      </c>
      <c r="G6" s="3" t="s">
        <v>2</v>
      </c>
      <c r="H6" s="28">
        <v>188</v>
      </c>
      <c r="I6" s="10" t="s">
        <v>1</v>
      </c>
    </row>
    <row r="7" spans="1:9" ht="12" customHeight="1" x14ac:dyDescent="0.2">
      <c r="C7" s="2"/>
      <c r="D7" s="2"/>
      <c r="E7" s="2"/>
      <c r="F7" s="2"/>
      <c r="G7" s="2"/>
      <c r="H7" s="2"/>
      <c r="I7" s="32"/>
    </row>
    <row r="8" spans="1:9" ht="18" customHeight="1" x14ac:dyDescent="0.2">
      <c r="A8" s="1" t="s">
        <v>3</v>
      </c>
      <c r="B8" s="10" t="s">
        <v>87</v>
      </c>
      <c r="E8" s="3"/>
      <c r="F8" s="3"/>
      <c r="G8" s="3"/>
      <c r="H8" s="28">
        <v>12</v>
      </c>
      <c r="I8" s="10" t="s">
        <v>1</v>
      </c>
    </row>
    <row r="9" spans="1:9" ht="9" customHeight="1" x14ac:dyDescent="0.2">
      <c r="B9" s="3"/>
      <c r="C9" s="3"/>
      <c r="D9" s="3"/>
      <c r="E9" s="3"/>
      <c r="F9" s="3"/>
      <c r="G9" s="3"/>
      <c r="H9" s="3"/>
      <c r="I9" s="3"/>
    </row>
    <row r="10" spans="1:9" ht="18" customHeight="1" x14ac:dyDescent="0.2">
      <c r="A10" s="1" t="s">
        <v>4</v>
      </c>
      <c r="B10" s="10" t="s">
        <v>88</v>
      </c>
      <c r="C10" s="3"/>
      <c r="D10" s="3"/>
      <c r="E10" s="3"/>
      <c r="F10" s="3"/>
      <c r="G10" s="3"/>
      <c r="H10" s="3"/>
      <c r="I10" s="3"/>
    </row>
    <row r="11" spans="1:9" ht="18" customHeight="1" x14ac:dyDescent="0.2">
      <c r="B11" s="29" t="s">
        <v>42</v>
      </c>
      <c r="C11" s="221" t="s">
        <v>139</v>
      </c>
      <c r="D11" s="224"/>
      <c r="E11" s="225"/>
      <c r="F11" s="32"/>
      <c r="G11" s="29" t="s">
        <v>10</v>
      </c>
      <c r="H11" s="221" t="s">
        <v>140</v>
      </c>
      <c r="I11" s="225"/>
    </row>
    <row r="12" spans="1:9" ht="10.199999999999999" customHeight="1" x14ac:dyDescent="0.2">
      <c r="B12" s="29"/>
      <c r="C12" s="10"/>
      <c r="D12" s="32"/>
      <c r="E12" s="32"/>
      <c r="F12" s="32"/>
      <c r="G12" s="29"/>
      <c r="H12" s="10"/>
      <c r="I12" s="32"/>
    </row>
    <row r="13" spans="1:9" ht="18" customHeight="1" x14ac:dyDescent="0.2">
      <c r="A13" s="1" t="s">
        <v>7</v>
      </c>
      <c r="B13" s="10" t="s">
        <v>83</v>
      </c>
      <c r="C13" s="3"/>
      <c r="D13" s="3"/>
      <c r="E13" s="3"/>
      <c r="F13" s="3"/>
      <c r="G13" s="3"/>
      <c r="H13" s="3"/>
      <c r="I13" s="3"/>
    </row>
    <row r="14" spans="1:9" ht="18" customHeight="1" x14ac:dyDescent="0.2">
      <c r="B14" s="221" t="s">
        <v>141</v>
      </c>
      <c r="C14" s="222"/>
      <c r="D14" s="222"/>
      <c r="E14" s="222"/>
      <c r="F14" s="222"/>
      <c r="G14" s="222"/>
      <c r="H14" s="222"/>
      <c r="I14" s="223"/>
    </row>
    <row r="15" spans="1:9" ht="9" customHeight="1" x14ac:dyDescent="0.2">
      <c r="B15" s="3"/>
      <c r="C15" s="3"/>
      <c r="D15" s="3"/>
      <c r="E15" s="3"/>
      <c r="F15" s="3"/>
      <c r="G15" s="3"/>
      <c r="H15" s="3"/>
      <c r="I15" s="3"/>
    </row>
    <row r="16" spans="1:9" ht="18" customHeight="1" x14ac:dyDescent="0.2">
      <c r="B16" s="29" t="s">
        <v>42</v>
      </c>
      <c r="C16" s="221" t="s">
        <v>142</v>
      </c>
      <c r="D16" s="224"/>
      <c r="E16" s="225"/>
      <c r="F16" s="32"/>
      <c r="G16" s="29" t="s">
        <v>10</v>
      </c>
      <c r="H16" s="221" t="s">
        <v>143</v>
      </c>
      <c r="I16" s="225"/>
    </row>
    <row r="17" spans="1:12" ht="18" customHeight="1" x14ac:dyDescent="0.2">
      <c r="B17" s="3"/>
      <c r="C17" s="3"/>
      <c r="D17" s="3"/>
      <c r="E17" s="3"/>
      <c r="F17" s="3"/>
      <c r="G17" s="3"/>
      <c r="H17" s="3"/>
      <c r="I17" s="3"/>
    </row>
    <row r="18" spans="1:12" ht="18.75" customHeight="1" x14ac:dyDescent="0.2">
      <c r="A18" s="1" t="s">
        <v>5</v>
      </c>
      <c r="B18" s="1" t="s">
        <v>41</v>
      </c>
      <c r="I18" s="3"/>
    </row>
    <row r="19" spans="1:12" ht="18.75" customHeight="1" x14ac:dyDescent="0.2">
      <c r="A19" s="1"/>
      <c r="B19" s="207" t="s">
        <v>144</v>
      </c>
      <c r="C19" s="208"/>
      <c r="D19" s="208"/>
      <c r="E19" s="208"/>
      <c r="F19" s="208"/>
      <c r="G19" s="208"/>
      <c r="H19" s="208"/>
      <c r="I19" s="209"/>
    </row>
    <row r="20" spans="1:12" ht="7.5" customHeight="1" x14ac:dyDescent="0.2">
      <c r="B20" s="3"/>
      <c r="C20" s="3"/>
      <c r="D20" s="3"/>
      <c r="E20" s="3"/>
      <c r="F20" s="3"/>
      <c r="G20" s="3"/>
      <c r="H20" s="3"/>
      <c r="I20" s="3"/>
    </row>
    <row r="21" spans="1:12" ht="18.75" customHeight="1" x14ac:dyDescent="0.2">
      <c r="A21" s="1" t="s">
        <v>8</v>
      </c>
      <c r="B21" s="1" t="s">
        <v>25</v>
      </c>
    </row>
    <row r="22" spans="1:12" ht="18.75" customHeight="1" x14ac:dyDescent="0.2">
      <c r="A22" s="14"/>
      <c r="B22" s="210" t="s">
        <v>165</v>
      </c>
      <c r="C22" s="211"/>
      <c r="D22" s="211"/>
      <c r="E22" s="211"/>
      <c r="F22" s="211"/>
      <c r="G22" s="211"/>
      <c r="H22" s="211"/>
      <c r="I22" s="212"/>
      <c r="L22" s="82"/>
    </row>
    <row r="23" spans="1:12" ht="18.75" customHeight="1" x14ac:dyDescent="0.2">
      <c r="A23" s="14"/>
      <c r="B23" s="213"/>
      <c r="C23" s="214"/>
      <c r="D23" s="214"/>
      <c r="E23" s="214"/>
      <c r="F23" s="214"/>
      <c r="G23" s="214"/>
      <c r="H23" s="214"/>
      <c r="I23" s="215"/>
    </row>
    <row r="24" spans="1:12" ht="18.75" customHeight="1" x14ac:dyDescent="0.2">
      <c r="A24" s="14"/>
      <c r="B24" s="213"/>
      <c r="C24" s="214"/>
      <c r="D24" s="214"/>
      <c r="E24" s="214"/>
      <c r="F24" s="214"/>
      <c r="G24" s="214"/>
      <c r="H24" s="214"/>
      <c r="I24" s="215"/>
    </row>
    <row r="25" spans="1:12" ht="18.75" customHeight="1" x14ac:dyDescent="0.2">
      <c r="A25" s="14"/>
      <c r="B25" s="213"/>
      <c r="C25" s="214"/>
      <c r="D25" s="214"/>
      <c r="E25" s="214"/>
      <c r="F25" s="214"/>
      <c r="G25" s="214"/>
      <c r="H25" s="214"/>
      <c r="I25" s="215"/>
    </row>
    <row r="26" spans="1:12" ht="18.75" customHeight="1" x14ac:dyDescent="0.2">
      <c r="A26" s="14"/>
      <c r="B26" s="213"/>
      <c r="C26" s="214"/>
      <c r="D26" s="214"/>
      <c r="E26" s="214"/>
      <c r="F26" s="214"/>
      <c r="G26" s="214"/>
      <c r="H26" s="214"/>
      <c r="I26" s="215"/>
    </row>
    <row r="27" spans="1:12" ht="18.75" customHeight="1" x14ac:dyDescent="0.2">
      <c r="A27" s="14"/>
      <c r="B27" s="213"/>
      <c r="C27" s="214"/>
      <c r="D27" s="214"/>
      <c r="E27" s="214"/>
      <c r="F27" s="214"/>
      <c r="G27" s="214"/>
      <c r="H27" s="214"/>
      <c r="I27" s="215"/>
    </row>
    <row r="28" spans="1:12" ht="18.75" customHeight="1" x14ac:dyDescent="0.2">
      <c r="A28" s="14"/>
      <c r="B28" s="213"/>
      <c r="C28" s="214"/>
      <c r="D28" s="214"/>
      <c r="E28" s="214"/>
      <c r="F28" s="214"/>
      <c r="G28" s="214"/>
      <c r="H28" s="214"/>
      <c r="I28" s="215"/>
    </row>
    <row r="29" spans="1:12" ht="18.75" customHeight="1" x14ac:dyDescent="0.2">
      <c r="A29" s="14"/>
      <c r="B29" s="213"/>
      <c r="C29" s="214"/>
      <c r="D29" s="214"/>
      <c r="E29" s="214"/>
      <c r="F29" s="214"/>
      <c r="G29" s="214"/>
      <c r="H29" s="214"/>
      <c r="I29" s="215"/>
    </row>
    <row r="30" spans="1:12" ht="18.75" customHeight="1" x14ac:dyDescent="0.2">
      <c r="A30" s="14"/>
      <c r="B30" s="216"/>
      <c r="C30" s="217"/>
      <c r="D30" s="217"/>
      <c r="E30" s="217"/>
      <c r="F30" s="217"/>
      <c r="G30" s="217"/>
      <c r="H30" s="217"/>
      <c r="I30" s="215"/>
    </row>
    <row r="31" spans="1:12" ht="18.75" customHeight="1" x14ac:dyDescent="0.2">
      <c r="A31" s="14"/>
      <c r="B31" s="216"/>
      <c r="C31" s="217"/>
      <c r="D31" s="217"/>
      <c r="E31" s="217"/>
      <c r="F31" s="217"/>
      <c r="G31" s="217"/>
      <c r="H31" s="217"/>
      <c r="I31" s="215"/>
    </row>
    <row r="32" spans="1:12" ht="18.75" customHeight="1" x14ac:dyDescent="0.2">
      <c r="A32" s="14"/>
      <c r="B32" s="218"/>
      <c r="C32" s="219"/>
      <c r="D32" s="219"/>
      <c r="E32" s="219"/>
      <c r="F32" s="219"/>
      <c r="G32" s="219"/>
      <c r="H32" s="219"/>
      <c r="I32" s="220"/>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10" t="s">
        <v>158</v>
      </c>
      <c r="C35" s="211"/>
      <c r="D35" s="211"/>
      <c r="E35" s="211"/>
      <c r="F35" s="211"/>
      <c r="G35" s="211"/>
      <c r="H35" s="211"/>
      <c r="I35" s="212"/>
    </row>
    <row r="36" spans="1:9" ht="18.75" customHeight="1" x14ac:dyDescent="0.2">
      <c r="A36" s="14"/>
      <c r="B36" s="216"/>
      <c r="C36" s="217"/>
      <c r="D36" s="217"/>
      <c r="E36" s="217"/>
      <c r="F36" s="217"/>
      <c r="G36" s="217"/>
      <c r="H36" s="217"/>
      <c r="I36" s="215"/>
    </row>
    <row r="37" spans="1:9" ht="18.75" customHeight="1" x14ac:dyDescent="0.2">
      <c r="A37" s="14"/>
      <c r="B37" s="216"/>
      <c r="C37" s="217"/>
      <c r="D37" s="217"/>
      <c r="E37" s="217"/>
      <c r="F37" s="217"/>
      <c r="G37" s="217"/>
      <c r="H37" s="217"/>
      <c r="I37" s="215"/>
    </row>
    <row r="38" spans="1:9" ht="18.75" customHeight="1" x14ac:dyDescent="0.2">
      <c r="A38" s="14"/>
      <c r="B38" s="216"/>
      <c r="C38" s="217"/>
      <c r="D38" s="217"/>
      <c r="E38" s="217"/>
      <c r="F38" s="217"/>
      <c r="G38" s="217"/>
      <c r="H38" s="217"/>
      <c r="I38" s="215"/>
    </row>
    <row r="39" spans="1:9" ht="18.75" customHeight="1" x14ac:dyDescent="0.2">
      <c r="A39" s="14"/>
      <c r="B39" s="216"/>
      <c r="C39" s="217"/>
      <c r="D39" s="217"/>
      <c r="E39" s="217"/>
      <c r="F39" s="217"/>
      <c r="G39" s="217"/>
      <c r="H39" s="217"/>
      <c r="I39" s="215"/>
    </row>
    <row r="40" spans="1:9" ht="18.75" customHeight="1" x14ac:dyDescent="0.2">
      <c r="A40" s="14"/>
      <c r="B40" s="216"/>
      <c r="C40" s="217"/>
      <c r="D40" s="217"/>
      <c r="E40" s="217"/>
      <c r="F40" s="217"/>
      <c r="G40" s="217"/>
      <c r="H40" s="217"/>
      <c r="I40" s="215"/>
    </row>
    <row r="41" spans="1:9" ht="18.75" customHeight="1" x14ac:dyDescent="0.2">
      <c r="A41" s="14"/>
      <c r="B41" s="216"/>
      <c r="C41" s="217"/>
      <c r="D41" s="217"/>
      <c r="E41" s="217"/>
      <c r="F41" s="217"/>
      <c r="G41" s="217"/>
      <c r="H41" s="217"/>
      <c r="I41" s="215"/>
    </row>
    <row r="42" spans="1:9" ht="18.75" customHeight="1" x14ac:dyDescent="0.2">
      <c r="A42" s="14"/>
      <c r="B42" s="216"/>
      <c r="C42" s="217"/>
      <c r="D42" s="217"/>
      <c r="E42" s="217"/>
      <c r="F42" s="217"/>
      <c r="G42" s="217"/>
      <c r="H42" s="217"/>
      <c r="I42" s="215"/>
    </row>
    <row r="43" spans="1:9" ht="18.75" customHeight="1" x14ac:dyDescent="0.2">
      <c r="A43" s="14"/>
      <c r="B43" s="216"/>
      <c r="C43" s="217"/>
      <c r="D43" s="217"/>
      <c r="E43" s="217"/>
      <c r="F43" s="217"/>
      <c r="G43" s="217"/>
      <c r="H43" s="217"/>
      <c r="I43" s="215"/>
    </row>
    <row r="44" spans="1:9" ht="18.75" customHeight="1" x14ac:dyDescent="0.2">
      <c r="A44" s="14"/>
      <c r="B44" s="216"/>
      <c r="C44" s="217"/>
      <c r="D44" s="217"/>
      <c r="E44" s="217"/>
      <c r="F44" s="217"/>
      <c r="G44" s="217"/>
      <c r="H44" s="217"/>
      <c r="I44" s="215"/>
    </row>
    <row r="45" spans="1:9" ht="18.75" customHeight="1" x14ac:dyDescent="0.2">
      <c r="A45" s="14"/>
      <c r="B45" s="216"/>
      <c r="C45" s="217"/>
      <c r="D45" s="217"/>
      <c r="E45" s="217"/>
      <c r="F45" s="217"/>
      <c r="G45" s="217"/>
      <c r="H45" s="217"/>
      <c r="I45" s="215"/>
    </row>
    <row r="46" spans="1:9" ht="18.75" customHeight="1" x14ac:dyDescent="0.2">
      <c r="A46" s="14"/>
      <c r="B46" s="218"/>
      <c r="C46" s="219"/>
      <c r="D46" s="219"/>
      <c r="E46" s="219"/>
      <c r="F46" s="219"/>
      <c r="G46" s="219"/>
      <c r="H46" s="219"/>
      <c r="I46" s="220"/>
    </row>
    <row r="47" spans="1:9" ht="7.5" customHeight="1" x14ac:dyDescent="0.2">
      <c r="A47" s="4"/>
      <c r="B47" s="4" t="s">
        <v>152</v>
      </c>
      <c r="C47" s="4"/>
      <c r="D47" s="4"/>
      <c r="E47" s="4"/>
      <c r="F47" s="4"/>
      <c r="G47" s="4"/>
      <c r="H47" s="4"/>
      <c r="I47" s="4"/>
    </row>
    <row r="48" spans="1:9" ht="18.75" customHeight="1" x14ac:dyDescent="0.2">
      <c r="A48" s="1" t="s">
        <v>31</v>
      </c>
      <c r="B48" s="1" t="s">
        <v>110</v>
      </c>
    </row>
    <row r="49" spans="1:15" s="3" customFormat="1" ht="18.75" customHeight="1" x14ac:dyDescent="0.2">
      <c r="B49" s="33" t="s">
        <v>127</v>
      </c>
      <c r="C49" s="195">
        <f>'様式２ 履修者等数の実績'!S33</f>
        <v>0.29499999999999998</v>
      </c>
      <c r="D49" s="195"/>
      <c r="E49" s="33" t="s">
        <v>64</v>
      </c>
      <c r="F49" s="195">
        <v>0.5</v>
      </c>
      <c r="G49" s="195"/>
      <c r="H49" s="33" t="s">
        <v>65</v>
      </c>
      <c r="I49" s="85">
        <v>0.75</v>
      </c>
      <c r="J49" s="1"/>
      <c r="M49" s="1"/>
      <c r="N49" s="34"/>
    </row>
    <row r="50" spans="1:15" s="3" customFormat="1" ht="18.75" customHeight="1" x14ac:dyDescent="0.2">
      <c r="B50" s="35" t="s">
        <v>84</v>
      </c>
      <c r="C50" s="178">
        <v>1</v>
      </c>
      <c r="D50" s="178"/>
      <c r="E50" s="35" t="s">
        <v>128</v>
      </c>
      <c r="F50" s="178">
        <v>1</v>
      </c>
      <c r="G50" s="178"/>
      <c r="H50" s="35" t="s">
        <v>145</v>
      </c>
      <c r="I50" s="36">
        <f>'様式２ 履修者等数の実績'!E33</f>
        <v>5600</v>
      </c>
      <c r="J50" s="1"/>
      <c r="M50" s="1"/>
      <c r="N50" s="34"/>
    </row>
    <row r="51" spans="1:15" ht="18.75" customHeight="1" x14ac:dyDescent="0.2">
      <c r="A51" s="1"/>
      <c r="B51" s="228" t="s">
        <v>66</v>
      </c>
      <c r="C51" s="229"/>
      <c r="D51" s="229"/>
      <c r="E51" s="229"/>
      <c r="F51" s="229"/>
      <c r="G51" s="229"/>
      <c r="H51" s="229"/>
      <c r="I51" s="230"/>
      <c r="N51" s="34"/>
      <c r="O51" s="3"/>
    </row>
    <row r="52" spans="1:15" ht="18.75" customHeight="1" x14ac:dyDescent="0.2">
      <c r="A52" s="1"/>
      <c r="B52" s="196" t="s">
        <v>192</v>
      </c>
      <c r="C52" s="197"/>
      <c r="D52" s="197"/>
      <c r="E52" s="197"/>
      <c r="F52" s="197"/>
      <c r="G52" s="197"/>
      <c r="H52" s="197"/>
      <c r="I52" s="198"/>
      <c r="L52" s="82"/>
      <c r="N52" s="34"/>
      <c r="O52" s="3"/>
    </row>
    <row r="53" spans="1:15" ht="18.75" customHeight="1" x14ac:dyDescent="0.2">
      <c r="A53" s="1"/>
      <c r="B53" s="199"/>
      <c r="C53" s="200"/>
      <c r="D53" s="200"/>
      <c r="E53" s="200"/>
      <c r="F53" s="200"/>
      <c r="G53" s="200"/>
      <c r="H53" s="200"/>
      <c r="I53" s="201"/>
      <c r="N53" s="34"/>
      <c r="O53" s="3"/>
    </row>
    <row r="54" spans="1:15" ht="18.75" customHeight="1" x14ac:dyDescent="0.2">
      <c r="A54" s="1"/>
      <c r="B54" s="199"/>
      <c r="C54" s="200"/>
      <c r="D54" s="200"/>
      <c r="E54" s="200"/>
      <c r="F54" s="200"/>
      <c r="G54" s="200"/>
      <c r="H54" s="200"/>
      <c r="I54" s="201"/>
    </row>
    <row r="55" spans="1:15" ht="18.75" customHeight="1" x14ac:dyDescent="0.2">
      <c r="A55" s="1"/>
      <c r="B55" s="199"/>
      <c r="C55" s="200"/>
      <c r="D55" s="200"/>
      <c r="E55" s="200"/>
      <c r="F55" s="200"/>
      <c r="G55" s="200"/>
      <c r="H55" s="200"/>
      <c r="I55" s="201"/>
    </row>
    <row r="56" spans="1:15" ht="18.75" customHeight="1" x14ac:dyDescent="0.2">
      <c r="A56" s="1"/>
      <c r="B56" s="199"/>
      <c r="C56" s="200"/>
      <c r="D56" s="200"/>
      <c r="E56" s="200"/>
      <c r="F56" s="200"/>
      <c r="G56" s="200"/>
      <c r="H56" s="200"/>
      <c r="I56" s="201"/>
      <c r="K56" s="83"/>
      <c r="M56" s="82"/>
    </row>
    <row r="57" spans="1:15" ht="18.75" customHeight="1" x14ac:dyDescent="0.2">
      <c r="A57" s="1"/>
      <c r="B57" s="199"/>
      <c r="C57" s="200"/>
      <c r="D57" s="200"/>
      <c r="E57" s="200"/>
      <c r="F57" s="200"/>
      <c r="G57" s="200"/>
      <c r="H57" s="200"/>
      <c r="I57" s="201"/>
      <c r="K57" s="83"/>
      <c r="M57" s="82"/>
    </row>
    <row r="58" spans="1:15" ht="18.75" customHeight="1" x14ac:dyDescent="0.2">
      <c r="A58" s="1"/>
      <c r="B58" s="199"/>
      <c r="C58" s="200"/>
      <c r="D58" s="200"/>
      <c r="E58" s="200"/>
      <c r="F58" s="200"/>
      <c r="G58" s="200"/>
      <c r="H58" s="200"/>
      <c r="I58" s="201"/>
      <c r="K58" s="83"/>
      <c r="M58" s="82"/>
    </row>
    <row r="59" spans="1:15" ht="18.75" customHeight="1" x14ac:dyDescent="0.2">
      <c r="A59" s="1"/>
      <c r="B59" s="199"/>
      <c r="C59" s="200"/>
      <c r="D59" s="200"/>
      <c r="E59" s="200"/>
      <c r="F59" s="200"/>
      <c r="G59" s="200"/>
      <c r="H59" s="200"/>
      <c r="I59" s="201"/>
      <c r="K59" s="83"/>
      <c r="M59" s="82"/>
    </row>
    <row r="60" spans="1:15" ht="18.75" customHeight="1" x14ac:dyDescent="0.2">
      <c r="A60" s="1"/>
      <c r="B60" s="199"/>
      <c r="C60" s="200"/>
      <c r="D60" s="200"/>
      <c r="E60" s="200"/>
      <c r="F60" s="200"/>
      <c r="G60" s="200"/>
      <c r="H60" s="200"/>
      <c r="I60" s="201"/>
      <c r="K60" s="83"/>
      <c r="M60" s="82"/>
    </row>
    <row r="61" spans="1:15" ht="18.75" customHeight="1" x14ac:dyDescent="0.2">
      <c r="A61" s="1"/>
      <c r="B61" s="199"/>
      <c r="C61" s="200"/>
      <c r="D61" s="200"/>
      <c r="E61" s="200"/>
      <c r="F61" s="200"/>
      <c r="G61" s="200"/>
      <c r="H61" s="200"/>
      <c r="I61" s="201"/>
    </row>
    <row r="62" spans="1:15" ht="18.75" customHeight="1" x14ac:dyDescent="0.2">
      <c r="A62" s="1"/>
      <c r="B62" s="199"/>
      <c r="C62" s="200"/>
      <c r="D62" s="200"/>
      <c r="E62" s="200"/>
      <c r="F62" s="200"/>
      <c r="G62" s="200"/>
      <c r="H62" s="200"/>
      <c r="I62" s="201"/>
    </row>
    <row r="63" spans="1:15" ht="18.75" customHeight="1" x14ac:dyDescent="0.2">
      <c r="A63" s="1"/>
      <c r="B63" s="202"/>
      <c r="C63" s="203"/>
      <c r="D63" s="203"/>
      <c r="E63" s="203"/>
      <c r="F63" s="203"/>
      <c r="G63" s="203"/>
      <c r="H63" s="203"/>
      <c r="I63" s="204"/>
    </row>
    <row r="64" spans="1:15" ht="7.5" customHeight="1" x14ac:dyDescent="0.2">
      <c r="A64" s="14"/>
      <c r="B64" s="14"/>
      <c r="C64" s="14"/>
      <c r="D64" s="14"/>
      <c r="E64" s="14"/>
      <c r="F64" s="14"/>
      <c r="G64" s="14"/>
      <c r="H64" s="14"/>
      <c r="I64" s="14"/>
    </row>
    <row r="65" spans="1:12" ht="18.75" customHeight="1" x14ac:dyDescent="0.2">
      <c r="A65" s="15" t="s">
        <v>34</v>
      </c>
      <c r="B65" s="1" t="s">
        <v>37</v>
      </c>
      <c r="I65" s="15"/>
    </row>
    <row r="66" spans="1:12" ht="18.75" customHeight="1" x14ac:dyDescent="0.2">
      <c r="A66" s="4"/>
      <c r="B66" s="179" t="s">
        <v>166</v>
      </c>
      <c r="C66" s="180"/>
      <c r="D66" s="180"/>
      <c r="E66" s="180"/>
      <c r="F66" s="180"/>
      <c r="G66" s="180"/>
      <c r="H66" s="180"/>
      <c r="I66" s="181"/>
      <c r="L66" s="82"/>
    </row>
    <row r="67" spans="1:12" ht="18.75" customHeight="1" x14ac:dyDescent="0.2">
      <c r="A67" s="4"/>
      <c r="B67" s="182"/>
      <c r="C67" s="183"/>
      <c r="D67" s="183"/>
      <c r="E67" s="183"/>
      <c r="F67" s="183"/>
      <c r="G67" s="183"/>
      <c r="H67" s="183"/>
      <c r="I67" s="184"/>
    </row>
    <row r="68" spans="1:12" ht="18.75" customHeight="1" x14ac:dyDescent="0.2">
      <c r="A68" s="4"/>
      <c r="B68" s="182"/>
      <c r="C68" s="183"/>
      <c r="D68" s="183"/>
      <c r="E68" s="183"/>
      <c r="F68" s="183"/>
      <c r="G68" s="183"/>
      <c r="H68" s="183"/>
      <c r="I68" s="184"/>
    </row>
    <row r="69" spans="1:12" ht="18.75" customHeight="1" x14ac:dyDescent="0.2">
      <c r="A69" s="4"/>
      <c r="B69" s="182"/>
      <c r="C69" s="183"/>
      <c r="D69" s="183"/>
      <c r="E69" s="183"/>
      <c r="F69" s="183"/>
      <c r="G69" s="183"/>
      <c r="H69" s="183"/>
      <c r="I69" s="184"/>
    </row>
    <row r="70" spans="1:12" ht="18.75" customHeight="1" x14ac:dyDescent="0.2">
      <c r="A70" s="4"/>
      <c r="B70" s="182"/>
      <c r="C70" s="183"/>
      <c r="D70" s="183"/>
      <c r="E70" s="183"/>
      <c r="F70" s="183"/>
      <c r="G70" s="183"/>
      <c r="H70" s="183"/>
      <c r="I70" s="184"/>
    </row>
    <row r="71" spans="1:12" ht="18.75" customHeight="1" x14ac:dyDescent="0.2">
      <c r="A71" s="4"/>
      <c r="B71" s="182"/>
      <c r="C71" s="183"/>
      <c r="D71" s="183"/>
      <c r="E71" s="183"/>
      <c r="F71" s="183"/>
      <c r="G71" s="183"/>
      <c r="H71" s="183"/>
      <c r="I71" s="184"/>
    </row>
    <row r="72" spans="1:12" ht="18.75" customHeight="1" x14ac:dyDescent="0.2">
      <c r="A72" s="4"/>
      <c r="B72" s="182"/>
      <c r="C72" s="183"/>
      <c r="D72" s="183"/>
      <c r="E72" s="183"/>
      <c r="F72" s="183"/>
      <c r="G72" s="183"/>
      <c r="H72" s="183"/>
      <c r="I72" s="184"/>
    </row>
    <row r="73" spans="1:12" ht="18.75" customHeight="1" x14ac:dyDescent="0.2">
      <c r="A73" s="4"/>
      <c r="B73" s="182"/>
      <c r="C73" s="183"/>
      <c r="D73" s="183"/>
      <c r="E73" s="183"/>
      <c r="F73" s="183"/>
      <c r="G73" s="183"/>
      <c r="H73" s="183"/>
      <c r="I73" s="184"/>
    </row>
    <row r="74" spans="1:12" ht="18.75" customHeight="1" x14ac:dyDescent="0.2">
      <c r="A74" s="4"/>
      <c r="B74" s="182"/>
      <c r="C74" s="183"/>
      <c r="D74" s="183"/>
      <c r="E74" s="183"/>
      <c r="F74" s="183"/>
      <c r="G74" s="183"/>
      <c r="H74" s="183"/>
      <c r="I74" s="184"/>
    </row>
    <row r="75" spans="1:12" ht="18.75" customHeight="1" x14ac:dyDescent="0.2">
      <c r="A75" s="4"/>
      <c r="B75" s="182"/>
      <c r="C75" s="183"/>
      <c r="D75" s="183"/>
      <c r="E75" s="183"/>
      <c r="F75" s="183"/>
      <c r="G75" s="183"/>
      <c r="H75" s="183"/>
      <c r="I75" s="184"/>
    </row>
    <row r="76" spans="1:12" ht="18.75" customHeight="1" x14ac:dyDescent="0.2">
      <c r="A76" s="4"/>
      <c r="B76" s="182"/>
      <c r="C76" s="183"/>
      <c r="D76" s="183"/>
      <c r="E76" s="183"/>
      <c r="F76" s="183"/>
      <c r="G76" s="183"/>
      <c r="H76" s="183"/>
      <c r="I76" s="184"/>
    </row>
    <row r="77" spans="1:12" ht="18.75" customHeight="1" x14ac:dyDescent="0.2">
      <c r="A77" s="4"/>
      <c r="B77" s="185"/>
      <c r="C77" s="186"/>
      <c r="D77" s="186"/>
      <c r="E77" s="186"/>
      <c r="F77" s="186"/>
      <c r="G77" s="186"/>
      <c r="H77" s="186"/>
      <c r="I77" s="187"/>
    </row>
    <row r="78" spans="1:12" ht="7.5" customHeight="1" x14ac:dyDescent="0.2">
      <c r="A78" s="4"/>
      <c r="B78" s="4"/>
      <c r="C78" s="4"/>
      <c r="D78" s="4"/>
      <c r="E78" s="4"/>
      <c r="F78" s="4"/>
      <c r="G78" s="4"/>
      <c r="H78" s="4"/>
      <c r="I78" s="4"/>
    </row>
    <row r="79" spans="1:12" ht="18.75" customHeight="1" x14ac:dyDescent="0.2">
      <c r="A79" s="1" t="s">
        <v>11</v>
      </c>
      <c r="B79" s="1" t="s">
        <v>40</v>
      </c>
    </row>
    <row r="80" spans="1:12" ht="18.75" customHeight="1" x14ac:dyDescent="0.2">
      <c r="A80" s="1"/>
      <c r="B80" s="179" t="s">
        <v>167</v>
      </c>
      <c r="C80" s="180"/>
      <c r="D80" s="180"/>
      <c r="E80" s="180"/>
      <c r="F80" s="180"/>
      <c r="G80" s="180"/>
      <c r="H80" s="180"/>
      <c r="I80" s="188"/>
      <c r="L80" s="82"/>
    </row>
    <row r="81" spans="1:12" ht="18.75" customHeight="1" x14ac:dyDescent="0.2">
      <c r="A81" s="1"/>
      <c r="B81" s="189"/>
      <c r="C81" s="190"/>
      <c r="D81" s="190"/>
      <c r="E81" s="190"/>
      <c r="F81" s="190"/>
      <c r="G81" s="190"/>
      <c r="H81" s="190"/>
      <c r="I81" s="191"/>
    </row>
    <row r="82" spans="1:12" ht="18.75" customHeight="1" x14ac:dyDescent="0.2">
      <c r="A82" s="1"/>
      <c r="B82" s="189"/>
      <c r="C82" s="190"/>
      <c r="D82" s="190"/>
      <c r="E82" s="190"/>
      <c r="F82" s="190"/>
      <c r="G82" s="190"/>
      <c r="H82" s="190"/>
      <c r="I82" s="191"/>
    </row>
    <row r="83" spans="1:12" ht="18.75" customHeight="1" x14ac:dyDescent="0.2">
      <c r="A83" s="1"/>
      <c r="B83" s="189"/>
      <c r="C83" s="190"/>
      <c r="D83" s="190"/>
      <c r="E83" s="190"/>
      <c r="F83" s="190"/>
      <c r="G83" s="190"/>
      <c r="H83" s="190"/>
      <c r="I83" s="191"/>
    </row>
    <row r="84" spans="1:12" ht="18.75" customHeight="1" x14ac:dyDescent="0.2">
      <c r="A84" s="1"/>
      <c r="B84" s="189"/>
      <c r="C84" s="190"/>
      <c r="D84" s="190"/>
      <c r="E84" s="190"/>
      <c r="F84" s="190"/>
      <c r="G84" s="190"/>
      <c r="H84" s="190"/>
      <c r="I84" s="191"/>
    </row>
    <row r="85" spans="1:12" ht="18.75" customHeight="1" x14ac:dyDescent="0.2">
      <c r="A85" s="1"/>
      <c r="B85" s="189"/>
      <c r="C85" s="190"/>
      <c r="D85" s="190"/>
      <c r="E85" s="190"/>
      <c r="F85" s="190"/>
      <c r="G85" s="190"/>
      <c r="H85" s="190"/>
      <c r="I85" s="191"/>
    </row>
    <row r="86" spans="1:12" ht="18.75" customHeight="1" x14ac:dyDescent="0.2">
      <c r="A86" s="1"/>
      <c r="B86" s="189"/>
      <c r="C86" s="190"/>
      <c r="D86" s="190"/>
      <c r="E86" s="190"/>
      <c r="F86" s="190"/>
      <c r="G86" s="190"/>
      <c r="H86" s="190"/>
      <c r="I86" s="191"/>
    </row>
    <row r="87" spans="1:12" ht="18.75" customHeight="1" x14ac:dyDescent="0.2">
      <c r="A87" s="1"/>
      <c r="B87" s="189"/>
      <c r="C87" s="190"/>
      <c r="D87" s="190"/>
      <c r="E87" s="190"/>
      <c r="F87" s="190"/>
      <c r="G87" s="190"/>
      <c r="H87" s="190"/>
      <c r="I87" s="191"/>
    </row>
    <row r="88" spans="1:12" ht="18.75" customHeight="1" x14ac:dyDescent="0.2">
      <c r="A88" s="1"/>
      <c r="B88" s="189"/>
      <c r="C88" s="190"/>
      <c r="D88" s="190"/>
      <c r="E88" s="190"/>
      <c r="F88" s="190"/>
      <c r="G88" s="190"/>
      <c r="H88" s="190"/>
      <c r="I88" s="191"/>
    </row>
    <row r="89" spans="1:12" ht="18.75" customHeight="1" x14ac:dyDescent="0.2">
      <c r="A89" s="1"/>
      <c r="B89" s="189"/>
      <c r="C89" s="190"/>
      <c r="D89" s="190"/>
      <c r="E89" s="190"/>
      <c r="F89" s="190"/>
      <c r="G89" s="190"/>
      <c r="H89" s="190"/>
      <c r="I89" s="191"/>
    </row>
    <row r="90" spans="1:12" ht="18.75" customHeight="1" x14ac:dyDescent="0.2">
      <c r="A90" s="4"/>
      <c r="B90" s="189"/>
      <c r="C90" s="190"/>
      <c r="D90" s="190"/>
      <c r="E90" s="190"/>
      <c r="F90" s="190"/>
      <c r="G90" s="190"/>
      <c r="H90" s="190"/>
      <c r="I90" s="191"/>
    </row>
    <row r="91" spans="1:12" ht="18.75" customHeight="1" x14ac:dyDescent="0.2">
      <c r="A91" s="4"/>
      <c r="B91" s="192"/>
      <c r="C91" s="193"/>
      <c r="D91" s="193"/>
      <c r="E91" s="193"/>
      <c r="F91" s="193"/>
      <c r="G91" s="193"/>
      <c r="H91" s="193"/>
      <c r="I91" s="194"/>
    </row>
    <row r="92" spans="1:12" ht="7.5" customHeight="1" x14ac:dyDescent="0.2">
      <c r="A92" s="4"/>
      <c r="B92" s="4"/>
      <c r="C92" s="4"/>
      <c r="D92" s="4"/>
      <c r="E92" s="4"/>
      <c r="F92" s="4"/>
      <c r="G92" s="4"/>
      <c r="H92" s="4"/>
      <c r="I92" s="4"/>
    </row>
    <row r="93" spans="1:12" ht="18.75" customHeight="1" x14ac:dyDescent="0.2">
      <c r="A93" s="1" t="s">
        <v>43</v>
      </c>
      <c r="B93" s="1" t="s">
        <v>13</v>
      </c>
    </row>
    <row r="94" spans="1:12" ht="18.75" customHeight="1" x14ac:dyDescent="0.2">
      <c r="A94" s="1"/>
      <c r="B94" s="210" t="s">
        <v>180</v>
      </c>
      <c r="C94" s="211"/>
      <c r="D94" s="211"/>
      <c r="E94" s="211"/>
      <c r="F94" s="211"/>
      <c r="G94" s="211"/>
      <c r="H94" s="211"/>
      <c r="I94" s="212"/>
      <c r="L94" s="82"/>
    </row>
    <row r="95" spans="1:12" ht="18.75" customHeight="1" x14ac:dyDescent="0.2">
      <c r="A95" s="1"/>
      <c r="B95" s="216"/>
      <c r="C95" s="217"/>
      <c r="D95" s="217"/>
      <c r="E95" s="217"/>
      <c r="F95" s="217"/>
      <c r="G95" s="217"/>
      <c r="H95" s="217"/>
      <c r="I95" s="215"/>
    </row>
    <row r="96" spans="1:12" ht="18.75" customHeight="1" x14ac:dyDescent="0.2">
      <c r="A96" s="1"/>
      <c r="B96" s="216"/>
      <c r="C96" s="217"/>
      <c r="D96" s="217"/>
      <c r="E96" s="217"/>
      <c r="F96" s="217"/>
      <c r="G96" s="217"/>
      <c r="H96" s="217"/>
      <c r="I96" s="215"/>
    </row>
    <row r="97" spans="1:12" ht="18.75" customHeight="1" x14ac:dyDescent="0.2">
      <c r="A97" s="1"/>
      <c r="B97" s="216"/>
      <c r="C97" s="217"/>
      <c r="D97" s="217"/>
      <c r="E97" s="217"/>
      <c r="F97" s="217"/>
      <c r="G97" s="217"/>
      <c r="H97" s="217"/>
      <c r="I97" s="215"/>
    </row>
    <row r="98" spans="1:12" ht="18.75" customHeight="1" x14ac:dyDescent="0.2">
      <c r="A98" s="1"/>
      <c r="B98" s="216"/>
      <c r="C98" s="217"/>
      <c r="D98" s="217"/>
      <c r="E98" s="217"/>
      <c r="F98" s="217"/>
      <c r="G98" s="217"/>
      <c r="H98" s="217"/>
      <c r="I98" s="215"/>
    </row>
    <row r="99" spans="1:12" ht="18.75" customHeight="1" x14ac:dyDescent="0.2">
      <c r="A99" s="1"/>
      <c r="B99" s="216"/>
      <c r="C99" s="217"/>
      <c r="D99" s="217"/>
      <c r="E99" s="217"/>
      <c r="F99" s="217"/>
      <c r="G99" s="217"/>
      <c r="H99" s="217"/>
      <c r="I99" s="215"/>
    </row>
    <row r="100" spans="1:12" ht="18.75" customHeight="1" x14ac:dyDescent="0.2">
      <c r="A100" s="1"/>
      <c r="B100" s="216"/>
      <c r="C100" s="217"/>
      <c r="D100" s="217"/>
      <c r="E100" s="217"/>
      <c r="F100" s="217"/>
      <c r="G100" s="217"/>
      <c r="H100" s="217"/>
      <c r="I100" s="215"/>
    </row>
    <row r="101" spans="1:12" ht="18.75" customHeight="1" x14ac:dyDescent="0.2">
      <c r="A101" s="1"/>
      <c r="B101" s="216"/>
      <c r="C101" s="217"/>
      <c r="D101" s="217"/>
      <c r="E101" s="217"/>
      <c r="F101" s="217"/>
      <c r="G101" s="217"/>
      <c r="H101" s="217"/>
      <c r="I101" s="215"/>
    </row>
    <row r="102" spans="1:12" ht="18.75" customHeight="1" x14ac:dyDescent="0.2">
      <c r="A102" s="1"/>
      <c r="B102" s="216"/>
      <c r="C102" s="217"/>
      <c r="D102" s="217"/>
      <c r="E102" s="217"/>
      <c r="F102" s="217"/>
      <c r="G102" s="217"/>
      <c r="H102" s="217"/>
      <c r="I102" s="215"/>
    </row>
    <row r="103" spans="1:12" ht="18.75" customHeight="1" x14ac:dyDescent="0.2">
      <c r="A103" s="1"/>
      <c r="B103" s="216"/>
      <c r="C103" s="217"/>
      <c r="D103" s="217"/>
      <c r="E103" s="217"/>
      <c r="F103" s="217"/>
      <c r="G103" s="217"/>
      <c r="H103" s="217"/>
      <c r="I103" s="215"/>
    </row>
    <row r="104" spans="1:12" ht="18.75" customHeight="1" x14ac:dyDescent="0.2">
      <c r="A104" s="1"/>
      <c r="B104" s="216"/>
      <c r="C104" s="217"/>
      <c r="D104" s="217"/>
      <c r="E104" s="217"/>
      <c r="F104" s="217"/>
      <c r="G104" s="217"/>
      <c r="H104" s="217"/>
      <c r="I104" s="215"/>
    </row>
    <row r="105" spans="1:12" ht="18.75" customHeight="1" x14ac:dyDescent="0.2">
      <c r="A105" s="4"/>
      <c r="B105" s="218"/>
      <c r="C105" s="219"/>
      <c r="D105" s="219"/>
      <c r="E105" s="219"/>
      <c r="F105" s="219"/>
      <c r="G105" s="219"/>
      <c r="H105" s="219"/>
      <c r="I105" s="220"/>
    </row>
    <row r="106" spans="1:12" ht="7.5" customHeight="1" x14ac:dyDescent="0.2">
      <c r="A106" s="4"/>
      <c r="B106" s="4"/>
      <c r="C106" s="4"/>
      <c r="D106" s="4"/>
      <c r="E106" s="4"/>
      <c r="F106" s="4"/>
      <c r="G106" s="4"/>
      <c r="H106" s="4"/>
      <c r="I106" s="4"/>
    </row>
    <row r="107" spans="1:12" ht="18.75" customHeight="1" x14ac:dyDescent="0.2">
      <c r="A107" s="1" t="s">
        <v>30</v>
      </c>
      <c r="B107" s="227" t="s">
        <v>45</v>
      </c>
      <c r="C107" s="227"/>
      <c r="D107" s="227"/>
      <c r="E107" s="227"/>
      <c r="F107" s="227"/>
      <c r="G107" s="227"/>
      <c r="H107" s="227"/>
      <c r="I107" s="227"/>
    </row>
    <row r="108" spans="1:12" ht="18.75" customHeight="1" x14ac:dyDescent="0.2">
      <c r="A108" s="4"/>
      <c r="B108" s="210" t="s">
        <v>168</v>
      </c>
      <c r="C108" s="211"/>
      <c r="D108" s="211"/>
      <c r="E108" s="211"/>
      <c r="F108" s="211"/>
      <c r="G108" s="211"/>
      <c r="H108" s="211"/>
      <c r="I108" s="212"/>
      <c r="L108" s="82"/>
    </row>
    <row r="109" spans="1:12" ht="18.75" customHeight="1" x14ac:dyDescent="0.2">
      <c r="A109" s="4"/>
      <c r="B109" s="216"/>
      <c r="C109" s="217"/>
      <c r="D109" s="217"/>
      <c r="E109" s="217"/>
      <c r="F109" s="217"/>
      <c r="G109" s="217"/>
      <c r="H109" s="217"/>
      <c r="I109" s="215"/>
    </row>
    <row r="110" spans="1:12" ht="18.75" customHeight="1" x14ac:dyDescent="0.2">
      <c r="A110" s="4"/>
      <c r="B110" s="216"/>
      <c r="C110" s="217"/>
      <c r="D110" s="217"/>
      <c r="E110" s="217"/>
      <c r="F110" s="217"/>
      <c r="G110" s="217"/>
      <c r="H110" s="217"/>
      <c r="I110" s="215"/>
    </row>
    <row r="111" spans="1:12" ht="18.75" customHeight="1" x14ac:dyDescent="0.2">
      <c r="A111" s="4"/>
      <c r="B111" s="216"/>
      <c r="C111" s="217"/>
      <c r="D111" s="217"/>
      <c r="E111" s="217"/>
      <c r="F111" s="217"/>
      <c r="G111" s="217"/>
      <c r="H111" s="217"/>
      <c r="I111" s="215"/>
    </row>
    <row r="112" spans="1:12" ht="18.75" customHeight="1" x14ac:dyDescent="0.2">
      <c r="A112" s="4"/>
      <c r="B112" s="216"/>
      <c r="C112" s="217"/>
      <c r="D112" s="217"/>
      <c r="E112" s="217"/>
      <c r="F112" s="217"/>
      <c r="G112" s="217"/>
      <c r="H112" s="217"/>
      <c r="I112" s="215"/>
    </row>
    <row r="113" spans="1:9" ht="18.75" customHeight="1" x14ac:dyDescent="0.2">
      <c r="A113" s="4"/>
      <c r="B113" s="216"/>
      <c r="C113" s="217"/>
      <c r="D113" s="217"/>
      <c r="E113" s="217"/>
      <c r="F113" s="217"/>
      <c r="G113" s="217"/>
      <c r="H113" s="217"/>
      <c r="I113" s="215"/>
    </row>
    <row r="114" spans="1:9" ht="18.75" customHeight="1" x14ac:dyDescent="0.2">
      <c r="A114" s="4"/>
      <c r="B114" s="216"/>
      <c r="C114" s="217"/>
      <c r="D114" s="217"/>
      <c r="E114" s="217"/>
      <c r="F114" s="217"/>
      <c r="G114" s="217"/>
      <c r="H114" s="217"/>
      <c r="I114" s="215"/>
    </row>
    <row r="115" spans="1:9" ht="18.75" customHeight="1" x14ac:dyDescent="0.2">
      <c r="A115" s="4"/>
      <c r="B115" s="216"/>
      <c r="C115" s="217"/>
      <c r="D115" s="217"/>
      <c r="E115" s="217"/>
      <c r="F115" s="217"/>
      <c r="G115" s="217"/>
      <c r="H115" s="217"/>
      <c r="I115" s="215"/>
    </row>
    <row r="116" spans="1:9" ht="18.75" customHeight="1" x14ac:dyDescent="0.2">
      <c r="A116" s="4"/>
      <c r="B116" s="216"/>
      <c r="C116" s="217"/>
      <c r="D116" s="217"/>
      <c r="E116" s="217"/>
      <c r="F116" s="217"/>
      <c r="G116" s="217"/>
      <c r="H116" s="217"/>
      <c r="I116" s="215"/>
    </row>
    <row r="117" spans="1:9" ht="18.75" customHeight="1" x14ac:dyDescent="0.2">
      <c r="A117" s="4"/>
      <c r="B117" s="216"/>
      <c r="C117" s="217"/>
      <c r="D117" s="217"/>
      <c r="E117" s="217"/>
      <c r="F117" s="217"/>
      <c r="G117" s="217"/>
      <c r="H117" s="217"/>
      <c r="I117" s="215"/>
    </row>
    <row r="118" spans="1:9" ht="18.75" customHeight="1" x14ac:dyDescent="0.2">
      <c r="A118" s="4"/>
      <c r="B118" s="216"/>
      <c r="C118" s="217"/>
      <c r="D118" s="217"/>
      <c r="E118" s="217"/>
      <c r="F118" s="217"/>
      <c r="G118" s="217"/>
      <c r="H118" s="217"/>
      <c r="I118" s="215"/>
    </row>
    <row r="119" spans="1:9" ht="18.75" customHeight="1" x14ac:dyDescent="0.2">
      <c r="A119" s="4"/>
      <c r="B119" s="218"/>
      <c r="C119" s="219"/>
      <c r="D119" s="219"/>
      <c r="E119" s="219"/>
      <c r="F119" s="219"/>
      <c r="G119" s="219"/>
      <c r="H119" s="219"/>
      <c r="I119" s="220"/>
    </row>
    <row r="120" spans="1:9" ht="7.5" customHeight="1" x14ac:dyDescent="0.2">
      <c r="A120" s="4"/>
      <c r="B120" s="37"/>
      <c r="C120" s="37"/>
      <c r="D120" s="37"/>
      <c r="E120" s="37"/>
      <c r="F120" s="37"/>
      <c r="G120" s="37"/>
      <c r="H120" s="37"/>
      <c r="I120" s="37"/>
    </row>
    <row r="121" spans="1:9" ht="18.75" customHeight="1" x14ac:dyDescent="0.2">
      <c r="A121" s="1"/>
      <c r="B121" s="205"/>
      <c r="C121" s="205"/>
      <c r="D121" s="205"/>
      <c r="E121" s="205"/>
      <c r="F121" s="205"/>
      <c r="G121" s="205"/>
      <c r="H121" s="205"/>
      <c r="I121" s="205"/>
    </row>
    <row r="122" spans="1:9" ht="18.75" customHeight="1" x14ac:dyDescent="0.2">
      <c r="A122" s="1"/>
      <c r="B122" s="205"/>
      <c r="C122" s="205"/>
      <c r="D122" s="205"/>
      <c r="E122" s="205"/>
      <c r="F122" s="205"/>
      <c r="G122" s="205"/>
      <c r="H122" s="205"/>
      <c r="I122" s="205"/>
    </row>
    <row r="123" spans="1:9" ht="18.75" customHeight="1" x14ac:dyDescent="0.2">
      <c r="A123" s="4"/>
      <c r="B123" s="68"/>
      <c r="C123" s="68"/>
      <c r="D123" s="68"/>
      <c r="E123" s="68"/>
      <c r="F123" s="68"/>
      <c r="G123" s="68"/>
      <c r="H123" s="68"/>
      <c r="I123" s="69"/>
    </row>
    <row r="124" spans="1:9" ht="18.75" customHeight="1" x14ac:dyDescent="0.2">
      <c r="A124" s="4"/>
      <c r="B124" s="69"/>
      <c r="C124" s="69"/>
      <c r="D124" s="69"/>
      <c r="E124" s="69"/>
      <c r="F124" s="69"/>
      <c r="G124" s="69"/>
      <c r="H124" s="69"/>
      <c r="I124" s="69"/>
    </row>
    <row r="125" spans="1:9" ht="18.75" customHeight="1" x14ac:dyDescent="0.2">
      <c r="A125" s="4"/>
      <c r="B125" s="69"/>
      <c r="C125" s="69"/>
      <c r="D125" s="69"/>
      <c r="E125" s="69"/>
      <c r="F125" s="69"/>
      <c r="G125" s="69"/>
      <c r="H125" s="69"/>
      <c r="I125" s="69"/>
    </row>
    <row r="126" spans="1:9" ht="18.75" customHeight="1" x14ac:dyDescent="0.2">
      <c r="A126" s="4"/>
      <c r="B126" s="69"/>
      <c r="C126" s="69"/>
      <c r="D126" s="69"/>
      <c r="E126" s="69"/>
      <c r="F126" s="69"/>
      <c r="G126" s="69"/>
      <c r="H126" s="69"/>
      <c r="I126" s="69"/>
    </row>
    <row r="127" spans="1:9" ht="18.75" customHeight="1" x14ac:dyDescent="0.2">
      <c r="A127" s="4"/>
      <c r="B127" s="69"/>
      <c r="C127" s="69"/>
      <c r="D127" s="69"/>
      <c r="E127" s="69"/>
      <c r="F127" s="69"/>
      <c r="G127" s="69"/>
      <c r="H127" s="69"/>
      <c r="I127" s="69"/>
    </row>
    <row r="128" spans="1:9" ht="18.75" customHeight="1" x14ac:dyDescent="0.2">
      <c r="A128" s="4"/>
      <c r="B128" s="69"/>
      <c r="C128" s="69"/>
      <c r="D128" s="69"/>
      <c r="E128" s="69"/>
      <c r="F128" s="69"/>
      <c r="G128" s="69"/>
      <c r="H128" s="69"/>
      <c r="I128" s="69"/>
    </row>
    <row r="129" spans="1:9" ht="18.75" customHeight="1" x14ac:dyDescent="0.2">
      <c r="A129" s="4"/>
      <c r="B129" s="69"/>
      <c r="C129" s="69"/>
      <c r="D129" s="69"/>
      <c r="E129" s="69"/>
      <c r="F129" s="69"/>
      <c r="G129" s="69"/>
      <c r="H129" s="69"/>
      <c r="I129" s="69"/>
    </row>
    <row r="130" spans="1:9" ht="18.75" customHeight="1" x14ac:dyDescent="0.2">
      <c r="A130" s="4"/>
      <c r="B130" s="69"/>
      <c r="C130" s="69"/>
      <c r="D130" s="69"/>
      <c r="E130" s="69"/>
      <c r="F130" s="69"/>
      <c r="G130" s="69"/>
      <c r="H130" s="69"/>
      <c r="I130" s="69"/>
    </row>
    <row r="131" spans="1:9" ht="18.75" customHeight="1" x14ac:dyDescent="0.2">
      <c r="A131" s="4"/>
      <c r="B131" s="69"/>
      <c r="C131" s="69"/>
      <c r="D131" s="69"/>
      <c r="E131" s="69"/>
      <c r="F131" s="69"/>
      <c r="G131" s="69"/>
      <c r="H131" s="69"/>
      <c r="I131" s="69"/>
    </row>
    <row r="132" spans="1:9" ht="18.75" customHeight="1" x14ac:dyDescent="0.2">
      <c r="A132" s="4"/>
      <c r="B132" s="69"/>
      <c r="C132" s="69"/>
      <c r="D132" s="69"/>
      <c r="E132" s="69"/>
      <c r="F132" s="69"/>
      <c r="G132" s="69"/>
      <c r="H132" s="69"/>
      <c r="I132" s="69"/>
    </row>
    <row r="133" spans="1:9" ht="14.4" x14ac:dyDescent="0.2">
      <c r="A133" s="4"/>
      <c r="B133" s="69"/>
      <c r="C133" s="69"/>
      <c r="D133" s="69"/>
      <c r="E133" s="69"/>
      <c r="F133" s="69"/>
      <c r="G133" s="69"/>
      <c r="H133" s="69"/>
      <c r="I133" s="69"/>
    </row>
    <row r="134" spans="1:9" ht="7.5" customHeight="1" x14ac:dyDescent="0.2">
      <c r="A134" s="4"/>
      <c r="B134" s="69"/>
      <c r="C134" s="69"/>
      <c r="D134" s="69"/>
      <c r="E134" s="69"/>
      <c r="F134" s="69"/>
      <c r="G134" s="69"/>
      <c r="H134" s="69"/>
      <c r="I134" s="69"/>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P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16" ht="18.75" customHeight="1" x14ac:dyDescent="0.2">
      <c r="A1" s="1" t="s">
        <v>67</v>
      </c>
      <c r="I1" s="29" t="s">
        <v>95</v>
      </c>
    </row>
    <row r="2" spans="1:16" ht="18.75" customHeight="1" x14ac:dyDescent="0.2">
      <c r="H2" s="29" t="s">
        <v>98</v>
      </c>
      <c r="I2" s="28" t="str">
        <f>'様式１　プログラムを構成する授業科目'!C2</f>
        <v>名古屋学院大学</v>
      </c>
    </row>
    <row r="3" spans="1:16" ht="18.75" customHeight="1" x14ac:dyDescent="0.2">
      <c r="A3" s="206" t="s">
        <v>28</v>
      </c>
      <c r="B3" s="206"/>
      <c r="C3" s="206"/>
      <c r="D3" s="206"/>
      <c r="E3" s="206"/>
      <c r="F3" s="206"/>
      <c r="G3" s="206"/>
      <c r="H3" s="206"/>
      <c r="I3" s="206"/>
    </row>
    <row r="4" spans="1:16" ht="18.75" customHeight="1" x14ac:dyDescent="0.2">
      <c r="A4" s="5"/>
      <c r="B4" s="5"/>
      <c r="C4" s="5"/>
      <c r="D4" s="5"/>
      <c r="E4" s="5"/>
      <c r="F4" s="5"/>
      <c r="G4" s="5"/>
      <c r="H4" s="5"/>
      <c r="I4" s="5"/>
    </row>
    <row r="5" spans="1:16" ht="18.75" customHeight="1" x14ac:dyDescent="0.2">
      <c r="A5" s="1" t="s">
        <v>0</v>
      </c>
      <c r="B5" s="10" t="s">
        <v>89</v>
      </c>
      <c r="C5" s="5"/>
      <c r="D5" s="5"/>
      <c r="E5" s="5"/>
      <c r="F5" s="5"/>
      <c r="G5" s="5"/>
      <c r="H5" s="5"/>
      <c r="I5" s="5"/>
    </row>
    <row r="6" spans="1:16" ht="26.25" customHeight="1" x14ac:dyDescent="0.2">
      <c r="A6" s="5"/>
      <c r="B6" s="221" t="s">
        <v>141</v>
      </c>
      <c r="C6" s="253"/>
      <c r="D6" s="253"/>
      <c r="E6" s="253"/>
      <c r="F6" s="253"/>
      <c r="G6" s="253"/>
      <c r="H6" s="254"/>
      <c r="I6" s="3"/>
    </row>
    <row r="7" spans="1:16" ht="9" customHeight="1" x14ac:dyDescent="0.2">
      <c r="A7" s="5"/>
      <c r="B7" s="10"/>
      <c r="C7" s="10"/>
      <c r="D7" s="10"/>
      <c r="E7" s="10"/>
      <c r="F7" s="10"/>
      <c r="G7" s="10"/>
      <c r="H7" s="10"/>
      <c r="I7" s="3"/>
    </row>
    <row r="8" spans="1:16" ht="18.75" customHeight="1" x14ac:dyDescent="0.2">
      <c r="A8" s="5"/>
      <c r="B8" s="3"/>
      <c r="C8" s="3"/>
      <c r="D8" s="29" t="s">
        <v>42</v>
      </c>
      <c r="E8" s="30" t="s">
        <v>143</v>
      </c>
      <c r="F8" s="3"/>
      <c r="G8" s="29" t="s">
        <v>10</v>
      </c>
      <c r="H8" s="30" t="s">
        <v>142</v>
      </c>
      <c r="I8" s="3"/>
    </row>
    <row r="9" spans="1:16" ht="7.5" customHeight="1" x14ac:dyDescent="0.2">
      <c r="A9" s="5"/>
      <c r="B9" s="5"/>
      <c r="C9" s="5"/>
      <c r="D9" s="5"/>
      <c r="E9" s="5"/>
      <c r="F9" s="5"/>
      <c r="G9" s="5"/>
      <c r="H9" s="5"/>
      <c r="I9" s="5"/>
    </row>
    <row r="10" spans="1:16" ht="18.75" customHeight="1" x14ac:dyDescent="0.2">
      <c r="A10" s="1" t="s">
        <v>3</v>
      </c>
      <c r="B10" s="1" t="s">
        <v>27</v>
      </c>
      <c r="C10" s="4"/>
      <c r="D10" s="4"/>
      <c r="E10" s="4"/>
      <c r="F10" s="4"/>
      <c r="G10" s="4"/>
      <c r="H10" s="4"/>
      <c r="I10" s="4"/>
    </row>
    <row r="11" spans="1:16" ht="18.75" customHeight="1" x14ac:dyDescent="0.2">
      <c r="B11" s="105" t="s">
        <v>24</v>
      </c>
      <c r="C11" s="106"/>
      <c r="D11" s="107"/>
      <c r="E11" s="106" t="s">
        <v>26</v>
      </c>
      <c r="F11" s="106"/>
      <c r="G11" s="106"/>
      <c r="H11" s="106"/>
      <c r="I11" s="107"/>
    </row>
    <row r="12" spans="1:16" ht="26.25" customHeight="1" x14ac:dyDescent="0.2">
      <c r="B12" s="38" t="s">
        <v>14</v>
      </c>
      <c r="C12" s="45"/>
      <c r="D12" s="39"/>
      <c r="E12" s="46"/>
      <c r="F12" s="46"/>
      <c r="G12" s="46"/>
      <c r="H12" s="46"/>
      <c r="I12" s="39"/>
    </row>
    <row r="13" spans="1:16" ht="210.75" customHeight="1" x14ac:dyDescent="0.2">
      <c r="B13" s="40"/>
      <c r="C13" s="236" t="s">
        <v>15</v>
      </c>
      <c r="D13" s="237"/>
      <c r="E13" s="249" t="s">
        <v>169</v>
      </c>
      <c r="F13" s="238"/>
      <c r="G13" s="238"/>
      <c r="H13" s="238"/>
      <c r="I13" s="239"/>
      <c r="N13" s="82"/>
      <c r="P13" s="15"/>
    </row>
    <row r="14" spans="1:16" ht="210.75" customHeight="1" x14ac:dyDescent="0.2">
      <c r="B14" s="40"/>
      <c r="C14" s="251" t="s">
        <v>16</v>
      </c>
      <c r="D14" s="252"/>
      <c r="E14" s="249" t="s">
        <v>170</v>
      </c>
      <c r="F14" s="238"/>
      <c r="G14" s="238"/>
      <c r="H14" s="238"/>
      <c r="I14" s="239"/>
      <c r="N14" s="82"/>
    </row>
    <row r="15" spans="1:16" ht="210.75" customHeight="1" x14ac:dyDescent="0.2">
      <c r="B15" s="40"/>
      <c r="C15" s="236" t="s">
        <v>17</v>
      </c>
      <c r="D15" s="237"/>
      <c r="E15" s="249" t="s">
        <v>171</v>
      </c>
      <c r="F15" s="238"/>
      <c r="G15" s="238"/>
      <c r="H15" s="238"/>
      <c r="I15" s="239"/>
      <c r="N15" s="82"/>
    </row>
    <row r="16" spans="1:16" ht="210.75" customHeight="1" x14ac:dyDescent="0.2">
      <c r="B16" s="40"/>
      <c r="C16" s="236" t="s">
        <v>18</v>
      </c>
      <c r="D16" s="237"/>
      <c r="E16" s="249" t="s">
        <v>172</v>
      </c>
      <c r="F16" s="238"/>
      <c r="G16" s="238"/>
      <c r="H16" s="238"/>
      <c r="I16" s="239"/>
      <c r="N16" s="82"/>
    </row>
    <row r="17" spans="2:14" ht="210.75" customHeight="1" x14ac:dyDescent="0.2">
      <c r="B17" s="41"/>
      <c r="C17" s="240" t="s">
        <v>19</v>
      </c>
      <c r="D17" s="241"/>
      <c r="E17" s="250" t="s">
        <v>181</v>
      </c>
      <c r="F17" s="242"/>
      <c r="G17" s="242"/>
      <c r="H17" s="242"/>
      <c r="I17" s="243"/>
      <c r="N17" s="82"/>
    </row>
    <row r="18" spans="2:14" ht="24" customHeight="1" x14ac:dyDescent="0.2">
      <c r="B18" s="38" t="s">
        <v>20</v>
      </c>
      <c r="C18" s="42"/>
      <c r="D18" s="43"/>
      <c r="E18" s="44"/>
      <c r="F18" s="44"/>
      <c r="G18" s="44"/>
      <c r="H18" s="44"/>
      <c r="I18" s="47"/>
    </row>
    <row r="19" spans="2:14" ht="218.25" customHeight="1" x14ac:dyDescent="0.2">
      <c r="B19" s="40"/>
      <c r="C19" s="236" t="s">
        <v>21</v>
      </c>
      <c r="D19" s="237"/>
      <c r="E19" s="238" t="s">
        <v>173</v>
      </c>
      <c r="F19" s="238"/>
      <c r="G19" s="238"/>
      <c r="H19" s="238"/>
      <c r="I19" s="239"/>
      <c r="N19" s="82"/>
    </row>
    <row r="20" spans="2:14" ht="218.25" customHeight="1" x14ac:dyDescent="0.2">
      <c r="B20" s="41"/>
      <c r="C20" s="240" t="s">
        <v>22</v>
      </c>
      <c r="D20" s="241"/>
      <c r="E20" s="242" t="s">
        <v>174</v>
      </c>
      <c r="F20" s="242"/>
      <c r="G20" s="242"/>
      <c r="H20" s="242"/>
      <c r="I20" s="243"/>
      <c r="N20" s="82"/>
    </row>
    <row r="21" spans="2:14" ht="218.25" customHeight="1" x14ac:dyDescent="0.2">
      <c r="B21" s="244" t="s">
        <v>23</v>
      </c>
      <c r="C21" s="245"/>
      <c r="D21" s="246"/>
      <c r="E21" s="247" t="s">
        <v>175</v>
      </c>
      <c r="F21" s="247"/>
      <c r="G21" s="247"/>
      <c r="H21" s="247"/>
      <c r="I21" s="248"/>
      <c r="N21" s="82"/>
    </row>
    <row r="22" spans="2:14" ht="218.25" customHeight="1" x14ac:dyDescent="0.2">
      <c r="B22" s="231" t="s">
        <v>134</v>
      </c>
      <c r="C22" s="232"/>
      <c r="D22" s="233"/>
      <c r="E22" s="234" t="s">
        <v>176</v>
      </c>
      <c r="F22" s="234"/>
      <c r="G22" s="234"/>
      <c r="H22" s="234"/>
      <c r="I22" s="235"/>
      <c r="N22" s="82"/>
    </row>
    <row r="23" spans="2:14" ht="22.5" customHeight="1" x14ac:dyDescent="0.2">
      <c r="B23" s="4"/>
      <c r="C23" s="4"/>
      <c r="D23" s="4"/>
      <c r="E23" s="4"/>
      <c r="F23" s="4"/>
      <c r="G23" s="4"/>
      <c r="H23" s="4"/>
      <c r="I23" s="4"/>
    </row>
    <row r="24" spans="2:14" ht="22.5" customHeight="1" x14ac:dyDescent="0.2">
      <c r="B24" s="4"/>
      <c r="C24" s="4"/>
      <c r="D24" s="4"/>
      <c r="E24" s="4"/>
      <c r="F24" s="4"/>
      <c r="G24" s="4"/>
      <c r="H24" s="4"/>
      <c r="I24" s="4"/>
    </row>
    <row r="25" spans="2:14" ht="22.5" customHeight="1" x14ac:dyDescent="0.2">
      <c r="B25" s="4"/>
      <c r="C25" s="4"/>
      <c r="D25" s="4"/>
      <c r="E25" s="4"/>
      <c r="F25" s="4"/>
      <c r="G25" s="4"/>
      <c r="H25" s="4"/>
      <c r="I25" s="4"/>
    </row>
    <row r="26" spans="2:14" ht="22.5" customHeight="1" x14ac:dyDescent="0.2">
      <c r="B26" s="4"/>
      <c r="C26" s="4"/>
      <c r="D26" s="4"/>
      <c r="E26" s="4"/>
      <c r="F26" s="4"/>
      <c r="G26" s="4"/>
      <c r="H26" s="4"/>
      <c r="I26" s="4"/>
    </row>
    <row r="27" spans="2:14" ht="22.5" customHeight="1" x14ac:dyDescent="0.2">
      <c r="B27" s="4"/>
      <c r="C27" s="4"/>
      <c r="D27" s="4"/>
      <c r="E27" s="4"/>
      <c r="F27" s="4"/>
      <c r="G27" s="4"/>
      <c r="H27" s="4"/>
      <c r="I27" s="4"/>
    </row>
    <row r="28" spans="2:14" ht="22.5" customHeight="1" x14ac:dyDescent="0.2">
      <c r="B28" s="14"/>
      <c r="C28" s="14"/>
      <c r="D28" s="14"/>
      <c r="E28" s="14"/>
      <c r="F28" s="14"/>
      <c r="G28" s="14"/>
      <c r="H28" s="14"/>
      <c r="I28" s="14"/>
    </row>
    <row r="29" spans="2:14" ht="22.5" customHeight="1" x14ac:dyDescent="0.2">
      <c r="B29" s="14"/>
      <c r="C29" s="14"/>
      <c r="D29" s="14"/>
      <c r="E29" s="14"/>
      <c r="F29" s="14"/>
      <c r="G29" s="14"/>
      <c r="H29" s="14"/>
      <c r="I29" s="14"/>
    </row>
    <row r="30" spans="2:14"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F8B8E93C0BCAD4FB59534ECAC81A761" ma:contentTypeVersion="16" ma:contentTypeDescription="新しいドキュメントを作成します。" ma:contentTypeScope="" ma:versionID="62f647fadc04aef701acedcc42b7a222">
  <xsd:schema xmlns:xsd="http://www.w3.org/2001/XMLSchema" xmlns:xs="http://www.w3.org/2001/XMLSchema" xmlns:p="http://schemas.microsoft.com/office/2006/metadata/properties" xmlns:ns2="2c8b5de6-7e64-46b9-ab71-0193b4b3107d" xmlns:ns3="0fa294c9-51d8-4ca1-a40c-f4f7937f238a" targetNamespace="http://schemas.microsoft.com/office/2006/metadata/properties" ma:root="true" ma:fieldsID="c67697467a71f0a103c0a29543d0d467" ns2:_="" ns3:_="">
    <xsd:import namespace="2c8b5de6-7e64-46b9-ab71-0193b4b3107d"/>
    <xsd:import namespace="0fa294c9-51d8-4ca1-a40c-f4f7937f238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Locatio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8b5de6-7e64-46b9-ab71-0193b4b31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c28e533-c9d0-4635-bae5-16d17082032b"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a294c9-51d8-4ca1-a40c-f4f7937f238a"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e40ffeac-47a6-4f3c-9c14-dba71b5d9a83}" ma:internalName="TaxCatchAll" ma:showField="CatchAllData" ma:web="0fa294c9-51d8-4ca1-a40c-f4f7937f23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44A9B7-E0F3-46BD-A23F-ECE4A147AC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8b5de6-7e64-46b9-ab71-0193b4b3107d"/>
    <ds:schemaRef ds:uri="0fa294c9-51d8-4ca1-a40c-f4f7937f2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EB754D-045E-486A-9D14-24C74F3A50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野田　拓哉</cp:lastModifiedBy>
  <cp:lastPrinted>2024-06-13T00:30:54Z</cp:lastPrinted>
  <dcterms:created xsi:type="dcterms:W3CDTF">2011-06-14T05:32:50Z</dcterms:created>
  <dcterms:modified xsi:type="dcterms:W3CDTF">2024-06-13T01:53:58Z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