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Z:\情報セ\3.教育・研究\1.情報処理教育関係\データサイエンス科目\MDASH認定制度\2024年度認定制度\申請用\再申請\01_西南学院大学_リテラシー\"/>
    </mc:Choice>
  </mc:AlternateContent>
  <xr:revisionPtr revIDLastSave="0" documentId="13_ncr:1_{1D47694B-2831-4C27-84F1-B3BE7759CA08}" xr6:coauthVersionLast="36" xr6:coauthVersionMax="47" xr10:uidLastSave="{00000000-0000-0000-0000-000000000000}"/>
  <bookViews>
    <workbookView xWindow="5625" yWindow="150" windowWidth="16665" windowHeight="1197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R14" i="40" l="1"/>
  <c r="S14" i="40" s="1"/>
  <c r="M7" i="40" l="1"/>
  <c r="I2" i="42"/>
  <c r="H2" i="41"/>
  <c r="Q2" i="40"/>
  <c r="I33" i="40" l="1"/>
  <c r="M33" i="40"/>
  <c r="P33" i="40"/>
  <c r="Q33" i="40"/>
  <c r="O33" i="40"/>
  <c r="N33" i="40"/>
  <c r="L33" i="40"/>
  <c r="J33" i="40"/>
  <c r="K33" i="40"/>
  <c r="H33" i="40"/>
  <c r="R15" i="40" l="1"/>
  <c r="S15" i="40" s="1"/>
  <c r="R16" i="40"/>
  <c r="S16" i="40" s="1"/>
  <c r="R17" i="40"/>
  <c r="S17" i="40" s="1"/>
  <c r="R18" i="40"/>
  <c r="S18" i="40" s="1"/>
  <c r="R19" i="40"/>
  <c r="S19" i="40" s="1"/>
  <c r="R20" i="40"/>
  <c r="S20" i="40" s="1"/>
  <c r="R21" i="40"/>
  <c r="S21" i="40" s="1"/>
  <c r="R22" i="40"/>
  <c r="S22" i="40" s="1"/>
  <c r="R23" i="40"/>
  <c r="S23" i="40" s="1"/>
  <c r="R24" i="40"/>
  <c r="S24" i="40" s="1"/>
  <c r="R25" i="40"/>
  <c r="S25" i="40" s="1"/>
  <c r="R26" i="40"/>
  <c r="S26" i="40" s="1"/>
  <c r="R27" i="40"/>
  <c r="S27" i="40" s="1"/>
  <c r="R28" i="40"/>
  <c r="S28" i="40" s="1"/>
  <c r="R29" i="40"/>
  <c r="S29" i="40" s="1"/>
  <c r="R30" i="40"/>
  <c r="S30" i="40" s="1"/>
  <c r="R31" i="40"/>
  <c r="S31" i="40" s="1"/>
  <c r="R32" i="40"/>
  <c r="S32" i="40" s="1"/>
  <c r="R13" i="40"/>
  <c r="S13" i="40" s="1"/>
  <c r="C33" i="40"/>
  <c r="G33" i="40" l="1"/>
  <c r="F33" i="40" l="1"/>
  <c r="E33" i="40"/>
  <c r="I50" i="41" s="1"/>
  <c r="D33" i="40"/>
  <c r="R33" i="40" l="1"/>
  <c r="S33" i="40" s="1"/>
  <c r="C49" i="41" s="1"/>
</calcChain>
</file>

<file path=xl/sharedStrings.xml><?xml version="1.0" encoding="utf-8"?>
<sst xmlns="http://schemas.openxmlformats.org/spreadsheetml/2006/main" count="296" uniqueCount="195">
  <si>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</si>
  <si>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</si>
  <si>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</si>
  <si>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</si>
  <si>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</si>
  <si>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</si>
  <si>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</si>
  <si>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</si>
  <si>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</si>
  <si>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</si>
  <si>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</si>
  <si>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</si>
  <si>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</si>
  <si>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</si>
  <si>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</si>
  <si>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</si>
  <si>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</si>
  <si>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</si>
  <si>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</si>
  <si>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</si>
  <si>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</si>
  <si>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</si>
  <si>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</si>
  <si>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</si>
  <si>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</si>
  <si>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</si>
  <si>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</si>
  <si>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</si>
  <si>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</si>
  <si>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</si>
  <si>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</si>
  <si>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</si>
  <si>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</si>
  <si>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</si>
  <si>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</si>
  <si>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</si>
  <si>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</si>
  <si>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</si>
  <si>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</si>
  <si>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</si>
  <si>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</si>
  <si>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</si>
  <si>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</si>
  <si>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</si>
  <si>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</si>
  <si>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</si>
  <si>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</si>
  <si>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</si>
  <si>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</si>
  <si>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</si>
  <si>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</si>
  <si>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</si>
  <si>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</si>
  <si>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</si>
  <si>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</si>
  <si>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</si>
  <si>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</si>
  <si>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</si>
  <si>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</si>
  <si>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</si>
  <si>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</si>
  <si>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</si>
  <si>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</si>
  <si>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</si>
  <si>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</si>
  <si>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</si>
  <si>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</si>
  <si>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</si>
  <si>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</si>
  <si>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</si>
  <si>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</si>
  <si>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</si>
  <si>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</si>
  <si>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</si>
  <si>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</si>
  <si>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</si>
  <si>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</si>
  <si>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</si>
  <si>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</si>
  <si>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</si>
  <si>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</si>
  <si>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</si>
  <si>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</si>
  <si>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</si>
  <si>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</si>
  <si>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</si>
  <si>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</si>
  <si>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</si>
  <si>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</si>
  <si>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</si>
  <si>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</si>
  <si>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</si>
  <si>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</si>
  <si>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</si>
  <si>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</si>
  <si>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</si>
  <si>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</si>
  <si>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</si>
  <si>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</si>
  <si>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</si>
  <si>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</si>
  <si>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</si>
  <si>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</si>
  <si>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</si>
  <si>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</si>
  <si>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</si>
  <si>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</si>
  <si>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</si>
  <si>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</si>
  <si>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</si>
  <si>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</si>
  <si>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</si>
  <si>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</si>
  <si>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</si>
  <si>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</si>
  <si>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</si>
  <si>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</si>
  <si>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</si>
  <si>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</si>
  <si>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</si>
  <si>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</si>
  <si>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</si>
  <si>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</si>
  <si>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</si>
  <si>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</si>
  <si>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</si>
  <si>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</si>
  <si>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</si>
  <si>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</si>
  <si>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</si>
  <si>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</si>
  <si>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</si>
  <si>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</si>
  <si>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</si>
  <si>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</si>
  <si>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</si>
  <si>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西南学院大学</t>
    <rPh sb="0" eb="2">
      <t>セイナン</t>
    </rPh>
    <rPh sb="2" eb="4">
      <t>ガクイン</t>
    </rPh>
    <rPh sb="4" eb="6">
      <t>ダイガク</t>
    </rPh>
    <phoneticPr fontId="1"/>
  </si>
  <si>
    <t>数理・データサイエンス・AI教育プログラム</t>
    <phoneticPr fontId="1"/>
  </si>
  <si>
    <t>学部・学科によって、修了要件は相違しない</t>
  </si>
  <si>
    <t>「データリテラシー」の1科目2単位を取得すること。</t>
    <phoneticPr fontId="1"/>
  </si>
  <si>
    <t>データリテラシー</t>
    <phoneticPr fontId="1"/>
  </si>
  <si>
    <t>○</t>
  </si>
  <si>
    <t>4-1統計および数理基礎</t>
  </si>
  <si>
    <t>4‐2アルゴリズム基礎</t>
  </si>
  <si>
    <t>4‐3データ構造とプログラミング基礎</t>
  </si>
  <si>
    <t>4‐4時系列データ解析</t>
  </si>
  <si>
    <t>4‐7データハンドリング</t>
  </si>
  <si>
    <t>4‐8データ活用実践（教師あり学習）</t>
  </si>
  <si>
    <t>4‐9データ活用実践（教師なし学習）</t>
  </si>
  <si>
    <t>データリテラシー</t>
    <phoneticPr fontId="1"/>
  </si>
  <si>
    <t>・第4次産業革命、Society5.0、データ駆動型社会「データリテラシー」（12回目）
・人間の知的活動とAIの関係性「データリテラシー」（12回目）
・データを起点としたものの見方「データリテラシー」（14回目）</t>
    <phoneticPr fontId="1"/>
  </si>
  <si>
    <t>・AI等を活用した新しいビジネスモデル「データリテラシー」（13回目）</t>
    <phoneticPr fontId="1"/>
  </si>
  <si>
    <t>・個人情報保護、忘れられる権利「データリテラシー」（3回目）
・データ倫理：データのねつ造、改ざん、盗用「データリテラシー」（4回目）
・AI社会原則「データリテラシー」（12回目）</t>
    <phoneticPr fontId="1"/>
  </si>
  <si>
    <t>・情報セキュリティ：機密性、完全性、可用性「データリテラシー」（4回目）
・匿名加工情報、悪意のある情報搾取「データリテラシー」（3回目）
・暗号化、パスワード「データリテラシー」（4回目）
・情報漏洩等によるセキュリティ事故の事例紹介「データリテラシー」（4回目）</t>
    <phoneticPr fontId="1"/>
  </si>
  <si>
    <t>・データの集計「データリテラシー」（5回目）
・データの並び替え、ランキング「データリテラシー」（5回目）
・データ解析ツール「データリテラシー」（5回目）
・表形式のデータ「データリテラシー」（5回目）</t>
    <phoneticPr fontId="1"/>
  </si>
  <si>
    <t>・データ表現(棒グラフ、折線グラフ)「データリテラシー」（5回目）
・データ表現(散布図)「データリテラシー」（6回目）
・データの図表表現「データリテラシー」（5回目）
・不適切なグラフ表現「データリテラシー」（7回目）
・優れた可視化事例の紹介「データリテラシー」（14回目）</t>
    <phoneticPr fontId="1"/>
  </si>
  <si>
    <t>・データの種類「データリテラシー」（5回目）
・データの分布(ヒストグラム)と代表値「データリテラシー」（5回目）
・データのばらつき「データリテラシー」（5回目）
・相関と因果「データリテラシー」（6回目）
・母集団と標本抽出（国勢調査）「データリテラシー」（5回目）
・クロス集計表、分割表、散布図行列「データリテラシー」（6回目）
・統計情報の正しい理解「データリテラシー」（7回目）</t>
    <phoneticPr fontId="1"/>
  </si>
  <si>
    <t>・今後のデジタル社会において、数理・データサイエンス・AIを日常の生活、仕事等の場で使いこなすことができる基礎的な能力を主体的に身に付ける。
・学修した数理・データサイエンス・AIに関する知識・技能をもとに、これらを扱う際には、人間中心の適切な判断ができ、不安なく自らの意志でAI等の恩恵を享受し、これらを説明し、活用できる能力を身に付ける。</t>
    <phoneticPr fontId="1"/>
  </si>
  <si>
    <t>・調査データ、実験データ、人の行動ログデータ「データリテラシー」（14回目）
・構造化データ、非構造化データ「データリテラシー」（9回目）
・データ作成「データリテラシー」（14回目）</t>
    <phoneticPr fontId="1"/>
  </si>
  <si>
    <t>・データ・AI活用領域の広がり「データリテラシー」（13回目）
・研究開発、販売、マーケティング、サービス「データリテラシー」（14回目）
・知識発見、原因究明、判断支援「データリテラシー」（14回目）</t>
    <phoneticPr fontId="1"/>
  </si>
  <si>
    <t>・データ解析：予測、グルーピング、パターン発見「データリテラシー」（14回目）
・データ可視化：複合グラフ、2軸グラフ「データリテラシー」（5回目）
・データ可視化：関係性の可視化、地図上の可視化、挙動･軌道の可視化、リアルタイム可視化「データリテラシー」（14回目）
・非構造化データ処理：言語処理、画像/動画処理「データリテラシー」（13回目）
・特化型AIと汎用型AI、今のAIで出来ることと出来ないこと「データリテラシー」（12回目）</t>
    <phoneticPr fontId="1"/>
  </si>
  <si>
    <t>・データサイエンスのライフサイクル「データリテラシー」（14回目）
・サービス、公共、ヘルスケアにおけるデータ・AI活用事例紹介「データリテラシー」（14回目）</t>
    <rPh sb="62" eb="64">
      <t>ショウカイ</t>
    </rPh>
    <phoneticPr fontId="1"/>
  </si>
  <si>
    <t>神学部</t>
    <rPh sb="0" eb="2">
      <t>シンガク</t>
    </rPh>
    <rPh sb="2" eb="3">
      <t>ブ</t>
    </rPh>
    <phoneticPr fontId="1"/>
  </si>
  <si>
    <t>外国語学部</t>
    <rPh sb="0" eb="3">
      <t>ガイコクゴ</t>
    </rPh>
    <rPh sb="3" eb="5">
      <t>ガクブ</t>
    </rPh>
    <phoneticPr fontId="1"/>
  </si>
  <si>
    <t>商学部</t>
    <rPh sb="0" eb="2">
      <t>ショウガク</t>
    </rPh>
    <rPh sb="2" eb="3">
      <t>ブ</t>
    </rPh>
    <phoneticPr fontId="1"/>
  </si>
  <si>
    <t>経済学部</t>
    <rPh sb="0" eb="2">
      <t>ケイザイ</t>
    </rPh>
    <rPh sb="2" eb="4">
      <t>ガクブ</t>
    </rPh>
    <phoneticPr fontId="1"/>
  </si>
  <si>
    <t>法学部</t>
    <rPh sb="0" eb="3">
      <t>ホウガクブ</t>
    </rPh>
    <phoneticPr fontId="1"/>
  </si>
  <si>
    <t>人間科学部</t>
    <rPh sb="0" eb="2">
      <t>ニンゲン</t>
    </rPh>
    <rPh sb="2" eb="4">
      <t>カガク</t>
    </rPh>
    <rPh sb="4" eb="5">
      <t>ブ</t>
    </rPh>
    <phoneticPr fontId="1"/>
  </si>
  <si>
    <t>国際文化学部</t>
    <rPh sb="0" eb="2">
      <t>コクサイ</t>
    </rPh>
    <rPh sb="2" eb="4">
      <t>ブンカ</t>
    </rPh>
    <rPh sb="4" eb="6">
      <t>ガクブ</t>
    </rPh>
    <phoneticPr fontId="1"/>
  </si>
  <si>
    <t>データサイエンス教育主任</t>
    <phoneticPr fontId="1"/>
  </si>
  <si>
    <t>井手　順子</t>
    <rPh sb="0" eb="2">
      <t>イデ</t>
    </rPh>
    <rPh sb="3" eb="5">
      <t>ジュンコ</t>
    </rPh>
    <phoneticPr fontId="1"/>
  </si>
  <si>
    <t>教育プログラムの各科目の履修状況については、本学の教務システムの情報を元に適切に把握できる仕組みを用意している。
また、履修した学生の受講状況(出席や授業参加の状況、小テストの成績や課題の進捗状況など）を学習管理システムのMoodleを通じて一元的に把握しており、学習が滞っている学生に対しては個別にアプローチするなど、きめ細かな学習支援が可能になっている。</t>
    <phoneticPr fontId="1"/>
  </si>
  <si>
    <t>教育プログラムの各科目で実施する｢授業アンケート｣の中で、受講した学生が感じている｢学修成果(知識やスキルがどの程度身に付いたか)｣を聞き取り、学生が苦手意識を持っている学修項目を明らかにした。これらの項目の学修成果が高まるように、来年度に向けて授業内容の改善を図っている。</t>
    <phoneticPr fontId="1"/>
  </si>
  <si>
    <t>文系の学生にデータサイエンスを学ぶ楽しさや意義を理解してもらうため、リテラシーレベルの授業では、初期段階で実社会における様々な分野の活用事例を紹介し、学習意欲を向上させる工夫をしている。また、課題の提示においても、多岐にわたる分野のテーマを用意し、学生の興味に合わせて選択できるようにしている。
応用基礎レベルの2科目では、スポーツや音楽、アニメなど多岐にわたる分野の実データを分析の題材として授業に取り入れ、学生がデータ分析を身近に感じて興味が持てるよう工夫している。また、社会的に注目の大きいChatGPTにも触れて有用性を実感させ、生成AIなど最先端の技術を学ぶことの意義について理解させている。</t>
    <phoneticPr fontId="1"/>
  </si>
  <si>
    <t>｢データリテラシー｣(オンデマンド授業)の動画教材は、高等学校｢社会と情報｣等の各種教科書を分析し、本学学生の予備知識の水準を考慮した内容としている。また、教材の視聴状況を分析し、多くの学生が途中離脱する動画については、より丁寧な解説を加え、質の向上を図っている。
応用基礎レベルの2科目(対面授業)では、プログラムコードや実行結果に詳細な説明を加えた単元別の教材を独自に作成し、学生に配布している。学生は事前事後学習として本教材を利用することで、より理解することができる。
また、授業アンケート結果をもとに、各科目の｢授業の分かりやすさ｣に関する意見を精査し、次年度開講に向けて必要な改善を行っている。</t>
    <phoneticPr fontId="1"/>
  </si>
  <si>
    <t>履修した学生の受講状況(出席や授業参加の状況、小テストの成績や課題の進捗状況など）を学習管理システムのMoodleを通じて一元的に把握し、学習が滞っている学生に対しては個別にアプローチするなど、きめ細かな学習支援を通じて単位取得に向けたサポートを行っている。</t>
    <phoneticPr fontId="1"/>
  </si>
  <si>
    <t>教育プログラムを構成する各科目において、毎回の授業後に小テストや課題を課しており、その成績を踏まえて学生の理解度を把握している。必要に応じて、次の授業の冒頭で理解を補うための説明を行うほか、以降の回の授業内容の改善も随時行っている。
また、授業アンケートの中で、授業内容について学生が感じた｢難易度｣を聞き取っている。令和5年度の調査では、いずれの科目も｢適切な水準だった｣｢やや難しかった｣の回答が多数を占めており、学生にとって授業の内容は易しいものではなかった。しかし、授業前後の自主学習も含めて真摯に学習に取り組むことで、最大の学習効果が期待できる水準になっている。</t>
    <rPh sb="159" eb="161">
      <t>レイワ</t>
    </rPh>
    <phoneticPr fontId="1"/>
  </si>
  <si>
    <t>授業アンケートの中で、受講した学生が感じている｢履修の推奨度(友人や後輩にも履修を勧めたいか)｣を聞き取っている。令和5年度の実績では、応用基礎レベルの2科目(いずれも選択科目)について、｢ぜひ履修を勧めたい｣｢履修を勧めてもよい｣とする意見が回答全体の78％に上るなど、翌年度以降の履修者の増加に繋がる結果が得られた。
今後は、推奨度が低かった学生のニーズについても詳しく把握し、授業改善を通じて推奨度のさらなる向上を図っていく。</t>
    <rPh sb="57" eb="59">
      <t>レイワ</t>
    </rPh>
    <phoneticPr fontId="1"/>
  </si>
  <si>
    <t>リテラシーレベルの｢データリテラシー｣(全学必修科目)は、この科目で学修した知識･スキルを他の専門科目等で活用していくための基礎科目であるため、1年次での履修を呼びかけている。令和5年度は1年次生全体の98.5％が前期に履修した。今後は、希望者の履修登録漏れを防ぐため、入学時説明会などの機会に一層の周知を図る。
応用基礎レベルの2科目(いずれも選択科目)は、毎年度400人の履修を計画している。令和5年度は教育プログラム対象の1年次生延べ179人が履修している。令和6年度以降、入学時の周知のみならず、「データリテラシー」において応用基礎レベルへ向けた展望について説明することで、対象学年の拡大に合わせた履修増加を見込む。</t>
    <rPh sb="88" eb="90">
      <t>レイワ</t>
    </rPh>
    <rPh sb="198" eb="200">
      <t>レイワ</t>
    </rPh>
    <rPh sb="232" eb="234">
      <t>レイワ</t>
    </rPh>
    <phoneticPr fontId="1"/>
  </si>
  <si>
    <t>令和5年度に開始した本教育プログラム修了者の多くは1年次生であるため、今後、修了者の卒業後の進路や活躍状況等を把握して評価するための仕組みを設ける必要がある。
卒業後の進路については、学生が提出する就職先情報をもとに把握するほか、企業での活躍状況については、卒業生の就職先を対象とした「進路先調査」の活用についても検討していく。</t>
    <rPh sb="0" eb="2">
      <t>レイワ</t>
    </rPh>
    <phoneticPr fontId="1"/>
  </si>
  <si>
    <t>｢九州DX推進コンソーシアム｣のメンバーであり、データ解析の知見を有する｢デロイトトーマツグループ｣と、｢西南学院大学とデロイトトーマツグループとのデータサイエンス教育に関する連携協定書｣を締結し、本学の教育プログラムの内容・手法等について定期的に議論を行っている。
令和5年度には同社による特別課外講座を学内で実施し、参加した学生からの質疑や活発な意見交換を行った。その内容を踏まえたうえで、令和6年度から開講する｢データサイエンス実践｣を含む各科目について、本学の学生に適した授業内容や水準について検討している。</t>
    <rPh sb="134" eb="136">
      <t>レイワ</t>
    </rPh>
    <rPh sb="197" eb="199">
      <t>レイワ</t>
    </rPh>
    <phoneticPr fontId="1"/>
  </si>
  <si>
    <t>令和5</t>
    <rPh sb="0" eb="2">
      <t>レイワ</t>
    </rPh>
    <phoneticPr fontId="1"/>
  </si>
  <si>
    <t xml:space="preserve">「データリテラシー」（全学必修科目）は、令和5年度以降に入学する全学生が受講する体制になっている。
応用基礎レベルの2科目(選択科目)では、計8クラス(1科目につき4クラス)を開講し、各学科において開講曜限が他の必修科目と重複しないように調整している。この時間割調整により、学部・学科に関係なく希望する1年次生は全員、各科目につき2クラスの中から都合の良い時限のクラスを選択して受講できるようにしている。
</t>
    <rPh sb="13" eb="15">
      <t>ヒッシュウ</t>
    </rPh>
    <rPh sb="15" eb="17">
      <t>カモク</t>
    </rPh>
    <rPh sb="40" eb="42">
      <t>タイセイ</t>
    </rPh>
    <rPh sb="137" eb="139">
      <t>ガクブ</t>
    </rPh>
    <rPh sb="140" eb="142">
      <t>ガッカ</t>
    </rPh>
    <rPh sb="143" eb="145">
      <t>カンケイ</t>
    </rPh>
    <rPh sb="147" eb="149">
      <t>キボウ</t>
    </rPh>
    <rPh sb="189" eb="191">
      <t>ジュコウ</t>
    </rPh>
    <phoneticPr fontId="1"/>
  </si>
  <si>
    <t xml:space="preserve">｢データリテラシー｣(全学必修科目)は、この科目で学修した知識･スキルを他の専門科目等で活用していくための基礎科目であるため、1年次での履修を呼びかけている。令和5年度は1年次生全体の98.5％が前期に履修した。今後は、希望者の履修登録漏れを防ぐため、入学時説明会などの機会に一層の周知を図る。
</t>
    <rPh sb="79" eb="81">
      <t>レイワ</t>
    </rPh>
    <phoneticPr fontId="1"/>
  </si>
  <si>
    <t>データサイエンス教育点検評価委員会</t>
    <phoneticPr fontId="1"/>
  </si>
  <si>
    <t>史　一華</t>
    <rPh sb="0" eb="1">
      <t>シ</t>
    </rPh>
    <rPh sb="2" eb="3">
      <t>イチ</t>
    </rPh>
    <rPh sb="3" eb="4">
      <t>ハナ</t>
    </rPh>
    <phoneticPr fontId="1"/>
  </si>
  <si>
    <t>情報処理センター所長</t>
    <rPh sb="0" eb="4">
      <t>ジョウホウショリ</t>
    </rPh>
    <rPh sb="8" eb="10">
      <t>ショチョウ</t>
    </rPh>
    <phoneticPr fontId="1"/>
  </si>
  <si>
    <t>データサイエンス教育運営委員会</t>
    <phoneticPr fontId="1"/>
  </si>
  <si>
    <t>データサイエンス教育運営委員会規程</t>
    <phoneticPr fontId="1"/>
  </si>
  <si>
    <t>教育プログラムを履修する約2,000人の学生に対して効率的かつ効果的な学習支援を行うため、授業の内容について学生からの質問が想定される約250問のQ&amp;A集を作成し、TAによる学習支援に活用している。このQ&amp;A集を学習データとして、生成AIのGPTを調整（Fine-tuning）した専用の｢LINE AIチャットボット｣を整備し、令和6年度から24時間体制での自動質問対応を開始した。これにより、学生はいつでも気軽にチャットボットに質問して授業内容に関する疑問を解決できるようになる。</t>
    <phoneticPr fontId="1"/>
  </si>
  <si>
    <t>情報処理センターにデータサイエンス教育運営員会を置き、次の委員をもって構成・運営にあたる。
(1) 情報処理センター所長　　商学部　教授　史　一華
(2) データサイエンス教育主任　　人間科学部　准教授　井手　順子
(3) 情報処理センター主任　　商学部　教授　丸山　正博
(4) 情報処理センター委員　7名(各学部から1名)
　　神学部　教授　須藤　伊知郎
　　外国語学部　教授　ティエリー　トリュベール
　　商学部　講師　橋本　翔
　　経済学部　准教授　市東　亘
　　法学部　准教授　横尾　亘
　　人間科学部　教授　田中　康雄
　　国際文化学部　准教授　押尾　高志
(5) 学術支援部情報システム課長　　田原　裕子</t>
    <rPh sb="27" eb="28">
      <t>ツギ</t>
    </rPh>
    <rPh sb="29" eb="31">
      <t>イイン</t>
    </rPh>
    <rPh sb="35" eb="37">
      <t>コウセイ</t>
    </rPh>
    <rPh sb="38" eb="40">
      <t>ウンエイ</t>
    </rPh>
    <rPh sb="62" eb="65">
      <t>ショウガクブ</t>
    </rPh>
    <rPh sb="66" eb="68">
      <t>キョウジュ</t>
    </rPh>
    <rPh sb="69" eb="70">
      <t>シ</t>
    </rPh>
    <rPh sb="71" eb="72">
      <t>イチ</t>
    </rPh>
    <rPh sb="72" eb="73">
      <t>ハナ</t>
    </rPh>
    <rPh sb="92" eb="97">
      <t>ニンゲンカガクブ</t>
    </rPh>
    <rPh sb="98" eb="101">
      <t>ジュンキョウジュ</t>
    </rPh>
    <rPh sb="124" eb="127">
      <t>ショウガクブ</t>
    </rPh>
    <rPh sb="128" eb="130">
      <t>キョウジュ</t>
    </rPh>
    <rPh sb="153" eb="154">
      <t>メイ</t>
    </rPh>
    <rPh sb="155" eb="156">
      <t>カク</t>
    </rPh>
    <rPh sb="156" eb="158">
      <t>ガクブ</t>
    </rPh>
    <rPh sb="161" eb="162">
      <t>メイ</t>
    </rPh>
    <rPh sb="166" eb="169">
      <t>シンガクブ</t>
    </rPh>
    <rPh sb="170" eb="172">
      <t>キョウジュ</t>
    </rPh>
    <rPh sb="182" eb="187">
      <t>ガイコクゴガクブ</t>
    </rPh>
    <rPh sb="188" eb="190">
      <t>キョウジュ</t>
    </rPh>
    <rPh sb="206" eb="209">
      <t>ショウガクブ</t>
    </rPh>
    <rPh sb="210" eb="212">
      <t>コウシ</t>
    </rPh>
    <rPh sb="220" eb="224">
      <t>ケイザイガクブ</t>
    </rPh>
    <rPh sb="225" eb="228">
      <t>ジュンキョウジュ</t>
    </rPh>
    <rPh sb="236" eb="239">
      <t>ホウガクブ</t>
    </rPh>
    <rPh sb="240" eb="243">
      <t>ジュンキョウジュ</t>
    </rPh>
    <rPh sb="251" eb="256">
      <t>ニンゲンカガクブ</t>
    </rPh>
    <rPh sb="257" eb="259">
      <t>キョウジュ</t>
    </rPh>
    <rPh sb="268" eb="274">
      <t>コクサイブンカガクブ</t>
    </rPh>
    <rPh sb="275" eb="278">
      <t>ジュンキョウジュ</t>
    </rPh>
    <rPh sb="289" eb="294">
      <t>ガクジュツシエンブ</t>
    </rPh>
    <phoneticPr fontId="1"/>
  </si>
  <si>
    <t>本学では、 地域社会や国際社会に貢献するために解決すべき課題に対して、キリスト教的人間観や世界観に立ちながら、数理・データサイエンス・AIの知識・技術を活用して解決策を探求することのできるデータリテラシー(データを読んで処理・分析し、議論する力)を持つ人物の育成を目標とし、2023年度からのデータサイエンス教育プログラムの開始にあたって、「データサイエンス教育運営委員会」を設置している。当該委員会では、データサイエンス教育のカリキュラムの編成や教材に関する事項、時間割の編成や担当教員の推薦に関する事項を全学的な視点から検討することを目的としている。</t>
    <phoneticPr fontId="1"/>
  </si>
  <si>
    <t>「データリテラシー」（全学必修科目）は、令和5年度以降に入学する全学生が受講する体制になっており、オンデマンド形式で実施する。令和8年度には収容定員に対する履修率100％を実現する計画である。
応用基礎レベルの2科目(いずれも選択科目)は対面形式の授業で、毎年度400人の履修を計画している。令和5年度は教育プログラム対象の1年次生延べ179人が履修した。令和6年度以降、入学時の周知のみならず、「データリテラシー」において応用基礎レベルへ向けた展望について説明することで、対象学年の拡大に合わせた履修増加を見込む。</t>
    <rPh sb="55" eb="57">
      <t>ケイシキ</t>
    </rPh>
    <rPh sb="58" eb="60">
      <t>ジッシ</t>
    </rPh>
    <rPh sb="119" eb="121">
      <t>タイメン</t>
    </rPh>
    <rPh sb="121" eb="123">
      <t>ケイシキ</t>
    </rPh>
    <rPh sb="124" eb="126">
      <t>ジュギョウ</t>
    </rPh>
    <rPh sb="146" eb="148">
      <t>レイワ</t>
    </rPh>
    <phoneticPr fontId="1"/>
  </si>
  <si>
    <t>オンデマンド授業の｢データリテラシー｣では、動画教材やe-Learning教材をいつでも視聴できる環境にしており、学生は理解が不足している箇所を繰り返し学習することができる。また、開講期間中の日中にTAがパソコン教室等に常駐し、学生の質問に対応する体制を整備している。
対面授業の応用基礎レベル2科目では、授業中にTAが教室内を巡回し、授業に関する質問への対応だけでなく、パソコン操作に関する些細な躓きをフォローしており、学生が授業に集中できる環境を整えている。
また、授業アンケートの結果をもとに、上記の取組に関する学生の意見を精査し、次年度の開講に向けて必要な改善を行っている。</t>
    <rPh sb="140" eb="142">
      <t>オウヨウ</t>
    </rPh>
    <rPh sb="142" eb="144">
      <t>キソ</t>
    </rPh>
    <phoneticPr fontId="1"/>
  </si>
  <si>
    <t>文学部（2020年度より募集停止）</t>
    <rPh sb="0" eb="3">
      <t>ブンガクブ</t>
    </rPh>
    <rPh sb="8" eb="10">
      <t>ネンド</t>
    </rPh>
    <rPh sb="12" eb="16">
      <t>ボシュウテイシ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</si>
</sst>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9"/>
      <color rgb="FFFF000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9" fontId="2" fillId="0" borderId="21"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lignment vertical="center"/>
    </xf>
    <xf numFmtId="0" fontId="2" fillId="0" borderId="20" xfId="0" applyFont="1" applyFill="1" applyBorder="1" applyAlignment="1">
      <alignment horizontal="lef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5" xfId="2" applyFont="1" applyFill="1" applyBorder="1" applyAlignment="1">
      <alignment vertical="center" shrinkToFit="1"/>
    </xf>
    <xf numFmtId="9" fontId="2" fillId="0" borderId="20" xfId="0" applyNumberFormat="1" applyFont="1" applyFill="1" applyBorder="1" applyAlignment="1">
      <alignment vertical="center" shrinkToFit="1"/>
    </xf>
    <xf numFmtId="0" fontId="13" fillId="0" borderId="1" xfId="0" applyFont="1" applyFill="1" applyBorder="1">
      <alignment vertical="center"/>
    </xf>
    <xf numFmtId="0" fontId="13" fillId="0" borderId="1" xfId="0" applyFont="1" applyFill="1" applyBorder="1" applyAlignment="1">
      <alignment horizontal="center" vertical="center"/>
    </xf>
    <xf numFmtId="0" fontId="2" fillId="0" borderId="0" xfId="0" applyFont="1" applyFill="1" applyAlignment="1">
      <alignment horizontal="center" vertical="center"/>
    </xf>
    <xf numFmtId="0" fontId="2" fillId="0" borderId="1" xfId="0" applyFont="1" applyFill="1" applyBorder="1" applyAlignment="1">
      <alignment horizontal="left" vertical="center"/>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2" fillId="0" borderId="1" xfId="0" applyFont="1" applyBorder="1" applyAlignment="1">
      <alignment horizontal="center" vertical="center"/>
    </xf>
    <xf numFmtId="0" fontId="17" fillId="0" borderId="1" xfId="0" applyFont="1" applyBorder="1" applyAlignment="1">
      <alignment horizontal="left" vertical="top" wrapText="1"/>
    </xf>
    <xf numFmtId="0" fontId="16" fillId="0" borderId="1" xfId="0" applyFont="1" applyBorder="1" applyAlignment="1">
      <alignment horizontal="left" vertical="top"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28"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29" xfId="0" applyFont="1" applyBorder="1" applyAlignment="1">
      <alignment horizontal="left" vertical="center"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6" xfId="0" applyFont="1" applyBorder="1" applyAlignment="1">
      <alignment vertical="center" wrapText="1"/>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17" xfId="0" applyFont="1" applyBorder="1" applyAlignment="1">
      <alignment horizontal="left" vertical="center" shrinkToFi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1" xfId="0" applyFont="1" applyBorder="1" applyAlignment="1">
      <alignment horizontal="left" vertical="center" shrinkToFit="1"/>
    </xf>
    <xf numFmtId="0" fontId="2" fillId="0" borderId="32" xfId="0" applyFont="1" applyBorder="1" applyAlignment="1">
      <alignment horizontal="left" vertical="center" shrinkToFit="1"/>
    </xf>
    <xf numFmtId="0" fontId="2" fillId="0" borderId="33"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1" xfId="0" applyNumberFormat="1" applyFont="1" applyBorder="1" applyAlignment="1">
      <alignment horizontal="left" vertical="top" wrapText="1"/>
    </xf>
    <xf numFmtId="49" fontId="3" fillId="0" borderId="32" xfId="0" applyNumberFormat="1" applyFont="1" applyBorder="1" applyAlignment="1">
      <alignment horizontal="left" vertical="top"/>
    </xf>
    <xf numFmtId="49" fontId="3" fillId="0" borderId="33" xfId="0" applyNumberFormat="1" applyFont="1" applyBorder="1" applyAlignment="1">
      <alignment horizontal="left" vertical="top"/>
    </xf>
    <xf numFmtId="49" fontId="3" fillId="0" borderId="28" xfId="0" applyNumberFormat="1" applyFont="1" applyBorder="1" applyAlignment="1">
      <alignment horizontal="left" vertical="top" wrapText="1"/>
    </xf>
    <xf numFmtId="49" fontId="3" fillId="0" borderId="30" xfId="0" applyNumberFormat="1" applyFont="1" applyBorder="1" applyAlignment="1">
      <alignment horizontal="left" vertical="top"/>
    </xf>
    <xf numFmtId="49" fontId="3" fillId="0" borderId="29" xfId="0" applyNumberFormat="1" applyFont="1" applyBorder="1" applyAlignment="1">
      <alignment horizontal="left" vertical="top"/>
    </xf>
    <xf numFmtId="49" fontId="3" fillId="0" borderId="18" xfId="0" applyNumberFormat="1" applyFont="1" applyBorder="1" applyAlignment="1">
      <alignment horizontal="left" vertical="top" wrapText="1"/>
    </xf>
    <xf numFmtId="49" fontId="3" fillId="0" borderId="19" xfId="0" applyNumberFormat="1" applyFont="1" applyBorder="1" applyAlignment="1">
      <alignment horizontal="left" vertical="top"/>
    </xf>
    <xf numFmtId="49" fontId="3" fillId="0" borderId="17" xfId="0" applyNumberFormat="1" applyFont="1" applyBorder="1" applyAlignment="1">
      <alignment horizontal="left" vertical="top"/>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31" xfId="0" applyNumberFormat="1" applyFont="1" applyBorder="1" applyAlignment="1">
      <alignment horizontal="left" vertical="top"/>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7" xfId="0" applyFont="1" applyFill="1" applyBorder="1" applyAlignment="1">
      <alignment horizontal="justify" vertical="top" wrapText="1" shrinkToFit="1"/>
    </xf>
    <xf numFmtId="0" fontId="2" fillId="0" borderId="8" xfId="0" applyFont="1" applyFill="1" applyBorder="1" applyAlignment="1">
      <alignment horizontal="justify" vertical="top" wrapText="1" shrinkToFit="1"/>
    </xf>
    <xf numFmtId="0" fontId="2" fillId="0" borderId="9" xfId="0" applyFont="1" applyFill="1" applyBorder="1" applyAlignment="1">
      <alignment horizontal="justify" vertical="top" shrinkToFit="1"/>
    </xf>
    <xf numFmtId="0" fontId="2" fillId="0" borderId="5" xfId="0" applyFont="1" applyFill="1" applyBorder="1" applyAlignment="1">
      <alignment horizontal="justify" vertical="top" wrapText="1" shrinkToFit="1"/>
    </xf>
    <xf numFmtId="0" fontId="2" fillId="0" borderId="0" xfId="0" applyFont="1" applyFill="1" applyAlignment="1">
      <alignment horizontal="justify" vertical="top" wrapText="1" shrinkToFit="1"/>
    </xf>
    <xf numFmtId="0" fontId="2" fillId="0" borderId="10" xfId="0" applyFont="1" applyFill="1" applyBorder="1" applyAlignment="1">
      <alignment horizontal="justify" vertical="top" shrinkToFit="1"/>
    </xf>
    <xf numFmtId="0" fontId="2" fillId="0" borderId="5" xfId="0" applyFont="1" applyFill="1" applyBorder="1" applyAlignment="1">
      <alignment horizontal="justify" vertical="top" shrinkToFit="1"/>
    </xf>
    <xf numFmtId="0" fontId="2" fillId="0" borderId="0" xfId="0" applyFont="1" applyFill="1" applyAlignment="1">
      <alignment horizontal="justify" vertical="top" shrinkToFit="1"/>
    </xf>
    <xf numFmtId="0" fontId="2" fillId="0" borderId="11" xfId="0" applyFont="1" applyFill="1" applyBorder="1" applyAlignment="1">
      <alignment horizontal="justify" vertical="top" shrinkToFit="1"/>
    </xf>
    <xf numFmtId="0" fontId="2" fillId="0" borderId="6" xfId="0" applyFont="1" applyFill="1" applyBorder="1" applyAlignment="1">
      <alignment horizontal="justify" vertical="top" shrinkToFit="1"/>
    </xf>
    <xf numFmtId="0" fontId="2" fillId="0" borderId="12" xfId="0" applyFont="1" applyFill="1" applyBorder="1" applyAlignment="1">
      <alignment horizontal="justify" vertical="top" shrinkToFit="1"/>
    </xf>
    <xf numFmtId="0" fontId="13" fillId="0" borderId="2" xfId="0" applyFont="1" applyFill="1" applyBorder="1" applyAlignment="1">
      <alignment horizontal="left" vertical="center"/>
    </xf>
    <xf numFmtId="0" fontId="12" fillId="0" borderId="3" xfId="0" applyFont="1" applyFill="1" applyBorder="1">
      <alignment vertical="center"/>
    </xf>
    <xf numFmtId="0" fontId="12" fillId="0" borderId="4" xfId="0" applyFont="1" applyFill="1" applyBorder="1">
      <alignment vertical="center"/>
    </xf>
    <xf numFmtId="0" fontId="2" fillId="0" borderId="2" xfId="0" applyFont="1" applyFill="1" applyBorder="1" applyAlignment="1">
      <alignment horizontal="lef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horizontal="justify" vertical="top" wrapText="1" shrinkToFit="1"/>
    </xf>
    <xf numFmtId="0" fontId="13" fillId="0" borderId="8" xfId="0" applyFont="1" applyBorder="1" applyAlignment="1">
      <alignment horizontal="justify" vertical="top" wrapText="1" shrinkToFit="1"/>
    </xf>
    <xf numFmtId="0" fontId="13" fillId="0" borderId="9" xfId="0" applyFont="1" applyBorder="1" applyAlignment="1">
      <alignment horizontal="justify" vertical="top" shrinkToFit="1"/>
    </xf>
    <xf numFmtId="0" fontId="13" fillId="0" borderId="5" xfId="0" applyFont="1" applyBorder="1" applyAlignment="1">
      <alignment horizontal="justify" vertical="top" shrinkToFit="1"/>
    </xf>
    <xf numFmtId="0" fontId="13" fillId="0" borderId="0" xfId="0" applyFont="1" applyAlignment="1">
      <alignment horizontal="justify" vertical="top" shrinkToFit="1"/>
    </xf>
    <xf numFmtId="0" fontId="13" fillId="0" borderId="10" xfId="0" applyFont="1" applyBorder="1" applyAlignment="1">
      <alignment horizontal="justify" vertical="top" shrinkToFit="1"/>
    </xf>
    <xf numFmtId="0" fontId="13" fillId="0" borderId="11" xfId="0" applyFont="1" applyBorder="1" applyAlignment="1">
      <alignment horizontal="justify" vertical="top" shrinkToFit="1"/>
    </xf>
    <xf numFmtId="0" fontId="13" fillId="0" borderId="6" xfId="0" applyFont="1" applyBorder="1" applyAlignment="1">
      <alignment horizontal="justify" vertical="top" shrinkToFit="1"/>
    </xf>
    <xf numFmtId="0" fontId="13" fillId="0" borderId="12" xfId="0" applyFont="1" applyBorder="1" applyAlignment="1">
      <alignment horizontal="justify" vertical="top" shrinkToFit="1"/>
    </xf>
    <xf numFmtId="0" fontId="2" fillId="0" borderId="0" xfId="0" applyFont="1">
      <alignment vertical="center"/>
    </xf>
    <xf numFmtId="0" fontId="2" fillId="0" borderId="7" xfId="0" applyFont="1" applyBorder="1" applyAlignment="1">
      <alignment horizontal="justify" vertical="top" wrapText="1" shrinkToFit="1"/>
    </xf>
    <xf numFmtId="0" fontId="2" fillId="0" borderId="8" xfId="0" applyFont="1" applyBorder="1" applyAlignment="1">
      <alignment horizontal="justify" vertical="top" wrapText="1" shrinkToFit="1"/>
    </xf>
    <xf numFmtId="0" fontId="2" fillId="0" borderId="9" xfId="0" applyFont="1" applyBorder="1" applyAlignment="1">
      <alignment horizontal="justify" vertical="top" shrinkToFit="1"/>
    </xf>
    <xf numFmtId="0" fontId="2" fillId="0" borderId="5" xfId="0" applyFont="1" applyBorder="1" applyAlignment="1">
      <alignment horizontal="justify" vertical="top" shrinkToFit="1"/>
    </xf>
    <xf numFmtId="0" fontId="2" fillId="0" borderId="0" xfId="0" applyFont="1" applyAlignment="1">
      <alignment horizontal="justify" vertical="top" shrinkToFit="1"/>
    </xf>
    <xf numFmtId="0" fontId="2" fillId="0" borderId="10" xfId="0" applyFont="1" applyBorder="1" applyAlignment="1">
      <alignment horizontal="justify" vertical="top" shrinkToFit="1"/>
    </xf>
    <xf numFmtId="0" fontId="2" fillId="0" borderId="11" xfId="0" applyFont="1" applyBorder="1" applyAlignment="1">
      <alignment horizontal="justify" vertical="top" shrinkToFit="1"/>
    </xf>
    <xf numFmtId="0" fontId="2" fillId="0" borderId="6" xfId="0" applyFont="1" applyBorder="1" applyAlignment="1">
      <alignment horizontal="justify" vertical="top" shrinkToFit="1"/>
    </xf>
    <xf numFmtId="0" fontId="2" fillId="0" borderId="12" xfId="0" applyFont="1" applyBorder="1" applyAlignment="1">
      <alignment horizontal="justify"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3" fillId="0" borderId="7" xfId="0" applyFont="1" applyBorder="1" applyAlignment="1">
      <alignment horizontal="justify" vertical="top" wrapText="1"/>
    </xf>
    <xf numFmtId="0" fontId="13" fillId="0" borderId="8" xfId="0" applyFont="1" applyBorder="1" applyAlignment="1">
      <alignment horizontal="justify" vertical="top" wrapText="1"/>
    </xf>
    <xf numFmtId="0" fontId="13" fillId="0" borderId="9" xfId="0" applyFont="1" applyBorder="1" applyAlignment="1">
      <alignment horizontal="justify" vertical="top" wrapText="1"/>
    </xf>
    <xf numFmtId="0" fontId="13" fillId="0" borderId="5" xfId="0" applyFont="1" applyBorder="1" applyAlignment="1">
      <alignment horizontal="justify" vertical="top" wrapText="1"/>
    </xf>
    <xf numFmtId="0" fontId="13" fillId="0" borderId="0" xfId="0" applyFont="1" applyAlignment="1">
      <alignment horizontal="justify" vertical="top" wrapText="1"/>
    </xf>
    <xf numFmtId="0" fontId="13" fillId="0" borderId="10" xfId="0" applyFont="1" applyBorder="1" applyAlignment="1">
      <alignment horizontal="justify" vertical="top" wrapText="1"/>
    </xf>
    <xf numFmtId="0" fontId="13" fillId="0" borderId="11" xfId="0" applyFont="1" applyBorder="1" applyAlignment="1">
      <alignment horizontal="justify" vertical="top" wrapText="1"/>
    </xf>
    <xf numFmtId="0" fontId="13" fillId="0" borderId="6" xfId="0" applyFont="1" applyBorder="1" applyAlignment="1">
      <alignment horizontal="justify" vertical="top" wrapText="1"/>
    </xf>
    <xf numFmtId="0" fontId="13" fillId="0" borderId="12" xfId="0" applyFont="1" applyBorder="1" applyAlignment="1">
      <alignment horizontal="justify" vertical="top" wrapText="1"/>
    </xf>
    <xf numFmtId="0" fontId="13" fillId="0" borderId="9" xfId="0" applyFont="1" applyBorder="1" applyAlignment="1">
      <alignment horizontal="justify" vertical="top"/>
    </xf>
    <xf numFmtId="0" fontId="13" fillId="0" borderId="5" xfId="0" applyFont="1" applyBorder="1" applyAlignment="1">
      <alignment horizontal="justify" vertical="top"/>
    </xf>
    <xf numFmtId="0" fontId="13" fillId="0" borderId="0" xfId="0" applyFont="1" applyAlignment="1">
      <alignment horizontal="justify" vertical="top"/>
    </xf>
    <xf numFmtId="0" fontId="13" fillId="0" borderId="10" xfId="0" applyFont="1" applyBorder="1" applyAlignment="1">
      <alignment horizontal="justify" vertical="top"/>
    </xf>
    <xf numFmtId="0" fontId="13" fillId="0" borderId="11" xfId="0" applyFont="1" applyBorder="1" applyAlignment="1">
      <alignment horizontal="justify" vertical="top"/>
    </xf>
    <xf numFmtId="0" fontId="13" fillId="0" borderId="6" xfId="0" applyFont="1" applyBorder="1" applyAlignment="1">
      <alignment horizontal="justify" vertical="top"/>
    </xf>
    <xf numFmtId="0" fontId="13" fillId="0" borderId="12" xfId="0" applyFont="1" applyBorder="1" applyAlignment="1">
      <alignment horizontal="justify" vertical="top"/>
    </xf>
    <xf numFmtId="9" fontId="2" fillId="0" borderId="1" xfId="0" applyNumberFormat="1" applyFont="1" applyBorder="1" applyAlignment="1">
      <alignment horizontal="center" vertical="center"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horizontal="justify" vertical="top" wrapText="1" shrinkToFit="1"/>
    </xf>
    <xf numFmtId="0" fontId="2" fillId="0" borderId="19" xfId="0" applyFont="1" applyBorder="1" applyAlignment="1">
      <alignment horizontal="justify" vertical="top" wrapText="1" shrinkToFit="1"/>
    </xf>
    <xf numFmtId="0" fontId="2" fillId="0" borderId="17" xfId="0" applyFont="1" applyBorder="1" applyAlignment="1">
      <alignment horizontal="justify"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3" fillId="0" borderId="3" xfId="0" applyFont="1" applyFill="1" applyBorder="1" applyAlignment="1">
      <alignment horizontal="left" vertical="center"/>
    </xf>
    <xf numFmtId="0" fontId="13" fillId="0" borderId="4" xfId="0" applyFont="1" applyFill="1" applyBorder="1" applyAlignment="1">
      <alignment horizontal="left" vertical="center"/>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horizontal="justify" vertical="top" wrapText="1" shrinkToFit="1"/>
    </xf>
    <xf numFmtId="0" fontId="2" fillId="0" borderId="32" xfId="0" applyFont="1" applyBorder="1" applyAlignment="1">
      <alignment horizontal="justify" vertical="top" wrapText="1" shrinkToFit="1"/>
    </xf>
    <xf numFmtId="0" fontId="2" fillId="0" borderId="33" xfId="0" applyFont="1" applyBorder="1" applyAlignment="1">
      <alignment horizontal="justify"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horizontal="justify" vertical="top" wrapText="1" shrinkToFit="1"/>
    </xf>
    <xf numFmtId="0" fontId="2" fillId="0" borderId="12" xfId="0" applyFont="1" applyBorder="1" applyAlignment="1">
      <alignment horizontal="justify"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horizontal="justify" vertical="top" wrapText="1" shrinkToFit="1"/>
    </xf>
    <xf numFmtId="0" fontId="2" fillId="0" borderId="37" xfId="0" applyFont="1" applyBorder="1" applyAlignment="1">
      <alignment horizontal="justify"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著者" id="{1174A2F2-00A2-4A34-A7E8-8478726C6538}" userId="著者" providerId="Non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7" dT="2024-03-05T06:29:11.70" personId="{1174A2F2-00A2-4A34-A7E8-8478726C6538}" id="{257A023E-EDB8-4CCC-8E65-3770BF985C06}">
    <text>文学部の学生も足すと8185人になるはずだが、下の表と合わなくなるので注意。</text>
  </threadedComment>
  <threadedComment ref="B14" dT="2024-03-05T06:39:48.57" personId="{1174A2F2-00A2-4A34-A7E8-8478726C6538}" id="{84C7AD58-0784-4303-8037-B89E25F62065}">
    <text>文学部（定員0、学生数75）も入れた方がよいか？要確認</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O3" sqref="O3"/>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151" t="s">
        <v>12</v>
      </c>
      <c r="U1" s="151"/>
      <c r="V1" s="2" t="s">
        <v>100</v>
      </c>
    </row>
    <row r="2" spans="1:24" ht="18.75" customHeight="1" x14ac:dyDescent="0.15">
      <c r="A2" s="71"/>
      <c r="B2" s="73" t="s">
        <v>99</v>
      </c>
      <c r="C2" s="152" t="s">
        <v>136</v>
      </c>
      <c r="D2" s="153"/>
      <c r="E2" s="153"/>
      <c r="F2" s="153"/>
      <c r="G2" s="153"/>
      <c r="H2" s="153"/>
      <c r="I2" s="153"/>
      <c r="J2" s="154"/>
      <c r="K2" s="72"/>
      <c r="L2" s="74"/>
      <c r="M2" s="74"/>
      <c r="N2" s="74"/>
      <c r="O2" s="74"/>
      <c r="P2" s="74"/>
      <c r="Q2" s="74"/>
      <c r="R2" s="74"/>
      <c r="S2" s="74"/>
      <c r="T2" s="74"/>
      <c r="U2" s="74"/>
    </row>
    <row r="3" spans="1:24" ht="18.75" customHeight="1" x14ac:dyDescent="0.15">
      <c r="A3" s="71"/>
      <c r="B3" s="73" t="s">
        <v>94</v>
      </c>
      <c r="C3" s="152" t="s">
        <v>137</v>
      </c>
      <c r="D3" s="153"/>
      <c r="E3" s="153"/>
      <c r="F3" s="153"/>
      <c r="G3" s="153"/>
      <c r="H3" s="153"/>
      <c r="I3" s="153"/>
      <c r="J3" s="154"/>
      <c r="K3" s="72"/>
      <c r="L3" s="74"/>
      <c r="M3" s="74"/>
      <c r="N3" s="74"/>
      <c r="O3" s="74"/>
      <c r="P3" s="74"/>
      <c r="Q3" s="74"/>
      <c r="R3" s="74"/>
      <c r="S3" s="74"/>
      <c r="T3" s="74"/>
      <c r="U3" s="74"/>
    </row>
    <row r="4" spans="1:24" ht="15" customHeight="1" x14ac:dyDescent="0.15">
      <c r="A4" s="71"/>
      <c r="B4" s="71"/>
      <c r="C4" s="71"/>
      <c r="D4" s="71"/>
      <c r="E4" s="71"/>
      <c r="F4" s="71"/>
      <c r="G4" s="71"/>
      <c r="H4" s="71"/>
      <c r="I4" s="71"/>
      <c r="J4" s="71"/>
      <c r="K4" s="71"/>
      <c r="L4" s="72"/>
      <c r="M4" s="75"/>
      <c r="N4" s="75"/>
      <c r="O4" s="75"/>
      <c r="P4" s="75"/>
      <c r="Q4" s="75"/>
      <c r="R4" s="75"/>
      <c r="S4" s="75"/>
      <c r="T4" s="75"/>
      <c r="U4" s="75"/>
    </row>
    <row r="5" spans="1:24" ht="18" customHeight="1" x14ac:dyDescent="0.15">
      <c r="A5" s="129" t="s">
        <v>38</v>
      </c>
      <c r="B5" s="129"/>
      <c r="C5" s="129"/>
      <c r="D5" s="129"/>
      <c r="E5" s="129"/>
      <c r="F5" s="129"/>
      <c r="G5" s="129"/>
      <c r="H5" s="129"/>
      <c r="I5" s="129"/>
      <c r="J5" s="129"/>
      <c r="K5" s="129"/>
      <c r="L5" s="129"/>
      <c r="M5" s="129"/>
      <c r="N5" s="129"/>
      <c r="O5" s="129"/>
      <c r="P5" s="129"/>
      <c r="Q5" s="129"/>
      <c r="R5" s="129"/>
      <c r="S5" s="129"/>
      <c r="T5" s="129"/>
      <c r="U5" s="129"/>
    </row>
    <row r="6" spans="1:24" ht="15" customHeight="1" x14ac:dyDescent="0.15">
      <c r="A6" s="71"/>
      <c r="B6" s="76"/>
      <c r="C6" s="76"/>
      <c r="D6" s="76"/>
      <c r="E6" s="76"/>
      <c r="F6" s="76"/>
      <c r="G6" s="76"/>
      <c r="H6" s="76"/>
      <c r="I6" s="76"/>
      <c r="J6" s="76"/>
      <c r="K6" s="76"/>
      <c r="L6" s="76"/>
      <c r="M6" s="76"/>
      <c r="N6" s="76"/>
      <c r="O6" s="76"/>
      <c r="P6" s="76"/>
      <c r="Q6" s="76"/>
      <c r="R6" s="76"/>
      <c r="S6" s="76"/>
      <c r="T6" s="76"/>
      <c r="U6" s="76"/>
    </row>
    <row r="7" spans="1:24" ht="15" customHeight="1" x14ac:dyDescent="0.15">
      <c r="A7" s="71" t="s">
        <v>131</v>
      </c>
      <c r="B7" s="76"/>
      <c r="C7" s="76"/>
      <c r="D7" s="76"/>
      <c r="E7" s="76"/>
      <c r="F7" s="70"/>
      <c r="G7" s="70"/>
      <c r="H7" s="70"/>
      <c r="I7" s="70"/>
      <c r="J7" s="70"/>
      <c r="K7" s="70"/>
      <c r="L7" s="168" t="s">
        <v>138</v>
      </c>
      <c r="M7" s="169"/>
      <c r="N7" s="169"/>
      <c r="O7" s="169"/>
      <c r="P7" s="169"/>
      <c r="Q7" s="169"/>
      <c r="R7" s="169"/>
      <c r="S7" s="169"/>
      <c r="T7" s="169"/>
      <c r="U7" s="170"/>
    </row>
    <row r="8" spans="1:24" ht="6" customHeight="1" x14ac:dyDescent="0.15">
      <c r="A8" s="71"/>
      <c r="B8" s="76"/>
      <c r="C8" s="76"/>
      <c r="D8" s="76"/>
      <c r="E8" s="76"/>
      <c r="F8" s="76"/>
      <c r="G8" s="76"/>
      <c r="H8" s="76"/>
      <c r="I8" s="76"/>
      <c r="J8" s="76"/>
      <c r="K8" s="76"/>
      <c r="L8" s="76"/>
      <c r="M8" s="76"/>
      <c r="N8" s="76"/>
      <c r="O8" s="76"/>
      <c r="P8" s="76"/>
      <c r="Q8" s="76"/>
      <c r="R8" s="76"/>
      <c r="S8" s="76"/>
      <c r="T8" s="76"/>
      <c r="U8" s="76"/>
    </row>
    <row r="9" spans="1:24" ht="18" customHeight="1" x14ac:dyDescent="0.15">
      <c r="A9" s="71" t="s">
        <v>132</v>
      </c>
      <c r="B9" s="71"/>
      <c r="C9" s="76"/>
      <c r="D9" s="76"/>
      <c r="E9" s="71"/>
      <c r="F9" s="71"/>
      <c r="G9" s="71"/>
      <c r="H9" s="71"/>
      <c r="I9" s="71"/>
      <c r="J9" s="71"/>
      <c r="K9" s="72"/>
      <c r="L9" s="70"/>
      <c r="M9" s="70"/>
      <c r="N9" s="70"/>
      <c r="O9" s="70"/>
      <c r="P9" s="70"/>
      <c r="Q9" s="70"/>
      <c r="R9" s="70"/>
      <c r="S9" s="70"/>
      <c r="T9" s="70"/>
      <c r="U9" s="70"/>
    </row>
    <row r="10" spans="1:24" ht="6" customHeight="1" x14ac:dyDescent="0.15">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15">
      <c r="A11" s="71"/>
      <c r="B11" s="172"/>
      <c r="C11" s="173"/>
      <c r="D11" s="173"/>
      <c r="E11" s="173"/>
      <c r="F11" s="173"/>
      <c r="G11" s="173"/>
      <c r="H11" s="173"/>
      <c r="I11" s="173"/>
      <c r="J11" s="173"/>
      <c r="K11" s="173"/>
      <c r="L11" s="173"/>
      <c r="M11" s="173"/>
      <c r="N11" s="173"/>
      <c r="O11" s="173"/>
      <c r="P11" s="173"/>
      <c r="Q11" s="173"/>
      <c r="R11" s="173"/>
      <c r="S11" s="173"/>
      <c r="T11" s="173"/>
      <c r="U11" s="174"/>
    </row>
    <row r="12" spans="1:24" ht="18" customHeight="1" x14ac:dyDescent="0.15">
      <c r="A12" s="71"/>
      <c r="B12" s="175"/>
      <c r="C12" s="176"/>
      <c r="D12" s="176"/>
      <c r="E12" s="176"/>
      <c r="F12" s="176"/>
      <c r="G12" s="176"/>
      <c r="H12" s="176"/>
      <c r="I12" s="176"/>
      <c r="J12" s="176"/>
      <c r="K12" s="176"/>
      <c r="L12" s="176"/>
      <c r="M12" s="176"/>
      <c r="N12" s="176"/>
      <c r="O12" s="176"/>
      <c r="P12" s="176"/>
      <c r="Q12" s="176"/>
      <c r="R12" s="176"/>
      <c r="S12" s="176"/>
      <c r="T12" s="176"/>
      <c r="U12" s="177"/>
    </row>
    <row r="13" spans="1:24" ht="6" customHeight="1" x14ac:dyDescent="0.15">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15">
      <c r="A14" s="71" t="s">
        <v>101</v>
      </c>
      <c r="B14" s="76"/>
      <c r="C14" s="76"/>
      <c r="D14" s="76"/>
      <c r="E14" s="72"/>
      <c r="F14" s="72"/>
      <c r="G14" s="72"/>
      <c r="H14" s="72"/>
      <c r="I14" s="72"/>
      <c r="J14" s="72"/>
      <c r="K14" s="72"/>
      <c r="L14" s="78"/>
      <c r="M14" s="78"/>
      <c r="N14" s="78"/>
      <c r="O14" s="78"/>
      <c r="P14" s="78"/>
      <c r="Q14" s="78"/>
      <c r="R14" s="78"/>
      <c r="S14" s="78"/>
      <c r="T14" s="78"/>
      <c r="U14" s="78"/>
    </row>
    <row r="15" spans="1:24" ht="18" customHeight="1" x14ac:dyDescent="0.15">
      <c r="A15" s="71"/>
      <c r="B15" s="130" t="s">
        <v>139</v>
      </c>
      <c r="C15" s="131"/>
      <c r="D15" s="131"/>
      <c r="E15" s="131"/>
      <c r="F15" s="131"/>
      <c r="G15" s="131"/>
      <c r="H15" s="131"/>
      <c r="I15" s="131"/>
      <c r="J15" s="131"/>
      <c r="K15" s="131"/>
      <c r="L15" s="131"/>
      <c r="M15" s="131"/>
      <c r="N15" s="131"/>
      <c r="O15" s="131"/>
      <c r="P15" s="131"/>
      <c r="Q15" s="131"/>
      <c r="R15" s="131"/>
      <c r="S15" s="131"/>
      <c r="T15" s="131"/>
      <c r="U15" s="132"/>
      <c r="X15" s="1" t="s">
        <v>95</v>
      </c>
    </row>
    <row r="16" spans="1:24" ht="18" customHeight="1" x14ac:dyDescent="0.15">
      <c r="A16" s="71"/>
      <c r="B16" s="133"/>
      <c r="C16" s="134"/>
      <c r="D16" s="134"/>
      <c r="E16" s="134"/>
      <c r="F16" s="134"/>
      <c r="G16" s="134"/>
      <c r="H16" s="134"/>
      <c r="I16" s="134"/>
      <c r="J16" s="134"/>
      <c r="K16" s="134"/>
      <c r="L16" s="134"/>
      <c r="M16" s="134"/>
      <c r="N16" s="134"/>
      <c r="O16" s="134"/>
      <c r="P16" s="134"/>
      <c r="Q16" s="134"/>
      <c r="R16" s="134"/>
      <c r="S16" s="134"/>
      <c r="T16" s="134"/>
      <c r="U16" s="135"/>
      <c r="X16" s="1" t="s">
        <v>115</v>
      </c>
    </row>
    <row r="17" spans="1:24" ht="18" customHeight="1" x14ac:dyDescent="0.15">
      <c r="A17" s="71"/>
      <c r="B17" s="133"/>
      <c r="C17" s="134"/>
      <c r="D17" s="134"/>
      <c r="E17" s="134"/>
      <c r="F17" s="134"/>
      <c r="G17" s="134"/>
      <c r="H17" s="134"/>
      <c r="I17" s="134"/>
      <c r="J17" s="134"/>
      <c r="K17" s="134"/>
      <c r="L17" s="134"/>
      <c r="M17" s="134"/>
      <c r="N17" s="134"/>
      <c r="O17" s="134"/>
      <c r="P17" s="134"/>
      <c r="Q17" s="134"/>
      <c r="R17" s="134"/>
      <c r="S17" s="134"/>
      <c r="T17" s="134"/>
      <c r="U17" s="135"/>
      <c r="X17" s="1" t="s">
        <v>116</v>
      </c>
    </row>
    <row r="18" spans="1:24" ht="18" customHeight="1" x14ac:dyDescent="0.15">
      <c r="A18" s="71"/>
      <c r="B18" s="133"/>
      <c r="C18" s="134"/>
      <c r="D18" s="134"/>
      <c r="E18" s="134"/>
      <c r="F18" s="134"/>
      <c r="G18" s="134"/>
      <c r="H18" s="134"/>
      <c r="I18" s="134"/>
      <c r="J18" s="134"/>
      <c r="K18" s="134"/>
      <c r="L18" s="134"/>
      <c r="M18" s="134"/>
      <c r="N18" s="134"/>
      <c r="O18" s="134"/>
      <c r="P18" s="134"/>
      <c r="Q18" s="134"/>
      <c r="R18" s="134"/>
      <c r="S18" s="134"/>
      <c r="T18" s="134"/>
      <c r="U18" s="135"/>
      <c r="X18" s="1" t="s">
        <v>117</v>
      </c>
    </row>
    <row r="19" spans="1:24" ht="18" customHeight="1" x14ac:dyDescent="0.15">
      <c r="A19" s="71"/>
      <c r="B19" s="133"/>
      <c r="C19" s="134"/>
      <c r="D19" s="134"/>
      <c r="E19" s="134"/>
      <c r="F19" s="134"/>
      <c r="G19" s="134"/>
      <c r="H19" s="134"/>
      <c r="I19" s="134"/>
      <c r="J19" s="134"/>
      <c r="K19" s="134"/>
      <c r="L19" s="134"/>
      <c r="M19" s="134"/>
      <c r="N19" s="134"/>
      <c r="O19" s="134"/>
      <c r="P19" s="134"/>
      <c r="Q19" s="134"/>
      <c r="R19" s="134"/>
      <c r="S19" s="134"/>
      <c r="T19" s="134"/>
      <c r="U19" s="135"/>
    </row>
    <row r="20" spans="1:24" ht="18" customHeight="1" x14ac:dyDescent="0.15">
      <c r="A20" s="71"/>
      <c r="B20" s="136"/>
      <c r="C20" s="137"/>
      <c r="D20" s="137"/>
      <c r="E20" s="137"/>
      <c r="F20" s="137"/>
      <c r="G20" s="137"/>
      <c r="H20" s="137"/>
      <c r="I20" s="137"/>
      <c r="J20" s="137"/>
      <c r="K20" s="137"/>
      <c r="L20" s="137"/>
      <c r="M20" s="137"/>
      <c r="N20" s="137"/>
      <c r="O20" s="137"/>
      <c r="P20" s="137"/>
      <c r="Q20" s="137"/>
      <c r="R20" s="137"/>
      <c r="S20" s="137"/>
      <c r="T20" s="137"/>
      <c r="U20" s="138"/>
    </row>
    <row r="21" spans="1:24" ht="7.5" customHeight="1" x14ac:dyDescent="0.15">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x14ac:dyDescent="0.15">
      <c r="A22" s="71"/>
      <c r="B22" s="71" t="s">
        <v>133</v>
      </c>
      <c r="C22" s="71"/>
      <c r="D22" s="71"/>
      <c r="E22" s="73">
        <v>1</v>
      </c>
      <c r="F22" s="71" t="s">
        <v>113</v>
      </c>
      <c r="G22" s="71"/>
      <c r="H22" s="73">
        <v>2</v>
      </c>
      <c r="I22" s="76" t="s">
        <v>114</v>
      </c>
      <c r="J22" s="76"/>
      <c r="K22" s="72"/>
      <c r="L22" s="71"/>
      <c r="M22" s="72" t="s">
        <v>110</v>
      </c>
      <c r="N22" s="165" t="s">
        <v>115</v>
      </c>
      <c r="O22" s="166"/>
      <c r="P22" s="166"/>
      <c r="Q22" s="166"/>
      <c r="R22" s="166"/>
      <c r="S22" s="166"/>
      <c r="T22" s="166"/>
      <c r="U22" s="167"/>
    </row>
    <row r="23" spans="1:24" ht="7.5" customHeight="1" x14ac:dyDescent="0.15">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15">
      <c r="A24" s="139" t="s">
        <v>102</v>
      </c>
      <c r="B24" s="139"/>
      <c r="C24" s="139"/>
      <c r="D24" s="139"/>
      <c r="E24" s="139"/>
      <c r="F24" s="139"/>
      <c r="G24" s="139"/>
      <c r="H24" s="139"/>
      <c r="I24" s="139"/>
      <c r="J24" s="139"/>
      <c r="K24" s="139"/>
      <c r="L24" s="139"/>
      <c r="M24" s="139"/>
      <c r="N24" s="139"/>
      <c r="O24" s="139"/>
      <c r="P24" s="139"/>
      <c r="Q24" s="139"/>
      <c r="R24" s="139"/>
      <c r="S24" s="139"/>
      <c r="T24" s="139"/>
      <c r="U24" s="139"/>
    </row>
    <row r="25" spans="1:24" ht="18" customHeight="1" x14ac:dyDescent="0.15">
      <c r="A25" s="139"/>
      <c r="B25" s="139"/>
      <c r="C25" s="139"/>
      <c r="D25" s="139"/>
      <c r="E25" s="139"/>
      <c r="F25" s="139"/>
      <c r="G25" s="139"/>
      <c r="H25" s="139"/>
      <c r="I25" s="139"/>
      <c r="J25" s="139"/>
      <c r="K25" s="139"/>
      <c r="L25" s="139"/>
      <c r="M25" s="139"/>
      <c r="N25" s="139"/>
      <c r="O25" s="139"/>
      <c r="P25" s="139"/>
      <c r="Q25" s="139"/>
      <c r="R25" s="139"/>
      <c r="S25" s="139"/>
      <c r="T25" s="139"/>
      <c r="U25" s="139"/>
    </row>
    <row r="26" spans="1:24" ht="18" customHeight="1" x14ac:dyDescent="0.15">
      <c r="B26" s="98" t="s">
        <v>52</v>
      </c>
      <c r="C26" s="99"/>
      <c r="D26" s="99"/>
      <c r="E26" s="99"/>
      <c r="F26" s="100"/>
      <c r="G26" s="47" t="s">
        <v>78</v>
      </c>
      <c r="H26" s="46" t="s">
        <v>81</v>
      </c>
      <c r="I26" s="14" t="s">
        <v>55</v>
      </c>
      <c r="J26" s="14" t="s">
        <v>58</v>
      </c>
      <c r="K26" s="98" t="s">
        <v>52</v>
      </c>
      <c r="L26" s="99"/>
      <c r="M26" s="99"/>
      <c r="N26" s="99"/>
      <c r="O26" s="99"/>
      <c r="P26" s="99"/>
      <c r="Q26" s="100"/>
      <c r="R26" s="47" t="s">
        <v>78</v>
      </c>
      <c r="S26" s="46" t="s">
        <v>81</v>
      </c>
      <c r="T26" s="14" t="s">
        <v>55</v>
      </c>
      <c r="U26" s="14" t="s">
        <v>58</v>
      </c>
    </row>
    <row r="27" spans="1:24" ht="18" customHeight="1" x14ac:dyDescent="0.15">
      <c r="B27" s="110" t="s">
        <v>140</v>
      </c>
      <c r="C27" s="111"/>
      <c r="D27" s="111"/>
      <c r="E27" s="111"/>
      <c r="F27" s="112"/>
      <c r="G27" s="15">
        <v>2</v>
      </c>
      <c r="H27" s="15" t="s">
        <v>141</v>
      </c>
      <c r="I27" s="15" t="s">
        <v>141</v>
      </c>
      <c r="J27" s="15" t="s">
        <v>141</v>
      </c>
      <c r="K27" s="110"/>
      <c r="L27" s="111"/>
      <c r="M27" s="111"/>
      <c r="N27" s="111"/>
      <c r="O27" s="111"/>
      <c r="P27" s="111"/>
      <c r="Q27" s="112"/>
      <c r="R27" s="15"/>
      <c r="S27" s="15"/>
      <c r="T27" s="15"/>
      <c r="U27" s="15"/>
    </row>
    <row r="28" spans="1:24" ht="18" customHeight="1" x14ac:dyDescent="0.15">
      <c r="B28" s="101"/>
      <c r="C28" s="102"/>
      <c r="D28" s="102"/>
      <c r="E28" s="102"/>
      <c r="F28" s="103"/>
      <c r="G28" s="16"/>
      <c r="H28" s="16"/>
      <c r="I28" s="16"/>
      <c r="J28" s="16"/>
      <c r="K28" s="101"/>
      <c r="L28" s="102"/>
      <c r="M28" s="102"/>
      <c r="N28" s="102"/>
      <c r="O28" s="102"/>
      <c r="P28" s="102"/>
      <c r="Q28" s="103"/>
      <c r="R28" s="16"/>
      <c r="S28" s="16"/>
      <c r="T28" s="16"/>
      <c r="U28" s="16"/>
    </row>
    <row r="29" spans="1:24" ht="18" customHeight="1" x14ac:dyDescent="0.15">
      <c r="B29" s="101"/>
      <c r="C29" s="102"/>
      <c r="D29" s="102"/>
      <c r="E29" s="102"/>
      <c r="F29" s="103"/>
      <c r="G29" s="16"/>
      <c r="H29" s="16"/>
      <c r="I29" s="16"/>
      <c r="J29" s="16"/>
      <c r="K29" s="101"/>
      <c r="L29" s="102"/>
      <c r="M29" s="102"/>
      <c r="N29" s="102"/>
      <c r="O29" s="102"/>
      <c r="P29" s="102"/>
      <c r="Q29" s="103"/>
      <c r="R29" s="16"/>
      <c r="S29" s="16"/>
      <c r="T29" s="16"/>
      <c r="U29" s="16"/>
    </row>
    <row r="30" spans="1:24" ht="18" customHeight="1" x14ac:dyDescent="0.15">
      <c r="B30" s="101"/>
      <c r="C30" s="102"/>
      <c r="D30" s="102"/>
      <c r="E30" s="102"/>
      <c r="F30" s="103"/>
      <c r="G30" s="16"/>
      <c r="H30" s="16"/>
      <c r="I30" s="16"/>
      <c r="J30" s="16"/>
      <c r="K30" s="101"/>
      <c r="L30" s="102"/>
      <c r="M30" s="102"/>
      <c r="N30" s="102"/>
      <c r="O30" s="102"/>
      <c r="P30" s="102"/>
      <c r="Q30" s="103"/>
      <c r="R30" s="16"/>
      <c r="S30" s="16"/>
      <c r="T30" s="16"/>
      <c r="U30" s="16"/>
    </row>
    <row r="31" spans="1:24" ht="18" customHeight="1" x14ac:dyDescent="0.15">
      <c r="B31" s="101"/>
      <c r="C31" s="102"/>
      <c r="D31" s="102"/>
      <c r="E31" s="102"/>
      <c r="F31" s="103"/>
      <c r="G31" s="16"/>
      <c r="H31" s="16"/>
      <c r="I31" s="16"/>
      <c r="J31" s="16"/>
      <c r="K31" s="101"/>
      <c r="L31" s="102"/>
      <c r="M31" s="102"/>
      <c r="N31" s="102"/>
      <c r="O31" s="102"/>
      <c r="P31" s="102"/>
      <c r="Q31" s="103"/>
      <c r="R31" s="16"/>
      <c r="S31" s="16"/>
      <c r="T31" s="16"/>
      <c r="U31" s="16"/>
    </row>
    <row r="32" spans="1:24" ht="18" customHeight="1" x14ac:dyDescent="0.15">
      <c r="A32" s="3"/>
      <c r="B32" s="101"/>
      <c r="C32" s="102"/>
      <c r="D32" s="102"/>
      <c r="E32" s="102"/>
      <c r="F32" s="103"/>
      <c r="G32" s="16"/>
      <c r="H32" s="16"/>
      <c r="I32" s="16"/>
      <c r="J32" s="16"/>
      <c r="K32" s="101"/>
      <c r="L32" s="102"/>
      <c r="M32" s="102"/>
      <c r="N32" s="102"/>
      <c r="O32" s="102"/>
      <c r="P32" s="102"/>
      <c r="Q32" s="103"/>
      <c r="R32" s="16"/>
      <c r="S32" s="16"/>
      <c r="T32" s="16"/>
      <c r="U32" s="16"/>
    </row>
    <row r="33" spans="1:21" ht="18" customHeight="1" x14ac:dyDescent="0.15">
      <c r="A33" s="3"/>
      <c r="B33" s="104"/>
      <c r="C33" s="105"/>
      <c r="D33" s="105"/>
      <c r="E33" s="105"/>
      <c r="F33" s="106"/>
      <c r="G33" s="17"/>
      <c r="H33" s="17"/>
      <c r="I33" s="18"/>
      <c r="J33" s="18"/>
      <c r="K33" s="104"/>
      <c r="L33" s="105"/>
      <c r="M33" s="105"/>
      <c r="N33" s="105"/>
      <c r="O33" s="105"/>
      <c r="P33" s="105"/>
      <c r="Q33" s="106"/>
      <c r="R33" s="17"/>
      <c r="S33" s="17"/>
      <c r="T33" s="18"/>
      <c r="U33" s="18"/>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3" t="s">
        <v>103</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98" t="s">
        <v>52</v>
      </c>
      <c r="C37" s="99"/>
      <c r="D37" s="99"/>
      <c r="E37" s="99"/>
      <c r="F37" s="100"/>
      <c r="G37" s="47" t="s">
        <v>78</v>
      </c>
      <c r="H37" s="46" t="s">
        <v>81</v>
      </c>
      <c r="I37" s="14" t="s">
        <v>69</v>
      </c>
      <c r="J37" s="14" t="s">
        <v>70</v>
      </c>
      <c r="K37" s="98" t="s">
        <v>52</v>
      </c>
      <c r="L37" s="99"/>
      <c r="M37" s="99"/>
      <c r="N37" s="99"/>
      <c r="O37" s="99"/>
      <c r="P37" s="99"/>
      <c r="Q37" s="100"/>
      <c r="R37" s="47" t="s">
        <v>78</v>
      </c>
      <c r="S37" s="46" t="s">
        <v>81</v>
      </c>
      <c r="T37" s="14" t="s">
        <v>69</v>
      </c>
      <c r="U37" s="14" t="s">
        <v>70</v>
      </c>
    </row>
    <row r="38" spans="1:21" ht="18" customHeight="1" x14ac:dyDescent="0.15">
      <c r="B38" s="110" t="s">
        <v>140</v>
      </c>
      <c r="C38" s="111"/>
      <c r="D38" s="111"/>
      <c r="E38" s="111"/>
      <c r="F38" s="112"/>
      <c r="G38" s="15">
        <v>2</v>
      </c>
      <c r="H38" s="15" t="s">
        <v>141</v>
      </c>
      <c r="I38" s="15" t="s">
        <v>141</v>
      </c>
      <c r="J38" s="15" t="s">
        <v>141</v>
      </c>
      <c r="K38" s="110"/>
      <c r="L38" s="111"/>
      <c r="M38" s="111"/>
      <c r="N38" s="111"/>
      <c r="O38" s="111"/>
      <c r="P38" s="111"/>
      <c r="Q38" s="112"/>
      <c r="R38" s="15"/>
      <c r="S38" s="15"/>
      <c r="T38" s="15"/>
      <c r="U38" s="15"/>
    </row>
    <row r="39" spans="1:21" ht="18" customHeight="1" x14ac:dyDescent="0.15">
      <c r="B39" s="101"/>
      <c r="C39" s="102"/>
      <c r="D39" s="102"/>
      <c r="E39" s="102"/>
      <c r="F39" s="103"/>
      <c r="G39" s="16"/>
      <c r="H39" s="16"/>
      <c r="I39" s="16"/>
      <c r="J39" s="16"/>
      <c r="K39" s="101"/>
      <c r="L39" s="102"/>
      <c r="M39" s="102"/>
      <c r="N39" s="102"/>
      <c r="O39" s="102"/>
      <c r="P39" s="102"/>
      <c r="Q39" s="103"/>
      <c r="R39" s="16"/>
      <c r="S39" s="16"/>
      <c r="T39" s="16"/>
      <c r="U39" s="16"/>
    </row>
    <row r="40" spans="1:21" ht="18" customHeight="1" x14ac:dyDescent="0.15">
      <c r="B40" s="101"/>
      <c r="C40" s="102"/>
      <c r="D40" s="102"/>
      <c r="E40" s="102"/>
      <c r="F40" s="103"/>
      <c r="G40" s="16"/>
      <c r="H40" s="16"/>
      <c r="I40" s="16"/>
      <c r="J40" s="16"/>
      <c r="K40" s="101"/>
      <c r="L40" s="102"/>
      <c r="M40" s="102"/>
      <c r="N40" s="102"/>
      <c r="O40" s="102"/>
      <c r="P40" s="102"/>
      <c r="Q40" s="103"/>
      <c r="R40" s="16"/>
      <c r="S40" s="16"/>
      <c r="T40" s="16"/>
      <c r="U40" s="16"/>
    </row>
    <row r="41" spans="1:21" ht="18" customHeight="1" x14ac:dyDescent="0.15">
      <c r="B41" s="101"/>
      <c r="C41" s="102"/>
      <c r="D41" s="102"/>
      <c r="E41" s="102"/>
      <c r="F41" s="103"/>
      <c r="G41" s="16"/>
      <c r="H41" s="16"/>
      <c r="I41" s="16"/>
      <c r="J41" s="16"/>
      <c r="K41" s="101"/>
      <c r="L41" s="102"/>
      <c r="M41" s="102"/>
      <c r="N41" s="102"/>
      <c r="O41" s="102"/>
      <c r="P41" s="102"/>
      <c r="Q41" s="103"/>
      <c r="R41" s="16"/>
      <c r="S41" s="16"/>
      <c r="T41" s="16"/>
      <c r="U41" s="16"/>
    </row>
    <row r="42" spans="1:21" ht="18" customHeight="1" x14ac:dyDescent="0.15">
      <c r="B42" s="101"/>
      <c r="C42" s="102"/>
      <c r="D42" s="102"/>
      <c r="E42" s="102"/>
      <c r="F42" s="103"/>
      <c r="G42" s="16"/>
      <c r="H42" s="16"/>
      <c r="I42" s="16"/>
      <c r="J42" s="16"/>
      <c r="K42" s="101"/>
      <c r="L42" s="102"/>
      <c r="M42" s="102"/>
      <c r="N42" s="102"/>
      <c r="O42" s="102"/>
      <c r="P42" s="102"/>
      <c r="Q42" s="103"/>
      <c r="R42" s="16"/>
      <c r="S42" s="16"/>
      <c r="T42" s="16"/>
      <c r="U42" s="16"/>
    </row>
    <row r="43" spans="1:21" ht="18" customHeight="1" x14ac:dyDescent="0.15">
      <c r="B43" s="101"/>
      <c r="C43" s="102"/>
      <c r="D43" s="102"/>
      <c r="E43" s="102"/>
      <c r="F43" s="103"/>
      <c r="G43" s="16"/>
      <c r="H43" s="16"/>
      <c r="I43" s="16"/>
      <c r="J43" s="16"/>
      <c r="K43" s="101"/>
      <c r="L43" s="102"/>
      <c r="M43" s="102"/>
      <c r="N43" s="102"/>
      <c r="O43" s="102"/>
      <c r="P43" s="102"/>
      <c r="Q43" s="103"/>
      <c r="R43" s="16"/>
      <c r="S43" s="16"/>
      <c r="T43" s="16"/>
      <c r="U43" s="16"/>
    </row>
    <row r="44" spans="1:21" ht="18" customHeight="1" x14ac:dyDescent="0.15">
      <c r="B44" s="104"/>
      <c r="C44" s="105"/>
      <c r="D44" s="105"/>
      <c r="E44" s="105"/>
      <c r="F44" s="106"/>
      <c r="G44" s="17"/>
      <c r="H44" s="17"/>
      <c r="I44" s="18"/>
      <c r="J44" s="18"/>
      <c r="K44" s="104"/>
      <c r="L44" s="105"/>
      <c r="M44" s="105"/>
      <c r="N44" s="105"/>
      <c r="O44" s="105"/>
      <c r="P44" s="105"/>
      <c r="Q44" s="106"/>
      <c r="R44" s="17"/>
      <c r="S44" s="17"/>
      <c r="T44" s="18"/>
      <c r="U44" s="18"/>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3" t="s">
        <v>104</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98" t="s">
        <v>52</v>
      </c>
      <c r="C48" s="99"/>
      <c r="D48" s="99"/>
      <c r="E48" s="99"/>
      <c r="F48" s="100"/>
      <c r="G48" s="47" t="s">
        <v>78</v>
      </c>
      <c r="H48" s="46" t="s">
        <v>81</v>
      </c>
      <c r="I48" s="14" t="s">
        <v>71</v>
      </c>
      <c r="J48" s="14" t="s">
        <v>72</v>
      </c>
      <c r="K48" s="98" t="s">
        <v>52</v>
      </c>
      <c r="L48" s="99"/>
      <c r="M48" s="99"/>
      <c r="N48" s="99"/>
      <c r="O48" s="99"/>
      <c r="P48" s="99"/>
      <c r="Q48" s="100"/>
      <c r="R48" s="47" t="s">
        <v>78</v>
      </c>
      <c r="S48" s="46" t="s">
        <v>81</v>
      </c>
      <c r="T48" s="14" t="s">
        <v>71</v>
      </c>
      <c r="U48" s="14" t="s">
        <v>72</v>
      </c>
    </row>
    <row r="49" spans="1:21" ht="18" customHeight="1" x14ac:dyDescent="0.15">
      <c r="A49" s="3"/>
      <c r="B49" s="110" t="s">
        <v>140</v>
      </c>
      <c r="C49" s="111"/>
      <c r="D49" s="111"/>
      <c r="E49" s="111"/>
      <c r="F49" s="112"/>
      <c r="G49" s="15">
        <v>2</v>
      </c>
      <c r="H49" s="15" t="s">
        <v>141</v>
      </c>
      <c r="I49" s="15" t="s">
        <v>141</v>
      </c>
      <c r="J49" s="15" t="s">
        <v>141</v>
      </c>
      <c r="K49" s="110"/>
      <c r="L49" s="111"/>
      <c r="M49" s="111"/>
      <c r="N49" s="111"/>
      <c r="O49" s="111"/>
      <c r="P49" s="111"/>
      <c r="Q49" s="112"/>
      <c r="R49" s="15"/>
      <c r="S49" s="15"/>
      <c r="T49" s="15"/>
      <c r="U49" s="15"/>
    </row>
    <row r="50" spans="1:21" ht="18" customHeight="1" x14ac:dyDescent="0.15">
      <c r="A50" s="3"/>
      <c r="B50" s="101"/>
      <c r="C50" s="102"/>
      <c r="D50" s="102"/>
      <c r="E50" s="102"/>
      <c r="F50" s="103"/>
      <c r="G50" s="16"/>
      <c r="H50" s="16"/>
      <c r="I50" s="16"/>
      <c r="J50" s="16"/>
      <c r="K50" s="101"/>
      <c r="L50" s="102"/>
      <c r="M50" s="102"/>
      <c r="N50" s="102"/>
      <c r="O50" s="102"/>
      <c r="P50" s="102"/>
      <c r="Q50" s="103"/>
      <c r="R50" s="16"/>
      <c r="S50" s="16"/>
      <c r="T50" s="16"/>
      <c r="U50" s="16"/>
    </row>
    <row r="51" spans="1:21" ht="18" customHeight="1" x14ac:dyDescent="0.15">
      <c r="A51" s="3"/>
      <c r="B51" s="101"/>
      <c r="C51" s="102"/>
      <c r="D51" s="102"/>
      <c r="E51" s="102"/>
      <c r="F51" s="103"/>
      <c r="G51" s="16"/>
      <c r="H51" s="16"/>
      <c r="I51" s="16"/>
      <c r="J51" s="16"/>
      <c r="K51" s="101"/>
      <c r="L51" s="102"/>
      <c r="M51" s="102"/>
      <c r="N51" s="102"/>
      <c r="O51" s="102"/>
      <c r="P51" s="102"/>
      <c r="Q51" s="103"/>
      <c r="R51" s="16"/>
      <c r="S51" s="16"/>
      <c r="T51" s="16"/>
      <c r="U51" s="16"/>
    </row>
    <row r="52" spans="1:21" ht="18" customHeight="1" x14ac:dyDescent="0.15">
      <c r="A52" s="3"/>
      <c r="B52" s="101"/>
      <c r="C52" s="102"/>
      <c r="D52" s="102"/>
      <c r="E52" s="102"/>
      <c r="F52" s="103"/>
      <c r="G52" s="16"/>
      <c r="H52" s="16"/>
      <c r="I52" s="16"/>
      <c r="J52" s="16"/>
      <c r="K52" s="101"/>
      <c r="L52" s="102"/>
      <c r="M52" s="102"/>
      <c r="N52" s="102"/>
      <c r="O52" s="102"/>
      <c r="P52" s="102"/>
      <c r="Q52" s="103"/>
      <c r="R52" s="16"/>
      <c r="S52" s="16"/>
      <c r="T52" s="16"/>
      <c r="U52" s="16"/>
    </row>
    <row r="53" spans="1:21" ht="18" customHeight="1" x14ac:dyDescent="0.15">
      <c r="A53" s="3"/>
      <c r="B53" s="101"/>
      <c r="C53" s="102"/>
      <c r="D53" s="102"/>
      <c r="E53" s="102"/>
      <c r="F53" s="103"/>
      <c r="G53" s="16"/>
      <c r="H53" s="16"/>
      <c r="I53" s="16"/>
      <c r="J53" s="16"/>
      <c r="K53" s="101"/>
      <c r="L53" s="102"/>
      <c r="M53" s="102"/>
      <c r="N53" s="102"/>
      <c r="O53" s="102"/>
      <c r="P53" s="102"/>
      <c r="Q53" s="103"/>
      <c r="R53" s="16"/>
      <c r="S53" s="16"/>
      <c r="T53" s="16"/>
      <c r="U53" s="16"/>
    </row>
    <row r="54" spans="1:21" ht="18" customHeight="1" x14ac:dyDescent="0.15">
      <c r="A54" s="3"/>
      <c r="B54" s="101"/>
      <c r="C54" s="102"/>
      <c r="D54" s="102"/>
      <c r="E54" s="102"/>
      <c r="F54" s="103"/>
      <c r="G54" s="16"/>
      <c r="H54" s="16"/>
      <c r="I54" s="16"/>
      <c r="J54" s="16"/>
      <c r="K54" s="101"/>
      <c r="L54" s="102"/>
      <c r="M54" s="102"/>
      <c r="N54" s="102"/>
      <c r="O54" s="102"/>
      <c r="P54" s="102"/>
      <c r="Q54" s="103"/>
      <c r="R54" s="16"/>
      <c r="S54" s="16"/>
      <c r="T54" s="16"/>
      <c r="U54" s="16"/>
    </row>
    <row r="55" spans="1:21" ht="18" customHeight="1" x14ac:dyDescent="0.15">
      <c r="A55" s="3"/>
      <c r="B55" s="104"/>
      <c r="C55" s="105"/>
      <c r="D55" s="105"/>
      <c r="E55" s="105"/>
      <c r="F55" s="106"/>
      <c r="G55" s="17"/>
      <c r="H55" s="17"/>
      <c r="I55" s="18"/>
      <c r="J55" s="18"/>
      <c r="K55" s="104"/>
      <c r="L55" s="105"/>
      <c r="M55" s="105"/>
      <c r="N55" s="105"/>
      <c r="O55" s="105"/>
      <c r="P55" s="105"/>
      <c r="Q55" s="106"/>
      <c r="R55" s="17"/>
      <c r="S55" s="17"/>
      <c r="T55" s="18"/>
      <c r="U55" s="18"/>
    </row>
    <row r="56" spans="1:21" ht="7.5" customHeight="1" x14ac:dyDescent="0.15">
      <c r="B56" s="12"/>
      <c r="C56" s="12"/>
      <c r="D56" s="12"/>
      <c r="E56" s="12"/>
      <c r="F56" s="12"/>
      <c r="G56" s="12"/>
      <c r="H56" s="12"/>
      <c r="I56" s="12"/>
      <c r="J56" s="12"/>
      <c r="K56" s="12"/>
      <c r="L56" s="12"/>
      <c r="M56" s="12"/>
      <c r="N56" s="12"/>
      <c r="O56" s="12"/>
      <c r="P56" s="12"/>
      <c r="Q56" s="12"/>
      <c r="R56" s="12"/>
      <c r="S56" s="12"/>
      <c r="T56" s="12"/>
    </row>
    <row r="57" spans="1:21" ht="18" customHeight="1" x14ac:dyDescent="0.15">
      <c r="A57" s="113" t="s">
        <v>105</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98" t="s">
        <v>52</v>
      </c>
      <c r="C59" s="99"/>
      <c r="D59" s="99"/>
      <c r="E59" s="99"/>
      <c r="F59" s="100"/>
      <c r="G59" s="47" t="s">
        <v>78</v>
      </c>
      <c r="H59" s="46" t="s">
        <v>81</v>
      </c>
      <c r="I59" s="14" t="s">
        <v>57</v>
      </c>
      <c r="J59" s="14" t="s">
        <v>59</v>
      </c>
      <c r="K59" s="98" t="s">
        <v>52</v>
      </c>
      <c r="L59" s="99"/>
      <c r="M59" s="99"/>
      <c r="N59" s="99"/>
      <c r="O59" s="99"/>
      <c r="P59" s="99"/>
      <c r="Q59" s="100"/>
      <c r="R59" s="47" t="s">
        <v>78</v>
      </c>
      <c r="S59" s="46" t="s">
        <v>81</v>
      </c>
      <c r="T59" s="14" t="s">
        <v>57</v>
      </c>
      <c r="U59" s="14" t="s">
        <v>59</v>
      </c>
    </row>
    <row r="60" spans="1:21" ht="18" customHeight="1" x14ac:dyDescent="0.15">
      <c r="A60" s="3"/>
      <c r="B60" s="110" t="s">
        <v>140</v>
      </c>
      <c r="C60" s="111"/>
      <c r="D60" s="111"/>
      <c r="E60" s="111"/>
      <c r="F60" s="112"/>
      <c r="G60" s="15">
        <v>2</v>
      </c>
      <c r="H60" s="15" t="s">
        <v>141</v>
      </c>
      <c r="I60" s="15" t="s">
        <v>141</v>
      </c>
      <c r="J60" s="15" t="s">
        <v>141</v>
      </c>
      <c r="K60" s="110"/>
      <c r="L60" s="111"/>
      <c r="M60" s="111"/>
      <c r="N60" s="111"/>
      <c r="O60" s="111"/>
      <c r="P60" s="111"/>
      <c r="Q60" s="112"/>
      <c r="R60" s="15"/>
      <c r="S60" s="15"/>
      <c r="T60" s="15"/>
      <c r="U60" s="15"/>
    </row>
    <row r="61" spans="1:21" ht="18" customHeight="1" x14ac:dyDescent="0.15">
      <c r="A61" s="3"/>
      <c r="B61" s="101"/>
      <c r="C61" s="102"/>
      <c r="D61" s="102"/>
      <c r="E61" s="102"/>
      <c r="F61" s="103"/>
      <c r="G61" s="16"/>
      <c r="H61" s="16"/>
      <c r="I61" s="16"/>
      <c r="J61" s="16"/>
      <c r="K61" s="101"/>
      <c r="L61" s="102"/>
      <c r="M61" s="102"/>
      <c r="N61" s="102"/>
      <c r="O61" s="102"/>
      <c r="P61" s="102"/>
      <c r="Q61" s="103"/>
      <c r="R61" s="16"/>
      <c r="S61" s="16"/>
      <c r="T61" s="16"/>
      <c r="U61" s="16"/>
    </row>
    <row r="62" spans="1:21" ht="18" customHeight="1" x14ac:dyDescent="0.15">
      <c r="A62" s="3"/>
      <c r="B62" s="101"/>
      <c r="C62" s="102"/>
      <c r="D62" s="102"/>
      <c r="E62" s="102"/>
      <c r="F62" s="103"/>
      <c r="G62" s="16"/>
      <c r="H62" s="16"/>
      <c r="I62" s="16"/>
      <c r="J62" s="16"/>
      <c r="K62" s="101"/>
      <c r="L62" s="102"/>
      <c r="M62" s="102"/>
      <c r="N62" s="102"/>
      <c r="O62" s="102"/>
      <c r="P62" s="102"/>
      <c r="Q62" s="103"/>
      <c r="R62" s="16"/>
      <c r="S62" s="16"/>
      <c r="T62" s="16"/>
      <c r="U62" s="16"/>
    </row>
    <row r="63" spans="1:21" ht="18" customHeight="1" x14ac:dyDescent="0.15">
      <c r="A63" s="3"/>
      <c r="B63" s="101"/>
      <c r="C63" s="102"/>
      <c r="D63" s="102"/>
      <c r="E63" s="102"/>
      <c r="F63" s="103"/>
      <c r="G63" s="16"/>
      <c r="H63" s="16"/>
      <c r="I63" s="16"/>
      <c r="J63" s="16"/>
      <c r="K63" s="101"/>
      <c r="L63" s="102"/>
      <c r="M63" s="102"/>
      <c r="N63" s="102"/>
      <c r="O63" s="102"/>
      <c r="P63" s="102"/>
      <c r="Q63" s="103"/>
      <c r="R63" s="16"/>
      <c r="S63" s="16"/>
      <c r="T63" s="16"/>
      <c r="U63" s="16"/>
    </row>
    <row r="64" spans="1:21" ht="18" customHeight="1" x14ac:dyDescent="0.15">
      <c r="A64" s="3"/>
      <c r="B64" s="101"/>
      <c r="C64" s="102"/>
      <c r="D64" s="102"/>
      <c r="E64" s="102"/>
      <c r="F64" s="103"/>
      <c r="G64" s="16"/>
      <c r="H64" s="16"/>
      <c r="I64" s="16"/>
      <c r="J64" s="16"/>
      <c r="K64" s="101"/>
      <c r="L64" s="102"/>
      <c r="M64" s="102"/>
      <c r="N64" s="102"/>
      <c r="O64" s="102"/>
      <c r="P64" s="102"/>
      <c r="Q64" s="103"/>
      <c r="R64" s="16"/>
      <c r="S64" s="16"/>
      <c r="T64" s="16"/>
      <c r="U64" s="16"/>
    </row>
    <row r="65" spans="1:21" ht="18" customHeight="1" x14ac:dyDescent="0.15">
      <c r="A65" s="3"/>
      <c r="B65" s="101"/>
      <c r="C65" s="102"/>
      <c r="D65" s="102"/>
      <c r="E65" s="102"/>
      <c r="F65" s="103"/>
      <c r="G65" s="16"/>
      <c r="H65" s="16"/>
      <c r="I65" s="16"/>
      <c r="J65" s="16"/>
      <c r="K65" s="101"/>
      <c r="L65" s="102"/>
      <c r="M65" s="102"/>
      <c r="N65" s="102"/>
      <c r="O65" s="102"/>
      <c r="P65" s="102"/>
      <c r="Q65" s="103"/>
      <c r="R65" s="16"/>
      <c r="S65" s="16"/>
      <c r="T65" s="16"/>
      <c r="U65" s="16"/>
    </row>
    <row r="66" spans="1:21" ht="18" customHeight="1" x14ac:dyDescent="0.15">
      <c r="A66" s="3"/>
      <c r="B66" s="104"/>
      <c r="C66" s="105"/>
      <c r="D66" s="105"/>
      <c r="E66" s="105"/>
      <c r="F66" s="106"/>
      <c r="G66" s="17"/>
      <c r="H66" s="17"/>
      <c r="I66" s="18"/>
      <c r="J66" s="18"/>
      <c r="K66" s="104"/>
      <c r="L66" s="105"/>
      <c r="M66" s="105"/>
      <c r="N66" s="105"/>
      <c r="O66" s="105"/>
      <c r="P66" s="105"/>
      <c r="Q66" s="106"/>
      <c r="R66" s="17"/>
      <c r="S66" s="17"/>
      <c r="T66" s="18"/>
      <c r="U66" s="18"/>
    </row>
    <row r="67" spans="1:21" ht="7.5" customHeight="1" x14ac:dyDescent="0.15">
      <c r="B67" s="12"/>
      <c r="C67" s="12"/>
      <c r="D67" s="12"/>
      <c r="E67" s="12"/>
      <c r="F67" s="12"/>
      <c r="G67" s="12"/>
      <c r="H67" s="12"/>
      <c r="I67" s="12"/>
      <c r="J67" s="12"/>
      <c r="K67" s="12"/>
      <c r="L67" s="12"/>
      <c r="M67" s="12"/>
      <c r="N67" s="12"/>
      <c r="O67" s="12"/>
      <c r="P67" s="12"/>
      <c r="Q67" s="12"/>
      <c r="R67" s="12"/>
      <c r="S67" s="12"/>
      <c r="T67" s="12"/>
    </row>
    <row r="68" spans="1:21" ht="18" customHeight="1" x14ac:dyDescent="0.15">
      <c r="A68" s="113" t="s">
        <v>106</v>
      </c>
      <c r="B68" s="113"/>
      <c r="C68" s="113"/>
      <c r="D68" s="113"/>
      <c r="E68" s="113"/>
      <c r="F68" s="113"/>
      <c r="G68" s="113"/>
      <c r="H68" s="113"/>
      <c r="I68" s="113"/>
      <c r="J68" s="113"/>
      <c r="K68" s="113"/>
      <c r="L68" s="113"/>
      <c r="M68" s="113"/>
      <c r="N68" s="113"/>
      <c r="O68" s="113"/>
      <c r="P68" s="113"/>
      <c r="Q68" s="113"/>
      <c r="R68" s="113"/>
      <c r="S68" s="113"/>
      <c r="T68" s="113"/>
      <c r="U68" s="113"/>
    </row>
    <row r="69" spans="1:21"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1" ht="18" customHeight="1" x14ac:dyDescent="0.15">
      <c r="B70" s="98" t="s">
        <v>52</v>
      </c>
      <c r="C70" s="99"/>
      <c r="D70" s="99"/>
      <c r="E70" s="99"/>
      <c r="F70" s="47" t="s">
        <v>78</v>
      </c>
      <c r="G70" s="46" t="s">
        <v>81</v>
      </c>
      <c r="H70" s="14" t="s">
        <v>93</v>
      </c>
      <c r="I70" s="14" t="s">
        <v>73</v>
      </c>
      <c r="J70" s="14" t="s">
        <v>74</v>
      </c>
      <c r="K70" s="98" t="s">
        <v>52</v>
      </c>
      <c r="L70" s="99"/>
      <c r="M70" s="99"/>
      <c r="N70" s="99"/>
      <c r="O70" s="99"/>
      <c r="P70" s="100"/>
      <c r="Q70" s="47" t="s">
        <v>78</v>
      </c>
      <c r="R70" s="46" t="s">
        <v>81</v>
      </c>
      <c r="S70" s="14" t="s">
        <v>93</v>
      </c>
      <c r="T70" s="14" t="s">
        <v>73</v>
      </c>
      <c r="U70" s="14" t="s">
        <v>74</v>
      </c>
    </row>
    <row r="71" spans="1:21" ht="18" customHeight="1" x14ac:dyDescent="0.15">
      <c r="A71" s="3"/>
      <c r="B71" s="110" t="s">
        <v>140</v>
      </c>
      <c r="C71" s="111"/>
      <c r="D71" s="111"/>
      <c r="E71" s="111"/>
      <c r="F71" s="15">
        <v>2</v>
      </c>
      <c r="G71" s="15" t="s">
        <v>141</v>
      </c>
      <c r="H71" s="15" t="s">
        <v>141</v>
      </c>
      <c r="I71" s="15" t="s">
        <v>141</v>
      </c>
      <c r="J71" s="15" t="s">
        <v>141</v>
      </c>
      <c r="K71" s="110"/>
      <c r="L71" s="111"/>
      <c r="M71" s="111"/>
      <c r="N71" s="111"/>
      <c r="O71" s="111"/>
      <c r="P71" s="112"/>
      <c r="Q71" s="15"/>
      <c r="R71" s="15"/>
      <c r="S71" s="15"/>
      <c r="T71" s="15"/>
      <c r="U71" s="15"/>
    </row>
    <row r="72" spans="1:21" ht="18" customHeight="1" x14ac:dyDescent="0.15">
      <c r="A72" s="3"/>
      <c r="B72" s="101"/>
      <c r="C72" s="102"/>
      <c r="D72" s="102"/>
      <c r="E72" s="102"/>
      <c r="F72" s="16"/>
      <c r="G72" s="16"/>
      <c r="H72" s="16"/>
      <c r="I72" s="16"/>
      <c r="J72" s="16"/>
      <c r="K72" s="101"/>
      <c r="L72" s="102"/>
      <c r="M72" s="102"/>
      <c r="N72" s="102"/>
      <c r="O72" s="102"/>
      <c r="P72" s="103"/>
      <c r="Q72" s="16"/>
      <c r="R72" s="16"/>
      <c r="S72" s="16"/>
      <c r="T72" s="16"/>
      <c r="U72" s="16"/>
    </row>
    <row r="73" spans="1:21" ht="18" customHeight="1" x14ac:dyDescent="0.15">
      <c r="A73" s="3"/>
      <c r="B73" s="101"/>
      <c r="C73" s="102"/>
      <c r="D73" s="102"/>
      <c r="E73" s="102"/>
      <c r="F73" s="16"/>
      <c r="G73" s="16"/>
      <c r="H73" s="16"/>
      <c r="I73" s="16"/>
      <c r="J73" s="16"/>
      <c r="K73" s="101"/>
      <c r="L73" s="102"/>
      <c r="M73" s="102"/>
      <c r="N73" s="102"/>
      <c r="O73" s="102"/>
      <c r="P73" s="103"/>
      <c r="Q73" s="16"/>
      <c r="R73" s="16"/>
      <c r="S73" s="16"/>
      <c r="T73" s="16"/>
      <c r="U73" s="16"/>
    </row>
    <row r="74" spans="1:21" ht="18" customHeight="1" x14ac:dyDescent="0.15">
      <c r="A74" s="3"/>
      <c r="B74" s="101"/>
      <c r="C74" s="102"/>
      <c r="D74" s="102"/>
      <c r="E74" s="102"/>
      <c r="F74" s="16"/>
      <c r="G74" s="16"/>
      <c r="H74" s="16"/>
      <c r="I74" s="16"/>
      <c r="J74" s="16"/>
      <c r="K74" s="101"/>
      <c r="L74" s="102"/>
      <c r="M74" s="102"/>
      <c r="N74" s="102"/>
      <c r="O74" s="102"/>
      <c r="P74" s="103"/>
      <c r="Q74" s="16"/>
      <c r="R74" s="16"/>
      <c r="S74" s="16"/>
      <c r="T74" s="16"/>
      <c r="U74" s="16"/>
    </row>
    <row r="75" spans="1:21" ht="18" customHeight="1" x14ac:dyDescent="0.15">
      <c r="A75" s="3"/>
      <c r="B75" s="101"/>
      <c r="C75" s="102"/>
      <c r="D75" s="102"/>
      <c r="E75" s="102"/>
      <c r="F75" s="16"/>
      <c r="G75" s="16"/>
      <c r="H75" s="16"/>
      <c r="I75" s="16"/>
      <c r="J75" s="16"/>
      <c r="K75" s="101"/>
      <c r="L75" s="102"/>
      <c r="M75" s="102"/>
      <c r="N75" s="102"/>
      <c r="O75" s="102"/>
      <c r="P75" s="103"/>
      <c r="Q75" s="16"/>
      <c r="R75" s="16"/>
      <c r="S75" s="16"/>
      <c r="T75" s="16"/>
      <c r="U75" s="16"/>
    </row>
    <row r="76" spans="1:21" ht="18" customHeight="1" x14ac:dyDescent="0.15">
      <c r="A76" s="3"/>
      <c r="B76" s="101"/>
      <c r="C76" s="102"/>
      <c r="D76" s="102"/>
      <c r="E76" s="102"/>
      <c r="F76" s="16"/>
      <c r="G76" s="16"/>
      <c r="H76" s="16"/>
      <c r="I76" s="16"/>
      <c r="J76" s="16"/>
      <c r="K76" s="101"/>
      <c r="L76" s="102"/>
      <c r="M76" s="102"/>
      <c r="N76" s="102"/>
      <c r="O76" s="102"/>
      <c r="P76" s="103"/>
      <c r="Q76" s="16"/>
      <c r="R76" s="16"/>
      <c r="S76" s="16"/>
      <c r="T76" s="16"/>
      <c r="U76" s="16"/>
    </row>
    <row r="77" spans="1:21" ht="18" customHeight="1" x14ac:dyDescent="0.15">
      <c r="A77" s="3"/>
      <c r="B77" s="104"/>
      <c r="C77" s="105"/>
      <c r="D77" s="105"/>
      <c r="E77" s="105"/>
      <c r="F77" s="17"/>
      <c r="G77" s="17"/>
      <c r="H77" s="18"/>
      <c r="I77" s="18"/>
      <c r="J77" s="18"/>
      <c r="K77" s="104"/>
      <c r="L77" s="105"/>
      <c r="M77" s="105"/>
      <c r="N77" s="105"/>
      <c r="O77" s="105"/>
      <c r="P77" s="106"/>
      <c r="Q77" s="17"/>
      <c r="R77" s="17"/>
      <c r="S77" s="18"/>
      <c r="T77" s="18"/>
      <c r="U77" s="18"/>
    </row>
    <row r="78" spans="1:21" ht="7.5" customHeight="1" x14ac:dyDescent="0.15">
      <c r="B78" s="12"/>
      <c r="C78" s="12"/>
      <c r="D78" s="12"/>
      <c r="E78" s="12"/>
      <c r="F78" s="12"/>
      <c r="G78" s="12"/>
      <c r="H78" s="12"/>
      <c r="I78" s="12"/>
      <c r="J78" s="12"/>
      <c r="K78" s="12"/>
      <c r="L78" s="12"/>
      <c r="M78" s="12"/>
      <c r="N78" s="12"/>
      <c r="O78" s="12"/>
      <c r="P78" s="12"/>
      <c r="Q78" s="12"/>
      <c r="R78" s="12"/>
      <c r="S78" s="12"/>
      <c r="T78" s="12"/>
    </row>
    <row r="79" spans="1:21" ht="18" customHeight="1" x14ac:dyDescent="0.15">
      <c r="A79" s="1" t="s">
        <v>107</v>
      </c>
      <c r="I79" s="3"/>
      <c r="J79" s="3"/>
      <c r="K79" s="3"/>
      <c r="L79" s="3"/>
      <c r="M79" s="3"/>
      <c r="N79" s="3"/>
      <c r="O79" s="3"/>
      <c r="P79" s="3"/>
      <c r="Q79" s="3"/>
      <c r="R79" s="3"/>
      <c r="S79" s="3"/>
      <c r="T79" s="3"/>
      <c r="U79" s="3"/>
    </row>
    <row r="80" spans="1:21" ht="18" customHeight="1" x14ac:dyDescent="0.15">
      <c r="B80" s="98" t="s">
        <v>52</v>
      </c>
      <c r="C80" s="99"/>
      <c r="D80" s="99"/>
      <c r="E80" s="99"/>
      <c r="F80" s="100"/>
      <c r="G80" s="98" t="s">
        <v>79</v>
      </c>
      <c r="H80" s="99"/>
      <c r="I80" s="99"/>
      <c r="J80" s="100"/>
      <c r="K80" s="122" t="s">
        <v>52</v>
      </c>
      <c r="L80" s="123"/>
      <c r="M80" s="123"/>
      <c r="N80" s="123"/>
      <c r="O80" s="123"/>
      <c r="P80" s="123"/>
      <c r="Q80" s="124"/>
      <c r="R80" s="98" t="s">
        <v>79</v>
      </c>
      <c r="S80" s="99"/>
      <c r="T80" s="99"/>
      <c r="U80" s="100"/>
    </row>
    <row r="81" spans="1:21" ht="18" customHeight="1" x14ac:dyDescent="0.15">
      <c r="A81" s="3"/>
      <c r="B81" s="110" t="s">
        <v>149</v>
      </c>
      <c r="C81" s="111"/>
      <c r="D81" s="111"/>
      <c r="E81" s="111"/>
      <c r="F81" s="112"/>
      <c r="G81" s="117" t="s">
        <v>142</v>
      </c>
      <c r="H81" s="118"/>
      <c r="I81" s="118"/>
      <c r="J81" s="119"/>
      <c r="K81" s="110"/>
      <c r="L81" s="111"/>
      <c r="M81" s="111"/>
      <c r="N81" s="111"/>
      <c r="O81" s="111"/>
      <c r="P81" s="111"/>
      <c r="Q81" s="112"/>
      <c r="R81" s="114"/>
      <c r="S81" s="115"/>
      <c r="T81" s="115"/>
      <c r="U81" s="116"/>
    </row>
    <row r="82" spans="1:21" ht="18" customHeight="1" x14ac:dyDescent="0.15">
      <c r="A82" s="3"/>
      <c r="B82" s="101" t="s">
        <v>149</v>
      </c>
      <c r="C82" s="102"/>
      <c r="D82" s="102"/>
      <c r="E82" s="102"/>
      <c r="F82" s="103"/>
      <c r="G82" s="126" t="s">
        <v>143</v>
      </c>
      <c r="H82" s="127"/>
      <c r="I82" s="127"/>
      <c r="J82" s="128"/>
      <c r="K82" s="101"/>
      <c r="L82" s="102"/>
      <c r="M82" s="102"/>
      <c r="N82" s="102"/>
      <c r="O82" s="102"/>
      <c r="P82" s="102"/>
      <c r="Q82" s="103"/>
      <c r="R82" s="95"/>
      <c r="S82" s="96"/>
      <c r="T82" s="96"/>
      <c r="U82" s="97"/>
    </row>
    <row r="83" spans="1:21" ht="18" customHeight="1" x14ac:dyDescent="0.15">
      <c r="A83" s="3"/>
      <c r="B83" s="101" t="s">
        <v>149</v>
      </c>
      <c r="C83" s="102"/>
      <c r="D83" s="102"/>
      <c r="E83" s="102"/>
      <c r="F83" s="103"/>
      <c r="G83" s="126" t="s">
        <v>144</v>
      </c>
      <c r="H83" s="127"/>
      <c r="I83" s="127"/>
      <c r="J83" s="128"/>
      <c r="K83" s="101"/>
      <c r="L83" s="102"/>
      <c r="M83" s="102"/>
      <c r="N83" s="102"/>
      <c r="O83" s="102"/>
      <c r="P83" s="102"/>
      <c r="Q83" s="103"/>
      <c r="R83" s="95"/>
      <c r="S83" s="96"/>
      <c r="T83" s="96"/>
      <c r="U83" s="97"/>
    </row>
    <row r="84" spans="1:21" ht="18" customHeight="1" x14ac:dyDescent="0.15">
      <c r="A84" s="3"/>
      <c r="B84" s="101" t="s">
        <v>149</v>
      </c>
      <c r="C84" s="102"/>
      <c r="D84" s="102"/>
      <c r="E84" s="102"/>
      <c r="F84" s="103"/>
      <c r="G84" s="126" t="s">
        <v>145</v>
      </c>
      <c r="H84" s="127"/>
      <c r="I84" s="127"/>
      <c r="J84" s="128"/>
      <c r="K84" s="101"/>
      <c r="L84" s="102"/>
      <c r="M84" s="102"/>
      <c r="N84" s="102"/>
      <c r="O84" s="102"/>
      <c r="P84" s="102"/>
      <c r="Q84" s="103"/>
      <c r="R84" s="95"/>
      <c r="S84" s="96"/>
      <c r="T84" s="96"/>
      <c r="U84" s="97"/>
    </row>
    <row r="85" spans="1:21" ht="18" customHeight="1" x14ac:dyDescent="0.15">
      <c r="A85" s="3"/>
      <c r="B85" s="101" t="s">
        <v>149</v>
      </c>
      <c r="C85" s="102"/>
      <c r="D85" s="102"/>
      <c r="E85" s="102"/>
      <c r="F85" s="103"/>
      <c r="G85" s="126" t="s">
        <v>146</v>
      </c>
      <c r="H85" s="127"/>
      <c r="I85" s="127"/>
      <c r="J85" s="128"/>
      <c r="K85" s="101"/>
      <c r="L85" s="102"/>
      <c r="M85" s="102"/>
      <c r="N85" s="102"/>
      <c r="O85" s="102"/>
      <c r="P85" s="102"/>
      <c r="Q85" s="103"/>
      <c r="R85" s="95"/>
      <c r="S85" s="96"/>
      <c r="T85" s="96"/>
      <c r="U85" s="97"/>
    </row>
    <row r="86" spans="1:21" ht="18" customHeight="1" x14ac:dyDescent="0.15">
      <c r="A86" s="3"/>
      <c r="B86" s="101" t="s">
        <v>149</v>
      </c>
      <c r="C86" s="102"/>
      <c r="D86" s="102"/>
      <c r="E86" s="102"/>
      <c r="F86" s="103"/>
      <c r="G86" s="126" t="s">
        <v>147</v>
      </c>
      <c r="H86" s="127"/>
      <c r="I86" s="127"/>
      <c r="J86" s="128"/>
      <c r="K86" s="101"/>
      <c r="L86" s="102"/>
      <c r="M86" s="102"/>
      <c r="N86" s="102"/>
      <c r="O86" s="102"/>
      <c r="P86" s="102"/>
      <c r="Q86" s="103"/>
      <c r="R86" s="95"/>
      <c r="S86" s="96"/>
      <c r="T86" s="96"/>
      <c r="U86" s="97"/>
    </row>
    <row r="87" spans="1:21" ht="18" customHeight="1" x14ac:dyDescent="0.15">
      <c r="A87" s="3"/>
      <c r="B87" s="104" t="s">
        <v>149</v>
      </c>
      <c r="C87" s="105"/>
      <c r="D87" s="105"/>
      <c r="E87" s="105"/>
      <c r="F87" s="106"/>
      <c r="G87" s="146" t="s">
        <v>148</v>
      </c>
      <c r="H87" s="147"/>
      <c r="I87" s="147"/>
      <c r="J87" s="148"/>
      <c r="K87" s="104"/>
      <c r="L87" s="105"/>
      <c r="M87" s="105"/>
      <c r="N87" s="105"/>
      <c r="O87" s="105"/>
      <c r="P87" s="105"/>
      <c r="Q87" s="106"/>
      <c r="R87" s="143"/>
      <c r="S87" s="144"/>
      <c r="T87" s="144"/>
      <c r="U87" s="145"/>
    </row>
    <row r="88" spans="1:21" ht="18" customHeight="1" x14ac:dyDescent="0.15">
      <c r="A88" s="3"/>
      <c r="B88" s="6"/>
      <c r="C88" s="6"/>
      <c r="D88" s="6"/>
      <c r="E88" s="6"/>
      <c r="F88" s="6"/>
      <c r="G88" s="19"/>
      <c r="H88" s="19"/>
      <c r="I88" s="19"/>
      <c r="J88" s="19"/>
      <c r="K88" s="6"/>
      <c r="L88" s="6"/>
      <c r="M88" s="6"/>
      <c r="N88" s="6"/>
      <c r="O88" s="6"/>
      <c r="P88" s="6"/>
      <c r="Q88" s="6"/>
      <c r="R88" s="19"/>
      <c r="S88" s="19"/>
      <c r="T88" s="19"/>
      <c r="U88" s="19"/>
    </row>
    <row r="89" spans="1:21" ht="18.75" customHeight="1" x14ac:dyDescent="0.15">
      <c r="A89" s="1" t="s">
        <v>108</v>
      </c>
    </row>
    <row r="90" spans="1:21" ht="18.75" customHeight="1" x14ac:dyDescent="0.15">
      <c r="B90" s="149" t="s">
        <v>53</v>
      </c>
      <c r="C90" s="150"/>
      <c r="D90" s="98" t="s">
        <v>54</v>
      </c>
      <c r="E90" s="99"/>
      <c r="F90" s="99"/>
      <c r="G90" s="99"/>
      <c r="H90" s="99"/>
      <c r="I90" s="99"/>
      <c r="J90" s="99"/>
      <c r="K90" s="99"/>
      <c r="L90" s="99"/>
      <c r="M90" s="99"/>
      <c r="N90" s="99"/>
      <c r="O90" s="99"/>
      <c r="P90" s="99"/>
      <c r="Q90" s="99"/>
      <c r="R90" s="99"/>
      <c r="S90" s="99"/>
      <c r="T90" s="99"/>
      <c r="U90" s="100"/>
    </row>
    <row r="91" spans="1:21" ht="97.5" customHeight="1" x14ac:dyDescent="0.15">
      <c r="B91" s="120" t="s">
        <v>60</v>
      </c>
      <c r="C91" s="20" t="s">
        <v>55</v>
      </c>
      <c r="D91" s="159" t="s">
        <v>150</v>
      </c>
      <c r="E91" s="160"/>
      <c r="F91" s="160"/>
      <c r="G91" s="160"/>
      <c r="H91" s="160"/>
      <c r="I91" s="160"/>
      <c r="J91" s="160"/>
      <c r="K91" s="160"/>
      <c r="L91" s="160"/>
      <c r="M91" s="160"/>
      <c r="N91" s="160"/>
      <c r="O91" s="160"/>
      <c r="P91" s="160"/>
      <c r="Q91" s="160"/>
      <c r="R91" s="160"/>
      <c r="S91" s="160"/>
      <c r="T91" s="160"/>
      <c r="U91" s="161"/>
    </row>
    <row r="92" spans="1:21" ht="97.5" customHeight="1" x14ac:dyDescent="0.15">
      <c r="B92" s="125"/>
      <c r="C92" s="21" t="s">
        <v>75</v>
      </c>
      <c r="D92" s="171" t="s">
        <v>151</v>
      </c>
      <c r="E92" s="157"/>
      <c r="F92" s="157"/>
      <c r="G92" s="157"/>
      <c r="H92" s="157"/>
      <c r="I92" s="157"/>
      <c r="J92" s="157"/>
      <c r="K92" s="157"/>
      <c r="L92" s="157"/>
      <c r="M92" s="157"/>
      <c r="N92" s="157"/>
      <c r="O92" s="157"/>
      <c r="P92" s="157"/>
      <c r="Q92" s="157"/>
      <c r="R92" s="157"/>
      <c r="S92" s="157"/>
      <c r="T92" s="157"/>
      <c r="U92" s="158"/>
    </row>
    <row r="93" spans="1:21" ht="97.5" customHeight="1" x14ac:dyDescent="0.15">
      <c r="B93" s="120" t="s">
        <v>61</v>
      </c>
      <c r="C93" s="22" t="s">
        <v>69</v>
      </c>
      <c r="D93" s="159" t="s">
        <v>158</v>
      </c>
      <c r="E93" s="160"/>
      <c r="F93" s="160"/>
      <c r="G93" s="160"/>
      <c r="H93" s="160"/>
      <c r="I93" s="160"/>
      <c r="J93" s="160"/>
      <c r="K93" s="160"/>
      <c r="L93" s="160"/>
      <c r="M93" s="160"/>
      <c r="N93" s="160"/>
      <c r="O93" s="160"/>
      <c r="P93" s="160"/>
      <c r="Q93" s="160"/>
      <c r="R93" s="160"/>
      <c r="S93" s="160"/>
      <c r="T93" s="160"/>
      <c r="U93" s="161"/>
    </row>
    <row r="94" spans="1:21" ht="97.5" customHeight="1" x14ac:dyDescent="0.15">
      <c r="B94" s="121"/>
      <c r="C94" s="23" t="s">
        <v>70</v>
      </c>
      <c r="D94" s="156" t="s">
        <v>159</v>
      </c>
      <c r="E94" s="157"/>
      <c r="F94" s="157"/>
      <c r="G94" s="157"/>
      <c r="H94" s="157"/>
      <c r="I94" s="157"/>
      <c r="J94" s="157"/>
      <c r="K94" s="157"/>
      <c r="L94" s="157"/>
      <c r="M94" s="157"/>
      <c r="N94" s="157"/>
      <c r="O94" s="157"/>
      <c r="P94" s="157"/>
      <c r="Q94" s="157"/>
      <c r="R94" s="157"/>
      <c r="S94" s="157"/>
      <c r="T94" s="157"/>
      <c r="U94" s="158"/>
    </row>
    <row r="95" spans="1:21" ht="97.5" customHeight="1" x14ac:dyDescent="0.15">
      <c r="B95" s="120" t="s">
        <v>62</v>
      </c>
      <c r="C95" s="22" t="s">
        <v>71</v>
      </c>
      <c r="D95" s="159" t="s">
        <v>160</v>
      </c>
      <c r="E95" s="160"/>
      <c r="F95" s="160"/>
      <c r="G95" s="160"/>
      <c r="H95" s="160"/>
      <c r="I95" s="160"/>
      <c r="J95" s="160"/>
      <c r="K95" s="160"/>
      <c r="L95" s="160"/>
      <c r="M95" s="160"/>
      <c r="N95" s="160"/>
      <c r="O95" s="160"/>
      <c r="P95" s="160"/>
      <c r="Q95" s="160"/>
      <c r="R95" s="160"/>
      <c r="S95" s="160"/>
      <c r="T95" s="160"/>
      <c r="U95" s="161"/>
    </row>
    <row r="96" spans="1:21" ht="97.5" customHeight="1" x14ac:dyDescent="0.15">
      <c r="B96" s="121"/>
      <c r="C96" s="24" t="s">
        <v>72</v>
      </c>
      <c r="D96" s="156" t="s">
        <v>161</v>
      </c>
      <c r="E96" s="157"/>
      <c r="F96" s="157"/>
      <c r="G96" s="157"/>
      <c r="H96" s="157"/>
      <c r="I96" s="157"/>
      <c r="J96" s="157"/>
      <c r="K96" s="157"/>
      <c r="L96" s="157"/>
      <c r="M96" s="157"/>
      <c r="N96" s="157"/>
      <c r="O96" s="157"/>
      <c r="P96" s="157"/>
      <c r="Q96" s="157"/>
      <c r="R96" s="157"/>
      <c r="S96" s="157"/>
      <c r="T96" s="157"/>
      <c r="U96" s="158"/>
    </row>
    <row r="97" spans="1:33" ht="97.5" customHeight="1" x14ac:dyDescent="0.15">
      <c r="B97" s="120" t="s">
        <v>76</v>
      </c>
      <c r="C97" s="20" t="s">
        <v>57</v>
      </c>
      <c r="D97" s="159" t="s">
        <v>152</v>
      </c>
      <c r="E97" s="160"/>
      <c r="F97" s="160"/>
      <c r="G97" s="160"/>
      <c r="H97" s="160"/>
      <c r="I97" s="160"/>
      <c r="J97" s="160"/>
      <c r="K97" s="160"/>
      <c r="L97" s="160"/>
      <c r="M97" s="160"/>
      <c r="N97" s="160"/>
      <c r="O97" s="160"/>
      <c r="P97" s="160"/>
      <c r="Q97" s="160"/>
      <c r="R97" s="160"/>
      <c r="S97" s="160"/>
      <c r="T97" s="160"/>
      <c r="U97" s="161"/>
    </row>
    <row r="98" spans="1:33" ht="97.5" customHeight="1" x14ac:dyDescent="0.15">
      <c r="B98" s="121"/>
      <c r="C98" s="23" t="s">
        <v>59</v>
      </c>
      <c r="D98" s="156" t="s">
        <v>153</v>
      </c>
      <c r="E98" s="157"/>
      <c r="F98" s="157"/>
      <c r="G98" s="157"/>
      <c r="H98" s="157"/>
      <c r="I98" s="157"/>
      <c r="J98" s="157"/>
      <c r="K98" s="157"/>
      <c r="L98" s="157"/>
      <c r="M98" s="157"/>
      <c r="N98" s="157"/>
      <c r="O98" s="157"/>
      <c r="P98" s="157"/>
      <c r="Q98" s="157"/>
      <c r="R98" s="157"/>
      <c r="S98" s="157"/>
      <c r="T98" s="157"/>
      <c r="U98" s="158"/>
    </row>
    <row r="99" spans="1:33" ht="97.5" customHeight="1" x14ac:dyDescent="0.15">
      <c r="B99" s="120" t="s">
        <v>77</v>
      </c>
      <c r="C99" s="22" t="s">
        <v>56</v>
      </c>
      <c r="D99" s="159" t="s">
        <v>156</v>
      </c>
      <c r="E99" s="160"/>
      <c r="F99" s="160"/>
      <c r="G99" s="160"/>
      <c r="H99" s="160"/>
      <c r="I99" s="160"/>
      <c r="J99" s="160"/>
      <c r="K99" s="160"/>
      <c r="L99" s="160"/>
      <c r="M99" s="160"/>
      <c r="N99" s="160"/>
      <c r="O99" s="160"/>
      <c r="P99" s="160"/>
      <c r="Q99" s="160"/>
      <c r="R99" s="160"/>
      <c r="S99" s="160"/>
      <c r="T99" s="160"/>
      <c r="U99" s="161"/>
    </row>
    <row r="100" spans="1:33" ht="97.5" customHeight="1" x14ac:dyDescent="0.15">
      <c r="B100" s="125"/>
      <c r="C100" s="25" t="s">
        <v>73</v>
      </c>
      <c r="D100" s="162" t="s">
        <v>155</v>
      </c>
      <c r="E100" s="163"/>
      <c r="F100" s="163"/>
      <c r="G100" s="163"/>
      <c r="H100" s="163"/>
      <c r="I100" s="163"/>
      <c r="J100" s="163"/>
      <c r="K100" s="163"/>
      <c r="L100" s="163"/>
      <c r="M100" s="163"/>
      <c r="N100" s="163"/>
      <c r="O100" s="163"/>
      <c r="P100" s="163"/>
      <c r="Q100" s="163"/>
      <c r="R100" s="163"/>
      <c r="S100" s="163"/>
      <c r="T100" s="163"/>
      <c r="U100" s="164"/>
    </row>
    <row r="101" spans="1:33" ht="97.5" customHeight="1" x14ac:dyDescent="0.15">
      <c r="B101" s="121"/>
      <c r="C101" s="24" t="s">
        <v>74</v>
      </c>
      <c r="D101" s="156" t="s">
        <v>154</v>
      </c>
      <c r="E101" s="157"/>
      <c r="F101" s="157"/>
      <c r="G101" s="157"/>
      <c r="H101" s="157"/>
      <c r="I101" s="157"/>
      <c r="J101" s="157"/>
      <c r="K101" s="157"/>
      <c r="L101" s="157"/>
      <c r="M101" s="157"/>
      <c r="N101" s="157"/>
      <c r="O101" s="157"/>
      <c r="P101" s="157"/>
      <c r="Q101" s="157"/>
      <c r="R101" s="157"/>
      <c r="S101" s="157"/>
      <c r="T101" s="157"/>
      <c r="U101" s="158"/>
    </row>
    <row r="102" spans="1:33" ht="6" customHeight="1" x14ac:dyDescent="0.15"/>
    <row r="103" spans="1:33" ht="18.75" customHeight="1" x14ac:dyDescent="0.15">
      <c r="A103" s="1" t="s">
        <v>109</v>
      </c>
    </row>
    <row r="104" spans="1:33" ht="81.75" customHeight="1" x14ac:dyDescent="0.15">
      <c r="B104" s="140" t="s">
        <v>157</v>
      </c>
      <c r="C104" s="141"/>
      <c r="D104" s="141"/>
      <c r="E104" s="141"/>
      <c r="F104" s="141"/>
      <c r="G104" s="141"/>
      <c r="H104" s="141"/>
      <c r="I104" s="141"/>
      <c r="J104" s="141"/>
      <c r="K104" s="141"/>
      <c r="L104" s="141"/>
      <c r="M104" s="141"/>
      <c r="N104" s="141"/>
      <c r="O104" s="141"/>
      <c r="P104" s="141"/>
      <c r="Q104" s="141"/>
      <c r="R104" s="141"/>
      <c r="S104" s="141"/>
      <c r="T104" s="141"/>
      <c r="U104" s="142"/>
    </row>
    <row r="106" spans="1:33" ht="18.75" customHeight="1" x14ac:dyDescent="0.15">
      <c r="A106" s="70" t="s">
        <v>125</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15">
      <c r="A107" s="70" t="s">
        <v>127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15">
      <c r="A108" s="70"/>
      <c r="B108" s="155" t="s">
        <v>130</v>
      </c>
      <c r="C108" s="155"/>
      <c r="D108" s="155"/>
      <c r="E108" s="155"/>
      <c r="F108" s="155"/>
      <c r="G108" s="155"/>
      <c r="H108" s="155"/>
      <c r="I108" s="155"/>
      <c r="J108" s="155"/>
      <c r="K108" s="155"/>
      <c r="L108" s="155"/>
      <c r="M108" s="155"/>
      <c r="N108" s="155"/>
      <c r="O108" s="155"/>
      <c r="P108" s="155"/>
      <c r="Q108" s="155"/>
      <c r="R108" s="155"/>
      <c r="S108" s="155"/>
      <c r="T108" s="155"/>
      <c r="U108" s="155"/>
      <c r="V108" s="66"/>
      <c r="W108" s="66"/>
      <c r="X108" s="66"/>
      <c r="Y108" s="66"/>
      <c r="Z108" s="66"/>
      <c r="AA108" s="66"/>
      <c r="AB108" s="66"/>
      <c r="AC108" s="66"/>
      <c r="AD108" s="66"/>
      <c r="AE108" s="66"/>
      <c r="AF108" s="66"/>
      <c r="AG108" s="66"/>
    </row>
    <row r="109" spans="1:33" ht="37.15" customHeight="1" x14ac:dyDescent="0.15">
      <c r="A109" s="70"/>
      <c r="B109" s="155"/>
      <c r="C109" s="155"/>
      <c r="D109" s="155"/>
      <c r="E109" s="155"/>
      <c r="F109" s="155"/>
      <c r="G109" s="155"/>
      <c r="H109" s="155"/>
      <c r="I109" s="155"/>
      <c r="J109" s="155"/>
      <c r="K109" s="155"/>
      <c r="L109" s="155"/>
      <c r="M109" s="155"/>
      <c r="N109" s="155"/>
      <c r="O109" s="155"/>
      <c r="P109" s="155"/>
      <c r="Q109" s="155"/>
      <c r="R109" s="155"/>
      <c r="S109" s="155"/>
      <c r="T109" s="155"/>
      <c r="U109" s="155"/>
      <c r="V109" s="66"/>
      <c r="W109" s="66"/>
      <c r="X109" s="66"/>
      <c r="Y109" s="66"/>
      <c r="Z109" s="66"/>
      <c r="AA109" s="66"/>
      <c r="AB109" s="66"/>
      <c r="AC109" s="66"/>
      <c r="AD109" s="66"/>
      <c r="AE109" s="66"/>
      <c r="AF109" s="66"/>
      <c r="AG109" s="66"/>
    </row>
    <row r="110" spans="1:33" ht="18.75" customHeight="1" x14ac:dyDescent="0.15">
      <c r="A110" s="70"/>
      <c r="B110" s="94" t="s">
        <v>126</v>
      </c>
      <c r="C110" s="94"/>
      <c r="D110" s="94"/>
      <c r="E110" s="94"/>
      <c r="F110" s="94"/>
      <c r="G110" s="94"/>
      <c r="H110" s="94"/>
      <c r="I110" s="94"/>
      <c r="J110" s="94"/>
      <c r="K110" s="94"/>
      <c r="L110" s="94"/>
      <c r="M110" s="94"/>
      <c r="N110" s="94"/>
      <c r="O110" s="94"/>
      <c r="P110" s="94"/>
      <c r="Q110" s="94"/>
      <c r="R110" s="94"/>
      <c r="S110" s="94"/>
      <c r="T110" s="94"/>
      <c r="U110" s="94"/>
      <c r="V110" s="66"/>
      <c r="W110" s="66"/>
      <c r="X110" s="66"/>
      <c r="Y110" s="66"/>
      <c r="Z110" s="66"/>
      <c r="AA110" s="66"/>
      <c r="AB110" s="66"/>
      <c r="AC110" s="66"/>
      <c r="AD110" s="66"/>
      <c r="AE110" s="66"/>
      <c r="AF110" s="66"/>
      <c r="AG110" s="66"/>
    </row>
    <row r="111" spans="1:33" ht="18.75" customHeight="1" x14ac:dyDescent="0.15">
      <c r="A111" s="70"/>
      <c r="B111" s="107" t="s">
        <v>54</v>
      </c>
      <c r="C111" s="107"/>
      <c r="D111" s="107"/>
      <c r="E111" s="107"/>
      <c r="F111" s="107"/>
      <c r="G111" s="107"/>
      <c r="H111" s="107"/>
      <c r="I111" s="107"/>
      <c r="J111" s="107"/>
      <c r="K111" s="107"/>
      <c r="L111" s="107"/>
      <c r="M111" s="107"/>
      <c r="N111" s="107"/>
      <c r="O111" s="107"/>
      <c r="P111" s="107"/>
      <c r="Q111" s="107"/>
      <c r="R111" s="107"/>
      <c r="S111" s="107"/>
      <c r="T111" s="107"/>
      <c r="U111" s="107"/>
      <c r="V111" s="65"/>
      <c r="W111" s="65"/>
      <c r="X111" s="65"/>
      <c r="Y111" s="65"/>
      <c r="Z111" s="65"/>
      <c r="AA111" s="65"/>
      <c r="AB111" s="65"/>
      <c r="AC111" s="65"/>
      <c r="AD111" s="65"/>
      <c r="AE111" s="65"/>
      <c r="AF111" s="65"/>
      <c r="AG111" s="65"/>
    </row>
    <row r="112" spans="1:33" ht="132" customHeight="1" x14ac:dyDescent="0.15">
      <c r="A112" s="70"/>
      <c r="B112" s="108" t="s">
        <v>189</v>
      </c>
      <c r="C112" s="109"/>
      <c r="D112" s="109"/>
      <c r="E112" s="109"/>
      <c r="F112" s="109"/>
      <c r="G112" s="109"/>
      <c r="H112" s="109"/>
      <c r="I112" s="109"/>
      <c r="J112" s="109"/>
      <c r="K112" s="109"/>
      <c r="L112" s="109"/>
      <c r="M112" s="109"/>
      <c r="N112" s="109"/>
      <c r="O112" s="109"/>
      <c r="P112" s="109"/>
      <c r="Q112" s="109"/>
      <c r="R112" s="109"/>
      <c r="S112" s="109"/>
      <c r="T112" s="109"/>
      <c r="U112" s="109"/>
      <c r="V112" s="67"/>
      <c r="W112" s="67"/>
      <c r="X112" s="67"/>
      <c r="Y112" s="67"/>
      <c r="Z112" s="67"/>
      <c r="AA112" s="67"/>
      <c r="AB112" s="67"/>
      <c r="AC112" s="67"/>
      <c r="AD112" s="67"/>
      <c r="AE112" s="67"/>
      <c r="AF112" s="67"/>
      <c r="AG112" s="67"/>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5" sqref="B15"/>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1"/>
      <c r="B1" s="71"/>
      <c r="C1" s="71"/>
      <c r="D1" s="71"/>
      <c r="E1" s="71"/>
      <c r="F1" s="71"/>
      <c r="G1" s="71"/>
      <c r="H1" s="71"/>
      <c r="I1" s="71"/>
      <c r="J1" s="71"/>
      <c r="K1" s="71"/>
      <c r="L1" s="71"/>
      <c r="M1" s="71"/>
      <c r="N1" s="71"/>
      <c r="O1" s="71"/>
      <c r="P1" s="71"/>
      <c r="Q1" s="71"/>
      <c r="R1" s="71"/>
      <c r="S1" s="71" t="s">
        <v>98</v>
      </c>
    </row>
    <row r="2" spans="1:21" ht="18" customHeight="1" x14ac:dyDescent="0.15">
      <c r="A2" s="71"/>
      <c r="B2" s="71"/>
      <c r="C2" s="71"/>
      <c r="D2" s="71"/>
      <c r="E2" s="71"/>
      <c r="F2" s="71"/>
      <c r="G2" s="71"/>
      <c r="H2" s="71"/>
      <c r="I2" s="71"/>
      <c r="J2" s="71"/>
      <c r="K2" s="71"/>
      <c r="L2" s="71"/>
      <c r="M2" s="71"/>
      <c r="N2" s="71"/>
      <c r="O2" s="71"/>
      <c r="P2" s="71"/>
      <c r="Q2" s="179" t="str">
        <f>'様式１　プログラムを構成する授業科目'!C2</f>
        <v>西南学院大学</v>
      </c>
      <c r="R2" s="179"/>
      <c r="S2" s="179"/>
    </row>
    <row r="3" spans="1:21" ht="18" customHeight="1" x14ac:dyDescent="0.15">
      <c r="A3" s="129" t="s">
        <v>47</v>
      </c>
      <c r="B3" s="129"/>
      <c r="C3" s="129"/>
      <c r="D3" s="129"/>
      <c r="E3" s="129"/>
      <c r="F3" s="129"/>
      <c r="G3" s="129"/>
      <c r="H3" s="129"/>
      <c r="I3" s="129"/>
      <c r="J3" s="129"/>
      <c r="K3" s="129"/>
      <c r="L3" s="129"/>
      <c r="M3" s="129"/>
      <c r="N3" s="129"/>
      <c r="O3" s="129"/>
      <c r="P3" s="129"/>
      <c r="Q3" s="129"/>
      <c r="R3" s="129"/>
      <c r="S3" s="129"/>
    </row>
    <row r="4" spans="1:21" ht="7.5" customHeight="1" x14ac:dyDescent="0.15">
      <c r="A4" s="76"/>
      <c r="B4" s="76"/>
      <c r="C4" s="76"/>
      <c r="D4" s="76"/>
      <c r="E4" s="76"/>
      <c r="F4" s="76"/>
      <c r="G4" s="76"/>
      <c r="H4" s="76"/>
      <c r="I4" s="76"/>
      <c r="J4" s="76"/>
      <c r="K4" s="76"/>
      <c r="L4" s="76"/>
      <c r="M4" s="76"/>
      <c r="N4" s="76"/>
      <c r="O4" s="76"/>
      <c r="P4" s="76"/>
      <c r="Q4" s="76"/>
      <c r="R4" s="76"/>
      <c r="S4" s="76"/>
    </row>
    <row r="5" spans="1:21" ht="18" customHeight="1" x14ac:dyDescent="0.15">
      <c r="A5" s="71" t="s">
        <v>80</v>
      </c>
      <c r="B5" s="71"/>
      <c r="C5" s="180" t="s">
        <v>181</v>
      </c>
      <c r="D5" s="181"/>
      <c r="E5" s="76" t="s">
        <v>51</v>
      </c>
      <c r="F5" s="76"/>
      <c r="G5" s="76"/>
      <c r="H5" s="76"/>
      <c r="I5" s="76"/>
      <c r="J5" s="76"/>
      <c r="K5" s="76"/>
      <c r="L5" s="76"/>
      <c r="M5" s="76"/>
      <c r="N5" s="76"/>
      <c r="O5" s="76"/>
      <c r="P5" s="76"/>
      <c r="Q5" s="76"/>
      <c r="R5" s="74"/>
      <c r="S5" s="74"/>
    </row>
    <row r="6" spans="1:21" ht="7.15" customHeight="1" x14ac:dyDescent="0.15">
      <c r="A6" s="71"/>
      <c r="B6" s="71"/>
      <c r="C6" s="79"/>
      <c r="D6" s="79"/>
      <c r="E6" s="76"/>
      <c r="F6" s="76"/>
      <c r="G6" s="76"/>
      <c r="H6" s="76"/>
      <c r="I6" s="76"/>
      <c r="J6" s="76"/>
      <c r="K6" s="76"/>
      <c r="L6" s="76"/>
      <c r="M6" s="76"/>
      <c r="N6" s="76"/>
      <c r="O6" s="76"/>
      <c r="P6" s="76"/>
      <c r="Q6" s="76"/>
      <c r="R6" s="74"/>
      <c r="S6" s="74"/>
    </row>
    <row r="7" spans="1:21" ht="18" customHeight="1" x14ac:dyDescent="0.15">
      <c r="A7" s="71" t="s">
        <v>118</v>
      </c>
      <c r="B7" s="71"/>
      <c r="C7" s="79"/>
      <c r="D7" s="79"/>
      <c r="E7" s="76" t="s">
        <v>119</v>
      </c>
      <c r="F7" s="90">
        <v>3344</v>
      </c>
      <c r="G7" s="77" t="s">
        <v>120</v>
      </c>
      <c r="H7" s="76" t="s">
        <v>121</v>
      </c>
      <c r="I7" s="90">
        <v>4841</v>
      </c>
      <c r="J7" s="77" t="s">
        <v>120</v>
      </c>
      <c r="K7" s="72" t="s">
        <v>122</v>
      </c>
      <c r="L7" s="76" t="s">
        <v>123</v>
      </c>
      <c r="M7" s="90">
        <f>F7+I7</f>
        <v>8185</v>
      </c>
      <c r="N7" s="76" t="s">
        <v>1</v>
      </c>
      <c r="O7" s="77" t="s">
        <v>124</v>
      </c>
      <c r="P7" s="76"/>
      <c r="Q7" s="76"/>
      <c r="R7" s="74"/>
      <c r="S7" s="74"/>
    </row>
    <row r="8" spans="1:21" ht="6" customHeight="1" x14ac:dyDescent="0.15">
      <c r="A8" s="76"/>
      <c r="B8" s="76"/>
      <c r="C8" s="76"/>
      <c r="D8" s="76"/>
      <c r="E8" s="76"/>
      <c r="F8" s="76"/>
      <c r="G8" s="76"/>
      <c r="H8" s="76"/>
      <c r="I8" s="76"/>
      <c r="J8" s="76"/>
      <c r="K8" s="76"/>
      <c r="L8" s="76"/>
      <c r="M8" s="76"/>
      <c r="N8" s="76"/>
      <c r="O8" s="76"/>
      <c r="P8" s="76"/>
      <c r="Q8" s="76"/>
      <c r="R8" s="76"/>
      <c r="S8" s="76"/>
    </row>
    <row r="9" spans="1:21" ht="18" customHeight="1" x14ac:dyDescent="0.15">
      <c r="A9" s="71" t="s">
        <v>134</v>
      </c>
      <c r="B9" s="76"/>
      <c r="C9" s="76"/>
      <c r="D9" s="76"/>
      <c r="E9" s="76"/>
      <c r="F9" s="76"/>
      <c r="G9" s="76"/>
      <c r="H9" s="76"/>
      <c r="I9" s="76"/>
      <c r="J9" s="76"/>
      <c r="K9" s="76"/>
      <c r="L9" s="76"/>
      <c r="M9" s="76"/>
      <c r="N9" s="76"/>
      <c r="O9" s="76"/>
      <c r="P9" s="76"/>
      <c r="Q9" s="76"/>
      <c r="R9" s="76"/>
      <c r="S9" s="7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82" t="s">
        <v>44</v>
      </c>
      <c r="C11" s="192" t="s">
        <v>83</v>
      </c>
      <c r="D11" s="184" t="s">
        <v>46</v>
      </c>
      <c r="E11" s="186" t="s">
        <v>39</v>
      </c>
      <c r="F11" s="178" t="s">
        <v>112</v>
      </c>
      <c r="G11" s="178"/>
      <c r="H11" s="178" t="s">
        <v>82</v>
      </c>
      <c r="I11" s="178"/>
      <c r="J11" s="178" t="s">
        <v>48</v>
      </c>
      <c r="K11" s="178"/>
      <c r="L11" s="178" t="s">
        <v>49</v>
      </c>
      <c r="M11" s="178"/>
      <c r="N11" s="178" t="s">
        <v>92</v>
      </c>
      <c r="O11" s="178"/>
      <c r="P11" s="178" t="s">
        <v>50</v>
      </c>
      <c r="Q11" s="178"/>
      <c r="R11" s="188" t="s">
        <v>35</v>
      </c>
      <c r="S11" s="190" t="s">
        <v>32</v>
      </c>
      <c r="U11" s="2"/>
    </row>
    <row r="12" spans="1:21" ht="16.899999999999999" customHeight="1" x14ac:dyDescent="0.15">
      <c r="B12" s="183"/>
      <c r="C12" s="193"/>
      <c r="D12" s="185"/>
      <c r="E12" s="187"/>
      <c r="F12" s="60" t="s">
        <v>91</v>
      </c>
      <c r="G12" s="60" t="s">
        <v>29</v>
      </c>
      <c r="H12" s="60" t="s">
        <v>91</v>
      </c>
      <c r="I12" s="60" t="s">
        <v>29</v>
      </c>
      <c r="J12" s="60" t="s">
        <v>91</v>
      </c>
      <c r="K12" s="60" t="s">
        <v>29</v>
      </c>
      <c r="L12" s="60" t="s">
        <v>91</v>
      </c>
      <c r="M12" s="60" t="s">
        <v>29</v>
      </c>
      <c r="N12" s="60" t="s">
        <v>91</v>
      </c>
      <c r="O12" s="60" t="s">
        <v>29</v>
      </c>
      <c r="P12" s="60" t="s">
        <v>91</v>
      </c>
      <c r="Q12" s="61" t="s">
        <v>29</v>
      </c>
      <c r="R12" s="189"/>
      <c r="S12" s="191"/>
      <c r="U12" s="2"/>
    </row>
    <row r="13" spans="1:21" ht="18" customHeight="1" x14ac:dyDescent="0.15">
      <c r="A13" s="6"/>
      <c r="B13" s="62" t="s">
        <v>162</v>
      </c>
      <c r="C13" s="48">
        <v>46</v>
      </c>
      <c r="D13" s="49">
        <v>10</v>
      </c>
      <c r="E13" s="50">
        <v>40</v>
      </c>
      <c r="F13" s="50">
        <v>10</v>
      </c>
      <c r="G13" s="50">
        <v>8</v>
      </c>
      <c r="H13" s="50"/>
      <c r="I13" s="50"/>
      <c r="J13" s="50"/>
      <c r="K13" s="50"/>
      <c r="L13" s="50"/>
      <c r="M13" s="50"/>
      <c r="N13" s="50"/>
      <c r="O13" s="50"/>
      <c r="P13" s="50"/>
      <c r="Q13" s="63"/>
      <c r="R13" s="49">
        <f t="shared" ref="R13:R32" si="0">F13+H13+J13+L13+N13+P13</f>
        <v>10</v>
      </c>
      <c r="S13" s="80">
        <f>IFERROR(R13/E13,"")</f>
        <v>0.25</v>
      </c>
    </row>
    <row r="14" spans="1:21" s="83" customFormat="1" ht="18" customHeight="1" x14ac:dyDescent="0.15">
      <c r="A14" s="6"/>
      <c r="B14" s="84" t="s">
        <v>194</v>
      </c>
      <c r="C14" s="85">
        <v>75</v>
      </c>
      <c r="D14" s="86">
        <v>0</v>
      </c>
      <c r="E14" s="87">
        <v>0</v>
      </c>
      <c r="F14" s="88">
        <v>0</v>
      </c>
      <c r="G14" s="88">
        <v>0</v>
      </c>
      <c r="H14" s="88"/>
      <c r="I14" s="88"/>
      <c r="J14" s="88"/>
      <c r="K14" s="88"/>
      <c r="L14" s="88"/>
      <c r="M14" s="88"/>
      <c r="N14" s="88"/>
      <c r="O14" s="88"/>
      <c r="P14" s="88"/>
      <c r="Q14" s="85"/>
      <c r="R14" s="86">
        <f>F14+H14+J14+L14+N14+P14</f>
        <v>0</v>
      </c>
      <c r="S14" s="89" t="str">
        <f>IFERROR(R14/E14,"")</f>
        <v/>
      </c>
    </row>
    <row r="15" spans="1:21" ht="18" customHeight="1" x14ac:dyDescent="0.15">
      <c r="A15" s="6"/>
      <c r="B15" s="84" t="s">
        <v>163</v>
      </c>
      <c r="C15" s="85">
        <v>1188</v>
      </c>
      <c r="D15" s="86">
        <v>300</v>
      </c>
      <c r="E15" s="87">
        <v>1200</v>
      </c>
      <c r="F15" s="88">
        <v>283</v>
      </c>
      <c r="G15" s="88">
        <v>276</v>
      </c>
      <c r="H15" s="88"/>
      <c r="I15" s="88"/>
      <c r="J15" s="88"/>
      <c r="K15" s="88"/>
      <c r="L15" s="88"/>
      <c r="M15" s="88"/>
      <c r="N15" s="88"/>
      <c r="O15" s="88"/>
      <c r="P15" s="88"/>
      <c r="Q15" s="85"/>
      <c r="R15" s="86">
        <f t="shared" si="0"/>
        <v>283</v>
      </c>
      <c r="S15" s="89">
        <f t="shared" ref="S15:S32" si="1">IFERROR(R15/E15,"")</f>
        <v>0.23583333333333334</v>
      </c>
    </row>
    <row r="16" spans="1:21" ht="18" customHeight="1" x14ac:dyDescent="0.15">
      <c r="A16" s="6"/>
      <c r="B16" s="9" t="s">
        <v>164</v>
      </c>
      <c r="C16" s="51">
        <v>1524</v>
      </c>
      <c r="D16" s="52">
        <v>360</v>
      </c>
      <c r="E16" s="53">
        <v>1440</v>
      </c>
      <c r="F16" s="54">
        <v>346</v>
      </c>
      <c r="G16" s="54">
        <v>342</v>
      </c>
      <c r="H16" s="54"/>
      <c r="I16" s="54"/>
      <c r="J16" s="54"/>
      <c r="K16" s="54"/>
      <c r="L16" s="54"/>
      <c r="M16" s="54"/>
      <c r="N16" s="54"/>
      <c r="O16" s="54"/>
      <c r="P16" s="54"/>
      <c r="Q16" s="51"/>
      <c r="R16" s="52">
        <f t="shared" si="0"/>
        <v>346</v>
      </c>
      <c r="S16" s="7">
        <f t="shared" si="1"/>
        <v>0.24027777777777778</v>
      </c>
    </row>
    <row r="17" spans="1:19" ht="18" customHeight="1" x14ac:dyDescent="0.15">
      <c r="A17" s="6"/>
      <c r="B17" s="9" t="s">
        <v>165</v>
      </c>
      <c r="C17" s="51">
        <v>1503</v>
      </c>
      <c r="D17" s="52">
        <v>360</v>
      </c>
      <c r="E17" s="53">
        <v>1440</v>
      </c>
      <c r="F17" s="54">
        <v>368</v>
      </c>
      <c r="G17" s="54">
        <v>360</v>
      </c>
      <c r="H17" s="54"/>
      <c r="I17" s="54"/>
      <c r="J17" s="54"/>
      <c r="K17" s="54"/>
      <c r="L17" s="54"/>
      <c r="M17" s="54"/>
      <c r="N17" s="54"/>
      <c r="O17" s="54"/>
      <c r="P17" s="54"/>
      <c r="Q17" s="51"/>
      <c r="R17" s="52">
        <f t="shared" si="0"/>
        <v>368</v>
      </c>
      <c r="S17" s="7">
        <f t="shared" si="1"/>
        <v>0.25555555555555554</v>
      </c>
    </row>
    <row r="18" spans="1:19" ht="18" customHeight="1" x14ac:dyDescent="0.15">
      <c r="A18" s="6"/>
      <c r="B18" s="9" t="s">
        <v>166</v>
      </c>
      <c r="C18" s="51">
        <v>1718</v>
      </c>
      <c r="D18" s="52">
        <v>410</v>
      </c>
      <c r="E18" s="53">
        <v>1640</v>
      </c>
      <c r="F18" s="54">
        <v>439</v>
      </c>
      <c r="G18" s="54">
        <v>437</v>
      </c>
      <c r="H18" s="54"/>
      <c r="I18" s="54"/>
      <c r="J18" s="54"/>
      <c r="K18" s="54"/>
      <c r="L18" s="54"/>
      <c r="M18" s="54"/>
      <c r="N18" s="54"/>
      <c r="O18" s="54"/>
      <c r="P18" s="54"/>
      <c r="Q18" s="51"/>
      <c r="R18" s="52">
        <f t="shared" si="0"/>
        <v>439</v>
      </c>
      <c r="S18" s="7">
        <f t="shared" si="1"/>
        <v>0.26768292682926831</v>
      </c>
    </row>
    <row r="19" spans="1:19" ht="18" customHeight="1" x14ac:dyDescent="0.15">
      <c r="A19" s="6"/>
      <c r="B19" s="9" t="s">
        <v>167</v>
      </c>
      <c r="C19" s="51">
        <v>1387</v>
      </c>
      <c r="D19" s="52">
        <v>335</v>
      </c>
      <c r="E19" s="53">
        <v>1340</v>
      </c>
      <c r="F19" s="54">
        <v>336</v>
      </c>
      <c r="G19" s="54">
        <v>327</v>
      </c>
      <c r="H19" s="54"/>
      <c r="I19" s="54"/>
      <c r="J19" s="54"/>
      <c r="K19" s="54"/>
      <c r="L19" s="54"/>
      <c r="M19" s="54"/>
      <c r="N19" s="54"/>
      <c r="O19" s="54"/>
      <c r="P19" s="54"/>
      <c r="Q19" s="51"/>
      <c r="R19" s="52">
        <f t="shared" si="0"/>
        <v>336</v>
      </c>
      <c r="S19" s="7">
        <f t="shared" si="1"/>
        <v>0.2507462686567164</v>
      </c>
    </row>
    <row r="20" spans="1:19" ht="18" customHeight="1" x14ac:dyDescent="0.15">
      <c r="A20" s="6"/>
      <c r="B20" s="9" t="s">
        <v>168</v>
      </c>
      <c r="C20" s="51">
        <v>744</v>
      </c>
      <c r="D20" s="52">
        <v>180</v>
      </c>
      <c r="E20" s="53">
        <v>720</v>
      </c>
      <c r="F20" s="54">
        <v>171</v>
      </c>
      <c r="G20" s="54">
        <v>168</v>
      </c>
      <c r="H20" s="54"/>
      <c r="I20" s="54"/>
      <c r="J20" s="54"/>
      <c r="K20" s="54"/>
      <c r="L20" s="54"/>
      <c r="M20" s="54"/>
      <c r="N20" s="54"/>
      <c r="O20" s="54"/>
      <c r="P20" s="54"/>
      <c r="Q20" s="51"/>
      <c r="R20" s="52">
        <f t="shared" si="0"/>
        <v>171</v>
      </c>
      <c r="S20" s="7">
        <f t="shared" si="1"/>
        <v>0.23749999999999999</v>
      </c>
    </row>
    <row r="21" spans="1:19" ht="18" customHeight="1" x14ac:dyDescent="0.15">
      <c r="A21" s="6"/>
      <c r="B21" s="9"/>
      <c r="C21" s="51"/>
      <c r="D21" s="52"/>
      <c r="E21" s="53"/>
      <c r="F21" s="54"/>
      <c r="G21" s="54"/>
      <c r="H21" s="54"/>
      <c r="I21" s="54"/>
      <c r="J21" s="54"/>
      <c r="K21" s="54"/>
      <c r="L21" s="54"/>
      <c r="M21" s="54"/>
      <c r="N21" s="54"/>
      <c r="O21" s="54"/>
      <c r="P21" s="54"/>
      <c r="Q21" s="51"/>
      <c r="R21" s="52">
        <f t="shared" si="0"/>
        <v>0</v>
      </c>
      <c r="S21" s="7" t="str">
        <f t="shared" si="1"/>
        <v/>
      </c>
    </row>
    <row r="22" spans="1:19" ht="18" customHeight="1" x14ac:dyDescent="0.15">
      <c r="A22" s="6"/>
      <c r="B22" s="9"/>
      <c r="C22" s="51"/>
      <c r="D22" s="52"/>
      <c r="E22" s="53"/>
      <c r="F22" s="54"/>
      <c r="G22" s="54"/>
      <c r="H22" s="54"/>
      <c r="I22" s="54"/>
      <c r="J22" s="54"/>
      <c r="K22" s="54"/>
      <c r="L22" s="54"/>
      <c r="M22" s="54"/>
      <c r="N22" s="54"/>
      <c r="O22" s="54"/>
      <c r="P22" s="54"/>
      <c r="Q22" s="51"/>
      <c r="R22" s="52">
        <f t="shared" si="0"/>
        <v>0</v>
      </c>
      <c r="S22" s="7" t="str">
        <f t="shared" si="1"/>
        <v/>
      </c>
    </row>
    <row r="23" spans="1:19" ht="18" customHeight="1" x14ac:dyDescent="0.15">
      <c r="A23" s="6"/>
      <c r="B23" s="9"/>
      <c r="C23" s="51"/>
      <c r="D23" s="52"/>
      <c r="E23" s="53"/>
      <c r="F23" s="54"/>
      <c r="G23" s="54"/>
      <c r="H23" s="54"/>
      <c r="I23" s="54"/>
      <c r="J23" s="54"/>
      <c r="K23" s="54"/>
      <c r="L23" s="54"/>
      <c r="M23" s="54"/>
      <c r="N23" s="54"/>
      <c r="O23" s="54"/>
      <c r="P23" s="54"/>
      <c r="Q23" s="51"/>
      <c r="R23" s="52">
        <f t="shared" si="0"/>
        <v>0</v>
      </c>
      <c r="S23" s="7" t="str">
        <f t="shared" si="1"/>
        <v/>
      </c>
    </row>
    <row r="24" spans="1:19" ht="18" customHeight="1" x14ac:dyDescent="0.15">
      <c r="A24" s="6"/>
      <c r="B24" s="9"/>
      <c r="C24" s="51"/>
      <c r="D24" s="52"/>
      <c r="E24" s="53"/>
      <c r="F24" s="54"/>
      <c r="G24" s="54"/>
      <c r="H24" s="54"/>
      <c r="I24" s="54"/>
      <c r="J24" s="54"/>
      <c r="K24" s="54"/>
      <c r="L24" s="54"/>
      <c r="M24" s="54"/>
      <c r="N24" s="54"/>
      <c r="O24" s="54"/>
      <c r="P24" s="54"/>
      <c r="Q24" s="51"/>
      <c r="R24" s="52">
        <f t="shared" si="0"/>
        <v>0</v>
      </c>
      <c r="S24" s="7" t="str">
        <f t="shared" si="1"/>
        <v/>
      </c>
    </row>
    <row r="25" spans="1:19" ht="18" customHeight="1" x14ac:dyDescent="0.15">
      <c r="A25" s="6"/>
      <c r="B25" s="9"/>
      <c r="C25" s="51"/>
      <c r="D25" s="52"/>
      <c r="E25" s="53"/>
      <c r="F25" s="54"/>
      <c r="G25" s="54"/>
      <c r="H25" s="54"/>
      <c r="I25" s="54"/>
      <c r="J25" s="54"/>
      <c r="K25" s="54"/>
      <c r="L25" s="54"/>
      <c r="M25" s="54"/>
      <c r="N25" s="54"/>
      <c r="O25" s="54"/>
      <c r="P25" s="54"/>
      <c r="Q25" s="51"/>
      <c r="R25" s="52">
        <f t="shared" si="0"/>
        <v>0</v>
      </c>
      <c r="S25" s="7" t="str">
        <f t="shared" si="1"/>
        <v/>
      </c>
    </row>
    <row r="26" spans="1:19" ht="18" customHeight="1" x14ac:dyDescent="0.15">
      <c r="A26" s="6"/>
      <c r="B26" s="9"/>
      <c r="C26" s="51"/>
      <c r="D26" s="52"/>
      <c r="E26" s="53"/>
      <c r="F26" s="54"/>
      <c r="G26" s="54"/>
      <c r="H26" s="54"/>
      <c r="I26" s="54"/>
      <c r="J26" s="54"/>
      <c r="K26" s="54"/>
      <c r="L26" s="54"/>
      <c r="M26" s="54"/>
      <c r="N26" s="54"/>
      <c r="O26" s="54"/>
      <c r="P26" s="54"/>
      <c r="Q26" s="51"/>
      <c r="R26" s="52">
        <f t="shared" si="0"/>
        <v>0</v>
      </c>
      <c r="S26" s="7" t="str">
        <f t="shared" si="1"/>
        <v/>
      </c>
    </row>
    <row r="27" spans="1:19" ht="18" customHeight="1" x14ac:dyDescent="0.15">
      <c r="A27" s="6"/>
      <c r="B27" s="9"/>
      <c r="C27" s="51"/>
      <c r="D27" s="52"/>
      <c r="E27" s="53"/>
      <c r="F27" s="54"/>
      <c r="G27" s="54"/>
      <c r="H27" s="54"/>
      <c r="I27" s="54"/>
      <c r="J27" s="54"/>
      <c r="K27" s="54"/>
      <c r="L27" s="54"/>
      <c r="M27" s="54"/>
      <c r="N27" s="54"/>
      <c r="O27" s="54"/>
      <c r="P27" s="54"/>
      <c r="Q27" s="51"/>
      <c r="R27" s="52">
        <f t="shared" si="0"/>
        <v>0</v>
      </c>
      <c r="S27" s="7" t="str">
        <f t="shared" si="1"/>
        <v/>
      </c>
    </row>
    <row r="28" spans="1:19" ht="18" customHeight="1" x14ac:dyDescent="0.15">
      <c r="A28" s="6"/>
      <c r="B28" s="9"/>
      <c r="C28" s="51"/>
      <c r="D28" s="52"/>
      <c r="E28" s="53"/>
      <c r="F28" s="54"/>
      <c r="G28" s="54"/>
      <c r="H28" s="54"/>
      <c r="I28" s="54"/>
      <c r="J28" s="54"/>
      <c r="K28" s="54"/>
      <c r="L28" s="54"/>
      <c r="M28" s="54"/>
      <c r="N28" s="54"/>
      <c r="O28" s="54"/>
      <c r="P28" s="54"/>
      <c r="Q28" s="51"/>
      <c r="R28" s="52">
        <f t="shared" si="0"/>
        <v>0</v>
      </c>
      <c r="S28" s="7" t="str">
        <f t="shared" si="1"/>
        <v/>
      </c>
    </row>
    <row r="29" spans="1:19" ht="18" customHeight="1" x14ac:dyDescent="0.15">
      <c r="A29" s="6"/>
      <c r="B29" s="9"/>
      <c r="C29" s="51"/>
      <c r="D29" s="52"/>
      <c r="E29" s="53"/>
      <c r="F29" s="54"/>
      <c r="G29" s="54"/>
      <c r="H29" s="54"/>
      <c r="I29" s="54"/>
      <c r="J29" s="54"/>
      <c r="K29" s="54"/>
      <c r="L29" s="54"/>
      <c r="M29" s="54"/>
      <c r="N29" s="54"/>
      <c r="O29" s="54"/>
      <c r="P29" s="54"/>
      <c r="Q29" s="51"/>
      <c r="R29" s="52">
        <f t="shared" si="0"/>
        <v>0</v>
      </c>
      <c r="S29" s="7" t="str">
        <f t="shared" si="1"/>
        <v/>
      </c>
    </row>
    <row r="30" spans="1:19" ht="18" customHeight="1" x14ac:dyDescent="0.15">
      <c r="A30" s="6"/>
      <c r="B30" s="9"/>
      <c r="C30" s="51"/>
      <c r="D30" s="55"/>
      <c r="E30" s="53"/>
      <c r="F30" s="54"/>
      <c r="G30" s="54"/>
      <c r="H30" s="54"/>
      <c r="I30" s="54"/>
      <c r="J30" s="54"/>
      <c r="K30" s="54"/>
      <c r="L30" s="54"/>
      <c r="M30" s="54"/>
      <c r="N30" s="54"/>
      <c r="O30" s="54"/>
      <c r="P30" s="54"/>
      <c r="Q30" s="51"/>
      <c r="R30" s="55">
        <f t="shared" si="0"/>
        <v>0</v>
      </c>
      <c r="S30" s="7" t="str">
        <f t="shared" si="1"/>
        <v/>
      </c>
    </row>
    <row r="31" spans="1:19" ht="18" customHeight="1" x14ac:dyDescent="0.15">
      <c r="A31" s="6"/>
      <c r="B31" s="9"/>
      <c r="C31" s="51"/>
      <c r="D31" s="55"/>
      <c r="E31" s="53"/>
      <c r="F31" s="54"/>
      <c r="G31" s="54"/>
      <c r="H31" s="54"/>
      <c r="I31" s="54"/>
      <c r="J31" s="54"/>
      <c r="K31" s="54"/>
      <c r="L31" s="54"/>
      <c r="M31" s="54"/>
      <c r="N31" s="54"/>
      <c r="O31" s="54"/>
      <c r="P31" s="54"/>
      <c r="Q31" s="51"/>
      <c r="R31" s="55">
        <f t="shared" si="0"/>
        <v>0</v>
      </c>
      <c r="S31" s="7" t="str">
        <f t="shared" si="1"/>
        <v/>
      </c>
    </row>
    <row r="32" spans="1:19" ht="18" customHeight="1" thickBot="1" x14ac:dyDescent="0.2">
      <c r="A32" s="6"/>
      <c r="B32" s="10"/>
      <c r="C32" s="48"/>
      <c r="D32" s="56"/>
      <c r="E32" s="50"/>
      <c r="F32" s="50"/>
      <c r="G32" s="50"/>
      <c r="H32" s="50"/>
      <c r="I32" s="50"/>
      <c r="J32" s="50"/>
      <c r="K32" s="50"/>
      <c r="L32" s="50"/>
      <c r="M32" s="50"/>
      <c r="N32" s="50"/>
      <c r="O32" s="50"/>
      <c r="P32" s="50"/>
      <c r="Q32" s="51"/>
      <c r="R32" s="56">
        <f t="shared" si="0"/>
        <v>0</v>
      </c>
      <c r="S32" s="81" t="str">
        <f t="shared" si="1"/>
        <v/>
      </c>
    </row>
    <row r="33" spans="2:19" ht="18" customHeight="1" thickTop="1" x14ac:dyDescent="0.15">
      <c r="B33" s="11" t="s">
        <v>33</v>
      </c>
      <c r="C33" s="57">
        <f t="shared" ref="C33:R33" si="2">SUM(C13:C32)</f>
        <v>8185</v>
      </c>
      <c r="D33" s="58">
        <f t="shared" si="2"/>
        <v>1955</v>
      </c>
      <c r="E33" s="59">
        <f t="shared" si="2"/>
        <v>7820</v>
      </c>
      <c r="F33" s="59">
        <f t="shared" si="2"/>
        <v>1953</v>
      </c>
      <c r="G33" s="59">
        <f t="shared" si="2"/>
        <v>1918</v>
      </c>
      <c r="H33" s="59">
        <f t="shared" si="2"/>
        <v>0</v>
      </c>
      <c r="I33" s="59">
        <f t="shared" si="2"/>
        <v>0</v>
      </c>
      <c r="J33" s="59">
        <f t="shared" si="2"/>
        <v>0</v>
      </c>
      <c r="K33" s="59">
        <f t="shared" si="2"/>
        <v>0</v>
      </c>
      <c r="L33" s="59">
        <f t="shared" si="2"/>
        <v>0</v>
      </c>
      <c r="M33" s="59">
        <f t="shared" si="2"/>
        <v>0</v>
      </c>
      <c r="N33" s="59">
        <f t="shared" si="2"/>
        <v>0</v>
      </c>
      <c r="O33" s="59">
        <f t="shared" si="2"/>
        <v>0</v>
      </c>
      <c r="P33" s="59">
        <f t="shared" si="2"/>
        <v>0</v>
      </c>
      <c r="Q33" s="57">
        <f t="shared" si="2"/>
        <v>0</v>
      </c>
      <c r="R33" s="57">
        <f t="shared" si="2"/>
        <v>1953</v>
      </c>
      <c r="S33" s="82">
        <f t="shared" ref="S33" si="3">R33/E33</f>
        <v>0.24974424552429667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20" sqref="B120"/>
    </sheetView>
  </sheetViews>
  <sheetFormatPr defaultColWidth="11.375" defaultRowHeight="18.75" customHeight="1" x14ac:dyDescent="0.15"/>
  <cols>
    <col min="1" max="1" width="2.75" style="2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8" t="s">
        <v>63</v>
      </c>
      <c r="I1" s="27" t="s">
        <v>97</v>
      </c>
    </row>
    <row r="2" spans="1:9" ht="18.75" customHeight="1" x14ac:dyDescent="0.15">
      <c r="G2" s="27" t="s">
        <v>99</v>
      </c>
      <c r="H2" s="98" t="str">
        <f>'様式１　プログラムを構成する授業科目'!C2</f>
        <v>西南学院大学</v>
      </c>
      <c r="I2" s="100"/>
    </row>
    <row r="3" spans="1:9" ht="18.75" customHeight="1" x14ac:dyDescent="0.15">
      <c r="G3" s="27"/>
      <c r="H3" s="8"/>
      <c r="I3" s="8"/>
    </row>
    <row r="4" spans="1:9" ht="18.600000000000001" customHeight="1" x14ac:dyDescent="0.15">
      <c r="A4" s="195" t="s">
        <v>36</v>
      </c>
      <c r="B4" s="195"/>
      <c r="C4" s="195"/>
      <c r="D4" s="195"/>
      <c r="E4" s="195"/>
      <c r="F4" s="195"/>
      <c r="G4" s="195"/>
      <c r="H4" s="195"/>
      <c r="I4" s="195"/>
    </row>
    <row r="5" spans="1:9" ht="13.15" customHeight="1" x14ac:dyDescent="0.15">
      <c r="B5" s="3"/>
      <c r="C5" s="3"/>
      <c r="D5" s="3"/>
      <c r="E5" s="3"/>
      <c r="F5" s="3"/>
      <c r="G5" s="3"/>
      <c r="H5" s="3"/>
      <c r="I5" s="3"/>
    </row>
    <row r="6" spans="1:9" ht="18" customHeight="1" x14ac:dyDescent="0.15">
      <c r="A6" s="1" t="s">
        <v>0</v>
      </c>
      <c r="B6" s="8" t="s">
        <v>86</v>
      </c>
      <c r="C6" s="219" t="s">
        <v>87</v>
      </c>
      <c r="D6" s="219"/>
      <c r="E6" s="26">
        <v>216</v>
      </c>
      <c r="F6" s="3" t="s">
        <v>1</v>
      </c>
      <c r="G6" s="3" t="s">
        <v>2</v>
      </c>
      <c r="H6" s="26">
        <v>358</v>
      </c>
      <c r="I6" s="8" t="s">
        <v>1</v>
      </c>
    </row>
    <row r="7" spans="1:9" ht="12" customHeight="1" x14ac:dyDescent="0.15">
      <c r="C7" s="2"/>
      <c r="D7" s="2"/>
      <c r="E7" s="2"/>
      <c r="F7" s="2"/>
      <c r="G7" s="2"/>
      <c r="H7" s="2"/>
      <c r="I7" s="29"/>
    </row>
    <row r="8" spans="1:9" ht="18" customHeight="1" x14ac:dyDescent="0.15">
      <c r="A8" s="1" t="s">
        <v>3</v>
      </c>
      <c r="B8" s="8" t="s">
        <v>88</v>
      </c>
      <c r="E8" s="3"/>
      <c r="F8" s="3"/>
      <c r="G8" s="3"/>
      <c r="H8" s="91">
        <v>6</v>
      </c>
      <c r="I8" s="8" t="s">
        <v>1</v>
      </c>
    </row>
    <row r="9" spans="1:9" ht="9" customHeight="1" x14ac:dyDescent="0.15">
      <c r="B9" s="3"/>
      <c r="C9" s="3"/>
      <c r="D9" s="3"/>
      <c r="E9" s="3"/>
      <c r="F9" s="3"/>
      <c r="G9" s="3"/>
      <c r="H9" s="3"/>
      <c r="I9" s="3"/>
    </row>
    <row r="10" spans="1:9" ht="18" customHeight="1" x14ac:dyDescent="0.15">
      <c r="A10" s="1" t="s">
        <v>4</v>
      </c>
      <c r="B10" s="8" t="s">
        <v>89</v>
      </c>
      <c r="C10" s="3"/>
      <c r="D10" s="3"/>
      <c r="E10" s="3"/>
      <c r="F10" s="3"/>
      <c r="G10" s="3"/>
      <c r="H10" s="3"/>
      <c r="I10" s="3"/>
    </row>
    <row r="11" spans="1:9" ht="18" customHeight="1" x14ac:dyDescent="0.15">
      <c r="B11" s="27" t="s">
        <v>42</v>
      </c>
      <c r="C11" s="216" t="s">
        <v>170</v>
      </c>
      <c r="D11" s="217"/>
      <c r="E11" s="218"/>
      <c r="F11" s="29"/>
      <c r="G11" s="27" t="s">
        <v>10</v>
      </c>
      <c r="H11" s="216" t="s">
        <v>169</v>
      </c>
      <c r="I11" s="218"/>
    </row>
    <row r="12" spans="1:9" ht="10.15" customHeight="1" x14ac:dyDescent="0.15">
      <c r="B12" s="27"/>
      <c r="C12" s="8"/>
      <c r="D12" s="29"/>
      <c r="E12" s="29"/>
      <c r="F12" s="29"/>
      <c r="G12" s="27"/>
      <c r="H12" s="8"/>
      <c r="I12" s="29"/>
    </row>
    <row r="13" spans="1:9" ht="18" customHeight="1" x14ac:dyDescent="0.15">
      <c r="A13" s="1" t="s">
        <v>7</v>
      </c>
      <c r="B13" s="8" t="s">
        <v>84</v>
      </c>
      <c r="C13" s="3"/>
      <c r="D13" s="3"/>
      <c r="E13" s="3"/>
      <c r="F13" s="3"/>
      <c r="G13" s="3"/>
      <c r="H13" s="3"/>
      <c r="I13" s="3"/>
    </row>
    <row r="14" spans="1:9" ht="18" customHeight="1" x14ac:dyDescent="0.15">
      <c r="B14" s="210" t="s">
        <v>187</v>
      </c>
      <c r="C14" s="211"/>
      <c r="D14" s="211"/>
      <c r="E14" s="211"/>
      <c r="F14" s="211"/>
      <c r="G14" s="211"/>
      <c r="H14" s="211"/>
      <c r="I14" s="212"/>
    </row>
    <row r="15" spans="1:9" ht="9" customHeight="1" x14ac:dyDescent="0.15">
      <c r="B15" s="3"/>
      <c r="C15" s="3"/>
      <c r="D15" s="3"/>
      <c r="E15" s="3"/>
      <c r="F15" s="3"/>
      <c r="G15" s="3"/>
      <c r="H15" s="3"/>
      <c r="I15" s="3"/>
    </row>
    <row r="16" spans="1:9" ht="18" customHeight="1" x14ac:dyDescent="0.15">
      <c r="B16" s="27" t="s">
        <v>42</v>
      </c>
      <c r="C16" s="213" t="s">
        <v>185</v>
      </c>
      <c r="D16" s="214"/>
      <c r="E16" s="215"/>
      <c r="F16" s="29"/>
      <c r="G16" s="27" t="s">
        <v>10</v>
      </c>
      <c r="H16" s="213" t="s">
        <v>186</v>
      </c>
      <c r="I16" s="215"/>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96" t="s">
        <v>188</v>
      </c>
      <c r="C19" s="197"/>
      <c r="D19" s="197"/>
      <c r="E19" s="197"/>
      <c r="F19" s="197"/>
      <c r="G19" s="197"/>
      <c r="H19" s="197"/>
      <c r="I19" s="198"/>
    </row>
    <row r="20" spans="1:9" ht="7.5" customHeight="1" x14ac:dyDescent="0.15">
      <c r="B20" s="3"/>
      <c r="C20" s="3"/>
      <c r="D20" s="3"/>
      <c r="E20" s="3"/>
      <c r="F20" s="92"/>
      <c r="G20" s="3"/>
      <c r="H20" s="3"/>
      <c r="I20" s="3"/>
    </row>
    <row r="21" spans="1:9" ht="18.75" customHeight="1" x14ac:dyDescent="0.15">
      <c r="A21" s="1" t="s">
        <v>8</v>
      </c>
      <c r="B21" s="1" t="s">
        <v>25</v>
      </c>
    </row>
    <row r="22" spans="1:9" ht="18.75" customHeight="1" x14ac:dyDescent="0.15">
      <c r="A22" s="12"/>
      <c r="B22" s="199" t="s">
        <v>191</v>
      </c>
      <c r="C22" s="200"/>
      <c r="D22" s="200"/>
      <c r="E22" s="200"/>
      <c r="F22" s="200"/>
      <c r="G22" s="200"/>
      <c r="H22" s="200"/>
      <c r="I22" s="201"/>
    </row>
    <row r="23" spans="1:9" ht="18.75" customHeight="1" x14ac:dyDescent="0.15">
      <c r="A23" s="12"/>
      <c r="B23" s="202"/>
      <c r="C23" s="203"/>
      <c r="D23" s="203"/>
      <c r="E23" s="203"/>
      <c r="F23" s="203"/>
      <c r="G23" s="203"/>
      <c r="H23" s="203"/>
      <c r="I23" s="204"/>
    </row>
    <row r="24" spans="1:9" ht="18.75" customHeight="1" x14ac:dyDescent="0.15">
      <c r="A24" s="12"/>
      <c r="B24" s="202"/>
      <c r="C24" s="203"/>
      <c r="D24" s="203"/>
      <c r="E24" s="203"/>
      <c r="F24" s="203"/>
      <c r="G24" s="203"/>
      <c r="H24" s="203"/>
      <c r="I24" s="204"/>
    </row>
    <row r="25" spans="1:9" ht="18.75" customHeight="1" x14ac:dyDescent="0.15">
      <c r="A25" s="12"/>
      <c r="B25" s="202"/>
      <c r="C25" s="203"/>
      <c r="D25" s="203"/>
      <c r="E25" s="203"/>
      <c r="F25" s="203"/>
      <c r="G25" s="203"/>
      <c r="H25" s="203"/>
      <c r="I25" s="204"/>
    </row>
    <row r="26" spans="1:9" ht="18.75" customHeight="1" x14ac:dyDescent="0.15">
      <c r="A26" s="12"/>
      <c r="B26" s="202"/>
      <c r="C26" s="203"/>
      <c r="D26" s="203"/>
      <c r="E26" s="203"/>
      <c r="F26" s="203"/>
      <c r="G26" s="203"/>
      <c r="H26" s="203"/>
      <c r="I26" s="204"/>
    </row>
    <row r="27" spans="1:9" ht="18.75" customHeight="1" x14ac:dyDescent="0.15">
      <c r="A27" s="12"/>
      <c r="B27" s="202"/>
      <c r="C27" s="203"/>
      <c r="D27" s="203"/>
      <c r="E27" s="203"/>
      <c r="F27" s="203"/>
      <c r="G27" s="203"/>
      <c r="H27" s="203"/>
      <c r="I27" s="204"/>
    </row>
    <row r="28" spans="1:9" ht="18.75" customHeight="1" x14ac:dyDescent="0.15">
      <c r="A28" s="12"/>
      <c r="B28" s="202"/>
      <c r="C28" s="203"/>
      <c r="D28" s="203"/>
      <c r="E28" s="203"/>
      <c r="F28" s="203"/>
      <c r="G28" s="203"/>
      <c r="H28" s="203"/>
      <c r="I28" s="204"/>
    </row>
    <row r="29" spans="1:9" ht="18.75" customHeight="1" x14ac:dyDescent="0.15">
      <c r="A29" s="12"/>
      <c r="B29" s="202"/>
      <c r="C29" s="203"/>
      <c r="D29" s="203"/>
      <c r="E29" s="203"/>
      <c r="F29" s="203"/>
      <c r="G29" s="203"/>
      <c r="H29" s="203"/>
      <c r="I29" s="204"/>
    </row>
    <row r="30" spans="1:9" ht="18.75" customHeight="1" x14ac:dyDescent="0.15">
      <c r="A30" s="12"/>
      <c r="B30" s="205"/>
      <c r="C30" s="206"/>
      <c r="D30" s="206"/>
      <c r="E30" s="206"/>
      <c r="F30" s="206"/>
      <c r="G30" s="206"/>
      <c r="H30" s="206"/>
      <c r="I30" s="204"/>
    </row>
    <row r="31" spans="1:9" ht="18.75" customHeight="1" x14ac:dyDescent="0.15">
      <c r="A31" s="12"/>
      <c r="B31" s="205"/>
      <c r="C31" s="206"/>
      <c r="D31" s="206"/>
      <c r="E31" s="206"/>
      <c r="F31" s="206"/>
      <c r="G31" s="206"/>
      <c r="H31" s="206"/>
      <c r="I31" s="204"/>
    </row>
    <row r="32" spans="1:9" ht="18.75" customHeight="1" x14ac:dyDescent="0.15">
      <c r="A32" s="12"/>
      <c r="B32" s="207"/>
      <c r="C32" s="208"/>
      <c r="D32" s="208"/>
      <c r="E32" s="208"/>
      <c r="F32" s="208"/>
      <c r="G32" s="208"/>
      <c r="H32" s="208"/>
      <c r="I32" s="209"/>
    </row>
    <row r="33" spans="1:9" ht="7.5" customHeight="1" x14ac:dyDescent="0.15">
      <c r="A33" s="12"/>
      <c r="B33" s="12"/>
      <c r="C33" s="12"/>
      <c r="D33" s="12"/>
      <c r="E33" s="12"/>
      <c r="F33" s="12"/>
      <c r="G33" s="12"/>
      <c r="H33" s="12"/>
      <c r="I33" s="12"/>
    </row>
    <row r="34" spans="1:9" ht="18.75" customHeight="1" x14ac:dyDescent="0.15">
      <c r="A34" s="13" t="s">
        <v>6</v>
      </c>
      <c r="B34" s="13" t="s">
        <v>9</v>
      </c>
      <c r="C34" s="8"/>
      <c r="D34" s="13"/>
      <c r="E34" s="13"/>
      <c r="F34" s="13"/>
      <c r="G34" s="13"/>
      <c r="H34" s="13"/>
      <c r="I34" s="13"/>
    </row>
    <row r="35" spans="1:9" ht="18.75" customHeight="1" x14ac:dyDescent="0.15">
      <c r="A35" s="12"/>
      <c r="B35" s="199" t="s">
        <v>190</v>
      </c>
      <c r="C35" s="200"/>
      <c r="D35" s="200"/>
      <c r="E35" s="200"/>
      <c r="F35" s="200"/>
      <c r="G35" s="200"/>
      <c r="H35" s="200"/>
      <c r="I35" s="201"/>
    </row>
    <row r="36" spans="1:9" ht="18.75" customHeight="1" x14ac:dyDescent="0.15">
      <c r="A36" s="12"/>
      <c r="B36" s="205"/>
      <c r="C36" s="206"/>
      <c r="D36" s="206"/>
      <c r="E36" s="206"/>
      <c r="F36" s="206"/>
      <c r="G36" s="206"/>
      <c r="H36" s="206"/>
      <c r="I36" s="204"/>
    </row>
    <row r="37" spans="1:9" ht="18.75" customHeight="1" x14ac:dyDescent="0.15">
      <c r="A37" s="12"/>
      <c r="B37" s="205"/>
      <c r="C37" s="206"/>
      <c r="D37" s="206"/>
      <c r="E37" s="206"/>
      <c r="F37" s="206"/>
      <c r="G37" s="206"/>
      <c r="H37" s="206"/>
      <c r="I37" s="204"/>
    </row>
    <row r="38" spans="1:9" ht="18.75" customHeight="1" x14ac:dyDescent="0.15">
      <c r="A38" s="12"/>
      <c r="B38" s="205"/>
      <c r="C38" s="206"/>
      <c r="D38" s="206"/>
      <c r="E38" s="206"/>
      <c r="F38" s="206"/>
      <c r="G38" s="206"/>
      <c r="H38" s="206"/>
      <c r="I38" s="204"/>
    </row>
    <row r="39" spans="1:9" ht="18.75" customHeight="1" x14ac:dyDescent="0.15">
      <c r="A39" s="12"/>
      <c r="B39" s="205"/>
      <c r="C39" s="206"/>
      <c r="D39" s="206"/>
      <c r="E39" s="206"/>
      <c r="F39" s="206"/>
      <c r="G39" s="206"/>
      <c r="H39" s="206"/>
      <c r="I39" s="204"/>
    </row>
    <row r="40" spans="1:9" ht="18.75" customHeight="1" x14ac:dyDescent="0.15">
      <c r="A40" s="12"/>
      <c r="B40" s="205"/>
      <c r="C40" s="206"/>
      <c r="D40" s="206"/>
      <c r="E40" s="206"/>
      <c r="F40" s="206"/>
      <c r="G40" s="206"/>
      <c r="H40" s="206"/>
      <c r="I40" s="204"/>
    </row>
    <row r="41" spans="1:9" ht="18.75" customHeight="1" x14ac:dyDescent="0.15">
      <c r="A41" s="12"/>
      <c r="B41" s="205"/>
      <c r="C41" s="206"/>
      <c r="D41" s="206"/>
      <c r="E41" s="206"/>
      <c r="F41" s="206"/>
      <c r="G41" s="206"/>
      <c r="H41" s="206"/>
      <c r="I41" s="204"/>
    </row>
    <row r="42" spans="1:9" ht="18.75" customHeight="1" x14ac:dyDescent="0.15">
      <c r="A42" s="12"/>
      <c r="B42" s="205"/>
      <c r="C42" s="206"/>
      <c r="D42" s="206"/>
      <c r="E42" s="206"/>
      <c r="F42" s="206"/>
      <c r="G42" s="206"/>
      <c r="H42" s="206"/>
      <c r="I42" s="204"/>
    </row>
    <row r="43" spans="1:9" ht="18.75" customHeight="1" x14ac:dyDescent="0.15">
      <c r="A43" s="12"/>
      <c r="B43" s="205"/>
      <c r="C43" s="206"/>
      <c r="D43" s="206"/>
      <c r="E43" s="206"/>
      <c r="F43" s="206"/>
      <c r="G43" s="206"/>
      <c r="H43" s="206"/>
      <c r="I43" s="204"/>
    </row>
    <row r="44" spans="1:9" ht="18.75" customHeight="1" x14ac:dyDescent="0.15">
      <c r="A44" s="12"/>
      <c r="B44" s="205"/>
      <c r="C44" s="206"/>
      <c r="D44" s="206"/>
      <c r="E44" s="206"/>
      <c r="F44" s="206"/>
      <c r="G44" s="206"/>
      <c r="H44" s="206"/>
      <c r="I44" s="204"/>
    </row>
    <row r="45" spans="1:9" ht="18.75" customHeight="1" x14ac:dyDescent="0.15">
      <c r="A45" s="12"/>
      <c r="B45" s="205"/>
      <c r="C45" s="206"/>
      <c r="D45" s="206"/>
      <c r="E45" s="206"/>
      <c r="F45" s="206"/>
      <c r="G45" s="206"/>
      <c r="H45" s="206"/>
      <c r="I45" s="204"/>
    </row>
    <row r="46" spans="1:9" ht="18.75" customHeight="1" x14ac:dyDescent="0.15">
      <c r="A46" s="12"/>
      <c r="B46" s="207"/>
      <c r="C46" s="208"/>
      <c r="D46" s="208"/>
      <c r="E46" s="208"/>
      <c r="F46" s="208"/>
      <c r="G46" s="208"/>
      <c r="H46" s="208"/>
      <c r="I46" s="209"/>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0" t="s">
        <v>128</v>
      </c>
      <c r="C49" s="259">
        <f>'様式２ 履修者等数の実績'!S33</f>
        <v>0.24974424552429667</v>
      </c>
      <c r="D49" s="259"/>
      <c r="E49" s="30" t="s">
        <v>64</v>
      </c>
      <c r="F49" s="259">
        <v>0.5</v>
      </c>
      <c r="G49" s="259"/>
      <c r="H49" s="30" t="s">
        <v>65</v>
      </c>
      <c r="I49" s="31">
        <v>0.75</v>
      </c>
      <c r="J49" s="1"/>
      <c r="M49" s="1"/>
      <c r="N49" s="32"/>
    </row>
    <row r="50" spans="1:15" s="3" customFormat="1" ht="18.75" customHeight="1" x14ac:dyDescent="0.15">
      <c r="B50" s="33" t="s">
        <v>85</v>
      </c>
      <c r="C50" s="242">
        <v>1</v>
      </c>
      <c r="D50" s="242"/>
      <c r="E50" s="33" t="s">
        <v>129</v>
      </c>
      <c r="F50" s="242">
        <v>1</v>
      </c>
      <c r="G50" s="242"/>
      <c r="H50" s="33" t="s">
        <v>66</v>
      </c>
      <c r="I50" s="34">
        <f>'様式２ 履修者等数の実績'!E33</f>
        <v>7820</v>
      </c>
      <c r="J50" s="1"/>
      <c r="M50" s="1"/>
      <c r="N50" s="32"/>
    </row>
    <row r="51" spans="1:15" ht="18.75" customHeight="1" x14ac:dyDescent="0.15">
      <c r="A51" s="1"/>
      <c r="B51" s="239" t="s">
        <v>67</v>
      </c>
      <c r="C51" s="240"/>
      <c r="D51" s="240"/>
      <c r="E51" s="240"/>
      <c r="F51" s="240"/>
      <c r="G51" s="240"/>
      <c r="H51" s="240"/>
      <c r="I51" s="241"/>
      <c r="N51" s="32"/>
      <c r="O51" s="3"/>
    </row>
    <row r="52" spans="1:15" ht="18.75" customHeight="1" x14ac:dyDescent="0.15">
      <c r="A52" s="1"/>
      <c r="B52" s="243" t="s">
        <v>192</v>
      </c>
      <c r="C52" s="244"/>
      <c r="D52" s="244"/>
      <c r="E52" s="244"/>
      <c r="F52" s="244"/>
      <c r="G52" s="244"/>
      <c r="H52" s="244"/>
      <c r="I52" s="245"/>
      <c r="N52" s="32"/>
      <c r="O52" s="3"/>
    </row>
    <row r="53" spans="1:15" ht="18.75" customHeight="1" x14ac:dyDescent="0.15">
      <c r="A53" s="1"/>
      <c r="B53" s="246"/>
      <c r="C53" s="247"/>
      <c r="D53" s="247"/>
      <c r="E53" s="247"/>
      <c r="F53" s="247"/>
      <c r="G53" s="247"/>
      <c r="H53" s="247"/>
      <c r="I53" s="248"/>
      <c r="N53" s="32"/>
      <c r="O53" s="3"/>
    </row>
    <row r="54" spans="1:15" ht="18.75" customHeight="1" x14ac:dyDescent="0.15">
      <c r="A54" s="1"/>
      <c r="B54" s="246"/>
      <c r="C54" s="247"/>
      <c r="D54" s="247"/>
      <c r="E54" s="247"/>
      <c r="F54" s="247"/>
      <c r="G54" s="247"/>
      <c r="H54" s="247"/>
      <c r="I54" s="248"/>
    </row>
    <row r="55" spans="1:15" ht="18.75" customHeight="1" x14ac:dyDescent="0.15">
      <c r="A55" s="1"/>
      <c r="B55" s="246"/>
      <c r="C55" s="247"/>
      <c r="D55" s="247"/>
      <c r="E55" s="247"/>
      <c r="F55" s="247"/>
      <c r="G55" s="247"/>
      <c r="H55" s="247"/>
      <c r="I55" s="248"/>
    </row>
    <row r="56" spans="1:15" ht="18.75" customHeight="1" x14ac:dyDescent="0.15">
      <c r="A56" s="1"/>
      <c r="B56" s="246"/>
      <c r="C56" s="247"/>
      <c r="D56" s="247"/>
      <c r="E56" s="247"/>
      <c r="F56" s="247"/>
      <c r="G56" s="247"/>
      <c r="H56" s="247"/>
      <c r="I56" s="248"/>
    </row>
    <row r="57" spans="1:15" ht="18.75" customHeight="1" x14ac:dyDescent="0.15">
      <c r="A57" s="1"/>
      <c r="B57" s="246"/>
      <c r="C57" s="247"/>
      <c r="D57" s="247"/>
      <c r="E57" s="247"/>
      <c r="F57" s="247"/>
      <c r="G57" s="247"/>
      <c r="H57" s="247"/>
      <c r="I57" s="248"/>
    </row>
    <row r="58" spans="1:15" ht="18.75" customHeight="1" x14ac:dyDescent="0.15">
      <c r="A58" s="1"/>
      <c r="B58" s="246"/>
      <c r="C58" s="247"/>
      <c r="D58" s="247"/>
      <c r="E58" s="247"/>
      <c r="F58" s="247"/>
      <c r="G58" s="247"/>
      <c r="H58" s="247"/>
      <c r="I58" s="248"/>
    </row>
    <row r="59" spans="1:15" ht="18.75" customHeight="1" x14ac:dyDescent="0.15">
      <c r="A59" s="1"/>
      <c r="B59" s="246"/>
      <c r="C59" s="247"/>
      <c r="D59" s="247"/>
      <c r="E59" s="247"/>
      <c r="F59" s="247"/>
      <c r="G59" s="247"/>
      <c r="H59" s="247"/>
      <c r="I59" s="248"/>
    </row>
    <row r="60" spans="1:15" ht="18.75" customHeight="1" x14ac:dyDescent="0.15">
      <c r="A60" s="1"/>
      <c r="B60" s="246"/>
      <c r="C60" s="247"/>
      <c r="D60" s="247"/>
      <c r="E60" s="247"/>
      <c r="F60" s="247"/>
      <c r="G60" s="247"/>
      <c r="H60" s="247"/>
      <c r="I60" s="248"/>
    </row>
    <row r="61" spans="1:15" ht="18.75" customHeight="1" x14ac:dyDescent="0.15">
      <c r="A61" s="1"/>
      <c r="B61" s="246"/>
      <c r="C61" s="247"/>
      <c r="D61" s="247"/>
      <c r="E61" s="247"/>
      <c r="F61" s="247"/>
      <c r="G61" s="247"/>
      <c r="H61" s="247"/>
      <c r="I61" s="248"/>
    </row>
    <row r="62" spans="1:15" ht="18.75" customHeight="1" x14ac:dyDescent="0.15">
      <c r="A62" s="1"/>
      <c r="B62" s="246"/>
      <c r="C62" s="247"/>
      <c r="D62" s="247"/>
      <c r="E62" s="247"/>
      <c r="F62" s="247"/>
      <c r="G62" s="247"/>
      <c r="H62" s="247"/>
      <c r="I62" s="248"/>
    </row>
    <row r="63" spans="1:15" ht="18.75" customHeight="1" x14ac:dyDescent="0.15">
      <c r="A63" s="1"/>
      <c r="B63" s="249"/>
      <c r="C63" s="250"/>
      <c r="D63" s="250"/>
      <c r="E63" s="250"/>
      <c r="F63" s="250"/>
      <c r="G63" s="250"/>
      <c r="H63" s="250"/>
      <c r="I63" s="251"/>
    </row>
    <row r="64" spans="1:15" ht="7.5" customHeight="1" x14ac:dyDescent="0.15">
      <c r="A64" s="12"/>
      <c r="B64" s="12"/>
      <c r="C64" s="12"/>
      <c r="D64" s="12"/>
      <c r="E64" s="12"/>
      <c r="F64" s="12"/>
      <c r="G64" s="12"/>
      <c r="H64" s="12"/>
      <c r="I64" s="12"/>
    </row>
    <row r="65" spans="1:9" ht="18.75" customHeight="1" x14ac:dyDescent="0.15">
      <c r="A65" s="13" t="s">
        <v>34</v>
      </c>
      <c r="B65" s="1" t="s">
        <v>37</v>
      </c>
      <c r="I65" s="13"/>
    </row>
    <row r="66" spans="1:9" ht="18.75" customHeight="1" x14ac:dyDescent="0.15">
      <c r="A66" s="4"/>
      <c r="B66" s="243" t="s">
        <v>182</v>
      </c>
      <c r="C66" s="244"/>
      <c r="D66" s="244"/>
      <c r="E66" s="244"/>
      <c r="F66" s="244"/>
      <c r="G66" s="244"/>
      <c r="H66" s="244"/>
      <c r="I66" s="245"/>
    </row>
    <row r="67" spans="1:9" ht="18.75" customHeight="1" x14ac:dyDescent="0.15">
      <c r="A67" s="4"/>
      <c r="B67" s="246"/>
      <c r="C67" s="247"/>
      <c r="D67" s="247"/>
      <c r="E67" s="247"/>
      <c r="F67" s="247"/>
      <c r="G67" s="247"/>
      <c r="H67" s="247"/>
      <c r="I67" s="248"/>
    </row>
    <row r="68" spans="1:9" ht="18.75" customHeight="1" x14ac:dyDescent="0.15">
      <c r="A68" s="4"/>
      <c r="B68" s="246"/>
      <c r="C68" s="247"/>
      <c r="D68" s="247"/>
      <c r="E68" s="247"/>
      <c r="F68" s="247"/>
      <c r="G68" s="247"/>
      <c r="H68" s="247"/>
      <c r="I68" s="248"/>
    </row>
    <row r="69" spans="1:9" ht="18.75" customHeight="1" x14ac:dyDescent="0.15">
      <c r="A69" s="4"/>
      <c r="B69" s="246"/>
      <c r="C69" s="247"/>
      <c r="D69" s="247"/>
      <c r="E69" s="247"/>
      <c r="F69" s="247"/>
      <c r="G69" s="247"/>
      <c r="H69" s="247"/>
      <c r="I69" s="248"/>
    </row>
    <row r="70" spans="1:9" ht="18.75" customHeight="1" x14ac:dyDescent="0.15">
      <c r="A70" s="4"/>
      <c r="B70" s="246"/>
      <c r="C70" s="247"/>
      <c r="D70" s="247"/>
      <c r="E70" s="247"/>
      <c r="F70" s="247"/>
      <c r="G70" s="247"/>
      <c r="H70" s="247"/>
      <c r="I70" s="248"/>
    </row>
    <row r="71" spans="1:9" ht="18.75" customHeight="1" x14ac:dyDescent="0.15">
      <c r="A71" s="4"/>
      <c r="B71" s="246"/>
      <c r="C71" s="247"/>
      <c r="D71" s="247"/>
      <c r="E71" s="247"/>
      <c r="F71" s="247"/>
      <c r="G71" s="247"/>
      <c r="H71" s="247"/>
      <c r="I71" s="248"/>
    </row>
    <row r="72" spans="1:9" ht="18.75" customHeight="1" x14ac:dyDescent="0.15">
      <c r="A72" s="4"/>
      <c r="B72" s="246"/>
      <c r="C72" s="247"/>
      <c r="D72" s="247"/>
      <c r="E72" s="247"/>
      <c r="F72" s="247"/>
      <c r="G72" s="247"/>
      <c r="H72" s="247"/>
      <c r="I72" s="248"/>
    </row>
    <row r="73" spans="1:9" ht="18.75" customHeight="1" x14ac:dyDescent="0.15">
      <c r="A73" s="4"/>
      <c r="B73" s="246"/>
      <c r="C73" s="247"/>
      <c r="D73" s="247"/>
      <c r="E73" s="247"/>
      <c r="F73" s="247"/>
      <c r="G73" s="247"/>
      <c r="H73" s="247"/>
      <c r="I73" s="248"/>
    </row>
    <row r="74" spans="1:9" ht="18.75" customHeight="1" x14ac:dyDescent="0.15">
      <c r="A74" s="4"/>
      <c r="B74" s="246"/>
      <c r="C74" s="247"/>
      <c r="D74" s="247"/>
      <c r="E74" s="247"/>
      <c r="F74" s="247"/>
      <c r="G74" s="247"/>
      <c r="H74" s="247"/>
      <c r="I74" s="248"/>
    </row>
    <row r="75" spans="1:9" ht="18.75" customHeight="1" x14ac:dyDescent="0.15">
      <c r="A75" s="4"/>
      <c r="B75" s="246"/>
      <c r="C75" s="247"/>
      <c r="D75" s="247"/>
      <c r="E75" s="247"/>
      <c r="F75" s="247"/>
      <c r="G75" s="247"/>
      <c r="H75" s="247"/>
      <c r="I75" s="248"/>
    </row>
    <row r="76" spans="1:9" ht="18.75" customHeight="1" x14ac:dyDescent="0.15">
      <c r="A76" s="4"/>
      <c r="B76" s="246"/>
      <c r="C76" s="247"/>
      <c r="D76" s="247"/>
      <c r="E76" s="247"/>
      <c r="F76" s="247"/>
      <c r="G76" s="247"/>
      <c r="H76" s="247"/>
      <c r="I76" s="248"/>
    </row>
    <row r="77" spans="1:9" ht="18.75" customHeight="1" x14ac:dyDescent="0.15">
      <c r="A77" s="4"/>
      <c r="B77" s="249"/>
      <c r="C77" s="250"/>
      <c r="D77" s="250"/>
      <c r="E77" s="250"/>
      <c r="F77" s="250"/>
      <c r="G77" s="250"/>
      <c r="H77" s="250"/>
      <c r="I77" s="251"/>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43" t="s">
        <v>183</v>
      </c>
      <c r="C80" s="244"/>
      <c r="D80" s="244"/>
      <c r="E80" s="244"/>
      <c r="F80" s="244"/>
      <c r="G80" s="244"/>
      <c r="H80" s="244"/>
      <c r="I80" s="252"/>
    </row>
    <row r="81" spans="1:9" ht="18.75" customHeight="1" x14ac:dyDescent="0.15">
      <c r="A81" s="1"/>
      <c r="B81" s="253"/>
      <c r="C81" s="254"/>
      <c r="D81" s="254"/>
      <c r="E81" s="254"/>
      <c r="F81" s="254"/>
      <c r="G81" s="254"/>
      <c r="H81" s="254"/>
      <c r="I81" s="255"/>
    </row>
    <row r="82" spans="1:9" ht="18.75" customHeight="1" x14ac:dyDescent="0.15">
      <c r="A82" s="1"/>
      <c r="B82" s="253"/>
      <c r="C82" s="254"/>
      <c r="D82" s="254"/>
      <c r="E82" s="254"/>
      <c r="F82" s="254"/>
      <c r="G82" s="254"/>
      <c r="H82" s="254"/>
      <c r="I82" s="255"/>
    </row>
    <row r="83" spans="1:9" ht="18.75" customHeight="1" x14ac:dyDescent="0.15">
      <c r="A83" s="1"/>
      <c r="B83" s="253"/>
      <c r="C83" s="254"/>
      <c r="D83" s="254"/>
      <c r="E83" s="254"/>
      <c r="F83" s="254"/>
      <c r="G83" s="254"/>
      <c r="H83" s="254"/>
      <c r="I83" s="255"/>
    </row>
    <row r="84" spans="1:9" ht="18.75" customHeight="1" x14ac:dyDescent="0.15">
      <c r="A84" s="1"/>
      <c r="B84" s="253"/>
      <c r="C84" s="254"/>
      <c r="D84" s="254"/>
      <c r="E84" s="254"/>
      <c r="F84" s="254"/>
      <c r="G84" s="254"/>
      <c r="H84" s="254"/>
      <c r="I84" s="255"/>
    </row>
    <row r="85" spans="1:9" ht="18.75" customHeight="1" x14ac:dyDescent="0.15">
      <c r="A85" s="1"/>
      <c r="B85" s="253"/>
      <c r="C85" s="254"/>
      <c r="D85" s="254"/>
      <c r="E85" s="254"/>
      <c r="F85" s="254"/>
      <c r="G85" s="254"/>
      <c r="H85" s="254"/>
      <c r="I85" s="255"/>
    </row>
    <row r="86" spans="1:9" ht="18.75" customHeight="1" x14ac:dyDescent="0.15">
      <c r="A86" s="1"/>
      <c r="B86" s="253"/>
      <c r="C86" s="254"/>
      <c r="D86" s="254"/>
      <c r="E86" s="254"/>
      <c r="F86" s="254"/>
      <c r="G86" s="254"/>
      <c r="H86" s="254"/>
      <c r="I86" s="255"/>
    </row>
    <row r="87" spans="1:9" ht="18.75" customHeight="1" x14ac:dyDescent="0.15">
      <c r="A87" s="1"/>
      <c r="B87" s="253"/>
      <c r="C87" s="254"/>
      <c r="D87" s="254"/>
      <c r="E87" s="254"/>
      <c r="F87" s="254"/>
      <c r="G87" s="254"/>
      <c r="H87" s="254"/>
      <c r="I87" s="255"/>
    </row>
    <row r="88" spans="1:9" ht="18.75" customHeight="1" x14ac:dyDescent="0.15">
      <c r="A88" s="1"/>
      <c r="B88" s="253"/>
      <c r="C88" s="254"/>
      <c r="D88" s="254"/>
      <c r="E88" s="254"/>
      <c r="F88" s="254"/>
      <c r="G88" s="254"/>
      <c r="H88" s="254"/>
      <c r="I88" s="255"/>
    </row>
    <row r="89" spans="1:9" ht="18.75" customHeight="1" x14ac:dyDescent="0.15">
      <c r="A89" s="1"/>
      <c r="B89" s="253"/>
      <c r="C89" s="254"/>
      <c r="D89" s="254"/>
      <c r="E89" s="254"/>
      <c r="F89" s="254"/>
      <c r="G89" s="254"/>
      <c r="H89" s="254"/>
      <c r="I89" s="255"/>
    </row>
    <row r="90" spans="1:9" ht="18.75" customHeight="1" x14ac:dyDescent="0.15">
      <c r="A90" s="4"/>
      <c r="B90" s="253"/>
      <c r="C90" s="254"/>
      <c r="D90" s="254"/>
      <c r="E90" s="254"/>
      <c r="F90" s="254"/>
      <c r="G90" s="254"/>
      <c r="H90" s="254"/>
      <c r="I90" s="255"/>
    </row>
    <row r="91" spans="1:9" ht="18.75" customHeight="1" x14ac:dyDescent="0.15">
      <c r="A91" s="4"/>
      <c r="B91" s="256"/>
      <c r="C91" s="257"/>
      <c r="D91" s="257"/>
      <c r="E91" s="257"/>
      <c r="F91" s="257"/>
      <c r="G91" s="257"/>
      <c r="H91" s="257"/>
      <c r="I91" s="258"/>
    </row>
    <row r="92" spans="1:9" ht="6"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20" t="s">
        <v>175</v>
      </c>
      <c r="C94" s="221"/>
      <c r="D94" s="221"/>
      <c r="E94" s="221"/>
      <c r="F94" s="221"/>
      <c r="G94" s="221"/>
      <c r="H94" s="221"/>
      <c r="I94" s="222"/>
    </row>
    <row r="95" spans="1:9" ht="18.75" customHeight="1" x14ac:dyDescent="0.15">
      <c r="A95" s="1"/>
      <c r="B95" s="223"/>
      <c r="C95" s="224"/>
      <c r="D95" s="224"/>
      <c r="E95" s="224"/>
      <c r="F95" s="224"/>
      <c r="G95" s="224"/>
      <c r="H95" s="224"/>
      <c r="I95" s="225"/>
    </row>
    <row r="96" spans="1:9" ht="18.75" customHeight="1" x14ac:dyDescent="0.15">
      <c r="A96" s="1"/>
      <c r="B96" s="223"/>
      <c r="C96" s="224"/>
      <c r="D96" s="224"/>
      <c r="E96" s="224"/>
      <c r="F96" s="224"/>
      <c r="G96" s="224"/>
      <c r="H96" s="224"/>
      <c r="I96" s="225"/>
    </row>
    <row r="97" spans="1:9" ht="18.75" customHeight="1" x14ac:dyDescent="0.15">
      <c r="A97" s="1"/>
      <c r="B97" s="223"/>
      <c r="C97" s="224"/>
      <c r="D97" s="224"/>
      <c r="E97" s="224"/>
      <c r="F97" s="224"/>
      <c r="G97" s="224"/>
      <c r="H97" s="224"/>
      <c r="I97" s="225"/>
    </row>
    <row r="98" spans="1:9" ht="18.75" customHeight="1" x14ac:dyDescent="0.15">
      <c r="A98" s="1"/>
      <c r="B98" s="223"/>
      <c r="C98" s="224"/>
      <c r="D98" s="224"/>
      <c r="E98" s="224"/>
      <c r="F98" s="224"/>
      <c r="G98" s="224"/>
      <c r="H98" s="224"/>
      <c r="I98" s="225"/>
    </row>
    <row r="99" spans="1:9" ht="18.75" customHeight="1" x14ac:dyDescent="0.15">
      <c r="A99" s="1"/>
      <c r="B99" s="223"/>
      <c r="C99" s="224"/>
      <c r="D99" s="224"/>
      <c r="E99" s="224"/>
      <c r="F99" s="224"/>
      <c r="G99" s="224"/>
      <c r="H99" s="224"/>
      <c r="I99" s="225"/>
    </row>
    <row r="100" spans="1:9" ht="18.75" customHeight="1" x14ac:dyDescent="0.15">
      <c r="A100" s="1"/>
      <c r="B100" s="223"/>
      <c r="C100" s="224"/>
      <c r="D100" s="224"/>
      <c r="E100" s="224"/>
      <c r="F100" s="224"/>
      <c r="G100" s="224"/>
      <c r="H100" s="224"/>
      <c r="I100" s="225"/>
    </row>
    <row r="101" spans="1:9" ht="18.75" customHeight="1" x14ac:dyDescent="0.15">
      <c r="A101" s="1"/>
      <c r="B101" s="223"/>
      <c r="C101" s="224"/>
      <c r="D101" s="224"/>
      <c r="E101" s="224"/>
      <c r="F101" s="224"/>
      <c r="G101" s="224"/>
      <c r="H101" s="224"/>
      <c r="I101" s="225"/>
    </row>
    <row r="102" spans="1:9" ht="18.75" customHeight="1" x14ac:dyDescent="0.15">
      <c r="A102" s="1"/>
      <c r="B102" s="223"/>
      <c r="C102" s="224"/>
      <c r="D102" s="224"/>
      <c r="E102" s="224"/>
      <c r="F102" s="224"/>
      <c r="G102" s="224"/>
      <c r="H102" s="224"/>
      <c r="I102" s="225"/>
    </row>
    <row r="103" spans="1:9" ht="18.75" customHeight="1" x14ac:dyDescent="0.15">
      <c r="A103" s="1"/>
      <c r="B103" s="223"/>
      <c r="C103" s="224"/>
      <c r="D103" s="224"/>
      <c r="E103" s="224"/>
      <c r="F103" s="224"/>
      <c r="G103" s="224"/>
      <c r="H103" s="224"/>
      <c r="I103" s="225"/>
    </row>
    <row r="104" spans="1:9" ht="18.75" customHeight="1" x14ac:dyDescent="0.15">
      <c r="A104" s="1"/>
      <c r="B104" s="223"/>
      <c r="C104" s="224"/>
      <c r="D104" s="224"/>
      <c r="E104" s="224"/>
      <c r="F104" s="224"/>
      <c r="G104" s="224"/>
      <c r="H104" s="224"/>
      <c r="I104" s="225"/>
    </row>
    <row r="105" spans="1:9" ht="18.75" customHeight="1" x14ac:dyDescent="0.15">
      <c r="A105" s="4"/>
      <c r="B105" s="226"/>
      <c r="C105" s="227"/>
      <c r="D105" s="227"/>
      <c r="E105" s="227"/>
      <c r="F105" s="227"/>
      <c r="G105" s="227"/>
      <c r="H105" s="227"/>
      <c r="I105" s="228"/>
    </row>
    <row r="106" spans="1:9" ht="7.5" customHeight="1" x14ac:dyDescent="0.15">
      <c r="A106" s="4"/>
      <c r="B106" s="4"/>
      <c r="C106" s="4"/>
      <c r="D106" s="4"/>
      <c r="E106" s="4"/>
      <c r="F106" s="4"/>
      <c r="G106" s="4"/>
      <c r="H106" s="4"/>
      <c r="I106" s="4"/>
    </row>
    <row r="107" spans="1:9" ht="18.75" customHeight="1" x14ac:dyDescent="0.15">
      <c r="A107" s="1" t="s">
        <v>30</v>
      </c>
      <c r="B107" s="229" t="s">
        <v>45</v>
      </c>
      <c r="C107" s="229"/>
      <c r="D107" s="229"/>
      <c r="E107" s="229"/>
      <c r="F107" s="229"/>
      <c r="G107" s="229"/>
      <c r="H107" s="229"/>
      <c r="I107" s="229"/>
    </row>
    <row r="108" spans="1:9" ht="18.75" customHeight="1" x14ac:dyDescent="0.15">
      <c r="A108" s="4"/>
      <c r="B108" s="230" t="s">
        <v>193</v>
      </c>
      <c r="C108" s="231"/>
      <c r="D108" s="231"/>
      <c r="E108" s="231"/>
      <c r="F108" s="231"/>
      <c r="G108" s="231"/>
      <c r="H108" s="231"/>
      <c r="I108" s="232"/>
    </row>
    <row r="109" spans="1:9" ht="18.75" customHeight="1" x14ac:dyDescent="0.15">
      <c r="A109" s="4"/>
      <c r="B109" s="233"/>
      <c r="C109" s="234"/>
      <c r="D109" s="234"/>
      <c r="E109" s="234"/>
      <c r="F109" s="234"/>
      <c r="G109" s="234"/>
      <c r="H109" s="234"/>
      <c r="I109" s="235"/>
    </row>
    <row r="110" spans="1:9" ht="18.75" customHeight="1" x14ac:dyDescent="0.15">
      <c r="A110" s="4"/>
      <c r="B110" s="233"/>
      <c r="C110" s="234"/>
      <c r="D110" s="234"/>
      <c r="E110" s="234"/>
      <c r="F110" s="234"/>
      <c r="G110" s="234"/>
      <c r="H110" s="234"/>
      <c r="I110" s="235"/>
    </row>
    <row r="111" spans="1:9" ht="18.75" customHeight="1" x14ac:dyDescent="0.15">
      <c r="A111" s="4"/>
      <c r="B111" s="233"/>
      <c r="C111" s="234"/>
      <c r="D111" s="234"/>
      <c r="E111" s="234"/>
      <c r="F111" s="234"/>
      <c r="G111" s="234"/>
      <c r="H111" s="234"/>
      <c r="I111" s="235"/>
    </row>
    <row r="112" spans="1:9" ht="18.75" customHeight="1" x14ac:dyDescent="0.15">
      <c r="A112" s="4"/>
      <c r="B112" s="233"/>
      <c r="C112" s="234"/>
      <c r="D112" s="234"/>
      <c r="E112" s="234"/>
      <c r="F112" s="234"/>
      <c r="G112" s="234"/>
      <c r="H112" s="234"/>
      <c r="I112" s="235"/>
    </row>
    <row r="113" spans="1:9" ht="18.75" customHeight="1" x14ac:dyDescent="0.15">
      <c r="A113" s="4"/>
      <c r="B113" s="233"/>
      <c r="C113" s="234"/>
      <c r="D113" s="234"/>
      <c r="E113" s="234"/>
      <c r="F113" s="234"/>
      <c r="G113" s="234"/>
      <c r="H113" s="234"/>
      <c r="I113" s="235"/>
    </row>
    <row r="114" spans="1:9" ht="18.75" customHeight="1" x14ac:dyDescent="0.15">
      <c r="A114" s="4"/>
      <c r="B114" s="233"/>
      <c r="C114" s="234"/>
      <c r="D114" s="234"/>
      <c r="E114" s="234"/>
      <c r="F114" s="234"/>
      <c r="G114" s="234"/>
      <c r="H114" s="234"/>
      <c r="I114" s="235"/>
    </row>
    <row r="115" spans="1:9" ht="18.75" customHeight="1" x14ac:dyDescent="0.15">
      <c r="A115" s="4"/>
      <c r="B115" s="233"/>
      <c r="C115" s="234"/>
      <c r="D115" s="234"/>
      <c r="E115" s="234"/>
      <c r="F115" s="234"/>
      <c r="G115" s="234"/>
      <c r="H115" s="234"/>
      <c r="I115" s="235"/>
    </row>
    <row r="116" spans="1:9" ht="18.75" customHeight="1" x14ac:dyDescent="0.15">
      <c r="A116" s="4"/>
      <c r="B116" s="233"/>
      <c r="C116" s="234"/>
      <c r="D116" s="234"/>
      <c r="E116" s="234"/>
      <c r="F116" s="234"/>
      <c r="G116" s="234"/>
      <c r="H116" s="234"/>
      <c r="I116" s="235"/>
    </row>
    <row r="117" spans="1:9" ht="18.75" customHeight="1" x14ac:dyDescent="0.15">
      <c r="A117" s="4"/>
      <c r="B117" s="233"/>
      <c r="C117" s="234"/>
      <c r="D117" s="234"/>
      <c r="E117" s="234"/>
      <c r="F117" s="234"/>
      <c r="G117" s="234"/>
      <c r="H117" s="234"/>
      <c r="I117" s="235"/>
    </row>
    <row r="118" spans="1:9" ht="18.75" customHeight="1" x14ac:dyDescent="0.15">
      <c r="A118" s="4"/>
      <c r="B118" s="233"/>
      <c r="C118" s="234"/>
      <c r="D118" s="234"/>
      <c r="E118" s="234"/>
      <c r="F118" s="234"/>
      <c r="G118" s="234"/>
      <c r="H118" s="234"/>
      <c r="I118" s="235"/>
    </row>
    <row r="119" spans="1:9" ht="18.75" customHeight="1" x14ac:dyDescent="0.15">
      <c r="A119" s="4"/>
      <c r="B119" s="236"/>
      <c r="C119" s="237"/>
      <c r="D119" s="237"/>
      <c r="E119" s="237"/>
      <c r="F119" s="237"/>
      <c r="G119" s="237"/>
      <c r="H119" s="237"/>
      <c r="I119" s="238"/>
    </row>
    <row r="120" spans="1:9" ht="7.5" customHeight="1" x14ac:dyDescent="0.15">
      <c r="A120" s="4"/>
      <c r="B120" s="35"/>
      <c r="C120" s="35"/>
      <c r="D120" s="35"/>
      <c r="E120" s="35"/>
      <c r="F120" s="35"/>
      <c r="G120" s="35"/>
      <c r="H120" s="35"/>
      <c r="I120" s="35"/>
    </row>
    <row r="121" spans="1:9" ht="18.75" customHeight="1" x14ac:dyDescent="0.15">
      <c r="A121" s="64"/>
      <c r="B121" s="194"/>
      <c r="C121" s="194"/>
      <c r="D121" s="194"/>
      <c r="E121" s="194"/>
      <c r="F121" s="194"/>
      <c r="G121" s="194"/>
      <c r="H121" s="194"/>
      <c r="I121" s="194"/>
    </row>
    <row r="122" spans="1:9" ht="18.75" customHeight="1" x14ac:dyDescent="0.15">
      <c r="A122" s="64"/>
      <c r="B122" s="194"/>
      <c r="C122" s="194"/>
      <c r="D122" s="194"/>
      <c r="E122" s="194"/>
      <c r="F122" s="194"/>
      <c r="G122" s="194"/>
      <c r="H122" s="194"/>
      <c r="I122" s="194"/>
    </row>
    <row r="123" spans="1:9" ht="18.75" customHeight="1" x14ac:dyDescent="0.15">
      <c r="A123" s="4"/>
      <c r="B123" s="68"/>
      <c r="C123" s="68"/>
      <c r="D123" s="68"/>
      <c r="E123" s="68"/>
      <c r="F123" s="68"/>
      <c r="G123" s="68"/>
      <c r="H123" s="68"/>
      <c r="I123" s="69"/>
    </row>
    <row r="124" spans="1:9" ht="18.75" customHeight="1" x14ac:dyDescent="0.15">
      <c r="A124" s="4"/>
      <c r="B124" s="69"/>
      <c r="C124" s="69"/>
      <c r="D124" s="69"/>
      <c r="E124" s="69"/>
      <c r="F124" s="69"/>
      <c r="G124" s="69"/>
      <c r="H124" s="69"/>
      <c r="I124" s="69"/>
    </row>
    <row r="125" spans="1:9" ht="18.75" customHeight="1" x14ac:dyDescent="0.15">
      <c r="A125" s="4"/>
      <c r="B125" s="69"/>
      <c r="C125" s="69"/>
      <c r="D125" s="69"/>
      <c r="E125" s="69"/>
      <c r="F125" s="69"/>
      <c r="G125" s="69"/>
      <c r="H125" s="69"/>
      <c r="I125" s="69"/>
    </row>
    <row r="126" spans="1:9" ht="18.75" customHeight="1" x14ac:dyDescent="0.15">
      <c r="A126" s="4"/>
      <c r="B126" s="69"/>
      <c r="C126" s="69"/>
      <c r="D126" s="69"/>
      <c r="E126" s="69"/>
      <c r="F126" s="69"/>
      <c r="G126" s="69"/>
      <c r="H126" s="69"/>
      <c r="I126" s="69"/>
    </row>
    <row r="127" spans="1:9" ht="18.75" customHeight="1" x14ac:dyDescent="0.15">
      <c r="A127" s="4"/>
      <c r="B127" s="69"/>
      <c r="C127" s="69"/>
      <c r="D127" s="69"/>
      <c r="E127" s="69"/>
      <c r="F127" s="69"/>
      <c r="G127" s="69"/>
      <c r="H127" s="69"/>
      <c r="I127" s="69"/>
    </row>
    <row r="128" spans="1:9" ht="18.75" customHeight="1" x14ac:dyDescent="0.15">
      <c r="A128" s="4"/>
      <c r="B128" s="69"/>
      <c r="C128" s="69"/>
      <c r="D128" s="69"/>
      <c r="E128" s="69"/>
      <c r="F128" s="69"/>
      <c r="G128" s="69"/>
      <c r="H128" s="69"/>
      <c r="I128" s="69"/>
    </row>
    <row r="129" spans="1:9" ht="18.75" customHeight="1" x14ac:dyDescent="0.15">
      <c r="A129" s="4"/>
      <c r="B129" s="69"/>
      <c r="C129" s="69"/>
      <c r="D129" s="69"/>
      <c r="E129" s="69"/>
      <c r="F129" s="69"/>
      <c r="G129" s="69"/>
      <c r="H129" s="69"/>
      <c r="I129" s="69"/>
    </row>
    <row r="130" spans="1:9" ht="18.75" customHeight="1" x14ac:dyDescent="0.15">
      <c r="A130" s="4"/>
      <c r="B130" s="69"/>
      <c r="C130" s="69"/>
      <c r="D130" s="69"/>
      <c r="E130" s="69"/>
      <c r="F130" s="69"/>
      <c r="G130" s="69"/>
      <c r="H130" s="69"/>
      <c r="I130" s="69"/>
    </row>
    <row r="131" spans="1:9" ht="18.75" customHeight="1" x14ac:dyDescent="0.15">
      <c r="A131" s="4"/>
      <c r="B131" s="69"/>
      <c r="C131" s="69"/>
      <c r="D131" s="69"/>
      <c r="E131" s="69"/>
      <c r="F131" s="69"/>
      <c r="G131" s="69"/>
      <c r="H131" s="69"/>
      <c r="I131" s="69"/>
    </row>
    <row r="132" spans="1:9" ht="18.75" customHeight="1" x14ac:dyDescent="0.15">
      <c r="A132" s="4"/>
      <c r="B132" s="69"/>
      <c r="C132" s="69"/>
      <c r="D132" s="69"/>
      <c r="E132" s="69"/>
      <c r="F132" s="69"/>
      <c r="G132" s="69"/>
      <c r="H132" s="69"/>
      <c r="I132" s="69"/>
    </row>
    <row r="133" spans="1:9" ht="14.25" x14ac:dyDescent="0.15">
      <c r="A133" s="4"/>
      <c r="B133" s="69"/>
      <c r="C133" s="69"/>
      <c r="D133" s="69"/>
      <c r="E133" s="69"/>
      <c r="F133" s="69"/>
      <c r="G133" s="69"/>
      <c r="H133" s="69"/>
      <c r="I133" s="69"/>
    </row>
    <row r="134" spans="1:9" ht="7.5" customHeight="1" x14ac:dyDescent="0.15">
      <c r="A134" s="4"/>
      <c r="B134" s="69"/>
      <c r="C134" s="69"/>
      <c r="D134" s="69"/>
      <c r="E134" s="69"/>
      <c r="F134" s="69"/>
      <c r="G134" s="69"/>
      <c r="H134" s="69"/>
      <c r="I134" s="6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7" t="s">
        <v>96</v>
      </c>
    </row>
    <row r="2" spans="1:9" ht="18.75" customHeight="1" x14ac:dyDescent="0.15">
      <c r="H2" s="27" t="s">
        <v>99</v>
      </c>
      <c r="I2" s="26" t="str">
        <f>'様式１　プログラムを構成する授業科目'!C2</f>
        <v>西南学院大学</v>
      </c>
    </row>
    <row r="3" spans="1:9" ht="18.75" customHeight="1" x14ac:dyDescent="0.15">
      <c r="A3" s="195" t="s">
        <v>28</v>
      </c>
      <c r="B3" s="195"/>
      <c r="C3" s="195"/>
      <c r="D3" s="195"/>
      <c r="E3" s="195"/>
      <c r="F3" s="195"/>
      <c r="G3" s="195"/>
      <c r="H3" s="195"/>
      <c r="I3" s="195"/>
    </row>
    <row r="4" spans="1:9" ht="18.75" customHeight="1" x14ac:dyDescent="0.15">
      <c r="A4" s="5"/>
      <c r="B4" s="5"/>
      <c r="C4" s="5"/>
      <c r="D4" s="5"/>
      <c r="E4" s="5"/>
      <c r="F4" s="5"/>
      <c r="G4" s="5"/>
      <c r="H4" s="5"/>
      <c r="I4" s="5"/>
    </row>
    <row r="5" spans="1:9" ht="18.75" customHeight="1" x14ac:dyDescent="0.15">
      <c r="A5" s="1" t="s">
        <v>0</v>
      </c>
      <c r="B5" s="8" t="s">
        <v>90</v>
      </c>
      <c r="C5" s="5"/>
      <c r="D5" s="5"/>
      <c r="E5" s="5"/>
      <c r="F5" s="5"/>
      <c r="G5" s="5"/>
      <c r="H5" s="5"/>
      <c r="I5" s="5"/>
    </row>
    <row r="6" spans="1:9" ht="26.25" customHeight="1" x14ac:dyDescent="0.15">
      <c r="A6" s="5"/>
      <c r="B6" s="210" t="s">
        <v>184</v>
      </c>
      <c r="C6" s="267"/>
      <c r="D6" s="267"/>
      <c r="E6" s="267"/>
      <c r="F6" s="267"/>
      <c r="G6" s="267"/>
      <c r="H6" s="268"/>
      <c r="I6" s="3"/>
    </row>
    <row r="7" spans="1:9" ht="9" customHeight="1" x14ac:dyDescent="0.15">
      <c r="A7" s="5"/>
      <c r="B7" s="8"/>
      <c r="C7" s="8"/>
      <c r="D7" s="8"/>
      <c r="E7" s="8"/>
      <c r="F7" s="8"/>
      <c r="G7" s="8"/>
      <c r="H7" s="8"/>
      <c r="I7" s="3"/>
    </row>
    <row r="8" spans="1:9" ht="18.75" customHeight="1" x14ac:dyDescent="0.15">
      <c r="A8" s="5"/>
      <c r="B8" s="3"/>
      <c r="C8" s="3"/>
      <c r="D8" s="27" t="s">
        <v>42</v>
      </c>
      <c r="E8" s="93" t="s">
        <v>185</v>
      </c>
      <c r="F8" s="3"/>
      <c r="G8" s="27" t="s">
        <v>10</v>
      </c>
      <c r="H8" s="93" t="s">
        <v>186</v>
      </c>
      <c r="I8" s="3"/>
    </row>
    <row r="9" spans="1:9" ht="6"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36" t="s">
        <v>14</v>
      </c>
      <c r="C12" s="43"/>
      <c r="D12" s="37"/>
      <c r="E12" s="44"/>
      <c r="F12" s="44"/>
      <c r="G12" s="44"/>
      <c r="H12" s="44"/>
      <c r="I12" s="37"/>
    </row>
    <row r="13" spans="1:9" ht="210" customHeight="1" x14ac:dyDescent="0.15">
      <c r="B13" s="38"/>
      <c r="C13" s="265" t="s">
        <v>15</v>
      </c>
      <c r="D13" s="266"/>
      <c r="E13" s="262" t="s">
        <v>171</v>
      </c>
      <c r="F13" s="263"/>
      <c r="G13" s="263"/>
      <c r="H13" s="263"/>
      <c r="I13" s="264"/>
    </row>
    <row r="14" spans="1:9" ht="210" customHeight="1" x14ac:dyDescent="0.15">
      <c r="B14" s="38"/>
      <c r="C14" s="260" t="s">
        <v>16</v>
      </c>
      <c r="D14" s="261"/>
      <c r="E14" s="262" t="s">
        <v>172</v>
      </c>
      <c r="F14" s="263"/>
      <c r="G14" s="263"/>
      <c r="H14" s="263"/>
      <c r="I14" s="264"/>
    </row>
    <row r="15" spans="1:9" ht="210" customHeight="1" x14ac:dyDescent="0.15">
      <c r="B15" s="38"/>
      <c r="C15" s="265" t="s">
        <v>17</v>
      </c>
      <c r="D15" s="266"/>
      <c r="E15" s="262" t="s">
        <v>176</v>
      </c>
      <c r="F15" s="263"/>
      <c r="G15" s="263"/>
      <c r="H15" s="263"/>
      <c r="I15" s="264"/>
    </row>
    <row r="16" spans="1:9" ht="210" customHeight="1" x14ac:dyDescent="0.15">
      <c r="B16" s="38"/>
      <c r="C16" s="265" t="s">
        <v>18</v>
      </c>
      <c r="D16" s="266"/>
      <c r="E16" s="262" t="s">
        <v>177</v>
      </c>
      <c r="F16" s="263"/>
      <c r="G16" s="263"/>
      <c r="H16" s="263"/>
      <c r="I16" s="264"/>
    </row>
    <row r="17" spans="2:9" ht="210" customHeight="1" x14ac:dyDescent="0.15">
      <c r="B17" s="39"/>
      <c r="C17" s="269" t="s">
        <v>19</v>
      </c>
      <c r="D17" s="270"/>
      <c r="E17" s="271" t="s">
        <v>178</v>
      </c>
      <c r="F17" s="272"/>
      <c r="G17" s="272"/>
      <c r="H17" s="272"/>
      <c r="I17" s="273"/>
    </row>
    <row r="18" spans="2:9" ht="24" customHeight="1" x14ac:dyDescent="0.15">
      <c r="B18" s="36" t="s">
        <v>20</v>
      </c>
      <c r="C18" s="40"/>
      <c r="D18" s="41"/>
      <c r="E18" s="42"/>
      <c r="F18" s="42"/>
      <c r="G18" s="42"/>
      <c r="H18" s="42"/>
      <c r="I18" s="45"/>
    </row>
    <row r="19" spans="2:9" ht="218.25" customHeight="1" x14ac:dyDescent="0.15">
      <c r="B19" s="38"/>
      <c r="C19" s="265" t="s">
        <v>21</v>
      </c>
      <c r="D19" s="266"/>
      <c r="E19" s="263" t="s">
        <v>179</v>
      </c>
      <c r="F19" s="263"/>
      <c r="G19" s="263"/>
      <c r="H19" s="263"/>
      <c r="I19" s="264"/>
    </row>
    <row r="20" spans="2:9" ht="218.25" customHeight="1" x14ac:dyDescent="0.15">
      <c r="B20" s="39"/>
      <c r="C20" s="269" t="s">
        <v>22</v>
      </c>
      <c r="D20" s="270"/>
      <c r="E20" s="272" t="s">
        <v>180</v>
      </c>
      <c r="F20" s="272"/>
      <c r="G20" s="272"/>
      <c r="H20" s="272"/>
      <c r="I20" s="273"/>
    </row>
    <row r="21" spans="2:9" ht="218.25" customHeight="1" x14ac:dyDescent="0.15">
      <c r="B21" s="279" t="s">
        <v>23</v>
      </c>
      <c r="C21" s="280"/>
      <c r="D21" s="281"/>
      <c r="E21" s="282" t="s">
        <v>173</v>
      </c>
      <c r="F21" s="282"/>
      <c r="G21" s="282"/>
      <c r="H21" s="282"/>
      <c r="I21" s="283"/>
    </row>
    <row r="22" spans="2:9" ht="218.25" customHeight="1" x14ac:dyDescent="0.15">
      <c r="B22" s="274" t="s">
        <v>135</v>
      </c>
      <c r="C22" s="275"/>
      <c r="D22" s="276"/>
      <c r="E22" s="277" t="s">
        <v>174</v>
      </c>
      <c r="F22" s="277"/>
      <c r="G22" s="277"/>
      <c r="H22" s="277"/>
      <c r="I22" s="27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2"/>
      <c r="C28" s="12"/>
      <c r="D28" s="12"/>
      <c r="E28" s="12"/>
      <c r="F28" s="12"/>
      <c r="G28" s="12"/>
      <c r="H28" s="12"/>
      <c r="I28" s="12"/>
    </row>
    <row r="29" spans="2:9" ht="22.5" customHeight="1" x14ac:dyDescent="0.15">
      <c r="B29" s="12"/>
      <c r="C29" s="12"/>
      <c r="D29" s="12"/>
      <c r="E29" s="12"/>
      <c r="F29" s="12"/>
      <c r="G29" s="12"/>
      <c r="H29" s="12"/>
      <c r="I29" s="12"/>
    </row>
    <row r="30" spans="2:9" ht="22.5" customHeight="1" x14ac:dyDescent="0.15">
      <c r="B30" s="12"/>
      <c r="C30" s="12"/>
      <c r="D30" s="12"/>
      <c r="E30" s="12"/>
      <c r="F30" s="12"/>
      <c r="G30" s="12"/>
      <c r="H30" s="12"/>
      <c r="I30" s="12"/>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2024-03-05T06:19:11Z</cp:lastPrinted>
  <dcterms:created xsi:type="dcterms:W3CDTF">2011-06-14T05:32:50Z</dcterms:created>
  <dcterms:modified xsi:type="dcterms:W3CDTF">2024-06-17T23:56:53Z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