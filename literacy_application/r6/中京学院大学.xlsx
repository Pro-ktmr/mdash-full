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defaultThemeVersion="124226"/>
  <mc:AlternateContent xmlns:mc="http://schemas.openxmlformats.org/markup-compatibility/2006">
    <mc:Choice Requires="x15">
      <x15ac:absPath xmlns:x15ac="http://schemas.microsoft.com/office/spreadsheetml/2010/11/ac" url="S:\00　事務組織共有\20　リフォームエデュケーションセンター\00　教学推進部\040 委員会\令和06年度\全学\データサイエンスAI教育検討委員会\申請書類　完成版差し替え\"/>
    </mc:Choice>
  </mc:AlternateContent>
  <xr:revisionPtr revIDLastSave="0" documentId="13_ncr:1_{636E9B36-5FA3-4D31-8D7E-CC44D9619D27}" xr6:coauthVersionLast="47" xr6:coauthVersionMax="47" xr10:uidLastSave="{00000000-0000-0000-0000-000000000000}"/>
  <bookViews>
    <workbookView xWindow="-120" yWindow="-120" windowWidth="29040" windowHeight="15720" tabRatio="885" xr2:uid="{00000000-000D-0000-FFFF-FFFF00000000}"/>
  </bookViews>
  <sheets>
    <sheet name="様式１-１　プログラムを構成する授業科目" sheetId="39" r:id="rId1"/>
    <sheet name="様式１-2　プログラムを構成する授業科目" sheetId="44" r:id="rId2"/>
    <sheet name="様式２ 履修者等数の実績" sheetId="40" r:id="rId3"/>
    <sheet name="様式３ 教育の質・履修者数を向上させるための体制・計画" sheetId="41" r:id="rId4"/>
    <sheet name="様式４　自己点検・評価" sheetId="42" r:id="rId5"/>
  </sheets>
  <definedNames>
    <definedName name="_xlnm._FilterDatabase" localSheetId="0" hidden="1">'様式１-１　プログラムを構成する授業科目'!$X$16:$X$18</definedName>
    <definedName name="_xlnm._FilterDatabase" localSheetId="1" hidden="1">'様式１-2　プログラムを構成する授業科目'!$X$16:$X$18</definedName>
    <definedName name="_xlnm._FilterDatabase" localSheetId="2" hidden="1">'様式２ 履修者等数の実績'!#REF!</definedName>
    <definedName name="_xlnm.Print_Area" localSheetId="0">'様式１-１　プログラムを構成する授業科目'!$A$1:$U$112</definedName>
    <definedName name="_xlnm.Print_Area" localSheetId="1">'様式１-2　プログラムを構成する授業科目'!$A$1:$U$112</definedName>
    <definedName name="_xlnm.Print_Area" localSheetId="2">'様式２ 履修者等数の実績'!$A$1:$S$33</definedName>
    <definedName name="_xlnm.Print_Area" localSheetId="3">'様式３ 教育の質・履修者数を向上させるための体制・計画'!$A$1:$I$119</definedName>
    <definedName name="_xlnm.Print_Area" localSheetId="4">'様式４　自己点検・評価'!$A$1:$I$22</definedName>
    <definedName name="_xlnm.Print_Titles" localSheetId="4">'様式４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R14" i="40" l="1"/>
  <c r="S14" i="40" s="1"/>
  <c r="R13" i="40"/>
  <c r="S13" i="40" s="1"/>
  <c r="M7" i="40" l="1"/>
  <c r="I2" i="42"/>
  <c r="H2" i="41"/>
  <c r="Q2" i="40"/>
  <c r="I33" i="40" l="1"/>
  <c r="M33" i="40"/>
  <c r="P33" i="40"/>
  <c r="Q33" i="40"/>
  <c r="O33" i="40"/>
  <c r="N33" i="40"/>
  <c r="L33" i="40"/>
  <c r="J33" i="40"/>
  <c r="K33" i="40"/>
  <c r="H33" i="40"/>
  <c r="R15" i="40" l="1"/>
  <c r="R16" i="40"/>
  <c r="R17" i="40"/>
  <c r="R18" i="40"/>
  <c r="R19" i="40"/>
  <c r="R20" i="40"/>
  <c r="R21" i="40"/>
  <c r="R22" i="40"/>
  <c r="R23" i="40"/>
  <c r="R24" i="40"/>
  <c r="R25" i="40"/>
  <c r="R26" i="40"/>
  <c r="R27" i="40"/>
  <c r="R28" i="40"/>
  <c r="R29" i="40"/>
  <c r="R30" i="40"/>
  <c r="R31" i="40"/>
  <c r="R32" i="40"/>
  <c r="C33" i="40"/>
  <c r="G33" i="40" l="1"/>
  <c r="F33" i="40" l="1"/>
  <c r="E33" i="40"/>
  <c r="D33" i="40"/>
  <c r="S32" i="40"/>
  <c r="S31" i="40"/>
  <c r="S30" i="40"/>
  <c r="S29" i="40"/>
  <c r="S28" i="40"/>
  <c r="S27" i="40"/>
  <c r="S26" i="40"/>
  <c r="S25" i="40"/>
  <c r="S24" i="40"/>
  <c r="S23" i="40"/>
  <c r="S22" i="40"/>
  <c r="S21" i="40"/>
  <c r="S20" i="40"/>
  <c r="S19" i="40"/>
  <c r="S18" i="40"/>
  <c r="S17" i="40"/>
  <c r="S16" i="40"/>
  <c r="S15" i="40"/>
  <c r="R33" i="40" l="1"/>
  <c r="S33" i="40" s="1"/>
</calcChain>
</file>

<file path=xl/sharedStrings.xml><?xml version="1.0" encoding="utf-8"?>
<sst xmlns="http://schemas.openxmlformats.org/spreadsheetml/2006/main" count="437" uniqueCount="203">
  <si>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</si>
  <si>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</si>
  <si>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</si>
  <si>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</si>
  <si>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</si>
  <si>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</si>
  <si>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</si>
  <si>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</si>
  <si>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</si>
  <si>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</si>
  <si>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</si>
  <si>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</si>
  <si>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</si>
  <si>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</si>
  <si>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</si>
  <si>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</si>
  <si>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</si>
  <si>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</si>
  <si>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</si>
  <si>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</si>
  <si>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</si>
  <si>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</si>
  <si>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</si>
  <si>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</si>
  <si>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</si>
  <si>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</si>
  <si>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</si>
  <si>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</si>
  <si>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</si>
  <si>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</si>
  <si>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</si>
  <si>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</si>
  <si>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</si>
  <si>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</si>
  <si>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</si>
  <si>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</si>
  <si>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プログラムを構成する授業科目について</t>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</si>
  <si>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</si>
  <si>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</si>
  <si>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</si>
  <si>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</si>
  <si>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</si>
  <si>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</si>
  <si>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</si>
  <si>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</si>
  <si>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プログラムの履修者数等の実績について</t>
    <phoneticPr fontId="1"/>
  </si>
  <si>
    <t>令和3年度</t>
    <rPh sb="0" eb="2">
      <t>レイワ</t>
    </rPh>
    <rPh sb="3" eb="5">
      <t>ネンド</t>
    </rPh>
    <phoneticPr fontId="1"/>
  </si>
  <si>
    <t>令和2年度</t>
    <rPh sb="0" eb="2">
      <t>レイワ</t>
    </rPh>
    <rPh sb="3" eb="5">
      <t>ネンド</t>
    </rPh>
    <phoneticPr fontId="1"/>
  </si>
  <si>
    <t>平成30年度</t>
    <rPh sb="0" eb="2">
      <t>ヘイセイ</t>
    </rPh>
    <rPh sb="4" eb="6">
      <t>ネンド</t>
    </rPh>
    <phoneticPr fontId="1"/>
  </si>
  <si>
    <t>年度</t>
    <rPh sb="0" eb="2">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</si>
  <si>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</si>
  <si>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</si>
  <si>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</si>
  <si>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</si>
  <si>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</si>
  <si>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</si>
  <si>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</si>
  <si>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</si>
  <si>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</si>
  <si>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</si>
  <si>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</si>
  <si>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</si>
  <si>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令和６年度予定</t>
    <rPh sb="0" eb="2">
      <t>レイワ</t>
    </rPh>
    <rPh sb="3" eb="5">
      <t>ネンド</t>
    </rPh>
    <rPh sb="5" eb="7">
      <t>ヨテイ</t>
    </rPh>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</si>
  <si>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</si>
  <si>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</si>
  <si>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</si>
  <si>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</si>
  <si>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</si>
  <si>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</si>
  <si>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</si>
  <si>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</si>
  <si>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</si>
  <si>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</si>
  <si>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</si>
  <si>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</si>
  <si>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</si>
  <si>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</si>
  <si>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</si>
  <si>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</si>
  <si>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</si>
  <si>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</si>
  <si>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</si>
  <si>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</si>
  <si>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</si>
  <si>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</si>
  <si>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</si>
  <si>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</si>
  <si>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</si>
  <si>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</si>
  <si>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</si>
  <si>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令和元年度</t>
    <rPh sb="0" eb="2">
      <t>レイワ</t>
    </rPh>
    <rPh sb="2" eb="3">
      <t>モト</t>
    </rPh>
    <rPh sb="3" eb="5">
      <t>ネンド</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</si>
  <si>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</si>
  <si>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</si>
  <si>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</si>
  <si>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</si>
  <si>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</si>
  <si>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</si>
  <si>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</si>
  <si>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</si>
  <si>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</si>
  <si>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</si>
  <si>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</si>
  <si>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</si>
  <si>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</si>
  <si>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</si>
  <si>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</si>
  <si>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</si>
  <si>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</si>
  <si>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</si>
  <si>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</si>
  <si>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</si>
  <si>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</si>
  <si>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</si>
  <si>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令和５年度以前より、履修することが必須のプログラムとして実施</t>
    <rPh sb="0" eb="2">
      <t>レイワ</t>
    </rPh>
    <rPh sb="3" eb="5">
      <t>ネンド</t>
    </rPh>
    <rPh sb="5" eb="7">
      <t>イゼン</t>
    </rPh>
    <phoneticPr fontId="1"/>
  </si>
  <si>
    <t>令和８年度までに履修必須とする計画</t>
    <rPh sb="3" eb="4">
      <t>ネン</t>
    </rPh>
    <phoneticPr fontId="1"/>
  </si>
  <si>
    <t>令和９年度以降に履修必須とする計画、又は未定</t>
    <rPh sb="18" eb="19">
      <t>マタ</t>
    </rPh>
    <rPh sb="20" eb="22">
      <t>ミテイ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</si>
  <si>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</si>
  <si>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</si>
  <si>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</si>
  <si>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</si>
  <si>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</si>
  <si>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</si>
  <si>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</si>
  <si>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【参考】</t>
    <rPh sb="1" eb="3">
      <t>サンコウ</t>
    </rPh>
    <phoneticPr fontId="1"/>
  </si>
  <si>
    <t>※本項目は各大学の実践例を参考に伺うものであり、認定要件とはなりません。</t>
    <rPh sb="1" eb="4">
      <t>ホンコウモク</t>
    </rPh>
    <rPh sb="5" eb="8">
      <t>カクダイガク</t>
    </rPh>
    <rPh sb="9" eb="12">
      <t>ジッセンレイ</t>
    </rPh>
    <rPh sb="13" eb="15">
      <t>サンコウ</t>
    </rPh>
    <rPh sb="16" eb="17">
      <t>ウカガ</t>
    </rPh>
    <rPh sb="24" eb="26">
      <t>ニンテイ</t>
    </rPh>
    <rPh sb="26" eb="28">
      <t>ヨウケン</t>
    </rPh>
    <phoneticPr fontId="1"/>
  </si>
  <si>
    <t>⑫ 生成AIに関連する授業内容　※該当がある場合に記載</t>
    <rPh sb="2" eb="4">
      <t>セイセイ</t>
    </rPh>
    <rPh sb="7" eb="9">
      <t>カンレン</t>
    </rPh>
    <rPh sb="11" eb="13">
      <t>ジュギョウ</t>
    </rPh>
    <rPh sb="13" eb="15">
      <t>ナイヨウ</t>
    </rPh>
    <rPh sb="17" eb="19">
      <t>ガイトウ</t>
    </rPh>
    <rPh sb="22" eb="24">
      <t>バアイ</t>
    </rPh>
    <rPh sb="25" eb="27">
      <t>キサイ</t>
    </rPh>
    <phoneticPr fontId="1"/>
  </si>
  <si>
    <t>令和５年度実績</t>
    <rPh sb="0" eb="2">
      <t>レイワ</t>
    </rPh>
    <rPh sb="3" eb="5">
      <t>ネンド</t>
    </rPh>
    <rPh sb="5" eb="7">
      <t>ジッセキ</t>
    </rPh>
    <phoneticPr fontId="1"/>
  </si>
  <si>
    <t>令和９年度予定</t>
    <rPh sb="0" eb="2">
      <t>レイワ</t>
    </rPh>
    <rPh sb="3" eb="5">
      <t>ネンド</t>
    </rPh>
    <rPh sb="5" eb="7">
      <t>ヨテイ</t>
    </rPh>
    <phoneticPr fontId="1"/>
  </si>
  <si>
    <t>学部・学科によって、修了要件は相違する</t>
  </si>
  <si>
    <r>
      <t>教育プログラムを構成する科目に、</t>
    </r>
    <r>
      <rPr>
        <b/>
        <sz val="11"/>
        <rFont val="ＭＳ Ｐゴシック"/>
        <family val="3"/>
        <charset val="128"/>
        <scheme val="minor"/>
      </rPr>
      <t>「数理・データサイエンス・ＡＩ（リテラシーレベル）モデルカリキュラム改訂版」</t>
    </r>
    <r>
      <rPr>
        <sz val="11"/>
        <rFont val="ＭＳ Ｐゴシック"/>
        <family val="3"/>
        <charset val="128"/>
        <scheme val="minor"/>
      </rPr>
      <t>（2024年2月　数理・データサイエンス教育強化拠点コンソーシアム）において追加された生成AIに関連するスキルセットの内容を含む授業（授業内で活用事例などを取り上げる、実際に使用してみるなど）がある場合に、どの科目でどのような授業をどのように実施しているかを記載してください。</t>
    </r>
    <rPh sb="50" eb="53">
      <t>カイテイバン</t>
    </rPh>
    <rPh sb="92" eb="94">
      <t>ツイカ</t>
    </rPh>
    <rPh sb="97" eb="99">
      <t>セイセイ</t>
    </rPh>
    <rPh sb="102" eb="104">
      <t>カンレン</t>
    </rPh>
    <rPh sb="113" eb="115">
      <t>ナイヨウ</t>
    </rPh>
    <rPh sb="116" eb="117">
      <t>フク</t>
    </rPh>
    <rPh sb="121" eb="123">
      <t>ジュギョウ</t>
    </rPh>
    <rPh sb="123" eb="124">
      <t>ナイ</t>
    </rPh>
    <rPh sb="125" eb="127">
      <t>カツヨウ</t>
    </rPh>
    <rPh sb="127" eb="129">
      <t>ジレイ</t>
    </rPh>
    <rPh sb="132" eb="133">
      <t>ト</t>
    </rPh>
    <rPh sb="134" eb="135">
      <t>ア</t>
    </rPh>
    <rPh sb="138" eb="140">
      <t>ジッサイ</t>
    </rPh>
    <rPh sb="141" eb="143">
      <t>シヨウ</t>
    </rPh>
    <rPh sb="153" eb="155">
      <t>バアイ</t>
    </rPh>
    <rPh sb="159" eb="161">
      <t>カモク</t>
    </rPh>
    <rPh sb="167" eb="169">
      <t>ジュギョウ</t>
    </rPh>
    <rPh sb="175" eb="177">
      <t>ジッシ</t>
    </rPh>
    <rPh sb="183" eb="185">
      <t>キサイ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</si>
  <si>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</si>
  <si>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</si>
  <si>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</si>
  <si>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</si>
  <si>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様式１-2</t>
    <rPh sb="0" eb="2">
      <t>ヨウシキ</t>
    </rPh>
    <phoneticPr fontId="1"/>
  </si>
  <si>
    <t>中京学院大学</t>
    <phoneticPr fontId="1"/>
  </si>
  <si>
    <t>数理・データサイエンス・AI教育プログラム</t>
    <phoneticPr fontId="1"/>
  </si>
  <si>
    <t>看護学部看護学科</t>
    <phoneticPr fontId="1"/>
  </si>
  <si>
    <t>○</t>
  </si>
  <si>
    <t>統計分析法</t>
    <phoneticPr fontId="1"/>
  </si>
  <si>
    <t>情報処理と管理</t>
    <phoneticPr fontId="1"/>
  </si>
  <si>
    <t>4-1統計および数理基礎</t>
  </si>
  <si>
    <t>・調査データ・実験データ(統計分析法 第1回目)
・1次データ、2次データ(統計分析法 第1回目)
・データ作成(統計分析法 第1回目)</t>
    <phoneticPr fontId="1"/>
  </si>
  <si>
    <t>・データ・AI活用領域の広がり(統計分析法 第2回目)
・データの活用事例　マーケティング、サービスなど(統計分析法 第2回目)
・仮説検証(統計分析法 第4回目)</t>
    <phoneticPr fontId="1"/>
  </si>
  <si>
    <t>・非構造化データ処理：言語処理、画像処理(情報処理と管理 第4回目)
・データ可視化：複合グラフ、2軸グラフ、多次元の可視化、関係性の可視化(情報処理と管理 第11回目)
・データ解析：構文解析(情報処理と管理 第2回目)</t>
    <rPh sb="93" eb="97">
      <t>コウブンカイセキ</t>
    </rPh>
    <phoneticPr fontId="1"/>
  </si>
  <si>
    <t>・個人情報保護(情報処理と管理 第1回目)
・データ倫理(情報処理と管理 第1回目)
・ELSI(情報処理と管理 第6回目)</t>
    <phoneticPr fontId="1"/>
  </si>
  <si>
    <t>・匿名加工情報、パスワード、悪意ある情報搾取(情報処理と管理 第6回目)
・情報漏洩等によるセキュリティ事故の事例紹介(情報処理と管理 第7回目)</t>
    <phoneticPr fontId="1"/>
  </si>
  <si>
    <t>・データの種類（量的変数、質的変数） （統計分析法 第3回目）
・データの分布(ヒストグラム)と代表値（平均値、中央値、最頻値） （統計分析法 第2回目、統計分析法 第3回目）
・代表値の性質の違い （統計分析法 第2回目）
・データのばらつき（分散、標準偏差、偏差値） （統計分析法 第2回目）
・母集団と標本抽出（国勢調査、アンケート調査、全数調査、単純無作為抽出、層別抽出、多段抽出） （統計分析法 第3回目）
・相関と因果（相関係数）（統計分析法 第6回目）</t>
    <phoneticPr fontId="1"/>
  </si>
  <si>
    <t>データサイエンスの基礎的な知識及び技術に基づいてデータを適切に分析することなどができる。</t>
    <phoneticPr fontId="1"/>
  </si>
  <si>
    <t>様式１-1</t>
    <rPh sb="0" eb="2">
      <t>ヨウシキ</t>
    </rPh>
    <phoneticPr fontId="1"/>
  </si>
  <si>
    <t>数理・データサイエンス・AI教育プログラム</t>
  </si>
  <si>
    <t>経営学部経営学科</t>
    <phoneticPr fontId="1"/>
  </si>
  <si>
    <t>「情報処理概論B」の講義を履修し、2単位を取得すること。</t>
    <phoneticPr fontId="1"/>
  </si>
  <si>
    <t>情報処理概論B</t>
    <phoneticPr fontId="1"/>
  </si>
  <si>
    <t>・第4次産業革命、Society 5.0、データ駆動型社会（第１回目）</t>
    <rPh sb="30" eb="31">
      <t>ダイ</t>
    </rPh>
    <rPh sb="32" eb="34">
      <t>カイメ</t>
    </rPh>
    <phoneticPr fontId="1"/>
  </si>
  <si>
    <t>・AI等を活用した新しいビジネスモデル（第2回目）
・AI最新技術の活用例（第2回目）</t>
    <phoneticPr fontId="1"/>
  </si>
  <si>
    <r>
      <t>・調査データ（第2回目）
・1次データ、2次データ（第2回目）
・</t>
    </r>
    <r>
      <rPr>
        <sz val="9"/>
        <color theme="1"/>
        <rFont val="ＭＳ Ｐゴシック"/>
        <family val="3"/>
        <charset val="128"/>
        <scheme val="minor"/>
      </rPr>
      <t>非構造化データ（第2回目）</t>
    </r>
    <phoneticPr fontId="1"/>
  </si>
  <si>
    <t>・データ・AI活用領域の広がり（第5回目）
・仮説検証（第6回目）</t>
    <phoneticPr fontId="1"/>
  </si>
  <si>
    <t xml:space="preserve">
・今のAIで出来ることと出来ないこと（第5回目）
・データ可視化：複合グラフ、2軸グラフ、多次元の可視化、関係性の可視化（第8回目）
</t>
    <phoneticPr fontId="1"/>
  </si>
  <si>
    <t xml:space="preserve">
・流通、製造、金融、サービス、インフラ、公共、ヘルスケア等におけるデータ・AI利活用事例紹介（第5回目）
・データサイエンスのサイクル（課題抽出と定式化、データの取得・管理・加工、探索的データ解析、データ解析と推論、結果の共有・伝達、課題解決に向けた提案）（第12回目～14回目）</t>
    <rPh sb="138" eb="140">
      <t>カイメ</t>
    </rPh>
    <phoneticPr fontId="1"/>
  </si>
  <si>
    <t xml:space="preserve">・ELSI（第3回目）
・データ倫理：データのねつ造、改ざん、盗用、プライバシー保護（第3回目）
・データ・AI活用における負の事例紹介（第3回目）
</t>
    <rPh sb="43" eb="44">
      <t>ダイ</t>
    </rPh>
    <rPh sb="45" eb="47">
      <t>カイメ</t>
    </rPh>
    <phoneticPr fontId="1"/>
  </si>
  <si>
    <t>・情報セキュリティ：機密性、完全性、可用性（第3回目）
・匿名加工情報、暗号化、パスワード、悪意ある情報搾取（第3回目）</t>
    <phoneticPr fontId="1"/>
  </si>
  <si>
    <t xml:space="preserve">・データ表現（棒グラフ、折線グラフ、散布図）（第8回目、第12回目）
</t>
    <rPh sb="23" eb="24">
      <t>ダイ</t>
    </rPh>
    <rPh sb="28" eb="29">
      <t>ダイ</t>
    </rPh>
    <rPh sb="31" eb="33">
      <t>カイメ</t>
    </rPh>
    <phoneticPr fontId="1"/>
  </si>
  <si>
    <t xml:space="preserve">・データの集計（和、平均）（第7回目、第12回目）
・データ解析ツール（スプレッドシート）（第7回目、第12回目）
・表形式のデータ（csv）（第2回目）
</t>
    <rPh sb="14" eb="15">
      <t>ダイ</t>
    </rPh>
    <rPh sb="16" eb="18">
      <t>カイメ</t>
    </rPh>
    <rPh sb="46" eb="47">
      <t>ダイ</t>
    </rPh>
    <rPh sb="72" eb="73">
      <t>ダイ</t>
    </rPh>
    <rPh sb="74" eb="76">
      <t>カイメ</t>
    </rPh>
    <phoneticPr fontId="1"/>
  </si>
  <si>
    <t>データサイエンスの基礎的な知識及び技術に基づいてデータを適切に分析することなどができる。</t>
  </si>
  <si>
    <t>情報処理概論Bの第３回目でAIの利活用時の注意点などを取り扱っている。</t>
    <rPh sb="0" eb="2">
      <t>ジョウホウ</t>
    </rPh>
    <rPh sb="2" eb="6">
      <t>ショリガイロン</t>
    </rPh>
    <rPh sb="8" eb="9">
      <t>ダイ</t>
    </rPh>
    <rPh sb="10" eb="12">
      <t>カイメ</t>
    </rPh>
    <rPh sb="16" eb="20">
      <t>リカツヨウジ</t>
    </rPh>
    <rPh sb="21" eb="24">
      <t>チュウイテン</t>
    </rPh>
    <rPh sb="27" eb="28">
      <t>ト</t>
    </rPh>
    <rPh sb="29" eb="30">
      <t>アツカ</t>
    </rPh>
    <phoneticPr fontId="1"/>
  </si>
  <si>
    <t>令和5</t>
    <rPh sb="0" eb="2">
      <t>レイワ</t>
    </rPh>
    <phoneticPr fontId="1"/>
  </si>
  <si>
    <t>経営学部経営学科</t>
    <rPh sb="0" eb="4">
      <t>ケイエイガクブ</t>
    </rPh>
    <rPh sb="4" eb="6">
      <t>ケイエイ</t>
    </rPh>
    <rPh sb="6" eb="8">
      <t>ガッカ</t>
    </rPh>
    <phoneticPr fontId="1"/>
  </si>
  <si>
    <t>看護学部看護学科</t>
    <rPh sb="0" eb="4">
      <t>カンゴガクブ</t>
    </rPh>
    <rPh sb="4" eb="6">
      <t>カンゴ</t>
    </rPh>
    <rPh sb="6" eb="8">
      <t>ガッカ</t>
    </rPh>
    <phoneticPr fontId="1"/>
  </si>
  <si>
    <t>林勇人</t>
    <rPh sb="0" eb="1">
      <t>ハヤシ</t>
    </rPh>
    <rPh sb="1" eb="3">
      <t>ハヤト</t>
    </rPh>
    <phoneticPr fontId="1"/>
  </si>
  <si>
    <t>学長</t>
    <rPh sb="0" eb="2">
      <t>ガクチョウ</t>
    </rPh>
    <phoneticPr fontId="1"/>
  </si>
  <si>
    <t>データサイエンスAI教育検討委員会</t>
    <phoneticPr fontId="1"/>
  </si>
  <si>
    <t xml:space="preserve">眞部孝幸  </t>
    <phoneticPr fontId="1"/>
  </si>
  <si>
    <t>委員長</t>
    <rPh sb="0" eb="3">
      <t>イインチョウ</t>
    </rPh>
    <phoneticPr fontId="1"/>
  </si>
  <si>
    <t>数理・データサイエンス・AI教育自己点検評価委員会規程</t>
    <phoneticPr fontId="1"/>
  </si>
  <si>
    <t xml:space="preserve">本学における数理・データサイエンス・AI教育に係るプログラムの改善・進化を担う主体として、数理・データサイエンス・AI教育検討委員会を設け、当委員会規則第2条第2項の規定に基づき、数理・データサイエンス・AI教育自己点検評価委員会を設置した。数理・データサイエンス・AI教育自己点検評価委員会は、数理・データサイエンス・AI教育プログラムに関する自己点検・評価を実施し、本学におけるプログラムの有効性を評価することを目的とする。
       </t>
    <phoneticPr fontId="1"/>
  </si>
  <si>
    <t>本教育プログラムの対象となる科目は、令和5年度より必修科目として開講しており、経営学科経営学部及び看護学部看護学科に入学したすべての学生が受講する。令和5年度に設立された数理・データサイエンス・AI教育自己点検評価委員会を主体として教育プログラムの充実を図り、Microsoft Teams及び講義担当教員のオフィスアワーを活用して各学生の修学を支援し履修率の向上に努める。</t>
    <rPh sb="147" eb="151">
      <t>コウギタントウ</t>
    </rPh>
    <rPh sb="151" eb="153">
      <t>キョウイン</t>
    </rPh>
    <phoneticPr fontId="1"/>
  </si>
  <si>
    <t>本教育プログラムの対象となる授業は各学科において卒業必修科目として実施しており、入学した全ての学生が受講する。</t>
    <phoneticPr fontId="1"/>
  </si>
  <si>
    <t>令和6年度より、各学科の新入生ガイダンス(例年4月上旬に開催)において、本教育プログラムが文部科学省「数理・データサイエンスAI教育プログラム認定制度(リテラシーレベル)」の認定の対象科目であることを周知する。加えて、本教育プログラムの対象科目となる経営学部経営学科の「情報処理概論B(1年後期)」、看護学部看護学科の「情報処理と管理(1年後期)」及び「統計分析法(2年前期)」については、シラバスに本教育プログラムが上記認定の対象科目であることを明記し、履修指導において説明を行う。この他、令和6年度より本プログラムを学ぶ意義を学生に広く周知するために経営学部経営学科では情報処理概論B（1年後期)の名称を「データサイエンス入門」へ変更する（授業内容は同様）。</t>
  </si>
  <si>
    <t>本教育プログラムの対象となる科目は全て卒業必修科目として開講しており、経営学部経営学科及び看護学部看護学科に入学した全員の学生が受講する。令和5年度に数理・データサイエンス・AI教育検討委員会及び数理・データサイエンス・AI教育自己点検評価委員会が学内に設置され、本教育プログラムの改善のみならず、学生の履修及び知識・技能の習得を全面的にサポートする体制が構築された。また、経営学部経営学科においてはSA(Student assistant)が該当科目に配属され学生の修学をサポートしている。</t>
    <phoneticPr fontId="1"/>
  </si>
  <si>
    <t>本学ではMicrosoft Teamsを教員、学生ともに使用している。学生は授業時間以外にも授業に関する質問や、学習に関する困り事を教員の問いかけることができる。また本学は授業ごとにオフィスアワーを設けており、該当する曜日・時間に授業を担当する教員と対面で指導を受けることができる体制を取っている。</t>
    <phoneticPr fontId="1"/>
  </si>
  <si>
    <t>看護学部看護学科　学部長代行・教授　眞部孝幸
経営学部経営学科　准教授　大須賀元彦
経営学部経営学科　専任講師　熊本淳
看護学部看護学科　教授　古田雅俊
保育科　教授　村瀬孝宏
保育科　学科長代行・准教授　伊藤宏支
保育科　特任講師　富田宏
メディアセンター事務部長　星野貴則
教学推進部長補佐　髙橋佑太</t>
    <phoneticPr fontId="1"/>
  </si>
  <si>
    <t>数理・データサイエンス・AI教育自己点検評価委員会</t>
    <rPh sb="0" eb="2">
      <t xml:space="preserve">スウリ </t>
    </rPh>
    <rPh sb="14" eb="16">
      <t xml:space="preserve">キョウイク </t>
    </rPh>
    <rPh sb="16" eb="20">
      <t xml:space="preserve">ジコテンケン </t>
    </rPh>
    <rPh sb="20" eb="22">
      <t xml:space="preserve">ヒョウカ </t>
    </rPh>
    <rPh sb="22" eb="25">
      <t xml:space="preserve">イインカイ </t>
    </rPh>
    <phoneticPr fontId="1"/>
  </si>
  <si>
    <t>古田　雅俊</t>
    <rPh sb="0" eb="2">
      <t xml:space="preserve">フルタ </t>
    </rPh>
    <rPh sb="3" eb="5">
      <t xml:space="preserve">マサトシ </t>
    </rPh>
    <phoneticPr fontId="1"/>
  </si>
  <si>
    <t>委員長</t>
    <rPh sb="0" eb="3">
      <t xml:space="preserve">イインチョウ </t>
    </rPh>
    <phoneticPr fontId="1"/>
  </si>
  <si>
    <t>　履修状況については、看護学部・経営学部とも必修科目として位置付けているため、履修登録を促す取り組みは行なっていない。必修科目の履修登録は、すべて教学推進部にてシステム上で強制的に登録されるため、履修登録の漏れが無いようにしている。
　本教育プログラムは、経営学部では1年次終了時点でプログラム修了となるが、看護学部では次年度の前期をもってプログラム修了となる。科目修得状況については、両学部とも履修者のうち90%以上が単位を修得している。また、「数理・データサイエンス・AI教育プログラム」を修了した学生は、経営学部のみではあるが入学者数に対し61名（87.1%）であった。</t>
    <rPh sb="1" eb="3">
      <t xml:space="preserve">リシュウジョウケヨウニツイテハ </t>
    </rPh>
    <rPh sb="3" eb="5">
      <t xml:space="preserve">ジョウキョウ </t>
    </rPh>
    <rPh sb="11" eb="15">
      <t xml:space="preserve">カンゴガクブ </t>
    </rPh>
    <rPh sb="16" eb="20">
      <t xml:space="preserve">ケイエイガクブトモ </t>
    </rPh>
    <rPh sb="22" eb="26">
      <t xml:space="preserve">ヒッシュウカモクトシテ </t>
    </rPh>
    <rPh sb="29" eb="32">
      <t xml:space="preserve">イチヅケテイル </t>
    </rPh>
    <rPh sb="39" eb="41">
      <t xml:space="preserve">リシュウヲウナガス </t>
    </rPh>
    <rPh sb="41" eb="43">
      <t xml:space="preserve">トウロクヲ </t>
    </rPh>
    <rPh sb="44" eb="45">
      <t xml:space="preserve">ウナガス </t>
    </rPh>
    <rPh sb="46" eb="47">
      <t xml:space="preserve">トリクミハオコナッテイナイ </t>
    </rPh>
    <rPh sb="59" eb="62">
      <t xml:space="preserve">ホンキョウイクプログラムハ </t>
    </rPh>
    <rPh sb="69" eb="73">
      <t xml:space="preserve">ケイエイガクブデハ </t>
    </rPh>
    <rPh sb="78" eb="82">
      <t xml:space="preserve">シュウリョウジテンデ </t>
    </rPh>
    <rPh sb="88" eb="90">
      <t xml:space="preserve">シュウトク </t>
    </rPh>
    <rPh sb="95" eb="99">
      <t xml:space="preserve">カンゴガクブデハ </t>
    </rPh>
    <rPh sb="101" eb="104">
      <t xml:space="preserve">ジネンドノゼンキヲモッテ </t>
    </rPh>
    <rPh sb="116" eb="119">
      <t xml:space="preserve">シュウトク </t>
    </rPh>
    <rPh sb="123" eb="125">
      <t xml:space="preserve">カモクリシュウ </t>
    </rPh>
    <rPh sb="125" eb="127">
      <t xml:space="preserve">シュウトク </t>
    </rPh>
    <rPh sb="127" eb="129">
      <t xml:space="preserve">シュウトクジョウキョウニツイテハ </t>
    </rPh>
    <rPh sb="135" eb="139">
      <t xml:space="preserve">キュウタイガクシャヲノゾクト </t>
    </rPh>
    <rPh sb="143" eb="145">
      <t xml:space="preserve">イカノトオリデアル </t>
    </rPh>
    <rPh sb="153" eb="157">
      <t xml:space="preserve">ケイエイガクブ </t>
    </rPh>
    <rPh sb="159" eb="163">
      <t xml:space="preserve">ジョウホウショリホウ </t>
    </rPh>
    <rPh sb="163" eb="164">
      <t xml:space="preserve">ホウ </t>
    </rPh>
    <rPh sb="168" eb="170">
      <t>🎯</t>
    </rPh>
    <rPh sb="181" eb="185">
      <t xml:space="preserve">カンゴガクブ </t>
    </rPh>
    <rPh sb="186" eb="190">
      <t xml:space="preserve">ジョウホウショリトカンリ </t>
    </rPh>
    <rPh sb="215" eb="217">
      <t xml:space="preserve">ネンド </t>
    </rPh>
    <phoneticPr fontId="1"/>
  </si>
  <si>
    <t xml:space="preserve">　経営学部・看護学部とも教学推進部で管理する科目履修率や単位修得率、プログラム修了率に関するデータおよび、数理・データサイエンス・AI教育自己点検評価委員会にて実施しているプログラム終了後アンケートの集計結果を、本プログラムの評価・改善に活用している。
　2023年度の各科目の単位修得状況については、90%以上の学生が単位修得できている。そのため、シラバスに記載の「学生が達成すべき行動目標」に大多数の学生が到達しているといえる。また、プログラム修了後アンケートにおいても、90%以上の学生が内容の理解ができたと自己評価していた。
</t>
    <rPh sb="43" eb="44">
      <t xml:space="preserve">カンスルデータ </t>
    </rPh>
    <rPh sb="100" eb="104">
      <t xml:space="preserve">シュウケイケッカ </t>
    </rPh>
    <rPh sb="113" eb="115">
      <t xml:space="preserve">ヒョウカ・ </t>
    </rPh>
    <phoneticPr fontId="1"/>
  </si>
  <si>
    <t>　数理・データサイエンス・AI教育自己点検評価委員会にて実施しているプログラム修了後アンケートにて、「社会におけるデータ・AIの利活用」「データリテラシー」「データ・AI利活用における留意事項」の自己評価を実施し、結果をプログラム改善に向け活用できるようにしている。
　2023年度は、経営学部のみのプログラム修了となる。対象科目の講義により数理・データサイエンス・AI教育プログラム（リテラシーレベル）で求められる学修内容に対する理解度の自己評価は、それぞれの項目で90%以上であった。</t>
    <phoneticPr fontId="1"/>
  </si>
  <si>
    <t>　授業の満足度は、リフォームエデュケーションセンター実施の科目終了時アンケートにてデータの収集を行なっている。また、数理・データサイエンス・AI教育プログラムの満足度および推奨度については、数理・データサイエンス・AI教育自己点検評価委員会にて実施しているプログラム修了後アンケートにて確認を行っており、得られた結果は分析を行い次年度のプログラム改善に活用できるよう体制を整えている。
　2023年度は、このプログラムの満足度を90%以上の学生が肯定的に評価しており、また同じく90%以上の学生がこのプログラムを「推奨する」以上の評価をしていた。</t>
    <rPh sb="133" eb="135">
      <t xml:space="preserve">シュウリョウ </t>
    </rPh>
    <phoneticPr fontId="1"/>
  </si>
  <si>
    <t>全学的な履修者数、履修率向上に向けた計画の達成・進捗状況</t>
  </si>
  <si>
    <t xml:space="preserve">　本プログラムの対象科目は、すべて必修科目として開講している。また、新入生ガイダンス時には、本プログラムの目的や対象科目・不明な点があった際の問い合わせなどの説明を行なっており、学修意欲を持って本プログラムの受講・修了できるようにしている。
　しかし、各学部とも定員を下回っているため、定員に対する履修者数は多いとはいえない。履修者数の増加に向け大学全体での取り組みを検討する必要がある。				</t>
  </si>
  <si>
    <t>　2023年度から開始されたプログラムのため、現時点ではプログラム修了者の卒業生はいない。今後、プログラム修了者の進路や活躍状況等については、どのような方法で意見聴取を行う事が最適かを検討し、可能な範囲で実施をする。</t>
    <phoneticPr fontId="1"/>
  </si>
  <si>
    <t>　2023年度の時点で、本プログラムの内容・手法等への学外からの意見聴取が実施できていない。2024年度以降には、その方法を検討し実施できるよう体制を整える必要がある。</t>
    <rPh sb="52" eb="54">
      <t xml:space="preserve">イコウ </t>
    </rPh>
    <phoneticPr fontId="1"/>
  </si>
  <si>
    <t>　リテラシーレベルのモデルカリキュラムに準じた内容を展開し、社会でAI等がどのような活用がされているかを中心に講義を実施している。また、リフォームエデュケーションセンター実施の科目終了時アンケートにて意欲的に取り組めたか、数理・データサイエンス・AI教育自己点検評価委員会にて実施しているプログラム修了後アンケートにて、プログラムの満足度をそれぞれ調査し、対象科目およびプログラムの改善の検討を行っている。
　2023年度は、対象科目を受講した学生の多くが、授業に意欲的に取り組めたと評価しており、プログラムを修了した学生の多くは、プログラムに対し満足したと評価している。</t>
    <phoneticPr fontId="1"/>
  </si>
  <si>
    <t>内容・水準を維持・向上しつつ、より「分かりやすい」授業とすること</t>
    <rPh sb="0" eb="2">
      <t>ナイヨウ</t>
    </rPh>
    <rPh sb="3" eb="5">
      <t>スイジュン</t>
    </rPh>
    <rPh sb="6" eb="8">
      <t>イジ</t>
    </rPh>
    <rPh sb="9" eb="11">
      <t>コウジョウ</t>
    </rPh>
    <rPh sb="18" eb="19">
      <t>ワ</t>
    </rPh>
    <rPh sb="25" eb="27">
      <t>ジュギョウ</t>
    </rPh>
    <phoneticPr fontId="1"/>
  </si>
  <si>
    <t>　「授業の質」や「教員の学生対応状況」については、数理・データサイエンス・AI教育自己点検評価委員会にて実施している科目終了後アンケートにてデータを収集し、「分かりやすい」授業が実施できているかを評価し、改善に向け検討を行い授業の質向上を図っている。
　2023年度は、対象科目の一部で「授業の進行」や「最新の情報やトピックスの提供」について90%を下回る評価であった。分かりやすい授業を提供し、知識の定着を図るためにもSAの活用など改善に向けた検討が必要である。</t>
    <rPh sb="2" eb="4">
      <t xml:space="preserve">ジュギョウノシツニツイテハ </t>
    </rPh>
    <rPh sb="9" eb="11">
      <t xml:space="preserve">キョウインノガクセイタイオウジョウキョウ </t>
    </rPh>
    <rPh sb="58" eb="63">
      <t xml:space="preserve">カモクシュウリョウゴアンケート </t>
    </rPh>
    <rPh sb="79" eb="80">
      <t xml:space="preserve">ワカリヤスイ </t>
    </rPh>
    <rPh sb="86" eb="88">
      <t xml:space="preserve">ジュギョウガジッシデキテイルカヲ </t>
    </rPh>
    <rPh sb="98" eb="100">
      <t xml:space="preserve">ヒョウカシ </t>
    </rPh>
    <rPh sb="102" eb="104">
      <t xml:space="preserve">カイゼンニムケ </t>
    </rPh>
    <rPh sb="107" eb="109">
      <t xml:space="preserve">ケントウ </t>
    </rPh>
    <rPh sb="112" eb="114">
      <t xml:space="preserve">ジュギョウノシツコウジョウヲ </t>
    </rPh>
    <rPh sb="119" eb="120">
      <t xml:space="preserve">ハカッテイル </t>
    </rPh>
    <rPh sb="135" eb="139">
      <t xml:space="preserve">タイショウカモクノ </t>
    </rPh>
    <rPh sb="140" eb="142">
      <t xml:space="preserve">イチブデ </t>
    </rPh>
    <rPh sb="144" eb="146">
      <t xml:space="preserve">ジュギョウノシンコウ </t>
    </rPh>
    <rPh sb="152" eb="154">
      <t xml:space="preserve">サイシンノトピックスヤ </t>
    </rPh>
    <rPh sb="155" eb="157">
      <t xml:space="preserve">ジョウホウヤ </t>
    </rPh>
    <rPh sb="164" eb="166">
      <t xml:space="preserve">テイキョウ </t>
    </rPh>
    <rPh sb="175" eb="177">
      <t xml:space="preserve">シタマワル </t>
    </rPh>
    <rPh sb="178" eb="180">
      <t xml:space="preserve">ヒョウカデ </t>
    </rPh>
    <rPh sb="185" eb="186">
      <t xml:space="preserve">ワカリヤスイ </t>
    </rPh>
    <rPh sb="198" eb="200">
      <t xml:space="preserve">チシキノテイチャクヲハカルタメニモ </t>
    </rPh>
    <rPh sb="217" eb="219">
      <t xml:space="preserve">カイゼンニムケタ </t>
    </rPh>
    <rPh sb="223" eb="225">
      <t xml:space="preserve">ケントウ </t>
    </rPh>
    <rPh sb="226" eb="228">
      <t xml:space="preserve">ヒツヨウデアル </t>
    </rPh>
    <phoneticPr fontId="1"/>
  </si>
  <si>
    <t>「情報処理と管理」（2単位）と「統計分析法」（1単位）の講義を履修し3単位を取得すること。</t>
    <phoneticPr fontId="1"/>
  </si>
  <si>
    <r>
      <t xml:space="preserve">・データの種類（量的変数、質的変数）（第2回目）
・母集団と標本抽出（国勢調査、アンケート調査、全数調査、単純無作為抽出、層別抽出、多段抽出）（第5回目）
・代表値の性質の違い（実社会では平均値＝最頻値でないことが多い）（第6回目）
・データのばらつき（分散、標準偏差、偏差値）（第6回目）
・クロス集計表（第7回目）
</t>
    </r>
    <r>
      <rPr>
        <sz val="9"/>
        <rFont val="ＭＳ Ｐゴシック"/>
        <family val="3"/>
        <charset val="128"/>
        <scheme val="minor"/>
      </rPr>
      <t>・データの分布(ヒストグラム)と代表値（平均値、中央値、最頻値）（第6回目、第8回目）</t>
    </r>
    <r>
      <rPr>
        <sz val="9"/>
        <color theme="1"/>
        <rFont val="ＭＳ Ｐゴシック"/>
        <family val="3"/>
        <charset val="128"/>
        <scheme val="minor"/>
      </rPr>
      <t xml:space="preserve">
・相関と因果（相関係数）（第9回目、第10回目）</t>
    </r>
    <rPh sb="19" eb="20">
      <t>ダイ</t>
    </rPh>
    <rPh sb="21" eb="22">
      <t>カイ</t>
    </rPh>
    <rPh sb="22" eb="23">
      <t>メ</t>
    </rPh>
    <rPh sb="198" eb="199">
      <t>ダイ</t>
    </rPh>
    <rPh sb="200" eb="202">
      <t>カイメ</t>
    </rPh>
    <rPh sb="222" eb="223">
      <t>ダイ</t>
    </rPh>
    <rPh sb="225" eb="227">
      <t>カイメ</t>
    </rPh>
    <phoneticPr fontId="1"/>
  </si>
  <si>
    <t>・第4次産業革命、Society5.0、データ駆動型社会(情報処理と管理 第1回目)
・AI、ビッグデータ、人間の知的活動とAIの関係性(情報処理と管理 第1回目)
・Society5.0、データ駆動型社会(統計分析法 第1回目)
・ビッグデータ、AI、機械学習(統計分析法 第1回目)
・ビッグデータ、IoT、AI(統計分析法 第2回目)</t>
    <phoneticPr fontId="1"/>
  </si>
  <si>
    <t>・AI等を活用した新しいビジネスモデル(情報処理と管理 第1回目)
・AI最新技術の活用例I(情報処理と管理 第1回目)
・AI等を活用した新しいビジネスモデルI(統計分析法 第2回目)
・AI最新技術の活用例I(統計分析法 第2回目)</t>
    <phoneticPr fontId="1"/>
  </si>
  <si>
    <t>・データサイエンスのサイクル
（課題抽出と定式化、データの取得・管理・加工、データ解析と推論、結果の共有・伝達、課題解決に向けた提案）(情報処理と管理 第1回目)
・公共、ヘルスケア等におけるデータ・AI利活用事例紹介(情報処理と管理 第1回目)</t>
    <phoneticPr fontId="1"/>
  </si>
  <si>
    <t>・データ表現（棒グラフ、折線グラフ、散布図）(情報処理と管理 第11回目)
・データ表現（棒グラフ、折線グラフ、散布図）（統計分析法 第3回目、統計分析法 第7回目～8回目）</t>
    <phoneticPr fontId="1"/>
  </si>
  <si>
    <t>・データの集計（和、平均） （情報処理と管理 第6回目）
・表形式のデータ（csv） （情報処理と管理 第12回目）
・データの集計（和、平均） （統計分析法 第2回目、統計分析法 第7回目～8回目）
・データの並び替え、ランキング （統計分析法 第2回目、第6回目）
・データ解析ツール（スプレッドシート）（統計分析法 第2回目～第3回目）</t>
    <rPh sb="129" eb="130">
      <t>ダイ</t>
    </rPh>
    <rPh sb="131" eb="133">
      <t>カイメ</t>
    </rPh>
    <rPh sb="166" eb="167">
      <t>ダイ</t>
    </rPh>
    <rPh sb="168" eb="170">
      <t>カイメ</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</si>
</sst>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8"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2"/>
      <name val="ＭＳ Ｐゴシック"/>
      <family val="3"/>
      <charset val="128"/>
      <scheme val="minor"/>
    </font>
    <font>
      <b/>
      <sz val="11"/>
      <name val="ＭＳ Ｐゴシック"/>
      <family val="3"/>
      <charset val="128"/>
      <scheme val="minor"/>
    </font>
    <font>
      <sz val="9"/>
      <name val="ＭＳ Ｐゴシック"/>
      <family val="3"/>
      <charset val="128"/>
      <scheme val="minor"/>
    </font>
    <font>
      <sz val="14"/>
      <name val="ＭＳ Ｐゴシック"/>
      <family val="3"/>
      <charset val="128"/>
      <scheme val="minor"/>
    </font>
    <font>
      <sz val="12"/>
      <color rgb="FF000000"/>
      <name val="ＭＳ Ｐゴシック"/>
      <family val="3"/>
      <charset val="128"/>
    </font>
  </fonts>
  <fills count="3">
    <fill>
      <patternFill patternType="none"/>
    </fill>
    <fill>
      <patternFill patternType="gray125"/>
    </fill>
    <fill>
      <patternFill patternType="solid">
        <fgColor theme="0" tint="-4.9989318521683403E-2"/>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64">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0" fontId="2" fillId="0" borderId="1" xfId="0" applyFont="1" applyBorder="1" applyAlignment="1">
      <alignment horizontal="center" vertical="center" wrapText="1" shrinkToFit="1"/>
    </xf>
    <xf numFmtId="9" fontId="2" fillId="0" borderId="0" xfId="1" applyFont="1" applyAlignment="1">
      <alignment horizontal="center" vertical="center"/>
    </xf>
    <xf numFmtId="0" fontId="2" fillId="0" borderId="1" xfId="0" applyFont="1" applyBorder="1" applyAlignment="1">
      <alignment horizontal="center" vertical="center" shrinkToFit="1"/>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0" fontId="3" fillId="0" borderId="4" xfId="0" applyFont="1" applyBorder="1" applyAlignment="1">
      <alignment horizontal="center" vertical="center" shrinkToFit="1"/>
    </xf>
    <xf numFmtId="0" fontId="3" fillId="0" borderId="1" xfId="0" applyFont="1" applyBorder="1" applyAlignment="1">
      <alignment horizontal="center" vertical="center"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0" fontId="10" fillId="0" borderId="0" xfId="0" applyFont="1">
      <alignment vertical="center"/>
    </xf>
    <xf numFmtId="0" fontId="11" fillId="0" borderId="0" xfId="0" applyFont="1">
      <alignment vertical="center"/>
    </xf>
    <xf numFmtId="0" fontId="11" fillId="0" borderId="0" xfId="0" applyFont="1" applyAlignment="1">
      <alignment vertical="center" wrapText="1"/>
    </xf>
    <xf numFmtId="49" fontId="11" fillId="0" borderId="0" xfId="0" applyNumberFormat="1" applyFont="1" applyAlignment="1">
      <alignment vertical="center" shrinkToFit="1"/>
    </xf>
    <xf numFmtId="0" fontId="2" fillId="0" borderId="0" xfId="0" applyFont="1" applyAlignment="1">
      <alignment vertical="top" wrapText="1" shrinkToFit="1"/>
    </xf>
    <xf numFmtId="0" fontId="2" fillId="0" borderId="0" xfId="0" applyFont="1" applyAlignment="1">
      <alignment vertical="top" shrinkToFit="1"/>
    </xf>
    <xf numFmtId="0" fontId="2" fillId="0" borderId="0" xfId="0" applyFont="1" applyAlignment="1">
      <alignment vertical="center" wrapText="1"/>
    </xf>
    <xf numFmtId="0" fontId="6" fillId="0" borderId="0" xfId="0" applyFont="1" applyAlignment="1">
      <alignment horizontal="center" vertical="center"/>
    </xf>
    <xf numFmtId="9" fontId="2" fillId="0" borderId="1" xfId="0" applyNumberFormat="1"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horizontal="center" vertical="center"/>
    </xf>
    <xf numFmtId="0" fontId="2" fillId="0" borderId="0" xfId="0" applyFont="1">
      <alignment vertical="center"/>
    </xf>
    <xf numFmtId="0" fontId="13" fillId="0" borderId="0" xfId="0" applyFont="1">
      <alignment vertical="center"/>
    </xf>
    <xf numFmtId="0" fontId="13" fillId="0" borderId="0" xfId="0" applyFont="1" applyAlignment="1">
      <alignment horizontal="right" vertical="center"/>
    </xf>
    <xf numFmtId="0" fontId="13" fillId="0" borderId="0" xfId="0" applyFont="1" applyAlignment="1">
      <alignment vertical="center" shrinkToFit="1"/>
    </xf>
    <xf numFmtId="0" fontId="13" fillId="0" borderId="0" xfId="0" applyFont="1" applyAlignment="1">
      <alignment horizontal="left" vertical="center" shrinkToFit="1"/>
    </xf>
    <xf numFmtId="0" fontId="13" fillId="0" borderId="0" xfId="0" applyFont="1" applyAlignment="1">
      <alignment horizontal="center" vertical="center"/>
    </xf>
    <xf numFmtId="0" fontId="12" fillId="0" borderId="0" xfId="0" applyFont="1">
      <alignment vertical="center"/>
    </xf>
    <xf numFmtId="0" fontId="13" fillId="0" borderId="0" xfId="0" applyFont="1" applyAlignment="1">
      <alignment horizontal="left" vertical="center"/>
    </xf>
    <xf numFmtId="0" fontId="12" fillId="0" borderId="0" xfId="0" applyFont="1" applyAlignment="1">
      <alignment horizontal="center" vertical="center"/>
    </xf>
    <xf numFmtId="0" fontId="13" fillId="0" borderId="1" xfId="0" applyFont="1" applyBorder="1">
      <alignment vertical="center"/>
    </xf>
    <xf numFmtId="0" fontId="13" fillId="0" borderId="1" xfId="0" applyFont="1" applyBorder="1" applyAlignment="1">
      <alignment horizontal="left" vertical="center"/>
    </xf>
    <xf numFmtId="0" fontId="13" fillId="0" borderId="1" xfId="0" applyFont="1" applyBorder="1" applyAlignment="1">
      <alignment horizontal="center" vertical="center"/>
    </xf>
    <xf numFmtId="0" fontId="13" fillId="0" borderId="0" xfId="0" applyFont="1" applyAlignment="1">
      <alignment horizontal="center" vertical="center" shrinkToFit="1"/>
    </xf>
    <xf numFmtId="0" fontId="13" fillId="0" borderId="0" xfId="0" applyFont="1" applyAlignment="1">
      <alignment horizontal="right" vertical="center"/>
    </xf>
    <xf numFmtId="0" fontId="13" fillId="0" borderId="1" xfId="0" applyFont="1" applyBorder="1" applyAlignment="1">
      <alignment horizontal="center" vertical="center"/>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vertical="top" wrapText="1"/>
    </xf>
    <xf numFmtId="9" fontId="2" fillId="0" borderId="45" xfId="0" applyNumberFormat="1" applyFont="1" applyBorder="1" applyAlignment="1">
      <alignment vertical="center" shrinkToFit="1"/>
    </xf>
    <xf numFmtId="0" fontId="17" fillId="0" borderId="20" xfId="0" applyFont="1" applyBorder="1" applyAlignment="1">
      <alignment horizontal="center" vertical="center" shrinkToFit="1"/>
    </xf>
    <xf numFmtId="0" fontId="12" fillId="0" borderId="6" xfId="0" applyFont="1" applyBorder="1" applyAlignment="1">
      <alignment horizontal="lef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12" fillId="0" borderId="1" xfId="0" applyFont="1" applyBorder="1" applyAlignment="1">
      <alignment horizontal="center" vertical="center"/>
    </xf>
    <xf numFmtId="0" fontId="15" fillId="0" borderId="1" xfId="0" applyFont="1" applyBorder="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horizontal="center" vertical="center" shrinkToFit="1"/>
    </xf>
    <xf numFmtId="0" fontId="2" fillId="0" borderId="31" xfId="0" applyFont="1" applyBorder="1" applyAlignment="1">
      <alignment horizontal="center" vertical="center" shrinkToFit="1"/>
    </xf>
    <xf numFmtId="0" fontId="2" fillId="0" borderId="30" xfId="0" applyFont="1" applyBorder="1" applyAlignment="1">
      <alignment horizontal="center" vertical="center" shrinkToFit="1"/>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3" fillId="0" borderId="27" xfId="0" applyFont="1" applyBorder="1" applyAlignment="1">
      <alignment vertical="center" wrapText="1"/>
    </xf>
    <xf numFmtId="0" fontId="16" fillId="0" borderId="0" xfId="0" applyFont="1" applyAlignment="1">
      <alignment horizontal="center" vertical="center"/>
    </xf>
    <xf numFmtId="0" fontId="13" fillId="0" borderId="7" xfId="0" applyFont="1" applyBorder="1" applyAlignment="1">
      <alignment horizontal="left" vertical="top" wrapText="1" shrinkToFit="1"/>
    </xf>
    <xf numFmtId="0" fontId="13" fillId="0" borderId="8" xfId="0" applyFont="1" applyBorder="1" applyAlignment="1">
      <alignment horizontal="left" vertical="top" wrapText="1" shrinkToFit="1"/>
    </xf>
    <xf numFmtId="0" fontId="13" fillId="0" borderId="9" xfId="0" applyFont="1" applyBorder="1" applyAlignment="1">
      <alignment horizontal="left" vertical="top" wrapText="1" shrinkToFit="1"/>
    </xf>
    <xf numFmtId="0" fontId="13" fillId="0" borderId="5" xfId="0" applyFont="1" applyBorder="1" applyAlignment="1">
      <alignment horizontal="left" vertical="top" wrapText="1" shrinkToFit="1"/>
    </xf>
    <xf numFmtId="0" fontId="13" fillId="0" borderId="0" xfId="0" applyFont="1" applyAlignment="1">
      <alignment horizontal="left" vertical="top" wrapText="1" shrinkToFit="1"/>
    </xf>
    <xf numFmtId="0" fontId="13" fillId="0" borderId="10" xfId="0" applyFont="1" applyBorder="1" applyAlignment="1">
      <alignment horizontal="left" vertical="top" wrapText="1" shrinkToFit="1"/>
    </xf>
    <xf numFmtId="0" fontId="13" fillId="0" borderId="11" xfId="0" applyFont="1" applyBorder="1" applyAlignment="1">
      <alignment horizontal="left" vertical="top" wrapText="1" shrinkToFit="1"/>
    </xf>
    <xf numFmtId="0" fontId="13" fillId="0" borderId="6" xfId="0" applyFont="1" applyBorder="1" applyAlignment="1">
      <alignment horizontal="left" vertical="top" wrapText="1" shrinkToFit="1"/>
    </xf>
    <xf numFmtId="0" fontId="13" fillId="0" borderId="12" xfId="0" applyFont="1" applyBorder="1" applyAlignment="1">
      <alignment horizontal="left" vertical="top" wrapText="1" shrinkToFit="1"/>
    </xf>
    <xf numFmtId="0" fontId="13" fillId="0" borderId="0" xfId="0" applyFont="1" applyAlignment="1">
      <alignment vertical="center" wrapText="1"/>
    </xf>
    <xf numFmtId="0" fontId="2" fillId="0" borderId="2" xfId="0" applyFont="1" applyBorder="1" applyAlignment="1">
      <alignment vertical="center" wrapText="1" shrinkToFit="1"/>
    </xf>
    <xf numFmtId="0" fontId="2" fillId="0" borderId="3" xfId="0" applyFont="1" applyBorder="1" applyAlignment="1">
      <alignment vertical="center" wrapText="1" shrinkToFit="1"/>
    </xf>
    <xf numFmtId="0" fontId="2" fillId="0" borderId="4" xfId="0" applyFont="1" applyBorder="1" applyAlignment="1">
      <alignment vertical="center" wrapText="1" shrinkToFit="1"/>
    </xf>
    <xf numFmtId="0" fontId="2" fillId="0" borderId="32" xfId="0" applyFont="1" applyBorder="1" applyAlignment="1">
      <alignment horizontal="center" vertical="center" shrinkToFit="1"/>
    </xf>
    <xf numFmtId="0" fontId="2" fillId="0" borderId="33" xfId="0" applyFont="1" applyBorder="1" applyAlignment="1">
      <alignment horizontal="center" vertical="center" shrinkToFit="1"/>
    </xf>
    <xf numFmtId="0" fontId="2" fillId="0" borderId="34" xfId="0" applyFont="1" applyBorder="1" applyAlignment="1">
      <alignment horizontal="center" vertical="center" shrinkToFi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13" fillId="0" borderId="0" xfId="0" applyFont="1" applyAlignment="1">
      <alignment horizontal="right" vertical="center"/>
    </xf>
    <xf numFmtId="0" fontId="13" fillId="0" borderId="2" xfId="0" applyFont="1" applyBorder="1" applyAlignment="1">
      <alignment horizontal="center" vertical="center"/>
    </xf>
    <xf numFmtId="0" fontId="13" fillId="0" borderId="3" xfId="0" applyFont="1" applyBorder="1" applyAlignment="1">
      <alignment horizontal="center" vertical="center"/>
    </xf>
    <xf numFmtId="0" fontId="13" fillId="0" borderId="4" xfId="0" applyFont="1" applyBorder="1" applyAlignment="1">
      <alignment horizontal="center" vertical="center"/>
    </xf>
    <xf numFmtId="0" fontId="12" fillId="0" borderId="0" xfId="0" applyFont="1" applyAlignment="1">
      <alignment horizontal="left" vertical="center" wrapText="1"/>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wrapText="1"/>
    </xf>
    <xf numFmtId="49" fontId="3" fillId="0" borderId="34" xfId="0" applyNumberFormat="1" applyFont="1" applyBorder="1" applyAlignment="1">
      <alignment horizontal="left" vertical="center" wrapText="1"/>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0" fontId="12" fillId="0" borderId="2" xfId="0" applyFont="1" applyBorder="1" applyAlignment="1">
      <alignment horizontal="center" vertical="center" shrinkToFit="1"/>
    </xf>
    <xf numFmtId="0" fontId="12" fillId="0" borderId="3" xfId="0" applyFont="1" applyBorder="1" applyAlignment="1">
      <alignment horizontal="center" vertical="center" shrinkToFit="1"/>
    </xf>
    <xf numFmtId="0" fontId="12" fillId="0" borderId="4" xfId="0" applyFont="1" applyBorder="1" applyAlignment="1">
      <alignment horizontal="center" vertical="center" shrinkToFit="1"/>
    </xf>
    <xf numFmtId="0" fontId="12" fillId="0" borderId="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49" fontId="3" fillId="0" borderId="29" xfId="0" applyNumberFormat="1" applyFont="1" applyBorder="1" applyAlignment="1">
      <alignment horizontal="left" vertical="center"/>
    </xf>
    <xf numFmtId="0" fontId="13" fillId="0" borderId="7" xfId="0" applyFont="1" applyBorder="1" applyAlignment="1">
      <alignment horizontal="left" vertical="center" wrapText="1"/>
    </xf>
    <xf numFmtId="0" fontId="13" fillId="0" borderId="8" xfId="0" applyFont="1" applyBorder="1" applyAlignment="1">
      <alignment horizontal="left" vertical="center" wrapText="1"/>
    </xf>
    <xf numFmtId="0" fontId="13" fillId="0" borderId="9" xfId="0" applyFont="1" applyBorder="1" applyAlignment="1">
      <alignment horizontal="left" vertical="center" wrapText="1"/>
    </xf>
    <xf numFmtId="0" fontId="13" fillId="0" borderId="11" xfId="0" applyFont="1" applyBorder="1" applyAlignment="1">
      <alignment horizontal="left" vertical="center" wrapText="1"/>
    </xf>
    <xf numFmtId="0" fontId="13" fillId="0" borderId="6" xfId="0" applyFont="1" applyBorder="1" applyAlignment="1">
      <alignment horizontal="left" vertical="center" wrapText="1"/>
    </xf>
    <xf numFmtId="0" fontId="13" fillId="0" borderId="12" xfId="0" applyFont="1" applyBorder="1" applyAlignment="1">
      <alignment horizontal="left" vertical="center" wrapText="1"/>
    </xf>
    <xf numFmtId="0" fontId="2" fillId="0" borderId="14" xfId="0" applyFont="1" applyBorder="1" applyAlignment="1">
      <alignment horizontal="center" vertical="center"/>
    </xf>
    <xf numFmtId="0" fontId="13" fillId="0" borderId="1" xfId="0" applyFont="1" applyBorder="1" applyAlignment="1">
      <alignment horizontal="center" vertical="center"/>
    </xf>
    <xf numFmtId="0" fontId="13" fillId="0" borderId="2" xfId="0" applyFont="1" applyBorder="1" applyAlignment="1">
      <alignment horizontal="center" vertical="center" shrinkToFit="1"/>
    </xf>
    <xf numFmtId="0" fontId="13"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6" fillId="0" borderId="0" xfId="0" applyFont="1" applyAlignment="1">
      <alignment horizontal="center" vertical="center"/>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47" xfId="0" applyFont="1" applyBorder="1" applyAlignment="1">
      <alignment vertical="center" wrapText="1"/>
    </xf>
    <xf numFmtId="0" fontId="2" fillId="0" borderId="34" xfId="0" applyFont="1" applyBorder="1" applyAlignment="1">
      <alignment vertical="center" wrapText="1"/>
    </xf>
    <xf numFmtId="0" fontId="2" fillId="0" borderId="32" xfId="0" applyFont="1" applyBorder="1" applyAlignment="1">
      <alignment vertical="top" wrapText="1" shrinkToFit="1"/>
    </xf>
    <xf numFmtId="0" fontId="2" fillId="0" borderId="33" xfId="0" applyFont="1" applyBorder="1" applyAlignment="1">
      <alignment vertical="top" wrapText="1" shrinkToFit="1"/>
    </xf>
    <xf numFmtId="0" fontId="2" fillId="0" borderId="34" xfId="0" applyFont="1" applyBorder="1" applyAlignment="1">
      <alignment vertical="top" wrapText="1" shrinkToFit="1"/>
    </xf>
    <xf numFmtId="0" fontId="2" fillId="0" borderId="11" xfId="0" applyFont="1" applyBorder="1" applyAlignment="1">
      <alignment vertical="center" wrapText="1"/>
    </xf>
    <xf numFmtId="0" fontId="2" fillId="0" borderId="6" xfId="0" applyFont="1" applyBorder="1" applyAlignment="1">
      <alignment vertical="center" wrapText="1"/>
    </xf>
    <xf numFmtId="0" fontId="2"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4">
    <dxf>
      <font>
        <color theme="0" tint="-0.34998626667073579"/>
      </font>
      <fill>
        <patternFill>
          <bgColor theme="0" tint="-0.34998626667073579"/>
        </patternFill>
      </fill>
    </dxf>
    <dxf>
      <fill>
        <patternFill>
          <bgColor theme="0" tint="-0.34998626667073579"/>
        </patternFill>
      </fill>
    </dxf>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G114"/>
  <sheetViews>
    <sheetView showZeros="0" tabSelected="1" view="pageBreakPreview" zoomScaleNormal="100" zoomScaleSheetLayoutView="100" workbookViewId="0">
      <selection activeCell="D100" sqref="D100:U100"/>
    </sheetView>
  </sheetViews>
  <sheetFormatPr defaultColWidth="9" defaultRowHeight="18.75" customHeight="1" x14ac:dyDescent="0.15"/>
  <cols>
    <col min="1" max="1" width="2.5" style="75" customWidth="1"/>
    <col min="2" max="2" width="16.5" style="75" customWidth="1"/>
    <col min="3" max="21" width="5.625" style="75" customWidth="1"/>
    <col min="22" max="22" width="9" style="1"/>
    <col min="23" max="23" width="3.625" style="1" customWidth="1"/>
    <col min="24" max="24" width="48.625" style="1" hidden="1" customWidth="1"/>
    <col min="25" max="16384" width="9" style="1"/>
  </cols>
  <sheetData>
    <row r="1" spans="1:24" ht="18.600000000000001" customHeight="1" x14ac:dyDescent="0.15">
      <c r="A1" s="76"/>
      <c r="B1" s="76"/>
      <c r="C1" s="76"/>
      <c r="D1" s="76"/>
      <c r="E1" s="76"/>
      <c r="F1" s="76"/>
      <c r="G1" s="76"/>
      <c r="H1" s="76"/>
      <c r="I1" s="76"/>
      <c r="J1" s="76"/>
      <c r="K1" s="76"/>
      <c r="L1" s="76"/>
      <c r="M1" s="76"/>
      <c r="N1" s="76"/>
      <c r="O1" s="76"/>
      <c r="P1" s="76"/>
      <c r="Q1" s="76"/>
      <c r="R1" s="76"/>
      <c r="S1" s="76"/>
      <c r="T1" s="142" t="s">
        <v>149</v>
      </c>
      <c r="U1" s="142"/>
      <c r="V1" s="2" t="s">
        <v>98</v>
      </c>
    </row>
    <row r="2" spans="1:24" ht="18.75" customHeight="1" x14ac:dyDescent="0.15">
      <c r="A2" s="76"/>
      <c r="B2" s="86" t="s">
        <v>97</v>
      </c>
      <c r="C2" s="143" t="s">
        <v>135</v>
      </c>
      <c r="D2" s="144"/>
      <c r="E2" s="144"/>
      <c r="F2" s="144"/>
      <c r="G2" s="144"/>
      <c r="H2" s="144"/>
      <c r="I2" s="144"/>
      <c r="J2" s="145"/>
      <c r="K2" s="77"/>
      <c r="L2" s="78"/>
      <c r="M2" s="78"/>
      <c r="N2" s="78"/>
      <c r="O2" s="78"/>
      <c r="P2" s="78"/>
      <c r="Q2" s="78"/>
      <c r="R2" s="78"/>
      <c r="S2" s="78"/>
      <c r="T2" s="78"/>
      <c r="U2" s="78"/>
    </row>
    <row r="3" spans="1:24" ht="18.75" customHeight="1" x14ac:dyDescent="0.15">
      <c r="A3" s="76"/>
      <c r="B3" s="86" t="s">
        <v>92</v>
      </c>
      <c r="C3" s="143" t="s">
        <v>150</v>
      </c>
      <c r="D3" s="144"/>
      <c r="E3" s="144"/>
      <c r="F3" s="144"/>
      <c r="G3" s="144"/>
      <c r="H3" s="144"/>
      <c r="I3" s="144"/>
      <c r="J3" s="145"/>
      <c r="K3" s="77"/>
      <c r="L3" s="78"/>
      <c r="M3" s="78"/>
      <c r="N3" s="78"/>
      <c r="O3" s="78"/>
      <c r="P3" s="78"/>
      <c r="Q3" s="78"/>
      <c r="R3" s="78"/>
      <c r="S3" s="78"/>
      <c r="T3" s="78"/>
      <c r="U3" s="78"/>
    </row>
    <row r="4" spans="1:24" ht="15" customHeight="1" x14ac:dyDescent="0.15">
      <c r="A4" s="76"/>
      <c r="B4" s="76"/>
      <c r="C4" s="76"/>
      <c r="D4" s="76"/>
      <c r="E4" s="76"/>
      <c r="F4" s="76"/>
      <c r="G4" s="76"/>
      <c r="H4" s="76"/>
      <c r="I4" s="76"/>
      <c r="J4" s="76"/>
      <c r="K4" s="76"/>
      <c r="L4" s="77"/>
      <c r="M4" s="79"/>
      <c r="N4" s="79"/>
      <c r="O4" s="79"/>
      <c r="P4" s="79"/>
      <c r="Q4" s="79"/>
      <c r="R4" s="79"/>
      <c r="S4" s="79"/>
      <c r="T4" s="79"/>
      <c r="U4" s="79"/>
    </row>
    <row r="5" spans="1:24" ht="18" customHeight="1" x14ac:dyDescent="0.15">
      <c r="A5" s="123" t="s">
        <v>36</v>
      </c>
      <c r="B5" s="123"/>
      <c r="C5" s="123"/>
      <c r="D5" s="123"/>
      <c r="E5" s="123"/>
      <c r="F5" s="123"/>
      <c r="G5" s="123"/>
      <c r="H5" s="123"/>
      <c r="I5" s="123"/>
      <c r="J5" s="123"/>
      <c r="K5" s="123"/>
      <c r="L5" s="123"/>
      <c r="M5" s="123"/>
      <c r="N5" s="123"/>
      <c r="O5" s="123"/>
      <c r="P5" s="123"/>
      <c r="Q5" s="123"/>
      <c r="R5" s="123"/>
      <c r="S5" s="123"/>
      <c r="T5" s="123"/>
      <c r="U5" s="123"/>
    </row>
    <row r="6" spans="1:24" ht="15" customHeight="1" x14ac:dyDescent="0.15">
      <c r="A6" s="76"/>
      <c r="B6" s="80"/>
      <c r="C6" s="80"/>
      <c r="D6" s="80"/>
      <c r="E6" s="80"/>
      <c r="F6" s="80"/>
      <c r="G6" s="80"/>
      <c r="H6" s="80"/>
      <c r="I6" s="80"/>
      <c r="J6" s="80"/>
      <c r="K6" s="80"/>
      <c r="L6" s="80"/>
      <c r="M6" s="80"/>
      <c r="N6" s="80"/>
      <c r="O6" s="80"/>
      <c r="P6" s="80"/>
      <c r="Q6" s="80"/>
      <c r="R6" s="80"/>
      <c r="S6" s="80"/>
      <c r="T6" s="80"/>
      <c r="U6" s="80"/>
    </row>
    <row r="7" spans="1:24" ht="15" customHeight="1" x14ac:dyDescent="0.15">
      <c r="A7" s="76" t="s">
        <v>130</v>
      </c>
      <c r="B7" s="80"/>
      <c r="C7" s="80"/>
      <c r="D7" s="80"/>
      <c r="E7" s="80"/>
      <c r="F7" s="81"/>
      <c r="G7" s="81"/>
      <c r="H7" s="81"/>
      <c r="I7" s="81"/>
      <c r="J7" s="81"/>
      <c r="K7" s="81"/>
      <c r="L7" s="161" t="s">
        <v>128</v>
      </c>
      <c r="M7" s="162"/>
      <c r="N7" s="162"/>
      <c r="O7" s="162"/>
      <c r="P7" s="162"/>
      <c r="Q7" s="162"/>
      <c r="R7" s="162"/>
      <c r="S7" s="162"/>
      <c r="T7" s="162"/>
      <c r="U7" s="163"/>
    </row>
    <row r="8" spans="1:24" ht="6" customHeight="1" x14ac:dyDescent="0.15">
      <c r="A8" s="76"/>
      <c r="B8" s="80"/>
      <c r="C8" s="80"/>
      <c r="D8" s="80"/>
      <c r="E8" s="80"/>
      <c r="F8" s="80"/>
      <c r="G8" s="80"/>
      <c r="H8" s="80"/>
      <c r="I8" s="80"/>
      <c r="J8" s="80"/>
      <c r="K8" s="80"/>
      <c r="L8" s="80"/>
      <c r="M8" s="80"/>
      <c r="N8" s="80"/>
      <c r="O8" s="80"/>
      <c r="P8" s="80"/>
      <c r="Q8" s="80"/>
      <c r="R8" s="80"/>
      <c r="S8" s="80"/>
      <c r="T8" s="80"/>
      <c r="U8" s="80"/>
    </row>
    <row r="9" spans="1:24" ht="18" customHeight="1" x14ac:dyDescent="0.15">
      <c r="A9" s="76" t="s">
        <v>131</v>
      </c>
      <c r="B9" s="76"/>
      <c r="C9" s="80"/>
      <c r="D9" s="80"/>
      <c r="E9" s="76"/>
      <c r="F9" s="76"/>
      <c r="G9" s="76"/>
      <c r="H9" s="76"/>
      <c r="I9" s="76"/>
      <c r="J9" s="76"/>
      <c r="K9" s="77"/>
      <c r="L9" s="81"/>
      <c r="M9" s="81"/>
      <c r="N9" s="81"/>
      <c r="O9" s="81"/>
      <c r="P9" s="81"/>
      <c r="Q9" s="81"/>
      <c r="R9" s="81"/>
      <c r="S9" s="81"/>
      <c r="T9" s="81"/>
      <c r="U9" s="81"/>
    </row>
    <row r="10" spans="1:24" ht="6" customHeight="1" x14ac:dyDescent="0.15">
      <c r="A10" s="76"/>
      <c r="B10" s="80"/>
      <c r="C10" s="80"/>
      <c r="D10" s="80"/>
      <c r="E10" s="80"/>
      <c r="F10" s="80"/>
      <c r="G10" s="80"/>
      <c r="H10" s="80"/>
      <c r="I10" s="80"/>
      <c r="J10" s="80"/>
      <c r="K10" s="80"/>
      <c r="L10" s="82"/>
      <c r="M10" s="80"/>
      <c r="N10" s="80"/>
      <c r="O10" s="80"/>
      <c r="P10" s="80"/>
      <c r="Q10" s="80"/>
      <c r="R10" s="80"/>
      <c r="S10" s="80"/>
      <c r="T10" s="80"/>
      <c r="U10" s="80"/>
    </row>
    <row r="11" spans="1:24" ht="18" customHeight="1" x14ac:dyDescent="0.15">
      <c r="A11" s="76"/>
      <c r="B11" s="165" t="s">
        <v>151</v>
      </c>
      <c r="C11" s="166"/>
      <c r="D11" s="166"/>
      <c r="E11" s="166"/>
      <c r="F11" s="166"/>
      <c r="G11" s="166"/>
      <c r="H11" s="166"/>
      <c r="I11" s="166"/>
      <c r="J11" s="166"/>
      <c r="K11" s="166"/>
      <c r="L11" s="166"/>
      <c r="M11" s="166"/>
      <c r="N11" s="166"/>
      <c r="O11" s="166"/>
      <c r="P11" s="166"/>
      <c r="Q11" s="166"/>
      <c r="R11" s="166"/>
      <c r="S11" s="166"/>
      <c r="T11" s="166"/>
      <c r="U11" s="167"/>
    </row>
    <row r="12" spans="1:24" ht="18" customHeight="1" x14ac:dyDescent="0.15">
      <c r="A12" s="76"/>
      <c r="B12" s="168"/>
      <c r="C12" s="169"/>
      <c r="D12" s="169"/>
      <c r="E12" s="169"/>
      <c r="F12" s="169"/>
      <c r="G12" s="169"/>
      <c r="H12" s="169"/>
      <c r="I12" s="169"/>
      <c r="J12" s="169"/>
      <c r="K12" s="169"/>
      <c r="L12" s="169"/>
      <c r="M12" s="169"/>
      <c r="N12" s="169"/>
      <c r="O12" s="169"/>
      <c r="P12" s="169"/>
      <c r="Q12" s="169"/>
      <c r="R12" s="169"/>
      <c r="S12" s="169"/>
      <c r="T12" s="169"/>
      <c r="U12" s="170"/>
    </row>
    <row r="13" spans="1:24" ht="6" customHeight="1" x14ac:dyDescent="0.15">
      <c r="A13" s="76"/>
      <c r="B13" s="80"/>
      <c r="C13" s="80"/>
      <c r="D13" s="80"/>
      <c r="E13" s="80"/>
      <c r="F13" s="80"/>
      <c r="G13" s="80"/>
      <c r="H13" s="80"/>
      <c r="I13" s="80"/>
      <c r="J13" s="80"/>
      <c r="K13" s="80"/>
      <c r="L13" s="82"/>
      <c r="M13" s="80"/>
      <c r="N13" s="80"/>
      <c r="O13" s="80"/>
      <c r="P13" s="80"/>
      <c r="Q13" s="80"/>
      <c r="R13" s="80"/>
      <c r="S13" s="80"/>
      <c r="T13" s="80"/>
      <c r="U13" s="80"/>
    </row>
    <row r="14" spans="1:24" ht="18" customHeight="1" x14ac:dyDescent="0.15">
      <c r="A14" s="76" t="s">
        <v>99</v>
      </c>
      <c r="B14" s="80"/>
      <c r="C14" s="80"/>
      <c r="D14" s="80"/>
      <c r="E14" s="77"/>
      <c r="F14" s="77"/>
      <c r="G14" s="77"/>
      <c r="H14" s="77"/>
      <c r="I14" s="77"/>
      <c r="J14" s="77"/>
      <c r="K14" s="77"/>
      <c r="L14" s="83"/>
      <c r="M14" s="83"/>
      <c r="N14" s="83"/>
      <c r="O14" s="83"/>
      <c r="P14" s="83"/>
      <c r="Q14" s="83"/>
      <c r="R14" s="83"/>
      <c r="S14" s="83"/>
      <c r="T14" s="83"/>
      <c r="U14" s="83"/>
    </row>
    <row r="15" spans="1:24" ht="18" customHeight="1" x14ac:dyDescent="0.15">
      <c r="A15" s="76"/>
      <c r="B15" s="124" t="s">
        <v>152</v>
      </c>
      <c r="C15" s="125"/>
      <c r="D15" s="125"/>
      <c r="E15" s="125"/>
      <c r="F15" s="125"/>
      <c r="G15" s="125"/>
      <c r="H15" s="125"/>
      <c r="I15" s="125"/>
      <c r="J15" s="125"/>
      <c r="K15" s="125"/>
      <c r="L15" s="125"/>
      <c r="M15" s="125"/>
      <c r="N15" s="125"/>
      <c r="O15" s="125"/>
      <c r="P15" s="125"/>
      <c r="Q15" s="125"/>
      <c r="R15" s="125"/>
      <c r="S15" s="125"/>
      <c r="T15" s="125"/>
      <c r="U15" s="126"/>
      <c r="X15" s="1" t="s">
        <v>93</v>
      </c>
    </row>
    <row r="16" spans="1:24" ht="18" customHeight="1" x14ac:dyDescent="0.15">
      <c r="A16" s="76"/>
      <c r="B16" s="127"/>
      <c r="C16" s="128"/>
      <c r="D16" s="128"/>
      <c r="E16" s="128"/>
      <c r="F16" s="128"/>
      <c r="G16" s="128"/>
      <c r="H16" s="128"/>
      <c r="I16" s="128"/>
      <c r="J16" s="128"/>
      <c r="K16" s="128"/>
      <c r="L16" s="128"/>
      <c r="M16" s="128"/>
      <c r="N16" s="128"/>
      <c r="O16" s="128"/>
      <c r="P16" s="128"/>
      <c r="Q16" s="128"/>
      <c r="R16" s="128"/>
      <c r="S16" s="128"/>
      <c r="T16" s="128"/>
      <c r="U16" s="129"/>
      <c r="X16" s="1" t="s">
        <v>113</v>
      </c>
    </row>
    <row r="17" spans="1:24" ht="18" customHeight="1" x14ac:dyDescent="0.15">
      <c r="A17" s="76"/>
      <c r="B17" s="127"/>
      <c r="C17" s="128"/>
      <c r="D17" s="128"/>
      <c r="E17" s="128"/>
      <c r="F17" s="128"/>
      <c r="G17" s="128"/>
      <c r="H17" s="128"/>
      <c r="I17" s="128"/>
      <c r="J17" s="128"/>
      <c r="K17" s="128"/>
      <c r="L17" s="128"/>
      <c r="M17" s="128"/>
      <c r="N17" s="128"/>
      <c r="O17" s="128"/>
      <c r="P17" s="128"/>
      <c r="Q17" s="128"/>
      <c r="R17" s="128"/>
      <c r="S17" s="128"/>
      <c r="T17" s="128"/>
      <c r="U17" s="129"/>
      <c r="X17" s="1" t="s">
        <v>114</v>
      </c>
    </row>
    <row r="18" spans="1:24" ht="18" customHeight="1" x14ac:dyDescent="0.15">
      <c r="A18" s="76"/>
      <c r="B18" s="127"/>
      <c r="C18" s="128"/>
      <c r="D18" s="128"/>
      <c r="E18" s="128"/>
      <c r="F18" s="128"/>
      <c r="G18" s="128"/>
      <c r="H18" s="128"/>
      <c r="I18" s="128"/>
      <c r="J18" s="128"/>
      <c r="K18" s="128"/>
      <c r="L18" s="128"/>
      <c r="M18" s="128"/>
      <c r="N18" s="128"/>
      <c r="O18" s="128"/>
      <c r="P18" s="128"/>
      <c r="Q18" s="128"/>
      <c r="R18" s="128"/>
      <c r="S18" s="128"/>
      <c r="T18" s="128"/>
      <c r="U18" s="129"/>
      <c r="X18" s="1" t="s">
        <v>115</v>
      </c>
    </row>
    <row r="19" spans="1:24" ht="18" customHeight="1" x14ac:dyDescent="0.15">
      <c r="A19" s="76"/>
      <c r="B19" s="127"/>
      <c r="C19" s="128"/>
      <c r="D19" s="128"/>
      <c r="E19" s="128"/>
      <c r="F19" s="128"/>
      <c r="G19" s="128"/>
      <c r="H19" s="128"/>
      <c r="I19" s="128"/>
      <c r="J19" s="128"/>
      <c r="K19" s="128"/>
      <c r="L19" s="128"/>
      <c r="M19" s="128"/>
      <c r="N19" s="128"/>
      <c r="O19" s="128"/>
      <c r="P19" s="128"/>
      <c r="Q19" s="128"/>
      <c r="R19" s="128"/>
      <c r="S19" s="128"/>
      <c r="T19" s="128"/>
      <c r="U19" s="129"/>
    </row>
    <row r="20" spans="1:24" ht="18" customHeight="1" x14ac:dyDescent="0.15">
      <c r="A20" s="76"/>
      <c r="B20" s="130"/>
      <c r="C20" s="131"/>
      <c r="D20" s="131"/>
      <c r="E20" s="131"/>
      <c r="F20" s="131"/>
      <c r="G20" s="131"/>
      <c r="H20" s="131"/>
      <c r="I20" s="131"/>
      <c r="J20" s="131"/>
      <c r="K20" s="131"/>
      <c r="L20" s="131"/>
      <c r="M20" s="131"/>
      <c r="N20" s="131"/>
      <c r="O20" s="131"/>
      <c r="P20" s="131"/>
      <c r="Q20" s="131"/>
      <c r="R20" s="131"/>
      <c r="S20" s="131"/>
      <c r="T20" s="131"/>
      <c r="U20" s="132"/>
    </row>
    <row r="21" spans="1:24" ht="7.5" customHeight="1" x14ac:dyDescent="0.15">
      <c r="A21" s="76"/>
      <c r="B21" s="80"/>
      <c r="C21" s="80"/>
      <c r="D21" s="80"/>
      <c r="E21" s="80"/>
      <c r="F21" s="80"/>
      <c r="G21" s="80"/>
      <c r="H21" s="80"/>
      <c r="I21" s="80"/>
      <c r="J21" s="80"/>
      <c r="K21" s="80"/>
      <c r="L21" s="80"/>
      <c r="M21" s="80"/>
      <c r="N21" s="80"/>
      <c r="O21" s="80"/>
      <c r="P21" s="80"/>
      <c r="Q21" s="80"/>
      <c r="R21" s="80"/>
      <c r="S21" s="80"/>
      <c r="T21" s="80"/>
      <c r="U21" s="80"/>
    </row>
    <row r="22" spans="1:24" ht="19.899999999999999" customHeight="1" x14ac:dyDescent="0.15">
      <c r="A22" s="76"/>
      <c r="B22" s="76" t="s">
        <v>132</v>
      </c>
      <c r="C22" s="76"/>
      <c r="D22" s="76"/>
      <c r="E22" s="84">
        <v>1</v>
      </c>
      <c r="F22" s="76" t="s">
        <v>111</v>
      </c>
      <c r="G22" s="76"/>
      <c r="H22" s="85">
        <v>2</v>
      </c>
      <c r="I22" s="80" t="s">
        <v>112</v>
      </c>
      <c r="J22" s="80"/>
      <c r="K22" s="77"/>
      <c r="L22" s="76"/>
      <c r="M22" s="77" t="s">
        <v>108</v>
      </c>
      <c r="N22" s="158" t="s">
        <v>113</v>
      </c>
      <c r="O22" s="159"/>
      <c r="P22" s="159"/>
      <c r="Q22" s="159"/>
      <c r="R22" s="159"/>
      <c r="S22" s="159"/>
      <c r="T22" s="159"/>
      <c r="U22" s="160"/>
    </row>
    <row r="23" spans="1:24" ht="7.5" customHeight="1" x14ac:dyDescent="0.15">
      <c r="A23" s="76"/>
      <c r="B23" s="80"/>
      <c r="C23" s="80"/>
      <c r="D23" s="80"/>
      <c r="E23" s="80"/>
      <c r="F23" s="80"/>
      <c r="G23" s="80"/>
      <c r="H23" s="80"/>
      <c r="I23" s="80"/>
      <c r="J23" s="80"/>
      <c r="K23" s="80"/>
      <c r="L23" s="80"/>
      <c r="M23" s="80"/>
      <c r="N23" s="80"/>
      <c r="O23" s="80"/>
      <c r="P23" s="80"/>
      <c r="Q23" s="80"/>
      <c r="R23" s="80"/>
      <c r="S23" s="80"/>
      <c r="T23" s="80"/>
      <c r="U23" s="80"/>
    </row>
    <row r="24" spans="1:24" ht="18" customHeight="1" x14ac:dyDescent="0.15">
      <c r="A24" s="133" t="s">
        <v>100</v>
      </c>
      <c r="B24" s="133"/>
      <c r="C24" s="133"/>
      <c r="D24" s="133"/>
      <c r="E24" s="133"/>
      <c r="F24" s="133"/>
      <c r="G24" s="133"/>
      <c r="H24" s="133"/>
      <c r="I24" s="133"/>
      <c r="J24" s="133"/>
      <c r="K24" s="133"/>
      <c r="L24" s="133"/>
      <c r="M24" s="133"/>
      <c r="N24" s="133"/>
      <c r="O24" s="133"/>
      <c r="P24" s="133"/>
      <c r="Q24" s="133"/>
      <c r="R24" s="133"/>
      <c r="S24" s="133"/>
      <c r="T24" s="133"/>
      <c r="U24" s="133"/>
    </row>
    <row r="25" spans="1:24" ht="18" customHeight="1" x14ac:dyDescent="0.15">
      <c r="A25" s="133"/>
      <c r="B25" s="133"/>
      <c r="C25" s="133"/>
      <c r="D25" s="133"/>
      <c r="E25" s="133"/>
      <c r="F25" s="133"/>
      <c r="G25" s="133"/>
      <c r="H25" s="133"/>
      <c r="I25" s="133"/>
      <c r="J25" s="133"/>
      <c r="K25" s="133"/>
      <c r="L25" s="133"/>
      <c r="M25" s="133"/>
      <c r="N25" s="133"/>
      <c r="O25" s="133"/>
      <c r="P25" s="133"/>
      <c r="Q25" s="133"/>
      <c r="R25" s="133"/>
      <c r="S25" s="133"/>
      <c r="T25" s="133"/>
      <c r="U25" s="133"/>
    </row>
    <row r="26" spans="1:24" ht="18" customHeight="1" x14ac:dyDescent="0.15">
      <c r="B26" s="99" t="s">
        <v>50</v>
      </c>
      <c r="C26" s="100"/>
      <c r="D26" s="100"/>
      <c r="E26" s="100"/>
      <c r="F26" s="101"/>
      <c r="G26" s="47" t="s">
        <v>76</v>
      </c>
      <c r="H26" s="46" t="s">
        <v>79</v>
      </c>
      <c r="I26" s="14" t="s">
        <v>53</v>
      </c>
      <c r="J26" s="14" t="s">
        <v>56</v>
      </c>
      <c r="K26" s="99" t="s">
        <v>50</v>
      </c>
      <c r="L26" s="100"/>
      <c r="M26" s="100"/>
      <c r="N26" s="100"/>
      <c r="O26" s="100"/>
      <c r="P26" s="100"/>
      <c r="Q26" s="101"/>
      <c r="R26" s="47" t="s">
        <v>76</v>
      </c>
      <c r="S26" s="46" t="s">
        <v>79</v>
      </c>
      <c r="T26" s="14" t="s">
        <v>53</v>
      </c>
      <c r="U26" s="14" t="s">
        <v>56</v>
      </c>
    </row>
    <row r="27" spans="1:24" ht="18" customHeight="1" x14ac:dyDescent="0.15">
      <c r="B27" s="110" t="s">
        <v>153</v>
      </c>
      <c r="C27" s="111"/>
      <c r="D27" s="111"/>
      <c r="E27" s="111"/>
      <c r="F27" s="112"/>
      <c r="G27" s="15">
        <v>2</v>
      </c>
      <c r="H27" s="15" t="s">
        <v>138</v>
      </c>
      <c r="I27" s="15" t="s">
        <v>138</v>
      </c>
      <c r="J27" s="15" t="s">
        <v>138</v>
      </c>
      <c r="K27" s="110"/>
      <c r="L27" s="111"/>
      <c r="M27" s="111"/>
      <c r="N27" s="111"/>
      <c r="O27" s="111"/>
      <c r="P27" s="111"/>
      <c r="Q27" s="112"/>
      <c r="R27" s="15"/>
      <c r="S27" s="15"/>
      <c r="T27" s="15"/>
      <c r="U27" s="15"/>
    </row>
    <row r="28" spans="1:24" ht="18" customHeight="1" x14ac:dyDescent="0.15">
      <c r="B28" s="102"/>
      <c r="C28" s="103"/>
      <c r="D28" s="103"/>
      <c r="E28" s="103"/>
      <c r="F28" s="104"/>
      <c r="G28" s="16"/>
      <c r="H28" s="16"/>
      <c r="I28" s="16"/>
      <c r="J28" s="16"/>
      <c r="K28" s="102"/>
      <c r="L28" s="103"/>
      <c r="M28" s="103"/>
      <c r="N28" s="103"/>
      <c r="O28" s="103"/>
      <c r="P28" s="103"/>
      <c r="Q28" s="104"/>
      <c r="R28" s="16"/>
      <c r="S28" s="16"/>
      <c r="T28" s="16"/>
      <c r="U28" s="16"/>
    </row>
    <row r="29" spans="1:24" ht="18" customHeight="1" x14ac:dyDescent="0.15">
      <c r="B29" s="102"/>
      <c r="C29" s="103"/>
      <c r="D29" s="103"/>
      <c r="E29" s="103"/>
      <c r="F29" s="104"/>
      <c r="G29" s="16"/>
      <c r="H29" s="16"/>
      <c r="I29" s="16"/>
      <c r="J29" s="16"/>
      <c r="K29" s="102"/>
      <c r="L29" s="103"/>
      <c r="M29" s="103"/>
      <c r="N29" s="103"/>
      <c r="O29" s="103"/>
      <c r="P29" s="103"/>
      <c r="Q29" s="104"/>
      <c r="R29" s="16"/>
      <c r="S29" s="16"/>
      <c r="T29" s="16"/>
      <c r="U29" s="16"/>
    </row>
    <row r="30" spans="1:24" ht="18" customHeight="1" x14ac:dyDescent="0.15">
      <c r="B30" s="102"/>
      <c r="C30" s="103"/>
      <c r="D30" s="103"/>
      <c r="E30" s="103"/>
      <c r="F30" s="104"/>
      <c r="G30" s="16"/>
      <c r="H30" s="16"/>
      <c r="I30" s="16"/>
      <c r="J30" s="16"/>
      <c r="K30" s="102"/>
      <c r="L30" s="103"/>
      <c r="M30" s="103"/>
      <c r="N30" s="103"/>
      <c r="O30" s="103"/>
      <c r="P30" s="103"/>
      <c r="Q30" s="104"/>
      <c r="R30" s="16"/>
      <c r="S30" s="16"/>
      <c r="T30" s="16"/>
      <c r="U30" s="16"/>
    </row>
    <row r="31" spans="1:24" ht="18" customHeight="1" x14ac:dyDescent="0.15">
      <c r="B31" s="102"/>
      <c r="C31" s="103"/>
      <c r="D31" s="103"/>
      <c r="E31" s="103"/>
      <c r="F31" s="104"/>
      <c r="G31" s="16"/>
      <c r="H31" s="16"/>
      <c r="I31" s="16"/>
      <c r="J31" s="16"/>
      <c r="K31" s="102"/>
      <c r="L31" s="103"/>
      <c r="M31" s="103"/>
      <c r="N31" s="103"/>
      <c r="O31" s="103"/>
      <c r="P31" s="103"/>
      <c r="Q31" s="104"/>
      <c r="R31" s="16"/>
      <c r="S31" s="16"/>
      <c r="T31" s="16"/>
      <c r="U31" s="16"/>
    </row>
    <row r="32" spans="1:24" ht="18" customHeight="1" x14ac:dyDescent="0.15">
      <c r="A32" s="74"/>
      <c r="B32" s="102"/>
      <c r="C32" s="103"/>
      <c r="D32" s="103"/>
      <c r="E32" s="103"/>
      <c r="F32" s="104"/>
      <c r="G32" s="16"/>
      <c r="H32" s="16"/>
      <c r="I32" s="16"/>
      <c r="J32" s="16"/>
      <c r="K32" s="102"/>
      <c r="L32" s="103"/>
      <c r="M32" s="103"/>
      <c r="N32" s="103"/>
      <c r="O32" s="103"/>
      <c r="P32" s="103"/>
      <c r="Q32" s="104"/>
      <c r="R32" s="16"/>
      <c r="S32" s="16"/>
      <c r="T32" s="16"/>
      <c r="U32" s="16"/>
    </row>
    <row r="33" spans="1:21" ht="18" customHeight="1" x14ac:dyDescent="0.15">
      <c r="A33" s="74"/>
      <c r="B33" s="105"/>
      <c r="C33" s="106"/>
      <c r="D33" s="106"/>
      <c r="E33" s="106"/>
      <c r="F33" s="107"/>
      <c r="G33" s="17"/>
      <c r="H33" s="17"/>
      <c r="I33" s="18"/>
      <c r="J33" s="18"/>
      <c r="K33" s="105"/>
      <c r="L33" s="106"/>
      <c r="M33" s="106"/>
      <c r="N33" s="106"/>
      <c r="O33" s="106"/>
      <c r="P33" s="106"/>
      <c r="Q33" s="107"/>
      <c r="R33" s="17"/>
      <c r="S33" s="17"/>
      <c r="T33" s="18"/>
      <c r="U33" s="18"/>
    </row>
    <row r="34" spans="1:21" ht="7.5" customHeight="1" x14ac:dyDescent="0.15">
      <c r="A34" s="74"/>
      <c r="B34" s="5"/>
      <c r="C34" s="5"/>
      <c r="D34" s="5"/>
      <c r="E34" s="74"/>
      <c r="F34" s="74"/>
      <c r="G34" s="74"/>
      <c r="H34" s="74"/>
      <c r="I34" s="5"/>
      <c r="J34" s="5"/>
      <c r="K34" s="5"/>
      <c r="L34" s="5"/>
      <c r="M34" s="5"/>
      <c r="N34" s="5"/>
      <c r="O34" s="5"/>
      <c r="P34" s="5"/>
      <c r="Q34" s="5"/>
      <c r="R34" s="5"/>
      <c r="S34" s="5"/>
      <c r="T34" s="5"/>
      <c r="U34" s="74"/>
    </row>
    <row r="35" spans="1:21" ht="18" customHeight="1" x14ac:dyDescent="0.15">
      <c r="A35" s="113" t="s">
        <v>101</v>
      </c>
      <c r="B35" s="113"/>
      <c r="C35" s="113"/>
      <c r="D35" s="113"/>
      <c r="E35" s="113"/>
      <c r="F35" s="113"/>
      <c r="G35" s="113"/>
      <c r="H35" s="113"/>
      <c r="I35" s="113"/>
      <c r="J35" s="113"/>
      <c r="K35" s="113"/>
      <c r="L35" s="113"/>
      <c r="M35" s="113"/>
      <c r="N35" s="113"/>
      <c r="O35" s="113"/>
      <c r="P35" s="113"/>
      <c r="Q35" s="113"/>
      <c r="R35" s="113"/>
      <c r="S35" s="113"/>
      <c r="T35" s="113"/>
      <c r="U35" s="113"/>
    </row>
    <row r="36" spans="1:21" ht="18" customHeight="1" x14ac:dyDescent="0.15">
      <c r="A36" s="113"/>
      <c r="B36" s="113"/>
      <c r="C36" s="113"/>
      <c r="D36" s="113"/>
      <c r="E36" s="113"/>
      <c r="F36" s="113"/>
      <c r="G36" s="113"/>
      <c r="H36" s="113"/>
      <c r="I36" s="113"/>
      <c r="J36" s="113"/>
      <c r="K36" s="113"/>
      <c r="L36" s="113"/>
      <c r="M36" s="113"/>
      <c r="N36" s="113"/>
      <c r="O36" s="113"/>
      <c r="P36" s="113"/>
      <c r="Q36" s="113"/>
      <c r="R36" s="113"/>
      <c r="S36" s="113"/>
      <c r="T36" s="113"/>
      <c r="U36" s="113"/>
    </row>
    <row r="37" spans="1:21" ht="18" customHeight="1" x14ac:dyDescent="0.15">
      <c r="B37" s="99" t="s">
        <v>50</v>
      </c>
      <c r="C37" s="100"/>
      <c r="D37" s="100"/>
      <c r="E37" s="100"/>
      <c r="F37" s="101"/>
      <c r="G37" s="47" t="s">
        <v>76</v>
      </c>
      <c r="H37" s="46" t="s">
        <v>79</v>
      </c>
      <c r="I37" s="14" t="s">
        <v>67</v>
      </c>
      <c r="J37" s="14" t="s">
        <v>68</v>
      </c>
      <c r="K37" s="99" t="s">
        <v>50</v>
      </c>
      <c r="L37" s="100"/>
      <c r="M37" s="100"/>
      <c r="N37" s="100"/>
      <c r="O37" s="100"/>
      <c r="P37" s="100"/>
      <c r="Q37" s="101"/>
      <c r="R37" s="47" t="s">
        <v>76</v>
      </c>
      <c r="S37" s="46" t="s">
        <v>79</v>
      </c>
      <c r="T37" s="14" t="s">
        <v>67</v>
      </c>
      <c r="U37" s="14" t="s">
        <v>68</v>
      </c>
    </row>
    <row r="38" spans="1:21" ht="18" customHeight="1" x14ac:dyDescent="0.15">
      <c r="B38" s="110" t="s">
        <v>153</v>
      </c>
      <c r="C38" s="111"/>
      <c r="D38" s="111"/>
      <c r="E38" s="111"/>
      <c r="F38" s="112"/>
      <c r="G38" s="15">
        <v>2</v>
      </c>
      <c r="H38" s="15" t="s">
        <v>138</v>
      </c>
      <c r="I38" s="15" t="s">
        <v>138</v>
      </c>
      <c r="J38" s="15" t="s">
        <v>138</v>
      </c>
      <c r="K38" s="110"/>
      <c r="L38" s="111"/>
      <c r="M38" s="111"/>
      <c r="N38" s="111"/>
      <c r="O38" s="111"/>
      <c r="P38" s="111"/>
      <c r="Q38" s="112"/>
      <c r="R38" s="15"/>
      <c r="S38" s="15"/>
      <c r="T38" s="15"/>
      <c r="U38" s="15"/>
    </row>
    <row r="39" spans="1:21" ht="18" customHeight="1" x14ac:dyDescent="0.15">
      <c r="B39" s="102"/>
      <c r="C39" s="103"/>
      <c r="D39" s="103"/>
      <c r="E39" s="103"/>
      <c r="F39" s="104"/>
      <c r="G39" s="16"/>
      <c r="H39" s="16"/>
      <c r="I39" s="16"/>
      <c r="J39" s="16"/>
      <c r="K39" s="102"/>
      <c r="L39" s="103"/>
      <c r="M39" s="103"/>
      <c r="N39" s="103"/>
      <c r="O39" s="103"/>
      <c r="P39" s="103"/>
      <c r="Q39" s="104"/>
      <c r="R39" s="16"/>
      <c r="S39" s="16"/>
      <c r="T39" s="16"/>
      <c r="U39" s="16"/>
    </row>
    <row r="40" spans="1:21" ht="18" customHeight="1" x14ac:dyDescent="0.15">
      <c r="B40" s="102"/>
      <c r="C40" s="103"/>
      <c r="D40" s="103"/>
      <c r="E40" s="103"/>
      <c r="F40" s="104"/>
      <c r="G40" s="16"/>
      <c r="H40" s="16"/>
      <c r="I40" s="16"/>
      <c r="J40" s="16"/>
      <c r="K40" s="102"/>
      <c r="L40" s="103"/>
      <c r="M40" s="103"/>
      <c r="N40" s="103"/>
      <c r="O40" s="103"/>
      <c r="P40" s="103"/>
      <c r="Q40" s="104"/>
      <c r="R40" s="16"/>
      <c r="S40" s="16"/>
      <c r="T40" s="16"/>
      <c r="U40" s="16"/>
    </row>
    <row r="41" spans="1:21" ht="18" customHeight="1" x14ac:dyDescent="0.15">
      <c r="B41" s="102"/>
      <c r="C41" s="103"/>
      <c r="D41" s="103"/>
      <c r="E41" s="103"/>
      <c r="F41" s="104"/>
      <c r="G41" s="16"/>
      <c r="H41" s="16"/>
      <c r="I41" s="16"/>
      <c r="J41" s="16"/>
      <c r="K41" s="102"/>
      <c r="L41" s="103"/>
      <c r="M41" s="103"/>
      <c r="N41" s="103"/>
      <c r="O41" s="103"/>
      <c r="P41" s="103"/>
      <c r="Q41" s="104"/>
      <c r="R41" s="16"/>
      <c r="S41" s="16"/>
      <c r="T41" s="16"/>
      <c r="U41" s="16"/>
    </row>
    <row r="42" spans="1:21" ht="18" customHeight="1" x14ac:dyDescent="0.15">
      <c r="B42" s="102"/>
      <c r="C42" s="103"/>
      <c r="D42" s="103"/>
      <c r="E42" s="103"/>
      <c r="F42" s="104"/>
      <c r="G42" s="16"/>
      <c r="H42" s="16"/>
      <c r="I42" s="16"/>
      <c r="J42" s="16"/>
      <c r="K42" s="102"/>
      <c r="L42" s="103"/>
      <c r="M42" s="103"/>
      <c r="N42" s="103"/>
      <c r="O42" s="103"/>
      <c r="P42" s="103"/>
      <c r="Q42" s="104"/>
      <c r="R42" s="16"/>
      <c r="S42" s="16"/>
      <c r="T42" s="16"/>
      <c r="U42" s="16"/>
    </row>
    <row r="43" spans="1:21" ht="18" customHeight="1" x14ac:dyDescent="0.15">
      <c r="B43" s="102"/>
      <c r="C43" s="103"/>
      <c r="D43" s="103"/>
      <c r="E43" s="103"/>
      <c r="F43" s="104"/>
      <c r="G43" s="16"/>
      <c r="H43" s="16"/>
      <c r="I43" s="16"/>
      <c r="J43" s="16"/>
      <c r="K43" s="102"/>
      <c r="L43" s="103"/>
      <c r="M43" s="103"/>
      <c r="N43" s="103"/>
      <c r="O43" s="103"/>
      <c r="P43" s="103"/>
      <c r="Q43" s="104"/>
      <c r="R43" s="16"/>
      <c r="S43" s="16"/>
      <c r="T43" s="16"/>
      <c r="U43" s="16"/>
    </row>
    <row r="44" spans="1:21" ht="18" customHeight="1" x14ac:dyDescent="0.15">
      <c r="B44" s="105"/>
      <c r="C44" s="106"/>
      <c r="D44" s="106"/>
      <c r="E44" s="106"/>
      <c r="F44" s="107"/>
      <c r="G44" s="17"/>
      <c r="H44" s="17"/>
      <c r="I44" s="18"/>
      <c r="J44" s="18"/>
      <c r="K44" s="105"/>
      <c r="L44" s="106"/>
      <c r="M44" s="106"/>
      <c r="N44" s="106"/>
      <c r="O44" s="106"/>
      <c r="P44" s="106"/>
      <c r="Q44" s="107"/>
      <c r="R44" s="17"/>
      <c r="S44" s="17"/>
      <c r="T44" s="18"/>
      <c r="U44" s="18"/>
    </row>
    <row r="45" spans="1:21" ht="7.5" customHeight="1" x14ac:dyDescent="0.15">
      <c r="A45" s="74"/>
      <c r="B45" s="5"/>
      <c r="C45" s="5"/>
      <c r="D45" s="5"/>
      <c r="E45" s="74"/>
      <c r="F45" s="74"/>
      <c r="G45" s="74"/>
      <c r="H45" s="74"/>
      <c r="I45" s="5"/>
      <c r="J45" s="5"/>
      <c r="K45" s="5"/>
      <c r="L45" s="5"/>
      <c r="M45" s="5"/>
      <c r="N45" s="5"/>
      <c r="O45" s="5"/>
      <c r="P45" s="5"/>
      <c r="Q45" s="5"/>
      <c r="R45" s="5"/>
      <c r="S45" s="5"/>
      <c r="T45" s="5"/>
      <c r="U45" s="74"/>
    </row>
    <row r="46" spans="1:21" ht="18" customHeight="1" x14ac:dyDescent="0.15">
      <c r="A46" s="113" t="s">
        <v>102</v>
      </c>
      <c r="B46" s="113"/>
      <c r="C46" s="113"/>
      <c r="D46" s="113"/>
      <c r="E46" s="113"/>
      <c r="F46" s="113"/>
      <c r="G46" s="113"/>
      <c r="H46" s="113"/>
      <c r="I46" s="113"/>
      <c r="J46" s="113"/>
      <c r="K46" s="113"/>
      <c r="L46" s="113"/>
      <c r="M46" s="113"/>
      <c r="N46" s="113"/>
      <c r="O46" s="113"/>
      <c r="P46" s="113"/>
      <c r="Q46" s="113"/>
      <c r="R46" s="113"/>
      <c r="S46" s="113"/>
      <c r="T46" s="113"/>
      <c r="U46" s="113"/>
    </row>
    <row r="47" spans="1:21" ht="18" customHeight="1" x14ac:dyDescent="0.15">
      <c r="A47" s="113"/>
      <c r="B47" s="113"/>
      <c r="C47" s="113"/>
      <c r="D47" s="113"/>
      <c r="E47" s="113"/>
      <c r="F47" s="113"/>
      <c r="G47" s="113"/>
      <c r="H47" s="113"/>
      <c r="I47" s="113"/>
      <c r="J47" s="113"/>
      <c r="K47" s="113"/>
      <c r="L47" s="113"/>
      <c r="M47" s="113"/>
      <c r="N47" s="113"/>
      <c r="O47" s="113"/>
      <c r="P47" s="113"/>
      <c r="Q47" s="113"/>
      <c r="R47" s="113"/>
      <c r="S47" s="113"/>
      <c r="T47" s="113"/>
      <c r="U47" s="113"/>
    </row>
    <row r="48" spans="1:21" ht="18" customHeight="1" x14ac:dyDescent="0.15">
      <c r="B48" s="99" t="s">
        <v>50</v>
      </c>
      <c r="C48" s="100"/>
      <c r="D48" s="100"/>
      <c r="E48" s="100"/>
      <c r="F48" s="101"/>
      <c r="G48" s="47" t="s">
        <v>76</v>
      </c>
      <c r="H48" s="46" t="s">
        <v>79</v>
      </c>
      <c r="I48" s="14" t="s">
        <v>69</v>
      </c>
      <c r="J48" s="14" t="s">
        <v>70</v>
      </c>
      <c r="K48" s="99" t="s">
        <v>50</v>
      </c>
      <c r="L48" s="100"/>
      <c r="M48" s="100"/>
      <c r="N48" s="100"/>
      <c r="O48" s="100"/>
      <c r="P48" s="100"/>
      <c r="Q48" s="101"/>
      <c r="R48" s="47" t="s">
        <v>76</v>
      </c>
      <c r="S48" s="46" t="s">
        <v>79</v>
      </c>
      <c r="T48" s="14" t="s">
        <v>69</v>
      </c>
      <c r="U48" s="14" t="s">
        <v>70</v>
      </c>
    </row>
    <row r="49" spans="1:21" ht="18" customHeight="1" x14ac:dyDescent="0.15">
      <c r="A49" s="74"/>
      <c r="B49" s="110" t="s">
        <v>153</v>
      </c>
      <c r="C49" s="111"/>
      <c r="D49" s="111"/>
      <c r="E49" s="111"/>
      <c r="F49" s="112"/>
      <c r="G49" s="15">
        <v>2</v>
      </c>
      <c r="H49" s="15" t="s">
        <v>138</v>
      </c>
      <c r="I49" s="15" t="s">
        <v>138</v>
      </c>
      <c r="J49" s="15" t="s">
        <v>138</v>
      </c>
      <c r="K49" s="110"/>
      <c r="L49" s="111"/>
      <c r="M49" s="111"/>
      <c r="N49" s="111"/>
      <c r="O49" s="111"/>
      <c r="P49" s="111"/>
      <c r="Q49" s="112"/>
      <c r="R49" s="15"/>
      <c r="S49" s="15"/>
      <c r="T49" s="15"/>
      <c r="U49" s="15"/>
    </row>
    <row r="50" spans="1:21" ht="18" customHeight="1" x14ac:dyDescent="0.15">
      <c r="A50" s="74"/>
      <c r="B50" s="102"/>
      <c r="C50" s="103"/>
      <c r="D50" s="103"/>
      <c r="E50" s="103"/>
      <c r="F50" s="104"/>
      <c r="G50" s="16"/>
      <c r="H50" s="16"/>
      <c r="I50" s="16"/>
      <c r="J50" s="16"/>
      <c r="K50" s="102"/>
      <c r="L50" s="103"/>
      <c r="M50" s="103"/>
      <c r="N50" s="103"/>
      <c r="O50" s="103"/>
      <c r="P50" s="103"/>
      <c r="Q50" s="104"/>
      <c r="R50" s="16"/>
      <c r="S50" s="16"/>
      <c r="T50" s="16"/>
      <c r="U50" s="16"/>
    </row>
    <row r="51" spans="1:21" ht="18" customHeight="1" x14ac:dyDescent="0.15">
      <c r="A51" s="74"/>
      <c r="B51" s="102"/>
      <c r="C51" s="103"/>
      <c r="D51" s="103"/>
      <c r="E51" s="103"/>
      <c r="F51" s="104"/>
      <c r="G51" s="16"/>
      <c r="H51" s="16"/>
      <c r="I51" s="16"/>
      <c r="J51" s="16"/>
      <c r="K51" s="102"/>
      <c r="L51" s="103"/>
      <c r="M51" s="103"/>
      <c r="N51" s="103"/>
      <c r="O51" s="103"/>
      <c r="P51" s="103"/>
      <c r="Q51" s="104"/>
      <c r="R51" s="16"/>
      <c r="S51" s="16"/>
      <c r="T51" s="16"/>
      <c r="U51" s="16"/>
    </row>
    <row r="52" spans="1:21" ht="18" customHeight="1" x14ac:dyDescent="0.15">
      <c r="A52" s="74"/>
      <c r="B52" s="102"/>
      <c r="C52" s="103"/>
      <c r="D52" s="103"/>
      <c r="E52" s="103"/>
      <c r="F52" s="104"/>
      <c r="G52" s="16"/>
      <c r="H52" s="16"/>
      <c r="I52" s="16"/>
      <c r="J52" s="16"/>
      <c r="K52" s="102"/>
      <c r="L52" s="103"/>
      <c r="M52" s="103"/>
      <c r="N52" s="103"/>
      <c r="O52" s="103"/>
      <c r="P52" s="103"/>
      <c r="Q52" s="104"/>
      <c r="R52" s="16"/>
      <c r="S52" s="16"/>
      <c r="T52" s="16"/>
      <c r="U52" s="16"/>
    </row>
    <row r="53" spans="1:21" ht="18" customHeight="1" x14ac:dyDescent="0.15">
      <c r="A53" s="74"/>
      <c r="B53" s="102"/>
      <c r="C53" s="103"/>
      <c r="D53" s="103"/>
      <c r="E53" s="103"/>
      <c r="F53" s="104"/>
      <c r="G53" s="16"/>
      <c r="H53" s="16"/>
      <c r="I53" s="16"/>
      <c r="J53" s="16"/>
      <c r="K53" s="102"/>
      <c r="L53" s="103"/>
      <c r="M53" s="103"/>
      <c r="N53" s="103"/>
      <c r="O53" s="103"/>
      <c r="P53" s="103"/>
      <c r="Q53" s="104"/>
      <c r="R53" s="16"/>
      <c r="S53" s="16"/>
      <c r="T53" s="16"/>
      <c r="U53" s="16"/>
    </row>
    <row r="54" spans="1:21" ht="18" customHeight="1" x14ac:dyDescent="0.15">
      <c r="A54" s="74"/>
      <c r="B54" s="102"/>
      <c r="C54" s="103"/>
      <c r="D54" s="103"/>
      <c r="E54" s="103"/>
      <c r="F54" s="104"/>
      <c r="G54" s="16"/>
      <c r="H54" s="16"/>
      <c r="I54" s="16"/>
      <c r="J54" s="16"/>
      <c r="K54" s="102"/>
      <c r="L54" s="103"/>
      <c r="M54" s="103"/>
      <c r="N54" s="103"/>
      <c r="O54" s="103"/>
      <c r="P54" s="103"/>
      <c r="Q54" s="104"/>
      <c r="R54" s="16"/>
      <c r="S54" s="16"/>
      <c r="T54" s="16"/>
      <c r="U54" s="16"/>
    </row>
    <row r="55" spans="1:21" ht="18" customHeight="1" x14ac:dyDescent="0.15">
      <c r="A55" s="74"/>
      <c r="B55" s="105"/>
      <c r="C55" s="106"/>
      <c r="D55" s="106"/>
      <c r="E55" s="106"/>
      <c r="F55" s="107"/>
      <c r="G55" s="17"/>
      <c r="H55" s="17"/>
      <c r="I55" s="18"/>
      <c r="J55" s="18"/>
      <c r="K55" s="105"/>
      <c r="L55" s="106"/>
      <c r="M55" s="106"/>
      <c r="N55" s="106"/>
      <c r="O55" s="106"/>
      <c r="P55" s="106"/>
      <c r="Q55" s="107"/>
      <c r="R55" s="17"/>
      <c r="S55" s="17"/>
      <c r="T55" s="18"/>
      <c r="U55" s="18"/>
    </row>
    <row r="56" spans="1:21" ht="7.5" customHeight="1" x14ac:dyDescent="0.15">
      <c r="B56" s="73"/>
      <c r="C56" s="73"/>
      <c r="D56" s="73"/>
      <c r="E56" s="73"/>
      <c r="F56" s="73"/>
      <c r="G56" s="73"/>
      <c r="H56" s="73"/>
      <c r="I56" s="73"/>
      <c r="J56" s="73"/>
      <c r="K56" s="73"/>
      <c r="L56" s="73"/>
      <c r="M56" s="73"/>
      <c r="N56" s="73"/>
      <c r="O56" s="73"/>
      <c r="P56" s="73"/>
      <c r="Q56" s="73"/>
      <c r="R56" s="73"/>
      <c r="S56" s="73"/>
      <c r="T56" s="73"/>
    </row>
    <row r="57" spans="1:21" ht="18" customHeight="1" x14ac:dyDescent="0.15">
      <c r="A57" s="113" t="s">
        <v>103</v>
      </c>
      <c r="B57" s="113"/>
      <c r="C57" s="113"/>
      <c r="D57" s="113"/>
      <c r="E57" s="113"/>
      <c r="F57" s="113"/>
      <c r="G57" s="113"/>
      <c r="H57" s="113"/>
      <c r="I57" s="113"/>
      <c r="J57" s="113"/>
      <c r="K57" s="113"/>
      <c r="L57" s="113"/>
      <c r="M57" s="113"/>
      <c r="N57" s="113"/>
      <c r="O57" s="113"/>
      <c r="P57" s="113"/>
      <c r="Q57" s="113"/>
      <c r="R57" s="113"/>
      <c r="S57" s="113"/>
      <c r="T57" s="113"/>
      <c r="U57" s="113"/>
    </row>
    <row r="58" spans="1:21" ht="18" customHeight="1" x14ac:dyDescent="0.15">
      <c r="A58" s="113"/>
      <c r="B58" s="113"/>
      <c r="C58" s="113"/>
      <c r="D58" s="113"/>
      <c r="E58" s="113"/>
      <c r="F58" s="113"/>
      <c r="G58" s="113"/>
      <c r="H58" s="113"/>
      <c r="I58" s="113"/>
      <c r="J58" s="113"/>
      <c r="K58" s="113"/>
      <c r="L58" s="113"/>
      <c r="M58" s="113"/>
      <c r="N58" s="113"/>
      <c r="O58" s="113"/>
      <c r="P58" s="113"/>
      <c r="Q58" s="113"/>
      <c r="R58" s="113"/>
      <c r="S58" s="113"/>
      <c r="T58" s="113"/>
      <c r="U58" s="113"/>
    </row>
    <row r="59" spans="1:21" ht="18" customHeight="1" x14ac:dyDescent="0.15">
      <c r="B59" s="99" t="s">
        <v>50</v>
      </c>
      <c r="C59" s="100"/>
      <c r="D59" s="100"/>
      <c r="E59" s="100"/>
      <c r="F59" s="101"/>
      <c r="G59" s="47" t="s">
        <v>76</v>
      </c>
      <c r="H59" s="46" t="s">
        <v>79</v>
      </c>
      <c r="I59" s="14" t="s">
        <v>55</v>
      </c>
      <c r="J59" s="14" t="s">
        <v>57</v>
      </c>
      <c r="K59" s="99" t="s">
        <v>50</v>
      </c>
      <c r="L59" s="100"/>
      <c r="M59" s="100"/>
      <c r="N59" s="100"/>
      <c r="O59" s="100"/>
      <c r="P59" s="100"/>
      <c r="Q59" s="101"/>
      <c r="R59" s="47" t="s">
        <v>76</v>
      </c>
      <c r="S59" s="46" t="s">
        <v>79</v>
      </c>
      <c r="T59" s="14" t="s">
        <v>55</v>
      </c>
      <c r="U59" s="14" t="s">
        <v>57</v>
      </c>
    </row>
    <row r="60" spans="1:21" ht="18" customHeight="1" x14ac:dyDescent="0.15">
      <c r="A60" s="74"/>
      <c r="B60" s="110" t="s">
        <v>153</v>
      </c>
      <c r="C60" s="111"/>
      <c r="D60" s="111"/>
      <c r="E60" s="111"/>
      <c r="F60" s="112"/>
      <c r="G60" s="15">
        <v>2</v>
      </c>
      <c r="H60" s="15" t="s">
        <v>138</v>
      </c>
      <c r="I60" s="15" t="s">
        <v>138</v>
      </c>
      <c r="J60" s="15" t="s">
        <v>138</v>
      </c>
      <c r="K60" s="110"/>
      <c r="L60" s="111"/>
      <c r="M60" s="111"/>
      <c r="N60" s="111"/>
      <c r="O60" s="111"/>
      <c r="P60" s="111"/>
      <c r="Q60" s="112"/>
      <c r="R60" s="15"/>
      <c r="S60" s="15"/>
      <c r="T60" s="15"/>
      <c r="U60" s="15"/>
    </row>
    <row r="61" spans="1:21" ht="18" customHeight="1" x14ac:dyDescent="0.15">
      <c r="A61" s="74"/>
      <c r="B61" s="102"/>
      <c r="C61" s="103"/>
      <c r="D61" s="103"/>
      <c r="E61" s="103"/>
      <c r="F61" s="104"/>
      <c r="G61" s="16"/>
      <c r="H61" s="16"/>
      <c r="I61" s="16"/>
      <c r="J61" s="16"/>
      <c r="K61" s="102"/>
      <c r="L61" s="103"/>
      <c r="M61" s="103"/>
      <c r="N61" s="103"/>
      <c r="O61" s="103"/>
      <c r="P61" s="103"/>
      <c r="Q61" s="104"/>
      <c r="R61" s="16"/>
      <c r="S61" s="16"/>
      <c r="T61" s="16"/>
      <c r="U61" s="16"/>
    </row>
    <row r="62" spans="1:21" ht="18" customHeight="1" x14ac:dyDescent="0.15">
      <c r="A62" s="74"/>
      <c r="B62" s="102"/>
      <c r="C62" s="103"/>
      <c r="D62" s="103"/>
      <c r="E62" s="103"/>
      <c r="F62" s="104"/>
      <c r="G62" s="16"/>
      <c r="H62" s="16"/>
      <c r="I62" s="16"/>
      <c r="J62" s="16"/>
      <c r="K62" s="102"/>
      <c r="L62" s="103"/>
      <c r="M62" s="103"/>
      <c r="N62" s="103"/>
      <c r="O62" s="103"/>
      <c r="P62" s="103"/>
      <c r="Q62" s="104"/>
      <c r="R62" s="16"/>
      <c r="S62" s="16"/>
      <c r="T62" s="16"/>
      <c r="U62" s="16"/>
    </row>
    <row r="63" spans="1:21" ht="18" customHeight="1" x14ac:dyDescent="0.15">
      <c r="A63" s="74"/>
      <c r="B63" s="102"/>
      <c r="C63" s="103"/>
      <c r="D63" s="103"/>
      <c r="E63" s="103"/>
      <c r="F63" s="104"/>
      <c r="G63" s="16"/>
      <c r="H63" s="16"/>
      <c r="I63" s="16"/>
      <c r="J63" s="16"/>
      <c r="K63" s="102"/>
      <c r="L63" s="103"/>
      <c r="M63" s="103"/>
      <c r="N63" s="103"/>
      <c r="O63" s="103"/>
      <c r="P63" s="103"/>
      <c r="Q63" s="104"/>
      <c r="R63" s="16"/>
      <c r="S63" s="16"/>
      <c r="T63" s="16"/>
      <c r="U63" s="16"/>
    </row>
    <row r="64" spans="1:21" ht="18" customHeight="1" x14ac:dyDescent="0.15">
      <c r="A64" s="74"/>
      <c r="B64" s="102"/>
      <c r="C64" s="103"/>
      <c r="D64" s="103"/>
      <c r="E64" s="103"/>
      <c r="F64" s="104"/>
      <c r="G64" s="16"/>
      <c r="H64" s="16"/>
      <c r="I64" s="16"/>
      <c r="J64" s="16"/>
      <c r="K64" s="102"/>
      <c r="L64" s="103"/>
      <c r="M64" s="103"/>
      <c r="N64" s="103"/>
      <c r="O64" s="103"/>
      <c r="P64" s="103"/>
      <c r="Q64" s="104"/>
      <c r="R64" s="16"/>
      <c r="S64" s="16"/>
      <c r="T64" s="16"/>
      <c r="U64" s="16"/>
    </row>
    <row r="65" spans="1:21" ht="18" customHeight="1" x14ac:dyDescent="0.15">
      <c r="A65" s="74"/>
      <c r="B65" s="102"/>
      <c r="C65" s="103"/>
      <c r="D65" s="103"/>
      <c r="E65" s="103"/>
      <c r="F65" s="104"/>
      <c r="G65" s="16"/>
      <c r="H65" s="16"/>
      <c r="I65" s="16"/>
      <c r="J65" s="16"/>
      <c r="K65" s="102"/>
      <c r="L65" s="103"/>
      <c r="M65" s="103"/>
      <c r="N65" s="103"/>
      <c r="O65" s="103"/>
      <c r="P65" s="103"/>
      <c r="Q65" s="104"/>
      <c r="R65" s="16"/>
      <c r="S65" s="16"/>
      <c r="T65" s="16"/>
      <c r="U65" s="16"/>
    </row>
    <row r="66" spans="1:21" ht="18" customHeight="1" x14ac:dyDescent="0.15">
      <c r="A66" s="74"/>
      <c r="B66" s="105"/>
      <c r="C66" s="106"/>
      <c r="D66" s="106"/>
      <c r="E66" s="106"/>
      <c r="F66" s="107"/>
      <c r="G66" s="17"/>
      <c r="H66" s="17"/>
      <c r="I66" s="18"/>
      <c r="J66" s="18"/>
      <c r="K66" s="105"/>
      <c r="L66" s="106"/>
      <c r="M66" s="106"/>
      <c r="N66" s="106"/>
      <c r="O66" s="106"/>
      <c r="P66" s="106"/>
      <c r="Q66" s="107"/>
      <c r="R66" s="17"/>
      <c r="S66" s="17"/>
      <c r="T66" s="18"/>
      <c r="U66" s="18"/>
    </row>
    <row r="67" spans="1:21" ht="7.5" customHeight="1" x14ac:dyDescent="0.15">
      <c r="B67" s="73"/>
      <c r="C67" s="73"/>
      <c r="D67" s="73"/>
      <c r="E67" s="73"/>
      <c r="F67" s="73"/>
      <c r="G67" s="73"/>
      <c r="H67" s="73"/>
      <c r="I67" s="73"/>
      <c r="J67" s="73"/>
      <c r="K67" s="73"/>
      <c r="L67" s="73"/>
      <c r="M67" s="73"/>
      <c r="N67" s="73"/>
      <c r="O67" s="73"/>
      <c r="P67" s="73"/>
      <c r="Q67" s="73"/>
      <c r="R67" s="73"/>
      <c r="S67" s="73"/>
      <c r="T67" s="73"/>
    </row>
    <row r="68" spans="1:21" ht="18" customHeight="1" x14ac:dyDescent="0.15">
      <c r="A68" s="113" t="s">
        <v>104</v>
      </c>
      <c r="B68" s="113"/>
      <c r="C68" s="113"/>
      <c r="D68" s="113"/>
      <c r="E68" s="113"/>
      <c r="F68" s="113"/>
      <c r="G68" s="113"/>
      <c r="H68" s="113"/>
      <c r="I68" s="113"/>
      <c r="J68" s="113"/>
      <c r="K68" s="113"/>
      <c r="L68" s="113"/>
      <c r="M68" s="113"/>
      <c r="N68" s="113"/>
      <c r="O68" s="113"/>
      <c r="P68" s="113"/>
      <c r="Q68" s="113"/>
      <c r="R68" s="113"/>
      <c r="S68" s="113"/>
      <c r="T68" s="113"/>
      <c r="U68" s="113"/>
    </row>
    <row r="69" spans="1:21" ht="18" customHeight="1" x14ac:dyDescent="0.15">
      <c r="A69" s="113"/>
      <c r="B69" s="113"/>
      <c r="C69" s="113"/>
      <c r="D69" s="113"/>
      <c r="E69" s="113"/>
      <c r="F69" s="113"/>
      <c r="G69" s="113"/>
      <c r="H69" s="113"/>
      <c r="I69" s="113"/>
      <c r="J69" s="113"/>
      <c r="K69" s="113"/>
      <c r="L69" s="113"/>
      <c r="M69" s="113"/>
      <c r="N69" s="113"/>
      <c r="O69" s="113"/>
      <c r="P69" s="113"/>
      <c r="Q69" s="113"/>
      <c r="R69" s="113"/>
      <c r="S69" s="113"/>
      <c r="T69" s="113"/>
      <c r="U69" s="113"/>
    </row>
    <row r="70" spans="1:21" ht="18" customHeight="1" x14ac:dyDescent="0.15">
      <c r="B70" s="99" t="s">
        <v>50</v>
      </c>
      <c r="C70" s="100"/>
      <c r="D70" s="100"/>
      <c r="E70" s="100"/>
      <c r="F70" s="47" t="s">
        <v>76</v>
      </c>
      <c r="G70" s="46" t="s">
        <v>79</v>
      </c>
      <c r="H70" s="14" t="s">
        <v>91</v>
      </c>
      <c r="I70" s="14" t="s">
        <v>71</v>
      </c>
      <c r="J70" s="14" t="s">
        <v>72</v>
      </c>
      <c r="K70" s="99" t="s">
        <v>50</v>
      </c>
      <c r="L70" s="100"/>
      <c r="M70" s="100"/>
      <c r="N70" s="100"/>
      <c r="O70" s="100"/>
      <c r="P70" s="101"/>
      <c r="Q70" s="47" t="s">
        <v>76</v>
      </c>
      <c r="R70" s="46" t="s">
        <v>79</v>
      </c>
      <c r="S70" s="14" t="s">
        <v>91</v>
      </c>
      <c r="T70" s="14" t="s">
        <v>71</v>
      </c>
      <c r="U70" s="14" t="s">
        <v>72</v>
      </c>
    </row>
    <row r="71" spans="1:21" ht="18" customHeight="1" x14ac:dyDescent="0.15">
      <c r="A71" s="74"/>
      <c r="B71" s="110" t="s">
        <v>153</v>
      </c>
      <c r="C71" s="111"/>
      <c r="D71" s="111"/>
      <c r="E71" s="111"/>
      <c r="F71" s="15">
        <v>2</v>
      </c>
      <c r="G71" s="15" t="s">
        <v>138</v>
      </c>
      <c r="H71" s="15" t="s">
        <v>138</v>
      </c>
      <c r="I71" s="15" t="s">
        <v>138</v>
      </c>
      <c r="J71" s="15" t="s">
        <v>138</v>
      </c>
      <c r="K71" s="110"/>
      <c r="L71" s="111"/>
      <c r="M71" s="111"/>
      <c r="N71" s="111"/>
      <c r="O71" s="111"/>
      <c r="P71" s="112"/>
      <c r="Q71" s="15"/>
      <c r="R71" s="15"/>
      <c r="S71" s="15"/>
      <c r="T71" s="15"/>
      <c r="U71" s="15"/>
    </row>
    <row r="72" spans="1:21" ht="18" customHeight="1" x14ac:dyDescent="0.15">
      <c r="A72" s="74"/>
      <c r="B72" s="102"/>
      <c r="C72" s="103"/>
      <c r="D72" s="103"/>
      <c r="E72" s="103"/>
      <c r="F72" s="16"/>
      <c r="G72" s="16"/>
      <c r="H72" s="16"/>
      <c r="I72" s="16"/>
      <c r="J72" s="16"/>
      <c r="K72" s="102"/>
      <c r="L72" s="103"/>
      <c r="M72" s="103"/>
      <c r="N72" s="103"/>
      <c r="O72" s="103"/>
      <c r="P72" s="104"/>
      <c r="Q72" s="16"/>
      <c r="R72" s="16"/>
      <c r="S72" s="16"/>
      <c r="T72" s="16"/>
      <c r="U72" s="16"/>
    </row>
    <row r="73" spans="1:21" ht="18" customHeight="1" x14ac:dyDescent="0.15">
      <c r="A73" s="74"/>
      <c r="B73" s="102"/>
      <c r="C73" s="103"/>
      <c r="D73" s="103"/>
      <c r="E73" s="103"/>
      <c r="F73" s="16"/>
      <c r="G73" s="16"/>
      <c r="H73" s="16"/>
      <c r="I73" s="16"/>
      <c r="J73" s="16"/>
      <c r="K73" s="102"/>
      <c r="L73" s="103"/>
      <c r="M73" s="103"/>
      <c r="N73" s="103"/>
      <c r="O73" s="103"/>
      <c r="P73" s="104"/>
      <c r="Q73" s="16"/>
      <c r="R73" s="16"/>
      <c r="S73" s="16"/>
      <c r="T73" s="16"/>
      <c r="U73" s="16"/>
    </row>
    <row r="74" spans="1:21" ht="18" customHeight="1" x14ac:dyDescent="0.15">
      <c r="A74" s="74"/>
      <c r="B74" s="102"/>
      <c r="C74" s="103"/>
      <c r="D74" s="103"/>
      <c r="E74" s="103"/>
      <c r="F74" s="16"/>
      <c r="G74" s="16"/>
      <c r="H74" s="16"/>
      <c r="I74" s="16"/>
      <c r="J74" s="16"/>
      <c r="K74" s="102"/>
      <c r="L74" s="103"/>
      <c r="M74" s="103"/>
      <c r="N74" s="103"/>
      <c r="O74" s="103"/>
      <c r="P74" s="104"/>
      <c r="Q74" s="16"/>
      <c r="R74" s="16"/>
      <c r="S74" s="16"/>
      <c r="T74" s="16"/>
      <c r="U74" s="16"/>
    </row>
    <row r="75" spans="1:21" ht="18" customHeight="1" x14ac:dyDescent="0.15">
      <c r="A75" s="74"/>
      <c r="B75" s="102"/>
      <c r="C75" s="103"/>
      <c r="D75" s="103"/>
      <c r="E75" s="103"/>
      <c r="F75" s="16"/>
      <c r="G75" s="16"/>
      <c r="H75" s="16"/>
      <c r="I75" s="16"/>
      <c r="J75" s="16"/>
      <c r="K75" s="102"/>
      <c r="L75" s="103"/>
      <c r="M75" s="103"/>
      <c r="N75" s="103"/>
      <c r="O75" s="103"/>
      <c r="P75" s="104"/>
      <c r="Q75" s="16"/>
      <c r="R75" s="16"/>
      <c r="S75" s="16"/>
      <c r="T75" s="16"/>
      <c r="U75" s="16"/>
    </row>
    <row r="76" spans="1:21" ht="18" customHeight="1" x14ac:dyDescent="0.15">
      <c r="A76" s="74"/>
      <c r="B76" s="102"/>
      <c r="C76" s="103"/>
      <c r="D76" s="103"/>
      <c r="E76" s="103"/>
      <c r="F76" s="16"/>
      <c r="G76" s="16"/>
      <c r="H76" s="16"/>
      <c r="I76" s="16"/>
      <c r="J76" s="16"/>
      <c r="K76" s="102"/>
      <c r="L76" s="103"/>
      <c r="M76" s="103"/>
      <c r="N76" s="103"/>
      <c r="O76" s="103"/>
      <c r="P76" s="104"/>
      <c r="Q76" s="16"/>
      <c r="R76" s="16"/>
      <c r="S76" s="16"/>
      <c r="T76" s="16"/>
      <c r="U76" s="16"/>
    </row>
    <row r="77" spans="1:21" ht="18" customHeight="1" x14ac:dyDescent="0.15">
      <c r="A77" s="74"/>
      <c r="B77" s="105"/>
      <c r="C77" s="106"/>
      <c r="D77" s="106"/>
      <c r="E77" s="106"/>
      <c r="F77" s="17"/>
      <c r="G77" s="17"/>
      <c r="H77" s="18"/>
      <c r="I77" s="18"/>
      <c r="J77" s="18"/>
      <c r="K77" s="105"/>
      <c r="L77" s="106"/>
      <c r="M77" s="106"/>
      <c r="N77" s="106"/>
      <c r="O77" s="106"/>
      <c r="P77" s="107"/>
      <c r="Q77" s="17"/>
      <c r="R77" s="17"/>
      <c r="S77" s="18"/>
      <c r="T77" s="18"/>
      <c r="U77" s="18"/>
    </row>
    <row r="78" spans="1:21" ht="7.5" customHeight="1" x14ac:dyDescent="0.15">
      <c r="B78" s="73"/>
      <c r="C78" s="73"/>
      <c r="D78" s="73"/>
      <c r="E78" s="73"/>
      <c r="F78" s="73"/>
      <c r="G78" s="73"/>
      <c r="H78" s="73"/>
      <c r="I78" s="73"/>
      <c r="J78" s="73"/>
      <c r="K78" s="73"/>
      <c r="L78" s="73"/>
      <c r="M78" s="73"/>
      <c r="N78" s="73"/>
      <c r="O78" s="73"/>
      <c r="P78" s="73"/>
      <c r="Q78" s="73"/>
      <c r="R78" s="73"/>
      <c r="S78" s="73"/>
      <c r="T78" s="73"/>
    </row>
    <row r="79" spans="1:21" ht="18" customHeight="1" x14ac:dyDescent="0.15">
      <c r="A79" s="75" t="s">
        <v>105</v>
      </c>
      <c r="I79" s="74"/>
      <c r="J79" s="74"/>
      <c r="K79" s="74"/>
      <c r="L79" s="74"/>
      <c r="M79" s="74"/>
      <c r="N79" s="74"/>
      <c r="O79" s="74"/>
      <c r="P79" s="74"/>
      <c r="Q79" s="74"/>
      <c r="R79" s="74"/>
      <c r="S79" s="74"/>
      <c r="T79" s="74"/>
      <c r="U79" s="74"/>
    </row>
    <row r="80" spans="1:21" ht="18" customHeight="1" x14ac:dyDescent="0.15">
      <c r="B80" s="99" t="s">
        <v>50</v>
      </c>
      <c r="C80" s="100"/>
      <c r="D80" s="100"/>
      <c r="E80" s="100"/>
      <c r="F80" s="101"/>
      <c r="G80" s="99" t="s">
        <v>77</v>
      </c>
      <c r="H80" s="100"/>
      <c r="I80" s="100"/>
      <c r="J80" s="101"/>
      <c r="K80" s="119" t="s">
        <v>50</v>
      </c>
      <c r="L80" s="120"/>
      <c r="M80" s="120"/>
      <c r="N80" s="120"/>
      <c r="O80" s="120"/>
      <c r="P80" s="120"/>
      <c r="Q80" s="121"/>
      <c r="R80" s="99" t="s">
        <v>77</v>
      </c>
      <c r="S80" s="100"/>
      <c r="T80" s="100"/>
      <c r="U80" s="101"/>
    </row>
    <row r="81" spans="1:21" ht="18" customHeight="1" x14ac:dyDescent="0.15">
      <c r="A81" s="74"/>
      <c r="B81" s="110" t="s">
        <v>153</v>
      </c>
      <c r="C81" s="111"/>
      <c r="D81" s="111"/>
      <c r="E81" s="111"/>
      <c r="F81" s="112"/>
      <c r="G81" s="114" t="s">
        <v>141</v>
      </c>
      <c r="H81" s="115"/>
      <c r="I81" s="115"/>
      <c r="J81" s="116"/>
      <c r="K81" s="110"/>
      <c r="L81" s="111"/>
      <c r="M81" s="111"/>
      <c r="N81" s="111"/>
      <c r="O81" s="111"/>
      <c r="P81" s="111"/>
      <c r="Q81" s="112"/>
      <c r="R81" s="114"/>
      <c r="S81" s="115"/>
      <c r="T81" s="115"/>
      <c r="U81" s="116"/>
    </row>
    <row r="82" spans="1:21" ht="18" customHeight="1" x14ac:dyDescent="0.15">
      <c r="A82" s="74"/>
      <c r="B82" s="102"/>
      <c r="C82" s="103"/>
      <c r="D82" s="103"/>
      <c r="E82" s="103"/>
      <c r="F82" s="104"/>
      <c r="G82" s="96"/>
      <c r="H82" s="97"/>
      <c r="I82" s="97"/>
      <c r="J82" s="98"/>
      <c r="K82" s="102"/>
      <c r="L82" s="103"/>
      <c r="M82" s="103"/>
      <c r="N82" s="103"/>
      <c r="O82" s="103"/>
      <c r="P82" s="103"/>
      <c r="Q82" s="104"/>
      <c r="R82" s="96"/>
      <c r="S82" s="97"/>
      <c r="T82" s="97"/>
      <c r="U82" s="98"/>
    </row>
    <row r="83" spans="1:21" ht="18" customHeight="1" x14ac:dyDescent="0.15">
      <c r="A83" s="74"/>
      <c r="B83" s="102"/>
      <c r="C83" s="103"/>
      <c r="D83" s="103"/>
      <c r="E83" s="103"/>
      <c r="F83" s="104"/>
      <c r="G83" s="96"/>
      <c r="H83" s="97"/>
      <c r="I83" s="97"/>
      <c r="J83" s="98"/>
      <c r="K83" s="102"/>
      <c r="L83" s="103"/>
      <c r="M83" s="103"/>
      <c r="N83" s="103"/>
      <c r="O83" s="103"/>
      <c r="P83" s="103"/>
      <c r="Q83" s="104"/>
      <c r="R83" s="96"/>
      <c r="S83" s="97"/>
      <c r="T83" s="97"/>
      <c r="U83" s="98"/>
    </row>
    <row r="84" spans="1:21" ht="18" customHeight="1" x14ac:dyDescent="0.15">
      <c r="A84" s="74"/>
      <c r="B84" s="102"/>
      <c r="C84" s="103"/>
      <c r="D84" s="103"/>
      <c r="E84" s="103"/>
      <c r="F84" s="104"/>
      <c r="G84" s="96"/>
      <c r="H84" s="97"/>
      <c r="I84" s="97"/>
      <c r="J84" s="98"/>
      <c r="K84" s="102"/>
      <c r="L84" s="103"/>
      <c r="M84" s="103"/>
      <c r="N84" s="103"/>
      <c r="O84" s="103"/>
      <c r="P84" s="103"/>
      <c r="Q84" s="104"/>
      <c r="R84" s="96"/>
      <c r="S84" s="97"/>
      <c r="T84" s="97"/>
      <c r="U84" s="98"/>
    </row>
    <row r="85" spans="1:21" ht="18" customHeight="1" x14ac:dyDescent="0.15">
      <c r="A85" s="74"/>
      <c r="B85" s="102"/>
      <c r="C85" s="103"/>
      <c r="D85" s="103"/>
      <c r="E85" s="103"/>
      <c r="F85" s="104"/>
      <c r="G85" s="96"/>
      <c r="H85" s="97"/>
      <c r="I85" s="97"/>
      <c r="J85" s="98"/>
      <c r="K85" s="102"/>
      <c r="L85" s="103"/>
      <c r="M85" s="103"/>
      <c r="N85" s="103"/>
      <c r="O85" s="103"/>
      <c r="P85" s="103"/>
      <c r="Q85" s="104"/>
      <c r="R85" s="96"/>
      <c r="S85" s="97"/>
      <c r="T85" s="97"/>
      <c r="U85" s="98"/>
    </row>
    <row r="86" spans="1:21" ht="18" customHeight="1" x14ac:dyDescent="0.15">
      <c r="A86" s="74"/>
      <c r="B86" s="102"/>
      <c r="C86" s="103"/>
      <c r="D86" s="103"/>
      <c r="E86" s="103"/>
      <c r="F86" s="104"/>
      <c r="G86" s="96"/>
      <c r="H86" s="97"/>
      <c r="I86" s="97"/>
      <c r="J86" s="98"/>
      <c r="K86" s="102"/>
      <c r="L86" s="103"/>
      <c r="M86" s="103"/>
      <c r="N86" s="103"/>
      <c r="O86" s="103"/>
      <c r="P86" s="103"/>
      <c r="Q86" s="104"/>
      <c r="R86" s="96"/>
      <c r="S86" s="97"/>
      <c r="T86" s="97"/>
      <c r="U86" s="98"/>
    </row>
    <row r="87" spans="1:21" ht="18" customHeight="1" x14ac:dyDescent="0.15">
      <c r="A87" s="74"/>
      <c r="B87" s="105"/>
      <c r="C87" s="106"/>
      <c r="D87" s="106"/>
      <c r="E87" s="106"/>
      <c r="F87" s="107"/>
      <c r="G87" s="137"/>
      <c r="H87" s="138"/>
      <c r="I87" s="138"/>
      <c r="J87" s="139"/>
      <c r="K87" s="105"/>
      <c r="L87" s="106"/>
      <c r="M87" s="106"/>
      <c r="N87" s="106"/>
      <c r="O87" s="106"/>
      <c r="P87" s="106"/>
      <c r="Q87" s="107"/>
      <c r="R87" s="137"/>
      <c r="S87" s="138"/>
      <c r="T87" s="138"/>
      <c r="U87" s="139"/>
    </row>
    <row r="88" spans="1:21" ht="18" customHeight="1" x14ac:dyDescent="0.15">
      <c r="A88" s="74"/>
      <c r="B88" s="5"/>
      <c r="C88" s="5"/>
      <c r="D88" s="5"/>
      <c r="E88" s="5"/>
      <c r="F88" s="5"/>
      <c r="G88" s="19"/>
      <c r="H88" s="19"/>
      <c r="I88" s="19"/>
      <c r="J88" s="19"/>
      <c r="K88" s="5"/>
      <c r="L88" s="5"/>
      <c r="M88" s="5"/>
      <c r="N88" s="5"/>
      <c r="O88" s="5"/>
      <c r="P88" s="5"/>
      <c r="Q88" s="5"/>
      <c r="R88" s="19"/>
      <c r="S88" s="19"/>
      <c r="T88" s="19"/>
      <c r="U88" s="19"/>
    </row>
    <row r="89" spans="1:21" ht="18.75" customHeight="1" x14ac:dyDescent="0.15">
      <c r="A89" s="75" t="s">
        <v>106</v>
      </c>
    </row>
    <row r="90" spans="1:21" ht="18.75" customHeight="1" x14ac:dyDescent="0.15">
      <c r="B90" s="140" t="s">
        <v>51</v>
      </c>
      <c r="C90" s="141"/>
      <c r="D90" s="99" t="s">
        <v>52</v>
      </c>
      <c r="E90" s="100"/>
      <c r="F90" s="100"/>
      <c r="G90" s="100"/>
      <c r="H90" s="100"/>
      <c r="I90" s="100"/>
      <c r="J90" s="100"/>
      <c r="K90" s="100"/>
      <c r="L90" s="100"/>
      <c r="M90" s="100"/>
      <c r="N90" s="100"/>
      <c r="O90" s="100"/>
      <c r="P90" s="100"/>
      <c r="Q90" s="100"/>
      <c r="R90" s="100"/>
      <c r="S90" s="100"/>
      <c r="T90" s="100"/>
      <c r="U90" s="101"/>
    </row>
    <row r="91" spans="1:21" ht="97.5" customHeight="1" x14ac:dyDescent="0.15">
      <c r="B91" s="117" t="s">
        <v>58</v>
      </c>
      <c r="C91" s="20" t="s">
        <v>53</v>
      </c>
      <c r="D91" s="164" t="s">
        <v>154</v>
      </c>
      <c r="E91" s="151"/>
      <c r="F91" s="151"/>
      <c r="G91" s="151"/>
      <c r="H91" s="151"/>
      <c r="I91" s="151"/>
      <c r="J91" s="151"/>
      <c r="K91" s="151"/>
      <c r="L91" s="151"/>
      <c r="M91" s="151"/>
      <c r="N91" s="151"/>
      <c r="O91" s="151"/>
      <c r="P91" s="151"/>
      <c r="Q91" s="151"/>
      <c r="R91" s="151"/>
      <c r="S91" s="151"/>
      <c r="T91" s="151"/>
      <c r="U91" s="152"/>
    </row>
    <row r="92" spans="1:21" ht="97.5" customHeight="1" x14ac:dyDescent="0.15">
      <c r="B92" s="122"/>
      <c r="C92" s="21" t="s">
        <v>73</v>
      </c>
      <c r="D92" s="147" t="s">
        <v>155</v>
      </c>
      <c r="E92" s="156"/>
      <c r="F92" s="156"/>
      <c r="G92" s="156"/>
      <c r="H92" s="156"/>
      <c r="I92" s="156"/>
      <c r="J92" s="156"/>
      <c r="K92" s="156"/>
      <c r="L92" s="156"/>
      <c r="M92" s="156"/>
      <c r="N92" s="156"/>
      <c r="O92" s="156"/>
      <c r="P92" s="156"/>
      <c r="Q92" s="156"/>
      <c r="R92" s="156"/>
      <c r="S92" s="156"/>
      <c r="T92" s="156"/>
      <c r="U92" s="157"/>
    </row>
    <row r="93" spans="1:21" ht="97.5" customHeight="1" x14ac:dyDescent="0.15">
      <c r="B93" s="117" t="s">
        <v>59</v>
      </c>
      <c r="C93" s="22" t="s">
        <v>67</v>
      </c>
      <c r="D93" s="150" t="s">
        <v>156</v>
      </c>
      <c r="E93" s="151"/>
      <c r="F93" s="151"/>
      <c r="G93" s="151"/>
      <c r="H93" s="151"/>
      <c r="I93" s="151"/>
      <c r="J93" s="151"/>
      <c r="K93" s="151"/>
      <c r="L93" s="151"/>
      <c r="M93" s="151"/>
      <c r="N93" s="151"/>
      <c r="O93" s="151"/>
      <c r="P93" s="151"/>
      <c r="Q93" s="151"/>
      <c r="R93" s="151"/>
      <c r="S93" s="151"/>
      <c r="T93" s="151"/>
      <c r="U93" s="152"/>
    </row>
    <row r="94" spans="1:21" ht="97.5" customHeight="1" x14ac:dyDescent="0.15">
      <c r="B94" s="118"/>
      <c r="C94" s="23" t="s">
        <v>68</v>
      </c>
      <c r="D94" s="147" t="s">
        <v>157</v>
      </c>
      <c r="E94" s="156"/>
      <c r="F94" s="156"/>
      <c r="G94" s="156"/>
      <c r="H94" s="156"/>
      <c r="I94" s="156"/>
      <c r="J94" s="156"/>
      <c r="K94" s="156"/>
      <c r="L94" s="156"/>
      <c r="M94" s="156"/>
      <c r="N94" s="156"/>
      <c r="O94" s="156"/>
      <c r="P94" s="156"/>
      <c r="Q94" s="156"/>
      <c r="R94" s="156"/>
      <c r="S94" s="156"/>
      <c r="T94" s="156"/>
      <c r="U94" s="157"/>
    </row>
    <row r="95" spans="1:21" ht="97.5" customHeight="1" x14ac:dyDescent="0.15">
      <c r="B95" s="117" t="s">
        <v>60</v>
      </c>
      <c r="C95" s="22" t="s">
        <v>69</v>
      </c>
      <c r="D95" s="150" t="s">
        <v>158</v>
      </c>
      <c r="E95" s="151"/>
      <c r="F95" s="151"/>
      <c r="G95" s="151"/>
      <c r="H95" s="151"/>
      <c r="I95" s="151"/>
      <c r="J95" s="151"/>
      <c r="K95" s="151"/>
      <c r="L95" s="151"/>
      <c r="M95" s="151"/>
      <c r="N95" s="151"/>
      <c r="O95" s="151"/>
      <c r="P95" s="151"/>
      <c r="Q95" s="151"/>
      <c r="R95" s="151"/>
      <c r="S95" s="151"/>
      <c r="T95" s="151"/>
      <c r="U95" s="152"/>
    </row>
    <row r="96" spans="1:21" ht="97.5" customHeight="1" x14ac:dyDescent="0.15">
      <c r="B96" s="118"/>
      <c r="C96" s="24" t="s">
        <v>70</v>
      </c>
      <c r="D96" s="147" t="s">
        <v>159</v>
      </c>
      <c r="E96" s="156"/>
      <c r="F96" s="156"/>
      <c r="G96" s="156"/>
      <c r="H96" s="156"/>
      <c r="I96" s="156"/>
      <c r="J96" s="156"/>
      <c r="K96" s="156"/>
      <c r="L96" s="156"/>
      <c r="M96" s="156"/>
      <c r="N96" s="156"/>
      <c r="O96" s="156"/>
      <c r="P96" s="156"/>
      <c r="Q96" s="156"/>
      <c r="R96" s="156"/>
      <c r="S96" s="156"/>
      <c r="T96" s="156"/>
      <c r="U96" s="157"/>
    </row>
    <row r="97" spans="1:33" ht="97.5" customHeight="1" x14ac:dyDescent="0.15">
      <c r="B97" s="117" t="s">
        <v>74</v>
      </c>
      <c r="C97" s="20" t="s">
        <v>55</v>
      </c>
      <c r="D97" s="150" t="s">
        <v>160</v>
      </c>
      <c r="E97" s="151"/>
      <c r="F97" s="151"/>
      <c r="G97" s="151"/>
      <c r="H97" s="151"/>
      <c r="I97" s="151"/>
      <c r="J97" s="151"/>
      <c r="K97" s="151"/>
      <c r="L97" s="151"/>
      <c r="M97" s="151"/>
      <c r="N97" s="151"/>
      <c r="O97" s="151"/>
      <c r="P97" s="151"/>
      <c r="Q97" s="151"/>
      <c r="R97" s="151"/>
      <c r="S97" s="151"/>
      <c r="T97" s="151"/>
      <c r="U97" s="152"/>
    </row>
    <row r="98" spans="1:33" ht="97.5" customHeight="1" x14ac:dyDescent="0.15">
      <c r="B98" s="118"/>
      <c r="C98" s="23" t="s">
        <v>57</v>
      </c>
      <c r="D98" s="147" t="s">
        <v>161</v>
      </c>
      <c r="E98" s="148"/>
      <c r="F98" s="148"/>
      <c r="G98" s="148"/>
      <c r="H98" s="148"/>
      <c r="I98" s="148"/>
      <c r="J98" s="148"/>
      <c r="K98" s="148"/>
      <c r="L98" s="148"/>
      <c r="M98" s="148"/>
      <c r="N98" s="148"/>
      <c r="O98" s="148"/>
      <c r="P98" s="148"/>
      <c r="Q98" s="148"/>
      <c r="R98" s="148"/>
      <c r="S98" s="148"/>
      <c r="T98" s="148"/>
      <c r="U98" s="149"/>
    </row>
    <row r="99" spans="1:33" ht="97.5" customHeight="1" x14ac:dyDescent="0.15">
      <c r="B99" s="117" t="s">
        <v>75</v>
      </c>
      <c r="C99" s="22" t="s">
        <v>54</v>
      </c>
      <c r="D99" s="150" t="s">
        <v>197</v>
      </c>
      <c r="E99" s="151"/>
      <c r="F99" s="151"/>
      <c r="G99" s="151"/>
      <c r="H99" s="151"/>
      <c r="I99" s="151"/>
      <c r="J99" s="151"/>
      <c r="K99" s="151"/>
      <c r="L99" s="151"/>
      <c r="M99" s="151"/>
      <c r="N99" s="151"/>
      <c r="O99" s="151"/>
      <c r="P99" s="151"/>
      <c r="Q99" s="151"/>
      <c r="R99" s="151"/>
      <c r="S99" s="151"/>
      <c r="T99" s="151"/>
      <c r="U99" s="152"/>
    </row>
    <row r="100" spans="1:33" ht="97.5" customHeight="1" x14ac:dyDescent="0.15">
      <c r="B100" s="122"/>
      <c r="C100" s="25" t="s">
        <v>71</v>
      </c>
      <c r="D100" s="153" t="s">
        <v>162</v>
      </c>
      <c r="E100" s="154"/>
      <c r="F100" s="154"/>
      <c r="G100" s="154"/>
      <c r="H100" s="154"/>
      <c r="I100" s="154"/>
      <c r="J100" s="154"/>
      <c r="K100" s="154"/>
      <c r="L100" s="154"/>
      <c r="M100" s="154"/>
      <c r="N100" s="154"/>
      <c r="O100" s="154"/>
      <c r="P100" s="154"/>
      <c r="Q100" s="154"/>
      <c r="R100" s="154"/>
      <c r="S100" s="154"/>
      <c r="T100" s="154"/>
      <c r="U100" s="155"/>
    </row>
    <row r="101" spans="1:33" ht="97.5" customHeight="1" x14ac:dyDescent="0.15">
      <c r="B101" s="118"/>
      <c r="C101" s="24" t="s">
        <v>72</v>
      </c>
      <c r="D101" s="147" t="s">
        <v>163</v>
      </c>
      <c r="E101" s="156"/>
      <c r="F101" s="156"/>
      <c r="G101" s="156"/>
      <c r="H101" s="156"/>
      <c r="I101" s="156"/>
      <c r="J101" s="156"/>
      <c r="K101" s="156"/>
      <c r="L101" s="156"/>
      <c r="M101" s="156"/>
      <c r="N101" s="156"/>
      <c r="O101" s="156"/>
      <c r="P101" s="156"/>
      <c r="Q101" s="156"/>
      <c r="R101" s="156"/>
      <c r="S101" s="156"/>
      <c r="T101" s="156"/>
      <c r="U101" s="157"/>
    </row>
    <row r="102" spans="1:33" ht="6" customHeight="1" x14ac:dyDescent="0.15"/>
    <row r="103" spans="1:33" ht="18.75" customHeight="1" x14ac:dyDescent="0.15">
      <c r="A103" s="75" t="s">
        <v>107</v>
      </c>
    </row>
    <row r="104" spans="1:33" ht="81.75" customHeight="1" x14ac:dyDescent="0.15">
      <c r="B104" s="134" t="s">
        <v>164</v>
      </c>
      <c r="C104" s="135"/>
      <c r="D104" s="135"/>
      <c r="E104" s="135"/>
      <c r="F104" s="135"/>
      <c r="G104" s="135"/>
      <c r="H104" s="135"/>
      <c r="I104" s="135"/>
      <c r="J104" s="135"/>
      <c r="K104" s="135"/>
      <c r="L104" s="135"/>
      <c r="M104" s="135"/>
      <c r="N104" s="135"/>
      <c r="O104" s="135"/>
      <c r="P104" s="135"/>
      <c r="Q104" s="135"/>
      <c r="R104" s="135"/>
      <c r="S104" s="135"/>
      <c r="T104" s="135"/>
      <c r="U104" s="136"/>
    </row>
    <row r="106" spans="1:33" ht="18.75" customHeight="1" x14ac:dyDescent="0.15">
      <c r="A106" s="81" t="s">
        <v>123</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81" t="s">
        <v>125</v>
      </c>
      <c r="B107" s="81"/>
      <c r="C107" s="81"/>
      <c r="D107" s="81"/>
      <c r="E107" s="81"/>
      <c r="F107" s="81"/>
      <c r="G107" s="81"/>
      <c r="H107" s="81"/>
      <c r="I107" s="81"/>
      <c r="J107" s="81"/>
      <c r="K107" s="81"/>
      <c r="L107" s="81"/>
      <c r="M107" s="81"/>
      <c r="N107" s="81"/>
      <c r="O107" s="81"/>
      <c r="P107" s="81"/>
      <c r="Q107" s="81"/>
      <c r="R107" s="81"/>
      <c r="S107" s="81"/>
      <c r="T107" s="81"/>
      <c r="U107" s="81"/>
      <c r="V107" s="2"/>
      <c r="W107" s="2"/>
      <c r="X107" s="2"/>
      <c r="Y107" s="2"/>
      <c r="Z107" s="2"/>
      <c r="AA107" s="2"/>
      <c r="AB107" s="2"/>
      <c r="AC107" s="2"/>
      <c r="AD107" s="2"/>
      <c r="AE107" s="2"/>
      <c r="AF107" s="2"/>
      <c r="AG107" s="2"/>
    </row>
    <row r="108" spans="1:33" ht="18.75" customHeight="1" x14ac:dyDescent="0.15">
      <c r="A108" s="81"/>
      <c r="B108" s="146" t="s">
        <v>129</v>
      </c>
      <c r="C108" s="146"/>
      <c r="D108" s="146"/>
      <c r="E108" s="146"/>
      <c r="F108" s="146"/>
      <c r="G108" s="146"/>
      <c r="H108" s="146"/>
      <c r="I108" s="146"/>
      <c r="J108" s="146"/>
      <c r="K108" s="146"/>
      <c r="L108" s="146"/>
      <c r="M108" s="146"/>
      <c r="N108" s="146"/>
      <c r="O108" s="146"/>
      <c r="P108" s="146"/>
      <c r="Q108" s="146"/>
      <c r="R108" s="146"/>
      <c r="S108" s="146"/>
      <c r="T108" s="146"/>
      <c r="U108" s="146"/>
      <c r="V108" s="66"/>
      <c r="W108" s="66"/>
      <c r="X108" s="66"/>
      <c r="Y108" s="66"/>
      <c r="Z108" s="66"/>
      <c r="AA108" s="66"/>
      <c r="AB108" s="66"/>
      <c r="AC108" s="66"/>
      <c r="AD108" s="66"/>
      <c r="AE108" s="66"/>
      <c r="AF108" s="66"/>
      <c r="AG108" s="66"/>
    </row>
    <row r="109" spans="1:33" ht="37.15" customHeight="1" x14ac:dyDescent="0.15">
      <c r="A109" s="81"/>
      <c r="B109" s="146"/>
      <c r="C109" s="146"/>
      <c r="D109" s="146"/>
      <c r="E109" s="146"/>
      <c r="F109" s="146"/>
      <c r="G109" s="146"/>
      <c r="H109" s="146"/>
      <c r="I109" s="146"/>
      <c r="J109" s="146"/>
      <c r="K109" s="146"/>
      <c r="L109" s="146"/>
      <c r="M109" s="146"/>
      <c r="N109" s="146"/>
      <c r="O109" s="146"/>
      <c r="P109" s="146"/>
      <c r="Q109" s="146"/>
      <c r="R109" s="146"/>
      <c r="S109" s="146"/>
      <c r="T109" s="146"/>
      <c r="U109" s="146"/>
      <c r="V109" s="66"/>
      <c r="W109" s="66"/>
      <c r="X109" s="66"/>
      <c r="Y109" s="66"/>
      <c r="Z109" s="66"/>
      <c r="AA109" s="66"/>
      <c r="AB109" s="66"/>
      <c r="AC109" s="66"/>
      <c r="AD109" s="66"/>
      <c r="AE109" s="66"/>
      <c r="AF109" s="66"/>
      <c r="AG109" s="66"/>
    </row>
    <row r="110" spans="1:33" ht="18.75" customHeight="1" x14ac:dyDescent="0.15">
      <c r="A110" s="81"/>
      <c r="B110" s="95" t="s">
        <v>124</v>
      </c>
      <c r="C110" s="95"/>
      <c r="D110" s="95"/>
      <c r="E110" s="95"/>
      <c r="F110" s="95"/>
      <c r="G110" s="95"/>
      <c r="H110" s="95"/>
      <c r="I110" s="95"/>
      <c r="J110" s="95"/>
      <c r="K110" s="95"/>
      <c r="L110" s="95"/>
      <c r="M110" s="95"/>
      <c r="N110" s="95"/>
      <c r="O110" s="95"/>
      <c r="P110" s="95"/>
      <c r="Q110" s="95"/>
      <c r="R110" s="95"/>
      <c r="S110" s="95"/>
      <c r="T110" s="95"/>
      <c r="U110" s="95"/>
      <c r="V110" s="66"/>
      <c r="W110" s="66"/>
      <c r="X110" s="66"/>
      <c r="Y110" s="66"/>
      <c r="Z110" s="66"/>
      <c r="AA110" s="66"/>
      <c r="AB110" s="66"/>
      <c r="AC110" s="66"/>
      <c r="AD110" s="66"/>
      <c r="AE110" s="66"/>
      <c r="AF110" s="66"/>
      <c r="AG110" s="66"/>
    </row>
    <row r="111" spans="1:33" ht="18.75" customHeight="1" x14ac:dyDescent="0.15">
      <c r="A111" s="81"/>
      <c r="B111" s="108" t="s">
        <v>52</v>
      </c>
      <c r="C111" s="108"/>
      <c r="D111" s="108"/>
      <c r="E111" s="108"/>
      <c r="F111" s="108"/>
      <c r="G111" s="108"/>
      <c r="H111" s="108"/>
      <c r="I111" s="108"/>
      <c r="J111" s="108"/>
      <c r="K111" s="108"/>
      <c r="L111" s="108"/>
      <c r="M111" s="108"/>
      <c r="N111" s="108"/>
      <c r="O111" s="108"/>
      <c r="P111" s="108"/>
      <c r="Q111" s="108"/>
      <c r="R111" s="108"/>
      <c r="S111" s="108"/>
      <c r="T111" s="108"/>
      <c r="U111" s="108"/>
      <c r="V111" s="65"/>
      <c r="W111" s="65"/>
      <c r="X111" s="65"/>
      <c r="Y111" s="65"/>
      <c r="Z111" s="65"/>
      <c r="AA111" s="65"/>
      <c r="AB111" s="65"/>
      <c r="AC111" s="65"/>
      <c r="AD111" s="65"/>
      <c r="AE111" s="65"/>
      <c r="AF111" s="65"/>
      <c r="AG111" s="65"/>
    </row>
    <row r="112" spans="1:33" ht="132" customHeight="1" x14ac:dyDescent="0.15">
      <c r="A112" s="81"/>
      <c r="B112" s="109" t="s">
        <v>165</v>
      </c>
      <c r="C112" s="109"/>
      <c r="D112" s="109"/>
      <c r="E112" s="109"/>
      <c r="F112" s="109"/>
      <c r="G112" s="109"/>
      <c r="H112" s="109"/>
      <c r="I112" s="109"/>
      <c r="J112" s="109"/>
      <c r="K112" s="109"/>
      <c r="L112" s="109"/>
      <c r="M112" s="109"/>
      <c r="N112" s="109"/>
      <c r="O112" s="109"/>
      <c r="P112" s="109"/>
      <c r="Q112" s="109"/>
      <c r="R112" s="109"/>
      <c r="S112" s="109"/>
      <c r="T112" s="109"/>
      <c r="U112" s="109"/>
      <c r="V112" s="67"/>
      <c r="W112" s="67"/>
      <c r="X112" s="67"/>
      <c r="Y112" s="67"/>
      <c r="Z112" s="67"/>
      <c r="AA112" s="67"/>
      <c r="AB112" s="67"/>
      <c r="AC112" s="67"/>
      <c r="AD112" s="67"/>
      <c r="AE112" s="67"/>
      <c r="AF112" s="67"/>
      <c r="AG112" s="67"/>
    </row>
    <row r="114" ht="18" customHeight="1" x14ac:dyDescent="0.15"/>
  </sheetData>
  <mergeCells count="148">
    <mergeCell ref="B108:U109"/>
    <mergeCell ref="D98:U98"/>
    <mergeCell ref="D99:U99"/>
    <mergeCell ref="D100:U100"/>
    <mergeCell ref="D101:U101"/>
    <mergeCell ref="N22:U22"/>
    <mergeCell ref="L7:U7"/>
    <mergeCell ref="D90:U90"/>
    <mergeCell ref="D91:U91"/>
    <mergeCell ref="D92:U92"/>
    <mergeCell ref="D93:U93"/>
    <mergeCell ref="D94:U94"/>
    <mergeCell ref="D95:U95"/>
    <mergeCell ref="D96:U96"/>
    <mergeCell ref="D97:U97"/>
    <mergeCell ref="B11:U12"/>
    <mergeCell ref="K62:Q62"/>
    <mergeCell ref="K63:Q63"/>
    <mergeCell ref="K64:Q64"/>
    <mergeCell ref="K65:Q65"/>
    <mergeCell ref="K66:Q66"/>
    <mergeCell ref="B70:E70"/>
    <mergeCell ref="B60:F60"/>
    <mergeCell ref="B61:F61"/>
    <mergeCell ref="K37:Q37"/>
    <mergeCell ref="B62:F62"/>
    <mergeCell ref="B63:F63"/>
    <mergeCell ref="B64:F64"/>
    <mergeCell ref="K48:Q48"/>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K55:Q55"/>
    <mergeCell ref="B95:B96"/>
    <mergeCell ref="B91:B92"/>
    <mergeCell ref="K71:P71"/>
    <mergeCell ref="K72:P72"/>
    <mergeCell ref="K73:P73"/>
    <mergeCell ref="B84:F84"/>
    <mergeCell ref="G83:J83"/>
    <mergeCell ref="G84:J84"/>
    <mergeCell ref="K83:Q83"/>
    <mergeCell ref="K84:Q84"/>
    <mergeCell ref="B75:E75"/>
    <mergeCell ref="B76:E76"/>
    <mergeCell ref="B77:E77"/>
    <mergeCell ref="K74:P74"/>
    <mergeCell ref="K75:P75"/>
    <mergeCell ref="K76:P76"/>
    <mergeCell ref="A57:U58"/>
    <mergeCell ref="K77:P77"/>
    <mergeCell ref="A68:U69"/>
    <mergeCell ref="K81:Q81"/>
    <mergeCell ref="R81:U81"/>
    <mergeCell ref="R80:U80"/>
    <mergeCell ref="B81:F81"/>
    <mergeCell ref="K61:Q61"/>
    <mergeCell ref="B80:F80"/>
    <mergeCell ref="G81:J81"/>
    <mergeCell ref="B110:U110"/>
    <mergeCell ref="R83:U83"/>
    <mergeCell ref="K70:P70"/>
    <mergeCell ref="B65:F65"/>
    <mergeCell ref="B66:F66"/>
    <mergeCell ref="B111:U111"/>
    <mergeCell ref="B112:U112"/>
    <mergeCell ref="K39:Q39"/>
    <mergeCell ref="K40:Q40"/>
    <mergeCell ref="K59:Q59"/>
    <mergeCell ref="K60:Q60"/>
    <mergeCell ref="B73:E73"/>
    <mergeCell ref="B74:E74"/>
    <mergeCell ref="B40:F40"/>
    <mergeCell ref="B41:F41"/>
    <mergeCell ref="B42:F42"/>
    <mergeCell ref="B43:F43"/>
    <mergeCell ref="B44:F44"/>
    <mergeCell ref="K49:Q49"/>
    <mergeCell ref="K50:Q50"/>
    <mergeCell ref="K51:Q51"/>
    <mergeCell ref="K52:Q52"/>
    <mergeCell ref="K53:Q53"/>
    <mergeCell ref="K54:Q54"/>
  </mergeCells>
  <phoneticPr fontId="1"/>
  <conditionalFormatting sqref="B11:U12">
    <cfRule type="expression" dxfId="3" priority="1">
      <formula>$L$7="学部・学科によって、修了要件は相違しない"</formula>
    </cfRule>
    <cfRule type="expression" dxfId="2" priority="2">
      <formula>$L$9="学部・学科によって、修了要件は相違しない"</formula>
    </cfRule>
  </conditionalFormatting>
  <dataValidations count="5">
    <dataValidation type="list" allowBlank="1" showInputMessage="1" showErrorMessage="1" sqref="H27:J33 S27:U33 H38:J44 S38:U44 H49:J55 S49:U55 H60:J66 S60:U66 G71:J77 R71:U77" xr:uid="{108C485E-C4B3-4E0B-8CB4-B23C7427A9C2}">
      <formula1>"○"</formula1>
    </dataValidation>
    <dataValidation type="list" allowBlank="1" showInputMessage="1" showErrorMessage="1" sqref="U34 U45 E34:H34 E45:H45" xr:uid="{BE813BB6-86AF-40BA-A659-08EF0F413327}">
      <formula1>"全学開講,一部開講"</formula1>
    </dataValidation>
    <dataValidation type="list" allowBlank="1" showInputMessage="1" showErrorMessage="1" sqref="L14 L7:U7" xr:uid="{31ED60E2-325D-43C7-AA51-BCE41A1C6C33}">
      <formula1>"学部・学科によって、修了要件は相違する,学部・学科によって、修了要件は相違しない"</formula1>
    </dataValidation>
    <dataValidation type="list" allowBlank="1" showInputMessage="1" showErrorMessage="1" sqref="G81:G88 R81:R88 H81:J82 H85:J88 S85:U88 S81:U82" xr:uid="{487D125E-3E41-4C73-8C9C-29F54CA57091}">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0451726B-2E6A-4324-9915-D431B6126F1A}">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117089-6719-4847-A7B2-F5E67F249AF8}">
  <sheetPr>
    <pageSetUpPr fitToPage="1"/>
  </sheetPr>
  <dimension ref="A1:AG114"/>
  <sheetViews>
    <sheetView showZeros="0" view="pageBreakPreview" zoomScaleNormal="100" zoomScaleSheetLayoutView="100" workbookViewId="0">
      <selection activeCell="D100" sqref="D100:U100"/>
    </sheetView>
  </sheetViews>
  <sheetFormatPr defaultColWidth="9" defaultRowHeight="18.75" customHeight="1" x14ac:dyDescent="0.15"/>
  <cols>
    <col min="1" max="1" width="2.5" style="91" customWidth="1"/>
    <col min="2" max="2" width="16.5" style="91" customWidth="1"/>
    <col min="3" max="21" width="5.625" style="91" customWidth="1"/>
    <col min="22" max="22" width="9" style="91"/>
    <col min="23" max="23" width="3.625" style="91" customWidth="1"/>
    <col min="24" max="24" width="48.625" style="91" hidden="1" customWidth="1"/>
    <col min="25" max="16384" width="9" style="91"/>
  </cols>
  <sheetData>
    <row r="1" spans="1:24" ht="18.600000000000001" customHeight="1" x14ac:dyDescent="0.15">
      <c r="A1" s="76"/>
      <c r="B1" s="76"/>
      <c r="C1" s="76"/>
      <c r="D1" s="76"/>
      <c r="E1" s="76"/>
      <c r="F1" s="76"/>
      <c r="G1" s="76"/>
      <c r="H1" s="76"/>
      <c r="I1" s="76"/>
      <c r="J1" s="76"/>
      <c r="K1" s="76"/>
      <c r="L1" s="76"/>
      <c r="M1" s="76"/>
      <c r="N1" s="76"/>
      <c r="O1" s="76"/>
      <c r="P1" s="76"/>
      <c r="Q1" s="76"/>
      <c r="R1" s="76"/>
      <c r="S1" s="76"/>
      <c r="T1" s="142" t="s">
        <v>134</v>
      </c>
      <c r="U1" s="142"/>
      <c r="V1" s="2" t="s">
        <v>98</v>
      </c>
    </row>
    <row r="2" spans="1:24" ht="18.75" customHeight="1" x14ac:dyDescent="0.15">
      <c r="A2" s="76"/>
      <c r="B2" s="89" t="s">
        <v>97</v>
      </c>
      <c r="C2" s="143" t="s">
        <v>135</v>
      </c>
      <c r="D2" s="144"/>
      <c r="E2" s="144"/>
      <c r="F2" s="144"/>
      <c r="G2" s="144"/>
      <c r="H2" s="144"/>
      <c r="I2" s="144"/>
      <c r="J2" s="145"/>
      <c r="K2" s="88"/>
      <c r="L2" s="78"/>
      <c r="M2" s="78"/>
      <c r="N2" s="78"/>
      <c r="O2" s="78"/>
      <c r="P2" s="78"/>
      <c r="Q2" s="78"/>
      <c r="R2" s="78"/>
      <c r="S2" s="78"/>
      <c r="T2" s="78"/>
      <c r="U2" s="78"/>
    </row>
    <row r="3" spans="1:24" ht="18.75" customHeight="1" x14ac:dyDescent="0.15">
      <c r="A3" s="76"/>
      <c r="B3" s="89" t="s">
        <v>92</v>
      </c>
      <c r="C3" s="143" t="s">
        <v>136</v>
      </c>
      <c r="D3" s="144"/>
      <c r="E3" s="144"/>
      <c r="F3" s="144"/>
      <c r="G3" s="144"/>
      <c r="H3" s="144"/>
      <c r="I3" s="144"/>
      <c r="J3" s="145"/>
      <c r="K3" s="88"/>
      <c r="L3" s="78"/>
      <c r="M3" s="78"/>
      <c r="N3" s="78"/>
      <c r="O3" s="78"/>
      <c r="P3" s="78"/>
      <c r="Q3" s="78"/>
      <c r="R3" s="78"/>
      <c r="S3" s="78"/>
      <c r="T3" s="78"/>
      <c r="U3" s="78"/>
    </row>
    <row r="4" spans="1:24" ht="15" customHeight="1" x14ac:dyDescent="0.15">
      <c r="A4" s="76"/>
      <c r="B4" s="76"/>
      <c r="C4" s="76"/>
      <c r="D4" s="76"/>
      <c r="E4" s="76"/>
      <c r="F4" s="76"/>
      <c r="G4" s="76"/>
      <c r="H4" s="76"/>
      <c r="I4" s="76"/>
      <c r="J4" s="76"/>
      <c r="K4" s="76"/>
      <c r="L4" s="88"/>
      <c r="M4" s="79"/>
      <c r="N4" s="79"/>
      <c r="O4" s="79"/>
      <c r="P4" s="79"/>
      <c r="Q4" s="79"/>
      <c r="R4" s="79"/>
      <c r="S4" s="79"/>
      <c r="T4" s="79"/>
      <c r="U4" s="79"/>
    </row>
    <row r="5" spans="1:24" ht="18" customHeight="1" x14ac:dyDescent="0.15">
      <c r="A5" s="123" t="s">
        <v>36</v>
      </c>
      <c r="B5" s="123"/>
      <c r="C5" s="123"/>
      <c r="D5" s="123"/>
      <c r="E5" s="123"/>
      <c r="F5" s="123"/>
      <c r="G5" s="123"/>
      <c r="H5" s="123"/>
      <c r="I5" s="123"/>
      <c r="J5" s="123"/>
      <c r="K5" s="123"/>
      <c r="L5" s="123"/>
      <c r="M5" s="123"/>
      <c r="N5" s="123"/>
      <c r="O5" s="123"/>
      <c r="P5" s="123"/>
      <c r="Q5" s="123"/>
      <c r="R5" s="123"/>
      <c r="S5" s="123"/>
      <c r="T5" s="123"/>
      <c r="U5" s="123"/>
    </row>
    <row r="6" spans="1:24" ht="15" customHeight="1" x14ac:dyDescent="0.15">
      <c r="A6" s="76"/>
      <c r="B6" s="80"/>
      <c r="C6" s="80"/>
      <c r="D6" s="80"/>
      <c r="E6" s="80"/>
      <c r="F6" s="80"/>
      <c r="G6" s="80"/>
      <c r="H6" s="80"/>
      <c r="I6" s="80"/>
      <c r="J6" s="80"/>
      <c r="K6" s="80"/>
      <c r="L6" s="80"/>
      <c r="M6" s="80"/>
      <c r="N6" s="80"/>
      <c r="O6" s="80"/>
      <c r="P6" s="80"/>
      <c r="Q6" s="80"/>
      <c r="R6" s="80"/>
      <c r="S6" s="80"/>
      <c r="T6" s="80"/>
      <c r="U6" s="80"/>
    </row>
    <row r="7" spans="1:24" ht="15" customHeight="1" x14ac:dyDescent="0.15">
      <c r="A7" s="76" t="s">
        <v>130</v>
      </c>
      <c r="B7" s="80"/>
      <c r="C7" s="80"/>
      <c r="D7" s="80"/>
      <c r="E7" s="80"/>
      <c r="F7" s="81"/>
      <c r="G7" s="81"/>
      <c r="H7" s="81"/>
      <c r="I7" s="81"/>
      <c r="J7" s="81"/>
      <c r="K7" s="81"/>
      <c r="L7" s="161" t="s">
        <v>128</v>
      </c>
      <c r="M7" s="162"/>
      <c r="N7" s="162"/>
      <c r="O7" s="162"/>
      <c r="P7" s="162"/>
      <c r="Q7" s="162"/>
      <c r="R7" s="162"/>
      <c r="S7" s="162"/>
      <c r="T7" s="162"/>
      <c r="U7" s="163"/>
    </row>
    <row r="8" spans="1:24" ht="6" customHeight="1" x14ac:dyDescent="0.15">
      <c r="A8" s="76"/>
      <c r="B8" s="80"/>
      <c r="C8" s="80"/>
      <c r="D8" s="80"/>
      <c r="E8" s="80"/>
      <c r="F8" s="80"/>
      <c r="G8" s="80"/>
      <c r="H8" s="80"/>
      <c r="I8" s="80"/>
      <c r="J8" s="80"/>
      <c r="K8" s="80"/>
      <c r="L8" s="80"/>
      <c r="M8" s="80"/>
      <c r="N8" s="80"/>
      <c r="O8" s="80"/>
      <c r="P8" s="80"/>
      <c r="Q8" s="80"/>
      <c r="R8" s="80"/>
      <c r="S8" s="80"/>
      <c r="T8" s="80"/>
      <c r="U8" s="80"/>
    </row>
    <row r="9" spans="1:24" ht="18" customHeight="1" x14ac:dyDescent="0.15">
      <c r="A9" s="76" t="s">
        <v>131</v>
      </c>
      <c r="B9" s="76"/>
      <c r="C9" s="80"/>
      <c r="D9" s="80"/>
      <c r="E9" s="76"/>
      <c r="F9" s="76"/>
      <c r="G9" s="76"/>
      <c r="H9" s="76"/>
      <c r="I9" s="76"/>
      <c r="J9" s="76"/>
      <c r="K9" s="88"/>
      <c r="L9" s="81"/>
      <c r="M9" s="81"/>
      <c r="N9" s="81"/>
      <c r="O9" s="81"/>
      <c r="P9" s="81"/>
      <c r="Q9" s="81"/>
      <c r="R9" s="81"/>
      <c r="S9" s="81"/>
      <c r="T9" s="81"/>
      <c r="U9" s="81"/>
    </row>
    <row r="10" spans="1:24" ht="6" customHeight="1" x14ac:dyDescent="0.15">
      <c r="A10" s="76"/>
      <c r="B10" s="80"/>
      <c r="C10" s="80"/>
      <c r="D10" s="80"/>
      <c r="E10" s="80"/>
      <c r="F10" s="80"/>
      <c r="G10" s="80"/>
      <c r="H10" s="80"/>
      <c r="I10" s="80"/>
      <c r="J10" s="80"/>
      <c r="K10" s="80"/>
      <c r="L10" s="82"/>
      <c r="M10" s="80"/>
      <c r="N10" s="80"/>
      <c r="O10" s="80"/>
      <c r="P10" s="80"/>
      <c r="Q10" s="80"/>
      <c r="R10" s="80"/>
      <c r="S10" s="80"/>
      <c r="T10" s="80"/>
      <c r="U10" s="80"/>
    </row>
    <row r="11" spans="1:24" ht="18" customHeight="1" x14ac:dyDescent="0.15">
      <c r="A11" s="76"/>
      <c r="B11" s="165" t="s">
        <v>137</v>
      </c>
      <c r="C11" s="166"/>
      <c r="D11" s="166"/>
      <c r="E11" s="166"/>
      <c r="F11" s="166"/>
      <c r="G11" s="166"/>
      <c r="H11" s="166"/>
      <c r="I11" s="166"/>
      <c r="J11" s="166"/>
      <c r="K11" s="166"/>
      <c r="L11" s="166"/>
      <c r="M11" s="166"/>
      <c r="N11" s="166"/>
      <c r="O11" s="166"/>
      <c r="P11" s="166"/>
      <c r="Q11" s="166"/>
      <c r="R11" s="166"/>
      <c r="S11" s="166"/>
      <c r="T11" s="166"/>
      <c r="U11" s="167"/>
    </row>
    <row r="12" spans="1:24" ht="18" customHeight="1" x14ac:dyDescent="0.15">
      <c r="A12" s="76"/>
      <c r="B12" s="168"/>
      <c r="C12" s="169"/>
      <c r="D12" s="169"/>
      <c r="E12" s="169"/>
      <c r="F12" s="169"/>
      <c r="G12" s="169"/>
      <c r="H12" s="169"/>
      <c r="I12" s="169"/>
      <c r="J12" s="169"/>
      <c r="K12" s="169"/>
      <c r="L12" s="169"/>
      <c r="M12" s="169"/>
      <c r="N12" s="169"/>
      <c r="O12" s="169"/>
      <c r="P12" s="169"/>
      <c r="Q12" s="169"/>
      <c r="R12" s="169"/>
      <c r="S12" s="169"/>
      <c r="T12" s="169"/>
      <c r="U12" s="170"/>
    </row>
    <row r="13" spans="1:24" ht="6" customHeight="1" x14ac:dyDescent="0.15">
      <c r="A13" s="76"/>
      <c r="B13" s="80"/>
      <c r="C13" s="80"/>
      <c r="D13" s="80"/>
      <c r="E13" s="80"/>
      <c r="F13" s="80"/>
      <c r="G13" s="80"/>
      <c r="H13" s="80"/>
      <c r="I13" s="80"/>
      <c r="J13" s="80"/>
      <c r="K13" s="80"/>
      <c r="L13" s="82"/>
      <c r="M13" s="80"/>
      <c r="N13" s="80"/>
      <c r="O13" s="80"/>
      <c r="P13" s="80"/>
      <c r="Q13" s="80"/>
      <c r="R13" s="80"/>
      <c r="S13" s="80"/>
      <c r="T13" s="80"/>
      <c r="U13" s="80"/>
    </row>
    <row r="14" spans="1:24" ht="18" customHeight="1" x14ac:dyDescent="0.15">
      <c r="A14" s="76" t="s">
        <v>99</v>
      </c>
      <c r="B14" s="80"/>
      <c r="C14" s="80"/>
      <c r="D14" s="80"/>
      <c r="E14" s="88"/>
      <c r="F14" s="88"/>
      <c r="G14" s="88"/>
      <c r="H14" s="88"/>
      <c r="I14" s="88"/>
      <c r="J14" s="88"/>
      <c r="K14" s="88"/>
      <c r="L14" s="83"/>
      <c r="M14" s="83"/>
      <c r="N14" s="83"/>
      <c r="O14" s="83"/>
      <c r="P14" s="83"/>
      <c r="Q14" s="83"/>
      <c r="R14" s="83"/>
      <c r="S14" s="83"/>
      <c r="T14" s="83"/>
      <c r="U14" s="83"/>
    </row>
    <row r="15" spans="1:24" ht="18" customHeight="1" x14ac:dyDescent="0.15">
      <c r="A15" s="76"/>
      <c r="B15" s="124" t="s">
        <v>196</v>
      </c>
      <c r="C15" s="125"/>
      <c r="D15" s="125"/>
      <c r="E15" s="125"/>
      <c r="F15" s="125"/>
      <c r="G15" s="125"/>
      <c r="H15" s="125"/>
      <c r="I15" s="125"/>
      <c r="J15" s="125"/>
      <c r="K15" s="125"/>
      <c r="L15" s="125"/>
      <c r="M15" s="125"/>
      <c r="N15" s="125"/>
      <c r="O15" s="125"/>
      <c r="P15" s="125"/>
      <c r="Q15" s="125"/>
      <c r="R15" s="125"/>
      <c r="S15" s="125"/>
      <c r="T15" s="125"/>
      <c r="U15" s="126"/>
      <c r="X15" s="91" t="s">
        <v>93</v>
      </c>
    </row>
    <row r="16" spans="1:24" ht="18" customHeight="1" x14ac:dyDescent="0.15">
      <c r="A16" s="76"/>
      <c r="B16" s="127"/>
      <c r="C16" s="128"/>
      <c r="D16" s="128"/>
      <c r="E16" s="128"/>
      <c r="F16" s="128"/>
      <c r="G16" s="128"/>
      <c r="H16" s="128"/>
      <c r="I16" s="128"/>
      <c r="J16" s="128"/>
      <c r="K16" s="128"/>
      <c r="L16" s="128"/>
      <c r="M16" s="128"/>
      <c r="N16" s="128"/>
      <c r="O16" s="128"/>
      <c r="P16" s="128"/>
      <c r="Q16" s="128"/>
      <c r="R16" s="128"/>
      <c r="S16" s="128"/>
      <c r="T16" s="128"/>
      <c r="U16" s="129"/>
      <c r="X16" s="91" t="s">
        <v>113</v>
      </c>
    </row>
    <row r="17" spans="1:24" ht="18" customHeight="1" x14ac:dyDescent="0.15">
      <c r="A17" s="76"/>
      <c r="B17" s="127"/>
      <c r="C17" s="128"/>
      <c r="D17" s="128"/>
      <c r="E17" s="128"/>
      <c r="F17" s="128"/>
      <c r="G17" s="128"/>
      <c r="H17" s="128"/>
      <c r="I17" s="128"/>
      <c r="J17" s="128"/>
      <c r="K17" s="128"/>
      <c r="L17" s="128"/>
      <c r="M17" s="128"/>
      <c r="N17" s="128"/>
      <c r="O17" s="128"/>
      <c r="P17" s="128"/>
      <c r="Q17" s="128"/>
      <c r="R17" s="128"/>
      <c r="S17" s="128"/>
      <c r="T17" s="128"/>
      <c r="U17" s="129"/>
      <c r="X17" s="91" t="s">
        <v>114</v>
      </c>
    </row>
    <row r="18" spans="1:24" ht="18" customHeight="1" x14ac:dyDescent="0.15">
      <c r="A18" s="76"/>
      <c r="B18" s="127"/>
      <c r="C18" s="128"/>
      <c r="D18" s="128"/>
      <c r="E18" s="128"/>
      <c r="F18" s="128"/>
      <c r="G18" s="128"/>
      <c r="H18" s="128"/>
      <c r="I18" s="128"/>
      <c r="J18" s="128"/>
      <c r="K18" s="128"/>
      <c r="L18" s="128"/>
      <c r="M18" s="128"/>
      <c r="N18" s="128"/>
      <c r="O18" s="128"/>
      <c r="P18" s="128"/>
      <c r="Q18" s="128"/>
      <c r="R18" s="128"/>
      <c r="S18" s="128"/>
      <c r="T18" s="128"/>
      <c r="U18" s="129"/>
      <c r="X18" s="91" t="s">
        <v>115</v>
      </c>
    </row>
    <row r="19" spans="1:24" ht="18" customHeight="1" x14ac:dyDescent="0.15">
      <c r="A19" s="76"/>
      <c r="B19" s="127"/>
      <c r="C19" s="128"/>
      <c r="D19" s="128"/>
      <c r="E19" s="128"/>
      <c r="F19" s="128"/>
      <c r="G19" s="128"/>
      <c r="H19" s="128"/>
      <c r="I19" s="128"/>
      <c r="J19" s="128"/>
      <c r="K19" s="128"/>
      <c r="L19" s="128"/>
      <c r="M19" s="128"/>
      <c r="N19" s="128"/>
      <c r="O19" s="128"/>
      <c r="P19" s="128"/>
      <c r="Q19" s="128"/>
      <c r="R19" s="128"/>
      <c r="S19" s="128"/>
      <c r="T19" s="128"/>
      <c r="U19" s="129"/>
    </row>
    <row r="20" spans="1:24" ht="18" customHeight="1" x14ac:dyDescent="0.15">
      <c r="A20" s="76"/>
      <c r="B20" s="130"/>
      <c r="C20" s="131"/>
      <c r="D20" s="131"/>
      <c r="E20" s="131"/>
      <c r="F20" s="131"/>
      <c r="G20" s="131"/>
      <c r="H20" s="131"/>
      <c r="I20" s="131"/>
      <c r="J20" s="131"/>
      <c r="K20" s="131"/>
      <c r="L20" s="131"/>
      <c r="M20" s="131"/>
      <c r="N20" s="131"/>
      <c r="O20" s="131"/>
      <c r="P20" s="131"/>
      <c r="Q20" s="131"/>
      <c r="R20" s="131"/>
      <c r="S20" s="131"/>
      <c r="T20" s="131"/>
      <c r="U20" s="132"/>
    </row>
    <row r="21" spans="1:24" ht="7.5" customHeight="1" x14ac:dyDescent="0.15">
      <c r="A21" s="76"/>
      <c r="B21" s="80"/>
      <c r="C21" s="80"/>
      <c r="D21" s="80"/>
      <c r="E21" s="80"/>
      <c r="F21" s="80"/>
      <c r="G21" s="80"/>
      <c r="H21" s="80"/>
      <c r="I21" s="80"/>
      <c r="J21" s="80"/>
      <c r="K21" s="80"/>
      <c r="L21" s="80"/>
      <c r="M21" s="80"/>
      <c r="N21" s="80"/>
      <c r="O21" s="80"/>
      <c r="P21" s="80"/>
      <c r="Q21" s="80"/>
      <c r="R21" s="80"/>
      <c r="S21" s="80"/>
      <c r="T21" s="80"/>
      <c r="U21" s="80"/>
    </row>
    <row r="22" spans="1:24" ht="20.100000000000001" customHeight="1" x14ac:dyDescent="0.15">
      <c r="A22" s="76"/>
      <c r="B22" s="76" t="s">
        <v>132</v>
      </c>
      <c r="C22" s="76"/>
      <c r="D22" s="76"/>
      <c r="E22" s="84">
        <v>2</v>
      </c>
      <c r="F22" s="76" t="s">
        <v>111</v>
      </c>
      <c r="G22" s="76"/>
      <c r="H22" s="85">
        <v>3</v>
      </c>
      <c r="I22" s="80" t="s">
        <v>112</v>
      </c>
      <c r="J22" s="80"/>
      <c r="K22" s="88"/>
      <c r="L22" s="76"/>
      <c r="M22" s="88" t="s">
        <v>108</v>
      </c>
      <c r="N22" s="158" t="s">
        <v>113</v>
      </c>
      <c r="O22" s="159"/>
      <c r="P22" s="159"/>
      <c r="Q22" s="159"/>
      <c r="R22" s="159"/>
      <c r="S22" s="159"/>
      <c r="T22" s="159"/>
      <c r="U22" s="160"/>
    </row>
    <row r="23" spans="1:24" ht="7.5" customHeight="1" x14ac:dyDescent="0.15">
      <c r="A23" s="76"/>
      <c r="B23" s="80"/>
      <c r="C23" s="80"/>
      <c r="D23" s="80"/>
      <c r="E23" s="80"/>
      <c r="F23" s="80"/>
      <c r="G23" s="80"/>
      <c r="H23" s="80"/>
      <c r="I23" s="80"/>
      <c r="J23" s="80"/>
      <c r="K23" s="80"/>
      <c r="L23" s="80"/>
      <c r="M23" s="80"/>
      <c r="N23" s="80"/>
      <c r="O23" s="80"/>
      <c r="P23" s="80"/>
      <c r="Q23" s="80"/>
      <c r="R23" s="80"/>
      <c r="S23" s="80"/>
      <c r="T23" s="80"/>
      <c r="U23" s="80"/>
    </row>
    <row r="24" spans="1:24" ht="18" customHeight="1" x14ac:dyDescent="0.15">
      <c r="A24" s="133" t="s">
        <v>100</v>
      </c>
      <c r="B24" s="133"/>
      <c r="C24" s="133"/>
      <c r="D24" s="133"/>
      <c r="E24" s="133"/>
      <c r="F24" s="133"/>
      <c r="G24" s="133"/>
      <c r="H24" s="133"/>
      <c r="I24" s="133"/>
      <c r="J24" s="133"/>
      <c r="K24" s="133"/>
      <c r="L24" s="133"/>
      <c r="M24" s="133"/>
      <c r="N24" s="133"/>
      <c r="O24" s="133"/>
      <c r="P24" s="133"/>
      <c r="Q24" s="133"/>
      <c r="R24" s="133"/>
      <c r="S24" s="133"/>
      <c r="T24" s="133"/>
      <c r="U24" s="133"/>
    </row>
    <row r="25" spans="1:24" ht="18" customHeight="1" x14ac:dyDescent="0.15">
      <c r="A25" s="133"/>
      <c r="B25" s="133"/>
      <c r="C25" s="133"/>
      <c r="D25" s="133"/>
      <c r="E25" s="133"/>
      <c r="F25" s="133"/>
      <c r="G25" s="133"/>
      <c r="H25" s="133"/>
      <c r="I25" s="133"/>
      <c r="J25" s="133"/>
      <c r="K25" s="133"/>
      <c r="L25" s="133"/>
      <c r="M25" s="133"/>
      <c r="N25" s="133"/>
      <c r="O25" s="133"/>
      <c r="P25" s="133"/>
      <c r="Q25" s="133"/>
      <c r="R25" s="133"/>
      <c r="S25" s="133"/>
      <c r="T25" s="133"/>
      <c r="U25" s="133"/>
    </row>
    <row r="26" spans="1:24" ht="18" customHeight="1" x14ac:dyDescent="0.15">
      <c r="B26" s="99" t="s">
        <v>50</v>
      </c>
      <c r="C26" s="100"/>
      <c r="D26" s="100"/>
      <c r="E26" s="100"/>
      <c r="F26" s="101"/>
      <c r="G26" s="47" t="s">
        <v>76</v>
      </c>
      <c r="H26" s="46" t="s">
        <v>79</v>
      </c>
      <c r="I26" s="14" t="s">
        <v>53</v>
      </c>
      <c r="J26" s="14" t="s">
        <v>56</v>
      </c>
      <c r="K26" s="99" t="s">
        <v>50</v>
      </c>
      <c r="L26" s="100"/>
      <c r="M26" s="100"/>
      <c r="N26" s="100"/>
      <c r="O26" s="100"/>
      <c r="P26" s="100"/>
      <c r="Q26" s="101"/>
      <c r="R26" s="47" t="s">
        <v>76</v>
      </c>
      <c r="S26" s="46" t="s">
        <v>79</v>
      </c>
      <c r="T26" s="14" t="s">
        <v>53</v>
      </c>
      <c r="U26" s="14" t="s">
        <v>56</v>
      </c>
    </row>
    <row r="27" spans="1:24" ht="18" customHeight="1" x14ac:dyDescent="0.15">
      <c r="B27" s="110" t="s">
        <v>140</v>
      </c>
      <c r="C27" s="111"/>
      <c r="D27" s="111"/>
      <c r="E27" s="111"/>
      <c r="F27" s="112"/>
      <c r="G27" s="94">
        <v>2</v>
      </c>
      <c r="H27" s="94" t="s">
        <v>138</v>
      </c>
      <c r="I27" s="94" t="s">
        <v>138</v>
      </c>
      <c r="J27" s="94" t="s">
        <v>138</v>
      </c>
      <c r="K27" s="110"/>
      <c r="L27" s="111"/>
      <c r="M27" s="111"/>
      <c r="N27" s="111"/>
      <c r="O27" s="111"/>
      <c r="P27" s="111"/>
      <c r="Q27" s="112"/>
      <c r="R27" s="15"/>
      <c r="S27" s="15"/>
      <c r="T27" s="15"/>
      <c r="U27" s="15"/>
    </row>
    <row r="28" spans="1:24" ht="18" customHeight="1" x14ac:dyDescent="0.15">
      <c r="B28" s="102" t="s">
        <v>139</v>
      </c>
      <c r="C28" s="103"/>
      <c r="D28" s="103"/>
      <c r="E28" s="103"/>
      <c r="F28" s="104"/>
      <c r="G28" s="16">
        <v>1</v>
      </c>
      <c r="H28" s="16" t="s">
        <v>138</v>
      </c>
      <c r="I28" s="16" t="s">
        <v>138</v>
      </c>
      <c r="J28" s="16" t="s">
        <v>138</v>
      </c>
      <c r="K28" s="102"/>
      <c r="L28" s="103"/>
      <c r="M28" s="103"/>
      <c r="N28" s="103"/>
      <c r="O28" s="103"/>
      <c r="P28" s="103"/>
      <c r="Q28" s="104"/>
      <c r="R28" s="16"/>
      <c r="S28" s="16"/>
      <c r="T28" s="16"/>
      <c r="U28" s="16"/>
    </row>
    <row r="29" spans="1:24" ht="18" customHeight="1" x14ac:dyDescent="0.15">
      <c r="B29" s="102"/>
      <c r="C29" s="103"/>
      <c r="D29" s="103"/>
      <c r="E29" s="103"/>
      <c r="F29" s="104"/>
      <c r="G29" s="16"/>
      <c r="H29" s="16"/>
      <c r="I29" s="16"/>
      <c r="J29" s="16"/>
      <c r="K29" s="102"/>
      <c r="L29" s="103"/>
      <c r="M29" s="103"/>
      <c r="N29" s="103"/>
      <c r="O29" s="103"/>
      <c r="P29" s="103"/>
      <c r="Q29" s="104"/>
      <c r="R29" s="16"/>
      <c r="S29" s="16"/>
      <c r="T29" s="16"/>
      <c r="U29" s="16"/>
    </row>
    <row r="30" spans="1:24" ht="18" customHeight="1" x14ac:dyDescent="0.15">
      <c r="B30" s="102"/>
      <c r="C30" s="103"/>
      <c r="D30" s="103"/>
      <c r="E30" s="103"/>
      <c r="F30" s="104"/>
      <c r="G30" s="16"/>
      <c r="H30" s="16"/>
      <c r="I30" s="16"/>
      <c r="J30" s="16"/>
      <c r="K30" s="102"/>
      <c r="L30" s="103"/>
      <c r="M30" s="103"/>
      <c r="N30" s="103"/>
      <c r="O30" s="103"/>
      <c r="P30" s="103"/>
      <c r="Q30" s="104"/>
      <c r="R30" s="16"/>
      <c r="S30" s="16"/>
      <c r="T30" s="16"/>
      <c r="U30" s="16"/>
    </row>
    <row r="31" spans="1:24" ht="18" customHeight="1" x14ac:dyDescent="0.15">
      <c r="B31" s="102"/>
      <c r="C31" s="103"/>
      <c r="D31" s="103"/>
      <c r="E31" s="103"/>
      <c r="F31" s="104"/>
      <c r="G31" s="16"/>
      <c r="H31" s="16"/>
      <c r="I31" s="16"/>
      <c r="J31" s="16"/>
      <c r="K31" s="102"/>
      <c r="L31" s="103"/>
      <c r="M31" s="103"/>
      <c r="N31" s="103"/>
      <c r="O31" s="103"/>
      <c r="P31" s="103"/>
      <c r="Q31" s="104"/>
      <c r="R31" s="16"/>
      <c r="S31" s="16"/>
      <c r="T31" s="16"/>
      <c r="U31" s="16"/>
    </row>
    <row r="32" spans="1:24" ht="18" customHeight="1" x14ac:dyDescent="0.15">
      <c r="A32" s="90"/>
      <c r="B32" s="102"/>
      <c r="C32" s="103"/>
      <c r="D32" s="103"/>
      <c r="E32" s="103"/>
      <c r="F32" s="104"/>
      <c r="G32" s="16"/>
      <c r="H32" s="16"/>
      <c r="I32" s="16"/>
      <c r="J32" s="16"/>
      <c r="K32" s="102"/>
      <c r="L32" s="103"/>
      <c r="M32" s="103"/>
      <c r="N32" s="103"/>
      <c r="O32" s="103"/>
      <c r="P32" s="103"/>
      <c r="Q32" s="104"/>
      <c r="R32" s="16"/>
      <c r="S32" s="16"/>
      <c r="T32" s="16"/>
      <c r="U32" s="16"/>
    </row>
    <row r="33" spans="1:21" ht="18" customHeight="1" x14ac:dyDescent="0.15">
      <c r="A33" s="90"/>
      <c r="B33" s="105"/>
      <c r="C33" s="106"/>
      <c r="D33" s="106"/>
      <c r="E33" s="106"/>
      <c r="F33" s="107"/>
      <c r="G33" s="17"/>
      <c r="H33" s="17"/>
      <c r="I33" s="18"/>
      <c r="J33" s="18"/>
      <c r="K33" s="105"/>
      <c r="L33" s="106"/>
      <c r="M33" s="106"/>
      <c r="N33" s="106"/>
      <c r="O33" s="106"/>
      <c r="P33" s="106"/>
      <c r="Q33" s="107"/>
      <c r="R33" s="17"/>
      <c r="S33" s="17"/>
      <c r="T33" s="18"/>
      <c r="U33" s="18"/>
    </row>
    <row r="34" spans="1:21" ht="7.5" customHeight="1" x14ac:dyDescent="0.15">
      <c r="A34" s="90"/>
      <c r="B34" s="5"/>
      <c r="C34" s="5"/>
      <c r="D34" s="5"/>
      <c r="E34" s="90"/>
      <c r="F34" s="90"/>
      <c r="G34" s="90"/>
      <c r="H34" s="90"/>
      <c r="I34" s="5"/>
      <c r="J34" s="5"/>
      <c r="K34" s="5"/>
      <c r="L34" s="5"/>
      <c r="M34" s="5"/>
      <c r="N34" s="5"/>
      <c r="O34" s="5"/>
      <c r="P34" s="5"/>
      <c r="Q34" s="5"/>
      <c r="R34" s="5"/>
      <c r="S34" s="5"/>
      <c r="T34" s="5"/>
      <c r="U34" s="90"/>
    </row>
    <row r="35" spans="1:21" ht="18" customHeight="1" x14ac:dyDescent="0.15">
      <c r="A35" s="113" t="s">
        <v>101</v>
      </c>
      <c r="B35" s="113"/>
      <c r="C35" s="113"/>
      <c r="D35" s="113"/>
      <c r="E35" s="113"/>
      <c r="F35" s="113"/>
      <c r="G35" s="113"/>
      <c r="H35" s="113"/>
      <c r="I35" s="113"/>
      <c r="J35" s="113"/>
      <c r="K35" s="113"/>
      <c r="L35" s="113"/>
      <c r="M35" s="113"/>
      <c r="N35" s="113"/>
      <c r="O35" s="113"/>
      <c r="P35" s="113"/>
      <c r="Q35" s="113"/>
      <c r="R35" s="113"/>
      <c r="S35" s="113"/>
      <c r="T35" s="113"/>
      <c r="U35" s="113"/>
    </row>
    <row r="36" spans="1:21" ht="18" customHeight="1" x14ac:dyDescent="0.15">
      <c r="A36" s="113"/>
      <c r="B36" s="113"/>
      <c r="C36" s="113"/>
      <c r="D36" s="113"/>
      <c r="E36" s="113"/>
      <c r="F36" s="113"/>
      <c r="G36" s="113"/>
      <c r="H36" s="113"/>
      <c r="I36" s="113"/>
      <c r="J36" s="113"/>
      <c r="K36" s="113"/>
      <c r="L36" s="113"/>
      <c r="M36" s="113"/>
      <c r="N36" s="113"/>
      <c r="O36" s="113"/>
      <c r="P36" s="113"/>
      <c r="Q36" s="113"/>
      <c r="R36" s="113"/>
      <c r="S36" s="113"/>
      <c r="T36" s="113"/>
      <c r="U36" s="113"/>
    </row>
    <row r="37" spans="1:21" ht="18" customHeight="1" x14ac:dyDescent="0.15">
      <c r="B37" s="99" t="s">
        <v>50</v>
      </c>
      <c r="C37" s="100"/>
      <c r="D37" s="100"/>
      <c r="E37" s="100"/>
      <c r="F37" s="101"/>
      <c r="G37" s="47" t="s">
        <v>76</v>
      </c>
      <c r="H37" s="46" t="s">
        <v>79</v>
      </c>
      <c r="I37" s="14" t="s">
        <v>67</v>
      </c>
      <c r="J37" s="14" t="s">
        <v>68</v>
      </c>
      <c r="K37" s="99" t="s">
        <v>50</v>
      </c>
      <c r="L37" s="100"/>
      <c r="M37" s="100"/>
      <c r="N37" s="100"/>
      <c r="O37" s="100"/>
      <c r="P37" s="100"/>
      <c r="Q37" s="101"/>
      <c r="R37" s="47" t="s">
        <v>76</v>
      </c>
      <c r="S37" s="46" t="s">
        <v>79</v>
      </c>
      <c r="T37" s="14" t="s">
        <v>67</v>
      </c>
      <c r="U37" s="14" t="s">
        <v>68</v>
      </c>
    </row>
    <row r="38" spans="1:21" ht="18" customHeight="1" x14ac:dyDescent="0.15">
      <c r="B38" s="110" t="s">
        <v>140</v>
      </c>
      <c r="C38" s="111"/>
      <c r="D38" s="111"/>
      <c r="E38" s="111"/>
      <c r="F38" s="112"/>
      <c r="G38" s="15">
        <v>2</v>
      </c>
      <c r="H38" s="15" t="s">
        <v>138</v>
      </c>
      <c r="I38" s="15"/>
      <c r="J38" s="15"/>
      <c r="K38" s="110"/>
      <c r="L38" s="111"/>
      <c r="M38" s="111"/>
      <c r="N38" s="111"/>
      <c r="O38" s="111"/>
      <c r="P38" s="111"/>
      <c r="Q38" s="112"/>
      <c r="R38" s="15"/>
      <c r="S38" s="15"/>
      <c r="T38" s="15"/>
      <c r="U38" s="15"/>
    </row>
    <row r="39" spans="1:21" ht="18" customHeight="1" x14ac:dyDescent="0.15">
      <c r="B39" s="102" t="s">
        <v>139</v>
      </c>
      <c r="C39" s="103"/>
      <c r="D39" s="103"/>
      <c r="E39" s="103"/>
      <c r="F39" s="104"/>
      <c r="G39" s="16">
        <v>1</v>
      </c>
      <c r="H39" s="16" t="s">
        <v>138</v>
      </c>
      <c r="I39" s="16" t="s">
        <v>138</v>
      </c>
      <c r="J39" s="16" t="s">
        <v>138</v>
      </c>
      <c r="K39" s="102"/>
      <c r="L39" s="103"/>
      <c r="M39" s="103"/>
      <c r="N39" s="103"/>
      <c r="O39" s="103"/>
      <c r="P39" s="103"/>
      <c r="Q39" s="104"/>
      <c r="R39" s="16"/>
      <c r="S39" s="16"/>
      <c r="T39" s="16"/>
      <c r="U39" s="16"/>
    </row>
    <row r="40" spans="1:21" ht="18" customHeight="1" x14ac:dyDescent="0.15">
      <c r="B40" s="102"/>
      <c r="C40" s="103"/>
      <c r="D40" s="103"/>
      <c r="E40" s="103"/>
      <c r="F40" s="104"/>
      <c r="G40" s="16"/>
      <c r="H40" s="16"/>
      <c r="I40" s="16"/>
      <c r="J40" s="16"/>
      <c r="K40" s="102"/>
      <c r="L40" s="103"/>
      <c r="M40" s="103"/>
      <c r="N40" s="103"/>
      <c r="O40" s="103"/>
      <c r="P40" s="103"/>
      <c r="Q40" s="104"/>
      <c r="R40" s="16"/>
      <c r="S40" s="16"/>
      <c r="T40" s="16"/>
      <c r="U40" s="16"/>
    </row>
    <row r="41" spans="1:21" ht="18" customHeight="1" x14ac:dyDescent="0.15">
      <c r="B41" s="102"/>
      <c r="C41" s="103"/>
      <c r="D41" s="103"/>
      <c r="E41" s="103"/>
      <c r="F41" s="104"/>
      <c r="G41" s="16"/>
      <c r="H41" s="16"/>
      <c r="I41" s="16"/>
      <c r="J41" s="16"/>
      <c r="K41" s="102"/>
      <c r="L41" s="103"/>
      <c r="M41" s="103"/>
      <c r="N41" s="103"/>
      <c r="O41" s="103"/>
      <c r="P41" s="103"/>
      <c r="Q41" s="104"/>
      <c r="R41" s="16"/>
      <c r="S41" s="16"/>
      <c r="T41" s="16"/>
      <c r="U41" s="16"/>
    </row>
    <row r="42" spans="1:21" ht="18" customHeight="1" x14ac:dyDescent="0.15">
      <c r="B42" s="102"/>
      <c r="C42" s="103"/>
      <c r="D42" s="103"/>
      <c r="E42" s="103"/>
      <c r="F42" s="104"/>
      <c r="G42" s="16"/>
      <c r="H42" s="16"/>
      <c r="I42" s="16"/>
      <c r="J42" s="16"/>
      <c r="K42" s="102"/>
      <c r="L42" s="103"/>
      <c r="M42" s="103"/>
      <c r="N42" s="103"/>
      <c r="O42" s="103"/>
      <c r="P42" s="103"/>
      <c r="Q42" s="104"/>
      <c r="R42" s="16"/>
      <c r="S42" s="16"/>
      <c r="T42" s="16"/>
      <c r="U42" s="16"/>
    </row>
    <row r="43" spans="1:21" ht="18" customHeight="1" x14ac:dyDescent="0.15">
      <c r="B43" s="102"/>
      <c r="C43" s="103"/>
      <c r="D43" s="103"/>
      <c r="E43" s="103"/>
      <c r="F43" s="104"/>
      <c r="G43" s="16"/>
      <c r="H43" s="16"/>
      <c r="I43" s="16"/>
      <c r="J43" s="16"/>
      <c r="K43" s="102"/>
      <c r="L43" s="103"/>
      <c r="M43" s="103"/>
      <c r="N43" s="103"/>
      <c r="O43" s="103"/>
      <c r="P43" s="103"/>
      <c r="Q43" s="104"/>
      <c r="R43" s="16"/>
      <c r="S43" s="16"/>
      <c r="T43" s="16"/>
      <c r="U43" s="16"/>
    </row>
    <row r="44" spans="1:21" ht="18" customHeight="1" x14ac:dyDescent="0.15">
      <c r="B44" s="105"/>
      <c r="C44" s="106"/>
      <c r="D44" s="106"/>
      <c r="E44" s="106"/>
      <c r="F44" s="107"/>
      <c r="G44" s="17"/>
      <c r="H44" s="17"/>
      <c r="I44" s="18"/>
      <c r="J44" s="18"/>
      <c r="K44" s="105"/>
      <c r="L44" s="106"/>
      <c r="M44" s="106"/>
      <c r="N44" s="106"/>
      <c r="O44" s="106"/>
      <c r="P44" s="106"/>
      <c r="Q44" s="107"/>
      <c r="R44" s="17"/>
      <c r="S44" s="17"/>
      <c r="T44" s="18"/>
      <c r="U44" s="18"/>
    </row>
    <row r="45" spans="1:21" ht="7.5" customHeight="1" x14ac:dyDescent="0.15">
      <c r="A45" s="90"/>
      <c r="B45" s="5"/>
      <c r="C45" s="5"/>
      <c r="D45" s="5"/>
      <c r="E45" s="90"/>
      <c r="F45" s="90"/>
      <c r="G45" s="90"/>
      <c r="H45" s="90"/>
      <c r="I45" s="5"/>
      <c r="J45" s="5"/>
      <c r="K45" s="5"/>
      <c r="L45" s="5"/>
      <c r="M45" s="5"/>
      <c r="N45" s="5"/>
      <c r="O45" s="5"/>
      <c r="P45" s="5"/>
      <c r="Q45" s="5"/>
      <c r="R45" s="5"/>
      <c r="S45" s="5"/>
      <c r="T45" s="5"/>
      <c r="U45" s="90"/>
    </row>
    <row r="46" spans="1:21" ht="18" customHeight="1" x14ac:dyDescent="0.15">
      <c r="A46" s="113" t="s">
        <v>102</v>
      </c>
      <c r="B46" s="113"/>
      <c r="C46" s="113"/>
      <c r="D46" s="113"/>
      <c r="E46" s="113"/>
      <c r="F46" s="113"/>
      <c r="G46" s="113"/>
      <c r="H46" s="113"/>
      <c r="I46" s="113"/>
      <c r="J46" s="113"/>
      <c r="K46" s="113"/>
      <c r="L46" s="113"/>
      <c r="M46" s="113"/>
      <c r="N46" s="113"/>
      <c r="O46" s="113"/>
      <c r="P46" s="113"/>
      <c r="Q46" s="113"/>
      <c r="R46" s="113"/>
      <c r="S46" s="113"/>
      <c r="T46" s="113"/>
      <c r="U46" s="113"/>
    </row>
    <row r="47" spans="1:21" ht="18" customHeight="1" x14ac:dyDescent="0.15">
      <c r="A47" s="113"/>
      <c r="B47" s="113"/>
      <c r="C47" s="113"/>
      <c r="D47" s="113"/>
      <c r="E47" s="113"/>
      <c r="F47" s="113"/>
      <c r="G47" s="113"/>
      <c r="H47" s="113"/>
      <c r="I47" s="113"/>
      <c r="J47" s="113"/>
      <c r="K47" s="113"/>
      <c r="L47" s="113"/>
      <c r="M47" s="113"/>
      <c r="N47" s="113"/>
      <c r="O47" s="113"/>
      <c r="P47" s="113"/>
      <c r="Q47" s="113"/>
      <c r="R47" s="113"/>
      <c r="S47" s="113"/>
      <c r="T47" s="113"/>
      <c r="U47" s="113"/>
    </row>
    <row r="48" spans="1:21" ht="18" customHeight="1" x14ac:dyDescent="0.15">
      <c r="B48" s="99" t="s">
        <v>50</v>
      </c>
      <c r="C48" s="100"/>
      <c r="D48" s="100"/>
      <c r="E48" s="100"/>
      <c r="F48" s="101"/>
      <c r="G48" s="47" t="s">
        <v>76</v>
      </c>
      <c r="H48" s="46" t="s">
        <v>79</v>
      </c>
      <c r="I48" s="14" t="s">
        <v>69</v>
      </c>
      <c r="J48" s="14" t="s">
        <v>70</v>
      </c>
      <c r="K48" s="99" t="s">
        <v>50</v>
      </c>
      <c r="L48" s="100"/>
      <c r="M48" s="100"/>
      <c r="N48" s="100"/>
      <c r="O48" s="100"/>
      <c r="P48" s="100"/>
      <c r="Q48" s="101"/>
      <c r="R48" s="47" t="s">
        <v>76</v>
      </c>
      <c r="S48" s="46" t="s">
        <v>79</v>
      </c>
      <c r="T48" s="14" t="s">
        <v>69</v>
      </c>
      <c r="U48" s="14" t="s">
        <v>70</v>
      </c>
    </row>
    <row r="49" spans="1:21" ht="18" customHeight="1" x14ac:dyDescent="0.15">
      <c r="A49" s="90"/>
      <c r="B49" s="110" t="s">
        <v>140</v>
      </c>
      <c r="C49" s="111"/>
      <c r="D49" s="111"/>
      <c r="E49" s="111"/>
      <c r="F49" s="112"/>
      <c r="G49" s="15">
        <v>2</v>
      </c>
      <c r="H49" s="15" t="s">
        <v>138</v>
      </c>
      <c r="I49" s="15" t="s">
        <v>138</v>
      </c>
      <c r="J49" s="15" t="s">
        <v>138</v>
      </c>
      <c r="K49" s="110"/>
      <c r="L49" s="111"/>
      <c r="M49" s="111"/>
      <c r="N49" s="111"/>
      <c r="O49" s="111"/>
      <c r="P49" s="111"/>
      <c r="Q49" s="112"/>
      <c r="R49" s="15"/>
      <c r="S49" s="15"/>
      <c r="T49" s="15"/>
      <c r="U49" s="15"/>
    </row>
    <row r="50" spans="1:21" ht="18" customHeight="1" x14ac:dyDescent="0.15">
      <c r="A50" s="90"/>
      <c r="B50" s="102" t="s">
        <v>139</v>
      </c>
      <c r="C50" s="103"/>
      <c r="D50" s="103"/>
      <c r="E50" s="103"/>
      <c r="F50" s="104"/>
      <c r="G50" s="16">
        <v>1</v>
      </c>
      <c r="H50" s="16" t="s">
        <v>138</v>
      </c>
      <c r="I50" s="16"/>
      <c r="J50" s="16"/>
      <c r="K50" s="102"/>
      <c r="L50" s="103"/>
      <c r="M50" s="103"/>
      <c r="N50" s="103"/>
      <c r="O50" s="103"/>
      <c r="P50" s="103"/>
      <c r="Q50" s="104"/>
      <c r="R50" s="16"/>
      <c r="S50" s="16"/>
      <c r="T50" s="16"/>
      <c r="U50" s="16"/>
    </row>
    <row r="51" spans="1:21" ht="18" customHeight="1" x14ac:dyDescent="0.15">
      <c r="A51" s="90"/>
      <c r="B51" s="102"/>
      <c r="C51" s="103"/>
      <c r="D51" s="103"/>
      <c r="E51" s="103"/>
      <c r="F51" s="104"/>
      <c r="G51" s="16"/>
      <c r="H51" s="16"/>
      <c r="I51" s="16"/>
      <c r="J51" s="16"/>
      <c r="K51" s="102"/>
      <c r="L51" s="103"/>
      <c r="M51" s="103"/>
      <c r="N51" s="103"/>
      <c r="O51" s="103"/>
      <c r="P51" s="103"/>
      <c r="Q51" s="104"/>
      <c r="R51" s="16"/>
      <c r="S51" s="16"/>
      <c r="T51" s="16"/>
      <c r="U51" s="16"/>
    </row>
    <row r="52" spans="1:21" ht="18" customHeight="1" x14ac:dyDescent="0.15">
      <c r="A52" s="90"/>
      <c r="B52" s="102"/>
      <c r="C52" s="103"/>
      <c r="D52" s="103"/>
      <c r="E52" s="103"/>
      <c r="F52" s="104"/>
      <c r="G52" s="16"/>
      <c r="H52" s="16"/>
      <c r="I52" s="16"/>
      <c r="J52" s="16"/>
      <c r="K52" s="102"/>
      <c r="L52" s="103"/>
      <c r="M52" s="103"/>
      <c r="N52" s="103"/>
      <c r="O52" s="103"/>
      <c r="P52" s="103"/>
      <c r="Q52" s="104"/>
      <c r="R52" s="16"/>
      <c r="S52" s="16"/>
      <c r="T52" s="16"/>
      <c r="U52" s="16"/>
    </row>
    <row r="53" spans="1:21" ht="18" customHeight="1" x14ac:dyDescent="0.15">
      <c r="A53" s="90"/>
      <c r="B53" s="102"/>
      <c r="C53" s="103"/>
      <c r="D53" s="103"/>
      <c r="E53" s="103"/>
      <c r="F53" s="104"/>
      <c r="G53" s="16"/>
      <c r="H53" s="16"/>
      <c r="I53" s="16"/>
      <c r="J53" s="16"/>
      <c r="K53" s="102"/>
      <c r="L53" s="103"/>
      <c r="M53" s="103"/>
      <c r="N53" s="103"/>
      <c r="O53" s="103"/>
      <c r="P53" s="103"/>
      <c r="Q53" s="104"/>
      <c r="R53" s="16"/>
      <c r="S53" s="16"/>
      <c r="T53" s="16"/>
      <c r="U53" s="16"/>
    </row>
    <row r="54" spans="1:21" ht="18" customHeight="1" x14ac:dyDescent="0.15">
      <c r="A54" s="90"/>
      <c r="B54" s="102"/>
      <c r="C54" s="103"/>
      <c r="D54" s="103"/>
      <c r="E54" s="103"/>
      <c r="F54" s="104"/>
      <c r="G54" s="16"/>
      <c r="H54" s="16"/>
      <c r="I54" s="16"/>
      <c r="J54" s="16"/>
      <c r="K54" s="102"/>
      <c r="L54" s="103"/>
      <c r="M54" s="103"/>
      <c r="N54" s="103"/>
      <c r="O54" s="103"/>
      <c r="P54" s="103"/>
      <c r="Q54" s="104"/>
      <c r="R54" s="16"/>
      <c r="S54" s="16"/>
      <c r="T54" s="16"/>
      <c r="U54" s="16"/>
    </row>
    <row r="55" spans="1:21" ht="18" customHeight="1" x14ac:dyDescent="0.15">
      <c r="A55" s="90"/>
      <c r="B55" s="105"/>
      <c r="C55" s="106"/>
      <c r="D55" s="106"/>
      <c r="E55" s="106"/>
      <c r="F55" s="107"/>
      <c r="G55" s="17"/>
      <c r="H55" s="17"/>
      <c r="I55" s="18"/>
      <c r="J55" s="18"/>
      <c r="K55" s="105"/>
      <c r="L55" s="106"/>
      <c r="M55" s="106"/>
      <c r="N55" s="106"/>
      <c r="O55" s="106"/>
      <c r="P55" s="106"/>
      <c r="Q55" s="107"/>
      <c r="R55" s="17"/>
      <c r="S55" s="17"/>
      <c r="T55" s="18"/>
      <c r="U55" s="18"/>
    </row>
    <row r="56" spans="1:21" ht="7.5" customHeight="1" x14ac:dyDescent="0.15">
      <c r="B56" s="92"/>
      <c r="C56" s="92"/>
      <c r="D56" s="92"/>
      <c r="E56" s="92"/>
      <c r="F56" s="92"/>
      <c r="G56" s="92"/>
      <c r="H56" s="92"/>
      <c r="I56" s="92"/>
      <c r="J56" s="92"/>
      <c r="K56" s="92"/>
      <c r="L56" s="92"/>
      <c r="M56" s="92"/>
      <c r="N56" s="92"/>
      <c r="O56" s="92"/>
      <c r="P56" s="92"/>
      <c r="Q56" s="92"/>
      <c r="R56" s="92"/>
      <c r="S56" s="92"/>
      <c r="T56" s="92"/>
    </row>
    <row r="57" spans="1:21" ht="18" customHeight="1" x14ac:dyDescent="0.15">
      <c r="A57" s="113" t="s">
        <v>103</v>
      </c>
      <c r="B57" s="113"/>
      <c r="C57" s="113"/>
      <c r="D57" s="113"/>
      <c r="E57" s="113"/>
      <c r="F57" s="113"/>
      <c r="G57" s="113"/>
      <c r="H57" s="113"/>
      <c r="I57" s="113"/>
      <c r="J57" s="113"/>
      <c r="K57" s="113"/>
      <c r="L57" s="113"/>
      <c r="M57" s="113"/>
      <c r="N57" s="113"/>
      <c r="O57" s="113"/>
      <c r="P57" s="113"/>
      <c r="Q57" s="113"/>
      <c r="R57" s="113"/>
      <c r="S57" s="113"/>
      <c r="T57" s="113"/>
      <c r="U57" s="113"/>
    </row>
    <row r="58" spans="1:21" ht="18" customHeight="1" x14ac:dyDescent="0.15">
      <c r="A58" s="113"/>
      <c r="B58" s="113"/>
      <c r="C58" s="113"/>
      <c r="D58" s="113"/>
      <c r="E58" s="113"/>
      <c r="F58" s="113"/>
      <c r="G58" s="113"/>
      <c r="H58" s="113"/>
      <c r="I58" s="113"/>
      <c r="J58" s="113"/>
      <c r="K58" s="113"/>
      <c r="L58" s="113"/>
      <c r="M58" s="113"/>
      <c r="N58" s="113"/>
      <c r="O58" s="113"/>
      <c r="P58" s="113"/>
      <c r="Q58" s="113"/>
      <c r="R58" s="113"/>
      <c r="S58" s="113"/>
      <c r="T58" s="113"/>
      <c r="U58" s="113"/>
    </row>
    <row r="59" spans="1:21" ht="18" customHeight="1" x14ac:dyDescent="0.15">
      <c r="B59" s="99" t="s">
        <v>50</v>
      </c>
      <c r="C59" s="100"/>
      <c r="D59" s="100"/>
      <c r="E59" s="100"/>
      <c r="F59" s="101"/>
      <c r="G59" s="47" t="s">
        <v>76</v>
      </c>
      <c r="H59" s="46" t="s">
        <v>79</v>
      </c>
      <c r="I59" s="14" t="s">
        <v>55</v>
      </c>
      <c r="J59" s="14" t="s">
        <v>57</v>
      </c>
      <c r="K59" s="99" t="s">
        <v>50</v>
      </c>
      <c r="L59" s="100"/>
      <c r="M59" s="100"/>
      <c r="N59" s="100"/>
      <c r="O59" s="100"/>
      <c r="P59" s="100"/>
      <c r="Q59" s="101"/>
      <c r="R59" s="47" t="s">
        <v>76</v>
      </c>
      <c r="S59" s="46" t="s">
        <v>79</v>
      </c>
      <c r="T59" s="14" t="s">
        <v>55</v>
      </c>
      <c r="U59" s="14" t="s">
        <v>57</v>
      </c>
    </row>
    <row r="60" spans="1:21" ht="18" customHeight="1" x14ac:dyDescent="0.15">
      <c r="A60" s="90"/>
      <c r="B60" s="110" t="s">
        <v>140</v>
      </c>
      <c r="C60" s="111"/>
      <c r="D60" s="111"/>
      <c r="E60" s="111"/>
      <c r="F60" s="112"/>
      <c r="G60" s="15">
        <v>2</v>
      </c>
      <c r="H60" s="15" t="s">
        <v>138</v>
      </c>
      <c r="I60" s="15" t="s">
        <v>138</v>
      </c>
      <c r="J60" s="15" t="s">
        <v>138</v>
      </c>
      <c r="K60" s="110"/>
      <c r="L60" s="111"/>
      <c r="M60" s="111"/>
      <c r="N60" s="111"/>
      <c r="O60" s="111"/>
      <c r="P60" s="111"/>
      <c r="Q60" s="112"/>
      <c r="R60" s="15"/>
      <c r="S60" s="15"/>
      <c r="T60" s="15"/>
      <c r="U60" s="15"/>
    </row>
    <row r="61" spans="1:21" ht="18" customHeight="1" x14ac:dyDescent="0.15">
      <c r="A61" s="90"/>
      <c r="B61" s="102" t="s">
        <v>139</v>
      </c>
      <c r="C61" s="103"/>
      <c r="D61" s="103"/>
      <c r="E61" s="103"/>
      <c r="F61" s="104"/>
      <c r="G61" s="16">
        <v>1</v>
      </c>
      <c r="H61" s="16" t="s">
        <v>138</v>
      </c>
      <c r="I61" s="16"/>
      <c r="J61" s="16"/>
      <c r="K61" s="102"/>
      <c r="L61" s="103"/>
      <c r="M61" s="103"/>
      <c r="N61" s="103"/>
      <c r="O61" s="103"/>
      <c r="P61" s="103"/>
      <c r="Q61" s="104"/>
      <c r="R61" s="16"/>
      <c r="S61" s="16"/>
      <c r="T61" s="16"/>
      <c r="U61" s="16"/>
    </row>
    <row r="62" spans="1:21" ht="18" customHeight="1" x14ac:dyDescent="0.15">
      <c r="A62" s="90"/>
      <c r="B62" s="102"/>
      <c r="C62" s="103"/>
      <c r="D62" s="103"/>
      <c r="E62" s="103"/>
      <c r="F62" s="104"/>
      <c r="G62" s="16"/>
      <c r="H62" s="16"/>
      <c r="I62" s="16"/>
      <c r="J62" s="16"/>
      <c r="K62" s="102"/>
      <c r="L62" s="103"/>
      <c r="M62" s="103"/>
      <c r="N62" s="103"/>
      <c r="O62" s="103"/>
      <c r="P62" s="103"/>
      <c r="Q62" s="104"/>
      <c r="R62" s="16"/>
      <c r="S62" s="16"/>
      <c r="T62" s="16"/>
      <c r="U62" s="16"/>
    </row>
    <row r="63" spans="1:21" ht="18" customHeight="1" x14ac:dyDescent="0.15">
      <c r="A63" s="90"/>
      <c r="B63" s="102"/>
      <c r="C63" s="103"/>
      <c r="D63" s="103"/>
      <c r="E63" s="103"/>
      <c r="F63" s="104"/>
      <c r="G63" s="16"/>
      <c r="H63" s="16"/>
      <c r="I63" s="16"/>
      <c r="J63" s="16"/>
      <c r="K63" s="102"/>
      <c r="L63" s="103"/>
      <c r="M63" s="103"/>
      <c r="N63" s="103"/>
      <c r="O63" s="103"/>
      <c r="P63" s="103"/>
      <c r="Q63" s="104"/>
      <c r="R63" s="16"/>
      <c r="S63" s="16"/>
      <c r="T63" s="16"/>
      <c r="U63" s="16"/>
    </row>
    <row r="64" spans="1:21" ht="18" customHeight="1" x14ac:dyDescent="0.15">
      <c r="A64" s="90"/>
      <c r="B64" s="102"/>
      <c r="C64" s="103"/>
      <c r="D64" s="103"/>
      <c r="E64" s="103"/>
      <c r="F64" s="104"/>
      <c r="G64" s="16"/>
      <c r="H64" s="16"/>
      <c r="I64" s="16"/>
      <c r="J64" s="16"/>
      <c r="K64" s="102"/>
      <c r="L64" s="103"/>
      <c r="M64" s="103"/>
      <c r="N64" s="103"/>
      <c r="O64" s="103"/>
      <c r="P64" s="103"/>
      <c r="Q64" s="104"/>
      <c r="R64" s="16"/>
      <c r="S64" s="16"/>
      <c r="T64" s="16"/>
      <c r="U64" s="16"/>
    </row>
    <row r="65" spans="1:21" ht="18" customHeight="1" x14ac:dyDescent="0.15">
      <c r="A65" s="90"/>
      <c r="B65" s="102"/>
      <c r="C65" s="103"/>
      <c r="D65" s="103"/>
      <c r="E65" s="103"/>
      <c r="F65" s="104"/>
      <c r="G65" s="16"/>
      <c r="H65" s="16"/>
      <c r="I65" s="16"/>
      <c r="J65" s="16"/>
      <c r="K65" s="102"/>
      <c r="L65" s="103"/>
      <c r="M65" s="103"/>
      <c r="N65" s="103"/>
      <c r="O65" s="103"/>
      <c r="P65" s="103"/>
      <c r="Q65" s="104"/>
      <c r="R65" s="16"/>
      <c r="S65" s="16"/>
      <c r="T65" s="16"/>
      <c r="U65" s="16"/>
    </row>
    <row r="66" spans="1:21" ht="18" customHeight="1" x14ac:dyDescent="0.15">
      <c r="A66" s="90"/>
      <c r="B66" s="105"/>
      <c r="C66" s="106"/>
      <c r="D66" s="106"/>
      <c r="E66" s="106"/>
      <c r="F66" s="107"/>
      <c r="G66" s="17"/>
      <c r="H66" s="17"/>
      <c r="I66" s="18"/>
      <c r="J66" s="18"/>
      <c r="K66" s="105"/>
      <c r="L66" s="106"/>
      <c r="M66" s="106"/>
      <c r="N66" s="106"/>
      <c r="O66" s="106"/>
      <c r="P66" s="106"/>
      <c r="Q66" s="107"/>
      <c r="R66" s="17"/>
      <c r="S66" s="17"/>
      <c r="T66" s="18"/>
      <c r="U66" s="18"/>
    </row>
    <row r="67" spans="1:21" ht="7.5" customHeight="1" x14ac:dyDescent="0.15">
      <c r="B67" s="92"/>
      <c r="C67" s="92"/>
      <c r="D67" s="92"/>
      <c r="E67" s="92"/>
      <c r="F67" s="92"/>
      <c r="G67" s="92"/>
      <c r="H67" s="92"/>
      <c r="I67" s="92"/>
      <c r="J67" s="92"/>
      <c r="K67" s="92"/>
      <c r="L67" s="92"/>
      <c r="M67" s="92"/>
      <c r="N67" s="92"/>
      <c r="O67" s="92"/>
      <c r="P67" s="92"/>
      <c r="Q67" s="92"/>
      <c r="R67" s="92"/>
      <c r="S67" s="92"/>
      <c r="T67" s="92"/>
    </row>
    <row r="68" spans="1:21" ht="18" customHeight="1" x14ac:dyDescent="0.15">
      <c r="A68" s="113" t="s">
        <v>104</v>
      </c>
      <c r="B68" s="113"/>
      <c r="C68" s="113"/>
      <c r="D68" s="113"/>
      <c r="E68" s="113"/>
      <c r="F68" s="113"/>
      <c r="G68" s="113"/>
      <c r="H68" s="113"/>
      <c r="I68" s="113"/>
      <c r="J68" s="113"/>
      <c r="K68" s="113"/>
      <c r="L68" s="113"/>
      <c r="M68" s="113"/>
      <c r="N68" s="113"/>
      <c r="O68" s="113"/>
      <c r="P68" s="113"/>
      <c r="Q68" s="113"/>
      <c r="R68" s="113"/>
      <c r="S68" s="113"/>
      <c r="T68" s="113"/>
      <c r="U68" s="113"/>
    </row>
    <row r="69" spans="1:21" ht="18" customHeight="1" x14ac:dyDescent="0.15">
      <c r="A69" s="113"/>
      <c r="B69" s="113"/>
      <c r="C69" s="113"/>
      <c r="D69" s="113"/>
      <c r="E69" s="113"/>
      <c r="F69" s="113"/>
      <c r="G69" s="113"/>
      <c r="H69" s="113"/>
      <c r="I69" s="113"/>
      <c r="J69" s="113"/>
      <c r="K69" s="113"/>
      <c r="L69" s="113"/>
      <c r="M69" s="113"/>
      <c r="N69" s="113"/>
      <c r="O69" s="113"/>
      <c r="P69" s="113"/>
      <c r="Q69" s="113"/>
      <c r="R69" s="113"/>
      <c r="S69" s="113"/>
      <c r="T69" s="113"/>
      <c r="U69" s="113"/>
    </row>
    <row r="70" spans="1:21" ht="18" customHeight="1" x14ac:dyDescent="0.15">
      <c r="B70" s="99" t="s">
        <v>50</v>
      </c>
      <c r="C70" s="100"/>
      <c r="D70" s="100"/>
      <c r="E70" s="100"/>
      <c r="F70" s="47" t="s">
        <v>76</v>
      </c>
      <c r="G70" s="46" t="s">
        <v>79</v>
      </c>
      <c r="H70" s="14" t="s">
        <v>91</v>
      </c>
      <c r="I70" s="14" t="s">
        <v>71</v>
      </c>
      <c r="J70" s="14" t="s">
        <v>72</v>
      </c>
      <c r="K70" s="99" t="s">
        <v>50</v>
      </c>
      <c r="L70" s="100"/>
      <c r="M70" s="100"/>
      <c r="N70" s="100"/>
      <c r="O70" s="100"/>
      <c r="P70" s="101"/>
      <c r="Q70" s="47" t="s">
        <v>76</v>
      </c>
      <c r="R70" s="46" t="s">
        <v>79</v>
      </c>
      <c r="S70" s="14" t="s">
        <v>91</v>
      </c>
      <c r="T70" s="14" t="s">
        <v>71</v>
      </c>
      <c r="U70" s="14" t="s">
        <v>72</v>
      </c>
    </row>
    <row r="71" spans="1:21" ht="18" customHeight="1" x14ac:dyDescent="0.15">
      <c r="A71" s="90"/>
      <c r="B71" s="110" t="s">
        <v>140</v>
      </c>
      <c r="C71" s="111"/>
      <c r="D71" s="111"/>
      <c r="E71" s="112"/>
      <c r="F71" s="15">
        <v>2</v>
      </c>
      <c r="G71" s="15" t="s">
        <v>138</v>
      </c>
      <c r="H71" s="15"/>
      <c r="I71" s="15" t="s">
        <v>138</v>
      </c>
      <c r="J71" s="15" t="s">
        <v>138</v>
      </c>
      <c r="K71" s="110"/>
      <c r="L71" s="111"/>
      <c r="M71" s="111"/>
      <c r="N71" s="111"/>
      <c r="O71" s="111"/>
      <c r="P71" s="112"/>
      <c r="Q71" s="15"/>
      <c r="R71" s="15"/>
      <c r="S71" s="15"/>
      <c r="T71" s="15"/>
      <c r="U71" s="15"/>
    </row>
    <row r="72" spans="1:21" ht="18" customHeight="1" x14ac:dyDescent="0.15">
      <c r="A72" s="90"/>
      <c r="B72" s="102" t="s">
        <v>139</v>
      </c>
      <c r="C72" s="103"/>
      <c r="D72" s="103"/>
      <c r="E72" s="104"/>
      <c r="F72" s="16">
        <v>1</v>
      </c>
      <c r="G72" s="16" t="s">
        <v>138</v>
      </c>
      <c r="H72" s="16" t="s">
        <v>138</v>
      </c>
      <c r="I72" s="16" t="s">
        <v>138</v>
      </c>
      <c r="J72" s="16" t="s">
        <v>138</v>
      </c>
      <c r="K72" s="102"/>
      <c r="L72" s="103"/>
      <c r="M72" s="103"/>
      <c r="N72" s="103"/>
      <c r="O72" s="103"/>
      <c r="P72" s="104"/>
      <c r="Q72" s="16"/>
      <c r="R72" s="16"/>
      <c r="S72" s="16"/>
      <c r="T72" s="16"/>
      <c r="U72" s="16"/>
    </row>
    <row r="73" spans="1:21" ht="18" customHeight="1" x14ac:dyDescent="0.15">
      <c r="A73" s="90"/>
      <c r="B73" s="102"/>
      <c r="C73" s="103"/>
      <c r="D73" s="103"/>
      <c r="E73" s="103"/>
      <c r="F73" s="16"/>
      <c r="G73" s="16"/>
      <c r="H73" s="16"/>
      <c r="I73" s="16"/>
      <c r="J73" s="16"/>
      <c r="K73" s="102"/>
      <c r="L73" s="103"/>
      <c r="M73" s="103"/>
      <c r="N73" s="103"/>
      <c r="O73" s="103"/>
      <c r="P73" s="104"/>
      <c r="Q73" s="16"/>
      <c r="R73" s="16"/>
      <c r="S73" s="16"/>
      <c r="T73" s="16"/>
      <c r="U73" s="16"/>
    </row>
    <row r="74" spans="1:21" ht="18" customHeight="1" x14ac:dyDescent="0.15">
      <c r="A74" s="90"/>
      <c r="B74" s="102"/>
      <c r="C74" s="103"/>
      <c r="D74" s="103"/>
      <c r="E74" s="103"/>
      <c r="F74" s="16"/>
      <c r="G74" s="16"/>
      <c r="H74" s="16"/>
      <c r="I74" s="16"/>
      <c r="J74" s="16"/>
      <c r="K74" s="102"/>
      <c r="L74" s="103"/>
      <c r="M74" s="103"/>
      <c r="N74" s="103"/>
      <c r="O74" s="103"/>
      <c r="P74" s="104"/>
      <c r="Q74" s="16"/>
      <c r="R74" s="16"/>
      <c r="S74" s="16"/>
      <c r="T74" s="16"/>
      <c r="U74" s="16"/>
    </row>
    <row r="75" spans="1:21" ht="18" customHeight="1" x14ac:dyDescent="0.15">
      <c r="A75" s="90"/>
      <c r="B75" s="102"/>
      <c r="C75" s="103"/>
      <c r="D75" s="103"/>
      <c r="E75" s="103"/>
      <c r="F75" s="16"/>
      <c r="G75" s="16"/>
      <c r="H75" s="16"/>
      <c r="I75" s="16"/>
      <c r="J75" s="16"/>
      <c r="K75" s="102"/>
      <c r="L75" s="103"/>
      <c r="M75" s="103"/>
      <c r="N75" s="103"/>
      <c r="O75" s="103"/>
      <c r="P75" s="104"/>
      <c r="Q75" s="16"/>
      <c r="R75" s="16"/>
      <c r="S75" s="16"/>
      <c r="T75" s="16"/>
      <c r="U75" s="16"/>
    </row>
    <row r="76" spans="1:21" ht="18" customHeight="1" x14ac:dyDescent="0.15">
      <c r="A76" s="90"/>
      <c r="B76" s="102"/>
      <c r="C76" s="103"/>
      <c r="D76" s="103"/>
      <c r="E76" s="103"/>
      <c r="F76" s="16"/>
      <c r="G76" s="16"/>
      <c r="H76" s="16"/>
      <c r="I76" s="16"/>
      <c r="J76" s="16"/>
      <c r="K76" s="102"/>
      <c r="L76" s="103"/>
      <c r="M76" s="103"/>
      <c r="N76" s="103"/>
      <c r="O76" s="103"/>
      <c r="P76" s="104"/>
      <c r="Q76" s="16"/>
      <c r="R76" s="16"/>
      <c r="S76" s="16"/>
      <c r="T76" s="16"/>
      <c r="U76" s="16"/>
    </row>
    <row r="77" spans="1:21" ht="18" customHeight="1" x14ac:dyDescent="0.15">
      <c r="A77" s="90"/>
      <c r="B77" s="105"/>
      <c r="C77" s="106"/>
      <c r="D77" s="106"/>
      <c r="E77" s="106"/>
      <c r="F77" s="17"/>
      <c r="G77" s="17"/>
      <c r="H77" s="18"/>
      <c r="I77" s="18"/>
      <c r="J77" s="18"/>
      <c r="K77" s="105"/>
      <c r="L77" s="106"/>
      <c r="M77" s="106"/>
      <c r="N77" s="106"/>
      <c r="O77" s="106"/>
      <c r="P77" s="107"/>
      <c r="Q77" s="17"/>
      <c r="R77" s="17"/>
      <c r="S77" s="18"/>
      <c r="T77" s="18"/>
      <c r="U77" s="18"/>
    </row>
    <row r="78" spans="1:21" ht="7.5" customHeight="1" x14ac:dyDescent="0.15">
      <c r="B78" s="92"/>
      <c r="C78" s="92"/>
      <c r="D78" s="92"/>
      <c r="E78" s="92"/>
      <c r="F78" s="92"/>
      <c r="G78" s="92"/>
      <c r="H78" s="92"/>
      <c r="I78" s="92"/>
      <c r="J78" s="92"/>
      <c r="K78" s="92"/>
      <c r="L78" s="92"/>
      <c r="M78" s="92"/>
      <c r="N78" s="92"/>
      <c r="O78" s="92"/>
      <c r="P78" s="92"/>
      <c r="Q78" s="92"/>
      <c r="R78" s="92"/>
      <c r="S78" s="92"/>
      <c r="T78" s="92"/>
    </row>
    <row r="79" spans="1:21" ht="18" customHeight="1" x14ac:dyDescent="0.15">
      <c r="A79" s="91" t="s">
        <v>105</v>
      </c>
      <c r="I79" s="90"/>
      <c r="J79" s="90"/>
      <c r="K79" s="90"/>
      <c r="L79" s="90"/>
      <c r="M79" s="90"/>
      <c r="N79" s="90"/>
      <c r="O79" s="90"/>
      <c r="P79" s="90"/>
      <c r="Q79" s="90"/>
      <c r="R79" s="90"/>
      <c r="S79" s="90"/>
      <c r="T79" s="90"/>
      <c r="U79" s="90"/>
    </row>
    <row r="80" spans="1:21" ht="18" customHeight="1" x14ac:dyDescent="0.15">
      <c r="B80" s="99" t="s">
        <v>50</v>
      </c>
      <c r="C80" s="100"/>
      <c r="D80" s="100"/>
      <c r="E80" s="100"/>
      <c r="F80" s="101"/>
      <c r="G80" s="99" t="s">
        <v>77</v>
      </c>
      <c r="H80" s="100"/>
      <c r="I80" s="100"/>
      <c r="J80" s="101"/>
      <c r="K80" s="119" t="s">
        <v>50</v>
      </c>
      <c r="L80" s="120"/>
      <c r="M80" s="120"/>
      <c r="N80" s="120"/>
      <c r="O80" s="120"/>
      <c r="P80" s="120"/>
      <c r="Q80" s="121"/>
      <c r="R80" s="99" t="s">
        <v>77</v>
      </c>
      <c r="S80" s="100"/>
      <c r="T80" s="100"/>
      <c r="U80" s="101"/>
    </row>
    <row r="81" spans="1:21" ht="18" customHeight="1" x14ac:dyDescent="0.15">
      <c r="A81" s="90"/>
      <c r="B81" s="110" t="s">
        <v>139</v>
      </c>
      <c r="C81" s="111"/>
      <c r="D81" s="111"/>
      <c r="E81" s="111"/>
      <c r="F81" s="112"/>
      <c r="G81" s="114" t="s">
        <v>141</v>
      </c>
      <c r="H81" s="115"/>
      <c r="I81" s="115"/>
      <c r="J81" s="116"/>
      <c r="K81" s="110"/>
      <c r="L81" s="111"/>
      <c r="M81" s="111"/>
      <c r="N81" s="111"/>
      <c r="O81" s="111"/>
      <c r="P81" s="111"/>
      <c r="Q81" s="112"/>
      <c r="R81" s="114"/>
      <c r="S81" s="115"/>
      <c r="T81" s="115"/>
      <c r="U81" s="116"/>
    </row>
    <row r="82" spans="1:21" ht="18" customHeight="1" x14ac:dyDescent="0.15">
      <c r="A82" s="90"/>
      <c r="B82" s="102"/>
      <c r="C82" s="103"/>
      <c r="D82" s="103"/>
      <c r="E82" s="103"/>
      <c r="F82" s="104"/>
      <c r="G82" s="96"/>
      <c r="H82" s="97"/>
      <c r="I82" s="97"/>
      <c r="J82" s="98"/>
      <c r="K82" s="102"/>
      <c r="L82" s="103"/>
      <c r="M82" s="103"/>
      <c r="N82" s="103"/>
      <c r="O82" s="103"/>
      <c r="P82" s="103"/>
      <c r="Q82" s="104"/>
      <c r="R82" s="96"/>
      <c r="S82" s="97"/>
      <c r="T82" s="97"/>
      <c r="U82" s="98"/>
    </row>
    <row r="83" spans="1:21" ht="18" customHeight="1" x14ac:dyDescent="0.15">
      <c r="A83" s="90"/>
      <c r="B83" s="102"/>
      <c r="C83" s="103"/>
      <c r="D83" s="103"/>
      <c r="E83" s="103"/>
      <c r="F83" s="104"/>
      <c r="G83" s="96"/>
      <c r="H83" s="97"/>
      <c r="I83" s="97"/>
      <c r="J83" s="98"/>
      <c r="K83" s="102"/>
      <c r="L83" s="103"/>
      <c r="M83" s="103"/>
      <c r="N83" s="103"/>
      <c r="O83" s="103"/>
      <c r="P83" s="103"/>
      <c r="Q83" s="104"/>
      <c r="R83" s="96"/>
      <c r="S83" s="97"/>
      <c r="T83" s="97"/>
      <c r="U83" s="98"/>
    </row>
    <row r="84" spans="1:21" ht="18" customHeight="1" x14ac:dyDescent="0.15">
      <c r="A84" s="90"/>
      <c r="B84" s="102"/>
      <c r="C84" s="103"/>
      <c r="D84" s="103"/>
      <c r="E84" s="103"/>
      <c r="F84" s="104"/>
      <c r="G84" s="96"/>
      <c r="H84" s="97"/>
      <c r="I84" s="97"/>
      <c r="J84" s="98"/>
      <c r="K84" s="102"/>
      <c r="L84" s="103"/>
      <c r="M84" s="103"/>
      <c r="N84" s="103"/>
      <c r="O84" s="103"/>
      <c r="P84" s="103"/>
      <c r="Q84" s="104"/>
      <c r="R84" s="96"/>
      <c r="S84" s="97"/>
      <c r="T84" s="97"/>
      <c r="U84" s="98"/>
    </row>
    <row r="85" spans="1:21" ht="18" customHeight="1" x14ac:dyDescent="0.15">
      <c r="A85" s="90"/>
      <c r="B85" s="102"/>
      <c r="C85" s="103"/>
      <c r="D85" s="103"/>
      <c r="E85" s="103"/>
      <c r="F85" s="104"/>
      <c r="G85" s="96"/>
      <c r="H85" s="97"/>
      <c r="I85" s="97"/>
      <c r="J85" s="98"/>
      <c r="K85" s="102"/>
      <c r="L85" s="103"/>
      <c r="M85" s="103"/>
      <c r="N85" s="103"/>
      <c r="O85" s="103"/>
      <c r="P85" s="103"/>
      <c r="Q85" s="104"/>
      <c r="R85" s="96"/>
      <c r="S85" s="97"/>
      <c r="T85" s="97"/>
      <c r="U85" s="98"/>
    </row>
    <row r="86" spans="1:21" ht="18" customHeight="1" x14ac:dyDescent="0.15">
      <c r="A86" s="90"/>
      <c r="B86" s="102"/>
      <c r="C86" s="103"/>
      <c r="D86" s="103"/>
      <c r="E86" s="103"/>
      <c r="F86" s="104"/>
      <c r="G86" s="96"/>
      <c r="H86" s="97"/>
      <c r="I86" s="97"/>
      <c r="J86" s="98"/>
      <c r="K86" s="102"/>
      <c r="L86" s="103"/>
      <c r="M86" s="103"/>
      <c r="N86" s="103"/>
      <c r="O86" s="103"/>
      <c r="P86" s="103"/>
      <c r="Q86" s="104"/>
      <c r="R86" s="96"/>
      <c r="S86" s="97"/>
      <c r="T86" s="97"/>
      <c r="U86" s="98"/>
    </row>
    <row r="87" spans="1:21" ht="18" customHeight="1" x14ac:dyDescent="0.15">
      <c r="A87" s="90"/>
      <c r="B87" s="105"/>
      <c r="C87" s="106"/>
      <c r="D87" s="106"/>
      <c r="E87" s="106"/>
      <c r="F87" s="107"/>
      <c r="G87" s="137"/>
      <c r="H87" s="138"/>
      <c r="I87" s="138"/>
      <c r="J87" s="139"/>
      <c r="K87" s="105"/>
      <c r="L87" s="106"/>
      <c r="M87" s="106"/>
      <c r="N87" s="106"/>
      <c r="O87" s="106"/>
      <c r="P87" s="106"/>
      <c r="Q87" s="107"/>
      <c r="R87" s="137"/>
      <c r="S87" s="138"/>
      <c r="T87" s="138"/>
      <c r="U87" s="139"/>
    </row>
    <row r="88" spans="1:21" ht="18" customHeight="1" x14ac:dyDescent="0.15">
      <c r="A88" s="90"/>
      <c r="B88" s="5"/>
      <c r="C88" s="5"/>
      <c r="D88" s="5"/>
      <c r="E88" s="5"/>
      <c r="F88" s="5"/>
      <c r="G88" s="19"/>
      <c r="H88" s="19"/>
      <c r="I88" s="19"/>
      <c r="J88" s="19"/>
      <c r="K88" s="5"/>
      <c r="L88" s="5"/>
      <c r="M88" s="5"/>
      <c r="N88" s="5"/>
      <c r="O88" s="5"/>
      <c r="P88" s="5"/>
      <c r="Q88" s="5"/>
      <c r="R88" s="19"/>
      <c r="S88" s="19"/>
      <c r="T88" s="19"/>
      <c r="U88" s="19"/>
    </row>
    <row r="89" spans="1:21" ht="18.75" customHeight="1" x14ac:dyDescent="0.15">
      <c r="A89" s="91" t="s">
        <v>106</v>
      </c>
    </row>
    <row r="90" spans="1:21" ht="18.75" customHeight="1" x14ac:dyDescent="0.15">
      <c r="B90" s="140" t="s">
        <v>51</v>
      </c>
      <c r="C90" s="141"/>
      <c r="D90" s="99" t="s">
        <v>52</v>
      </c>
      <c r="E90" s="100"/>
      <c r="F90" s="100"/>
      <c r="G90" s="100"/>
      <c r="H90" s="100"/>
      <c r="I90" s="100"/>
      <c r="J90" s="100"/>
      <c r="K90" s="100"/>
      <c r="L90" s="100"/>
      <c r="M90" s="100"/>
      <c r="N90" s="100"/>
      <c r="O90" s="100"/>
      <c r="P90" s="100"/>
      <c r="Q90" s="100"/>
      <c r="R90" s="100"/>
      <c r="S90" s="100"/>
      <c r="T90" s="100"/>
      <c r="U90" s="101"/>
    </row>
    <row r="91" spans="1:21" ht="97.5" customHeight="1" x14ac:dyDescent="0.15">
      <c r="B91" s="117" t="s">
        <v>58</v>
      </c>
      <c r="C91" s="20" t="s">
        <v>53</v>
      </c>
      <c r="D91" s="150" t="s">
        <v>198</v>
      </c>
      <c r="E91" s="151"/>
      <c r="F91" s="151"/>
      <c r="G91" s="151"/>
      <c r="H91" s="151"/>
      <c r="I91" s="151"/>
      <c r="J91" s="151"/>
      <c r="K91" s="151"/>
      <c r="L91" s="151"/>
      <c r="M91" s="151"/>
      <c r="N91" s="151"/>
      <c r="O91" s="151"/>
      <c r="P91" s="151"/>
      <c r="Q91" s="151"/>
      <c r="R91" s="151"/>
      <c r="S91" s="151"/>
      <c r="T91" s="151"/>
      <c r="U91" s="152"/>
    </row>
    <row r="92" spans="1:21" ht="97.5" customHeight="1" x14ac:dyDescent="0.15">
      <c r="B92" s="122"/>
      <c r="C92" s="21" t="s">
        <v>73</v>
      </c>
      <c r="D92" s="147" t="s">
        <v>199</v>
      </c>
      <c r="E92" s="156"/>
      <c r="F92" s="156"/>
      <c r="G92" s="156"/>
      <c r="H92" s="156"/>
      <c r="I92" s="156"/>
      <c r="J92" s="156"/>
      <c r="K92" s="156"/>
      <c r="L92" s="156"/>
      <c r="M92" s="156"/>
      <c r="N92" s="156"/>
      <c r="O92" s="156"/>
      <c r="P92" s="156"/>
      <c r="Q92" s="156"/>
      <c r="R92" s="156"/>
      <c r="S92" s="156"/>
      <c r="T92" s="156"/>
      <c r="U92" s="157"/>
    </row>
    <row r="93" spans="1:21" ht="97.5" customHeight="1" x14ac:dyDescent="0.15">
      <c r="B93" s="117" t="s">
        <v>59</v>
      </c>
      <c r="C93" s="22" t="s">
        <v>67</v>
      </c>
      <c r="D93" s="150" t="s">
        <v>142</v>
      </c>
      <c r="E93" s="151"/>
      <c r="F93" s="151"/>
      <c r="G93" s="151"/>
      <c r="H93" s="151"/>
      <c r="I93" s="151"/>
      <c r="J93" s="151"/>
      <c r="K93" s="151"/>
      <c r="L93" s="151"/>
      <c r="M93" s="151"/>
      <c r="N93" s="151"/>
      <c r="O93" s="151"/>
      <c r="P93" s="151"/>
      <c r="Q93" s="151"/>
      <c r="R93" s="151"/>
      <c r="S93" s="151"/>
      <c r="T93" s="151"/>
      <c r="U93" s="152"/>
    </row>
    <row r="94" spans="1:21" ht="97.5" customHeight="1" x14ac:dyDescent="0.15">
      <c r="B94" s="118"/>
      <c r="C94" s="23" t="s">
        <v>68</v>
      </c>
      <c r="D94" s="147" t="s">
        <v>143</v>
      </c>
      <c r="E94" s="156"/>
      <c r="F94" s="156"/>
      <c r="G94" s="156"/>
      <c r="H94" s="156"/>
      <c r="I94" s="156"/>
      <c r="J94" s="156"/>
      <c r="K94" s="156"/>
      <c r="L94" s="156"/>
      <c r="M94" s="156"/>
      <c r="N94" s="156"/>
      <c r="O94" s="156"/>
      <c r="P94" s="156"/>
      <c r="Q94" s="156"/>
      <c r="R94" s="156"/>
      <c r="S94" s="156"/>
      <c r="T94" s="156"/>
      <c r="U94" s="157"/>
    </row>
    <row r="95" spans="1:21" ht="97.5" customHeight="1" x14ac:dyDescent="0.15">
      <c r="B95" s="117" t="s">
        <v>60</v>
      </c>
      <c r="C95" s="22" t="s">
        <v>69</v>
      </c>
      <c r="D95" s="150" t="s">
        <v>144</v>
      </c>
      <c r="E95" s="151"/>
      <c r="F95" s="151"/>
      <c r="G95" s="151"/>
      <c r="H95" s="151"/>
      <c r="I95" s="151"/>
      <c r="J95" s="151"/>
      <c r="K95" s="151"/>
      <c r="L95" s="151"/>
      <c r="M95" s="151"/>
      <c r="N95" s="151"/>
      <c r="O95" s="151"/>
      <c r="P95" s="151"/>
      <c r="Q95" s="151"/>
      <c r="R95" s="151"/>
      <c r="S95" s="151"/>
      <c r="T95" s="151"/>
      <c r="U95" s="152"/>
    </row>
    <row r="96" spans="1:21" ht="97.5" customHeight="1" x14ac:dyDescent="0.15">
      <c r="B96" s="118"/>
      <c r="C96" s="24" t="s">
        <v>70</v>
      </c>
      <c r="D96" s="147" t="s">
        <v>200</v>
      </c>
      <c r="E96" s="156"/>
      <c r="F96" s="156"/>
      <c r="G96" s="156"/>
      <c r="H96" s="156"/>
      <c r="I96" s="156"/>
      <c r="J96" s="156"/>
      <c r="K96" s="156"/>
      <c r="L96" s="156"/>
      <c r="M96" s="156"/>
      <c r="N96" s="156"/>
      <c r="O96" s="156"/>
      <c r="P96" s="156"/>
      <c r="Q96" s="156"/>
      <c r="R96" s="156"/>
      <c r="S96" s="156"/>
      <c r="T96" s="156"/>
      <c r="U96" s="157"/>
    </row>
    <row r="97" spans="1:33" ht="97.5" customHeight="1" x14ac:dyDescent="0.15">
      <c r="B97" s="117" t="s">
        <v>74</v>
      </c>
      <c r="C97" s="20" t="s">
        <v>55</v>
      </c>
      <c r="D97" s="150" t="s">
        <v>145</v>
      </c>
      <c r="E97" s="151"/>
      <c r="F97" s="151"/>
      <c r="G97" s="151"/>
      <c r="H97" s="151"/>
      <c r="I97" s="151"/>
      <c r="J97" s="151"/>
      <c r="K97" s="151"/>
      <c r="L97" s="151"/>
      <c r="M97" s="151"/>
      <c r="N97" s="151"/>
      <c r="O97" s="151"/>
      <c r="P97" s="151"/>
      <c r="Q97" s="151"/>
      <c r="R97" s="151"/>
      <c r="S97" s="151"/>
      <c r="T97" s="151"/>
      <c r="U97" s="152"/>
    </row>
    <row r="98" spans="1:33" ht="97.5" customHeight="1" x14ac:dyDescent="0.15">
      <c r="B98" s="118"/>
      <c r="C98" s="23" t="s">
        <v>57</v>
      </c>
      <c r="D98" s="147" t="s">
        <v>146</v>
      </c>
      <c r="E98" s="156"/>
      <c r="F98" s="156"/>
      <c r="G98" s="156"/>
      <c r="H98" s="156"/>
      <c r="I98" s="156"/>
      <c r="J98" s="156"/>
      <c r="K98" s="156"/>
      <c r="L98" s="156"/>
      <c r="M98" s="156"/>
      <c r="N98" s="156"/>
      <c r="O98" s="156"/>
      <c r="P98" s="156"/>
      <c r="Q98" s="156"/>
      <c r="R98" s="156"/>
      <c r="S98" s="156"/>
      <c r="T98" s="156"/>
      <c r="U98" s="157"/>
    </row>
    <row r="99" spans="1:33" ht="97.5" customHeight="1" x14ac:dyDescent="0.15">
      <c r="B99" s="117" t="s">
        <v>75</v>
      </c>
      <c r="C99" s="22" t="s">
        <v>54</v>
      </c>
      <c r="D99" s="150" t="s">
        <v>147</v>
      </c>
      <c r="E99" s="151"/>
      <c r="F99" s="151"/>
      <c r="G99" s="151"/>
      <c r="H99" s="151"/>
      <c r="I99" s="151"/>
      <c r="J99" s="151"/>
      <c r="K99" s="151"/>
      <c r="L99" s="151"/>
      <c r="M99" s="151"/>
      <c r="N99" s="151"/>
      <c r="O99" s="151"/>
      <c r="P99" s="151"/>
      <c r="Q99" s="151"/>
      <c r="R99" s="151"/>
      <c r="S99" s="151"/>
      <c r="T99" s="151"/>
      <c r="U99" s="152"/>
    </row>
    <row r="100" spans="1:33" ht="97.5" customHeight="1" x14ac:dyDescent="0.15">
      <c r="B100" s="122"/>
      <c r="C100" s="25" t="s">
        <v>71</v>
      </c>
      <c r="D100" s="153" t="s">
        <v>201</v>
      </c>
      <c r="E100" s="154"/>
      <c r="F100" s="154"/>
      <c r="G100" s="154"/>
      <c r="H100" s="154"/>
      <c r="I100" s="154"/>
      <c r="J100" s="154"/>
      <c r="K100" s="154"/>
      <c r="L100" s="154"/>
      <c r="M100" s="154"/>
      <c r="N100" s="154"/>
      <c r="O100" s="154"/>
      <c r="P100" s="154"/>
      <c r="Q100" s="154"/>
      <c r="R100" s="154"/>
      <c r="S100" s="154"/>
      <c r="T100" s="154"/>
      <c r="U100" s="155"/>
    </row>
    <row r="101" spans="1:33" ht="97.5" customHeight="1" x14ac:dyDescent="0.15">
      <c r="B101" s="118"/>
      <c r="C101" s="24" t="s">
        <v>72</v>
      </c>
      <c r="D101" s="147" t="s">
        <v>202</v>
      </c>
      <c r="E101" s="156"/>
      <c r="F101" s="156"/>
      <c r="G101" s="156"/>
      <c r="H101" s="156"/>
      <c r="I101" s="156"/>
      <c r="J101" s="156"/>
      <c r="K101" s="156"/>
      <c r="L101" s="156"/>
      <c r="M101" s="156"/>
      <c r="N101" s="156"/>
      <c r="O101" s="156"/>
      <c r="P101" s="156"/>
      <c r="Q101" s="156"/>
      <c r="R101" s="156"/>
      <c r="S101" s="156"/>
      <c r="T101" s="156"/>
      <c r="U101" s="157"/>
    </row>
    <row r="102" spans="1:33" ht="6" customHeight="1" x14ac:dyDescent="0.15"/>
    <row r="103" spans="1:33" ht="18.75" customHeight="1" x14ac:dyDescent="0.15">
      <c r="A103" s="91" t="s">
        <v>107</v>
      </c>
    </row>
    <row r="104" spans="1:33" ht="81.75" customHeight="1" x14ac:dyDescent="0.15">
      <c r="B104" s="134" t="s">
        <v>148</v>
      </c>
      <c r="C104" s="135"/>
      <c r="D104" s="135"/>
      <c r="E104" s="135"/>
      <c r="F104" s="135"/>
      <c r="G104" s="135"/>
      <c r="H104" s="135"/>
      <c r="I104" s="135"/>
      <c r="J104" s="135"/>
      <c r="K104" s="135"/>
      <c r="L104" s="135"/>
      <c r="M104" s="135"/>
      <c r="N104" s="135"/>
      <c r="O104" s="135"/>
      <c r="P104" s="135"/>
      <c r="Q104" s="135"/>
      <c r="R104" s="135"/>
      <c r="S104" s="135"/>
      <c r="T104" s="135"/>
      <c r="U104" s="136"/>
    </row>
    <row r="106" spans="1:33" ht="18.75" customHeight="1" x14ac:dyDescent="0.15">
      <c r="A106" s="81" t="s">
        <v>123</v>
      </c>
      <c r="B106" s="76"/>
      <c r="C106" s="76"/>
      <c r="D106" s="76"/>
      <c r="E106" s="76"/>
      <c r="F106" s="76"/>
      <c r="G106" s="76"/>
      <c r="H106" s="76"/>
      <c r="I106" s="76"/>
      <c r="J106" s="76"/>
      <c r="K106" s="76"/>
      <c r="L106" s="76"/>
      <c r="M106" s="76"/>
      <c r="N106" s="76"/>
      <c r="O106" s="76"/>
      <c r="P106" s="76"/>
      <c r="Q106" s="76"/>
      <c r="R106" s="76"/>
      <c r="S106" s="76"/>
      <c r="T106" s="76"/>
      <c r="U106" s="76"/>
    </row>
    <row r="107" spans="1:33" ht="18.75" customHeight="1" x14ac:dyDescent="0.15">
      <c r="A107" s="81" t="s">
        <v>125</v>
      </c>
      <c r="B107" s="81"/>
      <c r="C107" s="81"/>
      <c r="D107" s="81"/>
      <c r="E107" s="81"/>
      <c r="F107" s="81"/>
      <c r="G107" s="81"/>
      <c r="H107" s="81"/>
      <c r="I107" s="81"/>
      <c r="J107" s="81"/>
      <c r="K107" s="81"/>
      <c r="L107" s="81"/>
      <c r="M107" s="81"/>
      <c r="N107" s="81"/>
      <c r="O107" s="81"/>
      <c r="P107" s="81"/>
      <c r="Q107" s="81"/>
      <c r="R107" s="81"/>
      <c r="S107" s="81"/>
      <c r="T107" s="81"/>
      <c r="U107" s="81"/>
      <c r="V107" s="2"/>
      <c r="W107" s="2"/>
      <c r="X107" s="2"/>
      <c r="Y107" s="2"/>
      <c r="Z107" s="2"/>
      <c r="AA107" s="2"/>
      <c r="AB107" s="2"/>
      <c r="AC107" s="2"/>
      <c r="AD107" s="2"/>
      <c r="AE107" s="2"/>
      <c r="AF107" s="2"/>
      <c r="AG107" s="2"/>
    </row>
    <row r="108" spans="1:33" ht="18.75" customHeight="1" x14ac:dyDescent="0.15">
      <c r="A108" s="81"/>
      <c r="B108" s="146" t="s">
        <v>129</v>
      </c>
      <c r="C108" s="146"/>
      <c r="D108" s="146"/>
      <c r="E108" s="146"/>
      <c r="F108" s="146"/>
      <c r="G108" s="146"/>
      <c r="H108" s="146"/>
      <c r="I108" s="146"/>
      <c r="J108" s="146"/>
      <c r="K108" s="146"/>
      <c r="L108" s="146"/>
      <c r="M108" s="146"/>
      <c r="N108" s="146"/>
      <c r="O108" s="146"/>
      <c r="P108" s="146"/>
      <c r="Q108" s="146"/>
      <c r="R108" s="146"/>
      <c r="S108" s="146"/>
      <c r="T108" s="146"/>
      <c r="U108" s="146"/>
      <c r="V108" s="66"/>
      <c r="W108" s="66"/>
      <c r="X108" s="66"/>
      <c r="Y108" s="66"/>
      <c r="Z108" s="66"/>
      <c r="AA108" s="66"/>
      <c r="AB108" s="66"/>
      <c r="AC108" s="66"/>
      <c r="AD108" s="66"/>
      <c r="AE108" s="66"/>
      <c r="AF108" s="66"/>
      <c r="AG108" s="66"/>
    </row>
    <row r="109" spans="1:33" ht="37.35" customHeight="1" x14ac:dyDescent="0.15">
      <c r="A109" s="81"/>
      <c r="B109" s="146"/>
      <c r="C109" s="146"/>
      <c r="D109" s="146"/>
      <c r="E109" s="146"/>
      <c r="F109" s="146"/>
      <c r="G109" s="146"/>
      <c r="H109" s="146"/>
      <c r="I109" s="146"/>
      <c r="J109" s="146"/>
      <c r="K109" s="146"/>
      <c r="L109" s="146"/>
      <c r="M109" s="146"/>
      <c r="N109" s="146"/>
      <c r="O109" s="146"/>
      <c r="P109" s="146"/>
      <c r="Q109" s="146"/>
      <c r="R109" s="146"/>
      <c r="S109" s="146"/>
      <c r="T109" s="146"/>
      <c r="U109" s="146"/>
      <c r="V109" s="66"/>
      <c r="W109" s="66"/>
      <c r="X109" s="66"/>
      <c r="Y109" s="66"/>
      <c r="Z109" s="66"/>
      <c r="AA109" s="66"/>
      <c r="AB109" s="66"/>
      <c r="AC109" s="66"/>
      <c r="AD109" s="66"/>
      <c r="AE109" s="66"/>
      <c r="AF109" s="66"/>
      <c r="AG109" s="66"/>
    </row>
    <row r="110" spans="1:33" ht="18.75" customHeight="1" x14ac:dyDescent="0.15">
      <c r="A110" s="81"/>
      <c r="B110" s="95" t="s">
        <v>124</v>
      </c>
      <c r="C110" s="95"/>
      <c r="D110" s="95"/>
      <c r="E110" s="95"/>
      <c r="F110" s="95"/>
      <c r="G110" s="95"/>
      <c r="H110" s="95"/>
      <c r="I110" s="95"/>
      <c r="J110" s="95"/>
      <c r="K110" s="95"/>
      <c r="L110" s="95"/>
      <c r="M110" s="95"/>
      <c r="N110" s="95"/>
      <c r="O110" s="95"/>
      <c r="P110" s="95"/>
      <c r="Q110" s="95"/>
      <c r="R110" s="95"/>
      <c r="S110" s="95"/>
      <c r="T110" s="95"/>
      <c r="U110" s="95"/>
      <c r="V110" s="66"/>
      <c r="W110" s="66"/>
      <c r="X110" s="66"/>
      <c r="Y110" s="66"/>
      <c r="Z110" s="66"/>
      <c r="AA110" s="66"/>
      <c r="AB110" s="66"/>
      <c r="AC110" s="66"/>
      <c r="AD110" s="66"/>
      <c r="AE110" s="66"/>
      <c r="AF110" s="66"/>
      <c r="AG110" s="66"/>
    </row>
    <row r="111" spans="1:33" ht="18.75" customHeight="1" x14ac:dyDescent="0.15">
      <c r="A111" s="81"/>
      <c r="B111" s="108" t="s">
        <v>52</v>
      </c>
      <c r="C111" s="108"/>
      <c r="D111" s="108"/>
      <c r="E111" s="108"/>
      <c r="F111" s="108"/>
      <c r="G111" s="108"/>
      <c r="H111" s="108"/>
      <c r="I111" s="108"/>
      <c r="J111" s="108"/>
      <c r="K111" s="108"/>
      <c r="L111" s="108"/>
      <c r="M111" s="108"/>
      <c r="N111" s="108"/>
      <c r="O111" s="108"/>
      <c r="P111" s="108"/>
      <c r="Q111" s="108"/>
      <c r="R111" s="108"/>
      <c r="S111" s="108"/>
      <c r="T111" s="108"/>
      <c r="U111" s="108"/>
      <c r="V111" s="65"/>
      <c r="W111" s="65"/>
      <c r="X111" s="65"/>
      <c r="Y111" s="65"/>
      <c r="Z111" s="65"/>
      <c r="AA111" s="65"/>
      <c r="AB111" s="65"/>
      <c r="AC111" s="65"/>
      <c r="AD111" s="65"/>
      <c r="AE111" s="65"/>
      <c r="AF111" s="65"/>
      <c r="AG111" s="65"/>
    </row>
    <row r="112" spans="1:33" ht="132" customHeight="1" x14ac:dyDescent="0.15">
      <c r="A112" s="81"/>
      <c r="B112" s="109"/>
      <c r="C112" s="109"/>
      <c r="D112" s="109"/>
      <c r="E112" s="109"/>
      <c r="F112" s="109"/>
      <c r="G112" s="109"/>
      <c r="H112" s="109"/>
      <c r="I112" s="109"/>
      <c r="J112" s="109"/>
      <c r="K112" s="109"/>
      <c r="L112" s="109"/>
      <c r="M112" s="109"/>
      <c r="N112" s="109"/>
      <c r="O112" s="109"/>
      <c r="P112" s="109"/>
      <c r="Q112" s="109"/>
      <c r="R112" s="109"/>
      <c r="S112" s="109"/>
      <c r="T112" s="109"/>
      <c r="U112" s="109"/>
      <c r="V112" s="67"/>
      <c r="W112" s="67"/>
      <c r="X112" s="67"/>
      <c r="Y112" s="67"/>
      <c r="Z112" s="67"/>
      <c r="AA112" s="67"/>
      <c r="AB112" s="67"/>
      <c r="AC112" s="67"/>
      <c r="AD112" s="67"/>
      <c r="AE112" s="67"/>
      <c r="AF112" s="67"/>
      <c r="AG112" s="67"/>
    </row>
    <row r="114" ht="18" customHeight="1" x14ac:dyDescent="0.15"/>
  </sheetData>
  <mergeCells count="148">
    <mergeCell ref="T1:U1"/>
    <mergeCell ref="C2:J2"/>
    <mergeCell ref="C3:J3"/>
    <mergeCell ref="A5:U5"/>
    <mergeCell ref="L7:U7"/>
    <mergeCell ref="B11:U12"/>
    <mergeCell ref="B28:F28"/>
    <mergeCell ref="K28:Q28"/>
    <mergeCell ref="B29:F29"/>
    <mergeCell ref="K29:Q29"/>
    <mergeCell ref="B30:F30"/>
    <mergeCell ref="K30:Q30"/>
    <mergeCell ref="B15:U20"/>
    <mergeCell ref="N22:U22"/>
    <mergeCell ref="A24:U25"/>
    <mergeCell ref="B26:F26"/>
    <mergeCell ref="K26:Q26"/>
    <mergeCell ref="B27:F27"/>
    <mergeCell ref="K27:Q27"/>
    <mergeCell ref="A35:U36"/>
    <mergeCell ref="B37:F37"/>
    <mergeCell ref="K37:Q37"/>
    <mergeCell ref="B38:F38"/>
    <mergeCell ref="K38:Q38"/>
    <mergeCell ref="B39:F39"/>
    <mergeCell ref="K39:Q39"/>
    <mergeCell ref="B31:F31"/>
    <mergeCell ref="K31:Q31"/>
    <mergeCell ref="B32:F32"/>
    <mergeCell ref="K32:Q32"/>
    <mergeCell ref="B33:F33"/>
    <mergeCell ref="K33:Q33"/>
    <mergeCell ref="B43:F43"/>
    <mergeCell ref="K43:Q43"/>
    <mergeCell ref="B44:F44"/>
    <mergeCell ref="K44:Q44"/>
    <mergeCell ref="A46:U47"/>
    <mergeCell ref="B48:F48"/>
    <mergeCell ref="K48:Q48"/>
    <mergeCell ref="B40:F40"/>
    <mergeCell ref="K40:Q40"/>
    <mergeCell ref="B41:F41"/>
    <mergeCell ref="K41:Q41"/>
    <mergeCell ref="B42:F42"/>
    <mergeCell ref="K42:Q42"/>
    <mergeCell ref="B52:F52"/>
    <mergeCell ref="K52:Q52"/>
    <mergeCell ref="B53:F53"/>
    <mergeCell ref="K53:Q53"/>
    <mergeCell ref="B54:F54"/>
    <mergeCell ref="K54:Q54"/>
    <mergeCell ref="B49:F49"/>
    <mergeCell ref="K49:Q49"/>
    <mergeCell ref="B50:F50"/>
    <mergeCell ref="K50:Q50"/>
    <mergeCell ref="B51:F51"/>
    <mergeCell ref="K51:Q51"/>
    <mergeCell ref="B61:F61"/>
    <mergeCell ref="K61:Q61"/>
    <mergeCell ref="B62:F62"/>
    <mergeCell ref="K62:Q62"/>
    <mergeCell ref="B63:F63"/>
    <mergeCell ref="K63:Q63"/>
    <mergeCell ref="B55:F55"/>
    <mergeCell ref="K55:Q55"/>
    <mergeCell ref="A57:U58"/>
    <mergeCell ref="B59:F59"/>
    <mergeCell ref="K59:Q59"/>
    <mergeCell ref="B60:F60"/>
    <mergeCell ref="K60:Q60"/>
    <mergeCell ref="A68:U69"/>
    <mergeCell ref="B70:E70"/>
    <mergeCell ref="K70:P70"/>
    <mergeCell ref="B71:E71"/>
    <mergeCell ref="K71:P71"/>
    <mergeCell ref="B72:E72"/>
    <mergeCell ref="K72:P72"/>
    <mergeCell ref="B64:F64"/>
    <mergeCell ref="K64:Q64"/>
    <mergeCell ref="B65:F65"/>
    <mergeCell ref="K65:Q65"/>
    <mergeCell ref="B66:F66"/>
    <mergeCell ref="K66:Q66"/>
    <mergeCell ref="B76:E76"/>
    <mergeCell ref="K76:P76"/>
    <mergeCell ref="B77:E77"/>
    <mergeCell ref="K77:P77"/>
    <mergeCell ref="B80:F80"/>
    <mergeCell ref="G80:J80"/>
    <mergeCell ref="K80:Q80"/>
    <mergeCell ref="B73:E73"/>
    <mergeCell ref="K73:P73"/>
    <mergeCell ref="B74:E74"/>
    <mergeCell ref="K74:P74"/>
    <mergeCell ref="B75:E75"/>
    <mergeCell ref="K75:P75"/>
    <mergeCell ref="B83:F83"/>
    <mergeCell ref="G83:J83"/>
    <mergeCell ref="K83:Q83"/>
    <mergeCell ref="R83:U83"/>
    <mergeCell ref="B84:F84"/>
    <mergeCell ref="G84:J84"/>
    <mergeCell ref="K84:Q84"/>
    <mergeCell ref="R84:U84"/>
    <mergeCell ref="R80:U80"/>
    <mergeCell ref="B81:F81"/>
    <mergeCell ref="G81:J81"/>
    <mergeCell ref="K81:Q81"/>
    <mergeCell ref="R81:U81"/>
    <mergeCell ref="B82:F82"/>
    <mergeCell ref="G82:J82"/>
    <mergeCell ref="K82:Q82"/>
    <mergeCell ref="R82:U82"/>
    <mergeCell ref="B87:F87"/>
    <mergeCell ref="G87:J87"/>
    <mergeCell ref="K87:Q87"/>
    <mergeCell ref="R87:U87"/>
    <mergeCell ref="B90:C90"/>
    <mergeCell ref="D90:U90"/>
    <mergeCell ref="B85:F85"/>
    <mergeCell ref="G85:J85"/>
    <mergeCell ref="K85:Q85"/>
    <mergeCell ref="R85:U85"/>
    <mergeCell ref="B86:F86"/>
    <mergeCell ref="G86:J86"/>
    <mergeCell ref="K86:Q86"/>
    <mergeCell ref="R86:U86"/>
    <mergeCell ref="B95:B96"/>
    <mergeCell ref="D95:U95"/>
    <mergeCell ref="D96:U96"/>
    <mergeCell ref="B97:B98"/>
    <mergeCell ref="D97:U97"/>
    <mergeCell ref="D98:U98"/>
    <mergeCell ref="B91:B92"/>
    <mergeCell ref="D91:U91"/>
    <mergeCell ref="D92:U92"/>
    <mergeCell ref="B93:B94"/>
    <mergeCell ref="D93:U93"/>
    <mergeCell ref="D94:U94"/>
    <mergeCell ref="B110:U110"/>
    <mergeCell ref="B111:U111"/>
    <mergeCell ref="B112:U112"/>
    <mergeCell ref="B99:B101"/>
    <mergeCell ref="D99:U99"/>
    <mergeCell ref="D100:U100"/>
    <mergeCell ref="D101:U101"/>
    <mergeCell ref="B104:U104"/>
    <mergeCell ref="B108:U109"/>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5">
    <dataValidation type="list" allowBlank="1" showInputMessage="1" showErrorMessage="1" sqref="R71:U77 S27:U33 H38:J44 S38:U44 H49:J55 S49:U55 H60:J66 S60:U66 G71:J77 H27:J33" xr:uid="{FE5E1E68-CDC6-43FC-B712-412E9A404BD4}">
      <formula1>"○"</formula1>
    </dataValidation>
    <dataValidation type="list" allowBlank="1" showInputMessage="1" showErrorMessage="1" sqref="U34 U45 E34:H34 E45:H45" xr:uid="{07A8E14C-54C4-425E-BC3F-16F557B99953}">
      <formula1>"全学開講,一部開講"</formula1>
    </dataValidation>
    <dataValidation type="list" allowBlank="1" showInputMessage="1" showErrorMessage="1" sqref="L14 L7:U7" xr:uid="{F2EAC7F3-E357-465A-A9A6-0C900AD8BB9A}">
      <formula1>"学部・学科によって、修了要件は相違する,学部・学科によって、修了要件は相違しない"</formula1>
    </dataValidation>
    <dataValidation type="list" allowBlank="1" showInputMessage="1" showErrorMessage="1" sqref="G81:G88 R81:R88 H81:J82 H85:J88 S85:U88 S81:U82" xr:uid="{4C6A7A38-F0F0-485E-A19B-BAD70E8907E2}">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CFF7D06-A367-4B25-8358-FA47C658D6E8}">
      <formula1>$X$16:$X$18</formula1>
    </dataValidation>
  </dataValidations>
  <printOptions horizontalCentered="1"/>
  <pageMargins left="0.78740157480314965" right="0.78740157480314965" top="0.78740157480314965" bottom="0.19685039370078741" header="0.31496062992125984" footer="0.19685039370078741"/>
  <pageSetup paperSize="9" scale="69" fitToHeight="0" orientation="portrait" horizontalDpi="4294967293" r:id="rId1"/>
  <headerFooter>
    <oddHeader>&amp;C数理・データサイエンス・AI教育プログラム認定制度【リテラシーレベル】令和６年度申請用</oddHeader>
  </headerFooter>
  <rowBreaks count="2" manualBreakCount="2">
    <brk id="67" max="20" man="1"/>
    <brk id="96" max="20" man="1"/>
  </rowBreak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W33"/>
  <sheetViews>
    <sheetView view="pageBreakPreview" zoomScaleNormal="100" zoomScaleSheetLayoutView="100" workbookViewId="0">
      <selection activeCell="U10" sqref="U10:W13"/>
    </sheetView>
  </sheetViews>
  <sheetFormatPr defaultColWidth="9" defaultRowHeight="18.75" customHeight="1" x14ac:dyDescent="0.15"/>
  <cols>
    <col min="1" max="1" width="2.75" style="1" customWidth="1"/>
    <col min="2" max="2" width="20.75" style="1" customWidth="1"/>
    <col min="3" max="18" width="6.125" style="1" customWidth="1"/>
    <col min="19" max="19" width="6.625" style="1" customWidth="1"/>
    <col min="20" max="16384" width="9" style="1"/>
  </cols>
  <sheetData>
    <row r="1" spans="1:23" ht="18" customHeight="1" x14ac:dyDescent="0.15">
      <c r="A1" s="76"/>
      <c r="B1" s="76"/>
      <c r="C1" s="76"/>
      <c r="D1" s="76"/>
      <c r="E1" s="76"/>
      <c r="F1" s="76"/>
      <c r="G1" s="76"/>
      <c r="H1" s="76"/>
      <c r="I1" s="76"/>
      <c r="J1" s="76"/>
      <c r="K1" s="76"/>
      <c r="L1" s="76"/>
      <c r="M1" s="76"/>
      <c r="N1" s="76"/>
      <c r="O1" s="76"/>
      <c r="P1" s="76"/>
      <c r="Q1" s="76"/>
      <c r="R1" s="76"/>
      <c r="S1" s="76" t="s">
        <v>96</v>
      </c>
    </row>
    <row r="2" spans="1:23" ht="18" customHeight="1" x14ac:dyDescent="0.15">
      <c r="A2" s="76"/>
      <c r="B2" s="76"/>
      <c r="C2" s="76"/>
      <c r="D2" s="76"/>
      <c r="E2" s="76"/>
      <c r="F2" s="76"/>
      <c r="G2" s="76"/>
      <c r="H2" s="76"/>
      <c r="I2" s="76"/>
      <c r="J2" s="76"/>
      <c r="K2" s="76"/>
      <c r="L2" s="76"/>
      <c r="M2" s="76"/>
      <c r="N2" s="76"/>
      <c r="O2" s="76"/>
      <c r="P2" s="76"/>
      <c r="Q2" s="172" t="str">
        <f>'様式１-１　プログラムを構成する授業科目'!C2</f>
        <v>中京学院大学</v>
      </c>
      <c r="R2" s="172"/>
      <c r="S2" s="172"/>
    </row>
    <row r="3" spans="1:23" ht="18" customHeight="1" x14ac:dyDescent="0.15">
      <c r="A3" s="123" t="s">
        <v>45</v>
      </c>
      <c r="B3" s="123"/>
      <c r="C3" s="123"/>
      <c r="D3" s="123"/>
      <c r="E3" s="123"/>
      <c r="F3" s="123"/>
      <c r="G3" s="123"/>
      <c r="H3" s="123"/>
      <c r="I3" s="123"/>
      <c r="J3" s="123"/>
      <c r="K3" s="123"/>
      <c r="L3" s="123"/>
      <c r="M3" s="123"/>
      <c r="N3" s="123"/>
      <c r="O3" s="123"/>
      <c r="P3" s="123"/>
      <c r="Q3" s="123"/>
      <c r="R3" s="123"/>
      <c r="S3" s="123"/>
    </row>
    <row r="4" spans="1:23" ht="7.5" customHeight="1" x14ac:dyDescent="0.15">
      <c r="A4" s="80"/>
      <c r="B4" s="80"/>
      <c r="C4" s="80"/>
      <c r="D4" s="80"/>
      <c r="E4" s="80"/>
      <c r="F4" s="80"/>
      <c r="G4" s="80"/>
      <c r="H4" s="80"/>
      <c r="I4" s="80"/>
      <c r="J4" s="80"/>
      <c r="K4" s="80"/>
      <c r="L4" s="80"/>
      <c r="M4" s="80"/>
      <c r="N4" s="80"/>
      <c r="O4" s="80"/>
      <c r="P4" s="80"/>
      <c r="Q4" s="80"/>
      <c r="R4" s="80"/>
      <c r="S4" s="80"/>
    </row>
    <row r="5" spans="1:23" ht="18" customHeight="1" x14ac:dyDescent="0.15">
      <c r="A5" s="76" t="s">
        <v>78</v>
      </c>
      <c r="B5" s="76"/>
      <c r="C5" s="173" t="s">
        <v>166</v>
      </c>
      <c r="D5" s="174"/>
      <c r="E5" s="80" t="s">
        <v>49</v>
      </c>
      <c r="F5" s="80"/>
      <c r="G5" s="80"/>
      <c r="H5" s="80"/>
      <c r="I5" s="80"/>
      <c r="J5" s="80"/>
      <c r="K5" s="80"/>
      <c r="L5" s="80"/>
      <c r="M5" s="80"/>
      <c r="N5" s="80"/>
      <c r="O5" s="80"/>
      <c r="P5" s="80"/>
      <c r="Q5" s="80"/>
      <c r="R5" s="78"/>
      <c r="S5" s="78"/>
    </row>
    <row r="6" spans="1:23" ht="7.15" customHeight="1" x14ac:dyDescent="0.15">
      <c r="A6" s="76"/>
      <c r="B6" s="76"/>
      <c r="C6" s="87"/>
      <c r="D6" s="87"/>
      <c r="E6" s="80"/>
      <c r="F6" s="80"/>
      <c r="G6" s="80"/>
      <c r="H6" s="80"/>
      <c r="I6" s="80"/>
      <c r="J6" s="80"/>
      <c r="K6" s="80"/>
      <c r="L6" s="80"/>
      <c r="M6" s="80"/>
      <c r="N6" s="80"/>
      <c r="O6" s="80"/>
      <c r="P6" s="80"/>
      <c r="Q6" s="80"/>
      <c r="R6" s="78"/>
      <c r="S6" s="78"/>
    </row>
    <row r="7" spans="1:23" ht="18" customHeight="1" x14ac:dyDescent="0.15">
      <c r="A7" s="76" t="s">
        <v>116</v>
      </c>
      <c r="B7" s="76"/>
      <c r="C7" s="87"/>
      <c r="D7" s="87"/>
      <c r="E7" s="80" t="s">
        <v>117</v>
      </c>
      <c r="F7" s="84">
        <v>399</v>
      </c>
      <c r="G7" s="82" t="s">
        <v>118</v>
      </c>
      <c r="H7" s="80" t="s">
        <v>119</v>
      </c>
      <c r="I7" s="84">
        <v>234</v>
      </c>
      <c r="J7" s="82" t="s">
        <v>118</v>
      </c>
      <c r="K7" s="77" t="s">
        <v>120</v>
      </c>
      <c r="L7" s="80" t="s">
        <v>121</v>
      </c>
      <c r="M7" s="84">
        <f>F7+I7</f>
        <v>633</v>
      </c>
      <c r="N7" s="80" t="s">
        <v>1</v>
      </c>
      <c r="O7" s="82" t="s">
        <v>122</v>
      </c>
      <c r="P7" s="80"/>
      <c r="Q7" s="80"/>
      <c r="R7" s="78"/>
      <c r="S7" s="78"/>
    </row>
    <row r="8" spans="1:23" ht="6" customHeight="1" x14ac:dyDescent="0.15">
      <c r="A8" s="80"/>
      <c r="B8" s="80"/>
      <c r="C8" s="80"/>
      <c r="D8" s="80"/>
      <c r="E8" s="80"/>
      <c r="F8" s="80"/>
      <c r="G8" s="80"/>
      <c r="H8" s="80"/>
      <c r="I8" s="80"/>
      <c r="J8" s="80"/>
      <c r="K8" s="80"/>
      <c r="L8" s="80"/>
      <c r="M8" s="80"/>
      <c r="N8" s="80"/>
      <c r="O8" s="80"/>
      <c r="P8" s="80"/>
      <c r="Q8" s="80"/>
      <c r="R8" s="80"/>
      <c r="S8" s="80"/>
    </row>
    <row r="9" spans="1:23" ht="18" customHeight="1" x14ac:dyDescent="0.15">
      <c r="A9" s="76" t="s">
        <v>133</v>
      </c>
      <c r="B9" s="80"/>
      <c r="C9" s="80"/>
      <c r="D9" s="80"/>
      <c r="E9" s="80"/>
      <c r="F9" s="80"/>
      <c r="G9" s="80"/>
      <c r="H9" s="80"/>
      <c r="I9" s="80"/>
      <c r="J9" s="80"/>
      <c r="K9" s="80"/>
      <c r="L9" s="80"/>
      <c r="M9" s="80"/>
      <c r="N9" s="80"/>
      <c r="O9" s="80"/>
      <c r="P9" s="80"/>
      <c r="Q9" s="80"/>
      <c r="R9" s="80"/>
      <c r="S9" s="80"/>
    </row>
    <row r="10" spans="1:23" ht="6" customHeight="1" x14ac:dyDescent="0.15">
      <c r="B10" s="3"/>
      <c r="C10" s="3"/>
      <c r="D10" s="3"/>
      <c r="E10" s="3"/>
      <c r="F10" s="3"/>
      <c r="G10" s="3"/>
      <c r="H10" s="3"/>
      <c r="I10" s="3"/>
      <c r="J10" s="3"/>
      <c r="K10" s="3"/>
      <c r="L10" s="3"/>
      <c r="M10" s="3"/>
      <c r="N10" s="3"/>
      <c r="O10" s="3"/>
      <c r="P10" s="3"/>
      <c r="Q10" s="3"/>
      <c r="R10" s="3"/>
      <c r="S10" s="3"/>
    </row>
    <row r="11" spans="1:23" ht="18" customHeight="1" x14ac:dyDescent="0.15">
      <c r="B11" s="175" t="s">
        <v>42</v>
      </c>
      <c r="C11" s="185" t="s">
        <v>81</v>
      </c>
      <c r="D11" s="177" t="s">
        <v>44</v>
      </c>
      <c r="E11" s="179" t="s">
        <v>37</v>
      </c>
      <c r="F11" s="171" t="s">
        <v>110</v>
      </c>
      <c r="G11" s="171"/>
      <c r="H11" s="171" t="s">
        <v>80</v>
      </c>
      <c r="I11" s="171"/>
      <c r="J11" s="171" t="s">
        <v>46</v>
      </c>
      <c r="K11" s="171"/>
      <c r="L11" s="171" t="s">
        <v>47</v>
      </c>
      <c r="M11" s="171"/>
      <c r="N11" s="171" t="s">
        <v>90</v>
      </c>
      <c r="O11" s="171"/>
      <c r="P11" s="171" t="s">
        <v>48</v>
      </c>
      <c r="Q11" s="171"/>
      <c r="R11" s="181" t="s">
        <v>33</v>
      </c>
      <c r="S11" s="183" t="s">
        <v>30</v>
      </c>
      <c r="U11" s="2"/>
      <c r="W11" s="75"/>
    </row>
    <row r="12" spans="1:23" ht="16.899999999999999" customHeight="1" x14ac:dyDescent="0.15">
      <c r="B12" s="176"/>
      <c r="C12" s="186"/>
      <c r="D12" s="178"/>
      <c r="E12" s="180"/>
      <c r="F12" s="60" t="s">
        <v>89</v>
      </c>
      <c r="G12" s="60" t="s">
        <v>27</v>
      </c>
      <c r="H12" s="60" t="s">
        <v>89</v>
      </c>
      <c r="I12" s="60" t="s">
        <v>27</v>
      </c>
      <c r="J12" s="60" t="s">
        <v>89</v>
      </c>
      <c r="K12" s="60" t="s">
        <v>27</v>
      </c>
      <c r="L12" s="60" t="s">
        <v>89</v>
      </c>
      <c r="M12" s="60" t="s">
        <v>27</v>
      </c>
      <c r="N12" s="60" t="s">
        <v>89</v>
      </c>
      <c r="O12" s="60" t="s">
        <v>27</v>
      </c>
      <c r="P12" s="60" t="s">
        <v>89</v>
      </c>
      <c r="Q12" s="61" t="s">
        <v>27</v>
      </c>
      <c r="R12" s="182"/>
      <c r="S12" s="184"/>
      <c r="U12" s="2"/>
    </row>
    <row r="13" spans="1:23" ht="18" customHeight="1" x14ac:dyDescent="0.15">
      <c r="A13" s="5"/>
      <c r="B13" s="62" t="s">
        <v>167</v>
      </c>
      <c r="C13" s="48">
        <v>70</v>
      </c>
      <c r="D13" s="49">
        <v>150</v>
      </c>
      <c r="E13" s="50">
        <v>600</v>
      </c>
      <c r="F13" s="50">
        <v>68</v>
      </c>
      <c r="G13" s="50">
        <v>61</v>
      </c>
      <c r="H13" s="50"/>
      <c r="I13" s="50"/>
      <c r="J13" s="50"/>
      <c r="K13" s="50"/>
      <c r="L13" s="50"/>
      <c r="M13" s="50"/>
      <c r="N13" s="50"/>
      <c r="O13" s="50"/>
      <c r="P13" s="50"/>
      <c r="Q13" s="63"/>
      <c r="R13" s="49">
        <f t="shared" ref="R13" si="0">F13+H13+J13+L13+N13+P13</f>
        <v>68</v>
      </c>
      <c r="S13" s="93">
        <f t="shared" ref="S13:S14" si="1">R13/E13</f>
        <v>0.11333333333333333</v>
      </c>
    </row>
    <row r="14" spans="1:23" ht="18" customHeight="1" x14ac:dyDescent="0.15">
      <c r="A14" s="5"/>
      <c r="B14" s="10" t="s">
        <v>168</v>
      </c>
      <c r="C14" s="51">
        <v>134</v>
      </c>
      <c r="D14" s="52">
        <v>80</v>
      </c>
      <c r="E14" s="53">
        <v>320</v>
      </c>
      <c r="F14" s="54">
        <v>120</v>
      </c>
      <c r="G14" s="54">
        <v>0</v>
      </c>
      <c r="H14" s="54"/>
      <c r="I14" s="54"/>
      <c r="J14" s="54"/>
      <c r="K14" s="54"/>
      <c r="L14" s="54"/>
      <c r="M14" s="54"/>
      <c r="N14" s="54"/>
      <c r="O14" s="54"/>
      <c r="P14" s="54"/>
      <c r="Q14" s="51"/>
      <c r="R14" s="52">
        <f>F14+H14+J14+L14+N14+P14</f>
        <v>120</v>
      </c>
      <c r="S14" s="7">
        <f t="shared" si="1"/>
        <v>0.375</v>
      </c>
    </row>
    <row r="15" spans="1:23" ht="18" customHeight="1" x14ac:dyDescent="0.15">
      <c r="A15" s="5"/>
      <c r="B15" s="10"/>
      <c r="C15" s="51"/>
      <c r="D15" s="52"/>
      <c r="E15" s="53"/>
      <c r="F15" s="54"/>
      <c r="G15" s="54"/>
      <c r="H15" s="54"/>
      <c r="I15" s="54"/>
      <c r="J15" s="54"/>
      <c r="K15" s="54"/>
      <c r="L15" s="54"/>
      <c r="M15" s="54"/>
      <c r="N15" s="54"/>
      <c r="O15" s="54"/>
      <c r="P15" s="54"/>
      <c r="Q15" s="51"/>
      <c r="R15" s="52">
        <f t="shared" ref="R15:R32" si="2">F15+H15+J15+L15+N15+P15</f>
        <v>0</v>
      </c>
      <c r="S15" s="7" t="e">
        <f t="shared" ref="S15:S33" si="3">R15/E15</f>
        <v>#DIV/0!</v>
      </c>
    </row>
    <row r="16" spans="1:23" ht="18" customHeight="1" x14ac:dyDescent="0.15">
      <c r="A16" s="5"/>
      <c r="B16" s="10"/>
      <c r="C16" s="51"/>
      <c r="D16" s="52"/>
      <c r="E16" s="53"/>
      <c r="F16" s="54"/>
      <c r="G16" s="54"/>
      <c r="H16" s="54"/>
      <c r="I16" s="54"/>
      <c r="J16" s="54"/>
      <c r="K16" s="54"/>
      <c r="L16" s="54"/>
      <c r="M16" s="54"/>
      <c r="N16" s="54"/>
      <c r="O16" s="54"/>
      <c r="P16" s="54"/>
      <c r="Q16" s="51"/>
      <c r="R16" s="52">
        <f t="shared" si="2"/>
        <v>0</v>
      </c>
      <c r="S16" s="7" t="e">
        <f t="shared" si="3"/>
        <v>#DIV/0!</v>
      </c>
    </row>
    <row r="17" spans="1:19" ht="18" customHeight="1" x14ac:dyDescent="0.15">
      <c r="A17" s="5"/>
      <c r="B17" s="10"/>
      <c r="C17" s="51"/>
      <c r="D17" s="52"/>
      <c r="E17" s="53"/>
      <c r="F17" s="54"/>
      <c r="G17" s="54"/>
      <c r="H17" s="54"/>
      <c r="I17" s="54"/>
      <c r="J17" s="54"/>
      <c r="K17" s="54"/>
      <c r="L17" s="54"/>
      <c r="M17" s="54"/>
      <c r="N17" s="54"/>
      <c r="O17" s="54"/>
      <c r="P17" s="54"/>
      <c r="Q17" s="51"/>
      <c r="R17" s="52">
        <f t="shared" si="2"/>
        <v>0</v>
      </c>
      <c r="S17" s="7" t="e">
        <f t="shared" si="3"/>
        <v>#DIV/0!</v>
      </c>
    </row>
    <row r="18" spans="1:19" ht="18" customHeight="1" x14ac:dyDescent="0.15">
      <c r="A18" s="5"/>
      <c r="B18" s="10"/>
      <c r="C18" s="51"/>
      <c r="D18" s="52"/>
      <c r="E18" s="53"/>
      <c r="F18" s="54"/>
      <c r="G18" s="54"/>
      <c r="H18" s="54"/>
      <c r="I18" s="54"/>
      <c r="J18" s="54"/>
      <c r="K18" s="54"/>
      <c r="L18" s="54"/>
      <c r="M18" s="54"/>
      <c r="N18" s="54"/>
      <c r="O18" s="54"/>
      <c r="P18" s="54"/>
      <c r="Q18" s="51"/>
      <c r="R18" s="52">
        <f t="shared" si="2"/>
        <v>0</v>
      </c>
      <c r="S18" s="7" t="e">
        <f t="shared" si="3"/>
        <v>#DIV/0!</v>
      </c>
    </row>
    <row r="19" spans="1:19" ht="18" customHeight="1" x14ac:dyDescent="0.15">
      <c r="A19" s="5"/>
      <c r="B19" s="10"/>
      <c r="C19" s="51"/>
      <c r="D19" s="52"/>
      <c r="E19" s="53"/>
      <c r="F19" s="54"/>
      <c r="G19" s="54"/>
      <c r="H19" s="54"/>
      <c r="I19" s="54"/>
      <c r="J19" s="54"/>
      <c r="K19" s="54"/>
      <c r="L19" s="54"/>
      <c r="M19" s="54"/>
      <c r="N19" s="54"/>
      <c r="O19" s="54"/>
      <c r="P19" s="54"/>
      <c r="Q19" s="51"/>
      <c r="R19" s="52">
        <f t="shared" si="2"/>
        <v>0</v>
      </c>
      <c r="S19" s="7" t="e">
        <f t="shared" si="3"/>
        <v>#DIV/0!</v>
      </c>
    </row>
    <row r="20" spans="1:19" ht="18" customHeight="1" x14ac:dyDescent="0.15">
      <c r="A20" s="5"/>
      <c r="B20" s="10"/>
      <c r="C20" s="51"/>
      <c r="D20" s="52"/>
      <c r="E20" s="53"/>
      <c r="F20" s="54"/>
      <c r="G20" s="54"/>
      <c r="H20" s="54"/>
      <c r="I20" s="54"/>
      <c r="J20" s="54"/>
      <c r="K20" s="54"/>
      <c r="L20" s="54"/>
      <c r="M20" s="54"/>
      <c r="N20" s="54"/>
      <c r="O20" s="54"/>
      <c r="P20" s="54"/>
      <c r="Q20" s="51"/>
      <c r="R20" s="52">
        <f t="shared" si="2"/>
        <v>0</v>
      </c>
      <c r="S20" s="7" t="e">
        <f t="shared" si="3"/>
        <v>#DIV/0!</v>
      </c>
    </row>
    <row r="21" spans="1:19" ht="18" customHeight="1" x14ac:dyDescent="0.15">
      <c r="A21" s="5"/>
      <c r="B21" s="10"/>
      <c r="C21" s="51"/>
      <c r="D21" s="52"/>
      <c r="E21" s="53"/>
      <c r="F21" s="54"/>
      <c r="G21" s="54"/>
      <c r="H21" s="54"/>
      <c r="I21" s="54"/>
      <c r="J21" s="54"/>
      <c r="K21" s="54"/>
      <c r="L21" s="54"/>
      <c r="M21" s="54"/>
      <c r="N21" s="54"/>
      <c r="O21" s="54"/>
      <c r="P21" s="54"/>
      <c r="Q21" s="51"/>
      <c r="R21" s="52">
        <f t="shared" si="2"/>
        <v>0</v>
      </c>
      <c r="S21" s="7" t="e">
        <f t="shared" si="3"/>
        <v>#DIV/0!</v>
      </c>
    </row>
    <row r="22" spans="1:19" ht="18" customHeight="1" x14ac:dyDescent="0.15">
      <c r="A22" s="5"/>
      <c r="B22" s="10"/>
      <c r="C22" s="51"/>
      <c r="D22" s="52"/>
      <c r="E22" s="53"/>
      <c r="F22" s="54"/>
      <c r="G22" s="54"/>
      <c r="H22" s="54"/>
      <c r="I22" s="54"/>
      <c r="J22" s="54"/>
      <c r="K22" s="54"/>
      <c r="L22" s="54"/>
      <c r="M22" s="54"/>
      <c r="N22" s="54"/>
      <c r="O22" s="54"/>
      <c r="P22" s="54"/>
      <c r="Q22" s="51"/>
      <c r="R22" s="52">
        <f t="shared" si="2"/>
        <v>0</v>
      </c>
      <c r="S22" s="7" t="e">
        <f t="shared" si="3"/>
        <v>#DIV/0!</v>
      </c>
    </row>
    <row r="23" spans="1:19" ht="18" customHeight="1" x14ac:dyDescent="0.15">
      <c r="A23" s="5"/>
      <c r="B23" s="10"/>
      <c r="C23" s="51"/>
      <c r="D23" s="52"/>
      <c r="E23" s="53"/>
      <c r="F23" s="54"/>
      <c r="G23" s="54"/>
      <c r="H23" s="54"/>
      <c r="I23" s="54"/>
      <c r="J23" s="54"/>
      <c r="K23" s="54"/>
      <c r="L23" s="54"/>
      <c r="M23" s="54"/>
      <c r="N23" s="54"/>
      <c r="O23" s="54"/>
      <c r="P23" s="54"/>
      <c r="Q23" s="51"/>
      <c r="R23" s="52">
        <f t="shared" si="2"/>
        <v>0</v>
      </c>
      <c r="S23" s="7" t="e">
        <f t="shared" si="3"/>
        <v>#DIV/0!</v>
      </c>
    </row>
    <row r="24" spans="1:19" ht="18" customHeight="1" x14ac:dyDescent="0.15">
      <c r="A24" s="5"/>
      <c r="B24" s="10"/>
      <c r="C24" s="51"/>
      <c r="D24" s="52"/>
      <c r="E24" s="53"/>
      <c r="F24" s="54"/>
      <c r="G24" s="54"/>
      <c r="H24" s="54"/>
      <c r="I24" s="54"/>
      <c r="J24" s="54"/>
      <c r="K24" s="54"/>
      <c r="L24" s="54"/>
      <c r="M24" s="54"/>
      <c r="N24" s="54"/>
      <c r="O24" s="54"/>
      <c r="P24" s="54"/>
      <c r="Q24" s="51"/>
      <c r="R24" s="52">
        <f t="shared" si="2"/>
        <v>0</v>
      </c>
      <c r="S24" s="7" t="e">
        <f t="shared" si="3"/>
        <v>#DIV/0!</v>
      </c>
    </row>
    <row r="25" spans="1:19" ht="18" customHeight="1" x14ac:dyDescent="0.15">
      <c r="A25" s="5"/>
      <c r="B25" s="10"/>
      <c r="C25" s="51"/>
      <c r="D25" s="52"/>
      <c r="E25" s="53"/>
      <c r="F25" s="54"/>
      <c r="G25" s="54"/>
      <c r="H25" s="54"/>
      <c r="I25" s="54"/>
      <c r="J25" s="54"/>
      <c r="K25" s="54"/>
      <c r="L25" s="54"/>
      <c r="M25" s="54"/>
      <c r="N25" s="54"/>
      <c r="O25" s="54"/>
      <c r="P25" s="54"/>
      <c r="Q25" s="51"/>
      <c r="R25" s="52">
        <f t="shared" si="2"/>
        <v>0</v>
      </c>
      <c r="S25" s="7" t="e">
        <f t="shared" si="3"/>
        <v>#DIV/0!</v>
      </c>
    </row>
    <row r="26" spans="1:19" ht="18" customHeight="1" x14ac:dyDescent="0.15">
      <c r="A26" s="5"/>
      <c r="B26" s="10"/>
      <c r="C26" s="51"/>
      <c r="D26" s="52"/>
      <c r="E26" s="53"/>
      <c r="F26" s="54"/>
      <c r="G26" s="54"/>
      <c r="H26" s="54"/>
      <c r="I26" s="54"/>
      <c r="J26" s="54"/>
      <c r="K26" s="54"/>
      <c r="L26" s="54"/>
      <c r="M26" s="54"/>
      <c r="N26" s="54"/>
      <c r="O26" s="54"/>
      <c r="P26" s="54"/>
      <c r="Q26" s="51"/>
      <c r="R26" s="52">
        <f t="shared" si="2"/>
        <v>0</v>
      </c>
      <c r="S26" s="7" t="e">
        <f t="shared" si="3"/>
        <v>#DIV/0!</v>
      </c>
    </row>
    <row r="27" spans="1:19" ht="18" customHeight="1" x14ac:dyDescent="0.15">
      <c r="A27" s="5"/>
      <c r="B27" s="10"/>
      <c r="C27" s="51"/>
      <c r="D27" s="52"/>
      <c r="E27" s="53"/>
      <c r="F27" s="54"/>
      <c r="G27" s="54"/>
      <c r="H27" s="54"/>
      <c r="I27" s="54"/>
      <c r="J27" s="54"/>
      <c r="K27" s="54"/>
      <c r="L27" s="54"/>
      <c r="M27" s="54"/>
      <c r="N27" s="54"/>
      <c r="O27" s="54"/>
      <c r="P27" s="54"/>
      <c r="Q27" s="51"/>
      <c r="R27" s="52">
        <f t="shared" si="2"/>
        <v>0</v>
      </c>
      <c r="S27" s="7" t="e">
        <f t="shared" si="3"/>
        <v>#DIV/0!</v>
      </c>
    </row>
    <row r="28" spans="1:19" ht="18" customHeight="1" x14ac:dyDescent="0.15">
      <c r="A28" s="5"/>
      <c r="B28" s="10"/>
      <c r="C28" s="51"/>
      <c r="D28" s="52"/>
      <c r="E28" s="53"/>
      <c r="F28" s="54"/>
      <c r="G28" s="54"/>
      <c r="H28" s="54"/>
      <c r="I28" s="54"/>
      <c r="J28" s="54"/>
      <c r="K28" s="54"/>
      <c r="L28" s="54"/>
      <c r="M28" s="54"/>
      <c r="N28" s="54"/>
      <c r="O28" s="54"/>
      <c r="P28" s="54"/>
      <c r="Q28" s="51"/>
      <c r="R28" s="52">
        <f t="shared" si="2"/>
        <v>0</v>
      </c>
      <c r="S28" s="7" t="e">
        <f t="shared" si="3"/>
        <v>#DIV/0!</v>
      </c>
    </row>
    <row r="29" spans="1:19" ht="18" customHeight="1" x14ac:dyDescent="0.15">
      <c r="A29" s="5"/>
      <c r="B29" s="10"/>
      <c r="C29" s="51"/>
      <c r="D29" s="52"/>
      <c r="E29" s="53"/>
      <c r="F29" s="54"/>
      <c r="G29" s="54"/>
      <c r="H29" s="54"/>
      <c r="I29" s="54"/>
      <c r="J29" s="54"/>
      <c r="K29" s="54"/>
      <c r="L29" s="54"/>
      <c r="M29" s="54"/>
      <c r="N29" s="54"/>
      <c r="O29" s="54"/>
      <c r="P29" s="54"/>
      <c r="Q29" s="51"/>
      <c r="R29" s="52">
        <f t="shared" si="2"/>
        <v>0</v>
      </c>
      <c r="S29" s="7" t="e">
        <f t="shared" si="3"/>
        <v>#DIV/0!</v>
      </c>
    </row>
    <row r="30" spans="1:19" ht="18" customHeight="1" x14ac:dyDescent="0.15">
      <c r="A30" s="5"/>
      <c r="B30" s="10"/>
      <c r="C30" s="51"/>
      <c r="D30" s="55"/>
      <c r="E30" s="53"/>
      <c r="F30" s="54"/>
      <c r="G30" s="54"/>
      <c r="H30" s="54"/>
      <c r="I30" s="54"/>
      <c r="J30" s="54"/>
      <c r="K30" s="54"/>
      <c r="L30" s="54"/>
      <c r="M30" s="54"/>
      <c r="N30" s="54"/>
      <c r="O30" s="54"/>
      <c r="P30" s="54"/>
      <c r="Q30" s="51"/>
      <c r="R30" s="55">
        <f t="shared" si="2"/>
        <v>0</v>
      </c>
      <c r="S30" s="7" t="e">
        <f t="shared" si="3"/>
        <v>#DIV/0!</v>
      </c>
    </row>
    <row r="31" spans="1:19" ht="18" customHeight="1" x14ac:dyDescent="0.15">
      <c r="A31" s="5"/>
      <c r="B31" s="10"/>
      <c r="C31" s="51"/>
      <c r="D31" s="55"/>
      <c r="E31" s="53"/>
      <c r="F31" s="54"/>
      <c r="G31" s="54"/>
      <c r="H31" s="54"/>
      <c r="I31" s="54"/>
      <c r="J31" s="54"/>
      <c r="K31" s="54"/>
      <c r="L31" s="54"/>
      <c r="M31" s="54"/>
      <c r="N31" s="54"/>
      <c r="O31" s="54"/>
      <c r="P31" s="54"/>
      <c r="Q31" s="51"/>
      <c r="R31" s="55">
        <f t="shared" si="2"/>
        <v>0</v>
      </c>
      <c r="S31" s="7" t="e">
        <f t="shared" si="3"/>
        <v>#DIV/0!</v>
      </c>
    </row>
    <row r="32" spans="1:19" ht="18" customHeight="1" thickBot="1" x14ac:dyDescent="0.2">
      <c r="A32" s="5"/>
      <c r="B32" s="11"/>
      <c r="C32" s="48"/>
      <c r="D32" s="56"/>
      <c r="E32" s="50"/>
      <c r="F32" s="50"/>
      <c r="G32" s="50"/>
      <c r="H32" s="50"/>
      <c r="I32" s="50"/>
      <c r="J32" s="50"/>
      <c r="K32" s="50"/>
      <c r="L32" s="50"/>
      <c r="M32" s="50"/>
      <c r="N32" s="50"/>
      <c r="O32" s="50"/>
      <c r="P32" s="50"/>
      <c r="Q32" s="51"/>
      <c r="R32" s="56">
        <f t="shared" si="2"/>
        <v>0</v>
      </c>
      <c r="S32" s="6" t="e">
        <f t="shared" si="3"/>
        <v>#DIV/0!</v>
      </c>
    </row>
    <row r="33" spans="2:19" ht="18" customHeight="1" thickTop="1" x14ac:dyDescent="0.15">
      <c r="B33" s="12" t="s">
        <v>31</v>
      </c>
      <c r="C33" s="57">
        <f t="shared" ref="C33" si="4">SUM(C13:C32)</f>
        <v>204</v>
      </c>
      <c r="D33" s="58">
        <f t="shared" ref="D33:R33" si="5">SUM(D13:D32)</f>
        <v>230</v>
      </c>
      <c r="E33" s="59">
        <f t="shared" si="5"/>
        <v>920</v>
      </c>
      <c r="F33" s="59">
        <f t="shared" si="5"/>
        <v>188</v>
      </c>
      <c r="G33" s="59">
        <f t="shared" ref="G33:H33" si="6">SUM(G13:G32)</f>
        <v>61</v>
      </c>
      <c r="H33" s="59">
        <f t="shared" si="6"/>
        <v>0</v>
      </c>
      <c r="I33" s="59">
        <f t="shared" ref="I33:J33" si="7">SUM(I13:I32)</f>
        <v>0</v>
      </c>
      <c r="J33" s="59">
        <f t="shared" si="7"/>
        <v>0</v>
      </c>
      <c r="K33" s="59">
        <f t="shared" ref="K33:O33" si="8">SUM(K13:K32)</f>
        <v>0</v>
      </c>
      <c r="L33" s="59">
        <f t="shared" si="8"/>
        <v>0</v>
      </c>
      <c r="M33" s="59">
        <f t="shared" si="8"/>
        <v>0</v>
      </c>
      <c r="N33" s="59">
        <f t="shared" si="8"/>
        <v>0</v>
      </c>
      <c r="O33" s="59">
        <f t="shared" si="8"/>
        <v>0</v>
      </c>
      <c r="P33" s="59">
        <f t="shared" ref="P33:Q33" si="9">SUM(P13:P32)</f>
        <v>0</v>
      </c>
      <c r="Q33" s="57">
        <f t="shared" si="9"/>
        <v>0</v>
      </c>
      <c r="R33" s="58">
        <f t="shared" si="5"/>
        <v>188</v>
      </c>
      <c r="S33" s="8">
        <f t="shared" si="3"/>
        <v>0.20434782608695654</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9" orientation="landscape" r:id="rId1"/>
  <headerFooter>
    <oddHeader>&amp;C数理・データサイエンス・AI教育プログラム認定制度【リテラシーレベル】</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view="pageBreakPreview" zoomScaleNormal="100" zoomScaleSheetLayoutView="100" workbookViewId="0">
      <selection activeCell="B51" sqref="B51:I51"/>
    </sheetView>
  </sheetViews>
  <sheetFormatPr defaultColWidth="11.375" defaultRowHeight="18.75" customHeight="1" x14ac:dyDescent="0.15"/>
  <cols>
    <col min="1" max="1" width="2.75" style="29" customWidth="1"/>
    <col min="2" max="2" width="16.625" style="1" customWidth="1"/>
    <col min="3" max="3" width="8.875" style="1" customWidth="1"/>
    <col min="4" max="4" width="2.25" style="1" customWidth="1"/>
    <col min="5" max="5" width="16.625" style="1" customWidth="1"/>
    <col min="6" max="6" width="4.375" style="1" customWidth="1"/>
    <col min="7" max="7" width="9" style="1" customWidth="1"/>
    <col min="8" max="8" width="16.625" style="1" customWidth="1"/>
    <col min="9" max="9" width="12.125" style="1" customWidth="1"/>
    <col min="10" max="16384" width="11.375" style="1"/>
  </cols>
  <sheetData>
    <row r="1" spans="1:9" ht="18.75" customHeight="1" x14ac:dyDescent="0.15">
      <c r="A1" s="29" t="s">
        <v>61</v>
      </c>
      <c r="I1" s="27" t="s">
        <v>95</v>
      </c>
    </row>
    <row r="2" spans="1:9" ht="18.75" customHeight="1" x14ac:dyDescent="0.15">
      <c r="G2" s="27" t="s">
        <v>97</v>
      </c>
      <c r="H2" s="99" t="str">
        <f>'様式１-１　プログラムを構成する授業科目'!C2</f>
        <v>中京学院大学</v>
      </c>
      <c r="I2" s="101"/>
    </row>
    <row r="3" spans="1:9" ht="18.75" customHeight="1" x14ac:dyDescent="0.15">
      <c r="G3" s="27"/>
      <c r="H3" s="9"/>
      <c r="I3" s="9"/>
    </row>
    <row r="4" spans="1:9" ht="18.600000000000001" customHeight="1" x14ac:dyDescent="0.15">
      <c r="A4" s="188" t="s">
        <v>34</v>
      </c>
      <c r="B4" s="188"/>
      <c r="C4" s="188"/>
      <c r="D4" s="188"/>
      <c r="E4" s="188"/>
      <c r="F4" s="188"/>
      <c r="G4" s="188"/>
      <c r="H4" s="188"/>
      <c r="I4" s="188"/>
    </row>
    <row r="5" spans="1:9" ht="13.15" customHeight="1" x14ac:dyDescent="0.15">
      <c r="B5" s="74"/>
      <c r="C5" s="74"/>
      <c r="D5" s="74"/>
      <c r="E5" s="74"/>
      <c r="F5" s="74"/>
      <c r="G5" s="74"/>
      <c r="H5" s="74"/>
      <c r="I5" s="74"/>
    </row>
    <row r="6" spans="1:9" ht="18" customHeight="1" x14ac:dyDescent="0.15">
      <c r="A6" s="75" t="s">
        <v>0</v>
      </c>
      <c r="B6" s="9" t="s">
        <v>84</v>
      </c>
      <c r="C6" s="208" t="s">
        <v>85</v>
      </c>
      <c r="D6" s="208"/>
      <c r="E6" s="26">
        <v>18</v>
      </c>
      <c r="F6" s="74" t="s">
        <v>1</v>
      </c>
      <c r="G6" s="74" t="s">
        <v>2</v>
      </c>
      <c r="H6" s="26">
        <v>8</v>
      </c>
      <c r="I6" s="9" t="s">
        <v>1</v>
      </c>
    </row>
    <row r="7" spans="1:9" ht="12" customHeight="1" x14ac:dyDescent="0.15">
      <c r="B7" s="75"/>
      <c r="C7" s="2"/>
      <c r="D7" s="2"/>
      <c r="E7" s="2"/>
      <c r="F7" s="2"/>
      <c r="G7" s="2"/>
      <c r="H7" s="2"/>
      <c r="I7" s="30"/>
    </row>
    <row r="8" spans="1:9" ht="18" customHeight="1" x14ac:dyDescent="0.15">
      <c r="A8" s="75" t="s">
        <v>3</v>
      </c>
      <c r="B8" s="9" t="s">
        <v>86</v>
      </c>
      <c r="C8" s="75"/>
      <c r="D8" s="75"/>
      <c r="E8" s="74"/>
      <c r="F8" s="74"/>
      <c r="G8" s="74"/>
      <c r="H8" s="26">
        <v>3</v>
      </c>
      <c r="I8" s="9" t="s">
        <v>1</v>
      </c>
    </row>
    <row r="9" spans="1:9" ht="9" customHeight="1" x14ac:dyDescent="0.15">
      <c r="B9" s="74"/>
      <c r="C9" s="74"/>
      <c r="D9" s="74"/>
      <c r="E9" s="74"/>
      <c r="F9" s="74"/>
      <c r="G9" s="74"/>
      <c r="H9" s="74"/>
      <c r="I9" s="74"/>
    </row>
    <row r="10" spans="1:9" ht="18" customHeight="1" x14ac:dyDescent="0.15">
      <c r="A10" s="75" t="s">
        <v>4</v>
      </c>
      <c r="B10" s="9" t="s">
        <v>87</v>
      </c>
      <c r="C10" s="74"/>
      <c r="D10" s="74"/>
      <c r="E10" s="74"/>
      <c r="F10" s="74"/>
      <c r="G10" s="74"/>
      <c r="H10" s="74"/>
      <c r="I10" s="74"/>
    </row>
    <row r="11" spans="1:9" ht="18" customHeight="1" x14ac:dyDescent="0.15">
      <c r="B11" s="27" t="s">
        <v>40</v>
      </c>
      <c r="C11" s="203" t="s">
        <v>169</v>
      </c>
      <c r="D11" s="206"/>
      <c r="E11" s="207"/>
      <c r="F11" s="30"/>
      <c r="G11" s="27" t="s">
        <v>10</v>
      </c>
      <c r="H11" s="203" t="s">
        <v>170</v>
      </c>
      <c r="I11" s="207"/>
    </row>
    <row r="12" spans="1:9" ht="10.15" customHeight="1" x14ac:dyDescent="0.15">
      <c r="B12" s="27"/>
      <c r="C12" s="9"/>
      <c r="D12" s="30"/>
      <c r="E12" s="30"/>
      <c r="F12" s="30"/>
      <c r="G12" s="27"/>
      <c r="H12" s="9"/>
      <c r="I12" s="30"/>
    </row>
    <row r="13" spans="1:9" ht="18" customHeight="1" x14ac:dyDescent="0.15">
      <c r="A13" s="75" t="s">
        <v>7</v>
      </c>
      <c r="B13" s="9" t="s">
        <v>82</v>
      </c>
      <c r="C13" s="74"/>
      <c r="D13" s="74"/>
      <c r="E13" s="74"/>
      <c r="F13" s="74"/>
      <c r="G13" s="74"/>
      <c r="H13" s="74"/>
      <c r="I13" s="74"/>
    </row>
    <row r="14" spans="1:9" ht="18" customHeight="1" x14ac:dyDescent="0.15">
      <c r="B14" s="203" t="s">
        <v>171</v>
      </c>
      <c r="C14" s="204"/>
      <c r="D14" s="204"/>
      <c r="E14" s="204"/>
      <c r="F14" s="204"/>
      <c r="G14" s="204"/>
      <c r="H14" s="204"/>
      <c r="I14" s="205"/>
    </row>
    <row r="15" spans="1:9" ht="9" customHeight="1" x14ac:dyDescent="0.15">
      <c r="B15" s="74"/>
      <c r="C15" s="74"/>
      <c r="D15" s="74"/>
      <c r="E15" s="74"/>
      <c r="F15" s="74"/>
      <c r="G15" s="74"/>
      <c r="H15" s="74"/>
      <c r="I15" s="74"/>
    </row>
    <row r="16" spans="1:9" ht="18" customHeight="1" x14ac:dyDescent="0.15">
      <c r="B16" s="27" t="s">
        <v>40</v>
      </c>
      <c r="C16" s="203" t="s">
        <v>172</v>
      </c>
      <c r="D16" s="206"/>
      <c r="E16" s="207"/>
      <c r="F16" s="30"/>
      <c r="G16" s="27" t="s">
        <v>10</v>
      </c>
      <c r="H16" s="203" t="s">
        <v>173</v>
      </c>
      <c r="I16" s="207"/>
    </row>
    <row r="17" spans="1:9" ht="18" customHeight="1" x14ac:dyDescent="0.15">
      <c r="B17" s="74"/>
      <c r="C17" s="74"/>
      <c r="D17" s="74"/>
      <c r="E17" s="74"/>
      <c r="F17" s="74"/>
      <c r="G17" s="74"/>
      <c r="H17" s="74"/>
      <c r="I17" s="74"/>
    </row>
    <row r="18" spans="1:9" ht="18.75" customHeight="1" x14ac:dyDescent="0.15">
      <c r="A18" s="75" t="s">
        <v>5</v>
      </c>
      <c r="B18" s="75" t="s">
        <v>39</v>
      </c>
      <c r="C18" s="75"/>
      <c r="D18" s="75"/>
      <c r="E18" s="75"/>
      <c r="F18" s="75"/>
      <c r="G18" s="75"/>
      <c r="H18" s="75"/>
      <c r="I18" s="74"/>
    </row>
    <row r="19" spans="1:9" ht="18.75" customHeight="1" x14ac:dyDescent="0.15">
      <c r="A19" s="75"/>
      <c r="B19" s="189" t="s">
        <v>174</v>
      </c>
      <c r="C19" s="190"/>
      <c r="D19" s="190"/>
      <c r="E19" s="190"/>
      <c r="F19" s="190"/>
      <c r="G19" s="190"/>
      <c r="H19" s="190"/>
      <c r="I19" s="191"/>
    </row>
    <row r="20" spans="1:9" ht="7.5" customHeight="1" x14ac:dyDescent="0.15">
      <c r="B20" s="74"/>
      <c r="C20" s="74"/>
      <c r="D20" s="74"/>
      <c r="E20" s="74"/>
      <c r="F20" s="74"/>
      <c r="G20" s="74"/>
      <c r="H20" s="74"/>
      <c r="I20" s="74"/>
    </row>
    <row r="21" spans="1:9" ht="18.75" customHeight="1" x14ac:dyDescent="0.15">
      <c r="A21" s="75" t="s">
        <v>8</v>
      </c>
      <c r="B21" s="75" t="s">
        <v>23</v>
      </c>
      <c r="C21" s="75"/>
      <c r="D21" s="75"/>
      <c r="E21" s="75"/>
      <c r="F21" s="75"/>
      <c r="G21" s="75"/>
      <c r="H21" s="75"/>
      <c r="I21" s="75"/>
    </row>
    <row r="22" spans="1:9" ht="18.75" customHeight="1" x14ac:dyDescent="0.15">
      <c r="A22" s="73"/>
      <c r="B22" s="192" t="s">
        <v>175</v>
      </c>
      <c r="C22" s="193"/>
      <c r="D22" s="193"/>
      <c r="E22" s="193"/>
      <c r="F22" s="193"/>
      <c r="G22" s="193"/>
      <c r="H22" s="193"/>
      <c r="I22" s="194"/>
    </row>
    <row r="23" spans="1:9" ht="18.75" customHeight="1" x14ac:dyDescent="0.15">
      <c r="A23" s="73"/>
      <c r="B23" s="195"/>
      <c r="C23" s="196"/>
      <c r="D23" s="196"/>
      <c r="E23" s="196"/>
      <c r="F23" s="196"/>
      <c r="G23" s="196"/>
      <c r="H23" s="196"/>
      <c r="I23" s="197"/>
    </row>
    <row r="24" spans="1:9" ht="18.75" customHeight="1" x14ac:dyDescent="0.15">
      <c r="A24" s="73"/>
      <c r="B24" s="195"/>
      <c r="C24" s="196"/>
      <c r="D24" s="196"/>
      <c r="E24" s="196"/>
      <c r="F24" s="196"/>
      <c r="G24" s="196"/>
      <c r="H24" s="196"/>
      <c r="I24" s="197"/>
    </row>
    <row r="25" spans="1:9" ht="18.75" customHeight="1" x14ac:dyDescent="0.15">
      <c r="A25" s="73"/>
      <c r="B25" s="195"/>
      <c r="C25" s="196"/>
      <c r="D25" s="196"/>
      <c r="E25" s="196"/>
      <c r="F25" s="196"/>
      <c r="G25" s="196"/>
      <c r="H25" s="196"/>
      <c r="I25" s="197"/>
    </row>
    <row r="26" spans="1:9" ht="18.75" customHeight="1" x14ac:dyDescent="0.15">
      <c r="A26" s="73"/>
      <c r="B26" s="195"/>
      <c r="C26" s="196"/>
      <c r="D26" s="196"/>
      <c r="E26" s="196"/>
      <c r="F26" s="196"/>
      <c r="G26" s="196"/>
      <c r="H26" s="196"/>
      <c r="I26" s="197"/>
    </row>
    <row r="27" spans="1:9" ht="18.75" customHeight="1" x14ac:dyDescent="0.15">
      <c r="A27" s="73"/>
      <c r="B27" s="195"/>
      <c r="C27" s="196"/>
      <c r="D27" s="196"/>
      <c r="E27" s="196"/>
      <c r="F27" s="196"/>
      <c r="G27" s="196"/>
      <c r="H27" s="196"/>
      <c r="I27" s="197"/>
    </row>
    <row r="28" spans="1:9" ht="18.75" customHeight="1" x14ac:dyDescent="0.15">
      <c r="A28" s="73"/>
      <c r="B28" s="195"/>
      <c r="C28" s="196"/>
      <c r="D28" s="196"/>
      <c r="E28" s="196"/>
      <c r="F28" s="196"/>
      <c r="G28" s="196"/>
      <c r="H28" s="196"/>
      <c r="I28" s="197"/>
    </row>
    <row r="29" spans="1:9" ht="18.75" customHeight="1" x14ac:dyDescent="0.15">
      <c r="A29" s="73"/>
      <c r="B29" s="195"/>
      <c r="C29" s="196"/>
      <c r="D29" s="196"/>
      <c r="E29" s="196"/>
      <c r="F29" s="196"/>
      <c r="G29" s="196"/>
      <c r="H29" s="196"/>
      <c r="I29" s="197"/>
    </row>
    <row r="30" spans="1:9" ht="18.75" customHeight="1" x14ac:dyDescent="0.15">
      <c r="A30" s="73"/>
      <c r="B30" s="198"/>
      <c r="C30" s="199"/>
      <c r="D30" s="199"/>
      <c r="E30" s="199"/>
      <c r="F30" s="199"/>
      <c r="G30" s="199"/>
      <c r="H30" s="199"/>
      <c r="I30" s="197"/>
    </row>
    <row r="31" spans="1:9" ht="18.75" customHeight="1" x14ac:dyDescent="0.15">
      <c r="A31" s="73"/>
      <c r="B31" s="198"/>
      <c r="C31" s="199"/>
      <c r="D31" s="199"/>
      <c r="E31" s="199"/>
      <c r="F31" s="199"/>
      <c r="G31" s="199"/>
      <c r="H31" s="199"/>
      <c r="I31" s="197"/>
    </row>
    <row r="32" spans="1:9" ht="18.75" customHeight="1" x14ac:dyDescent="0.15">
      <c r="A32" s="73"/>
      <c r="B32" s="200"/>
      <c r="C32" s="201"/>
      <c r="D32" s="201"/>
      <c r="E32" s="201"/>
      <c r="F32" s="201"/>
      <c r="G32" s="201"/>
      <c r="H32" s="201"/>
      <c r="I32" s="202"/>
    </row>
    <row r="33" spans="1:9" ht="7.5" customHeight="1" x14ac:dyDescent="0.15">
      <c r="A33" s="73"/>
      <c r="B33" s="73"/>
      <c r="C33" s="73"/>
      <c r="D33" s="73"/>
      <c r="E33" s="73"/>
      <c r="F33" s="73"/>
      <c r="G33" s="73"/>
      <c r="H33" s="73"/>
      <c r="I33" s="73"/>
    </row>
    <row r="34" spans="1:9" ht="18.75" customHeight="1" x14ac:dyDescent="0.15">
      <c r="A34" s="70" t="s">
        <v>6</v>
      </c>
      <c r="B34" s="70" t="s">
        <v>9</v>
      </c>
      <c r="C34" s="9"/>
      <c r="D34" s="70"/>
      <c r="E34" s="70"/>
      <c r="F34" s="70"/>
      <c r="G34" s="70"/>
      <c r="H34" s="70"/>
      <c r="I34" s="70"/>
    </row>
    <row r="35" spans="1:9" ht="18.75" customHeight="1" x14ac:dyDescent="0.15">
      <c r="A35" s="73"/>
      <c r="B35" s="192" t="s">
        <v>181</v>
      </c>
      <c r="C35" s="193"/>
      <c r="D35" s="193"/>
      <c r="E35" s="193"/>
      <c r="F35" s="193"/>
      <c r="G35" s="193"/>
      <c r="H35" s="193"/>
      <c r="I35" s="194"/>
    </row>
    <row r="36" spans="1:9" ht="18.75" customHeight="1" x14ac:dyDescent="0.15">
      <c r="A36" s="73"/>
      <c r="B36" s="198"/>
      <c r="C36" s="199"/>
      <c r="D36" s="199"/>
      <c r="E36" s="199"/>
      <c r="F36" s="199"/>
      <c r="G36" s="199"/>
      <c r="H36" s="199"/>
      <c r="I36" s="197"/>
    </row>
    <row r="37" spans="1:9" ht="18.75" customHeight="1" x14ac:dyDescent="0.15">
      <c r="A37" s="73"/>
      <c r="B37" s="198"/>
      <c r="C37" s="199"/>
      <c r="D37" s="199"/>
      <c r="E37" s="199"/>
      <c r="F37" s="199"/>
      <c r="G37" s="199"/>
      <c r="H37" s="199"/>
      <c r="I37" s="197"/>
    </row>
    <row r="38" spans="1:9" ht="18.75" customHeight="1" x14ac:dyDescent="0.15">
      <c r="A38" s="73"/>
      <c r="B38" s="198"/>
      <c r="C38" s="199"/>
      <c r="D38" s="199"/>
      <c r="E38" s="199"/>
      <c r="F38" s="199"/>
      <c r="G38" s="199"/>
      <c r="H38" s="199"/>
      <c r="I38" s="197"/>
    </row>
    <row r="39" spans="1:9" ht="18.75" customHeight="1" x14ac:dyDescent="0.15">
      <c r="A39" s="73"/>
      <c r="B39" s="198"/>
      <c r="C39" s="199"/>
      <c r="D39" s="199"/>
      <c r="E39" s="199"/>
      <c r="F39" s="199"/>
      <c r="G39" s="199"/>
      <c r="H39" s="199"/>
      <c r="I39" s="197"/>
    </row>
    <row r="40" spans="1:9" ht="18.75" customHeight="1" x14ac:dyDescent="0.15">
      <c r="A40" s="73"/>
      <c r="B40" s="198"/>
      <c r="C40" s="199"/>
      <c r="D40" s="199"/>
      <c r="E40" s="199"/>
      <c r="F40" s="199"/>
      <c r="G40" s="199"/>
      <c r="H40" s="199"/>
      <c r="I40" s="197"/>
    </row>
    <row r="41" spans="1:9" ht="18.75" customHeight="1" x14ac:dyDescent="0.15">
      <c r="A41" s="73"/>
      <c r="B41" s="198"/>
      <c r="C41" s="199"/>
      <c r="D41" s="199"/>
      <c r="E41" s="199"/>
      <c r="F41" s="199"/>
      <c r="G41" s="199"/>
      <c r="H41" s="199"/>
      <c r="I41" s="197"/>
    </row>
    <row r="42" spans="1:9" ht="18.75" customHeight="1" x14ac:dyDescent="0.15">
      <c r="A42" s="73"/>
      <c r="B42" s="198"/>
      <c r="C42" s="199"/>
      <c r="D42" s="199"/>
      <c r="E42" s="199"/>
      <c r="F42" s="199"/>
      <c r="G42" s="199"/>
      <c r="H42" s="199"/>
      <c r="I42" s="197"/>
    </row>
    <row r="43" spans="1:9" ht="18.75" customHeight="1" x14ac:dyDescent="0.15">
      <c r="A43" s="73"/>
      <c r="B43" s="198"/>
      <c r="C43" s="199"/>
      <c r="D43" s="199"/>
      <c r="E43" s="199"/>
      <c r="F43" s="199"/>
      <c r="G43" s="199"/>
      <c r="H43" s="199"/>
      <c r="I43" s="197"/>
    </row>
    <row r="44" spans="1:9" ht="18.75" customHeight="1" x14ac:dyDescent="0.15">
      <c r="A44" s="73"/>
      <c r="B44" s="198"/>
      <c r="C44" s="199"/>
      <c r="D44" s="199"/>
      <c r="E44" s="199"/>
      <c r="F44" s="199"/>
      <c r="G44" s="199"/>
      <c r="H44" s="199"/>
      <c r="I44" s="197"/>
    </row>
    <row r="45" spans="1:9" ht="18.75" customHeight="1" x14ac:dyDescent="0.15">
      <c r="A45" s="73"/>
      <c r="B45" s="198"/>
      <c r="C45" s="199"/>
      <c r="D45" s="199"/>
      <c r="E45" s="199"/>
      <c r="F45" s="199"/>
      <c r="G45" s="199"/>
      <c r="H45" s="199"/>
      <c r="I45" s="197"/>
    </row>
    <row r="46" spans="1:9" ht="18.75" customHeight="1" x14ac:dyDescent="0.15">
      <c r="A46" s="73"/>
      <c r="B46" s="200"/>
      <c r="C46" s="201"/>
      <c r="D46" s="201"/>
      <c r="E46" s="201"/>
      <c r="F46" s="201"/>
      <c r="G46" s="201"/>
      <c r="H46" s="201"/>
      <c r="I46" s="202"/>
    </row>
    <row r="47" spans="1:9" ht="7.5" customHeight="1" x14ac:dyDescent="0.15">
      <c r="A47" s="4"/>
      <c r="B47" s="4"/>
      <c r="C47" s="4"/>
      <c r="D47" s="4"/>
      <c r="E47" s="4"/>
      <c r="F47" s="4"/>
      <c r="G47" s="4"/>
      <c r="H47" s="4"/>
      <c r="I47" s="4"/>
    </row>
    <row r="48" spans="1:9" ht="18.75" customHeight="1" x14ac:dyDescent="0.15">
      <c r="A48" s="75" t="s">
        <v>29</v>
      </c>
      <c r="B48" s="75" t="s">
        <v>109</v>
      </c>
      <c r="C48" s="75"/>
      <c r="D48" s="75"/>
      <c r="E48" s="75"/>
      <c r="F48" s="75"/>
      <c r="G48" s="75"/>
      <c r="H48" s="75"/>
      <c r="I48" s="75"/>
    </row>
    <row r="49" spans="1:15" s="3" customFormat="1" ht="18.75" customHeight="1" x14ac:dyDescent="0.15">
      <c r="A49" s="74"/>
      <c r="B49" s="31" t="s">
        <v>126</v>
      </c>
      <c r="C49" s="230">
        <v>0.217</v>
      </c>
      <c r="D49" s="230"/>
      <c r="E49" s="31" t="s">
        <v>62</v>
      </c>
      <c r="F49" s="230">
        <v>0.37</v>
      </c>
      <c r="G49" s="230"/>
      <c r="H49" s="31" t="s">
        <v>63</v>
      </c>
      <c r="I49" s="72">
        <v>0.51900000000000002</v>
      </c>
      <c r="J49" s="1"/>
      <c r="M49" s="1"/>
      <c r="N49" s="32"/>
    </row>
    <row r="50" spans="1:15" s="3" customFormat="1" ht="18.75" customHeight="1" x14ac:dyDescent="0.15">
      <c r="A50" s="74"/>
      <c r="B50" s="33" t="s">
        <v>83</v>
      </c>
      <c r="C50" s="213">
        <v>0.65200000000000002</v>
      </c>
      <c r="D50" s="213"/>
      <c r="E50" s="33" t="s">
        <v>127</v>
      </c>
      <c r="F50" s="213">
        <v>0.65200000000000002</v>
      </c>
      <c r="G50" s="213"/>
      <c r="H50" s="33" t="s">
        <v>64</v>
      </c>
      <c r="I50" s="34">
        <v>920</v>
      </c>
      <c r="J50" s="1"/>
      <c r="M50" s="1"/>
      <c r="N50" s="32"/>
    </row>
    <row r="51" spans="1:15" ht="18.75" customHeight="1" x14ac:dyDescent="0.15">
      <c r="A51" s="75"/>
      <c r="B51" s="210" t="s">
        <v>65</v>
      </c>
      <c r="C51" s="211"/>
      <c r="D51" s="211"/>
      <c r="E51" s="211"/>
      <c r="F51" s="211"/>
      <c r="G51" s="211"/>
      <c r="H51" s="211"/>
      <c r="I51" s="212"/>
      <c r="N51" s="32"/>
      <c r="O51" s="3"/>
    </row>
    <row r="52" spans="1:15" ht="18.75" customHeight="1" x14ac:dyDescent="0.15">
      <c r="A52" s="75"/>
      <c r="B52" s="231" t="s">
        <v>176</v>
      </c>
      <c r="C52" s="232"/>
      <c r="D52" s="232"/>
      <c r="E52" s="232"/>
      <c r="F52" s="232"/>
      <c r="G52" s="232"/>
      <c r="H52" s="232"/>
      <c r="I52" s="233"/>
      <c r="N52" s="32"/>
      <c r="O52" s="3"/>
    </row>
    <row r="53" spans="1:15" ht="18.75" customHeight="1" x14ac:dyDescent="0.15">
      <c r="A53" s="75"/>
      <c r="B53" s="234"/>
      <c r="C53" s="235"/>
      <c r="D53" s="235"/>
      <c r="E53" s="235"/>
      <c r="F53" s="235"/>
      <c r="G53" s="235"/>
      <c r="H53" s="235"/>
      <c r="I53" s="236"/>
      <c r="N53" s="32"/>
      <c r="O53" s="3"/>
    </row>
    <row r="54" spans="1:15" ht="18.75" customHeight="1" x14ac:dyDescent="0.15">
      <c r="A54" s="75"/>
      <c r="B54" s="234"/>
      <c r="C54" s="235"/>
      <c r="D54" s="235"/>
      <c r="E54" s="235"/>
      <c r="F54" s="235"/>
      <c r="G54" s="235"/>
      <c r="H54" s="235"/>
      <c r="I54" s="236"/>
    </row>
    <row r="55" spans="1:15" ht="18.75" customHeight="1" x14ac:dyDescent="0.15">
      <c r="A55" s="75"/>
      <c r="B55" s="234"/>
      <c r="C55" s="235"/>
      <c r="D55" s="235"/>
      <c r="E55" s="235"/>
      <c r="F55" s="235"/>
      <c r="G55" s="235"/>
      <c r="H55" s="235"/>
      <c r="I55" s="236"/>
    </row>
    <row r="56" spans="1:15" ht="18.75" customHeight="1" x14ac:dyDescent="0.15">
      <c r="A56" s="75"/>
      <c r="B56" s="234"/>
      <c r="C56" s="235"/>
      <c r="D56" s="235"/>
      <c r="E56" s="235"/>
      <c r="F56" s="235"/>
      <c r="G56" s="235"/>
      <c r="H56" s="235"/>
      <c r="I56" s="236"/>
    </row>
    <row r="57" spans="1:15" ht="18.75" customHeight="1" x14ac:dyDescent="0.15">
      <c r="A57" s="75"/>
      <c r="B57" s="234"/>
      <c r="C57" s="235"/>
      <c r="D57" s="235"/>
      <c r="E57" s="235"/>
      <c r="F57" s="235"/>
      <c r="G57" s="235"/>
      <c r="H57" s="235"/>
      <c r="I57" s="236"/>
    </row>
    <row r="58" spans="1:15" ht="18.75" customHeight="1" x14ac:dyDescent="0.15">
      <c r="A58" s="75"/>
      <c r="B58" s="234"/>
      <c r="C58" s="235"/>
      <c r="D58" s="235"/>
      <c r="E58" s="235"/>
      <c r="F58" s="235"/>
      <c r="G58" s="235"/>
      <c r="H58" s="235"/>
      <c r="I58" s="236"/>
    </row>
    <row r="59" spans="1:15" ht="18.75" customHeight="1" x14ac:dyDescent="0.15">
      <c r="A59" s="75"/>
      <c r="B59" s="234"/>
      <c r="C59" s="235"/>
      <c r="D59" s="235"/>
      <c r="E59" s="235"/>
      <c r="F59" s="235"/>
      <c r="G59" s="235"/>
      <c r="H59" s="235"/>
      <c r="I59" s="236"/>
    </row>
    <row r="60" spans="1:15" ht="18.75" customHeight="1" x14ac:dyDescent="0.15">
      <c r="A60" s="75"/>
      <c r="B60" s="234"/>
      <c r="C60" s="235"/>
      <c r="D60" s="235"/>
      <c r="E60" s="235"/>
      <c r="F60" s="235"/>
      <c r="G60" s="235"/>
      <c r="H60" s="235"/>
      <c r="I60" s="236"/>
    </row>
    <row r="61" spans="1:15" ht="18.75" customHeight="1" x14ac:dyDescent="0.15">
      <c r="A61" s="75"/>
      <c r="B61" s="234"/>
      <c r="C61" s="235"/>
      <c r="D61" s="235"/>
      <c r="E61" s="235"/>
      <c r="F61" s="235"/>
      <c r="G61" s="235"/>
      <c r="H61" s="235"/>
      <c r="I61" s="236"/>
    </row>
    <row r="62" spans="1:15" ht="18.75" customHeight="1" x14ac:dyDescent="0.15">
      <c r="A62" s="75"/>
      <c r="B62" s="234"/>
      <c r="C62" s="235"/>
      <c r="D62" s="235"/>
      <c r="E62" s="235"/>
      <c r="F62" s="235"/>
      <c r="G62" s="235"/>
      <c r="H62" s="235"/>
      <c r="I62" s="236"/>
    </row>
    <row r="63" spans="1:15" ht="18.75" customHeight="1" x14ac:dyDescent="0.15">
      <c r="A63" s="75"/>
      <c r="B63" s="237"/>
      <c r="C63" s="238"/>
      <c r="D63" s="238"/>
      <c r="E63" s="238"/>
      <c r="F63" s="238"/>
      <c r="G63" s="238"/>
      <c r="H63" s="238"/>
      <c r="I63" s="239"/>
    </row>
    <row r="64" spans="1:15" ht="7.5" customHeight="1" x14ac:dyDescent="0.15">
      <c r="A64" s="73"/>
      <c r="B64" s="73"/>
      <c r="C64" s="73"/>
      <c r="D64" s="73"/>
      <c r="E64" s="73"/>
      <c r="F64" s="73"/>
      <c r="G64" s="73"/>
      <c r="H64" s="73"/>
      <c r="I64" s="73"/>
    </row>
    <row r="65" spans="1:9" ht="18.75" customHeight="1" x14ac:dyDescent="0.15">
      <c r="A65" s="70" t="s">
        <v>32</v>
      </c>
      <c r="B65" s="75" t="s">
        <v>35</v>
      </c>
      <c r="C65" s="75"/>
      <c r="D65" s="75"/>
      <c r="E65" s="75"/>
      <c r="F65" s="75"/>
      <c r="G65" s="75"/>
      <c r="H65" s="75"/>
      <c r="I65" s="70"/>
    </row>
    <row r="66" spans="1:9" ht="18.75" customHeight="1" x14ac:dyDescent="0.15">
      <c r="A66" s="4"/>
      <c r="B66" s="214" t="s">
        <v>177</v>
      </c>
      <c r="C66" s="215"/>
      <c r="D66" s="215"/>
      <c r="E66" s="215"/>
      <c r="F66" s="215"/>
      <c r="G66" s="215"/>
      <c r="H66" s="215"/>
      <c r="I66" s="216"/>
    </row>
    <row r="67" spans="1:9" ht="18.75" customHeight="1" x14ac:dyDescent="0.15">
      <c r="A67" s="4"/>
      <c r="B67" s="217"/>
      <c r="C67" s="218"/>
      <c r="D67" s="218"/>
      <c r="E67" s="218"/>
      <c r="F67" s="218"/>
      <c r="G67" s="218"/>
      <c r="H67" s="218"/>
      <c r="I67" s="219"/>
    </row>
    <row r="68" spans="1:9" ht="18.75" customHeight="1" x14ac:dyDescent="0.15">
      <c r="A68" s="4"/>
      <c r="B68" s="217"/>
      <c r="C68" s="218"/>
      <c r="D68" s="218"/>
      <c r="E68" s="218"/>
      <c r="F68" s="218"/>
      <c r="G68" s="218"/>
      <c r="H68" s="218"/>
      <c r="I68" s="219"/>
    </row>
    <row r="69" spans="1:9" ht="18.75" customHeight="1" x14ac:dyDescent="0.15">
      <c r="A69" s="4"/>
      <c r="B69" s="217"/>
      <c r="C69" s="218"/>
      <c r="D69" s="218"/>
      <c r="E69" s="218"/>
      <c r="F69" s="218"/>
      <c r="G69" s="218"/>
      <c r="H69" s="218"/>
      <c r="I69" s="219"/>
    </row>
    <row r="70" spans="1:9" ht="18.75" customHeight="1" x14ac:dyDescent="0.15">
      <c r="A70" s="4"/>
      <c r="B70" s="217"/>
      <c r="C70" s="218"/>
      <c r="D70" s="218"/>
      <c r="E70" s="218"/>
      <c r="F70" s="218"/>
      <c r="G70" s="218"/>
      <c r="H70" s="218"/>
      <c r="I70" s="219"/>
    </row>
    <row r="71" spans="1:9" ht="18.75" customHeight="1" x14ac:dyDescent="0.15">
      <c r="A71" s="4"/>
      <c r="B71" s="217"/>
      <c r="C71" s="218"/>
      <c r="D71" s="218"/>
      <c r="E71" s="218"/>
      <c r="F71" s="218"/>
      <c r="G71" s="218"/>
      <c r="H71" s="218"/>
      <c r="I71" s="219"/>
    </row>
    <row r="72" spans="1:9" ht="18.75" customHeight="1" x14ac:dyDescent="0.15">
      <c r="A72" s="4"/>
      <c r="B72" s="217"/>
      <c r="C72" s="218"/>
      <c r="D72" s="218"/>
      <c r="E72" s="218"/>
      <c r="F72" s="218"/>
      <c r="G72" s="218"/>
      <c r="H72" s="218"/>
      <c r="I72" s="219"/>
    </row>
    <row r="73" spans="1:9" ht="18.75" customHeight="1" x14ac:dyDescent="0.15">
      <c r="A73" s="4"/>
      <c r="B73" s="217"/>
      <c r="C73" s="218"/>
      <c r="D73" s="218"/>
      <c r="E73" s="218"/>
      <c r="F73" s="218"/>
      <c r="G73" s="218"/>
      <c r="H73" s="218"/>
      <c r="I73" s="219"/>
    </row>
    <row r="74" spans="1:9" ht="18.75" customHeight="1" x14ac:dyDescent="0.15">
      <c r="A74" s="4"/>
      <c r="B74" s="217"/>
      <c r="C74" s="218"/>
      <c r="D74" s="218"/>
      <c r="E74" s="218"/>
      <c r="F74" s="218"/>
      <c r="G74" s="218"/>
      <c r="H74" s="218"/>
      <c r="I74" s="219"/>
    </row>
    <row r="75" spans="1:9" ht="18.75" customHeight="1" x14ac:dyDescent="0.15">
      <c r="A75" s="4"/>
      <c r="B75" s="217"/>
      <c r="C75" s="218"/>
      <c r="D75" s="218"/>
      <c r="E75" s="218"/>
      <c r="F75" s="218"/>
      <c r="G75" s="218"/>
      <c r="H75" s="218"/>
      <c r="I75" s="219"/>
    </row>
    <row r="76" spans="1:9" ht="18.75" customHeight="1" x14ac:dyDescent="0.15">
      <c r="A76" s="4"/>
      <c r="B76" s="217"/>
      <c r="C76" s="218"/>
      <c r="D76" s="218"/>
      <c r="E76" s="218"/>
      <c r="F76" s="218"/>
      <c r="G76" s="218"/>
      <c r="H76" s="218"/>
      <c r="I76" s="219"/>
    </row>
    <row r="77" spans="1:9" ht="18.75" customHeight="1" x14ac:dyDescent="0.15">
      <c r="A77" s="4"/>
      <c r="B77" s="220"/>
      <c r="C77" s="221"/>
      <c r="D77" s="221"/>
      <c r="E77" s="221"/>
      <c r="F77" s="221"/>
      <c r="G77" s="221"/>
      <c r="H77" s="221"/>
      <c r="I77" s="222"/>
    </row>
    <row r="78" spans="1:9" ht="7.5" customHeight="1" x14ac:dyDescent="0.15">
      <c r="A78" s="4"/>
      <c r="B78" s="4"/>
      <c r="C78" s="4"/>
      <c r="D78" s="4"/>
      <c r="E78" s="4"/>
      <c r="F78" s="4"/>
      <c r="G78" s="4"/>
      <c r="H78" s="4"/>
      <c r="I78" s="4"/>
    </row>
    <row r="79" spans="1:9" ht="18.75" customHeight="1" x14ac:dyDescent="0.15">
      <c r="A79" s="75" t="s">
        <v>11</v>
      </c>
      <c r="B79" s="75" t="s">
        <v>38</v>
      </c>
      <c r="C79" s="75"/>
      <c r="D79" s="75"/>
      <c r="E79" s="75"/>
      <c r="F79" s="75"/>
      <c r="G79" s="75"/>
      <c r="H79" s="75"/>
      <c r="I79" s="75"/>
    </row>
    <row r="80" spans="1:9" ht="18.75" customHeight="1" x14ac:dyDescent="0.15">
      <c r="A80" s="75"/>
      <c r="B80" s="214" t="s">
        <v>178</v>
      </c>
      <c r="C80" s="215"/>
      <c r="D80" s="215"/>
      <c r="E80" s="215"/>
      <c r="F80" s="215"/>
      <c r="G80" s="215"/>
      <c r="H80" s="215"/>
      <c r="I80" s="223"/>
    </row>
    <row r="81" spans="1:9" ht="18.75" customHeight="1" x14ac:dyDescent="0.15">
      <c r="A81" s="75"/>
      <c r="B81" s="224"/>
      <c r="C81" s="225"/>
      <c r="D81" s="225"/>
      <c r="E81" s="225"/>
      <c r="F81" s="225"/>
      <c r="G81" s="225"/>
      <c r="H81" s="225"/>
      <c r="I81" s="226"/>
    </row>
    <row r="82" spans="1:9" ht="18.75" customHeight="1" x14ac:dyDescent="0.15">
      <c r="A82" s="75"/>
      <c r="B82" s="224"/>
      <c r="C82" s="225"/>
      <c r="D82" s="225"/>
      <c r="E82" s="225"/>
      <c r="F82" s="225"/>
      <c r="G82" s="225"/>
      <c r="H82" s="225"/>
      <c r="I82" s="226"/>
    </row>
    <row r="83" spans="1:9" ht="18.75" customHeight="1" x14ac:dyDescent="0.15">
      <c r="A83" s="75"/>
      <c r="B83" s="224"/>
      <c r="C83" s="225"/>
      <c r="D83" s="225"/>
      <c r="E83" s="225"/>
      <c r="F83" s="225"/>
      <c r="G83" s="225"/>
      <c r="H83" s="225"/>
      <c r="I83" s="226"/>
    </row>
    <row r="84" spans="1:9" ht="18.75" customHeight="1" x14ac:dyDescent="0.15">
      <c r="A84" s="75"/>
      <c r="B84" s="224"/>
      <c r="C84" s="225"/>
      <c r="D84" s="225"/>
      <c r="E84" s="225"/>
      <c r="F84" s="225"/>
      <c r="G84" s="225"/>
      <c r="H84" s="225"/>
      <c r="I84" s="226"/>
    </row>
    <row r="85" spans="1:9" ht="18.75" customHeight="1" x14ac:dyDescent="0.15">
      <c r="A85" s="75"/>
      <c r="B85" s="224"/>
      <c r="C85" s="225"/>
      <c r="D85" s="225"/>
      <c r="E85" s="225"/>
      <c r="F85" s="225"/>
      <c r="G85" s="225"/>
      <c r="H85" s="225"/>
      <c r="I85" s="226"/>
    </row>
    <row r="86" spans="1:9" ht="18.75" customHeight="1" x14ac:dyDescent="0.15">
      <c r="A86" s="75"/>
      <c r="B86" s="224"/>
      <c r="C86" s="225"/>
      <c r="D86" s="225"/>
      <c r="E86" s="225"/>
      <c r="F86" s="225"/>
      <c r="G86" s="225"/>
      <c r="H86" s="225"/>
      <c r="I86" s="226"/>
    </row>
    <row r="87" spans="1:9" ht="18.75" customHeight="1" x14ac:dyDescent="0.15">
      <c r="A87" s="75"/>
      <c r="B87" s="224"/>
      <c r="C87" s="225"/>
      <c r="D87" s="225"/>
      <c r="E87" s="225"/>
      <c r="F87" s="225"/>
      <c r="G87" s="225"/>
      <c r="H87" s="225"/>
      <c r="I87" s="226"/>
    </row>
    <row r="88" spans="1:9" ht="18.75" customHeight="1" x14ac:dyDescent="0.15">
      <c r="A88" s="75"/>
      <c r="B88" s="224"/>
      <c r="C88" s="225"/>
      <c r="D88" s="225"/>
      <c r="E88" s="225"/>
      <c r="F88" s="225"/>
      <c r="G88" s="225"/>
      <c r="H88" s="225"/>
      <c r="I88" s="226"/>
    </row>
    <row r="89" spans="1:9" ht="18.75" customHeight="1" x14ac:dyDescent="0.15">
      <c r="A89" s="75"/>
      <c r="B89" s="224"/>
      <c r="C89" s="225"/>
      <c r="D89" s="225"/>
      <c r="E89" s="225"/>
      <c r="F89" s="225"/>
      <c r="G89" s="225"/>
      <c r="H89" s="225"/>
      <c r="I89" s="226"/>
    </row>
    <row r="90" spans="1:9" ht="18.75" customHeight="1" x14ac:dyDescent="0.15">
      <c r="A90" s="4"/>
      <c r="B90" s="224"/>
      <c r="C90" s="225"/>
      <c r="D90" s="225"/>
      <c r="E90" s="225"/>
      <c r="F90" s="225"/>
      <c r="G90" s="225"/>
      <c r="H90" s="225"/>
      <c r="I90" s="226"/>
    </row>
    <row r="91" spans="1:9" ht="18.75" customHeight="1" x14ac:dyDescent="0.15">
      <c r="A91" s="4"/>
      <c r="B91" s="227"/>
      <c r="C91" s="228"/>
      <c r="D91" s="228"/>
      <c r="E91" s="228"/>
      <c r="F91" s="228"/>
      <c r="G91" s="228"/>
      <c r="H91" s="228"/>
      <c r="I91" s="229"/>
    </row>
    <row r="92" spans="1:9" ht="7.5" customHeight="1" x14ac:dyDescent="0.15">
      <c r="A92" s="4"/>
      <c r="B92" s="4"/>
      <c r="C92" s="4"/>
      <c r="D92" s="4"/>
      <c r="E92" s="4"/>
      <c r="F92" s="4"/>
      <c r="G92" s="4"/>
      <c r="H92" s="4"/>
      <c r="I92" s="4"/>
    </row>
    <row r="93" spans="1:9" ht="18.75" customHeight="1" x14ac:dyDescent="0.15">
      <c r="A93" s="75" t="s">
        <v>41</v>
      </c>
      <c r="B93" s="75" t="s">
        <v>12</v>
      </c>
      <c r="C93" s="75"/>
      <c r="D93" s="75"/>
      <c r="E93" s="75"/>
      <c r="F93" s="75"/>
      <c r="G93" s="75"/>
      <c r="H93" s="75"/>
      <c r="I93" s="75"/>
    </row>
    <row r="94" spans="1:9" ht="18.75" customHeight="1" x14ac:dyDescent="0.15">
      <c r="A94" s="75"/>
      <c r="B94" s="192" t="s">
        <v>179</v>
      </c>
      <c r="C94" s="193"/>
      <c r="D94" s="193"/>
      <c r="E94" s="193"/>
      <c r="F94" s="193"/>
      <c r="G94" s="193"/>
      <c r="H94" s="193"/>
      <c r="I94" s="194"/>
    </row>
    <row r="95" spans="1:9" ht="18.75" customHeight="1" x14ac:dyDescent="0.15">
      <c r="A95" s="75"/>
      <c r="B95" s="198"/>
      <c r="C95" s="199"/>
      <c r="D95" s="199"/>
      <c r="E95" s="199"/>
      <c r="F95" s="199"/>
      <c r="G95" s="199"/>
      <c r="H95" s="199"/>
      <c r="I95" s="197"/>
    </row>
    <row r="96" spans="1:9" ht="18.75" customHeight="1" x14ac:dyDescent="0.15">
      <c r="A96" s="75"/>
      <c r="B96" s="198"/>
      <c r="C96" s="199"/>
      <c r="D96" s="199"/>
      <c r="E96" s="199"/>
      <c r="F96" s="199"/>
      <c r="G96" s="199"/>
      <c r="H96" s="199"/>
      <c r="I96" s="197"/>
    </row>
    <row r="97" spans="1:9" ht="18.75" customHeight="1" x14ac:dyDescent="0.15">
      <c r="A97" s="75"/>
      <c r="B97" s="198"/>
      <c r="C97" s="199"/>
      <c r="D97" s="199"/>
      <c r="E97" s="199"/>
      <c r="F97" s="199"/>
      <c r="G97" s="199"/>
      <c r="H97" s="199"/>
      <c r="I97" s="197"/>
    </row>
    <row r="98" spans="1:9" ht="18.75" customHeight="1" x14ac:dyDescent="0.15">
      <c r="A98" s="75"/>
      <c r="B98" s="198"/>
      <c r="C98" s="199"/>
      <c r="D98" s="199"/>
      <c r="E98" s="199"/>
      <c r="F98" s="199"/>
      <c r="G98" s="199"/>
      <c r="H98" s="199"/>
      <c r="I98" s="197"/>
    </row>
    <row r="99" spans="1:9" ht="18.75" customHeight="1" x14ac:dyDescent="0.15">
      <c r="A99" s="75"/>
      <c r="B99" s="198"/>
      <c r="C99" s="199"/>
      <c r="D99" s="199"/>
      <c r="E99" s="199"/>
      <c r="F99" s="199"/>
      <c r="G99" s="199"/>
      <c r="H99" s="199"/>
      <c r="I99" s="197"/>
    </row>
    <row r="100" spans="1:9" ht="18.75" customHeight="1" x14ac:dyDescent="0.15">
      <c r="A100" s="75"/>
      <c r="B100" s="198"/>
      <c r="C100" s="199"/>
      <c r="D100" s="199"/>
      <c r="E100" s="199"/>
      <c r="F100" s="199"/>
      <c r="G100" s="199"/>
      <c r="H100" s="199"/>
      <c r="I100" s="197"/>
    </row>
    <row r="101" spans="1:9" ht="18.75" customHeight="1" x14ac:dyDescent="0.15">
      <c r="A101" s="75"/>
      <c r="B101" s="198"/>
      <c r="C101" s="199"/>
      <c r="D101" s="199"/>
      <c r="E101" s="199"/>
      <c r="F101" s="199"/>
      <c r="G101" s="199"/>
      <c r="H101" s="199"/>
      <c r="I101" s="197"/>
    </row>
    <row r="102" spans="1:9" ht="18.75" customHeight="1" x14ac:dyDescent="0.15">
      <c r="A102" s="75"/>
      <c r="B102" s="198"/>
      <c r="C102" s="199"/>
      <c r="D102" s="199"/>
      <c r="E102" s="199"/>
      <c r="F102" s="199"/>
      <c r="G102" s="199"/>
      <c r="H102" s="199"/>
      <c r="I102" s="197"/>
    </row>
    <row r="103" spans="1:9" ht="18.75" customHeight="1" x14ac:dyDescent="0.15">
      <c r="A103" s="75"/>
      <c r="B103" s="198"/>
      <c r="C103" s="199"/>
      <c r="D103" s="199"/>
      <c r="E103" s="199"/>
      <c r="F103" s="199"/>
      <c r="G103" s="199"/>
      <c r="H103" s="199"/>
      <c r="I103" s="197"/>
    </row>
    <row r="104" spans="1:9" ht="18.75" customHeight="1" x14ac:dyDescent="0.15">
      <c r="A104" s="75"/>
      <c r="B104" s="198"/>
      <c r="C104" s="199"/>
      <c r="D104" s="199"/>
      <c r="E104" s="199"/>
      <c r="F104" s="199"/>
      <c r="G104" s="199"/>
      <c r="H104" s="199"/>
      <c r="I104" s="197"/>
    </row>
    <row r="105" spans="1:9" ht="18.75" customHeight="1" x14ac:dyDescent="0.15">
      <c r="A105" s="4"/>
      <c r="B105" s="200"/>
      <c r="C105" s="201"/>
      <c r="D105" s="201"/>
      <c r="E105" s="201"/>
      <c r="F105" s="201"/>
      <c r="G105" s="201"/>
      <c r="H105" s="201"/>
      <c r="I105" s="202"/>
    </row>
    <row r="106" spans="1:9" ht="7.5" customHeight="1" x14ac:dyDescent="0.15">
      <c r="A106" s="4"/>
      <c r="B106" s="4"/>
      <c r="C106" s="4"/>
      <c r="D106" s="4"/>
      <c r="E106" s="4"/>
      <c r="F106" s="4"/>
      <c r="G106" s="4"/>
      <c r="H106" s="4"/>
      <c r="I106" s="4"/>
    </row>
    <row r="107" spans="1:9" ht="18.75" customHeight="1" x14ac:dyDescent="0.15">
      <c r="A107" s="75" t="s">
        <v>28</v>
      </c>
      <c r="B107" s="209" t="s">
        <v>43</v>
      </c>
      <c r="C107" s="209"/>
      <c r="D107" s="209"/>
      <c r="E107" s="209"/>
      <c r="F107" s="209"/>
      <c r="G107" s="209"/>
      <c r="H107" s="209"/>
      <c r="I107" s="209"/>
    </row>
    <row r="108" spans="1:9" ht="18.75" customHeight="1" x14ac:dyDescent="0.15">
      <c r="A108" s="4"/>
      <c r="B108" s="192" t="s">
        <v>180</v>
      </c>
      <c r="C108" s="193"/>
      <c r="D108" s="193"/>
      <c r="E108" s="193"/>
      <c r="F108" s="193"/>
      <c r="G108" s="193"/>
      <c r="H108" s="193"/>
      <c r="I108" s="194"/>
    </row>
    <row r="109" spans="1:9" ht="18.75" customHeight="1" x14ac:dyDescent="0.15">
      <c r="A109" s="4"/>
      <c r="B109" s="198"/>
      <c r="C109" s="199"/>
      <c r="D109" s="199"/>
      <c r="E109" s="199"/>
      <c r="F109" s="199"/>
      <c r="G109" s="199"/>
      <c r="H109" s="199"/>
      <c r="I109" s="197"/>
    </row>
    <row r="110" spans="1:9" ht="18.75" customHeight="1" x14ac:dyDescent="0.15">
      <c r="A110" s="4"/>
      <c r="B110" s="198"/>
      <c r="C110" s="199"/>
      <c r="D110" s="199"/>
      <c r="E110" s="199"/>
      <c r="F110" s="199"/>
      <c r="G110" s="199"/>
      <c r="H110" s="199"/>
      <c r="I110" s="197"/>
    </row>
    <row r="111" spans="1:9" ht="18.75" customHeight="1" x14ac:dyDescent="0.15">
      <c r="A111" s="4"/>
      <c r="B111" s="198"/>
      <c r="C111" s="199"/>
      <c r="D111" s="199"/>
      <c r="E111" s="199"/>
      <c r="F111" s="199"/>
      <c r="G111" s="199"/>
      <c r="H111" s="199"/>
      <c r="I111" s="197"/>
    </row>
    <row r="112" spans="1:9" ht="18.75" customHeight="1" x14ac:dyDescent="0.15">
      <c r="A112" s="4"/>
      <c r="B112" s="198"/>
      <c r="C112" s="199"/>
      <c r="D112" s="199"/>
      <c r="E112" s="199"/>
      <c r="F112" s="199"/>
      <c r="G112" s="199"/>
      <c r="H112" s="199"/>
      <c r="I112" s="197"/>
    </row>
    <row r="113" spans="1:9" ht="18.75" customHeight="1" x14ac:dyDescent="0.15">
      <c r="A113" s="4"/>
      <c r="B113" s="198"/>
      <c r="C113" s="199"/>
      <c r="D113" s="199"/>
      <c r="E113" s="199"/>
      <c r="F113" s="199"/>
      <c r="G113" s="199"/>
      <c r="H113" s="199"/>
      <c r="I113" s="197"/>
    </row>
    <row r="114" spans="1:9" ht="18.75" customHeight="1" x14ac:dyDescent="0.15">
      <c r="A114" s="4"/>
      <c r="B114" s="198"/>
      <c r="C114" s="199"/>
      <c r="D114" s="199"/>
      <c r="E114" s="199"/>
      <c r="F114" s="199"/>
      <c r="G114" s="199"/>
      <c r="H114" s="199"/>
      <c r="I114" s="197"/>
    </row>
    <row r="115" spans="1:9" ht="18.75" customHeight="1" x14ac:dyDescent="0.15">
      <c r="A115" s="4"/>
      <c r="B115" s="198"/>
      <c r="C115" s="199"/>
      <c r="D115" s="199"/>
      <c r="E115" s="199"/>
      <c r="F115" s="199"/>
      <c r="G115" s="199"/>
      <c r="H115" s="199"/>
      <c r="I115" s="197"/>
    </row>
    <row r="116" spans="1:9" ht="18.75" customHeight="1" x14ac:dyDescent="0.15">
      <c r="A116" s="4"/>
      <c r="B116" s="198"/>
      <c r="C116" s="199"/>
      <c r="D116" s="199"/>
      <c r="E116" s="199"/>
      <c r="F116" s="199"/>
      <c r="G116" s="199"/>
      <c r="H116" s="199"/>
      <c r="I116" s="197"/>
    </row>
    <row r="117" spans="1:9" ht="18.75" customHeight="1" x14ac:dyDescent="0.15">
      <c r="A117" s="4"/>
      <c r="B117" s="198"/>
      <c r="C117" s="199"/>
      <c r="D117" s="199"/>
      <c r="E117" s="199"/>
      <c r="F117" s="199"/>
      <c r="G117" s="199"/>
      <c r="H117" s="199"/>
      <c r="I117" s="197"/>
    </row>
    <row r="118" spans="1:9" ht="18.75" customHeight="1" x14ac:dyDescent="0.15">
      <c r="A118" s="4"/>
      <c r="B118" s="198"/>
      <c r="C118" s="199"/>
      <c r="D118" s="199"/>
      <c r="E118" s="199"/>
      <c r="F118" s="199"/>
      <c r="G118" s="199"/>
      <c r="H118" s="199"/>
      <c r="I118" s="197"/>
    </row>
    <row r="119" spans="1:9" ht="18.75" customHeight="1" x14ac:dyDescent="0.15">
      <c r="A119" s="4"/>
      <c r="B119" s="200"/>
      <c r="C119" s="201"/>
      <c r="D119" s="201"/>
      <c r="E119" s="201"/>
      <c r="F119" s="201"/>
      <c r="G119" s="201"/>
      <c r="H119" s="201"/>
      <c r="I119" s="202"/>
    </row>
    <row r="120" spans="1:9" ht="7.5" customHeight="1" x14ac:dyDescent="0.15">
      <c r="A120" s="4"/>
      <c r="B120" s="35"/>
      <c r="C120" s="35"/>
      <c r="D120" s="35"/>
      <c r="E120" s="35"/>
      <c r="F120" s="35"/>
      <c r="G120" s="35"/>
      <c r="H120" s="35"/>
      <c r="I120" s="35"/>
    </row>
    <row r="121" spans="1:9" ht="18.75" customHeight="1" x14ac:dyDescent="0.15">
      <c r="A121" s="64"/>
      <c r="B121" s="187"/>
      <c r="C121" s="187"/>
      <c r="D121" s="187"/>
      <c r="E121" s="187"/>
      <c r="F121" s="187"/>
      <c r="G121" s="187"/>
      <c r="H121" s="187"/>
      <c r="I121" s="187"/>
    </row>
    <row r="122" spans="1:9" ht="18.75" customHeight="1" x14ac:dyDescent="0.15">
      <c r="A122" s="64"/>
      <c r="B122" s="187"/>
      <c r="C122" s="187"/>
      <c r="D122" s="187"/>
      <c r="E122" s="187"/>
      <c r="F122" s="187"/>
      <c r="G122" s="187"/>
      <c r="H122" s="187"/>
      <c r="I122" s="187"/>
    </row>
    <row r="123" spans="1:9" ht="18.75" customHeight="1" x14ac:dyDescent="0.15">
      <c r="A123" s="4"/>
      <c r="B123" s="68"/>
      <c r="C123" s="68"/>
      <c r="D123" s="68"/>
      <c r="E123" s="68"/>
      <c r="F123" s="68"/>
      <c r="G123" s="68"/>
      <c r="H123" s="68"/>
      <c r="I123" s="69"/>
    </row>
    <row r="124" spans="1:9" ht="18.75" customHeight="1" x14ac:dyDescent="0.15">
      <c r="A124" s="4"/>
      <c r="B124" s="69"/>
      <c r="C124" s="69"/>
      <c r="D124" s="69"/>
      <c r="E124" s="69"/>
      <c r="F124" s="69"/>
      <c r="G124" s="69"/>
      <c r="H124" s="69"/>
      <c r="I124" s="69"/>
    </row>
    <row r="125" spans="1:9" ht="18.75" customHeight="1" x14ac:dyDescent="0.15">
      <c r="A125" s="4"/>
      <c r="B125" s="69"/>
      <c r="C125" s="69"/>
      <c r="D125" s="69"/>
      <c r="E125" s="69"/>
      <c r="F125" s="69"/>
      <c r="G125" s="69"/>
      <c r="H125" s="69"/>
      <c r="I125" s="69"/>
    </row>
    <row r="126" spans="1:9" ht="18.75" customHeight="1" x14ac:dyDescent="0.15">
      <c r="A126" s="4"/>
      <c r="B126" s="69"/>
      <c r="C126" s="69"/>
      <c r="D126" s="69"/>
      <c r="E126" s="69"/>
      <c r="F126" s="69"/>
      <c r="G126" s="69"/>
      <c r="H126" s="69"/>
      <c r="I126" s="69"/>
    </row>
    <row r="127" spans="1:9" ht="18.75" customHeight="1" x14ac:dyDescent="0.15">
      <c r="A127" s="4"/>
      <c r="B127" s="69"/>
      <c r="C127" s="69"/>
      <c r="D127" s="69"/>
      <c r="E127" s="69"/>
      <c r="F127" s="69"/>
      <c r="G127" s="69"/>
      <c r="H127" s="69"/>
      <c r="I127" s="69"/>
    </row>
    <row r="128" spans="1:9" ht="18.75" customHeight="1" x14ac:dyDescent="0.15">
      <c r="A128" s="4"/>
      <c r="B128" s="69"/>
      <c r="C128" s="69"/>
      <c r="D128" s="69"/>
      <c r="E128" s="69"/>
      <c r="F128" s="69"/>
      <c r="G128" s="69"/>
      <c r="H128" s="69"/>
      <c r="I128" s="69"/>
    </row>
    <row r="129" spans="1:9" ht="18.75" customHeight="1" x14ac:dyDescent="0.15">
      <c r="A129" s="4"/>
      <c r="B129" s="69"/>
      <c r="C129" s="69"/>
      <c r="D129" s="69"/>
      <c r="E129" s="69"/>
      <c r="F129" s="69"/>
      <c r="G129" s="69"/>
      <c r="H129" s="69"/>
      <c r="I129" s="69"/>
    </row>
    <row r="130" spans="1:9" ht="18.75" customHeight="1" x14ac:dyDescent="0.15">
      <c r="A130" s="4"/>
      <c r="B130" s="69"/>
      <c r="C130" s="69"/>
      <c r="D130" s="69"/>
      <c r="E130" s="69"/>
      <c r="F130" s="69"/>
      <c r="G130" s="69"/>
      <c r="H130" s="69"/>
      <c r="I130" s="69"/>
    </row>
    <row r="131" spans="1:9" ht="18.75" customHeight="1" x14ac:dyDescent="0.15">
      <c r="A131" s="4"/>
      <c r="B131" s="69"/>
      <c r="C131" s="69"/>
      <c r="D131" s="69"/>
      <c r="E131" s="69"/>
      <c r="F131" s="69"/>
      <c r="G131" s="69"/>
      <c r="H131" s="69"/>
      <c r="I131" s="69"/>
    </row>
    <row r="132" spans="1:9" ht="18.75" customHeight="1" x14ac:dyDescent="0.15">
      <c r="A132" s="4"/>
      <c r="B132" s="69"/>
      <c r="C132" s="69"/>
      <c r="D132" s="69"/>
      <c r="E132" s="69"/>
      <c r="F132" s="69"/>
      <c r="G132" s="69"/>
      <c r="H132" s="69"/>
      <c r="I132" s="69"/>
    </row>
    <row r="133" spans="1:9" ht="14.25" x14ac:dyDescent="0.15">
      <c r="A133" s="4"/>
      <c r="B133" s="69"/>
      <c r="C133" s="69"/>
      <c r="D133" s="69"/>
      <c r="E133" s="69"/>
      <c r="F133" s="69"/>
      <c r="G133" s="69"/>
      <c r="H133" s="69"/>
      <c r="I133" s="69"/>
    </row>
    <row r="134" spans="1:9" ht="7.5" customHeight="1" x14ac:dyDescent="0.15">
      <c r="A134" s="4"/>
      <c r="B134" s="69"/>
      <c r="C134" s="69"/>
      <c r="D134" s="69"/>
      <c r="E134" s="69"/>
      <c r="F134" s="69"/>
      <c r="G134" s="69"/>
      <c r="H134" s="69"/>
      <c r="I134" s="69"/>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zoomScale="90" zoomScaleNormal="100" zoomScaleSheetLayoutView="90" workbookViewId="0">
      <selection activeCell="I7" sqref="I7"/>
    </sheetView>
  </sheetViews>
  <sheetFormatPr defaultColWidth="11.375" defaultRowHeight="22.5" customHeight="1" x14ac:dyDescent="0.15"/>
  <cols>
    <col min="1" max="3" width="2.75" style="1" customWidth="1"/>
    <col min="4" max="4" width="22.25" style="1" customWidth="1"/>
    <col min="5" max="5" width="30.75" style="1" customWidth="1"/>
    <col min="6" max="7" width="7.75" style="1" customWidth="1"/>
    <col min="8" max="9" width="30.75" style="1" customWidth="1"/>
    <col min="10" max="10" width="4.125" style="1" customWidth="1"/>
    <col min="11" max="16384" width="11.375" style="1"/>
  </cols>
  <sheetData>
    <row r="1" spans="1:9" ht="18.75" customHeight="1" x14ac:dyDescent="0.15">
      <c r="A1" s="1" t="s">
        <v>66</v>
      </c>
      <c r="I1" s="27" t="s">
        <v>94</v>
      </c>
    </row>
    <row r="2" spans="1:9" ht="18.75" customHeight="1" x14ac:dyDescent="0.15">
      <c r="H2" s="27" t="s">
        <v>97</v>
      </c>
      <c r="I2" s="26" t="str">
        <f>'様式１-１　プログラムを構成する授業科目'!C2</f>
        <v>中京学院大学</v>
      </c>
    </row>
    <row r="3" spans="1:9" ht="18.75" customHeight="1" x14ac:dyDescent="0.15">
      <c r="A3" s="188" t="s">
        <v>26</v>
      </c>
      <c r="B3" s="188"/>
      <c r="C3" s="188"/>
      <c r="D3" s="188"/>
      <c r="E3" s="188"/>
      <c r="F3" s="188"/>
      <c r="G3" s="188"/>
      <c r="H3" s="188"/>
      <c r="I3" s="188"/>
    </row>
    <row r="4" spans="1:9" ht="18.75" customHeight="1" x14ac:dyDescent="0.15">
      <c r="A4" s="71"/>
      <c r="B4" s="71"/>
      <c r="C4" s="71"/>
      <c r="D4" s="71"/>
      <c r="E4" s="71"/>
      <c r="F4" s="71"/>
      <c r="G4" s="71"/>
      <c r="H4" s="71"/>
      <c r="I4" s="71"/>
    </row>
    <row r="5" spans="1:9" ht="18.75" customHeight="1" x14ac:dyDescent="0.15">
      <c r="A5" s="75" t="s">
        <v>0</v>
      </c>
      <c r="B5" s="9" t="s">
        <v>88</v>
      </c>
      <c r="C5" s="71"/>
      <c r="D5" s="71"/>
      <c r="E5" s="71"/>
      <c r="F5" s="71"/>
      <c r="G5" s="71"/>
      <c r="H5" s="71"/>
      <c r="I5" s="71"/>
    </row>
    <row r="6" spans="1:9" ht="26.25" customHeight="1" x14ac:dyDescent="0.15">
      <c r="A6" s="71"/>
      <c r="B6" s="203" t="s">
        <v>182</v>
      </c>
      <c r="C6" s="247"/>
      <c r="D6" s="247"/>
      <c r="E6" s="247"/>
      <c r="F6" s="247"/>
      <c r="G6" s="247"/>
      <c r="H6" s="248"/>
      <c r="I6" s="74"/>
    </row>
    <row r="7" spans="1:9" ht="9" customHeight="1" x14ac:dyDescent="0.15">
      <c r="A7" s="71"/>
      <c r="B7" s="9"/>
      <c r="C7" s="9"/>
      <c r="D7" s="9"/>
      <c r="E7" s="9"/>
      <c r="F7" s="9"/>
      <c r="G7" s="9"/>
      <c r="H7" s="9"/>
      <c r="I7" s="74"/>
    </row>
    <row r="8" spans="1:9" ht="18.75" customHeight="1" x14ac:dyDescent="0.15">
      <c r="A8" s="71"/>
      <c r="B8" s="74"/>
      <c r="C8" s="74"/>
      <c r="D8" s="27" t="s">
        <v>40</v>
      </c>
      <c r="E8" s="28" t="s">
        <v>183</v>
      </c>
      <c r="F8" s="74"/>
      <c r="G8" s="27" t="s">
        <v>10</v>
      </c>
      <c r="H8" s="28" t="s">
        <v>184</v>
      </c>
      <c r="I8" s="74"/>
    </row>
    <row r="9" spans="1:9" ht="7.5" customHeight="1" x14ac:dyDescent="0.15">
      <c r="A9" s="71"/>
      <c r="B9" s="71"/>
      <c r="C9" s="71"/>
      <c r="D9" s="71"/>
      <c r="E9" s="71"/>
      <c r="F9" s="71"/>
      <c r="G9" s="71"/>
      <c r="H9" s="71"/>
      <c r="I9" s="71"/>
    </row>
    <row r="10" spans="1:9" ht="18.75" customHeight="1" x14ac:dyDescent="0.15">
      <c r="A10" s="75" t="s">
        <v>3</v>
      </c>
      <c r="B10" s="75" t="s">
        <v>25</v>
      </c>
      <c r="C10" s="4"/>
      <c r="D10" s="4"/>
      <c r="E10" s="4"/>
      <c r="F10" s="4"/>
      <c r="G10" s="4"/>
      <c r="H10" s="4"/>
      <c r="I10" s="4"/>
    </row>
    <row r="11" spans="1:9" ht="18.75" customHeight="1" x14ac:dyDescent="0.15">
      <c r="A11" s="75"/>
      <c r="B11" s="99" t="s">
        <v>22</v>
      </c>
      <c r="C11" s="100"/>
      <c r="D11" s="101"/>
      <c r="E11" s="100" t="s">
        <v>24</v>
      </c>
      <c r="F11" s="100"/>
      <c r="G11" s="100"/>
      <c r="H11" s="100"/>
      <c r="I11" s="101"/>
    </row>
    <row r="12" spans="1:9" ht="26.25" customHeight="1" x14ac:dyDescent="0.15">
      <c r="A12" s="75"/>
      <c r="B12" s="36" t="s">
        <v>13</v>
      </c>
      <c r="C12" s="43"/>
      <c r="D12" s="37"/>
      <c r="E12" s="44"/>
      <c r="F12" s="44"/>
      <c r="G12" s="44"/>
      <c r="H12" s="44"/>
      <c r="I12" s="37"/>
    </row>
    <row r="13" spans="1:9" ht="210.75" customHeight="1" x14ac:dyDescent="0.15">
      <c r="A13" s="75"/>
      <c r="B13" s="38"/>
      <c r="C13" s="245" t="s">
        <v>14</v>
      </c>
      <c r="D13" s="246"/>
      <c r="E13" s="242" t="s">
        <v>185</v>
      </c>
      <c r="F13" s="243"/>
      <c r="G13" s="243"/>
      <c r="H13" s="243"/>
      <c r="I13" s="244"/>
    </row>
    <row r="14" spans="1:9" ht="210.75" customHeight="1" x14ac:dyDescent="0.15">
      <c r="A14" s="75"/>
      <c r="B14" s="38"/>
      <c r="C14" s="240" t="s">
        <v>15</v>
      </c>
      <c r="D14" s="241"/>
      <c r="E14" s="242" t="s">
        <v>186</v>
      </c>
      <c r="F14" s="243"/>
      <c r="G14" s="243"/>
      <c r="H14" s="243"/>
      <c r="I14" s="244"/>
    </row>
    <row r="15" spans="1:9" ht="210.75" customHeight="1" x14ac:dyDescent="0.15">
      <c r="A15" s="75"/>
      <c r="B15" s="38"/>
      <c r="C15" s="245" t="s">
        <v>16</v>
      </c>
      <c r="D15" s="246"/>
      <c r="E15" s="242" t="s">
        <v>187</v>
      </c>
      <c r="F15" s="243"/>
      <c r="G15" s="243"/>
      <c r="H15" s="243"/>
      <c r="I15" s="244"/>
    </row>
    <row r="16" spans="1:9" ht="210.75" customHeight="1" x14ac:dyDescent="0.15">
      <c r="A16" s="75"/>
      <c r="B16" s="38"/>
      <c r="C16" s="245" t="s">
        <v>17</v>
      </c>
      <c r="D16" s="246"/>
      <c r="E16" s="242" t="s">
        <v>188</v>
      </c>
      <c r="F16" s="243"/>
      <c r="G16" s="243"/>
      <c r="H16" s="243"/>
      <c r="I16" s="244"/>
    </row>
    <row r="17" spans="1:9" ht="210.75" customHeight="1" x14ac:dyDescent="0.15">
      <c r="A17" s="75"/>
      <c r="B17" s="39"/>
      <c r="C17" s="249" t="s">
        <v>189</v>
      </c>
      <c r="D17" s="250"/>
      <c r="E17" s="251" t="s">
        <v>190</v>
      </c>
      <c r="F17" s="252"/>
      <c r="G17" s="252"/>
      <c r="H17" s="252"/>
      <c r="I17" s="253"/>
    </row>
    <row r="18" spans="1:9" ht="24" customHeight="1" x14ac:dyDescent="0.15">
      <c r="A18" s="75"/>
      <c r="B18" s="36" t="s">
        <v>18</v>
      </c>
      <c r="C18" s="40"/>
      <c r="D18" s="41"/>
      <c r="E18" s="42"/>
      <c r="F18" s="42"/>
      <c r="G18" s="42"/>
      <c r="H18" s="42"/>
      <c r="I18" s="45"/>
    </row>
    <row r="19" spans="1:9" ht="218.25" customHeight="1" x14ac:dyDescent="0.15">
      <c r="A19" s="75"/>
      <c r="B19" s="38"/>
      <c r="C19" s="245" t="s">
        <v>19</v>
      </c>
      <c r="D19" s="246"/>
      <c r="E19" s="243" t="s">
        <v>191</v>
      </c>
      <c r="F19" s="243"/>
      <c r="G19" s="243"/>
      <c r="H19" s="243"/>
      <c r="I19" s="244"/>
    </row>
    <row r="20" spans="1:9" ht="218.25" customHeight="1" x14ac:dyDescent="0.15">
      <c r="A20" s="75"/>
      <c r="B20" s="39"/>
      <c r="C20" s="249" t="s">
        <v>20</v>
      </c>
      <c r="D20" s="250"/>
      <c r="E20" s="252" t="s">
        <v>192</v>
      </c>
      <c r="F20" s="252"/>
      <c r="G20" s="252"/>
      <c r="H20" s="252"/>
      <c r="I20" s="253"/>
    </row>
    <row r="21" spans="1:9" ht="218.25" customHeight="1" x14ac:dyDescent="0.15">
      <c r="A21" s="75"/>
      <c r="B21" s="259" t="s">
        <v>21</v>
      </c>
      <c r="C21" s="260"/>
      <c r="D21" s="261"/>
      <c r="E21" s="262" t="s">
        <v>193</v>
      </c>
      <c r="F21" s="262"/>
      <c r="G21" s="262"/>
      <c r="H21" s="262"/>
      <c r="I21" s="263"/>
    </row>
    <row r="22" spans="1:9" ht="218.25" customHeight="1" x14ac:dyDescent="0.15">
      <c r="A22" s="75"/>
      <c r="B22" s="254" t="s">
        <v>194</v>
      </c>
      <c r="C22" s="255"/>
      <c r="D22" s="256"/>
      <c r="E22" s="257" t="s">
        <v>195</v>
      </c>
      <c r="F22" s="257"/>
      <c r="G22" s="257"/>
      <c r="H22" s="257"/>
      <c r="I22" s="258"/>
    </row>
    <row r="23" spans="1:9" ht="22.5" customHeight="1" x14ac:dyDescent="0.15">
      <c r="B23" s="4"/>
      <c r="C23" s="4"/>
      <c r="D23" s="4"/>
      <c r="E23" s="4"/>
      <c r="F23" s="4"/>
      <c r="G23" s="4"/>
      <c r="H23" s="4"/>
      <c r="I23" s="4"/>
    </row>
    <row r="24" spans="1:9" ht="22.5" customHeight="1" x14ac:dyDescent="0.15">
      <c r="B24" s="4"/>
      <c r="C24" s="4"/>
      <c r="D24" s="4"/>
      <c r="E24" s="4"/>
      <c r="F24" s="4"/>
      <c r="G24" s="4"/>
      <c r="H24" s="4"/>
      <c r="I24" s="4"/>
    </row>
    <row r="25" spans="1:9" ht="22.5" customHeight="1" x14ac:dyDescent="0.15">
      <c r="B25" s="4"/>
      <c r="C25" s="4"/>
      <c r="D25" s="4"/>
      <c r="E25" s="4"/>
      <c r="F25" s="4"/>
      <c r="G25" s="4"/>
      <c r="H25" s="4"/>
      <c r="I25" s="4"/>
    </row>
    <row r="26" spans="1:9" ht="22.5" customHeight="1" x14ac:dyDescent="0.15">
      <c r="B26" s="4"/>
      <c r="C26" s="4"/>
      <c r="D26" s="4"/>
      <c r="E26" s="4"/>
      <c r="F26" s="4"/>
      <c r="G26" s="4"/>
      <c r="H26" s="4"/>
      <c r="I26" s="4"/>
    </row>
    <row r="27" spans="1:9" ht="22.5" customHeight="1" x14ac:dyDescent="0.15">
      <c r="B27" s="4"/>
      <c r="C27" s="4"/>
      <c r="D27" s="4"/>
      <c r="E27" s="4"/>
      <c r="F27" s="4"/>
      <c r="G27" s="4"/>
      <c r="H27" s="4"/>
      <c r="I27" s="4"/>
    </row>
    <row r="28" spans="1:9" ht="22.5" customHeight="1" x14ac:dyDescent="0.15">
      <c r="B28" s="13"/>
      <c r="C28" s="13"/>
      <c r="D28" s="13"/>
      <c r="E28" s="13"/>
      <c r="F28" s="13"/>
      <c r="G28" s="13"/>
      <c r="H28" s="13"/>
      <c r="I28" s="13"/>
    </row>
    <row r="29" spans="1:9" ht="22.5" customHeight="1" x14ac:dyDescent="0.15">
      <c r="B29" s="13"/>
      <c r="C29" s="13"/>
      <c r="D29" s="13"/>
      <c r="E29" s="13"/>
      <c r="F29" s="13"/>
      <c r="G29" s="13"/>
      <c r="H29" s="13"/>
      <c r="I29" s="13"/>
    </row>
    <row r="30" spans="1:9" ht="22.5" customHeight="1" x14ac:dyDescent="0.15">
      <c r="B30" s="13"/>
      <c r="C30" s="13"/>
      <c r="D30" s="13"/>
      <c r="E30" s="13"/>
      <c r="F30" s="13"/>
      <c r="G30" s="13"/>
      <c r="H30" s="13"/>
      <c r="I30" s="13"/>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2" fitToHeight="0" orientation="portrait" r:id="rId1"/>
  <headerFooter>
    <oddHeader>&amp;C数理・データサイエンス・AI教育プログラム認定制度【リテラシーレベル】</oddHeader>
  </headerFooter>
  <rowBreaks count="1" manualBreakCount="1">
    <brk id="17" max="9" man="1"/>
  </row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5</vt:i4>
      </vt:variant>
      <vt:variant>
        <vt:lpstr>名前付き一覧</vt:lpstr>
      </vt:variant>
      <vt:variant>
        <vt:i4>6</vt:i4>
      </vt:variant>
    </vt:vector>
  </HeadingPairs>
  <TitlesOfParts>
    <vt:vector size="11" baseType="lpstr">
      <vt:lpstr>様式１-１　プログラムを構成する授業科目</vt:lpstr>
      <vt:lpstr>様式１-2　プログラムを構成する授業科目</vt:lpstr>
      <vt:lpstr>様式２ 履修者等数の実績</vt:lpstr>
      <vt:lpstr>様式３ 教育の質・履修者数を向上させるための体制・計画</vt:lpstr>
      <vt:lpstr>様式４　自己点検・評価</vt:lpstr>
      <vt:lpstr>'様式１-１　プログラムを構成する授業科目'!Print_Area</vt:lpstr>
      <vt:lpstr>'様式１-2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文部科学省</dc:creator>
  <cp:lastModifiedBy>髙橋　佑太</cp:lastModifiedBy>
  <cp:lastPrinted>2024-02-19T08:20:00Z</cp:lastPrinted>
  <dcterms:created xsi:type="dcterms:W3CDTF">2011-06-14T05:32:50Z</dcterms:created>
  <dcterms:modified xsi:type="dcterms:W3CDTF">2024-05-27T11:41:06Z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ies>
</file>