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https://d.docs.live.net/9a5d502210c9f21f/デスクトップ/★★2024 文科省申請（上武大学）/"/>
    </mc:Choice>
  </mc:AlternateContent>
  <xr:revisionPtr revIDLastSave="7" documentId="13_ncr:1_{CBDB756C-4B70-485A-AE75-37EA88F91414}" xr6:coauthVersionLast="47" xr6:coauthVersionMax="47" xr10:uidLastSave="{08E208BE-6A90-428D-B523-2F97E97B0DD6}"/>
  <bookViews>
    <workbookView xWindow="12180" yWindow="645" windowWidth="24465" windowHeight="20535" tabRatio="885" xr2:uid="{00000000-000D-0000-FFFF-FFFF00000000}"/>
  </bookViews>
  <sheets>
    <sheet name="様式１-１　プログラムを構成する授業科目" sheetId="39" r:id="rId1"/>
    <sheet name="様式１-２　プログラムを構成する授業科目" sheetId="44"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'様式１-１　プログラムを構成する授業科目'!$X$16:$X$18</definedName>
    <definedName name="_xlnm._FilterDatabase" localSheetId="1" hidden="1">'様式１-２　プログラムを構成する授業科目'!$X$16:$X$18</definedName>
    <definedName name="_xlnm._FilterDatabase" localSheetId="2" hidden="1">'様式２ 履修者等数の実績'!#REF!</definedName>
    <definedName name="_xlnm.Print_Area" localSheetId="0">'様式１-１　プログラムを構成する授業科目'!$A$1:$U$112</definedName>
    <definedName name="_xlnm.Print_Area" localSheetId="1">'様式１-２　プログラムを構成する授業科目'!$A$1:$U$112</definedName>
    <definedName name="_xlnm.Print_Area" localSheetId="2">'様式２ 履修者等数の実績'!$A$1:$S$33</definedName>
    <definedName name="_xlnm.Print_Area" localSheetId="3">'様式３ 教育の質・履修者数を向上させるための体制・計画'!$A$1:$I$119</definedName>
    <definedName name="_xlnm.Print_Area" localSheetId="4">'様式４　自己点検・評価'!$A$1:$I$22</definedName>
    <definedName name="_xlnm.Print_Titles" localSheetId="4">'様式４　自己点検・評価'!$11:$11</definedName>
  </definedNames>
  <calcPr calcId="181029"/>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<sst xmlns="http://schemas.openxmlformats.org/spreadsheetml/2006/main" count="420" uniqueCount="203">
  <si>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</si>
  <si>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</si>
  <si>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</si>
  <si>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</si>
  <si>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</si>
  <si>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</si>
  <si>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</si>
  <si>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</si>
  <si>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</si>
  <si>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</si>
  <si>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</si>
  <si>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</si>
  <si>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</si>
  <si>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</si>
  <si>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</si>
  <si>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</si>
  <si>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</si>
  <si>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</si>
  <si>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</si>
  <si>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</si>
  <si>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</si>
  <si>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</si>
  <si>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</si>
  <si>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</si>
  <si>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</si>
  <si>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</si>
  <si>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</si>
  <si>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</si>
  <si>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</si>
  <si>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</si>
  <si>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</si>
  <si>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</si>
  <si>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</si>
  <si>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</si>
  <si>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</si>
  <si>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</si>
  <si>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</si>
  <si>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</si>
  <si>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</si>
  <si>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</si>
  <si>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</si>
  <si>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</si>
  <si>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</si>
  <si>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</si>
  <si>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</si>
  <si>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</si>
  <si>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</si>
  <si>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</si>
  <si>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</si>
  <si>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</si>
  <si>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</si>
  <si>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</si>
  <si>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</si>
  <si>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</si>
  <si>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</si>
  <si>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</si>
  <si>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</si>
  <si>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</si>
  <si>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</si>
  <si>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</si>
  <si>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</si>
  <si>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</si>
  <si>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</si>
  <si>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</si>
  <si>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</si>
  <si>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</si>
  <si>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</si>
  <si>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</si>
  <si>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</si>
  <si>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</si>
  <si>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</si>
  <si>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</si>
  <si>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</si>
  <si>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</si>
  <si>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</si>
  <si>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</si>
  <si>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</si>
  <si>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</si>
  <si>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</si>
  <si>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</si>
  <si>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</si>
  <si>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</si>
  <si>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</si>
  <si>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</si>
  <si>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</si>
  <si>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</si>
  <si>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</si>
  <si>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</si>
  <si>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</si>
  <si>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</si>
  <si>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</si>
  <si>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</si>
  <si>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</si>
  <si>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</si>
  <si>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</si>
  <si>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</si>
  <si>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</si>
  <si>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</si>
  <si>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</si>
  <si>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</si>
  <si>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</si>
  <si>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</si>
  <si>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</si>
  <si>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</si>
  <si>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</si>
  <si>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</si>
  <si>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</si>
  <si>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</si>
  <si>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</si>
  <si>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</si>
  <si>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</si>
  <si>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</si>
  <si>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</si>
  <si>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</si>
  <si>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</si>
  <si>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</si>
  <si>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</si>
  <si>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</si>
  <si>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</si>
  <si>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</si>
  <si>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</si>
  <si>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</si>
  <si>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</si>
  <si>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</si>
  <si>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</si>
  <si>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</si>
  <si>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</si>
  <si>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</si>
  <si>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</si>
  <si>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t>学部・学科によって、修了要件は相違する</t>
  </si>
  <si>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</si>
  <si>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</si>
  <si>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</si>
  <si>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</si>
  <si>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</si>
  <si>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</si>
  <si>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樽井勇之</t>
    <rPh sb="0" eb="2">
      <t>タルイ</t>
    </rPh>
    <rPh sb="2" eb="4">
      <t>ユウジ</t>
    </rPh>
    <phoneticPr fontId="1"/>
  </si>
  <si>
    <t>データサイエンスセンター長</t>
    <rPh sb="12" eb="13">
      <t>チョウ</t>
    </rPh>
    <phoneticPr fontId="1"/>
  </si>
  <si>
    <t>上武大学</t>
    <rPh sb="0" eb="4">
      <t>ジョウブダイガク</t>
    </rPh>
    <phoneticPr fontId="1"/>
  </si>
  <si>
    <t>情報社会とコンピュータ</t>
    <rPh sb="0" eb="4">
      <t>ジョウホウシャカイ</t>
    </rPh>
    <phoneticPr fontId="1"/>
  </si>
  <si>
    <t>○</t>
  </si>
  <si>
    <t>情報社会とコンピュータ</t>
    <phoneticPr fontId="1"/>
  </si>
  <si>
    <t>・デジタル社会において求められる数理・データサイエンス・AIに関する基礎的知識と技術を身につけ、日常生活、企業活動、地域活動の場で使うことができる。
・学んだ知識と技術を使う際には、エビデンスに基づき、倫理的配慮のもと、人間中心の適切な判断と説明ができる。</t>
    <phoneticPr fontId="1"/>
  </si>
  <si>
    <t>ビジネス情報学部</t>
    <rPh sb="4" eb="8">
      <t>ジョウホウガクブ</t>
    </rPh>
    <phoneticPr fontId="1"/>
  </si>
  <si>
    <t>看護学部</t>
    <rPh sb="0" eb="4">
      <t>カンゴガクブ</t>
    </rPh>
    <phoneticPr fontId="1"/>
  </si>
  <si>
    <t>樽井勇之</t>
    <rPh sb="0" eb="4">
      <t>タルイユウジ</t>
    </rPh>
    <phoneticPr fontId="1"/>
  </si>
  <si>
    <t>データサイエンスセンター長</t>
    <rPh sb="12" eb="13">
      <t>チョウ</t>
    </rPh>
    <phoneticPr fontId="1"/>
  </si>
  <si>
    <t>センターは、以下に掲げる事業を推進・支援する。
(1) AI戦略2019を受け、本学における初級レベルの数理・データサイエンス・AI教育とその点検・評価に係る事項
(2) 前号に必要となる施設設備、教育機器備品類などの検討
(3) その他本学の数理・データサイエンス・AI教育に関連する事項等</t>
    <phoneticPr fontId="1"/>
  </si>
  <si>
    <t>センター長　ビジネス情報学部　教授　　樽井勇之
ビジネス情報学部　准教授　関川弘
看護学部　教授　　豊田修一</t>
    <phoneticPr fontId="1"/>
  </si>
  <si>
    <t>プログラム対象科目は、学部・学科に関係なく学生全員が受講できる体制が整っている。
学部ごとに受講可能な講義が設定さているため、数理・データサイエンス・AIに関係する講義を受講する学生は全員受講することが可能である。</t>
    <phoneticPr fontId="1"/>
  </si>
  <si>
    <t>新入生ガイダンスでプログラム対象科目となる必修科目についての説明を行う。
大学ホームページや履修登録システムを通じてプログラムの紹介を行う。
新入生ガイダンスや大学ホームページによりデータサイエンスの重要性について学生に理解させる。</t>
    <phoneticPr fontId="1"/>
  </si>
  <si>
    <t>プログラム担当教員がオフィスアワーを設け、学生から質問や相談を受け付けている。
オフィスアワーについては、授業の初回に担当教員により説明を行っている。</t>
    <phoneticPr fontId="1"/>
  </si>
  <si>
    <t>情報通信技術の基礎</t>
    <rPh sb="0" eb="4">
      <t>ジョウホウツウシン</t>
    </rPh>
    <rPh sb="4" eb="6">
      <t>ギジュツ</t>
    </rPh>
    <rPh sb="7" eb="9">
      <t>キソ</t>
    </rPh>
    <phoneticPr fontId="1"/>
  </si>
  <si>
    <t>情報通信技術の基礎</t>
    <rPh sb="0" eb="2">
      <t>ジョウホウ</t>
    </rPh>
    <rPh sb="2" eb="4">
      <t>ツウシン</t>
    </rPh>
    <rPh sb="4" eb="6">
      <t>ギジュツ</t>
    </rPh>
    <rPh sb="7" eb="9">
      <t>キソ</t>
    </rPh>
    <phoneticPr fontId="1"/>
  </si>
  <si>
    <t>情報通信技術の基礎</t>
    <rPh sb="0" eb="6">
      <t>ジョウホウツウシンギジュツ</t>
    </rPh>
    <rPh sb="7" eb="9">
      <t>キソ</t>
    </rPh>
    <phoneticPr fontId="1"/>
  </si>
  <si>
    <t>様式１－２</t>
    <rPh sb="0" eb="2">
      <t>ヨウシキ</t>
    </rPh>
    <phoneticPr fontId="1"/>
  </si>
  <si>
    <t>様式１－１</t>
    <rPh sb="0" eb="2">
      <t>ヨウシキ</t>
    </rPh>
    <phoneticPr fontId="1"/>
  </si>
  <si>
    <t>看護学部：「情報通信技術の基礎」：1単位30時間を修得すること。</t>
    <phoneticPr fontId="1"/>
  </si>
  <si>
    <t>看護学部</t>
    <phoneticPr fontId="1"/>
  </si>
  <si>
    <t>ビジネス情報学部</t>
    <phoneticPr fontId="1"/>
  </si>
  <si>
    <t xml:space="preserve">ビジネス情報学部（スポーツ健康マネジメント学科・国際ビジネス学科）：「情報社会とコンピュータ」2単位を修得すること。
</t>
    <phoneticPr fontId="1"/>
  </si>
  <si>
    <t>　履修登録システムSTEPの活用により、受講者の履修・修得状況を把握することができる。令和5年度における本教育プログラムの履修者数は、ビジネス情報学部スポーツ健康マネジメント学科266人、ビジネス情報学部国際ビジネス学科81人、看護学部看護学科64人であった。修得者数は、ビジネス情報学部スポーツ健康マネジメント学科249人、ビジネス情報学部国際ビジネス学科73人、看護学部看護学科64人であった。</t>
    <rPh sb="130" eb="132">
      <t>シュウトク</t>
    </rPh>
    <rPh sb="132" eb="133">
      <t>シャ</t>
    </rPh>
    <phoneticPr fontId="1"/>
  </si>
  <si>
    <t>　本教育プログラム受講者全員に対して授業評価アンケートを実施しており、学生の理解度を分析している。授業評価アンケートの設問「授業内容を理解できたか」という回答をみると、「とてもそう思う」「そう思う」と回答した者は、ビジネス情報学部スポーツマネジメント学科では70％、国際ビジネス学科では78％、看護学部看護学科では82％であった。</t>
    <rPh sb="90" eb="91">
      <t>オモ</t>
    </rPh>
    <rPh sb="96" eb="97">
      <t>オモ</t>
    </rPh>
    <phoneticPr fontId="1"/>
  </si>
  <si>
    <t>　内部質保証委員会で実施している授業評価アンケートにより、他の学生への推奨度を推察している。授業評価アンケートの設問「授業は有意義だったか」という回答から推察している。「とてもそう思う」「そう思う」と回答した者は、ビジネス情報学スポーツ健康マネジメント学科では70％、国際ビジネス学科では82％、看護学部看護学科では86％であった。</t>
    <rPh sb="152" eb="156">
      <t>カンゴガッカ</t>
    </rPh>
    <phoneticPr fontId="1"/>
  </si>
  <si>
    <t>　本教育プログラムを担当する教員が、数理・データサイエンス・AI（リテラシーレベル）モデルカリキュラムに準拠した教科書を執筆している。教科書のタイトルは「新入生のためのデータサイエンス入門」（共立出版、2023年）である。図解を多用することにより、学ぶことの楽しさや学ぶことの意義を含めた内容としている。</t>
    <rPh sb="18" eb="20">
      <t>スウリ</t>
    </rPh>
    <rPh sb="105" eb="106">
      <t>ネン</t>
    </rPh>
    <phoneticPr fontId="1"/>
  </si>
  <si>
    <t>　本教育プログラムは2023年度の入学生より実施を始めたため修了者はいるが、卒業生はまだいない状況である。ビジネス情報学部国際ビジネス学科経営・経済コースにはITアドバンスクラスが設置されている。IT（情報技術）やデータサイエンスに関する知識や技術を身につけた学生がおり社会で活躍している卒業生もいる。2025年度からはデータサイエンスクラスの開設が予定されている。2023年度入学生より実施している本教育プログラムを履修した学生や2025年度から開設されるデータサイエンスクラスの学生が卒業後に活躍していくことが期待される。</t>
    <rPh sb="25" eb="26">
      <t>ハジ</t>
    </rPh>
    <rPh sb="38" eb="41">
      <t>ソツギョウセイ</t>
    </rPh>
    <rPh sb="101" eb="105">
      <t>ジョウホウギジュツ</t>
    </rPh>
    <rPh sb="155" eb="157">
      <t>ネンド</t>
    </rPh>
    <rPh sb="172" eb="174">
      <t>カイセツ</t>
    </rPh>
    <rPh sb="175" eb="177">
      <t>ヨテイ</t>
    </rPh>
    <rPh sb="187" eb="189">
      <t>ネンド</t>
    </rPh>
    <phoneticPr fontId="1"/>
  </si>
  <si>
    <t>（ビジネス情報学部）
プログラム対象科目は、国際ビジネス学科、スポーツ健康マネジメント学科スポーツマネジメントコース／スポーツトレーナコースにおいては必修科目であり、全学生が履修する。スポーツ健康マネジメント学科柔道整復師コース／救急救命士コースにおいては教養選択科目となっているが、今後のカリキュラムの見直しの際には全学必修を予定としたい。
（看護学部）
プログラム対象科目は、看護学部においては必修科目であり、全学生が履修する。
年度進行に伴い当プログラムの履修率は100%となる。</t>
    <rPh sb="22" eb="24">
      <t>コクサイ</t>
    </rPh>
    <rPh sb="28" eb="30">
      <t>ガッカ</t>
    </rPh>
    <rPh sb="35" eb="37">
      <t>ケンコウ</t>
    </rPh>
    <rPh sb="43" eb="45">
      <t>ガッカ</t>
    </rPh>
    <rPh sb="96" eb="98">
      <t>ケンコウ</t>
    </rPh>
    <rPh sb="104" eb="106">
      <t>ガッカ</t>
    </rPh>
    <rPh sb="106" eb="111">
      <t>ジュウドウセイフクシ</t>
    </rPh>
    <rPh sb="115" eb="120">
      <t>キュウキュウキュウメイシ</t>
    </rPh>
    <rPh sb="128" eb="132">
      <t>キョウヨウセンタク</t>
    </rPh>
    <rPh sb="132" eb="134">
      <t>カモク</t>
    </rPh>
    <rPh sb="142" eb="144">
      <t>コンゴ</t>
    </rPh>
    <rPh sb="152" eb="154">
      <t>ミナオ</t>
    </rPh>
    <rPh sb="156" eb="157">
      <t>サイ</t>
    </rPh>
    <rPh sb="159" eb="161">
      <t>ゼンガク</t>
    </rPh>
    <rPh sb="161" eb="163">
      <t>ヒッシュウ</t>
    </rPh>
    <rPh sb="164" eb="166">
      <t>ヨテイ</t>
    </rPh>
    <rPh sb="190" eb="192">
      <t>カンゴ</t>
    </rPh>
    <phoneticPr fontId="1"/>
  </si>
  <si>
    <t>プログラム対象科目はビジネス情報学部国際ビジネス学科、スポーツ健康マネジメント学科スポーツマネジメントコース／スポーツトレーナーコース、看護学部における１年生の必修科目としている。ビジネス情報学部スポーツ健康マネジメント学科柔道整復師コース／救急救命士コースにおいては教養選択科目となっているが、入学時のオリエンテーション時に、きめ細かい履修登録指導が行われている。また、ゼミ単位での入学時におけるガイダンスが実施され、１人ひとりを対象とした履修登録指導が行われている。履修登録システム（STEP）を利用することにより、必修科目にあたっては漏れなく履修登録できる仕組みが整っている。</t>
    <rPh sb="18" eb="20">
      <t>コクサイ</t>
    </rPh>
    <rPh sb="24" eb="26">
      <t>ガッカ</t>
    </rPh>
    <rPh sb="31" eb="33">
      <t>ケンコウ</t>
    </rPh>
    <rPh sb="39" eb="41">
      <t>ガッカ</t>
    </rPh>
    <rPh sb="94" eb="98">
      <t>ジョウホウガクブ</t>
    </rPh>
    <phoneticPr fontId="1"/>
  </si>
  <si>
    <t>　本教育プログラムを構成するビジネス情報学部の科目「情報社会とコンピュータ」と看護学部の科目「情報通信技術の基礎」についてはビジネス情報学部国際ビジネス学科、スポーツ健康マネジメント学科スポーツマネジメントコース／スポーツトレーナーコース、看護学部における１年生の必修科目としている。ビジネス情報学部スポーツ健康マネジメント学科柔道整復師コース／救急救命士コースにおいては教養選択科目となっているが、今後のカリキュラムの見直しの際には全学必修を予定している。ビジネス情報学部国際ビジネス学科、スポーツ健康マネジメント学科スポーツマネジメントコース／スポーツトレーナーコース、看護学部においては必修科目であり、履修者数、履修率は向上していく。本教育プログラムは2023年度から実施しているため2026年度には90％以上の学生が修了できる予定である。</t>
    <rPh sb="200" eb="202">
      <t>コンゴ</t>
    </rPh>
    <rPh sb="210" eb="212">
      <t>ミナオ</t>
    </rPh>
    <rPh sb="214" eb="215">
      <t>サイ</t>
    </rPh>
    <rPh sb="217" eb="219">
      <t>ゼンガク</t>
    </rPh>
    <rPh sb="219" eb="221">
      <t>ヒッシュウ</t>
    </rPh>
    <rPh sb="222" eb="224">
      <t>ヨテイ</t>
    </rPh>
    <rPh sb="356" eb="358">
      <t>イジョウ</t>
    </rPh>
    <phoneticPr fontId="1"/>
  </si>
  <si>
    <t>該当なし</t>
    <rPh sb="0" eb="2">
      <t>ガイトウ</t>
    </rPh>
    <phoneticPr fontId="1"/>
  </si>
  <si>
    <t>科目「情報社会とコンピュータ」の第７回「機械学習のしくみ」の中で、生成AI（対話型人工知能）について解説している。</t>
    <rPh sb="0" eb="2">
      <t>カモク</t>
    </rPh>
    <rPh sb="3" eb="7">
      <t>ジョウホウシャカイ</t>
    </rPh>
    <rPh sb="16" eb="17">
      <t>ダイ</t>
    </rPh>
    <rPh sb="18" eb="19">
      <t>カイ</t>
    </rPh>
    <rPh sb="20" eb="22">
      <t>キカイ</t>
    </rPh>
    <rPh sb="22" eb="24">
      <t>ガクシュウ</t>
    </rPh>
    <rPh sb="30" eb="31">
      <t>ナカ</t>
    </rPh>
    <rPh sb="33" eb="35">
      <t>セイセイ</t>
    </rPh>
    <rPh sb="38" eb="41">
      <t>タイワガタ</t>
    </rPh>
    <rPh sb="41" eb="45">
      <t>ジンコウチノウ</t>
    </rPh>
    <rPh sb="50" eb="52">
      <t>カイセツ</t>
    </rPh>
    <phoneticPr fontId="1"/>
  </si>
  <si>
    <t>キーワード：Society5.0、ビッグデータ、IoT、AI、ロボット、データ駆動型社会、データ量の増加、第４次産業革命、複数技術を組み合わせたAIサービス、人間の知的活動とAIの関係性、データを起点としたものの見方、人間の知的活動を起点としたものの見方
『情報社会とコンピュータ』
（第3回）「社会で起きている変化」</t>
    <phoneticPr fontId="1"/>
  </si>
  <si>
    <t>キーワード：AI等を活用した新しいビジネスモデル（商品のレコメンデーション等）、AI最新技術の活用例（強化学習）
『情報社会とコンピュータ』
（第6回）「日常生活の中の人工知能」
（第7回）「機械学習のしくみ」
（第8回）「コンピュータからのおすすめ情報」
（第9回）「推薦システムのしくみ」</t>
    <phoneticPr fontId="1"/>
  </si>
  <si>
    <t>キーワード：データ・AI活用領域の広がり（生産、消費、文化活動など）、調達、製造、物流、販売、マーケティング、サービスなど、知識発見、判断支援など
『情報社会とコンピュータ』
（第3回）「社会で起きている変化」</t>
    <phoneticPr fontId="1"/>
  </si>
  <si>
    <t>キーワード：データサイエンスのサイクル（データの取得・管理・加工、結果の共有・伝達、課題解決に向けた提案）
流通、製造、金融、サービス、インフラ、公共、ヘルスケア等におけるデータ・AI利活用事例紹介
『情報社会とコンピュータ』
（第3回）「社会で起きている変化」
（第5回）「データの前処理と分析のプロセス」</t>
    <phoneticPr fontId="1"/>
  </si>
  <si>
    <t>キーワード：ELSI、個人情報保護、EU一般データ保護規則（GDPR）、オプトアウト
データ倫理：改ざん、盗用、プライバシー保護
AI社会原則（公平性、透明性、人間中心の判断）、データバイアス、アルゴリズムバイアス
AIサービスの責任論
『情報社会とコンピュータ』
（第6回）「日常生活の中の人工知能」
（第14回）「情報セキュリティとAI利活用における留意事項」
（第15回）「個人情報の保護と活用」</t>
    <phoneticPr fontId="1"/>
  </si>
  <si>
    <t>キーワード：情報セキュリティ：機密性、完全性、可用性
匿名加工情報、暗号化、パスワード、悪意のある情報搾取
情報漏洩によるセキュリティ事故の事例紹介
『情報社会とコンピュータ』
（第14回）「情報セキュリティとAI利活用における留意事項」
（第15回）「個人情報の保護と活用」</t>
    <phoneticPr fontId="1"/>
  </si>
  <si>
    <t>キーワード：データの種類（量的変数、質的変数）
データの分布（ヒストグラム）と代表値（平均値、中央値、最頻値）、
代表値の性質の違い（実社会では平均値＝最頻値ではないことが多い）
データのばらつき（分散、標準偏差、偏差値）、層別の必要なデータ、相関と因果（相関係数）
母集団と標本抽出（アンケート調査、全数調査、単純無作為抽出、層別抽出、多段抽出）
クロス集計表、統計情報の正しい理解
『情報社会とコンピュータ』
（第12回）「データを読む・説明する」
（第13回）「データを扱う」</t>
    <phoneticPr fontId="1"/>
  </si>
  <si>
    <t>キーワード：データ表現（棒グラフ、折線グラフ、散布図）、データの図表表現（チャート化）
優れた可視化事例の紹介
『情報社会とコンピュータ』
（第10回）「情報の可視化」</t>
    <phoneticPr fontId="1"/>
  </si>
  <si>
    <t>キーワード：データの集計（和、平均）、データの並び替え、データ解析ツール（スプレッドシート）
表形式のデータ（csv）
『情報社会とコンピュータ』
（第2回）「データを取り扱うソフトウェア」</t>
    <phoneticPr fontId="1"/>
  </si>
  <si>
    <t>キーワード：データ解析：予測、グルーピング、パターン発見
データ可視化：複合グラフ、地図上の可視化、挙動・軌跡の可視化
非構造化データ処理：言語処理
特化型AIと汎用AI、AIとビッグデータ、認識技術
『情報社会とコンピュータ』
（第2回）「データを取り扱うソフトウェア」
（第3回）「社会で起きている変化」
（第5回）「データの前処理と分析のプロセス」
（第6回）「日常生活の中の人工知能」
（第11回）「インターネットとアクセス解析」</t>
    <phoneticPr fontId="1"/>
  </si>
  <si>
    <t>キーワード：Society5.0、ビッグデータ、IoT、AI、ロボット、データ駆動型社会、データ量の増加、第４次産業革命、複数技術を組み合わせたAIサービス、人間の知的活動とAIの関係性、データを起点としたものの見方、人間の知的活動を起点としたものの見方
『情報通信技術の基礎』
（第２回）「社会で起きている変化」</t>
    <phoneticPr fontId="1"/>
  </si>
  <si>
    <t>キーワード：AI等を活用した新しいビジネスモデル（商品のレコメンデーション等）、AI最新技術の活用例（強化学習）
『情報通信技術の基礎』
（第10回）「人工知能とは」
（第11回）「人工知能と現代社会」</t>
    <rPh sb="76" eb="78">
      <t>ジンコウ</t>
    </rPh>
    <phoneticPr fontId="1"/>
  </si>
  <si>
    <t>キーワード：構造化データ、非構造化データ（文章、画像/動画、音声/音楽など）、データのメタ化、
調査データ、人の行動のログデータ、1次データ、2次データ、データ作成（ビッグデータ）、データのオープン化（オープンデータ）
『情報通信技術の基礎』
（第１回）「PCの基礎」
（第３回）「インターネット」
（第12回）「データの表現」</t>
    <phoneticPr fontId="1"/>
  </si>
  <si>
    <t>キーワード：データ・AI活用領域の広がり（生産、消費、文化活動など）、調達、製造、物流、販売、マーケティング、サービスなど、知識発見、判断支援など
『情報通信技術の基礎』
（第２回）「社会で起きている変化」</t>
    <phoneticPr fontId="1"/>
  </si>
  <si>
    <t>キーワード：データ解析：予測、グルーピング、パターン発見
データ可視化：複合グラフ、地図上の可視化、挙動・軌跡の可視化
非構造化データ処理：言語処理
特化型AIと汎用AI、AIとビッグデータ、認識技術
『情報通信技術の基礎』
（第２回）「社会で起きている変化」
（第３回）「インターネット」
（第11回）「人工知能と現代社会」</t>
    <phoneticPr fontId="1"/>
  </si>
  <si>
    <t>キーワード：データサイエンスのサイクル（データの取得・管理・加工、結果の共有・伝達、課題解決に向けた提案）
流通、製造、金融、サービス、インフラ、公共、ヘルスケア等におけるデータ・AI利活用事例紹介
『情報通信技術の基礎』
（第２回）「社会で起きている変化」
（第14回）「ヘルスケアとデータ」</t>
    <phoneticPr fontId="1"/>
  </si>
  <si>
    <t>キーワード：ELSI、個人情報保護、EU一般データ保護規則（GDPR）、オプトアウト
データ倫理：改ざん、盗用、プライバシー保護
AI社会原則（公平性、透明性、人間中心の判断）、データバイアス、アルゴリズムバイアス
AIサービスの責任論
『情報通信技術の基礎』
（第6回）「個人情報とプライバシー」
（第7回）「情報倫理（コミュニケーション）
（第8回）「情報倫理（安全性・トラブル事例）</t>
    <phoneticPr fontId="1"/>
  </si>
  <si>
    <t>キーワード：情報セキュリティ：機密性、完全性、可用性
匿名加工情報、暗号化、パスワード、悪意のある情報搾取
情報漏洩によるセキュリティ事故の事例紹介
『情報通信技術の基礎』
（第4回）「情報セキュリティの概要」
（第5回）「情報セキュリティの管理」</t>
    <phoneticPr fontId="1"/>
  </si>
  <si>
    <t>キーワード：データの種類（量的変数、質的変数）
データの分布（ヒストグラム）と代表値（平均値、中央値、最頻値）、
代表値の性質の違い（実社会では平均値＝最頻値ではないことが多い）
データのばらつき（分散、標準偏差、偏差値）、層別の必要なデータ、相関と因果（相関係数）
母集団と標本抽出（アンケート調査、全数調査、単純無作為抽出、層別抽出、多段抽出）
クロス集計表、統計情報の正しい理解
『情報通信技術の基礎』
（第12回）「データの表現」</t>
    <phoneticPr fontId="1"/>
  </si>
  <si>
    <t>キーワード：データ表現（棒グラフ、折線グラフ、散布図）、データの図表表現（チャート化）
不適切なグラフ表現
優れた可視化事例の紹介『情報通信技術の基礎』
（第13回）「データの説明」</t>
    <phoneticPr fontId="1"/>
  </si>
  <si>
    <t>キーワード：データの集計（和、平均）、データの並び替え、データ解析ツール（スプレッドシート）
表形式のデータ（csv）
『情報通信技術の基礎』
（第９回）「データの処理」</t>
    <phoneticPr fontId="1"/>
  </si>
  <si>
    <t>学長</t>
    <rPh sb="0" eb="2">
      <t>ガクチョウ</t>
    </rPh>
    <phoneticPr fontId="1"/>
  </si>
  <si>
    <t>データサイエンス教育プログラム</t>
    <rPh sb="8" eb="10">
      <t>キョウイク</t>
    </rPh>
    <phoneticPr fontId="1"/>
  </si>
  <si>
    <t>キーワード：構造化データ、非構造化データ（文章、画像/動画、音声/音楽など）、データのメタ化、
調査データ、人の行動のログデータ、1次データ、2次データ、データ作成（ビッグデータ）、データのオープン化（オープンデータ）
『情報社会とコンピュータ』
（第1回）「データを取り扱うハードウェア」
（第4回）「企業におけるデータ利活用」
（第11回）「インターネットとアクセス解析」
（第12回）「データを読む・説明する」</t>
    <phoneticPr fontId="1"/>
  </si>
  <si>
    <t>澁谷正史</t>
    <rPh sb="0" eb="2">
      <t>シブヤ</t>
    </rPh>
    <rPh sb="2" eb="4">
      <t>マサブミ</t>
    </rPh>
    <phoneticPr fontId="1"/>
  </si>
  <si>
    <t>令和5</t>
    <rPh sb="0" eb="2">
      <t>レイワ</t>
    </rPh>
    <phoneticPr fontId="1"/>
  </si>
  <si>
    <t>上武大学データサイエンスセンター</t>
    <rPh sb="0" eb="4">
      <t>ジョウブダイガク</t>
    </rPh>
    <phoneticPr fontId="1"/>
  </si>
  <si>
    <t>上武大学データサイエンスセンター規程</t>
    <rPh sb="0" eb="4">
      <t>ジョウブダイガク</t>
    </rPh>
    <rPh sb="16" eb="18">
      <t>キテイ</t>
    </rPh>
    <phoneticPr fontId="1"/>
  </si>
  <si>
    <t>上武大学データサイエンスセンター、内部質保証委員会</t>
    <rPh sb="0" eb="4">
      <t>ジョウブダイガク</t>
    </rPh>
    <rPh sb="17" eb="22">
      <t>ナイブシツホショウ</t>
    </rPh>
    <rPh sb="22" eb="25">
      <t>イインカイ</t>
    </rPh>
    <phoneticPr fontId="1"/>
  </si>
  <si>
    <t>　内部質保証委員会で実施している授業評価アンケート調査のうち「授業内容を理解できたか」の項目を分析することによって、授業内容の学生の理解度を把握することができる。その結果を上武大学データサイエンスセンターと連携し、本教育プログラムの評価・改善に活用している。</t>
    <rPh sb="86" eb="90">
      <t>ジョウブダイガク</t>
    </rPh>
    <phoneticPr fontId="1"/>
  </si>
  <si>
    <t>　本学が毎年実施している就職支援のための学内セミナーに参加している企業に対して本教育プログラム内容についての意見を伺っている。本学の教育プログラムの内容については良好な回答が得られている。例えば「産業界ではITやデータサイエンスの分野や実務上必須のスキルであり、大学で高度なリテラシーを身につけた人材を輩出していただけると産業界の発展に繋がる」などの意見があった。さらに、産業界からみて大学のデータサイエンス教育に求められることについて意見を伺い、上武大学データサイエンスセンターにてプログラムの改善に活用している。</t>
    <rPh sb="54" eb="56">
      <t>イケン</t>
    </rPh>
    <rPh sb="57" eb="58">
      <t>ウカガ</t>
    </rPh>
    <rPh sb="94" eb="95">
      <t>タト</t>
    </rPh>
    <rPh sb="98" eb="101">
      <t>サンギョウカイ</t>
    </rPh>
    <rPh sb="115" eb="117">
      <t>ブンヤ</t>
    </rPh>
    <rPh sb="118" eb="121">
      <t>ジツムジョウ</t>
    </rPh>
    <rPh sb="121" eb="123">
      <t>ヒッス</t>
    </rPh>
    <rPh sb="131" eb="133">
      <t>ダイガク</t>
    </rPh>
    <rPh sb="134" eb="136">
      <t>コウド</t>
    </rPh>
    <rPh sb="143" eb="144">
      <t>ミ</t>
    </rPh>
    <rPh sb="148" eb="150">
      <t>ジンザイ</t>
    </rPh>
    <rPh sb="151" eb="153">
      <t>ハイシュツ</t>
    </rPh>
    <rPh sb="161" eb="164">
      <t>サンギョウカイ</t>
    </rPh>
    <rPh sb="165" eb="167">
      <t>ハッテン</t>
    </rPh>
    <rPh sb="168" eb="169">
      <t>ツナ</t>
    </rPh>
    <rPh sb="175" eb="177">
      <t>イケン</t>
    </rPh>
    <rPh sb="224" eb="228">
      <t>ジョウブダイガク</t>
    </rPh>
    <phoneticPr fontId="1"/>
  </si>
  <si>
    <t>　本教育プログラムを担当する教員が執筆した教科書を利用することにより、分かりやすい授業を実施している。ビジネス情報学部と看護学部の学生に対し、全学的に同じ教科書を利用することにより内容・水準を維持している。また、授業評価アンケートを上武大学データサイエンスセンターで分析することにより授業内容の向上を図っている。</t>
    <rPh sb="75" eb="76">
      <t>オナ</t>
    </rPh>
    <rPh sb="77" eb="80">
      <t>キョウカショ</t>
    </rPh>
    <rPh sb="81" eb="83">
      <t>リヨウ</t>
    </rPh>
    <rPh sb="116" eb="120">
      <t>ジョウブダイガク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</si>
</sst>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38" fontId="13" fillId="0" borderId="45" xfId="2" applyFont="1" applyBorder="1" applyAlignment="1">
      <alignment vertical="center" shrinkToFit="1"/>
    </xf>
    <xf numFmtId="38" fontId="13" fillId="0" borderId="0" xfId="2" applyFont="1" applyAlignment="1">
      <alignment vertical="center" shrinkToFit="1"/>
    </xf>
    <xf numFmtId="38" fontId="13" fillId="0" borderId="5" xfId="2" applyFont="1" applyBorder="1" applyAlignment="1">
      <alignment vertical="center" shrinkToFit="1"/>
    </xf>
    <xf numFmtId="38" fontId="13" fillId="0" borderId="20" xfId="2" applyFont="1" applyBorder="1" applyAlignment="1">
      <alignment vertical="center" shrinkToFit="1"/>
    </xf>
    <xf numFmtId="38" fontId="13" fillId="0" borderId="19" xfId="2" applyFont="1" applyBorder="1" applyAlignment="1">
      <alignment vertical="center" shrinkToFit="1"/>
    </xf>
    <xf numFmtId="38" fontId="13" fillId="0" borderId="18" xfId="2" applyFont="1" applyBorder="1" applyAlignment="1">
      <alignment vertical="center" shrinkToFit="1"/>
    </xf>
    <xf numFmtId="0" fontId="12" fillId="0" borderId="0" xfId="0" applyFont="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12" fillId="0" borderId="6" xfId="0" applyFont="1" applyBorder="1" applyAlignment="1">
      <alignment horizontal="left" vertical="center" wrapTex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13" fillId="0" borderId="2" xfId="0" applyFont="1" applyBorder="1" applyAlignment="1">
      <alignment horizontal="left" vertical="center"/>
    </xf>
    <xf numFmtId="0" fontId="12" fillId="0" borderId="3" xfId="0" applyFont="1" applyBorder="1" applyAlignment="1">
      <alignment horizontal="left" vertical="center"/>
    </xf>
    <xf numFmtId="0" fontId="12"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topLeftCell="B1" zoomScaleNormal="100" zoomScaleSheetLayoutView="100" workbookViewId="0">
      <selection activeCell="B1" sqref="B1"/>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6"/>
      <c r="B1" s="76"/>
      <c r="C1" s="76"/>
      <c r="D1" s="76"/>
      <c r="E1" s="76"/>
      <c r="F1" s="76"/>
      <c r="G1" s="76"/>
      <c r="H1" s="76"/>
      <c r="I1" s="76"/>
      <c r="J1" s="76"/>
      <c r="K1" s="76"/>
      <c r="L1" s="76"/>
      <c r="M1" s="76"/>
      <c r="N1" s="76"/>
      <c r="O1" s="76"/>
      <c r="P1" s="76"/>
      <c r="Q1" s="76"/>
      <c r="R1" s="76"/>
      <c r="S1" s="76"/>
      <c r="T1" s="128" t="s">
        <v>156</v>
      </c>
      <c r="U1" s="128"/>
      <c r="V1" s="2" t="s">
        <v>99</v>
      </c>
    </row>
    <row r="2" spans="1:24" ht="18.75" customHeight="1" x14ac:dyDescent="0.15">
      <c r="A2" s="76"/>
      <c r="B2" s="78" t="s">
        <v>98</v>
      </c>
      <c r="C2" s="129" t="s">
        <v>138</v>
      </c>
      <c r="D2" s="130"/>
      <c r="E2" s="130"/>
      <c r="F2" s="130"/>
      <c r="G2" s="130"/>
      <c r="H2" s="130"/>
      <c r="I2" s="130"/>
      <c r="J2" s="131"/>
      <c r="K2" s="77"/>
      <c r="L2" s="79"/>
      <c r="M2" s="79"/>
      <c r="N2" s="79"/>
      <c r="O2" s="79"/>
      <c r="P2" s="79"/>
      <c r="Q2" s="79"/>
      <c r="R2" s="79"/>
      <c r="S2" s="79"/>
      <c r="T2" s="79"/>
      <c r="U2" s="79"/>
    </row>
    <row r="3" spans="1:24" ht="18.75" customHeight="1" x14ac:dyDescent="0.15">
      <c r="A3" s="76"/>
      <c r="B3" s="78" t="s">
        <v>93</v>
      </c>
      <c r="C3" s="129" t="s">
        <v>193</v>
      </c>
      <c r="D3" s="130"/>
      <c r="E3" s="130"/>
      <c r="F3" s="130"/>
      <c r="G3" s="130"/>
      <c r="H3" s="130"/>
      <c r="I3" s="130"/>
      <c r="J3" s="131"/>
      <c r="K3" s="77"/>
      <c r="L3" s="79"/>
      <c r="M3" s="79"/>
      <c r="N3" s="79"/>
      <c r="O3" s="79"/>
      <c r="P3" s="79"/>
      <c r="Q3" s="79"/>
      <c r="R3" s="79"/>
      <c r="S3" s="79"/>
      <c r="T3" s="79"/>
      <c r="U3" s="79"/>
    </row>
    <row r="4" spans="1:24" ht="15" customHeight="1" x14ac:dyDescent="0.15">
      <c r="A4" s="76"/>
      <c r="B4" s="76"/>
      <c r="C4" s="76"/>
      <c r="D4" s="76"/>
      <c r="E4" s="76"/>
      <c r="F4" s="76"/>
      <c r="G4" s="76"/>
      <c r="H4" s="76"/>
      <c r="I4" s="76"/>
      <c r="J4" s="76"/>
      <c r="K4" s="76"/>
      <c r="L4" s="77"/>
      <c r="M4" s="80"/>
      <c r="N4" s="80"/>
      <c r="O4" s="80"/>
      <c r="P4" s="80"/>
      <c r="Q4" s="80"/>
      <c r="R4" s="80"/>
      <c r="S4" s="80"/>
      <c r="T4" s="80"/>
      <c r="U4" s="80"/>
    </row>
    <row r="5" spans="1:24" ht="18" customHeight="1" x14ac:dyDescent="0.15">
      <c r="A5" s="132" t="s">
        <v>37</v>
      </c>
      <c r="B5" s="132"/>
      <c r="C5" s="132"/>
      <c r="D5" s="132"/>
      <c r="E5" s="132"/>
      <c r="F5" s="132"/>
      <c r="G5" s="132"/>
      <c r="H5" s="132"/>
      <c r="I5" s="132"/>
      <c r="J5" s="132"/>
      <c r="K5" s="132"/>
      <c r="L5" s="132"/>
      <c r="M5" s="132"/>
      <c r="N5" s="132"/>
      <c r="O5" s="132"/>
      <c r="P5" s="132"/>
      <c r="Q5" s="132"/>
      <c r="R5" s="132"/>
      <c r="S5" s="132"/>
      <c r="T5" s="132"/>
      <c r="U5" s="132"/>
    </row>
    <row r="6" spans="1:24" ht="15" customHeight="1" x14ac:dyDescent="0.15">
      <c r="A6" s="76"/>
      <c r="B6" s="81"/>
      <c r="C6" s="81"/>
      <c r="D6" s="81"/>
      <c r="E6" s="81"/>
      <c r="F6" s="81"/>
      <c r="G6" s="81"/>
      <c r="H6" s="81"/>
      <c r="I6" s="81"/>
      <c r="J6" s="81"/>
      <c r="K6" s="81"/>
      <c r="L6" s="81"/>
      <c r="M6" s="81"/>
      <c r="N6" s="81"/>
      <c r="O6" s="81"/>
      <c r="P6" s="81"/>
      <c r="Q6" s="81"/>
      <c r="R6" s="81"/>
      <c r="S6" s="81"/>
      <c r="T6" s="81"/>
      <c r="U6" s="81"/>
    </row>
    <row r="7" spans="1:24" ht="15" customHeight="1" x14ac:dyDescent="0.15">
      <c r="A7" s="76" t="s">
        <v>131</v>
      </c>
      <c r="B7" s="81"/>
      <c r="C7" s="81"/>
      <c r="D7" s="81"/>
      <c r="E7" s="81"/>
      <c r="F7" s="75"/>
      <c r="G7" s="75"/>
      <c r="H7" s="75"/>
      <c r="I7" s="75"/>
      <c r="J7" s="75"/>
      <c r="K7" s="75"/>
      <c r="L7" s="106" t="s">
        <v>129</v>
      </c>
      <c r="M7" s="107"/>
      <c r="N7" s="107"/>
      <c r="O7" s="107"/>
      <c r="P7" s="107"/>
      <c r="Q7" s="107"/>
      <c r="R7" s="107"/>
      <c r="S7" s="107"/>
      <c r="T7" s="107"/>
      <c r="U7" s="108"/>
    </row>
    <row r="8" spans="1:24" ht="6" customHeight="1" x14ac:dyDescent="0.15">
      <c r="A8" s="76"/>
      <c r="B8" s="81"/>
      <c r="C8" s="81"/>
      <c r="D8" s="81"/>
      <c r="E8" s="81"/>
      <c r="F8" s="81"/>
      <c r="G8" s="81"/>
      <c r="H8" s="81"/>
      <c r="I8" s="81"/>
      <c r="J8" s="81"/>
      <c r="K8" s="81"/>
      <c r="L8" s="81"/>
      <c r="M8" s="81"/>
      <c r="N8" s="81"/>
      <c r="O8" s="81"/>
      <c r="P8" s="81"/>
      <c r="Q8" s="81"/>
      <c r="R8" s="81"/>
      <c r="S8" s="81"/>
      <c r="T8" s="81"/>
      <c r="U8" s="81"/>
    </row>
    <row r="9" spans="1:24" ht="18" customHeight="1" x14ac:dyDescent="0.15">
      <c r="A9" s="76" t="s">
        <v>132</v>
      </c>
      <c r="B9" s="76"/>
      <c r="C9" s="81"/>
      <c r="D9" s="81"/>
      <c r="E9" s="76"/>
      <c r="F9" s="76"/>
      <c r="G9" s="76"/>
      <c r="H9" s="76"/>
      <c r="I9" s="76"/>
      <c r="J9" s="76"/>
      <c r="K9" s="77"/>
      <c r="L9" s="75"/>
      <c r="M9" s="75"/>
      <c r="N9" s="75"/>
      <c r="O9" s="75"/>
      <c r="P9" s="75"/>
      <c r="Q9" s="75"/>
      <c r="R9" s="75"/>
      <c r="S9" s="75"/>
      <c r="T9" s="75"/>
      <c r="U9" s="75"/>
    </row>
    <row r="10" spans="1:24" ht="6" customHeight="1" x14ac:dyDescent="0.15">
      <c r="A10" s="76"/>
      <c r="B10" s="81"/>
      <c r="C10" s="81"/>
      <c r="D10" s="81"/>
      <c r="E10" s="81"/>
      <c r="F10" s="81"/>
      <c r="G10" s="81"/>
      <c r="H10" s="81"/>
      <c r="I10" s="81"/>
      <c r="J10" s="81"/>
      <c r="K10" s="81"/>
      <c r="L10" s="82"/>
      <c r="M10" s="81"/>
      <c r="N10" s="81"/>
      <c r="O10" s="81"/>
      <c r="P10" s="81"/>
      <c r="Q10" s="81"/>
      <c r="R10" s="81"/>
      <c r="S10" s="81"/>
      <c r="T10" s="81"/>
      <c r="U10" s="81"/>
    </row>
    <row r="11" spans="1:24" ht="18" customHeight="1" x14ac:dyDescent="0.15">
      <c r="A11" s="76"/>
      <c r="B11" s="112" t="s">
        <v>159</v>
      </c>
      <c r="C11" s="113"/>
      <c r="D11" s="113"/>
      <c r="E11" s="113"/>
      <c r="F11" s="113"/>
      <c r="G11" s="113"/>
      <c r="H11" s="113"/>
      <c r="I11" s="113"/>
      <c r="J11" s="113"/>
      <c r="K11" s="113"/>
      <c r="L11" s="113"/>
      <c r="M11" s="113"/>
      <c r="N11" s="113"/>
      <c r="O11" s="113"/>
      <c r="P11" s="113"/>
      <c r="Q11" s="113"/>
      <c r="R11" s="113"/>
      <c r="S11" s="113"/>
      <c r="T11" s="113"/>
      <c r="U11" s="114"/>
    </row>
    <row r="12" spans="1:24" ht="18" customHeight="1" x14ac:dyDescent="0.15">
      <c r="A12" s="76"/>
      <c r="B12" s="115"/>
      <c r="C12" s="116"/>
      <c r="D12" s="116"/>
      <c r="E12" s="116"/>
      <c r="F12" s="116"/>
      <c r="G12" s="116"/>
      <c r="H12" s="116"/>
      <c r="I12" s="116"/>
      <c r="J12" s="116"/>
      <c r="K12" s="116"/>
      <c r="L12" s="116"/>
      <c r="M12" s="116"/>
      <c r="N12" s="116"/>
      <c r="O12" s="116"/>
      <c r="P12" s="116"/>
      <c r="Q12" s="116"/>
      <c r="R12" s="116"/>
      <c r="S12" s="116"/>
      <c r="T12" s="116"/>
      <c r="U12" s="117"/>
    </row>
    <row r="13" spans="1:24" ht="6" customHeight="1" x14ac:dyDescent="0.15">
      <c r="A13" s="76"/>
      <c r="B13" s="81"/>
      <c r="C13" s="81"/>
      <c r="D13" s="81"/>
      <c r="E13" s="81"/>
      <c r="F13" s="81"/>
      <c r="G13" s="81"/>
      <c r="H13" s="81"/>
      <c r="I13" s="81"/>
      <c r="J13" s="81"/>
      <c r="K13" s="81"/>
      <c r="L13" s="82"/>
      <c r="M13" s="81"/>
      <c r="N13" s="81"/>
      <c r="O13" s="81"/>
      <c r="P13" s="81"/>
      <c r="Q13" s="81"/>
      <c r="R13" s="81"/>
      <c r="S13" s="81"/>
      <c r="T13" s="81"/>
      <c r="U13" s="81"/>
    </row>
    <row r="14" spans="1:24" ht="18" customHeight="1" x14ac:dyDescent="0.15">
      <c r="A14" s="76" t="s">
        <v>100</v>
      </c>
      <c r="B14" s="81"/>
      <c r="C14" s="81"/>
      <c r="D14" s="81"/>
      <c r="E14" s="77"/>
      <c r="F14" s="77"/>
      <c r="G14" s="77"/>
      <c r="H14" s="77"/>
      <c r="I14" s="77"/>
      <c r="J14" s="77"/>
      <c r="K14" s="77"/>
      <c r="L14" s="83"/>
      <c r="M14" s="83"/>
      <c r="N14" s="83"/>
      <c r="O14" s="83"/>
      <c r="P14" s="83"/>
      <c r="Q14" s="83"/>
      <c r="R14" s="83"/>
      <c r="S14" s="83"/>
      <c r="T14" s="83"/>
      <c r="U14" s="83"/>
    </row>
    <row r="15" spans="1:24" ht="18" customHeight="1" x14ac:dyDescent="0.15">
      <c r="A15" s="76"/>
      <c r="B15" s="133" t="s">
        <v>160</v>
      </c>
      <c r="C15" s="134"/>
      <c r="D15" s="134"/>
      <c r="E15" s="134"/>
      <c r="F15" s="134"/>
      <c r="G15" s="134"/>
      <c r="H15" s="134"/>
      <c r="I15" s="134"/>
      <c r="J15" s="134"/>
      <c r="K15" s="134"/>
      <c r="L15" s="134"/>
      <c r="M15" s="134"/>
      <c r="N15" s="134"/>
      <c r="O15" s="134"/>
      <c r="P15" s="134"/>
      <c r="Q15" s="134"/>
      <c r="R15" s="134"/>
      <c r="S15" s="134"/>
      <c r="T15" s="134"/>
      <c r="U15" s="135"/>
      <c r="X15" s="1" t="s">
        <v>94</v>
      </c>
    </row>
    <row r="16" spans="1:24" ht="18" customHeight="1" x14ac:dyDescent="0.15">
      <c r="A16" s="76"/>
      <c r="B16" s="136"/>
      <c r="C16" s="137"/>
      <c r="D16" s="137"/>
      <c r="E16" s="137"/>
      <c r="F16" s="137"/>
      <c r="G16" s="137"/>
      <c r="H16" s="137"/>
      <c r="I16" s="137"/>
      <c r="J16" s="137"/>
      <c r="K16" s="137"/>
      <c r="L16" s="137"/>
      <c r="M16" s="137"/>
      <c r="N16" s="137"/>
      <c r="O16" s="137"/>
      <c r="P16" s="137"/>
      <c r="Q16" s="137"/>
      <c r="R16" s="137"/>
      <c r="S16" s="137"/>
      <c r="T16" s="137"/>
      <c r="U16" s="138"/>
      <c r="X16" s="1" t="s">
        <v>114</v>
      </c>
    </row>
    <row r="17" spans="1:24" ht="18" customHeight="1" x14ac:dyDescent="0.15">
      <c r="A17" s="76"/>
      <c r="B17" s="136"/>
      <c r="C17" s="137"/>
      <c r="D17" s="137"/>
      <c r="E17" s="137"/>
      <c r="F17" s="137"/>
      <c r="G17" s="137"/>
      <c r="H17" s="137"/>
      <c r="I17" s="137"/>
      <c r="J17" s="137"/>
      <c r="K17" s="137"/>
      <c r="L17" s="137"/>
      <c r="M17" s="137"/>
      <c r="N17" s="137"/>
      <c r="O17" s="137"/>
      <c r="P17" s="137"/>
      <c r="Q17" s="137"/>
      <c r="R17" s="137"/>
      <c r="S17" s="137"/>
      <c r="T17" s="137"/>
      <c r="U17" s="138"/>
      <c r="X17" s="1" t="s">
        <v>115</v>
      </c>
    </row>
    <row r="18" spans="1:24" ht="18" customHeight="1" x14ac:dyDescent="0.15">
      <c r="A18" s="76"/>
      <c r="B18" s="136"/>
      <c r="C18" s="137"/>
      <c r="D18" s="137"/>
      <c r="E18" s="137"/>
      <c r="F18" s="137"/>
      <c r="G18" s="137"/>
      <c r="H18" s="137"/>
      <c r="I18" s="137"/>
      <c r="J18" s="137"/>
      <c r="K18" s="137"/>
      <c r="L18" s="137"/>
      <c r="M18" s="137"/>
      <c r="N18" s="137"/>
      <c r="O18" s="137"/>
      <c r="P18" s="137"/>
      <c r="Q18" s="137"/>
      <c r="R18" s="137"/>
      <c r="S18" s="137"/>
      <c r="T18" s="137"/>
      <c r="U18" s="138"/>
      <c r="X18" s="1" t="s">
        <v>116</v>
      </c>
    </row>
    <row r="19" spans="1:24" ht="18" customHeight="1" x14ac:dyDescent="0.15">
      <c r="A19" s="76"/>
      <c r="B19" s="136"/>
      <c r="C19" s="137"/>
      <c r="D19" s="137"/>
      <c r="E19" s="137"/>
      <c r="F19" s="137"/>
      <c r="G19" s="137"/>
      <c r="H19" s="137"/>
      <c r="I19" s="137"/>
      <c r="J19" s="137"/>
      <c r="K19" s="137"/>
      <c r="L19" s="137"/>
      <c r="M19" s="137"/>
      <c r="N19" s="137"/>
      <c r="O19" s="137"/>
      <c r="P19" s="137"/>
      <c r="Q19" s="137"/>
      <c r="R19" s="137"/>
      <c r="S19" s="137"/>
      <c r="T19" s="137"/>
      <c r="U19" s="138"/>
    </row>
    <row r="20" spans="1:24" ht="18" customHeight="1" x14ac:dyDescent="0.15">
      <c r="A20" s="76"/>
      <c r="B20" s="139"/>
      <c r="C20" s="140"/>
      <c r="D20" s="140"/>
      <c r="E20" s="140"/>
      <c r="F20" s="140"/>
      <c r="G20" s="140"/>
      <c r="H20" s="140"/>
      <c r="I20" s="140"/>
      <c r="J20" s="140"/>
      <c r="K20" s="140"/>
      <c r="L20" s="140"/>
      <c r="M20" s="140"/>
      <c r="N20" s="140"/>
      <c r="O20" s="140"/>
      <c r="P20" s="140"/>
      <c r="Q20" s="140"/>
      <c r="R20" s="140"/>
      <c r="S20" s="140"/>
      <c r="T20" s="140"/>
      <c r="U20" s="141"/>
    </row>
    <row r="21" spans="1:24" ht="7.5" customHeight="1" x14ac:dyDescent="0.15">
      <c r="A21" s="76"/>
      <c r="B21" s="81"/>
      <c r="C21" s="81"/>
      <c r="D21" s="81"/>
      <c r="E21" s="81"/>
      <c r="F21" s="81"/>
      <c r="G21" s="81"/>
      <c r="H21" s="81"/>
      <c r="I21" s="81"/>
      <c r="J21" s="81"/>
      <c r="K21" s="81"/>
      <c r="L21" s="81"/>
      <c r="M21" s="81"/>
      <c r="N21" s="81"/>
      <c r="O21" s="81"/>
      <c r="P21" s="81"/>
      <c r="Q21" s="81"/>
      <c r="R21" s="81"/>
      <c r="S21" s="81"/>
      <c r="T21" s="81"/>
      <c r="U21" s="81"/>
    </row>
    <row r="22" spans="1:24" ht="20.100000000000001" customHeight="1" x14ac:dyDescent="0.15">
      <c r="A22" s="76"/>
      <c r="B22" s="76" t="s">
        <v>133</v>
      </c>
      <c r="C22" s="76"/>
      <c r="D22" s="76"/>
      <c r="E22" s="84">
        <v>1</v>
      </c>
      <c r="F22" s="76" t="s">
        <v>112</v>
      </c>
      <c r="G22" s="76"/>
      <c r="H22" s="85">
        <v>2</v>
      </c>
      <c r="I22" s="81" t="s">
        <v>113</v>
      </c>
      <c r="J22" s="81"/>
      <c r="K22" s="77"/>
      <c r="L22" s="76"/>
      <c r="M22" s="77" t="s">
        <v>109</v>
      </c>
      <c r="N22" s="103" t="s">
        <v>115</v>
      </c>
      <c r="O22" s="104"/>
      <c r="P22" s="104"/>
      <c r="Q22" s="104"/>
      <c r="R22" s="104"/>
      <c r="S22" s="104"/>
      <c r="T22" s="104"/>
      <c r="U22" s="105"/>
    </row>
    <row r="23" spans="1:24" ht="7.5" customHeight="1" x14ac:dyDescent="0.15">
      <c r="A23" s="76"/>
      <c r="B23" s="81"/>
      <c r="C23" s="81"/>
      <c r="D23" s="81"/>
      <c r="E23" s="81"/>
      <c r="F23" s="81"/>
      <c r="G23" s="81"/>
      <c r="H23" s="81"/>
      <c r="I23" s="81"/>
      <c r="J23" s="81"/>
      <c r="K23" s="81"/>
      <c r="L23" s="81"/>
      <c r="M23" s="81"/>
      <c r="N23" s="81"/>
      <c r="O23" s="81"/>
      <c r="P23" s="81"/>
      <c r="Q23" s="81"/>
      <c r="R23" s="81"/>
      <c r="S23" s="81"/>
      <c r="T23" s="81"/>
      <c r="U23" s="81"/>
    </row>
    <row r="24" spans="1:24" ht="18" customHeight="1" x14ac:dyDescent="0.15">
      <c r="A24" s="142" t="s">
        <v>101</v>
      </c>
      <c r="B24" s="142"/>
      <c r="C24" s="142"/>
      <c r="D24" s="142"/>
      <c r="E24" s="142"/>
      <c r="F24" s="142"/>
      <c r="G24" s="142"/>
      <c r="H24" s="142"/>
      <c r="I24" s="142"/>
      <c r="J24" s="142"/>
      <c r="K24" s="142"/>
      <c r="L24" s="142"/>
      <c r="M24" s="142"/>
      <c r="N24" s="142"/>
      <c r="O24" s="142"/>
      <c r="P24" s="142"/>
      <c r="Q24" s="142"/>
      <c r="R24" s="142"/>
      <c r="S24" s="142"/>
      <c r="T24" s="142"/>
      <c r="U24" s="142"/>
    </row>
    <row r="25" spans="1:24" ht="18" customHeight="1" x14ac:dyDescent="0.15">
      <c r="A25" s="142"/>
      <c r="B25" s="142"/>
      <c r="C25" s="142"/>
      <c r="D25" s="142"/>
      <c r="E25" s="142"/>
      <c r="F25" s="142"/>
      <c r="G25" s="142"/>
      <c r="H25" s="142"/>
      <c r="I25" s="142"/>
      <c r="J25" s="142"/>
      <c r="K25" s="142"/>
      <c r="L25" s="142"/>
      <c r="M25" s="142"/>
      <c r="N25" s="142"/>
      <c r="O25" s="142"/>
      <c r="P25" s="142"/>
      <c r="Q25" s="142"/>
      <c r="R25" s="142"/>
      <c r="S25" s="142"/>
      <c r="T25" s="142"/>
      <c r="U25" s="142"/>
    </row>
    <row r="26" spans="1:24" ht="18" customHeight="1" x14ac:dyDescent="0.15">
      <c r="B26" s="109" t="s">
        <v>51</v>
      </c>
      <c r="C26" s="110"/>
      <c r="D26" s="110"/>
      <c r="E26" s="110"/>
      <c r="F26" s="111"/>
      <c r="G26" s="51" t="s">
        <v>77</v>
      </c>
      <c r="H26" s="50" t="s">
        <v>80</v>
      </c>
      <c r="I26" s="17" t="s">
        <v>54</v>
      </c>
      <c r="J26" s="17" t="s">
        <v>57</v>
      </c>
      <c r="K26" s="109" t="s">
        <v>51</v>
      </c>
      <c r="L26" s="110"/>
      <c r="M26" s="110"/>
      <c r="N26" s="110"/>
      <c r="O26" s="110"/>
      <c r="P26" s="110"/>
      <c r="Q26" s="111"/>
      <c r="R26" s="51" t="s">
        <v>77</v>
      </c>
      <c r="S26" s="50" t="s">
        <v>80</v>
      </c>
      <c r="T26" s="17" t="s">
        <v>54</v>
      </c>
      <c r="U26" s="17" t="s">
        <v>57</v>
      </c>
    </row>
    <row r="27" spans="1:24" ht="18" customHeight="1" x14ac:dyDescent="0.15">
      <c r="B27" s="124" t="s">
        <v>139</v>
      </c>
      <c r="C27" s="125"/>
      <c r="D27" s="125"/>
      <c r="E27" s="125"/>
      <c r="F27" s="126"/>
      <c r="G27" s="18">
        <v>2</v>
      </c>
      <c r="H27" s="18" t="s">
        <v>140</v>
      </c>
      <c r="I27" s="18" t="s">
        <v>140</v>
      </c>
      <c r="J27" s="18" t="s">
        <v>140</v>
      </c>
      <c r="K27" s="124"/>
      <c r="L27" s="125"/>
      <c r="M27" s="125"/>
      <c r="N27" s="125"/>
      <c r="O27" s="125"/>
      <c r="P27" s="125"/>
      <c r="Q27" s="126"/>
      <c r="R27" s="18"/>
      <c r="S27" s="18"/>
      <c r="T27" s="18"/>
      <c r="U27" s="18"/>
    </row>
    <row r="28" spans="1:24" ht="18" customHeight="1" x14ac:dyDescent="0.15">
      <c r="B28" s="118"/>
      <c r="C28" s="119"/>
      <c r="D28" s="119"/>
      <c r="E28" s="119"/>
      <c r="F28" s="120"/>
      <c r="G28" s="19"/>
      <c r="H28" s="19"/>
      <c r="I28" s="19"/>
      <c r="J28" s="19"/>
      <c r="K28" s="118"/>
      <c r="L28" s="119"/>
      <c r="M28" s="119"/>
      <c r="N28" s="119"/>
      <c r="O28" s="119"/>
      <c r="P28" s="119"/>
      <c r="Q28" s="120"/>
      <c r="R28" s="19"/>
      <c r="S28" s="19"/>
      <c r="T28" s="19"/>
      <c r="U28" s="19"/>
    </row>
    <row r="29" spans="1:24" ht="18" customHeight="1" x14ac:dyDescent="0.15">
      <c r="B29" s="118"/>
      <c r="C29" s="119"/>
      <c r="D29" s="119"/>
      <c r="E29" s="119"/>
      <c r="F29" s="120"/>
      <c r="G29" s="19"/>
      <c r="H29" s="19"/>
      <c r="I29" s="19"/>
      <c r="J29" s="19"/>
      <c r="K29" s="118"/>
      <c r="L29" s="119"/>
      <c r="M29" s="119"/>
      <c r="N29" s="119"/>
      <c r="O29" s="119"/>
      <c r="P29" s="119"/>
      <c r="Q29" s="120"/>
      <c r="R29" s="19"/>
      <c r="S29" s="19"/>
      <c r="T29" s="19"/>
      <c r="U29" s="19"/>
    </row>
    <row r="30" spans="1:24" ht="18" customHeight="1" x14ac:dyDescent="0.15">
      <c r="B30" s="118"/>
      <c r="C30" s="119"/>
      <c r="D30" s="119"/>
      <c r="E30" s="119"/>
      <c r="F30" s="120"/>
      <c r="G30" s="19"/>
      <c r="H30" s="19"/>
      <c r="I30" s="19"/>
      <c r="J30" s="19"/>
      <c r="K30" s="118"/>
      <c r="L30" s="119"/>
      <c r="M30" s="119"/>
      <c r="N30" s="119"/>
      <c r="O30" s="119"/>
      <c r="P30" s="119"/>
      <c r="Q30" s="120"/>
      <c r="R30" s="19"/>
      <c r="S30" s="19"/>
      <c r="T30" s="19"/>
      <c r="U30" s="19"/>
    </row>
    <row r="31" spans="1:24" ht="18" customHeight="1" x14ac:dyDescent="0.15">
      <c r="B31" s="118"/>
      <c r="C31" s="119"/>
      <c r="D31" s="119"/>
      <c r="E31" s="119"/>
      <c r="F31" s="120"/>
      <c r="G31" s="19"/>
      <c r="H31" s="19"/>
      <c r="I31" s="19"/>
      <c r="J31" s="19"/>
      <c r="K31" s="118"/>
      <c r="L31" s="119"/>
      <c r="M31" s="119"/>
      <c r="N31" s="119"/>
      <c r="O31" s="119"/>
      <c r="P31" s="119"/>
      <c r="Q31" s="120"/>
      <c r="R31" s="19"/>
      <c r="S31" s="19"/>
      <c r="T31" s="19"/>
      <c r="U31" s="19"/>
    </row>
    <row r="32" spans="1:24" ht="18" customHeight="1" x14ac:dyDescent="0.15">
      <c r="A32" s="3"/>
      <c r="B32" s="118"/>
      <c r="C32" s="119"/>
      <c r="D32" s="119"/>
      <c r="E32" s="119"/>
      <c r="F32" s="120"/>
      <c r="G32" s="19"/>
      <c r="H32" s="19"/>
      <c r="I32" s="19"/>
      <c r="J32" s="19"/>
      <c r="K32" s="118"/>
      <c r="L32" s="119"/>
      <c r="M32" s="119"/>
      <c r="N32" s="119"/>
      <c r="O32" s="119"/>
      <c r="P32" s="119"/>
      <c r="Q32" s="120"/>
      <c r="R32" s="19"/>
      <c r="S32" s="19"/>
      <c r="T32" s="19"/>
      <c r="U32" s="19"/>
    </row>
    <row r="33" spans="1:21" ht="18" customHeight="1" x14ac:dyDescent="0.15">
      <c r="A33" s="3"/>
      <c r="B33" s="121"/>
      <c r="C33" s="122"/>
      <c r="D33" s="122"/>
      <c r="E33" s="122"/>
      <c r="F33" s="123"/>
      <c r="G33" s="20"/>
      <c r="H33" s="20"/>
      <c r="I33" s="21"/>
      <c r="J33" s="21"/>
      <c r="K33" s="121"/>
      <c r="L33" s="122"/>
      <c r="M33" s="122"/>
      <c r="N33" s="122"/>
      <c r="O33" s="122"/>
      <c r="P33" s="122"/>
      <c r="Q33" s="123"/>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7" t="s">
        <v>102</v>
      </c>
      <c r="B35" s="127"/>
      <c r="C35" s="127"/>
      <c r="D35" s="127"/>
      <c r="E35" s="127"/>
      <c r="F35" s="127"/>
      <c r="G35" s="127"/>
      <c r="H35" s="127"/>
      <c r="I35" s="127"/>
      <c r="J35" s="127"/>
      <c r="K35" s="127"/>
      <c r="L35" s="127"/>
      <c r="M35" s="127"/>
      <c r="N35" s="127"/>
      <c r="O35" s="127"/>
      <c r="P35" s="127"/>
      <c r="Q35" s="127"/>
      <c r="R35" s="127"/>
      <c r="S35" s="127"/>
      <c r="T35" s="127"/>
      <c r="U35" s="127"/>
    </row>
    <row r="36" spans="1:21" ht="18" customHeight="1" x14ac:dyDescent="0.15">
      <c r="A36" s="127"/>
      <c r="B36" s="127"/>
      <c r="C36" s="127"/>
      <c r="D36" s="127"/>
      <c r="E36" s="127"/>
      <c r="F36" s="127"/>
      <c r="G36" s="127"/>
      <c r="H36" s="127"/>
      <c r="I36" s="127"/>
      <c r="J36" s="127"/>
      <c r="K36" s="127"/>
      <c r="L36" s="127"/>
      <c r="M36" s="127"/>
      <c r="N36" s="127"/>
      <c r="O36" s="127"/>
      <c r="P36" s="127"/>
      <c r="Q36" s="127"/>
      <c r="R36" s="127"/>
      <c r="S36" s="127"/>
      <c r="T36" s="127"/>
      <c r="U36" s="127"/>
    </row>
    <row r="37" spans="1:21" ht="18" customHeight="1" x14ac:dyDescent="0.15">
      <c r="B37" s="109" t="s">
        <v>51</v>
      </c>
      <c r="C37" s="110"/>
      <c r="D37" s="110"/>
      <c r="E37" s="110"/>
      <c r="F37" s="111"/>
      <c r="G37" s="51" t="s">
        <v>77</v>
      </c>
      <c r="H37" s="50" t="s">
        <v>80</v>
      </c>
      <c r="I37" s="17" t="s">
        <v>68</v>
      </c>
      <c r="J37" s="17" t="s">
        <v>69</v>
      </c>
      <c r="K37" s="109" t="s">
        <v>51</v>
      </c>
      <c r="L37" s="110"/>
      <c r="M37" s="110"/>
      <c r="N37" s="110"/>
      <c r="O37" s="110"/>
      <c r="P37" s="110"/>
      <c r="Q37" s="111"/>
      <c r="R37" s="51" t="s">
        <v>77</v>
      </c>
      <c r="S37" s="50" t="s">
        <v>80</v>
      </c>
      <c r="T37" s="17" t="s">
        <v>68</v>
      </c>
      <c r="U37" s="17" t="s">
        <v>69</v>
      </c>
    </row>
    <row r="38" spans="1:21" ht="18" customHeight="1" x14ac:dyDescent="0.15">
      <c r="B38" s="124" t="s">
        <v>141</v>
      </c>
      <c r="C38" s="125"/>
      <c r="D38" s="125"/>
      <c r="E38" s="125"/>
      <c r="F38" s="126"/>
      <c r="G38" s="18">
        <v>2</v>
      </c>
      <c r="H38" s="18" t="s">
        <v>140</v>
      </c>
      <c r="I38" s="18" t="s">
        <v>140</v>
      </c>
      <c r="J38" s="18" t="s">
        <v>140</v>
      </c>
      <c r="K38" s="124"/>
      <c r="L38" s="125"/>
      <c r="M38" s="125"/>
      <c r="N38" s="125"/>
      <c r="O38" s="125"/>
      <c r="P38" s="125"/>
      <c r="Q38" s="126"/>
      <c r="R38" s="18"/>
      <c r="S38" s="18"/>
      <c r="T38" s="18"/>
      <c r="U38" s="18"/>
    </row>
    <row r="39" spans="1:21" ht="18" customHeight="1" x14ac:dyDescent="0.15">
      <c r="B39" s="118"/>
      <c r="C39" s="119"/>
      <c r="D39" s="119"/>
      <c r="E39" s="119"/>
      <c r="F39" s="120"/>
      <c r="G39" s="19"/>
      <c r="H39" s="19"/>
      <c r="I39" s="19"/>
      <c r="J39" s="19"/>
      <c r="K39" s="118"/>
      <c r="L39" s="119"/>
      <c r="M39" s="119"/>
      <c r="N39" s="119"/>
      <c r="O39" s="119"/>
      <c r="P39" s="119"/>
      <c r="Q39" s="120"/>
      <c r="R39" s="19"/>
      <c r="S39" s="19"/>
      <c r="T39" s="19"/>
      <c r="U39" s="19"/>
    </row>
    <row r="40" spans="1:21" ht="18" customHeight="1" x14ac:dyDescent="0.15">
      <c r="B40" s="118"/>
      <c r="C40" s="119"/>
      <c r="D40" s="119"/>
      <c r="E40" s="119"/>
      <c r="F40" s="120"/>
      <c r="G40" s="19"/>
      <c r="H40" s="19"/>
      <c r="I40" s="19"/>
      <c r="J40" s="19"/>
      <c r="K40" s="118"/>
      <c r="L40" s="119"/>
      <c r="M40" s="119"/>
      <c r="N40" s="119"/>
      <c r="O40" s="119"/>
      <c r="P40" s="119"/>
      <c r="Q40" s="120"/>
      <c r="R40" s="19"/>
      <c r="S40" s="19"/>
      <c r="T40" s="19"/>
      <c r="U40" s="19"/>
    </row>
    <row r="41" spans="1:21" ht="18" customHeight="1" x14ac:dyDescent="0.15">
      <c r="B41" s="118"/>
      <c r="C41" s="119"/>
      <c r="D41" s="119"/>
      <c r="E41" s="119"/>
      <c r="F41" s="120"/>
      <c r="G41" s="19"/>
      <c r="H41" s="19"/>
      <c r="I41" s="19"/>
      <c r="J41" s="19"/>
      <c r="K41" s="118"/>
      <c r="L41" s="119"/>
      <c r="M41" s="119"/>
      <c r="N41" s="119"/>
      <c r="O41" s="119"/>
      <c r="P41" s="119"/>
      <c r="Q41" s="120"/>
      <c r="R41" s="19"/>
      <c r="S41" s="19"/>
      <c r="T41" s="19"/>
      <c r="U41" s="19"/>
    </row>
    <row r="42" spans="1:21" ht="18" customHeight="1" x14ac:dyDescent="0.15">
      <c r="B42" s="118"/>
      <c r="C42" s="119"/>
      <c r="D42" s="119"/>
      <c r="E42" s="119"/>
      <c r="F42" s="120"/>
      <c r="G42" s="19"/>
      <c r="H42" s="19"/>
      <c r="I42" s="19"/>
      <c r="J42" s="19"/>
      <c r="K42" s="118"/>
      <c r="L42" s="119"/>
      <c r="M42" s="119"/>
      <c r="N42" s="119"/>
      <c r="O42" s="119"/>
      <c r="P42" s="119"/>
      <c r="Q42" s="120"/>
      <c r="R42" s="19"/>
      <c r="S42" s="19"/>
      <c r="T42" s="19"/>
      <c r="U42" s="19"/>
    </row>
    <row r="43" spans="1:21" ht="18" customHeight="1" x14ac:dyDescent="0.15">
      <c r="B43" s="118"/>
      <c r="C43" s="119"/>
      <c r="D43" s="119"/>
      <c r="E43" s="119"/>
      <c r="F43" s="120"/>
      <c r="G43" s="19"/>
      <c r="H43" s="19"/>
      <c r="I43" s="19"/>
      <c r="J43" s="19"/>
      <c r="K43" s="118"/>
      <c r="L43" s="119"/>
      <c r="M43" s="119"/>
      <c r="N43" s="119"/>
      <c r="O43" s="119"/>
      <c r="P43" s="119"/>
      <c r="Q43" s="120"/>
      <c r="R43" s="19"/>
      <c r="S43" s="19"/>
      <c r="T43" s="19"/>
      <c r="U43" s="19"/>
    </row>
    <row r="44" spans="1:21" ht="18" customHeight="1" x14ac:dyDescent="0.15">
      <c r="B44" s="121"/>
      <c r="C44" s="122"/>
      <c r="D44" s="122"/>
      <c r="E44" s="122"/>
      <c r="F44" s="123"/>
      <c r="G44" s="20"/>
      <c r="H44" s="20"/>
      <c r="I44" s="21"/>
      <c r="J44" s="21"/>
      <c r="K44" s="121"/>
      <c r="L44" s="122"/>
      <c r="M44" s="122"/>
      <c r="N44" s="122"/>
      <c r="O44" s="122"/>
      <c r="P44" s="122"/>
      <c r="Q44" s="123"/>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7" t="s">
        <v>103</v>
      </c>
      <c r="B46" s="127"/>
      <c r="C46" s="127"/>
      <c r="D46" s="127"/>
      <c r="E46" s="127"/>
      <c r="F46" s="127"/>
      <c r="G46" s="127"/>
      <c r="H46" s="127"/>
      <c r="I46" s="127"/>
      <c r="J46" s="127"/>
      <c r="K46" s="127"/>
      <c r="L46" s="127"/>
      <c r="M46" s="127"/>
      <c r="N46" s="127"/>
      <c r="O46" s="127"/>
      <c r="P46" s="127"/>
      <c r="Q46" s="127"/>
      <c r="R46" s="127"/>
      <c r="S46" s="127"/>
      <c r="T46" s="127"/>
      <c r="U46" s="127"/>
    </row>
    <row r="47" spans="1:21" ht="18" customHeight="1" x14ac:dyDescent="0.15">
      <c r="A47" s="127"/>
      <c r="B47" s="127"/>
      <c r="C47" s="127"/>
      <c r="D47" s="127"/>
      <c r="E47" s="127"/>
      <c r="F47" s="127"/>
      <c r="G47" s="127"/>
      <c r="H47" s="127"/>
      <c r="I47" s="127"/>
      <c r="J47" s="127"/>
      <c r="K47" s="127"/>
      <c r="L47" s="127"/>
      <c r="M47" s="127"/>
      <c r="N47" s="127"/>
      <c r="O47" s="127"/>
      <c r="P47" s="127"/>
      <c r="Q47" s="127"/>
      <c r="R47" s="127"/>
      <c r="S47" s="127"/>
      <c r="T47" s="127"/>
      <c r="U47" s="127"/>
    </row>
    <row r="48" spans="1:21" ht="18" customHeight="1" x14ac:dyDescent="0.15">
      <c r="B48" s="109" t="s">
        <v>51</v>
      </c>
      <c r="C48" s="110"/>
      <c r="D48" s="110"/>
      <c r="E48" s="110"/>
      <c r="F48" s="111"/>
      <c r="G48" s="51" t="s">
        <v>77</v>
      </c>
      <c r="H48" s="50" t="s">
        <v>80</v>
      </c>
      <c r="I48" s="17" t="s">
        <v>70</v>
      </c>
      <c r="J48" s="17" t="s">
        <v>71</v>
      </c>
      <c r="K48" s="109" t="s">
        <v>51</v>
      </c>
      <c r="L48" s="110"/>
      <c r="M48" s="110"/>
      <c r="N48" s="110"/>
      <c r="O48" s="110"/>
      <c r="P48" s="110"/>
      <c r="Q48" s="111"/>
      <c r="R48" s="51" t="s">
        <v>77</v>
      </c>
      <c r="S48" s="50" t="s">
        <v>80</v>
      </c>
      <c r="T48" s="17" t="s">
        <v>70</v>
      </c>
      <c r="U48" s="17" t="s">
        <v>71</v>
      </c>
    </row>
    <row r="49" spans="1:21" ht="18" customHeight="1" x14ac:dyDescent="0.15">
      <c r="A49" s="3"/>
      <c r="B49" s="124" t="s">
        <v>141</v>
      </c>
      <c r="C49" s="125"/>
      <c r="D49" s="125"/>
      <c r="E49" s="125"/>
      <c r="F49" s="126"/>
      <c r="G49" s="18">
        <v>2</v>
      </c>
      <c r="H49" s="18" t="s">
        <v>140</v>
      </c>
      <c r="I49" s="18" t="s">
        <v>140</v>
      </c>
      <c r="J49" s="18" t="s">
        <v>140</v>
      </c>
      <c r="K49" s="124"/>
      <c r="L49" s="125"/>
      <c r="M49" s="125"/>
      <c r="N49" s="125"/>
      <c r="O49" s="125"/>
      <c r="P49" s="125"/>
      <c r="Q49" s="126"/>
      <c r="R49" s="18"/>
      <c r="S49" s="18"/>
      <c r="T49" s="18"/>
      <c r="U49" s="18"/>
    </row>
    <row r="50" spans="1:21" ht="18" customHeight="1" x14ac:dyDescent="0.15">
      <c r="A50" s="3"/>
      <c r="B50" s="118"/>
      <c r="C50" s="119"/>
      <c r="D50" s="119"/>
      <c r="E50" s="119"/>
      <c r="F50" s="120"/>
      <c r="G50" s="19"/>
      <c r="H50" s="19"/>
      <c r="I50" s="19"/>
      <c r="J50" s="19"/>
      <c r="K50" s="118"/>
      <c r="L50" s="119"/>
      <c r="M50" s="119"/>
      <c r="N50" s="119"/>
      <c r="O50" s="119"/>
      <c r="P50" s="119"/>
      <c r="Q50" s="120"/>
      <c r="R50" s="19"/>
      <c r="S50" s="19"/>
      <c r="T50" s="19"/>
      <c r="U50" s="19"/>
    </row>
    <row r="51" spans="1:21" ht="18" customHeight="1" x14ac:dyDescent="0.15">
      <c r="A51" s="3"/>
      <c r="B51" s="118"/>
      <c r="C51" s="119"/>
      <c r="D51" s="119"/>
      <c r="E51" s="119"/>
      <c r="F51" s="120"/>
      <c r="G51" s="19"/>
      <c r="H51" s="19"/>
      <c r="I51" s="19"/>
      <c r="J51" s="19"/>
      <c r="K51" s="118"/>
      <c r="L51" s="119"/>
      <c r="M51" s="119"/>
      <c r="N51" s="119"/>
      <c r="O51" s="119"/>
      <c r="P51" s="119"/>
      <c r="Q51" s="120"/>
      <c r="R51" s="19"/>
      <c r="S51" s="19"/>
      <c r="T51" s="19"/>
      <c r="U51" s="19"/>
    </row>
    <row r="52" spans="1:21" ht="18" customHeight="1" x14ac:dyDescent="0.15">
      <c r="A52" s="3"/>
      <c r="B52" s="118"/>
      <c r="C52" s="119"/>
      <c r="D52" s="119"/>
      <c r="E52" s="119"/>
      <c r="F52" s="120"/>
      <c r="G52" s="19"/>
      <c r="H52" s="19"/>
      <c r="I52" s="19"/>
      <c r="J52" s="19"/>
      <c r="K52" s="118"/>
      <c r="L52" s="119"/>
      <c r="M52" s="119"/>
      <c r="N52" s="119"/>
      <c r="O52" s="119"/>
      <c r="P52" s="119"/>
      <c r="Q52" s="120"/>
      <c r="R52" s="19"/>
      <c r="S52" s="19"/>
      <c r="T52" s="19"/>
      <c r="U52" s="19"/>
    </row>
    <row r="53" spans="1:21" ht="18" customHeight="1" x14ac:dyDescent="0.15">
      <c r="A53" s="3"/>
      <c r="B53" s="118"/>
      <c r="C53" s="119"/>
      <c r="D53" s="119"/>
      <c r="E53" s="119"/>
      <c r="F53" s="120"/>
      <c r="G53" s="19"/>
      <c r="H53" s="19"/>
      <c r="I53" s="19"/>
      <c r="J53" s="19"/>
      <c r="K53" s="118"/>
      <c r="L53" s="119"/>
      <c r="M53" s="119"/>
      <c r="N53" s="119"/>
      <c r="O53" s="119"/>
      <c r="P53" s="119"/>
      <c r="Q53" s="120"/>
      <c r="R53" s="19"/>
      <c r="S53" s="19"/>
      <c r="T53" s="19"/>
      <c r="U53" s="19"/>
    </row>
    <row r="54" spans="1:21" ht="18" customHeight="1" x14ac:dyDescent="0.15">
      <c r="A54" s="3"/>
      <c r="B54" s="118"/>
      <c r="C54" s="119"/>
      <c r="D54" s="119"/>
      <c r="E54" s="119"/>
      <c r="F54" s="120"/>
      <c r="G54" s="19"/>
      <c r="H54" s="19"/>
      <c r="I54" s="19"/>
      <c r="J54" s="19"/>
      <c r="K54" s="118"/>
      <c r="L54" s="119"/>
      <c r="M54" s="119"/>
      <c r="N54" s="119"/>
      <c r="O54" s="119"/>
      <c r="P54" s="119"/>
      <c r="Q54" s="120"/>
      <c r="R54" s="19"/>
      <c r="S54" s="19"/>
      <c r="T54" s="19"/>
      <c r="U54" s="19"/>
    </row>
    <row r="55" spans="1:21" ht="18" customHeight="1" x14ac:dyDescent="0.15">
      <c r="A55" s="3"/>
      <c r="B55" s="121"/>
      <c r="C55" s="122"/>
      <c r="D55" s="122"/>
      <c r="E55" s="122"/>
      <c r="F55" s="123"/>
      <c r="G55" s="20"/>
      <c r="H55" s="20"/>
      <c r="I55" s="21"/>
      <c r="J55" s="21"/>
      <c r="K55" s="121"/>
      <c r="L55" s="122"/>
      <c r="M55" s="122"/>
      <c r="N55" s="122"/>
      <c r="O55" s="122"/>
      <c r="P55" s="122"/>
      <c r="Q55" s="123"/>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27" t="s">
        <v>104</v>
      </c>
      <c r="B57" s="127"/>
      <c r="C57" s="127"/>
      <c r="D57" s="127"/>
      <c r="E57" s="127"/>
      <c r="F57" s="127"/>
      <c r="G57" s="127"/>
      <c r="H57" s="127"/>
      <c r="I57" s="127"/>
      <c r="J57" s="127"/>
      <c r="K57" s="127"/>
      <c r="L57" s="127"/>
      <c r="M57" s="127"/>
      <c r="N57" s="127"/>
      <c r="O57" s="127"/>
      <c r="P57" s="127"/>
      <c r="Q57" s="127"/>
      <c r="R57" s="127"/>
      <c r="S57" s="127"/>
      <c r="T57" s="127"/>
      <c r="U57" s="127"/>
    </row>
    <row r="58" spans="1:21" ht="18" customHeight="1" x14ac:dyDescent="0.15">
      <c r="A58" s="127"/>
      <c r="B58" s="127"/>
      <c r="C58" s="127"/>
      <c r="D58" s="127"/>
      <c r="E58" s="127"/>
      <c r="F58" s="127"/>
      <c r="G58" s="127"/>
      <c r="H58" s="127"/>
      <c r="I58" s="127"/>
      <c r="J58" s="127"/>
      <c r="K58" s="127"/>
      <c r="L58" s="127"/>
      <c r="M58" s="127"/>
      <c r="N58" s="127"/>
      <c r="O58" s="127"/>
      <c r="P58" s="127"/>
      <c r="Q58" s="127"/>
      <c r="R58" s="127"/>
      <c r="S58" s="127"/>
      <c r="T58" s="127"/>
      <c r="U58" s="127"/>
    </row>
    <row r="59" spans="1:21" ht="18" customHeight="1" x14ac:dyDescent="0.15">
      <c r="B59" s="109" t="s">
        <v>51</v>
      </c>
      <c r="C59" s="110"/>
      <c r="D59" s="110"/>
      <c r="E59" s="110"/>
      <c r="F59" s="111"/>
      <c r="G59" s="51" t="s">
        <v>77</v>
      </c>
      <c r="H59" s="50" t="s">
        <v>80</v>
      </c>
      <c r="I59" s="17" t="s">
        <v>56</v>
      </c>
      <c r="J59" s="17" t="s">
        <v>58</v>
      </c>
      <c r="K59" s="109" t="s">
        <v>51</v>
      </c>
      <c r="L59" s="110"/>
      <c r="M59" s="110"/>
      <c r="N59" s="110"/>
      <c r="O59" s="110"/>
      <c r="P59" s="110"/>
      <c r="Q59" s="111"/>
      <c r="R59" s="51" t="s">
        <v>77</v>
      </c>
      <c r="S59" s="50" t="s">
        <v>80</v>
      </c>
      <c r="T59" s="17" t="s">
        <v>56</v>
      </c>
      <c r="U59" s="17" t="s">
        <v>58</v>
      </c>
    </row>
    <row r="60" spans="1:21" ht="18" customHeight="1" x14ac:dyDescent="0.15">
      <c r="A60" s="3"/>
      <c r="B60" s="124" t="s">
        <v>141</v>
      </c>
      <c r="C60" s="125"/>
      <c r="D60" s="125"/>
      <c r="E60" s="125"/>
      <c r="F60" s="126"/>
      <c r="G60" s="18">
        <v>2</v>
      </c>
      <c r="H60" s="18" t="s">
        <v>140</v>
      </c>
      <c r="I60" s="18" t="s">
        <v>140</v>
      </c>
      <c r="J60" s="18" t="s">
        <v>140</v>
      </c>
      <c r="K60" s="124"/>
      <c r="L60" s="125"/>
      <c r="M60" s="125"/>
      <c r="N60" s="125"/>
      <c r="O60" s="125"/>
      <c r="P60" s="125"/>
      <c r="Q60" s="126"/>
      <c r="R60" s="18"/>
      <c r="S60" s="18"/>
      <c r="T60" s="18"/>
      <c r="U60" s="18"/>
    </row>
    <row r="61" spans="1:21" ht="18" customHeight="1" x14ac:dyDescent="0.15">
      <c r="A61" s="3"/>
      <c r="B61" s="118"/>
      <c r="C61" s="119"/>
      <c r="D61" s="119"/>
      <c r="E61" s="119"/>
      <c r="F61" s="120"/>
      <c r="G61" s="19"/>
      <c r="H61" s="19"/>
      <c r="I61" s="19"/>
      <c r="J61" s="19"/>
      <c r="K61" s="118"/>
      <c r="L61" s="119"/>
      <c r="M61" s="119"/>
      <c r="N61" s="119"/>
      <c r="O61" s="119"/>
      <c r="P61" s="119"/>
      <c r="Q61" s="120"/>
      <c r="R61" s="19"/>
      <c r="S61" s="19"/>
      <c r="T61" s="19"/>
      <c r="U61" s="19"/>
    </row>
    <row r="62" spans="1:21" ht="18" customHeight="1" x14ac:dyDescent="0.15">
      <c r="A62" s="3"/>
      <c r="B62" s="118"/>
      <c r="C62" s="119"/>
      <c r="D62" s="119"/>
      <c r="E62" s="119"/>
      <c r="F62" s="120"/>
      <c r="G62" s="19"/>
      <c r="H62" s="19"/>
      <c r="I62" s="19"/>
      <c r="J62" s="19"/>
      <c r="K62" s="118"/>
      <c r="L62" s="119"/>
      <c r="M62" s="119"/>
      <c r="N62" s="119"/>
      <c r="O62" s="119"/>
      <c r="P62" s="119"/>
      <c r="Q62" s="120"/>
      <c r="R62" s="19"/>
      <c r="S62" s="19"/>
      <c r="T62" s="19"/>
      <c r="U62" s="19"/>
    </row>
    <row r="63" spans="1:21" ht="18" customHeight="1" x14ac:dyDescent="0.15">
      <c r="A63" s="3"/>
      <c r="B63" s="118"/>
      <c r="C63" s="119"/>
      <c r="D63" s="119"/>
      <c r="E63" s="119"/>
      <c r="F63" s="120"/>
      <c r="G63" s="19"/>
      <c r="H63" s="19"/>
      <c r="I63" s="19"/>
      <c r="J63" s="19"/>
      <c r="K63" s="118"/>
      <c r="L63" s="119"/>
      <c r="M63" s="119"/>
      <c r="N63" s="119"/>
      <c r="O63" s="119"/>
      <c r="P63" s="119"/>
      <c r="Q63" s="120"/>
      <c r="R63" s="19"/>
      <c r="S63" s="19"/>
      <c r="T63" s="19"/>
      <c r="U63" s="19"/>
    </row>
    <row r="64" spans="1:21" ht="18" customHeight="1" x14ac:dyDescent="0.15">
      <c r="A64" s="3"/>
      <c r="B64" s="118"/>
      <c r="C64" s="119"/>
      <c r="D64" s="119"/>
      <c r="E64" s="119"/>
      <c r="F64" s="120"/>
      <c r="G64" s="19"/>
      <c r="H64" s="19"/>
      <c r="I64" s="19"/>
      <c r="J64" s="19"/>
      <c r="K64" s="118"/>
      <c r="L64" s="119"/>
      <c r="M64" s="119"/>
      <c r="N64" s="119"/>
      <c r="O64" s="119"/>
      <c r="P64" s="119"/>
      <c r="Q64" s="120"/>
      <c r="R64" s="19"/>
      <c r="S64" s="19"/>
      <c r="T64" s="19"/>
      <c r="U64" s="19"/>
    </row>
    <row r="65" spans="1:21" ht="18" customHeight="1" x14ac:dyDescent="0.15">
      <c r="A65" s="3"/>
      <c r="B65" s="118"/>
      <c r="C65" s="119"/>
      <c r="D65" s="119"/>
      <c r="E65" s="119"/>
      <c r="F65" s="120"/>
      <c r="G65" s="19"/>
      <c r="H65" s="19"/>
      <c r="I65" s="19"/>
      <c r="J65" s="19"/>
      <c r="K65" s="118"/>
      <c r="L65" s="119"/>
      <c r="M65" s="119"/>
      <c r="N65" s="119"/>
      <c r="O65" s="119"/>
      <c r="P65" s="119"/>
      <c r="Q65" s="120"/>
      <c r="R65" s="19"/>
      <c r="S65" s="19"/>
      <c r="T65" s="19"/>
      <c r="U65" s="19"/>
    </row>
    <row r="66" spans="1:21" ht="18" customHeight="1" x14ac:dyDescent="0.15">
      <c r="A66" s="3"/>
      <c r="B66" s="121"/>
      <c r="C66" s="122"/>
      <c r="D66" s="122"/>
      <c r="E66" s="122"/>
      <c r="F66" s="123"/>
      <c r="G66" s="20"/>
      <c r="H66" s="20"/>
      <c r="I66" s="21"/>
      <c r="J66" s="21"/>
      <c r="K66" s="121"/>
      <c r="L66" s="122"/>
      <c r="M66" s="122"/>
      <c r="N66" s="122"/>
      <c r="O66" s="122"/>
      <c r="P66" s="122"/>
      <c r="Q66" s="123"/>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27" t="s">
        <v>105</v>
      </c>
      <c r="B68" s="127"/>
      <c r="C68" s="127"/>
      <c r="D68" s="127"/>
      <c r="E68" s="127"/>
      <c r="F68" s="127"/>
      <c r="G68" s="127"/>
      <c r="H68" s="127"/>
      <c r="I68" s="127"/>
      <c r="J68" s="127"/>
      <c r="K68" s="127"/>
      <c r="L68" s="127"/>
      <c r="M68" s="127"/>
      <c r="N68" s="127"/>
      <c r="O68" s="127"/>
      <c r="P68" s="127"/>
      <c r="Q68" s="127"/>
      <c r="R68" s="127"/>
      <c r="S68" s="127"/>
      <c r="T68" s="127"/>
      <c r="U68" s="127"/>
    </row>
    <row r="69" spans="1:21" ht="18" customHeight="1" x14ac:dyDescent="0.15">
      <c r="A69" s="127"/>
      <c r="B69" s="127"/>
      <c r="C69" s="127"/>
      <c r="D69" s="127"/>
      <c r="E69" s="127"/>
      <c r="F69" s="127"/>
      <c r="G69" s="127"/>
      <c r="H69" s="127"/>
      <c r="I69" s="127"/>
      <c r="J69" s="127"/>
      <c r="K69" s="127"/>
      <c r="L69" s="127"/>
      <c r="M69" s="127"/>
      <c r="N69" s="127"/>
      <c r="O69" s="127"/>
      <c r="P69" s="127"/>
      <c r="Q69" s="127"/>
      <c r="R69" s="127"/>
      <c r="S69" s="127"/>
      <c r="T69" s="127"/>
      <c r="U69" s="127"/>
    </row>
    <row r="70" spans="1:21" ht="18" customHeight="1" x14ac:dyDescent="0.15">
      <c r="B70" s="109" t="s">
        <v>51</v>
      </c>
      <c r="C70" s="110"/>
      <c r="D70" s="110"/>
      <c r="E70" s="110"/>
      <c r="F70" s="51" t="s">
        <v>77</v>
      </c>
      <c r="G70" s="50" t="s">
        <v>80</v>
      </c>
      <c r="H70" s="17" t="s">
        <v>92</v>
      </c>
      <c r="I70" s="17" t="s">
        <v>72</v>
      </c>
      <c r="J70" s="17" t="s">
        <v>73</v>
      </c>
      <c r="K70" s="109" t="s">
        <v>51</v>
      </c>
      <c r="L70" s="110"/>
      <c r="M70" s="110"/>
      <c r="N70" s="110"/>
      <c r="O70" s="110"/>
      <c r="P70" s="111"/>
      <c r="Q70" s="51" t="s">
        <v>77</v>
      </c>
      <c r="R70" s="50" t="s">
        <v>80</v>
      </c>
      <c r="S70" s="17" t="s">
        <v>92</v>
      </c>
      <c r="T70" s="17" t="s">
        <v>72</v>
      </c>
      <c r="U70" s="17" t="s">
        <v>73</v>
      </c>
    </row>
    <row r="71" spans="1:21" ht="18" customHeight="1" x14ac:dyDescent="0.15">
      <c r="A71" s="3"/>
      <c r="B71" s="124" t="s">
        <v>139</v>
      </c>
      <c r="C71" s="125"/>
      <c r="D71" s="125"/>
      <c r="E71" s="125"/>
      <c r="F71" s="18">
        <v>2</v>
      </c>
      <c r="G71" s="18" t="s">
        <v>140</v>
      </c>
      <c r="H71" s="18" t="s">
        <v>140</v>
      </c>
      <c r="I71" s="18" t="s">
        <v>140</v>
      </c>
      <c r="J71" s="18" t="s">
        <v>140</v>
      </c>
      <c r="K71" s="124"/>
      <c r="L71" s="125"/>
      <c r="M71" s="125"/>
      <c r="N71" s="125"/>
      <c r="O71" s="125"/>
      <c r="P71" s="126"/>
      <c r="Q71" s="18"/>
      <c r="R71" s="18"/>
      <c r="S71" s="18"/>
      <c r="T71" s="18"/>
      <c r="U71" s="18"/>
    </row>
    <row r="72" spans="1:21" ht="18" customHeight="1" x14ac:dyDescent="0.15">
      <c r="A72" s="3"/>
      <c r="B72" s="118"/>
      <c r="C72" s="119"/>
      <c r="D72" s="119"/>
      <c r="E72" s="119"/>
      <c r="F72" s="19"/>
      <c r="G72" s="19"/>
      <c r="H72" s="19"/>
      <c r="I72" s="19"/>
      <c r="J72" s="19"/>
      <c r="K72" s="118"/>
      <c r="L72" s="119"/>
      <c r="M72" s="119"/>
      <c r="N72" s="119"/>
      <c r="O72" s="119"/>
      <c r="P72" s="120"/>
      <c r="Q72" s="19"/>
      <c r="R72" s="19"/>
      <c r="S72" s="19"/>
      <c r="T72" s="19"/>
      <c r="U72" s="19"/>
    </row>
    <row r="73" spans="1:21" ht="18" customHeight="1" x14ac:dyDescent="0.15">
      <c r="A73" s="3"/>
      <c r="B73" s="118"/>
      <c r="C73" s="119"/>
      <c r="D73" s="119"/>
      <c r="E73" s="119"/>
      <c r="F73" s="19"/>
      <c r="G73" s="19"/>
      <c r="H73" s="19"/>
      <c r="I73" s="19"/>
      <c r="J73" s="19"/>
      <c r="K73" s="118"/>
      <c r="L73" s="119"/>
      <c r="M73" s="119"/>
      <c r="N73" s="119"/>
      <c r="O73" s="119"/>
      <c r="P73" s="120"/>
      <c r="Q73" s="19"/>
      <c r="R73" s="19"/>
      <c r="S73" s="19"/>
      <c r="T73" s="19"/>
      <c r="U73" s="19"/>
    </row>
    <row r="74" spans="1:21" ht="18" customHeight="1" x14ac:dyDescent="0.15">
      <c r="A74" s="3"/>
      <c r="B74" s="118"/>
      <c r="C74" s="119"/>
      <c r="D74" s="119"/>
      <c r="E74" s="119"/>
      <c r="F74" s="19"/>
      <c r="G74" s="19"/>
      <c r="H74" s="19"/>
      <c r="I74" s="19"/>
      <c r="J74" s="19"/>
      <c r="K74" s="118"/>
      <c r="L74" s="119"/>
      <c r="M74" s="119"/>
      <c r="N74" s="119"/>
      <c r="O74" s="119"/>
      <c r="P74" s="120"/>
      <c r="Q74" s="19"/>
      <c r="R74" s="19"/>
      <c r="S74" s="19"/>
      <c r="T74" s="19"/>
      <c r="U74" s="19"/>
    </row>
    <row r="75" spans="1:21" ht="18" customHeight="1" x14ac:dyDescent="0.15">
      <c r="A75" s="3"/>
      <c r="B75" s="118"/>
      <c r="C75" s="119"/>
      <c r="D75" s="119"/>
      <c r="E75" s="119"/>
      <c r="F75" s="19"/>
      <c r="G75" s="19"/>
      <c r="H75" s="19"/>
      <c r="I75" s="19"/>
      <c r="J75" s="19"/>
      <c r="K75" s="118"/>
      <c r="L75" s="119"/>
      <c r="M75" s="119"/>
      <c r="N75" s="119"/>
      <c r="O75" s="119"/>
      <c r="P75" s="120"/>
      <c r="Q75" s="19"/>
      <c r="R75" s="19"/>
      <c r="S75" s="19"/>
      <c r="T75" s="19"/>
      <c r="U75" s="19"/>
    </row>
    <row r="76" spans="1:21" ht="18" customHeight="1" x14ac:dyDescent="0.15">
      <c r="A76" s="3"/>
      <c r="B76" s="118"/>
      <c r="C76" s="119"/>
      <c r="D76" s="119"/>
      <c r="E76" s="119"/>
      <c r="F76" s="19"/>
      <c r="G76" s="19"/>
      <c r="H76" s="19"/>
      <c r="I76" s="19"/>
      <c r="J76" s="19"/>
      <c r="K76" s="118"/>
      <c r="L76" s="119"/>
      <c r="M76" s="119"/>
      <c r="N76" s="119"/>
      <c r="O76" s="119"/>
      <c r="P76" s="120"/>
      <c r="Q76" s="19"/>
      <c r="R76" s="19"/>
      <c r="S76" s="19"/>
      <c r="T76" s="19"/>
      <c r="U76" s="19"/>
    </row>
    <row r="77" spans="1:21" ht="18" customHeight="1" x14ac:dyDescent="0.15">
      <c r="A77" s="3"/>
      <c r="B77" s="121"/>
      <c r="C77" s="122"/>
      <c r="D77" s="122"/>
      <c r="E77" s="122"/>
      <c r="F77" s="20"/>
      <c r="G77" s="20"/>
      <c r="H77" s="21"/>
      <c r="I77" s="21"/>
      <c r="J77" s="21"/>
      <c r="K77" s="121"/>
      <c r="L77" s="122"/>
      <c r="M77" s="122"/>
      <c r="N77" s="122"/>
      <c r="O77" s="122"/>
      <c r="P77" s="123"/>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106</v>
      </c>
      <c r="I79" s="3"/>
      <c r="J79" s="3"/>
      <c r="K79" s="3"/>
      <c r="L79" s="3"/>
      <c r="M79" s="3"/>
      <c r="N79" s="3"/>
      <c r="O79" s="3"/>
      <c r="P79" s="3"/>
      <c r="Q79" s="3"/>
      <c r="R79" s="3"/>
      <c r="S79" s="3"/>
      <c r="T79" s="3"/>
      <c r="U79" s="3"/>
    </row>
    <row r="80" spans="1:21" ht="18" customHeight="1" x14ac:dyDescent="0.15">
      <c r="B80" s="109" t="s">
        <v>51</v>
      </c>
      <c r="C80" s="110"/>
      <c r="D80" s="110"/>
      <c r="E80" s="110"/>
      <c r="F80" s="111"/>
      <c r="G80" s="109" t="s">
        <v>78</v>
      </c>
      <c r="H80" s="110"/>
      <c r="I80" s="110"/>
      <c r="J80" s="111"/>
      <c r="K80" s="157" t="s">
        <v>51</v>
      </c>
      <c r="L80" s="158"/>
      <c r="M80" s="158"/>
      <c r="N80" s="158"/>
      <c r="O80" s="158"/>
      <c r="P80" s="158"/>
      <c r="Q80" s="159"/>
      <c r="R80" s="109" t="s">
        <v>78</v>
      </c>
      <c r="S80" s="110"/>
      <c r="T80" s="110"/>
      <c r="U80" s="111"/>
    </row>
    <row r="81" spans="1:21" ht="18" customHeight="1" x14ac:dyDescent="0.15">
      <c r="A81" s="3"/>
      <c r="B81" s="124"/>
      <c r="C81" s="125"/>
      <c r="D81" s="125"/>
      <c r="E81" s="125"/>
      <c r="F81" s="126"/>
      <c r="G81" s="160"/>
      <c r="H81" s="161"/>
      <c r="I81" s="161"/>
      <c r="J81" s="162"/>
      <c r="K81" s="124"/>
      <c r="L81" s="125"/>
      <c r="M81" s="125"/>
      <c r="N81" s="125"/>
      <c r="O81" s="125"/>
      <c r="P81" s="125"/>
      <c r="Q81" s="126"/>
      <c r="R81" s="160"/>
      <c r="S81" s="161"/>
      <c r="T81" s="161"/>
      <c r="U81" s="162"/>
    </row>
    <row r="82" spans="1:21" ht="18" customHeight="1" x14ac:dyDescent="0.15">
      <c r="A82" s="3"/>
      <c r="B82" s="118"/>
      <c r="C82" s="119"/>
      <c r="D82" s="119"/>
      <c r="E82" s="119"/>
      <c r="F82" s="120"/>
      <c r="G82" s="149"/>
      <c r="H82" s="150"/>
      <c r="I82" s="150"/>
      <c r="J82" s="151"/>
      <c r="K82" s="118"/>
      <c r="L82" s="119"/>
      <c r="M82" s="119"/>
      <c r="N82" s="119"/>
      <c r="O82" s="119"/>
      <c r="P82" s="119"/>
      <c r="Q82" s="120"/>
      <c r="R82" s="149"/>
      <c r="S82" s="150"/>
      <c r="T82" s="150"/>
      <c r="U82" s="151"/>
    </row>
    <row r="83" spans="1:21" ht="18" customHeight="1" x14ac:dyDescent="0.15">
      <c r="A83" s="3"/>
      <c r="B83" s="118"/>
      <c r="C83" s="119"/>
      <c r="D83" s="119"/>
      <c r="E83" s="119"/>
      <c r="F83" s="120"/>
      <c r="G83" s="149"/>
      <c r="H83" s="150"/>
      <c r="I83" s="150"/>
      <c r="J83" s="151"/>
      <c r="K83" s="118"/>
      <c r="L83" s="119"/>
      <c r="M83" s="119"/>
      <c r="N83" s="119"/>
      <c r="O83" s="119"/>
      <c r="P83" s="119"/>
      <c r="Q83" s="120"/>
      <c r="R83" s="149"/>
      <c r="S83" s="150"/>
      <c r="T83" s="150"/>
      <c r="U83" s="151"/>
    </row>
    <row r="84" spans="1:21" ht="18" customHeight="1" x14ac:dyDescent="0.15">
      <c r="A84" s="3"/>
      <c r="B84" s="118"/>
      <c r="C84" s="119"/>
      <c r="D84" s="119"/>
      <c r="E84" s="119"/>
      <c r="F84" s="120"/>
      <c r="G84" s="149"/>
      <c r="H84" s="150"/>
      <c r="I84" s="150"/>
      <c r="J84" s="151"/>
      <c r="K84" s="118"/>
      <c r="L84" s="119"/>
      <c r="M84" s="119"/>
      <c r="N84" s="119"/>
      <c r="O84" s="119"/>
      <c r="P84" s="119"/>
      <c r="Q84" s="120"/>
      <c r="R84" s="149"/>
      <c r="S84" s="150"/>
      <c r="T84" s="150"/>
      <c r="U84" s="151"/>
    </row>
    <row r="85" spans="1:21" ht="18" customHeight="1" x14ac:dyDescent="0.15">
      <c r="A85" s="3"/>
      <c r="B85" s="118"/>
      <c r="C85" s="119"/>
      <c r="D85" s="119"/>
      <c r="E85" s="119"/>
      <c r="F85" s="120"/>
      <c r="G85" s="149"/>
      <c r="H85" s="150"/>
      <c r="I85" s="150"/>
      <c r="J85" s="151"/>
      <c r="K85" s="118"/>
      <c r="L85" s="119"/>
      <c r="M85" s="119"/>
      <c r="N85" s="119"/>
      <c r="O85" s="119"/>
      <c r="P85" s="119"/>
      <c r="Q85" s="120"/>
      <c r="R85" s="149"/>
      <c r="S85" s="150"/>
      <c r="T85" s="150"/>
      <c r="U85" s="151"/>
    </row>
    <row r="86" spans="1:21" ht="18" customHeight="1" x14ac:dyDescent="0.15">
      <c r="A86" s="3"/>
      <c r="B86" s="118"/>
      <c r="C86" s="119"/>
      <c r="D86" s="119"/>
      <c r="E86" s="119"/>
      <c r="F86" s="120"/>
      <c r="G86" s="149"/>
      <c r="H86" s="150"/>
      <c r="I86" s="150"/>
      <c r="J86" s="151"/>
      <c r="K86" s="118"/>
      <c r="L86" s="119"/>
      <c r="M86" s="119"/>
      <c r="N86" s="119"/>
      <c r="O86" s="119"/>
      <c r="P86" s="119"/>
      <c r="Q86" s="120"/>
      <c r="R86" s="149"/>
      <c r="S86" s="150"/>
      <c r="T86" s="150"/>
      <c r="U86" s="151"/>
    </row>
    <row r="87" spans="1:21" ht="18" customHeight="1" x14ac:dyDescent="0.15">
      <c r="A87" s="3"/>
      <c r="B87" s="121"/>
      <c r="C87" s="122"/>
      <c r="D87" s="122"/>
      <c r="E87" s="122"/>
      <c r="F87" s="123"/>
      <c r="G87" s="146"/>
      <c r="H87" s="147"/>
      <c r="I87" s="147"/>
      <c r="J87" s="148"/>
      <c r="K87" s="121"/>
      <c r="L87" s="122"/>
      <c r="M87" s="122"/>
      <c r="N87" s="122"/>
      <c r="O87" s="122"/>
      <c r="P87" s="122"/>
      <c r="Q87" s="123"/>
      <c r="R87" s="146"/>
      <c r="S87" s="147"/>
      <c r="T87" s="147"/>
      <c r="U87" s="148"/>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107</v>
      </c>
    </row>
    <row r="90" spans="1:21" ht="18.75" customHeight="1" x14ac:dyDescent="0.15">
      <c r="B90" s="155" t="s">
        <v>52</v>
      </c>
      <c r="C90" s="156"/>
      <c r="D90" s="109" t="s">
        <v>53</v>
      </c>
      <c r="E90" s="110"/>
      <c r="F90" s="110"/>
      <c r="G90" s="110"/>
      <c r="H90" s="110"/>
      <c r="I90" s="110"/>
      <c r="J90" s="110"/>
      <c r="K90" s="110"/>
      <c r="L90" s="110"/>
      <c r="M90" s="110"/>
      <c r="N90" s="110"/>
      <c r="O90" s="110"/>
      <c r="P90" s="110"/>
      <c r="Q90" s="110"/>
      <c r="R90" s="110"/>
      <c r="S90" s="110"/>
      <c r="T90" s="110"/>
      <c r="U90" s="111"/>
    </row>
    <row r="91" spans="1:21" ht="97.5" customHeight="1" x14ac:dyDescent="0.15">
      <c r="B91" s="152" t="s">
        <v>59</v>
      </c>
      <c r="C91" s="23" t="s">
        <v>54</v>
      </c>
      <c r="D91" s="97" t="s">
        <v>171</v>
      </c>
      <c r="E91" s="98"/>
      <c r="F91" s="98"/>
      <c r="G91" s="98"/>
      <c r="H91" s="98"/>
      <c r="I91" s="98"/>
      <c r="J91" s="98"/>
      <c r="K91" s="98"/>
      <c r="L91" s="98"/>
      <c r="M91" s="98"/>
      <c r="N91" s="98"/>
      <c r="O91" s="98"/>
      <c r="P91" s="98"/>
      <c r="Q91" s="98"/>
      <c r="R91" s="98"/>
      <c r="S91" s="98"/>
      <c r="T91" s="98"/>
      <c r="U91" s="99"/>
    </row>
    <row r="92" spans="1:21" ht="97.5" customHeight="1" x14ac:dyDescent="0.15">
      <c r="B92" s="153"/>
      <c r="C92" s="24" t="s">
        <v>74</v>
      </c>
      <c r="D92" s="94" t="s">
        <v>172</v>
      </c>
      <c r="E92" s="95"/>
      <c r="F92" s="95"/>
      <c r="G92" s="95"/>
      <c r="H92" s="95"/>
      <c r="I92" s="95"/>
      <c r="J92" s="95"/>
      <c r="K92" s="95"/>
      <c r="L92" s="95"/>
      <c r="M92" s="95"/>
      <c r="N92" s="95"/>
      <c r="O92" s="95"/>
      <c r="P92" s="95"/>
      <c r="Q92" s="95"/>
      <c r="R92" s="95"/>
      <c r="S92" s="95"/>
      <c r="T92" s="95"/>
      <c r="U92" s="96"/>
    </row>
    <row r="93" spans="1:21" ht="97.5" customHeight="1" x14ac:dyDescent="0.15">
      <c r="B93" s="152" t="s">
        <v>60</v>
      </c>
      <c r="C93" s="25" t="s">
        <v>68</v>
      </c>
      <c r="D93" s="97" t="s">
        <v>194</v>
      </c>
      <c r="E93" s="98"/>
      <c r="F93" s="98"/>
      <c r="G93" s="98"/>
      <c r="H93" s="98"/>
      <c r="I93" s="98"/>
      <c r="J93" s="98"/>
      <c r="K93" s="98"/>
      <c r="L93" s="98"/>
      <c r="M93" s="98"/>
      <c r="N93" s="98"/>
      <c r="O93" s="98"/>
      <c r="P93" s="98"/>
      <c r="Q93" s="98"/>
      <c r="R93" s="98"/>
      <c r="S93" s="98"/>
      <c r="T93" s="98"/>
      <c r="U93" s="99"/>
    </row>
    <row r="94" spans="1:21" ht="97.5" customHeight="1" x14ac:dyDescent="0.15">
      <c r="B94" s="154"/>
      <c r="C94" s="26" t="s">
        <v>69</v>
      </c>
      <c r="D94" s="94" t="s">
        <v>173</v>
      </c>
      <c r="E94" s="95"/>
      <c r="F94" s="95"/>
      <c r="G94" s="95"/>
      <c r="H94" s="95"/>
      <c r="I94" s="95"/>
      <c r="J94" s="95"/>
      <c r="K94" s="95"/>
      <c r="L94" s="95"/>
      <c r="M94" s="95"/>
      <c r="N94" s="95"/>
      <c r="O94" s="95"/>
      <c r="P94" s="95"/>
      <c r="Q94" s="95"/>
      <c r="R94" s="95"/>
      <c r="S94" s="95"/>
      <c r="T94" s="95"/>
      <c r="U94" s="96"/>
    </row>
    <row r="95" spans="1:21" ht="127.9" customHeight="1" x14ac:dyDescent="0.15">
      <c r="B95" s="152" t="s">
        <v>61</v>
      </c>
      <c r="C95" s="25" t="s">
        <v>70</v>
      </c>
      <c r="D95" s="97" t="s">
        <v>180</v>
      </c>
      <c r="E95" s="98"/>
      <c r="F95" s="98"/>
      <c r="G95" s="98"/>
      <c r="H95" s="98"/>
      <c r="I95" s="98"/>
      <c r="J95" s="98"/>
      <c r="K95" s="98"/>
      <c r="L95" s="98"/>
      <c r="M95" s="98"/>
      <c r="N95" s="98"/>
      <c r="O95" s="98"/>
      <c r="P95" s="98"/>
      <c r="Q95" s="98"/>
      <c r="R95" s="98"/>
      <c r="S95" s="98"/>
      <c r="T95" s="98"/>
      <c r="U95" s="99"/>
    </row>
    <row r="96" spans="1:21" ht="97.5" customHeight="1" x14ac:dyDescent="0.15">
      <c r="B96" s="154"/>
      <c r="C96" s="27" t="s">
        <v>71</v>
      </c>
      <c r="D96" s="94" t="s">
        <v>174</v>
      </c>
      <c r="E96" s="95"/>
      <c r="F96" s="95"/>
      <c r="G96" s="95"/>
      <c r="H96" s="95"/>
      <c r="I96" s="95"/>
      <c r="J96" s="95"/>
      <c r="K96" s="95"/>
      <c r="L96" s="95"/>
      <c r="M96" s="95"/>
      <c r="N96" s="95"/>
      <c r="O96" s="95"/>
      <c r="P96" s="95"/>
      <c r="Q96" s="95"/>
      <c r="R96" s="95"/>
      <c r="S96" s="95"/>
      <c r="T96" s="95"/>
      <c r="U96" s="96"/>
    </row>
    <row r="97" spans="1:33" ht="97.5" customHeight="1" x14ac:dyDescent="0.15">
      <c r="B97" s="152" t="s">
        <v>75</v>
      </c>
      <c r="C97" s="23" t="s">
        <v>56</v>
      </c>
      <c r="D97" s="97" t="s">
        <v>175</v>
      </c>
      <c r="E97" s="98"/>
      <c r="F97" s="98"/>
      <c r="G97" s="98"/>
      <c r="H97" s="98"/>
      <c r="I97" s="98"/>
      <c r="J97" s="98"/>
      <c r="K97" s="98"/>
      <c r="L97" s="98"/>
      <c r="M97" s="98"/>
      <c r="N97" s="98"/>
      <c r="O97" s="98"/>
      <c r="P97" s="98"/>
      <c r="Q97" s="98"/>
      <c r="R97" s="98"/>
      <c r="S97" s="98"/>
      <c r="T97" s="98"/>
      <c r="U97" s="99"/>
    </row>
    <row r="98" spans="1:33" ht="97.5" customHeight="1" x14ac:dyDescent="0.15">
      <c r="B98" s="154"/>
      <c r="C98" s="26" t="s">
        <v>58</v>
      </c>
      <c r="D98" s="94" t="s">
        <v>176</v>
      </c>
      <c r="E98" s="95"/>
      <c r="F98" s="95"/>
      <c r="G98" s="95"/>
      <c r="H98" s="95"/>
      <c r="I98" s="95"/>
      <c r="J98" s="95"/>
      <c r="K98" s="95"/>
      <c r="L98" s="95"/>
      <c r="M98" s="95"/>
      <c r="N98" s="95"/>
      <c r="O98" s="95"/>
      <c r="P98" s="95"/>
      <c r="Q98" s="95"/>
      <c r="R98" s="95"/>
      <c r="S98" s="95"/>
      <c r="T98" s="95"/>
      <c r="U98" s="96"/>
    </row>
    <row r="99" spans="1:33" ht="111" customHeight="1" x14ac:dyDescent="0.15">
      <c r="B99" s="152" t="s">
        <v>76</v>
      </c>
      <c r="C99" s="25" t="s">
        <v>55</v>
      </c>
      <c r="D99" s="97" t="s">
        <v>177</v>
      </c>
      <c r="E99" s="98"/>
      <c r="F99" s="98"/>
      <c r="G99" s="98"/>
      <c r="H99" s="98"/>
      <c r="I99" s="98"/>
      <c r="J99" s="98"/>
      <c r="K99" s="98"/>
      <c r="L99" s="98"/>
      <c r="M99" s="98"/>
      <c r="N99" s="98"/>
      <c r="O99" s="98"/>
      <c r="P99" s="98"/>
      <c r="Q99" s="98"/>
      <c r="R99" s="98"/>
      <c r="S99" s="98"/>
      <c r="T99" s="98"/>
      <c r="U99" s="99"/>
    </row>
    <row r="100" spans="1:33" ht="97.5" customHeight="1" x14ac:dyDescent="0.15">
      <c r="B100" s="153"/>
      <c r="C100" s="28" t="s">
        <v>72</v>
      </c>
      <c r="D100" s="100" t="s">
        <v>178</v>
      </c>
      <c r="E100" s="101"/>
      <c r="F100" s="101"/>
      <c r="G100" s="101"/>
      <c r="H100" s="101"/>
      <c r="I100" s="101"/>
      <c r="J100" s="101"/>
      <c r="K100" s="101"/>
      <c r="L100" s="101"/>
      <c r="M100" s="101"/>
      <c r="N100" s="101"/>
      <c r="O100" s="101"/>
      <c r="P100" s="101"/>
      <c r="Q100" s="101"/>
      <c r="R100" s="101"/>
      <c r="S100" s="101"/>
      <c r="T100" s="101"/>
      <c r="U100" s="102"/>
    </row>
    <row r="101" spans="1:33" ht="97.5" customHeight="1" x14ac:dyDescent="0.15">
      <c r="B101" s="154"/>
      <c r="C101" s="27" t="s">
        <v>73</v>
      </c>
      <c r="D101" s="94" t="s">
        <v>179</v>
      </c>
      <c r="E101" s="95"/>
      <c r="F101" s="95"/>
      <c r="G101" s="95"/>
      <c r="H101" s="95"/>
      <c r="I101" s="95"/>
      <c r="J101" s="95"/>
      <c r="K101" s="95"/>
      <c r="L101" s="95"/>
      <c r="M101" s="95"/>
      <c r="N101" s="95"/>
      <c r="O101" s="95"/>
      <c r="P101" s="95"/>
      <c r="Q101" s="95"/>
      <c r="R101" s="95"/>
      <c r="S101" s="95"/>
      <c r="T101" s="95"/>
      <c r="U101" s="96"/>
    </row>
    <row r="102" spans="1:33" ht="6" customHeight="1" x14ac:dyDescent="0.15"/>
    <row r="103" spans="1:33" ht="18.75" customHeight="1" x14ac:dyDescent="0.15">
      <c r="A103" s="1" t="s">
        <v>108</v>
      </c>
    </row>
    <row r="104" spans="1:33" ht="81.75" customHeight="1" x14ac:dyDescent="0.15">
      <c r="B104" s="143" t="s">
        <v>142</v>
      </c>
      <c r="C104" s="144"/>
      <c r="D104" s="144"/>
      <c r="E104" s="144"/>
      <c r="F104" s="144"/>
      <c r="G104" s="144"/>
      <c r="H104" s="144"/>
      <c r="I104" s="144"/>
      <c r="J104" s="144"/>
      <c r="K104" s="144"/>
      <c r="L104" s="144"/>
      <c r="M104" s="144"/>
      <c r="N104" s="144"/>
      <c r="O104" s="144"/>
      <c r="P104" s="144"/>
      <c r="Q104" s="144"/>
      <c r="R104" s="144"/>
      <c r="S104" s="144"/>
      <c r="T104" s="144"/>
      <c r="U104" s="145"/>
    </row>
    <row r="106" spans="1:33" ht="18.75" customHeight="1" x14ac:dyDescent="0.15">
      <c r="A106" s="75" t="s">
        <v>124</v>
      </c>
      <c r="B106" s="76"/>
      <c r="C106" s="76"/>
      <c r="D106" s="76"/>
      <c r="E106" s="76"/>
      <c r="F106" s="76"/>
      <c r="G106" s="76"/>
      <c r="H106" s="76"/>
      <c r="I106" s="76"/>
      <c r="J106" s="76"/>
      <c r="K106" s="76"/>
      <c r="L106" s="76"/>
      <c r="M106" s="76"/>
      <c r="N106" s="76"/>
      <c r="O106" s="76"/>
      <c r="P106" s="76"/>
      <c r="Q106" s="76"/>
      <c r="R106" s="76"/>
      <c r="S106" s="76"/>
      <c r="T106" s="76"/>
      <c r="U106" s="76"/>
    </row>
    <row r="107" spans="1:33" ht="18.75" customHeight="1" x14ac:dyDescent="0.15">
      <c r="A107" s="75" t="s">
        <v>126</v>
      </c>
      <c r="B107" s="75"/>
      <c r="C107" s="75"/>
      <c r="D107" s="75"/>
      <c r="E107" s="75"/>
      <c r="F107" s="75"/>
      <c r="G107" s="75"/>
      <c r="H107" s="75"/>
      <c r="I107" s="75"/>
      <c r="J107" s="75"/>
      <c r="K107" s="75"/>
      <c r="L107" s="75"/>
      <c r="M107" s="75"/>
      <c r="N107" s="75"/>
      <c r="O107" s="75"/>
      <c r="P107" s="75"/>
      <c r="Q107" s="75"/>
      <c r="R107" s="75"/>
      <c r="S107" s="75"/>
      <c r="T107" s="75"/>
      <c r="U107" s="75"/>
      <c r="V107" s="2"/>
      <c r="W107" s="2"/>
      <c r="X107" s="2"/>
      <c r="Y107" s="2"/>
      <c r="Z107" s="2"/>
      <c r="AA107" s="2"/>
      <c r="AB107" s="2"/>
      <c r="AC107" s="2"/>
      <c r="AD107" s="2"/>
      <c r="AE107" s="2"/>
      <c r="AF107" s="2"/>
      <c r="AG107" s="2"/>
    </row>
    <row r="108" spans="1:33" ht="18.75" customHeight="1" x14ac:dyDescent="0.15">
      <c r="A108" s="75"/>
      <c r="B108" s="93" t="s">
        <v>130</v>
      </c>
      <c r="C108" s="93"/>
      <c r="D108" s="93"/>
      <c r="E108" s="93"/>
      <c r="F108" s="93"/>
      <c r="G108" s="93"/>
      <c r="H108" s="93"/>
      <c r="I108" s="93"/>
      <c r="J108" s="93"/>
      <c r="K108" s="93"/>
      <c r="L108" s="93"/>
      <c r="M108" s="93"/>
      <c r="N108" s="93"/>
      <c r="O108" s="93"/>
      <c r="P108" s="93"/>
      <c r="Q108" s="93"/>
      <c r="R108" s="93"/>
      <c r="S108" s="93"/>
      <c r="T108" s="93"/>
      <c r="U108" s="93"/>
      <c r="V108" s="71"/>
      <c r="W108" s="71"/>
      <c r="X108" s="71"/>
      <c r="Y108" s="71"/>
      <c r="Z108" s="71"/>
      <c r="AA108" s="71"/>
      <c r="AB108" s="71"/>
      <c r="AC108" s="71"/>
      <c r="AD108" s="71"/>
      <c r="AE108" s="71"/>
      <c r="AF108" s="71"/>
      <c r="AG108" s="71"/>
    </row>
    <row r="109" spans="1:33" ht="37.35" customHeight="1" x14ac:dyDescent="0.15">
      <c r="A109" s="75"/>
      <c r="B109" s="93"/>
      <c r="C109" s="93"/>
      <c r="D109" s="93"/>
      <c r="E109" s="93"/>
      <c r="F109" s="93"/>
      <c r="G109" s="93"/>
      <c r="H109" s="93"/>
      <c r="I109" s="93"/>
      <c r="J109" s="93"/>
      <c r="K109" s="93"/>
      <c r="L109" s="93"/>
      <c r="M109" s="93"/>
      <c r="N109" s="93"/>
      <c r="O109" s="93"/>
      <c r="P109" s="93"/>
      <c r="Q109" s="93"/>
      <c r="R109" s="93"/>
      <c r="S109" s="93"/>
      <c r="T109" s="93"/>
      <c r="U109" s="93"/>
      <c r="V109" s="71"/>
      <c r="W109" s="71"/>
      <c r="X109" s="71"/>
      <c r="Y109" s="71"/>
      <c r="Z109" s="71"/>
      <c r="AA109" s="71"/>
      <c r="AB109" s="71"/>
      <c r="AC109" s="71"/>
      <c r="AD109" s="71"/>
      <c r="AE109" s="71"/>
      <c r="AF109" s="71"/>
      <c r="AG109" s="71"/>
    </row>
    <row r="110" spans="1:33" ht="18.75" customHeight="1" x14ac:dyDescent="0.15">
      <c r="A110" s="75"/>
      <c r="B110" s="163" t="s">
        <v>125</v>
      </c>
      <c r="C110" s="163"/>
      <c r="D110" s="163"/>
      <c r="E110" s="163"/>
      <c r="F110" s="163"/>
      <c r="G110" s="163"/>
      <c r="H110" s="163"/>
      <c r="I110" s="163"/>
      <c r="J110" s="163"/>
      <c r="K110" s="163"/>
      <c r="L110" s="163"/>
      <c r="M110" s="163"/>
      <c r="N110" s="163"/>
      <c r="O110" s="163"/>
      <c r="P110" s="163"/>
      <c r="Q110" s="163"/>
      <c r="R110" s="163"/>
      <c r="S110" s="163"/>
      <c r="T110" s="163"/>
      <c r="U110" s="163"/>
      <c r="V110" s="71"/>
      <c r="W110" s="71"/>
      <c r="X110" s="71"/>
      <c r="Y110" s="71"/>
      <c r="Z110" s="71"/>
      <c r="AA110" s="71"/>
      <c r="AB110" s="71"/>
      <c r="AC110" s="71"/>
      <c r="AD110" s="71"/>
      <c r="AE110" s="71"/>
      <c r="AF110" s="71"/>
      <c r="AG110" s="71"/>
    </row>
    <row r="111" spans="1:33" ht="18.75" customHeight="1" x14ac:dyDescent="0.15">
      <c r="A111" s="75"/>
      <c r="B111" s="164" t="s">
        <v>53</v>
      </c>
      <c r="C111" s="164"/>
      <c r="D111" s="164"/>
      <c r="E111" s="164"/>
      <c r="F111" s="164"/>
      <c r="G111" s="164"/>
      <c r="H111" s="164"/>
      <c r="I111" s="164"/>
      <c r="J111" s="164"/>
      <c r="K111" s="164"/>
      <c r="L111" s="164"/>
      <c r="M111" s="164"/>
      <c r="N111" s="164"/>
      <c r="O111" s="164"/>
      <c r="P111" s="164"/>
      <c r="Q111" s="164"/>
      <c r="R111" s="164"/>
      <c r="S111" s="164"/>
      <c r="T111" s="164"/>
      <c r="U111" s="164"/>
      <c r="V111" s="70"/>
      <c r="W111" s="70"/>
      <c r="X111" s="70"/>
      <c r="Y111" s="70"/>
      <c r="Z111" s="70"/>
      <c r="AA111" s="70"/>
      <c r="AB111" s="70"/>
      <c r="AC111" s="70"/>
      <c r="AD111" s="70"/>
      <c r="AE111" s="70"/>
      <c r="AF111" s="70"/>
      <c r="AG111" s="70"/>
    </row>
    <row r="112" spans="1:33" ht="132" customHeight="1" x14ac:dyDescent="0.15">
      <c r="A112" s="75"/>
      <c r="B112" s="165" t="s">
        <v>170</v>
      </c>
      <c r="C112" s="165"/>
      <c r="D112" s="165"/>
      <c r="E112" s="165"/>
      <c r="F112" s="165"/>
      <c r="G112" s="165"/>
      <c r="H112" s="165"/>
      <c r="I112" s="165"/>
      <c r="J112" s="165"/>
      <c r="K112" s="165"/>
      <c r="L112" s="165"/>
      <c r="M112" s="165"/>
      <c r="N112" s="165"/>
      <c r="O112" s="165"/>
      <c r="P112" s="165"/>
      <c r="Q112" s="165"/>
      <c r="R112" s="165"/>
      <c r="S112" s="165"/>
      <c r="T112" s="165"/>
      <c r="U112" s="165"/>
      <c r="V112" s="72"/>
      <c r="W112" s="72"/>
      <c r="X112" s="72"/>
      <c r="Y112" s="72"/>
      <c r="Z112" s="72"/>
      <c r="AA112" s="72"/>
      <c r="AB112" s="72"/>
      <c r="AC112" s="72"/>
      <c r="AD112" s="72"/>
      <c r="AE112" s="72"/>
      <c r="AF112" s="72"/>
      <c r="AG112" s="72"/>
    </row>
    <row r="114" ht="18" customHeight="1" x14ac:dyDescent="0.15"/>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43932-0542-4428-93F4-5BC7E0CF0009}">
  <sheetPr>
    <pageSetUpPr fitToPage="1"/>
  </sheetPr>
  <dimension ref="A1:AG114"/>
  <sheetViews>
    <sheetView showZeros="0" view="pageBreakPreview" zoomScaleNormal="100" zoomScaleSheetLayoutView="100" workbookViewId="0"/>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6"/>
      <c r="B1" s="76"/>
      <c r="C1" s="76"/>
      <c r="D1" s="76"/>
      <c r="E1" s="76"/>
      <c r="F1" s="76"/>
      <c r="G1" s="76"/>
      <c r="H1" s="76"/>
      <c r="I1" s="76"/>
      <c r="J1" s="76"/>
      <c r="K1" s="76"/>
      <c r="L1" s="76"/>
      <c r="M1" s="76"/>
      <c r="N1" s="76"/>
      <c r="O1" s="76"/>
      <c r="P1" s="76"/>
      <c r="Q1" s="76"/>
      <c r="R1" s="76"/>
      <c r="S1" s="76"/>
      <c r="T1" s="128" t="s">
        <v>155</v>
      </c>
      <c r="U1" s="128"/>
      <c r="V1" s="2" t="s">
        <v>99</v>
      </c>
    </row>
    <row r="2" spans="1:24" ht="18.75" customHeight="1" x14ac:dyDescent="0.15">
      <c r="A2" s="76"/>
      <c r="B2" s="78" t="s">
        <v>98</v>
      </c>
      <c r="C2" s="129" t="s">
        <v>138</v>
      </c>
      <c r="D2" s="130"/>
      <c r="E2" s="130"/>
      <c r="F2" s="130"/>
      <c r="G2" s="130"/>
      <c r="H2" s="130"/>
      <c r="I2" s="130"/>
      <c r="J2" s="131"/>
      <c r="K2" s="77"/>
      <c r="L2" s="79"/>
      <c r="M2" s="79"/>
      <c r="N2" s="79"/>
      <c r="O2" s="79"/>
      <c r="P2" s="79"/>
      <c r="Q2" s="79"/>
      <c r="R2" s="79"/>
      <c r="S2" s="79"/>
      <c r="T2" s="79"/>
      <c r="U2" s="79"/>
    </row>
    <row r="3" spans="1:24" ht="18.75" customHeight="1" x14ac:dyDescent="0.15">
      <c r="A3" s="76"/>
      <c r="B3" s="78" t="s">
        <v>93</v>
      </c>
      <c r="C3" s="129" t="s">
        <v>193</v>
      </c>
      <c r="D3" s="130"/>
      <c r="E3" s="130"/>
      <c r="F3" s="130"/>
      <c r="G3" s="130"/>
      <c r="H3" s="130"/>
      <c r="I3" s="130"/>
      <c r="J3" s="131"/>
      <c r="K3" s="77"/>
      <c r="L3" s="79"/>
      <c r="M3" s="79"/>
      <c r="N3" s="79"/>
      <c r="O3" s="79"/>
      <c r="P3" s="79"/>
      <c r="Q3" s="79"/>
      <c r="R3" s="79"/>
      <c r="S3" s="79"/>
      <c r="T3" s="79"/>
      <c r="U3" s="79"/>
    </row>
    <row r="4" spans="1:24" ht="15" customHeight="1" x14ac:dyDescent="0.15">
      <c r="A4" s="76"/>
      <c r="B4" s="76"/>
      <c r="C4" s="76"/>
      <c r="D4" s="76"/>
      <c r="E4" s="76"/>
      <c r="F4" s="76"/>
      <c r="G4" s="76"/>
      <c r="H4" s="76"/>
      <c r="I4" s="76"/>
      <c r="J4" s="76"/>
      <c r="K4" s="76"/>
      <c r="L4" s="77"/>
      <c r="M4" s="80"/>
      <c r="N4" s="80"/>
      <c r="O4" s="80"/>
      <c r="P4" s="80"/>
      <c r="Q4" s="80"/>
      <c r="R4" s="80"/>
      <c r="S4" s="80"/>
      <c r="T4" s="80"/>
      <c r="U4" s="80"/>
    </row>
    <row r="5" spans="1:24" ht="18" customHeight="1" x14ac:dyDescent="0.15">
      <c r="A5" s="132" t="s">
        <v>37</v>
      </c>
      <c r="B5" s="132"/>
      <c r="C5" s="132"/>
      <c r="D5" s="132"/>
      <c r="E5" s="132"/>
      <c r="F5" s="132"/>
      <c r="G5" s="132"/>
      <c r="H5" s="132"/>
      <c r="I5" s="132"/>
      <c r="J5" s="132"/>
      <c r="K5" s="132"/>
      <c r="L5" s="132"/>
      <c r="M5" s="132"/>
      <c r="N5" s="132"/>
      <c r="O5" s="132"/>
      <c r="P5" s="132"/>
      <c r="Q5" s="132"/>
      <c r="R5" s="132"/>
      <c r="S5" s="132"/>
      <c r="T5" s="132"/>
      <c r="U5" s="132"/>
    </row>
    <row r="6" spans="1:24" ht="15" customHeight="1" x14ac:dyDescent="0.15">
      <c r="A6" s="76"/>
      <c r="B6" s="81"/>
      <c r="C6" s="81"/>
      <c r="D6" s="81"/>
      <c r="E6" s="81"/>
      <c r="F6" s="81"/>
      <c r="G6" s="81"/>
      <c r="H6" s="81"/>
      <c r="I6" s="81"/>
      <c r="J6" s="81"/>
      <c r="K6" s="81"/>
      <c r="L6" s="81"/>
      <c r="M6" s="81"/>
      <c r="N6" s="81"/>
      <c r="O6" s="81"/>
      <c r="P6" s="81"/>
      <c r="Q6" s="81"/>
      <c r="R6" s="81"/>
      <c r="S6" s="81"/>
      <c r="T6" s="81"/>
      <c r="U6" s="81"/>
    </row>
    <row r="7" spans="1:24" ht="15" customHeight="1" x14ac:dyDescent="0.15">
      <c r="A7" s="76" t="s">
        <v>131</v>
      </c>
      <c r="B7" s="81"/>
      <c r="C7" s="81"/>
      <c r="D7" s="81"/>
      <c r="E7" s="81"/>
      <c r="F7" s="75"/>
      <c r="G7" s="75"/>
      <c r="H7" s="75"/>
      <c r="I7" s="75"/>
      <c r="J7" s="75"/>
      <c r="K7" s="75"/>
      <c r="L7" s="106" t="s">
        <v>129</v>
      </c>
      <c r="M7" s="107"/>
      <c r="N7" s="107"/>
      <c r="O7" s="107"/>
      <c r="P7" s="107"/>
      <c r="Q7" s="107"/>
      <c r="R7" s="107"/>
      <c r="S7" s="107"/>
      <c r="T7" s="107"/>
      <c r="U7" s="108"/>
    </row>
    <row r="8" spans="1:24" ht="6" customHeight="1" x14ac:dyDescent="0.15">
      <c r="A8" s="76"/>
      <c r="B8" s="81"/>
      <c r="C8" s="81"/>
      <c r="D8" s="81"/>
      <c r="E8" s="81"/>
      <c r="F8" s="81"/>
      <c r="G8" s="81"/>
      <c r="H8" s="81"/>
      <c r="I8" s="81"/>
      <c r="J8" s="81"/>
      <c r="K8" s="81"/>
      <c r="L8" s="81"/>
      <c r="M8" s="81"/>
      <c r="N8" s="81"/>
      <c r="O8" s="81"/>
      <c r="P8" s="81"/>
      <c r="Q8" s="81"/>
      <c r="R8" s="81"/>
      <c r="S8" s="81"/>
      <c r="T8" s="81"/>
      <c r="U8" s="81"/>
    </row>
    <row r="9" spans="1:24" ht="18" customHeight="1" x14ac:dyDescent="0.15">
      <c r="A9" s="76" t="s">
        <v>132</v>
      </c>
      <c r="B9" s="76"/>
      <c r="C9" s="81"/>
      <c r="D9" s="81"/>
      <c r="E9" s="76"/>
      <c r="F9" s="76"/>
      <c r="G9" s="76"/>
      <c r="H9" s="76"/>
      <c r="I9" s="76"/>
      <c r="J9" s="76"/>
      <c r="K9" s="77"/>
      <c r="L9" s="75"/>
      <c r="M9" s="75"/>
      <c r="N9" s="75"/>
      <c r="O9" s="75"/>
      <c r="P9" s="75"/>
      <c r="Q9" s="75"/>
      <c r="R9" s="75"/>
      <c r="S9" s="75"/>
      <c r="T9" s="75"/>
      <c r="U9" s="75"/>
    </row>
    <row r="10" spans="1:24" ht="6" customHeight="1" x14ac:dyDescent="0.15">
      <c r="A10" s="76"/>
      <c r="B10" s="81"/>
      <c r="C10" s="81"/>
      <c r="D10" s="81"/>
      <c r="E10" s="81"/>
      <c r="F10" s="81"/>
      <c r="G10" s="81"/>
      <c r="H10" s="81"/>
      <c r="I10" s="81"/>
      <c r="J10" s="81"/>
      <c r="K10" s="81"/>
      <c r="L10" s="82"/>
      <c r="M10" s="81"/>
      <c r="N10" s="81"/>
      <c r="O10" s="81"/>
      <c r="P10" s="81"/>
      <c r="Q10" s="81"/>
      <c r="R10" s="81"/>
      <c r="S10" s="81"/>
      <c r="T10" s="81"/>
      <c r="U10" s="81"/>
    </row>
    <row r="11" spans="1:24" ht="18" customHeight="1" x14ac:dyDescent="0.15">
      <c r="A11" s="76"/>
      <c r="B11" s="112" t="s">
        <v>158</v>
      </c>
      <c r="C11" s="113"/>
      <c r="D11" s="113"/>
      <c r="E11" s="113"/>
      <c r="F11" s="113"/>
      <c r="G11" s="113"/>
      <c r="H11" s="113"/>
      <c r="I11" s="113"/>
      <c r="J11" s="113"/>
      <c r="K11" s="113"/>
      <c r="L11" s="113"/>
      <c r="M11" s="113"/>
      <c r="N11" s="113"/>
      <c r="O11" s="113"/>
      <c r="P11" s="113"/>
      <c r="Q11" s="113"/>
      <c r="R11" s="113"/>
      <c r="S11" s="113"/>
      <c r="T11" s="113"/>
      <c r="U11" s="114"/>
    </row>
    <row r="12" spans="1:24" ht="18" customHeight="1" x14ac:dyDescent="0.15">
      <c r="A12" s="76"/>
      <c r="B12" s="115"/>
      <c r="C12" s="116"/>
      <c r="D12" s="116"/>
      <c r="E12" s="116"/>
      <c r="F12" s="116"/>
      <c r="G12" s="116"/>
      <c r="H12" s="116"/>
      <c r="I12" s="116"/>
      <c r="J12" s="116"/>
      <c r="K12" s="116"/>
      <c r="L12" s="116"/>
      <c r="M12" s="116"/>
      <c r="N12" s="116"/>
      <c r="O12" s="116"/>
      <c r="P12" s="116"/>
      <c r="Q12" s="116"/>
      <c r="R12" s="116"/>
      <c r="S12" s="116"/>
      <c r="T12" s="116"/>
      <c r="U12" s="117"/>
    </row>
    <row r="13" spans="1:24" ht="6" customHeight="1" x14ac:dyDescent="0.15">
      <c r="A13" s="76"/>
      <c r="B13" s="81"/>
      <c r="C13" s="81"/>
      <c r="D13" s="81"/>
      <c r="E13" s="81"/>
      <c r="F13" s="81"/>
      <c r="G13" s="81"/>
      <c r="H13" s="81"/>
      <c r="I13" s="81"/>
      <c r="J13" s="81"/>
      <c r="K13" s="81"/>
      <c r="L13" s="82"/>
      <c r="M13" s="81"/>
      <c r="N13" s="81"/>
      <c r="O13" s="81"/>
      <c r="P13" s="81"/>
      <c r="Q13" s="81"/>
      <c r="R13" s="81"/>
      <c r="S13" s="81"/>
      <c r="T13" s="81"/>
      <c r="U13" s="81"/>
    </row>
    <row r="14" spans="1:24" ht="18" customHeight="1" x14ac:dyDescent="0.15">
      <c r="A14" s="76" t="s">
        <v>100</v>
      </c>
      <c r="B14" s="81"/>
      <c r="C14" s="81"/>
      <c r="D14" s="81"/>
      <c r="E14" s="77"/>
      <c r="F14" s="77"/>
      <c r="G14" s="77"/>
      <c r="H14" s="77"/>
      <c r="I14" s="77"/>
      <c r="J14" s="77"/>
      <c r="K14" s="77"/>
      <c r="L14" s="83"/>
      <c r="M14" s="83"/>
      <c r="N14" s="83"/>
      <c r="O14" s="83"/>
      <c r="P14" s="83"/>
      <c r="Q14" s="83"/>
      <c r="R14" s="83"/>
      <c r="S14" s="83"/>
      <c r="T14" s="83"/>
      <c r="U14" s="83"/>
    </row>
    <row r="15" spans="1:24" ht="18" customHeight="1" x14ac:dyDescent="0.15">
      <c r="A15" s="76"/>
      <c r="B15" s="133" t="s">
        <v>157</v>
      </c>
      <c r="C15" s="134"/>
      <c r="D15" s="134"/>
      <c r="E15" s="134"/>
      <c r="F15" s="134"/>
      <c r="G15" s="134"/>
      <c r="H15" s="134"/>
      <c r="I15" s="134"/>
      <c r="J15" s="134"/>
      <c r="K15" s="134"/>
      <c r="L15" s="134"/>
      <c r="M15" s="134"/>
      <c r="N15" s="134"/>
      <c r="O15" s="134"/>
      <c r="P15" s="134"/>
      <c r="Q15" s="134"/>
      <c r="R15" s="134"/>
      <c r="S15" s="134"/>
      <c r="T15" s="134"/>
      <c r="U15" s="135"/>
      <c r="X15" s="1" t="s">
        <v>94</v>
      </c>
    </row>
    <row r="16" spans="1:24" ht="18" customHeight="1" x14ac:dyDescent="0.15">
      <c r="A16" s="76"/>
      <c r="B16" s="136"/>
      <c r="C16" s="137"/>
      <c r="D16" s="137"/>
      <c r="E16" s="137"/>
      <c r="F16" s="137"/>
      <c r="G16" s="137"/>
      <c r="H16" s="137"/>
      <c r="I16" s="137"/>
      <c r="J16" s="137"/>
      <c r="K16" s="137"/>
      <c r="L16" s="137"/>
      <c r="M16" s="137"/>
      <c r="N16" s="137"/>
      <c r="O16" s="137"/>
      <c r="P16" s="137"/>
      <c r="Q16" s="137"/>
      <c r="R16" s="137"/>
      <c r="S16" s="137"/>
      <c r="T16" s="137"/>
      <c r="U16" s="138"/>
      <c r="X16" s="1" t="s">
        <v>114</v>
      </c>
    </row>
    <row r="17" spans="1:24" ht="18" customHeight="1" x14ac:dyDescent="0.15">
      <c r="A17" s="76"/>
      <c r="B17" s="136"/>
      <c r="C17" s="137"/>
      <c r="D17" s="137"/>
      <c r="E17" s="137"/>
      <c r="F17" s="137"/>
      <c r="G17" s="137"/>
      <c r="H17" s="137"/>
      <c r="I17" s="137"/>
      <c r="J17" s="137"/>
      <c r="K17" s="137"/>
      <c r="L17" s="137"/>
      <c r="M17" s="137"/>
      <c r="N17" s="137"/>
      <c r="O17" s="137"/>
      <c r="P17" s="137"/>
      <c r="Q17" s="137"/>
      <c r="R17" s="137"/>
      <c r="S17" s="137"/>
      <c r="T17" s="137"/>
      <c r="U17" s="138"/>
      <c r="X17" s="1" t="s">
        <v>115</v>
      </c>
    </row>
    <row r="18" spans="1:24" ht="18" customHeight="1" x14ac:dyDescent="0.15">
      <c r="A18" s="76"/>
      <c r="B18" s="136"/>
      <c r="C18" s="137"/>
      <c r="D18" s="137"/>
      <c r="E18" s="137"/>
      <c r="F18" s="137"/>
      <c r="G18" s="137"/>
      <c r="H18" s="137"/>
      <c r="I18" s="137"/>
      <c r="J18" s="137"/>
      <c r="K18" s="137"/>
      <c r="L18" s="137"/>
      <c r="M18" s="137"/>
      <c r="N18" s="137"/>
      <c r="O18" s="137"/>
      <c r="P18" s="137"/>
      <c r="Q18" s="137"/>
      <c r="R18" s="137"/>
      <c r="S18" s="137"/>
      <c r="T18" s="137"/>
      <c r="U18" s="138"/>
      <c r="X18" s="1" t="s">
        <v>116</v>
      </c>
    </row>
    <row r="19" spans="1:24" ht="18" customHeight="1" x14ac:dyDescent="0.15">
      <c r="A19" s="76"/>
      <c r="B19" s="136"/>
      <c r="C19" s="137"/>
      <c r="D19" s="137"/>
      <c r="E19" s="137"/>
      <c r="F19" s="137"/>
      <c r="G19" s="137"/>
      <c r="H19" s="137"/>
      <c r="I19" s="137"/>
      <c r="J19" s="137"/>
      <c r="K19" s="137"/>
      <c r="L19" s="137"/>
      <c r="M19" s="137"/>
      <c r="N19" s="137"/>
      <c r="O19" s="137"/>
      <c r="P19" s="137"/>
      <c r="Q19" s="137"/>
      <c r="R19" s="137"/>
      <c r="S19" s="137"/>
      <c r="T19" s="137"/>
      <c r="U19" s="138"/>
    </row>
    <row r="20" spans="1:24" ht="18" customHeight="1" x14ac:dyDescent="0.15">
      <c r="A20" s="76"/>
      <c r="B20" s="139"/>
      <c r="C20" s="140"/>
      <c r="D20" s="140"/>
      <c r="E20" s="140"/>
      <c r="F20" s="140"/>
      <c r="G20" s="140"/>
      <c r="H20" s="140"/>
      <c r="I20" s="140"/>
      <c r="J20" s="140"/>
      <c r="K20" s="140"/>
      <c r="L20" s="140"/>
      <c r="M20" s="140"/>
      <c r="N20" s="140"/>
      <c r="O20" s="140"/>
      <c r="P20" s="140"/>
      <c r="Q20" s="140"/>
      <c r="R20" s="140"/>
      <c r="S20" s="140"/>
      <c r="T20" s="140"/>
      <c r="U20" s="141"/>
    </row>
    <row r="21" spans="1:24" ht="7.5" customHeight="1" x14ac:dyDescent="0.15">
      <c r="A21" s="76"/>
      <c r="B21" s="81"/>
      <c r="C21" s="81"/>
      <c r="D21" s="81"/>
      <c r="E21" s="81"/>
      <c r="F21" s="81"/>
      <c r="G21" s="81"/>
      <c r="H21" s="81"/>
      <c r="I21" s="81"/>
      <c r="J21" s="81"/>
      <c r="K21" s="81"/>
      <c r="L21" s="81"/>
      <c r="M21" s="81"/>
      <c r="N21" s="81"/>
      <c r="O21" s="81"/>
      <c r="P21" s="81"/>
      <c r="Q21" s="81"/>
      <c r="R21" s="81"/>
      <c r="S21" s="81"/>
      <c r="T21" s="81"/>
      <c r="U21" s="81"/>
    </row>
    <row r="22" spans="1:24" ht="20.100000000000001" customHeight="1" x14ac:dyDescent="0.15">
      <c r="A22" s="76"/>
      <c r="B22" s="76" t="s">
        <v>133</v>
      </c>
      <c r="C22" s="76"/>
      <c r="D22" s="76"/>
      <c r="E22" s="84">
        <v>1</v>
      </c>
      <c r="F22" s="76" t="s">
        <v>112</v>
      </c>
      <c r="G22" s="76"/>
      <c r="H22" s="85">
        <v>1</v>
      </c>
      <c r="I22" s="81" t="s">
        <v>113</v>
      </c>
      <c r="J22" s="81"/>
      <c r="K22" s="77"/>
      <c r="L22" s="76"/>
      <c r="M22" s="77" t="s">
        <v>109</v>
      </c>
      <c r="N22" s="103" t="s">
        <v>114</v>
      </c>
      <c r="O22" s="104"/>
      <c r="P22" s="104"/>
      <c r="Q22" s="104"/>
      <c r="R22" s="104"/>
      <c r="S22" s="104"/>
      <c r="T22" s="104"/>
      <c r="U22" s="105"/>
    </row>
    <row r="23" spans="1:24" ht="7.5" customHeight="1" x14ac:dyDescent="0.15">
      <c r="A23" s="76"/>
      <c r="B23" s="81"/>
      <c r="C23" s="81"/>
      <c r="D23" s="81"/>
      <c r="E23" s="81"/>
      <c r="F23" s="81"/>
      <c r="G23" s="81"/>
      <c r="H23" s="81"/>
      <c r="I23" s="81"/>
      <c r="J23" s="81"/>
      <c r="K23" s="81"/>
      <c r="L23" s="81"/>
      <c r="M23" s="81"/>
      <c r="N23" s="81"/>
      <c r="O23" s="81"/>
      <c r="P23" s="81"/>
      <c r="Q23" s="81"/>
      <c r="R23" s="81"/>
      <c r="S23" s="81"/>
      <c r="T23" s="81"/>
      <c r="U23" s="81"/>
    </row>
    <row r="24" spans="1:24" ht="18" customHeight="1" x14ac:dyDescent="0.15">
      <c r="A24" s="142" t="s">
        <v>101</v>
      </c>
      <c r="B24" s="142"/>
      <c r="C24" s="142"/>
      <c r="D24" s="142"/>
      <c r="E24" s="142"/>
      <c r="F24" s="142"/>
      <c r="G24" s="142"/>
      <c r="H24" s="142"/>
      <c r="I24" s="142"/>
      <c r="J24" s="142"/>
      <c r="K24" s="142"/>
      <c r="L24" s="142"/>
      <c r="M24" s="142"/>
      <c r="N24" s="142"/>
      <c r="O24" s="142"/>
      <c r="P24" s="142"/>
      <c r="Q24" s="142"/>
      <c r="R24" s="142"/>
      <c r="S24" s="142"/>
      <c r="T24" s="142"/>
      <c r="U24" s="142"/>
    </row>
    <row r="25" spans="1:24" ht="18" customHeight="1" x14ac:dyDescent="0.15">
      <c r="A25" s="142"/>
      <c r="B25" s="142"/>
      <c r="C25" s="142"/>
      <c r="D25" s="142"/>
      <c r="E25" s="142"/>
      <c r="F25" s="142"/>
      <c r="G25" s="142"/>
      <c r="H25" s="142"/>
      <c r="I25" s="142"/>
      <c r="J25" s="142"/>
      <c r="K25" s="142"/>
      <c r="L25" s="142"/>
      <c r="M25" s="142"/>
      <c r="N25" s="142"/>
      <c r="O25" s="142"/>
      <c r="P25" s="142"/>
      <c r="Q25" s="142"/>
      <c r="R25" s="142"/>
      <c r="S25" s="142"/>
      <c r="T25" s="142"/>
      <c r="U25" s="142"/>
    </row>
    <row r="26" spans="1:24" ht="18" customHeight="1" x14ac:dyDescent="0.15">
      <c r="B26" s="109" t="s">
        <v>51</v>
      </c>
      <c r="C26" s="110"/>
      <c r="D26" s="110"/>
      <c r="E26" s="110"/>
      <c r="F26" s="111"/>
      <c r="G26" s="51" t="s">
        <v>77</v>
      </c>
      <c r="H26" s="50" t="s">
        <v>80</v>
      </c>
      <c r="I26" s="17" t="s">
        <v>54</v>
      </c>
      <c r="J26" s="17" t="s">
        <v>57</v>
      </c>
      <c r="K26" s="109" t="s">
        <v>51</v>
      </c>
      <c r="L26" s="110"/>
      <c r="M26" s="110"/>
      <c r="N26" s="110"/>
      <c r="O26" s="110"/>
      <c r="P26" s="110"/>
      <c r="Q26" s="111"/>
      <c r="R26" s="51" t="s">
        <v>77</v>
      </c>
      <c r="S26" s="50" t="s">
        <v>80</v>
      </c>
      <c r="T26" s="17" t="s">
        <v>54</v>
      </c>
      <c r="U26" s="17" t="s">
        <v>57</v>
      </c>
    </row>
    <row r="27" spans="1:24" ht="18" customHeight="1" x14ac:dyDescent="0.15">
      <c r="B27" s="124" t="s">
        <v>153</v>
      </c>
      <c r="C27" s="125"/>
      <c r="D27" s="125"/>
      <c r="E27" s="125"/>
      <c r="F27" s="126"/>
      <c r="G27" s="18">
        <v>1</v>
      </c>
      <c r="H27" s="18" t="s">
        <v>140</v>
      </c>
      <c r="I27" s="18" t="s">
        <v>140</v>
      </c>
      <c r="J27" s="18" t="s">
        <v>140</v>
      </c>
      <c r="K27" s="124"/>
      <c r="L27" s="125"/>
      <c r="M27" s="125"/>
      <c r="N27" s="125"/>
      <c r="O27" s="125"/>
      <c r="P27" s="125"/>
      <c r="Q27" s="126"/>
      <c r="R27" s="18"/>
      <c r="S27" s="18"/>
      <c r="T27" s="18"/>
      <c r="U27" s="18"/>
    </row>
    <row r="28" spans="1:24" ht="18" customHeight="1" x14ac:dyDescent="0.15">
      <c r="B28" s="118"/>
      <c r="C28" s="119"/>
      <c r="D28" s="119"/>
      <c r="E28" s="119"/>
      <c r="F28" s="120"/>
      <c r="G28" s="19"/>
      <c r="H28" s="19"/>
      <c r="I28" s="19"/>
      <c r="J28" s="19"/>
      <c r="K28" s="118"/>
      <c r="L28" s="119"/>
      <c r="M28" s="119"/>
      <c r="N28" s="119"/>
      <c r="O28" s="119"/>
      <c r="P28" s="119"/>
      <c r="Q28" s="120"/>
      <c r="R28" s="19"/>
      <c r="S28" s="19"/>
      <c r="T28" s="19"/>
      <c r="U28" s="19"/>
    </row>
    <row r="29" spans="1:24" ht="18" customHeight="1" x14ac:dyDescent="0.15">
      <c r="B29" s="118"/>
      <c r="C29" s="119"/>
      <c r="D29" s="119"/>
      <c r="E29" s="119"/>
      <c r="F29" s="120"/>
      <c r="G29" s="19"/>
      <c r="H29" s="19"/>
      <c r="I29" s="19"/>
      <c r="J29" s="19"/>
      <c r="K29" s="118"/>
      <c r="L29" s="119"/>
      <c r="M29" s="119"/>
      <c r="N29" s="119"/>
      <c r="O29" s="119"/>
      <c r="P29" s="119"/>
      <c r="Q29" s="120"/>
      <c r="R29" s="19"/>
      <c r="S29" s="19"/>
      <c r="T29" s="19"/>
      <c r="U29" s="19"/>
    </row>
    <row r="30" spans="1:24" ht="18" customHeight="1" x14ac:dyDescent="0.15">
      <c r="B30" s="118"/>
      <c r="C30" s="119"/>
      <c r="D30" s="119"/>
      <c r="E30" s="119"/>
      <c r="F30" s="120"/>
      <c r="G30" s="19"/>
      <c r="H30" s="19"/>
      <c r="I30" s="19"/>
      <c r="J30" s="19"/>
      <c r="K30" s="118"/>
      <c r="L30" s="119"/>
      <c r="M30" s="119"/>
      <c r="N30" s="119"/>
      <c r="O30" s="119"/>
      <c r="P30" s="119"/>
      <c r="Q30" s="120"/>
      <c r="R30" s="19"/>
      <c r="S30" s="19"/>
      <c r="T30" s="19"/>
      <c r="U30" s="19"/>
    </row>
    <row r="31" spans="1:24" ht="18" customHeight="1" x14ac:dyDescent="0.15">
      <c r="B31" s="118"/>
      <c r="C31" s="119"/>
      <c r="D31" s="119"/>
      <c r="E31" s="119"/>
      <c r="F31" s="120"/>
      <c r="G31" s="19"/>
      <c r="H31" s="19"/>
      <c r="I31" s="19"/>
      <c r="J31" s="19"/>
      <c r="K31" s="118"/>
      <c r="L31" s="119"/>
      <c r="M31" s="119"/>
      <c r="N31" s="119"/>
      <c r="O31" s="119"/>
      <c r="P31" s="119"/>
      <c r="Q31" s="120"/>
      <c r="R31" s="19"/>
      <c r="S31" s="19"/>
      <c r="T31" s="19"/>
      <c r="U31" s="19"/>
    </row>
    <row r="32" spans="1:24" ht="18" customHeight="1" x14ac:dyDescent="0.15">
      <c r="A32" s="3"/>
      <c r="B32" s="118"/>
      <c r="C32" s="119"/>
      <c r="D32" s="119"/>
      <c r="E32" s="119"/>
      <c r="F32" s="120"/>
      <c r="G32" s="19"/>
      <c r="H32" s="19"/>
      <c r="I32" s="19"/>
      <c r="J32" s="19"/>
      <c r="K32" s="118"/>
      <c r="L32" s="119"/>
      <c r="M32" s="119"/>
      <c r="N32" s="119"/>
      <c r="O32" s="119"/>
      <c r="P32" s="119"/>
      <c r="Q32" s="120"/>
      <c r="R32" s="19"/>
      <c r="S32" s="19"/>
      <c r="T32" s="19"/>
      <c r="U32" s="19"/>
    </row>
    <row r="33" spans="1:21" ht="18" customHeight="1" x14ac:dyDescent="0.15">
      <c r="A33" s="3"/>
      <c r="B33" s="121"/>
      <c r="C33" s="122"/>
      <c r="D33" s="122"/>
      <c r="E33" s="122"/>
      <c r="F33" s="123"/>
      <c r="G33" s="20"/>
      <c r="H33" s="20"/>
      <c r="I33" s="21"/>
      <c r="J33" s="21"/>
      <c r="K33" s="121"/>
      <c r="L33" s="122"/>
      <c r="M33" s="122"/>
      <c r="N33" s="122"/>
      <c r="O33" s="122"/>
      <c r="P33" s="122"/>
      <c r="Q33" s="123"/>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7" t="s">
        <v>102</v>
      </c>
      <c r="B35" s="127"/>
      <c r="C35" s="127"/>
      <c r="D35" s="127"/>
      <c r="E35" s="127"/>
      <c r="F35" s="127"/>
      <c r="G35" s="127"/>
      <c r="H35" s="127"/>
      <c r="I35" s="127"/>
      <c r="J35" s="127"/>
      <c r="K35" s="127"/>
      <c r="L35" s="127"/>
      <c r="M35" s="127"/>
      <c r="N35" s="127"/>
      <c r="O35" s="127"/>
      <c r="P35" s="127"/>
      <c r="Q35" s="127"/>
      <c r="R35" s="127"/>
      <c r="S35" s="127"/>
      <c r="T35" s="127"/>
      <c r="U35" s="127"/>
    </row>
    <row r="36" spans="1:21" ht="18" customHeight="1" x14ac:dyDescent="0.15">
      <c r="A36" s="127"/>
      <c r="B36" s="127"/>
      <c r="C36" s="127"/>
      <c r="D36" s="127"/>
      <c r="E36" s="127"/>
      <c r="F36" s="127"/>
      <c r="G36" s="127"/>
      <c r="H36" s="127"/>
      <c r="I36" s="127"/>
      <c r="J36" s="127"/>
      <c r="K36" s="127"/>
      <c r="L36" s="127"/>
      <c r="M36" s="127"/>
      <c r="N36" s="127"/>
      <c r="O36" s="127"/>
      <c r="P36" s="127"/>
      <c r="Q36" s="127"/>
      <c r="R36" s="127"/>
      <c r="S36" s="127"/>
      <c r="T36" s="127"/>
      <c r="U36" s="127"/>
    </row>
    <row r="37" spans="1:21" ht="18" customHeight="1" x14ac:dyDescent="0.15">
      <c r="B37" s="109" t="s">
        <v>51</v>
      </c>
      <c r="C37" s="110"/>
      <c r="D37" s="110"/>
      <c r="E37" s="110"/>
      <c r="F37" s="111"/>
      <c r="G37" s="51" t="s">
        <v>77</v>
      </c>
      <c r="H37" s="50" t="s">
        <v>80</v>
      </c>
      <c r="I37" s="17" t="s">
        <v>68</v>
      </c>
      <c r="J37" s="17" t="s">
        <v>69</v>
      </c>
      <c r="K37" s="109" t="s">
        <v>51</v>
      </c>
      <c r="L37" s="110"/>
      <c r="M37" s="110"/>
      <c r="N37" s="110"/>
      <c r="O37" s="110"/>
      <c r="P37" s="110"/>
      <c r="Q37" s="111"/>
      <c r="R37" s="51" t="s">
        <v>77</v>
      </c>
      <c r="S37" s="50" t="s">
        <v>80</v>
      </c>
      <c r="T37" s="17" t="s">
        <v>68</v>
      </c>
      <c r="U37" s="17" t="s">
        <v>69</v>
      </c>
    </row>
    <row r="38" spans="1:21" ht="18" customHeight="1" x14ac:dyDescent="0.15">
      <c r="B38" s="124" t="s">
        <v>154</v>
      </c>
      <c r="C38" s="125"/>
      <c r="D38" s="125"/>
      <c r="E38" s="125"/>
      <c r="F38" s="126"/>
      <c r="G38" s="18">
        <v>1</v>
      </c>
      <c r="H38" s="18" t="s">
        <v>140</v>
      </c>
      <c r="I38" s="18" t="s">
        <v>140</v>
      </c>
      <c r="J38" s="18" t="s">
        <v>140</v>
      </c>
      <c r="K38" s="124"/>
      <c r="L38" s="125"/>
      <c r="M38" s="125"/>
      <c r="N38" s="125"/>
      <c r="O38" s="125"/>
      <c r="P38" s="125"/>
      <c r="Q38" s="126"/>
      <c r="R38" s="18"/>
      <c r="S38" s="18"/>
      <c r="T38" s="18"/>
      <c r="U38" s="18"/>
    </row>
    <row r="39" spans="1:21" ht="18" customHeight="1" x14ac:dyDescent="0.15">
      <c r="B39" s="118"/>
      <c r="C39" s="119"/>
      <c r="D39" s="119"/>
      <c r="E39" s="119"/>
      <c r="F39" s="120"/>
      <c r="G39" s="19"/>
      <c r="H39" s="19"/>
      <c r="I39" s="19"/>
      <c r="J39" s="19"/>
      <c r="K39" s="118"/>
      <c r="L39" s="119"/>
      <c r="M39" s="119"/>
      <c r="N39" s="119"/>
      <c r="O39" s="119"/>
      <c r="P39" s="119"/>
      <c r="Q39" s="120"/>
      <c r="R39" s="19"/>
      <c r="S39" s="19"/>
      <c r="T39" s="19"/>
      <c r="U39" s="19"/>
    </row>
    <row r="40" spans="1:21" ht="18" customHeight="1" x14ac:dyDescent="0.15">
      <c r="B40" s="118"/>
      <c r="C40" s="119"/>
      <c r="D40" s="119"/>
      <c r="E40" s="119"/>
      <c r="F40" s="120"/>
      <c r="G40" s="19"/>
      <c r="H40" s="19"/>
      <c r="I40" s="19"/>
      <c r="J40" s="19"/>
      <c r="K40" s="118"/>
      <c r="L40" s="119"/>
      <c r="M40" s="119"/>
      <c r="N40" s="119"/>
      <c r="O40" s="119"/>
      <c r="P40" s="119"/>
      <c r="Q40" s="120"/>
      <c r="R40" s="19"/>
      <c r="S40" s="19"/>
      <c r="T40" s="19"/>
      <c r="U40" s="19"/>
    </row>
    <row r="41" spans="1:21" ht="18" customHeight="1" x14ac:dyDescent="0.15">
      <c r="B41" s="118"/>
      <c r="C41" s="119"/>
      <c r="D41" s="119"/>
      <c r="E41" s="119"/>
      <c r="F41" s="120"/>
      <c r="G41" s="19"/>
      <c r="H41" s="19"/>
      <c r="I41" s="19"/>
      <c r="J41" s="19"/>
      <c r="K41" s="118"/>
      <c r="L41" s="119"/>
      <c r="M41" s="119"/>
      <c r="N41" s="119"/>
      <c r="O41" s="119"/>
      <c r="P41" s="119"/>
      <c r="Q41" s="120"/>
      <c r="R41" s="19"/>
      <c r="S41" s="19"/>
      <c r="T41" s="19"/>
      <c r="U41" s="19"/>
    </row>
    <row r="42" spans="1:21" ht="18" customHeight="1" x14ac:dyDescent="0.15">
      <c r="B42" s="118"/>
      <c r="C42" s="119"/>
      <c r="D42" s="119"/>
      <c r="E42" s="119"/>
      <c r="F42" s="120"/>
      <c r="G42" s="19"/>
      <c r="H42" s="19"/>
      <c r="I42" s="19"/>
      <c r="J42" s="19"/>
      <c r="K42" s="118"/>
      <c r="L42" s="119"/>
      <c r="M42" s="119"/>
      <c r="N42" s="119"/>
      <c r="O42" s="119"/>
      <c r="P42" s="119"/>
      <c r="Q42" s="120"/>
      <c r="R42" s="19"/>
      <c r="S42" s="19"/>
      <c r="T42" s="19"/>
      <c r="U42" s="19"/>
    </row>
    <row r="43" spans="1:21" ht="18" customHeight="1" x14ac:dyDescent="0.15">
      <c r="B43" s="118"/>
      <c r="C43" s="119"/>
      <c r="D43" s="119"/>
      <c r="E43" s="119"/>
      <c r="F43" s="120"/>
      <c r="G43" s="19"/>
      <c r="H43" s="19"/>
      <c r="I43" s="19"/>
      <c r="J43" s="19"/>
      <c r="K43" s="118"/>
      <c r="L43" s="119"/>
      <c r="M43" s="119"/>
      <c r="N43" s="119"/>
      <c r="O43" s="119"/>
      <c r="P43" s="119"/>
      <c r="Q43" s="120"/>
      <c r="R43" s="19"/>
      <c r="S43" s="19"/>
      <c r="T43" s="19"/>
      <c r="U43" s="19"/>
    </row>
    <row r="44" spans="1:21" ht="18" customHeight="1" x14ac:dyDescent="0.15">
      <c r="B44" s="121"/>
      <c r="C44" s="122"/>
      <c r="D44" s="122"/>
      <c r="E44" s="122"/>
      <c r="F44" s="123"/>
      <c r="G44" s="20"/>
      <c r="H44" s="20"/>
      <c r="I44" s="21"/>
      <c r="J44" s="21"/>
      <c r="K44" s="121"/>
      <c r="L44" s="122"/>
      <c r="M44" s="122"/>
      <c r="N44" s="122"/>
      <c r="O44" s="122"/>
      <c r="P44" s="122"/>
      <c r="Q44" s="123"/>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7" t="s">
        <v>103</v>
      </c>
      <c r="B46" s="127"/>
      <c r="C46" s="127"/>
      <c r="D46" s="127"/>
      <c r="E46" s="127"/>
      <c r="F46" s="127"/>
      <c r="G46" s="127"/>
      <c r="H46" s="127"/>
      <c r="I46" s="127"/>
      <c r="J46" s="127"/>
      <c r="K46" s="127"/>
      <c r="L46" s="127"/>
      <c r="M46" s="127"/>
      <c r="N46" s="127"/>
      <c r="O46" s="127"/>
      <c r="P46" s="127"/>
      <c r="Q46" s="127"/>
      <c r="R46" s="127"/>
      <c r="S46" s="127"/>
      <c r="T46" s="127"/>
      <c r="U46" s="127"/>
    </row>
    <row r="47" spans="1:21" ht="18" customHeight="1" x14ac:dyDescent="0.15">
      <c r="A47" s="127"/>
      <c r="B47" s="127"/>
      <c r="C47" s="127"/>
      <c r="D47" s="127"/>
      <c r="E47" s="127"/>
      <c r="F47" s="127"/>
      <c r="G47" s="127"/>
      <c r="H47" s="127"/>
      <c r="I47" s="127"/>
      <c r="J47" s="127"/>
      <c r="K47" s="127"/>
      <c r="L47" s="127"/>
      <c r="M47" s="127"/>
      <c r="N47" s="127"/>
      <c r="O47" s="127"/>
      <c r="P47" s="127"/>
      <c r="Q47" s="127"/>
      <c r="R47" s="127"/>
      <c r="S47" s="127"/>
      <c r="T47" s="127"/>
      <c r="U47" s="127"/>
    </row>
    <row r="48" spans="1:21" ht="18" customHeight="1" x14ac:dyDescent="0.15">
      <c r="B48" s="109" t="s">
        <v>51</v>
      </c>
      <c r="C48" s="110"/>
      <c r="D48" s="110"/>
      <c r="E48" s="110"/>
      <c r="F48" s="111"/>
      <c r="G48" s="51" t="s">
        <v>77</v>
      </c>
      <c r="H48" s="50" t="s">
        <v>80</v>
      </c>
      <c r="I48" s="17" t="s">
        <v>70</v>
      </c>
      <c r="J48" s="17" t="s">
        <v>71</v>
      </c>
      <c r="K48" s="109" t="s">
        <v>51</v>
      </c>
      <c r="L48" s="110"/>
      <c r="M48" s="110"/>
      <c r="N48" s="110"/>
      <c r="O48" s="110"/>
      <c r="P48" s="110"/>
      <c r="Q48" s="111"/>
      <c r="R48" s="51" t="s">
        <v>77</v>
      </c>
      <c r="S48" s="50" t="s">
        <v>80</v>
      </c>
      <c r="T48" s="17" t="s">
        <v>70</v>
      </c>
      <c r="U48" s="17" t="s">
        <v>71</v>
      </c>
    </row>
    <row r="49" spans="1:21" ht="18" customHeight="1" x14ac:dyDescent="0.15">
      <c r="A49" s="3"/>
      <c r="B49" s="124" t="s">
        <v>152</v>
      </c>
      <c r="C49" s="125"/>
      <c r="D49" s="125"/>
      <c r="E49" s="125"/>
      <c r="F49" s="126"/>
      <c r="G49" s="18">
        <v>1</v>
      </c>
      <c r="H49" s="18" t="s">
        <v>140</v>
      </c>
      <c r="I49" s="18" t="s">
        <v>140</v>
      </c>
      <c r="J49" s="18" t="s">
        <v>140</v>
      </c>
      <c r="K49" s="124"/>
      <c r="L49" s="125"/>
      <c r="M49" s="125"/>
      <c r="N49" s="125"/>
      <c r="O49" s="125"/>
      <c r="P49" s="125"/>
      <c r="Q49" s="126"/>
      <c r="R49" s="18"/>
      <c r="S49" s="18"/>
      <c r="T49" s="18"/>
      <c r="U49" s="18"/>
    </row>
    <row r="50" spans="1:21" ht="18" customHeight="1" x14ac:dyDescent="0.15">
      <c r="A50" s="3"/>
      <c r="B50" s="118"/>
      <c r="C50" s="119"/>
      <c r="D50" s="119"/>
      <c r="E50" s="119"/>
      <c r="F50" s="120"/>
      <c r="G50" s="19"/>
      <c r="H50" s="19"/>
      <c r="I50" s="19"/>
      <c r="J50" s="19"/>
      <c r="K50" s="118"/>
      <c r="L50" s="119"/>
      <c r="M50" s="119"/>
      <c r="N50" s="119"/>
      <c r="O50" s="119"/>
      <c r="P50" s="119"/>
      <c r="Q50" s="120"/>
      <c r="R50" s="19"/>
      <c r="S50" s="19"/>
      <c r="T50" s="19"/>
      <c r="U50" s="19"/>
    </row>
    <row r="51" spans="1:21" ht="18" customHeight="1" x14ac:dyDescent="0.15">
      <c r="A51" s="3"/>
      <c r="B51" s="118"/>
      <c r="C51" s="119"/>
      <c r="D51" s="119"/>
      <c r="E51" s="119"/>
      <c r="F51" s="120"/>
      <c r="G51" s="19"/>
      <c r="H51" s="19"/>
      <c r="I51" s="19"/>
      <c r="J51" s="19"/>
      <c r="K51" s="118"/>
      <c r="L51" s="119"/>
      <c r="M51" s="119"/>
      <c r="N51" s="119"/>
      <c r="O51" s="119"/>
      <c r="P51" s="119"/>
      <c r="Q51" s="120"/>
      <c r="R51" s="19"/>
      <c r="S51" s="19"/>
      <c r="T51" s="19"/>
      <c r="U51" s="19"/>
    </row>
    <row r="52" spans="1:21" ht="18" customHeight="1" x14ac:dyDescent="0.15">
      <c r="A52" s="3"/>
      <c r="B52" s="118"/>
      <c r="C52" s="119"/>
      <c r="D52" s="119"/>
      <c r="E52" s="119"/>
      <c r="F52" s="120"/>
      <c r="G52" s="19"/>
      <c r="H52" s="19"/>
      <c r="I52" s="19"/>
      <c r="J52" s="19"/>
      <c r="K52" s="118"/>
      <c r="L52" s="119"/>
      <c r="M52" s="119"/>
      <c r="N52" s="119"/>
      <c r="O52" s="119"/>
      <c r="P52" s="119"/>
      <c r="Q52" s="120"/>
      <c r="R52" s="19"/>
      <c r="S52" s="19"/>
      <c r="T52" s="19"/>
      <c r="U52" s="19"/>
    </row>
    <row r="53" spans="1:21" ht="18" customHeight="1" x14ac:dyDescent="0.15">
      <c r="A53" s="3"/>
      <c r="B53" s="118"/>
      <c r="C53" s="119"/>
      <c r="D53" s="119"/>
      <c r="E53" s="119"/>
      <c r="F53" s="120"/>
      <c r="G53" s="19"/>
      <c r="H53" s="19"/>
      <c r="I53" s="19"/>
      <c r="J53" s="19"/>
      <c r="K53" s="118"/>
      <c r="L53" s="119"/>
      <c r="M53" s="119"/>
      <c r="N53" s="119"/>
      <c r="O53" s="119"/>
      <c r="P53" s="119"/>
      <c r="Q53" s="120"/>
      <c r="R53" s="19"/>
      <c r="S53" s="19"/>
      <c r="T53" s="19"/>
      <c r="U53" s="19"/>
    </row>
    <row r="54" spans="1:21" ht="18" customHeight="1" x14ac:dyDescent="0.15">
      <c r="A54" s="3"/>
      <c r="B54" s="118"/>
      <c r="C54" s="119"/>
      <c r="D54" s="119"/>
      <c r="E54" s="119"/>
      <c r="F54" s="120"/>
      <c r="G54" s="19"/>
      <c r="H54" s="19"/>
      <c r="I54" s="19"/>
      <c r="J54" s="19"/>
      <c r="K54" s="118"/>
      <c r="L54" s="119"/>
      <c r="M54" s="119"/>
      <c r="N54" s="119"/>
      <c r="O54" s="119"/>
      <c r="P54" s="119"/>
      <c r="Q54" s="120"/>
      <c r="R54" s="19"/>
      <c r="S54" s="19"/>
      <c r="T54" s="19"/>
      <c r="U54" s="19"/>
    </row>
    <row r="55" spans="1:21" ht="18" customHeight="1" x14ac:dyDescent="0.15">
      <c r="A55" s="3"/>
      <c r="B55" s="121"/>
      <c r="C55" s="122"/>
      <c r="D55" s="122"/>
      <c r="E55" s="122"/>
      <c r="F55" s="123"/>
      <c r="G55" s="20"/>
      <c r="H55" s="20"/>
      <c r="I55" s="21"/>
      <c r="J55" s="21"/>
      <c r="K55" s="121"/>
      <c r="L55" s="122"/>
      <c r="M55" s="122"/>
      <c r="N55" s="122"/>
      <c r="O55" s="122"/>
      <c r="P55" s="122"/>
      <c r="Q55" s="123"/>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27" t="s">
        <v>104</v>
      </c>
      <c r="B57" s="127"/>
      <c r="C57" s="127"/>
      <c r="D57" s="127"/>
      <c r="E57" s="127"/>
      <c r="F57" s="127"/>
      <c r="G57" s="127"/>
      <c r="H57" s="127"/>
      <c r="I57" s="127"/>
      <c r="J57" s="127"/>
      <c r="K57" s="127"/>
      <c r="L57" s="127"/>
      <c r="M57" s="127"/>
      <c r="N57" s="127"/>
      <c r="O57" s="127"/>
      <c r="P57" s="127"/>
      <c r="Q57" s="127"/>
      <c r="R57" s="127"/>
      <c r="S57" s="127"/>
      <c r="T57" s="127"/>
      <c r="U57" s="127"/>
    </row>
    <row r="58" spans="1:21" ht="18" customHeight="1" x14ac:dyDescent="0.15">
      <c r="A58" s="127"/>
      <c r="B58" s="127"/>
      <c r="C58" s="127"/>
      <c r="D58" s="127"/>
      <c r="E58" s="127"/>
      <c r="F58" s="127"/>
      <c r="G58" s="127"/>
      <c r="H58" s="127"/>
      <c r="I58" s="127"/>
      <c r="J58" s="127"/>
      <c r="K58" s="127"/>
      <c r="L58" s="127"/>
      <c r="M58" s="127"/>
      <c r="N58" s="127"/>
      <c r="O58" s="127"/>
      <c r="P58" s="127"/>
      <c r="Q58" s="127"/>
      <c r="R58" s="127"/>
      <c r="S58" s="127"/>
      <c r="T58" s="127"/>
      <c r="U58" s="127"/>
    </row>
    <row r="59" spans="1:21" ht="18" customHeight="1" x14ac:dyDescent="0.15">
      <c r="B59" s="109" t="s">
        <v>51</v>
      </c>
      <c r="C59" s="110"/>
      <c r="D59" s="110"/>
      <c r="E59" s="110"/>
      <c r="F59" s="111"/>
      <c r="G59" s="51" t="s">
        <v>77</v>
      </c>
      <c r="H59" s="50" t="s">
        <v>80</v>
      </c>
      <c r="I59" s="17" t="s">
        <v>56</v>
      </c>
      <c r="J59" s="17" t="s">
        <v>58</v>
      </c>
      <c r="K59" s="109" t="s">
        <v>51</v>
      </c>
      <c r="L59" s="110"/>
      <c r="M59" s="110"/>
      <c r="N59" s="110"/>
      <c r="O59" s="110"/>
      <c r="P59" s="110"/>
      <c r="Q59" s="111"/>
      <c r="R59" s="51" t="s">
        <v>77</v>
      </c>
      <c r="S59" s="50" t="s">
        <v>80</v>
      </c>
      <c r="T59" s="17" t="s">
        <v>56</v>
      </c>
      <c r="U59" s="17" t="s">
        <v>58</v>
      </c>
    </row>
    <row r="60" spans="1:21" ht="18" customHeight="1" x14ac:dyDescent="0.15">
      <c r="A60" s="3"/>
      <c r="B60" s="124" t="s">
        <v>154</v>
      </c>
      <c r="C60" s="125"/>
      <c r="D60" s="125"/>
      <c r="E60" s="125"/>
      <c r="F60" s="126"/>
      <c r="G60" s="18">
        <v>1</v>
      </c>
      <c r="H60" s="18" t="s">
        <v>140</v>
      </c>
      <c r="I60" s="18" t="s">
        <v>140</v>
      </c>
      <c r="J60" s="18" t="s">
        <v>140</v>
      </c>
      <c r="K60" s="124"/>
      <c r="L60" s="125"/>
      <c r="M60" s="125"/>
      <c r="N60" s="125"/>
      <c r="O60" s="125"/>
      <c r="P60" s="125"/>
      <c r="Q60" s="126"/>
      <c r="R60" s="18"/>
      <c r="S60" s="18"/>
      <c r="T60" s="18"/>
      <c r="U60" s="18"/>
    </row>
    <row r="61" spans="1:21" ht="18" customHeight="1" x14ac:dyDescent="0.15">
      <c r="A61" s="3"/>
      <c r="B61" s="118"/>
      <c r="C61" s="119"/>
      <c r="D61" s="119"/>
      <c r="E61" s="119"/>
      <c r="F61" s="120"/>
      <c r="G61" s="19"/>
      <c r="H61" s="19"/>
      <c r="I61" s="19"/>
      <c r="J61" s="19"/>
      <c r="K61" s="118"/>
      <c r="L61" s="119"/>
      <c r="M61" s="119"/>
      <c r="N61" s="119"/>
      <c r="O61" s="119"/>
      <c r="P61" s="119"/>
      <c r="Q61" s="120"/>
      <c r="R61" s="19"/>
      <c r="S61" s="19"/>
      <c r="T61" s="19"/>
      <c r="U61" s="19"/>
    </row>
    <row r="62" spans="1:21" ht="18" customHeight="1" x14ac:dyDescent="0.15">
      <c r="A62" s="3"/>
      <c r="B62" s="118"/>
      <c r="C62" s="119"/>
      <c r="D62" s="119"/>
      <c r="E62" s="119"/>
      <c r="F62" s="120"/>
      <c r="G62" s="19"/>
      <c r="H62" s="19"/>
      <c r="I62" s="19"/>
      <c r="J62" s="19"/>
      <c r="K62" s="118"/>
      <c r="L62" s="119"/>
      <c r="M62" s="119"/>
      <c r="N62" s="119"/>
      <c r="O62" s="119"/>
      <c r="P62" s="119"/>
      <c r="Q62" s="120"/>
      <c r="R62" s="19"/>
      <c r="S62" s="19"/>
      <c r="T62" s="19"/>
      <c r="U62" s="19"/>
    </row>
    <row r="63" spans="1:21" ht="18" customHeight="1" x14ac:dyDescent="0.15">
      <c r="A63" s="3"/>
      <c r="B63" s="118"/>
      <c r="C63" s="119"/>
      <c r="D63" s="119"/>
      <c r="E63" s="119"/>
      <c r="F63" s="120"/>
      <c r="G63" s="19"/>
      <c r="H63" s="19"/>
      <c r="I63" s="19"/>
      <c r="J63" s="19"/>
      <c r="K63" s="118"/>
      <c r="L63" s="119"/>
      <c r="M63" s="119"/>
      <c r="N63" s="119"/>
      <c r="O63" s="119"/>
      <c r="P63" s="119"/>
      <c r="Q63" s="120"/>
      <c r="R63" s="19"/>
      <c r="S63" s="19"/>
      <c r="T63" s="19"/>
      <c r="U63" s="19"/>
    </row>
    <row r="64" spans="1:21" ht="18" customHeight="1" x14ac:dyDescent="0.15">
      <c r="A64" s="3"/>
      <c r="B64" s="118"/>
      <c r="C64" s="119"/>
      <c r="D64" s="119"/>
      <c r="E64" s="119"/>
      <c r="F64" s="120"/>
      <c r="G64" s="19"/>
      <c r="H64" s="19"/>
      <c r="I64" s="19"/>
      <c r="J64" s="19"/>
      <c r="K64" s="118"/>
      <c r="L64" s="119"/>
      <c r="M64" s="119"/>
      <c r="N64" s="119"/>
      <c r="O64" s="119"/>
      <c r="P64" s="119"/>
      <c r="Q64" s="120"/>
      <c r="R64" s="19"/>
      <c r="S64" s="19"/>
      <c r="T64" s="19"/>
      <c r="U64" s="19"/>
    </row>
    <row r="65" spans="1:21" ht="18" customHeight="1" x14ac:dyDescent="0.15">
      <c r="A65" s="3"/>
      <c r="B65" s="118"/>
      <c r="C65" s="119"/>
      <c r="D65" s="119"/>
      <c r="E65" s="119"/>
      <c r="F65" s="120"/>
      <c r="G65" s="19"/>
      <c r="H65" s="19"/>
      <c r="I65" s="19"/>
      <c r="J65" s="19"/>
      <c r="K65" s="118"/>
      <c r="L65" s="119"/>
      <c r="M65" s="119"/>
      <c r="N65" s="119"/>
      <c r="O65" s="119"/>
      <c r="P65" s="119"/>
      <c r="Q65" s="120"/>
      <c r="R65" s="19"/>
      <c r="S65" s="19"/>
      <c r="T65" s="19"/>
      <c r="U65" s="19"/>
    </row>
    <row r="66" spans="1:21" ht="18" customHeight="1" x14ac:dyDescent="0.15">
      <c r="A66" s="3"/>
      <c r="B66" s="121"/>
      <c r="C66" s="122"/>
      <c r="D66" s="122"/>
      <c r="E66" s="122"/>
      <c r="F66" s="123"/>
      <c r="G66" s="20"/>
      <c r="H66" s="20"/>
      <c r="I66" s="21"/>
      <c r="J66" s="21"/>
      <c r="K66" s="121"/>
      <c r="L66" s="122"/>
      <c r="M66" s="122"/>
      <c r="N66" s="122"/>
      <c r="O66" s="122"/>
      <c r="P66" s="122"/>
      <c r="Q66" s="123"/>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27" t="s">
        <v>105</v>
      </c>
      <c r="B68" s="127"/>
      <c r="C68" s="127"/>
      <c r="D68" s="127"/>
      <c r="E68" s="127"/>
      <c r="F68" s="127"/>
      <c r="G68" s="127"/>
      <c r="H68" s="127"/>
      <c r="I68" s="127"/>
      <c r="J68" s="127"/>
      <c r="K68" s="127"/>
      <c r="L68" s="127"/>
      <c r="M68" s="127"/>
      <c r="N68" s="127"/>
      <c r="O68" s="127"/>
      <c r="P68" s="127"/>
      <c r="Q68" s="127"/>
      <c r="R68" s="127"/>
      <c r="S68" s="127"/>
      <c r="T68" s="127"/>
      <c r="U68" s="127"/>
    </row>
    <row r="69" spans="1:21" ht="18" customHeight="1" x14ac:dyDescent="0.15">
      <c r="A69" s="127"/>
      <c r="B69" s="127"/>
      <c r="C69" s="127"/>
      <c r="D69" s="127"/>
      <c r="E69" s="127"/>
      <c r="F69" s="127"/>
      <c r="G69" s="127"/>
      <c r="H69" s="127"/>
      <c r="I69" s="127"/>
      <c r="J69" s="127"/>
      <c r="K69" s="127"/>
      <c r="L69" s="127"/>
      <c r="M69" s="127"/>
      <c r="N69" s="127"/>
      <c r="O69" s="127"/>
      <c r="P69" s="127"/>
      <c r="Q69" s="127"/>
      <c r="R69" s="127"/>
      <c r="S69" s="127"/>
      <c r="T69" s="127"/>
      <c r="U69" s="127"/>
    </row>
    <row r="70" spans="1:21" ht="18" customHeight="1" x14ac:dyDescent="0.15">
      <c r="B70" s="109" t="s">
        <v>51</v>
      </c>
      <c r="C70" s="110"/>
      <c r="D70" s="110"/>
      <c r="E70" s="110"/>
      <c r="F70" s="51" t="s">
        <v>77</v>
      </c>
      <c r="G70" s="50" t="s">
        <v>80</v>
      </c>
      <c r="H70" s="17" t="s">
        <v>92</v>
      </c>
      <c r="I70" s="17" t="s">
        <v>72</v>
      </c>
      <c r="J70" s="17" t="s">
        <v>73</v>
      </c>
      <c r="K70" s="109" t="s">
        <v>51</v>
      </c>
      <c r="L70" s="110"/>
      <c r="M70" s="110"/>
      <c r="N70" s="110"/>
      <c r="O70" s="110"/>
      <c r="P70" s="111"/>
      <c r="Q70" s="51" t="s">
        <v>77</v>
      </c>
      <c r="R70" s="50" t="s">
        <v>80</v>
      </c>
      <c r="S70" s="17" t="s">
        <v>92</v>
      </c>
      <c r="T70" s="17" t="s">
        <v>72</v>
      </c>
      <c r="U70" s="17" t="s">
        <v>73</v>
      </c>
    </row>
    <row r="71" spans="1:21" ht="18" customHeight="1" x14ac:dyDescent="0.15">
      <c r="A71" s="3"/>
      <c r="B71" s="124" t="s">
        <v>154</v>
      </c>
      <c r="C71" s="125"/>
      <c r="D71" s="125"/>
      <c r="E71" s="125"/>
      <c r="F71" s="18">
        <v>1</v>
      </c>
      <c r="G71" s="18" t="s">
        <v>140</v>
      </c>
      <c r="H71" s="18" t="s">
        <v>140</v>
      </c>
      <c r="I71" s="18" t="s">
        <v>140</v>
      </c>
      <c r="J71" s="18" t="s">
        <v>140</v>
      </c>
      <c r="K71" s="124"/>
      <c r="L71" s="125"/>
      <c r="M71" s="125"/>
      <c r="N71" s="125"/>
      <c r="O71" s="125"/>
      <c r="P71" s="126"/>
      <c r="Q71" s="18"/>
      <c r="R71" s="18"/>
      <c r="S71" s="18"/>
      <c r="T71" s="18"/>
      <c r="U71" s="18"/>
    </row>
    <row r="72" spans="1:21" ht="18" customHeight="1" x14ac:dyDescent="0.15">
      <c r="A72" s="3"/>
      <c r="B72" s="118"/>
      <c r="C72" s="119"/>
      <c r="D72" s="119"/>
      <c r="E72" s="119"/>
      <c r="F72" s="19"/>
      <c r="G72" s="19"/>
      <c r="H72" s="19"/>
      <c r="I72" s="19"/>
      <c r="J72" s="19"/>
      <c r="K72" s="118"/>
      <c r="L72" s="119"/>
      <c r="M72" s="119"/>
      <c r="N72" s="119"/>
      <c r="O72" s="119"/>
      <c r="P72" s="120"/>
      <c r="Q72" s="19"/>
      <c r="R72" s="19"/>
      <c r="S72" s="19"/>
      <c r="T72" s="19"/>
      <c r="U72" s="19"/>
    </row>
    <row r="73" spans="1:21" ht="18" customHeight="1" x14ac:dyDescent="0.15">
      <c r="A73" s="3"/>
      <c r="B73" s="118"/>
      <c r="C73" s="119"/>
      <c r="D73" s="119"/>
      <c r="E73" s="119"/>
      <c r="F73" s="19"/>
      <c r="G73" s="19"/>
      <c r="H73" s="19"/>
      <c r="I73" s="19"/>
      <c r="J73" s="19"/>
      <c r="K73" s="118"/>
      <c r="L73" s="119"/>
      <c r="M73" s="119"/>
      <c r="N73" s="119"/>
      <c r="O73" s="119"/>
      <c r="P73" s="120"/>
      <c r="Q73" s="19"/>
      <c r="R73" s="19"/>
      <c r="S73" s="19"/>
      <c r="T73" s="19"/>
      <c r="U73" s="19"/>
    </row>
    <row r="74" spans="1:21" ht="18" customHeight="1" x14ac:dyDescent="0.15">
      <c r="A74" s="3"/>
      <c r="B74" s="118"/>
      <c r="C74" s="119"/>
      <c r="D74" s="119"/>
      <c r="E74" s="119"/>
      <c r="F74" s="19"/>
      <c r="G74" s="19"/>
      <c r="H74" s="19"/>
      <c r="I74" s="19"/>
      <c r="J74" s="19"/>
      <c r="K74" s="118"/>
      <c r="L74" s="119"/>
      <c r="M74" s="119"/>
      <c r="N74" s="119"/>
      <c r="O74" s="119"/>
      <c r="P74" s="120"/>
      <c r="Q74" s="19"/>
      <c r="R74" s="19"/>
      <c r="S74" s="19"/>
      <c r="T74" s="19"/>
      <c r="U74" s="19"/>
    </row>
    <row r="75" spans="1:21" ht="18" customHeight="1" x14ac:dyDescent="0.15">
      <c r="A75" s="3"/>
      <c r="B75" s="118"/>
      <c r="C75" s="119"/>
      <c r="D75" s="119"/>
      <c r="E75" s="119"/>
      <c r="F75" s="19"/>
      <c r="G75" s="19"/>
      <c r="H75" s="19"/>
      <c r="I75" s="19"/>
      <c r="J75" s="19"/>
      <c r="K75" s="118"/>
      <c r="L75" s="119"/>
      <c r="M75" s="119"/>
      <c r="N75" s="119"/>
      <c r="O75" s="119"/>
      <c r="P75" s="120"/>
      <c r="Q75" s="19"/>
      <c r="R75" s="19"/>
      <c r="S75" s="19"/>
      <c r="T75" s="19"/>
      <c r="U75" s="19"/>
    </row>
    <row r="76" spans="1:21" ht="18" customHeight="1" x14ac:dyDescent="0.15">
      <c r="A76" s="3"/>
      <c r="B76" s="118"/>
      <c r="C76" s="119"/>
      <c r="D76" s="119"/>
      <c r="E76" s="119"/>
      <c r="F76" s="19"/>
      <c r="G76" s="19"/>
      <c r="H76" s="19"/>
      <c r="I76" s="19"/>
      <c r="J76" s="19"/>
      <c r="K76" s="118"/>
      <c r="L76" s="119"/>
      <c r="M76" s="119"/>
      <c r="N76" s="119"/>
      <c r="O76" s="119"/>
      <c r="P76" s="120"/>
      <c r="Q76" s="19"/>
      <c r="R76" s="19"/>
      <c r="S76" s="19"/>
      <c r="T76" s="19"/>
      <c r="U76" s="19"/>
    </row>
    <row r="77" spans="1:21" ht="18" customHeight="1" x14ac:dyDescent="0.15">
      <c r="A77" s="3"/>
      <c r="B77" s="121"/>
      <c r="C77" s="122"/>
      <c r="D77" s="122"/>
      <c r="E77" s="122"/>
      <c r="F77" s="20"/>
      <c r="G77" s="20"/>
      <c r="H77" s="21"/>
      <c r="I77" s="21"/>
      <c r="J77" s="21"/>
      <c r="K77" s="121"/>
      <c r="L77" s="122"/>
      <c r="M77" s="122"/>
      <c r="N77" s="122"/>
      <c r="O77" s="122"/>
      <c r="P77" s="123"/>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106</v>
      </c>
      <c r="I79" s="3"/>
      <c r="J79" s="3"/>
      <c r="K79" s="3"/>
      <c r="L79" s="3"/>
      <c r="M79" s="3"/>
      <c r="N79" s="3"/>
      <c r="O79" s="3"/>
      <c r="P79" s="3"/>
      <c r="Q79" s="3"/>
      <c r="R79" s="3"/>
      <c r="S79" s="3"/>
      <c r="T79" s="3"/>
      <c r="U79" s="3"/>
    </row>
    <row r="80" spans="1:21" ht="18" customHeight="1" x14ac:dyDescent="0.15">
      <c r="B80" s="109" t="s">
        <v>51</v>
      </c>
      <c r="C80" s="110"/>
      <c r="D80" s="110"/>
      <c r="E80" s="110"/>
      <c r="F80" s="111"/>
      <c r="G80" s="109" t="s">
        <v>78</v>
      </c>
      <c r="H80" s="110"/>
      <c r="I80" s="110"/>
      <c r="J80" s="111"/>
      <c r="K80" s="157" t="s">
        <v>51</v>
      </c>
      <c r="L80" s="158"/>
      <c r="M80" s="158"/>
      <c r="N80" s="158"/>
      <c r="O80" s="158"/>
      <c r="P80" s="158"/>
      <c r="Q80" s="159"/>
      <c r="R80" s="109" t="s">
        <v>78</v>
      </c>
      <c r="S80" s="110"/>
      <c r="T80" s="110"/>
      <c r="U80" s="111"/>
    </row>
    <row r="81" spans="1:21" ht="18" customHeight="1" x14ac:dyDescent="0.15">
      <c r="A81" s="3"/>
      <c r="B81" s="124"/>
      <c r="C81" s="125"/>
      <c r="D81" s="125"/>
      <c r="E81" s="125"/>
      <c r="F81" s="126"/>
      <c r="G81" s="160"/>
      <c r="H81" s="161"/>
      <c r="I81" s="161"/>
      <c r="J81" s="162"/>
      <c r="K81" s="124"/>
      <c r="L81" s="125"/>
      <c r="M81" s="125"/>
      <c r="N81" s="125"/>
      <c r="O81" s="125"/>
      <c r="P81" s="125"/>
      <c r="Q81" s="126"/>
      <c r="R81" s="160"/>
      <c r="S81" s="161"/>
      <c r="T81" s="161"/>
      <c r="U81" s="162"/>
    </row>
    <row r="82" spans="1:21" ht="18" customHeight="1" x14ac:dyDescent="0.15">
      <c r="A82" s="3"/>
      <c r="B82" s="118"/>
      <c r="C82" s="119"/>
      <c r="D82" s="119"/>
      <c r="E82" s="119"/>
      <c r="F82" s="120"/>
      <c r="G82" s="149"/>
      <c r="H82" s="150"/>
      <c r="I82" s="150"/>
      <c r="J82" s="151"/>
      <c r="K82" s="118"/>
      <c r="L82" s="119"/>
      <c r="M82" s="119"/>
      <c r="N82" s="119"/>
      <c r="O82" s="119"/>
      <c r="P82" s="119"/>
      <c r="Q82" s="120"/>
      <c r="R82" s="149"/>
      <c r="S82" s="150"/>
      <c r="T82" s="150"/>
      <c r="U82" s="151"/>
    </row>
    <row r="83" spans="1:21" ht="18" customHeight="1" x14ac:dyDescent="0.15">
      <c r="A83" s="3"/>
      <c r="B83" s="118"/>
      <c r="C83" s="119"/>
      <c r="D83" s="119"/>
      <c r="E83" s="119"/>
      <c r="F83" s="120"/>
      <c r="G83" s="149"/>
      <c r="H83" s="150"/>
      <c r="I83" s="150"/>
      <c r="J83" s="151"/>
      <c r="K83" s="118"/>
      <c r="L83" s="119"/>
      <c r="M83" s="119"/>
      <c r="N83" s="119"/>
      <c r="O83" s="119"/>
      <c r="P83" s="119"/>
      <c r="Q83" s="120"/>
      <c r="R83" s="149"/>
      <c r="S83" s="150"/>
      <c r="T83" s="150"/>
      <c r="U83" s="151"/>
    </row>
    <row r="84" spans="1:21" ht="18" customHeight="1" x14ac:dyDescent="0.15">
      <c r="A84" s="3"/>
      <c r="B84" s="118"/>
      <c r="C84" s="119"/>
      <c r="D84" s="119"/>
      <c r="E84" s="119"/>
      <c r="F84" s="120"/>
      <c r="G84" s="149"/>
      <c r="H84" s="150"/>
      <c r="I84" s="150"/>
      <c r="J84" s="151"/>
      <c r="K84" s="118"/>
      <c r="L84" s="119"/>
      <c r="M84" s="119"/>
      <c r="N84" s="119"/>
      <c r="O84" s="119"/>
      <c r="P84" s="119"/>
      <c r="Q84" s="120"/>
      <c r="R84" s="149"/>
      <c r="S84" s="150"/>
      <c r="T84" s="150"/>
      <c r="U84" s="151"/>
    </row>
    <row r="85" spans="1:21" ht="18" customHeight="1" x14ac:dyDescent="0.15">
      <c r="A85" s="3"/>
      <c r="B85" s="118"/>
      <c r="C85" s="119"/>
      <c r="D85" s="119"/>
      <c r="E85" s="119"/>
      <c r="F85" s="120"/>
      <c r="G85" s="149"/>
      <c r="H85" s="150"/>
      <c r="I85" s="150"/>
      <c r="J85" s="151"/>
      <c r="K85" s="118"/>
      <c r="L85" s="119"/>
      <c r="M85" s="119"/>
      <c r="N85" s="119"/>
      <c r="O85" s="119"/>
      <c r="P85" s="119"/>
      <c r="Q85" s="120"/>
      <c r="R85" s="149"/>
      <c r="S85" s="150"/>
      <c r="T85" s="150"/>
      <c r="U85" s="151"/>
    </row>
    <row r="86" spans="1:21" ht="18" customHeight="1" x14ac:dyDescent="0.15">
      <c r="A86" s="3"/>
      <c r="B86" s="118"/>
      <c r="C86" s="119"/>
      <c r="D86" s="119"/>
      <c r="E86" s="119"/>
      <c r="F86" s="120"/>
      <c r="G86" s="149"/>
      <c r="H86" s="150"/>
      <c r="I86" s="150"/>
      <c r="J86" s="151"/>
      <c r="K86" s="118"/>
      <c r="L86" s="119"/>
      <c r="M86" s="119"/>
      <c r="N86" s="119"/>
      <c r="O86" s="119"/>
      <c r="P86" s="119"/>
      <c r="Q86" s="120"/>
      <c r="R86" s="149"/>
      <c r="S86" s="150"/>
      <c r="T86" s="150"/>
      <c r="U86" s="151"/>
    </row>
    <row r="87" spans="1:21" ht="18" customHeight="1" x14ac:dyDescent="0.15">
      <c r="A87" s="3"/>
      <c r="B87" s="121"/>
      <c r="C87" s="122"/>
      <c r="D87" s="122"/>
      <c r="E87" s="122"/>
      <c r="F87" s="123"/>
      <c r="G87" s="146"/>
      <c r="H87" s="147"/>
      <c r="I87" s="147"/>
      <c r="J87" s="148"/>
      <c r="K87" s="121"/>
      <c r="L87" s="122"/>
      <c r="M87" s="122"/>
      <c r="N87" s="122"/>
      <c r="O87" s="122"/>
      <c r="P87" s="122"/>
      <c r="Q87" s="123"/>
      <c r="R87" s="146"/>
      <c r="S87" s="147"/>
      <c r="T87" s="147"/>
      <c r="U87" s="148"/>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107</v>
      </c>
    </row>
    <row r="90" spans="1:21" ht="18.75" customHeight="1" x14ac:dyDescent="0.15">
      <c r="B90" s="155" t="s">
        <v>52</v>
      </c>
      <c r="C90" s="156"/>
      <c r="D90" s="109" t="s">
        <v>53</v>
      </c>
      <c r="E90" s="110"/>
      <c r="F90" s="110"/>
      <c r="G90" s="110"/>
      <c r="H90" s="110"/>
      <c r="I90" s="110"/>
      <c r="J90" s="110"/>
      <c r="K90" s="110"/>
      <c r="L90" s="110"/>
      <c r="M90" s="110"/>
      <c r="N90" s="110"/>
      <c r="O90" s="110"/>
      <c r="P90" s="110"/>
      <c r="Q90" s="110"/>
      <c r="R90" s="110"/>
      <c r="S90" s="110"/>
      <c r="T90" s="110"/>
      <c r="U90" s="111"/>
    </row>
    <row r="91" spans="1:21" ht="97.5" customHeight="1" x14ac:dyDescent="0.15">
      <c r="B91" s="152" t="s">
        <v>59</v>
      </c>
      <c r="C91" s="23" t="s">
        <v>54</v>
      </c>
      <c r="D91" s="97" t="s">
        <v>181</v>
      </c>
      <c r="E91" s="98"/>
      <c r="F91" s="98"/>
      <c r="G91" s="98"/>
      <c r="H91" s="98"/>
      <c r="I91" s="98"/>
      <c r="J91" s="98"/>
      <c r="K91" s="98"/>
      <c r="L91" s="98"/>
      <c r="M91" s="98"/>
      <c r="N91" s="98"/>
      <c r="O91" s="98"/>
      <c r="P91" s="98"/>
      <c r="Q91" s="98"/>
      <c r="R91" s="98"/>
      <c r="S91" s="98"/>
      <c r="T91" s="98"/>
      <c r="U91" s="99"/>
    </row>
    <row r="92" spans="1:21" ht="97.5" customHeight="1" x14ac:dyDescent="0.15">
      <c r="B92" s="153"/>
      <c r="C92" s="24" t="s">
        <v>74</v>
      </c>
      <c r="D92" s="94" t="s">
        <v>182</v>
      </c>
      <c r="E92" s="95"/>
      <c r="F92" s="95"/>
      <c r="G92" s="95"/>
      <c r="H92" s="95"/>
      <c r="I92" s="95"/>
      <c r="J92" s="95"/>
      <c r="K92" s="95"/>
      <c r="L92" s="95"/>
      <c r="M92" s="95"/>
      <c r="N92" s="95"/>
      <c r="O92" s="95"/>
      <c r="P92" s="95"/>
      <c r="Q92" s="95"/>
      <c r="R92" s="95"/>
      <c r="S92" s="95"/>
      <c r="T92" s="95"/>
      <c r="U92" s="96"/>
    </row>
    <row r="93" spans="1:21" ht="97.5" customHeight="1" x14ac:dyDescent="0.15">
      <c r="B93" s="152" t="s">
        <v>60</v>
      </c>
      <c r="C93" s="25" t="s">
        <v>68</v>
      </c>
      <c r="D93" s="97" t="s">
        <v>183</v>
      </c>
      <c r="E93" s="98"/>
      <c r="F93" s="98"/>
      <c r="G93" s="98"/>
      <c r="H93" s="98"/>
      <c r="I93" s="98"/>
      <c r="J93" s="98"/>
      <c r="K93" s="98"/>
      <c r="L93" s="98"/>
      <c r="M93" s="98"/>
      <c r="N93" s="98"/>
      <c r="O93" s="98"/>
      <c r="P93" s="98"/>
      <c r="Q93" s="98"/>
      <c r="R93" s="98"/>
      <c r="S93" s="98"/>
      <c r="T93" s="98"/>
      <c r="U93" s="99"/>
    </row>
    <row r="94" spans="1:21" ht="97.5" customHeight="1" x14ac:dyDescent="0.15">
      <c r="B94" s="154"/>
      <c r="C94" s="26" t="s">
        <v>69</v>
      </c>
      <c r="D94" s="94" t="s">
        <v>184</v>
      </c>
      <c r="E94" s="95"/>
      <c r="F94" s="95"/>
      <c r="G94" s="95"/>
      <c r="H94" s="95"/>
      <c r="I94" s="95"/>
      <c r="J94" s="95"/>
      <c r="K94" s="95"/>
      <c r="L94" s="95"/>
      <c r="M94" s="95"/>
      <c r="N94" s="95"/>
      <c r="O94" s="95"/>
      <c r="P94" s="95"/>
      <c r="Q94" s="95"/>
      <c r="R94" s="95"/>
      <c r="S94" s="95"/>
      <c r="T94" s="95"/>
      <c r="U94" s="96"/>
    </row>
    <row r="95" spans="1:21" ht="127.9" customHeight="1" x14ac:dyDescent="0.15">
      <c r="B95" s="152" t="s">
        <v>61</v>
      </c>
      <c r="C95" s="25" t="s">
        <v>70</v>
      </c>
      <c r="D95" s="97" t="s">
        <v>185</v>
      </c>
      <c r="E95" s="98"/>
      <c r="F95" s="98"/>
      <c r="G95" s="98"/>
      <c r="H95" s="98"/>
      <c r="I95" s="98"/>
      <c r="J95" s="98"/>
      <c r="K95" s="98"/>
      <c r="L95" s="98"/>
      <c r="M95" s="98"/>
      <c r="N95" s="98"/>
      <c r="O95" s="98"/>
      <c r="P95" s="98"/>
      <c r="Q95" s="98"/>
      <c r="R95" s="98"/>
      <c r="S95" s="98"/>
      <c r="T95" s="98"/>
      <c r="U95" s="99"/>
    </row>
    <row r="96" spans="1:21" ht="97.5" customHeight="1" x14ac:dyDescent="0.15">
      <c r="B96" s="154"/>
      <c r="C96" s="27" t="s">
        <v>71</v>
      </c>
      <c r="D96" s="94" t="s">
        <v>186</v>
      </c>
      <c r="E96" s="95"/>
      <c r="F96" s="95"/>
      <c r="G96" s="95"/>
      <c r="H96" s="95"/>
      <c r="I96" s="95"/>
      <c r="J96" s="95"/>
      <c r="K96" s="95"/>
      <c r="L96" s="95"/>
      <c r="M96" s="95"/>
      <c r="N96" s="95"/>
      <c r="O96" s="95"/>
      <c r="P96" s="95"/>
      <c r="Q96" s="95"/>
      <c r="R96" s="95"/>
      <c r="S96" s="95"/>
      <c r="T96" s="95"/>
      <c r="U96" s="96"/>
    </row>
    <row r="97" spans="1:33" ht="97.5" customHeight="1" x14ac:dyDescent="0.15">
      <c r="B97" s="152" t="s">
        <v>75</v>
      </c>
      <c r="C97" s="23" t="s">
        <v>56</v>
      </c>
      <c r="D97" s="97" t="s">
        <v>187</v>
      </c>
      <c r="E97" s="98"/>
      <c r="F97" s="98"/>
      <c r="G97" s="98"/>
      <c r="H97" s="98"/>
      <c r="I97" s="98"/>
      <c r="J97" s="98"/>
      <c r="K97" s="98"/>
      <c r="L97" s="98"/>
      <c r="M97" s="98"/>
      <c r="N97" s="98"/>
      <c r="O97" s="98"/>
      <c r="P97" s="98"/>
      <c r="Q97" s="98"/>
      <c r="R97" s="98"/>
      <c r="S97" s="98"/>
      <c r="T97" s="98"/>
      <c r="U97" s="99"/>
    </row>
    <row r="98" spans="1:33" ht="97.5" customHeight="1" x14ac:dyDescent="0.15">
      <c r="B98" s="154"/>
      <c r="C98" s="26" t="s">
        <v>58</v>
      </c>
      <c r="D98" s="94" t="s">
        <v>188</v>
      </c>
      <c r="E98" s="95"/>
      <c r="F98" s="95"/>
      <c r="G98" s="95"/>
      <c r="H98" s="95"/>
      <c r="I98" s="95"/>
      <c r="J98" s="95"/>
      <c r="K98" s="95"/>
      <c r="L98" s="95"/>
      <c r="M98" s="95"/>
      <c r="N98" s="95"/>
      <c r="O98" s="95"/>
      <c r="P98" s="95"/>
      <c r="Q98" s="95"/>
      <c r="R98" s="95"/>
      <c r="S98" s="95"/>
      <c r="T98" s="95"/>
      <c r="U98" s="96"/>
    </row>
    <row r="99" spans="1:33" ht="111" customHeight="1" x14ac:dyDescent="0.15">
      <c r="B99" s="152" t="s">
        <v>76</v>
      </c>
      <c r="C99" s="25" t="s">
        <v>55</v>
      </c>
      <c r="D99" s="97" t="s">
        <v>189</v>
      </c>
      <c r="E99" s="98"/>
      <c r="F99" s="98"/>
      <c r="G99" s="98"/>
      <c r="H99" s="98"/>
      <c r="I99" s="98"/>
      <c r="J99" s="98"/>
      <c r="K99" s="98"/>
      <c r="L99" s="98"/>
      <c r="M99" s="98"/>
      <c r="N99" s="98"/>
      <c r="O99" s="98"/>
      <c r="P99" s="98"/>
      <c r="Q99" s="98"/>
      <c r="R99" s="98"/>
      <c r="S99" s="98"/>
      <c r="T99" s="98"/>
      <c r="U99" s="99"/>
    </row>
    <row r="100" spans="1:33" ht="97.5" customHeight="1" x14ac:dyDescent="0.15">
      <c r="B100" s="153"/>
      <c r="C100" s="28" t="s">
        <v>72</v>
      </c>
      <c r="D100" s="100" t="s">
        <v>190</v>
      </c>
      <c r="E100" s="101"/>
      <c r="F100" s="101"/>
      <c r="G100" s="101"/>
      <c r="H100" s="101"/>
      <c r="I100" s="101"/>
      <c r="J100" s="101"/>
      <c r="K100" s="101"/>
      <c r="L100" s="101"/>
      <c r="M100" s="101"/>
      <c r="N100" s="101"/>
      <c r="O100" s="101"/>
      <c r="P100" s="101"/>
      <c r="Q100" s="101"/>
      <c r="R100" s="101"/>
      <c r="S100" s="101"/>
      <c r="T100" s="101"/>
      <c r="U100" s="102"/>
    </row>
    <row r="101" spans="1:33" ht="97.5" customHeight="1" x14ac:dyDescent="0.15">
      <c r="B101" s="154"/>
      <c r="C101" s="27" t="s">
        <v>73</v>
      </c>
      <c r="D101" s="94" t="s">
        <v>191</v>
      </c>
      <c r="E101" s="95"/>
      <c r="F101" s="95"/>
      <c r="G101" s="95"/>
      <c r="H101" s="95"/>
      <c r="I101" s="95"/>
      <c r="J101" s="95"/>
      <c r="K101" s="95"/>
      <c r="L101" s="95"/>
      <c r="M101" s="95"/>
      <c r="N101" s="95"/>
      <c r="O101" s="95"/>
      <c r="P101" s="95"/>
      <c r="Q101" s="95"/>
      <c r="R101" s="95"/>
      <c r="S101" s="95"/>
      <c r="T101" s="95"/>
      <c r="U101" s="96"/>
    </row>
    <row r="102" spans="1:33" ht="6" customHeight="1" x14ac:dyDescent="0.15"/>
    <row r="103" spans="1:33" ht="18.75" customHeight="1" x14ac:dyDescent="0.15">
      <c r="A103" s="1" t="s">
        <v>108</v>
      </c>
    </row>
    <row r="104" spans="1:33" ht="81.75" customHeight="1" x14ac:dyDescent="0.15">
      <c r="B104" s="143" t="s">
        <v>142</v>
      </c>
      <c r="C104" s="144"/>
      <c r="D104" s="144"/>
      <c r="E104" s="144"/>
      <c r="F104" s="144"/>
      <c r="G104" s="144"/>
      <c r="H104" s="144"/>
      <c r="I104" s="144"/>
      <c r="J104" s="144"/>
      <c r="K104" s="144"/>
      <c r="L104" s="144"/>
      <c r="M104" s="144"/>
      <c r="N104" s="144"/>
      <c r="O104" s="144"/>
      <c r="P104" s="144"/>
      <c r="Q104" s="144"/>
      <c r="R104" s="144"/>
      <c r="S104" s="144"/>
      <c r="T104" s="144"/>
      <c r="U104" s="145"/>
    </row>
    <row r="106" spans="1:33" ht="18.75" customHeight="1" x14ac:dyDescent="0.15">
      <c r="A106" s="75" t="s">
        <v>124</v>
      </c>
      <c r="B106" s="76"/>
      <c r="C106" s="76"/>
      <c r="D106" s="76"/>
      <c r="E106" s="76"/>
      <c r="F106" s="76"/>
      <c r="G106" s="76"/>
      <c r="H106" s="76"/>
      <c r="I106" s="76"/>
      <c r="J106" s="76"/>
      <c r="K106" s="76"/>
      <c r="L106" s="76"/>
      <c r="M106" s="76"/>
      <c r="N106" s="76"/>
      <c r="O106" s="76"/>
      <c r="P106" s="76"/>
      <c r="Q106" s="76"/>
      <c r="R106" s="76"/>
      <c r="S106" s="76"/>
      <c r="T106" s="76"/>
      <c r="U106" s="76"/>
    </row>
    <row r="107" spans="1:33" ht="18.75" customHeight="1" x14ac:dyDescent="0.15">
      <c r="A107" s="75" t="s">
        <v>126</v>
      </c>
      <c r="B107" s="75"/>
      <c r="C107" s="75"/>
      <c r="D107" s="75"/>
      <c r="E107" s="75"/>
      <c r="F107" s="75"/>
      <c r="G107" s="75"/>
      <c r="H107" s="75"/>
      <c r="I107" s="75"/>
      <c r="J107" s="75"/>
      <c r="K107" s="75"/>
      <c r="L107" s="75"/>
      <c r="M107" s="75"/>
      <c r="N107" s="75"/>
      <c r="O107" s="75"/>
      <c r="P107" s="75"/>
      <c r="Q107" s="75"/>
      <c r="R107" s="75"/>
      <c r="S107" s="75"/>
      <c r="T107" s="75"/>
      <c r="U107" s="75"/>
      <c r="V107" s="2"/>
      <c r="W107" s="2"/>
      <c r="X107" s="2"/>
      <c r="Y107" s="2"/>
      <c r="Z107" s="2"/>
      <c r="AA107" s="2"/>
      <c r="AB107" s="2"/>
      <c r="AC107" s="2"/>
      <c r="AD107" s="2"/>
      <c r="AE107" s="2"/>
      <c r="AF107" s="2"/>
      <c r="AG107" s="2"/>
    </row>
    <row r="108" spans="1:33" ht="18.75" customHeight="1" x14ac:dyDescent="0.15">
      <c r="A108" s="75"/>
      <c r="B108" s="93" t="s">
        <v>130</v>
      </c>
      <c r="C108" s="93"/>
      <c r="D108" s="93"/>
      <c r="E108" s="93"/>
      <c r="F108" s="93"/>
      <c r="G108" s="93"/>
      <c r="H108" s="93"/>
      <c r="I108" s="93"/>
      <c r="J108" s="93"/>
      <c r="K108" s="93"/>
      <c r="L108" s="93"/>
      <c r="M108" s="93"/>
      <c r="N108" s="93"/>
      <c r="O108" s="93"/>
      <c r="P108" s="93"/>
      <c r="Q108" s="93"/>
      <c r="R108" s="93"/>
      <c r="S108" s="93"/>
      <c r="T108" s="93"/>
      <c r="U108" s="93"/>
      <c r="V108" s="71"/>
      <c r="W108" s="71"/>
      <c r="X108" s="71"/>
      <c r="Y108" s="71"/>
      <c r="Z108" s="71"/>
      <c r="AA108" s="71"/>
      <c r="AB108" s="71"/>
      <c r="AC108" s="71"/>
      <c r="AD108" s="71"/>
      <c r="AE108" s="71"/>
      <c r="AF108" s="71"/>
      <c r="AG108" s="71"/>
    </row>
    <row r="109" spans="1:33" ht="37.35" customHeight="1" x14ac:dyDescent="0.15">
      <c r="A109" s="75"/>
      <c r="B109" s="93"/>
      <c r="C109" s="93"/>
      <c r="D109" s="93"/>
      <c r="E109" s="93"/>
      <c r="F109" s="93"/>
      <c r="G109" s="93"/>
      <c r="H109" s="93"/>
      <c r="I109" s="93"/>
      <c r="J109" s="93"/>
      <c r="K109" s="93"/>
      <c r="L109" s="93"/>
      <c r="M109" s="93"/>
      <c r="N109" s="93"/>
      <c r="O109" s="93"/>
      <c r="P109" s="93"/>
      <c r="Q109" s="93"/>
      <c r="R109" s="93"/>
      <c r="S109" s="93"/>
      <c r="T109" s="93"/>
      <c r="U109" s="93"/>
      <c r="V109" s="71"/>
      <c r="W109" s="71"/>
      <c r="X109" s="71"/>
      <c r="Y109" s="71"/>
      <c r="Z109" s="71"/>
      <c r="AA109" s="71"/>
      <c r="AB109" s="71"/>
      <c r="AC109" s="71"/>
      <c r="AD109" s="71"/>
      <c r="AE109" s="71"/>
      <c r="AF109" s="71"/>
      <c r="AG109" s="71"/>
    </row>
    <row r="110" spans="1:33" ht="18.75" customHeight="1" x14ac:dyDescent="0.15">
      <c r="A110" s="75"/>
      <c r="B110" s="163" t="s">
        <v>125</v>
      </c>
      <c r="C110" s="163"/>
      <c r="D110" s="163"/>
      <c r="E110" s="163"/>
      <c r="F110" s="163"/>
      <c r="G110" s="163"/>
      <c r="H110" s="163"/>
      <c r="I110" s="163"/>
      <c r="J110" s="163"/>
      <c r="K110" s="163"/>
      <c r="L110" s="163"/>
      <c r="M110" s="163"/>
      <c r="N110" s="163"/>
      <c r="O110" s="163"/>
      <c r="P110" s="163"/>
      <c r="Q110" s="163"/>
      <c r="R110" s="163"/>
      <c r="S110" s="163"/>
      <c r="T110" s="163"/>
      <c r="U110" s="163"/>
      <c r="V110" s="71"/>
      <c r="W110" s="71"/>
      <c r="X110" s="71"/>
      <c r="Y110" s="71"/>
      <c r="Z110" s="71"/>
      <c r="AA110" s="71"/>
      <c r="AB110" s="71"/>
      <c r="AC110" s="71"/>
      <c r="AD110" s="71"/>
      <c r="AE110" s="71"/>
      <c r="AF110" s="71"/>
      <c r="AG110" s="71"/>
    </row>
    <row r="111" spans="1:33" ht="18.75" customHeight="1" x14ac:dyDescent="0.15">
      <c r="A111" s="75"/>
      <c r="B111" s="164" t="s">
        <v>53</v>
      </c>
      <c r="C111" s="164"/>
      <c r="D111" s="164"/>
      <c r="E111" s="164"/>
      <c r="F111" s="164"/>
      <c r="G111" s="164"/>
      <c r="H111" s="164"/>
      <c r="I111" s="164"/>
      <c r="J111" s="164"/>
      <c r="K111" s="164"/>
      <c r="L111" s="164"/>
      <c r="M111" s="164"/>
      <c r="N111" s="164"/>
      <c r="O111" s="164"/>
      <c r="P111" s="164"/>
      <c r="Q111" s="164"/>
      <c r="R111" s="164"/>
      <c r="S111" s="164"/>
      <c r="T111" s="164"/>
      <c r="U111" s="164"/>
      <c r="V111" s="70"/>
      <c r="W111" s="70"/>
      <c r="X111" s="70"/>
      <c r="Y111" s="70"/>
      <c r="Z111" s="70"/>
      <c r="AA111" s="70"/>
      <c r="AB111" s="70"/>
      <c r="AC111" s="70"/>
      <c r="AD111" s="70"/>
      <c r="AE111" s="70"/>
      <c r="AF111" s="70"/>
      <c r="AG111" s="70"/>
    </row>
    <row r="112" spans="1:33" ht="132" customHeight="1" x14ac:dyDescent="0.15">
      <c r="A112" s="75"/>
      <c r="B112" s="165" t="s">
        <v>169</v>
      </c>
      <c r="C112" s="165"/>
      <c r="D112" s="165"/>
      <c r="E112" s="165"/>
      <c r="F112" s="165"/>
      <c r="G112" s="165"/>
      <c r="H112" s="165"/>
      <c r="I112" s="165"/>
      <c r="J112" s="165"/>
      <c r="K112" s="165"/>
      <c r="L112" s="165"/>
      <c r="M112" s="165"/>
      <c r="N112" s="165"/>
      <c r="O112" s="165"/>
      <c r="P112" s="165"/>
      <c r="Q112" s="165"/>
      <c r="R112" s="165"/>
      <c r="S112" s="165"/>
      <c r="T112" s="165"/>
      <c r="U112" s="165"/>
      <c r="V112" s="72"/>
      <c r="W112" s="72"/>
      <c r="X112" s="72"/>
      <c r="Y112" s="72"/>
      <c r="Z112" s="72"/>
      <c r="AA112" s="72"/>
      <c r="AB112" s="72"/>
      <c r="AC112" s="72"/>
      <c r="AD112" s="72"/>
      <c r="AE112" s="72"/>
      <c r="AF112" s="72"/>
      <c r="AG112" s="72"/>
    </row>
    <row r="114" ht="18" customHeight="1" x14ac:dyDescent="0.15"/>
  </sheetData>
  <mergeCells count="148">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95:B96"/>
    <mergeCell ref="D95:U95"/>
    <mergeCell ref="D96:U96"/>
    <mergeCell ref="B97:B98"/>
    <mergeCell ref="D97:U97"/>
    <mergeCell ref="D98:U98"/>
    <mergeCell ref="B91:B92"/>
    <mergeCell ref="D91:U91"/>
    <mergeCell ref="D92:U92"/>
    <mergeCell ref="B93:B94"/>
    <mergeCell ref="D93:U93"/>
    <mergeCell ref="D94:U94"/>
    <mergeCell ref="B110:U110"/>
    <mergeCell ref="B111:U111"/>
    <mergeCell ref="B112:U112"/>
    <mergeCell ref="B99:B101"/>
    <mergeCell ref="D99:U99"/>
    <mergeCell ref="D100:U100"/>
    <mergeCell ref="D101:U101"/>
    <mergeCell ref="B104:U104"/>
    <mergeCell ref="B108:U10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N22:U22" xr:uid="{D3796542-73DC-4C93-AA3D-8B03FAD7DFEB}">
      <formula1>$X$16:$X$18</formula1>
    </dataValidation>
    <dataValidation type="list" allowBlank="1" showInputMessage="1" showErrorMessage="1" sqref="G81:G88 R81:R88 H81:J82 H85:J88 S85:U88 S81:U82" xr:uid="{A8487FEF-0092-4E1C-9A88-4E89DABBB419}">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9EE4AABF-24B1-4D68-B4D1-08306C78013E}">
      <formula1>"学部・学科によって、修了要件は相違する,学部・学科によって、修了要件は相違しない"</formula1>
    </dataValidation>
    <dataValidation type="list" allowBlank="1" showInputMessage="1" showErrorMessage="1" sqref="U34 U45 E34:H34 E45:H45" xr:uid="{C73EC8E0-6AB3-4036-AB59-7E7832A13648}">
      <formula1>"全学開講,一部開講"</formula1>
    </dataValidation>
    <dataValidation type="list" allowBlank="1" showInputMessage="1" showErrorMessage="1" sqref="H27:J33 S27:U33 H38:J44 S38:U44 H49:J55 S49:U55 H60:J66 S60:U66 G71:J77 R71:U77" xr:uid="{68EB78B6-D08D-4774-B043-86C1EAEE3F1A}">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6"/>
      <c r="B1" s="76"/>
      <c r="C1" s="76"/>
      <c r="D1" s="76"/>
      <c r="E1" s="76"/>
      <c r="F1" s="76"/>
      <c r="G1" s="76"/>
      <c r="H1" s="76"/>
      <c r="I1" s="76"/>
      <c r="J1" s="76"/>
      <c r="K1" s="76"/>
      <c r="L1" s="76"/>
      <c r="M1" s="76"/>
      <c r="N1" s="76"/>
      <c r="O1" s="76"/>
      <c r="P1" s="76"/>
      <c r="Q1" s="76"/>
      <c r="R1" s="76"/>
      <c r="S1" s="76" t="s">
        <v>97</v>
      </c>
    </row>
    <row r="2" spans="1:21" ht="18" customHeight="1" x14ac:dyDescent="0.15">
      <c r="A2" s="76"/>
      <c r="B2" s="76"/>
      <c r="C2" s="76"/>
      <c r="D2" s="76"/>
      <c r="E2" s="76"/>
      <c r="F2" s="76"/>
      <c r="G2" s="76"/>
      <c r="H2" s="76"/>
      <c r="I2" s="76"/>
      <c r="J2" s="76"/>
      <c r="K2" s="76"/>
      <c r="L2" s="76"/>
      <c r="M2" s="76"/>
      <c r="N2" s="76"/>
      <c r="O2" s="76"/>
      <c r="P2" s="76"/>
      <c r="Q2" s="167" t="str">
        <f>'様式１-１　プログラムを構成する授業科目'!C2</f>
        <v>上武大学</v>
      </c>
      <c r="R2" s="167"/>
      <c r="S2" s="167"/>
    </row>
    <row r="3" spans="1:21" ht="18" customHeight="1" x14ac:dyDescent="0.15">
      <c r="A3" s="132" t="s">
        <v>46</v>
      </c>
      <c r="B3" s="132"/>
      <c r="C3" s="132"/>
      <c r="D3" s="132"/>
      <c r="E3" s="132"/>
      <c r="F3" s="132"/>
      <c r="G3" s="132"/>
      <c r="H3" s="132"/>
      <c r="I3" s="132"/>
      <c r="J3" s="132"/>
      <c r="K3" s="132"/>
      <c r="L3" s="132"/>
      <c r="M3" s="132"/>
      <c r="N3" s="132"/>
      <c r="O3" s="132"/>
      <c r="P3" s="132"/>
      <c r="Q3" s="132"/>
      <c r="R3" s="132"/>
      <c r="S3" s="132"/>
    </row>
    <row r="4" spans="1:21" ht="7.5" customHeight="1" x14ac:dyDescent="0.15">
      <c r="A4" s="81"/>
      <c r="B4" s="81"/>
      <c r="C4" s="81"/>
      <c r="D4" s="81"/>
      <c r="E4" s="81"/>
      <c r="F4" s="81"/>
      <c r="G4" s="81"/>
      <c r="H4" s="81"/>
      <c r="I4" s="81"/>
      <c r="J4" s="81"/>
      <c r="K4" s="81"/>
      <c r="L4" s="81"/>
      <c r="M4" s="81"/>
      <c r="N4" s="81"/>
      <c r="O4" s="81"/>
      <c r="P4" s="81"/>
      <c r="Q4" s="81"/>
      <c r="R4" s="81"/>
      <c r="S4" s="81"/>
    </row>
    <row r="5" spans="1:21" ht="18" customHeight="1" x14ac:dyDescent="0.15">
      <c r="A5" s="76" t="s">
        <v>79</v>
      </c>
      <c r="B5" s="76"/>
      <c r="C5" s="168" t="s">
        <v>196</v>
      </c>
      <c r="D5" s="169"/>
      <c r="E5" s="81" t="s">
        <v>50</v>
      </c>
      <c r="F5" s="81"/>
      <c r="G5" s="81"/>
      <c r="H5" s="81"/>
      <c r="I5" s="81"/>
      <c r="J5" s="81"/>
      <c r="K5" s="81"/>
      <c r="L5" s="81"/>
      <c r="M5" s="81"/>
      <c r="N5" s="81"/>
      <c r="O5" s="81"/>
      <c r="P5" s="81"/>
      <c r="Q5" s="81"/>
      <c r="R5" s="79"/>
      <c r="S5" s="79"/>
    </row>
    <row r="6" spans="1:21" ht="7.35" customHeight="1" x14ac:dyDescent="0.15">
      <c r="A6" s="76"/>
      <c r="B6" s="76"/>
      <c r="C6" s="86"/>
      <c r="D6" s="86"/>
      <c r="E6" s="81"/>
      <c r="F6" s="81"/>
      <c r="G6" s="81"/>
      <c r="H6" s="81"/>
      <c r="I6" s="81"/>
      <c r="J6" s="81"/>
      <c r="K6" s="81"/>
      <c r="L6" s="81"/>
      <c r="M6" s="81"/>
      <c r="N6" s="81"/>
      <c r="O6" s="81"/>
      <c r="P6" s="81"/>
      <c r="Q6" s="81"/>
      <c r="R6" s="79"/>
      <c r="S6" s="79"/>
    </row>
    <row r="7" spans="1:21" ht="18" customHeight="1" x14ac:dyDescent="0.15">
      <c r="A7" s="76" t="s">
        <v>117</v>
      </c>
      <c r="B7" s="76"/>
      <c r="C7" s="86"/>
      <c r="D7" s="86"/>
      <c r="E7" s="81" t="s">
        <v>118</v>
      </c>
      <c r="F7" s="84">
        <v>1524</v>
      </c>
      <c r="G7" s="82" t="s">
        <v>119</v>
      </c>
      <c r="H7" s="81" t="s">
        <v>120</v>
      </c>
      <c r="I7" s="84">
        <v>529</v>
      </c>
      <c r="J7" s="82" t="s">
        <v>119</v>
      </c>
      <c r="K7" s="77" t="s">
        <v>121</v>
      </c>
      <c r="L7" s="81" t="s">
        <v>122</v>
      </c>
      <c r="M7" s="84">
        <f>F7+I7</f>
        <v>2053</v>
      </c>
      <c r="N7" s="81" t="s">
        <v>1</v>
      </c>
      <c r="O7" s="82" t="s">
        <v>123</v>
      </c>
      <c r="P7" s="81"/>
      <c r="Q7" s="81"/>
      <c r="R7" s="79"/>
      <c r="S7" s="79"/>
    </row>
    <row r="8" spans="1:21" ht="6" customHeight="1" x14ac:dyDescent="0.15">
      <c r="A8" s="81"/>
      <c r="B8" s="81"/>
      <c r="C8" s="81"/>
      <c r="D8" s="81"/>
      <c r="E8" s="81"/>
      <c r="F8" s="81"/>
      <c r="G8" s="81"/>
      <c r="H8" s="81"/>
      <c r="I8" s="81"/>
      <c r="J8" s="81"/>
      <c r="K8" s="81"/>
      <c r="L8" s="81"/>
      <c r="M8" s="81"/>
      <c r="N8" s="81"/>
      <c r="O8" s="81"/>
      <c r="P8" s="81"/>
      <c r="Q8" s="81"/>
      <c r="R8" s="81"/>
      <c r="S8" s="81"/>
    </row>
    <row r="9" spans="1:21" ht="18" customHeight="1" x14ac:dyDescent="0.15">
      <c r="A9" s="76" t="s">
        <v>134</v>
      </c>
      <c r="B9" s="81"/>
      <c r="C9" s="81"/>
      <c r="D9" s="81"/>
      <c r="E9" s="81"/>
      <c r="F9" s="81"/>
      <c r="G9" s="81"/>
      <c r="H9" s="81"/>
      <c r="I9" s="81"/>
      <c r="J9" s="81"/>
      <c r="K9" s="81"/>
      <c r="L9" s="81"/>
      <c r="M9" s="81"/>
      <c r="N9" s="81"/>
      <c r="O9" s="81"/>
      <c r="P9" s="81"/>
      <c r="Q9" s="81"/>
      <c r="R9" s="81"/>
      <c r="S9" s="81"/>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70" t="s">
        <v>43</v>
      </c>
      <c r="C11" s="180" t="s">
        <v>82</v>
      </c>
      <c r="D11" s="172" t="s">
        <v>45</v>
      </c>
      <c r="E11" s="174" t="s">
        <v>38</v>
      </c>
      <c r="F11" s="166" t="s">
        <v>111</v>
      </c>
      <c r="G11" s="166"/>
      <c r="H11" s="166" t="s">
        <v>81</v>
      </c>
      <c r="I11" s="166"/>
      <c r="J11" s="166" t="s">
        <v>47</v>
      </c>
      <c r="K11" s="166"/>
      <c r="L11" s="166" t="s">
        <v>48</v>
      </c>
      <c r="M11" s="166"/>
      <c r="N11" s="166" t="s">
        <v>91</v>
      </c>
      <c r="O11" s="166"/>
      <c r="P11" s="166" t="s">
        <v>49</v>
      </c>
      <c r="Q11" s="166"/>
      <c r="R11" s="176" t="s">
        <v>34</v>
      </c>
      <c r="S11" s="178" t="s">
        <v>31</v>
      </c>
      <c r="U11" s="2"/>
    </row>
    <row r="12" spans="1:21" ht="17.100000000000001" customHeight="1" x14ac:dyDescent="0.15">
      <c r="B12" s="171"/>
      <c r="C12" s="181"/>
      <c r="D12" s="173"/>
      <c r="E12" s="175"/>
      <c r="F12" s="64" t="s">
        <v>90</v>
      </c>
      <c r="G12" s="64" t="s">
        <v>28</v>
      </c>
      <c r="H12" s="64" t="s">
        <v>90</v>
      </c>
      <c r="I12" s="64" t="s">
        <v>28</v>
      </c>
      <c r="J12" s="64" t="s">
        <v>90</v>
      </c>
      <c r="K12" s="64" t="s">
        <v>28</v>
      </c>
      <c r="L12" s="64" t="s">
        <v>90</v>
      </c>
      <c r="M12" s="64" t="s">
        <v>28</v>
      </c>
      <c r="N12" s="64" t="s">
        <v>90</v>
      </c>
      <c r="O12" s="64" t="s">
        <v>28</v>
      </c>
      <c r="P12" s="64" t="s">
        <v>90</v>
      </c>
      <c r="Q12" s="65" t="s">
        <v>28</v>
      </c>
      <c r="R12" s="177"/>
      <c r="S12" s="179"/>
      <c r="U12" s="2"/>
    </row>
    <row r="13" spans="1:21" ht="18" customHeight="1" x14ac:dyDescent="0.15">
      <c r="A13" s="6"/>
      <c r="B13" s="66" t="s">
        <v>143</v>
      </c>
      <c r="C13" s="87">
        <v>1737</v>
      </c>
      <c r="D13" s="88">
        <v>410</v>
      </c>
      <c r="E13" s="89">
        <v>1640</v>
      </c>
      <c r="F13" s="54">
        <v>347</v>
      </c>
      <c r="G13" s="54">
        <v>322</v>
      </c>
      <c r="H13" s="54"/>
      <c r="I13" s="54"/>
      <c r="J13" s="54"/>
      <c r="K13" s="54"/>
      <c r="L13" s="54"/>
      <c r="M13" s="54"/>
      <c r="N13" s="54"/>
      <c r="O13" s="54"/>
      <c r="P13" s="54"/>
      <c r="Q13" s="67"/>
      <c r="R13" s="53">
        <f t="shared" ref="R13:R32" si="0">F13+H13+J13+L13+N13+P13</f>
        <v>347</v>
      </c>
      <c r="S13" s="68">
        <f t="shared" ref="S13:S33" si="1">R13/E13</f>
        <v>0.21158536585365853</v>
      </c>
    </row>
    <row r="14" spans="1:21" ht="18" customHeight="1" x14ac:dyDescent="0.15">
      <c r="A14" s="6"/>
      <c r="B14" s="11" t="s">
        <v>144</v>
      </c>
      <c r="C14" s="90">
        <v>316</v>
      </c>
      <c r="D14" s="91">
        <v>100</v>
      </c>
      <c r="E14" s="92">
        <v>400</v>
      </c>
      <c r="F14" s="58">
        <v>64</v>
      </c>
      <c r="G14" s="58">
        <v>64</v>
      </c>
      <c r="H14" s="58"/>
      <c r="I14" s="58"/>
      <c r="J14" s="58"/>
      <c r="K14" s="58"/>
      <c r="L14" s="58"/>
      <c r="M14" s="58"/>
      <c r="N14" s="58"/>
      <c r="O14" s="58"/>
      <c r="P14" s="58"/>
      <c r="Q14" s="55"/>
      <c r="R14" s="56">
        <f t="shared" si="0"/>
        <v>64</v>
      </c>
      <c r="S14" s="16">
        <f t="shared" si="1"/>
        <v>0.16</v>
      </c>
    </row>
    <row r="15" spans="1:21" ht="18" customHeight="1" x14ac:dyDescent="0.15">
      <c r="A15" s="6"/>
      <c r="B15" s="11"/>
      <c r="C15" s="55"/>
      <c r="D15" s="56"/>
      <c r="E15" s="57"/>
      <c r="F15" s="58"/>
      <c r="G15" s="58"/>
      <c r="H15" s="58"/>
      <c r="I15" s="58"/>
      <c r="J15" s="58"/>
      <c r="K15" s="58"/>
      <c r="L15" s="58"/>
      <c r="M15" s="58"/>
      <c r="N15" s="58"/>
      <c r="O15" s="58"/>
      <c r="P15" s="58"/>
      <c r="Q15" s="55"/>
      <c r="R15" s="56">
        <f t="shared" si="0"/>
        <v>0</v>
      </c>
      <c r="S15" s="8" t="e">
        <f t="shared" si="1"/>
        <v>#DIV/0!</v>
      </c>
    </row>
    <row r="16" spans="1:21" ht="18" customHeight="1" x14ac:dyDescent="0.15">
      <c r="A16" s="6"/>
      <c r="B16" s="11"/>
      <c r="C16" s="55"/>
      <c r="D16" s="56"/>
      <c r="E16" s="57"/>
      <c r="F16" s="58"/>
      <c r="G16" s="58"/>
      <c r="H16" s="58"/>
      <c r="I16" s="58"/>
      <c r="J16" s="58"/>
      <c r="K16" s="58"/>
      <c r="L16" s="58"/>
      <c r="M16" s="58"/>
      <c r="N16" s="58"/>
      <c r="O16" s="58"/>
      <c r="P16" s="58"/>
      <c r="Q16" s="55"/>
      <c r="R16" s="56">
        <f t="shared" si="0"/>
        <v>0</v>
      </c>
      <c r="S16" s="8" t="e">
        <f t="shared" si="1"/>
        <v>#DIV/0!</v>
      </c>
    </row>
    <row r="17" spans="1:19" ht="18" customHeight="1" x14ac:dyDescent="0.15">
      <c r="A17" s="6"/>
      <c r="B17" s="11"/>
      <c r="C17" s="55"/>
      <c r="D17" s="56"/>
      <c r="E17" s="57"/>
      <c r="F17" s="58"/>
      <c r="G17" s="58"/>
      <c r="H17" s="58"/>
      <c r="I17" s="58"/>
      <c r="J17" s="58"/>
      <c r="K17" s="58"/>
      <c r="L17" s="58"/>
      <c r="M17" s="58"/>
      <c r="N17" s="58"/>
      <c r="O17" s="58"/>
      <c r="P17" s="58"/>
      <c r="Q17" s="55"/>
      <c r="R17" s="56">
        <f t="shared" si="0"/>
        <v>0</v>
      </c>
      <c r="S17" s="8" t="e">
        <f t="shared" si="1"/>
        <v>#DIV/0!</v>
      </c>
    </row>
    <row r="18" spans="1:19" ht="18" customHeight="1" x14ac:dyDescent="0.15">
      <c r="A18" s="6"/>
      <c r="B18" s="11"/>
      <c r="C18" s="55"/>
      <c r="D18" s="56"/>
      <c r="E18" s="57"/>
      <c r="F18" s="58"/>
      <c r="G18" s="58"/>
      <c r="H18" s="58"/>
      <c r="I18" s="58"/>
      <c r="J18" s="58"/>
      <c r="K18" s="58"/>
      <c r="L18" s="58"/>
      <c r="M18" s="58"/>
      <c r="N18" s="58"/>
      <c r="O18" s="58"/>
      <c r="P18" s="58"/>
      <c r="Q18" s="55"/>
      <c r="R18" s="56">
        <f t="shared" si="0"/>
        <v>0</v>
      </c>
      <c r="S18" s="8" t="e">
        <f t="shared" si="1"/>
        <v>#DIV/0!</v>
      </c>
    </row>
    <row r="19" spans="1:19" ht="18" customHeight="1" x14ac:dyDescent="0.15">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x14ac:dyDescent="0.15">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x14ac:dyDescent="0.15">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x14ac:dyDescent="0.15">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x14ac:dyDescent="0.15">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x14ac:dyDescent="0.15">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x14ac:dyDescent="0.15">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x14ac:dyDescent="0.15">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x14ac:dyDescent="0.15">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x14ac:dyDescent="0.15">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x14ac:dyDescent="0.15">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x14ac:dyDescent="0.15">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x14ac:dyDescent="0.15">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x14ac:dyDescent="0.2">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x14ac:dyDescent="0.15">
      <c r="B33" s="13" t="s">
        <v>32</v>
      </c>
      <c r="C33" s="61">
        <f t="shared" ref="C33" si="2">SUM(C13:C32)</f>
        <v>2053</v>
      </c>
      <c r="D33" s="62">
        <f t="shared" ref="D33:R33" si="3">SUM(D13:D32)</f>
        <v>510</v>
      </c>
      <c r="E33" s="63">
        <f t="shared" si="3"/>
        <v>2040</v>
      </c>
      <c r="F33" s="63">
        <f t="shared" si="3"/>
        <v>411</v>
      </c>
      <c r="G33" s="63">
        <f t="shared" ref="G33:H33" si="4">SUM(G13:G32)</f>
        <v>386</v>
      </c>
      <c r="H33" s="63">
        <f t="shared" si="4"/>
        <v>0</v>
      </c>
      <c r="I33" s="63">
        <f t="shared" ref="I33:J33" si="5">SUM(I13:I32)</f>
        <v>0</v>
      </c>
      <c r="J33" s="63">
        <f t="shared" si="5"/>
        <v>0</v>
      </c>
      <c r="K33" s="63">
        <f t="shared" ref="K33:O33" si="6">SUM(K13:K32)</f>
        <v>0</v>
      </c>
      <c r="L33" s="63">
        <f t="shared" si="6"/>
        <v>0</v>
      </c>
      <c r="M33" s="63">
        <f t="shared" si="6"/>
        <v>0</v>
      </c>
      <c r="N33" s="63">
        <f t="shared" si="6"/>
        <v>0</v>
      </c>
      <c r="O33" s="63">
        <f t="shared" si="6"/>
        <v>0</v>
      </c>
      <c r="P33" s="63">
        <f t="shared" ref="P33:Q33" si="7">SUM(P13:P32)</f>
        <v>0</v>
      </c>
      <c r="Q33" s="61">
        <f t="shared" si="7"/>
        <v>0</v>
      </c>
      <c r="R33" s="62">
        <f t="shared" si="3"/>
        <v>411</v>
      </c>
      <c r="S33" s="9">
        <f t="shared" si="1"/>
        <v>0.20147058823529412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1" sqref="B1"/>
    </sheetView>
  </sheetViews>
  <sheetFormatPr defaultColWidth="11.375" defaultRowHeight="18.75" customHeight="1" x14ac:dyDescent="0.15"/>
  <cols>
    <col min="1" max="1" width="2.75" style="32"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2" t="s">
        <v>62</v>
      </c>
      <c r="I1" s="30" t="s">
        <v>96</v>
      </c>
    </row>
    <row r="2" spans="1:9" ht="18.75" customHeight="1" x14ac:dyDescent="0.15">
      <c r="G2" s="30" t="s">
        <v>98</v>
      </c>
      <c r="H2" s="109" t="str">
        <f>'様式１-１　プログラムを構成する授業科目'!C2</f>
        <v>上武大学</v>
      </c>
      <c r="I2" s="111"/>
    </row>
    <row r="3" spans="1:9" ht="18.75" customHeight="1" x14ac:dyDescent="0.15">
      <c r="G3" s="30"/>
      <c r="H3" s="10"/>
      <c r="I3" s="10"/>
    </row>
    <row r="4" spans="1:9" ht="18.600000000000001" customHeight="1" x14ac:dyDescent="0.15">
      <c r="A4" s="210" t="s">
        <v>35</v>
      </c>
      <c r="B4" s="210"/>
      <c r="C4" s="210"/>
      <c r="D4" s="210"/>
      <c r="E4" s="210"/>
      <c r="F4" s="210"/>
      <c r="G4" s="210"/>
      <c r="H4" s="210"/>
      <c r="I4" s="210"/>
    </row>
    <row r="5" spans="1:9" ht="13.35" customHeight="1" x14ac:dyDescent="0.15">
      <c r="B5" s="3"/>
      <c r="C5" s="3"/>
      <c r="D5" s="3"/>
      <c r="E5" s="3"/>
      <c r="F5" s="3"/>
      <c r="G5" s="3"/>
      <c r="H5" s="3"/>
      <c r="I5" s="3"/>
    </row>
    <row r="6" spans="1:9" ht="18" customHeight="1" x14ac:dyDescent="0.15">
      <c r="A6" s="1" t="s">
        <v>0</v>
      </c>
      <c r="B6" s="10" t="s">
        <v>85</v>
      </c>
      <c r="C6" s="233" t="s">
        <v>86</v>
      </c>
      <c r="D6" s="233"/>
      <c r="E6" s="29">
        <v>79</v>
      </c>
      <c r="F6" s="3" t="s">
        <v>1</v>
      </c>
      <c r="G6" s="3" t="s">
        <v>2</v>
      </c>
      <c r="H6" s="29">
        <v>43</v>
      </c>
      <c r="I6" s="10" t="s">
        <v>1</v>
      </c>
    </row>
    <row r="7" spans="1:9" ht="12" customHeight="1" x14ac:dyDescent="0.15">
      <c r="C7" s="2"/>
      <c r="D7" s="2"/>
      <c r="E7" s="2"/>
      <c r="F7" s="2"/>
      <c r="G7" s="2"/>
      <c r="H7" s="2"/>
      <c r="I7" s="33"/>
    </row>
    <row r="8" spans="1:9" ht="18" customHeight="1" x14ac:dyDescent="0.15">
      <c r="A8" s="1" t="s">
        <v>3</v>
      </c>
      <c r="B8" s="10" t="s">
        <v>87</v>
      </c>
      <c r="E8" s="3"/>
      <c r="F8" s="3"/>
      <c r="G8" s="3"/>
      <c r="H8" s="29">
        <v>3</v>
      </c>
      <c r="I8" s="10" t="s">
        <v>1</v>
      </c>
    </row>
    <row r="9" spans="1:9" ht="9" customHeight="1" x14ac:dyDescent="0.15">
      <c r="B9" s="3"/>
      <c r="C9" s="3"/>
      <c r="D9" s="3"/>
      <c r="E9" s="3"/>
      <c r="F9" s="3"/>
      <c r="G9" s="3"/>
      <c r="H9" s="3"/>
      <c r="I9" s="3"/>
    </row>
    <row r="10" spans="1:9" ht="18" customHeight="1" x14ac:dyDescent="0.15">
      <c r="A10" s="1" t="s">
        <v>4</v>
      </c>
      <c r="B10" s="10" t="s">
        <v>88</v>
      </c>
      <c r="C10" s="3"/>
      <c r="D10" s="3"/>
      <c r="E10" s="3"/>
      <c r="F10" s="3"/>
      <c r="G10" s="3"/>
      <c r="H10" s="3"/>
      <c r="I10" s="3"/>
    </row>
    <row r="11" spans="1:9" ht="18" customHeight="1" x14ac:dyDescent="0.15">
      <c r="B11" s="30" t="s">
        <v>41</v>
      </c>
      <c r="C11" s="230" t="s">
        <v>195</v>
      </c>
      <c r="D11" s="231"/>
      <c r="E11" s="232"/>
      <c r="F11" s="33"/>
      <c r="G11" s="30" t="s">
        <v>10</v>
      </c>
      <c r="H11" s="230" t="s">
        <v>192</v>
      </c>
      <c r="I11" s="232"/>
    </row>
    <row r="12" spans="1:9" ht="10.35" customHeight="1" x14ac:dyDescent="0.15">
      <c r="B12" s="30"/>
      <c r="C12" s="10"/>
      <c r="D12" s="33"/>
      <c r="E12" s="33"/>
      <c r="F12" s="33"/>
      <c r="G12" s="30"/>
      <c r="H12" s="10"/>
      <c r="I12" s="33"/>
    </row>
    <row r="13" spans="1:9" ht="18" customHeight="1" x14ac:dyDescent="0.15">
      <c r="A13" s="1" t="s">
        <v>7</v>
      </c>
      <c r="B13" s="10" t="s">
        <v>83</v>
      </c>
      <c r="C13" s="3"/>
      <c r="D13" s="3"/>
      <c r="E13" s="3"/>
      <c r="F13" s="3"/>
      <c r="G13" s="3"/>
      <c r="H13" s="3"/>
      <c r="I13" s="3"/>
    </row>
    <row r="14" spans="1:9" ht="18" customHeight="1" x14ac:dyDescent="0.15">
      <c r="B14" s="225" t="s">
        <v>197</v>
      </c>
      <c r="C14" s="226"/>
      <c r="D14" s="226"/>
      <c r="E14" s="226"/>
      <c r="F14" s="226"/>
      <c r="G14" s="226"/>
      <c r="H14" s="226"/>
      <c r="I14" s="227"/>
    </row>
    <row r="15" spans="1:9" ht="9" customHeight="1" x14ac:dyDescent="0.15">
      <c r="B15" s="3"/>
      <c r="C15" s="3"/>
      <c r="D15" s="3"/>
      <c r="E15" s="3"/>
      <c r="F15" s="3"/>
      <c r="G15" s="3"/>
      <c r="H15" s="3"/>
      <c r="I15" s="3"/>
    </row>
    <row r="16" spans="1:9" ht="18" customHeight="1" x14ac:dyDescent="0.15">
      <c r="B16" s="30" t="s">
        <v>41</v>
      </c>
      <c r="C16" s="225" t="s">
        <v>145</v>
      </c>
      <c r="D16" s="228"/>
      <c r="E16" s="229"/>
      <c r="F16" s="33"/>
      <c r="G16" s="30" t="s">
        <v>10</v>
      </c>
      <c r="H16" s="225" t="s">
        <v>146</v>
      </c>
      <c r="I16" s="229"/>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211" t="s">
        <v>198</v>
      </c>
      <c r="C19" s="212"/>
      <c r="D19" s="212"/>
      <c r="E19" s="212"/>
      <c r="F19" s="212"/>
      <c r="G19" s="212"/>
      <c r="H19" s="212"/>
      <c r="I19" s="213"/>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4"/>
      <c r="B22" s="214" t="s">
        <v>147</v>
      </c>
      <c r="C22" s="215"/>
      <c r="D22" s="215"/>
      <c r="E22" s="215"/>
      <c r="F22" s="215"/>
      <c r="G22" s="215"/>
      <c r="H22" s="215"/>
      <c r="I22" s="216"/>
    </row>
    <row r="23" spans="1:9" ht="18.75" customHeight="1" x14ac:dyDescent="0.15">
      <c r="A23" s="14"/>
      <c r="B23" s="217"/>
      <c r="C23" s="218"/>
      <c r="D23" s="218"/>
      <c r="E23" s="218"/>
      <c r="F23" s="218"/>
      <c r="G23" s="218"/>
      <c r="H23" s="218"/>
      <c r="I23" s="219"/>
    </row>
    <row r="24" spans="1:9" ht="18.75" customHeight="1" x14ac:dyDescent="0.15">
      <c r="A24" s="14"/>
      <c r="B24" s="217"/>
      <c r="C24" s="218"/>
      <c r="D24" s="218"/>
      <c r="E24" s="218"/>
      <c r="F24" s="218"/>
      <c r="G24" s="218"/>
      <c r="H24" s="218"/>
      <c r="I24" s="219"/>
    </row>
    <row r="25" spans="1:9" ht="18.75" customHeight="1" x14ac:dyDescent="0.15">
      <c r="A25" s="14"/>
      <c r="B25" s="217"/>
      <c r="C25" s="218"/>
      <c r="D25" s="218"/>
      <c r="E25" s="218"/>
      <c r="F25" s="218"/>
      <c r="G25" s="218"/>
      <c r="H25" s="218"/>
      <c r="I25" s="219"/>
    </row>
    <row r="26" spans="1:9" ht="18.75" customHeight="1" x14ac:dyDescent="0.15">
      <c r="A26" s="14"/>
      <c r="B26" s="217"/>
      <c r="C26" s="218"/>
      <c r="D26" s="218"/>
      <c r="E26" s="218"/>
      <c r="F26" s="218"/>
      <c r="G26" s="218"/>
      <c r="H26" s="218"/>
      <c r="I26" s="219"/>
    </row>
    <row r="27" spans="1:9" ht="18.75" customHeight="1" x14ac:dyDescent="0.15">
      <c r="A27" s="14"/>
      <c r="B27" s="217"/>
      <c r="C27" s="218"/>
      <c r="D27" s="218"/>
      <c r="E27" s="218"/>
      <c r="F27" s="218"/>
      <c r="G27" s="218"/>
      <c r="H27" s="218"/>
      <c r="I27" s="219"/>
    </row>
    <row r="28" spans="1:9" ht="18.75" customHeight="1" x14ac:dyDescent="0.15">
      <c r="A28" s="14"/>
      <c r="B28" s="217"/>
      <c r="C28" s="218"/>
      <c r="D28" s="218"/>
      <c r="E28" s="218"/>
      <c r="F28" s="218"/>
      <c r="G28" s="218"/>
      <c r="H28" s="218"/>
      <c r="I28" s="219"/>
    </row>
    <row r="29" spans="1:9" ht="18.75" customHeight="1" x14ac:dyDescent="0.15">
      <c r="A29" s="14"/>
      <c r="B29" s="217"/>
      <c r="C29" s="218"/>
      <c r="D29" s="218"/>
      <c r="E29" s="218"/>
      <c r="F29" s="218"/>
      <c r="G29" s="218"/>
      <c r="H29" s="218"/>
      <c r="I29" s="219"/>
    </row>
    <row r="30" spans="1:9" ht="18.75" customHeight="1" x14ac:dyDescent="0.15">
      <c r="A30" s="14"/>
      <c r="B30" s="220"/>
      <c r="C30" s="221"/>
      <c r="D30" s="221"/>
      <c r="E30" s="221"/>
      <c r="F30" s="221"/>
      <c r="G30" s="221"/>
      <c r="H30" s="221"/>
      <c r="I30" s="219"/>
    </row>
    <row r="31" spans="1:9" ht="18.75" customHeight="1" x14ac:dyDescent="0.15">
      <c r="A31" s="14"/>
      <c r="B31" s="220"/>
      <c r="C31" s="221"/>
      <c r="D31" s="221"/>
      <c r="E31" s="221"/>
      <c r="F31" s="221"/>
      <c r="G31" s="221"/>
      <c r="H31" s="221"/>
      <c r="I31" s="219"/>
    </row>
    <row r="32" spans="1:9" ht="18.75" customHeight="1" x14ac:dyDescent="0.15">
      <c r="A32" s="14"/>
      <c r="B32" s="222"/>
      <c r="C32" s="223"/>
      <c r="D32" s="223"/>
      <c r="E32" s="223"/>
      <c r="F32" s="223"/>
      <c r="G32" s="223"/>
      <c r="H32" s="223"/>
      <c r="I32" s="224"/>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14" t="s">
        <v>148</v>
      </c>
      <c r="C35" s="215"/>
      <c r="D35" s="215"/>
      <c r="E35" s="215"/>
      <c r="F35" s="215"/>
      <c r="G35" s="215"/>
      <c r="H35" s="215"/>
      <c r="I35" s="216"/>
    </row>
    <row r="36" spans="1:9" ht="18.75" customHeight="1" x14ac:dyDescent="0.15">
      <c r="A36" s="14"/>
      <c r="B36" s="220"/>
      <c r="C36" s="221"/>
      <c r="D36" s="221"/>
      <c r="E36" s="221"/>
      <c r="F36" s="221"/>
      <c r="G36" s="221"/>
      <c r="H36" s="221"/>
      <c r="I36" s="219"/>
    </row>
    <row r="37" spans="1:9" ht="18.75" customHeight="1" x14ac:dyDescent="0.15">
      <c r="A37" s="14"/>
      <c r="B37" s="220"/>
      <c r="C37" s="221"/>
      <c r="D37" s="221"/>
      <c r="E37" s="221"/>
      <c r="F37" s="221"/>
      <c r="G37" s="221"/>
      <c r="H37" s="221"/>
      <c r="I37" s="219"/>
    </row>
    <row r="38" spans="1:9" ht="18.75" customHeight="1" x14ac:dyDescent="0.15">
      <c r="A38" s="14"/>
      <c r="B38" s="220"/>
      <c r="C38" s="221"/>
      <c r="D38" s="221"/>
      <c r="E38" s="221"/>
      <c r="F38" s="221"/>
      <c r="G38" s="221"/>
      <c r="H38" s="221"/>
      <c r="I38" s="219"/>
    </row>
    <row r="39" spans="1:9" ht="18.75" customHeight="1" x14ac:dyDescent="0.15">
      <c r="A39" s="14"/>
      <c r="B39" s="220"/>
      <c r="C39" s="221"/>
      <c r="D39" s="221"/>
      <c r="E39" s="221"/>
      <c r="F39" s="221"/>
      <c r="G39" s="221"/>
      <c r="H39" s="221"/>
      <c r="I39" s="219"/>
    </row>
    <row r="40" spans="1:9" ht="18.75" customHeight="1" x14ac:dyDescent="0.15">
      <c r="A40" s="14"/>
      <c r="B40" s="220"/>
      <c r="C40" s="221"/>
      <c r="D40" s="221"/>
      <c r="E40" s="221"/>
      <c r="F40" s="221"/>
      <c r="G40" s="221"/>
      <c r="H40" s="221"/>
      <c r="I40" s="219"/>
    </row>
    <row r="41" spans="1:9" ht="18.75" customHeight="1" x14ac:dyDescent="0.15">
      <c r="A41" s="14"/>
      <c r="B41" s="220"/>
      <c r="C41" s="221"/>
      <c r="D41" s="221"/>
      <c r="E41" s="221"/>
      <c r="F41" s="221"/>
      <c r="G41" s="221"/>
      <c r="H41" s="221"/>
      <c r="I41" s="219"/>
    </row>
    <row r="42" spans="1:9" ht="18.75" customHeight="1" x14ac:dyDescent="0.15">
      <c r="A42" s="14"/>
      <c r="B42" s="220"/>
      <c r="C42" s="221"/>
      <c r="D42" s="221"/>
      <c r="E42" s="221"/>
      <c r="F42" s="221"/>
      <c r="G42" s="221"/>
      <c r="H42" s="221"/>
      <c r="I42" s="219"/>
    </row>
    <row r="43" spans="1:9" ht="18.75" customHeight="1" x14ac:dyDescent="0.15">
      <c r="A43" s="14"/>
      <c r="B43" s="220"/>
      <c r="C43" s="221"/>
      <c r="D43" s="221"/>
      <c r="E43" s="221"/>
      <c r="F43" s="221"/>
      <c r="G43" s="221"/>
      <c r="H43" s="221"/>
      <c r="I43" s="219"/>
    </row>
    <row r="44" spans="1:9" ht="18.75" customHeight="1" x14ac:dyDescent="0.15">
      <c r="A44" s="14"/>
      <c r="B44" s="220"/>
      <c r="C44" s="221"/>
      <c r="D44" s="221"/>
      <c r="E44" s="221"/>
      <c r="F44" s="221"/>
      <c r="G44" s="221"/>
      <c r="H44" s="221"/>
      <c r="I44" s="219"/>
    </row>
    <row r="45" spans="1:9" ht="18.75" customHeight="1" x14ac:dyDescent="0.15">
      <c r="A45" s="14"/>
      <c r="B45" s="220"/>
      <c r="C45" s="221"/>
      <c r="D45" s="221"/>
      <c r="E45" s="221"/>
      <c r="F45" s="221"/>
      <c r="G45" s="221"/>
      <c r="H45" s="221"/>
      <c r="I45" s="219"/>
    </row>
    <row r="46" spans="1:9" ht="18.75" customHeight="1" x14ac:dyDescent="0.15">
      <c r="A46" s="14"/>
      <c r="B46" s="222"/>
      <c r="C46" s="223"/>
      <c r="D46" s="223"/>
      <c r="E46" s="223"/>
      <c r="F46" s="223"/>
      <c r="G46" s="223"/>
      <c r="H46" s="223"/>
      <c r="I46" s="224"/>
    </row>
    <row r="47" spans="1:9" ht="7.5" customHeight="1" x14ac:dyDescent="0.15">
      <c r="A47" s="4"/>
      <c r="B47" s="4"/>
      <c r="C47" s="4"/>
      <c r="D47" s="4"/>
      <c r="E47" s="4"/>
      <c r="F47" s="4"/>
      <c r="G47" s="4"/>
      <c r="H47" s="4"/>
      <c r="I47" s="4"/>
    </row>
    <row r="48" spans="1:9" ht="18.75" customHeight="1" x14ac:dyDescent="0.15">
      <c r="A48" s="1" t="s">
        <v>30</v>
      </c>
      <c r="B48" s="1" t="s">
        <v>110</v>
      </c>
    </row>
    <row r="49" spans="1:15" s="3" customFormat="1" ht="18.75" customHeight="1" x14ac:dyDescent="0.15">
      <c r="B49" s="34" t="s">
        <v>127</v>
      </c>
      <c r="C49" s="199">
        <f>'様式２ 履修者等数の実績'!S33</f>
        <v>0.20147058823529412</v>
      </c>
      <c r="D49" s="199"/>
      <c r="E49" s="34" t="s">
        <v>63</v>
      </c>
      <c r="F49" s="199">
        <v>0.43</v>
      </c>
      <c r="G49" s="199"/>
      <c r="H49" s="34" t="s">
        <v>64</v>
      </c>
      <c r="I49" s="35">
        <v>0.65</v>
      </c>
      <c r="J49" s="1"/>
      <c r="M49" s="1"/>
      <c r="N49" s="36"/>
    </row>
    <row r="50" spans="1:15" s="3" customFormat="1" ht="18.75" customHeight="1" x14ac:dyDescent="0.15">
      <c r="B50" s="37" t="s">
        <v>84</v>
      </c>
      <c r="C50" s="182">
        <v>0.9</v>
      </c>
      <c r="D50" s="182"/>
      <c r="E50" s="37" t="s">
        <v>128</v>
      </c>
      <c r="F50" s="182">
        <v>0.93</v>
      </c>
      <c r="G50" s="182"/>
      <c r="H50" s="37" t="s">
        <v>65</v>
      </c>
      <c r="I50" s="38">
        <f>'様式２ 履修者等数の実績'!E33</f>
        <v>2040</v>
      </c>
      <c r="J50" s="1"/>
      <c r="M50" s="1"/>
      <c r="N50" s="36"/>
    </row>
    <row r="51" spans="1:15" ht="18.75" customHeight="1" x14ac:dyDescent="0.15">
      <c r="A51" s="1"/>
      <c r="B51" s="235" t="s">
        <v>66</v>
      </c>
      <c r="C51" s="236"/>
      <c r="D51" s="236"/>
      <c r="E51" s="236"/>
      <c r="F51" s="236"/>
      <c r="G51" s="236"/>
      <c r="H51" s="236"/>
      <c r="I51" s="237"/>
      <c r="N51" s="36"/>
      <c r="O51" s="3"/>
    </row>
    <row r="52" spans="1:15" ht="18.75" customHeight="1" x14ac:dyDescent="0.15">
      <c r="A52" s="1"/>
      <c r="B52" s="200" t="s">
        <v>166</v>
      </c>
      <c r="C52" s="201"/>
      <c r="D52" s="201"/>
      <c r="E52" s="201"/>
      <c r="F52" s="201"/>
      <c r="G52" s="201"/>
      <c r="H52" s="201"/>
      <c r="I52" s="202"/>
      <c r="N52" s="36"/>
      <c r="O52" s="3"/>
    </row>
    <row r="53" spans="1:15" ht="18.75" customHeight="1" x14ac:dyDescent="0.15">
      <c r="A53" s="1"/>
      <c r="B53" s="203"/>
      <c r="C53" s="204"/>
      <c r="D53" s="204"/>
      <c r="E53" s="204"/>
      <c r="F53" s="204"/>
      <c r="G53" s="204"/>
      <c r="H53" s="204"/>
      <c r="I53" s="205"/>
      <c r="N53" s="36"/>
      <c r="O53" s="3"/>
    </row>
    <row r="54" spans="1:15" ht="18.75" customHeight="1" x14ac:dyDescent="0.15">
      <c r="A54" s="1"/>
      <c r="B54" s="203"/>
      <c r="C54" s="204"/>
      <c r="D54" s="204"/>
      <c r="E54" s="204"/>
      <c r="F54" s="204"/>
      <c r="G54" s="204"/>
      <c r="H54" s="204"/>
      <c r="I54" s="205"/>
    </row>
    <row r="55" spans="1:15" ht="18.75" customHeight="1" x14ac:dyDescent="0.15">
      <c r="A55" s="1"/>
      <c r="B55" s="203"/>
      <c r="C55" s="204"/>
      <c r="D55" s="204"/>
      <c r="E55" s="204"/>
      <c r="F55" s="204"/>
      <c r="G55" s="204"/>
      <c r="H55" s="204"/>
      <c r="I55" s="205"/>
    </row>
    <row r="56" spans="1:15" ht="18.75" customHeight="1" x14ac:dyDescent="0.15">
      <c r="A56" s="1"/>
      <c r="B56" s="203"/>
      <c r="C56" s="204"/>
      <c r="D56" s="204"/>
      <c r="E56" s="204"/>
      <c r="F56" s="204"/>
      <c r="G56" s="204"/>
      <c r="H56" s="204"/>
      <c r="I56" s="205"/>
    </row>
    <row r="57" spans="1:15" ht="18.75" customHeight="1" x14ac:dyDescent="0.15">
      <c r="A57" s="1"/>
      <c r="B57" s="203"/>
      <c r="C57" s="204"/>
      <c r="D57" s="204"/>
      <c r="E57" s="204"/>
      <c r="F57" s="204"/>
      <c r="G57" s="204"/>
      <c r="H57" s="204"/>
      <c r="I57" s="205"/>
    </row>
    <row r="58" spans="1:15" ht="18.75" customHeight="1" x14ac:dyDescent="0.15">
      <c r="A58" s="1"/>
      <c r="B58" s="203"/>
      <c r="C58" s="204"/>
      <c r="D58" s="204"/>
      <c r="E58" s="204"/>
      <c r="F58" s="204"/>
      <c r="G58" s="204"/>
      <c r="H58" s="204"/>
      <c r="I58" s="205"/>
    </row>
    <row r="59" spans="1:15" ht="18.75" customHeight="1" x14ac:dyDescent="0.15">
      <c r="A59" s="1"/>
      <c r="B59" s="203"/>
      <c r="C59" s="204"/>
      <c r="D59" s="204"/>
      <c r="E59" s="204"/>
      <c r="F59" s="204"/>
      <c r="G59" s="204"/>
      <c r="H59" s="204"/>
      <c r="I59" s="205"/>
    </row>
    <row r="60" spans="1:15" ht="18.75" customHeight="1" x14ac:dyDescent="0.15">
      <c r="A60" s="1"/>
      <c r="B60" s="203"/>
      <c r="C60" s="204"/>
      <c r="D60" s="204"/>
      <c r="E60" s="204"/>
      <c r="F60" s="204"/>
      <c r="G60" s="204"/>
      <c r="H60" s="204"/>
      <c r="I60" s="205"/>
    </row>
    <row r="61" spans="1:15" ht="18.75" customHeight="1" x14ac:dyDescent="0.15">
      <c r="A61" s="1"/>
      <c r="B61" s="203"/>
      <c r="C61" s="204"/>
      <c r="D61" s="204"/>
      <c r="E61" s="204"/>
      <c r="F61" s="204"/>
      <c r="G61" s="204"/>
      <c r="H61" s="204"/>
      <c r="I61" s="205"/>
    </row>
    <row r="62" spans="1:15" ht="18.75" customHeight="1" x14ac:dyDescent="0.15">
      <c r="A62" s="1"/>
      <c r="B62" s="203"/>
      <c r="C62" s="204"/>
      <c r="D62" s="204"/>
      <c r="E62" s="204"/>
      <c r="F62" s="204"/>
      <c r="G62" s="204"/>
      <c r="H62" s="204"/>
      <c r="I62" s="205"/>
    </row>
    <row r="63" spans="1:15" ht="18.75" customHeight="1" x14ac:dyDescent="0.15">
      <c r="A63" s="1"/>
      <c r="B63" s="206"/>
      <c r="C63" s="207"/>
      <c r="D63" s="207"/>
      <c r="E63" s="207"/>
      <c r="F63" s="207"/>
      <c r="G63" s="207"/>
      <c r="H63" s="207"/>
      <c r="I63" s="208"/>
    </row>
    <row r="64" spans="1:15" ht="7.5" customHeight="1" x14ac:dyDescent="0.15">
      <c r="A64" s="14"/>
      <c r="B64" s="14"/>
      <c r="C64" s="14"/>
      <c r="D64" s="14"/>
      <c r="E64" s="14"/>
      <c r="F64" s="14"/>
      <c r="G64" s="14"/>
      <c r="H64" s="14"/>
      <c r="I64" s="14"/>
    </row>
    <row r="65" spans="1:9" ht="18.75" customHeight="1" x14ac:dyDescent="0.15">
      <c r="A65" s="15" t="s">
        <v>33</v>
      </c>
      <c r="B65" s="1" t="s">
        <v>36</v>
      </c>
      <c r="I65" s="15"/>
    </row>
    <row r="66" spans="1:9" ht="18.75" customHeight="1" x14ac:dyDescent="0.15">
      <c r="A66" s="4"/>
      <c r="B66" s="183" t="s">
        <v>149</v>
      </c>
      <c r="C66" s="184"/>
      <c r="D66" s="184"/>
      <c r="E66" s="184"/>
      <c r="F66" s="184"/>
      <c r="G66" s="184"/>
      <c r="H66" s="184"/>
      <c r="I66" s="185"/>
    </row>
    <row r="67" spans="1:9" ht="18.75" customHeight="1" x14ac:dyDescent="0.15">
      <c r="A67" s="4"/>
      <c r="B67" s="186"/>
      <c r="C67" s="187"/>
      <c r="D67" s="187"/>
      <c r="E67" s="187"/>
      <c r="F67" s="187"/>
      <c r="G67" s="187"/>
      <c r="H67" s="187"/>
      <c r="I67" s="188"/>
    </row>
    <row r="68" spans="1:9" ht="18.75" customHeight="1" x14ac:dyDescent="0.15">
      <c r="A68" s="4"/>
      <c r="B68" s="186"/>
      <c r="C68" s="187"/>
      <c r="D68" s="187"/>
      <c r="E68" s="187"/>
      <c r="F68" s="187"/>
      <c r="G68" s="187"/>
      <c r="H68" s="187"/>
      <c r="I68" s="188"/>
    </row>
    <row r="69" spans="1:9" ht="18.75" customHeight="1" x14ac:dyDescent="0.15">
      <c r="A69" s="4"/>
      <c r="B69" s="186"/>
      <c r="C69" s="187"/>
      <c r="D69" s="187"/>
      <c r="E69" s="187"/>
      <c r="F69" s="187"/>
      <c r="G69" s="187"/>
      <c r="H69" s="187"/>
      <c r="I69" s="188"/>
    </row>
    <row r="70" spans="1:9" ht="18.75" customHeight="1" x14ac:dyDescent="0.15">
      <c r="A70" s="4"/>
      <c r="B70" s="186"/>
      <c r="C70" s="187"/>
      <c r="D70" s="187"/>
      <c r="E70" s="187"/>
      <c r="F70" s="187"/>
      <c r="G70" s="187"/>
      <c r="H70" s="187"/>
      <c r="I70" s="188"/>
    </row>
    <row r="71" spans="1:9" ht="18.75" customHeight="1" x14ac:dyDescent="0.15">
      <c r="A71" s="4"/>
      <c r="B71" s="186"/>
      <c r="C71" s="187"/>
      <c r="D71" s="187"/>
      <c r="E71" s="187"/>
      <c r="F71" s="187"/>
      <c r="G71" s="187"/>
      <c r="H71" s="187"/>
      <c r="I71" s="188"/>
    </row>
    <row r="72" spans="1:9" ht="18.75" customHeight="1" x14ac:dyDescent="0.15">
      <c r="A72" s="4"/>
      <c r="B72" s="186"/>
      <c r="C72" s="187"/>
      <c r="D72" s="187"/>
      <c r="E72" s="187"/>
      <c r="F72" s="187"/>
      <c r="G72" s="187"/>
      <c r="H72" s="187"/>
      <c r="I72" s="188"/>
    </row>
    <row r="73" spans="1:9" ht="18.75" customHeight="1" x14ac:dyDescent="0.15">
      <c r="A73" s="4"/>
      <c r="B73" s="186"/>
      <c r="C73" s="187"/>
      <c r="D73" s="187"/>
      <c r="E73" s="187"/>
      <c r="F73" s="187"/>
      <c r="G73" s="187"/>
      <c r="H73" s="187"/>
      <c r="I73" s="188"/>
    </row>
    <row r="74" spans="1:9" ht="18.75" customHeight="1" x14ac:dyDescent="0.15">
      <c r="A74" s="4"/>
      <c r="B74" s="186"/>
      <c r="C74" s="187"/>
      <c r="D74" s="187"/>
      <c r="E74" s="187"/>
      <c r="F74" s="187"/>
      <c r="G74" s="187"/>
      <c r="H74" s="187"/>
      <c r="I74" s="188"/>
    </row>
    <row r="75" spans="1:9" ht="18.75" customHeight="1" x14ac:dyDescent="0.15">
      <c r="A75" s="4"/>
      <c r="B75" s="186"/>
      <c r="C75" s="187"/>
      <c r="D75" s="187"/>
      <c r="E75" s="187"/>
      <c r="F75" s="187"/>
      <c r="G75" s="187"/>
      <c r="H75" s="187"/>
      <c r="I75" s="188"/>
    </row>
    <row r="76" spans="1:9" ht="18.75" customHeight="1" x14ac:dyDescent="0.15">
      <c r="A76" s="4"/>
      <c r="B76" s="186"/>
      <c r="C76" s="187"/>
      <c r="D76" s="187"/>
      <c r="E76" s="187"/>
      <c r="F76" s="187"/>
      <c r="G76" s="187"/>
      <c r="H76" s="187"/>
      <c r="I76" s="188"/>
    </row>
    <row r="77" spans="1:9" ht="18.75" customHeight="1" x14ac:dyDescent="0.15">
      <c r="A77" s="4"/>
      <c r="B77" s="189"/>
      <c r="C77" s="190"/>
      <c r="D77" s="190"/>
      <c r="E77" s="190"/>
      <c r="F77" s="190"/>
      <c r="G77" s="190"/>
      <c r="H77" s="190"/>
      <c r="I77" s="191"/>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83" t="s">
        <v>150</v>
      </c>
      <c r="C80" s="184"/>
      <c r="D80" s="184"/>
      <c r="E80" s="184"/>
      <c r="F80" s="184"/>
      <c r="G80" s="184"/>
      <c r="H80" s="184"/>
      <c r="I80" s="192"/>
    </row>
    <row r="81" spans="1:9" ht="18.75" customHeight="1" x14ac:dyDescent="0.15">
      <c r="A81" s="1"/>
      <c r="B81" s="193"/>
      <c r="C81" s="194"/>
      <c r="D81" s="194"/>
      <c r="E81" s="194"/>
      <c r="F81" s="194"/>
      <c r="G81" s="194"/>
      <c r="H81" s="194"/>
      <c r="I81" s="195"/>
    </row>
    <row r="82" spans="1:9" ht="18.75" customHeight="1" x14ac:dyDescent="0.15">
      <c r="A82" s="1"/>
      <c r="B82" s="193"/>
      <c r="C82" s="194"/>
      <c r="D82" s="194"/>
      <c r="E82" s="194"/>
      <c r="F82" s="194"/>
      <c r="G82" s="194"/>
      <c r="H82" s="194"/>
      <c r="I82" s="195"/>
    </row>
    <row r="83" spans="1:9" ht="18.75" customHeight="1" x14ac:dyDescent="0.15">
      <c r="A83" s="1"/>
      <c r="B83" s="193"/>
      <c r="C83" s="194"/>
      <c r="D83" s="194"/>
      <c r="E83" s="194"/>
      <c r="F83" s="194"/>
      <c r="G83" s="194"/>
      <c r="H83" s="194"/>
      <c r="I83" s="195"/>
    </row>
    <row r="84" spans="1:9" ht="18.75" customHeight="1" x14ac:dyDescent="0.15">
      <c r="A84" s="1"/>
      <c r="B84" s="193"/>
      <c r="C84" s="194"/>
      <c r="D84" s="194"/>
      <c r="E84" s="194"/>
      <c r="F84" s="194"/>
      <c r="G84" s="194"/>
      <c r="H84" s="194"/>
      <c r="I84" s="195"/>
    </row>
    <row r="85" spans="1:9" ht="18.75" customHeight="1" x14ac:dyDescent="0.15">
      <c r="A85" s="1"/>
      <c r="B85" s="193"/>
      <c r="C85" s="194"/>
      <c r="D85" s="194"/>
      <c r="E85" s="194"/>
      <c r="F85" s="194"/>
      <c r="G85" s="194"/>
      <c r="H85" s="194"/>
      <c r="I85" s="195"/>
    </row>
    <row r="86" spans="1:9" ht="18.75" customHeight="1" x14ac:dyDescent="0.15">
      <c r="A86" s="1"/>
      <c r="B86" s="193"/>
      <c r="C86" s="194"/>
      <c r="D86" s="194"/>
      <c r="E86" s="194"/>
      <c r="F86" s="194"/>
      <c r="G86" s="194"/>
      <c r="H86" s="194"/>
      <c r="I86" s="195"/>
    </row>
    <row r="87" spans="1:9" ht="18.75" customHeight="1" x14ac:dyDescent="0.15">
      <c r="A87" s="1"/>
      <c r="B87" s="193"/>
      <c r="C87" s="194"/>
      <c r="D87" s="194"/>
      <c r="E87" s="194"/>
      <c r="F87" s="194"/>
      <c r="G87" s="194"/>
      <c r="H87" s="194"/>
      <c r="I87" s="195"/>
    </row>
    <row r="88" spans="1:9" ht="18.75" customHeight="1" x14ac:dyDescent="0.15">
      <c r="A88" s="1"/>
      <c r="B88" s="193"/>
      <c r="C88" s="194"/>
      <c r="D88" s="194"/>
      <c r="E88" s="194"/>
      <c r="F88" s="194"/>
      <c r="G88" s="194"/>
      <c r="H88" s="194"/>
      <c r="I88" s="195"/>
    </row>
    <row r="89" spans="1:9" ht="18.75" customHeight="1" x14ac:dyDescent="0.15">
      <c r="A89" s="1"/>
      <c r="B89" s="193"/>
      <c r="C89" s="194"/>
      <c r="D89" s="194"/>
      <c r="E89" s="194"/>
      <c r="F89" s="194"/>
      <c r="G89" s="194"/>
      <c r="H89" s="194"/>
      <c r="I89" s="195"/>
    </row>
    <row r="90" spans="1:9" ht="18.75" customHeight="1" x14ac:dyDescent="0.15">
      <c r="A90" s="4"/>
      <c r="B90" s="193"/>
      <c r="C90" s="194"/>
      <c r="D90" s="194"/>
      <c r="E90" s="194"/>
      <c r="F90" s="194"/>
      <c r="G90" s="194"/>
      <c r="H90" s="194"/>
      <c r="I90" s="195"/>
    </row>
    <row r="91" spans="1:9" ht="18.75" customHeight="1" x14ac:dyDescent="0.15">
      <c r="A91" s="4"/>
      <c r="B91" s="196"/>
      <c r="C91" s="197"/>
      <c r="D91" s="197"/>
      <c r="E91" s="197"/>
      <c r="F91" s="197"/>
      <c r="G91" s="197"/>
      <c r="H91" s="197"/>
      <c r="I91" s="198"/>
    </row>
    <row r="92" spans="1:9" ht="7.5" customHeight="1" x14ac:dyDescent="0.15">
      <c r="A92" s="4"/>
      <c r="B92" s="4"/>
      <c r="C92" s="4"/>
      <c r="D92" s="4"/>
      <c r="E92" s="4"/>
      <c r="F92" s="4"/>
      <c r="G92" s="4"/>
      <c r="H92" s="4"/>
      <c r="I92" s="4"/>
    </row>
    <row r="93" spans="1:9" ht="18.75" customHeight="1" x14ac:dyDescent="0.15">
      <c r="A93" s="1" t="s">
        <v>42</v>
      </c>
      <c r="B93" s="1" t="s">
        <v>12</v>
      </c>
    </row>
    <row r="94" spans="1:9" ht="18.75" customHeight="1" x14ac:dyDescent="0.15">
      <c r="A94" s="1"/>
      <c r="B94" s="214" t="s">
        <v>167</v>
      </c>
      <c r="C94" s="215"/>
      <c r="D94" s="215"/>
      <c r="E94" s="215"/>
      <c r="F94" s="215"/>
      <c r="G94" s="215"/>
      <c r="H94" s="215"/>
      <c r="I94" s="216"/>
    </row>
    <row r="95" spans="1:9" ht="18.75" customHeight="1" x14ac:dyDescent="0.15">
      <c r="A95" s="1"/>
      <c r="B95" s="220"/>
      <c r="C95" s="221"/>
      <c r="D95" s="221"/>
      <c r="E95" s="221"/>
      <c r="F95" s="221"/>
      <c r="G95" s="221"/>
      <c r="H95" s="221"/>
      <c r="I95" s="219"/>
    </row>
    <row r="96" spans="1:9" ht="18.75" customHeight="1" x14ac:dyDescent="0.15">
      <c r="A96" s="1"/>
      <c r="B96" s="220"/>
      <c r="C96" s="221"/>
      <c r="D96" s="221"/>
      <c r="E96" s="221"/>
      <c r="F96" s="221"/>
      <c r="G96" s="221"/>
      <c r="H96" s="221"/>
      <c r="I96" s="219"/>
    </row>
    <row r="97" spans="1:9" ht="18.75" customHeight="1" x14ac:dyDescent="0.15">
      <c r="A97" s="1"/>
      <c r="B97" s="220"/>
      <c r="C97" s="221"/>
      <c r="D97" s="221"/>
      <c r="E97" s="221"/>
      <c r="F97" s="221"/>
      <c r="G97" s="221"/>
      <c r="H97" s="221"/>
      <c r="I97" s="219"/>
    </row>
    <row r="98" spans="1:9" ht="18.75" customHeight="1" x14ac:dyDescent="0.15">
      <c r="A98" s="1"/>
      <c r="B98" s="220"/>
      <c r="C98" s="221"/>
      <c r="D98" s="221"/>
      <c r="E98" s="221"/>
      <c r="F98" s="221"/>
      <c r="G98" s="221"/>
      <c r="H98" s="221"/>
      <c r="I98" s="219"/>
    </row>
    <row r="99" spans="1:9" ht="18.75" customHeight="1" x14ac:dyDescent="0.15">
      <c r="A99" s="1"/>
      <c r="B99" s="220"/>
      <c r="C99" s="221"/>
      <c r="D99" s="221"/>
      <c r="E99" s="221"/>
      <c r="F99" s="221"/>
      <c r="G99" s="221"/>
      <c r="H99" s="221"/>
      <c r="I99" s="219"/>
    </row>
    <row r="100" spans="1:9" ht="18.75" customHeight="1" x14ac:dyDescent="0.15">
      <c r="A100" s="1"/>
      <c r="B100" s="220"/>
      <c r="C100" s="221"/>
      <c r="D100" s="221"/>
      <c r="E100" s="221"/>
      <c r="F100" s="221"/>
      <c r="G100" s="221"/>
      <c r="H100" s="221"/>
      <c r="I100" s="219"/>
    </row>
    <row r="101" spans="1:9" ht="18.75" customHeight="1" x14ac:dyDescent="0.15">
      <c r="A101" s="1"/>
      <c r="B101" s="220"/>
      <c r="C101" s="221"/>
      <c r="D101" s="221"/>
      <c r="E101" s="221"/>
      <c r="F101" s="221"/>
      <c r="G101" s="221"/>
      <c r="H101" s="221"/>
      <c r="I101" s="219"/>
    </row>
    <row r="102" spans="1:9" ht="18.75" customHeight="1" x14ac:dyDescent="0.15">
      <c r="A102" s="1"/>
      <c r="B102" s="220"/>
      <c r="C102" s="221"/>
      <c r="D102" s="221"/>
      <c r="E102" s="221"/>
      <c r="F102" s="221"/>
      <c r="G102" s="221"/>
      <c r="H102" s="221"/>
      <c r="I102" s="219"/>
    </row>
    <row r="103" spans="1:9" ht="18.75" customHeight="1" x14ac:dyDescent="0.15">
      <c r="A103" s="1"/>
      <c r="B103" s="220"/>
      <c r="C103" s="221"/>
      <c r="D103" s="221"/>
      <c r="E103" s="221"/>
      <c r="F103" s="221"/>
      <c r="G103" s="221"/>
      <c r="H103" s="221"/>
      <c r="I103" s="219"/>
    </row>
    <row r="104" spans="1:9" ht="18.75" customHeight="1" x14ac:dyDescent="0.15">
      <c r="A104" s="1"/>
      <c r="B104" s="220"/>
      <c r="C104" s="221"/>
      <c r="D104" s="221"/>
      <c r="E104" s="221"/>
      <c r="F104" s="221"/>
      <c r="G104" s="221"/>
      <c r="H104" s="221"/>
      <c r="I104" s="219"/>
    </row>
    <row r="105" spans="1:9" ht="18.75" customHeight="1" x14ac:dyDescent="0.15">
      <c r="A105" s="4"/>
      <c r="B105" s="222"/>
      <c r="C105" s="223"/>
      <c r="D105" s="223"/>
      <c r="E105" s="223"/>
      <c r="F105" s="223"/>
      <c r="G105" s="223"/>
      <c r="H105" s="223"/>
      <c r="I105" s="224"/>
    </row>
    <row r="106" spans="1:9" ht="7.5" customHeight="1" x14ac:dyDescent="0.15">
      <c r="A106" s="4"/>
      <c r="B106" s="4"/>
      <c r="C106" s="4"/>
      <c r="D106" s="4"/>
      <c r="E106" s="4"/>
      <c r="F106" s="4"/>
      <c r="G106" s="4"/>
      <c r="H106" s="4"/>
      <c r="I106" s="4"/>
    </row>
    <row r="107" spans="1:9" ht="18.75" customHeight="1" x14ac:dyDescent="0.15">
      <c r="A107" s="1" t="s">
        <v>29</v>
      </c>
      <c r="B107" s="234" t="s">
        <v>44</v>
      </c>
      <c r="C107" s="234"/>
      <c r="D107" s="234"/>
      <c r="E107" s="234"/>
      <c r="F107" s="234"/>
      <c r="G107" s="234"/>
      <c r="H107" s="234"/>
      <c r="I107" s="234"/>
    </row>
    <row r="108" spans="1:9" ht="18.75" customHeight="1" x14ac:dyDescent="0.15">
      <c r="A108" s="4"/>
      <c r="B108" s="214" t="s">
        <v>151</v>
      </c>
      <c r="C108" s="215"/>
      <c r="D108" s="215"/>
      <c r="E108" s="215"/>
      <c r="F108" s="215"/>
      <c r="G108" s="215"/>
      <c r="H108" s="215"/>
      <c r="I108" s="216"/>
    </row>
    <row r="109" spans="1:9" ht="18.75" customHeight="1" x14ac:dyDescent="0.15">
      <c r="A109" s="4"/>
      <c r="B109" s="220"/>
      <c r="C109" s="221"/>
      <c r="D109" s="221"/>
      <c r="E109" s="221"/>
      <c r="F109" s="221"/>
      <c r="G109" s="221"/>
      <c r="H109" s="221"/>
      <c r="I109" s="219"/>
    </row>
    <row r="110" spans="1:9" ht="18.75" customHeight="1" x14ac:dyDescent="0.15">
      <c r="A110" s="4"/>
      <c r="B110" s="220"/>
      <c r="C110" s="221"/>
      <c r="D110" s="221"/>
      <c r="E110" s="221"/>
      <c r="F110" s="221"/>
      <c r="G110" s="221"/>
      <c r="H110" s="221"/>
      <c r="I110" s="219"/>
    </row>
    <row r="111" spans="1:9" ht="18.75" customHeight="1" x14ac:dyDescent="0.15">
      <c r="A111" s="4"/>
      <c r="B111" s="220"/>
      <c r="C111" s="221"/>
      <c r="D111" s="221"/>
      <c r="E111" s="221"/>
      <c r="F111" s="221"/>
      <c r="G111" s="221"/>
      <c r="H111" s="221"/>
      <c r="I111" s="219"/>
    </row>
    <row r="112" spans="1:9" ht="18.75" customHeight="1" x14ac:dyDescent="0.15">
      <c r="A112" s="4"/>
      <c r="B112" s="220"/>
      <c r="C112" s="221"/>
      <c r="D112" s="221"/>
      <c r="E112" s="221"/>
      <c r="F112" s="221"/>
      <c r="G112" s="221"/>
      <c r="H112" s="221"/>
      <c r="I112" s="219"/>
    </row>
    <row r="113" spans="1:9" ht="18.75" customHeight="1" x14ac:dyDescent="0.15">
      <c r="A113" s="4"/>
      <c r="B113" s="220"/>
      <c r="C113" s="221"/>
      <c r="D113" s="221"/>
      <c r="E113" s="221"/>
      <c r="F113" s="221"/>
      <c r="G113" s="221"/>
      <c r="H113" s="221"/>
      <c r="I113" s="219"/>
    </row>
    <row r="114" spans="1:9" ht="18.75" customHeight="1" x14ac:dyDescent="0.15">
      <c r="A114" s="4"/>
      <c r="B114" s="220"/>
      <c r="C114" s="221"/>
      <c r="D114" s="221"/>
      <c r="E114" s="221"/>
      <c r="F114" s="221"/>
      <c r="G114" s="221"/>
      <c r="H114" s="221"/>
      <c r="I114" s="219"/>
    </row>
    <row r="115" spans="1:9" ht="18.75" customHeight="1" x14ac:dyDescent="0.15">
      <c r="A115" s="4"/>
      <c r="B115" s="220"/>
      <c r="C115" s="221"/>
      <c r="D115" s="221"/>
      <c r="E115" s="221"/>
      <c r="F115" s="221"/>
      <c r="G115" s="221"/>
      <c r="H115" s="221"/>
      <c r="I115" s="219"/>
    </row>
    <row r="116" spans="1:9" ht="18.75" customHeight="1" x14ac:dyDescent="0.15">
      <c r="A116" s="4"/>
      <c r="B116" s="220"/>
      <c r="C116" s="221"/>
      <c r="D116" s="221"/>
      <c r="E116" s="221"/>
      <c r="F116" s="221"/>
      <c r="G116" s="221"/>
      <c r="H116" s="221"/>
      <c r="I116" s="219"/>
    </row>
    <row r="117" spans="1:9" ht="18.75" customHeight="1" x14ac:dyDescent="0.15">
      <c r="A117" s="4"/>
      <c r="B117" s="220"/>
      <c r="C117" s="221"/>
      <c r="D117" s="221"/>
      <c r="E117" s="221"/>
      <c r="F117" s="221"/>
      <c r="G117" s="221"/>
      <c r="H117" s="221"/>
      <c r="I117" s="219"/>
    </row>
    <row r="118" spans="1:9" ht="18.75" customHeight="1" x14ac:dyDescent="0.15">
      <c r="A118" s="4"/>
      <c r="B118" s="220"/>
      <c r="C118" s="221"/>
      <c r="D118" s="221"/>
      <c r="E118" s="221"/>
      <c r="F118" s="221"/>
      <c r="G118" s="221"/>
      <c r="H118" s="221"/>
      <c r="I118" s="219"/>
    </row>
    <row r="119" spans="1:9" ht="18.75" customHeight="1" x14ac:dyDescent="0.15">
      <c r="A119" s="4"/>
      <c r="B119" s="222"/>
      <c r="C119" s="223"/>
      <c r="D119" s="223"/>
      <c r="E119" s="223"/>
      <c r="F119" s="223"/>
      <c r="G119" s="223"/>
      <c r="H119" s="223"/>
      <c r="I119" s="224"/>
    </row>
    <row r="120" spans="1:9" ht="7.5" customHeight="1" x14ac:dyDescent="0.15">
      <c r="A120" s="4"/>
      <c r="B120" s="39"/>
      <c r="C120" s="39"/>
      <c r="D120" s="39"/>
      <c r="E120" s="39"/>
      <c r="F120" s="39"/>
      <c r="G120" s="39"/>
      <c r="H120" s="39"/>
      <c r="I120" s="39"/>
    </row>
    <row r="121" spans="1:9" ht="18.75" customHeight="1" x14ac:dyDescent="0.15">
      <c r="A121" s="69"/>
      <c r="B121" s="209"/>
      <c r="C121" s="209"/>
      <c r="D121" s="209"/>
      <c r="E121" s="209"/>
      <c r="F121" s="209"/>
      <c r="G121" s="209"/>
      <c r="H121" s="209"/>
      <c r="I121" s="209"/>
    </row>
    <row r="122" spans="1:9" ht="18.75" customHeight="1" x14ac:dyDescent="0.15">
      <c r="A122" s="69"/>
      <c r="B122" s="209"/>
      <c r="C122" s="209"/>
      <c r="D122" s="209"/>
      <c r="E122" s="209"/>
      <c r="F122" s="209"/>
      <c r="G122" s="209"/>
      <c r="H122" s="209"/>
      <c r="I122" s="209"/>
    </row>
    <row r="123" spans="1:9" ht="18.75" customHeight="1" x14ac:dyDescent="0.15">
      <c r="A123" s="4"/>
      <c r="B123" s="73"/>
      <c r="C123" s="73"/>
      <c r="D123" s="73"/>
      <c r="E123" s="73"/>
      <c r="F123" s="73"/>
      <c r="G123" s="73"/>
      <c r="H123" s="73"/>
      <c r="I123" s="74"/>
    </row>
    <row r="124" spans="1:9" ht="18.75" customHeight="1" x14ac:dyDescent="0.15">
      <c r="A124" s="4"/>
      <c r="B124" s="74"/>
      <c r="C124" s="74"/>
      <c r="D124" s="74"/>
      <c r="E124" s="74"/>
      <c r="F124" s="74"/>
      <c r="G124" s="74"/>
      <c r="H124" s="74"/>
      <c r="I124" s="74"/>
    </row>
    <row r="125" spans="1:9" ht="18.75" customHeight="1" x14ac:dyDescent="0.15">
      <c r="A125" s="4"/>
      <c r="B125" s="74"/>
      <c r="C125" s="74"/>
      <c r="D125" s="74"/>
      <c r="E125" s="74"/>
      <c r="F125" s="74"/>
      <c r="G125" s="74"/>
      <c r="H125" s="74"/>
      <c r="I125" s="74"/>
    </row>
    <row r="126" spans="1:9" ht="18.75" customHeight="1" x14ac:dyDescent="0.15">
      <c r="A126" s="4"/>
      <c r="B126" s="74"/>
      <c r="C126" s="74"/>
      <c r="D126" s="74"/>
      <c r="E126" s="74"/>
      <c r="F126" s="74"/>
      <c r="G126" s="74"/>
      <c r="H126" s="74"/>
      <c r="I126" s="74"/>
    </row>
    <row r="127" spans="1:9" ht="18.75" customHeight="1" x14ac:dyDescent="0.15">
      <c r="A127" s="4"/>
      <c r="B127" s="74"/>
      <c r="C127" s="74"/>
      <c r="D127" s="74"/>
      <c r="E127" s="74"/>
      <c r="F127" s="74"/>
      <c r="G127" s="74"/>
      <c r="H127" s="74"/>
      <c r="I127" s="74"/>
    </row>
    <row r="128" spans="1:9" ht="18.75" customHeight="1" x14ac:dyDescent="0.15">
      <c r="A128" s="4"/>
      <c r="B128" s="74"/>
      <c r="C128" s="74"/>
      <c r="D128" s="74"/>
      <c r="E128" s="74"/>
      <c r="F128" s="74"/>
      <c r="G128" s="74"/>
      <c r="H128" s="74"/>
      <c r="I128" s="74"/>
    </row>
    <row r="129" spans="1:9" ht="18.75" customHeight="1" x14ac:dyDescent="0.15">
      <c r="A129" s="4"/>
      <c r="B129" s="74"/>
      <c r="C129" s="74"/>
      <c r="D129" s="74"/>
      <c r="E129" s="74"/>
      <c r="F129" s="74"/>
      <c r="G129" s="74"/>
      <c r="H129" s="74"/>
      <c r="I129" s="74"/>
    </row>
    <row r="130" spans="1:9" ht="18.75" customHeight="1" x14ac:dyDescent="0.15">
      <c r="A130" s="4"/>
      <c r="B130" s="74"/>
      <c r="C130" s="74"/>
      <c r="D130" s="74"/>
      <c r="E130" s="74"/>
      <c r="F130" s="74"/>
      <c r="G130" s="74"/>
      <c r="H130" s="74"/>
      <c r="I130" s="74"/>
    </row>
    <row r="131" spans="1:9" ht="18.75" customHeight="1" x14ac:dyDescent="0.15">
      <c r="A131" s="4"/>
      <c r="B131" s="74"/>
      <c r="C131" s="74"/>
      <c r="D131" s="74"/>
      <c r="E131" s="74"/>
      <c r="F131" s="74"/>
      <c r="G131" s="74"/>
      <c r="H131" s="74"/>
      <c r="I131" s="74"/>
    </row>
    <row r="132" spans="1:9" ht="18.75" customHeight="1" x14ac:dyDescent="0.15">
      <c r="A132" s="4"/>
      <c r="B132" s="74"/>
      <c r="C132" s="74"/>
      <c r="D132" s="74"/>
      <c r="E132" s="74"/>
      <c r="F132" s="74"/>
      <c r="G132" s="74"/>
      <c r="H132" s="74"/>
      <c r="I132" s="74"/>
    </row>
    <row r="133" spans="1:9" ht="14.25" x14ac:dyDescent="0.15">
      <c r="A133" s="4"/>
      <c r="B133" s="74"/>
      <c r="C133" s="74"/>
      <c r="D133" s="74"/>
      <c r="E133" s="74"/>
      <c r="F133" s="74"/>
      <c r="G133" s="74"/>
      <c r="H133" s="74"/>
      <c r="I133" s="74"/>
    </row>
    <row r="134" spans="1:9" ht="7.5" customHeight="1" x14ac:dyDescent="0.15">
      <c r="A134" s="4"/>
      <c r="B134" s="74"/>
      <c r="C134" s="74"/>
      <c r="D134" s="74"/>
      <c r="E134" s="74"/>
      <c r="F134" s="74"/>
      <c r="G134" s="74"/>
      <c r="H134" s="74"/>
      <c r="I134" s="74"/>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85" zoomScaleNormal="100" zoomScaleSheetLayoutView="85" workbookViewId="0"/>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67</v>
      </c>
      <c r="I1" s="30" t="s">
        <v>95</v>
      </c>
    </row>
    <row r="2" spans="1:9" ht="18.75" customHeight="1" x14ac:dyDescent="0.15">
      <c r="H2" s="30" t="s">
        <v>98</v>
      </c>
      <c r="I2" s="29" t="str">
        <f>'様式１-１　プログラムを構成する授業科目'!C2</f>
        <v>上武大学</v>
      </c>
    </row>
    <row r="3" spans="1:9" ht="18.75" customHeight="1" x14ac:dyDescent="0.15">
      <c r="A3" s="210" t="s">
        <v>27</v>
      </c>
      <c r="B3" s="210"/>
      <c r="C3" s="210"/>
      <c r="D3" s="210"/>
      <c r="E3" s="210"/>
      <c r="F3" s="210"/>
      <c r="G3" s="210"/>
      <c r="H3" s="210"/>
      <c r="I3" s="210"/>
    </row>
    <row r="4" spans="1:9" ht="18.75" customHeight="1" x14ac:dyDescent="0.15">
      <c r="A4" s="5"/>
      <c r="B4" s="5"/>
      <c r="C4" s="5"/>
      <c r="D4" s="5"/>
      <c r="E4" s="5"/>
      <c r="F4" s="5"/>
      <c r="G4" s="5"/>
      <c r="H4" s="5"/>
      <c r="I4" s="5"/>
    </row>
    <row r="5" spans="1:9" ht="18.75" customHeight="1" x14ac:dyDescent="0.15">
      <c r="A5" s="1" t="s">
        <v>0</v>
      </c>
      <c r="B5" s="10" t="s">
        <v>89</v>
      </c>
      <c r="C5" s="5"/>
      <c r="D5" s="5"/>
      <c r="E5" s="5"/>
      <c r="F5" s="5"/>
      <c r="G5" s="5"/>
      <c r="H5" s="5"/>
      <c r="I5" s="5"/>
    </row>
    <row r="6" spans="1:9" ht="26.25" customHeight="1" x14ac:dyDescent="0.15">
      <c r="A6" s="5"/>
      <c r="B6" s="225" t="s">
        <v>199</v>
      </c>
      <c r="C6" s="260"/>
      <c r="D6" s="260"/>
      <c r="E6" s="260"/>
      <c r="F6" s="260"/>
      <c r="G6" s="260"/>
      <c r="H6" s="261"/>
      <c r="I6" s="3"/>
    </row>
    <row r="7" spans="1:9" ht="9" customHeight="1" x14ac:dyDescent="0.15">
      <c r="A7" s="5"/>
      <c r="B7" s="10"/>
      <c r="C7" s="10"/>
      <c r="D7" s="10"/>
      <c r="E7" s="10"/>
      <c r="F7" s="10"/>
      <c r="G7" s="10"/>
      <c r="H7" s="10"/>
      <c r="I7" s="3"/>
    </row>
    <row r="8" spans="1:9" ht="18.75" customHeight="1" x14ac:dyDescent="0.15">
      <c r="A8" s="5"/>
      <c r="B8" s="3"/>
      <c r="C8" s="3"/>
      <c r="D8" s="30" t="s">
        <v>41</v>
      </c>
      <c r="E8" s="31" t="s">
        <v>136</v>
      </c>
      <c r="F8" s="3"/>
      <c r="G8" s="30" t="s">
        <v>10</v>
      </c>
      <c r="H8" s="31" t="s">
        <v>137</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109" t="s">
        <v>23</v>
      </c>
      <c r="C11" s="110"/>
      <c r="D11" s="111"/>
      <c r="E11" s="110" t="s">
        <v>25</v>
      </c>
      <c r="F11" s="110"/>
      <c r="G11" s="110"/>
      <c r="H11" s="110"/>
      <c r="I11" s="111"/>
    </row>
    <row r="12" spans="1:9" ht="26.25" customHeight="1" x14ac:dyDescent="0.15">
      <c r="B12" s="40" t="s">
        <v>13</v>
      </c>
      <c r="C12" s="47"/>
      <c r="D12" s="41"/>
      <c r="E12" s="48"/>
      <c r="F12" s="48"/>
      <c r="G12" s="48"/>
      <c r="H12" s="48"/>
      <c r="I12" s="41"/>
    </row>
    <row r="13" spans="1:9" ht="210.75" customHeight="1" x14ac:dyDescent="0.15">
      <c r="B13" s="42"/>
      <c r="C13" s="243" t="s">
        <v>14</v>
      </c>
      <c r="D13" s="244"/>
      <c r="E13" s="256" t="s">
        <v>161</v>
      </c>
      <c r="F13" s="245"/>
      <c r="G13" s="245"/>
      <c r="H13" s="245"/>
      <c r="I13" s="246"/>
    </row>
    <row r="14" spans="1:9" ht="210.75" customHeight="1" x14ac:dyDescent="0.15">
      <c r="B14" s="42"/>
      <c r="C14" s="258" t="s">
        <v>15</v>
      </c>
      <c r="D14" s="259"/>
      <c r="E14" s="256" t="s">
        <v>200</v>
      </c>
      <c r="F14" s="245"/>
      <c r="G14" s="245"/>
      <c r="H14" s="245"/>
      <c r="I14" s="246"/>
    </row>
    <row r="15" spans="1:9" ht="210.75" customHeight="1" x14ac:dyDescent="0.15">
      <c r="B15" s="42"/>
      <c r="C15" s="243" t="s">
        <v>16</v>
      </c>
      <c r="D15" s="244"/>
      <c r="E15" s="256" t="s">
        <v>162</v>
      </c>
      <c r="F15" s="245"/>
      <c r="G15" s="245"/>
      <c r="H15" s="245"/>
      <c r="I15" s="246"/>
    </row>
    <row r="16" spans="1:9" ht="210.75" customHeight="1" x14ac:dyDescent="0.15">
      <c r="B16" s="42"/>
      <c r="C16" s="243" t="s">
        <v>17</v>
      </c>
      <c r="D16" s="244"/>
      <c r="E16" s="256" t="s">
        <v>163</v>
      </c>
      <c r="F16" s="245"/>
      <c r="G16" s="245"/>
      <c r="H16" s="245"/>
      <c r="I16" s="246"/>
    </row>
    <row r="17" spans="2:9" ht="210.75" customHeight="1" x14ac:dyDescent="0.15">
      <c r="B17" s="43"/>
      <c r="C17" s="247" t="s">
        <v>18</v>
      </c>
      <c r="D17" s="248"/>
      <c r="E17" s="257" t="s">
        <v>168</v>
      </c>
      <c r="F17" s="249"/>
      <c r="G17" s="249"/>
      <c r="H17" s="249"/>
      <c r="I17" s="250"/>
    </row>
    <row r="18" spans="2:9" ht="24" customHeight="1" x14ac:dyDescent="0.15">
      <c r="B18" s="40" t="s">
        <v>19</v>
      </c>
      <c r="C18" s="44"/>
      <c r="D18" s="45"/>
      <c r="E18" s="46"/>
      <c r="F18" s="46"/>
      <c r="G18" s="46"/>
      <c r="H18" s="46"/>
      <c r="I18" s="49"/>
    </row>
    <row r="19" spans="2:9" ht="218.25" customHeight="1" x14ac:dyDescent="0.15">
      <c r="B19" s="42"/>
      <c r="C19" s="243" t="s">
        <v>20</v>
      </c>
      <c r="D19" s="244"/>
      <c r="E19" s="245" t="s">
        <v>165</v>
      </c>
      <c r="F19" s="245"/>
      <c r="G19" s="245"/>
      <c r="H19" s="245"/>
      <c r="I19" s="246"/>
    </row>
    <row r="20" spans="2:9" ht="218.25" customHeight="1" x14ac:dyDescent="0.15">
      <c r="B20" s="43"/>
      <c r="C20" s="247" t="s">
        <v>21</v>
      </c>
      <c r="D20" s="248"/>
      <c r="E20" s="249" t="s">
        <v>201</v>
      </c>
      <c r="F20" s="249"/>
      <c r="G20" s="249"/>
      <c r="H20" s="249"/>
      <c r="I20" s="250"/>
    </row>
    <row r="21" spans="2:9" ht="218.25" customHeight="1" x14ac:dyDescent="0.15">
      <c r="B21" s="251" t="s">
        <v>22</v>
      </c>
      <c r="C21" s="252"/>
      <c r="D21" s="253"/>
      <c r="E21" s="254" t="s">
        <v>164</v>
      </c>
      <c r="F21" s="254"/>
      <c r="G21" s="254"/>
      <c r="H21" s="254"/>
      <c r="I21" s="255"/>
    </row>
    <row r="22" spans="2:9" ht="218.25" customHeight="1" x14ac:dyDescent="0.15">
      <c r="B22" s="238" t="s">
        <v>135</v>
      </c>
      <c r="C22" s="239"/>
      <c r="D22" s="240"/>
      <c r="E22" s="241" t="s">
        <v>202</v>
      </c>
      <c r="F22" s="241"/>
      <c r="G22" s="241"/>
      <c r="H22" s="241"/>
      <c r="I22" s="242"/>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様式１-１　プログラムを構成する授業科目</vt:lpstr>
      <vt:lpstr>様式１-２　プログラムを構成する授業科目</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'様式１-２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yuji T</cp:lastModifiedBy>
  <cp:lastPrinted>2024-04-22T04:04:41Z</cp:lastPrinted>
  <dcterms:created xsi:type="dcterms:W3CDTF">2011-06-14T05:32:50Z</dcterms:created>
  <dcterms:modified xsi:type="dcterms:W3CDTF">2024-06-11T12:29:06Z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