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0"/>
  <workbookPr defaultThemeVersion="124226"/>
  <mc:AlternateContent xmlns:mc="http://schemas.openxmlformats.org/markup-compatibility/2006">
    <mc:Choice Requires="x15">
      <x15ac:absPath xmlns:x15ac="http://schemas.microsoft.com/office/spreadsheetml/2010/11/ac" url="P:\62共通教育機構事務室\33_数理・データサイエンス・AI申請\申請作業\文部科学省\2024年度申請用（2023年度実績）\03_申請データ\02_申請用\01_提出したデータ\（再）桃山学院大学\01_桃山学院大学_リテラシー\"/>
    </mc:Choice>
  </mc:AlternateContent>
  <xr:revisionPtr revIDLastSave="0" documentId="13_ncr:1_{F0512970-34FF-40C0-B948-B5D7893F89B3}" xr6:coauthVersionLast="36" xr6:coauthVersionMax="47" xr10:uidLastSave="{00000000-0000-0000-0000-000000000000}"/>
  <bookViews>
    <workbookView xWindow="0" yWindow="0" windowWidth="20490" windowHeight="7230" tabRatio="885" xr2:uid="{00000000-000D-0000-FFFF-FFFF00000000}"/>
  </bookViews>
  <sheets>
    <sheet name="様式１-①　プログラムを構成する授業科目" sheetId="39" r:id="rId1"/>
    <sheet name="様式１-②　プログラムを構成する授業科目 "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'様式１-①　プログラムを構成する授業科目'!$X$16:$X$18</definedName>
    <definedName name="_xlnm._FilterDatabase" localSheetId="1" hidden="1">'様式１-②　プログラムを構成する授業科目 '!$X$16:$X$18</definedName>
    <definedName name="_xlnm._FilterDatabase" localSheetId="2" hidden="1">'様式２ 履修者等数の実績'!#REF!</definedName>
    <definedName name="_xlnm.Print_Area" localSheetId="0">'様式１-①　プログラムを構成する授業科目'!$A$1:$U$112</definedName>
    <definedName name="_xlnm.Print_Area" localSheetId="1">'様式１-②　プログラムを構成する授業科目 '!$A$1:$U$112</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91029"/>
</workbook>
</file>

<file path=xl/calcChain.xml><?xml version="1.0" encoding="utf-8"?>
<calcChain xmlns="http://schemas.openxmlformats.org/spreadsheetml/2006/main">
  <c r="H33" i="40" l="1"/>
  <c r="M7" i="40" l="1"/>
  <c r="I2" i="42"/>
  <c r="H2" i="41"/>
  <c r="Q2" i="40"/>
  <c r="I33" i="40" l="1"/>
  <c r="M33" i="40"/>
  <c r="P33" i="40"/>
  <c r="Q33" i="40"/>
  <c r="O33" i="40"/>
  <c r="N33" i="40"/>
  <c r="L33" i="40"/>
  <c r="J33" i="40"/>
  <c r="K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<sst xmlns="http://schemas.openxmlformats.org/spreadsheetml/2006/main" count="426" uniqueCount="204">
  <si>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</si>
  <si>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</si>
  <si>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</si>
  <si>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</si>
  <si>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</si>
  <si>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</si>
  <si>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</si>
  <si>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</si>
  <si>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</si>
  <si>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</si>
  <si>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</si>
  <si>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</si>
  <si>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</si>
  <si>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</si>
  <si>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</si>
  <si>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</si>
  <si>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</si>
  <si>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</si>
  <si>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</si>
  <si>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</si>
  <si>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</si>
  <si>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</si>
  <si>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</si>
  <si>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</si>
  <si>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</si>
  <si>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</si>
  <si>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</si>
  <si>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</si>
  <si>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</si>
  <si>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</si>
  <si>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</si>
  <si>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</si>
  <si>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</si>
  <si>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</si>
  <si>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</si>
  <si>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</si>
  <si>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</si>
  <si>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</si>
  <si>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</si>
  <si>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</si>
  <si>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</si>
  <si>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</si>
  <si>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</si>
  <si>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</si>
  <si>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</si>
  <si>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</si>
  <si>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</si>
  <si>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</si>
  <si>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</si>
  <si>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</si>
  <si>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</si>
  <si>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</si>
  <si>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</si>
  <si>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</si>
  <si>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</si>
  <si>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</si>
  <si>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</si>
  <si>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</si>
  <si>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</si>
  <si>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</si>
  <si>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</si>
  <si>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</si>
  <si>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</si>
  <si>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</si>
  <si>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</si>
  <si>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</si>
  <si>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</si>
  <si>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</si>
  <si>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</si>
  <si>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</si>
  <si>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</si>
  <si>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</si>
  <si>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</si>
  <si>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</si>
  <si>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</si>
  <si>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</si>
  <si>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</si>
  <si>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</si>
  <si>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</si>
  <si>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</si>
  <si>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</si>
  <si>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</si>
  <si>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</si>
  <si>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</si>
  <si>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</si>
  <si>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</si>
  <si>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</si>
  <si>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</si>
  <si>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</si>
  <si>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</si>
  <si>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</si>
  <si>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</si>
  <si>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</si>
  <si>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</si>
  <si>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</si>
  <si>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</si>
  <si>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</si>
  <si>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</si>
  <si>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</si>
  <si>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</si>
  <si>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</si>
  <si>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</si>
  <si>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</si>
  <si>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</si>
  <si>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</si>
  <si>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</si>
  <si>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</si>
  <si>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</si>
  <si>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</si>
  <si>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</si>
  <si>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</si>
  <si>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</si>
  <si>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</si>
  <si>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</si>
  <si>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</si>
  <si>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</si>
  <si>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</si>
  <si>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</si>
  <si>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</si>
  <si>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</si>
  <si>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</si>
  <si>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</si>
  <si>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</si>
  <si>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</si>
  <si>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</si>
  <si>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</si>
  <si>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</si>
  <si>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</si>
  <si>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</si>
  <si>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</si>
  <si>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</si>
  <si>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</si>
  <si>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</si>
  <si>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</si>
  <si>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</si>
  <si>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桃山学院大学</t>
    <rPh sb="0" eb="6">
      <t>モモヤマガクインダイガク</t>
    </rPh>
    <phoneticPr fontId="1"/>
  </si>
  <si>
    <t>経済学部</t>
    <rPh sb="0" eb="2">
      <t>ケイザイ</t>
    </rPh>
    <rPh sb="2" eb="4">
      <t>ガクブ</t>
    </rPh>
    <phoneticPr fontId="1"/>
  </si>
  <si>
    <t>データサイエンス基礎</t>
    <rPh sb="8" eb="10">
      <t>キソ</t>
    </rPh>
    <phoneticPr fontId="1"/>
  </si>
  <si>
    <t>○</t>
  </si>
  <si>
    <t>データサイエンス基礎</t>
    <phoneticPr fontId="1"/>
  </si>
  <si>
    <t>4‐8データ活用実践（教師あり学習）</t>
  </si>
  <si>
    <t>「社会で起きている変化」
・データを起点としたものの見方、人間の知的活動を起点としたものの見方「データサイエンス基礎」（１回目）</t>
    <rPh sb="18" eb="20">
      <t>キテン</t>
    </rPh>
    <rPh sb="26" eb="28">
      <t>ミカタ</t>
    </rPh>
    <rPh sb="29" eb="31">
      <t>ニンゲン</t>
    </rPh>
    <rPh sb="32" eb="34">
      <t>チテキ</t>
    </rPh>
    <rPh sb="34" eb="36">
      <t>カツドウ</t>
    </rPh>
    <rPh sb="37" eb="39">
      <t>キテン</t>
    </rPh>
    <rPh sb="45" eb="47">
      <t>ミカタ</t>
    </rPh>
    <rPh sb="56" eb="58">
      <t>キソ</t>
    </rPh>
    <rPh sb="62" eb="63">
      <t>メ</t>
    </rPh>
    <phoneticPr fontId="1"/>
  </si>
  <si>
    <t>「データ・AIを扱う上での留意事項」
・個人情報保護、EU一般データ保護規則（GDPR）、忘れられる権利、オプトアウト「データサイエンス基礎」（12回目、13回目）
・データ倫理：データのねつ造、改ざん、盗用、プライバシー保護「データサイエンス基礎」（12回目、13回目）</t>
    <rPh sb="20" eb="22">
      <t>コジン</t>
    </rPh>
    <rPh sb="22" eb="24">
      <t>ジョウホウ</t>
    </rPh>
    <rPh sb="24" eb="26">
      <t>ホゴ</t>
    </rPh>
    <rPh sb="29" eb="31">
      <t>イッパン</t>
    </rPh>
    <rPh sb="34" eb="36">
      <t>ホゴ</t>
    </rPh>
    <rPh sb="36" eb="38">
      <t>キソク</t>
    </rPh>
    <rPh sb="45" eb="46">
      <t>ワス</t>
    </rPh>
    <rPh sb="50" eb="52">
      <t>ケンリ</t>
    </rPh>
    <rPh sb="87" eb="89">
      <t>リンリ</t>
    </rPh>
    <rPh sb="98" eb="99">
      <t>カイ</t>
    </rPh>
    <rPh sb="102" eb="104">
      <t>トウヨウ</t>
    </rPh>
    <rPh sb="111" eb="113">
      <t>ホゴ</t>
    </rPh>
    <phoneticPr fontId="1"/>
  </si>
  <si>
    <t>「データを守る上での留意事項」
・情報セキュリティ：機密性、完全性、可用性「データサイエンス基礎」（14回目）
・情報漏洩等によるセキュリティ事故の事例紹介「データサイエンス基礎」（14回目）</t>
    <rPh sb="17" eb="19">
      <t>ジョウホウ</t>
    </rPh>
    <rPh sb="26" eb="29">
      <t>キミツセイ</t>
    </rPh>
    <rPh sb="30" eb="33">
      <t>カンゼンセイ</t>
    </rPh>
    <rPh sb="34" eb="37">
      <t>カヨウセイ</t>
    </rPh>
    <rPh sb="57" eb="59">
      <t>ジョウホウ</t>
    </rPh>
    <rPh sb="59" eb="61">
      <t>ロウエイ</t>
    </rPh>
    <rPh sb="61" eb="62">
      <t>トウ</t>
    </rPh>
    <rPh sb="71" eb="73">
      <t>ジコ</t>
    </rPh>
    <rPh sb="74" eb="76">
      <t>ジレイ</t>
    </rPh>
    <rPh sb="76" eb="78">
      <t>ショウカイ</t>
    </rPh>
    <phoneticPr fontId="1"/>
  </si>
  <si>
    <t>・社会におけるデータサイエンスの利活用の現状を正しく把握することができる
・データサイエンスの基礎知識を身につけ、それらを適切な場面で活用することができる
・課題解決のために適切にデータを取得して、分析・説明するための基礎的な能力を身につけることができる</t>
    <phoneticPr fontId="1"/>
  </si>
  <si>
    <t>社会学部</t>
    <rPh sb="0" eb="2">
      <t>シャカイ</t>
    </rPh>
    <rPh sb="2" eb="4">
      <t>ガクブ</t>
    </rPh>
    <phoneticPr fontId="1"/>
  </si>
  <si>
    <t>経営学部</t>
    <rPh sb="0" eb="2">
      <t>ケイエイ</t>
    </rPh>
    <rPh sb="2" eb="4">
      <t>ガクブ</t>
    </rPh>
    <phoneticPr fontId="1"/>
  </si>
  <si>
    <t>国際教養学部</t>
    <rPh sb="0" eb="2">
      <t>コクサイ</t>
    </rPh>
    <rPh sb="2" eb="4">
      <t>キョウヨウ</t>
    </rPh>
    <rPh sb="4" eb="6">
      <t>ガクブ</t>
    </rPh>
    <phoneticPr fontId="1"/>
  </si>
  <si>
    <t>法学部</t>
    <rPh sb="0" eb="3">
      <t>ホウガクブ</t>
    </rPh>
    <phoneticPr fontId="1"/>
  </si>
  <si>
    <t>ビジネスデザイン学部</t>
    <rPh sb="8" eb="10">
      <t>ガクブ</t>
    </rPh>
    <phoneticPr fontId="1"/>
  </si>
  <si>
    <t>藤間　　真</t>
    <rPh sb="0" eb="2">
      <t>トウマ</t>
    </rPh>
    <rPh sb="4" eb="5">
      <t>マコト</t>
    </rPh>
    <phoneticPr fontId="1"/>
  </si>
  <si>
    <t>データサイエンス教育運営会議長</t>
    <rPh sb="8" eb="10">
      <t>キョウイク</t>
    </rPh>
    <rPh sb="10" eb="12">
      <t>ウンエイ</t>
    </rPh>
    <rPh sb="12" eb="14">
      <t>カイギ</t>
    </rPh>
    <rPh sb="14" eb="15">
      <t>チョウ</t>
    </rPh>
    <phoneticPr fontId="1"/>
  </si>
  <si>
    <t>データサイエンス教育運営会議</t>
    <rPh sb="8" eb="10">
      <t>キョウイク</t>
    </rPh>
    <rPh sb="10" eb="12">
      <t>ウンエイ</t>
    </rPh>
    <rPh sb="12" eb="14">
      <t>カイギ</t>
    </rPh>
    <phoneticPr fontId="1"/>
  </si>
  <si>
    <t>藤間　　真</t>
    <phoneticPr fontId="1"/>
  </si>
  <si>
    <t>データサイエンス教育運営会議長</t>
    <phoneticPr fontId="1"/>
  </si>
  <si>
    <t>本学では、他者とのコミュニケーションを図る方法や、学業や社会活動で必要となる基礎的なアカデミックスキルを養うため、共通教育機構が開講する全学共通の基礎教育科目に「学びの基礎（リテラシー）」科目区分を設けている。この「学びの基礎（リテラシー）」科目区分の内、ITの基礎的な知識とスキルを習得することを目的とした「IT基礎」、数理・データサイエンス・AIに関する基礎的な知識とスキルを習得することを目的とした「データサイエンス基礎」等、本学における「データサイエンス教育」を適切かつ円滑に運営し、その充実・向上に資することを目的として共通教育機構の下に「データサイエンス教育運営会議（以下、会議）」を設置している。会議では、「データサイエンス教育」科目の開講、運営の他、その目的の達成度、運営の適切性を自己点検・評価し、学部の専門教育にも資するものとするため不断のプログラム改善を行うものとする。</t>
    <rPh sb="0" eb="2">
      <t>ホンガク</t>
    </rPh>
    <rPh sb="265" eb="267">
      <t>キョウツウ</t>
    </rPh>
    <rPh sb="267" eb="269">
      <t>キョウイク</t>
    </rPh>
    <rPh sb="269" eb="271">
      <t>キコウ</t>
    </rPh>
    <rPh sb="272" eb="273">
      <t>モト</t>
    </rPh>
    <rPh sb="290" eb="292">
      <t>イカ</t>
    </rPh>
    <rPh sb="293" eb="295">
      <t>カイギ</t>
    </rPh>
    <rPh sb="298" eb="300">
      <t>セッチ</t>
    </rPh>
    <rPh sb="305" eb="307">
      <t>カイギ</t>
    </rPh>
    <rPh sb="322" eb="324">
      <t>カモク</t>
    </rPh>
    <rPh sb="325" eb="327">
      <t>カイコウ</t>
    </rPh>
    <rPh sb="328" eb="330">
      <t>ウンエイ</t>
    </rPh>
    <rPh sb="331" eb="332">
      <t>ホカ</t>
    </rPh>
    <rPh sb="335" eb="337">
      <t>モクテキ</t>
    </rPh>
    <rPh sb="338" eb="340">
      <t>タッセイ</t>
    </rPh>
    <rPh sb="340" eb="341">
      <t>ド</t>
    </rPh>
    <rPh sb="342" eb="344">
      <t>ウンエイ</t>
    </rPh>
    <rPh sb="345" eb="348">
      <t>テキセツセイ</t>
    </rPh>
    <rPh sb="349" eb="351">
      <t>ジコ</t>
    </rPh>
    <rPh sb="351" eb="353">
      <t>テンケン</t>
    </rPh>
    <rPh sb="354" eb="356">
      <t>ヒョウカ</t>
    </rPh>
    <rPh sb="358" eb="360">
      <t>ガクブ</t>
    </rPh>
    <rPh sb="361" eb="363">
      <t>センモン</t>
    </rPh>
    <rPh sb="363" eb="365">
      <t>キョウイク</t>
    </rPh>
    <rPh sb="367" eb="368">
      <t>シ</t>
    </rPh>
    <phoneticPr fontId="1"/>
  </si>
  <si>
    <t>「データサイエンス基礎」は全学部生を対象とし、１年次生から履修できる共通科目として開講している。特に、基礎的なアカデミックスキルの涵養を目的とした科目区分「基礎教育科目」の「学びの基礎（リテラシー）」に位置付け、「数理・データサイエンス・AIに関する基礎的な知識とスキルを習得する」ことをカリキュラムのポリシーとしている。そのため、多くの学生が履修することを想定し、LMSを利用した完全なオンデマンド科目として設計し、学生が時間割の制約を受けずに自律的な学習によって単位修得できる環境を提供している。</t>
    <rPh sb="9" eb="11">
      <t>キソ</t>
    </rPh>
    <rPh sb="13" eb="14">
      <t>ゼン</t>
    </rPh>
    <rPh sb="14" eb="16">
      <t>ガクブ</t>
    </rPh>
    <rPh sb="16" eb="17">
      <t>セイ</t>
    </rPh>
    <rPh sb="18" eb="20">
      <t>タイショウ</t>
    </rPh>
    <rPh sb="24" eb="25">
      <t>ネン</t>
    </rPh>
    <rPh sb="25" eb="26">
      <t>ジ</t>
    </rPh>
    <rPh sb="26" eb="27">
      <t>セイ</t>
    </rPh>
    <rPh sb="29" eb="31">
      <t>リシュウ</t>
    </rPh>
    <rPh sb="34" eb="36">
      <t>キョウツウ</t>
    </rPh>
    <rPh sb="36" eb="38">
      <t>カモク</t>
    </rPh>
    <rPh sb="41" eb="43">
      <t>カイコウ</t>
    </rPh>
    <rPh sb="48" eb="49">
      <t>トク</t>
    </rPh>
    <rPh sb="51" eb="54">
      <t>キソテキ</t>
    </rPh>
    <rPh sb="65" eb="67">
      <t>カンヨウ</t>
    </rPh>
    <rPh sb="68" eb="70">
      <t>モクテキ</t>
    </rPh>
    <rPh sb="73" eb="75">
      <t>カモク</t>
    </rPh>
    <rPh sb="75" eb="77">
      <t>クブン</t>
    </rPh>
    <rPh sb="78" eb="80">
      <t>キソ</t>
    </rPh>
    <rPh sb="80" eb="82">
      <t>キョウイク</t>
    </rPh>
    <rPh sb="82" eb="84">
      <t>カモク</t>
    </rPh>
    <rPh sb="87" eb="88">
      <t>マナ</t>
    </rPh>
    <rPh sb="90" eb="92">
      <t>キソ</t>
    </rPh>
    <rPh sb="101" eb="104">
      <t>イチヅ</t>
    </rPh>
    <rPh sb="107" eb="109">
      <t>スウリ</t>
    </rPh>
    <rPh sb="122" eb="123">
      <t>カン</t>
    </rPh>
    <rPh sb="125" eb="128">
      <t>キソテキ</t>
    </rPh>
    <rPh sb="129" eb="131">
      <t>チシキ</t>
    </rPh>
    <rPh sb="136" eb="138">
      <t>シュウトク</t>
    </rPh>
    <rPh sb="166" eb="167">
      <t>オオ</t>
    </rPh>
    <rPh sb="169" eb="171">
      <t>ガクセイ</t>
    </rPh>
    <rPh sb="172" eb="174">
      <t>リシュウ</t>
    </rPh>
    <rPh sb="179" eb="181">
      <t>ソウテイ</t>
    </rPh>
    <rPh sb="187" eb="189">
      <t>リヨウ</t>
    </rPh>
    <rPh sb="191" eb="193">
      <t>カンゼン</t>
    </rPh>
    <rPh sb="200" eb="202">
      <t>カモク</t>
    </rPh>
    <rPh sb="205" eb="207">
      <t>セッケイ</t>
    </rPh>
    <rPh sb="209" eb="211">
      <t>ガクセイ</t>
    </rPh>
    <rPh sb="212" eb="215">
      <t>ジカンワリ</t>
    </rPh>
    <rPh sb="216" eb="218">
      <t>セイヤク</t>
    </rPh>
    <rPh sb="219" eb="220">
      <t>ウ</t>
    </rPh>
    <rPh sb="223" eb="225">
      <t>ジリツ</t>
    </rPh>
    <rPh sb="225" eb="226">
      <t>テキ</t>
    </rPh>
    <rPh sb="227" eb="229">
      <t>ガクシュウ</t>
    </rPh>
    <rPh sb="233" eb="235">
      <t>タンイ</t>
    </rPh>
    <rPh sb="235" eb="237">
      <t>シュウトク</t>
    </rPh>
    <rPh sb="240" eb="242">
      <t>カンキョウ</t>
    </rPh>
    <rPh sb="243" eb="245">
      <t>テイキョウ</t>
    </rPh>
    <phoneticPr fontId="1"/>
  </si>
  <si>
    <t>受講学生アンケートの「この授業は、総合的に判断して有益な授業でしたか」の項目に対し、54.5％が「そう思う」と回答し、36.7％が「どちらかと言えばそう思う」と回答していることから、本プログラムの運営は総合的に適切であったと考える。
更に、自由記述の項目では「オンデマンドのため自分のペースで学習できた」、「後半は難しかったが、とても面白い授業であった」と好意的に評価する声が多いことからも開講初年次としての講義導入の目的は果たせたと考える。
ただし、次のステップに進みたいという声も一定数あることから、本プログラムからの発展的科目の開設についても今後の検討が必要であると考える。</t>
    <rPh sb="36" eb="38">
      <t>コウモク</t>
    </rPh>
    <rPh sb="39" eb="40">
      <t>タイ</t>
    </rPh>
    <rPh sb="51" eb="52">
      <t>オモ</t>
    </rPh>
    <rPh sb="55" eb="57">
      <t>カイトウ</t>
    </rPh>
    <rPh sb="71" eb="72">
      <t>イ</t>
    </rPh>
    <rPh sb="76" eb="77">
      <t>オモ</t>
    </rPh>
    <rPh sb="80" eb="82">
      <t>カイトウ</t>
    </rPh>
    <rPh sb="91" eb="92">
      <t>ホン</t>
    </rPh>
    <rPh sb="98" eb="100">
      <t>ウンエイ</t>
    </rPh>
    <rPh sb="101" eb="104">
      <t>ソウゴウテキ</t>
    </rPh>
    <rPh sb="105" eb="107">
      <t>テキセツ</t>
    </rPh>
    <rPh sb="112" eb="113">
      <t>カンガ</t>
    </rPh>
    <rPh sb="117" eb="118">
      <t>サラ</t>
    </rPh>
    <rPh sb="120" eb="122">
      <t>ジユウ</t>
    </rPh>
    <rPh sb="122" eb="124">
      <t>キジュツ</t>
    </rPh>
    <rPh sb="125" eb="127">
      <t>コウモク</t>
    </rPh>
    <rPh sb="139" eb="141">
      <t>ジブン</t>
    </rPh>
    <rPh sb="146" eb="148">
      <t>ガクシュウ</t>
    </rPh>
    <rPh sb="154" eb="156">
      <t>コウハン</t>
    </rPh>
    <rPh sb="157" eb="158">
      <t>ムズカ</t>
    </rPh>
    <rPh sb="167" eb="169">
      <t>オモシロ</t>
    </rPh>
    <rPh sb="170" eb="172">
      <t>ジュギョウ</t>
    </rPh>
    <rPh sb="178" eb="181">
      <t>コウイテキ</t>
    </rPh>
    <rPh sb="182" eb="184">
      <t>ヒョウカ</t>
    </rPh>
    <rPh sb="186" eb="187">
      <t>コエ</t>
    </rPh>
    <rPh sb="188" eb="189">
      <t>オオ</t>
    </rPh>
    <rPh sb="195" eb="197">
      <t>カイコウ</t>
    </rPh>
    <rPh sb="197" eb="200">
      <t>ショネンジ</t>
    </rPh>
    <rPh sb="204" eb="206">
      <t>コウギ</t>
    </rPh>
    <rPh sb="206" eb="208">
      <t>ドウニュウ</t>
    </rPh>
    <rPh sb="209" eb="211">
      <t>モクテキ</t>
    </rPh>
    <rPh sb="212" eb="213">
      <t>ハ</t>
    </rPh>
    <rPh sb="217" eb="218">
      <t>カンガ</t>
    </rPh>
    <rPh sb="226" eb="227">
      <t>ツギ</t>
    </rPh>
    <rPh sb="233" eb="234">
      <t>スス</t>
    </rPh>
    <rPh sb="240" eb="241">
      <t>コエ</t>
    </rPh>
    <rPh sb="242" eb="245">
      <t>イッテイスウ</t>
    </rPh>
    <rPh sb="252" eb="253">
      <t>ホン</t>
    </rPh>
    <rPh sb="261" eb="264">
      <t>ハッテンテキ</t>
    </rPh>
    <rPh sb="264" eb="266">
      <t>カモク</t>
    </rPh>
    <rPh sb="267" eb="269">
      <t>カイセツ</t>
    </rPh>
    <rPh sb="274" eb="276">
      <t>コンゴ</t>
    </rPh>
    <rPh sb="277" eb="279">
      <t>ケントウ</t>
    </rPh>
    <rPh sb="280" eb="282">
      <t>ヒツヨウ</t>
    </rPh>
    <rPh sb="286" eb="287">
      <t>カンガ</t>
    </rPh>
    <phoneticPr fontId="1"/>
  </si>
  <si>
    <t>受講学生アンケートの「この授業をどのくらい理解できましたか」の項目に対し、回答者の45.5％が「良く理解できた」と回答し、残り54.5％も「まあまあ理解できた」と回答していることから、受講者に対する科目内容、レベルは適切であったと考える。
更に、「この授業に集中して取り組むことができましたか」の項目に対し、回答者の54.5％が「そう思う」と回答しており、授業は履修生が集中して取り組め、理解を得られる内容になっていたと考える。
ただし、自由記述において「難しい内容を理解する時間がかかった」、「全部は理解できなかったけど、ある程度分かった」等の難易度に関し「難しい」ととらえる声も一定数あることから、本プログラムの講義内容について、履修学生からの意見を集約、分析し、改善していくことが必要であると考える。</t>
    <rPh sb="167" eb="168">
      <t>オモ</t>
    </rPh>
    <rPh sb="178" eb="180">
      <t>ジュギョウ</t>
    </rPh>
    <rPh sb="181" eb="184">
      <t>リシュウセイ</t>
    </rPh>
    <rPh sb="185" eb="187">
      <t>シュウチュウ</t>
    </rPh>
    <rPh sb="189" eb="190">
      <t>ト</t>
    </rPh>
    <rPh sb="191" eb="192">
      <t>ク</t>
    </rPh>
    <rPh sb="194" eb="196">
      <t>リカイ</t>
    </rPh>
    <rPh sb="197" eb="198">
      <t>エ</t>
    </rPh>
    <rPh sb="201" eb="203">
      <t>ナイヨウ</t>
    </rPh>
    <rPh sb="210" eb="211">
      <t>カンガ</t>
    </rPh>
    <rPh sb="219" eb="221">
      <t>ジユウ</t>
    </rPh>
    <rPh sb="221" eb="223">
      <t>キジュツ</t>
    </rPh>
    <rPh sb="271" eb="272">
      <t>トウ</t>
    </rPh>
    <rPh sb="273" eb="276">
      <t>ナンイド</t>
    </rPh>
    <rPh sb="277" eb="278">
      <t>カン</t>
    </rPh>
    <rPh sb="280" eb="281">
      <t>ムズカ</t>
    </rPh>
    <rPh sb="308" eb="310">
      <t>コウギ</t>
    </rPh>
    <rPh sb="310" eb="312">
      <t>ナイヨウ</t>
    </rPh>
    <rPh sb="317" eb="319">
      <t>リシュウ</t>
    </rPh>
    <rPh sb="319" eb="321">
      <t>ガクセイ</t>
    </rPh>
    <rPh sb="324" eb="326">
      <t>イケン</t>
    </rPh>
    <rPh sb="327" eb="329">
      <t>シュウヤク</t>
    </rPh>
    <rPh sb="330" eb="332">
      <t>ブンセキ</t>
    </rPh>
    <rPh sb="334" eb="336">
      <t>カイゼン</t>
    </rPh>
    <phoneticPr fontId="1"/>
  </si>
  <si>
    <t xml:space="preserve">受講学生アンケートの「この授業の受講を同級生や後輩にお勧めできますか」の項目に対し、54.5％が「そう思う」と回答し、27.3％が「どちらかと言えばそう思う」と回答しており、81.8%が同級生や後輩に推奨できるとしており、本プログラムの履修が、今後、多くの学生に波及していくことが期待できる。
本プログラムの運営側が主体的となって履修推奨を取り進めることはもちろん、履修学生の実際の受講体験から得られた意見を学生に周知する活動が有効であろうと考えている。
</t>
    <rPh sb="93" eb="96">
      <t>ドウキュウセイ</t>
    </rPh>
    <rPh sb="97" eb="99">
      <t>コウハイ</t>
    </rPh>
    <rPh sb="100" eb="102">
      <t>スイショウ</t>
    </rPh>
    <rPh sb="118" eb="120">
      <t>リシュウ</t>
    </rPh>
    <rPh sb="122" eb="124">
      <t>コンゴ</t>
    </rPh>
    <rPh sb="125" eb="126">
      <t>オオ</t>
    </rPh>
    <rPh sb="128" eb="130">
      <t>ガクセイ</t>
    </rPh>
    <rPh sb="131" eb="133">
      <t>ハキュウ</t>
    </rPh>
    <rPh sb="140" eb="142">
      <t>キタイ</t>
    </rPh>
    <rPh sb="147" eb="148">
      <t>ホン</t>
    </rPh>
    <rPh sb="154" eb="156">
      <t>ウンエイ</t>
    </rPh>
    <rPh sb="156" eb="157">
      <t>ガワ</t>
    </rPh>
    <rPh sb="158" eb="161">
      <t>シュタイテキ</t>
    </rPh>
    <rPh sb="165" eb="167">
      <t>リシュウ</t>
    </rPh>
    <rPh sb="167" eb="169">
      <t>スイショウ</t>
    </rPh>
    <rPh sb="170" eb="171">
      <t>ト</t>
    </rPh>
    <rPh sb="172" eb="173">
      <t>スス</t>
    </rPh>
    <rPh sb="183" eb="185">
      <t>リシュウ</t>
    </rPh>
    <rPh sb="185" eb="187">
      <t>ガクセイ</t>
    </rPh>
    <rPh sb="188" eb="190">
      <t>ジッサイ</t>
    </rPh>
    <rPh sb="191" eb="193">
      <t>ジュコウ</t>
    </rPh>
    <rPh sb="193" eb="195">
      <t>タイケン</t>
    </rPh>
    <rPh sb="197" eb="198">
      <t>エ</t>
    </rPh>
    <rPh sb="201" eb="203">
      <t>イケン</t>
    </rPh>
    <rPh sb="204" eb="206">
      <t>ガクセイ</t>
    </rPh>
    <rPh sb="207" eb="209">
      <t>シュウチ</t>
    </rPh>
    <rPh sb="211" eb="213">
      <t>カツドウ</t>
    </rPh>
    <rPh sb="214" eb="216">
      <t>ユウコウ</t>
    </rPh>
    <rPh sb="221" eb="222">
      <t>カンガ</t>
    </rPh>
    <phoneticPr fontId="1"/>
  </si>
  <si>
    <t>本プログラムは令和５年度に開設され、初年度は秋学期3クラスで開講し、履修者が245名（4％）の実績となった。2年目である令和６年の春学期には1クラス開講で既に139名が履修し、昨年度実績の56.7％を満たしており、更に秋学期に3クラスを開講することから、目標である650名（10％）は十分に達成できる進捗である。
本学における履修登録は学期ごとに実施されることから、秋学期に向け、履修対象年次生への訴求によって、更なる履修者数の増加を目指したい。</t>
    <rPh sb="0" eb="1">
      <t>ホン</t>
    </rPh>
    <rPh sb="7" eb="9">
      <t>レイワ</t>
    </rPh>
    <rPh sb="10" eb="12">
      <t>ネンド</t>
    </rPh>
    <rPh sb="13" eb="15">
      <t>カイセツ</t>
    </rPh>
    <rPh sb="18" eb="21">
      <t>ショネンド</t>
    </rPh>
    <rPh sb="22" eb="25">
      <t>アキガッキ</t>
    </rPh>
    <rPh sb="30" eb="32">
      <t>カイコウ</t>
    </rPh>
    <rPh sb="34" eb="36">
      <t>リシュウ</t>
    </rPh>
    <rPh sb="36" eb="37">
      <t>シャ</t>
    </rPh>
    <rPh sb="41" eb="42">
      <t>メイ</t>
    </rPh>
    <rPh sb="47" eb="49">
      <t>ジッセキ</t>
    </rPh>
    <rPh sb="55" eb="57">
      <t>ネンメ</t>
    </rPh>
    <rPh sb="60" eb="62">
      <t>レイワ</t>
    </rPh>
    <rPh sb="63" eb="64">
      <t>ネン</t>
    </rPh>
    <rPh sb="65" eb="68">
      <t>ハルガッキ</t>
    </rPh>
    <rPh sb="74" eb="76">
      <t>カイコウ</t>
    </rPh>
    <rPh sb="77" eb="78">
      <t>スデ</t>
    </rPh>
    <rPh sb="82" eb="83">
      <t>メイ</t>
    </rPh>
    <rPh sb="84" eb="86">
      <t>リシュウ</t>
    </rPh>
    <rPh sb="88" eb="91">
      <t>サクネンド</t>
    </rPh>
    <rPh sb="91" eb="93">
      <t>ジッセキ</t>
    </rPh>
    <rPh sb="100" eb="101">
      <t>ミ</t>
    </rPh>
    <rPh sb="107" eb="108">
      <t>サラ</t>
    </rPh>
    <rPh sb="109" eb="112">
      <t>アキガッキ</t>
    </rPh>
    <rPh sb="118" eb="120">
      <t>カイコウ</t>
    </rPh>
    <rPh sb="127" eb="129">
      <t>モクヒョウ</t>
    </rPh>
    <rPh sb="135" eb="136">
      <t>メイ</t>
    </rPh>
    <rPh sb="142" eb="144">
      <t>ジュウブン</t>
    </rPh>
    <rPh sb="145" eb="147">
      <t>タッセイ</t>
    </rPh>
    <rPh sb="150" eb="152">
      <t>シンチョク</t>
    </rPh>
    <rPh sb="157" eb="159">
      <t>ホンガク</t>
    </rPh>
    <rPh sb="163" eb="165">
      <t>リシュウ</t>
    </rPh>
    <rPh sb="165" eb="167">
      <t>トウロク</t>
    </rPh>
    <rPh sb="168" eb="170">
      <t>ガッキ</t>
    </rPh>
    <rPh sb="173" eb="175">
      <t>ジッシ</t>
    </rPh>
    <rPh sb="183" eb="186">
      <t>アキガッキ</t>
    </rPh>
    <rPh sb="187" eb="188">
      <t>ム</t>
    </rPh>
    <rPh sb="190" eb="192">
      <t>リシュウ</t>
    </rPh>
    <rPh sb="192" eb="194">
      <t>タイショウ</t>
    </rPh>
    <rPh sb="194" eb="195">
      <t>ネン</t>
    </rPh>
    <rPh sb="195" eb="196">
      <t>ジ</t>
    </rPh>
    <rPh sb="196" eb="197">
      <t>セイ</t>
    </rPh>
    <rPh sb="199" eb="201">
      <t>ソキュウ</t>
    </rPh>
    <rPh sb="206" eb="207">
      <t>サラ</t>
    </rPh>
    <rPh sb="209" eb="211">
      <t>リシュウ</t>
    </rPh>
    <rPh sb="211" eb="212">
      <t>シャ</t>
    </rPh>
    <rPh sb="212" eb="213">
      <t>スウ</t>
    </rPh>
    <rPh sb="214" eb="216">
      <t>ゾウカ</t>
    </rPh>
    <rPh sb="217" eb="219">
      <t>メザ</t>
    </rPh>
    <phoneticPr fontId="1"/>
  </si>
  <si>
    <t>本プログラムは令和５年度に開設されたため、現状では教育プログラム修了者の進路等の情報は得られていないため、本項目について評価はできないが、修了者の進路等の情報は履修者数を増やし、本プログラムの内容精査、分析のために必要不可欠であると考えている。
そのため、学生の進路支援を主管する「キャリアセンター」と連携し、毎年実施している「卒業生アンケート」に質問項目を設ける等、調査・分析方法を確立する予定である。</t>
    <rPh sb="0" eb="1">
      <t>ホン</t>
    </rPh>
    <rPh sb="7" eb="9">
      <t>レイワ</t>
    </rPh>
    <rPh sb="10" eb="12">
      <t>ネンド</t>
    </rPh>
    <rPh sb="13" eb="15">
      <t>カイセツ</t>
    </rPh>
    <rPh sb="21" eb="23">
      <t>ゲンジョウ</t>
    </rPh>
    <rPh sb="25" eb="27">
      <t>キョウイク</t>
    </rPh>
    <rPh sb="32" eb="35">
      <t>シュウリョウシャ</t>
    </rPh>
    <rPh sb="36" eb="38">
      <t>シンロ</t>
    </rPh>
    <rPh sb="38" eb="39">
      <t>トウ</t>
    </rPh>
    <rPh sb="40" eb="42">
      <t>ジョウホウ</t>
    </rPh>
    <rPh sb="43" eb="44">
      <t>エ</t>
    </rPh>
    <rPh sb="53" eb="54">
      <t>ホン</t>
    </rPh>
    <rPh sb="54" eb="56">
      <t>コウモク</t>
    </rPh>
    <rPh sb="60" eb="62">
      <t>ヒョウカ</t>
    </rPh>
    <rPh sb="69" eb="72">
      <t>シュウリョウシャ</t>
    </rPh>
    <rPh sb="80" eb="82">
      <t>リシュウ</t>
    </rPh>
    <rPh sb="82" eb="83">
      <t>シャ</t>
    </rPh>
    <rPh sb="83" eb="84">
      <t>スウ</t>
    </rPh>
    <rPh sb="85" eb="86">
      <t>フ</t>
    </rPh>
    <rPh sb="89" eb="90">
      <t>ホン</t>
    </rPh>
    <rPh sb="96" eb="98">
      <t>ナイヨウ</t>
    </rPh>
    <rPh sb="98" eb="100">
      <t>セイサ</t>
    </rPh>
    <rPh sb="101" eb="103">
      <t>ブンセキ</t>
    </rPh>
    <rPh sb="107" eb="109">
      <t>ヒツヨウ</t>
    </rPh>
    <rPh sb="109" eb="112">
      <t>フカケツ</t>
    </rPh>
    <rPh sb="116" eb="117">
      <t>カンガ</t>
    </rPh>
    <rPh sb="128" eb="130">
      <t>ガクセイ</t>
    </rPh>
    <rPh sb="131" eb="133">
      <t>シンロ</t>
    </rPh>
    <rPh sb="133" eb="135">
      <t>シエン</t>
    </rPh>
    <rPh sb="136" eb="138">
      <t>シュカン</t>
    </rPh>
    <rPh sb="151" eb="153">
      <t>レンケイ</t>
    </rPh>
    <rPh sb="155" eb="157">
      <t>マイトシ</t>
    </rPh>
    <rPh sb="157" eb="159">
      <t>ジッシ</t>
    </rPh>
    <rPh sb="164" eb="167">
      <t>ソツギョウセイ</t>
    </rPh>
    <rPh sb="174" eb="176">
      <t>シツモン</t>
    </rPh>
    <rPh sb="176" eb="178">
      <t>コウモク</t>
    </rPh>
    <rPh sb="179" eb="180">
      <t>モウ</t>
    </rPh>
    <rPh sb="182" eb="183">
      <t>トウ</t>
    </rPh>
    <rPh sb="184" eb="186">
      <t>チョウサ</t>
    </rPh>
    <rPh sb="187" eb="189">
      <t>ブンセキ</t>
    </rPh>
    <rPh sb="189" eb="191">
      <t>ホウホウ</t>
    </rPh>
    <rPh sb="192" eb="194">
      <t>カクリツ</t>
    </rPh>
    <rPh sb="196" eb="198">
      <t>ヨテイ</t>
    </rPh>
    <phoneticPr fontId="1"/>
  </si>
  <si>
    <t>本プログラムを実社会の現状に合わせ、実際のデータを得て、分析し得る体制が求められているとの認識から、「データサイエンス基礎」は、本学専任教員２名の他、多業種におよぶ産業界５社５名のゲスト講師によるオムニバス形式で開講されている。
履修学生からは講義の都度、課題提出と意見を求めており、ゲスト講師にも共有の上、講義内容に関する意見を収集している。得られた意見についてはプログラム運営母体である「データサイエンス教育運営会議」で共有され、本プログラムの内容の精査、改善に活用される。
ただし、産業界の外部評価者が科目を担当しているため、今後は第三者としての外部評価者の視点を導入する必要があると認識している。</t>
    <rPh sb="0" eb="1">
      <t>ホン</t>
    </rPh>
    <rPh sb="7" eb="8">
      <t>ジツ</t>
    </rPh>
    <rPh sb="8" eb="10">
      <t>シャカイ</t>
    </rPh>
    <rPh sb="11" eb="13">
      <t>ゲンジョウ</t>
    </rPh>
    <rPh sb="14" eb="15">
      <t>ア</t>
    </rPh>
    <rPh sb="18" eb="20">
      <t>ジッサイ</t>
    </rPh>
    <rPh sb="25" eb="26">
      <t>エ</t>
    </rPh>
    <rPh sb="28" eb="30">
      <t>ブンセキ</t>
    </rPh>
    <rPh sb="31" eb="32">
      <t>ウ</t>
    </rPh>
    <rPh sb="33" eb="35">
      <t>タイセイ</t>
    </rPh>
    <rPh sb="36" eb="37">
      <t>モト</t>
    </rPh>
    <rPh sb="45" eb="47">
      <t>ニンシキ</t>
    </rPh>
    <rPh sb="59" eb="61">
      <t>キソ</t>
    </rPh>
    <rPh sb="64" eb="66">
      <t>ホンガク</t>
    </rPh>
    <rPh sb="66" eb="68">
      <t>センニン</t>
    </rPh>
    <rPh sb="68" eb="70">
      <t>キョウイン</t>
    </rPh>
    <rPh sb="71" eb="72">
      <t>メイ</t>
    </rPh>
    <rPh sb="73" eb="74">
      <t>ホカ</t>
    </rPh>
    <rPh sb="75" eb="76">
      <t>タ</t>
    </rPh>
    <rPh sb="76" eb="78">
      <t>ギョウシュ</t>
    </rPh>
    <rPh sb="82" eb="85">
      <t>サンギョウカイ</t>
    </rPh>
    <rPh sb="86" eb="87">
      <t>シャ</t>
    </rPh>
    <rPh sb="88" eb="89">
      <t>メイ</t>
    </rPh>
    <rPh sb="93" eb="95">
      <t>コウシ</t>
    </rPh>
    <rPh sb="103" eb="105">
      <t>ケイシキ</t>
    </rPh>
    <rPh sb="106" eb="108">
      <t>カイコウ</t>
    </rPh>
    <rPh sb="115" eb="117">
      <t>リシュウ</t>
    </rPh>
    <rPh sb="117" eb="119">
      <t>ガクセイ</t>
    </rPh>
    <rPh sb="122" eb="124">
      <t>コウギ</t>
    </rPh>
    <rPh sb="125" eb="127">
      <t>ツド</t>
    </rPh>
    <rPh sb="128" eb="130">
      <t>カダイ</t>
    </rPh>
    <rPh sb="130" eb="132">
      <t>テイシュツ</t>
    </rPh>
    <rPh sb="133" eb="135">
      <t>イケン</t>
    </rPh>
    <rPh sb="136" eb="137">
      <t>モト</t>
    </rPh>
    <rPh sb="145" eb="147">
      <t>コウシ</t>
    </rPh>
    <rPh sb="149" eb="151">
      <t>キョウユウ</t>
    </rPh>
    <rPh sb="152" eb="153">
      <t>ウエ</t>
    </rPh>
    <rPh sb="154" eb="156">
      <t>コウギ</t>
    </rPh>
    <rPh sb="156" eb="158">
      <t>ナイヨウ</t>
    </rPh>
    <rPh sb="159" eb="160">
      <t>カン</t>
    </rPh>
    <rPh sb="162" eb="164">
      <t>イケン</t>
    </rPh>
    <rPh sb="165" eb="167">
      <t>シュウシュウ</t>
    </rPh>
    <rPh sb="172" eb="173">
      <t>エ</t>
    </rPh>
    <rPh sb="176" eb="178">
      <t>イケン</t>
    </rPh>
    <rPh sb="188" eb="190">
      <t>ウンエイ</t>
    </rPh>
    <rPh sb="190" eb="192">
      <t>ボタイ</t>
    </rPh>
    <rPh sb="204" eb="206">
      <t>キョウイク</t>
    </rPh>
    <rPh sb="206" eb="208">
      <t>ウンエイ</t>
    </rPh>
    <rPh sb="208" eb="210">
      <t>カイギ</t>
    </rPh>
    <rPh sb="212" eb="214">
      <t>キョウユウ</t>
    </rPh>
    <rPh sb="217" eb="218">
      <t>ホン</t>
    </rPh>
    <rPh sb="224" eb="226">
      <t>ナイヨウ</t>
    </rPh>
    <rPh sb="227" eb="229">
      <t>セイサ</t>
    </rPh>
    <rPh sb="230" eb="232">
      <t>カイゼン</t>
    </rPh>
    <rPh sb="233" eb="235">
      <t>カツヨウ</t>
    </rPh>
    <rPh sb="244" eb="247">
      <t>サンギョウカイ</t>
    </rPh>
    <rPh sb="248" eb="250">
      <t>ガイブ</t>
    </rPh>
    <rPh sb="250" eb="252">
      <t>ヒョウカ</t>
    </rPh>
    <rPh sb="252" eb="253">
      <t>シャ</t>
    </rPh>
    <rPh sb="254" eb="256">
      <t>カモク</t>
    </rPh>
    <rPh sb="257" eb="259">
      <t>タントウ</t>
    </rPh>
    <rPh sb="266" eb="268">
      <t>コンゴ</t>
    </rPh>
    <rPh sb="269" eb="272">
      <t>ダイサンシャ</t>
    </rPh>
    <rPh sb="276" eb="278">
      <t>ガイブ</t>
    </rPh>
    <rPh sb="278" eb="280">
      <t>ヒョウカ</t>
    </rPh>
    <rPh sb="280" eb="281">
      <t>シャ</t>
    </rPh>
    <rPh sb="282" eb="284">
      <t>シテン</t>
    </rPh>
    <rPh sb="285" eb="287">
      <t>ドウニュウ</t>
    </rPh>
    <rPh sb="289" eb="291">
      <t>ヒツヨウ</t>
    </rPh>
    <rPh sb="295" eb="297">
      <t>ニンシキ</t>
    </rPh>
    <phoneticPr fontId="1"/>
  </si>
  <si>
    <t>リテラシーレベルのモデルカリキュラムに講義内容を展開しつつ、多業種５社５名の産業界からの実務者講師の協力を得て、実社会のデータについて学べる手法をとっており、履修学生が興味関心を得られるように科目内容を構成している。
受講者アンケートの「授業内容は、あなたの興味・関心を呼び起こしましたか」の項目に対し、回答者の91.2％が「そう思う」、「どちらかというとそう思う」と回答していることから、受講者の興味関心を触発させる内容であったと考えている。</t>
    <rPh sb="19" eb="21">
      <t>コウギ</t>
    </rPh>
    <rPh sb="21" eb="23">
      <t>ナイヨウ</t>
    </rPh>
    <rPh sb="24" eb="26">
      <t>テンカイ</t>
    </rPh>
    <rPh sb="30" eb="31">
      <t>タ</t>
    </rPh>
    <rPh sb="31" eb="33">
      <t>ギョウシュ</t>
    </rPh>
    <rPh sb="34" eb="35">
      <t>シャ</t>
    </rPh>
    <rPh sb="36" eb="37">
      <t>メイ</t>
    </rPh>
    <rPh sb="38" eb="41">
      <t>サンギョウカイ</t>
    </rPh>
    <rPh sb="44" eb="47">
      <t>ジツムシャ</t>
    </rPh>
    <rPh sb="47" eb="49">
      <t>コウシ</t>
    </rPh>
    <rPh sb="50" eb="52">
      <t>キョウリョク</t>
    </rPh>
    <rPh sb="53" eb="54">
      <t>エ</t>
    </rPh>
    <rPh sb="56" eb="57">
      <t>ジツ</t>
    </rPh>
    <rPh sb="57" eb="59">
      <t>シャカイ</t>
    </rPh>
    <rPh sb="67" eb="68">
      <t>マナ</t>
    </rPh>
    <rPh sb="70" eb="72">
      <t>シュホウ</t>
    </rPh>
    <rPh sb="79" eb="81">
      <t>リシュウ</t>
    </rPh>
    <rPh sb="81" eb="83">
      <t>ガクセイ</t>
    </rPh>
    <rPh sb="84" eb="86">
      <t>キョウミ</t>
    </rPh>
    <rPh sb="86" eb="88">
      <t>カンシン</t>
    </rPh>
    <rPh sb="89" eb="90">
      <t>エ</t>
    </rPh>
    <rPh sb="96" eb="98">
      <t>カモク</t>
    </rPh>
    <rPh sb="98" eb="100">
      <t>ナイヨウ</t>
    </rPh>
    <rPh sb="101" eb="103">
      <t>コウセイ</t>
    </rPh>
    <rPh sb="109" eb="112">
      <t>ジュコウシャ</t>
    </rPh>
    <rPh sb="165" eb="166">
      <t>オモ</t>
    </rPh>
    <rPh sb="180" eb="181">
      <t>オモ</t>
    </rPh>
    <rPh sb="204" eb="206">
      <t>ショクハツ</t>
    </rPh>
    <rPh sb="209" eb="211">
      <t>ナイヨウ</t>
    </rPh>
    <rPh sb="216" eb="217">
      <t>カンガ</t>
    </rPh>
    <phoneticPr fontId="1"/>
  </si>
  <si>
    <t>本プログラムの「データサイエンス基礎」を担当する２名の専任教員が講義全15回の内、14回において課題提出と意見を求めており、履修生から講義回ごとに意見を収集でき、即時、即応的に科目運営の改善ができたと考えている。講義は学生の理解度の状況を見て判断しつつ、進めていく必要があり、学生の意見を得たことで、これが可能となった。
対面授業において、学生の反応をみながら授業運営することと同じく、完全オンデマンドの本プログラムにおいては、意見の収集こそ改善に向けた重要な因子であると考えている。</t>
    <rPh sb="0" eb="1">
      <t>ホン</t>
    </rPh>
    <rPh sb="16" eb="18">
      <t>キソ</t>
    </rPh>
    <rPh sb="20" eb="22">
      <t>タントウ</t>
    </rPh>
    <rPh sb="25" eb="26">
      <t>メイ</t>
    </rPh>
    <rPh sb="27" eb="29">
      <t>センニン</t>
    </rPh>
    <rPh sb="29" eb="31">
      <t>キョウイン</t>
    </rPh>
    <rPh sb="32" eb="34">
      <t>コウギ</t>
    </rPh>
    <rPh sb="34" eb="35">
      <t>ゼン</t>
    </rPh>
    <rPh sb="37" eb="38">
      <t>カイ</t>
    </rPh>
    <rPh sb="39" eb="40">
      <t>ウチ</t>
    </rPh>
    <rPh sb="43" eb="44">
      <t>カイ</t>
    </rPh>
    <rPh sb="48" eb="50">
      <t>カダイ</t>
    </rPh>
    <rPh sb="50" eb="52">
      <t>テイシュツ</t>
    </rPh>
    <rPh sb="53" eb="55">
      <t>イケン</t>
    </rPh>
    <rPh sb="56" eb="57">
      <t>モト</t>
    </rPh>
    <rPh sb="62" eb="65">
      <t>リシュウセイ</t>
    </rPh>
    <rPh sb="67" eb="69">
      <t>コウギ</t>
    </rPh>
    <rPh sb="69" eb="70">
      <t>カイ</t>
    </rPh>
    <rPh sb="73" eb="75">
      <t>イケン</t>
    </rPh>
    <rPh sb="76" eb="78">
      <t>シュウシュウ</t>
    </rPh>
    <rPh sb="81" eb="83">
      <t>ソクジ</t>
    </rPh>
    <rPh sb="84" eb="87">
      <t>ソクオウテキ</t>
    </rPh>
    <rPh sb="88" eb="90">
      <t>カモク</t>
    </rPh>
    <rPh sb="90" eb="92">
      <t>ウンエイ</t>
    </rPh>
    <rPh sb="93" eb="95">
      <t>カイゼン</t>
    </rPh>
    <rPh sb="100" eb="101">
      <t>カンガ</t>
    </rPh>
    <rPh sb="106" eb="108">
      <t>コウギ</t>
    </rPh>
    <rPh sb="109" eb="111">
      <t>ガクセイ</t>
    </rPh>
    <rPh sb="112" eb="115">
      <t>リカイド</t>
    </rPh>
    <rPh sb="116" eb="118">
      <t>ジョウキョウ</t>
    </rPh>
    <rPh sb="119" eb="120">
      <t>ミ</t>
    </rPh>
    <rPh sb="121" eb="123">
      <t>ハンダン</t>
    </rPh>
    <rPh sb="127" eb="128">
      <t>スス</t>
    </rPh>
    <rPh sb="132" eb="134">
      <t>ヒツヨウ</t>
    </rPh>
    <rPh sb="138" eb="140">
      <t>ガクセイ</t>
    </rPh>
    <rPh sb="141" eb="143">
      <t>イケン</t>
    </rPh>
    <rPh sb="144" eb="145">
      <t>エ</t>
    </rPh>
    <rPh sb="153" eb="155">
      <t>カノウ</t>
    </rPh>
    <rPh sb="161" eb="163">
      <t>タイメン</t>
    </rPh>
    <rPh sb="163" eb="165">
      <t>ジュギョウ</t>
    </rPh>
    <rPh sb="170" eb="172">
      <t>ガクセイ</t>
    </rPh>
    <rPh sb="173" eb="175">
      <t>ハンノウ</t>
    </rPh>
    <rPh sb="180" eb="182">
      <t>ジュギョウ</t>
    </rPh>
    <rPh sb="182" eb="184">
      <t>ウンエイ</t>
    </rPh>
    <rPh sb="189" eb="190">
      <t>オナ</t>
    </rPh>
    <rPh sb="193" eb="195">
      <t>カンゼン</t>
    </rPh>
    <rPh sb="202" eb="203">
      <t>ホン</t>
    </rPh>
    <rPh sb="214" eb="216">
      <t>イケン</t>
    </rPh>
    <rPh sb="217" eb="219">
      <t>シュウシュウ</t>
    </rPh>
    <rPh sb="221" eb="223">
      <t>カイゼン</t>
    </rPh>
    <rPh sb="224" eb="225">
      <t>ム</t>
    </rPh>
    <rPh sb="227" eb="229">
      <t>ジュウヨウ</t>
    </rPh>
    <rPh sb="230" eb="232">
      <t>インシ</t>
    </rPh>
    <rPh sb="236" eb="237">
      <t>カンガ</t>
    </rPh>
    <phoneticPr fontId="1"/>
  </si>
  <si>
    <t>データサイエンス教育運営会議</t>
    <phoneticPr fontId="1"/>
  </si>
  <si>
    <t>藤間　　真</t>
    <phoneticPr fontId="1"/>
  </si>
  <si>
    <t>データサイエンス教育運営会議長</t>
    <phoneticPr fontId="1"/>
  </si>
  <si>
    <t>数理・データサイエンス・AI教育プログラム（リテラシーレベル）</t>
    <rPh sb="0" eb="2">
      <t>スウリ</t>
    </rPh>
    <rPh sb="14" eb="16">
      <t>キョウイク</t>
    </rPh>
    <phoneticPr fontId="1"/>
  </si>
  <si>
    <t>「データサイエンス基礎」の履修を促進するため、履修要項において「学びの基礎（リテラシー）」に位置付け、「数理・データサイエンス・AIに関する基礎的な知識とスキルを習得する」ことを周知し、更に、各学部の科目一覧に科目名を明記している。また、通常の履修登録授業期間開始前に履修登録を促す、「予備登録科目」として履修を周知しており、開講初年次であった令和５年度秋学期以降、対象年次生にポータルサイトを通じて履修推奨を行った。
更に、本科目を教育職員養成課程の「基礎資格に関する科目」の選択科目、日本語教員養成課程の選択必修科目として位置づけ、各課程の履修要項に明記し受講を促している。</t>
    <rPh sb="13" eb="15">
      <t>リシュウ</t>
    </rPh>
    <rPh sb="16" eb="18">
      <t>ソクシン</t>
    </rPh>
    <rPh sb="23" eb="25">
      <t>リシュウ</t>
    </rPh>
    <rPh sb="25" eb="27">
      <t>ヨウコウ</t>
    </rPh>
    <rPh sb="89" eb="91">
      <t>シュウチ</t>
    </rPh>
    <rPh sb="93" eb="94">
      <t>サラ</t>
    </rPh>
    <rPh sb="96" eb="99">
      <t>カクガクブ</t>
    </rPh>
    <rPh sb="100" eb="102">
      <t>カモク</t>
    </rPh>
    <rPh sb="102" eb="104">
      <t>イチラン</t>
    </rPh>
    <rPh sb="105" eb="107">
      <t>カモク</t>
    </rPh>
    <rPh sb="107" eb="108">
      <t>メイ</t>
    </rPh>
    <rPh sb="109" eb="111">
      <t>メイキ</t>
    </rPh>
    <rPh sb="119" eb="121">
      <t>ツウジョウ</t>
    </rPh>
    <rPh sb="122" eb="124">
      <t>リシュウ</t>
    </rPh>
    <rPh sb="124" eb="126">
      <t>トウロク</t>
    </rPh>
    <rPh sb="126" eb="128">
      <t>ジュギョウ</t>
    </rPh>
    <rPh sb="128" eb="130">
      <t>キカン</t>
    </rPh>
    <rPh sb="130" eb="132">
      <t>カイシ</t>
    </rPh>
    <rPh sb="132" eb="133">
      <t>マエ</t>
    </rPh>
    <rPh sb="134" eb="136">
      <t>リシュウ</t>
    </rPh>
    <rPh sb="136" eb="138">
      <t>トウロク</t>
    </rPh>
    <rPh sb="139" eb="140">
      <t>ウナガ</t>
    </rPh>
    <rPh sb="143" eb="145">
      <t>ヨビ</t>
    </rPh>
    <rPh sb="145" eb="147">
      <t>トウロク</t>
    </rPh>
    <rPh sb="147" eb="149">
      <t>カモク</t>
    </rPh>
    <rPh sb="153" eb="155">
      <t>リシュウ</t>
    </rPh>
    <rPh sb="156" eb="158">
      <t>シュウチ</t>
    </rPh>
    <rPh sb="163" eb="165">
      <t>カイコウ</t>
    </rPh>
    <rPh sb="165" eb="168">
      <t>ショネンジ</t>
    </rPh>
    <rPh sb="172" eb="174">
      <t>レイワ</t>
    </rPh>
    <rPh sb="175" eb="177">
      <t>ネンド</t>
    </rPh>
    <rPh sb="177" eb="180">
      <t>アキガッキ</t>
    </rPh>
    <rPh sb="180" eb="182">
      <t>イコウ</t>
    </rPh>
    <rPh sb="183" eb="185">
      <t>タイショウ</t>
    </rPh>
    <rPh sb="185" eb="186">
      <t>ネン</t>
    </rPh>
    <rPh sb="186" eb="187">
      <t>ジ</t>
    </rPh>
    <rPh sb="187" eb="188">
      <t>セイ</t>
    </rPh>
    <rPh sb="197" eb="198">
      <t>ツウ</t>
    </rPh>
    <rPh sb="200" eb="202">
      <t>リシュウ</t>
    </rPh>
    <rPh sb="202" eb="204">
      <t>スイショウ</t>
    </rPh>
    <rPh sb="205" eb="206">
      <t>オコナ</t>
    </rPh>
    <rPh sb="268" eb="269">
      <t>カク</t>
    </rPh>
    <rPh sb="269" eb="271">
      <t>カテイ</t>
    </rPh>
    <rPh sb="272" eb="274">
      <t>リシュウ</t>
    </rPh>
    <rPh sb="274" eb="276">
      <t>ヨウコウ</t>
    </rPh>
    <rPh sb="277" eb="279">
      <t>メイキ</t>
    </rPh>
    <phoneticPr fontId="1"/>
  </si>
  <si>
    <t>　「データサイエンス基礎」は全学共通科目として令和５年度より開講し、1年次からの初修科目として履修するように履修推奨している。また、本科目を完全なオンデマンド科目として開講し、時間割の制約を受けずに自律的学習ができるように開講している。更に、本科目を教育職員養成課程の「基礎資格に関する科目」の選択科目として位置づけ、課程履修生の受講を促している。
　令和５年の実績では半期（秋学期）のみの開講であったことから、令和６年度については通期開講（春学期、秋学期）のため倍増以上の10％（650名）を目指す。また、令和６年度入学生向けカリキュラムから日本語教員養成課程の選択必修科目として位置づけたことで課程履修生の受講を促している。
　年次進行のため、令和７年度以降には単年度の新規履修生が300名程度ずつ増えることを想定し、令和７年度15％（1,000名）、令和８年度20％（1,300名）、令和９年度25％（1,650名）を目標とする。各年度の具体的な方策は次のとおり。令和７年度：本学のデータサイエンティスト養成プログラム「SDP(スーパー・データサイエンス・プログラム)」の参加学生に対し、選択科目として履修推奨を行う。令和８年度：理系新学部設置を予定（設置申請構想中）しており、理系学部新入生への履修推奨を行う。令和９年度：前年度にプログラムの完成年度となることから、卒業生をロールモデルとする周知を行い履修推奨を行う。</t>
    <rPh sb="10" eb="12">
      <t>キソ</t>
    </rPh>
    <rPh sb="14" eb="16">
      <t>ゼンガク</t>
    </rPh>
    <rPh sb="16" eb="18">
      <t>キョウツウ</t>
    </rPh>
    <rPh sb="18" eb="20">
      <t>カモク</t>
    </rPh>
    <rPh sb="23" eb="25">
      <t>レイワ</t>
    </rPh>
    <rPh sb="26" eb="28">
      <t>ネンド</t>
    </rPh>
    <rPh sb="30" eb="32">
      <t>カイコウ</t>
    </rPh>
    <rPh sb="35" eb="36">
      <t>ネン</t>
    </rPh>
    <rPh sb="36" eb="37">
      <t>ジ</t>
    </rPh>
    <rPh sb="40" eb="42">
      <t>ショシュウ</t>
    </rPh>
    <rPh sb="42" eb="44">
      <t>カモク</t>
    </rPh>
    <rPh sb="47" eb="49">
      <t>リシュウ</t>
    </rPh>
    <rPh sb="54" eb="56">
      <t>リシュウ</t>
    </rPh>
    <rPh sb="56" eb="58">
      <t>スイショウ</t>
    </rPh>
    <rPh sb="66" eb="67">
      <t>ホン</t>
    </rPh>
    <rPh sb="67" eb="69">
      <t>カモク</t>
    </rPh>
    <rPh sb="70" eb="72">
      <t>カンゼン</t>
    </rPh>
    <rPh sb="79" eb="81">
      <t>カモク</t>
    </rPh>
    <rPh sb="84" eb="86">
      <t>カイコウ</t>
    </rPh>
    <rPh sb="111" eb="113">
      <t>カイコウ</t>
    </rPh>
    <rPh sb="176" eb="178">
      <t>レイワ</t>
    </rPh>
    <rPh sb="179" eb="180">
      <t>ネン</t>
    </rPh>
    <rPh sb="181" eb="183">
      <t>ジッセキ</t>
    </rPh>
    <rPh sb="185" eb="187">
      <t>ハンキ</t>
    </rPh>
    <rPh sb="188" eb="191">
      <t>アキガッキ</t>
    </rPh>
    <rPh sb="195" eb="197">
      <t>カイコウ</t>
    </rPh>
    <rPh sb="206" eb="208">
      <t>レイワ</t>
    </rPh>
    <rPh sb="209" eb="211">
      <t>ネンド</t>
    </rPh>
    <rPh sb="216" eb="218">
      <t>ツウキ</t>
    </rPh>
    <rPh sb="218" eb="220">
      <t>カイコウ</t>
    </rPh>
    <rPh sb="221" eb="222">
      <t>ハル</t>
    </rPh>
    <rPh sb="222" eb="224">
      <t>ガッキ</t>
    </rPh>
    <rPh sb="225" eb="228">
      <t>アキガッキ</t>
    </rPh>
    <rPh sb="232" eb="234">
      <t>バイゾウ</t>
    </rPh>
    <rPh sb="234" eb="236">
      <t>イジョウ</t>
    </rPh>
    <rPh sb="244" eb="245">
      <t>メイ</t>
    </rPh>
    <rPh sb="247" eb="249">
      <t>メザ</t>
    </rPh>
    <rPh sb="254" eb="256">
      <t>レイワ</t>
    </rPh>
    <rPh sb="257" eb="259">
      <t>ネンド</t>
    </rPh>
    <rPh sb="259" eb="261">
      <t>ニュウガク</t>
    </rPh>
    <rPh sb="261" eb="262">
      <t>セイ</t>
    </rPh>
    <rPh sb="262" eb="263">
      <t>ム</t>
    </rPh>
    <rPh sb="272" eb="275">
      <t>ニホンゴ</t>
    </rPh>
    <rPh sb="275" eb="277">
      <t>キョウイン</t>
    </rPh>
    <rPh sb="277" eb="279">
      <t>ヨウセイ</t>
    </rPh>
    <rPh sb="279" eb="281">
      <t>カテイ</t>
    </rPh>
    <rPh sb="282" eb="284">
      <t>センタク</t>
    </rPh>
    <rPh sb="284" eb="286">
      <t>ヒッシュウ</t>
    </rPh>
    <rPh sb="286" eb="288">
      <t>カモク</t>
    </rPh>
    <rPh sb="291" eb="293">
      <t>イチ</t>
    </rPh>
    <rPh sb="316" eb="318">
      <t>ネンジ</t>
    </rPh>
    <rPh sb="318" eb="320">
      <t>シンコウ</t>
    </rPh>
    <rPh sb="324" eb="326">
      <t>レイワ</t>
    </rPh>
    <rPh sb="327" eb="329">
      <t>ネンド</t>
    </rPh>
    <rPh sb="329" eb="331">
      <t>イコウ</t>
    </rPh>
    <rPh sb="333" eb="336">
      <t>タンネンド</t>
    </rPh>
    <rPh sb="337" eb="339">
      <t>シンキ</t>
    </rPh>
    <rPh sb="339" eb="342">
      <t>リシュウセイ</t>
    </rPh>
    <rPh sb="346" eb="347">
      <t>メイ</t>
    </rPh>
    <rPh sb="347" eb="349">
      <t>テイド</t>
    </rPh>
    <rPh sb="351" eb="352">
      <t>フ</t>
    </rPh>
    <rPh sb="357" eb="359">
      <t>ソウテイ</t>
    </rPh>
    <rPh sb="361" eb="363">
      <t>レイワ</t>
    </rPh>
    <rPh sb="364" eb="366">
      <t>ネンド</t>
    </rPh>
    <rPh sb="375" eb="376">
      <t>メイ</t>
    </rPh>
    <rPh sb="378" eb="380">
      <t>レイワ</t>
    </rPh>
    <rPh sb="381" eb="383">
      <t>ネンド</t>
    </rPh>
    <rPh sb="392" eb="393">
      <t>メイ</t>
    </rPh>
    <rPh sb="395" eb="397">
      <t>レイワ</t>
    </rPh>
    <rPh sb="398" eb="400">
      <t>ネンド</t>
    </rPh>
    <rPh sb="409" eb="410">
      <t>メイ</t>
    </rPh>
    <rPh sb="412" eb="414">
      <t>モクヒョウ</t>
    </rPh>
    <rPh sb="418" eb="421">
      <t>カクネンド</t>
    </rPh>
    <rPh sb="422" eb="425">
      <t>グタイテキ</t>
    </rPh>
    <rPh sb="426" eb="428">
      <t>ホウサク</t>
    </rPh>
    <rPh sb="429" eb="430">
      <t>ツギ</t>
    </rPh>
    <rPh sb="435" eb="437">
      <t>レイワ</t>
    </rPh>
    <rPh sb="438" eb="440">
      <t>ネンド</t>
    </rPh>
    <rPh sb="441" eb="443">
      <t>ホンガク</t>
    </rPh>
    <rPh sb="455" eb="457">
      <t>ヨウセイ</t>
    </rPh>
    <rPh sb="489" eb="491">
      <t>サンカ</t>
    </rPh>
    <rPh sb="491" eb="493">
      <t>ガクセイ</t>
    </rPh>
    <rPh sb="494" eb="495">
      <t>タイ</t>
    </rPh>
    <rPh sb="497" eb="499">
      <t>センタク</t>
    </rPh>
    <rPh sb="499" eb="501">
      <t>カモク</t>
    </rPh>
    <rPh sb="504" eb="506">
      <t>リシュウ</t>
    </rPh>
    <rPh sb="506" eb="508">
      <t>スイショウ</t>
    </rPh>
    <rPh sb="509" eb="510">
      <t>オコナ</t>
    </rPh>
    <rPh sb="512" eb="514">
      <t>レイワ</t>
    </rPh>
    <rPh sb="515" eb="517">
      <t>ネンド</t>
    </rPh>
    <rPh sb="518" eb="520">
      <t>リケイ</t>
    </rPh>
    <rPh sb="520" eb="523">
      <t>シンガクブ</t>
    </rPh>
    <rPh sb="523" eb="525">
      <t>セッチ</t>
    </rPh>
    <rPh sb="526" eb="528">
      <t>ヨテイ</t>
    </rPh>
    <rPh sb="529" eb="531">
      <t>セッチ</t>
    </rPh>
    <rPh sb="531" eb="533">
      <t>シンセイ</t>
    </rPh>
    <rPh sb="533" eb="536">
      <t>コウソウチュウ</t>
    </rPh>
    <rPh sb="542" eb="544">
      <t>リケイ</t>
    </rPh>
    <rPh sb="544" eb="546">
      <t>ガクブ</t>
    </rPh>
    <rPh sb="546" eb="547">
      <t>シン</t>
    </rPh>
    <rPh sb="547" eb="548">
      <t>ニュウ</t>
    </rPh>
    <rPh sb="548" eb="549">
      <t>セイ</t>
    </rPh>
    <rPh sb="551" eb="553">
      <t>リシュウ</t>
    </rPh>
    <rPh sb="553" eb="555">
      <t>スイショウ</t>
    </rPh>
    <rPh sb="556" eb="557">
      <t>オコナ</t>
    </rPh>
    <rPh sb="559" eb="561">
      <t>レイワ</t>
    </rPh>
    <rPh sb="562" eb="564">
      <t>ネンド</t>
    </rPh>
    <rPh sb="565" eb="568">
      <t>ゼンネンド</t>
    </rPh>
    <rPh sb="575" eb="577">
      <t>カンセイ</t>
    </rPh>
    <rPh sb="577" eb="579">
      <t>ネンド</t>
    </rPh>
    <rPh sb="587" eb="590">
      <t>ソツギョウセイ</t>
    </rPh>
    <rPh sb="600" eb="602">
      <t>シュウチ</t>
    </rPh>
    <rPh sb="603" eb="604">
      <t>オコナ</t>
    </rPh>
    <rPh sb="605" eb="607">
      <t>リシュウ</t>
    </rPh>
    <rPh sb="607" eb="609">
      <t>スイショウ</t>
    </rPh>
    <rPh sb="610" eb="611">
      <t>オコナ</t>
    </rPh>
    <phoneticPr fontId="1"/>
  </si>
  <si>
    <t>「データサイエンス基礎」は本学のデータサイエンティスト養成プログラム「SDP(スーパー・データサイエンス・プログラム)」の科目を主体的に運営する、２名の教員が担当しており、共通シラバス、共通成績評価に基づき開講されている。LMSに保存された講義動画、資料、課題を元に、履修学生の自律的学習により個人個人の学習進度、学習理解度を求めることができる。また、15回の講義の内、14回の講義で学生に複数の問いからなる小課題の提出を求め、理解をより深いものとさせる定着方法をとっており、この課題への回答は自己点検・評価の際にも活用される。</t>
    <rPh sb="13" eb="15">
      <t>ホンガク</t>
    </rPh>
    <rPh sb="27" eb="29">
      <t>ヨウセイ</t>
    </rPh>
    <rPh sb="61" eb="63">
      <t>カモク</t>
    </rPh>
    <rPh sb="64" eb="67">
      <t>シュタイテキ</t>
    </rPh>
    <rPh sb="68" eb="70">
      <t>ウンエイ</t>
    </rPh>
    <rPh sb="74" eb="75">
      <t>メイ</t>
    </rPh>
    <rPh sb="76" eb="78">
      <t>キョウイン</t>
    </rPh>
    <rPh sb="79" eb="81">
      <t>タントウ</t>
    </rPh>
    <rPh sb="86" eb="88">
      <t>キョウツウ</t>
    </rPh>
    <rPh sb="93" eb="95">
      <t>キョウツウ</t>
    </rPh>
    <rPh sb="95" eb="97">
      <t>セイセキ</t>
    </rPh>
    <rPh sb="97" eb="99">
      <t>ヒョウカ</t>
    </rPh>
    <rPh sb="100" eb="101">
      <t>モト</t>
    </rPh>
    <rPh sb="103" eb="105">
      <t>カイコウ</t>
    </rPh>
    <rPh sb="115" eb="117">
      <t>ホゾン</t>
    </rPh>
    <rPh sb="120" eb="122">
      <t>コウギ</t>
    </rPh>
    <rPh sb="122" eb="124">
      <t>ドウガ</t>
    </rPh>
    <rPh sb="125" eb="127">
      <t>シリョウ</t>
    </rPh>
    <rPh sb="128" eb="130">
      <t>カダイ</t>
    </rPh>
    <rPh sb="131" eb="132">
      <t>モト</t>
    </rPh>
    <rPh sb="134" eb="136">
      <t>リシュウ</t>
    </rPh>
    <rPh sb="136" eb="138">
      <t>ガクセイ</t>
    </rPh>
    <rPh sb="139" eb="141">
      <t>ジリツ</t>
    </rPh>
    <rPh sb="141" eb="142">
      <t>テキ</t>
    </rPh>
    <rPh sb="142" eb="144">
      <t>ガクシュウ</t>
    </rPh>
    <rPh sb="147" eb="149">
      <t>コジン</t>
    </rPh>
    <rPh sb="149" eb="151">
      <t>コジン</t>
    </rPh>
    <rPh sb="152" eb="154">
      <t>ガクシュウ</t>
    </rPh>
    <rPh sb="154" eb="156">
      <t>シンド</t>
    </rPh>
    <rPh sb="157" eb="159">
      <t>ガクシュウ</t>
    </rPh>
    <rPh sb="159" eb="162">
      <t>リカイド</t>
    </rPh>
    <rPh sb="163" eb="164">
      <t>モト</t>
    </rPh>
    <rPh sb="178" eb="179">
      <t>カイ</t>
    </rPh>
    <rPh sb="180" eb="182">
      <t>コウギ</t>
    </rPh>
    <rPh sb="183" eb="184">
      <t>ウチ</t>
    </rPh>
    <rPh sb="187" eb="188">
      <t>カイ</t>
    </rPh>
    <rPh sb="189" eb="191">
      <t>コウギ</t>
    </rPh>
    <rPh sb="192" eb="194">
      <t>ガクセイ</t>
    </rPh>
    <rPh sb="195" eb="197">
      <t>フクスウ</t>
    </rPh>
    <rPh sb="198" eb="199">
      <t>トイ</t>
    </rPh>
    <rPh sb="204" eb="205">
      <t>ショウ</t>
    </rPh>
    <rPh sb="205" eb="207">
      <t>カダイ</t>
    </rPh>
    <rPh sb="208" eb="210">
      <t>テイシュツ</t>
    </rPh>
    <rPh sb="211" eb="212">
      <t>モト</t>
    </rPh>
    <rPh sb="214" eb="216">
      <t>リカイ</t>
    </rPh>
    <rPh sb="219" eb="220">
      <t>フカ</t>
    </rPh>
    <rPh sb="227" eb="229">
      <t>テイチャク</t>
    </rPh>
    <rPh sb="229" eb="231">
      <t>ホウホウ</t>
    </rPh>
    <rPh sb="240" eb="242">
      <t>カダイ</t>
    </rPh>
    <rPh sb="244" eb="246">
      <t>カイトウ</t>
    </rPh>
    <rPh sb="247" eb="249">
      <t>ジコ</t>
    </rPh>
    <rPh sb="249" eb="251">
      <t>テンケン</t>
    </rPh>
    <rPh sb="255" eb="256">
      <t>サイ</t>
    </rPh>
    <rPh sb="258" eb="260">
      <t>カツヨウ</t>
    </rPh>
    <phoneticPr fontId="1"/>
  </si>
  <si>
    <t xml:space="preserve">「データ・AI 利活用の最新動向」
・AI等を活用した新しいビジネスモデル「データサイエンス基礎」（2回目、3回目、4回目）
</t>
    <rPh sb="21" eb="22">
      <t>トウ</t>
    </rPh>
    <rPh sb="23" eb="25">
      <t>カツヨウ</t>
    </rPh>
    <rPh sb="27" eb="28">
      <t>アタラ</t>
    </rPh>
    <rPh sb="55" eb="56">
      <t>カイ</t>
    </rPh>
    <rPh sb="56" eb="57">
      <t>メ</t>
    </rPh>
    <phoneticPr fontId="1"/>
  </si>
  <si>
    <t>「社会で活用されているデータ」
・調査データ、実験データ、人の行動ログデータ、機械の稼働ログデータなど「データサイエンス基礎」（2回目、3回目、4回目）
・1次データ、2次データ、データのメタ化「データサイエンス基礎」（2回目、3回目、4回目）</t>
    <rPh sb="17" eb="19">
      <t>チョウサ</t>
    </rPh>
    <rPh sb="23" eb="25">
      <t>ジッケン</t>
    </rPh>
    <rPh sb="29" eb="30">
      <t>ヒト</t>
    </rPh>
    <rPh sb="31" eb="33">
      <t>コウドウ</t>
    </rPh>
    <rPh sb="39" eb="41">
      <t>キカイ</t>
    </rPh>
    <rPh sb="42" eb="44">
      <t>カドウ</t>
    </rPh>
    <phoneticPr fontId="1"/>
  </si>
  <si>
    <t>「データ・AIの活用領域」
・データ・AI活用領域の広がり「データサイエンス基礎」（2回目、3回目、4回目）
・研究開発、調達、製造、物流、販売、マーケティング、サービスなど「データサイエンス基礎」（2回目、3回目、4回目）</t>
    <rPh sb="21" eb="23">
      <t>カツヨウ</t>
    </rPh>
    <rPh sb="23" eb="25">
      <t>リョウイキ</t>
    </rPh>
    <rPh sb="26" eb="27">
      <t>ヒロ</t>
    </rPh>
    <rPh sb="47" eb="48">
      <t>カイ</t>
    </rPh>
    <rPh sb="48" eb="49">
      <t>メ</t>
    </rPh>
    <rPh sb="51" eb="52">
      <t>カイ</t>
    </rPh>
    <rPh sb="52" eb="53">
      <t>メ</t>
    </rPh>
    <phoneticPr fontId="1"/>
  </si>
  <si>
    <t xml:space="preserve">「データ・AIの活用のための技術」
・データ解析：予測、グルーピング、パターン発見、最適化、シミュレーション・データ同化など「データサイエンス基礎」（2回目、3回目、4回目）
・特化型AIと汎用AI、今のAIに出来ることと、出来ないこと、AIとビッグデータ「データサイエンス基礎」（2回目、3回目、4回目）
</t>
    <rPh sb="89" eb="92">
      <t>トッカガタ</t>
    </rPh>
    <rPh sb="95" eb="97">
      <t>ハンヨウ</t>
    </rPh>
    <rPh sb="100" eb="101">
      <t>イマ</t>
    </rPh>
    <rPh sb="105" eb="107">
      <t>デキ</t>
    </rPh>
    <rPh sb="112" eb="114">
      <t>デキ</t>
    </rPh>
    <rPh sb="150" eb="151">
      <t>カイ</t>
    </rPh>
    <rPh sb="151" eb="152">
      <t>メ</t>
    </rPh>
    <phoneticPr fontId="1"/>
  </si>
  <si>
    <t>「データ・AIの利活用の現場」
・データサイエンスのサイクル「データサイエンス基礎」（2回目、3回目、4回目）
・流通、製造、金融、サービス、インフラ、公共、ヘルスケア等におけるデータ・AI利活用事例紹介「データサイエンス基礎」（2回目、3回目、4回目）</t>
    <rPh sb="57" eb="59">
      <t>リュウツウ</t>
    </rPh>
    <rPh sb="60" eb="62">
      <t>セイゾウ</t>
    </rPh>
    <rPh sb="63" eb="65">
      <t>キンユウ</t>
    </rPh>
    <rPh sb="76" eb="78">
      <t>コウキョウ</t>
    </rPh>
    <rPh sb="84" eb="85">
      <t>トウ</t>
    </rPh>
    <rPh sb="95" eb="98">
      <t>リカツヨウ</t>
    </rPh>
    <rPh sb="98" eb="100">
      <t>ジレイ</t>
    </rPh>
    <rPh sb="100" eb="102">
      <t>ショウカイ</t>
    </rPh>
    <phoneticPr fontId="1"/>
  </si>
  <si>
    <t xml:space="preserve">「データを読む」
・データの分布（ヒストグラム）と代表値「データサイエンス基礎」（5回目、6回目）
・データのばらつき「データサイエンス基礎」（5回目、6回目）
・相関と因果「データサイエンス基礎」（7回目、8回目）
・クロス集計表、分割表、相関係数行列、散布図行列「データサイエンス基礎」（7回目、8回目）
・統計情報の正しい理解「データサイエンス基礎」（5回目、6回目、7回目、8回目）
</t>
    <rPh sb="14" eb="16">
      <t>ブンプ</t>
    </rPh>
    <rPh sb="25" eb="27">
      <t>ダイヒョウ</t>
    </rPh>
    <rPh sb="27" eb="28">
      <t>ネ</t>
    </rPh>
    <rPh sb="46" eb="47">
      <t>カイ</t>
    </rPh>
    <rPh sb="47" eb="48">
      <t>メ</t>
    </rPh>
    <rPh sb="82" eb="84">
      <t>ソウカン</t>
    </rPh>
    <rPh sb="85" eb="87">
      <t>インガ</t>
    </rPh>
    <rPh sb="113" eb="115">
      <t>シュウケイ</t>
    </rPh>
    <rPh sb="115" eb="116">
      <t>ヒョウ</t>
    </rPh>
    <rPh sb="117" eb="119">
      <t>ブンカツ</t>
    </rPh>
    <rPh sb="119" eb="120">
      <t>ヒョウ</t>
    </rPh>
    <rPh sb="121" eb="123">
      <t>ソウカン</t>
    </rPh>
    <rPh sb="123" eb="125">
      <t>ケイスウ</t>
    </rPh>
    <rPh sb="125" eb="127">
      <t>ギョウレツ</t>
    </rPh>
    <rPh sb="128" eb="130">
      <t>サンプ</t>
    </rPh>
    <rPh sb="130" eb="131">
      <t>ズ</t>
    </rPh>
    <rPh sb="131" eb="133">
      <t>ギョウレツ</t>
    </rPh>
    <rPh sb="156" eb="158">
      <t>トウケイ</t>
    </rPh>
    <rPh sb="158" eb="160">
      <t>ジョウホウ</t>
    </rPh>
    <rPh sb="161" eb="162">
      <t>タダ</t>
    </rPh>
    <rPh sb="164" eb="166">
      <t>リカイ</t>
    </rPh>
    <phoneticPr fontId="1"/>
  </si>
  <si>
    <t>「データを説明する」
・データ表現「データサイエンス基礎」（6回目、7回目、8回目、9回目）
・データの図表表現「データサイエンス基礎」（6回目、7回目、8回目、9回目）
・データの比較「データサイエンス基礎」（6回目、7回目、8回目、9回目）</t>
    <rPh sb="15" eb="17">
      <t>ヒョウゲン</t>
    </rPh>
    <rPh sb="35" eb="36">
      <t>カイ</t>
    </rPh>
    <rPh sb="36" eb="37">
      <t>メ</t>
    </rPh>
    <rPh sb="39" eb="40">
      <t>カイ</t>
    </rPh>
    <rPh sb="40" eb="41">
      <t>メ</t>
    </rPh>
    <rPh sb="43" eb="44">
      <t>カイ</t>
    </rPh>
    <rPh sb="44" eb="45">
      <t>メ</t>
    </rPh>
    <rPh sb="52" eb="54">
      <t>ズヒョウ</t>
    </rPh>
    <rPh sb="54" eb="56">
      <t>ヒョウゲン</t>
    </rPh>
    <rPh sb="91" eb="93">
      <t>ヒカク</t>
    </rPh>
    <phoneticPr fontId="1"/>
  </si>
  <si>
    <t>「データを扱う」
・データの集計「データサイエンス基礎」（9回目、10回目、11回目）
・データの並び替え、ランキング「データサイエンス基礎」（9回目、10回目、11回目）
・データ解析ツール「データサイエンス基礎」（9回目、10回目、11回目）</t>
    <rPh sb="14" eb="16">
      <t>シュウケイ</t>
    </rPh>
    <rPh sb="35" eb="37">
      <t>カイメ</t>
    </rPh>
    <rPh sb="40" eb="42">
      <t>カイメ</t>
    </rPh>
    <rPh sb="49" eb="50">
      <t>ナラ</t>
    </rPh>
    <rPh sb="51" eb="52">
      <t>カ</t>
    </rPh>
    <rPh sb="91" eb="93">
      <t>カイセキ</t>
    </rPh>
    <phoneticPr fontId="1"/>
  </si>
  <si>
    <t>2023年度（令和5年度）データサイエンス教育運営会議構成員
議   長  藤間　　真（経済学部　教授）
構成員　井田　憲計（経済学部　教授）
　　　　　 村上　あかね（社会学部　教授）
　　　　　 大田　靖（経営学部　教授）　※プログラム科目担当教員
　　　　　 森下　裕三（国際教養学部　准教授）
　　　　　 井口　祐貴（法学部　講師）
　　　　　 水谷　直樹（共通教育機構　教授）　※プログラム科目担当教員
事務局　高良　要多（教務課　課長補佐）
　　　　　 叶屋  真一（共通教育機構事務課）</t>
    <rPh sb="4" eb="6">
      <t>ネンド</t>
    </rPh>
    <rPh sb="7" eb="9">
      <t>レイワ</t>
    </rPh>
    <rPh sb="10" eb="12">
      <t>ネンド</t>
    </rPh>
    <rPh sb="21" eb="23">
      <t>キョウイク</t>
    </rPh>
    <rPh sb="23" eb="25">
      <t>ウンエイ</t>
    </rPh>
    <rPh sb="25" eb="27">
      <t>カイギ</t>
    </rPh>
    <rPh sb="27" eb="30">
      <t>コウセイイン</t>
    </rPh>
    <rPh sb="32" eb="33">
      <t>ギ</t>
    </rPh>
    <rPh sb="36" eb="37">
      <t>チョウ</t>
    </rPh>
    <rPh sb="39" eb="41">
      <t>トウマ</t>
    </rPh>
    <rPh sb="43" eb="44">
      <t>マコト</t>
    </rPh>
    <rPh sb="45" eb="47">
      <t>ケイザイ</t>
    </rPh>
    <rPh sb="47" eb="49">
      <t>ガクブ</t>
    </rPh>
    <rPh sb="50" eb="52">
      <t>キョウジュ</t>
    </rPh>
    <rPh sb="54" eb="57">
      <t>コウセイイン</t>
    </rPh>
    <rPh sb="58" eb="60">
      <t>イダ</t>
    </rPh>
    <rPh sb="79" eb="81">
      <t>ムラカミ</t>
    </rPh>
    <rPh sb="86" eb="88">
      <t>シャカイ</t>
    </rPh>
    <rPh sb="88" eb="90">
      <t>ガクブ</t>
    </rPh>
    <rPh sb="101" eb="103">
      <t>オオタ</t>
    </rPh>
    <rPh sb="104" eb="105">
      <t>ヤスシ</t>
    </rPh>
    <rPh sb="106" eb="108">
      <t>ケイエイ</t>
    </rPh>
    <rPh sb="108" eb="110">
      <t>ガクブ</t>
    </rPh>
    <rPh sb="111" eb="113">
      <t>キョウジュ</t>
    </rPh>
    <rPh sb="121" eb="123">
      <t>カモク</t>
    </rPh>
    <rPh sb="123" eb="125">
      <t>タントウ</t>
    </rPh>
    <rPh sb="125" eb="127">
      <t>キョウイン</t>
    </rPh>
    <rPh sb="134" eb="136">
      <t>モリシタ</t>
    </rPh>
    <rPh sb="137" eb="139">
      <t>ユウゾウ</t>
    </rPh>
    <rPh sb="140" eb="142">
      <t>コクサイ</t>
    </rPh>
    <rPh sb="142" eb="144">
      <t>キョウヨウ</t>
    </rPh>
    <rPh sb="144" eb="146">
      <t>ガクブ</t>
    </rPh>
    <rPh sb="147" eb="150">
      <t>ジュンキョウジュ</t>
    </rPh>
    <rPh sb="158" eb="160">
      <t>イグチ</t>
    </rPh>
    <rPh sb="164" eb="167">
      <t>ホウガクブ</t>
    </rPh>
    <rPh sb="168" eb="170">
      <t>コウシ</t>
    </rPh>
    <rPh sb="184" eb="186">
      <t>キョウツウ</t>
    </rPh>
    <rPh sb="186" eb="188">
      <t>キョウイク</t>
    </rPh>
    <rPh sb="188" eb="190">
      <t>キコウ</t>
    </rPh>
    <rPh sb="191" eb="193">
      <t>キョウジュ</t>
    </rPh>
    <rPh sb="208" eb="211">
      <t>ジムキョク</t>
    </rPh>
    <rPh sb="212" eb="214">
      <t>タカラ</t>
    </rPh>
    <rPh sb="218" eb="220">
      <t>キョウム</t>
    </rPh>
    <rPh sb="220" eb="221">
      <t>カ</t>
    </rPh>
    <rPh sb="222" eb="224">
      <t>カチョウ</t>
    </rPh>
    <rPh sb="224" eb="226">
      <t>ホサ</t>
    </rPh>
    <rPh sb="234" eb="236">
      <t>カノヤ</t>
    </rPh>
    <rPh sb="238" eb="240">
      <t>シンイチ</t>
    </rPh>
    <rPh sb="241" eb="243">
      <t>キョウツウ</t>
    </rPh>
    <rPh sb="243" eb="245">
      <t>キョウイク</t>
    </rPh>
    <rPh sb="245" eb="247">
      <t>キコウ</t>
    </rPh>
    <rPh sb="247" eb="250">
      <t>ジムカ</t>
    </rPh>
    <phoneticPr fontId="1"/>
  </si>
  <si>
    <t>「データサイエンス基礎」は完全なオンデマンド科目として開講されており、学生は履修期間中は常時、LMSに保存された講義動画、資料、課題を閲覧することが可能である。また、履修期間中に課される小課題に質問をすることや、授業全体に関する内容を質問できるコメントシート、LMSの「Q&amp;A」機能を用いて質問をすることが可能であり、次の講義時にフィードバックしている。更に、担当教員のオフィスアワーを設定しているため、授業時間に関わらず学習指導を受けることができる。</t>
    <rPh sb="13" eb="15">
      <t>カンゼン</t>
    </rPh>
    <rPh sb="22" eb="24">
      <t>カモク</t>
    </rPh>
    <rPh sb="27" eb="29">
      <t>カイコウ</t>
    </rPh>
    <rPh sb="35" eb="37">
      <t>ガクセイ</t>
    </rPh>
    <rPh sb="38" eb="40">
      <t>リシュウ</t>
    </rPh>
    <rPh sb="40" eb="43">
      <t>キカンチュウ</t>
    </rPh>
    <rPh sb="44" eb="46">
      <t>ジョウジ</t>
    </rPh>
    <rPh sb="51" eb="53">
      <t>ホゾン</t>
    </rPh>
    <rPh sb="56" eb="58">
      <t>コウギ</t>
    </rPh>
    <rPh sb="58" eb="60">
      <t>ドウガ</t>
    </rPh>
    <rPh sb="61" eb="63">
      <t>シリョウ</t>
    </rPh>
    <rPh sb="64" eb="66">
      <t>カダイ</t>
    </rPh>
    <rPh sb="67" eb="69">
      <t>エツラン</t>
    </rPh>
    <rPh sb="74" eb="76">
      <t>カノウ</t>
    </rPh>
    <rPh sb="83" eb="85">
      <t>リシュウ</t>
    </rPh>
    <rPh sb="85" eb="88">
      <t>キカンチュウ</t>
    </rPh>
    <rPh sb="89" eb="90">
      <t>カ</t>
    </rPh>
    <rPh sb="93" eb="94">
      <t>ショウ</t>
    </rPh>
    <rPh sb="94" eb="96">
      <t>カダイ</t>
    </rPh>
    <rPh sb="97" eb="99">
      <t>シツモン</t>
    </rPh>
    <rPh sb="106" eb="108">
      <t>ジュギョウ</t>
    </rPh>
    <rPh sb="108" eb="110">
      <t>ゼンタイ</t>
    </rPh>
    <rPh sb="111" eb="112">
      <t>カン</t>
    </rPh>
    <rPh sb="114" eb="116">
      <t>ナイヨウ</t>
    </rPh>
    <rPh sb="117" eb="119">
      <t>シツモン</t>
    </rPh>
    <rPh sb="139" eb="141">
      <t>キノウ</t>
    </rPh>
    <rPh sb="142" eb="143">
      <t>モチ</t>
    </rPh>
    <rPh sb="145" eb="147">
      <t>シツモン</t>
    </rPh>
    <rPh sb="153" eb="155">
      <t>カノウ</t>
    </rPh>
    <rPh sb="159" eb="160">
      <t>ツギ</t>
    </rPh>
    <rPh sb="161" eb="163">
      <t>コウギ</t>
    </rPh>
    <rPh sb="163" eb="164">
      <t>ジ</t>
    </rPh>
    <rPh sb="177" eb="178">
      <t>サラ</t>
    </rPh>
    <rPh sb="180" eb="182">
      <t>タントウ</t>
    </rPh>
    <rPh sb="182" eb="184">
      <t>キョウイン</t>
    </rPh>
    <rPh sb="193" eb="195">
      <t>セッテイ</t>
    </rPh>
    <rPh sb="202" eb="204">
      <t>ジュギョウ</t>
    </rPh>
    <rPh sb="204" eb="206">
      <t>ジカン</t>
    </rPh>
    <rPh sb="207" eb="208">
      <t>カカ</t>
    </rPh>
    <rPh sb="211" eb="213">
      <t>ガクシュウ</t>
    </rPh>
    <rPh sb="213" eb="215">
      <t>シドウ</t>
    </rPh>
    <rPh sb="216" eb="217">
      <t>ウ</t>
    </rPh>
    <phoneticPr fontId="1"/>
  </si>
  <si>
    <t>全学部の学生に本プログラムの履修機会を提供するため、全学共通科目として「データサイエンス基礎」を開講した。開講初年次であった令和５年度は245名の履修があった。履修者の内、161名（65.7％）が単位修得に至っており、リテラシーレベルとして適切であったと考える。
本プログラムの履修の理由は「興味があった」が72.7％で学生の科目に対する学習意欲が高いことが伺える。また、本プログラムの履修を促すための対策である「完全オンデマンド化」について、「対面授業と同程度に知識は習得できたか」の項目では、54.5％が「そう思う」と回答し、「対面授業とオンデマンド型授業両方で開講されていた場合、どちらの形態を受講するか」の項目では、63.6％が「オンデマンド型」と回答しており、完全オンデマンド化に一定の需要と成果があったと考えている。</t>
    <rPh sb="0" eb="1">
      <t>ゼン</t>
    </rPh>
    <rPh sb="1" eb="2">
      <t>ガク</t>
    </rPh>
    <rPh sb="2" eb="3">
      <t>ブ</t>
    </rPh>
    <rPh sb="4" eb="6">
      <t>ガクセイ</t>
    </rPh>
    <rPh sb="7" eb="8">
      <t>ホン</t>
    </rPh>
    <rPh sb="14" eb="16">
      <t>リシュウ</t>
    </rPh>
    <rPh sb="16" eb="18">
      <t>キカイ</t>
    </rPh>
    <rPh sb="19" eb="21">
      <t>テイキョウ</t>
    </rPh>
    <rPh sb="26" eb="28">
      <t>ゼンガク</t>
    </rPh>
    <rPh sb="28" eb="30">
      <t>キョウツウ</t>
    </rPh>
    <rPh sb="30" eb="32">
      <t>カモク</t>
    </rPh>
    <rPh sb="44" eb="46">
      <t>キソ</t>
    </rPh>
    <rPh sb="48" eb="50">
      <t>カイコウ</t>
    </rPh>
    <rPh sb="53" eb="55">
      <t>カイコウ</t>
    </rPh>
    <rPh sb="55" eb="58">
      <t>ショネンジ</t>
    </rPh>
    <rPh sb="62" eb="64">
      <t>レイワ</t>
    </rPh>
    <rPh sb="65" eb="67">
      <t>ネンド</t>
    </rPh>
    <rPh sb="71" eb="72">
      <t>メイ</t>
    </rPh>
    <rPh sb="73" eb="75">
      <t>リシュウ</t>
    </rPh>
    <rPh sb="80" eb="82">
      <t>リシュウ</t>
    </rPh>
    <rPh sb="82" eb="83">
      <t>シャ</t>
    </rPh>
    <rPh sb="84" eb="85">
      <t>ウチ</t>
    </rPh>
    <rPh sb="89" eb="90">
      <t>メイ</t>
    </rPh>
    <rPh sb="98" eb="100">
      <t>タンイ</t>
    </rPh>
    <rPh sb="100" eb="102">
      <t>シュウトク</t>
    </rPh>
    <rPh sb="103" eb="104">
      <t>イタ</t>
    </rPh>
    <rPh sb="120" eb="122">
      <t>テキセツ</t>
    </rPh>
    <rPh sb="127" eb="128">
      <t>カンガ</t>
    </rPh>
    <rPh sb="132" eb="133">
      <t>ホン</t>
    </rPh>
    <rPh sb="139" eb="141">
      <t>リシュウ</t>
    </rPh>
    <rPh sb="142" eb="144">
      <t>リユウ</t>
    </rPh>
    <rPh sb="146" eb="148">
      <t>キョウミ</t>
    </rPh>
    <rPh sb="160" eb="162">
      <t>ガクセイ</t>
    </rPh>
    <rPh sb="163" eb="165">
      <t>カモク</t>
    </rPh>
    <rPh sb="166" eb="167">
      <t>タイ</t>
    </rPh>
    <rPh sb="169" eb="171">
      <t>ガクシュウ</t>
    </rPh>
    <rPh sb="171" eb="173">
      <t>イヨク</t>
    </rPh>
    <rPh sb="174" eb="175">
      <t>タカ</t>
    </rPh>
    <rPh sb="179" eb="180">
      <t>ウカガ</t>
    </rPh>
    <rPh sb="186" eb="187">
      <t>ホン</t>
    </rPh>
    <rPh sb="193" eb="195">
      <t>リシュウ</t>
    </rPh>
    <rPh sb="196" eb="197">
      <t>ウナガ</t>
    </rPh>
    <rPh sb="201" eb="203">
      <t>タイサク</t>
    </rPh>
    <rPh sb="207" eb="209">
      <t>カンゼン</t>
    </rPh>
    <rPh sb="215" eb="216">
      <t>カ</t>
    </rPh>
    <rPh sb="243" eb="245">
      <t>コウモク</t>
    </rPh>
    <rPh sb="257" eb="258">
      <t>オモ</t>
    </rPh>
    <rPh sb="261" eb="263">
      <t>カイトウ</t>
    </rPh>
    <rPh sb="307" eb="309">
      <t>コウモク</t>
    </rPh>
    <rPh sb="325" eb="326">
      <t>ガタ</t>
    </rPh>
    <rPh sb="328" eb="330">
      <t>カイトウ</t>
    </rPh>
    <rPh sb="335" eb="337">
      <t>カンゼン</t>
    </rPh>
    <rPh sb="343" eb="344">
      <t>カ</t>
    </rPh>
    <rPh sb="345" eb="347">
      <t>イッテイ</t>
    </rPh>
    <rPh sb="348" eb="350">
      <t>ジュヨウ</t>
    </rPh>
    <rPh sb="351" eb="353">
      <t>セイカ</t>
    </rPh>
    <rPh sb="358" eb="359">
      <t>カンガ</t>
    </rPh>
    <phoneticPr fontId="1"/>
  </si>
  <si>
    <t>学部・学科によって、修了要件は相違する</t>
  </si>
  <si>
    <t>ビジネスデザイン学部ビジネスデザイン学科</t>
    <rPh sb="8" eb="10">
      <t>ガクブ</t>
    </rPh>
    <rPh sb="18" eb="20">
      <t>ガッカ</t>
    </rPh>
    <phoneticPr fontId="1"/>
  </si>
  <si>
    <t>共通教育機構が開講する基礎教育科目「学びの基礎（リテラシー）」区分の科目の内、「データサイエンス基礎」の2単位を修得すること。</t>
    <rPh sb="0" eb="2">
      <t>キョウツウ</t>
    </rPh>
    <rPh sb="2" eb="4">
      <t>キョウイク</t>
    </rPh>
    <rPh sb="4" eb="6">
      <t>キコウ</t>
    </rPh>
    <rPh sb="7" eb="9">
      <t>カイコウ</t>
    </rPh>
    <rPh sb="11" eb="13">
      <t>キソ</t>
    </rPh>
    <rPh sb="13" eb="15">
      <t>キョウイク</t>
    </rPh>
    <rPh sb="15" eb="17">
      <t>カモク</t>
    </rPh>
    <rPh sb="18" eb="19">
      <t>マナ</t>
    </rPh>
    <rPh sb="21" eb="23">
      <t>キソ</t>
    </rPh>
    <rPh sb="31" eb="33">
      <t>クブン</t>
    </rPh>
    <rPh sb="34" eb="36">
      <t>カモク</t>
    </rPh>
    <rPh sb="37" eb="38">
      <t>ウチ</t>
    </rPh>
    <rPh sb="48" eb="50">
      <t>キソ</t>
    </rPh>
    <rPh sb="53" eb="55">
      <t>タンイ</t>
    </rPh>
    <rPh sb="56" eb="58">
      <t>シュウトク</t>
    </rPh>
    <phoneticPr fontId="1"/>
  </si>
  <si>
    <t>ビジネスデザイン学部ビジネスデザイン学科教育科目「データサイエンス入門」の2単位を修得すること。</t>
    <rPh sb="8" eb="10">
      <t>ガクブ</t>
    </rPh>
    <rPh sb="18" eb="20">
      <t>ガッカ</t>
    </rPh>
    <rPh sb="20" eb="22">
      <t>キョウイク</t>
    </rPh>
    <rPh sb="22" eb="24">
      <t>カモク</t>
    </rPh>
    <rPh sb="33" eb="35">
      <t>ニュウモン</t>
    </rPh>
    <rPh sb="38" eb="40">
      <t>タンイ</t>
    </rPh>
    <rPh sb="41" eb="43">
      <t>シュウトク</t>
    </rPh>
    <phoneticPr fontId="1"/>
  </si>
  <si>
    <t>データサイエンス入門</t>
    <phoneticPr fontId="1"/>
  </si>
  <si>
    <t>「社会で起きている変化」
・データを起点としたものの見方、人間の知的活動を起点としたものの見方「データサイエンス入門」（１回目）</t>
    <rPh sb="18" eb="20">
      <t>キテン</t>
    </rPh>
    <rPh sb="26" eb="28">
      <t>ミカタ</t>
    </rPh>
    <rPh sb="29" eb="31">
      <t>ニンゲン</t>
    </rPh>
    <rPh sb="32" eb="34">
      <t>チテキ</t>
    </rPh>
    <rPh sb="34" eb="36">
      <t>カツドウ</t>
    </rPh>
    <rPh sb="37" eb="39">
      <t>キテン</t>
    </rPh>
    <rPh sb="45" eb="47">
      <t>ミカタ</t>
    </rPh>
    <rPh sb="56" eb="58">
      <t>ニュウモン</t>
    </rPh>
    <rPh sb="62" eb="63">
      <t>メ</t>
    </rPh>
    <phoneticPr fontId="1"/>
  </si>
  <si>
    <t xml:space="preserve">「データ・AI 利活用の最新動向」
・AI等を活用した新しいビジネスモデル「データサイエンス入門」（2回目、3回目、4回目）
</t>
    <rPh sb="21" eb="22">
      <t>トウ</t>
    </rPh>
    <rPh sb="23" eb="25">
      <t>カツヨウ</t>
    </rPh>
    <rPh sb="27" eb="28">
      <t>アタラ</t>
    </rPh>
    <rPh sb="55" eb="56">
      <t>カイ</t>
    </rPh>
    <rPh sb="56" eb="57">
      <t>メ</t>
    </rPh>
    <phoneticPr fontId="1"/>
  </si>
  <si>
    <t>「社会で活用されているデータ」
・調査データ、実験データ、人の行動ログデータ、機械の稼働ログデータなど「データサイエンス入門」（2回目、3回目、4回目）
・1次データ、2次データ、データのメタ化「データサイエンス入門」（2回目、3回目、4回目）</t>
    <rPh sb="17" eb="19">
      <t>チョウサ</t>
    </rPh>
    <rPh sb="23" eb="25">
      <t>ジッケン</t>
    </rPh>
    <rPh sb="29" eb="30">
      <t>ヒト</t>
    </rPh>
    <rPh sb="31" eb="33">
      <t>コウドウ</t>
    </rPh>
    <rPh sb="39" eb="41">
      <t>キカイ</t>
    </rPh>
    <rPh sb="42" eb="44">
      <t>カドウ</t>
    </rPh>
    <phoneticPr fontId="1"/>
  </si>
  <si>
    <t>「データ・AIの活用領域」
・データ・AI活用領域の広がり「データサイエンス入門」（2回目、3回目、4回目）
・研究開発、調達、製造、物流、販売、マーケティング、サービスなど「データサイエンス入門」（2回目、3回目、4回目）</t>
    <rPh sb="21" eb="23">
      <t>カツヨウ</t>
    </rPh>
    <rPh sb="23" eb="25">
      <t>リョウイキ</t>
    </rPh>
    <rPh sb="26" eb="27">
      <t>ヒロ</t>
    </rPh>
    <rPh sb="47" eb="48">
      <t>カイ</t>
    </rPh>
    <rPh sb="48" eb="49">
      <t>メ</t>
    </rPh>
    <rPh sb="51" eb="52">
      <t>カイ</t>
    </rPh>
    <rPh sb="52" eb="53">
      <t>メ</t>
    </rPh>
    <phoneticPr fontId="1"/>
  </si>
  <si>
    <t xml:space="preserve">「データ・AIの活用のための技術」
・データ解析：予測、グルーピング、パターン発見、最適化、シミュレーション・データ同化など「データサイエンス入門」（2回目、3回目、4回目）
・特化型AIと汎用AI、今のAIに出来ることと、出来ないこと、AIとビッグデータ「データサイエンス入門」（2回目、3回目、4回目）
</t>
    <rPh sb="89" eb="92">
      <t>トッカガタ</t>
    </rPh>
    <rPh sb="95" eb="97">
      <t>ハンヨウ</t>
    </rPh>
    <rPh sb="100" eb="101">
      <t>イマ</t>
    </rPh>
    <rPh sb="105" eb="107">
      <t>デキ</t>
    </rPh>
    <rPh sb="112" eb="114">
      <t>デキ</t>
    </rPh>
    <rPh sb="150" eb="151">
      <t>カイ</t>
    </rPh>
    <rPh sb="151" eb="152">
      <t>メ</t>
    </rPh>
    <phoneticPr fontId="1"/>
  </si>
  <si>
    <t>「データ・AIの利活用の現場」
・データサイエンスのサイクル「データサイエンス入門」（2回目、3回目、4回目）
・流通、製造、金融、サービス、インフラ、公共、ヘルスケア等におけるデータ・AI利活用事例紹介「データサイエンス入門」（2回目、3回目、4回目）</t>
    <rPh sb="57" eb="59">
      <t>リュウツウ</t>
    </rPh>
    <rPh sb="60" eb="62">
      <t>セイゾウ</t>
    </rPh>
    <rPh sb="63" eb="65">
      <t>キンユウ</t>
    </rPh>
    <rPh sb="76" eb="78">
      <t>コウキョウ</t>
    </rPh>
    <rPh sb="84" eb="85">
      <t>トウ</t>
    </rPh>
    <rPh sb="95" eb="98">
      <t>リカツヨウ</t>
    </rPh>
    <rPh sb="98" eb="100">
      <t>ジレイ</t>
    </rPh>
    <rPh sb="100" eb="102">
      <t>ショウカイ</t>
    </rPh>
    <phoneticPr fontId="1"/>
  </si>
  <si>
    <t>「データ・AIを扱う上での留意事項」
・個人情報保護、EU一般データ保護規則（GDPR）、忘れられる権利、オプトアウト「データサイエンス入門」（12回目、13回目）
・データ倫理：データのねつ造、改ざん、盗用、プライバシー保護「データサイエンス入門」（12回目、13回目）</t>
    <rPh sb="20" eb="22">
      <t>コジン</t>
    </rPh>
    <rPh sb="22" eb="24">
      <t>ジョウホウ</t>
    </rPh>
    <rPh sb="24" eb="26">
      <t>ホゴ</t>
    </rPh>
    <rPh sb="29" eb="31">
      <t>イッパン</t>
    </rPh>
    <rPh sb="34" eb="36">
      <t>ホゴ</t>
    </rPh>
    <rPh sb="36" eb="38">
      <t>キソク</t>
    </rPh>
    <rPh sb="45" eb="46">
      <t>ワス</t>
    </rPh>
    <rPh sb="50" eb="52">
      <t>ケンリ</t>
    </rPh>
    <rPh sb="87" eb="89">
      <t>リンリ</t>
    </rPh>
    <rPh sb="98" eb="99">
      <t>カイ</t>
    </rPh>
    <rPh sb="102" eb="104">
      <t>トウヨウ</t>
    </rPh>
    <rPh sb="111" eb="113">
      <t>ホゴ</t>
    </rPh>
    <phoneticPr fontId="1"/>
  </si>
  <si>
    <t>「データを守る上での留意事項」
・情報セキュリティ：機密性、完全性、可用性「データサイエンス入門」（14回目）
・情報漏洩等によるセキュリティ事故の事例紹介「データサイエンス入門」（14回目）</t>
    <rPh sb="17" eb="19">
      <t>ジョウホウ</t>
    </rPh>
    <rPh sb="26" eb="29">
      <t>キミツセイ</t>
    </rPh>
    <rPh sb="30" eb="33">
      <t>カンゼンセイ</t>
    </rPh>
    <rPh sb="34" eb="37">
      <t>カヨウセイ</t>
    </rPh>
    <rPh sb="57" eb="59">
      <t>ジョウホウ</t>
    </rPh>
    <rPh sb="59" eb="61">
      <t>ロウエイ</t>
    </rPh>
    <rPh sb="61" eb="62">
      <t>トウ</t>
    </rPh>
    <rPh sb="71" eb="73">
      <t>ジコ</t>
    </rPh>
    <rPh sb="74" eb="76">
      <t>ジレイ</t>
    </rPh>
    <rPh sb="76" eb="78">
      <t>ショウカイ</t>
    </rPh>
    <phoneticPr fontId="1"/>
  </si>
  <si>
    <t xml:space="preserve">「データを読む」
・データの分布（ヒストグラム）と代表値「データサイエンス入門」（5回目、6回目）
・データのばらつき「データサイエンス入門」（5回目、6回目）
・相関と因果「データサイエンス入門」（7回目、8回目）
・クロス集計表、分割表、相関係数行列、散布図行列「データサイエンス入門」（7回目、8回目）
・統計情報の正しい理解「データサイエンス入門」（5回目、6回目、7回目、8回目）
</t>
    <rPh sb="14" eb="16">
      <t>ブンプ</t>
    </rPh>
    <rPh sb="25" eb="27">
      <t>ダイヒョウ</t>
    </rPh>
    <rPh sb="27" eb="28">
      <t>ネ</t>
    </rPh>
    <rPh sb="46" eb="47">
      <t>カイ</t>
    </rPh>
    <rPh sb="47" eb="48">
      <t>メ</t>
    </rPh>
    <rPh sb="82" eb="84">
      <t>ソウカン</t>
    </rPh>
    <rPh sb="85" eb="87">
      <t>インガ</t>
    </rPh>
    <rPh sb="113" eb="115">
      <t>シュウケイ</t>
    </rPh>
    <rPh sb="115" eb="116">
      <t>ヒョウ</t>
    </rPh>
    <rPh sb="117" eb="119">
      <t>ブンカツ</t>
    </rPh>
    <rPh sb="119" eb="120">
      <t>ヒョウ</t>
    </rPh>
    <rPh sb="121" eb="123">
      <t>ソウカン</t>
    </rPh>
    <rPh sb="123" eb="125">
      <t>ケイスウ</t>
    </rPh>
    <rPh sb="125" eb="127">
      <t>ギョウレツ</t>
    </rPh>
    <rPh sb="128" eb="130">
      <t>サンプ</t>
    </rPh>
    <rPh sb="130" eb="131">
      <t>ズ</t>
    </rPh>
    <rPh sb="131" eb="133">
      <t>ギョウレツ</t>
    </rPh>
    <rPh sb="156" eb="158">
      <t>トウケイ</t>
    </rPh>
    <rPh sb="158" eb="160">
      <t>ジョウホウ</t>
    </rPh>
    <rPh sb="161" eb="162">
      <t>タダ</t>
    </rPh>
    <rPh sb="164" eb="166">
      <t>リカイ</t>
    </rPh>
    <phoneticPr fontId="1"/>
  </si>
  <si>
    <t>「データを説明する」
・データ表現「データサイエンス入門」（6回目、7回目、8回目、9回目）
・データの図表表現「データサイエンス入門」（6回目、7回目、8回目、9回目）
・データの比較「データサイエンス入門」（6回目、7回目、8回目、9回目）</t>
    <rPh sb="15" eb="17">
      <t>ヒョウゲン</t>
    </rPh>
    <rPh sb="35" eb="36">
      <t>カイ</t>
    </rPh>
    <rPh sb="36" eb="37">
      <t>メ</t>
    </rPh>
    <rPh sb="39" eb="40">
      <t>カイ</t>
    </rPh>
    <rPh sb="40" eb="41">
      <t>メ</t>
    </rPh>
    <rPh sb="43" eb="44">
      <t>カイ</t>
    </rPh>
    <rPh sb="44" eb="45">
      <t>メ</t>
    </rPh>
    <rPh sb="52" eb="54">
      <t>ズヒョウ</t>
    </rPh>
    <rPh sb="54" eb="56">
      <t>ヒョウゲン</t>
    </rPh>
    <rPh sb="91" eb="93">
      <t>ヒカク</t>
    </rPh>
    <phoneticPr fontId="1"/>
  </si>
  <si>
    <t>「データを扱う」
・データの集計「データサイエンス入門」（9回目、10回目、11回目）
・データの並び替え、ランキング「データサイエンス入門」（9回目、10回目、11回目）
・データ解析ツール「データサイエンス入門」（9回目、10回目、11回目）</t>
    <rPh sb="14" eb="16">
      <t>シュウケイ</t>
    </rPh>
    <rPh sb="35" eb="37">
      <t>カイメ</t>
    </rPh>
    <rPh sb="40" eb="42">
      <t>カイメ</t>
    </rPh>
    <rPh sb="49" eb="50">
      <t>ナラ</t>
    </rPh>
    <rPh sb="51" eb="52">
      <t>カ</t>
    </rPh>
    <rPh sb="91" eb="93">
      <t>カイセキ</t>
    </rPh>
    <phoneticPr fontId="1"/>
  </si>
  <si>
    <t>令和５</t>
    <rPh sb="0" eb="2">
      <t>レイワ</t>
    </rPh>
    <phoneticPr fontId="1"/>
  </si>
  <si>
    <t>桃山学院大学データサイエンス教育運営会議内規</t>
    <rPh sb="0" eb="6">
      <t>モモヤマガクインダイガク</t>
    </rPh>
    <rPh sb="20" eb="22">
      <t>ナイキ</t>
    </rPh>
    <phoneticPr fontId="1"/>
  </si>
  <si>
    <t>様式１-①</t>
    <rPh sb="0" eb="2">
      <t>ヨウシキ</t>
    </rPh>
    <phoneticPr fontId="1"/>
  </si>
  <si>
    <t>様式１-②</t>
    <rPh sb="0" eb="2">
      <t>ヨウシキ</t>
    </rPh>
    <phoneticPr fontId="1"/>
  </si>
  <si>
    <t>経済学部経済学科、社会学部社会学科、社会学部ソーシャルデザイン学科、経営学部経営学科、国際教養学部英語・国際文化学科、法学部法律学科</t>
    <rPh sb="0" eb="2">
      <t>ケイザイ</t>
    </rPh>
    <rPh sb="2" eb="4">
      <t>ガクブ</t>
    </rPh>
    <rPh sb="4" eb="6">
      <t>ケイザイ</t>
    </rPh>
    <rPh sb="6" eb="8">
      <t>ガッカ</t>
    </rPh>
    <rPh sb="9" eb="11">
      <t>シャカイ</t>
    </rPh>
    <rPh sb="11" eb="13">
      <t>ガクブ</t>
    </rPh>
    <rPh sb="13" eb="15">
      <t>シャカイ</t>
    </rPh>
    <rPh sb="15" eb="17">
      <t>ガッカ</t>
    </rPh>
    <rPh sb="18" eb="20">
      <t>シャカイ</t>
    </rPh>
    <rPh sb="20" eb="22">
      <t>ガクブ</t>
    </rPh>
    <rPh sb="31" eb="33">
      <t>ガッカ</t>
    </rPh>
    <rPh sb="34" eb="36">
      <t>ケイエイ</t>
    </rPh>
    <rPh sb="36" eb="38">
      <t>ガクブ</t>
    </rPh>
    <rPh sb="38" eb="40">
      <t>ケイエイ</t>
    </rPh>
    <rPh sb="40" eb="42">
      <t>ガッカ</t>
    </rPh>
    <rPh sb="43" eb="45">
      <t>コクサイ</t>
    </rPh>
    <rPh sb="45" eb="47">
      <t>キョウヨウ</t>
    </rPh>
    <rPh sb="47" eb="49">
      <t>ガクブ</t>
    </rPh>
    <rPh sb="49" eb="51">
      <t>エイゴ</t>
    </rPh>
    <rPh sb="52" eb="54">
      <t>コクサイ</t>
    </rPh>
    <rPh sb="54" eb="56">
      <t>ブンカ</t>
    </rPh>
    <rPh sb="56" eb="58">
      <t>ガッカ</t>
    </rPh>
    <rPh sb="57" eb="58">
      <t>キョウガク</t>
    </rPh>
    <rPh sb="59" eb="62">
      <t>ホウガクブ</t>
    </rPh>
    <rPh sb="62" eb="64">
      <t>ホウリツ</t>
    </rPh>
    <rPh sb="64" eb="66">
      <t>ガッカ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</si>
</sst>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13" fillId="0" borderId="0" xfId="0" applyFont="1" applyAlignment="1">
      <alignment horizontal="right" vertical="center"/>
    </xf>
    <xf numFmtId="0" fontId="13"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lignment vertical="center"/>
    </xf>
    <xf numFmtId="0" fontId="2" fillId="0" borderId="0" xfId="0" applyFont="1" applyAlignment="1">
      <alignment vertical="top" wrapText="1"/>
    </xf>
    <xf numFmtId="0" fontId="12" fillId="0" borderId="6" xfId="0" applyFont="1" applyFill="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Fill="1" applyBorder="1" applyAlignment="1">
      <alignment horizontal="center" vertical="center"/>
    </xf>
    <xf numFmtId="0" fontId="15" fillId="0" borderId="1" xfId="0" applyFont="1" applyFill="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2" fillId="0" borderId="0" xfId="0" applyFont="1" applyFill="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15" fillId="0" borderId="29" xfId="0" applyNumberFormat="1" applyFont="1" applyBorder="1" applyAlignment="1">
      <alignment horizontal="left" vertical="center" wrapText="1"/>
    </xf>
    <xf numFmtId="49" fontId="15" fillId="0" borderId="31" xfId="0" applyNumberFormat="1" applyFont="1" applyBorder="1" applyAlignment="1">
      <alignment horizontal="left" vertical="center"/>
    </xf>
    <xf numFmtId="49" fontId="15"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15" fillId="0" borderId="32" xfId="0" applyNumberFormat="1" applyFont="1" applyBorder="1" applyAlignment="1">
      <alignment horizontal="left" vertical="center" wrapText="1"/>
    </xf>
    <xf numFmtId="49" fontId="15" fillId="0" borderId="33" xfId="0" applyNumberFormat="1" applyFont="1" applyBorder="1" applyAlignment="1">
      <alignment horizontal="left" vertical="center"/>
    </xf>
    <xf numFmtId="49" fontId="15" fillId="0" borderId="34"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5" fillId="0" borderId="5" xfId="0" applyFont="1" applyBorder="1" applyAlignment="1">
      <alignment horizontal="left" vertical="top" wrapText="1"/>
    </xf>
    <xf numFmtId="0" fontId="5" fillId="0" borderId="0" xfId="0" applyFont="1" applyAlignment="1">
      <alignment horizontal="lef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B15" sqref="B15:U20"/>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7"/>
      <c r="B1" s="77"/>
      <c r="C1" s="77"/>
      <c r="D1" s="77"/>
      <c r="E1" s="77"/>
      <c r="F1" s="77"/>
      <c r="G1" s="77"/>
      <c r="H1" s="77"/>
      <c r="I1" s="77"/>
      <c r="J1" s="77"/>
      <c r="K1" s="77"/>
      <c r="L1" s="77"/>
      <c r="M1" s="77"/>
      <c r="N1" s="77"/>
      <c r="O1" s="77"/>
      <c r="P1" s="77"/>
      <c r="Q1" s="77"/>
      <c r="R1" s="77"/>
      <c r="S1" s="77"/>
      <c r="T1" s="141" t="s">
        <v>201</v>
      </c>
      <c r="U1" s="141"/>
      <c r="V1" s="2" t="s">
        <v>99</v>
      </c>
    </row>
    <row r="2" spans="1:24" ht="18.75" customHeight="1" x14ac:dyDescent="0.15">
      <c r="A2" s="77"/>
      <c r="B2" s="78" t="s">
        <v>98</v>
      </c>
      <c r="C2" s="142" t="s">
        <v>135</v>
      </c>
      <c r="D2" s="143"/>
      <c r="E2" s="143"/>
      <c r="F2" s="143"/>
      <c r="G2" s="143"/>
      <c r="H2" s="143"/>
      <c r="I2" s="143"/>
      <c r="J2" s="144"/>
      <c r="K2" s="79"/>
      <c r="L2" s="80"/>
      <c r="M2" s="80"/>
      <c r="N2" s="80"/>
      <c r="O2" s="80"/>
      <c r="P2" s="80"/>
      <c r="Q2" s="80"/>
      <c r="R2" s="80"/>
      <c r="S2" s="80"/>
      <c r="T2" s="80"/>
      <c r="U2" s="80"/>
    </row>
    <row r="3" spans="1:24" ht="18.75" customHeight="1" x14ac:dyDescent="0.15">
      <c r="A3" s="77"/>
      <c r="B3" s="78" t="s">
        <v>93</v>
      </c>
      <c r="C3" s="145" t="s">
        <v>168</v>
      </c>
      <c r="D3" s="146"/>
      <c r="E3" s="146"/>
      <c r="F3" s="146"/>
      <c r="G3" s="146"/>
      <c r="H3" s="146"/>
      <c r="I3" s="146"/>
      <c r="J3" s="147"/>
      <c r="K3" s="79"/>
      <c r="L3" s="80"/>
      <c r="M3" s="80"/>
      <c r="N3" s="80"/>
      <c r="O3" s="80"/>
      <c r="P3" s="80"/>
      <c r="Q3" s="80"/>
      <c r="R3" s="80"/>
      <c r="S3" s="80"/>
      <c r="T3" s="80"/>
      <c r="U3" s="80"/>
    </row>
    <row r="4" spans="1:24" ht="15" customHeight="1" x14ac:dyDescent="0.15">
      <c r="A4" s="77"/>
      <c r="B4" s="77"/>
      <c r="C4" s="77"/>
      <c r="D4" s="77"/>
      <c r="E4" s="77"/>
      <c r="F4" s="77"/>
      <c r="G4" s="77"/>
      <c r="H4" s="77"/>
      <c r="I4" s="77"/>
      <c r="J4" s="77"/>
      <c r="K4" s="77"/>
      <c r="L4" s="79"/>
      <c r="M4" s="81"/>
      <c r="N4" s="81"/>
      <c r="O4" s="81"/>
      <c r="P4" s="81"/>
      <c r="Q4" s="81"/>
      <c r="R4" s="81"/>
      <c r="S4" s="81"/>
      <c r="T4" s="81"/>
      <c r="U4" s="81"/>
    </row>
    <row r="5" spans="1:24" ht="18" customHeight="1" x14ac:dyDescent="0.15">
      <c r="A5" s="122" t="s">
        <v>37</v>
      </c>
      <c r="B5" s="122"/>
      <c r="C5" s="122"/>
      <c r="D5" s="122"/>
      <c r="E5" s="122"/>
      <c r="F5" s="122"/>
      <c r="G5" s="122"/>
      <c r="H5" s="122"/>
      <c r="I5" s="122"/>
      <c r="J5" s="122"/>
      <c r="K5" s="122"/>
      <c r="L5" s="122"/>
      <c r="M5" s="122"/>
      <c r="N5" s="122"/>
      <c r="O5" s="122"/>
      <c r="P5" s="122"/>
      <c r="Q5" s="122"/>
      <c r="R5" s="122"/>
      <c r="S5" s="122"/>
      <c r="T5" s="122"/>
      <c r="U5" s="122"/>
    </row>
    <row r="6" spans="1:24" ht="15" customHeight="1" x14ac:dyDescent="0.15">
      <c r="A6" s="77"/>
      <c r="B6" s="82"/>
      <c r="C6" s="82"/>
      <c r="D6" s="82"/>
      <c r="E6" s="82"/>
      <c r="F6" s="82"/>
      <c r="G6" s="82"/>
      <c r="H6" s="82"/>
      <c r="I6" s="82"/>
      <c r="J6" s="82"/>
      <c r="K6" s="82"/>
      <c r="L6" s="82"/>
      <c r="M6" s="82"/>
      <c r="N6" s="82"/>
      <c r="O6" s="82"/>
      <c r="P6" s="82"/>
      <c r="Q6" s="82"/>
      <c r="R6" s="82"/>
      <c r="S6" s="82"/>
      <c r="T6" s="82"/>
      <c r="U6" s="82"/>
    </row>
    <row r="7" spans="1:24" ht="15" customHeight="1" x14ac:dyDescent="0.15">
      <c r="A7" s="77" t="s">
        <v>130</v>
      </c>
      <c r="B7" s="82"/>
      <c r="C7" s="82"/>
      <c r="D7" s="82"/>
      <c r="E7" s="82"/>
      <c r="F7" s="83"/>
      <c r="G7" s="83"/>
      <c r="H7" s="83"/>
      <c r="I7" s="83"/>
      <c r="J7" s="83"/>
      <c r="K7" s="83"/>
      <c r="L7" s="161" t="s">
        <v>183</v>
      </c>
      <c r="M7" s="162"/>
      <c r="N7" s="162"/>
      <c r="O7" s="162"/>
      <c r="P7" s="162"/>
      <c r="Q7" s="162"/>
      <c r="R7" s="162"/>
      <c r="S7" s="162"/>
      <c r="T7" s="162"/>
      <c r="U7" s="163"/>
    </row>
    <row r="8" spans="1:24" ht="6" customHeight="1" x14ac:dyDescent="0.15">
      <c r="A8" s="77"/>
      <c r="B8" s="82"/>
      <c r="C8" s="82"/>
      <c r="D8" s="82"/>
      <c r="E8" s="82"/>
      <c r="F8" s="82"/>
      <c r="G8" s="82"/>
      <c r="H8" s="82"/>
      <c r="I8" s="82"/>
      <c r="J8" s="82"/>
      <c r="K8" s="82"/>
      <c r="L8" s="82"/>
      <c r="M8" s="82"/>
      <c r="N8" s="82"/>
      <c r="O8" s="82"/>
      <c r="P8" s="82"/>
      <c r="Q8" s="82"/>
      <c r="R8" s="82"/>
      <c r="S8" s="82"/>
      <c r="T8" s="82"/>
      <c r="U8" s="82"/>
    </row>
    <row r="9" spans="1:24" ht="18" customHeight="1" x14ac:dyDescent="0.15">
      <c r="A9" s="77" t="s">
        <v>131</v>
      </c>
      <c r="B9" s="77"/>
      <c r="C9" s="82"/>
      <c r="D9" s="82"/>
      <c r="E9" s="77"/>
      <c r="F9" s="77"/>
      <c r="G9" s="77"/>
      <c r="H9" s="77"/>
      <c r="I9" s="77"/>
      <c r="J9" s="77"/>
      <c r="K9" s="79"/>
      <c r="L9" s="83"/>
      <c r="M9" s="83"/>
      <c r="N9" s="83"/>
      <c r="O9" s="83"/>
      <c r="P9" s="83"/>
      <c r="Q9" s="83"/>
      <c r="R9" s="83"/>
      <c r="S9" s="83"/>
      <c r="T9" s="83"/>
      <c r="U9" s="83"/>
    </row>
    <row r="10" spans="1:24" ht="6" customHeight="1" x14ac:dyDescent="0.15">
      <c r="A10" s="77"/>
      <c r="B10" s="82"/>
      <c r="C10" s="82"/>
      <c r="D10" s="82"/>
      <c r="E10" s="82"/>
      <c r="F10" s="82"/>
      <c r="G10" s="82"/>
      <c r="H10" s="82"/>
      <c r="I10" s="82"/>
      <c r="J10" s="82"/>
      <c r="K10" s="82"/>
      <c r="L10" s="84"/>
      <c r="M10" s="82"/>
      <c r="N10" s="82"/>
      <c r="O10" s="82"/>
      <c r="P10" s="82"/>
      <c r="Q10" s="82"/>
      <c r="R10" s="82"/>
      <c r="S10" s="82"/>
      <c r="T10" s="82"/>
      <c r="U10" s="82"/>
    </row>
    <row r="11" spans="1:24" ht="18" customHeight="1" x14ac:dyDescent="0.15">
      <c r="A11" s="77"/>
      <c r="B11" s="170" t="s">
        <v>203</v>
      </c>
      <c r="C11" s="171"/>
      <c r="D11" s="171"/>
      <c r="E11" s="171"/>
      <c r="F11" s="171"/>
      <c r="G11" s="171"/>
      <c r="H11" s="171"/>
      <c r="I11" s="171"/>
      <c r="J11" s="171"/>
      <c r="K11" s="171"/>
      <c r="L11" s="171"/>
      <c r="M11" s="171"/>
      <c r="N11" s="171"/>
      <c r="O11" s="171"/>
      <c r="P11" s="171"/>
      <c r="Q11" s="171"/>
      <c r="R11" s="171"/>
      <c r="S11" s="171"/>
      <c r="T11" s="171"/>
      <c r="U11" s="172"/>
    </row>
    <row r="12" spans="1:24" ht="18" customHeight="1" x14ac:dyDescent="0.15">
      <c r="A12" s="77"/>
      <c r="B12" s="173"/>
      <c r="C12" s="174"/>
      <c r="D12" s="174"/>
      <c r="E12" s="174"/>
      <c r="F12" s="174"/>
      <c r="G12" s="174"/>
      <c r="H12" s="174"/>
      <c r="I12" s="174"/>
      <c r="J12" s="174"/>
      <c r="K12" s="174"/>
      <c r="L12" s="174"/>
      <c r="M12" s="174"/>
      <c r="N12" s="174"/>
      <c r="O12" s="174"/>
      <c r="P12" s="174"/>
      <c r="Q12" s="174"/>
      <c r="R12" s="174"/>
      <c r="S12" s="174"/>
      <c r="T12" s="174"/>
      <c r="U12" s="175"/>
    </row>
    <row r="13" spans="1:24" ht="6" customHeight="1" x14ac:dyDescent="0.15">
      <c r="A13" s="77"/>
      <c r="B13" s="82"/>
      <c r="C13" s="82"/>
      <c r="D13" s="82"/>
      <c r="E13" s="82"/>
      <c r="F13" s="82"/>
      <c r="G13" s="82"/>
      <c r="H13" s="82"/>
      <c r="I13" s="82"/>
      <c r="J13" s="82"/>
      <c r="K13" s="82"/>
      <c r="L13" s="84"/>
      <c r="M13" s="82"/>
      <c r="N13" s="82"/>
      <c r="O13" s="82"/>
      <c r="P13" s="82"/>
      <c r="Q13" s="82"/>
      <c r="R13" s="82"/>
      <c r="S13" s="82"/>
      <c r="T13" s="82"/>
      <c r="U13" s="82"/>
    </row>
    <row r="14" spans="1:24" ht="18" customHeight="1" x14ac:dyDescent="0.15">
      <c r="A14" s="77" t="s">
        <v>100</v>
      </c>
      <c r="B14" s="82"/>
      <c r="C14" s="82"/>
      <c r="D14" s="82"/>
      <c r="E14" s="79"/>
      <c r="F14" s="79"/>
      <c r="G14" s="79"/>
      <c r="H14" s="79"/>
      <c r="I14" s="79"/>
      <c r="J14" s="79"/>
      <c r="K14" s="79"/>
      <c r="L14" s="85"/>
      <c r="M14" s="85"/>
      <c r="N14" s="85"/>
      <c r="O14" s="85"/>
      <c r="P14" s="85"/>
      <c r="Q14" s="85"/>
      <c r="R14" s="85"/>
      <c r="S14" s="85"/>
      <c r="T14" s="85"/>
      <c r="U14" s="85"/>
    </row>
    <row r="15" spans="1:24" ht="18" customHeight="1" x14ac:dyDescent="0.15">
      <c r="A15" s="77"/>
      <c r="B15" s="123" t="s">
        <v>185</v>
      </c>
      <c r="C15" s="124"/>
      <c r="D15" s="124"/>
      <c r="E15" s="124"/>
      <c r="F15" s="124"/>
      <c r="G15" s="124"/>
      <c r="H15" s="124"/>
      <c r="I15" s="124"/>
      <c r="J15" s="124"/>
      <c r="K15" s="124"/>
      <c r="L15" s="124"/>
      <c r="M15" s="124"/>
      <c r="N15" s="124"/>
      <c r="O15" s="124"/>
      <c r="P15" s="124"/>
      <c r="Q15" s="124"/>
      <c r="R15" s="124"/>
      <c r="S15" s="124"/>
      <c r="T15" s="124"/>
      <c r="U15" s="125"/>
      <c r="X15" s="1" t="s">
        <v>94</v>
      </c>
    </row>
    <row r="16" spans="1:24" ht="18" customHeight="1" x14ac:dyDescent="0.15">
      <c r="A16" s="77"/>
      <c r="B16" s="126"/>
      <c r="C16" s="127"/>
      <c r="D16" s="127"/>
      <c r="E16" s="127"/>
      <c r="F16" s="127"/>
      <c r="G16" s="127"/>
      <c r="H16" s="127"/>
      <c r="I16" s="127"/>
      <c r="J16" s="127"/>
      <c r="K16" s="127"/>
      <c r="L16" s="127"/>
      <c r="M16" s="127"/>
      <c r="N16" s="127"/>
      <c r="O16" s="127"/>
      <c r="P16" s="127"/>
      <c r="Q16" s="127"/>
      <c r="R16" s="127"/>
      <c r="S16" s="127"/>
      <c r="T16" s="127"/>
      <c r="U16" s="128"/>
      <c r="X16" s="1" t="s">
        <v>114</v>
      </c>
    </row>
    <row r="17" spans="1:24" ht="18" customHeight="1" x14ac:dyDescent="0.15">
      <c r="A17" s="77"/>
      <c r="B17" s="126"/>
      <c r="C17" s="127"/>
      <c r="D17" s="127"/>
      <c r="E17" s="127"/>
      <c r="F17" s="127"/>
      <c r="G17" s="127"/>
      <c r="H17" s="127"/>
      <c r="I17" s="127"/>
      <c r="J17" s="127"/>
      <c r="K17" s="127"/>
      <c r="L17" s="127"/>
      <c r="M17" s="127"/>
      <c r="N17" s="127"/>
      <c r="O17" s="127"/>
      <c r="P17" s="127"/>
      <c r="Q17" s="127"/>
      <c r="R17" s="127"/>
      <c r="S17" s="127"/>
      <c r="T17" s="127"/>
      <c r="U17" s="128"/>
      <c r="X17" s="1" t="s">
        <v>115</v>
      </c>
    </row>
    <row r="18" spans="1:24" ht="18" customHeight="1" x14ac:dyDescent="0.15">
      <c r="A18" s="77"/>
      <c r="B18" s="126"/>
      <c r="C18" s="127"/>
      <c r="D18" s="127"/>
      <c r="E18" s="127"/>
      <c r="F18" s="127"/>
      <c r="G18" s="127"/>
      <c r="H18" s="127"/>
      <c r="I18" s="127"/>
      <c r="J18" s="127"/>
      <c r="K18" s="127"/>
      <c r="L18" s="127"/>
      <c r="M18" s="127"/>
      <c r="N18" s="127"/>
      <c r="O18" s="127"/>
      <c r="P18" s="127"/>
      <c r="Q18" s="127"/>
      <c r="R18" s="127"/>
      <c r="S18" s="127"/>
      <c r="T18" s="127"/>
      <c r="U18" s="128"/>
      <c r="X18" s="1" t="s">
        <v>116</v>
      </c>
    </row>
    <row r="19" spans="1:24" ht="18" customHeight="1" x14ac:dyDescent="0.15">
      <c r="A19" s="77"/>
      <c r="B19" s="126"/>
      <c r="C19" s="127"/>
      <c r="D19" s="127"/>
      <c r="E19" s="127"/>
      <c r="F19" s="127"/>
      <c r="G19" s="127"/>
      <c r="H19" s="127"/>
      <c r="I19" s="127"/>
      <c r="J19" s="127"/>
      <c r="K19" s="127"/>
      <c r="L19" s="127"/>
      <c r="M19" s="127"/>
      <c r="N19" s="127"/>
      <c r="O19" s="127"/>
      <c r="P19" s="127"/>
      <c r="Q19" s="127"/>
      <c r="R19" s="127"/>
      <c r="S19" s="127"/>
      <c r="T19" s="127"/>
      <c r="U19" s="128"/>
    </row>
    <row r="20" spans="1:24" ht="18" customHeight="1" x14ac:dyDescent="0.15">
      <c r="A20" s="77"/>
      <c r="B20" s="129"/>
      <c r="C20" s="130"/>
      <c r="D20" s="130"/>
      <c r="E20" s="130"/>
      <c r="F20" s="130"/>
      <c r="G20" s="130"/>
      <c r="H20" s="130"/>
      <c r="I20" s="130"/>
      <c r="J20" s="130"/>
      <c r="K20" s="130"/>
      <c r="L20" s="130"/>
      <c r="M20" s="130"/>
      <c r="N20" s="130"/>
      <c r="O20" s="130"/>
      <c r="P20" s="130"/>
      <c r="Q20" s="130"/>
      <c r="R20" s="130"/>
      <c r="S20" s="130"/>
      <c r="T20" s="130"/>
      <c r="U20" s="131"/>
    </row>
    <row r="21" spans="1:24" ht="7.5" customHeight="1" x14ac:dyDescent="0.15">
      <c r="A21" s="77"/>
      <c r="B21" s="82"/>
      <c r="C21" s="82"/>
      <c r="D21" s="82"/>
      <c r="E21" s="82"/>
      <c r="F21" s="82"/>
      <c r="G21" s="82"/>
      <c r="H21" s="82"/>
      <c r="I21" s="82"/>
      <c r="J21" s="82"/>
      <c r="K21" s="82"/>
      <c r="L21" s="82"/>
      <c r="M21" s="82"/>
      <c r="N21" s="82"/>
      <c r="O21" s="82"/>
      <c r="P21" s="82"/>
      <c r="Q21" s="82"/>
      <c r="R21" s="82"/>
      <c r="S21" s="82"/>
      <c r="T21" s="82"/>
      <c r="U21" s="82"/>
    </row>
    <row r="22" spans="1:24" ht="19.899999999999999" customHeight="1" x14ac:dyDescent="0.15">
      <c r="A22" s="77"/>
      <c r="B22" s="77" t="s">
        <v>132</v>
      </c>
      <c r="C22" s="77"/>
      <c r="D22" s="77"/>
      <c r="E22" s="86">
        <v>1</v>
      </c>
      <c r="F22" s="77" t="s">
        <v>112</v>
      </c>
      <c r="G22" s="77"/>
      <c r="H22" s="87">
        <v>2</v>
      </c>
      <c r="I22" s="82" t="s">
        <v>113</v>
      </c>
      <c r="J22" s="82"/>
      <c r="K22" s="79"/>
      <c r="L22" s="77"/>
      <c r="M22" s="79" t="s">
        <v>109</v>
      </c>
      <c r="N22" s="158" t="s">
        <v>116</v>
      </c>
      <c r="O22" s="159"/>
      <c r="P22" s="159"/>
      <c r="Q22" s="159"/>
      <c r="R22" s="159"/>
      <c r="S22" s="159"/>
      <c r="T22" s="159"/>
      <c r="U22" s="160"/>
    </row>
    <row r="23" spans="1:24" ht="7.5" customHeight="1" x14ac:dyDescent="0.15">
      <c r="A23" s="77"/>
      <c r="B23" s="82"/>
      <c r="C23" s="82"/>
      <c r="D23" s="82"/>
      <c r="E23" s="82"/>
      <c r="F23" s="82"/>
      <c r="G23" s="82"/>
      <c r="H23" s="82"/>
      <c r="I23" s="82"/>
      <c r="J23" s="82"/>
      <c r="K23" s="82"/>
      <c r="L23" s="82"/>
      <c r="M23" s="82"/>
      <c r="N23" s="82"/>
      <c r="O23" s="82"/>
      <c r="P23" s="82"/>
      <c r="Q23" s="82"/>
      <c r="R23" s="82"/>
      <c r="S23" s="82"/>
      <c r="T23" s="82"/>
      <c r="U23" s="82"/>
    </row>
    <row r="24" spans="1:24" ht="18" customHeight="1" x14ac:dyDescent="0.15">
      <c r="A24" s="132" t="s">
        <v>101</v>
      </c>
      <c r="B24" s="132"/>
      <c r="C24" s="132"/>
      <c r="D24" s="132"/>
      <c r="E24" s="132"/>
      <c r="F24" s="132"/>
      <c r="G24" s="132"/>
      <c r="H24" s="132"/>
      <c r="I24" s="132"/>
      <c r="J24" s="132"/>
      <c r="K24" s="132"/>
      <c r="L24" s="132"/>
      <c r="M24" s="132"/>
      <c r="N24" s="132"/>
      <c r="O24" s="132"/>
      <c r="P24" s="132"/>
      <c r="Q24" s="132"/>
      <c r="R24" s="132"/>
      <c r="S24" s="132"/>
      <c r="T24" s="132"/>
      <c r="U24" s="132"/>
    </row>
    <row r="25" spans="1:24" ht="18" customHeight="1" x14ac:dyDescent="0.15">
      <c r="A25" s="132"/>
      <c r="B25" s="132"/>
      <c r="C25" s="132"/>
      <c r="D25" s="132"/>
      <c r="E25" s="132"/>
      <c r="F25" s="132"/>
      <c r="G25" s="132"/>
      <c r="H25" s="132"/>
      <c r="I25" s="132"/>
      <c r="J25" s="132"/>
      <c r="K25" s="132"/>
      <c r="L25" s="132"/>
      <c r="M25" s="132"/>
      <c r="N25" s="132"/>
      <c r="O25" s="132"/>
      <c r="P25" s="132"/>
      <c r="Q25" s="132"/>
      <c r="R25" s="132"/>
      <c r="S25" s="132"/>
      <c r="T25" s="132"/>
      <c r="U25" s="132"/>
    </row>
    <row r="26" spans="1:24" ht="18" customHeight="1" x14ac:dyDescent="0.15">
      <c r="B26" s="98" t="s">
        <v>51</v>
      </c>
      <c r="C26" s="99"/>
      <c r="D26" s="99"/>
      <c r="E26" s="99"/>
      <c r="F26" s="100"/>
      <c r="G26" s="51" t="s">
        <v>77</v>
      </c>
      <c r="H26" s="50" t="s">
        <v>80</v>
      </c>
      <c r="I26" s="17" t="s">
        <v>54</v>
      </c>
      <c r="J26" s="17" t="s">
        <v>57</v>
      </c>
      <c r="K26" s="98" t="s">
        <v>51</v>
      </c>
      <c r="L26" s="99"/>
      <c r="M26" s="99"/>
      <c r="N26" s="99"/>
      <c r="O26" s="99"/>
      <c r="P26" s="99"/>
      <c r="Q26" s="100"/>
      <c r="R26" s="51" t="s">
        <v>77</v>
      </c>
      <c r="S26" s="50" t="s">
        <v>80</v>
      </c>
      <c r="T26" s="17" t="s">
        <v>54</v>
      </c>
      <c r="U26" s="17" t="s">
        <v>57</v>
      </c>
    </row>
    <row r="27" spans="1:24" ht="18" customHeight="1" x14ac:dyDescent="0.15">
      <c r="B27" s="109" t="s">
        <v>137</v>
      </c>
      <c r="C27" s="110"/>
      <c r="D27" s="110"/>
      <c r="E27" s="110"/>
      <c r="F27" s="111"/>
      <c r="G27" s="18">
        <v>2</v>
      </c>
      <c r="H27" s="18" t="s">
        <v>138</v>
      </c>
      <c r="I27" s="18" t="s">
        <v>138</v>
      </c>
      <c r="J27" s="18" t="s">
        <v>138</v>
      </c>
      <c r="K27" s="109"/>
      <c r="L27" s="110"/>
      <c r="M27" s="110"/>
      <c r="N27" s="110"/>
      <c r="O27" s="110"/>
      <c r="P27" s="110"/>
      <c r="Q27" s="111"/>
      <c r="R27" s="18"/>
      <c r="S27" s="18"/>
      <c r="T27" s="18"/>
      <c r="U27" s="18"/>
    </row>
    <row r="28" spans="1:24" ht="18" customHeight="1" x14ac:dyDescent="0.15">
      <c r="B28" s="101"/>
      <c r="C28" s="102"/>
      <c r="D28" s="102"/>
      <c r="E28" s="102"/>
      <c r="F28" s="103"/>
      <c r="G28" s="19"/>
      <c r="H28" s="19"/>
      <c r="I28" s="19"/>
      <c r="J28" s="19"/>
      <c r="K28" s="101"/>
      <c r="L28" s="102"/>
      <c r="M28" s="102"/>
      <c r="N28" s="102"/>
      <c r="O28" s="102"/>
      <c r="P28" s="102"/>
      <c r="Q28" s="103"/>
      <c r="R28" s="19"/>
      <c r="S28" s="19"/>
      <c r="T28" s="19"/>
      <c r="U28" s="19"/>
    </row>
    <row r="29" spans="1:24" ht="18" customHeight="1" x14ac:dyDescent="0.15">
      <c r="B29" s="101"/>
      <c r="C29" s="102"/>
      <c r="D29" s="102"/>
      <c r="E29" s="102"/>
      <c r="F29" s="103"/>
      <c r="G29" s="19"/>
      <c r="H29" s="19"/>
      <c r="I29" s="19"/>
      <c r="J29" s="19"/>
      <c r="K29" s="101"/>
      <c r="L29" s="102"/>
      <c r="M29" s="102"/>
      <c r="N29" s="102"/>
      <c r="O29" s="102"/>
      <c r="P29" s="102"/>
      <c r="Q29" s="103"/>
      <c r="R29" s="19"/>
      <c r="S29" s="19"/>
      <c r="T29" s="19"/>
      <c r="U29" s="19"/>
    </row>
    <row r="30" spans="1:24" ht="18" customHeight="1" x14ac:dyDescent="0.15">
      <c r="B30" s="101"/>
      <c r="C30" s="102"/>
      <c r="D30" s="102"/>
      <c r="E30" s="102"/>
      <c r="F30" s="103"/>
      <c r="G30" s="19"/>
      <c r="H30" s="19"/>
      <c r="I30" s="19"/>
      <c r="J30" s="19"/>
      <c r="K30" s="101"/>
      <c r="L30" s="102"/>
      <c r="M30" s="102"/>
      <c r="N30" s="102"/>
      <c r="O30" s="102"/>
      <c r="P30" s="102"/>
      <c r="Q30" s="103"/>
      <c r="R30" s="19"/>
      <c r="S30" s="19"/>
      <c r="T30" s="19"/>
      <c r="U30" s="19"/>
    </row>
    <row r="31" spans="1:24" ht="18" customHeight="1" x14ac:dyDescent="0.15">
      <c r="B31" s="101"/>
      <c r="C31" s="102"/>
      <c r="D31" s="102"/>
      <c r="E31" s="102"/>
      <c r="F31" s="103"/>
      <c r="G31" s="19"/>
      <c r="H31" s="19"/>
      <c r="I31" s="19"/>
      <c r="J31" s="19"/>
      <c r="K31" s="101"/>
      <c r="L31" s="102"/>
      <c r="M31" s="102"/>
      <c r="N31" s="102"/>
      <c r="O31" s="102"/>
      <c r="P31" s="102"/>
      <c r="Q31" s="103"/>
      <c r="R31" s="19"/>
      <c r="S31" s="19"/>
      <c r="T31" s="19"/>
      <c r="U31" s="19"/>
    </row>
    <row r="32" spans="1:24" ht="18" customHeight="1" x14ac:dyDescent="0.15">
      <c r="A32" s="3"/>
      <c r="B32" s="101"/>
      <c r="C32" s="102"/>
      <c r="D32" s="102"/>
      <c r="E32" s="102"/>
      <c r="F32" s="103"/>
      <c r="G32" s="19"/>
      <c r="H32" s="19"/>
      <c r="I32" s="19"/>
      <c r="J32" s="19"/>
      <c r="K32" s="101"/>
      <c r="L32" s="102"/>
      <c r="M32" s="102"/>
      <c r="N32" s="102"/>
      <c r="O32" s="102"/>
      <c r="P32" s="102"/>
      <c r="Q32" s="103"/>
      <c r="R32" s="19"/>
      <c r="S32" s="19"/>
      <c r="T32" s="19"/>
      <c r="U32" s="19"/>
    </row>
    <row r="33" spans="1:21" ht="18" customHeight="1" x14ac:dyDescent="0.15">
      <c r="A33" s="3"/>
      <c r="B33" s="104"/>
      <c r="C33" s="105"/>
      <c r="D33" s="105"/>
      <c r="E33" s="105"/>
      <c r="F33" s="106"/>
      <c r="G33" s="20"/>
      <c r="H33" s="20"/>
      <c r="I33" s="21"/>
      <c r="J33" s="21"/>
      <c r="K33" s="104"/>
      <c r="L33" s="105"/>
      <c r="M33" s="105"/>
      <c r="N33" s="105"/>
      <c r="O33" s="105"/>
      <c r="P33" s="105"/>
      <c r="Q33" s="106"/>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2" t="s">
        <v>102</v>
      </c>
      <c r="B35" s="112"/>
      <c r="C35" s="112"/>
      <c r="D35" s="112"/>
      <c r="E35" s="112"/>
      <c r="F35" s="112"/>
      <c r="G35" s="112"/>
      <c r="H35" s="112"/>
      <c r="I35" s="112"/>
      <c r="J35" s="112"/>
      <c r="K35" s="112"/>
      <c r="L35" s="112"/>
      <c r="M35" s="112"/>
      <c r="N35" s="112"/>
      <c r="O35" s="112"/>
      <c r="P35" s="112"/>
      <c r="Q35" s="112"/>
      <c r="R35" s="112"/>
      <c r="S35" s="112"/>
      <c r="T35" s="112"/>
      <c r="U35" s="112"/>
    </row>
    <row r="36" spans="1:21" ht="18" customHeight="1" x14ac:dyDescent="0.15">
      <c r="A36" s="112"/>
      <c r="B36" s="112"/>
      <c r="C36" s="112"/>
      <c r="D36" s="112"/>
      <c r="E36" s="112"/>
      <c r="F36" s="112"/>
      <c r="G36" s="112"/>
      <c r="H36" s="112"/>
      <c r="I36" s="112"/>
      <c r="J36" s="112"/>
      <c r="K36" s="112"/>
      <c r="L36" s="112"/>
      <c r="M36" s="112"/>
      <c r="N36" s="112"/>
      <c r="O36" s="112"/>
      <c r="P36" s="112"/>
      <c r="Q36" s="112"/>
      <c r="R36" s="112"/>
      <c r="S36" s="112"/>
      <c r="T36" s="112"/>
      <c r="U36" s="112"/>
    </row>
    <row r="37" spans="1:21" ht="18" customHeight="1" x14ac:dyDescent="0.15">
      <c r="B37" s="98" t="s">
        <v>51</v>
      </c>
      <c r="C37" s="99"/>
      <c r="D37" s="99"/>
      <c r="E37" s="99"/>
      <c r="F37" s="100"/>
      <c r="G37" s="51" t="s">
        <v>77</v>
      </c>
      <c r="H37" s="50" t="s">
        <v>80</v>
      </c>
      <c r="I37" s="17" t="s">
        <v>68</v>
      </c>
      <c r="J37" s="17" t="s">
        <v>69</v>
      </c>
      <c r="K37" s="98" t="s">
        <v>51</v>
      </c>
      <c r="L37" s="99"/>
      <c r="M37" s="99"/>
      <c r="N37" s="99"/>
      <c r="O37" s="99"/>
      <c r="P37" s="99"/>
      <c r="Q37" s="100"/>
      <c r="R37" s="51" t="s">
        <v>77</v>
      </c>
      <c r="S37" s="50" t="s">
        <v>80</v>
      </c>
      <c r="T37" s="17" t="s">
        <v>68</v>
      </c>
      <c r="U37" s="17" t="s">
        <v>69</v>
      </c>
    </row>
    <row r="38" spans="1:21" ht="18" customHeight="1" x14ac:dyDescent="0.15">
      <c r="B38" s="109" t="s">
        <v>139</v>
      </c>
      <c r="C38" s="110"/>
      <c r="D38" s="110"/>
      <c r="E38" s="110"/>
      <c r="F38" s="111"/>
      <c r="G38" s="18">
        <v>2</v>
      </c>
      <c r="H38" s="18" t="s">
        <v>138</v>
      </c>
      <c r="I38" s="18" t="s">
        <v>138</v>
      </c>
      <c r="J38" s="18" t="s">
        <v>138</v>
      </c>
      <c r="K38" s="109"/>
      <c r="L38" s="110"/>
      <c r="M38" s="110"/>
      <c r="N38" s="110"/>
      <c r="O38" s="110"/>
      <c r="P38" s="110"/>
      <c r="Q38" s="111"/>
      <c r="R38" s="18"/>
      <c r="S38" s="18"/>
      <c r="T38" s="18"/>
      <c r="U38" s="18"/>
    </row>
    <row r="39" spans="1:21" ht="18" customHeight="1" x14ac:dyDescent="0.15">
      <c r="B39" s="101"/>
      <c r="C39" s="102"/>
      <c r="D39" s="102"/>
      <c r="E39" s="102"/>
      <c r="F39" s="103"/>
      <c r="G39" s="19"/>
      <c r="H39" s="19"/>
      <c r="I39" s="19"/>
      <c r="J39" s="19"/>
      <c r="K39" s="101"/>
      <c r="L39" s="102"/>
      <c r="M39" s="102"/>
      <c r="N39" s="102"/>
      <c r="O39" s="102"/>
      <c r="P39" s="102"/>
      <c r="Q39" s="103"/>
      <c r="R39" s="19"/>
      <c r="S39" s="19"/>
      <c r="T39" s="19"/>
      <c r="U39" s="19"/>
    </row>
    <row r="40" spans="1:21" ht="18" customHeight="1" x14ac:dyDescent="0.15">
      <c r="B40" s="101"/>
      <c r="C40" s="102"/>
      <c r="D40" s="102"/>
      <c r="E40" s="102"/>
      <c r="F40" s="103"/>
      <c r="G40" s="19"/>
      <c r="H40" s="19"/>
      <c r="I40" s="19"/>
      <c r="J40" s="19"/>
      <c r="K40" s="101"/>
      <c r="L40" s="102"/>
      <c r="M40" s="102"/>
      <c r="N40" s="102"/>
      <c r="O40" s="102"/>
      <c r="P40" s="102"/>
      <c r="Q40" s="103"/>
      <c r="R40" s="19"/>
      <c r="S40" s="19"/>
      <c r="T40" s="19"/>
      <c r="U40" s="19"/>
    </row>
    <row r="41" spans="1:21" ht="18" customHeight="1" x14ac:dyDescent="0.15">
      <c r="B41" s="101"/>
      <c r="C41" s="102"/>
      <c r="D41" s="102"/>
      <c r="E41" s="102"/>
      <c r="F41" s="103"/>
      <c r="G41" s="19"/>
      <c r="H41" s="19"/>
      <c r="I41" s="19"/>
      <c r="J41" s="19"/>
      <c r="K41" s="101"/>
      <c r="L41" s="102"/>
      <c r="M41" s="102"/>
      <c r="N41" s="102"/>
      <c r="O41" s="102"/>
      <c r="P41" s="102"/>
      <c r="Q41" s="103"/>
      <c r="R41" s="19"/>
      <c r="S41" s="19"/>
      <c r="T41" s="19"/>
      <c r="U41" s="19"/>
    </row>
    <row r="42" spans="1:21" ht="18" customHeight="1" x14ac:dyDescent="0.15">
      <c r="B42" s="101"/>
      <c r="C42" s="102"/>
      <c r="D42" s="102"/>
      <c r="E42" s="102"/>
      <c r="F42" s="103"/>
      <c r="G42" s="19"/>
      <c r="H42" s="19"/>
      <c r="I42" s="19"/>
      <c r="J42" s="19"/>
      <c r="K42" s="101"/>
      <c r="L42" s="102"/>
      <c r="M42" s="102"/>
      <c r="N42" s="102"/>
      <c r="O42" s="102"/>
      <c r="P42" s="102"/>
      <c r="Q42" s="103"/>
      <c r="R42" s="19"/>
      <c r="S42" s="19"/>
      <c r="T42" s="19"/>
      <c r="U42" s="19"/>
    </row>
    <row r="43" spans="1:21" ht="18" customHeight="1" x14ac:dyDescent="0.15">
      <c r="B43" s="101"/>
      <c r="C43" s="102"/>
      <c r="D43" s="102"/>
      <c r="E43" s="102"/>
      <c r="F43" s="103"/>
      <c r="G43" s="19"/>
      <c r="H43" s="19"/>
      <c r="I43" s="19"/>
      <c r="J43" s="19"/>
      <c r="K43" s="101"/>
      <c r="L43" s="102"/>
      <c r="M43" s="102"/>
      <c r="N43" s="102"/>
      <c r="O43" s="102"/>
      <c r="P43" s="102"/>
      <c r="Q43" s="103"/>
      <c r="R43" s="19"/>
      <c r="S43" s="19"/>
      <c r="T43" s="19"/>
      <c r="U43" s="19"/>
    </row>
    <row r="44" spans="1:21" ht="18" customHeight="1" x14ac:dyDescent="0.15">
      <c r="B44" s="104"/>
      <c r="C44" s="105"/>
      <c r="D44" s="105"/>
      <c r="E44" s="105"/>
      <c r="F44" s="106"/>
      <c r="G44" s="20"/>
      <c r="H44" s="20"/>
      <c r="I44" s="21"/>
      <c r="J44" s="21"/>
      <c r="K44" s="104"/>
      <c r="L44" s="105"/>
      <c r="M44" s="105"/>
      <c r="N44" s="105"/>
      <c r="O44" s="105"/>
      <c r="P44" s="105"/>
      <c r="Q44" s="106"/>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2" t="s">
        <v>103</v>
      </c>
      <c r="B46" s="112"/>
      <c r="C46" s="112"/>
      <c r="D46" s="112"/>
      <c r="E46" s="112"/>
      <c r="F46" s="112"/>
      <c r="G46" s="112"/>
      <c r="H46" s="112"/>
      <c r="I46" s="112"/>
      <c r="J46" s="112"/>
      <c r="K46" s="112"/>
      <c r="L46" s="112"/>
      <c r="M46" s="112"/>
      <c r="N46" s="112"/>
      <c r="O46" s="112"/>
      <c r="P46" s="112"/>
      <c r="Q46" s="112"/>
      <c r="R46" s="112"/>
      <c r="S46" s="112"/>
      <c r="T46" s="112"/>
      <c r="U46" s="112"/>
    </row>
    <row r="47" spans="1:21" ht="18" customHeight="1" x14ac:dyDescent="0.15">
      <c r="A47" s="112"/>
      <c r="B47" s="112"/>
      <c r="C47" s="112"/>
      <c r="D47" s="112"/>
      <c r="E47" s="112"/>
      <c r="F47" s="112"/>
      <c r="G47" s="112"/>
      <c r="H47" s="112"/>
      <c r="I47" s="112"/>
      <c r="J47" s="112"/>
      <c r="K47" s="112"/>
      <c r="L47" s="112"/>
      <c r="M47" s="112"/>
      <c r="N47" s="112"/>
      <c r="O47" s="112"/>
      <c r="P47" s="112"/>
      <c r="Q47" s="112"/>
      <c r="R47" s="112"/>
      <c r="S47" s="112"/>
      <c r="T47" s="112"/>
      <c r="U47" s="112"/>
    </row>
    <row r="48" spans="1:21" ht="18" customHeight="1" x14ac:dyDescent="0.15">
      <c r="B48" s="98" t="s">
        <v>51</v>
      </c>
      <c r="C48" s="99"/>
      <c r="D48" s="99"/>
      <c r="E48" s="99"/>
      <c r="F48" s="100"/>
      <c r="G48" s="51" t="s">
        <v>77</v>
      </c>
      <c r="H48" s="50" t="s">
        <v>80</v>
      </c>
      <c r="I48" s="17" t="s">
        <v>70</v>
      </c>
      <c r="J48" s="17" t="s">
        <v>71</v>
      </c>
      <c r="K48" s="98" t="s">
        <v>51</v>
      </c>
      <c r="L48" s="99"/>
      <c r="M48" s="99"/>
      <c r="N48" s="99"/>
      <c r="O48" s="99"/>
      <c r="P48" s="99"/>
      <c r="Q48" s="100"/>
      <c r="R48" s="51" t="s">
        <v>77</v>
      </c>
      <c r="S48" s="50" t="s">
        <v>80</v>
      </c>
      <c r="T48" s="17" t="s">
        <v>70</v>
      </c>
      <c r="U48" s="17" t="s">
        <v>71</v>
      </c>
    </row>
    <row r="49" spans="1:21" ht="18" customHeight="1" x14ac:dyDescent="0.15">
      <c r="A49" s="3"/>
      <c r="B49" s="109" t="s">
        <v>139</v>
      </c>
      <c r="C49" s="110"/>
      <c r="D49" s="110"/>
      <c r="E49" s="110"/>
      <c r="F49" s="111"/>
      <c r="G49" s="18">
        <v>2</v>
      </c>
      <c r="H49" s="18" t="s">
        <v>138</v>
      </c>
      <c r="I49" s="18" t="s">
        <v>138</v>
      </c>
      <c r="J49" s="18" t="s">
        <v>138</v>
      </c>
      <c r="K49" s="109"/>
      <c r="L49" s="110"/>
      <c r="M49" s="110"/>
      <c r="N49" s="110"/>
      <c r="O49" s="110"/>
      <c r="P49" s="110"/>
      <c r="Q49" s="111"/>
      <c r="R49" s="18"/>
      <c r="S49" s="18"/>
      <c r="T49" s="18"/>
      <c r="U49" s="18"/>
    </row>
    <row r="50" spans="1:21" ht="18" customHeight="1" x14ac:dyDescent="0.15">
      <c r="A50" s="3"/>
      <c r="B50" s="101"/>
      <c r="C50" s="102"/>
      <c r="D50" s="102"/>
      <c r="E50" s="102"/>
      <c r="F50" s="103"/>
      <c r="G50" s="19"/>
      <c r="H50" s="19"/>
      <c r="I50" s="19"/>
      <c r="J50" s="19"/>
      <c r="K50" s="101"/>
      <c r="L50" s="102"/>
      <c r="M50" s="102"/>
      <c r="N50" s="102"/>
      <c r="O50" s="102"/>
      <c r="P50" s="102"/>
      <c r="Q50" s="103"/>
      <c r="R50" s="19"/>
      <c r="S50" s="19"/>
      <c r="T50" s="19"/>
      <c r="U50" s="19"/>
    </row>
    <row r="51" spans="1:21" ht="18" customHeight="1" x14ac:dyDescent="0.15">
      <c r="A51" s="3"/>
      <c r="B51" s="101"/>
      <c r="C51" s="102"/>
      <c r="D51" s="102"/>
      <c r="E51" s="102"/>
      <c r="F51" s="103"/>
      <c r="G51" s="19"/>
      <c r="H51" s="19"/>
      <c r="I51" s="19"/>
      <c r="J51" s="19"/>
      <c r="K51" s="101"/>
      <c r="L51" s="102"/>
      <c r="M51" s="102"/>
      <c r="N51" s="102"/>
      <c r="O51" s="102"/>
      <c r="P51" s="102"/>
      <c r="Q51" s="103"/>
      <c r="R51" s="19"/>
      <c r="S51" s="19"/>
      <c r="T51" s="19"/>
      <c r="U51" s="19"/>
    </row>
    <row r="52" spans="1:21" ht="18" customHeight="1" x14ac:dyDescent="0.15">
      <c r="A52" s="3"/>
      <c r="B52" s="101"/>
      <c r="C52" s="102"/>
      <c r="D52" s="102"/>
      <c r="E52" s="102"/>
      <c r="F52" s="103"/>
      <c r="G52" s="19"/>
      <c r="H52" s="19"/>
      <c r="I52" s="19"/>
      <c r="J52" s="19"/>
      <c r="K52" s="101"/>
      <c r="L52" s="102"/>
      <c r="M52" s="102"/>
      <c r="N52" s="102"/>
      <c r="O52" s="102"/>
      <c r="P52" s="102"/>
      <c r="Q52" s="103"/>
      <c r="R52" s="19"/>
      <c r="S52" s="19"/>
      <c r="T52" s="19"/>
      <c r="U52" s="19"/>
    </row>
    <row r="53" spans="1:21" ht="18" customHeight="1" x14ac:dyDescent="0.15">
      <c r="A53" s="3"/>
      <c r="B53" s="101"/>
      <c r="C53" s="102"/>
      <c r="D53" s="102"/>
      <c r="E53" s="102"/>
      <c r="F53" s="103"/>
      <c r="G53" s="19"/>
      <c r="H53" s="19"/>
      <c r="I53" s="19"/>
      <c r="J53" s="19"/>
      <c r="K53" s="101"/>
      <c r="L53" s="102"/>
      <c r="M53" s="102"/>
      <c r="N53" s="102"/>
      <c r="O53" s="102"/>
      <c r="P53" s="102"/>
      <c r="Q53" s="103"/>
      <c r="R53" s="19"/>
      <c r="S53" s="19"/>
      <c r="T53" s="19"/>
      <c r="U53" s="19"/>
    </row>
    <row r="54" spans="1:21" ht="18" customHeight="1" x14ac:dyDescent="0.15">
      <c r="A54" s="3"/>
      <c r="B54" s="101"/>
      <c r="C54" s="102"/>
      <c r="D54" s="102"/>
      <c r="E54" s="102"/>
      <c r="F54" s="103"/>
      <c r="G54" s="19"/>
      <c r="H54" s="19"/>
      <c r="I54" s="19"/>
      <c r="J54" s="19"/>
      <c r="K54" s="101"/>
      <c r="L54" s="102"/>
      <c r="M54" s="102"/>
      <c r="N54" s="102"/>
      <c r="O54" s="102"/>
      <c r="P54" s="102"/>
      <c r="Q54" s="103"/>
      <c r="R54" s="19"/>
      <c r="S54" s="19"/>
      <c r="T54" s="19"/>
      <c r="U54" s="19"/>
    </row>
    <row r="55" spans="1:21" ht="18" customHeight="1" x14ac:dyDescent="0.15">
      <c r="A55" s="3"/>
      <c r="B55" s="104"/>
      <c r="C55" s="105"/>
      <c r="D55" s="105"/>
      <c r="E55" s="105"/>
      <c r="F55" s="106"/>
      <c r="G55" s="20"/>
      <c r="H55" s="20"/>
      <c r="I55" s="21"/>
      <c r="J55" s="21"/>
      <c r="K55" s="104"/>
      <c r="L55" s="105"/>
      <c r="M55" s="105"/>
      <c r="N55" s="105"/>
      <c r="O55" s="105"/>
      <c r="P55" s="105"/>
      <c r="Q55" s="106"/>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2" t="s">
        <v>104</v>
      </c>
      <c r="B57" s="112"/>
      <c r="C57" s="112"/>
      <c r="D57" s="112"/>
      <c r="E57" s="112"/>
      <c r="F57" s="112"/>
      <c r="G57" s="112"/>
      <c r="H57" s="112"/>
      <c r="I57" s="112"/>
      <c r="J57" s="112"/>
      <c r="K57" s="112"/>
      <c r="L57" s="112"/>
      <c r="M57" s="112"/>
      <c r="N57" s="112"/>
      <c r="O57" s="112"/>
      <c r="P57" s="112"/>
      <c r="Q57" s="112"/>
      <c r="R57" s="112"/>
      <c r="S57" s="112"/>
      <c r="T57" s="112"/>
      <c r="U57" s="112"/>
    </row>
    <row r="58" spans="1:21" ht="18" customHeight="1" x14ac:dyDescent="0.15">
      <c r="A58" s="112"/>
      <c r="B58" s="112"/>
      <c r="C58" s="112"/>
      <c r="D58" s="112"/>
      <c r="E58" s="112"/>
      <c r="F58" s="112"/>
      <c r="G58" s="112"/>
      <c r="H58" s="112"/>
      <c r="I58" s="112"/>
      <c r="J58" s="112"/>
      <c r="K58" s="112"/>
      <c r="L58" s="112"/>
      <c r="M58" s="112"/>
      <c r="N58" s="112"/>
      <c r="O58" s="112"/>
      <c r="P58" s="112"/>
      <c r="Q58" s="112"/>
      <c r="R58" s="112"/>
      <c r="S58" s="112"/>
      <c r="T58" s="112"/>
      <c r="U58" s="112"/>
    </row>
    <row r="59" spans="1:21" ht="18" customHeight="1" x14ac:dyDescent="0.15">
      <c r="B59" s="98" t="s">
        <v>51</v>
      </c>
      <c r="C59" s="99"/>
      <c r="D59" s="99"/>
      <c r="E59" s="99"/>
      <c r="F59" s="100"/>
      <c r="G59" s="51" t="s">
        <v>77</v>
      </c>
      <c r="H59" s="50" t="s">
        <v>80</v>
      </c>
      <c r="I59" s="17" t="s">
        <v>56</v>
      </c>
      <c r="J59" s="17" t="s">
        <v>58</v>
      </c>
      <c r="K59" s="98" t="s">
        <v>51</v>
      </c>
      <c r="L59" s="99"/>
      <c r="M59" s="99"/>
      <c r="N59" s="99"/>
      <c r="O59" s="99"/>
      <c r="P59" s="99"/>
      <c r="Q59" s="100"/>
      <c r="R59" s="51" t="s">
        <v>77</v>
      </c>
      <c r="S59" s="50" t="s">
        <v>80</v>
      </c>
      <c r="T59" s="17" t="s">
        <v>56</v>
      </c>
      <c r="U59" s="17" t="s">
        <v>58</v>
      </c>
    </row>
    <row r="60" spans="1:21" ht="18" customHeight="1" x14ac:dyDescent="0.15">
      <c r="A60" s="3"/>
      <c r="B60" s="109" t="s">
        <v>139</v>
      </c>
      <c r="C60" s="110"/>
      <c r="D60" s="110"/>
      <c r="E60" s="110"/>
      <c r="F60" s="111"/>
      <c r="G60" s="18">
        <v>2</v>
      </c>
      <c r="H60" s="18" t="s">
        <v>138</v>
      </c>
      <c r="I60" s="18" t="s">
        <v>138</v>
      </c>
      <c r="J60" s="18" t="s">
        <v>138</v>
      </c>
      <c r="K60" s="109"/>
      <c r="L60" s="110"/>
      <c r="M60" s="110"/>
      <c r="N60" s="110"/>
      <c r="O60" s="110"/>
      <c r="P60" s="110"/>
      <c r="Q60" s="111"/>
      <c r="R60" s="18"/>
      <c r="S60" s="18"/>
      <c r="T60" s="18"/>
      <c r="U60" s="18"/>
    </row>
    <row r="61" spans="1:21" ht="18" customHeight="1" x14ac:dyDescent="0.15">
      <c r="A61" s="3"/>
      <c r="B61" s="101"/>
      <c r="C61" s="102"/>
      <c r="D61" s="102"/>
      <c r="E61" s="102"/>
      <c r="F61" s="103"/>
      <c r="G61" s="19"/>
      <c r="H61" s="19"/>
      <c r="I61" s="19"/>
      <c r="J61" s="19"/>
      <c r="K61" s="101"/>
      <c r="L61" s="102"/>
      <c r="M61" s="102"/>
      <c r="N61" s="102"/>
      <c r="O61" s="102"/>
      <c r="P61" s="102"/>
      <c r="Q61" s="103"/>
      <c r="R61" s="19"/>
      <c r="S61" s="19"/>
      <c r="T61" s="19"/>
      <c r="U61" s="19"/>
    </row>
    <row r="62" spans="1:21" ht="18" customHeight="1" x14ac:dyDescent="0.15">
      <c r="A62" s="3"/>
      <c r="B62" s="101"/>
      <c r="C62" s="102"/>
      <c r="D62" s="102"/>
      <c r="E62" s="102"/>
      <c r="F62" s="103"/>
      <c r="G62" s="19"/>
      <c r="H62" s="19"/>
      <c r="I62" s="19"/>
      <c r="J62" s="19"/>
      <c r="K62" s="101"/>
      <c r="L62" s="102"/>
      <c r="M62" s="102"/>
      <c r="N62" s="102"/>
      <c r="O62" s="102"/>
      <c r="P62" s="102"/>
      <c r="Q62" s="103"/>
      <c r="R62" s="19"/>
      <c r="S62" s="19"/>
      <c r="T62" s="19"/>
      <c r="U62" s="19"/>
    </row>
    <row r="63" spans="1:21" ht="18" customHeight="1" x14ac:dyDescent="0.15">
      <c r="A63" s="3"/>
      <c r="B63" s="101"/>
      <c r="C63" s="102"/>
      <c r="D63" s="102"/>
      <c r="E63" s="102"/>
      <c r="F63" s="103"/>
      <c r="G63" s="19"/>
      <c r="H63" s="19"/>
      <c r="I63" s="19"/>
      <c r="J63" s="19"/>
      <c r="K63" s="101"/>
      <c r="L63" s="102"/>
      <c r="M63" s="102"/>
      <c r="N63" s="102"/>
      <c r="O63" s="102"/>
      <c r="P63" s="102"/>
      <c r="Q63" s="103"/>
      <c r="R63" s="19"/>
      <c r="S63" s="19"/>
      <c r="T63" s="19"/>
      <c r="U63" s="19"/>
    </row>
    <row r="64" spans="1:21" ht="18" customHeight="1" x14ac:dyDescent="0.15">
      <c r="A64" s="3"/>
      <c r="B64" s="101"/>
      <c r="C64" s="102"/>
      <c r="D64" s="102"/>
      <c r="E64" s="102"/>
      <c r="F64" s="103"/>
      <c r="G64" s="19"/>
      <c r="H64" s="19"/>
      <c r="I64" s="19"/>
      <c r="J64" s="19"/>
      <c r="K64" s="101"/>
      <c r="L64" s="102"/>
      <c r="M64" s="102"/>
      <c r="N64" s="102"/>
      <c r="O64" s="102"/>
      <c r="P64" s="102"/>
      <c r="Q64" s="103"/>
      <c r="R64" s="19"/>
      <c r="S64" s="19"/>
      <c r="T64" s="19"/>
      <c r="U64" s="19"/>
    </row>
    <row r="65" spans="1:21" ht="18" customHeight="1" x14ac:dyDescent="0.15">
      <c r="A65" s="3"/>
      <c r="B65" s="101"/>
      <c r="C65" s="102"/>
      <c r="D65" s="102"/>
      <c r="E65" s="102"/>
      <c r="F65" s="103"/>
      <c r="G65" s="19"/>
      <c r="H65" s="19"/>
      <c r="I65" s="19"/>
      <c r="J65" s="19"/>
      <c r="K65" s="101"/>
      <c r="L65" s="102"/>
      <c r="M65" s="102"/>
      <c r="N65" s="102"/>
      <c r="O65" s="102"/>
      <c r="P65" s="102"/>
      <c r="Q65" s="103"/>
      <c r="R65" s="19"/>
      <c r="S65" s="19"/>
      <c r="T65" s="19"/>
      <c r="U65" s="19"/>
    </row>
    <row r="66" spans="1:21" ht="18" customHeight="1" x14ac:dyDescent="0.15">
      <c r="A66" s="3"/>
      <c r="B66" s="104"/>
      <c r="C66" s="105"/>
      <c r="D66" s="105"/>
      <c r="E66" s="105"/>
      <c r="F66" s="106"/>
      <c r="G66" s="20"/>
      <c r="H66" s="20"/>
      <c r="I66" s="21"/>
      <c r="J66" s="21"/>
      <c r="K66" s="104"/>
      <c r="L66" s="105"/>
      <c r="M66" s="105"/>
      <c r="N66" s="105"/>
      <c r="O66" s="105"/>
      <c r="P66" s="105"/>
      <c r="Q66" s="106"/>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12" t="s">
        <v>105</v>
      </c>
      <c r="B68" s="112"/>
      <c r="C68" s="112"/>
      <c r="D68" s="112"/>
      <c r="E68" s="112"/>
      <c r="F68" s="112"/>
      <c r="G68" s="112"/>
      <c r="H68" s="112"/>
      <c r="I68" s="112"/>
      <c r="J68" s="112"/>
      <c r="K68" s="112"/>
      <c r="L68" s="112"/>
      <c r="M68" s="112"/>
      <c r="N68" s="112"/>
      <c r="O68" s="112"/>
      <c r="P68" s="112"/>
      <c r="Q68" s="112"/>
      <c r="R68" s="112"/>
      <c r="S68" s="112"/>
      <c r="T68" s="112"/>
      <c r="U68" s="112"/>
    </row>
    <row r="69" spans="1:21" ht="18" customHeight="1" x14ac:dyDescent="0.15">
      <c r="A69" s="112"/>
      <c r="B69" s="112"/>
      <c r="C69" s="112"/>
      <c r="D69" s="112"/>
      <c r="E69" s="112"/>
      <c r="F69" s="112"/>
      <c r="G69" s="112"/>
      <c r="H69" s="112"/>
      <c r="I69" s="112"/>
      <c r="J69" s="112"/>
      <c r="K69" s="112"/>
      <c r="L69" s="112"/>
      <c r="M69" s="112"/>
      <c r="N69" s="112"/>
      <c r="O69" s="112"/>
      <c r="P69" s="112"/>
      <c r="Q69" s="112"/>
      <c r="R69" s="112"/>
      <c r="S69" s="112"/>
      <c r="T69" s="112"/>
      <c r="U69" s="112"/>
    </row>
    <row r="70" spans="1:21" ht="18" customHeight="1" x14ac:dyDescent="0.15">
      <c r="B70" s="98" t="s">
        <v>51</v>
      </c>
      <c r="C70" s="99"/>
      <c r="D70" s="99"/>
      <c r="E70" s="99"/>
      <c r="F70" s="51" t="s">
        <v>77</v>
      </c>
      <c r="G70" s="50" t="s">
        <v>80</v>
      </c>
      <c r="H70" s="17" t="s">
        <v>92</v>
      </c>
      <c r="I70" s="17" t="s">
        <v>72</v>
      </c>
      <c r="J70" s="17" t="s">
        <v>73</v>
      </c>
      <c r="K70" s="98" t="s">
        <v>51</v>
      </c>
      <c r="L70" s="99"/>
      <c r="M70" s="99"/>
      <c r="N70" s="99"/>
      <c r="O70" s="99"/>
      <c r="P70" s="100"/>
      <c r="Q70" s="51" t="s">
        <v>77</v>
      </c>
      <c r="R70" s="50" t="s">
        <v>80</v>
      </c>
      <c r="S70" s="17" t="s">
        <v>92</v>
      </c>
      <c r="T70" s="17" t="s">
        <v>72</v>
      </c>
      <c r="U70" s="17" t="s">
        <v>73</v>
      </c>
    </row>
    <row r="71" spans="1:21" ht="18" customHeight="1" x14ac:dyDescent="0.15">
      <c r="A71" s="3"/>
      <c r="B71" s="109" t="s">
        <v>139</v>
      </c>
      <c r="C71" s="110"/>
      <c r="D71" s="110"/>
      <c r="E71" s="110"/>
      <c r="F71" s="18">
        <v>2</v>
      </c>
      <c r="G71" s="18" t="s">
        <v>138</v>
      </c>
      <c r="H71" s="18" t="s">
        <v>138</v>
      </c>
      <c r="I71" s="18" t="s">
        <v>138</v>
      </c>
      <c r="J71" s="18" t="s">
        <v>138</v>
      </c>
      <c r="K71" s="109"/>
      <c r="L71" s="110"/>
      <c r="M71" s="110"/>
      <c r="N71" s="110"/>
      <c r="O71" s="110"/>
      <c r="P71" s="111"/>
      <c r="Q71" s="18"/>
      <c r="R71" s="18"/>
      <c r="S71" s="18"/>
      <c r="T71" s="18"/>
      <c r="U71" s="18"/>
    </row>
    <row r="72" spans="1:21" ht="18" customHeight="1" x14ac:dyDescent="0.15">
      <c r="A72" s="3"/>
      <c r="B72" s="101"/>
      <c r="C72" s="102"/>
      <c r="D72" s="102"/>
      <c r="E72" s="102"/>
      <c r="F72" s="19"/>
      <c r="G72" s="19"/>
      <c r="H72" s="19"/>
      <c r="I72" s="19"/>
      <c r="J72" s="19"/>
      <c r="K72" s="101"/>
      <c r="L72" s="102"/>
      <c r="M72" s="102"/>
      <c r="N72" s="102"/>
      <c r="O72" s="102"/>
      <c r="P72" s="103"/>
      <c r="Q72" s="19"/>
      <c r="R72" s="19"/>
      <c r="S72" s="19"/>
      <c r="T72" s="19"/>
      <c r="U72" s="19"/>
    </row>
    <row r="73" spans="1:21" ht="18" customHeight="1" x14ac:dyDescent="0.15">
      <c r="A73" s="3"/>
      <c r="B73" s="101"/>
      <c r="C73" s="102"/>
      <c r="D73" s="102"/>
      <c r="E73" s="102"/>
      <c r="F73" s="19"/>
      <c r="G73" s="19"/>
      <c r="H73" s="19"/>
      <c r="I73" s="19"/>
      <c r="J73" s="19"/>
      <c r="K73" s="101"/>
      <c r="L73" s="102"/>
      <c r="M73" s="102"/>
      <c r="N73" s="102"/>
      <c r="O73" s="102"/>
      <c r="P73" s="103"/>
      <c r="Q73" s="19"/>
      <c r="R73" s="19"/>
      <c r="S73" s="19"/>
      <c r="T73" s="19"/>
      <c r="U73" s="19"/>
    </row>
    <row r="74" spans="1:21" ht="18" customHeight="1" x14ac:dyDescent="0.15">
      <c r="A74" s="3"/>
      <c r="B74" s="101"/>
      <c r="C74" s="102"/>
      <c r="D74" s="102"/>
      <c r="E74" s="102"/>
      <c r="F74" s="19"/>
      <c r="G74" s="19"/>
      <c r="H74" s="19"/>
      <c r="I74" s="19"/>
      <c r="J74" s="19"/>
      <c r="K74" s="101"/>
      <c r="L74" s="102"/>
      <c r="M74" s="102"/>
      <c r="N74" s="102"/>
      <c r="O74" s="102"/>
      <c r="P74" s="103"/>
      <c r="Q74" s="19"/>
      <c r="R74" s="19"/>
      <c r="S74" s="19"/>
      <c r="T74" s="19"/>
      <c r="U74" s="19"/>
    </row>
    <row r="75" spans="1:21" ht="18" customHeight="1" x14ac:dyDescent="0.15">
      <c r="A75" s="3"/>
      <c r="B75" s="101"/>
      <c r="C75" s="102"/>
      <c r="D75" s="102"/>
      <c r="E75" s="102"/>
      <c r="F75" s="19"/>
      <c r="G75" s="19"/>
      <c r="H75" s="19"/>
      <c r="I75" s="19"/>
      <c r="J75" s="19"/>
      <c r="K75" s="101"/>
      <c r="L75" s="102"/>
      <c r="M75" s="102"/>
      <c r="N75" s="102"/>
      <c r="O75" s="102"/>
      <c r="P75" s="103"/>
      <c r="Q75" s="19"/>
      <c r="R75" s="19"/>
      <c r="S75" s="19"/>
      <c r="T75" s="19"/>
      <c r="U75" s="19"/>
    </row>
    <row r="76" spans="1:21" ht="18" customHeight="1" x14ac:dyDescent="0.15">
      <c r="A76" s="3"/>
      <c r="B76" s="101"/>
      <c r="C76" s="102"/>
      <c r="D76" s="102"/>
      <c r="E76" s="102"/>
      <c r="F76" s="19"/>
      <c r="G76" s="19"/>
      <c r="H76" s="19"/>
      <c r="I76" s="19"/>
      <c r="J76" s="19"/>
      <c r="K76" s="101"/>
      <c r="L76" s="102"/>
      <c r="M76" s="102"/>
      <c r="N76" s="102"/>
      <c r="O76" s="102"/>
      <c r="P76" s="103"/>
      <c r="Q76" s="19"/>
      <c r="R76" s="19"/>
      <c r="S76" s="19"/>
      <c r="T76" s="19"/>
      <c r="U76" s="19"/>
    </row>
    <row r="77" spans="1:21" ht="18" customHeight="1" x14ac:dyDescent="0.15">
      <c r="A77" s="3"/>
      <c r="B77" s="104"/>
      <c r="C77" s="105"/>
      <c r="D77" s="105"/>
      <c r="E77" s="105"/>
      <c r="F77" s="20"/>
      <c r="G77" s="20"/>
      <c r="H77" s="21"/>
      <c r="I77" s="21"/>
      <c r="J77" s="21"/>
      <c r="K77" s="104"/>
      <c r="L77" s="105"/>
      <c r="M77" s="105"/>
      <c r="N77" s="105"/>
      <c r="O77" s="105"/>
      <c r="P77" s="106"/>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106</v>
      </c>
      <c r="I79" s="3"/>
      <c r="J79" s="3"/>
      <c r="K79" s="3"/>
      <c r="L79" s="3"/>
      <c r="M79" s="3"/>
      <c r="N79" s="3"/>
      <c r="O79" s="3"/>
      <c r="P79" s="3"/>
      <c r="Q79" s="3"/>
      <c r="R79" s="3"/>
      <c r="S79" s="3"/>
      <c r="T79" s="3"/>
      <c r="U79" s="3"/>
    </row>
    <row r="80" spans="1:21" ht="18" customHeight="1" x14ac:dyDescent="0.15">
      <c r="B80" s="98" t="s">
        <v>51</v>
      </c>
      <c r="C80" s="99"/>
      <c r="D80" s="99"/>
      <c r="E80" s="99"/>
      <c r="F80" s="100"/>
      <c r="G80" s="98" t="s">
        <v>78</v>
      </c>
      <c r="H80" s="99"/>
      <c r="I80" s="99"/>
      <c r="J80" s="100"/>
      <c r="K80" s="118" t="s">
        <v>51</v>
      </c>
      <c r="L80" s="119"/>
      <c r="M80" s="119"/>
      <c r="N80" s="119"/>
      <c r="O80" s="119"/>
      <c r="P80" s="119"/>
      <c r="Q80" s="120"/>
      <c r="R80" s="98" t="s">
        <v>78</v>
      </c>
      <c r="S80" s="99"/>
      <c r="T80" s="99"/>
      <c r="U80" s="100"/>
    </row>
    <row r="81" spans="1:21" ht="18" customHeight="1" x14ac:dyDescent="0.15">
      <c r="A81" s="3"/>
      <c r="B81" s="109" t="s">
        <v>139</v>
      </c>
      <c r="C81" s="110"/>
      <c r="D81" s="110"/>
      <c r="E81" s="110"/>
      <c r="F81" s="111"/>
      <c r="G81" s="113" t="s">
        <v>140</v>
      </c>
      <c r="H81" s="114"/>
      <c r="I81" s="114"/>
      <c r="J81" s="115"/>
      <c r="K81" s="109"/>
      <c r="L81" s="110"/>
      <c r="M81" s="110"/>
      <c r="N81" s="110"/>
      <c r="O81" s="110"/>
      <c r="P81" s="110"/>
      <c r="Q81" s="111"/>
      <c r="R81" s="113"/>
      <c r="S81" s="114"/>
      <c r="T81" s="114"/>
      <c r="U81" s="115"/>
    </row>
    <row r="82" spans="1:21" ht="18" customHeight="1" x14ac:dyDescent="0.15">
      <c r="A82" s="3"/>
      <c r="B82" s="101"/>
      <c r="C82" s="102"/>
      <c r="D82" s="102"/>
      <c r="E82" s="102"/>
      <c r="F82" s="103"/>
      <c r="G82" s="95"/>
      <c r="H82" s="96"/>
      <c r="I82" s="96"/>
      <c r="J82" s="97"/>
      <c r="K82" s="101"/>
      <c r="L82" s="102"/>
      <c r="M82" s="102"/>
      <c r="N82" s="102"/>
      <c r="O82" s="102"/>
      <c r="P82" s="102"/>
      <c r="Q82" s="103"/>
      <c r="R82" s="95"/>
      <c r="S82" s="96"/>
      <c r="T82" s="96"/>
      <c r="U82" s="97"/>
    </row>
    <row r="83" spans="1:21" ht="18" customHeight="1" x14ac:dyDescent="0.15">
      <c r="A83" s="3"/>
      <c r="B83" s="101"/>
      <c r="C83" s="102"/>
      <c r="D83" s="102"/>
      <c r="E83" s="102"/>
      <c r="F83" s="103"/>
      <c r="G83" s="95"/>
      <c r="H83" s="96"/>
      <c r="I83" s="96"/>
      <c r="J83" s="97"/>
      <c r="K83" s="101"/>
      <c r="L83" s="102"/>
      <c r="M83" s="102"/>
      <c r="N83" s="102"/>
      <c r="O83" s="102"/>
      <c r="P83" s="102"/>
      <c r="Q83" s="103"/>
      <c r="R83" s="95"/>
      <c r="S83" s="96"/>
      <c r="T83" s="96"/>
      <c r="U83" s="97"/>
    </row>
    <row r="84" spans="1:21" ht="18" customHeight="1" x14ac:dyDescent="0.15">
      <c r="A84" s="3"/>
      <c r="B84" s="101"/>
      <c r="C84" s="102"/>
      <c r="D84" s="102"/>
      <c r="E84" s="102"/>
      <c r="F84" s="103"/>
      <c r="G84" s="95"/>
      <c r="H84" s="96"/>
      <c r="I84" s="96"/>
      <c r="J84" s="97"/>
      <c r="K84" s="101"/>
      <c r="L84" s="102"/>
      <c r="M84" s="102"/>
      <c r="N84" s="102"/>
      <c r="O84" s="102"/>
      <c r="P84" s="102"/>
      <c r="Q84" s="103"/>
      <c r="R84" s="95"/>
      <c r="S84" s="96"/>
      <c r="T84" s="96"/>
      <c r="U84" s="97"/>
    </row>
    <row r="85" spans="1:21" ht="18" customHeight="1" x14ac:dyDescent="0.15">
      <c r="A85" s="3"/>
      <c r="B85" s="101"/>
      <c r="C85" s="102"/>
      <c r="D85" s="102"/>
      <c r="E85" s="102"/>
      <c r="F85" s="103"/>
      <c r="G85" s="95"/>
      <c r="H85" s="96"/>
      <c r="I85" s="96"/>
      <c r="J85" s="97"/>
      <c r="K85" s="101"/>
      <c r="L85" s="102"/>
      <c r="M85" s="102"/>
      <c r="N85" s="102"/>
      <c r="O85" s="102"/>
      <c r="P85" s="102"/>
      <c r="Q85" s="103"/>
      <c r="R85" s="95"/>
      <c r="S85" s="96"/>
      <c r="T85" s="96"/>
      <c r="U85" s="97"/>
    </row>
    <row r="86" spans="1:21" ht="18" customHeight="1" x14ac:dyDescent="0.15">
      <c r="A86" s="3"/>
      <c r="B86" s="101"/>
      <c r="C86" s="102"/>
      <c r="D86" s="102"/>
      <c r="E86" s="102"/>
      <c r="F86" s="103"/>
      <c r="G86" s="95"/>
      <c r="H86" s="96"/>
      <c r="I86" s="96"/>
      <c r="J86" s="97"/>
      <c r="K86" s="101"/>
      <c r="L86" s="102"/>
      <c r="M86" s="102"/>
      <c r="N86" s="102"/>
      <c r="O86" s="102"/>
      <c r="P86" s="102"/>
      <c r="Q86" s="103"/>
      <c r="R86" s="95"/>
      <c r="S86" s="96"/>
      <c r="T86" s="96"/>
      <c r="U86" s="97"/>
    </row>
    <row r="87" spans="1:21" ht="18" customHeight="1" x14ac:dyDescent="0.15">
      <c r="A87" s="3"/>
      <c r="B87" s="104"/>
      <c r="C87" s="105"/>
      <c r="D87" s="105"/>
      <c r="E87" s="105"/>
      <c r="F87" s="106"/>
      <c r="G87" s="136"/>
      <c r="H87" s="137"/>
      <c r="I87" s="137"/>
      <c r="J87" s="138"/>
      <c r="K87" s="104"/>
      <c r="L87" s="105"/>
      <c r="M87" s="105"/>
      <c r="N87" s="105"/>
      <c r="O87" s="105"/>
      <c r="P87" s="105"/>
      <c r="Q87" s="106"/>
      <c r="R87" s="136"/>
      <c r="S87" s="137"/>
      <c r="T87" s="137"/>
      <c r="U87" s="138"/>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107</v>
      </c>
    </row>
    <row r="90" spans="1:21" ht="18.75" customHeight="1" x14ac:dyDescent="0.15">
      <c r="B90" s="139" t="s">
        <v>52</v>
      </c>
      <c r="C90" s="140"/>
      <c r="D90" s="98" t="s">
        <v>53</v>
      </c>
      <c r="E90" s="99"/>
      <c r="F90" s="99"/>
      <c r="G90" s="99"/>
      <c r="H90" s="99"/>
      <c r="I90" s="99"/>
      <c r="J90" s="99"/>
      <c r="K90" s="99"/>
      <c r="L90" s="99"/>
      <c r="M90" s="99"/>
      <c r="N90" s="99"/>
      <c r="O90" s="99"/>
      <c r="P90" s="99"/>
      <c r="Q90" s="99"/>
      <c r="R90" s="99"/>
      <c r="S90" s="99"/>
      <c r="T90" s="99"/>
      <c r="U90" s="100"/>
    </row>
    <row r="91" spans="1:21" ht="97.5" customHeight="1" x14ac:dyDescent="0.15">
      <c r="B91" s="116" t="s">
        <v>59</v>
      </c>
      <c r="C91" s="23" t="s">
        <v>54</v>
      </c>
      <c r="D91" s="164" t="s">
        <v>141</v>
      </c>
      <c r="E91" s="165"/>
      <c r="F91" s="165"/>
      <c r="G91" s="165"/>
      <c r="H91" s="165"/>
      <c r="I91" s="165"/>
      <c r="J91" s="165"/>
      <c r="K91" s="165"/>
      <c r="L91" s="165"/>
      <c r="M91" s="165"/>
      <c r="N91" s="165"/>
      <c r="O91" s="165"/>
      <c r="P91" s="165"/>
      <c r="Q91" s="165"/>
      <c r="R91" s="165"/>
      <c r="S91" s="165"/>
      <c r="T91" s="165"/>
      <c r="U91" s="166"/>
    </row>
    <row r="92" spans="1:21" ht="97.5" customHeight="1" x14ac:dyDescent="0.15">
      <c r="B92" s="121"/>
      <c r="C92" s="24" t="s">
        <v>74</v>
      </c>
      <c r="D92" s="149" t="s">
        <v>172</v>
      </c>
      <c r="E92" s="150"/>
      <c r="F92" s="150"/>
      <c r="G92" s="150"/>
      <c r="H92" s="150"/>
      <c r="I92" s="150"/>
      <c r="J92" s="150"/>
      <c r="K92" s="150"/>
      <c r="L92" s="150"/>
      <c r="M92" s="150"/>
      <c r="N92" s="150"/>
      <c r="O92" s="150"/>
      <c r="P92" s="150"/>
      <c r="Q92" s="150"/>
      <c r="R92" s="150"/>
      <c r="S92" s="150"/>
      <c r="T92" s="150"/>
      <c r="U92" s="151"/>
    </row>
    <row r="93" spans="1:21" ht="97.5" customHeight="1" x14ac:dyDescent="0.15">
      <c r="B93" s="116" t="s">
        <v>60</v>
      </c>
      <c r="C93" s="25" t="s">
        <v>68</v>
      </c>
      <c r="D93" s="152" t="s">
        <v>173</v>
      </c>
      <c r="E93" s="153"/>
      <c r="F93" s="153"/>
      <c r="G93" s="153"/>
      <c r="H93" s="153"/>
      <c r="I93" s="153"/>
      <c r="J93" s="153"/>
      <c r="K93" s="153"/>
      <c r="L93" s="153"/>
      <c r="M93" s="153"/>
      <c r="N93" s="153"/>
      <c r="O93" s="153"/>
      <c r="P93" s="153"/>
      <c r="Q93" s="153"/>
      <c r="R93" s="153"/>
      <c r="S93" s="153"/>
      <c r="T93" s="153"/>
      <c r="U93" s="154"/>
    </row>
    <row r="94" spans="1:21" ht="97.5" customHeight="1" x14ac:dyDescent="0.15">
      <c r="B94" s="117"/>
      <c r="C94" s="26" t="s">
        <v>69</v>
      </c>
      <c r="D94" s="149" t="s">
        <v>174</v>
      </c>
      <c r="E94" s="150"/>
      <c r="F94" s="150"/>
      <c r="G94" s="150"/>
      <c r="H94" s="150"/>
      <c r="I94" s="150"/>
      <c r="J94" s="150"/>
      <c r="K94" s="150"/>
      <c r="L94" s="150"/>
      <c r="M94" s="150"/>
      <c r="N94" s="150"/>
      <c r="O94" s="150"/>
      <c r="P94" s="150"/>
      <c r="Q94" s="150"/>
      <c r="R94" s="150"/>
      <c r="S94" s="150"/>
      <c r="T94" s="150"/>
      <c r="U94" s="151"/>
    </row>
    <row r="95" spans="1:21" ht="97.5" customHeight="1" x14ac:dyDescent="0.15">
      <c r="B95" s="116" t="s">
        <v>61</v>
      </c>
      <c r="C95" s="25" t="s">
        <v>70</v>
      </c>
      <c r="D95" s="152" t="s">
        <v>175</v>
      </c>
      <c r="E95" s="153"/>
      <c r="F95" s="153"/>
      <c r="G95" s="153"/>
      <c r="H95" s="153"/>
      <c r="I95" s="153"/>
      <c r="J95" s="153"/>
      <c r="K95" s="153"/>
      <c r="L95" s="153"/>
      <c r="M95" s="153"/>
      <c r="N95" s="153"/>
      <c r="O95" s="153"/>
      <c r="P95" s="153"/>
      <c r="Q95" s="153"/>
      <c r="R95" s="153"/>
      <c r="S95" s="153"/>
      <c r="T95" s="153"/>
      <c r="U95" s="154"/>
    </row>
    <row r="96" spans="1:21" ht="97.5" customHeight="1" x14ac:dyDescent="0.15">
      <c r="B96" s="117"/>
      <c r="C96" s="27" t="s">
        <v>71</v>
      </c>
      <c r="D96" s="167" t="s">
        <v>176</v>
      </c>
      <c r="E96" s="168"/>
      <c r="F96" s="168"/>
      <c r="G96" s="168"/>
      <c r="H96" s="168"/>
      <c r="I96" s="168"/>
      <c r="J96" s="168"/>
      <c r="K96" s="168"/>
      <c r="L96" s="168"/>
      <c r="M96" s="168"/>
      <c r="N96" s="168"/>
      <c r="O96" s="168"/>
      <c r="P96" s="168"/>
      <c r="Q96" s="168"/>
      <c r="R96" s="168"/>
      <c r="S96" s="168"/>
      <c r="T96" s="168"/>
      <c r="U96" s="169"/>
    </row>
    <row r="97" spans="1:33" ht="97.5" customHeight="1" x14ac:dyDescent="0.15">
      <c r="B97" s="116" t="s">
        <v>75</v>
      </c>
      <c r="C97" s="23" t="s">
        <v>56</v>
      </c>
      <c r="D97" s="164" t="s">
        <v>142</v>
      </c>
      <c r="E97" s="165"/>
      <c r="F97" s="165"/>
      <c r="G97" s="165"/>
      <c r="H97" s="165"/>
      <c r="I97" s="165"/>
      <c r="J97" s="165"/>
      <c r="K97" s="165"/>
      <c r="L97" s="165"/>
      <c r="M97" s="165"/>
      <c r="N97" s="165"/>
      <c r="O97" s="165"/>
      <c r="P97" s="165"/>
      <c r="Q97" s="165"/>
      <c r="R97" s="165"/>
      <c r="S97" s="165"/>
      <c r="T97" s="165"/>
      <c r="U97" s="166"/>
    </row>
    <row r="98" spans="1:33" ht="97.5" customHeight="1" x14ac:dyDescent="0.15">
      <c r="B98" s="117"/>
      <c r="C98" s="26" t="s">
        <v>58</v>
      </c>
      <c r="D98" s="149" t="s">
        <v>143</v>
      </c>
      <c r="E98" s="150"/>
      <c r="F98" s="150"/>
      <c r="G98" s="150"/>
      <c r="H98" s="150"/>
      <c r="I98" s="150"/>
      <c r="J98" s="150"/>
      <c r="K98" s="150"/>
      <c r="L98" s="150"/>
      <c r="M98" s="150"/>
      <c r="N98" s="150"/>
      <c r="O98" s="150"/>
      <c r="P98" s="150"/>
      <c r="Q98" s="150"/>
      <c r="R98" s="150"/>
      <c r="S98" s="150"/>
      <c r="T98" s="150"/>
      <c r="U98" s="151"/>
    </row>
    <row r="99" spans="1:33" ht="97.5" customHeight="1" x14ac:dyDescent="0.15">
      <c r="B99" s="116" t="s">
        <v>76</v>
      </c>
      <c r="C99" s="25" t="s">
        <v>55</v>
      </c>
      <c r="D99" s="152" t="s">
        <v>177</v>
      </c>
      <c r="E99" s="153"/>
      <c r="F99" s="153"/>
      <c r="G99" s="153"/>
      <c r="H99" s="153"/>
      <c r="I99" s="153"/>
      <c r="J99" s="153"/>
      <c r="K99" s="153"/>
      <c r="L99" s="153"/>
      <c r="M99" s="153"/>
      <c r="N99" s="153"/>
      <c r="O99" s="153"/>
      <c r="P99" s="153"/>
      <c r="Q99" s="153"/>
      <c r="R99" s="153"/>
      <c r="S99" s="153"/>
      <c r="T99" s="153"/>
      <c r="U99" s="154"/>
    </row>
    <row r="100" spans="1:33" ht="97.5" customHeight="1" x14ac:dyDescent="0.15">
      <c r="B100" s="121"/>
      <c r="C100" s="28" t="s">
        <v>72</v>
      </c>
      <c r="D100" s="155" t="s">
        <v>178</v>
      </c>
      <c r="E100" s="156"/>
      <c r="F100" s="156"/>
      <c r="G100" s="156"/>
      <c r="H100" s="156"/>
      <c r="I100" s="156"/>
      <c r="J100" s="156"/>
      <c r="K100" s="156"/>
      <c r="L100" s="156"/>
      <c r="M100" s="156"/>
      <c r="N100" s="156"/>
      <c r="O100" s="156"/>
      <c r="P100" s="156"/>
      <c r="Q100" s="156"/>
      <c r="R100" s="156"/>
      <c r="S100" s="156"/>
      <c r="T100" s="156"/>
      <c r="U100" s="157"/>
    </row>
    <row r="101" spans="1:33" ht="97.5" customHeight="1" x14ac:dyDescent="0.15">
      <c r="B101" s="117"/>
      <c r="C101" s="27" t="s">
        <v>73</v>
      </c>
      <c r="D101" s="149" t="s">
        <v>179</v>
      </c>
      <c r="E101" s="150"/>
      <c r="F101" s="150"/>
      <c r="G101" s="150"/>
      <c r="H101" s="150"/>
      <c r="I101" s="150"/>
      <c r="J101" s="150"/>
      <c r="K101" s="150"/>
      <c r="L101" s="150"/>
      <c r="M101" s="150"/>
      <c r="N101" s="150"/>
      <c r="O101" s="150"/>
      <c r="P101" s="150"/>
      <c r="Q101" s="150"/>
      <c r="R101" s="150"/>
      <c r="S101" s="150"/>
      <c r="T101" s="150"/>
      <c r="U101" s="151"/>
    </row>
    <row r="102" spans="1:33" ht="6" customHeight="1" x14ac:dyDescent="0.15"/>
    <row r="103" spans="1:33" ht="18.75" customHeight="1" x14ac:dyDescent="0.15">
      <c r="A103" s="1" t="s">
        <v>108</v>
      </c>
    </row>
    <row r="104" spans="1:33" ht="81.75" customHeight="1" x14ac:dyDescent="0.15">
      <c r="B104" s="133" t="s">
        <v>144</v>
      </c>
      <c r="C104" s="134"/>
      <c r="D104" s="134"/>
      <c r="E104" s="134"/>
      <c r="F104" s="134"/>
      <c r="G104" s="134"/>
      <c r="H104" s="134"/>
      <c r="I104" s="134"/>
      <c r="J104" s="134"/>
      <c r="K104" s="134"/>
      <c r="L104" s="134"/>
      <c r="M104" s="134"/>
      <c r="N104" s="134"/>
      <c r="O104" s="134"/>
      <c r="P104" s="134"/>
      <c r="Q104" s="134"/>
      <c r="R104" s="134"/>
      <c r="S104" s="134"/>
      <c r="T104" s="134"/>
      <c r="U104" s="135"/>
    </row>
    <row r="106" spans="1:33" ht="18.75" customHeight="1" x14ac:dyDescent="0.15">
      <c r="A106" s="75" t="s">
        <v>124</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15">
      <c r="A107" s="75" t="s">
        <v>126</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15">
      <c r="A108" s="75"/>
      <c r="B108" s="148" t="s">
        <v>129</v>
      </c>
      <c r="C108" s="148"/>
      <c r="D108" s="148"/>
      <c r="E108" s="148"/>
      <c r="F108" s="148"/>
      <c r="G108" s="148"/>
      <c r="H108" s="148"/>
      <c r="I108" s="148"/>
      <c r="J108" s="148"/>
      <c r="K108" s="148"/>
      <c r="L108" s="148"/>
      <c r="M108" s="148"/>
      <c r="N108" s="148"/>
      <c r="O108" s="148"/>
      <c r="P108" s="148"/>
      <c r="Q108" s="148"/>
      <c r="R108" s="148"/>
      <c r="S108" s="148"/>
      <c r="T108" s="148"/>
      <c r="U108" s="148"/>
      <c r="V108" s="71"/>
      <c r="W108" s="71"/>
      <c r="X108" s="71"/>
      <c r="Y108" s="71"/>
      <c r="Z108" s="71"/>
      <c r="AA108" s="71"/>
      <c r="AB108" s="71"/>
      <c r="AC108" s="71"/>
      <c r="AD108" s="71"/>
      <c r="AE108" s="71"/>
      <c r="AF108" s="71"/>
      <c r="AG108" s="71"/>
    </row>
    <row r="109" spans="1:33" ht="37.15" customHeight="1" x14ac:dyDescent="0.15">
      <c r="A109" s="75"/>
      <c r="B109" s="148"/>
      <c r="C109" s="148"/>
      <c r="D109" s="148"/>
      <c r="E109" s="148"/>
      <c r="F109" s="148"/>
      <c r="G109" s="148"/>
      <c r="H109" s="148"/>
      <c r="I109" s="148"/>
      <c r="J109" s="148"/>
      <c r="K109" s="148"/>
      <c r="L109" s="148"/>
      <c r="M109" s="148"/>
      <c r="N109" s="148"/>
      <c r="O109" s="148"/>
      <c r="P109" s="148"/>
      <c r="Q109" s="148"/>
      <c r="R109" s="148"/>
      <c r="S109" s="148"/>
      <c r="T109" s="148"/>
      <c r="U109" s="148"/>
      <c r="V109" s="71"/>
      <c r="W109" s="71"/>
      <c r="X109" s="71"/>
      <c r="Y109" s="71"/>
      <c r="Z109" s="71"/>
      <c r="AA109" s="71"/>
      <c r="AB109" s="71"/>
      <c r="AC109" s="71"/>
      <c r="AD109" s="71"/>
      <c r="AE109" s="71"/>
      <c r="AF109" s="71"/>
      <c r="AG109" s="71"/>
    </row>
    <row r="110" spans="1:33" ht="18.75" customHeight="1" x14ac:dyDescent="0.15">
      <c r="A110" s="75"/>
      <c r="B110" s="94" t="s">
        <v>125</v>
      </c>
      <c r="C110" s="94"/>
      <c r="D110" s="94"/>
      <c r="E110" s="94"/>
      <c r="F110" s="94"/>
      <c r="G110" s="94"/>
      <c r="H110" s="94"/>
      <c r="I110" s="94"/>
      <c r="J110" s="94"/>
      <c r="K110" s="94"/>
      <c r="L110" s="94"/>
      <c r="M110" s="94"/>
      <c r="N110" s="94"/>
      <c r="O110" s="94"/>
      <c r="P110" s="94"/>
      <c r="Q110" s="94"/>
      <c r="R110" s="94"/>
      <c r="S110" s="94"/>
      <c r="T110" s="94"/>
      <c r="U110" s="94"/>
      <c r="V110" s="71"/>
      <c r="W110" s="71"/>
      <c r="X110" s="71"/>
      <c r="Y110" s="71"/>
      <c r="Z110" s="71"/>
      <c r="AA110" s="71"/>
      <c r="AB110" s="71"/>
      <c r="AC110" s="71"/>
      <c r="AD110" s="71"/>
      <c r="AE110" s="71"/>
      <c r="AF110" s="71"/>
      <c r="AG110" s="71"/>
    </row>
    <row r="111" spans="1:33" ht="18.75" customHeight="1" x14ac:dyDescent="0.15">
      <c r="A111" s="75"/>
      <c r="B111" s="107" t="s">
        <v>53</v>
      </c>
      <c r="C111" s="107"/>
      <c r="D111" s="107"/>
      <c r="E111" s="107"/>
      <c r="F111" s="107"/>
      <c r="G111" s="107"/>
      <c r="H111" s="107"/>
      <c r="I111" s="107"/>
      <c r="J111" s="107"/>
      <c r="K111" s="107"/>
      <c r="L111" s="107"/>
      <c r="M111" s="107"/>
      <c r="N111" s="107"/>
      <c r="O111" s="107"/>
      <c r="P111" s="107"/>
      <c r="Q111" s="107"/>
      <c r="R111" s="107"/>
      <c r="S111" s="107"/>
      <c r="T111" s="107"/>
      <c r="U111" s="107"/>
      <c r="V111" s="70"/>
      <c r="W111" s="70"/>
      <c r="X111" s="70"/>
      <c r="Y111" s="70"/>
      <c r="Z111" s="70"/>
      <c r="AA111" s="70"/>
      <c r="AB111" s="70"/>
      <c r="AC111" s="70"/>
      <c r="AD111" s="70"/>
      <c r="AE111" s="70"/>
      <c r="AF111" s="70"/>
      <c r="AG111" s="70"/>
    </row>
    <row r="112" spans="1:33" ht="132" customHeight="1" x14ac:dyDescent="0.15">
      <c r="A112" s="75"/>
      <c r="B112" s="108"/>
      <c r="C112" s="108"/>
      <c r="D112" s="108"/>
      <c r="E112" s="108"/>
      <c r="F112" s="108"/>
      <c r="G112" s="108"/>
      <c r="H112" s="108"/>
      <c r="I112" s="108"/>
      <c r="J112" s="108"/>
      <c r="K112" s="108"/>
      <c r="L112" s="108"/>
      <c r="M112" s="108"/>
      <c r="N112" s="108"/>
      <c r="O112" s="108"/>
      <c r="P112" s="108"/>
      <c r="Q112" s="108"/>
      <c r="R112" s="108"/>
      <c r="S112" s="108"/>
      <c r="T112" s="108"/>
      <c r="U112" s="108"/>
      <c r="V112" s="72"/>
      <c r="W112" s="72"/>
      <c r="X112" s="72"/>
      <c r="Y112" s="72"/>
      <c r="Z112" s="72"/>
      <c r="AA112" s="72"/>
      <c r="AB112" s="72"/>
      <c r="AC112" s="72"/>
      <c r="AD112" s="72"/>
      <c r="AE112" s="72"/>
      <c r="AF112" s="72"/>
      <c r="AG112" s="72"/>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7D7AE-2C49-437E-97C6-BACBC5061A91}">
  <sheetPr>
    <pageSetUpPr fitToPage="1"/>
  </sheetPr>
  <dimension ref="A1:AG114"/>
  <sheetViews>
    <sheetView showZeros="0" view="pageBreakPreview" zoomScaleNormal="100" zoomScaleSheetLayoutView="100" workbookViewId="0"/>
  </sheetViews>
  <sheetFormatPr defaultColWidth="9" defaultRowHeight="18.75" customHeight="1" x14ac:dyDescent="0.15"/>
  <cols>
    <col min="1" max="1" width="2.5" style="92" customWidth="1"/>
    <col min="2" max="2" width="16.5" style="92" customWidth="1"/>
    <col min="3" max="21" width="5.625" style="92" customWidth="1"/>
    <col min="22" max="22" width="9" style="92"/>
    <col min="23" max="23" width="3.625" style="92" customWidth="1"/>
    <col min="24" max="24" width="48.625" style="92" hidden="1" customWidth="1"/>
    <col min="25" max="16384" width="9" style="92"/>
  </cols>
  <sheetData>
    <row r="1" spans="1:24" ht="18.600000000000001" customHeight="1" x14ac:dyDescent="0.15">
      <c r="A1" s="77"/>
      <c r="B1" s="77"/>
      <c r="C1" s="77"/>
      <c r="D1" s="77"/>
      <c r="E1" s="77"/>
      <c r="F1" s="77"/>
      <c r="G1" s="77"/>
      <c r="H1" s="77"/>
      <c r="I1" s="77"/>
      <c r="J1" s="77"/>
      <c r="K1" s="77"/>
      <c r="L1" s="77"/>
      <c r="M1" s="77"/>
      <c r="N1" s="77"/>
      <c r="O1" s="77"/>
      <c r="P1" s="77"/>
      <c r="Q1" s="77"/>
      <c r="R1" s="77"/>
      <c r="S1" s="77"/>
      <c r="T1" s="141" t="s">
        <v>202</v>
      </c>
      <c r="U1" s="141"/>
      <c r="V1" s="2" t="s">
        <v>99</v>
      </c>
    </row>
    <row r="2" spans="1:24" ht="18.75" customHeight="1" x14ac:dyDescent="0.15">
      <c r="A2" s="77"/>
      <c r="B2" s="90" t="s">
        <v>98</v>
      </c>
      <c r="C2" s="142" t="s">
        <v>135</v>
      </c>
      <c r="D2" s="143"/>
      <c r="E2" s="143"/>
      <c r="F2" s="143"/>
      <c r="G2" s="143"/>
      <c r="H2" s="143"/>
      <c r="I2" s="143"/>
      <c r="J2" s="144"/>
      <c r="K2" s="89"/>
      <c r="L2" s="80"/>
      <c r="M2" s="80"/>
      <c r="N2" s="80"/>
      <c r="O2" s="80"/>
      <c r="P2" s="80"/>
      <c r="Q2" s="80"/>
      <c r="R2" s="80"/>
      <c r="S2" s="80"/>
      <c r="T2" s="80"/>
      <c r="U2" s="80"/>
    </row>
    <row r="3" spans="1:24" ht="18.75" customHeight="1" x14ac:dyDescent="0.15">
      <c r="A3" s="77"/>
      <c r="B3" s="90" t="s">
        <v>93</v>
      </c>
      <c r="C3" s="145" t="s">
        <v>168</v>
      </c>
      <c r="D3" s="146"/>
      <c r="E3" s="146"/>
      <c r="F3" s="146"/>
      <c r="G3" s="146"/>
      <c r="H3" s="146"/>
      <c r="I3" s="146"/>
      <c r="J3" s="147"/>
      <c r="K3" s="89"/>
      <c r="L3" s="80"/>
      <c r="M3" s="80"/>
      <c r="N3" s="80"/>
      <c r="O3" s="80"/>
      <c r="P3" s="80"/>
      <c r="Q3" s="80"/>
      <c r="R3" s="80"/>
      <c r="S3" s="80"/>
      <c r="T3" s="80"/>
      <c r="U3" s="80"/>
    </row>
    <row r="4" spans="1:24" ht="15" customHeight="1" x14ac:dyDescent="0.15">
      <c r="A4" s="77"/>
      <c r="B4" s="77"/>
      <c r="C4" s="77"/>
      <c r="D4" s="77"/>
      <c r="E4" s="77"/>
      <c r="F4" s="77"/>
      <c r="G4" s="77"/>
      <c r="H4" s="77"/>
      <c r="I4" s="77"/>
      <c r="J4" s="77"/>
      <c r="K4" s="77"/>
      <c r="L4" s="89"/>
      <c r="M4" s="81"/>
      <c r="N4" s="81"/>
      <c r="O4" s="81"/>
      <c r="P4" s="81"/>
      <c r="Q4" s="81"/>
      <c r="R4" s="81"/>
      <c r="S4" s="81"/>
      <c r="T4" s="81"/>
      <c r="U4" s="81"/>
    </row>
    <row r="5" spans="1:24" ht="18" customHeight="1" x14ac:dyDescent="0.15">
      <c r="A5" s="122" t="s">
        <v>37</v>
      </c>
      <c r="B5" s="122"/>
      <c r="C5" s="122"/>
      <c r="D5" s="122"/>
      <c r="E5" s="122"/>
      <c r="F5" s="122"/>
      <c r="G5" s="122"/>
      <c r="H5" s="122"/>
      <c r="I5" s="122"/>
      <c r="J5" s="122"/>
      <c r="K5" s="122"/>
      <c r="L5" s="122"/>
      <c r="M5" s="122"/>
      <c r="N5" s="122"/>
      <c r="O5" s="122"/>
      <c r="P5" s="122"/>
      <c r="Q5" s="122"/>
      <c r="R5" s="122"/>
      <c r="S5" s="122"/>
      <c r="T5" s="122"/>
      <c r="U5" s="122"/>
    </row>
    <row r="6" spans="1:24" ht="15" customHeight="1" x14ac:dyDescent="0.15">
      <c r="A6" s="77"/>
      <c r="B6" s="82"/>
      <c r="C6" s="82"/>
      <c r="D6" s="82"/>
      <c r="E6" s="82"/>
      <c r="F6" s="82"/>
      <c r="G6" s="82"/>
      <c r="H6" s="82"/>
      <c r="I6" s="82"/>
      <c r="J6" s="82"/>
      <c r="K6" s="82"/>
      <c r="L6" s="82"/>
      <c r="M6" s="82"/>
      <c r="N6" s="82"/>
      <c r="O6" s="82"/>
      <c r="P6" s="82"/>
      <c r="Q6" s="82"/>
      <c r="R6" s="82"/>
      <c r="S6" s="82"/>
      <c r="T6" s="82"/>
      <c r="U6" s="82"/>
    </row>
    <row r="7" spans="1:24" ht="15" customHeight="1" x14ac:dyDescent="0.15">
      <c r="A7" s="77" t="s">
        <v>130</v>
      </c>
      <c r="B7" s="82"/>
      <c r="C7" s="82"/>
      <c r="D7" s="82"/>
      <c r="E7" s="82"/>
      <c r="F7" s="83"/>
      <c r="G7" s="83"/>
      <c r="H7" s="83"/>
      <c r="I7" s="83"/>
      <c r="J7" s="83"/>
      <c r="K7" s="83"/>
      <c r="L7" s="161" t="s">
        <v>183</v>
      </c>
      <c r="M7" s="162"/>
      <c r="N7" s="162"/>
      <c r="O7" s="162"/>
      <c r="P7" s="162"/>
      <c r="Q7" s="162"/>
      <c r="R7" s="162"/>
      <c r="S7" s="162"/>
      <c r="T7" s="162"/>
      <c r="U7" s="163"/>
    </row>
    <row r="8" spans="1:24" ht="6" customHeight="1" x14ac:dyDescent="0.15">
      <c r="A8" s="77"/>
      <c r="B8" s="82"/>
      <c r="C8" s="82"/>
      <c r="D8" s="82"/>
      <c r="E8" s="82"/>
      <c r="F8" s="82"/>
      <c r="G8" s="82"/>
      <c r="H8" s="82"/>
      <c r="I8" s="82"/>
      <c r="J8" s="82"/>
      <c r="K8" s="82"/>
      <c r="L8" s="82"/>
      <c r="M8" s="82"/>
      <c r="N8" s="82"/>
      <c r="O8" s="82"/>
      <c r="P8" s="82"/>
      <c r="Q8" s="82"/>
      <c r="R8" s="82"/>
      <c r="S8" s="82"/>
      <c r="T8" s="82"/>
      <c r="U8" s="82"/>
    </row>
    <row r="9" spans="1:24" ht="18" customHeight="1" x14ac:dyDescent="0.15">
      <c r="A9" s="77" t="s">
        <v>131</v>
      </c>
      <c r="B9" s="77"/>
      <c r="C9" s="82"/>
      <c r="D9" s="82"/>
      <c r="E9" s="77"/>
      <c r="F9" s="77"/>
      <c r="G9" s="77"/>
      <c r="H9" s="77"/>
      <c r="I9" s="77"/>
      <c r="J9" s="77"/>
      <c r="K9" s="89"/>
      <c r="L9" s="83"/>
      <c r="M9" s="83"/>
      <c r="N9" s="83"/>
      <c r="O9" s="83"/>
      <c r="P9" s="83"/>
      <c r="Q9" s="83"/>
      <c r="R9" s="83"/>
      <c r="S9" s="83"/>
      <c r="T9" s="83"/>
      <c r="U9" s="83"/>
    </row>
    <row r="10" spans="1:24" ht="6" customHeight="1" x14ac:dyDescent="0.15">
      <c r="A10" s="77"/>
      <c r="B10" s="82"/>
      <c r="C10" s="82"/>
      <c r="D10" s="82"/>
      <c r="E10" s="82"/>
      <c r="F10" s="82"/>
      <c r="G10" s="82"/>
      <c r="H10" s="82"/>
      <c r="I10" s="82"/>
      <c r="J10" s="82"/>
      <c r="K10" s="82"/>
      <c r="L10" s="84"/>
      <c r="M10" s="82"/>
      <c r="N10" s="82"/>
      <c r="O10" s="82"/>
      <c r="P10" s="82"/>
      <c r="Q10" s="82"/>
      <c r="R10" s="82"/>
      <c r="S10" s="82"/>
      <c r="T10" s="82"/>
      <c r="U10" s="82"/>
    </row>
    <row r="11" spans="1:24" ht="18" customHeight="1" x14ac:dyDescent="0.15">
      <c r="A11" s="77"/>
      <c r="B11" s="170" t="s">
        <v>184</v>
      </c>
      <c r="C11" s="171"/>
      <c r="D11" s="171"/>
      <c r="E11" s="171"/>
      <c r="F11" s="171"/>
      <c r="G11" s="171"/>
      <c r="H11" s="171"/>
      <c r="I11" s="171"/>
      <c r="J11" s="171"/>
      <c r="K11" s="171"/>
      <c r="L11" s="171"/>
      <c r="M11" s="171"/>
      <c r="N11" s="171"/>
      <c r="O11" s="171"/>
      <c r="P11" s="171"/>
      <c r="Q11" s="171"/>
      <c r="R11" s="171"/>
      <c r="S11" s="171"/>
      <c r="T11" s="171"/>
      <c r="U11" s="172"/>
    </row>
    <row r="12" spans="1:24" ht="18" customHeight="1" x14ac:dyDescent="0.15">
      <c r="A12" s="77"/>
      <c r="B12" s="173"/>
      <c r="C12" s="174"/>
      <c r="D12" s="174"/>
      <c r="E12" s="174"/>
      <c r="F12" s="174"/>
      <c r="G12" s="174"/>
      <c r="H12" s="174"/>
      <c r="I12" s="174"/>
      <c r="J12" s="174"/>
      <c r="K12" s="174"/>
      <c r="L12" s="174"/>
      <c r="M12" s="174"/>
      <c r="N12" s="174"/>
      <c r="O12" s="174"/>
      <c r="P12" s="174"/>
      <c r="Q12" s="174"/>
      <c r="R12" s="174"/>
      <c r="S12" s="174"/>
      <c r="T12" s="174"/>
      <c r="U12" s="175"/>
    </row>
    <row r="13" spans="1:24" ht="6" customHeight="1" x14ac:dyDescent="0.15">
      <c r="A13" s="77"/>
      <c r="B13" s="82"/>
      <c r="C13" s="82"/>
      <c r="D13" s="82"/>
      <c r="E13" s="82"/>
      <c r="F13" s="82"/>
      <c r="G13" s="82"/>
      <c r="H13" s="82"/>
      <c r="I13" s="82"/>
      <c r="J13" s="82"/>
      <c r="K13" s="82"/>
      <c r="L13" s="84"/>
      <c r="M13" s="82"/>
      <c r="N13" s="82"/>
      <c r="O13" s="82"/>
      <c r="P13" s="82"/>
      <c r="Q13" s="82"/>
      <c r="R13" s="82"/>
      <c r="S13" s="82"/>
      <c r="T13" s="82"/>
      <c r="U13" s="82"/>
    </row>
    <row r="14" spans="1:24" ht="18" customHeight="1" x14ac:dyDescent="0.15">
      <c r="A14" s="77" t="s">
        <v>100</v>
      </c>
      <c r="B14" s="82"/>
      <c r="C14" s="82"/>
      <c r="D14" s="82"/>
      <c r="E14" s="89"/>
      <c r="F14" s="89"/>
      <c r="G14" s="89"/>
      <c r="H14" s="89"/>
      <c r="I14" s="89"/>
      <c r="J14" s="89"/>
      <c r="K14" s="89"/>
      <c r="L14" s="85"/>
      <c r="M14" s="85"/>
      <c r="N14" s="85"/>
      <c r="O14" s="85"/>
      <c r="P14" s="85"/>
      <c r="Q14" s="85"/>
      <c r="R14" s="85"/>
      <c r="S14" s="85"/>
      <c r="T14" s="85"/>
      <c r="U14" s="85"/>
    </row>
    <row r="15" spans="1:24" ht="18" customHeight="1" x14ac:dyDescent="0.15">
      <c r="A15" s="77"/>
      <c r="B15" s="123" t="s">
        <v>186</v>
      </c>
      <c r="C15" s="124"/>
      <c r="D15" s="124"/>
      <c r="E15" s="124"/>
      <c r="F15" s="124"/>
      <c r="G15" s="124"/>
      <c r="H15" s="124"/>
      <c r="I15" s="124"/>
      <c r="J15" s="124"/>
      <c r="K15" s="124"/>
      <c r="L15" s="124"/>
      <c r="M15" s="124"/>
      <c r="N15" s="124"/>
      <c r="O15" s="124"/>
      <c r="P15" s="124"/>
      <c r="Q15" s="124"/>
      <c r="R15" s="124"/>
      <c r="S15" s="124"/>
      <c r="T15" s="124"/>
      <c r="U15" s="125"/>
      <c r="X15" s="92" t="s">
        <v>94</v>
      </c>
    </row>
    <row r="16" spans="1:24" ht="18" customHeight="1" x14ac:dyDescent="0.15">
      <c r="A16" s="77"/>
      <c r="B16" s="126"/>
      <c r="C16" s="127"/>
      <c r="D16" s="127"/>
      <c r="E16" s="127"/>
      <c r="F16" s="127"/>
      <c r="G16" s="127"/>
      <c r="H16" s="127"/>
      <c r="I16" s="127"/>
      <c r="J16" s="127"/>
      <c r="K16" s="127"/>
      <c r="L16" s="127"/>
      <c r="M16" s="127"/>
      <c r="N16" s="127"/>
      <c r="O16" s="127"/>
      <c r="P16" s="127"/>
      <c r="Q16" s="127"/>
      <c r="R16" s="127"/>
      <c r="S16" s="127"/>
      <c r="T16" s="127"/>
      <c r="U16" s="128"/>
      <c r="X16" s="92" t="s">
        <v>114</v>
      </c>
    </row>
    <row r="17" spans="1:24" ht="18" customHeight="1" x14ac:dyDescent="0.15">
      <c r="A17" s="77"/>
      <c r="B17" s="126"/>
      <c r="C17" s="127"/>
      <c r="D17" s="127"/>
      <c r="E17" s="127"/>
      <c r="F17" s="127"/>
      <c r="G17" s="127"/>
      <c r="H17" s="127"/>
      <c r="I17" s="127"/>
      <c r="J17" s="127"/>
      <c r="K17" s="127"/>
      <c r="L17" s="127"/>
      <c r="M17" s="127"/>
      <c r="N17" s="127"/>
      <c r="O17" s="127"/>
      <c r="P17" s="127"/>
      <c r="Q17" s="127"/>
      <c r="R17" s="127"/>
      <c r="S17" s="127"/>
      <c r="T17" s="127"/>
      <c r="U17" s="128"/>
      <c r="X17" s="92" t="s">
        <v>115</v>
      </c>
    </row>
    <row r="18" spans="1:24" ht="18" customHeight="1" x14ac:dyDescent="0.15">
      <c r="A18" s="77"/>
      <c r="B18" s="126"/>
      <c r="C18" s="127"/>
      <c r="D18" s="127"/>
      <c r="E18" s="127"/>
      <c r="F18" s="127"/>
      <c r="G18" s="127"/>
      <c r="H18" s="127"/>
      <c r="I18" s="127"/>
      <c r="J18" s="127"/>
      <c r="K18" s="127"/>
      <c r="L18" s="127"/>
      <c r="M18" s="127"/>
      <c r="N18" s="127"/>
      <c r="O18" s="127"/>
      <c r="P18" s="127"/>
      <c r="Q18" s="127"/>
      <c r="R18" s="127"/>
      <c r="S18" s="127"/>
      <c r="T18" s="127"/>
      <c r="U18" s="128"/>
      <c r="X18" s="92" t="s">
        <v>116</v>
      </c>
    </row>
    <row r="19" spans="1:24" ht="18" customHeight="1" x14ac:dyDescent="0.15">
      <c r="A19" s="77"/>
      <c r="B19" s="126"/>
      <c r="C19" s="127"/>
      <c r="D19" s="127"/>
      <c r="E19" s="127"/>
      <c r="F19" s="127"/>
      <c r="G19" s="127"/>
      <c r="H19" s="127"/>
      <c r="I19" s="127"/>
      <c r="J19" s="127"/>
      <c r="K19" s="127"/>
      <c r="L19" s="127"/>
      <c r="M19" s="127"/>
      <c r="N19" s="127"/>
      <c r="O19" s="127"/>
      <c r="P19" s="127"/>
      <c r="Q19" s="127"/>
      <c r="R19" s="127"/>
      <c r="S19" s="127"/>
      <c r="T19" s="127"/>
      <c r="U19" s="128"/>
    </row>
    <row r="20" spans="1:24" ht="18" customHeight="1" x14ac:dyDescent="0.15">
      <c r="A20" s="77"/>
      <c r="B20" s="129"/>
      <c r="C20" s="130"/>
      <c r="D20" s="130"/>
      <c r="E20" s="130"/>
      <c r="F20" s="130"/>
      <c r="G20" s="130"/>
      <c r="H20" s="130"/>
      <c r="I20" s="130"/>
      <c r="J20" s="130"/>
      <c r="K20" s="130"/>
      <c r="L20" s="130"/>
      <c r="M20" s="130"/>
      <c r="N20" s="130"/>
      <c r="O20" s="130"/>
      <c r="P20" s="130"/>
      <c r="Q20" s="130"/>
      <c r="R20" s="130"/>
      <c r="S20" s="130"/>
      <c r="T20" s="130"/>
      <c r="U20" s="131"/>
    </row>
    <row r="21" spans="1:24" ht="7.5" customHeight="1" x14ac:dyDescent="0.15">
      <c r="A21" s="77"/>
      <c r="B21" s="82"/>
      <c r="C21" s="82"/>
      <c r="D21" s="82"/>
      <c r="E21" s="82"/>
      <c r="F21" s="82"/>
      <c r="G21" s="82"/>
      <c r="H21" s="82"/>
      <c r="I21" s="82"/>
      <c r="J21" s="82"/>
      <c r="K21" s="82"/>
      <c r="L21" s="82"/>
      <c r="M21" s="82"/>
      <c r="N21" s="82"/>
      <c r="O21" s="82"/>
      <c r="P21" s="82"/>
      <c r="Q21" s="82"/>
      <c r="R21" s="82"/>
      <c r="S21" s="82"/>
      <c r="T21" s="82"/>
      <c r="U21" s="82"/>
    </row>
    <row r="22" spans="1:24" ht="19.899999999999999" customHeight="1" x14ac:dyDescent="0.15">
      <c r="A22" s="77"/>
      <c r="B22" s="77" t="s">
        <v>132</v>
      </c>
      <c r="C22" s="77"/>
      <c r="D22" s="77"/>
      <c r="E22" s="86">
        <v>1</v>
      </c>
      <c r="F22" s="77" t="s">
        <v>112</v>
      </c>
      <c r="G22" s="77"/>
      <c r="H22" s="87">
        <v>2</v>
      </c>
      <c r="I22" s="82" t="s">
        <v>113</v>
      </c>
      <c r="J22" s="82"/>
      <c r="K22" s="89"/>
      <c r="L22" s="77"/>
      <c r="M22" s="89" t="s">
        <v>109</v>
      </c>
      <c r="N22" s="158" t="s">
        <v>116</v>
      </c>
      <c r="O22" s="159"/>
      <c r="P22" s="159"/>
      <c r="Q22" s="159"/>
      <c r="R22" s="159"/>
      <c r="S22" s="159"/>
      <c r="T22" s="159"/>
      <c r="U22" s="160"/>
    </row>
    <row r="23" spans="1:24" ht="7.5" customHeight="1" x14ac:dyDescent="0.15">
      <c r="A23" s="77"/>
      <c r="B23" s="82"/>
      <c r="C23" s="82"/>
      <c r="D23" s="82"/>
      <c r="E23" s="82"/>
      <c r="F23" s="82"/>
      <c r="G23" s="82"/>
      <c r="H23" s="82"/>
      <c r="I23" s="82"/>
      <c r="J23" s="82"/>
      <c r="K23" s="82"/>
      <c r="L23" s="82"/>
      <c r="M23" s="82"/>
      <c r="N23" s="82"/>
      <c r="O23" s="82"/>
      <c r="P23" s="82"/>
      <c r="Q23" s="82"/>
      <c r="R23" s="82"/>
      <c r="S23" s="82"/>
      <c r="T23" s="82"/>
      <c r="U23" s="82"/>
    </row>
    <row r="24" spans="1:24" ht="18" customHeight="1" x14ac:dyDescent="0.15">
      <c r="A24" s="132" t="s">
        <v>101</v>
      </c>
      <c r="B24" s="132"/>
      <c r="C24" s="132"/>
      <c r="D24" s="132"/>
      <c r="E24" s="132"/>
      <c r="F24" s="132"/>
      <c r="G24" s="132"/>
      <c r="H24" s="132"/>
      <c r="I24" s="132"/>
      <c r="J24" s="132"/>
      <c r="K24" s="132"/>
      <c r="L24" s="132"/>
      <c r="M24" s="132"/>
      <c r="N24" s="132"/>
      <c r="O24" s="132"/>
      <c r="P24" s="132"/>
      <c r="Q24" s="132"/>
      <c r="R24" s="132"/>
      <c r="S24" s="132"/>
      <c r="T24" s="132"/>
      <c r="U24" s="132"/>
    </row>
    <row r="25" spans="1:24" ht="18" customHeight="1" x14ac:dyDescent="0.15">
      <c r="A25" s="132"/>
      <c r="B25" s="132"/>
      <c r="C25" s="132"/>
      <c r="D25" s="132"/>
      <c r="E25" s="132"/>
      <c r="F25" s="132"/>
      <c r="G25" s="132"/>
      <c r="H25" s="132"/>
      <c r="I25" s="132"/>
      <c r="J25" s="132"/>
      <c r="K25" s="132"/>
      <c r="L25" s="132"/>
      <c r="M25" s="132"/>
      <c r="N25" s="132"/>
      <c r="O25" s="132"/>
      <c r="P25" s="132"/>
      <c r="Q25" s="132"/>
      <c r="R25" s="132"/>
      <c r="S25" s="132"/>
      <c r="T25" s="132"/>
      <c r="U25" s="132"/>
    </row>
    <row r="26" spans="1:24" ht="18" customHeight="1" x14ac:dyDescent="0.15">
      <c r="B26" s="98" t="s">
        <v>51</v>
      </c>
      <c r="C26" s="99"/>
      <c r="D26" s="99"/>
      <c r="E26" s="99"/>
      <c r="F26" s="100"/>
      <c r="G26" s="51" t="s">
        <v>77</v>
      </c>
      <c r="H26" s="50" t="s">
        <v>80</v>
      </c>
      <c r="I26" s="17" t="s">
        <v>54</v>
      </c>
      <c r="J26" s="17" t="s">
        <v>57</v>
      </c>
      <c r="K26" s="98" t="s">
        <v>51</v>
      </c>
      <c r="L26" s="99"/>
      <c r="M26" s="99"/>
      <c r="N26" s="99"/>
      <c r="O26" s="99"/>
      <c r="P26" s="99"/>
      <c r="Q26" s="100"/>
      <c r="R26" s="51" t="s">
        <v>77</v>
      </c>
      <c r="S26" s="50" t="s">
        <v>80</v>
      </c>
      <c r="T26" s="17" t="s">
        <v>54</v>
      </c>
      <c r="U26" s="17" t="s">
        <v>57</v>
      </c>
    </row>
    <row r="27" spans="1:24" ht="18" customHeight="1" x14ac:dyDescent="0.15">
      <c r="B27" s="109" t="s">
        <v>187</v>
      </c>
      <c r="C27" s="110"/>
      <c r="D27" s="110"/>
      <c r="E27" s="110"/>
      <c r="F27" s="111"/>
      <c r="G27" s="18">
        <v>2</v>
      </c>
      <c r="H27" s="18" t="s">
        <v>138</v>
      </c>
      <c r="I27" s="18" t="s">
        <v>138</v>
      </c>
      <c r="J27" s="18" t="s">
        <v>138</v>
      </c>
      <c r="K27" s="109"/>
      <c r="L27" s="110"/>
      <c r="M27" s="110"/>
      <c r="N27" s="110"/>
      <c r="O27" s="110"/>
      <c r="P27" s="110"/>
      <c r="Q27" s="111"/>
      <c r="R27" s="18"/>
      <c r="S27" s="18"/>
      <c r="T27" s="18"/>
      <c r="U27" s="18"/>
    </row>
    <row r="28" spans="1:24" ht="18" customHeight="1" x14ac:dyDescent="0.15">
      <c r="B28" s="101"/>
      <c r="C28" s="102"/>
      <c r="D28" s="102"/>
      <c r="E28" s="102"/>
      <c r="F28" s="103"/>
      <c r="G28" s="19"/>
      <c r="H28" s="19"/>
      <c r="I28" s="19"/>
      <c r="J28" s="19"/>
      <c r="K28" s="101"/>
      <c r="L28" s="102"/>
      <c r="M28" s="102"/>
      <c r="N28" s="102"/>
      <c r="O28" s="102"/>
      <c r="P28" s="102"/>
      <c r="Q28" s="103"/>
      <c r="R28" s="19"/>
      <c r="S28" s="19"/>
      <c r="T28" s="19"/>
      <c r="U28" s="19"/>
    </row>
    <row r="29" spans="1:24" ht="18" customHeight="1" x14ac:dyDescent="0.15">
      <c r="B29" s="101"/>
      <c r="C29" s="102"/>
      <c r="D29" s="102"/>
      <c r="E29" s="102"/>
      <c r="F29" s="103"/>
      <c r="G29" s="19"/>
      <c r="H29" s="19"/>
      <c r="I29" s="19"/>
      <c r="J29" s="19"/>
      <c r="K29" s="101"/>
      <c r="L29" s="102"/>
      <c r="M29" s="102"/>
      <c r="N29" s="102"/>
      <c r="O29" s="102"/>
      <c r="P29" s="102"/>
      <c r="Q29" s="103"/>
      <c r="R29" s="19"/>
      <c r="S29" s="19"/>
      <c r="T29" s="19"/>
      <c r="U29" s="19"/>
    </row>
    <row r="30" spans="1:24" ht="18" customHeight="1" x14ac:dyDescent="0.15">
      <c r="B30" s="101"/>
      <c r="C30" s="102"/>
      <c r="D30" s="102"/>
      <c r="E30" s="102"/>
      <c r="F30" s="103"/>
      <c r="G30" s="19"/>
      <c r="H30" s="19"/>
      <c r="I30" s="19"/>
      <c r="J30" s="19"/>
      <c r="K30" s="101"/>
      <c r="L30" s="102"/>
      <c r="M30" s="102"/>
      <c r="N30" s="102"/>
      <c r="O30" s="102"/>
      <c r="P30" s="102"/>
      <c r="Q30" s="103"/>
      <c r="R30" s="19"/>
      <c r="S30" s="19"/>
      <c r="T30" s="19"/>
      <c r="U30" s="19"/>
    </row>
    <row r="31" spans="1:24" ht="18" customHeight="1" x14ac:dyDescent="0.15">
      <c r="B31" s="101"/>
      <c r="C31" s="102"/>
      <c r="D31" s="102"/>
      <c r="E31" s="102"/>
      <c r="F31" s="103"/>
      <c r="G31" s="19"/>
      <c r="H31" s="19"/>
      <c r="I31" s="19"/>
      <c r="J31" s="19"/>
      <c r="K31" s="101"/>
      <c r="L31" s="102"/>
      <c r="M31" s="102"/>
      <c r="N31" s="102"/>
      <c r="O31" s="102"/>
      <c r="P31" s="102"/>
      <c r="Q31" s="103"/>
      <c r="R31" s="19"/>
      <c r="S31" s="19"/>
      <c r="T31" s="19"/>
      <c r="U31" s="19"/>
    </row>
    <row r="32" spans="1:24" ht="18" customHeight="1" x14ac:dyDescent="0.15">
      <c r="A32" s="91"/>
      <c r="B32" s="101"/>
      <c r="C32" s="102"/>
      <c r="D32" s="102"/>
      <c r="E32" s="102"/>
      <c r="F32" s="103"/>
      <c r="G32" s="19"/>
      <c r="H32" s="19"/>
      <c r="I32" s="19"/>
      <c r="J32" s="19"/>
      <c r="K32" s="101"/>
      <c r="L32" s="102"/>
      <c r="M32" s="102"/>
      <c r="N32" s="102"/>
      <c r="O32" s="102"/>
      <c r="P32" s="102"/>
      <c r="Q32" s="103"/>
      <c r="R32" s="19"/>
      <c r="S32" s="19"/>
      <c r="T32" s="19"/>
      <c r="U32" s="19"/>
    </row>
    <row r="33" spans="1:21" ht="18" customHeight="1" x14ac:dyDescent="0.15">
      <c r="A33" s="91"/>
      <c r="B33" s="104"/>
      <c r="C33" s="105"/>
      <c r="D33" s="105"/>
      <c r="E33" s="105"/>
      <c r="F33" s="106"/>
      <c r="G33" s="20"/>
      <c r="H33" s="20"/>
      <c r="I33" s="21"/>
      <c r="J33" s="21"/>
      <c r="K33" s="104"/>
      <c r="L33" s="105"/>
      <c r="M33" s="105"/>
      <c r="N33" s="105"/>
      <c r="O33" s="105"/>
      <c r="P33" s="105"/>
      <c r="Q33" s="106"/>
      <c r="R33" s="20"/>
      <c r="S33" s="20"/>
      <c r="T33" s="21"/>
      <c r="U33" s="21"/>
    </row>
    <row r="34" spans="1:21" ht="7.5" customHeight="1" x14ac:dyDescent="0.15">
      <c r="A34" s="91"/>
      <c r="B34" s="6"/>
      <c r="C34" s="6"/>
      <c r="D34" s="6"/>
      <c r="E34" s="91"/>
      <c r="F34" s="91"/>
      <c r="G34" s="91"/>
      <c r="H34" s="91"/>
      <c r="I34" s="6"/>
      <c r="J34" s="6"/>
      <c r="K34" s="6"/>
      <c r="L34" s="6"/>
      <c r="M34" s="6"/>
      <c r="N34" s="6"/>
      <c r="O34" s="6"/>
      <c r="P34" s="6"/>
      <c r="Q34" s="6"/>
      <c r="R34" s="6"/>
      <c r="S34" s="6"/>
      <c r="T34" s="6"/>
      <c r="U34" s="91"/>
    </row>
    <row r="35" spans="1:21" ht="18" customHeight="1" x14ac:dyDescent="0.15">
      <c r="A35" s="112" t="s">
        <v>102</v>
      </c>
      <c r="B35" s="112"/>
      <c r="C35" s="112"/>
      <c r="D35" s="112"/>
      <c r="E35" s="112"/>
      <c r="F35" s="112"/>
      <c r="G35" s="112"/>
      <c r="H35" s="112"/>
      <c r="I35" s="112"/>
      <c r="J35" s="112"/>
      <c r="K35" s="112"/>
      <c r="L35" s="112"/>
      <c r="M35" s="112"/>
      <c r="N35" s="112"/>
      <c r="O35" s="112"/>
      <c r="P35" s="112"/>
      <c r="Q35" s="112"/>
      <c r="R35" s="112"/>
      <c r="S35" s="112"/>
      <c r="T35" s="112"/>
      <c r="U35" s="112"/>
    </row>
    <row r="36" spans="1:21" ht="18" customHeight="1" x14ac:dyDescent="0.15">
      <c r="A36" s="112"/>
      <c r="B36" s="112"/>
      <c r="C36" s="112"/>
      <c r="D36" s="112"/>
      <c r="E36" s="112"/>
      <c r="F36" s="112"/>
      <c r="G36" s="112"/>
      <c r="H36" s="112"/>
      <c r="I36" s="112"/>
      <c r="J36" s="112"/>
      <c r="K36" s="112"/>
      <c r="L36" s="112"/>
      <c r="M36" s="112"/>
      <c r="N36" s="112"/>
      <c r="O36" s="112"/>
      <c r="P36" s="112"/>
      <c r="Q36" s="112"/>
      <c r="R36" s="112"/>
      <c r="S36" s="112"/>
      <c r="T36" s="112"/>
      <c r="U36" s="112"/>
    </row>
    <row r="37" spans="1:21" ht="18" customHeight="1" x14ac:dyDescent="0.15">
      <c r="B37" s="98" t="s">
        <v>51</v>
      </c>
      <c r="C37" s="99"/>
      <c r="D37" s="99"/>
      <c r="E37" s="99"/>
      <c r="F37" s="100"/>
      <c r="G37" s="51" t="s">
        <v>77</v>
      </c>
      <c r="H37" s="50" t="s">
        <v>80</v>
      </c>
      <c r="I37" s="17" t="s">
        <v>68</v>
      </c>
      <c r="J37" s="17" t="s">
        <v>69</v>
      </c>
      <c r="K37" s="98" t="s">
        <v>51</v>
      </c>
      <c r="L37" s="99"/>
      <c r="M37" s="99"/>
      <c r="N37" s="99"/>
      <c r="O37" s="99"/>
      <c r="P37" s="99"/>
      <c r="Q37" s="100"/>
      <c r="R37" s="51" t="s">
        <v>77</v>
      </c>
      <c r="S37" s="50" t="s">
        <v>80</v>
      </c>
      <c r="T37" s="17" t="s">
        <v>68</v>
      </c>
      <c r="U37" s="17" t="s">
        <v>69</v>
      </c>
    </row>
    <row r="38" spans="1:21" ht="18" customHeight="1" x14ac:dyDescent="0.15">
      <c r="B38" s="109" t="s">
        <v>187</v>
      </c>
      <c r="C38" s="110"/>
      <c r="D38" s="110"/>
      <c r="E38" s="110"/>
      <c r="F38" s="111"/>
      <c r="G38" s="18">
        <v>2</v>
      </c>
      <c r="H38" s="18" t="s">
        <v>138</v>
      </c>
      <c r="I38" s="18" t="s">
        <v>138</v>
      </c>
      <c r="J38" s="18" t="s">
        <v>138</v>
      </c>
      <c r="K38" s="109"/>
      <c r="L38" s="110"/>
      <c r="M38" s="110"/>
      <c r="N38" s="110"/>
      <c r="O38" s="110"/>
      <c r="P38" s="110"/>
      <c r="Q38" s="111"/>
      <c r="R38" s="18"/>
      <c r="S38" s="18"/>
      <c r="T38" s="18"/>
      <c r="U38" s="18"/>
    </row>
    <row r="39" spans="1:21" ht="18" customHeight="1" x14ac:dyDescent="0.15">
      <c r="B39" s="101"/>
      <c r="C39" s="102"/>
      <c r="D39" s="102"/>
      <c r="E39" s="102"/>
      <c r="F39" s="103"/>
      <c r="G39" s="19"/>
      <c r="H39" s="19"/>
      <c r="I39" s="19"/>
      <c r="J39" s="19"/>
      <c r="K39" s="101"/>
      <c r="L39" s="102"/>
      <c r="M39" s="102"/>
      <c r="N39" s="102"/>
      <c r="O39" s="102"/>
      <c r="P39" s="102"/>
      <c r="Q39" s="103"/>
      <c r="R39" s="19"/>
      <c r="S39" s="19"/>
      <c r="T39" s="19"/>
      <c r="U39" s="19"/>
    </row>
    <row r="40" spans="1:21" ht="18" customHeight="1" x14ac:dyDescent="0.15">
      <c r="B40" s="101"/>
      <c r="C40" s="102"/>
      <c r="D40" s="102"/>
      <c r="E40" s="102"/>
      <c r="F40" s="103"/>
      <c r="G40" s="19"/>
      <c r="H40" s="19"/>
      <c r="I40" s="19"/>
      <c r="J40" s="19"/>
      <c r="K40" s="101"/>
      <c r="L40" s="102"/>
      <c r="M40" s="102"/>
      <c r="N40" s="102"/>
      <c r="O40" s="102"/>
      <c r="P40" s="102"/>
      <c r="Q40" s="103"/>
      <c r="R40" s="19"/>
      <c r="S40" s="19"/>
      <c r="T40" s="19"/>
      <c r="U40" s="19"/>
    </row>
    <row r="41" spans="1:21" ht="18" customHeight="1" x14ac:dyDescent="0.15">
      <c r="B41" s="101"/>
      <c r="C41" s="102"/>
      <c r="D41" s="102"/>
      <c r="E41" s="102"/>
      <c r="F41" s="103"/>
      <c r="G41" s="19"/>
      <c r="H41" s="19"/>
      <c r="I41" s="19"/>
      <c r="J41" s="19"/>
      <c r="K41" s="101"/>
      <c r="L41" s="102"/>
      <c r="M41" s="102"/>
      <c r="N41" s="102"/>
      <c r="O41" s="102"/>
      <c r="P41" s="102"/>
      <c r="Q41" s="103"/>
      <c r="R41" s="19"/>
      <c r="S41" s="19"/>
      <c r="T41" s="19"/>
      <c r="U41" s="19"/>
    </row>
    <row r="42" spans="1:21" ht="18" customHeight="1" x14ac:dyDescent="0.15">
      <c r="B42" s="101"/>
      <c r="C42" s="102"/>
      <c r="D42" s="102"/>
      <c r="E42" s="102"/>
      <c r="F42" s="103"/>
      <c r="G42" s="19"/>
      <c r="H42" s="19"/>
      <c r="I42" s="19"/>
      <c r="J42" s="19"/>
      <c r="K42" s="101"/>
      <c r="L42" s="102"/>
      <c r="M42" s="102"/>
      <c r="N42" s="102"/>
      <c r="O42" s="102"/>
      <c r="P42" s="102"/>
      <c r="Q42" s="103"/>
      <c r="R42" s="19"/>
      <c r="S42" s="19"/>
      <c r="T42" s="19"/>
      <c r="U42" s="19"/>
    </row>
    <row r="43" spans="1:21" ht="18" customHeight="1" x14ac:dyDescent="0.15">
      <c r="B43" s="101"/>
      <c r="C43" s="102"/>
      <c r="D43" s="102"/>
      <c r="E43" s="102"/>
      <c r="F43" s="103"/>
      <c r="G43" s="19"/>
      <c r="H43" s="19"/>
      <c r="I43" s="19"/>
      <c r="J43" s="19"/>
      <c r="K43" s="101"/>
      <c r="L43" s="102"/>
      <c r="M43" s="102"/>
      <c r="N43" s="102"/>
      <c r="O43" s="102"/>
      <c r="P43" s="102"/>
      <c r="Q43" s="103"/>
      <c r="R43" s="19"/>
      <c r="S43" s="19"/>
      <c r="T43" s="19"/>
      <c r="U43" s="19"/>
    </row>
    <row r="44" spans="1:21" ht="18" customHeight="1" x14ac:dyDescent="0.15">
      <c r="B44" s="104"/>
      <c r="C44" s="105"/>
      <c r="D44" s="105"/>
      <c r="E44" s="105"/>
      <c r="F44" s="106"/>
      <c r="G44" s="20"/>
      <c r="H44" s="20"/>
      <c r="I44" s="21"/>
      <c r="J44" s="21"/>
      <c r="K44" s="104"/>
      <c r="L44" s="105"/>
      <c r="M44" s="105"/>
      <c r="N44" s="105"/>
      <c r="O44" s="105"/>
      <c r="P44" s="105"/>
      <c r="Q44" s="106"/>
      <c r="R44" s="20"/>
      <c r="S44" s="20"/>
      <c r="T44" s="21"/>
      <c r="U44" s="21"/>
    </row>
    <row r="45" spans="1:21" ht="7.5" customHeight="1" x14ac:dyDescent="0.15">
      <c r="A45" s="91"/>
      <c r="B45" s="6"/>
      <c r="C45" s="6"/>
      <c r="D45" s="6"/>
      <c r="E45" s="91"/>
      <c r="F45" s="91"/>
      <c r="G45" s="91"/>
      <c r="H45" s="91"/>
      <c r="I45" s="6"/>
      <c r="J45" s="6"/>
      <c r="K45" s="6"/>
      <c r="L45" s="6"/>
      <c r="M45" s="6"/>
      <c r="N45" s="6"/>
      <c r="O45" s="6"/>
      <c r="P45" s="6"/>
      <c r="Q45" s="6"/>
      <c r="R45" s="6"/>
      <c r="S45" s="6"/>
      <c r="T45" s="6"/>
      <c r="U45" s="91"/>
    </row>
    <row r="46" spans="1:21" ht="18" customHeight="1" x14ac:dyDescent="0.15">
      <c r="A46" s="112" t="s">
        <v>103</v>
      </c>
      <c r="B46" s="112"/>
      <c r="C46" s="112"/>
      <c r="D46" s="112"/>
      <c r="E46" s="112"/>
      <c r="F46" s="112"/>
      <c r="G46" s="112"/>
      <c r="H46" s="112"/>
      <c r="I46" s="112"/>
      <c r="J46" s="112"/>
      <c r="K46" s="112"/>
      <c r="L46" s="112"/>
      <c r="M46" s="112"/>
      <c r="N46" s="112"/>
      <c r="O46" s="112"/>
      <c r="P46" s="112"/>
      <c r="Q46" s="112"/>
      <c r="R46" s="112"/>
      <c r="S46" s="112"/>
      <c r="T46" s="112"/>
      <c r="U46" s="112"/>
    </row>
    <row r="47" spans="1:21" ht="18" customHeight="1" x14ac:dyDescent="0.15">
      <c r="A47" s="112"/>
      <c r="B47" s="112"/>
      <c r="C47" s="112"/>
      <c r="D47" s="112"/>
      <c r="E47" s="112"/>
      <c r="F47" s="112"/>
      <c r="G47" s="112"/>
      <c r="H47" s="112"/>
      <c r="I47" s="112"/>
      <c r="J47" s="112"/>
      <c r="K47" s="112"/>
      <c r="L47" s="112"/>
      <c r="M47" s="112"/>
      <c r="N47" s="112"/>
      <c r="O47" s="112"/>
      <c r="P47" s="112"/>
      <c r="Q47" s="112"/>
      <c r="R47" s="112"/>
      <c r="S47" s="112"/>
      <c r="T47" s="112"/>
      <c r="U47" s="112"/>
    </row>
    <row r="48" spans="1:21" ht="18" customHeight="1" x14ac:dyDescent="0.15">
      <c r="B48" s="98" t="s">
        <v>51</v>
      </c>
      <c r="C48" s="99"/>
      <c r="D48" s="99"/>
      <c r="E48" s="99"/>
      <c r="F48" s="100"/>
      <c r="G48" s="51" t="s">
        <v>77</v>
      </c>
      <c r="H48" s="50" t="s">
        <v>80</v>
      </c>
      <c r="I48" s="17" t="s">
        <v>70</v>
      </c>
      <c r="J48" s="17" t="s">
        <v>71</v>
      </c>
      <c r="K48" s="98" t="s">
        <v>51</v>
      </c>
      <c r="L48" s="99"/>
      <c r="M48" s="99"/>
      <c r="N48" s="99"/>
      <c r="O48" s="99"/>
      <c r="P48" s="99"/>
      <c r="Q48" s="100"/>
      <c r="R48" s="51" t="s">
        <v>77</v>
      </c>
      <c r="S48" s="50" t="s">
        <v>80</v>
      </c>
      <c r="T48" s="17" t="s">
        <v>70</v>
      </c>
      <c r="U48" s="17" t="s">
        <v>71</v>
      </c>
    </row>
    <row r="49" spans="1:21" ht="18" customHeight="1" x14ac:dyDescent="0.15">
      <c r="A49" s="91"/>
      <c r="B49" s="109" t="s">
        <v>187</v>
      </c>
      <c r="C49" s="110"/>
      <c r="D49" s="110"/>
      <c r="E49" s="110"/>
      <c r="F49" s="111"/>
      <c r="G49" s="18">
        <v>2</v>
      </c>
      <c r="H49" s="18" t="s">
        <v>138</v>
      </c>
      <c r="I49" s="18" t="s">
        <v>138</v>
      </c>
      <c r="J49" s="18" t="s">
        <v>138</v>
      </c>
      <c r="K49" s="109"/>
      <c r="L49" s="110"/>
      <c r="M49" s="110"/>
      <c r="N49" s="110"/>
      <c r="O49" s="110"/>
      <c r="P49" s="110"/>
      <c r="Q49" s="111"/>
      <c r="R49" s="18"/>
      <c r="S49" s="18"/>
      <c r="T49" s="18"/>
      <c r="U49" s="18"/>
    </row>
    <row r="50" spans="1:21" ht="18" customHeight="1" x14ac:dyDescent="0.15">
      <c r="A50" s="91"/>
      <c r="B50" s="101"/>
      <c r="C50" s="102"/>
      <c r="D50" s="102"/>
      <c r="E50" s="102"/>
      <c r="F50" s="103"/>
      <c r="G50" s="19"/>
      <c r="H50" s="19"/>
      <c r="I50" s="19"/>
      <c r="J50" s="19"/>
      <c r="K50" s="101"/>
      <c r="L50" s="102"/>
      <c r="M50" s="102"/>
      <c r="N50" s="102"/>
      <c r="O50" s="102"/>
      <c r="P50" s="102"/>
      <c r="Q50" s="103"/>
      <c r="R50" s="19"/>
      <c r="S50" s="19"/>
      <c r="T50" s="19"/>
      <c r="U50" s="19"/>
    </row>
    <row r="51" spans="1:21" ht="18" customHeight="1" x14ac:dyDescent="0.15">
      <c r="A51" s="91"/>
      <c r="B51" s="101"/>
      <c r="C51" s="102"/>
      <c r="D51" s="102"/>
      <c r="E51" s="102"/>
      <c r="F51" s="103"/>
      <c r="G51" s="19"/>
      <c r="H51" s="19"/>
      <c r="I51" s="19"/>
      <c r="J51" s="19"/>
      <c r="K51" s="101"/>
      <c r="L51" s="102"/>
      <c r="M51" s="102"/>
      <c r="N51" s="102"/>
      <c r="O51" s="102"/>
      <c r="P51" s="102"/>
      <c r="Q51" s="103"/>
      <c r="R51" s="19"/>
      <c r="S51" s="19"/>
      <c r="T51" s="19"/>
      <c r="U51" s="19"/>
    </row>
    <row r="52" spans="1:21" ht="18" customHeight="1" x14ac:dyDescent="0.15">
      <c r="A52" s="91"/>
      <c r="B52" s="101"/>
      <c r="C52" s="102"/>
      <c r="D52" s="102"/>
      <c r="E52" s="102"/>
      <c r="F52" s="103"/>
      <c r="G52" s="19"/>
      <c r="H52" s="19"/>
      <c r="I52" s="19"/>
      <c r="J52" s="19"/>
      <c r="K52" s="101"/>
      <c r="L52" s="102"/>
      <c r="M52" s="102"/>
      <c r="N52" s="102"/>
      <c r="O52" s="102"/>
      <c r="P52" s="102"/>
      <c r="Q52" s="103"/>
      <c r="R52" s="19"/>
      <c r="S52" s="19"/>
      <c r="T52" s="19"/>
      <c r="U52" s="19"/>
    </row>
    <row r="53" spans="1:21" ht="18" customHeight="1" x14ac:dyDescent="0.15">
      <c r="A53" s="91"/>
      <c r="B53" s="101"/>
      <c r="C53" s="102"/>
      <c r="D53" s="102"/>
      <c r="E53" s="102"/>
      <c r="F53" s="103"/>
      <c r="G53" s="19"/>
      <c r="H53" s="19"/>
      <c r="I53" s="19"/>
      <c r="J53" s="19"/>
      <c r="K53" s="101"/>
      <c r="L53" s="102"/>
      <c r="M53" s="102"/>
      <c r="N53" s="102"/>
      <c r="O53" s="102"/>
      <c r="P53" s="102"/>
      <c r="Q53" s="103"/>
      <c r="R53" s="19"/>
      <c r="S53" s="19"/>
      <c r="T53" s="19"/>
      <c r="U53" s="19"/>
    </row>
    <row r="54" spans="1:21" ht="18" customHeight="1" x14ac:dyDescent="0.15">
      <c r="A54" s="91"/>
      <c r="B54" s="101"/>
      <c r="C54" s="102"/>
      <c r="D54" s="102"/>
      <c r="E54" s="102"/>
      <c r="F54" s="103"/>
      <c r="G54" s="19"/>
      <c r="H54" s="19"/>
      <c r="I54" s="19"/>
      <c r="J54" s="19"/>
      <c r="K54" s="101"/>
      <c r="L54" s="102"/>
      <c r="M54" s="102"/>
      <c r="N54" s="102"/>
      <c r="O54" s="102"/>
      <c r="P54" s="102"/>
      <c r="Q54" s="103"/>
      <c r="R54" s="19"/>
      <c r="S54" s="19"/>
      <c r="T54" s="19"/>
      <c r="U54" s="19"/>
    </row>
    <row r="55" spans="1:21" ht="18" customHeight="1" x14ac:dyDescent="0.15">
      <c r="A55" s="91"/>
      <c r="B55" s="104"/>
      <c r="C55" s="105"/>
      <c r="D55" s="105"/>
      <c r="E55" s="105"/>
      <c r="F55" s="106"/>
      <c r="G55" s="20"/>
      <c r="H55" s="20"/>
      <c r="I55" s="21"/>
      <c r="J55" s="21"/>
      <c r="K55" s="104"/>
      <c r="L55" s="105"/>
      <c r="M55" s="105"/>
      <c r="N55" s="105"/>
      <c r="O55" s="105"/>
      <c r="P55" s="105"/>
      <c r="Q55" s="106"/>
      <c r="R55" s="20"/>
      <c r="S55" s="20"/>
      <c r="T55" s="21"/>
      <c r="U55" s="21"/>
    </row>
    <row r="56" spans="1:21" ht="7.5" customHeight="1" x14ac:dyDescent="0.15">
      <c r="B56" s="93"/>
      <c r="C56" s="93"/>
      <c r="D56" s="93"/>
      <c r="E56" s="93"/>
      <c r="F56" s="93"/>
      <c r="G56" s="93"/>
      <c r="H56" s="93"/>
      <c r="I56" s="93"/>
      <c r="J56" s="93"/>
      <c r="K56" s="93"/>
      <c r="L56" s="93"/>
      <c r="M56" s="93"/>
      <c r="N56" s="93"/>
      <c r="O56" s="93"/>
      <c r="P56" s="93"/>
      <c r="Q56" s="93"/>
      <c r="R56" s="93"/>
      <c r="S56" s="93"/>
      <c r="T56" s="93"/>
    </row>
    <row r="57" spans="1:21" ht="18" customHeight="1" x14ac:dyDescent="0.15">
      <c r="A57" s="112" t="s">
        <v>104</v>
      </c>
      <c r="B57" s="112"/>
      <c r="C57" s="112"/>
      <c r="D57" s="112"/>
      <c r="E57" s="112"/>
      <c r="F57" s="112"/>
      <c r="G57" s="112"/>
      <c r="H57" s="112"/>
      <c r="I57" s="112"/>
      <c r="J57" s="112"/>
      <c r="K57" s="112"/>
      <c r="L57" s="112"/>
      <c r="M57" s="112"/>
      <c r="N57" s="112"/>
      <c r="O57" s="112"/>
      <c r="P57" s="112"/>
      <c r="Q57" s="112"/>
      <c r="R57" s="112"/>
      <c r="S57" s="112"/>
      <c r="T57" s="112"/>
      <c r="U57" s="112"/>
    </row>
    <row r="58" spans="1:21" ht="18" customHeight="1" x14ac:dyDescent="0.15">
      <c r="A58" s="112"/>
      <c r="B58" s="112"/>
      <c r="C58" s="112"/>
      <c r="D58" s="112"/>
      <c r="E58" s="112"/>
      <c r="F58" s="112"/>
      <c r="G58" s="112"/>
      <c r="H58" s="112"/>
      <c r="I58" s="112"/>
      <c r="J58" s="112"/>
      <c r="K58" s="112"/>
      <c r="L58" s="112"/>
      <c r="M58" s="112"/>
      <c r="N58" s="112"/>
      <c r="O58" s="112"/>
      <c r="P58" s="112"/>
      <c r="Q58" s="112"/>
      <c r="R58" s="112"/>
      <c r="S58" s="112"/>
      <c r="T58" s="112"/>
      <c r="U58" s="112"/>
    </row>
    <row r="59" spans="1:21" ht="18" customHeight="1" x14ac:dyDescent="0.15">
      <c r="B59" s="98" t="s">
        <v>51</v>
      </c>
      <c r="C59" s="99"/>
      <c r="D59" s="99"/>
      <c r="E59" s="99"/>
      <c r="F59" s="100"/>
      <c r="G59" s="51" t="s">
        <v>77</v>
      </c>
      <c r="H59" s="50" t="s">
        <v>80</v>
      </c>
      <c r="I59" s="17" t="s">
        <v>56</v>
      </c>
      <c r="J59" s="17" t="s">
        <v>58</v>
      </c>
      <c r="K59" s="98" t="s">
        <v>51</v>
      </c>
      <c r="L59" s="99"/>
      <c r="M59" s="99"/>
      <c r="N59" s="99"/>
      <c r="O59" s="99"/>
      <c r="P59" s="99"/>
      <c r="Q59" s="100"/>
      <c r="R59" s="51" t="s">
        <v>77</v>
      </c>
      <c r="S59" s="50" t="s">
        <v>80</v>
      </c>
      <c r="T59" s="17" t="s">
        <v>56</v>
      </c>
      <c r="U59" s="17" t="s">
        <v>58</v>
      </c>
    </row>
    <row r="60" spans="1:21" ht="18" customHeight="1" x14ac:dyDescent="0.15">
      <c r="A60" s="91"/>
      <c r="B60" s="109" t="s">
        <v>187</v>
      </c>
      <c r="C60" s="110"/>
      <c r="D60" s="110"/>
      <c r="E60" s="110"/>
      <c r="F60" s="111"/>
      <c r="G60" s="18">
        <v>2</v>
      </c>
      <c r="H60" s="18" t="s">
        <v>138</v>
      </c>
      <c r="I60" s="18" t="s">
        <v>138</v>
      </c>
      <c r="J60" s="18" t="s">
        <v>138</v>
      </c>
      <c r="K60" s="109"/>
      <c r="L60" s="110"/>
      <c r="M60" s="110"/>
      <c r="N60" s="110"/>
      <c r="O60" s="110"/>
      <c r="P60" s="110"/>
      <c r="Q60" s="111"/>
      <c r="R60" s="18"/>
      <c r="S60" s="18"/>
      <c r="T60" s="18"/>
      <c r="U60" s="18"/>
    </row>
    <row r="61" spans="1:21" ht="18" customHeight="1" x14ac:dyDescent="0.15">
      <c r="A61" s="91"/>
      <c r="B61" s="101"/>
      <c r="C61" s="102"/>
      <c r="D61" s="102"/>
      <c r="E61" s="102"/>
      <c r="F61" s="103"/>
      <c r="G61" s="19"/>
      <c r="H61" s="19"/>
      <c r="I61" s="19"/>
      <c r="J61" s="19"/>
      <c r="K61" s="101"/>
      <c r="L61" s="102"/>
      <c r="M61" s="102"/>
      <c r="N61" s="102"/>
      <c r="O61" s="102"/>
      <c r="P61" s="102"/>
      <c r="Q61" s="103"/>
      <c r="R61" s="19"/>
      <c r="S61" s="19"/>
      <c r="T61" s="19"/>
      <c r="U61" s="19"/>
    </row>
    <row r="62" spans="1:21" ht="18" customHeight="1" x14ac:dyDescent="0.15">
      <c r="A62" s="91"/>
      <c r="B62" s="101"/>
      <c r="C62" s="102"/>
      <c r="D62" s="102"/>
      <c r="E62" s="102"/>
      <c r="F62" s="103"/>
      <c r="G62" s="19"/>
      <c r="H62" s="19"/>
      <c r="I62" s="19"/>
      <c r="J62" s="19"/>
      <c r="K62" s="101"/>
      <c r="L62" s="102"/>
      <c r="M62" s="102"/>
      <c r="N62" s="102"/>
      <c r="O62" s="102"/>
      <c r="P62" s="102"/>
      <c r="Q62" s="103"/>
      <c r="R62" s="19"/>
      <c r="S62" s="19"/>
      <c r="T62" s="19"/>
      <c r="U62" s="19"/>
    </row>
    <row r="63" spans="1:21" ht="18" customHeight="1" x14ac:dyDescent="0.15">
      <c r="A63" s="91"/>
      <c r="B63" s="101"/>
      <c r="C63" s="102"/>
      <c r="D63" s="102"/>
      <c r="E63" s="102"/>
      <c r="F63" s="103"/>
      <c r="G63" s="19"/>
      <c r="H63" s="19"/>
      <c r="I63" s="19"/>
      <c r="J63" s="19"/>
      <c r="K63" s="101"/>
      <c r="L63" s="102"/>
      <c r="M63" s="102"/>
      <c r="N63" s="102"/>
      <c r="O63" s="102"/>
      <c r="P63" s="102"/>
      <c r="Q63" s="103"/>
      <c r="R63" s="19"/>
      <c r="S63" s="19"/>
      <c r="T63" s="19"/>
      <c r="U63" s="19"/>
    </row>
    <row r="64" spans="1:21" ht="18" customHeight="1" x14ac:dyDescent="0.15">
      <c r="A64" s="91"/>
      <c r="B64" s="101"/>
      <c r="C64" s="102"/>
      <c r="D64" s="102"/>
      <c r="E64" s="102"/>
      <c r="F64" s="103"/>
      <c r="G64" s="19"/>
      <c r="H64" s="19"/>
      <c r="I64" s="19"/>
      <c r="J64" s="19"/>
      <c r="K64" s="101"/>
      <c r="L64" s="102"/>
      <c r="M64" s="102"/>
      <c r="N64" s="102"/>
      <c r="O64" s="102"/>
      <c r="P64" s="102"/>
      <c r="Q64" s="103"/>
      <c r="R64" s="19"/>
      <c r="S64" s="19"/>
      <c r="T64" s="19"/>
      <c r="U64" s="19"/>
    </row>
    <row r="65" spans="1:21" ht="18" customHeight="1" x14ac:dyDescent="0.15">
      <c r="A65" s="91"/>
      <c r="B65" s="101"/>
      <c r="C65" s="102"/>
      <c r="D65" s="102"/>
      <c r="E65" s="102"/>
      <c r="F65" s="103"/>
      <c r="G65" s="19"/>
      <c r="H65" s="19"/>
      <c r="I65" s="19"/>
      <c r="J65" s="19"/>
      <c r="K65" s="101"/>
      <c r="L65" s="102"/>
      <c r="M65" s="102"/>
      <c r="N65" s="102"/>
      <c r="O65" s="102"/>
      <c r="P65" s="102"/>
      <c r="Q65" s="103"/>
      <c r="R65" s="19"/>
      <c r="S65" s="19"/>
      <c r="T65" s="19"/>
      <c r="U65" s="19"/>
    </row>
    <row r="66" spans="1:21" ht="18" customHeight="1" x14ac:dyDescent="0.15">
      <c r="A66" s="91"/>
      <c r="B66" s="104"/>
      <c r="C66" s="105"/>
      <c r="D66" s="105"/>
      <c r="E66" s="105"/>
      <c r="F66" s="106"/>
      <c r="G66" s="20"/>
      <c r="H66" s="20"/>
      <c r="I66" s="21"/>
      <c r="J66" s="21"/>
      <c r="K66" s="104"/>
      <c r="L66" s="105"/>
      <c r="M66" s="105"/>
      <c r="N66" s="105"/>
      <c r="O66" s="105"/>
      <c r="P66" s="105"/>
      <c r="Q66" s="106"/>
      <c r="R66" s="20"/>
      <c r="S66" s="20"/>
      <c r="T66" s="21"/>
      <c r="U66" s="21"/>
    </row>
    <row r="67" spans="1:21" ht="7.5" customHeight="1" x14ac:dyDescent="0.15">
      <c r="B67" s="93"/>
      <c r="C67" s="93"/>
      <c r="D67" s="93"/>
      <c r="E67" s="93"/>
      <c r="F67" s="93"/>
      <c r="G67" s="93"/>
      <c r="H67" s="93"/>
      <c r="I67" s="93"/>
      <c r="J67" s="93"/>
      <c r="K67" s="93"/>
      <c r="L67" s="93"/>
      <c r="M67" s="93"/>
      <c r="N67" s="93"/>
      <c r="O67" s="93"/>
      <c r="P67" s="93"/>
      <c r="Q67" s="93"/>
      <c r="R67" s="93"/>
      <c r="S67" s="93"/>
      <c r="T67" s="93"/>
    </row>
    <row r="68" spans="1:21" ht="18" customHeight="1" x14ac:dyDescent="0.15">
      <c r="A68" s="112" t="s">
        <v>105</v>
      </c>
      <c r="B68" s="112"/>
      <c r="C68" s="112"/>
      <c r="D68" s="112"/>
      <c r="E68" s="112"/>
      <c r="F68" s="112"/>
      <c r="G68" s="112"/>
      <c r="H68" s="112"/>
      <c r="I68" s="112"/>
      <c r="J68" s="112"/>
      <c r="K68" s="112"/>
      <c r="L68" s="112"/>
      <c r="M68" s="112"/>
      <c r="N68" s="112"/>
      <c r="O68" s="112"/>
      <c r="P68" s="112"/>
      <c r="Q68" s="112"/>
      <c r="R68" s="112"/>
      <c r="S68" s="112"/>
      <c r="T68" s="112"/>
      <c r="U68" s="112"/>
    </row>
    <row r="69" spans="1:21" ht="18" customHeight="1" x14ac:dyDescent="0.15">
      <c r="A69" s="112"/>
      <c r="B69" s="112"/>
      <c r="C69" s="112"/>
      <c r="D69" s="112"/>
      <c r="E69" s="112"/>
      <c r="F69" s="112"/>
      <c r="G69" s="112"/>
      <c r="H69" s="112"/>
      <c r="I69" s="112"/>
      <c r="J69" s="112"/>
      <c r="K69" s="112"/>
      <c r="L69" s="112"/>
      <c r="M69" s="112"/>
      <c r="N69" s="112"/>
      <c r="O69" s="112"/>
      <c r="P69" s="112"/>
      <c r="Q69" s="112"/>
      <c r="R69" s="112"/>
      <c r="S69" s="112"/>
      <c r="T69" s="112"/>
      <c r="U69" s="112"/>
    </row>
    <row r="70" spans="1:21" ht="18" customHeight="1" x14ac:dyDescent="0.15">
      <c r="B70" s="98" t="s">
        <v>51</v>
      </c>
      <c r="C70" s="99"/>
      <c r="D70" s="99"/>
      <c r="E70" s="99"/>
      <c r="F70" s="51" t="s">
        <v>77</v>
      </c>
      <c r="G70" s="50" t="s">
        <v>80</v>
      </c>
      <c r="H70" s="17" t="s">
        <v>92</v>
      </c>
      <c r="I70" s="17" t="s">
        <v>72</v>
      </c>
      <c r="J70" s="17" t="s">
        <v>73</v>
      </c>
      <c r="K70" s="98" t="s">
        <v>51</v>
      </c>
      <c r="L70" s="99"/>
      <c r="M70" s="99"/>
      <c r="N70" s="99"/>
      <c r="O70" s="99"/>
      <c r="P70" s="100"/>
      <c r="Q70" s="51" t="s">
        <v>77</v>
      </c>
      <c r="R70" s="50" t="s">
        <v>80</v>
      </c>
      <c r="S70" s="17" t="s">
        <v>92</v>
      </c>
      <c r="T70" s="17" t="s">
        <v>72</v>
      </c>
      <c r="U70" s="17" t="s">
        <v>73</v>
      </c>
    </row>
    <row r="71" spans="1:21" ht="18" customHeight="1" x14ac:dyDescent="0.15">
      <c r="A71" s="91"/>
      <c r="B71" s="109" t="s">
        <v>187</v>
      </c>
      <c r="C71" s="110"/>
      <c r="D71" s="110"/>
      <c r="E71" s="110"/>
      <c r="F71" s="18">
        <v>2</v>
      </c>
      <c r="G71" s="18" t="s">
        <v>138</v>
      </c>
      <c r="H71" s="18" t="s">
        <v>138</v>
      </c>
      <c r="I71" s="18" t="s">
        <v>138</v>
      </c>
      <c r="J71" s="18" t="s">
        <v>138</v>
      </c>
      <c r="K71" s="109"/>
      <c r="L71" s="110"/>
      <c r="M71" s="110"/>
      <c r="N71" s="110"/>
      <c r="O71" s="110"/>
      <c r="P71" s="111"/>
      <c r="Q71" s="18"/>
      <c r="R71" s="18"/>
      <c r="S71" s="18"/>
      <c r="T71" s="18"/>
      <c r="U71" s="18"/>
    </row>
    <row r="72" spans="1:21" ht="18" customHeight="1" x14ac:dyDescent="0.15">
      <c r="A72" s="91"/>
      <c r="B72" s="101"/>
      <c r="C72" s="102"/>
      <c r="D72" s="102"/>
      <c r="E72" s="102"/>
      <c r="F72" s="19"/>
      <c r="G72" s="19"/>
      <c r="H72" s="19"/>
      <c r="I72" s="19"/>
      <c r="J72" s="19"/>
      <c r="K72" s="101"/>
      <c r="L72" s="102"/>
      <c r="M72" s="102"/>
      <c r="N72" s="102"/>
      <c r="O72" s="102"/>
      <c r="P72" s="103"/>
      <c r="Q72" s="19"/>
      <c r="R72" s="19"/>
      <c r="S72" s="19"/>
      <c r="T72" s="19"/>
      <c r="U72" s="19"/>
    </row>
    <row r="73" spans="1:21" ht="18" customHeight="1" x14ac:dyDescent="0.15">
      <c r="A73" s="91"/>
      <c r="B73" s="101"/>
      <c r="C73" s="102"/>
      <c r="D73" s="102"/>
      <c r="E73" s="102"/>
      <c r="F73" s="19"/>
      <c r="G73" s="19"/>
      <c r="H73" s="19"/>
      <c r="I73" s="19"/>
      <c r="J73" s="19"/>
      <c r="K73" s="101"/>
      <c r="L73" s="102"/>
      <c r="M73" s="102"/>
      <c r="N73" s="102"/>
      <c r="O73" s="102"/>
      <c r="P73" s="103"/>
      <c r="Q73" s="19"/>
      <c r="R73" s="19"/>
      <c r="S73" s="19"/>
      <c r="T73" s="19"/>
      <c r="U73" s="19"/>
    </row>
    <row r="74" spans="1:21" ht="18" customHeight="1" x14ac:dyDescent="0.15">
      <c r="A74" s="91"/>
      <c r="B74" s="101"/>
      <c r="C74" s="102"/>
      <c r="D74" s="102"/>
      <c r="E74" s="102"/>
      <c r="F74" s="19"/>
      <c r="G74" s="19"/>
      <c r="H74" s="19"/>
      <c r="I74" s="19"/>
      <c r="J74" s="19"/>
      <c r="K74" s="101"/>
      <c r="L74" s="102"/>
      <c r="M74" s="102"/>
      <c r="N74" s="102"/>
      <c r="O74" s="102"/>
      <c r="P74" s="103"/>
      <c r="Q74" s="19"/>
      <c r="R74" s="19"/>
      <c r="S74" s="19"/>
      <c r="T74" s="19"/>
      <c r="U74" s="19"/>
    </row>
    <row r="75" spans="1:21" ht="18" customHeight="1" x14ac:dyDescent="0.15">
      <c r="A75" s="91"/>
      <c r="B75" s="101"/>
      <c r="C75" s="102"/>
      <c r="D75" s="102"/>
      <c r="E75" s="102"/>
      <c r="F75" s="19"/>
      <c r="G75" s="19"/>
      <c r="H75" s="19"/>
      <c r="I75" s="19"/>
      <c r="J75" s="19"/>
      <c r="K75" s="101"/>
      <c r="L75" s="102"/>
      <c r="M75" s="102"/>
      <c r="N75" s="102"/>
      <c r="O75" s="102"/>
      <c r="P75" s="103"/>
      <c r="Q75" s="19"/>
      <c r="R75" s="19"/>
      <c r="S75" s="19"/>
      <c r="T75" s="19"/>
      <c r="U75" s="19"/>
    </row>
    <row r="76" spans="1:21" ht="18" customHeight="1" x14ac:dyDescent="0.15">
      <c r="A76" s="91"/>
      <c r="B76" s="101"/>
      <c r="C76" s="102"/>
      <c r="D76" s="102"/>
      <c r="E76" s="102"/>
      <c r="F76" s="19"/>
      <c r="G76" s="19"/>
      <c r="H76" s="19"/>
      <c r="I76" s="19"/>
      <c r="J76" s="19"/>
      <c r="K76" s="101"/>
      <c r="L76" s="102"/>
      <c r="M76" s="102"/>
      <c r="N76" s="102"/>
      <c r="O76" s="102"/>
      <c r="P76" s="103"/>
      <c r="Q76" s="19"/>
      <c r="R76" s="19"/>
      <c r="S76" s="19"/>
      <c r="T76" s="19"/>
      <c r="U76" s="19"/>
    </row>
    <row r="77" spans="1:21" ht="18" customHeight="1" x14ac:dyDescent="0.15">
      <c r="A77" s="91"/>
      <c r="B77" s="104"/>
      <c r="C77" s="105"/>
      <c r="D77" s="105"/>
      <c r="E77" s="105"/>
      <c r="F77" s="20"/>
      <c r="G77" s="20"/>
      <c r="H77" s="21"/>
      <c r="I77" s="21"/>
      <c r="J77" s="21"/>
      <c r="K77" s="104"/>
      <c r="L77" s="105"/>
      <c r="M77" s="105"/>
      <c r="N77" s="105"/>
      <c r="O77" s="105"/>
      <c r="P77" s="106"/>
      <c r="Q77" s="20"/>
      <c r="R77" s="20"/>
      <c r="S77" s="21"/>
      <c r="T77" s="21"/>
      <c r="U77" s="21"/>
    </row>
    <row r="78" spans="1:21" ht="7.5" customHeight="1" x14ac:dyDescent="0.15">
      <c r="B78" s="93"/>
      <c r="C78" s="93"/>
      <c r="D78" s="93"/>
      <c r="E78" s="93"/>
      <c r="F78" s="93"/>
      <c r="G78" s="93"/>
      <c r="H78" s="93"/>
      <c r="I78" s="93"/>
      <c r="J78" s="93"/>
      <c r="K78" s="93"/>
      <c r="L78" s="93"/>
      <c r="M78" s="93"/>
      <c r="N78" s="93"/>
      <c r="O78" s="93"/>
      <c r="P78" s="93"/>
      <c r="Q78" s="93"/>
      <c r="R78" s="93"/>
      <c r="S78" s="93"/>
      <c r="T78" s="93"/>
    </row>
    <row r="79" spans="1:21" ht="18" customHeight="1" x14ac:dyDescent="0.15">
      <c r="A79" s="92" t="s">
        <v>106</v>
      </c>
      <c r="I79" s="91"/>
      <c r="J79" s="91"/>
      <c r="K79" s="91"/>
      <c r="L79" s="91"/>
      <c r="M79" s="91"/>
      <c r="N79" s="91"/>
      <c r="O79" s="91"/>
      <c r="P79" s="91"/>
      <c r="Q79" s="91"/>
      <c r="R79" s="91"/>
      <c r="S79" s="91"/>
      <c r="T79" s="91"/>
      <c r="U79" s="91"/>
    </row>
    <row r="80" spans="1:21" ht="18" customHeight="1" x14ac:dyDescent="0.15">
      <c r="B80" s="98" t="s">
        <v>51</v>
      </c>
      <c r="C80" s="99"/>
      <c r="D80" s="99"/>
      <c r="E80" s="99"/>
      <c r="F80" s="100"/>
      <c r="G80" s="98" t="s">
        <v>78</v>
      </c>
      <c r="H80" s="99"/>
      <c r="I80" s="99"/>
      <c r="J80" s="100"/>
      <c r="K80" s="118" t="s">
        <v>51</v>
      </c>
      <c r="L80" s="119"/>
      <c r="M80" s="119"/>
      <c r="N80" s="119"/>
      <c r="O80" s="119"/>
      <c r="P80" s="119"/>
      <c r="Q80" s="120"/>
      <c r="R80" s="98" t="s">
        <v>78</v>
      </c>
      <c r="S80" s="99"/>
      <c r="T80" s="99"/>
      <c r="U80" s="100"/>
    </row>
    <row r="81" spans="1:21" ht="18" customHeight="1" x14ac:dyDescent="0.15">
      <c r="A81" s="91"/>
      <c r="B81" s="109" t="s">
        <v>187</v>
      </c>
      <c r="C81" s="110"/>
      <c r="D81" s="110"/>
      <c r="E81" s="110"/>
      <c r="F81" s="111"/>
      <c r="G81" s="113" t="s">
        <v>140</v>
      </c>
      <c r="H81" s="114"/>
      <c r="I81" s="114"/>
      <c r="J81" s="115"/>
      <c r="K81" s="109"/>
      <c r="L81" s="110"/>
      <c r="M81" s="110"/>
      <c r="N81" s="110"/>
      <c r="O81" s="110"/>
      <c r="P81" s="110"/>
      <c r="Q81" s="111"/>
      <c r="R81" s="113"/>
      <c r="S81" s="114"/>
      <c r="T81" s="114"/>
      <c r="U81" s="115"/>
    </row>
    <row r="82" spans="1:21" ht="18" customHeight="1" x14ac:dyDescent="0.15">
      <c r="A82" s="91"/>
      <c r="B82" s="101"/>
      <c r="C82" s="102"/>
      <c r="D82" s="102"/>
      <c r="E82" s="102"/>
      <c r="F82" s="103"/>
      <c r="G82" s="95"/>
      <c r="H82" s="96"/>
      <c r="I82" s="96"/>
      <c r="J82" s="97"/>
      <c r="K82" s="101"/>
      <c r="L82" s="102"/>
      <c r="M82" s="102"/>
      <c r="N82" s="102"/>
      <c r="O82" s="102"/>
      <c r="P82" s="102"/>
      <c r="Q82" s="103"/>
      <c r="R82" s="95"/>
      <c r="S82" s="96"/>
      <c r="T82" s="96"/>
      <c r="U82" s="97"/>
    </row>
    <row r="83" spans="1:21" ht="18" customHeight="1" x14ac:dyDescent="0.15">
      <c r="A83" s="91"/>
      <c r="B83" s="101"/>
      <c r="C83" s="102"/>
      <c r="D83" s="102"/>
      <c r="E83" s="102"/>
      <c r="F83" s="103"/>
      <c r="G83" s="95"/>
      <c r="H83" s="96"/>
      <c r="I83" s="96"/>
      <c r="J83" s="97"/>
      <c r="K83" s="101"/>
      <c r="L83" s="102"/>
      <c r="M83" s="102"/>
      <c r="N83" s="102"/>
      <c r="O83" s="102"/>
      <c r="P83" s="102"/>
      <c r="Q83" s="103"/>
      <c r="R83" s="95"/>
      <c r="S83" s="96"/>
      <c r="T83" s="96"/>
      <c r="U83" s="97"/>
    </row>
    <row r="84" spans="1:21" ht="18" customHeight="1" x14ac:dyDescent="0.15">
      <c r="A84" s="91"/>
      <c r="B84" s="101"/>
      <c r="C84" s="102"/>
      <c r="D84" s="102"/>
      <c r="E84" s="102"/>
      <c r="F84" s="103"/>
      <c r="G84" s="95"/>
      <c r="H84" s="96"/>
      <c r="I84" s="96"/>
      <c r="J84" s="97"/>
      <c r="K84" s="101"/>
      <c r="L84" s="102"/>
      <c r="M84" s="102"/>
      <c r="N84" s="102"/>
      <c r="O84" s="102"/>
      <c r="P84" s="102"/>
      <c r="Q84" s="103"/>
      <c r="R84" s="95"/>
      <c r="S84" s="96"/>
      <c r="T84" s="96"/>
      <c r="U84" s="97"/>
    </row>
    <row r="85" spans="1:21" ht="18" customHeight="1" x14ac:dyDescent="0.15">
      <c r="A85" s="91"/>
      <c r="B85" s="101"/>
      <c r="C85" s="102"/>
      <c r="D85" s="102"/>
      <c r="E85" s="102"/>
      <c r="F85" s="103"/>
      <c r="G85" s="95"/>
      <c r="H85" s="96"/>
      <c r="I85" s="96"/>
      <c r="J85" s="97"/>
      <c r="K85" s="101"/>
      <c r="L85" s="102"/>
      <c r="M85" s="102"/>
      <c r="N85" s="102"/>
      <c r="O85" s="102"/>
      <c r="P85" s="102"/>
      <c r="Q85" s="103"/>
      <c r="R85" s="95"/>
      <c r="S85" s="96"/>
      <c r="T85" s="96"/>
      <c r="U85" s="97"/>
    </row>
    <row r="86" spans="1:21" ht="18" customHeight="1" x14ac:dyDescent="0.15">
      <c r="A86" s="91"/>
      <c r="B86" s="101"/>
      <c r="C86" s="102"/>
      <c r="D86" s="102"/>
      <c r="E86" s="102"/>
      <c r="F86" s="103"/>
      <c r="G86" s="95"/>
      <c r="H86" s="96"/>
      <c r="I86" s="96"/>
      <c r="J86" s="97"/>
      <c r="K86" s="101"/>
      <c r="L86" s="102"/>
      <c r="M86" s="102"/>
      <c r="N86" s="102"/>
      <c r="O86" s="102"/>
      <c r="P86" s="102"/>
      <c r="Q86" s="103"/>
      <c r="R86" s="95"/>
      <c r="S86" s="96"/>
      <c r="T86" s="96"/>
      <c r="U86" s="97"/>
    </row>
    <row r="87" spans="1:21" ht="18" customHeight="1" x14ac:dyDescent="0.15">
      <c r="A87" s="91"/>
      <c r="B87" s="104"/>
      <c r="C87" s="105"/>
      <c r="D87" s="105"/>
      <c r="E87" s="105"/>
      <c r="F87" s="106"/>
      <c r="G87" s="136"/>
      <c r="H87" s="137"/>
      <c r="I87" s="137"/>
      <c r="J87" s="138"/>
      <c r="K87" s="104"/>
      <c r="L87" s="105"/>
      <c r="M87" s="105"/>
      <c r="N87" s="105"/>
      <c r="O87" s="105"/>
      <c r="P87" s="105"/>
      <c r="Q87" s="106"/>
      <c r="R87" s="136"/>
      <c r="S87" s="137"/>
      <c r="T87" s="137"/>
      <c r="U87" s="138"/>
    </row>
    <row r="88" spans="1:21" ht="18" customHeight="1" x14ac:dyDescent="0.15">
      <c r="A88" s="91"/>
      <c r="B88" s="6"/>
      <c r="C88" s="6"/>
      <c r="D88" s="6"/>
      <c r="E88" s="6"/>
      <c r="F88" s="6"/>
      <c r="G88" s="22"/>
      <c r="H88" s="22"/>
      <c r="I88" s="22"/>
      <c r="J88" s="22"/>
      <c r="K88" s="6"/>
      <c r="L88" s="6"/>
      <c r="M88" s="6"/>
      <c r="N88" s="6"/>
      <c r="O88" s="6"/>
      <c r="P88" s="6"/>
      <c r="Q88" s="6"/>
      <c r="R88" s="22"/>
      <c r="S88" s="22"/>
      <c r="T88" s="22"/>
      <c r="U88" s="22"/>
    </row>
    <row r="89" spans="1:21" ht="18.75" customHeight="1" x14ac:dyDescent="0.15">
      <c r="A89" s="92" t="s">
        <v>107</v>
      </c>
    </row>
    <row r="90" spans="1:21" ht="18.75" customHeight="1" x14ac:dyDescent="0.15">
      <c r="B90" s="139" t="s">
        <v>52</v>
      </c>
      <c r="C90" s="140"/>
      <c r="D90" s="98" t="s">
        <v>53</v>
      </c>
      <c r="E90" s="99"/>
      <c r="F90" s="99"/>
      <c r="G90" s="99"/>
      <c r="H90" s="99"/>
      <c r="I90" s="99"/>
      <c r="J90" s="99"/>
      <c r="K90" s="99"/>
      <c r="L90" s="99"/>
      <c r="M90" s="99"/>
      <c r="N90" s="99"/>
      <c r="O90" s="99"/>
      <c r="P90" s="99"/>
      <c r="Q90" s="99"/>
      <c r="R90" s="99"/>
      <c r="S90" s="99"/>
      <c r="T90" s="99"/>
      <c r="U90" s="100"/>
    </row>
    <row r="91" spans="1:21" ht="97.5" customHeight="1" x14ac:dyDescent="0.15">
      <c r="B91" s="116" t="s">
        <v>59</v>
      </c>
      <c r="C91" s="23" t="s">
        <v>54</v>
      </c>
      <c r="D91" s="164" t="s">
        <v>188</v>
      </c>
      <c r="E91" s="165"/>
      <c r="F91" s="165"/>
      <c r="G91" s="165"/>
      <c r="H91" s="165"/>
      <c r="I91" s="165"/>
      <c r="J91" s="165"/>
      <c r="K91" s="165"/>
      <c r="L91" s="165"/>
      <c r="M91" s="165"/>
      <c r="N91" s="165"/>
      <c r="O91" s="165"/>
      <c r="P91" s="165"/>
      <c r="Q91" s="165"/>
      <c r="R91" s="165"/>
      <c r="S91" s="165"/>
      <c r="T91" s="165"/>
      <c r="U91" s="166"/>
    </row>
    <row r="92" spans="1:21" ht="97.5" customHeight="1" x14ac:dyDescent="0.15">
      <c r="B92" s="121"/>
      <c r="C92" s="24" t="s">
        <v>74</v>
      </c>
      <c r="D92" s="149" t="s">
        <v>189</v>
      </c>
      <c r="E92" s="150"/>
      <c r="F92" s="150"/>
      <c r="G92" s="150"/>
      <c r="H92" s="150"/>
      <c r="I92" s="150"/>
      <c r="J92" s="150"/>
      <c r="K92" s="150"/>
      <c r="L92" s="150"/>
      <c r="M92" s="150"/>
      <c r="N92" s="150"/>
      <c r="O92" s="150"/>
      <c r="P92" s="150"/>
      <c r="Q92" s="150"/>
      <c r="R92" s="150"/>
      <c r="S92" s="150"/>
      <c r="T92" s="150"/>
      <c r="U92" s="151"/>
    </row>
    <row r="93" spans="1:21" ht="97.5" customHeight="1" x14ac:dyDescent="0.15">
      <c r="B93" s="116" t="s">
        <v>60</v>
      </c>
      <c r="C93" s="25" t="s">
        <v>68</v>
      </c>
      <c r="D93" s="152" t="s">
        <v>190</v>
      </c>
      <c r="E93" s="153"/>
      <c r="F93" s="153"/>
      <c r="G93" s="153"/>
      <c r="H93" s="153"/>
      <c r="I93" s="153"/>
      <c r="J93" s="153"/>
      <c r="K93" s="153"/>
      <c r="L93" s="153"/>
      <c r="M93" s="153"/>
      <c r="N93" s="153"/>
      <c r="O93" s="153"/>
      <c r="P93" s="153"/>
      <c r="Q93" s="153"/>
      <c r="R93" s="153"/>
      <c r="S93" s="153"/>
      <c r="T93" s="153"/>
      <c r="U93" s="154"/>
    </row>
    <row r="94" spans="1:21" ht="97.5" customHeight="1" x14ac:dyDescent="0.15">
      <c r="B94" s="117"/>
      <c r="C94" s="26" t="s">
        <v>69</v>
      </c>
      <c r="D94" s="149" t="s">
        <v>191</v>
      </c>
      <c r="E94" s="150"/>
      <c r="F94" s="150"/>
      <c r="G94" s="150"/>
      <c r="H94" s="150"/>
      <c r="I94" s="150"/>
      <c r="J94" s="150"/>
      <c r="K94" s="150"/>
      <c r="L94" s="150"/>
      <c r="M94" s="150"/>
      <c r="N94" s="150"/>
      <c r="O94" s="150"/>
      <c r="P94" s="150"/>
      <c r="Q94" s="150"/>
      <c r="R94" s="150"/>
      <c r="S94" s="150"/>
      <c r="T94" s="150"/>
      <c r="U94" s="151"/>
    </row>
    <row r="95" spans="1:21" ht="97.5" customHeight="1" x14ac:dyDescent="0.15">
      <c r="B95" s="116" t="s">
        <v>61</v>
      </c>
      <c r="C95" s="25" t="s">
        <v>70</v>
      </c>
      <c r="D95" s="152" t="s">
        <v>192</v>
      </c>
      <c r="E95" s="153"/>
      <c r="F95" s="153"/>
      <c r="G95" s="153"/>
      <c r="H95" s="153"/>
      <c r="I95" s="153"/>
      <c r="J95" s="153"/>
      <c r="K95" s="153"/>
      <c r="L95" s="153"/>
      <c r="M95" s="153"/>
      <c r="N95" s="153"/>
      <c r="O95" s="153"/>
      <c r="P95" s="153"/>
      <c r="Q95" s="153"/>
      <c r="R95" s="153"/>
      <c r="S95" s="153"/>
      <c r="T95" s="153"/>
      <c r="U95" s="154"/>
    </row>
    <row r="96" spans="1:21" ht="97.5" customHeight="1" x14ac:dyDescent="0.15">
      <c r="B96" s="117"/>
      <c r="C96" s="27" t="s">
        <v>71</v>
      </c>
      <c r="D96" s="167" t="s">
        <v>193</v>
      </c>
      <c r="E96" s="168"/>
      <c r="F96" s="168"/>
      <c r="G96" s="168"/>
      <c r="H96" s="168"/>
      <c r="I96" s="168"/>
      <c r="J96" s="168"/>
      <c r="K96" s="168"/>
      <c r="L96" s="168"/>
      <c r="M96" s="168"/>
      <c r="N96" s="168"/>
      <c r="O96" s="168"/>
      <c r="P96" s="168"/>
      <c r="Q96" s="168"/>
      <c r="R96" s="168"/>
      <c r="S96" s="168"/>
      <c r="T96" s="168"/>
      <c r="U96" s="169"/>
    </row>
    <row r="97" spans="1:33" ht="97.5" customHeight="1" x14ac:dyDescent="0.15">
      <c r="B97" s="116" t="s">
        <v>75</v>
      </c>
      <c r="C97" s="23" t="s">
        <v>56</v>
      </c>
      <c r="D97" s="164" t="s">
        <v>194</v>
      </c>
      <c r="E97" s="165"/>
      <c r="F97" s="165"/>
      <c r="G97" s="165"/>
      <c r="H97" s="165"/>
      <c r="I97" s="165"/>
      <c r="J97" s="165"/>
      <c r="K97" s="165"/>
      <c r="L97" s="165"/>
      <c r="M97" s="165"/>
      <c r="N97" s="165"/>
      <c r="O97" s="165"/>
      <c r="P97" s="165"/>
      <c r="Q97" s="165"/>
      <c r="R97" s="165"/>
      <c r="S97" s="165"/>
      <c r="T97" s="165"/>
      <c r="U97" s="166"/>
    </row>
    <row r="98" spans="1:33" ht="97.5" customHeight="1" x14ac:dyDescent="0.15">
      <c r="B98" s="117"/>
      <c r="C98" s="26" t="s">
        <v>58</v>
      </c>
      <c r="D98" s="149" t="s">
        <v>195</v>
      </c>
      <c r="E98" s="150"/>
      <c r="F98" s="150"/>
      <c r="G98" s="150"/>
      <c r="H98" s="150"/>
      <c r="I98" s="150"/>
      <c r="J98" s="150"/>
      <c r="K98" s="150"/>
      <c r="L98" s="150"/>
      <c r="M98" s="150"/>
      <c r="N98" s="150"/>
      <c r="O98" s="150"/>
      <c r="P98" s="150"/>
      <c r="Q98" s="150"/>
      <c r="R98" s="150"/>
      <c r="S98" s="150"/>
      <c r="T98" s="150"/>
      <c r="U98" s="151"/>
    </row>
    <row r="99" spans="1:33" ht="97.5" customHeight="1" x14ac:dyDescent="0.15">
      <c r="B99" s="116" t="s">
        <v>76</v>
      </c>
      <c r="C99" s="25" t="s">
        <v>55</v>
      </c>
      <c r="D99" s="152" t="s">
        <v>196</v>
      </c>
      <c r="E99" s="153"/>
      <c r="F99" s="153"/>
      <c r="G99" s="153"/>
      <c r="H99" s="153"/>
      <c r="I99" s="153"/>
      <c r="J99" s="153"/>
      <c r="K99" s="153"/>
      <c r="L99" s="153"/>
      <c r="M99" s="153"/>
      <c r="N99" s="153"/>
      <c r="O99" s="153"/>
      <c r="P99" s="153"/>
      <c r="Q99" s="153"/>
      <c r="R99" s="153"/>
      <c r="S99" s="153"/>
      <c r="T99" s="153"/>
      <c r="U99" s="154"/>
    </row>
    <row r="100" spans="1:33" ht="97.5" customHeight="1" x14ac:dyDescent="0.15">
      <c r="B100" s="121"/>
      <c r="C100" s="28" t="s">
        <v>72</v>
      </c>
      <c r="D100" s="155" t="s">
        <v>197</v>
      </c>
      <c r="E100" s="156"/>
      <c r="F100" s="156"/>
      <c r="G100" s="156"/>
      <c r="H100" s="156"/>
      <c r="I100" s="156"/>
      <c r="J100" s="156"/>
      <c r="K100" s="156"/>
      <c r="L100" s="156"/>
      <c r="M100" s="156"/>
      <c r="N100" s="156"/>
      <c r="O100" s="156"/>
      <c r="P100" s="156"/>
      <c r="Q100" s="156"/>
      <c r="R100" s="156"/>
      <c r="S100" s="156"/>
      <c r="T100" s="156"/>
      <c r="U100" s="157"/>
    </row>
    <row r="101" spans="1:33" ht="97.5" customHeight="1" x14ac:dyDescent="0.15">
      <c r="B101" s="117"/>
      <c r="C101" s="27" t="s">
        <v>73</v>
      </c>
      <c r="D101" s="149" t="s">
        <v>198</v>
      </c>
      <c r="E101" s="150"/>
      <c r="F101" s="150"/>
      <c r="G101" s="150"/>
      <c r="H101" s="150"/>
      <c r="I101" s="150"/>
      <c r="J101" s="150"/>
      <c r="K101" s="150"/>
      <c r="L101" s="150"/>
      <c r="M101" s="150"/>
      <c r="N101" s="150"/>
      <c r="O101" s="150"/>
      <c r="P101" s="150"/>
      <c r="Q101" s="150"/>
      <c r="R101" s="150"/>
      <c r="S101" s="150"/>
      <c r="T101" s="150"/>
      <c r="U101" s="151"/>
    </row>
    <row r="102" spans="1:33" ht="6" customHeight="1" x14ac:dyDescent="0.15"/>
    <row r="103" spans="1:33" ht="18.75" customHeight="1" x14ac:dyDescent="0.15">
      <c r="A103" s="92" t="s">
        <v>108</v>
      </c>
    </row>
    <row r="104" spans="1:33" ht="81.75" customHeight="1" x14ac:dyDescent="0.15">
      <c r="B104" s="133" t="s">
        <v>144</v>
      </c>
      <c r="C104" s="134"/>
      <c r="D104" s="134"/>
      <c r="E104" s="134"/>
      <c r="F104" s="134"/>
      <c r="G104" s="134"/>
      <c r="H104" s="134"/>
      <c r="I104" s="134"/>
      <c r="J104" s="134"/>
      <c r="K104" s="134"/>
      <c r="L104" s="134"/>
      <c r="M104" s="134"/>
      <c r="N104" s="134"/>
      <c r="O104" s="134"/>
      <c r="P104" s="134"/>
      <c r="Q104" s="134"/>
      <c r="R104" s="134"/>
      <c r="S104" s="134"/>
      <c r="T104" s="134"/>
      <c r="U104" s="135"/>
    </row>
    <row r="106" spans="1:33" ht="18.75" customHeight="1" x14ac:dyDescent="0.15">
      <c r="A106" s="75" t="s">
        <v>124</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15">
      <c r="A107" s="75" t="s">
        <v>126</v>
      </c>
      <c r="B107" s="75"/>
      <c r="C107" s="75"/>
      <c r="D107" s="75"/>
      <c r="E107" s="75"/>
      <c r="F107" s="75"/>
      <c r="G107" s="75"/>
      <c r="H107" s="75"/>
      <c r="I107" s="75"/>
      <c r="J107" s="75"/>
      <c r="K107" s="75"/>
      <c r="L107" s="75"/>
      <c r="M107" s="75"/>
      <c r="N107" s="75"/>
      <c r="O107" s="75"/>
      <c r="P107" s="75"/>
      <c r="Q107" s="75"/>
      <c r="R107" s="75"/>
      <c r="S107" s="75"/>
      <c r="T107" s="75"/>
      <c r="U107" s="75"/>
      <c r="V107" s="2"/>
      <c r="W107" s="2"/>
      <c r="X107" s="2"/>
      <c r="Y107" s="2"/>
      <c r="Z107" s="2"/>
      <c r="AA107" s="2"/>
      <c r="AB107" s="2"/>
      <c r="AC107" s="2"/>
      <c r="AD107" s="2"/>
      <c r="AE107" s="2"/>
      <c r="AF107" s="2"/>
      <c r="AG107" s="2"/>
    </row>
    <row r="108" spans="1:33" ht="18.75" customHeight="1" x14ac:dyDescent="0.15">
      <c r="A108" s="75"/>
      <c r="B108" s="148" t="s">
        <v>129</v>
      </c>
      <c r="C108" s="148"/>
      <c r="D108" s="148"/>
      <c r="E108" s="148"/>
      <c r="F108" s="148"/>
      <c r="G108" s="148"/>
      <c r="H108" s="148"/>
      <c r="I108" s="148"/>
      <c r="J108" s="148"/>
      <c r="K108" s="148"/>
      <c r="L108" s="148"/>
      <c r="M108" s="148"/>
      <c r="N108" s="148"/>
      <c r="O108" s="148"/>
      <c r="P108" s="148"/>
      <c r="Q108" s="148"/>
      <c r="R108" s="148"/>
      <c r="S108" s="148"/>
      <c r="T108" s="148"/>
      <c r="U108" s="148"/>
      <c r="V108" s="71"/>
      <c r="W108" s="71"/>
      <c r="X108" s="71"/>
      <c r="Y108" s="71"/>
      <c r="Z108" s="71"/>
      <c r="AA108" s="71"/>
      <c r="AB108" s="71"/>
      <c r="AC108" s="71"/>
      <c r="AD108" s="71"/>
      <c r="AE108" s="71"/>
      <c r="AF108" s="71"/>
      <c r="AG108" s="71"/>
    </row>
    <row r="109" spans="1:33" ht="37.15" customHeight="1" x14ac:dyDescent="0.15">
      <c r="A109" s="75"/>
      <c r="B109" s="148"/>
      <c r="C109" s="148"/>
      <c r="D109" s="148"/>
      <c r="E109" s="148"/>
      <c r="F109" s="148"/>
      <c r="G109" s="148"/>
      <c r="H109" s="148"/>
      <c r="I109" s="148"/>
      <c r="J109" s="148"/>
      <c r="K109" s="148"/>
      <c r="L109" s="148"/>
      <c r="M109" s="148"/>
      <c r="N109" s="148"/>
      <c r="O109" s="148"/>
      <c r="P109" s="148"/>
      <c r="Q109" s="148"/>
      <c r="R109" s="148"/>
      <c r="S109" s="148"/>
      <c r="T109" s="148"/>
      <c r="U109" s="148"/>
      <c r="V109" s="71"/>
      <c r="W109" s="71"/>
      <c r="X109" s="71"/>
      <c r="Y109" s="71"/>
      <c r="Z109" s="71"/>
      <c r="AA109" s="71"/>
      <c r="AB109" s="71"/>
      <c r="AC109" s="71"/>
      <c r="AD109" s="71"/>
      <c r="AE109" s="71"/>
      <c r="AF109" s="71"/>
      <c r="AG109" s="71"/>
    </row>
    <row r="110" spans="1:33" ht="18.75" customHeight="1" x14ac:dyDescent="0.15">
      <c r="A110" s="75"/>
      <c r="B110" s="94" t="s">
        <v>125</v>
      </c>
      <c r="C110" s="94"/>
      <c r="D110" s="94"/>
      <c r="E110" s="94"/>
      <c r="F110" s="94"/>
      <c r="G110" s="94"/>
      <c r="H110" s="94"/>
      <c r="I110" s="94"/>
      <c r="J110" s="94"/>
      <c r="K110" s="94"/>
      <c r="L110" s="94"/>
      <c r="M110" s="94"/>
      <c r="N110" s="94"/>
      <c r="O110" s="94"/>
      <c r="P110" s="94"/>
      <c r="Q110" s="94"/>
      <c r="R110" s="94"/>
      <c r="S110" s="94"/>
      <c r="T110" s="94"/>
      <c r="U110" s="94"/>
      <c r="V110" s="71"/>
      <c r="W110" s="71"/>
      <c r="X110" s="71"/>
      <c r="Y110" s="71"/>
      <c r="Z110" s="71"/>
      <c r="AA110" s="71"/>
      <c r="AB110" s="71"/>
      <c r="AC110" s="71"/>
      <c r="AD110" s="71"/>
      <c r="AE110" s="71"/>
      <c r="AF110" s="71"/>
      <c r="AG110" s="71"/>
    </row>
    <row r="111" spans="1:33" ht="18.75" customHeight="1" x14ac:dyDescent="0.15">
      <c r="A111" s="75"/>
      <c r="B111" s="107" t="s">
        <v>53</v>
      </c>
      <c r="C111" s="107"/>
      <c r="D111" s="107"/>
      <c r="E111" s="107"/>
      <c r="F111" s="107"/>
      <c r="G111" s="107"/>
      <c r="H111" s="107"/>
      <c r="I111" s="107"/>
      <c r="J111" s="107"/>
      <c r="K111" s="107"/>
      <c r="L111" s="107"/>
      <c r="M111" s="107"/>
      <c r="N111" s="107"/>
      <c r="O111" s="107"/>
      <c r="P111" s="107"/>
      <c r="Q111" s="107"/>
      <c r="R111" s="107"/>
      <c r="S111" s="107"/>
      <c r="T111" s="107"/>
      <c r="U111" s="107"/>
      <c r="V111" s="70"/>
      <c r="W111" s="70"/>
      <c r="X111" s="70"/>
      <c r="Y111" s="70"/>
      <c r="Z111" s="70"/>
      <c r="AA111" s="70"/>
      <c r="AB111" s="70"/>
      <c r="AC111" s="70"/>
      <c r="AD111" s="70"/>
      <c r="AE111" s="70"/>
      <c r="AF111" s="70"/>
      <c r="AG111" s="70"/>
    </row>
    <row r="112" spans="1:33" ht="132" customHeight="1" x14ac:dyDescent="0.15">
      <c r="A112" s="75"/>
      <c r="B112" s="108"/>
      <c r="C112" s="108"/>
      <c r="D112" s="108"/>
      <c r="E112" s="108"/>
      <c r="F112" s="108"/>
      <c r="G112" s="108"/>
      <c r="H112" s="108"/>
      <c r="I112" s="108"/>
      <c r="J112" s="108"/>
      <c r="K112" s="108"/>
      <c r="L112" s="108"/>
      <c r="M112" s="108"/>
      <c r="N112" s="108"/>
      <c r="O112" s="108"/>
      <c r="P112" s="108"/>
      <c r="Q112" s="108"/>
      <c r="R112" s="108"/>
      <c r="S112" s="108"/>
      <c r="T112" s="108"/>
      <c r="U112" s="108"/>
      <c r="V112" s="72"/>
      <c r="W112" s="72"/>
      <c r="X112" s="72"/>
      <c r="Y112" s="72"/>
      <c r="Z112" s="72"/>
      <c r="AA112" s="72"/>
      <c r="AB112" s="72"/>
      <c r="AC112" s="72"/>
      <c r="AD112" s="72"/>
      <c r="AE112" s="72"/>
      <c r="AF112" s="72"/>
      <c r="AG112" s="72"/>
    </row>
    <row r="114" ht="18" customHeight="1" x14ac:dyDescent="0.15"/>
  </sheetData>
  <mergeCells count="148">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95:B96"/>
    <mergeCell ref="D95:U95"/>
    <mergeCell ref="D96:U96"/>
    <mergeCell ref="B97:B98"/>
    <mergeCell ref="D97:U97"/>
    <mergeCell ref="D98:U98"/>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N22:U22" xr:uid="{AD9F8DC9-B4CA-4CE2-A50A-2839762065B9}">
      <formula1>$X$16:$X$18</formula1>
    </dataValidation>
    <dataValidation type="list" allowBlank="1" showInputMessage="1" showErrorMessage="1" sqref="G81:G88 R81:R88 H81:J82 H85:J88 S85:U88 S81:U82" xr:uid="{5E0D6421-F76A-4953-8653-48B2615F7BD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12BED8E5-F75F-41EB-BAEF-B39AFCA320BA}">
      <formula1>"学部・学科によって、修了要件は相違する,学部・学科によって、修了要件は相違しない"</formula1>
    </dataValidation>
    <dataValidation type="list" allowBlank="1" showInputMessage="1" showErrorMessage="1" sqref="U34 U45 E34:H34 E45:H45" xr:uid="{FACCDA68-577F-484F-8550-CE8EAAC2357D}">
      <formula1>"全学開講,一部開講"</formula1>
    </dataValidation>
    <dataValidation type="list" allowBlank="1" showInputMessage="1" showErrorMessage="1" sqref="H27:J33 S27:U33 H38:J44 S38:U44 H49:J55 S49:U55 H60:J66 S60:U66 G71:J77 R71:U77" xr:uid="{FD3341FB-D61D-40A6-94B2-F63F018302F2}">
      <formula1>"○"</formula1>
    </dataValidation>
  </dataValidations>
  <printOptions horizontalCentered="1"/>
  <pageMargins left="0.78740157480314965" right="0.78740157480314965" top="0.78740157480314965" bottom="0.19685039370078741" header="0.31496062992125984" footer="0.19685039370078741"/>
  <pageSetup paperSize="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Q9" sqref="Q9"/>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7"/>
      <c r="B1" s="77"/>
      <c r="C1" s="77"/>
      <c r="D1" s="77"/>
      <c r="E1" s="77"/>
      <c r="F1" s="77"/>
      <c r="G1" s="77"/>
      <c r="H1" s="77"/>
      <c r="I1" s="77"/>
      <c r="J1" s="77"/>
      <c r="K1" s="77"/>
      <c r="L1" s="77"/>
      <c r="M1" s="77"/>
      <c r="N1" s="77"/>
      <c r="O1" s="77"/>
      <c r="P1" s="77"/>
      <c r="Q1" s="77"/>
      <c r="R1" s="77"/>
      <c r="S1" s="77" t="s">
        <v>97</v>
      </c>
    </row>
    <row r="2" spans="1:21" ht="18" customHeight="1" x14ac:dyDescent="0.15">
      <c r="A2" s="77"/>
      <c r="B2" s="77"/>
      <c r="C2" s="77"/>
      <c r="D2" s="77"/>
      <c r="E2" s="77"/>
      <c r="F2" s="77"/>
      <c r="G2" s="77"/>
      <c r="H2" s="77"/>
      <c r="I2" s="77"/>
      <c r="J2" s="77"/>
      <c r="K2" s="77"/>
      <c r="L2" s="77"/>
      <c r="M2" s="77"/>
      <c r="N2" s="77"/>
      <c r="O2" s="77"/>
      <c r="P2" s="77"/>
      <c r="Q2" s="177" t="str">
        <f>'様式１-①　プログラムを構成する授業科目'!C2</f>
        <v>桃山学院大学</v>
      </c>
      <c r="R2" s="177"/>
      <c r="S2" s="177"/>
    </row>
    <row r="3" spans="1:21" ht="18" customHeight="1" x14ac:dyDescent="0.15">
      <c r="A3" s="122" t="s">
        <v>46</v>
      </c>
      <c r="B3" s="122"/>
      <c r="C3" s="122"/>
      <c r="D3" s="122"/>
      <c r="E3" s="122"/>
      <c r="F3" s="122"/>
      <c r="G3" s="122"/>
      <c r="H3" s="122"/>
      <c r="I3" s="122"/>
      <c r="J3" s="122"/>
      <c r="K3" s="122"/>
      <c r="L3" s="122"/>
      <c r="M3" s="122"/>
      <c r="N3" s="122"/>
      <c r="O3" s="122"/>
      <c r="P3" s="122"/>
      <c r="Q3" s="122"/>
      <c r="R3" s="122"/>
      <c r="S3" s="122"/>
    </row>
    <row r="4" spans="1:21" ht="7.5" customHeight="1" x14ac:dyDescent="0.15">
      <c r="A4" s="82"/>
      <c r="B4" s="82"/>
      <c r="C4" s="82"/>
      <c r="D4" s="82"/>
      <c r="E4" s="82"/>
      <c r="F4" s="82"/>
      <c r="G4" s="82"/>
      <c r="H4" s="82"/>
      <c r="I4" s="82"/>
      <c r="J4" s="82"/>
      <c r="K4" s="82"/>
      <c r="L4" s="82"/>
      <c r="M4" s="82"/>
      <c r="N4" s="82"/>
      <c r="O4" s="82"/>
      <c r="P4" s="82"/>
      <c r="Q4" s="82"/>
      <c r="R4" s="82"/>
      <c r="S4" s="82"/>
    </row>
    <row r="5" spans="1:21" ht="18" customHeight="1" x14ac:dyDescent="0.15">
      <c r="A5" s="77" t="s">
        <v>79</v>
      </c>
      <c r="B5" s="77"/>
      <c r="C5" s="145" t="s">
        <v>199</v>
      </c>
      <c r="D5" s="147"/>
      <c r="E5" s="82" t="s">
        <v>50</v>
      </c>
      <c r="F5" s="82"/>
      <c r="G5" s="82"/>
      <c r="H5" s="82"/>
      <c r="I5" s="82"/>
      <c r="J5" s="82"/>
      <c r="K5" s="82"/>
      <c r="L5" s="82"/>
      <c r="M5" s="82"/>
      <c r="N5" s="82"/>
      <c r="O5" s="82"/>
      <c r="P5" s="82"/>
      <c r="Q5" s="82"/>
      <c r="R5" s="80"/>
      <c r="S5" s="80"/>
    </row>
    <row r="6" spans="1:21" ht="7.15" customHeight="1" x14ac:dyDescent="0.15">
      <c r="A6" s="77"/>
      <c r="B6" s="77"/>
      <c r="C6" s="88"/>
      <c r="D6" s="88"/>
      <c r="E6" s="82"/>
      <c r="F6" s="82"/>
      <c r="G6" s="82"/>
      <c r="H6" s="82"/>
      <c r="I6" s="82"/>
      <c r="J6" s="82"/>
      <c r="K6" s="82"/>
      <c r="L6" s="82"/>
      <c r="M6" s="82"/>
      <c r="N6" s="82"/>
      <c r="O6" s="82"/>
      <c r="P6" s="82"/>
      <c r="Q6" s="82"/>
      <c r="R6" s="80"/>
      <c r="S6" s="80"/>
    </row>
    <row r="7" spans="1:21" ht="18" customHeight="1" x14ac:dyDescent="0.15">
      <c r="A7" s="77" t="s">
        <v>117</v>
      </c>
      <c r="B7" s="77"/>
      <c r="C7" s="88"/>
      <c r="D7" s="88"/>
      <c r="E7" s="82" t="s">
        <v>118</v>
      </c>
      <c r="F7" s="86">
        <v>4791</v>
      </c>
      <c r="G7" s="84" t="s">
        <v>119</v>
      </c>
      <c r="H7" s="82" t="s">
        <v>120</v>
      </c>
      <c r="I7" s="86">
        <v>2023</v>
      </c>
      <c r="J7" s="84" t="s">
        <v>119</v>
      </c>
      <c r="K7" s="79" t="s">
        <v>121</v>
      </c>
      <c r="L7" s="82" t="s">
        <v>122</v>
      </c>
      <c r="M7" s="86">
        <f>F7+I7</f>
        <v>6814</v>
      </c>
      <c r="N7" s="82" t="s">
        <v>1</v>
      </c>
      <c r="O7" s="84" t="s">
        <v>123</v>
      </c>
      <c r="P7" s="82"/>
      <c r="Q7" s="82"/>
      <c r="R7" s="80"/>
      <c r="S7" s="80"/>
    </row>
    <row r="8" spans="1:21" ht="6" customHeight="1" x14ac:dyDescent="0.15">
      <c r="A8" s="82"/>
      <c r="B8" s="82"/>
      <c r="C8" s="82"/>
      <c r="D8" s="82"/>
      <c r="E8" s="82"/>
      <c r="F8" s="82"/>
      <c r="G8" s="82"/>
      <c r="H8" s="82"/>
      <c r="I8" s="82"/>
      <c r="J8" s="82"/>
      <c r="K8" s="82"/>
      <c r="L8" s="82"/>
      <c r="M8" s="82"/>
      <c r="N8" s="82"/>
      <c r="O8" s="82"/>
      <c r="P8" s="82"/>
      <c r="Q8" s="82"/>
      <c r="R8" s="82"/>
      <c r="S8" s="82"/>
    </row>
    <row r="9" spans="1:21" ht="18" customHeight="1" x14ac:dyDescent="0.15">
      <c r="A9" s="77" t="s">
        <v>133</v>
      </c>
      <c r="B9" s="82"/>
      <c r="C9" s="82"/>
      <c r="D9" s="82"/>
      <c r="E9" s="82"/>
      <c r="F9" s="82"/>
      <c r="G9" s="82"/>
      <c r="H9" s="82"/>
      <c r="I9" s="82"/>
      <c r="J9" s="82"/>
      <c r="K9" s="82"/>
      <c r="L9" s="82"/>
      <c r="M9" s="82"/>
      <c r="N9" s="82"/>
      <c r="O9" s="82"/>
      <c r="P9" s="82"/>
      <c r="Q9" s="82"/>
      <c r="R9" s="82"/>
      <c r="S9" s="82"/>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8" t="s">
        <v>43</v>
      </c>
      <c r="C11" s="188" t="s">
        <v>82</v>
      </c>
      <c r="D11" s="180" t="s">
        <v>45</v>
      </c>
      <c r="E11" s="182" t="s">
        <v>38</v>
      </c>
      <c r="F11" s="176" t="s">
        <v>111</v>
      </c>
      <c r="G11" s="176"/>
      <c r="H11" s="176" t="s">
        <v>81</v>
      </c>
      <c r="I11" s="176"/>
      <c r="J11" s="176" t="s">
        <v>47</v>
      </c>
      <c r="K11" s="176"/>
      <c r="L11" s="176" t="s">
        <v>48</v>
      </c>
      <c r="M11" s="176"/>
      <c r="N11" s="176" t="s">
        <v>91</v>
      </c>
      <c r="O11" s="176"/>
      <c r="P11" s="176" t="s">
        <v>49</v>
      </c>
      <c r="Q11" s="176"/>
      <c r="R11" s="184" t="s">
        <v>34</v>
      </c>
      <c r="S11" s="186" t="s">
        <v>31</v>
      </c>
      <c r="U11" s="2"/>
    </row>
    <row r="12" spans="1:21" ht="16.899999999999999" customHeight="1" x14ac:dyDescent="0.15">
      <c r="B12" s="179"/>
      <c r="C12" s="189"/>
      <c r="D12" s="181"/>
      <c r="E12" s="183"/>
      <c r="F12" s="64" t="s">
        <v>90</v>
      </c>
      <c r="G12" s="64" t="s">
        <v>28</v>
      </c>
      <c r="H12" s="64" t="s">
        <v>90</v>
      </c>
      <c r="I12" s="64" t="s">
        <v>28</v>
      </c>
      <c r="J12" s="64" t="s">
        <v>90</v>
      </c>
      <c r="K12" s="64" t="s">
        <v>28</v>
      </c>
      <c r="L12" s="64" t="s">
        <v>90</v>
      </c>
      <c r="M12" s="64" t="s">
        <v>28</v>
      </c>
      <c r="N12" s="64" t="s">
        <v>90</v>
      </c>
      <c r="O12" s="64" t="s">
        <v>28</v>
      </c>
      <c r="P12" s="64" t="s">
        <v>90</v>
      </c>
      <c r="Q12" s="65" t="s">
        <v>28</v>
      </c>
      <c r="R12" s="185"/>
      <c r="S12" s="187"/>
      <c r="U12" s="2"/>
    </row>
    <row r="13" spans="1:21" ht="18" customHeight="1" x14ac:dyDescent="0.15">
      <c r="A13" s="6"/>
      <c r="B13" s="66" t="s">
        <v>136</v>
      </c>
      <c r="C13" s="52">
        <v>1513</v>
      </c>
      <c r="D13" s="53">
        <v>360</v>
      </c>
      <c r="E13" s="54">
        <v>1440</v>
      </c>
      <c r="F13" s="54">
        <v>26</v>
      </c>
      <c r="G13" s="54">
        <v>22</v>
      </c>
      <c r="H13" s="54"/>
      <c r="I13" s="54"/>
      <c r="J13" s="54"/>
      <c r="K13" s="54"/>
      <c r="L13" s="54"/>
      <c r="M13" s="54"/>
      <c r="N13" s="54"/>
      <c r="O13" s="54"/>
      <c r="P13" s="54"/>
      <c r="Q13" s="67"/>
      <c r="R13" s="53">
        <f t="shared" ref="R13:R32" si="0">F13+H13+J13+L13+N13+P13</f>
        <v>26</v>
      </c>
      <c r="S13" s="68">
        <f t="shared" ref="S13:S33" si="1">R13/E13</f>
        <v>1.8055555555555554E-2</v>
      </c>
    </row>
    <row r="14" spans="1:21" ht="18" customHeight="1" x14ac:dyDescent="0.15">
      <c r="A14" s="6"/>
      <c r="B14" s="11" t="s">
        <v>145</v>
      </c>
      <c r="C14" s="55">
        <v>1524</v>
      </c>
      <c r="D14" s="56">
        <v>360</v>
      </c>
      <c r="E14" s="57">
        <v>1440</v>
      </c>
      <c r="F14" s="58">
        <v>5</v>
      </c>
      <c r="G14" s="58">
        <v>4</v>
      </c>
      <c r="H14" s="58"/>
      <c r="I14" s="58"/>
      <c r="J14" s="58"/>
      <c r="K14" s="58"/>
      <c r="L14" s="58"/>
      <c r="M14" s="58"/>
      <c r="N14" s="58"/>
      <c r="O14" s="58"/>
      <c r="P14" s="58"/>
      <c r="Q14" s="55"/>
      <c r="R14" s="56">
        <f t="shared" si="0"/>
        <v>5</v>
      </c>
      <c r="S14" s="16">
        <f t="shared" si="1"/>
        <v>3.472222222222222E-3</v>
      </c>
    </row>
    <row r="15" spans="1:21" ht="18" customHeight="1" x14ac:dyDescent="0.15">
      <c r="A15" s="6"/>
      <c r="B15" s="11" t="s">
        <v>146</v>
      </c>
      <c r="C15" s="55">
        <v>1224</v>
      </c>
      <c r="D15" s="56">
        <v>295</v>
      </c>
      <c r="E15" s="57">
        <v>1110</v>
      </c>
      <c r="F15" s="58">
        <v>19</v>
      </c>
      <c r="G15" s="58">
        <v>9</v>
      </c>
      <c r="H15" s="58"/>
      <c r="I15" s="58"/>
      <c r="J15" s="58"/>
      <c r="K15" s="58"/>
      <c r="L15" s="58"/>
      <c r="M15" s="58"/>
      <c r="N15" s="58"/>
      <c r="O15" s="58"/>
      <c r="P15" s="58"/>
      <c r="Q15" s="55"/>
      <c r="R15" s="56">
        <f t="shared" si="0"/>
        <v>19</v>
      </c>
      <c r="S15" s="8">
        <f t="shared" si="1"/>
        <v>1.7117117117117116E-2</v>
      </c>
    </row>
    <row r="16" spans="1:21" ht="18" customHeight="1" x14ac:dyDescent="0.15">
      <c r="A16" s="6"/>
      <c r="B16" s="11" t="s">
        <v>147</v>
      </c>
      <c r="C16" s="55">
        <v>1069</v>
      </c>
      <c r="D16" s="56">
        <v>275</v>
      </c>
      <c r="E16" s="57">
        <v>1100</v>
      </c>
      <c r="F16" s="58">
        <v>15</v>
      </c>
      <c r="G16" s="58">
        <v>5</v>
      </c>
      <c r="H16" s="58"/>
      <c r="I16" s="58"/>
      <c r="J16" s="58"/>
      <c r="K16" s="58"/>
      <c r="L16" s="58"/>
      <c r="M16" s="58"/>
      <c r="N16" s="58"/>
      <c r="O16" s="58"/>
      <c r="P16" s="58"/>
      <c r="Q16" s="55"/>
      <c r="R16" s="56">
        <f t="shared" si="0"/>
        <v>15</v>
      </c>
      <c r="S16" s="8">
        <f t="shared" si="1"/>
        <v>1.3636363636363636E-2</v>
      </c>
    </row>
    <row r="17" spans="1:19" ht="18" customHeight="1" x14ac:dyDescent="0.15">
      <c r="A17" s="6"/>
      <c r="B17" s="11" t="s">
        <v>148</v>
      </c>
      <c r="C17" s="55">
        <v>823</v>
      </c>
      <c r="D17" s="56">
        <v>200</v>
      </c>
      <c r="E17" s="57">
        <v>800</v>
      </c>
      <c r="F17" s="58">
        <v>3</v>
      </c>
      <c r="G17" s="58">
        <v>2</v>
      </c>
      <c r="H17" s="58"/>
      <c r="I17" s="58"/>
      <c r="J17" s="58"/>
      <c r="K17" s="58"/>
      <c r="L17" s="58"/>
      <c r="M17" s="58"/>
      <c r="N17" s="58"/>
      <c r="O17" s="58"/>
      <c r="P17" s="58"/>
      <c r="Q17" s="55"/>
      <c r="R17" s="56">
        <f t="shared" si="0"/>
        <v>3</v>
      </c>
      <c r="S17" s="8">
        <f t="shared" si="1"/>
        <v>3.7499999999999999E-3</v>
      </c>
    </row>
    <row r="18" spans="1:19" ht="18" customHeight="1" x14ac:dyDescent="0.15">
      <c r="A18" s="6"/>
      <c r="B18" s="11" t="s">
        <v>149</v>
      </c>
      <c r="C18" s="55">
        <v>661</v>
      </c>
      <c r="D18" s="56">
        <v>200</v>
      </c>
      <c r="E18" s="57">
        <v>670</v>
      </c>
      <c r="F18" s="58">
        <v>177</v>
      </c>
      <c r="G18" s="58">
        <v>119</v>
      </c>
      <c r="H18" s="58"/>
      <c r="I18" s="58"/>
      <c r="J18" s="58"/>
      <c r="K18" s="58"/>
      <c r="L18" s="58"/>
      <c r="M18" s="58"/>
      <c r="N18" s="58"/>
      <c r="O18" s="58"/>
      <c r="P18" s="58"/>
      <c r="Q18" s="55"/>
      <c r="R18" s="56">
        <f t="shared" si="0"/>
        <v>177</v>
      </c>
      <c r="S18" s="8">
        <f t="shared" si="1"/>
        <v>0.26417910447761195</v>
      </c>
    </row>
    <row r="19" spans="1:19" ht="18" customHeight="1" x14ac:dyDescent="0.15">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15">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15">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15">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15">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15">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15">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15">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15">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15">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15">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15">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15">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15">
      <c r="B33" s="13" t="s">
        <v>32</v>
      </c>
      <c r="C33" s="61">
        <f t="shared" ref="C33" si="2">SUM(C13:C32)</f>
        <v>6814</v>
      </c>
      <c r="D33" s="62">
        <f t="shared" ref="D33:R33" si="3">SUM(D13:D32)</f>
        <v>1690</v>
      </c>
      <c r="E33" s="63">
        <f t="shared" si="3"/>
        <v>6560</v>
      </c>
      <c r="F33" s="63">
        <f t="shared" si="3"/>
        <v>245</v>
      </c>
      <c r="G33" s="63">
        <f t="shared" ref="G33:H33" si="4">SUM(G13:G32)</f>
        <v>161</v>
      </c>
      <c r="H33" s="63">
        <f t="shared" si="4"/>
        <v>0</v>
      </c>
      <c r="I33" s="63">
        <f t="shared" ref="I33:J33" si="5">SUM(I13:I32)</f>
        <v>0</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1">
        <f t="shared" si="3"/>
        <v>245</v>
      </c>
      <c r="S33" s="9">
        <f t="shared" si="1"/>
        <v>3.7347560975609755E-2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O134"/>
  <sheetViews>
    <sheetView showZeros="0" view="pageBreakPreview" zoomScaleNormal="100" zoomScaleSheetLayoutView="100" workbookViewId="0">
      <selection activeCell="B21" sqref="B21"/>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62</v>
      </c>
      <c r="I1" s="30" t="s">
        <v>96</v>
      </c>
    </row>
    <row r="2" spans="1:9" ht="18.75" customHeight="1" x14ac:dyDescent="0.15">
      <c r="G2" s="30" t="s">
        <v>98</v>
      </c>
      <c r="H2" s="98" t="str">
        <f>'様式１-①　プログラムを構成する授業科目'!C2</f>
        <v>桃山学院大学</v>
      </c>
      <c r="I2" s="100"/>
    </row>
    <row r="3" spans="1:9" ht="18.75" customHeight="1" x14ac:dyDescent="0.15">
      <c r="G3" s="30"/>
      <c r="H3" s="10"/>
      <c r="I3" s="10"/>
    </row>
    <row r="4" spans="1:9" ht="18.600000000000001" customHeight="1" x14ac:dyDescent="0.15">
      <c r="A4" s="191" t="s">
        <v>35</v>
      </c>
      <c r="B4" s="191"/>
      <c r="C4" s="191"/>
      <c r="D4" s="191"/>
      <c r="E4" s="191"/>
      <c r="F4" s="191"/>
      <c r="G4" s="191"/>
      <c r="H4" s="191"/>
      <c r="I4" s="191"/>
    </row>
    <row r="5" spans="1:9" ht="13.15" customHeight="1" x14ac:dyDescent="0.15">
      <c r="B5" s="3"/>
      <c r="C5" s="3"/>
      <c r="D5" s="3"/>
      <c r="E5" s="3"/>
      <c r="F5" s="3"/>
      <c r="G5" s="3"/>
      <c r="H5" s="3"/>
      <c r="I5" s="3"/>
    </row>
    <row r="6" spans="1:9" ht="18" customHeight="1" x14ac:dyDescent="0.15">
      <c r="A6" s="1" t="s">
        <v>0</v>
      </c>
      <c r="B6" s="10" t="s">
        <v>85</v>
      </c>
      <c r="C6" s="211" t="s">
        <v>86</v>
      </c>
      <c r="D6" s="211"/>
      <c r="E6" s="29">
        <v>172</v>
      </c>
      <c r="F6" s="3" t="s">
        <v>1</v>
      </c>
      <c r="G6" s="3" t="s">
        <v>2</v>
      </c>
      <c r="H6" s="29">
        <v>281</v>
      </c>
      <c r="I6" s="10" t="s">
        <v>1</v>
      </c>
    </row>
    <row r="7" spans="1:9" ht="12" customHeight="1" x14ac:dyDescent="0.15">
      <c r="C7" s="2"/>
      <c r="D7" s="2"/>
      <c r="E7" s="2"/>
      <c r="F7" s="2"/>
      <c r="G7" s="2"/>
      <c r="H7" s="2"/>
      <c r="I7" s="33"/>
    </row>
    <row r="8" spans="1:9" ht="18" customHeight="1" x14ac:dyDescent="0.15">
      <c r="A8" s="1" t="s">
        <v>3</v>
      </c>
      <c r="B8" s="10" t="s">
        <v>87</v>
      </c>
      <c r="E8" s="3"/>
      <c r="F8" s="3"/>
      <c r="G8" s="3"/>
      <c r="H8" s="29">
        <v>2</v>
      </c>
      <c r="I8" s="10" t="s">
        <v>1</v>
      </c>
    </row>
    <row r="9" spans="1:9" ht="9" customHeight="1" x14ac:dyDescent="0.15">
      <c r="B9" s="3"/>
      <c r="C9" s="3"/>
      <c r="D9" s="3"/>
      <c r="E9" s="3"/>
      <c r="F9" s="3"/>
      <c r="G9" s="3"/>
      <c r="H9" s="3"/>
      <c r="I9" s="3"/>
    </row>
    <row r="10" spans="1:9" ht="18" customHeight="1" x14ac:dyDescent="0.15">
      <c r="A10" s="1" t="s">
        <v>4</v>
      </c>
      <c r="B10" s="10" t="s">
        <v>88</v>
      </c>
      <c r="C10" s="3"/>
      <c r="D10" s="3"/>
      <c r="E10" s="3"/>
      <c r="F10" s="3"/>
      <c r="G10" s="3"/>
      <c r="H10" s="3"/>
      <c r="I10" s="3"/>
    </row>
    <row r="11" spans="1:9" ht="18" customHeight="1" x14ac:dyDescent="0.15">
      <c r="B11" s="30" t="s">
        <v>41</v>
      </c>
      <c r="C11" s="206" t="s">
        <v>150</v>
      </c>
      <c r="D11" s="209"/>
      <c r="E11" s="210"/>
      <c r="F11" s="33"/>
      <c r="G11" s="30" t="s">
        <v>10</v>
      </c>
      <c r="H11" s="206" t="s">
        <v>151</v>
      </c>
      <c r="I11" s="210"/>
    </row>
    <row r="12" spans="1:9" ht="10.15" customHeight="1" x14ac:dyDescent="0.15">
      <c r="B12" s="30"/>
      <c r="C12" s="10"/>
      <c r="D12" s="33"/>
      <c r="E12" s="33"/>
      <c r="F12" s="33"/>
      <c r="G12" s="30"/>
      <c r="H12" s="10"/>
      <c r="I12" s="33"/>
    </row>
    <row r="13" spans="1:9" ht="18" customHeight="1" x14ac:dyDescent="0.15">
      <c r="A13" s="1" t="s">
        <v>7</v>
      </c>
      <c r="B13" s="10" t="s">
        <v>83</v>
      </c>
      <c r="C13" s="3"/>
      <c r="D13" s="3"/>
      <c r="E13" s="3"/>
      <c r="F13" s="3"/>
      <c r="G13" s="3"/>
      <c r="H13" s="3"/>
      <c r="I13" s="3"/>
    </row>
    <row r="14" spans="1:9" ht="18" customHeight="1" x14ac:dyDescent="0.15">
      <c r="B14" s="206" t="s">
        <v>152</v>
      </c>
      <c r="C14" s="207"/>
      <c r="D14" s="207"/>
      <c r="E14" s="207"/>
      <c r="F14" s="207"/>
      <c r="G14" s="207"/>
      <c r="H14" s="207"/>
      <c r="I14" s="208"/>
    </row>
    <row r="15" spans="1:9" ht="9" customHeight="1" x14ac:dyDescent="0.15">
      <c r="B15" s="3"/>
      <c r="C15" s="3"/>
      <c r="D15" s="3"/>
      <c r="E15" s="3"/>
      <c r="F15" s="3"/>
      <c r="G15" s="3"/>
      <c r="H15" s="3"/>
      <c r="I15" s="3"/>
    </row>
    <row r="16" spans="1:9" ht="18" customHeight="1" x14ac:dyDescent="0.15">
      <c r="B16" s="30" t="s">
        <v>41</v>
      </c>
      <c r="C16" s="206" t="s">
        <v>153</v>
      </c>
      <c r="D16" s="209"/>
      <c r="E16" s="210"/>
      <c r="F16" s="33"/>
      <c r="G16" s="30" t="s">
        <v>10</v>
      </c>
      <c r="H16" s="206" t="s">
        <v>154</v>
      </c>
      <c r="I16" s="210"/>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92" t="s">
        <v>200</v>
      </c>
      <c r="C19" s="193"/>
      <c r="D19" s="193"/>
      <c r="E19" s="193"/>
      <c r="F19" s="193"/>
      <c r="G19" s="193"/>
      <c r="H19" s="193"/>
      <c r="I19" s="194"/>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4"/>
      <c r="B22" s="195" t="s">
        <v>155</v>
      </c>
      <c r="C22" s="196"/>
      <c r="D22" s="196"/>
      <c r="E22" s="196"/>
      <c r="F22" s="196"/>
      <c r="G22" s="196"/>
      <c r="H22" s="196"/>
      <c r="I22" s="197"/>
    </row>
    <row r="23" spans="1:9" ht="18.75" customHeight="1" x14ac:dyDescent="0.15">
      <c r="A23" s="14"/>
      <c r="B23" s="198"/>
      <c r="C23" s="199"/>
      <c r="D23" s="199"/>
      <c r="E23" s="199"/>
      <c r="F23" s="199"/>
      <c r="G23" s="199"/>
      <c r="H23" s="199"/>
      <c r="I23" s="200"/>
    </row>
    <row r="24" spans="1:9" ht="18.75" customHeight="1" x14ac:dyDescent="0.15">
      <c r="A24" s="14"/>
      <c r="B24" s="198"/>
      <c r="C24" s="199"/>
      <c r="D24" s="199"/>
      <c r="E24" s="199"/>
      <c r="F24" s="199"/>
      <c r="G24" s="199"/>
      <c r="H24" s="199"/>
      <c r="I24" s="200"/>
    </row>
    <row r="25" spans="1:9" ht="18.75" customHeight="1" x14ac:dyDescent="0.15">
      <c r="A25" s="14"/>
      <c r="B25" s="198"/>
      <c r="C25" s="199"/>
      <c r="D25" s="199"/>
      <c r="E25" s="199"/>
      <c r="F25" s="199"/>
      <c r="G25" s="199"/>
      <c r="H25" s="199"/>
      <c r="I25" s="200"/>
    </row>
    <row r="26" spans="1:9" ht="18.75" customHeight="1" x14ac:dyDescent="0.15">
      <c r="A26" s="14"/>
      <c r="B26" s="198"/>
      <c r="C26" s="199"/>
      <c r="D26" s="199"/>
      <c r="E26" s="199"/>
      <c r="F26" s="199"/>
      <c r="G26" s="199"/>
      <c r="H26" s="199"/>
      <c r="I26" s="200"/>
    </row>
    <row r="27" spans="1:9" ht="18.75" customHeight="1" x14ac:dyDescent="0.15">
      <c r="A27" s="14"/>
      <c r="B27" s="198"/>
      <c r="C27" s="199"/>
      <c r="D27" s="199"/>
      <c r="E27" s="199"/>
      <c r="F27" s="199"/>
      <c r="G27" s="199"/>
      <c r="H27" s="199"/>
      <c r="I27" s="200"/>
    </row>
    <row r="28" spans="1:9" ht="18.75" customHeight="1" x14ac:dyDescent="0.15">
      <c r="A28" s="14"/>
      <c r="B28" s="198"/>
      <c r="C28" s="199"/>
      <c r="D28" s="199"/>
      <c r="E28" s="199"/>
      <c r="F28" s="199"/>
      <c r="G28" s="199"/>
      <c r="H28" s="199"/>
      <c r="I28" s="200"/>
    </row>
    <row r="29" spans="1:9" ht="18.75" customHeight="1" x14ac:dyDescent="0.15">
      <c r="A29" s="14"/>
      <c r="B29" s="198"/>
      <c r="C29" s="199"/>
      <c r="D29" s="199"/>
      <c r="E29" s="199"/>
      <c r="F29" s="199"/>
      <c r="G29" s="199"/>
      <c r="H29" s="199"/>
      <c r="I29" s="200"/>
    </row>
    <row r="30" spans="1:9" ht="18.75" customHeight="1" x14ac:dyDescent="0.15">
      <c r="A30" s="14"/>
      <c r="B30" s="201"/>
      <c r="C30" s="202"/>
      <c r="D30" s="202"/>
      <c r="E30" s="202"/>
      <c r="F30" s="202"/>
      <c r="G30" s="202"/>
      <c r="H30" s="202"/>
      <c r="I30" s="200"/>
    </row>
    <row r="31" spans="1:9" ht="18.75" customHeight="1" x14ac:dyDescent="0.15">
      <c r="A31" s="14"/>
      <c r="B31" s="201"/>
      <c r="C31" s="202"/>
      <c r="D31" s="202"/>
      <c r="E31" s="202"/>
      <c r="F31" s="202"/>
      <c r="G31" s="202"/>
      <c r="H31" s="202"/>
      <c r="I31" s="200"/>
    </row>
    <row r="32" spans="1:9" ht="18.75" customHeight="1" x14ac:dyDescent="0.15">
      <c r="A32" s="14"/>
      <c r="B32" s="203"/>
      <c r="C32" s="204"/>
      <c r="D32" s="204"/>
      <c r="E32" s="204"/>
      <c r="F32" s="204"/>
      <c r="G32" s="204"/>
      <c r="H32" s="204"/>
      <c r="I32" s="205"/>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95" t="s">
        <v>180</v>
      </c>
      <c r="C35" s="196"/>
      <c r="D35" s="196"/>
      <c r="E35" s="196"/>
      <c r="F35" s="196"/>
      <c r="G35" s="196"/>
      <c r="H35" s="196"/>
      <c r="I35" s="197"/>
    </row>
    <row r="36" spans="1:9" ht="18.75" customHeight="1" x14ac:dyDescent="0.15">
      <c r="A36" s="14"/>
      <c r="B36" s="201"/>
      <c r="C36" s="202"/>
      <c r="D36" s="202"/>
      <c r="E36" s="202"/>
      <c r="F36" s="202"/>
      <c r="G36" s="202"/>
      <c r="H36" s="202"/>
      <c r="I36" s="200"/>
    </row>
    <row r="37" spans="1:9" ht="18.75" customHeight="1" x14ac:dyDescent="0.15">
      <c r="A37" s="14"/>
      <c r="B37" s="201"/>
      <c r="C37" s="202"/>
      <c r="D37" s="202"/>
      <c r="E37" s="202"/>
      <c r="F37" s="202"/>
      <c r="G37" s="202"/>
      <c r="H37" s="202"/>
      <c r="I37" s="200"/>
    </row>
    <row r="38" spans="1:9" ht="18.75" customHeight="1" x14ac:dyDescent="0.15">
      <c r="A38" s="14"/>
      <c r="B38" s="201"/>
      <c r="C38" s="202"/>
      <c r="D38" s="202"/>
      <c r="E38" s="202"/>
      <c r="F38" s="202"/>
      <c r="G38" s="202"/>
      <c r="H38" s="202"/>
      <c r="I38" s="200"/>
    </row>
    <row r="39" spans="1:9" ht="18.75" customHeight="1" x14ac:dyDescent="0.15">
      <c r="A39" s="14"/>
      <c r="B39" s="201"/>
      <c r="C39" s="202"/>
      <c r="D39" s="202"/>
      <c r="E39" s="202"/>
      <c r="F39" s="202"/>
      <c r="G39" s="202"/>
      <c r="H39" s="202"/>
      <c r="I39" s="200"/>
    </row>
    <row r="40" spans="1:9" ht="18.75" customHeight="1" x14ac:dyDescent="0.15">
      <c r="A40" s="14"/>
      <c r="B40" s="201"/>
      <c r="C40" s="202"/>
      <c r="D40" s="202"/>
      <c r="E40" s="202"/>
      <c r="F40" s="202"/>
      <c r="G40" s="202"/>
      <c r="H40" s="202"/>
      <c r="I40" s="200"/>
    </row>
    <row r="41" spans="1:9" ht="18.75" customHeight="1" x14ac:dyDescent="0.15">
      <c r="A41" s="14"/>
      <c r="B41" s="201"/>
      <c r="C41" s="202"/>
      <c r="D41" s="202"/>
      <c r="E41" s="202"/>
      <c r="F41" s="202"/>
      <c r="G41" s="202"/>
      <c r="H41" s="202"/>
      <c r="I41" s="200"/>
    </row>
    <row r="42" spans="1:9" ht="18.75" customHeight="1" x14ac:dyDescent="0.15">
      <c r="A42" s="14"/>
      <c r="B42" s="201"/>
      <c r="C42" s="202"/>
      <c r="D42" s="202"/>
      <c r="E42" s="202"/>
      <c r="F42" s="202"/>
      <c r="G42" s="202"/>
      <c r="H42" s="202"/>
      <c r="I42" s="200"/>
    </row>
    <row r="43" spans="1:9" ht="18.75" customHeight="1" x14ac:dyDescent="0.15">
      <c r="A43" s="14"/>
      <c r="B43" s="201"/>
      <c r="C43" s="202"/>
      <c r="D43" s="202"/>
      <c r="E43" s="202"/>
      <c r="F43" s="202"/>
      <c r="G43" s="202"/>
      <c r="H43" s="202"/>
      <c r="I43" s="200"/>
    </row>
    <row r="44" spans="1:9" ht="18.75" customHeight="1" x14ac:dyDescent="0.15">
      <c r="A44" s="14"/>
      <c r="B44" s="201"/>
      <c r="C44" s="202"/>
      <c r="D44" s="202"/>
      <c r="E44" s="202"/>
      <c r="F44" s="202"/>
      <c r="G44" s="202"/>
      <c r="H44" s="202"/>
      <c r="I44" s="200"/>
    </row>
    <row r="45" spans="1:9" ht="18.75" customHeight="1" x14ac:dyDescent="0.15">
      <c r="A45" s="14"/>
      <c r="B45" s="201"/>
      <c r="C45" s="202"/>
      <c r="D45" s="202"/>
      <c r="E45" s="202"/>
      <c r="F45" s="202"/>
      <c r="G45" s="202"/>
      <c r="H45" s="202"/>
      <c r="I45" s="200"/>
    </row>
    <row r="46" spans="1:9" ht="18.75" customHeight="1" x14ac:dyDescent="0.15">
      <c r="A46" s="14"/>
      <c r="B46" s="203"/>
      <c r="C46" s="204"/>
      <c r="D46" s="204"/>
      <c r="E46" s="204"/>
      <c r="F46" s="204"/>
      <c r="G46" s="204"/>
      <c r="H46" s="204"/>
      <c r="I46" s="205"/>
    </row>
    <row r="47" spans="1:9" ht="7.5" customHeight="1" x14ac:dyDescent="0.15">
      <c r="A47" s="4"/>
      <c r="B47" s="4"/>
      <c r="C47" s="4"/>
      <c r="D47" s="4"/>
      <c r="E47" s="4"/>
      <c r="F47" s="4"/>
      <c r="G47" s="4"/>
      <c r="H47" s="4"/>
      <c r="I47" s="4"/>
    </row>
    <row r="48" spans="1:9" ht="18.75" customHeight="1" x14ac:dyDescent="0.15">
      <c r="A48" s="1" t="s">
        <v>30</v>
      </c>
      <c r="B48" s="1" t="s">
        <v>110</v>
      </c>
    </row>
    <row r="49" spans="1:15" s="3" customFormat="1" ht="18.75" customHeight="1" x14ac:dyDescent="0.15">
      <c r="B49" s="34" t="s">
        <v>127</v>
      </c>
      <c r="C49" s="233">
        <f>'様式２ 履修者等数の実績'!S33</f>
        <v>3.7347560975609755E-2</v>
      </c>
      <c r="D49" s="233"/>
      <c r="E49" s="34" t="s">
        <v>63</v>
      </c>
      <c r="F49" s="233">
        <v>0.1</v>
      </c>
      <c r="G49" s="233"/>
      <c r="H49" s="34" t="s">
        <v>64</v>
      </c>
      <c r="I49" s="35">
        <v>0.15</v>
      </c>
      <c r="J49" s="1"/>
      <c r="M49" s="1"/>
      <c r="N49" s="36"/>
    </row>
    <row r="50" spans="1:15" s="3" customFormat="1" ht="18.75" customHeight="1" x14ac:dyDescent="0.15">
      <c r="B50" s="37" t="s">
        <v>84</v>
      </c>
      <c r="C50" s="216">
        <v>0.2</v>
      </c>
      <c r="D50" s="216"/>
      <c r="E50" s="37" t="s">
        <v>128</v>
      </c>
      <c r="F50" s="216">
        <v>0.25</v>
      </c>
      <c r="G50" s="216"/>
      <c r="H50" s="37" t="s">
        <v>65</v>
      </c>
      <c r="I50" s="38">
        <f>'様式２ 履修者等数の実績'!E33</f>
        <v>6560</v>
      </c>
      <c r="J50" s="1"/>
      <c r="M50" s="1"/>
      <c r="N50" s="36"/>
    </row>
    <row r="51" spans="1:15" ht="18.75" customHeight="1" x14ac:dyDescent="0.15">
      <c r="A51" s="1"/>
      <c r="B51" s="213" t="s">
        <v>66</v>
      </c>
      <c r="C51" s="214"/>
      <c r="D51" s="214"/>
      <c r="E51" s="214"/>
      <c r="F51" s="214"/>
      <c r="G51" s="214"/>
      <c r="H51" s="214"/>
      <c r="I51" s="215"/>
      <c r="N51" s="36"/>
      <c r="O51" s="3"/>
    </row>
    <row r="52" spans="1:15" ht="18.75" customHeight="1" x14ac:dyDescent="0.15">
      <c r="A52" s="1"/>
      <c r="B52" s="234" t="s">
        <v>170</v>
      </c>
      <c r="C52" s="235"/>
      <c r="D52" s="235"/>
      <c r="E52" s="235"/>
      <c r="F52" s="235"/>
      <c r="G52" s="235"/>
      <c r="H52" s="235"/>
      <c r="I52" s="236"/>
      <c r="N52" s="36"/>
      <c r="O52" s="3"/>
    </row>
    <row r="53" spans="1:15" ht="18.75" customHeight="1" x14ac:dyDescent="0.15">
      <c r="A53" s="1"/>
      <c r="B53" s="237"/>
      <c r="C53" s="238"/>
      <c r="D53" s="238"/>
      <c r="E53" s="238"/>
      <c r="F53" s="238"/>
      <c r="G53" s="238"/>
      <c r="H53" s="238"/>
      <c r="I53" s="239"/>
      <c r="N53" s="36"/>
      <c r="O53" s="3"/>
    </row>
    <row r="54" spans="1:15" ht="18.75" customHeight="1" x14ac:dyDescent="0.15">
      <c r="A54" s="1"/>
      <c r="B54" s="237"/>
      <c r="C54" s="238"/>
      <c r="D54" s="238"/>
      <c r="E54" s="238"/>
      <c r="F54" s="238"/>
      <c r="G54" s="238"/>
      <c r="H54" s="238"/>
      <c r="I54" s="239"/>
    </row>
    <row r="55" spans="1:15" ht="18.75" customHeight="1" x14ac:dyDescent="0.15">
      <c r="A55" s="1"/>
      <c r="B55" s="237"/>
      <c r="C55" s="238"/>
      <c r="D55" s="238"/>
      <c r="E55" s="238"/>
      <c r="F55" s="238"/>
      <c r="G55" s="238"/>
      <c r="H55" s="238"/>
      <c r="I55" s="239"/>
    </row>
    <row r="56" spans="1:15" ht="18.75" customHeight="1" x14ac:dyDescent="0.15">
      <c r="A56" s="1"/>
      <c r="B56" s="237"/>
      <c r="C56" s="238"/>
      <c r="D56" s="238"/>
      <c r="E56" s="238"/>
      <c r="F56" s="238"/>
      <c r="G56" s="238"/>
      <c r="H56" s="238"/>
      <c r="I56" s="239"/>
    </row>
    <row r="57" spans="1:15" ht="18.75" customHeight="1" x14ac:dyDescent="0.15">
      <c r="A57" s="1"/>
      <c r="B57" s="237"/>
      <c r="C57" s="238"/>
      <c r="D57" s="238"/>
      <c r="E57" s="238"/>
      <c r="F57" s="238"/>
      <c r="G57" s="238"/>
      <c r="H57" s="238"/>
      <c r="I57" s="239"/>
    </row>
    <row r="58" spans="1:15" ht="18.75" customHeight="1" x14ac:dyDescent="0.15">
      <c r="A58" s="1"/>
      <c r="B58" s="237"/>
      <c r="C58" s="238"/>
      <c r="D58" s="238"/>
      <c r="E58" s="238"/>
      <c r="F58" s="238"/>
      <c r="G58" s="238"/>
      <c r="H58" s="238"/>
      <c r="I58" s="239"/>
    </row>
    <row r="59" spans="1:15" ht="18.75" customHeight="1" x14ac:dyDescent="0.15">
      <c r="A59" s="1"/>
      <c r="B59" s="237"/>
      <c r="C59" s="238"/>
      <c r="D59" s="238"/>
      <c r="E59" s="238"/>
      <c r="F59" s="238"/>
      <c r="G59" s="238"/>
      <c r="H59" s="238"/>
      <c r="I59" s="239"/>
    </row>
    <row r="60" spans="1:15" ht="18.75" customHeight="1" x14ac:dyDescent="0.15">
      <c r="A60" s="1"/>
      <c r="B60" s="237"/>
      <c r="C60" s="238"/>
      <c r="D60" s="238"/>
      <c r="E60" s="238"/>
      <c r="F60" s="238"/>
      <c r="G60" s="238"/>
      <c r="H60" s="238"/>
      <c r="I60" s="239"/>
    </row>
    <row r="61" spans="1:15" ht="18.75" customHeight="1" x14ac:dyDescent="0.15">
      <c r="A61" s="1"/>
      <c r="B61" s="237"/>
      <c r="C61" s="238"/>
      <c r="D61" s="238"/>
      <c r="E61" s="238"/>
      <c r="F61" s="238"/>
      <c r="G61" s="238"/>
      <c r="H61" s="238"/>
      <c r="I61" s="239"/>
    </row>
    <row r="62" spans="1:15" ht="18.75" customHeight="1" x14ac:dyDescent="0.15">
      <c r="A62" s="1"/>
      <c r="B62" s="237"/>
      <c r="C62" s="238"/>
      <c r="D62" s="238"/>
      <c r="E62" s="238"/>
      <c r="F62" s="238"/>
      <c r="G62" s="238"/>
      <c r="H62" s="238"/>
      <c r="I62" s="239"/>
    </row>
    <row r="63" spans="1:15" ht="18.75" customHeight="1" x14ac:dyDescent="0.15">
      <c r="A63" s="1"/>
      <c r="B63" s="240"/>
      <c r="C63" s="241"/>
      <c r="D63" s="241"/>
      <c r="E63" s="241"/>
      <c r="F63" s="241"/>
      <c r="G63" s="241"/>
      <c r="H63" s="241"/>
      <c r="I63" s="242"/>
    </row>
    <row r="64" spans="1:15" ht="7.5" customHeight="1" x14ac:dyDescent="0.15">
      <c r="A64" s="14"/>
      <c r="B64" s="14"/>
      <c r="C64" s="14"/>
      <c r="D64" s="14"/>
      <c r="E64" s="14"/>
      <c r="F64" s="14"/>
      <c r="G64" s="14"/>
      <c r="H64" s="14"/>
      <c r="I64" s="14"/>
    </row>
    <row r="65" spans="1:9" ht="18.75" customHeight="1" x14ac:dyDescent="0.15">
      <c r="A65" s="15" t="s">
        <v>33</v>
      </c>
      <c r="B65" s="1" t="s">
        <v>36</v>
      </c>
      <c r="I65" s="15"/>
    </row>
    <row r="66" spans="1:9" ht="18.75" customHeight="1" x14ac:dyDescent="0.15">
      <c r="A66" s="4"/>
      <c r="B66" s="217" t="s">
        <v>156</v>
      </c>
      <c r="C66" s="218"/>
      <c r="D66" s="218"/>
      <c r="E66" s="218"/>
      <c r="F66" s="218"/>
      <c r="G66" s="218"/>
      <c r="H66" s="218"/>
      <c r="I66" s="219"/>
    </row>
    <row r="67" spans="1:9" ht="18.75" customHeight="1" x14ac:dyDescent="0.15">
      <c r="A67" s="4"/>
      <c r="B67" s="220"/>
      <c r="C67" s="221"/>
      <c r="D67" s="221"/>
      <c r="E67" s="221"/>
      <c r="F67" s="221"/>
      <c r="G67" s="221"/>
      <c r="H67" s="221"/>
      <c r="I67" s="222"/>
    </row>
    <row r="68" spans="1:9" ht="18.75" customHeight="1" x14ac:dyDescent="0.15">
      <c r="A68" s="4"/>
      <c r="B68" s="220"/>
      <c r="C68" s="221"/>
      <c r="D68" s="221"/>
      <c r="E68" s="221"/>
      <c r="F68" s="221"/>
      <c r="G68" s="221"/>
      <c r="H68" s="221"/>
      <c r="I68" s="222"/>
    </row>
    <row r="69" spans="1:9" ht="18.75" customHeight="1" x14ac:dyDescent="0.15">
      <c r="A69" s="4"/>
      <c r="B69" s="220"/>
      <c r="C69" s="221"/>
      <c r="D69" s="221"/>
      <c r="E69" s="221"/>
      <c r="F69" s="221"/>
      <c r="G69" s="221"/>
      <c r="H69" s="221"/>
      <c r="I69" s="222"/>
    </row>
    <row r="70" spans="1:9" ht="18.75" customHeight="1" x14ac:dyDescent="0.15">
      <c r="A70" s="4"/>
      <c r="B70" s="220"/>
      <c r="C70" s="221"/>
      <c r="D70" s="221"/>
      <c r="E70" s="221"/>
      <c r="F70" s="221"/>
      <c r="G70" s="221"/>
      <c r="H70" s="221"/>
      <c r="I70" s="222"/>
    </row>
    <row r="71" spans="1:9" ht="18.75" customHeight="1" x14ac:dyDescent="0.15">
      <c r="A71" s="4"/>
      <c r="B71" s="220"/>
      <c r="C71" s="221"/>
      <c r="D71" s="221"/>
      <c r="E71" s="221"/>
      <c r="F71" s="221"/>
      <c r="G71" s="221"/>
      <c r="H71" s="221"/>
      <c r="I71" s="222"/>
    </row>
    <row r="72" spans="1:9" ht="18.75" customHeight="1" x14ac:dyDescent="0.15">
      <c r="A72" s="4"/>
      <c r="B72" s="220"/>
      <c r="C72" s="221"/>
      <c r="D72" s="221"/>
      <c r="E72" s="221"/>
      <c r="F72" s="221"/>
      <c r="G72" s="221"/>
      <c r="H72" s="221"/>
      <c r="I72" s="222"/>
    </row>
    <row r="73" spans="1:9" ht="18.75" customHeight="1" x14ac:dyDescent="0.15">
      <c r="A73" s="4"/>
      <c r="B73" s="220"/>
      <c r="C73" s="221"/>
      <c r="D73" s="221"/>
      <c r="E73" s="221"/>
      <c r="F73" s="221"/>
      <c r="G73" s="221"/>
      <c r="H73" s="221"/>
      <c r="I73" s="222"/>
    </row>
    <row r="74" spans="1:9" ht="18.75" customHeight="1" x14ac:dyDescent="0.15">
      <c r="A74" s="4"/>
      <c r="B74" s="220"/>
      <c r="C74" s="221"/>
      <c r="D74" s="221"/>
      <c r="E74" s="221"/>
      <c r="F74" s="221"/>
      <c r="G74" s="221"/>
      <c r="H74" s="221"/>
      <c r="I74" s="222"/>
    </row>
    <row r="75" spans="1:9" ht="18.75" customHeight="1" x14ac:dyDescent="0.15">
      <c r="A75" s="4"/>
      <c r="B75" s="220"/>
      <c r="C75" s="221"/>
      <c r="D75" s="221"/>
      <c r="E75" s="221"/>
      <c r="F75" s="221"/>
      <c r="G75" s="221"/>
      <c r="H75" s="221"/>
      <c r="I75" s="222"/>
    </row>
    <row r="76" spans="1:9" ht="18.75" customHeight="1" x14ac:dyDescent="0.15">
      <c r="A76" s="4"/>
      <c r="B76" s="220"/>
      <c r="C76" s="221"/>
      <c r="D76" s="221"/>
      <c r="E76" s="221"/>
      <c r="F76" s="221"/>
      <c r="G76" s="221"/>
      <c r="H76" s="221"/>
      <c r="I76" s="222"/>
    </row>
    <row r="77" spans="1:9" ht="18.75" customHeight="1" x14ac:dyDescent="0.15">
      <c r="A77" s="4"/>
      <c r="B77" s="223"/>
      <c r="C77" s="224"/>
      <c r="D77" s="224"/>
      <c r="E77" s="224"/>
      <c r="F77" s="224"/>
      <c r="G77" s="224"/>
      <c r="H77" s="224"/>
      <c r="I77" s="225"/>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217" t="s">
        <v>169</v>
      </c>
      <c r="C80" s="218"/>
      <c r="D80" s="218"/>
      <c r="E80" s="218"/>
      <c r="F80" s="218"/>
      <c r="G80" s="218"/>
      <c r="H80" s="218"/>
      <c r="I80" s="226"/>
    </row>
    <row r="81" spans="1:9" ht="18.75" customHeight="1" x14ac:dyDescent="0.15">
      <c r="A81" s="1"/>
      <c r="B81" s="227"/>
      <c r="C81" s="228"/>
      <c r="D81" s="228"/>
      <c r="E81" s="228"/>
      <c r="F81" s="228"/>
      <c r="G81" s="228"/>
      <c r="H81" s="228"/>
      <c r="I81" s="229"/>
    </row>
    <row r="82" spans="1:9" ht="18.75" customHeight="1" x14ac:dyDescent="0.15">
      <c r="A82" s="1"/>
      <c r="B82" s="227"/>
      <c r="C82" s="228"/>
      <c r="D82" s="228"/>
      <c r="E82" s="228"/>
      <c r="F82" s="228"/>
      <c r="G82" s="228"/>
      <c r="H82" s="228"/>
      <c r="I82" s="229"/>
    </row>
    <row r="83" spans="1:9" ht="18.75" customHeight="1" x14ac:dyDescent="0.15">
      <c r="A83" s="1"/>
      <c r="B83" s="227"/>
      <c r="C83" s="228"/>
      <c r="D83" s="228"/>
      <c r="E83" s="228"/>
      <c r="F83" s="228"/>
      <c r="G83" s="228"/>
      <c r="H83" s="228"/>
      <c r="I83" s="229"/>
    </row>
    <row r="84" spans="1:9" ht="18.75" customHeight="1" x14ac:dyDescent="0.15">
      <c r="A84" s="1"/>
      <c r="B84" s="227"/>
      <c r="C84" s="228"/>
      <c r="D84" s="228"/>
      <c r="E84" s="228"/>
      <c r="F84" s="228"/>
      <c r="G84" s="228"/>
      <c r="H84" s="228"/>
      <c r="I84" s="229"/>
    </row>
    <row r="85" spans="1:9" ht="18.75" customHeight="1" x14ac:dyDescent="0.15">
      <c r="A85" s="1"/>
      <c r="B85" s="227"/>
      <c r="C85" s="228"/>
      <c r="D85" s="228"/>
      <c r="E85" s="228"/>
      <c r="F85" s="228"/>
      <c r="G85" s="228"/>
      <c r="H85" s="228"/>
      <c r="I85" s="229"/>
    </row>
    <row r="86" spans="1:9" ht="18.75" customHeight="1" x14ac:dyDescent="0.15">
      <c r="A86" s="1"/>
      <c r="B86" s="227"/>
      <c r="C86" s="228"/>
      <c r="D86" s="228"/>
      <c r="E86" s="228"/>
      <c r="F86" s="228"/>
      <c r="G86" s="228"/>
      <c r="H86" s="228"/>
      <c r="I86" s="229"/>
    </row>
    <row r="87" spans="1:9" ht="18.75" customHeight="1" x14ac:dyDescent="0.15">
      <c r="A87" s="1"/>
      <c r="B87" s="227"/>
      <c r="C87" s="228"/>
      <c r="D87" s="228"/>
      <c r="E87" s="228"/>
      <c r="F87" s="228"/>
      <c r="G87" s="228"/>
      <c r="H87" s="228"/>
      <c r="I87" s="229"/>
    </row>
    <row r="88" spans="1:9" ht="18.75" customHeight="1" x14ac:dyDescent="0.15">
      <c r="A88" s="1"/>
      <c r="B88" s="227"/>
      <c r="C88" s="228"/>
      <c r="D88" s="228"/>
      <c r="E88" s="228"/>
      <c r="F88" s="228"/>
      <c r="G88" s="228"/>
      <c r="H88" s="228"/>
      <c r="I88" s="229"/>
    </row>
    <row r="89" spans="1:9" ht="18.75" customHeight="1" x14ac:dyDescent="0.15">
      <c r="A89" s="1"/>
      <c r="B89" s="227"/>
      <c r="C89" s="228"/>
      <c r="D89" s="228"/>
      <c r="E89" s="228"/>
      <c r="F89" s="228"/>
      <c r="G89" s="228"/>
      <c r="H89" s="228"/>
      <c r="I89" s="229"/>
    </row>
    <row r="90" spans="1:9" ht="18.75" customHeight="1" x14ac:dyDescent="0.15">
      <c r="A90" s="4"/>
      <c r="B90" s="227"/>
      <c r="C90" s="228"/>
      <c r="D90" s="228"/>
      <c r="E90" s="228"/>
      <c r="F90" s="228"/>
      <c r="G90" s="228"/>
      <c r="H90" s="228"/>
      <c r="I90" s="229"/>
    </row>
    <row r="91" spans="1:9" ht="18.75" customHeight="1" x14ac:dyDescent="0.15">
      <c r="A91" s="4"/>
      <c r="B91" s="230"/>
      <c r="C91" s="231"/>
      <c r="D91" s="231"/>
      <c r="E91" s="231"/>
      <c r="F91" s="231"/>
      <c r="G91" s="231"/>
      <c r="H91" s="231"/>
      <c r="I91" s="232"/>
    </row>
    <row r="92" spans="1:9" ht="7.5" customHeight="1" x14ac:dyDescent="0.15">
      <c r="A92" s="4"/>
      <c r="B92" s="4"/>
      <c r="C92" s="4"/>
      <c r="D92" s="4"/>
      <c r="E92" s="4"/>
      <c r="F92" s="4"/>
      <c r="G92" s="4"/>
      <c r="H92" s="4"/>
      <c r="I92" s="4"/>
    </row>
    <row r="93" spans="1:9" ht="18.75" customHeight="1" x14ac:dyDescent="0.15">
      <c r="A93" s="1" t="s">
        <v>42</v>
      </c>
      <c r="B93" s="1" t="s">
        <v>12</v>
      </c>
    </row>
    <row r="94" spans="1:9" ht="18.75" customHeight="1" x14ac:dyDescent="0.15">
      <c r="A94" s="1"/>
      <c r="B94" s="195" t="s">
        <v>171</v>
      </c>
      <c r="C94" s="196"/>
      <c r="D94" s="196"/>
      <c r="E94" s="196"/>
      <c r="F94" s="196"/>
      <c r="G94" s="196"/>
      <c r="H94" s="196"/>
      <c r="I94" s="197"/>
    </row>
    <row r="95" spans="1:9" ht="18.75" customHeight="1" x14ac:dyDescent="0.15">
      <c r="A95" s="1"/>
      <c r="B95" s="201"/>
      <c r="C95" s="202"/>
      <c r="D95" s="202"/>
      <c r="E95" s="202"/>
      <c r="F95" s="202"/>
      <c r="G95" s="202"/>
      <c r="H95" s="202"/>
      <c r="I95" s="200"/>
    </row>
    <row r="96" spans="1:9" ht="18.75" customHeight="1" x14ac:dyDescent="0.15">
      <c r="A96" s="1"/>
      <c r="B96" s="201"/>
      <c r="C96" s="202"/>
      <c r="D96" s="202"/>
      <c r="E96" s="202"/>
      <c r="F96" s="202"/>
      <c r="G96" s="202"/>
      <c r="H96" s="202"/>
      <c r="I96" s="200"/>
    </row>
    <row r="97" spans="1:9" ht="18.75" customHeight="1" x14ac:dyDescent="0.15">
      <c r="A97" s="1"/>
      <c r="B97" s="201"/>
      <c r="C97" s="202"/>
      <c r="D97" s="202"/>
      <c r="E97" s="202"/>
      <c r="F97" s="202"/>
      <c r="G97" s="202"/>
      <c r="H97" s="202"/>
      <c r="I97" s="200"/>
    </row>
    <row r="98" spans="1:9" ht="18.75" customHeight="1" x14ac:dyDescent="0.15">
      <c r="A98" s="1"/>
      <c r="B98" s="201"/>
      <c r="C98" s="202"/>
      <c r="D98" s="202"/>
      <c r="E98" s="202"/>
      <c r="F98" s="202"/>
      <c r="G98" s="202"/>
      <c r="H98" s="202"/>
      <c r="I98" s="200"/>
    </row>
    <row r="99" spans="1:9" ht="18.75" customHeight="1" x14ac:dyDescent="0.15">
      <c r="A99" s="1"/>
      <c r="B99" s="201"/>
      <c r="C99" s="202"/>
      <c r="D99" s="202"/>
      <c r="E99" s="202"/>
      <c r="F99" s="202"/>
      <c r="G99" s="202"/>
      <c r="H99" s="202"/>
      <c r="I99" s="200"/>
    </row>
    <row r="100" spans="1:9" ht="18.75" customHeight="1" x14ac:dyDescent="0.15">
      <c r="A100" s="1"/>
      <c r="B100" s="201"/>
      <c r="C100" s="202"/>
      <c r="D100" s="202"/>
      <c r="E100" s="202"/>
      <c r="F100" s="202"/>
      <c r="G100" s="202"/>
      <c r="H100" s="202"/>
      <c r="I100" s="200"/>
    </row>
    <row r="101" spans="1:9" ht="18.75" customHeight="1" x14ac:dyDescent="0.15">
      <c r="A101" s="1"/>
      <c r="B101" s="201"/>
      <c r="C101" s="202"/>
      <c r="D101" s="202"/>
      <c r="E101" s="202"/>
      <c r="F101" s="202"/>
      <c r="G101" s="202"/>
      <c r="H101" s="202"/>
      <c r="I101" s="200"/>
    </row>
    <row r="102" spans="1:9" ht="18.75" customHeight="1" x14ac:dyDescent="0.15">
      <c r="A102" s="1"/>
      <c r="B102" s="201"/>
      <c r="C102" s="202"/>
      <c r="D102" s="202"/>
      <c r="E102" s="202"/>
      <c r="F102" s="202"/>
      <c r="G102" s="202"/>
      <c r="H102" s="202"/>
      <c r="I102" s="200"/>
    </row>
    <row r="103" spans="1:9" ht="18.75" customHeight="1" x14ac:dyDescent="0.15">
      <c r="A103" s="1"/>
      <c r="B103" s="201"/>
      <c r="C103" s="202"/>
      <c r="D103" s="202"/>
      <c r="E103" s="202"/>
      <c r="F103" s="202"/>
      <c r="G103" s="202"/>
      <c r="H103" s="202"/>
      <c r="I103" s="200"/>
    </row>
    <row r="104" spans="1:9" ht="18.75" customHeight="1" x14ac:dyDescent="0.15">
      <c r="A104" s="1"/>
      <c r="B104" s="201"/>
      <c r="C104" s="202"/>
      <c r="D104" s="202"/>
      <c r="E104" s="202"/>
      <c r="F104" s="202"/>
      <c r="G104" s="202"/>
      <c r="H104" s="202"/>
      <c r="I104" s="200"/>
    </row>
    <row r="105" spans="1:9" ht="18.75" customHeight="1" x14ac:dyDescent="0.15">
      <c r="A105" s="4"/>
      <c r="B105" s="203"/>
      <c r="C105" s="204"/>
      <c r="D105" s="204"/>
      <c r="E105" s="204"/>
      <c r="F105" s="204"/>
      <c r="G105" s="204"/>
      <c r="H105" s="204"/>
      <c r="I105" s="205"/>
    </row>
    <row r="106" spans="1:9" ht="7.5" customHeight="1" x14ac:dyDescent="0.15">
      <c r="A106" s="4"/>
      <c r="B106" s="4"/>
      <c r="C106" s="4"/>
      <c r="D106" s="4"/>
      <c r="E106" s="4"/>
      <c r="F106" s="4"/>
      <c r="G106" s="4"/>
      <c r="H106" s="4"/>
      <c r="I106" s="4"/>
    </row>
    <row r="107" spans="1:9" ht="18.75" customHeight="1" x14ac:dyDescent="0.15">
      <c r="A107" s="1" t="s">
        <v>29</v>
      </c>
      <c r="B107" s="212" t="s">
        <v>44</v>
      </c>
      <c r="C107" s="212"/>
      <c r="D107" s="212"/>
      <c r="E107" s="212"/>
      <c r="F107" s="212"/>
      <c r="G107" s="212"/>
      <c r="H107" s="212"/>
      <c r="I107" s="212"/>
    </row>
    <row r="108" spans="1:9" ht="18.75" customHeight="1" x14ac:dyDescent="0.15">
      <c r="A108" s="4"/>
      <c r="B108" s="195" t="s">
        <v>181</v>
      </c>
      <c r="C108" s="196"/>
      <c r="D108" s="196"/>
      <c r="E108" s="196"/>
      <c r="F108" s="196"/>
      <c r="G108" s="196"/>
      <c r="H108" s="196"/>
      <c r="I108" s="197"/>
    </row>
    <row r="109" spans="1:9" ht="18.75" customHeight="1" x14ac:dyDescent="0.15">
      <c r="A109" s="4"/>
      <c r="B109" s="201"/>
      <c r="C109" s="202"/>
      <c r="D109" s="202"/>
      <c r="E109" s="202"/>
      <c r="F109" s="202"/>
      <c r="G109" s="202"/>
      <c r="H109" s="202"/>
      <c r="I109" s="200"/>
    </row>
    <row r="110" spans="1:9" ht="18.75" customHeight="1" x14ac:dyDescent="0.15">
      <c r="A110" s="4"/>
      <c r="B110" s="201"/>
      <c r="C110" s="202"/>
      <c r="D110" s="202"/>
      <c r="E110" s="202"/>
      <c r="F110" s="202"/>
      <c r="G110" s="202"/>
      <c r="H110" s="202"/>
      <c r="I110" s="200"/>
    </row>
    <row r="111" spans="1:9" ht="18.75" customHeight="1" x14ac:dyDescent="0.15">
      <c r="A111" s="4"/>
      <c r="B111" s="201"/>
      <c r="C111" s="202"/>
      <c r="D111" s="202"/>
      <c r="E111" s="202"/>
      <c r="F111" s="202"/>
      <c r="G111" s="202"/>
      <c r="H111" s="202"/>
      <c r="I111" s="200"/>
    </row>
    <row r="112" spans="1:9" ht="18.75" customHeight="1" x14ac:dyDescent="0.15">
      <c r="A112" s="4"/>
      <c r="B112" s="201"/>
      <c r="C112" s="202"/>
      <c r="D112" s="202"/>
      <c r="E112" s="202"/>
      <c r="F112" s="202"/>
      <c r="G112" s="202"/>
      <c r="H112" s="202"/>
      <c r="I112" s="200"/>
    </row>
    <row r="113" spans="1:9" ht="18.75" customHeight="1" x14ac:dyDescent="0.15">
      <c r="A113" s="4"/>
      <c r="B113" s="201"/>
      <c r="C113" s="202"/>
      <c r="D113" s="202"/>
      <c r="E113" s="202"/>
      <c r="F113" s="202"/>
      <c r="G113" s="202"/>
      <c r="H113" s="202"/>
      <c r="I113" s="200"/>
    </row>
    <row r="114" spans="1:9" ht="18.75" customHeight="1" x14ac:dyDescent="0.15">
      <c r="A114" s="4"/>
      <c r="B114" s="201"/>
      <c r="C114" s="202"/>
      <c r="D114" s="202"/>
      <c r="E114" s="202"/>
      <c r="F114" s="202"/>
      <c r="G114" s="202"/>
      <c r="H114" s="202"/>
      <c r="I114" s="200"/>
    </row>
    <row r="115" spans="1:9" ht="18.75" customHeight="1" x14ac:dyDescent="0.15">
      <c r="A115" s="4"/>
      <c r="B115" s="201"/>
      <c r="C115" s="202"/>
      <c r="D115" s="202"/>
      <c r="E115" s="202"/>
      <c r="F115" s="202"/>
      <c r="G115" s="202"/>
      <c r="H115" s="202"/>
      <c r="I115" s="200"/>
    </row>
    <row r="116" spans="1:9" ht="18.75" customHeight="1" x14ac:dyDescent="0.15">
      <c r="A116" s="4"/>
      <c r="B116" s="201"/>
      <c r="C116" s="202"/>
      <c r="D116" s="202"/>
      <c r="E116" s="202"/>
      <c r="F116" s="202"/>
      <c r="G116" s="202"/>
      <c r="H116" s="202"/>
      <c r="I116" s="200"/>
    </row>
    <row r="117" spans="1:9" ht="18.75" customHeight="1" x14ac:dyDescent="0.15">
      <c r="A117" s="4"/>
      <c r="B117" s="201"/>
      <c r="C117" s="202"/>
      <c r="D117" s="202"/>
      <c r="E117" s="202"/>
      <c r="F117" s="202"/>
      <c r="G117" s="202"/>
      <c r="H117" s="202"/>
      <c r="I117" s="200"/>
    </row>
    <row r="118" spans="1:9" ht="18.75" customHeight="1" x14ac:dyDescent="0.15">
      <c r="A118" s="4"/>
      <c r="B118" s="201"/>
      <c r="C118" s="202"/>
      <c r="D118" s="202"/>
      <c r="E118" s="202"/>
      <c r="F118" s="202"/>
      <c r="G118" s="202"/>
      <c r="H118" s="202"/>
      <c r="I118" s="200"/>
    </row>
    <row r="119" spans="1:9" ht="18.75" customHeight="1" x14ac:dyDescent="0.15">
      <c r="A119" s="4"/>
      <c r="B119" s="203"/>
      <c r="C119" s="204"/>
      <c r="D119" s="204"/>
      <c r="E119" s="204"/>
      <c r="F119" s="204"/>
      <c r="G119" s="204"/>
      <c r="H119" s="204"/>
      <c r="I119" s="205"/>
    </row>
    <row r="120" spans="1:9" ht="7.5" customHeight="1" x14ac:dyDescent="0.15">
      <c r="A120" s="4"/>
      <c r="B120" s="39"/>
      <c r="C120" s="39"/>
      <c r="D120" s="39"/>
      <c r="E120" s="39"/>
      <c r="F120" s="39"/>
      <c r="G120" s="39"/>
      <c r="H120" s="39"/>
      <c r="I120" s="39"/>
    </row>
    <row r="121" spans="1:9" ht="18.75" customHeight="1" x14ac:dyDescent="0.15">
      <c r="A121" s="69"/>
      <c r="B121" s="190"/>
      <c r="C121" s="190"/>
      <c r="D121" s="190"/>
      <c r="E121" s="190"/>
      <c r="F121" s="190"/>
      <c r="G121" s="190"/>
      <c r="H121" s="190"/>
      <c r="I121" s="190"/>
    </row>
    <row r="122" spans="1:9" ht="18.75" customHeight="1" x14ac:dyDescent="0.15">
      <c r="A122" s="69"/>
      <c r="B122" s="190"/>
      <c r="C122" s="190"/>
      <c r="D122" s="190"/>
      <c r="E122" s="190"/>
      <c r="F122" s="190"/>
      <c r="G122" s="190"/>
      <c r="H122" s="190"/>
      <c r="I122" s="190"/>
    </row>
    <row r="123" spans="1:9" ht="18.75" customHeight="1" x14ac:dyDescent="0.15">
      <c r="A123" s="4"/>
      <c r="B123" s="73"/>
      <c r="C123" s="73"/>
      <c r="D123" s="73"/>
      <c r="E123" s="73"/>
      <c r="F123" s="73"/>
      <c r="G123" s="73"/>
      <c r="H123" s="73"/>
      <c r="I123" s="74"/>
    </row>
    <row r="124" spans="1:9" ht="18.75" customHeight="1" x14ac:dyDescent="0.15">
      <c r="A124" s="4"/>
      <c r="B124" s="74"/>
      <c r="C124" s="74"/>
      <c r="D124" s="74"/>
      <c r="E124" s="74"/>
      <c r="F124" s="74"/>
      <c r="G124" s="74"/>
      <c r="H124" s="74"/>
      <c r="I124" s="74"/>
    </row>
    <row r="125" spans="1:9" ht="18.75" customHeight="1" x14ac:dyDescent="0.15">
      <c r="A125" s="4"/>
      <c r="B125" s="74"/>
      <c r="C125" s="74"/>
      <c r="D125" s="74"/>
      <c r="E125" s="74"/>
      <c r="F125" s="74"/>
      <c r="G125" s="74"/>
      <c r="H125" s="74"/>
      <c r="I125" s="74"/>
    </row>
    <row r="126" spans="1:9" ht="18.75" customHeight="1" x14ac:dyDescent="0.15">
      <c r="A126" s="4"/>
      <c r="B126" s="74"/>
      <c r="C126" s="74"/>
      <c r="D126" s="74"/>
      <c r="E126" s="74"/>
      <c r="F126" s="74"/>
      <c r="G126" s="74"/>
      <c r="H126" s="74"/>
      <c r="I126" s="74"/>
    </row>
    <row r="127" spans="1:9" ht="18.75" customHeight="1" x14ac:dyDescent="0.15">
      <c r="A127" s="4"/>
      <c r="B127" s="74"/>
      <c r="C127" s="74"/>
      <c r="D127" s="74"/>
      <c r="E127" s="74"/>
      <c r="F127" s="74"/>
      <c r="G127" s="74"/>
      <c r="H127" s="74"/>
      <c r="I127" s="74"/>
    </row>
    <row r="128" spans="1:9" ht="18.75" customHeight="1" x14ac:dyDescent="0.15">
      <c r="A128" s="4"/>
      <c r="B128" s="74"/>
      <c r="C128" s="74"/>
      <c r="D128" s="74"/>
      <c r="E128" s="74"/>
      <c r="F128" s="74"/>
      <c r="G128" s="74"/>
      <c r="H128" s="74"/>
      <c r="I128" s="74"/>
    </row>
    <row r="129" spans="1:9" ht="18.75" customHeight="1" x14ac:dyDescent="0.15">
      <c r="A129" s="4"/>
      <c r="B129" s="74"/>
      <c r="C129" s="74"/>
      <c r="D129" s="74"/>
      <c r="E129" s="74"/>
      <c r="F129" s="74"/>
      <c r="G129" s="74"/>
      <c r="H129" s="74"/>
      <c r="I129" s="74"/>
    </row>
    <row r="130" spans="1:9" ht="18.75" customHeight="1" x14ac:dyDescent="0.15">
      <c r="A130" s="4"/>
      <c r="B130" s="74"/>
      <c r="C130" s="74"/>
      <c r="D130" s="74"/>
      <c r="E130" s="74"/>
      <c r="F130" s="74"/>
      <c r="G130" s="74"/>
      <c r="H130" s="74"/>
      <c r="I130" s="74"/>
    </row>
    <row r="131" spans="1:9" ht="18.75" customHeight="1" x14ac:dyDescent="0.15">
      <c r="A131" s="4"/>
      <c r="B131" s="74"/>
      <c r="C131" s="74"/>
      <c r="D131" s="74"/>
      <c r="E131" s="74"/>
      <c r="F131" s="74"/>
      <c r="G131" s="74"/>
      <c r="H131" s="74"/>
      <c r="I131" s="74"/>
    </row>
    <row r="132" spans="1:9" ht="18.75" customHeight="1" x14ac:dyDescent="0.15">
      <c r="A132" s="4"/>
      <c r="B132" s="74"/>
      <c r="C132" s="74"/>
      <c r="D132" s="74"/>
      <c r="E132" s="74"/>
      <c r="F132" s="74"/>
      <c r="G132" s="74"/>
      <c r="H132" s="74"/>
      <c r="I132" s="74"/>
    </row>
    <row r="133" spans="1:9" ht="14.25" x14ac:dyDescent="0.15">
      <c r="A133" s="4"/>
      <c r="B133" s="74"/>
      <c r="C133" s="74"/>
      <c r="D133" s="74"/>
      <c r="E133" s="74"/>
      <c r="F133" s="74"/>
      <c r="G133" s="74"/>
      <c r="H133" s="74"/>
      <c r="I133" s="74"/>
    </row>
    <row r="134" spans="1:9" ht="7.5" customHeight="1" x14ac:dyDescent="0.15">
      <c r="A134" s="4"/>
      <c r="B134" s="74"/>
      <c r="C134" s="74"/>
      <c r="D134" s="74"/>
      <c r="E134" s="74"/>
      <c r="F134" s="74"/>
      <c r="G134" s="74"/>
      <c r="H134" s="74"/>
      <c r="I134" s="74"/>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70866141732283472" right="0.70866141732283472" top="0.74803149606299213" bottom="0.74803149606299213" header="0.31496062992125984" footer="0.31496062992125984"/>
  <pageSetup paperSize="8" scale="125" fitToWidth="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I30"/>
  <sheetViews>
    <sheetView showZeros="0" view="pageBreakPreview" zoomScale="90" zoomScaleNormal="100" zoomScaleSheetLayoutView="90" workbookViewId="0"/>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67</v>
      </c>
      <c r="I1" s="30" t="s">
        <v>95</v>
      </c>
    </row>
    <row r="2" spans="1:9" ht="18.75" customHeight="1" x14ac:dyDescent="0.15">
      <c r="H2" s="30" t="s">
        <v>98</v>
      </c>
      <c r="I2" s="29" t="str">
        <f>'様式１-①　プログラムを構成する授業科目'!C2</f>
        <v>桃山学院大学</v>
      </c>
    </row>
    <row r="3" spans="1:9" ht="18.75" customHeight="1" x14ac:dyDescent="0.15">
      <c r="A3" s="191" t="s">
        <v>27</v>
      </c>
      <c r="B3" s="191"/>
      <c r="C3" s="191"/>
      <c r="D3" s="191"/>
      <c r="E3" s="191"/>
      <c r="F3" s="191"/>
      <c r="G3" s="191"/>
      <c r="H3" s="191"/>
      <c r="I3" s="191"/>
    </row>
    <row r="4" spans="1:9" ht="18.75" customHeight="1" x14ac:dyDescent="0.15">
      <c r="A4" s="5"/>
      <c r="B4" s="5"/>
      <c r="C4" s="5"/>
      <c r="D4" s="5"/>
      <c r="E4" s="5"/>
      <c r="F4" s="5"/>
      <c r="G4" s="5"/>
      <c r="H4" s="5"/>
      <c r="I4" s="5"/>
    </row>
    <row r="5" spans="1:9" ht="18.75" customHeight="1" x14ac:dyDescent="0.15">
      <c r="A5" s="1" t="s">
        <v>0</v>
      </c>
      <c r="B5" s="10" t="s">
        <v>89</v>
      </c>
      <c r="C5" s="5"/>
      <c r="D5" s="5"/>
      <c r="E5" s="5"/>
      <c r="F5" s="5"/>
      <c r="G5" s="5"/>
      <c r="H5" s="5"/>
      <c r="I5" s="5"/>
    </row>
    <row r="6" spans="1:9" ht="26.25" customHeight="1" x14ac:dyDescent="0.15">
      <c r="A6" s="5"/>
      <c r="B6" s="206" t="s">
        <v>165</v>
      </c>
      <c r="C6" s="250"/>
      <c r="D6" s="250"/>
      <c r="E6" s="250"/>
      <c r="F6" s="250"/>
      <c r="G6" s="250"/>
      <c r="H6" s="251"/>
      <c r="I6" s="3"/>
    </row>
    <row r="7" spans="1:9" ht="9" customHeight="1" x14ac:dyDescent="0.15">
      <c r="A7" s="5"/>
      <c r="B7" s="10"/>
      <c r="C7" s="10"/>
      <c r="D7" s="10"/>
      <c r="E7" s="10"/>
      <c r="F7" s="10"/>
      <c r="G7" s="10"/>
      <c r="H7" s="10"/>
      <c r="I7" s="3"/>
    </row>
    <row r="8" spans="1:9" ht="18.75" customHeight="1" x14ac:dyDescent="0.15">
      <c r="A8" s="5"/>
      <c r="B8" s="3"/>
      <c r="C8" s="3"/>
      <c r="D8" s="30" t="s">
        <v>41</v>
      </c>
      <c r="E8" s="31" t="s">
        <v>166</v>
      </c>
      <c r="F8" s="3"/>
      <c r="G8" s="30" t="s">
        <v>10</v>
      </c>
      <c r="H8" s="31" t="s">
        <v>167</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98" t="s">
        <v>23</v>
      </c>
      <c r="C11" s="99"/>
      <c r="D11" s="100"/>
      <c r="E11" s="99" t="s">
        <v>25</v>
      </c>
      <c r="F11" s="99"/>
      <c r="G11" s="99"/>
      <c r="H11" s="99"/>
      <c r="I11" s="100"/>
    </row>
    <row r="12" spans="1:9" ht="26.25" customHeight="1" x14ac:dyDescent="0.15">
      <c r="B12" s="40" t="s">
        <v>13</v>
      </c>
      <c r="C12" s="47"/>
      <c r="D12" s="41"/>
      <c r="E12" s="48"/>
      <c r="F12" s="48"/>
      <c r="G12" s="48"/>
      <c r="H12" s="48"/>
      <c r="I12" s="41"/>
    </row>
    <row r="13" spans="1:9" ht="210.75" customHeight="1" x14ac:dyDescent="0.15">
      <c r="B13" s="42"/>
      <c r="C13" s="248" t="s">
        <v>14</v>
      </c>
      <c r="D13" s="249"/>
      <c r="E13" s="245" t="s">
        <v>182</v>
      </c>
      <c r="F13" s="246"/>
      <c r="G13" s="246"/>
      <c r="H13" s="246"/>
      <c r="I13" s="247"/>
    </row>
    <row r="14" spans="1:9" ht="210.75" customHeight="1" x14ac:dyDescent="0.15">
      <c r="B14" s="42"/>
      <c r="C14" s="243" t="s">
        <v>15</v>
      </c>
      <c r="D14" s="244"/>
      <c r="E14" s="245" t="s">
        <v>157</v>
      </c>
      <c r="F14" s="246"/>
      <c r="G14" s="246"/>
      <c r="H14" s="246"/>
      <c r="I14" s="247"/>
    </row>
    <row r="15" spans="1:9" ht="210.75" customHeight="1" x14ac:dyDescent="0.15">
      <c r="B15" s="42"/>
      <c r="C15" s="248" t="s">
        <v>16</v>
      </c>
      <c r="D15" s="249"/>
      <c r="E15" s="245" t="s">
        <v>158</v>
      </c>
      <c r="F15" s="246"/>
      <c r="G15" s="246"/>
      <c r="H15" s="246"/>
      <c r="I15" s="247"/>
    </row>
    <row r="16" spans="1:9" ht="210.75" customHeight="1" x14ac:dyDescent="0.15">
      <c r="B16" s="42"/>
      <c r="C16" s="248" t="s">
        <v>17</v>
      </c>
      <c r="D16" s="249"/>
      <c r="E16" s="245" t="s">
        <v>159</v>
      </c>
      <c r="F16" s="246"/>
      <c r="G16" s="246"/>
      <c r="H16" s="246"/>
      <c r="I16" s="247"/>
    </row>
    <row r="17" spans="2:9" ht="210.75" customHeight="1" x14ac:dyDescent="0.15">
      <c r="B17" s="43"/>
      <c r="C17" s="252" t="s">
        <v>18</v>
      </c>
      <c r="D17" s="253"/>
      <c r="E17" s="254" t="s">
        <v>160</v>
      </c>
      <c r="F17" s="255"/>
      <c r="G17" s="255"/>
      <c r="H17" s="255"/>
      <c r="I17" s="256"/>
    </row>
    <row r="18" spans="2:9" ht="24" customHeight="1" x14ac:dyDescent="0.15">
      <c r="B18" s="40" t="s">
        <v>19</v>
      </c>
      <c r="C18" s="44"/>
      <c r="D18" s="45"/>
      <c r="E18" s="46"/>
      <c r="F18" s="46"/>
      <c r="G18" s="46"/>
      <c r="H18" s="46"/>
      <c r="I18" s="49"/>
    </row>
    <row r="19" spans="2:9" ht="218.25" customHeight="1" x14ac:dyDescent="0.15">
      <c r="B19" s="42"/>
      <c r="C19" s="248" t="s">
        <v>20</v>
      </c>
      <c r="D19" s="249"/>
      <c r="E19" s="246" t="s">
        <v>161</v>
      </c>
      <c r="F19" s="246"/>
      <c r="G19" s="246"/>
      <c r="H19" s="246"/>
      <c r="I19" s="247"/>
    </row>
    <row r="20" spans="2:9" ht="218.25" customHeight="1" x14ac:dyDescent="0.15">
      <c r="B20" s="43"/>
      <c r="C20" s="252" t="s">
        <v>21</v>
      </c>
      <c r="D20" s="253"/>
      <c r="E20" s="255" t="s">
        <v>162</v>
      </c>
      <c r="F20" s="255"/>
      <c r="G20" s="255"/>
      <c r="H20" s="255"/>
      <c r="I20" s="256"/>
    </row>
    <row r="21" spans="2:9" ht="218.25" customHeight="1" x14ac:dyDescent="0.15">
      <c r="B21" s="262" t="s">
        <v>22</v>
      </c>
      <c r="C21" s="263"/>
      <c r="D21" s="264"/>
      <c r="E21" s="265" t="s">
        <v>163</v>
      </c>
      <c r="F21" s="265"/>
      <c r="G21" s="265"/>
      <c r="H21" s="265"/>
      <c r="I21" s="266"/>
    </row>
    <row r="22" spans="2:9" ht="218.25" customHeight="1" x14ac:dyDescent="0.15">
      <c r="B22" s="257" t="s">
        <v>134</v>
      </c>
      <c r="C22" s="258"/>
      <c r="D22" s="259"/>
      <c r="E22" s="260" t="s">
        <v>164</v>
      </c>
      <c r="F22" s="260"/>
      <c r="G22" s="260"/>
      <c r="H22" s="260"/>
      <c r="I22" s="26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8" scale="94"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様式１-①　プログラムを構成する授業科目</vt:lpstr>
      <vt:lpstr>様式１-②　プログラムを構成する授業科目 </vt:lpstr>
      <vt:lpstr>様式２ 履修者等数の実績</vt:lpstr>
      <vt:lpstr>様式３ 教育の質・履修者数を向上させるための体制・計画</vt:lpstr>
      <vt:lpstr>様式４　自己点検・評価</vt:lpstr>
      <vt:lpstr>'様式１-①　プログラムを構成する授業科目'!Print_Area</vt:lpstr>
      <vt:lpstr>'様式１-②　プログラムを構成する授業科目 '!Print_Area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叶屋真一</cp:lastModifiedBy>
  <cp:lastPrinted>2024-06-14T00:57:30Z</cp:lastPrinted>
  <dcterms:created xsi:type="dcterms:W3CDTF">2011-06-14T05:32:50Z</dcterms:created>
  <dcterms:modified xsi:type="dcterms:W3CDTF">2024-06-14T01:19:03Z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