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0.1.5.78\kyomu\●数理・データサイエンス・AIプログラム関係\R6申請\短大\"/>
    </mc:Choice>
  </mc:AlternateContent>
  <bookViews>
    <workbookView xWindow="0" yWindow="0" windowWidth="20490" windowHeight="7185"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3" i="40" l="1"/>
  <c r="R13" i="40"/>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<sst xmlns="http://schemas.openxmlformats.org/spreadsheetml/2006/main" count="283" uniqueCount="178">
  <si>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</si>
  <si>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</si>
  <si>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</si>
  <si>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</si>
  <si>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</si>
  <si>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</si>
  <si>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</si>
  <si>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</si>
  <si>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</si>
  <si>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</si>
  <si>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</si>
  <si>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</si>
  <si>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</si>
  <si>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</si>
  <si>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</si>
  <si>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</si>
  <si>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</si>
  <si>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</si>
  <si>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</si>
  <si>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</si>
  <si>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</si>
  <si>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</si>
  <si>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</si>
  <si>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</si>
  <si>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</si>
  <si>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</si>
  <si>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</si>
  <si>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</si>
  <si>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</si>
  <si>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</si>
  <si>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</si>
  <si>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</si>
  <si>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</si>
  <si>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</si>
  <si>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</si>
  <si>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</si>
  <si>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</si>
  <si>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</si>
  <si>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</si>
  <si>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</si>
  <si>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</si>
  <si>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</si>
  <si>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</si>
  <si>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</si>
  <si>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</si>
  <si>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</si>
  <si>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</si>
  <si>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</si>
  <si>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</si>
  <si>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</si>
  <si>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</si>
  <si>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</si>
  <si>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</si>
  <si>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</si>
  <si>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</si>
  <si>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</si>
  <si>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</si>
  <si>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</si>
  <si>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</si>
  <si>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</si>
  <si>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</si>
  <si>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</si>
  <si>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</si>
  <si>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</si>
  <si>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</si>
  <si>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</si>
  <si>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</si>
  <si>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</si>
  <si>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</si>
  <si>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</si>
  <si>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</si>
  <si>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</si>
  <si>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</si>
  <si>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</si>
  <si>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</si>
  <si>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</si>
  <si>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</si>
  <si>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</si>
  <si>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</si>
  <si>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</si>
  <si>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</si>
  <si>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</si>
  <si>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</si>
  <si>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</si>
  <si>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</si>
  <si>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</si>
  <si>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</si>
  <si>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</si>
  <si>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</si>
  <si>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</si>
  <si>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</si>
  <si>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</si>
  <si>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</si>
  <si>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</si>
  <si>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</si>
  <si>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</si>
  <si>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</si>
  <si>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</si>
  <si>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</si>
  <si>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</si>
  <si>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</si>
  <si>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</si>
  <si>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</si>
  <si>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</si>
  <si>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</si>
  <si>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</si>
  <si>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</si>
  <si>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</si>
  <si>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</si>
  <si>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</si>
  <si>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</si>
  <si>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</si>
  <si>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</si>
  <si>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</si>
  <si>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</si>
  <si>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</si>
  <si>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</si>
  <si>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</si>
  <si>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</si>
  <si>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</si>
  <si>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</si>
  <si>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</si>
  <si>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</si>
  <si>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</si>
  <si>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</si>
  <si>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</si>
  <si>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</si>
  <si>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</si>
  <si>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</si>
  <si>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</si>
  <si>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</si>
  <si>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</si>
  <si>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</si>
  <si>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</si>
  <si>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</si>
  <si>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秋田栄養短期大学</t>
    <rPh sb="0" eb="2">
      <t>アキタ</t>
    </rPh>
    <rPh sb="2" eb="4">
      <t>エイヨウ</t>
    </rPh>
    <rPh sb="4" eb="6">
      <t>タンキ</t>
    </rPh>
    <rPh sb="6" eb="8">
      <t>ダイガク</t>
    </rPh>
    <phoneticPr fontId="1"/>
  </si>
  <si>
    <t>データサイエンス・AI教育プログラム</t>
    <rPh sb="11" eb="13">
      <t>キョウイク</t>
    </rPh>
    <phoneticPr fontId="1"/>
  </si>
  <si>
    <t>学部・学科によって、修了要件は相違しない</t>
  </si>
  <si>
    <t>「情報処理演習B」1単位、「栄養情報処理演習」1単位、合計2単位を修得すること。</t>
    <phoneticPr fontId="1"/>
  </si>
  <si>
    <t>○</t>
  </si>
  <si>
    <t>情報処理演習B</t>
    <rPh sb="0" eb="2">
      <t>ジョウホウ</t>
    </rPh>
    <rPh sb="2" eb="4">
      <t>ショリ</t>
    </rPh>
    <rPh sb="4" eb="6">
      <t>エンシュウ</t>
    </rPh>
    <phoneticPr fontId="1"/>
  </si>
  <si>
    <t>栄養情報処理演習</t>
    <rPh sb="0" eb="2">
      <t>エイヨウ</t>
    </rPh>
    <rPh sb="2" eb="4">
      <t>ジョウホウ</t>
    </rPh>
    <rPh sb="4" eb="6">
      <t>ショリ</t>
    </rPh>
    <rPh sb="6" eb="8">
      <t>エンシュウ</t>
    </rPh>
    <phoneticPr fontId="1"/>
  </si>
  <si>
    <t>社会で起きている変化（ビッグデータ、検索エンジン、SNS、AIの進化）「情報処理演習B」（第1回）</t>
    <phoneticPr fontId="1"/>
  </si>
  <si>
    <t>データ・AI利活用の最新動向（最新のビジネスモデル、最新技術）「情報処理演習B」（第6回）</t>
    <phoneticPr fontId="1"/>
  </si>
  <si>
    <t>社会で活用されているデータ（データの種類、データの所有者、構造化データ・非構造化データ）「情報処理演習B」（第2回）</t>
    <phoneticPr fontId="1"/>
  </si>
  <si>
    <t>データとAIの活用領域（事業活動におけるデータ、活用目的ごとのデータ）「情報処理演習B」（第3回）</t>
    <phoneticPr fontId="1"/>
  </si>
  <si>
    <t>データとAI利活用のための技術（予測、グルーピング、クラスタリング、非構造化データ、データ可視化、人工知能）「情報処理演習B」（第４回）</t>
    <phoneticPr fontId="1"/>
  </si>
  <si>
    <t>データ・AI活用の現場（データ分析による意思決定,データ分析の実際）「情報処理演習B」（第5回）</t>
    <phoneticPr fontId="1"/>
  </si>
  <si>
    <t>データ・AIを扱う上での留意事項（GDPR,AI倫理,悪用事例）「情報処理演習B」（第12回）
「資料検索の方法と活用」 EBN、インターネットの活用、専門誌（学会誌）の活用「栄養情報処理演習」（第2回）</t>
    <phoneticPr fontId="1"/>
  </si>
  <si>
    <t>データを守るうえでの留意事項（セキュリティーとプライバシー）「情報処理演習B」（第13回）</t>
    <phoneticPr fontId="1"/>
  </si>
  <si>
    <t>データを読む（データの種類、代表値、母集団と標本）「情報処理演習B」（第7回）
データを読む（相関係数、相関関係と因果関係）「情報処理演習B」（第8回）
「資料検索の方法と活用」 EBN、インターネットの活用、専門誌（学会誌）の活用「栄養情報処理演習」（第2回）
「食事計画（献立の立案）の要点・手順①」 食事計画の基本知識と要点、食事計画の手順について「栄養情報処理演習」（第4回）</t>
    <phoneticPr fontId="1"/>
  </si>
  <si>
    <t>令和5</t>
    <rPh sb="0" eb="1">
      <t>レイ</t>
    </rPh>
    <rPh sb="1" eb="2">
      <t>ワ</t>
    </rPh>
    <phoneticPr fontId="1"/>
  </si>
  <si>
    <t>栄養学科</t>
    <rPh sb="0" eb="2">
      <t>エイヨウ</t>
    </rPh>
    <rPh sb="2" eb="4">
      <t>ガッカ</t>
    </rPh>
    <phoneticPr fontId="1"/>
  </si>
  <si>
    <t>情報処理演習Bの「データとAI利活用のための技術」の授業の中で、Pythonのプログラムを用いて、顔認証技術の実演をおこなった。また、Microsoft Bing Image Creator(現在のMicrosoft Copilot）で生成AIによるイラスト作成を行った。さらにChatGPTを用いてPythonによるゲームのコード作成・実行を行った。</t>
    <phoneticPr fontId="1"/>
  </si>
  <si>
    <t xml:space="preserve">
本学では、教員が学生からの質問や相談を受けるために、特定の曜日・時間に研究室で待機する「オフィスアワー」を設定し、シラバスに明記することで周知を図っている。
</t>
    <rPh sb="1" eb="3">
      <t>ホンガク</t>
    </rPh>
    <rPh sb="6" eb="8">
      <t>キョウイン</t>
    </rPh>
    <rPh sb="9" eb="11">
      <t>ガクセイ</t>
    </rPh>
    <rPh sb="14" eb="16">
      <t>シツモン</t>
    </rPh>
    <rPh sb="17" eb="19">
      <t>ソウダン</t>
    </rPh>
    <rPh sb="20" eb="21">
      <t>ウ</t>
    </rPh>
    <rPh sb="27" eb="29">
      <t>トクテイ</t>
    </rPh>
    <rPh sb="30" eb="32">
      <t>ヨウビ</t>
    </rPh>
    <rPh sb="33" eb="35">
      <t>ジカン</t>
    </rPh>
    <rPh sb="36" eb="39">
      <t>ケンキュウシツ</t>
    </rPh>
    <rPh sb="40" eb="42">
      <t>タイキ</t>
    </rPh>
    <rPh sb="54" eb="56">
      <t>セッテイ</t>
    </rPh>
    <rPh sb="63" eb="65">
      <t>メイキ</t>
    </rPh>
    <rPh sb="70" eb="72">
      <t>シュウチ</t>
    </rPh>
    <rPh sb="73" eb="74">
      <t>ハカ</t>
    </rPh>
    <phoneticPr fontId="1"/>
  </si>
  <si>
    <t>本プログラムを修了した学生に、学修成果の一つとして、「修了証」を発行する予定である。学生の今後の科目履修や就職活動等に活用してもらうことを見込んでいる。また、本プログラムは、次の５つの到達目標に基づき、データサイエンス・AIに関する基礎的な知識や技術を学び、実社会における様々な場面で生かすことができる能力を身に付けることができる。
①数理・データサイエンス・AIは、現在進行中の社会変化（第４次産業革命、Society 5.0、データ駆動型社会等）に深く寄与しているものであり、それが自らの生活と密接に結びついているものであること。➁数理・データサイエンス・AIが対象とする「社会で活用されているデータ」や「データの活用領域」は非常に広範囲であって、日常生活や社会の課題を解決する有用なツールになり得ること。③様々なデータ利活用の現場におけるデータ利活用事例が示され、数理・データサイエンス・AIは様々な適用領域（流通、製造、金融、サービス、インフラ、公共、ヘルスケア等）の知見と組み合わせることで価値を創出するものであること。④ただし数理・データサイエンス・AIは万能ではなく、その活用に当たっての様々な留意事項（ELSI、個人情報、データ倫理、ＡＩ社会原則等）を考慮することが重要であること。⑤実データ・実課題（学術データ等を含む）を用いた演習など、社会での実例を題材として、「データを読む、説明する、扱う」といった数理・データサイエンス・ＡＩの基本的な活用法に関すること。</t>
    <rPh sb="36" eb="38">
      <t>ヨテイ</t>
    </rPh>
    <rPh sb="87" eb="88">
      <t>ツギ</t>
    </rPh>
    <phoneticPr fontId="1"/>
  </si>
  <si>
    <t xml:space="preserve">
本学では、入学時にパソコンの準備を必携化しており、それに併せて学内のWi-fi環境を整備した。
令和５年度にはアクセスポイントを増設し、ほぼ学内全てでWi-fiに接続できるようになった。
また、１年次での「情報処理演習A」の授業や教務課窓口にて、Wi-fi接続が上手くできない学生に対して、教職員間で協力し合いながら、個別支援を行っている。
</t>
    <rPh sb="1" eb="3">
      <t>ホンガク</t>
    </rPh>
    <rPh sb="6" eb="9">
      <t>ニュウガクジ</t>
    </rPh>
    <rPh sb="15" eb="17">
      <t>ジュンビ</t>
    </rPh>
    <rPh sb="18" eb="20">
      <t>ヒッケイ</t>
    </rPh>
    <rPh sb="20" eb="21">
      <t>カ</t>
    </rPh>
    <rPh sb="29" eb="30">
      <t>アワ</t>
    </rPh>
    <rPh sb="32" eb="34">
      <t>ガクナイ</t>
    </rPh>
    <rPh sb="40" eb="42">
      <t>カンキョウ</t>
    </rPh>
    <rPh sb="43" eb="45">
      <t>セイビ</t>
    </rPh>
    <rPh sb="50" eb="51">
      <t>レイ</t>
    </rPh>
    <rPh sb="51" eb="52">
      <t>ワ</t>
    </rPh>
    <rPh sb="53" eb="55">
      <t>ネンド</t>
    </rPh>
    <rPh sb="66" eb="68">
      <t>ゾウセツ</t>
    </rPh>
    <rPh sb="72" eb="74">
      <t>ガクナイ</t>
    </rPh>
    <rPh sb="74" eb="75">
      <t>スベ</t>
    </rPh>
    <rPh sb="83" eb="85">
      <t>セツゾク</t>
    </rPh>
    <rPh sb="101" eb="103">
      <t>ネンジ</t>
    </rPh>
    <rPh sb="106" eb="108">
      <t>ジョウホウ</t>
    </rPh>
    <rPh sb="108" eb="110">
      <t>ショリ</t>
    </rPh>
    <rPh sb="110" eb="112">
      <t>エンシュウ</t>
    </rPh>
    <rPh sb="115" eb="117">
      <t>ジュギョウ</t>
    </rPh>
    <rPh sb="118" eb="121">
      <t>キョウムカ</t>
    </rPh>
    <rPh sb="121" eb="123">
      <t>マドグチ</t>
    </rPh>
    <rPh sb="131" eb="133">
      <t>セツゾク</t>
    </rPh>
    <rPh sb="134" eb="136">
      <t>ウマ</t>
    </rPh>
    <rPh sb="141" eb="143">
      <t>ガクセイ</t>
    </rPh>
    <rPh sb="144" eb="145">
      <t>タイ</t>
    </rPh>
    <rPh sb="148" eb="151">
      <t>キョウショクイン</t>
    </rPh>
    <rPh sb="151" eb="152">
      <t>アイダ</t>
    </rPh>
    <rPh sb="153" eb="155">
      <t>キョウリョク</t>
    </rPh>
    <rPh sb="156" eb="157">
      <t>ア</t>
    </rPh>
    <rPh sb="162" eb="164">
      <t>コベツ</t>
    </rPh>
    <rPh sb="164" eb="166">
      <t>シエン</t>
    </rPh>
    <rPh sb="167" eb="168">
      <t>オコナ</t>
    </rPh>
    <phoneticPr fontId="1"/>
  </si>
  <si>
    <t xml:space="preserve">
令和５年度の授業評価アンケートでは、「この授業は、わかりやすかったですか」という設問に対して、次のような結果となった。
　・「情報処理演習B」・・・５点（９０％）、４点（１０％）
　・「栄養情報処理演習」・・・５点（７３％）、４点（１８％）、０点（９％）
　　※５点満点評価
理解度については、ほとんどの学生から５点または、４点評価の回答を得ているが、一方で０点評価の回答も見受けられる。
今後より一層、学生には分かりやすく、かつ、興味・関心の高まる授業として、科目担当者やFD委員会と連携して、授業の評価、改善に向けた取り組みをしていきたい。</t>
    <rPh sb="1" eb="2">
      <t>レイ</t>
    </rPh>
    <rPh sb="2" eb="3">
      <t>ワ</t>
    </rPh>
    <rPh sb="4" eb="6">
      <t>ネンド</t>
    </rPh>
    <rPh sb="7" eb="9">
      <t>ジュギョウ</t>
    </rPh>
    <rPh sb="9" eb="11">
      <t>ヒョウカ</t>
    </rPh>
    <rPh sb="22" eb="24">
      <t>ジュギョウ</t>
    </rPh>
    <rPh sb="41" eb="43">
      <t>セツモン</t>
    </rPh>
    <rPh sb="44" eb="45">
      <t>タイ</t>
    </rPh>
    <rPh sb="48" eb="49">
      <t>ツギ</t>
    </rPh>
    <rPh sb="53" eb="55">
      <t>ケッカ</t>
    </rPh>
    <rPh sb="65" eb="67">
      <t>ジョウホウ</t>
    </rPh>
    <rPh sb="67" eb="69">
      <t>ショリ</t>
    </rPh>
    <rPh sb="69" eb="71">
      <t>エンシュウ</t>
    </rPh>
    <rPh sb="77" eb="78">
      <t>テン</t>
    </rPh>
    <rPh sb="85" eb="86">
      <t>テン</t>
    </rPh>
    <rPh sb="95" eb="97">
      <t>エイヨウ</t>
    </rPh>
    <rPh sb="97" eb="99">
      <t>ジョウホウ</t>
    </rPh>
    <rPh sb="99" eb="101">
      <t>ショリ</t>
    </rPh>
    <rPh sb="101" eb="103">
      <t>エンシュウ</t>
    </rPh>
    <rPh sb="108" eb="109">
      <t>テン</t>
    </rPh>
    <rPh sb="116" eb="117">
      <t>テン</t>
    </rPh>
    <rPh sb="124" eb="125">
      <t>テン</t>
    </rPh>
    <rPh sb="134" eb="135">
      <t>テン</t>
    </rPh>
    <rPh sb="135" eb="137">
      <t>マンテン</t>
    </rPh>
    <rPh sb="137" eb="139">
      <t>ヒョウカ</t>
    </rPh>
    <rPh sb="141" eb="144">
      <t>リカイド</t>
    </rPh>
    <rPh sb="155" eb="157">
      <t>ガクセイ</t>
    </rPh>
    <rPh sb="160" eb="161">
      <t>テン</t>
    </rPh>
    <rPh sb="166" eb="167">
      <t>テン</t>
    </rPh>
    <rPh sb="167" eb="169">
      <t>ヒョウカ</t>
    </rPh>
    <rPh sb="170" eb="172">
      <t>カイトウ</t>
    </rPh>
    <rPh sb="173" eb="174">
      <t>エ</t>
    </rPh>
    <rPh sb="179" eb="181">
      <t>イッポウ</t>
    </rPh>
    <rPh sb="183" eb="184">
      <t>テン</t>
    </rPh>
    <rPh sb="184" eb="186">
      <t>ヒョウカ</t>
    </rPh>
    <rPh sb="187" eb="189">
      <t>カイトウ</t>
    </rPh>
    <rPh sb="190" eb="192">
      <t>ミウ</t>
    </rPh>
    <rPh sb="198" eb="200">
      <t>コンゴ</t>
    </rPh>
    <rPh sb="202" eb="204">
      <t>イッソウ</t>
    </rPh>
    <rPh sb="205" eb="207">
      <t>ガクセイ</t>
    </rPh>
    <rPh sb="209" eb="210">
      <t>ワ</t>
    </rPh>
    <rPh sb="219" eb="221">
      <t>キョウミ</t>
    </rPh>
    <rPh sb="222" eb="224">
      <t>カンシン</t>
    </rPh>
    <rPh sb="225" eb="226">
      <t>タカ</t>
    </rPh>
    <rPh sb="228" eb="230">
      <t>ジュギョウ</t>
    </rPh>
    <rPh sb="234" eb="236">
      <t>カモク</t>
    </rPh>
    <rPh sb="236" eb="239">
      <t>タントウシャ</t>
    </rPh>
    <rPh sb="242" eb="245">
      <t>イインカイ</t>
    </rPh>
    <rPh sb="246" eb="248">
      <t>レンケイ</t>
    </rPh>
    <rPh sb="251" eb="253">
      <t>ジュギョウ</t>
    </rPh>
    <rPh sb="254" eb="256">
      <t>ヒョウカ</t>
    </rPh>
    <rPh sb="257" eb="259">
      <t>カイゼン</t>
    </rPh>
    <rPh sb="260" eb="261">
      <t>ム</t>
    </rPh>
    <rPh sb="263" eb="264">
      <t>ト</t>
    </rPh>
    <rPh sb="265" eb="266">
      <t>ク</t>
    </rPh>
    <phoneticPr fontId="1"/>
  </si>
  <si>
    <t xml:space="preserve">
現時点では実施していないが、令和５年度に実施した授業評価アンケートの結果では、約８割の学生が、「授業の内容は興味が持てるものだったか」、「この授業に対する満足度」、「技術や実技などが身に付いたか」という設問に対して、「５点」または「４点」評価で回答していた。（授業評価アンケートは５点満点により実施）
今後、履修モデルやカリキュラムマップ、カリキュラムツリー等を活用し、推奨度を示していけるよう検討していきたいと考えている。
</t>
    <rPh sb="1" eb="4">
      <t>ゲンジテン</t>
    </rPh>
    <rPh sb="6" eb="8">
      <t>ジッシ</t>
    </rPh>
    <rPh sb="15" eb="16">
      <t>レイ</t>
    </rPh>
    <rPh sb="16" eb="17">
      <t>ワ</t>
    </rPh>
    <rPh sb="18" eb="20">
      <t>ネンド</t>
    </rPh>
    <rPh sb="21" eb="23">
      <t>ジッシ</t>
    </rPh>
    <rPh sb="25" eb="27">
      <t>ジュギョウ</t>
    </rPh>
    <rPh sb="27" eb="29">
      <t>ヒョウカ</t>
    </rPh>
    <rPh sb="35" eb="37">
      <t>ケッカ</t>
    </rPh>
    <rPh sb="40" eb="41">
      <t>ヤク</t>
    </rPh>
    <rPh sb="42" eb="43">
      <t>ワリ</t>
    </rPh>
    <rPh sb="44" eb="46">
      <t>ガクセイ</t>
    </rPh>
    <rPh sb="49" eb="51">
      <t>ジュギョウ</t>
    </rPh>
    <rPh sb="52" eb="54">
      <t>ナイヨウ</t>
    </rPh>
    <rPh sb="55" eb="57">
      <t>キョウミ</t>
    </rPh>
    <rPh sb="58" eb="59">
      <t>モ</t>
    </rPh>
    <rPh sb="72" eb="74">
      <t>ジュギョウ</t>
    </rPh>
    <rPh sb="75" eb="76">
      <t>タイ</t>
    </rPh>
    <rPh sb="78" eb="81">
      <t>マンゾクド</t>
    </rPh>
    <rPh sb="84" eb="86">
      <t>ギジュツ</t>
    </rPh>
    <rPh sb="87" eb="89">
      <t>ジツギ</t>
    </rPh>
    <rPh sb="92" eb="93">
      <t>ミ</t>
    </rPh>
    <rPh sb="94" eb="95">
      <t>ツ</t>
    </rPh>
    <rPh sb="102" eb="104">
      <t>セツモン</t>
    </rPh>
    <rPh sb="105" eb="106">
      <t>タイ</t>
    </rPh>
    <rPh sb="111" eb="112">
      <t>テン</t>
    </rPh>
    <rPh sb="118" eb="119">
      <t>テン</t>
    </rPh>
    <rPh sb="120" eb="122">
      <t>ヒョウカ</t>
    </rPh>
    <rPh sb="123" eb="125">
      <t>カイトウ</t>
    </rPh>
    <rPh sb="131" eb="133">
      <t>ジュギョウ</t>
    </rPh>
    <rPh sb="133" eb="135">
      <t>ヒョウカ</t>
    </rPh>
    <rPh sb="142" eb="143">
      <t>テン</t>
    </rPh>
    <rPh sb="143" eb="145">
      <t>マンテン</t>
    </rPh>
    <rPh sb="148" eb="150">
      <t>ジッシ</t>
    </rPh>
    <rPh sb="153" eb="155">
      <t>コンゴ</t>
    </rPh>
    <rPh sb="156" eb="158">
      <t>リシュウ</t>
    </rPh>
    <rPh sb="181" eb="182">
      <t>トウ</t>
    </rPh>
    <rPh sb="183" eb="185">
      <t>カツヨウ</t>
    </rPh>
    <rPh sb="187" eb="190">
      <t>スイショウド</t>
    </rPh>
    <rPh sb="191" eb="192">
      <t>シメ</t>
    </rPh>
    <rPh sb="199" eb="201">
      <t>ケントウ</t>
    </rPh>
    <rPh sb="208" eb="209">
      <t>カンガ</t>
    </rPh>
    <phoneticPr fontId="1"/>
  </si>
  <si>
    <t>データを説明する（データの可視化）「情報処理演習B」（第9回、第10回）
データ分析演習（農林業センサスを用いたデータ分析）「情報処理演習B」(第14回、第15回）
「資料検索の方法と活用」 EBN、インターネットの活用、専門誌（学会誌）の活用「栄養情報処理演習」（第2回）
「栄養情報について」 Word 及び Excel の操作、文章及び図表作成「栄養情報処理演習」（第3回）
「応用問題③：グループ演習」 栄養情報処理に関する演習（図表作成）「栄養情報処理演習」（第12回）</t>
    <rPh sb="75" eb="76">
      <t>カイ</t>
    </rPh>
    <rPh sb="77" eb="78">
      <t>ダイ</t>
    </rPh>
    <phoneticPr fontId="1"/>
  </si>
  <si>
    <t>データを扱う（データ解析ツール）「情報処理演習B」（第11回）
データ分析演習（農林業センサスを用いたデータ分析）「情報処理演習B」(第14回、第15回）
「資料検索の方法と活用」 EBN、インターネットの活用、専門誌（学会誌）の活用「栄養情報処理演習」（第2回）
「食事計画（献立の立案）の要点・手順②」 栄養素等摂取量の計算「栄養情報処理演習」（第5回）
「日本人の食事摂取基準の理解」 日本人の食事摂取基準の基本的な考え方、エネルギー及び栄養素量、個人及び集団対象の活用法について「栄養情報処理演習」（第6回）</t>
    <rPh sb="70" eb="71">
      <t>カイ</t>
    </rPh>
    <rPh sb="72" eb="73">
      <t>ダイ</t>
    </rPh>
    <phoneticPr fontId="1"/>
  </si>
  <si>
    <t>小泉　正樹</t>
    <rPh sb="0" eb="2">
      <t>コイズミ</t>
    </rPh>
    <rPh sb="3" eb="4">
      <t>タダ</t>
    </rPh>
    <phoneticPr fontId="1"/>
  </si>
  <si>
    <t>副学長</t>
    <rPh sb="0" eb="1">
      <t>フク</t>
    </rPh>
    <rPh sb="1" eb="3">
      <t>ガクチョウ</t>
    </rPh>
    <phoneticPr fontId="1"/>
  </si>
  <si>
    <t>秋田栄養短期大学データサイエンス・AI教育プログラム推進会議</t>
    <rPh sb="0" eb="2">
      <t>アキタ</t>
    </rPh>
    <rPh sb="2" eb="4">
      <t>エイヨウ</t>
    </rPh>
    <rPh sb="4" eb="6">
      <t>タンキ</t>
    </rPh>
    <rPh sb="6" eb="8">
      <t>ダイガク</t>
    </rPh>
    <rPh sb="19" eb="21">
      <t>キョウイク</t>
    </rPh>
    <rPh sb="26" eb="28">
      <t>スイシン</t>
    </rPh>
    <rPh sb="28" eb="30">
      <t>カイギ</t>
    </rPh>
    <phoneticPr fontId="1"/>
  </si>
  <si>
    <t>秋田栄養短期大学データサイエンス・AI教育プログラム推進会議要綱</t>
    <rPh sb="0" eb="2">
      <t>アキタ</t>
    </rPh>
    <rPh sb="2" eb="4">
      <t>エイヨウ</t>
    </rPh>
    <rPh sb="4" eb="6">
      <t>タンキ</t>
    </rPh>
    <rPh sb="6" eb="8">
      <t>ダイガク</t>
    </rPh>
    <rPh sb="19" eb="21">
      <t>キョウイク</t>
    </rPh>
    <rPh sb="26" eb="28">
      <t>スイシン</t>
    </rPh>
    <rPh sb="28" eb="30">
      <t>カイギ</t>
    </rPh>
    <rPh sb="30" eb="32">
      <t>ヨウコウ</t>
    </rPh>
    <phoneticPr fontId="1"/>
  </si>
  <si>
    <t xml:space="preserve">
　副学長 　　　　　　　　　　　 小泉　正樹
　学科長　兼　教務委員長　池田　隆幸
　栄養学科　准教授　　　　　千田　茉登佳
　栄養学科　助教　　　　　　 田中　景子
</t>
    <rPh sb="25" eb="28">
      <t>ガッカチョウ</t>
    </rPh>
    <rPh sb="29" eb="30">
      <t>ケン</t>
    </rPh>
    <rPh sb="31" eb="33">
      <t>キョウム</t>
    </rPh>
    <rPh sb="37" eb="39">
      <t>イケダ</t>
    </rPh>
    <rPh sb="44" eb="46">
      <t>エイヨウ</t>
    </rPh>
    <rPh sb="46" eb="48">
      <t>ガッカ</t>
    </rPh>
    <rPh sb="49" eb="50">
      <t>ジュン</t>
    </rPh>
    <rPh sb="50" eb="52">
      <t>キョウジュ</t>
    </rPh>
    <rPh sb="65" eb="69">
      <t>エイヨウガッカ</t>
    </rPh>
    <rPh sb="70" eb="72">
      <t>ジョキョウ</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</si>
  <si>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</si>
  <si>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 xml:space="preserve">
令和５年度の結果を踏まえ、要件を満たした学生には「修了証」を発行する予定である。
認定後に、ロゴマークが「修了証」やホームページに掲載できるようになることで、未履修者への動機付けとして、データサイエンス・AI教育プログラムを履修する意義等も含め、積極的な周知を図っていきたいと考えている。
なお、データサイエンス・AI教育プログラム科目については、年に２回行っている「授業評価アンケート」の結果等も参考に、FD委員会と連携し、データサイエンス・AI教育プログラム推進会議で適宜検討しながら、内容をより一層充実させていきたいと考えている。
</t>
    <rPh sb="14" eb="16">
      <t>ヨウケン</t>
    </rPh>
    <rPh sb="17" eb="18">
      <t>ミ</t>
    </rPh>
    <rPh sb="21" eb="23">
      <t>ガクセイ</t>
    </rPh>
    <rPh sb="35" eb="37">
      <t>ヨテイ</t>
    </rPh>
    <rPh sb="42" eb="45">
      <t>ニンテイゴ</t>
    </rPh>
    <rPh sb="54" eb="57">
      <t>シュウリョウショウ</t>
    </rPh>
    <rPh sb="66" eb="68">
      <t>ケイサイ</t>
    </rPh>
    <rPh sb="113" eb="115">
      <t>リシュウ</t>
    </rPh>
    <rPh sb="117" eb="119">
      <t>イギ</t>
    </rPh>
    <rPh sb="119" eb="120">
      <t>ヒト</t>
    </rPh>
    <rPh sb="121" eb="122">
      <t>フク</t>
    </rPh>
    <rPh sb="168" eb="170">
      <t>カモク</t>
    </rPh>
    <rPh sb="176" eb="177">
      <t>ネン</t>
    </rPh>
    <rPh sb="179" eb="180">
      <t>カイ</t>
    </rPh>
    <rPh sb="180" eb="181">
      <t>オコナ</t>
    </rPh>
    <rPh sb="186" eb="188">
      <t>ジュギョウ</t>
    </rPh>
    <rPh sb="188" eb="190">
      <t>ヒョウカ</t>
    </rPh>
    <rPh sb="197" eb="199">
      <t>ケッカ</t>
    </rPh>
    <rPh sb="199" eb="200">
      <t>ヒト</t>
    </rPh>
    <rPh sb="201" eb="203">
      <t>サンコウ</t>
    </rPh>
    <rPh sb="207" eb="210">
      <t>イインカイ</t>
    </rPh>
    <rPh sb="211" eb="213">
      <t>レンケイ</t>
    </rPh>
    <rPh sb="233" eb="235">
      <t>スイシン</t>
    </rPh>
    <rPh sb="235" eb="237">
      <t>カイギ</t>
    </rPh>
    <rPh sb="238" eb="240">
      <t>テキギ</t>
    </rPh>
    <rPh sb="240" eb="242">
      <t>ケントウ</t>
    </rPh>
    <rPh sb="247" eb="249">
      <t>ナイヨウ</t>
    </rPh>
    <rPh sb="252" eb="254">
      <t>イッソウ</t>
    </rPh>
    <rPh sb="254" eb="256">
      <t>ジュウジツ</t>
    </rPh>
    <rPh sb="264" eb="265">
      <t>カンガ</t>
    </rPh>
    <phoneticPr fontId="1"/>
  </si>
  <si>
    <t xml:space="preserve">
データサイエンス・AI教育プログラム関係科目「情報処理演習B」、「栄養情報処理演習」については、いずれも１年次開講科目であり、全学年が履修できる。また、選択科目ではあるが、必修科目とデータサイエンス・AI教育プログラム関係科目が時間割上で重複しないよう、学内で調整している。
</t>
    <rPh sb="26" eb="28">
      <t>ショリ</t>
    </rPh>
    <rPh sb="28" eb="30">
      <t>エンシュウ</t>
    </rPh>
    <rPh sb="34" eb="36">
      <t>エイヨウ</t>
    </rPh>
    <rPh sb="36" eb="38">
      <t>ジョウホウ</t>
    </rPh>
    <rPh sb="38" eb="40">
      <t>ショリ</t>
    </rPh>
    <rPh sb="40" eb="42">
      <t>エンシュウ</t>
    </rPh>
    <rPh sb="54" eb="56">
      <t>ネンジ</t>
    </rPh>
    <rPh sb="56" eb="58">
      <t>カイコウ</t>
    </rPh>
    <rPh sb="58" eb="60">
      <t>カモク</t>
    </rPh>
    <rPh sb="64" eb="67">
      <t>ゼンガクネン</t>
    </rPh>
    <rPh sb="68" eb="70">
      <t>リシュウ</t>
    </rPh>
    <rPh sb="77" eb="79">
      <t>センタク</t>
    </rPh>
    <rPh sb="79" eb="81">
      <t>カモク</t>
    </rPh>
    <rPh sb="87" eb="89">
      <t>ヒッシュウ</t>
    </rPh>
    <rPh sb="89" eb="91">
      <t>カモク</t>
    </rPh>
    <rPh sb="110" eb="112">
      <t>カンケイ</t>
    </rPh>
    <rPh sb="112" eb="114">
      <t>カモク</t>
    </rPh>
    <rPh sb="115" eb="118">
      <t>ジカンワリ</t>
    </rPh>
    <rPh sb="118" eb="119">
      <t>ジョウ</t>
    </rPh>
    <rPh sb="120" eb="122">
      <t>ジュウフク</t>
    </rPh>
    <rPh sb="128" eb="130">
      <t>ガクナイ</t>
    </rPh>
    <rPh sb="131" eb="133">
      <t>チョウセイ</t>
    </rPh>
    <phoneticPr fontId="1"/>
  </si>
  <si>
    <t xml:space="preserve">
令和６年度より、入学時に配布している「学習要覧」に「データサイエンス・AI教育プログラム」について掲載し、さらに新入生オリエンテーション等でデータサイエンス・AI教育プログラムについて説明した。
今後も引き続き、各学期前に行うガイダンスや本学ポータルサイト等で周知をしていくとともに、ホームページへの掲載内容の充実化を図っていきたいと考えている。</t>
    <rPh sb="20" eb="22">
      <t>ガクシュウ</t>
    </rPh>
    <rPh sb="22" eb="24">
      <t>ヨウラン</t>
    </rPh>
    <rPh sb="38" eb="40">
      <t>キョウイク</t>
    </rPh>
    <rPh sb="93" eb="95">
      <t>セツメイ</t>
    </rPh>
    <rPh sb="100" eb="102">
      <t>コンゴ</t>
    </rPh>
    <rPh sb="103" eb="104">
      <t>ヒ</t>
    </rPh>
    <rPh sb="105" eb="106">
      <t>ツヅ</t>
    </rPh>
    <rPh sb="108" eb="109">
      <t>カク</t>
    </rPh>
    <rPh sb="109" eb="111">
      <t>ガッキ</t>
    </rPh>
    <rPh sb="111" eb="112">
      <t>マエ</t>
    </rPh>
    <rPh sb="113" eb="114">
      <t>オコナ</t>
    </rPh>
    <rPh sb="130" eb="131">
      <t>ヒト</t>
    </rPh>
    <rPh sb="132" eb="134">
      <t>シュウチ</t>
    </rPh>
    <rPh sb="152" eb="154">
      <t>ケイサイ</t>
    </rPh>
    <rPh sb="154" eb="156">
      <t>ナイヨウ</t>
    </rPh>
    <rPh sb="157" eb="160">
      <t>ジュウジツカ</t>
    </rPh>
    <rPh sb="161" eb="162">
      <t>ハカ</t>
    </rPh>
    <rPh sb="169" eb="170">
      <t>カンガ</t>
    </rPh>
    <phoneticPr fontId="1"/>
  </si>
  <si>
    <t xml:space="preserve">
学生のデータサイエンス・AIへの関心を高め、かつ、データサイエンス・AIを適切に理解し、それらを活用する基礎的な能力を育成することを目的として、「データサイエンス・AI教育プログラム」を令和５年度後期より開設した。
データサイエンス・AI教育プログラムでは、「情報処理演習B」（１単位）及び、「栄養情報処理演習」（１単位）の単位を修得（合計２単位）した学生に、「修了証」を発行することとしている。
後期ガイダンスにて全学生にチラシを配布し、説明会を実施した他、本学ポータルサイトを通じて全学的な周知を図った。令和５年度の実績については、別紙様式２の結果となったが、履修した学生がの修得率は９割であった。
</t>
    <rPh sb="1" eb="3">
      <t>ガクセイ</t>
    </rPh>
    <rPh sb="17" eb="19">
      <t>カンシン</t>
    </rPh>
    <rPh sb="20" eb="21">
      <t>タカ</t>
    </rPh>
    <rPh sb="38" eb="40">
      <t>テキセツ</t>
    </rPh>
    <rPh sb="41" eb="43">
      <t>リカイ</t>
    </rPh>
    <rPh sb="49" eb="51">
      <t>カツヨウ</t>
    </rPh>
    <rPh sb="53" eb="56">
      <t>キソテキ</t>
    </rPh>
    <rPh sb="57" eb="59">
      <t>ノウリョク</t>
    </rPh>
    <rPh sb="60" eb="62">
      <t>イクセイ</t>
    </rPh>
    <rPh sb="67" eb="69">
      <t>モクテキ</t>
    </rPh>
    <rPh sb="85" eb="87">
      <t>キョウイク</t>
    </rPh>
    <rPh sb="94" eb="95">
      <t>レイ</t>
    </rPh>
    <rPh sb="95" eb="96">
      <t>ワ</t>
    </rPh>
    <rPh sb="97" eb="99">
      <t>ネンド</t>
    </rPh>
    <rPh sb="99" eb="101">
      <t>コウキ</t>
    </rPh>
    <rPh sb="103" eb="105">
      <t>カイセツ</t>
    </rPh>
    <rPh sb="132" eb="134">
      <t>ジョウホウ</t>
    </rPh>
    <rPh sb="134" eb="136">
      <t>ショリ</t>
    </rPh>
    <rPh sb="136" eb="138">
      <t>エンシュウ</t>
    </rPh>
    <rPh sb="142" eb="144">
      <t>タンイ</t>
    </rPh>
    <rPh sb="145" eb="146">
      <t>オヨ</t>
    </rPh>
    <rPh sb="149" eb="151">
      <t>エイヨウ</t>
    </rPh>
    <rPh sb="151" eb="153">
      <t>ジョウホウ</t>
    </rPh>
    <rPh sb="153" eb="155">
      <t>ショリ</t>
    </rPh>
    <rPh sb="155" eb="157">
      <t>エンシュウ</t>
    </rPh>
    <rPh sb="160" eb="162">
      <t>タンイ</t>
    </rPh>
    <rPh sb="164" eb="166">
      <t>タンイ</t>
    </rPh>
    <rPh sb="167" eb="169">
      <t>シュウトク</t>
    </rPh>
    <rPh sb="170" eb="172">
      <t>ゴウケイ</t>
    </rPh>
    <rPh sb="173" eb="175">
      <t>タンイ</t>
    </rPh>
    <rPh sb="178" eb="180">
      <t>ガクセイ</t>
    </rPh>
    <rPh sb="183" eb="186">
      <t>シュウリョウショウ</t>
    </rPh>
    <rPh sb="188" eb="190">
      <t>ハッコウ</t>
    </rPh>
    <rPh sb="202" eb="204">
      <t>コウキ</t>
    </rPh>
    <rPh sb="211" eb="214">
      <t>ゼンガクセイ</t>
    </rPh>
    <rPh sb="219" eb="221">
      <t>ハイフ</t>
    </rPh>
    <rPh sb="223" eb="226">
      <t>セツメイカイ</t>
    </rPh>
    <rPh sb="227" eb="229">
      <t>ジッシ</t>
    </rPh>
    <rPh sb="231" eb="232">
      <t>ホカ</t>
    </rPh>
    <rPh sb="233" eb="235">
      <t>ホンガク</t>
    </rPh>
    <rPh sb="243" eb="244">
      <t>ツウ</t>
    </rPh>
    <rPh sb="246" eb="249">
      <t>ゼンガクテキ</t>
    </rPh>
    <rPh sb="250" eb="252">
      <t>シュウチ</t>
    </rPh>
    <rPh sb="253" eb="254">
      <t>ハカ</t>
    </rPh>
    <rPh sb="257" eb="258">
      <t>レイ</t>
    </rPh>
    <rPh sb="258" eb="259">
      <t>ワ</t>
    </rPh>
    <rPh sb="260" eb="262">
      <t>ネンド</t>
    </rPh>
    <rPh sb="263" eb="265">
      <t>ジッセキ</t>
    </rPh>
    <rPh sb="271" eb="273">
      <t>ベッシ</t>
    </rPh>
    <rPh sb="273" eb="275">
      <t>ヨウシキ</t>
    </rPh>
    <rPh sb="277" eb="279">
      <t>ケッカ</t>
    </rPh>
    <rPh sb="285" eb="287">
      <t>リシュウ</t>
    </rPh>
    <rPh sb="289" eb="291">
      <t>ガクセイ</t>
    </rPh>
    <rPh sb="293" eb="296">
      <t>シュウトクリツ</t>
    </rPh>
    <rPh sb="298" eb="299">
      <t>ワリ</t>
    </rPh>
    <phoneticPr fontId="1"/>
  </si>
  <si>
    <t xml:space="preserve">
データサイエンス・AI教育プログラムを修了した学生に、学修成果の一つとして、「修了証」を発行する予定である。学生の今後の科目履修や就職活動等に活用してもらうことを見込んでいる。
また、本学では、学生に「学修目標への到達度セルフチェック」を実施している。これにより、教育内容や教育方法の改善、学生のこれからの伸びを期待した改善方策等に生かすこととしている。
</t>
    <rPh sb="49" eb="51">
      <t>ヨテイ</t>
    </rPh>
    <rPh sb="99" eb="101">
      <t>ガクセイ</t>
    </rPh>
    <rPh sb="121" eb="123">
      <t>ジッシ</t>
    </rPh>
    <phoneticPr fontId="1"/>
  </si>
  <si>
    <t xml:space="preserve">
令和５年度よりデータサイエンス・AI教育プログラムを設置し、ガイダンスやポータルサイトでの全学的な周知により、設置初年度は別紙様式２の結果となった。
令和６年度には、新入生に配布している「学生要覧」やホームページへの掲載、令和５年度のデータサイエンス・AI教育プログラム修了者への「修了証」の発行等を行う予定である。今後の実績も踏まえ、データサイエンス・AI教育プログラム推進会議等で検討しながら、履修者数・履修率向上に向け取り組んでいきたい。
</t>
    <rPh sb="1" eb="2">
      <t>レイ</t>
    </rPh>
    <rPh sb="2" eb="3">
      <t>ワ</t>
    </rPh>
    <rPh sb="4" eb="6">
      <t>ネンド</t>
    </rPh>
    <rPh sb="27" eb="29">
      <t>セッチ</t>
    </rPh>
    <rPh sb="46" eb="49">
      <t>ゼンガクテキ</t>
    </rPh>
    <rPh sb="50" eb="52">
      <t>シュウチ</t>
    </rPh>
    <rPh sb="56" eb="58">
      <t>セッチ</t>
    </rPh>
    <rPh sb="58" eb="61">
      <t>ショネンド</t>
    </rPh>
    <rPh sb="62" eb="64">
      <t>ベッシ</t>
    </rPh>
    <rPh sb="64" eb="66">
      <t>ヨウシキ</t>
    </rPh>
    <rPh sb="68" eb="70">
      <t>ケッカ</t>
    </rPh>
    <rPh sb="77" eb="79">
      <t>レイワ</t>
    </rPh>
    <rPh sb="80" eb="82">
      <t>ネンド</t>
    </rPh>
    <rPh sb="85" eb="88">
      <t>シンニュウセイ</t>
    </rPh>
    <rPh sb="89" eb="91">
      <t>ハイフ</t>
    </rPh>
    <rPh sb="96" eb="98">
      <t>ガクセイ</t>
    </rPh>
    <rPh sb="98" eb="100">
      <t>ヨウラン</t>
    </rPh>
    <rPh sb="110" eb="112">
      <t>ケイサイ</t>
    </rPh>
    <rPh sb="113" eb="114">
      <t>レイ</t>
    </rPh>
    <rPh sb="114" eb="115">
      <t>ワ</t>
    </rPh>
    <rPh sb="116" eb="118">
      <t>ネンド</t>
    </rPh>
    <rPh sb="137" eb="140">
      <t>シュウリョウシャ</t>
    </rPh>
    <rPh sb="143" eb="146">
      <t>シュウリョウショウ</t>
    </rPh>
    <rPh sb="148" eb="150">
      <t>ハッコウ</t>
    </rPh>
    <rPh sb="150" eb="151">
      <t>トウ</t>
    </rPh>
    <rPh sb="152" eb="153">
      <t>オコナ</t>
    </rPh>
    <rPh sb="154" eb="156">
      <t>ヨテイ</t>
    </rPh>
    <rPh sb="160" eb="162">
      <t>コンゴ</t>
    </rPh>
    <rPh sb="163" eb="165">
      <t>ジッセキ</t>
    </rPh>
    <rPh sb="166" eb="167">
      <t>フ</t>
    </rPh>
    <rPh sb="188" eb="190">
      <t>スイシン</t>
    </rPh>
    <rPh sb="190" eb="192">
      <t>カイギ</t>
    </rPh>
    <rPh sb="192" eb="193">
      <t>トウ</t>
    </rPh>
    <rPh sb="194" eb="196">
      <t>ケントウ</t>
    </rPh>
    <rPh sb="201" eb="205">
      <t>リシュウシャスウ</t>
    </rPh>
    <rPh sb="206" eb="209">
      <t>リシュウリツ</t>
    </rPh>
    <rPh sb="209" eb="211">
      <t>コウジョウ</t>
    </rPh>
    <rPh sb="212" eb="213">
      <t>ム</t>
    </rPh>
    <rPh sb="214" eb="215">
      <t>ト</t>
    </rPh>
    <rPh sb="216" eb="217">
      <t>クミ</t>
    </rPh>
    <phoneticPr fontId="1"/>
  </si>
  <si>
    <t xml:space="preserve">
データサイエンス・AI教育プログラムを修了した卒業生を現時点で輩出していない。
令和６年度以降の卒業予定者より、データサイエンス・AI教育プログラムを修了した学生が該当するため、本学で就職支援等の担当部署となっている「キャリアセンター」と連携し、卒業生や就職先の企業へのアンケート等を通じて、現状把握に努めていくとともに、今後のデータサイエンス・AI教育プログラム改善に向けて検討していきたい。</t>
    <rPh sb="20" eb="22">
      <t>シュウリョウ</t>
    </rPh>
    <rPh sb="24" eb="26">
      <t>ソツギョウ</t>
    </rPh>
    <rPh sb="26" eb="27">
      <t>セイ</t>
    </rPh>
    <rPh sb="28" eb="31">
      <t>ゲンジテン</t>
    </rPh>
    <rPh sb="32" eb="34">
      <t>ハイシュツ</t>
    </rPh>
    <rPh sb="41" eb="42">
      <t>レイ</t>
    </rPh>
    <rPh sb="42" eb="43">
      <t>ワ</t>
    </rPh>
    <rPh sb="44" eb="46">
      <t>ネンド</t>
    </rPh>
    <rPh sb="46" eb="48">
      <t>イコウ</t>
    </rPh>
    <rPh sb="51" eb="54">
      <t>ヨテイシャ</t>
    </rPh>
    <rPh sb="76" eb="78">
      <t>シュウリョウ</t>
    </rPh>
    <rPh sb="80" eb="82">
      <t>ガクセイ</t>
    </rPh>
    <rPh sb="83" eb="85">
      <t>ガイトウ</t>
    </rPh>
    <rPh sb="90" eb="92">
      <t>ホンガク</t>
    </rPh>
    <rPh sb="93" eb="95">
      <t>シュウショク</t>
    </rPh>
    <rPh sb="95" eb="97">
      <t>シエン</t>
    </rPh>
    <rPh sb="97" eb="98">
      <t>トウ</t>
    </rPh>
    <rPh sb="99" eb="101">
      <t>タントウ</t>
    </rPh>
    <rPh sb="101" eb="103">
      <t>ブショ</t>
    </rPh>
    <rPh sb="120" eb="122">
      <t>レンケイ</t>
    </rPh>
    <rPh sb="124" eb="127">
      <t>ソツギョウセイ</t>
    </rPh>
    <rPh sb="128" eb="130">
      <t>シュウショク</t>
    </rPh>
    <rPh sb="130" eb="131">
      <t>サキ</t>
    </rPh>
    <rPh sb="132" eb="134">
      <t>キギョウ</t>
    </rPh>
    <rPh sb="141" eb="142">
      <t>トウ</t>
    </rPh>
    <rPh sb="143" eb="144">
      <t>ツウ</t>
    </rPh>
    <rPh sb="147" eb="149">
      <t>ゲンジョウ</t>
    </rPh>
    <rPh sb="149" eb="151">
      <t>ハアク</t>
    </rPh>
    <rPh sb="152" eb="153">
      <t>ツト</t>
    </rPh>
    <rPh sb="162" eb="164">
      <t>コンゴ</t>
    </rPh>
    <rPh sb="183" eb="185">
      <t>カイゼン</t>
    </rPh>
    <rPh sb="186" eb="187">
      <t>ム</t>
    </rPh>
    <rPh sb="189" eb="191">
      <t>ケントウ</t>
    </rPh>
    <phoneticPr fontId="1"/>
  </si>
  <si>
    <t xml:space="preserve">
データサイエンス・AI教育プログラム関係科目を基礎として、より実践的な各種実習科目への履修と繋げるため、カリキュラムツリー等を活用し、体系的に示している。
今後も適宜ガイダンス等で実践例を紹介しながら、学ぶ楽しさや意義等について情報発信をしていきたいと考えている。</t>
    <rPh sb="19" eb="21">
      <t>カンケイ</t>
    </rPh>
    <rPh sb="21" eb="23">
      <t>カモク</t>
    </rPh>
    <rPh sb="24" eb="26">
      <t>キソ</t>
    </rPh>
    <rPh sb="32" eb="34">
      <t>ジッセン</t>
    </rPh>
    <rPh sb="34" eb="35">
      <t>テキ</t>
    </rPh>
    <rPh sb="36" eb="38">
      <t>カクシュ</t>
    </rPh>
    <rPh sb="38" eb="40">
      <t>ジッシュウ</t>
    </rPh>
    <rPh sb="44" eb="46">
      <t>リシュウ</t>
    </rPh>
    <rPh sb="47" eb="48">
      <t>ツナ</t>
    </rPh>
    <rPh sb="62" eb="63">
      <t>トウ</t>
    </rPh>
    <rPh sb="64" eb="66">
      <t>カツヨウ</t>
    </rPh>
    <rPh sb="68" eb="71">
      <t>タイケイテキ</t>
    </rPh>
    <rPh sb="72" eb="73">
      <t>シメ</t>
    </rPh>
    <rPh sb="80" eb="82">
      <t>コンゴ</t>
    </rPh>
    <rPh sb="83" eb="85">
      <t>テキギ</t>
    </rPh>
    <rPh sb="90" eb="91">
      <t>トウ</t>
    </rPh>
    <rPh sb="92" eb="95">
      <t>ジッセンレイ</t>
    </rPh>
    <rPh sb="96" eb="98">
      <t>ショウカイ</t>
    </rPh>
    <rPh sb="103" eb="104">
      <t>マナ</t>
    </rPh>
    <rPh sb="105" eb="106">
      <t>タノ</t>
    </rPh>
    <rPh sb="109" eb="111">
      <t>イギ</t>
    </rPh>
    <rPh sb="111" eb="112">
      <t>トウ</t>
    </rPh>
    <rPh sb="116" eb="118">
      <t>ジョウホウ</t>
    </rPh>
    <rPh sb="118" eb="120">
      <t>ハッシン</t>
    </rPh>
    <rPh sb="128" eb="129">
      <t>カンガ</t>
    </rPh>
    <phoneticPr fontId="1"/>
  </si>
  <si>
    <t xml:space="preserve">
授業評価アンケートの結果を参考にしながら、FD委員会で検証した内容をデータサイエンス・AI教育プログラム推進会議とで共有していきたい。ICT機器を活用し、より「分かりやすい」授業とするために改善に向けた方策を検討していきたい。
日々発展し、変化していく生成AI技術や社会情勢に対応してくため、シラバスやカリキュラムマップにて示している「到達目標」等についても適宜見直しも図りながら、全学的に取り組んでいきたい。</t>
    <rPh sb="1" eb="3">
      <t>ジュギョウ</t>
    </rPh>
    <rPh sb="3" eb="5">
      <t>ヒョウカ</t>
    </rPh>
    <rPh sb="11" eb="13">
      <t>ケッカ</t>
    </rPh>
    <rPh sb="14" eb="16">
      <t>サンコウ</t>
    </rPh>
    <rPh sb="24" eb="27">
      <t>イインカイ</t>
    </rPh>
    <rPh sb="28" eb="30">
      <t>ケンショウ</t>
    </rPh>
    <rPh sb="32" eb="34">
      <t>ナイヨウ</t>
    </rPh>
    <rPh sb="53" eb="55">
      <t>スイシン</t>
    </rPh>
    <rPh sb="55" eb="57">
      <t>カイギ</t>
    </rPh>
    <rPh sb="59" eb="61">
      <t>キョウユウ</t>
    </rPh>
    <rPh sb="96" eb="98">
      <t>カイゼン</t>
    </rPh>
    <rPh sb="99" eb="100">
      <t>ム</t>
    </rPh>
    <rPh sb="102" eb="104">
      <t>ホウサク</t>
    </rPh>
    <rPh sb="105" eb="107">
      <t>ケントウ</t>
    </rPh>
    <rPh sb="116" eb="118">
      <t>ヒビ</t>
    </rPh>
    <rPh sb="118" eb="120">
      <t>ハッテン</t>
    </rPh>
    <rPh sb="122" eb="124">
      <t>ヘンカ</t>
    </rPh>
    <rPh sb="128" eb="130">
      <t>セイセイ</t>
    </rPh>
    <rPh sb="132" eb="134">
      <t>ギジュツ</t>
    </rPh>
    <rPh sb="135" eb="137">
      <t>シャカイ</t>
    </rPh>
    <rPh sb="137" eb="139">
      <t>ジョウセイ</t>
    </rPh>
    <rPh sb="140" eb="142">
      <t>タイオウ</t>
    </rPh>
    <rPh sb="175" eb="176">
      <t>トウ</t>
    </rPh>
    <rPh sb="181" eb="183">
      <t>テキギ</t>
    </rPh>
    <rPh sb="183" eb="185">
      <t>ミナオ</t>
    </rPh>
    <rPh sb="187" eb="188">
      <t>ハカ</t>
    </rPh>
    <rPh sb="193" eb="196">
      <t>ゼンガクテキ</t>
    </rPh>
    <rPh sb="197" eb="198">
      <t>ト</t>
    </rPh>
    <rPh sb="199" eb="200">
      <t>ク</t>
    </rPh>
    <phoneticPr fontId="1"/>
  </si>
  <si>
    <t xml:space="preserve">
データサイエンス・AI教育プログラムを修了した卒業生を現時点で輩出していないため、今後、データサイエンス・AI教育プログラムを終了した令和６年度以降に、上記と同様、「キャリアセンター」と連携し、就職先の企業へのアンケート等を通じて、情報収集に努めていくとともに、今後のデータサイエンス・AI教育プログラム改善に向けて検討していきたい。</t>
    <rPh sb="42" eb="44">
      <t>コンゴ</t>
    </rPh>
    <rPh sb="64" eb="66">
      <t>シュウリョウ</t>
    </rPh>
    <rPh sb="68" eb="69">
      <t>レイ</t>
    </rPh>
    <rPh sb="69" eb="70">
      <t>ワ</t>
    </rPh>
    <rPh sb="71" eb="73">
      <t>ネンド</t>
    </rPh>
    <rPh sb="73" eb="75">
      <t>イコウ</t>
    </rPh>
    <rPh sb="77" eb="79">
      <t>ジョウキ</t>
    </rPh>
    <rPh sb="80" eb="82">
      <t>ドウヨウ</t>
    </rPh>
    <rPh sb="117" eb="119">
      <t>ジョウホウ</t>
    </rPh>
    <rPh sb="119" eb="121">
      <t>シュウシュウ</t>
    </rPh>
    <phoneticPr fontId="1"/>
  </si>
  <si>
    <t xml:space="preserve">
秋田栄養短期大学に、データサイエンス・AI教育プログラムに関する必要な事項を審議する「秋田栄養短期大学データサイエンス・AI教育プログラム推進会議」をおいている。本学では、令和５年度より「データサイエンス・AI教育プログラム」を新設し、データサイエンス・AI教育プログラム推進会議にて、データサイエンス・AI教育プログラムについて検討し、全学的な取り組みとして、関連科目の整備や周知等を図った。
今後もさらに、データサイエンス・AI教育プログラムを改善・進化させるため、令和５年度の結果も踏まえ検討していく予定である。</t>
    <rPh sb="1" eb="3">
      <t>アキタ</t>
    </rPh>
    <rPh sb="3" eb="5">
      <t>エイヨウ</t>
    </rPh>
    <rPh sb="5" eb="7">
      <t>タンキ</t>
    </rPh>
    <rPh sb="7" eb="9">
      <t>ダイガク</t>
    </rPh>
    <rPh sb="44" eb="46">
      <t>アキタ</t>
    </rPh>
    <rPh sb="46" eb="48">
      <t>エイヨウ</t>
    </rPh>
    <rPh sb="48" eb="50">
      <t>タンキ</t>
    </rPh>
    <rPh sb="82" eb="84">
      <t>ホンガク</t>
    </rPh>
    <rPh sb="87" eb="88">
      <t>レイ</t>
    </rPh>
    <rPh sb="88" eb="89">
      <t>ワ</t>
    </rPh>
    <rPh sb="90" eb="92">
      <t>ネンド</t>
    </rPh>
    <rPh sb="106" eb="108">
      <t>キョウイク</t>
    </rPh>
    <rPh sb="115" eb="117">
      <t>シンセツ</t>
    </rPh>
    <rPh sb="139" eb="141">
      <t>カイギ</t>
    </rPh>
    <rPh sb="166" eb="168">
      <t>ケントウ</t>
    </rPh>
    <rPh sb="170" eb="173">
      <t>ゼンガクテキ</t>
    </rPh>
    <rPh sb="174" eb="175">
      <t>ト</t>
    </rPh>
    <rPh sb="176" eb="177">
      <t>ク</t>
    </rPh>
    <rPh sb="182" eb="184">
      <t>カンレン</t>
    </rPh>
    <rPh sb="184" eb="186">
      <t>カモク</t>
    </rPh>
    <rPh sb="187" eb="189">
      <t>セイビ</t>
    </rPh>
    <rPh sb="190" eb="192">
      <t>シュウチ</t>
    </rPh>
    <rPh sb="192" eb="193">
      <t>トウ</t>
    </rPh>
    <rPh sb="194" eb="195">
      <t>ハカ</t>
    </rPh>
    <rPh sb="200" eb="202">
      <t>コンゴ</t>
    </rPh>
    <rPh sb="226" eb="228">
      <t>カイゼン</t>
    </rPh>
    <rPh sb="229" eb="231">
      <t>シンカ</t>
    </rPh>
    <rPh sb="243" eb="245">
      <t>ケッカ</t>
    </rPh>
    <rPh sb="246" eb="247">
      <t>フ</t>
    </rPh>
    <rPh sb="249" eb="251">
      <t>ケントウ</t>
    </rPh>
    <rPh sb="255" eb="257">
      <t>ヨテイ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</si>
</sst>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6"/>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9" fontId="2" fillId="0" borderId="0" xfId="1" applyFont="1" applyAlignment="1">
      <alignment horizontal="center"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7" fillId="0" borderId="32" xfId="0" applyFont="1" applyBorder="1" applyAlignment="1">
      <alignment horizontal="center" vertical="center"/>
    </xf>
    <xf numFmtId="0" fontId="7"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8" fillId="0" borderId="0" xfId="0" applyFont="1">
      <alignment vertical="center"/>
    </xf>
    <xf numFmtId="0" fontId="8" fillId="0" borderId="0" xfId="0" applyFont="1" applyAlignment="1">
      <alignment vertical="center" wrapText="1"/>
    </xf>
    <xf numFmtId="49" fontId="8" fillId="0" borderId="0" xfId="0" applyNumberFormat="1" applyFont="1" applyAlignment="1">
      <alignment vertical="center" shrinkToFit="1"/>
    </xf>
    <xf numFmtId="0" fontId="9" fillId="0" borderId="0" xfId="0" applyFont="1" applyFill="1">
      <alignment vertical="center"/>
    </xf>
    <xf numFmtId="0" fontId="10" fillId="0" borderId="0" xfId="0" applyFont="1" applyFill="1">
      <alignment vertical="center"/>
    </xf>
    <xf numFmtId="0" fontId="10" fillId="0" borderId="0" xfId="0" applyFont="1">
      <alignment vertical="center"/>
    </xf>
    <xf numFmtId="0" fontId="10" fillId="0" borderId="1" xfId="0" applyFont="1" applyBorder="1" applyAlignment="1">
      <alignment horizontal="center" vertical="center"/>
    </xf>
    <xf numFmtId="0" fontId="10" fillId="0" borderId="0" xfId="0" applyFont="1" applyAlignment="1">
      <alignment horizontal="right" vertical="center"/>
    </xf>
    <xf numFmtId="0" fontId="10" fillId="0" borderId="0" xfId="0" applyFont="1" applyAlignment="1">
      <alignment vertical="center" shrinkToFit="1"/>
    </xf>
    <xf numFmtId="0" fontId="10" fillId="0" borderId="0" xfId="0" applyFont="1" applyAlignment="1">
      <alignment horizontal="left" vertical="center" shrinkToFit="1"/>
    </xf>
    <xf numFmtId="0" fontId="10" fillId="0" borderId="0" xfId="0" applyFont="1" applyAlignment="1">
      <alignment horizontal="center" vertical="center"/>
    </xf>
    <xf numFmtId="0" fontId="9" fillId="0" borderId="0" xfId="0" applyFont="1">
      <alignment vertical="center"/>
    </xf>
    <xf numFmtId="0" fontId="10" fillId="0" borderId="0" xfId="0" applyFont="1" applyAlignment="1">
      <alignment horizontal="left" vertical="center"/>
    </xf>
    <xf numFmtId="0" fontId="9" fillId="0" borderId="0" xfId="0" applyFont="1" applyAlignment="1">
      <alignment horizontal="center" vertical="center"/>
    </xf>
    <xf numFmtId="0" fontId="10" fillId="0" borderId="1" xfId="0" applyFont="1" applyBorder="1">
      <alignment vertical="center"/>
    </xf>
    <xf numFmtId="0" fontId="10" fillId="0" borderId="0" xfId="0" applyFont="1" applyAlignment="1">
      <alignment horizontal="center" vertical="center" shrinkToFit="1"/>
    </xf>
    <xf numFmtId="0" fontId="10" fillId="0" borderId="1" xfId="0" applyFont="1" applyBorder="1" applyAlignment="1">
      <alignment horizontal="right" vertical="center"/>
    </xf>
    <xf numFmtId="0" fontId="10" fillId="0" borderId="20" xfId="0" applyFont="1" applyBorder="1" applyAlignment="1">
      <alignment horizontal="center" vertical="center" shrinkToFit="1"/>
    </xf>
    <xf numFmtId="0" fontId="10" fillId="0" borderId="0" xfId="0" applyFont="1" applyFill="1" applyAlignment="1">
      <alignment horizontal="center" vertical="center" shrinkToFit="1"/>
    </xf>
    <xf numFmtId="0" fontId="10" fillId="0" borderId="0" xfId="0" applyFont="1" applyFill="1" applyAlignment="1">
      <alignment horizontal="center" vertical="center"/>
    </xf>
    <xf numFmtId="0" fontId="10" fillId="0" borderId="1" xfId="0" applyFont="1" applyFill="1" applyBorder="1">
      <alignment vertical="center"/>
    </xf>
    <xf numFmtId="0" fontId="10" fillId="0" borderId="0" xfId="0" applyFont="1" applyFill="1" applyAlignment="1">
      <alignment horizontal="left" vertical="center"/>
    </xf>
    <xf numFmtId="0" fontId="10" fillId="0" borderId="0" xfId="0" applyFont="1" applyFill="1" applyAlignment="1">
      <alignment horizontal="right" vertical="center"/>
    </xf>
    <xf numFmtId="0" fontId="2" fillId="0" borderId="0" xfId="0" applyFont="1" applyFill="1" applyAlignment="1">
      <alignment horizontal="center" vertical="center"/>
    </xf>
    <xf numFmtId="0" fontId="7" fillId="0" borderId="32" xfId="0" applyFont="1" applyFill="1" applyBorder="1" applyAlignment="1">
      <alignment horizontal="center" vertical="center"/>
    </xf>
    <xf numFmtId="38" fontId="2" fillId="0" borderId="45" xfId="2" applyFont="1" applyFill="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38" fontId="2" fillId="0" borderId="18" xfId="2" applyFont="1" applyFill="1" applyBorder="1" applyAlignment="1">
      <alignment vertical="center" shrinkToFit="1"/>
    </xf>
    <xf numFmtId="38" fontId="2" fillId="0" borderId="46" xfId="2" applyFont="1" applyFill="1" applyBorder="1" applyAlignment="1">
      <alignment vertical="center" shrinkToFit="1"/>
    </xf>
    <xf numFmtId="0" fontId="13" fillId="0" borderId="0" xfId="0" applyFont="1" applyAlignment="1">
      <alignment horizontal="center" vertical="center"/>
    </xf>
    <xf numFmtId="0" fontId="10" fillId="0" borderId="0" xfId="0" applyFont="1" applyAlignment="1">
      <alignment vertical="center" wrapText="1"/>
    </xf>
    <xf numFmtId="0" fontId="10" fillId="0" borderId="0" xfId="0" applyFont="1" applyAlignment="1">
      <alignment horizontal="right" vertical="center"/>
    </xf>
    <xf numFmtId="0" fontId="10" fillId="0" borderId="1" xfId="0" applyFont="1" applyBorder="1" applyAlignment="1">
      <alignment horizontal="center" vertical="center"/>
    </xf>
    <xf numFmtId="0" fontId="12" fillId="0" borderId="0" xfId="0" applyFont="1">
      <alignment vertical="center"/>
    </xf>
    <xf numFmtId="0" fontId="10" fillId="0" borderId="1" xfId="0" applyFont="1" applyFill="1" applyBorder="1" applyAlignment="1">
      <alignment horizontal="center" vertical="center"/>
    </xf>
    <xf numFmtId="0" fontId="9" fillId="0" borderId="0" xfId="0" applyFont="1" applyAlignment="1">
      <alignment horizontal="left" vertical="center"/>
    </xf>
    <xf numFmtId="0" fontId="10" fillId="0" borderId="0" xfId="0" applyFont="1" applyAlignment="1">
      <alignment vertical="top" wrapText="1"/>
    </xf>
    <xf numFmtId="0" fontId="12" fillId="0" borderId="0" xfId="0" applyFont="1" applyAlignment="1">
      <alignment vertical="top" wrapText="1"/>
    </xf>
    <xf numFmtId="0" fontId="10" fillId="0" borderId="1" xfId="0" applyFont="1" applyBorder="1" applyAlignment="1">
      <alignment horizontal="center" vertical="center" wrapText="1" shrinkToFit="1"/>
    </xf>
    <xf numFmtId="9" fontId="10" fillId="0" borderId="1" xfId="0" applyNumberFormat="1" applyFont="1" applyBorder="1" applyAlignment="1">
      <alignment horizontal="center" vertical="center" shrinkToFit="1"/>
    </xf>
    <xf numFmtId="0" fontId="10" fillId="0" borderId="1" xfId="0" applyFont="1" applyBorder="1" applyAlignment="1">
      <alignment horizontal="center" vertical="center" shrinkToFit="1"/>
    </xf>
    <xf numFmtId="176" fontId="10" fillId="0" borderId="1" xfId="0" applyNumberFormat="1" applyFont="1" applyBorder="1" applyAlignment="1">
      <alignment horizontal="center" vertical="center" shrinkToFit="1"/>
    </xf>
    <xf numFmtId="0" fontId="12" fillId="0" borderId="0" xfId="0" applyFont="1" applyAlignment="1">
      <alignment vertical="top" shrinkToFit="1"/>
    </xf>
    <xf numFmtId="0" fontId="10" fillId="0" borderId="0" xfId="0" applyFont="1" applyAlignment="1">
      <alignment vertical="top" wrapText="1" shrinkToFit="1"/>
    </xf>
    <xf numFmtId="0" fontId="10" fillId="0" borderId="0" xfId="0" applyFont="1" applyAlignment="1">
      <alignment vertical="top" shrinkToFit="1"/>
    </xf>
    <xf numFmtId="0" fontId="10" fillId="0" borderId="1" xfId="0" applyFont="1" applyBorder="1" applyAlignment="1">
      <alignment horizontal="left" vertical="center"/>
    </xf>
    <xf numFmtId="0" fontId="10" fillId="2" borderId="5" xfId="0" applyFont="1" applyFill="1" applyBorder="1">
      <alignment vertical="center"/>
    </xf>
    <xf numFmtId="0" fontId="12" fillId="2" borderId="0" xfId="0" applyFont="1" applyFill="1" applyAlignment="1">
      <alignment vertical="top" wrapText="1"/>
    </xf>
    <xf numFmtId="0" fontId="12" fillId="2" borderId="10" xfId="0" applyFont="1" applyFill="1" applyBorder="1" applyAlignment="1">
      <alignment vertical="top" wrapText="1"/>
    </xf>
    <xf numFmtId="0" fontId="10" fillId="2" borderId="0" xfId="0" applyFont="1" applyFill="1">
      <alignment vertical="center"/>
    </xf>
    <xf numFmtId="0" fontId="12" fillId="2" borderId="5" xfId="0" applyFont="1" applyFill="1" applyBorder="1" applyAlignment="1">
      <alignment vertical="top" wrapText="1"/>
    </xf>
    <xf numFmtId="0" fontId="12" fillId="2" borderId="11" xfId="0" applyFont="1" applyFill="1" applyBorder="1" applyAlignment="1">
      <alignment vertical="top" wrapText="1"/>
    </xf>
    <xf numFmtId="0" fontId="12" fillId="2" borderId="37" xfId="0" applyFont="1" applyFill="1" applyBorder="1" applyAlignment="1">
      <alignment vertical="top" wrapText="1"/>
    </xf>
    <xf numFmtId="0" fontId="12" fillId="2" borderId="38" xfId="0" applyFont="1" applyFill="1" applyBorder="1" applyAlignment="1">
      <alignment vertical="top" wrapText="1"/>
    </xf>
    <xf numFmtId="0" fontId="12" fillId="2" borderId="37" xfId="0" applyFont="1" applyFill="1" applyBorder="1" applyAlignment="1">
      <alignment vertical="top" shrinkToFit="1"/>
    </xf>
    <xf numFmtId="0" fontId="12" fillId="2" borderId="38" xfId="0" applyFont="1" applyFill="1" applyBorder="1" applyAlignment="1">
      <alignment vertical="top" shrinkToFit="1"/>
    </xf>
    <xf numFmtId="0" fontId="9" fillId="0" borderId="6" xfId="0" applyFont="1" applyFill="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9" fillId="0" borderId="1" xfId="0" applyFont="1" applyFill="1" applyBorder="1" applyAlignment="1">
      <alignment horizontal="center" vertical="center"/>
    </xf>
    <xf numFmtId="0" fontId="12" fillId="0" borderId="1" xfId="0" applyFont="1" applyFill="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3" fillId="0" borderId="0" xfId="0" applyFont="1" applyAlignment="1">
      <alignment horizontal="center" vertical="center"/>
    </xf>
    <xf numFmtId="0" fontId="10" fillId="0" borderId="7" xfId="0" applyFont="1" applyBorder="1" applyAlignment="1">
      <alignment horizontal="left" vertical="top" wrapText="1" shrinkToFit="1"/>
    </xf>
    <xf numFmtId="0" fontId="10" fillId="0" borderId="8" xfId="0" applyFont="1" applyBorder="1" applyAlignment="1">
      <alignment horizontal="left" vertical="top" wrapText="1" shrinkToFit="1"/>
    </xf>
    <xf numFmtId="0" fontId="10" fillId="0" borderId="9" xfId="0" applyFont="1" applyBorder="1" applyAlignment="1">
      <alignment horizontal="left" vertical="top" wrapText="1" shrinkToFit="1"/>
    </xf>
    <xf numFmtId="0" fontId="10" fillId="0" borderId="5" xfId="0" applyFont="1" applyBorder="1" applyAlignment="1">
      <alignment horizontal="left" vertical="top" wrapText="1" shrinkToFit="1"/>
    </xf>
    <xf numFmtId="0" fontId="10" fillId="0" borderId="0" xfId="0" applyFont="1" applyAlignment="1">
      <alignment horizontal="left" vertical="top" wrapText="1" shrinkToFit="1"/>
    </xf>
    <xf numFmtId="0" fontId="10" fillId="0" borderId="10" xfId="0" applyFont="1" applyBorder="1" applyAlignment="1">
      <alignment horizontal="left" vertical="top" wrapText="1" shrinkToFit="1"/>
    </xf>
    <xf numFmtId="0" fontId="10" fillId="0" borderId="11" xfId="0" applyFont="1" applyBorder="1" applyAlignment="1">
      <alignment horizontal="left" vertical="top" wrapText="1" shrinkToFit="1"/>
    </xf>
    <xf numFmtId="0" fontId="10" fillId="0" borderId="6" xfId="0" applyFont="1" applyBorder="1" applyAlignment="1">
      <alignment horizontal="left" vertical="top" wrapText="1" shrinkToFit="1"/>
    </xf>
    <xf numFmtId="0" fontId="10" fillId="0" borderId="12" xfId="0" applyFont="1" applyBorder="1" applyAlignment="1">
      <alignment horizontal="left" vertical="top" wrapText="1" shrinkToFit="1"/>
    </xf>
    <xf numFmtId="0" fontId="10" fillId="0" borderId="0" xfId="0" applyFont="1" applyAlignment="1">
      <alignment vertical="center" wrapText="1"/>
    </xf>
    <xf numFmtId="0" fontId="3" fillId="0" borderId="2" xfId="0" applyFont="1" applyBorder="1" applyAlignment="1">
      <alignment vertical="center" wrapText="1" shrinkToFit="1"/>
    </xf>
    <xf numFmtId="0" fontId="3" fillId="0" borderId="3" xfId="0" applyFont="1" applyBorder="1" applyAlignment="1">
      <alignment vertical="center" wrapText="1" shrinkToFit="1"/>
    </xf>
    <xf numFmtId="0" fontId="3"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6" fillId="0" borderId="2" xfId="0" applyFont="1" applyBorder="1" applyAlignment="1">
      <alignment horizontal="center" vertical="center" shrinkToFit="1"/>
    </xf>
    <xf numFmtId="0" fontId="6" fillId="0" borderId="4" xfId="0" applyFont="1" applyBorder="1" applyAlignment="1">
      <alignment horizontal="center" vertical="center" shrinkToFit="1"/>
    </xf>
    <xf numFmtId="0" fontId="10" fillId="0" borderId="0" xfId="0" applyFont="1" applyAlignment="1">
      <alignment horizontal="right"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9" fillId="0" borderId="0" xfId="0" applyFont="1" applyFill="1" applyAlignment="1">
      <alignment horizontal="left" vertical="center" wrapText="1"/>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2" xfId="0" applyNumberFormat="1" applyFont="1" applyBorder="1" applyAlignment="1">
      <alignment horizontal="left" vertical="center" wrapText="1"/>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49" fontId="3" fillId="0" borderId="29" xfId="0" applyNumberFormat="1" applyFont="1" applyBorder="1" applyAlignment="1">
      <alignment horizontal="left" vertical="center"/>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0" fontId="10" fillId="0" borderId="7" xfId="0" applyFont="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1" xfId="0" applyFont="1" applyBorder="1" applyAlignment="1">
      <alignment horizontal="left" vertical="center" wrapText="1"/>
    </xf>
    <xf numFmtId="0" fontId="10" fillId="0" borderId="6" xfId="0" applyFont="1" applyBorder="1" applyAlignment="1">
      <alignment horizontal="left" vertical="center" wrapText="1"/>
    </xf>
    <xf numFmtId="0" fontId="10" fillId="0" borderId="12" xfId="0" applyFont="1" applyBorder="1" applyAlignment="1">
      <alignment horizontal="left" vertical="center" wrapText="1"/>
    </xf>
    <xf numFmtId="0" fontId="2" fillId="0" borderId="14" xfId="0" applyFont="1" applyFill="1" applyBorder="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shrinkToFit="1"/>
    </xf>
    <xf numFmtId="0" fontId="10"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6" fillId="0" borderId="8"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7" fillId="0" borderId="9" xfId="0" applyFont="1" applyBorder="1" applyAlignment="1">
      <alignment horizontal="center" vertical="center" wrapText="1"/>
    </xf>
    <xf numFmtId="0" fontId="7" fillId="0" borderId="12" xfId="0" applyFont="1" applyBorder="1" applyAlignment="1">
      <alignment horizontal="center" vertical="center" wrapText="1"/>
    </xf>
    <xf numFmtId="0" fontId="6" fillId="0" borderId="9" xfId="0" applyFont="1" applyBorder="1" applyAlignment="1">
      <alignment horizontal="center" vertical="center"/>
    </xf>
    <xf numFmtId="0" fontId="6" fillId="0" borderId="12" xfId="0" applyFont="1" applyBorder="1" applyAlignment="1">
      <alignment horizontal="center" vertical="center"/>
    </xf>
    <xf numFmtId="0" fontId="6" fillId="0" borderId="15"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2" fillId="0" borderId="14" xfId="0" applyFont="1" applyBorder="1" applyAlignment="1">
      <alignment horizontal="center" vertical="center"/>
    </xf>
    <xf numFmtId="0" fontId="10" fillId="0" borderId="0" xfId="0" applyFont="1" applyAlignment="1">
      <alignment horizontal="left" vertical="center" wrapText="1"/>
    </xf>
    <xf numFmtId="0" fontId="10" fillId="0" borderId="2" xfId="0" applyFont="1" applyBorder="1" applyAlignment="1">
      <alignment horizontal="left" vertical="center"/>
    </xf>
    <xf numFmtId="0" fontId="9" fillId="0" borderId="3" xfId="0" applyFont="1" applyBorder="1">
      <alignment vertical="center"/>
    </xf>
    <xf numFmtId="0" fontId="9" fillId="0" borderId="4" xfId="0" applyFont="1" applyBorder="1">
      <alignment vertical="center"/>
    </xf>
    <xf numFmtId="0" fontId="10" fillId="0" borderId="7" xfId="0" applyFont="1" applyBorder="1" applyAlignment="1">
      <alignment vertical="top" wrapText="1" shrinkToFit="1"/>
    </xf>
    <xf numFmtId="0" fontId="10" fillId="0" borderId="8" xfId="0" applyFont="1" applyBorder="1" applyAlignment="1">
      <alignment vertical="top" wrapText="1" shrinkToFit="1"/>
    </xf>
    <xf numFmtId="0" fontId="10" fillId="0" borderId="9" xfId="0" applyFont="1" applyBorder="1" applyAlignment="1">
      <alignment vertical="top" shrinkToFit="1"/>
    </xf>
    <xf numFmtId="0" fontId="10" fillId="0" borderId="5" xfId="0" applyFont="1" applyBorder="1" applyAlignment="1">
      <alignment vertical="top" wrapText="1" shrinkToFit="1"/>
    </xf>
    <xf numFmtId="0" fontId="10" fillId="0" borderId="0" xfId="0" applyFont="1" applyAlignment="1">
      <alignment vertical="top" wrapText="1" shrinkToFit="1"/>
    </xf>
    <xf numFmtId="0" fontId="10" fillId="0" borderId="10" xfId="0" applyFont="1" applyBorder="1" applyAlignment="1">
      <alignment vertical="top" shrinkToFit="1"/>
    </xf>
    <xf numFmtId="0" fontId="10" fillId="0" borderId="5" xfId="0" applyFont="1" applyBorder="1" applyAlignment="1">
      <alignment vertical="top" shrinkToFit="1"/>
    </xf>
    <xf numFmtId="0" fontId="10" fillId="0" borderId="0" xfId="0" applyFont="1" applyAlignment="1">
      <alignment vertical="top" shrinkToFit="1"/>
    </xf>
    <xf numFmtId="0" fontId="10" fillId="0" borderId="11" xfId="0" applyFont="1" applyBorder="1" applyAlignment="1">
      <alignment vertical="top"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9" fillId="0" borderId="3" xfId="0" applyFont="1" applyBorder="1" applyAlignment="1">
      <alignment horizontal="left" vertical="center"/>
    </xf>
    <xf numFmtId="0" fontId="9" fillId="0" borderId="4" xfId="0" applyFont="1" applyBorder="1" applyAlignment="1">
      <alignment horizontal="left" vertical="center"/>
    </xf>
    <xf numFmtId="0" fontId="10" fillId="0" borderId="0" xfId="0" applyFont="1" applyAlignment="1">
      <alignment horizontal="center" vertical="center"/>
    </xf>
    <xf numFmtId="0" fontId="10" fillId="0" borderId="0" xfId="0" applyFont="1">
      <alignment vertical="center"/>
    </xf>
    <xf numFmtId="0" fontId="10" fillId="2" borderId="5" xfId="0" applyFont="1" applyFill="1" applyBorder="1" applyAlignment="1">
      <alignment horizontal="center" vertical="center" shrinkToFit="1"/>
    </xf>
    <xf numFmtId="0" fontId="10" fillId="2" borderId="0" xfId="0" applyFont="1" applyFill="1" applyAlignment="1">
      <alignment horizontal="center" vertical="center" shrinkToFit="1"/>
    </xf>
    <xf numFmtId="0" fontId="10" fillId="2" borderId="10" xfId="0" applyFont="1" applyFill="1" applyBorder="1" applyAlignment="1">
      <alignment horizontal="center" vertical="center" shrinkToFit="1"/>
    </xf>
    <xf numFmtId="9" fontId="10" fillId="0" borderId="1" xfId="0" applyNumberFormat="1" applyFont="1" applyBorder="1" applyAlignment="1">
      <alignment horizontal="center" vertical="center" shrinkToFit="1"/>
    </xf>
    <xf numFmtId="0" fontId="10" fillId="0" borderId="7" xfId="0" applyFont="1" applyBorder="1" applyAlignment="1">
      <alignment vertical="top" wrapText="1"/>
    </xf>
    <xf numFmtId="0" fontId="10" fillId="0" borderId="8" xfId="0" applyFont="1" applyBorder="1" applyAlignment="1">
      <alignment vertical="top" wrapText="1"/>
    </xf>
    <xf numFmtId="0" fontId="10" fillId="0" borderId="9" xfId="0" applyFont="1" applyBorder="1" applyAlignment="1">
      <alignment vertical="top" wrapText="1"/>
    </xf>
    <xf numFmtId="0" fontId="10" fillId="0" borderId="5" xfId="0" applyFont="1" applyBorder="1" applyAlignment="1">
      <alignment vertical="top" wrapText="1"/>
    </xf>
    <xf numFmtId="0" fontId="10" fillId="0" borderId="0" xfId="0" applyFont="1" applyAlignment="1">
      <alignment vertical="top" wrapText="1"/>
    </xf>
    <xf numFmtId="0" fontId="10" fillId="0" borderId="10" xfId="0" applyFont="1" applyBorder="1" applyAlignment="1">
      <alignment vertical="top" wrapText="1"/>
    </xf>
    <xf numFmtId="0" fontId="10" fillId="0" borderId="11" xfId="0" applyFont="1" applyBorder="1" applyAlignment="1">
      <alignment vertical="top" wrapText="1"/>
    </xf>
    <xf numFmtId="0" fontId="10" fillId="0" borderId="6" xfId="0" applyFont="1" applyBorder="1" applyAlignment="1">
      <alignment vertical="top" wrapText="1"/>
    </xf>
    <xf numFmtId="0" fontId="10" fillId="0" borderId="12" xfId="0" applyFont="1" applyBorder="1" applyAlignment="1">
      <alignment vertical="top" wrapText="1"/>
    </xf>
    <xf numFmtId="0" fontId="10" fillId="0" borderId="9" xfId="0" applyFont="1" applyBorder="1" applyAlignment="1">
      <alignment vertical="top"/>
    </xf>
    <xf numFmtId="0" fontId="10" fillId="0" borderId="5" xfId="0" applyFont="1" applyBorder="1" applyAlignment="1">
      <alignment vertical="top"/>
    </xf>
    <xf numFmtId="0" fontId="10" fillId="0" borderId="0" xfId="0" applyFont="1" applyAlignment="1">
      <alignment vertical="top"/>
    </xf>
    <xf numFmtId="0" fontId="10" fillId="0" borderId="10" xfId="0" applyFont="1" applyBorder="1" applyAlignment="1">
      <alignment vertical="top"/>
    </xf>
    <xf numFmtId="0" fontId="10" fillId="0" borderId="11" xfId="0" applyFont="1" applyBorder="1" applyAlignment="1">
      <alignment vertical="top"/>
    </xf>
    <xf numFmtId="0" fontId="10" fillId="0" borderId="6" xfId="0" applyFont="1" applyBorder="1" applyAlignment="1">
      <alignment vertical="top"/>
    </xf>
    <xf numFmtId="0" fontId="10" fillId="0" borderId="12" xfId="0" applyFont="1" applyBorder="1" applyAlignment="1">
      <alignment vertical="top"/>
    </xf>
    <xf numFmtId="9" fontId="10" fillId="0" borderId="1" xfId="0" applyNumberFormat="1" applyFont="1" applyBorder="1" applyAlignment="1">
      <alignment horizontal="center" vertical="center" wrapText="1" shrinkToFit="1"/>
    </xf>
    <xf numFmtId="0" fontId="10" fillId="0" borderId="7"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10" fillId="0" borderId="5" xfId="0" applyFont="1" applyBorder="1" applyAlignment="1">
      <alignment horizontal="left" vertical="top" wrapText="1"/>
    </xf>
    <xf numFmtId="0" fontId="10" fillId="0" borderId="0" xfId="0" applyFont="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10" fillId="0" borderId="6" xfId="0" applyFont="1" applyBorder="1" applyAlignment="1">
      <alignment horizontal="left" vertical="top" wrapText="1"/>
    </xf>
    <xf numFmtId="0" fontId="10" fillId="0" borderId="12" xfId="0" applyFont="1" applyBorder="1" applyAlignment="1">
      <alignment horizontal="left" vertical="top" wrapText="1"/>
    </xf>
    <xf numFmtId="0" fontId="10" fillId="0" borderId="16" xfId="0" applyFont="1" applyBorder="1">
      <alignment vertical="center"/>
    </xf>
    <xf numFmtId="0" fontId="9" fillId="0" borderId="17" xfId="0" applyFont="1" applyBorder="1">
      <alignment vertical="center"/>
    </xf>
    <xf numFmtId="0" fontId="10" fillId="0" borderId="18" xfId="0" applyFont="1" applyFill="1" applyBorder="1" applyAlignment="1">
      <alignment vertical="top" wrapText="1" shrinkToFit="1"/>
    </xf>
    <xf numFmtId="0" fontId="10" fillId="0" borderId="19" xfId="0" applyFont="1" applyFill="1" applyBorder="1" applyAlignment="1">
      <alignment vertical="top" wrapText="1" shrinkToFit="1"/>
    </xf>
    <xf numFmtId="0" fontId="10" fillId="0" borderId="17" xfId="0" applyFont="1" applyFill="1" applyBorder="1" applyAlignment="1">
      <alignment vertical="top" wrapText="1" shrinkToFit="1"/>
    </xf>
    <xf numFmtId="0" fontId="10" fillId="0" borderId="16" xfId="0" applyFont="1" applyBorder="1" applyAlignment="1">
      <alignment vertical="center" wrapText="1"/>
    </xf>
    <xf numFmtId="0" fontId="10" fillId="0" borderId="17" xfId="0" applyFont="1" applyBorder="1" applyAlignment="1">
      <alignment vertical="center" wrapText="1"/>
    </xf>
    <xf numFmtId="0" fontId="10" fillId="0" borderId="18" xfId="0" applyFont="1" applyBorder="1" applyAlignment="1">
      <alignment vertical="top" wrapText="1" shrinkToFit="1"/>
    </xf>
    <xf numFmtId="0" fontId="10" fillId="0" borderId="19" xfId="0" applyFont="1" applyBorder="1" applyAlignment="1">
      <alignment vertical="top" wrapText="1" shrinkToFit="1"/>
    </xf>
    <xf numFmtId="0" fontId="10" fillId="0" borderId="17" xfId="0" applyFont="1" applyBorder="1" applyAlignment="1">
      <alignment vertical="top" wrapText="1" shrinkToFit="1"/>
    </xf>
    <xf numFmtId="0" fontId="10" fillId="0" borderId="3" xfId="0" applyFont="1" applyBorder="1" applyAlignment="1">
      <alignment horizontal="left" vertical="center"/>
    </xf>
    <xf numFmtId="0" fontId="10" fillId="0" borderId="4" xfId="0" applyFont="1" applyBorder="1" applyAlignment="1">
      <alignment horizontal="left" vertical="center"/>
    </xf>
    <xf numFmtId="0" fontId="10" fillId="0" borderId="47" xfId="0" applyFont="1" applyBorder="1" applyAlignment="1">
      <alignment vertical="center" wrapText="1"/>
    </xf>
    <xf numFmtId="0" fontId="10" fillId="0" borderId="34" xfId="0" applyFont="1" applyBorder="1" applyAlignment="1">
      <alignment vertical="center" wrapText="1"/>
    </xf>
    <xf numFmtId="0" fontId="10" fillId="0" borderId="32" xfId="0" applyFont="1" applyBorder="1" applyAlignment="1">
      <alignment vertical="top" wrapText="1" shrinkToFit="1"/>
    </xf>
    <xf numFmtId="0" fontId="10" fillId="0" borderId="33" xfId="0" applyFont="1" applyBorder="1" applyAlignment="1">
      <alignment vertical="top" wrapText="1" shrinkToFit="1"/>
    </xf>
    <xf numFmtId="0" fontId="10" fillId="0" borderId="34" xfId="0" applyFont="1" applyBorder="1" applyAlignment="1">
      <alignment vertical="top" wrapText="1" shrinkToFit="1"/>
    </xf>
    <xf numFmtId="0" fontId="10" fillId="0" borderId="11" xfId="0" applyFont="1" applyBorder="1" applyAlignment="1">
      <alignment vertical="center" wrapText="1"/>
    </xf>
    <xf numFmtId="0" fontId="10" fillId="0" borderId="6" xfId="0" applyFont="1" applyBorder="1" applyAlignment="1">
      <alignment vertical="center" wrapText="1"/>
    </xf>
    <xf numFmtId="0" fontId="10" fillId="0" borderId="12" xfId="0" applyFont="1" applyBorder="1" applyAlignment="1">
      <alignment vertical="center" wrapText="1"/>
    </xf>
    <xf numFmtId="0" fontId="10" fillId="0" borderId="6" xfId="0" applyFont="1" applyBorder="1" applyAlignment="1">
      <alignment vertical="top" wrapText="1" shrinkToFit="1"/>
    </xf>
    <xf numFmtId="0" fontId="10" fillId="0" borderId="12" xfId="0" applyFont="1" applyBorder="1" applyAlignment="1">
      <alignment vertical="top" wrapText="1" shrinkToFit="1"/>
    </xf>
    <xf numFmtId="0" fontId="10" fillId="0" borderId="36" xfId="0" applyFont="1" applyBorder="1" applyAlignment="1">
      <alignment vertical="center" wrapText="1"/>
    </xf>
    <xf numFmtId="0" fontId="10" fillId="0" borderId="37" xfId="0" applyFont="1" applyBorder="1" applyAlignment="1">
      <alignment vertical="center" wrapText="1"/>
    </xf>
    <xf numFmtId="0" fontId="10" fillId="0" borderId="38" xfId="0" applyFont="1" applyBorder="1" applyAlignment="1">
      <alignment vertical="center" wrapText="1"/>
    </xf>
    <xf numFmtId="0" fontId="10" fillId="0" borderId="37" xfId="0" applyFont="1" applyBorder="1" applyAlignment="1">
      <alignment vertical="top" wrapText="1" shrinkToFit="1"/>
    </xf>
    <xf numFmtId="0" fontId="10"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tabSelected="1" view="pageBreakPreview" zoomScaleNormal="100" zoomScaleSheetLayoutView="100" workbookViewId="0">
      <selection activeCell="B2" sqref="B2"/>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50"/>
      <c r="B1" s="50"/>
      <c r="C1" s="50"/>
      <c r="D1" s="50"/>
      <c r="E1" s="50"/>
      <c r="F1" s="50"/>
      <c r="G1" s="50"/>
      <c r="H1" s="50"/>
      <c r="I1" s="50"/>
      <c r="J1" s="50"/>
      <c r="K1" s="50"/>
      <c r="L1" s="50"/>
      <c r="M1" s="50"/>
      <c r="N1" s="50"/>
      <c r="O1" s="50"/>
      <c r="P1" s="50"/>
      <c r="Q1" s="50"/>
      <c r="R1" s="50"/>
      <c r="S1" s="50"/>
      <c r="T1" s="151" t="s">
        <v>12</v>
      </c>
      <c r="U1" s="151"/>
      <c r="V1" s="2" t="s">
        <v>100</v>
      </c>
    </row>
    <row r="2" spans="1:24" ht="18.75" customHeight="1" x14ac:dyDescent="0.15">
      <c r="A2" s="50"/>
      <c r="B2" s="51" t="s">
        <v>99</v>
      </c>
      <c r="C2" s="152" t="s">
        <v>135</v>
      </c>
      <c r="D2" s="153"/>
      <c r="E2" s="153"/>
      <c r="F2" s="153"/>
      <c r="G2" s="153"/>
      <c r="H2" s="153"/>
      <c r="I2" s="153"/>
      <c r="J2" s="154"/>
      <c r="K2" s="52"/>
      <c r="L2" s="53"/>
      <c r="M2" s="53"/>
      <c r="N2" s="53"/>
      <c r="O2" s="53"/>
      <c r="P2" s="53"/>
      <c r="Q2" s="53"/>
      <c r="R2" s="53"/>
      <c r="S2" s="53"/>
      <c r="T2" s="53"/>
      <c r="U2" s="53"/>
    </row>
    <row r="3" spans="1:24" ht="18.75" customHeight="1" x14ac:dyDescent="0.15">
      <c r="A3" s="50"/>
      <c r="B3" s="51" t="s">
        <v>94</v>
      </c>
      <c r="C3" s="152" t="s">
        <v>136</v>
      </c>
      <c r="D3" s="153"/>
      <c r="E3" s="153"/>
      <c r="F3" s="153"/>
      <c r="G3" s="153"/>
      <c r="H3" s="153"/>
      <c r="I3" s="153"/>
      <c r="J3" s="154"/>
      <c r="K3" s="52"/>
      <c r="L3" s="53"/>
      <c r="M3" s="53"/>
      <c r="N3" s="53"/>
      <c r="O3" s="53"/>
      <c r="P3" s="53"/>
      <c r="Q3" s="53"/>
      <c r="R3" s="53"/>
      <c r="S3" s="53"/>
      <c r="T3" s="53"/>
      <c r="U3" s="53"/>
    </row>
    <row r="4" spans="1:24" ht="15" customHeight="1" x14ac:dyDescent="0.15">
      <c r="A4" s="50"/>
      <c r="B4" s="50"/>
      <c r="C4" s="50"/>
      <c r="D4" s="50"/>
      <c r="E4" s="50"/>
      <c r="F4" s="50"/>
      <c r="G4" s="50"/>
      <c r="H4" s="50"/>
      <c r="I4" s="50"/>
      <c r="J4" s="50"/>
      <c r="K4" s="50"/>
      <c r="L4" s="52"/>
      <c r="M4" s="54"/>
      <c r="N4" s="54"/>
      <c r="O4" s="54"/>
      <c r="P4" s="54"/>
      <c r="Q4" s="54"/>
      <c r="R4" s="54"/>
      <c r="S4" s="54"/>
      <c r="T4" s="54"/>
      <c r="U4" s="54"/>
    </row>
    <row r="5" spans="1:24" ht="18" customHeight="1" x14ac:dyDescent="0.15">
      <c r="A5" s="132" t="s">
        <v>38</v>
      </c>
      <c r="B5" s="132"/>
      <c r="C5" s="132"/>
      <c r="D5" s="132"/>
      <c r="E5" s="132"/>
      <c r="F5" s="132"/>
      <c r="G5" s="132"/>
      <c r="H5" s="132"/>
      <c r="I5" s="132"/>
      <c r="J5" s="132"/>
      <c r="K5" s="132"/>
      <c r="L5" s="132"/>
      <c r="M5" s="132"/>
      <c r="N5" s="132"/>
      <c r="O5" s="132"/>
      <c r="P5" s="132"/>
      <c r="Q5" s="132"/>
      <c r="R5" s="132"/>
      <c r="S5" s="132"/>
      <c r="T5" s="132"/>
      <c r="U5" s="132"/>
    </row>
    <row r="6" spans="1:24" ht="15" customHeight="1" x14ac:dyDescent="0.15">
      <c r="A6" s="50"/>
      <c r="B6" s="55"/>
      <c r="C6" s="55"/>
      <c r="D6" s="55"/>
      <c r="E6" s="55"/>
      <c r="F6" s="55"/>
      <c r="G6" s="55"/>
      <c r="H6" s="55"/>
      <c r="I6" s="55"/>
      <c r="J6" s="55"/>
      <c r="K6" s="55"/>
      <c r="L6" s="55"/>
      <c r="M6" s="55"/>
      <c r="N6" s="55"/>
      <c r="O6" s="55"/>
      <c r="P6" s="55"/>
      <c r="Q6" s="55"/>
      <c r="R6" s="55"/>
      <c r="S6" s="55"/>
      <c r="T6" s="55"/>
      <c r="U6" s="55"/>
    </row>
    <row r="7" spans="1:24" ht="15" customHeight="1" x14ac:dyDescent="0.15">
      <c r="A7" s="50" t="s">
        <v>130</v>
      </c>
      <c r="B7" s="55"/>
      <c r="C7" s="55"/>
      <c r="D7" s="55"/>
      <c r="E7" s="55"/>
      <c r="F7" s="56"/>
      <c r="G7" s="56"/>
      <c r="H7" s="56"/>
      <c r="I7" s="56"/>
      <c r="J7" s="56"/>
      <c r="K7" s="56"/>
      <c r="L7" s="169" t="s">
        <v>137</v>
      </c>
      <c r="M7" s="170"/>
      <c r="N7" s="170"/>
      <c r="O7" s="170"/>
      <c r="P7" s="170"/>
      <c r="Q7" s="170"/>
      <c r="R7" s="170"/>
      <c r="S7" s="170"/>
      <c r="T7" s="170"/>
      <c r="U7" s="171"/>
    </row>
    <row r="8" spans="1:24" ht="6" customHeight="1" x14ac:dyDescent="0.15">
      <c r="A8" s="50"/>
      <c r="B8" s="55"/>
      <c r="C8" s="55"/>
      <c r="D8" s="55"/>
      <c r="E8" s="55"/>
      <c r="F8" s="55"/>
      <c r="G8" s="55"/>
      <c r="H8" s="55"/>
      <c r="I8" s="55"/>
      <c r="J8" s="55"/>
      <c r="K8" s="55"/>
      <c r="L8" s="55"/>
      <c r="M8" s="55"/>
      <c r="N8" s="55"/>
      <c r="O8" s="55"/>
      <c r="P8" s="55"/>
      <c r="Q8" s="55"/>
      <c r="R8" s="55"/>
      <c r="S8" s="55"/>
      <c r="T8" s="55"/>
      <c r="U8" s="55"/>
    </row>
    <row r="9" spans="1:24" ht="18" customHeight="1" x14ac:dyDescent="0.15">
      <c r="A9" s="50" t="s">
        <v>131</v>
      </c>
      <c r="B9" s="50"/>
      <c r="C9" s="55"/>
      <c r="D9" s="55"/>
      <c r="E9" s="50"/>
      <c r="F9" s="50"/>
      <c r="G9" s="50"/>
      <c r="H9" s="50"/>
      <c r="I9" s="50"/>
      <c r="J9" s="50"/>
      <c r="K9" s="52"/>
      <c r="L9" s="56"/>
      <c r="M9" s="56"/>
      <c r="N9" s="56"/>
      <c r="O9" s="56"/>
      <c r="P9" s="56"/>
      <c r="Q9" s="56"/>
      <c r="R9" s="56"/>
      <c r="S9" s="56"/>
      <c r="T9" s="56"/>
      <c r="U9" s="56"/>
    </row>
    <row r="10" spans="1:24" ht="6" customHeight="1" x14ac:dyDescent="0.15">
      <c r="A10" s="50"/>
      <c r="B10" s="55"/>
      <c r="C10" s="55"/>
      <c r="D10" s="55"/>
      <c r="E10" s="55"/>
      <c r="F10" s="55"/>
      <c r="G10" s="55"/>
      <c r="H10" s="55"/>
      <c r="I10" s="55"/>
      <c r="J10" s="55"/>
      <c r="K10" s="55"/>
      <c r="L10" s="57"/>
      <c r="M10" s="55"/>
      <c r="N10" s="55"/>
      <c r="O10" s="55"/>
      <c r="P10" s="55"/>
      <c r="Q10" s="55"/>
      <c r="R10" s="55"/>
      <c r="S10" s="55"/>
      <c r="T10" s="55"/>
      <c r="U10" s="55"/>
    </row>
    <row r="11" spans="1:24" ht="18" customHeight="1" x14ac:dyDescent="0.15">
      <c r="A11" s="50"/>
      <c r="B11" s="175"/>
      <c r="C11" s="176"/>
      <c r="D11" s="176"/>
      <c r="E11" s="176"/>
      <c r="F11" s="176"/>
      <c r="G11" s="176"/>
      <c r="H11" s="176"/>
      <c r="I11" s="176"/>
      <c r="J11" s="176"/>
      <c r="K11" s="176"/>
      <c r="L11" s="176"/>
      <c r="M11" s="176"/>
      <c r="N11" s="176"/>
      <c r="O11" s="176"/>
      <c r="P11" s="176"/>
      <c r="Q11" s="176"/>
      <c r="R11" s="176"/>
      <c r="S11" s="176"/>
      <c r="T11" s="176"/>
      <c r="U11" s="177"/>
    </row>
    <row r="12" spans="1:24" ht="18" customHeight="1" x14ac:dyDescent="0.15">
      <c r="A12" s="50"/>
      <c r="B12" s="178"/>
      <c r="C12" s="179"/>
      <c r="D12" s="179"/>
      <c r="E12" s="179"/>
      <c r="F12" s="179"/>
      <c r="G12" s="179"/>
      <c r="H12" s="179"/>
      <c r="I12" s="179"/>
      <c r="J12" s="179"/>
      <c r="K12" s="179"/>
      <c r="L12" s="179"/>
      <c r="M12" s="179"/>
      <c r="N12" s="179"/>
      <c r="O12" s="179"/>
      <c r="P12" s="179"/>
      <c r="Q12" s="179"/>
      <c r="R12" s="179"/>
      <c r="S12" s="179"/>
      <c r="T12" s="179"/>
      <c r="U12" s="180"/>
    </row>
    <row r="13" spans="1:24" ht="6" customHeight="1" x14ac:dyDescent="0.15">
      <c r="A13" s="50"/>
      <c r="B13" s="55"/>
      <c r="C13" s="55"/>
      <c r="D13" s="55"/>
      <c r="E13" s="55"/>
      <c r="F13" s="55"/>
      <c r="G13" s="55"/>
      <c r="H13" s="55"/>
      <c r="I13" s="55"/>
      <c r="J13" s="55"/>
      <c r="K13" s="55"/>
      <c r="L13" s="57"/>
      <c r="M13" s="55"/>
      <c r="N13" s="55"/>
      <c r="O13" s="55"/>
      <c r="P13" s="55"/>
      <c r="Q13" s="55"/>
      <c r="R13" s="55"/>
      <c r="S13" s="55"/>
      <c r="T13" s="55"/>
      <c r="U13" s="55"/>
    </row>
    <row r="14" spans="1:24" ht="18" customHeight="1" x14ac:dyDescent="0.15">
      <c r="A14" s="50" t="s">
        <v>101</v>
      </c>
      <c r="B14" s="55"/>
      <c r="C14" s="55"/>
      <c r="D14" s="55"/>
      <c r="E14" s="52"/>
      <c r="F14" s="52"/>
      <c r="G14" s="52"/>
      <c r="H14" s="52"/>
      <c r="I14" s="52"/>
      <c r="J14" s="52"/>
      <c r="K14" s="52"/>
      <c r="L14" s="58"/>
      <c r="M14" s="58"/>
      <c r="N14" s="58"/>
      <c r="O14" s="58"/>
      <c r="P14" s="58"/>
      <c r="Q14" s="58"/>
      <c r="R14" s="58"/>
      <c r="S14" s="58"/>
      <c r="T14" s="58"/>
      <c r="U14" s="58"/>
    </row>
    <row r="15" spans="1:24" ht="18" customHeight="1" x14ac:dyDescent="0.15">
      <c r="A15" s="50"/>
      <c r="B15" s="133" t="s">
        <v>138</v>
      </c>
      <c r="C15" s="134"/>
      <c r="D15" s="134"/>
      <c r="E15" s="134"/>
      <c r="F15" s="134"/>
      <c r="G15" s="134"/>
      <c r="H15" s="134"/>
      <c r="I15" s="134"/>
      <c r="J15" s="134"/>
      <c r="K15" s="134"/>
      <c r="L15" s="134"/>
      <c r="M15" s="134"/>
      <c r="N15" s="134"/>
      <c r="O15" s="134"/>
      <c r="P15" s="134"/>
      <c r="Q15" s="134"/>
      <c r="R15" s="134"/>
      <c r="S15" s="134"/>
      <c r="T15" s="134"/>
      <c r="U15" s="135"/>
      <c r="X15" s="1" t="s">
        <v>95</v>
      </c>
    </row>
    <row r="16" spans="1:24" ht="18" customHeight="1" x14ac:dyDescent="0.15">
      <c r="A16" s="50"/>
      <c r="B16" s="136"/>
      <c r="C16" s="137"/>
      <c r="D16" s="137"/>
      <c r="E16" s="137"/>
      <c r="F16" s="137"/>
      <c r="G16" s="137"/>
      <c r="H16" s="137"/>
      <c r="I16" s="137"/>
      <c r="J16" s="137"/>
      <c r="K16" s="137"/>
      <c r="L16" s="137"/>
      <c r="M16" s="137"/>
      <c r="N16" s="137"/>
      <c r="O16" s="137"/>
      <c r="P16" s="137"/>
      <c r="Q16" s="137"/>
      <c r="R16" s="137"/>
      <c r="S16" s="137"/>
      <c r="T16" s="137"/>
      <c r="U16" s="138"/>
      <c r="X16" s="1" t="s">
        <v>114</v>
      </c>
    </row>
    <row r="17" spans="1:24" ht="18" customHeight="1" x14ac:dyDescent="0.15">
      <c r="A17" s="50"/>
      <c r="B17" s="136"/>
      <c r="C17" s="137"/>
      <c r="D17" s="137"/>
      <c r="E17" s="137"/>
      <c r="F17" s="137"/>
      <c r="G17" s="137"/>
      <c r="H17" s="137"/>
      <c r="I17" s="137"/>
      <c r="J17" s="137"/>
      <c r="K17" s="137"/>
      <c r="L17" s="137"/>
      <c r="M17" s="137"/>
      <c r="N17" s="137"/>
      <c r="O17" s="137"/>
      <c r="P17" s="137"/>
      <c r="Q17" s="137"/>
      <c r="R17" s="137"/>
      <c r="S17" s="137"/>
      <c r="T17" s="137"/>
      <c r="U17" s="138"/>
      <c r="X17" s="1" t="s">
        <v>115</v>
      </c>
    </row>
    <row r="18" spans="1:24" ht="18" customHeight="1" x14ac:dyDescent="0.15">
      <c r="A18" s="50"/>
      <c r="B18" s="136"/>
      <c r="C18" s="137"/>
      <c r="D18" s="137"/>
      <c r="E18" s="137"/>
      <c r="F18" s="137"/>
      <c r="G18" s="137"/>
      <c r="H18" s="137"/>
      <c r="I18" s="137"/>
      <c r="J18" s="137"/>
      <c r="K18" s="137"/>
      <c r="L18" s="137"/>
      <c r="M18" s="137"/>
      <c r="N18" s="137"/>
      <c r="O18" s="137"/>
      <c r="P18" s="137"/>
      <c r="Q18" s="137"/>
      <c r="R18" s="137"/>
      <c r="S18" s="137"/>
      <c r="T18" s="137"/>
      <c r="U18" s="138"/>
      <c r="X18" s="1" t="s">
        <v>116</v>
      </c>
    </row>
    <row r="19" spans="1:24" ht="18" customHeight="1" x14ac:dyDescent="0.15">
      <c r="A19" s="50"/>
      <c r="B19" s="136"/>
      <c r="C19" s="137"/>
      <c r="D19" s="137"/>
      <c r="E19" s="137"/>
      <c r="F19" s="137"/>
      <c r="G19" s="137"/>
      <c r="H19" s="137"/>
      <c r="I19" s="137"/>
      <c r="J19" s="137"/>
      <c r="K19" s="137"/>
      <c r="L19" s="137"/>
      <c r="M19" s="137"/>
      <c r="N19" s="137"/>
      <c r="O19" s="137"/>
      <c r="P19" s="137"/>
      <c r="Q19" s="137"/>
      <c r="R19" s="137"/>
      <c r="S19" s="137"/>
      <c r="T19" s="137"/>
      <c r="U19" s="138"/>
    </row>
    <row r="20" spans="1:24" ht="18" customHeight="1" x14ac:dyDescent="0.15">
      <c r="A20" s="50"/>
      <c r="B20" s="139"/>
      <c r="C20" s="140"/>
      <c r="D20" s="140"/>
      <c r="E20" s="140"/>
      <c r="F20" s="140"/>
      <c r="G20" s="140"/>
      <c r="H20" s="140"/>
      <c r="I20" s="140"/>
      <c r="J20" s="140"/>
      <c r="K20" s="140"/>
      <c r="L20" s="140"/>
      <c r="M20" s="140"/>
      <c r="N20" s="140"/>
      <c r="O20" s="140"/>
      <c r="P20" s="140"/>
      <c r="Q20" s="140"/>
      <c r="R20" s="140"/>
      <c r="S20" s="140"/>
      <c r="T20" s="140"/>
      <c r="U20" s="141"/>
    </row>
    <row r="21" spans="1:24" ht="7.5" customHeight="1" x14ac:dyDescent="0.15">
      <c r="A21" s="50"/>
      <c r="B21" s="55"/>
      <c r="C21" s="55"/>
      <c r="D21" s="55"/>
      <c r="E21" s="55"/>
      <c r="F21" s="55"/>
      <c r="G21" s="55"/>
      <c r="H21" s="55"/>
      <c r="I21" s="55"/>
      <c r="J21" s="55"/>
      <c r="K21" s="55"/>
      <c r="L21" s="55"/>
      <c r="M21" s="55"/>
      <c r="N21" s="55"/>
      <c r="O21" s="55"/>
      <c r="P21" s="55"/>
      <c r="Q21" s="55"/>
      <c r="R21" s="55"/>
      <c r="S21" s="55"/>
      <c r="T21" s="55"/>
      <c r="U21" s="55"/>
    </row>
    <row r="22" spans="1:24" ht="19.899999999999999" customHeight="1" x14ac:dyDescent="0.15">
      <c r="A22" s="50"/>
      <c r="B22" s="50" t="s">
        <v>132</v>
      </c>
      <c r="C22" s="50"/>
      <c r="D22" s="50"/>
      <c r="E22" s="59">
        <v>2</v>
      </c>
      <c r="F22" s="50" t="s">
        <v>112</v>
      </c>
      <c r="G22" s="50"/>
      <c r="H22" s="61">
        <v>2</v>
      </c>
      <c r="I22" s="55" t="s">
        <v>113</v>
      </c>
      <c r="J22" s="55"/>
      <c r="K22" s="52"/>
      <c r="L22" s="50"/>
      <c r="M22" s="52" t="s">
        <v>110</v>
      </c>
      <c r="N22" s="166" t="s">
        <v>116</v>
      </c>
      <c r="O22" s="167"/>
      <c r="P22" s="167"/>
      <c r="Q22" s="167"/>
      <c r="R22" s="167"/>
      <c r="S22" s="167"/>
      <c r="T22" s="167"/>
      <c r="U22" s="168"/>
    </row>
    <row r="23" spans="1:24" ht="7.5" customHeight="1" x14ac:dyDescent="0.15">
      <c r="A23" s="50"/>
      <c r="B23" s="55"/>
      <c r="C23" s="55"/>
      <c r="D23" s="55"/>
      <c r="E23" s="55"/>
      <c r="F23" s="55"/>
      <c r="G23" s="55"/>
      <c r="H23" s="55"/>
      <c r="I23" s="55"/>
      <c r="J23" s="55"/>
      <c r="K23" s="55"/>
      <c r="L23" s="55"/>
      <c r="M23" s="55"/>
      <c r="N23" s="55"/>
      <c r="O23" s="55"/>
      <c r="P23" s="55"/>
      <c r="Q23" s="55"/>
      <c r="R23" s="55"/>
      <c r="S23" s="55"/>
      <c r="T23" s="55"/>
      <c r="U23" s="55"/>
    </row>
    <row r="24" spans="1:24" ht="18" customHeight="1" x14ac:dyDescent="0.15">
      <c r="A24" s="142" t="s">
        <v>102</v>
      </c>
      <c r="B24" s="142"/>
      <c r="C24" s="142"/>
      <c r="D24" s="142"/>
      <c r="E24" s="142"/>
      <c r="F24" s="142"/>
      <c r="G24" s="142"/>
      <c r="H24" s="142"/>
      <c r="I24" s="142"/>
      <c r="J24" s="142"/>
      <c r="K24" s="142"/>
      <c r="L24" s="142"/>
      <c r="M24" s="142"/>
      <c r="N24" s="142"/>
      <c r="O24" s="142"/>
      <c r="P24" s="142"/>
      <c r="Q24" s="142"/>
      <c r="R24" s="142"/>
      <c r="S24" s="142"/>
      <c r="T24" s="142"/>
      <c r="U24" s="142"/>
    </row>
    <row r="25" spans="1:24" ht="18" customHeight="1" x14ac:dyDescent="0.15">
      <c r="A25" s="142"/>
      <c r="B25" s="142"/>
      <c r="C25" s="142"/>
      <c r="D25" s="142"/>
      <c r="E25" s="142"/>
      <c r="F25" s="142"/>
      <c r="G25" s="142"/>
      <c r="H25" s="142"/>
      <c r="I25" s="142"/>
      <c r="J25" s="142"/>
      <c r="K25" s="142"/>
      <c r="L25" s="142"/>
      <c r="M25" s="142"/>
      <c r="N25" s="142"/>
      <c r="O25" s="142"/>
      <c r="P25" s="142"/>
      <c r="Q25" s="142"/>
      <c r="R25" s="142"/>
      <c r="S25" s="142"/>
      <c r="T25" s="142"/>
      <c r="U25" s="142"/>
    </row>
    <row r="26" spans="1:24" ht="18" customHeight="1" x14ac:dyDescent="0.15">
      <c r="B26" s="108" t="s">
        <v>52</v>
      </c>
      <c r="C26" s="109"/>
      <c r="D26" s="109"/>
      <c r="E26" s="109"/>
      <c r="F26" s="110"/>
      <c r="G26" s="27" t="s">
        <v>78</v>
      </c>
      <c r="H26" s="26" t="s">
        <v>81</v>
      </c>
      <c r="I26" s="13" t="s">
        <v>55</v>
      </c>
      <c r="J26" s="13" t="s">
        <v>58</v>
      </c>
      <c r="K26" s="108" t="s">
        <v>52</v>
      </c>
      <c r="L26" s="109"/>
      <c r="M26" s="109"/>
      <c r="N26" s="109"/>
      <c r="O26" s="109"/>
      <c r="P26" s="109"/>
      <c r="Q26" s="110"/>
      <c r="R26" s="27" t="s">
        <v>78</v>
      </c>
      <c r="S26" s="26" t="s">
        <v>81</v>
      </c>
      <c r="T26" s="13" t="s">
        <v>55</v>
      </c>
      <c r="U26" s="13" t="s">
        <v>58</v>
      </c>
    </row>
    <row r="27" spans="1:24" ht="18" customHeight="1" x14ac:dyDescent="0.15">
      <c r="B27" s="119" t="s">
        <v>140</v>
      </c>
      <c r="C27" s="120"/>
      <c r="D27" s="120"/>
      <c r="E27" s="120"/>
      <c r="F27" s="121"/>
      <c r="G27" s="14">
        <v>1</v>
      </c>
      <c r="H27" s="14" t="s">
        <v>139</v>
      </c>
      <c r="I27" s="14" t="s">
        <v>139</v>
      </c>
      <c r="J27" s="14" t="s">
        <v>139</v>
      </c>
      <c r="K27" s="119"/>
      <c r="L27" s="120"/>
      <c r="M27" s="120"/>
      <c r="N27" s="120"/>
      <c r="O27" s="120"/>
      <c r="P27" s="120"/>
      <c r="Q27" s="121"/>
      <c r="R27" s="14"/>
      <c r="S27" s="14"/>
      <c r="T27" s="14"/>
      <c r="U27" s="14"/>
    </row>
    <row r="28" spans="1:24" ht="18" customHeight="1" x14ac:dyDescent="0.15">
      <c r="B28" s="111"/>
      <c r="C28" s="112"/>
      <c r="D28" s="112"/>
      <c r="E28" s="112"/>
      <c r="F28" s="113"/>
      <c r="G28" s="15"/>
      <c r="H28" s="15"/>
      <c r="I28" s="15"/>
      <c r="J28" s="15"/>
      <c r="K28" s="111"/>
      <c r="L28" s="112"/>
      <c r="M28" s="112"/>
      <c r="N28" s="112"/>
      <c r="O28" s="112"/>
      <c r="P28" s="112"/>
      <c r="Q28" s="113"/>
      <c r="R28" s="15"/>
      <c r="S28" s="15"/>
      <c r="T28" s="15"/>
      <c r="U28" s="15"/>
    </row>
    <row r="29" spans="1:24" ht="18" customHeight="1" x14ac:dyDescent="0.15">
      <c r="B29" s="111"/>
      <c r="C29" s="112"/>
      <c r="D29" s="112"/>
      <c r="E29" s="112"/>
      <c r="F29" s="113"/>
      <c r="G29" s="15"/>
      <c r="H29" s="15"/>
      <c r="I29" s="15"/>
      <c r="J29" s="15"/>
      <c r="K29" s="111"/>
      <c r="L29" s="112"/>
      <c r="M29" s="112"/>
      <c r="N29" s="112"/>
      <c r="O29" s="112"/>
      <c r="P29" s="112"/>
      <c r="Q29" s="113"/>
      <c r="R29" s="15"/>
      <c r="S29" s="15"/>
      <c r="T29" s="15"/>
      <c r="U29" s="15"/>
    </row>
    <row r="30" spans="1:24" ht="18" customHeight="1" x14ac:dyDescent="0.15">
      <c r="B30" s="111"/>
      <c r="C30" s="112"/>
      <c r="D30" s="112"/>
      <c r="E30" s="112"/>
      <c r="F30" s="113"/>
      <c r="G30" s="15"/>
      <c r="H30" s="15"/>
      <c r="I30" s="15"/>
      <c r="J30" s="15"/>
      <c r="K30" s="111"/>
      <c r="L30" s="112"/>
      <c r="M30" s="112"/>
      <c r="N30" s="112"/>
      <c r="O30" s="112"/>
      <c r="P30" s="112"/>
      <c r="Q30" s="113"/>
      <c r="R30" s="15"/>
      <c r="S30" s="15"/>
      <c r="T30" s="15"/>
      <c r="U30" s="15"/>
    </row>
    <row r="31" spans="1:24" ht="18" customHeight="1" x14ac:dyDescent="0.15">
      <c r="B31" s="111"/>
      <c r="C31" s="112"/>
      <c r="D31" s="112"/>
      <c r="E31" s="112"/>
      <c r="F31" s="113"/>
      <c r="G31" s="15"/>
      <c r="H31" s="15"/>
      <c r="I31" s="15"/>
      <c r="J31" s="15"/>
      <c r="K31" s="111"/>
      <c r="L31" s="112"/>
      <c r="M31" s="112"/>
      <c r="N31" s="112"/>
      <c r="O31" s="112"/>
      <c r="P31" s="112"/>
      <c r="Q31" s="113"/>
      <c r="R31" s="15"/>
      <c r="S31" s="15"/>
      <c r="T31" s="15"/>
      <c r="U31" s="15"/>
    </row>
    <row r="32" spans="1:24" ht="18" customHeight="1" x14ac:dyDescent="0.15">
      <c r="A32" s="3"/>
      <c r="B32" s="111"/>
      <c r="C32" s="112"/>
      <c r="D32" s="112"/>
      <c r="E32" s="112"/>
      <c r="F32" s="113"/>
      <c r="G32" s="15"/>
      <c r="H32" s="15"/>
      <c r="I32" s="15"/>
      <c r="J32" s="15"/>
      <c r="K32" s="111"/>
      <c r="L32" s="112"/>
      <c r="M32" s="112"/>
      <c r="N32" s="112"/>
      <c r="O32" s="112"/>
      <c r="P32" s="112"/>
      <c r="Q32" s="113"/>
      <c r="R32" s="15"/>
      <c r="S32" s="15"/>
      <c r="T32" s="15"/>
      <c r="U32" s="15"/>
    </row>
    <row r="33" spans="1:21" ht="18" customHeight="1" x14ac:dyDescent="0.15">
      <c r="A33" s="3"/>
      <c r="B33" s="114"/>
      <c r="C33" s="115"/>
      <c r="D33" s="115"/>
      <c r="E33" s="115"/>
      <c r="F33" s="116"/>
      <c r="G33" s="16"/>
      <c r="H33" s="16"/>
      <c r="I33" s="17"/>
      <c r="J33" s="17"/>
      <c r="K33" s="114"/>
      <c r="L33" s="115"/>
      <c r="M33" s="115"/>
      <c r="N33" s="115"/>
      <c r="O33" s="115"/>
      <c r="P33" s="115"/>
      <c r="Q33" s="116"/>
      <c r="R33" s="16"/>
      <c r="S33" s="16"/>
      <c r="T33" s="17"/>
      <c r="U33" s="17"/>
    </row>
    <row r="34" spans="1:21" ht="7.5" customHeight="1" x14ac:dyDescent="0.15">
      <c r="A34" s="3"/>
      <c r="B34" s="4"/>
      <c r="C34" s="4"/>
      <c r="D34" s="4"/>
      <c r="E34" s="3"/>
      <c r="F34" s="3"/>
      <c r="G34" s="3"/>
      <c r="H34" s="3"/>
      <c r="I34" s="4"/>
      <c r="J34" s="4"/>
      <c r="K34" s="4"/>
      <c r="L34" s="4"/>
      <c r="M34" s="4"/>
      <c r="N34" s="4"/>
      <c r="O34" s="4"/>
      <c r="P34" s="4"/>
      <c r="Q34" s="4"/>
      <c r="R34" s="4"/>
      <c r="S34" s="4"/>
      <c r="T34" s="4"/>
      <c r="U34" s="3"/>
    </row>
    <row r="35" spans="1:21" ht="18" customHeight="1" x14ac:dyDescent="0.15">
      <c r="A35" s="122" t="s">
        <v>103</v>
      </c>
      <c r="B35" s="122"/>
      <c r="C35" s="122"/>
      <c r="D35" s="122"/>
      <c r="E35" s="122"/>
      <c r="F35" s="122"/>
      <c r="G35" s="122"/>
      <c r="H35" s="122"/>
      <c r="I35" s="122"/>
      <c r="J35" s="122"/>
      <c r="K35" s="122"/>
      <c r="L35" s="122"/>
      <c r="M35" s="122"/>
      <c r="N35" s="122"/>
      <c r="O35" s="122"/>
      <c r="P35" s="122"/>
      <c r="Q35" s="122"/>
      <c r="R35" s="122"/>
      <c r="S35" s="122"/>
      <c r="T35" s="122"/>
      <c r="U35" s="122"/>
    </row>
    <row r="36" spans="1:21" ht="18" customHeight="1" x14ac:dyDescent="0.15">
      <c r="A36" s="122"/>
      <c r="B36" s="122"/>
      <c r="C36" s="122"/>
      <c r="D36" s="122"/>
      <c r="E36" s="122"/>
      <c r="F36" s="122"/>
      <c r="G36" s="122"/>
      <c r="H36" s="122"/>
      <c r="I36" s="122"/>
      <c r="J36" s="122"/>
      <c r="K36" s="122"/>
      <c r="L36" s="122"/>
      <c r="M36" s="122"/>
      <c r="N36" s="122"/>
      <c r="O36" s="122"/>
      <c r="P36" s="122"/>
      <c r="Q36" s="122"/>
      <c r="R36" s="122"/>
      <c r="S36" s="122"/>
      <c r="T36" s="122"/>
      <c r="U36" s="122"/>
    </row>
    <row r="37" spans="1:21" ht="18" customHeight="1" x14ac:dyDescent="0.15">
      <c r="B37" s="108" t="s">
        <v>52</v>
      </c>
      <c r="C37" s="109"/>
      <c r="D37" s="109"/>
      <c r="E37" s="109"/>
      <c r="F37" s="110"/>
      <c r="G37" s="27" t="s">
        <v>78</v>
      </c>
      <c r="H37" s="26" t="s">
        <v>81</v>
      </c>
      <c r="I37" s="13" t="s">
        <v>69</v>
      </c>
      <c r="J37" s="13" t="s">
        <v>70</v>
      </c>
      <c r="K37" s="108" t="s">
        <v>52</v>
      </c>
      <c r="L37" s="109"/>
      <c r="M37" s="109"/>
      <c r="N37" s="109"/>
      <c r="O37" s="109"/>
      <c r="P37" s="109"/>
      <c r="Q37" s="110"/>
      <c r="R37" s="27" t="s">
        <v>78</v>
      </c>
      <c r="S37" s="26" t="s">
        <v>81</v>
      </c>
      <c r="T37" s="13" t="s">
        <v>69</v>
      </c>
      <c r="U37" s="13" t="s">
        <v>70</v>
      </c>
    </row>
    <row r="38" spans="1:21" ht="18" customHeight="1" x14ac:dyDescent="0.15">
      <c r="B38" s="119" t="s">
        <v>140</v>
      </c>
      <c r="C38" s="120"/>
      <c r="D38" s="120"/>
      <c r="E38" s="120"/>
      <c r="F38" s="121"/>
      <c r="G38" s="14">
        <v>1</v>
      </c>
      <c r="H38" s="14" t="s">
        <v>139</v>
      </c>
      <c r="I38" s="14" t="s">
        <v>139</v>
      </c>
      <c r="J38" s="14" t="s">
        <v>139</v>
      </c>
      <c r="K38" s="119"/>
      <c r="L38" s="120"/>
      <c r="M38" s="120"/>
      <c r="N38" s="120"/>
      <c r="O38" s="120"/>
      <c r="P38" s="120"/>
      <c r="Q38" s="121"/>
      <c r="R38" s="14"/>
      <c r="S38" s="14"/>
      <c r="T38" s="14"/>
      <c r="U38" s="14"/>
    </row>
    <row r="39" spans="1:21" ht="18" customHeight="1" x14ac:dyDescent="0.15">
      <c r="B39" s="111"/>
      <c r="C39" s="112"/>
      <c r="D39" s="112"/>
      <c r="E39" s="112"/>
      <c r="F39" s="113"/>
      <c r="G39" s="15"/>
      <c r="H39" s="15"/>
      <c r="I39" s="15"/>
      <c r="J39" s="15"/>
      <c r="K39" s="111"/>
      <c r="L39" s="112"/>
      <c r="M39" s="112"/>
      <c r="N39" s="112"/>
      <c r="O39" s="112"/>
      <c r="P39" s="112"/>
      <c r="Q39" s="113"/>
      <c r="R39" s="15"/>
      <c r="S39" s="15"/>
      <c r="T39" s="15"/>
      <c r="U39" s="15"/>
    </row>
    <row r="40" spans="1:21" ht="18" customHeight="1" x14ac:dyDescent="0.15">
      <c r="B40" s="111"/>
      <c r="C40" s="112"/>
      <c r="D40" s="112"/>
      <c r="E40" s="112"/>
      <c r="F40" s="113"/>
      <c r="G40" s="15"/>
      <c r="H40" s="15"/>
      <c r="I40" s="15"/>
      <c r="J40" s="15"/>
      <c r="K40" s="111"/>
      <c r="L40" s="112"/>
      <c r="M40" s="112"/>
      <c r="N40" s="112"/>
      <c r="O40" s="112"/>
      <c r="P40" s="112"/>
      <c r="Q40" s="113"/>
      <c r="R40" s="15"/>
      <c r="S40" s="15"/>
      <c r="T40" s="15"/>
      <c r="U40" s="15"/>
    </row>
    <row r="41" spans="1:21" ht="18" customHeight="1" x14ac:dyDescent="0.15">
      <c r="B41" s="111"/>
      <c r="C41" s="112"/>
      <c r="D41" s="112"/>
      <c r="E41" s="112"/>
      <c r="F41" s="113"/>
      <c r="G41" s="15"/>
      <c r="H41" s="15"/>
      <c r="I41" s="15"/>
      <c r="J41" s="15"/>
      <c r="K41" s="111"/>
      <c r="L41" s="112"/>
      <c r="M41" s="112"/>
      <c r="N41" s="112"/>
      <c r="O41" s="112"/>
      <c r="P41" s="112"/>
      <c r="Q41" s="113"/>
      <c r="R41" s="15"/>
      <c r="S41" s="15"/>
      <c r="T41" s="15"/>
      <c r="U41" s="15"/>
    </row>
    <row r="42" spans="1:21" ht="18" customHeight="1" x14ac:dyDescent="0.15">
      <c r="B42" s="111"/>
      <c r="C42" s="112"/>
      <c r="D42" s="112"/>
      <c r="E42" s="112"/>
      <c r="F42" s="113"/>
      <c r="G42" s="15"/>
      <c r="H42" s="15"/>
      <c r="I42" s="15"/>
      <c r="J42" s="15"/>
      <c r="K42" s="111"/>
      <c r="L42" s="112"/>
      <c r="M42" s="112"/>
      <c r="N42" s="112"/>
      <c r="O42" s="112"/>
      <c r="P42" s="112"/>
      <c r="Q42" s="113"/>
      <c r="R42" s="15"/>
      <c r="S42" s="15"/>
      <c r="T42" s="15"/>
      <c r="U42" s="15"/>
    </row>
    <row r="43" spans="1:21" ht="18" customHeight="1" x14ac:dyDescent="0.15">
      <c r="B43" s="111"/>
      <c r="C43" s="112"/>
      <c r="D43" s="112"/>
      <c r="E43" s="112"/>
      <c r="F43" s="113"/>
      <c r="G43" s="15"/>
      <c r="H43" s="15"/>
      <c r="I43" s="15"/>
      <c r="J43" s="15"/>
      <c r="K43" s="111"/>
      <c r="L43" s="112"/>
      <c r="M43" s="112"/>
      <c r="N43" s="112"/>
      <c r="O43" s="112"/>
      <c r="P43" s="112"/>
      <c r="Q43" s="113"/>
      <c r="R43" s="15"/>
      <c r="S43" s="15"/>
      <c r="T43" s="15"/>
      <c r="U43" s="15"/>
    </row>
    <row r="44" spans="1:21" ht="18" customHeight="1" x14ac:dyDescent="0.15">
      <c r="B44" s="114"/>
      <c r="C44" s="115"/>
      <c r="D44" s="115"/>
      <c r="E44" s="115"/>
      <c r="F44" s="116"/>
      <c r="G44" s="16"/>
      <c r="H44" s="16"/>
      <c r="I44" s="17"/>
      <c r="J44" s="17"/>
      <c r="K44" s="114"/>
      <c r="L44" s="115"/>
      <c r="M44" s="115"/>
      <c r="N44" s="115"/>
      <c r="O44" s="115"/>
      <c r="P44" s="115"/>
      <c r="Q44" s="116"/>
      <c r="R44" s="16"/>
      <c r="S44" s="16"/>
      <c r="T44" s="17"/>
      <c r="U44" s="17"/>
    </row>
    <row r="45" spans="1:21" ht="7.5" customHeight="1" x14ac:dyDescent="0.15">
      <c r="A45" s="3"/>
      <c r="B45" s="4"/>
      <c r="C45" s="4"/>
      <c r="D45" s="4"/>
      <c r="E45" s="3"/>
      <c r="F45" s="3"/>
      <c r="G45" s="3"/>
      <c r="H45" s="3"/>
      <c r="I45" s="4"/>
      <c r="J45" s="4"/>
      <c r="K45" s="4"/>
      <c r="L45" s="4"/>
      <c r="M45" s="4"/>
      <c r="N45" s="4"/>
      <c r="O45" s="4"/>
      <c r="P45" s="4"/>
      <c r="Q45" s="4"/>
      <c r="R45" s="4"/>
      <c r="S45" s="4"/>
      <c r="T45" s="4"/>
      <c r="U45" s="3"/>
    </row>
    <row r="46" spans="1:21" ht="18" customHeight="1" x14ac:dyDescent="0.15">
      <c r="A46" s="122" t="s">
        <v>104</v>
      </c>
      <c r="B46" s="122"/>
      <c r="C46" s="122"/>
      <c r="D46" s="122"/>
      <c r="E46" s="122"/>
      <c r="F46" s="122"/>
      <c r="G46" s="122"/>
      <c r="H46" s="122"/>
      <c r="I46" s="122"/>
      <c r="J46" s="122"/>
      <c r="K46" s="122"/>
      <c r="L46" s="122"/>
      <c r="M46" s="122"/>
      <c r="N46" s="122"/>
      <c r="O46" s="122"/>
      <c r="P46" s="122"/>
      <c r="Q46" s="122"/>
      <c r="R46" s="122"/>
      <c r="S46" s="122"/>
      <c r="T46" s="122"/>
      <c r="U46" s="122"/>
    </row>
    <row r="47" spans="1:21" ht="18" customHeight="1" x14ac:dyDescent="0.15">
      <c r="A47" s="122"/>
      <c r="B47" s="122"/>
      <c r="C47" s="122"/>
      <c r="D47" s="122"/>
      <c r="E47" s="122"/>
      <c r="F47" s="122"/>
      <c r="G47" s="122"/>
      <c r="H47" s="122"/>
      <c r="I47" s="122"/>
      <c r="J47" s="122"/>
      <c r="K47" s="122"/>
      <c r="L47" s="122"/>
      <c r="M47" s="122"/>
      <c r="N47" s="122"/>
      <c r="O47" s="122"/>
      <c r="P47" s="122"/>
      <c r="Q47" s="122"/>
      <c r="R47" s="122"/>
      <c r="S47" s="122"/>
      <c r="T47" s="122"/>
      <c r="U47" s="122"/>
    </row>
    <row r="48" spans="1:21" ht="18" customHeight="1" x14ac:dyDescent="0.15">
      <c r="B48" s="108" t="s">
        <v>52</v>
      </c>
      <c r="C48" s="109"/>
      <c r="D48" s="109"/>
      <c r="E48" s="109"/>
      <c r="F48" s="110"/>
      <c r="G48" s="27" t="s">
        <v>78</v>
      </c>
      <c r="H48" s="26" t="s">
        <v>81</v>
      </c>
      <c r="I48" s="13" t="s">
        <v>71</v>
      </c>
      <c r="J48" s="13" t="s">
        <v>72</v>
      </c>
      <c r="K48" s="108" t="s">
        <v>52</v>
      </c>
      <c r="L48" s="109"/>
      <c r="M48" s="109"/>
      <c r="N48" s="109"/>
      <c r="O48" s="109"/>
      <c r="P48" s="109"/>
      <c r="Q48" s="110"/>
      <c r="R48" s="27" t="s">
        <v>78</v>
      </c>
      <c r="S48" s="26" t="s">
        <v>81</v>
      </c>
      <c r="T48" s="13" t="s">
        <v>71</v>
      </c>
      <c r="U48" s="13" t="s">
        <v>72</v>
      </c>
    </row>
    <row r="49" spans="1:21" ht="18" customHeight="1" x14ac:dyDescent="0.15">
      <c r="A49" s="3"/>
      <c r="B49" s="119" t="s">
        <v>140</v>
      </c>
      <c r="C49" s="120"/>
      <c r="D49" s="120"/>
      <c r="E49" s="120"/>
      <c r="F49" s="121"/>
      <c r="G49" s="14">
        <v>1</v>
      </c>
      <c r="H49" s="14" t="s">
        <v>139</v>
      </c>
      <c r="I49" s="14" t="s">
        <v>139</v>
      </c>
      <c r="J49" s="14" t="s">
        <v>139</v>
      </c>
      <c r="K49" s="119"/>
      <c r="L49" s="120"/>
      <c r="M49" s="120"/>
      <c r="N49" s="120"/>
      <c r="O49" s="120"/>
      <c r="P49" s="120"/>
      <c r="Q49" s="121"/>
      <c r="R49" s="14"/>
      <c r="S49" s="14"/>
      <c r="T49" s="14"/>
      <c r="U49" s="14"/>
    </row>
    <row r="50" spans="1:21" ht="18" customHeight="1" x14ac:dyDescent="0.15">
      <c r="A50" s="3"/>
      <c r="B50" s="111"/>
      <c r="C50" s="112"/>
      <c r="D50" s="112"/>
      <c r="E50" s="112"/>
      <c r="F50" s="113"/>
      <c r="G50" s="15"/>
      <c r="H50" s="15"/>
      <c r="I50" s="15"/>
      <c r="J50" s="15"/>
      <c r="K50" s="111"/>
      <c r="L50" s="112"/>
      <c r="M50" s="112"/>
      <c r="N50" s="112"/>
      <c r="O50" s="112"/>
      <c r="P50" s="112"/>
      <c r="Q50" s="113"/>
      <c r="R50" s="15"/>
      <c r="S50" s="15"/>
      <c r="T50" s="15"/>
      <c r="U50" s="15"/>
    </row>
    <row r="51" spans="1:21" ht="18" customHeight="1" x14ac:dyDescent="0.15">
      <c r="A51" s="3"/>
      <c r="B51" s="111"/>
      <c r="C51" s="112"/>
      <c r="D51" s="112"/>
      <c r="E51" s="112"/>
      <c r="F51" s="113"/>
      <c r="G51" s="15"/>
      <c r="H51" s="15"/>
      <c r="I51" s="15"/>
      <c r="J51" s="15"/>
      <c r="K51" s="111"/>
      <c r="L51" s="112"/>
      <c r="M51" s="112"/>
      <c r="N51" s="112"/>
      <c r="O51" s="112"/>
      <c r="P51" s="112"/>
      <c r="Q51" s="113"/>
      <c r="R51" s="15"/>
      <c r="S51" s="15"/>
      <c r="T51" s="15"/>
      <c r="U51" s="15"/>
    </row>
    <row r="52" spans="1:21" ht="18" customHeight="1" x14ac:dyDescent="0.15">
      <c r="A52" s="3"/>
      <c r="B52" s="111"/>
      <c r="C52" s="112"/>
      <c r="D52" s="112"/>
      <c r="E52" s="112"/>
      <c r="F52" s="113"/>
      <c r="G52" s="15"/>
      <c r="H52" s="15"/>
      <c r="I52" s="15"/>
      <c r="J52" s="15"/>
      <c r="K52" s="111"/>
      <c r="L52" s="112"/>
      <c r="M52" s="112"/>
      <c r="N52" s="112"/>
      <c r="O52" s="112"/>
      <c r="P52" s="112"/>
      <c r="Q52" s="113"/>
      <c r="R52" s="15"/>
      <c r="S52" s="15"/>
      <c r="T52" s="15"/>
      <c r="U52" s="15"/>
    </row>
    <row r="53" spans="1:21" ht="18" customHeight="1" x14ac:dyDescent="0.15">
      <c r="A53" s="3"/>
      <c r="B53" s="111"/>
      <c r="C53" s="112"/>
      <c r="D53" s="112"/>
      <c r="E53" s="112"/>
      <c r="F53" s="113"/>
      <c r="G53" s="15"/>
      <c r="H53" s="15"/>
      <c r="I53" s="15"/>
      <c r="J53" s="15"/>
      <c r="K53" s="111"/>
      <c r="L53" s="112"/>
      <c r="M53" s="112"/>
      <c r="N53" s="112"/>
      <c r="O53" s="112"/>
      <c r="P53" s="112"/>
      <c r="Q53" s="113"/>
      <c r="R53" s="15"/>
      <c r="S53" s="15"/>
      <c r="T53" s="15"/>
      <c r="U53" s="15"/>
    </row>
    <row r="54" spans="1:21" ht="18" customHeight="1" x14ac:dyDescent="0.15">
      <c r="A54" s="3"/>
      <c r="B54" s="111"/>
      <c r="C54" s="112"/>
      <c r="D54" s="112"/>
      <c r="E54" s="112"/>
      <c r="F54" s="113"/>
      <c r="G54" s="15"/>
      <c r="H54" s="15"/>
      <c r="I54" s="15"/>
      <c r="J54" s="15"/>
      <c r="K54" s="111"/>
      <c r="L54" s="112"/>
      <c r="M54" s="112"/>
      <c r="N54" s="112"/>
      <c r="O54" s="112"/>
      <c r="P54" s="112"/>
      <c r="Q54" s="113"/>
      <c r="R54" s="15"/>
      <c r="S54" s="15"/>
      <c r="T54" s="15"/>
      <c r="U54" s="15"/>
    </row>
    <row r="55" spans="1:21" ht="18" customHeight="1" x14ac:dyDescent="0.15">
      <c r="A55" s="3"/>
      <c r="B55" s="114"/>
      <c r="C55" s="115"/>
      <c r="D55" s="115"/>
      <c r="E55" s="115"/>
      <c r="F55" s="116"/>
      <c r="G55" s="16"/>
      <c r="H55" s="16"/>
      <c r="I55" s="17"/>
      <c r="J55" s="17"/>
      <c r="K55" s="114"/>
      <c r="L55" s="115"/>
      <c r="M55" s="115"/>
      <c r="N55" s="115"/>
      <c r="O55" s="115"/>
      <c r="P55" s="115"/>
      <c r="Q55" s="116"/>
      <c r="R55" s="16"/>
      <c r="S55" s="16"/>
      <c r="T55" s="17"/>
      <c r="U55" s="17"/>
    </row>
    <row r="56" spans="1:21" ht="7.5" customHeight="1" x14ac:dyDescent="0.15">
      <c r="B56" s="11"/>
      <c r="C56" s="11"/>
      <c r="D56" s="11"/>
      <c r="E56" s="11"/>
      <c r="F56" s="11"/>
      <c r="G56" s="11"/>
      <c r="H56" s="11"/>
      <c r="I56" s="11"/>
      <c r="J56" s="11"/>
      <c r="K56" s="11"/>
      <c r="L56" s="11"/>
      <c r="M56" s="11"/>
      <c r="N56" s="11"/>
      <c r="O56" s="11"/>
      <c r="P56" s="11"/>
      <c r="Q56" s="11"/>
      <c r="R56" s="11"/>
      <c r="S56" s="11"/>
      <c r="T56" s="11"/>
    </row>
    <row r="57" spans="1:21" ht="18" customHeight="1" x14ac:dyDescent="0.15">
      <c r="A57" s="122" t="s">
        <v>105</v>
      </c>
      <c r="B57" s="122"/>
      <c r="C57" s="122"/>
      <c r="D57" s="122"/>
      <c r="E57" s="122"/>
      <c r="F57" s="122"/>
      <c r="G57" s="122"/>
      <c r="H57" s="122"/>
      <c r="I57" s="122"/>
      <c r="J57" s="122"/>
      <c r="K57" s="122"/>
      <c r="L57" s="122"/>
      <c r="M57" s="122"/>
      <c r="N57" s="122"/>
      <c r="O57" s="122"/>
      <c r="P57" s="122"/>
      <c r="Q57" s="122"/>
      <c r="R57" s="122"/>
      <c r="S57" s="122"/>
      <c r="T57" s="122"/>
      <c r="U57" s="122"/>
    </row>
    <row r="58" spans="1:21" ht="18" customHeight="1" x14ac:dyDescent="0.15">
      <c r="A58" s="122"/>
      <c r="B58" s="122"/>
      <c r="C58" s="122"/>
      <c r="D58" s="122"/>
      <c r="E58" s="122"/>
      <c r="F58" s="122"/>
      <c r="G58" s="122"/>
      <c r="H58" s="122"/>
      <c r="I58" s="122"/>
      <c r="J58" s="122"/>
      <c r="K58" s="122"/>
      <c r="L58" s="122"/>
      <c r="M58" s="122"/>
      <c r="N58" s="122"/>
      <c r="O58" s="122"/>
      <c r="P58" s="122"/>
      <c r="Q58" s="122"/>
      <c r="R58" s="122"/>
      <c r="S58" s="122"/>
      <c r="T58" s="122"/>
      <c r="U58" s="122"/>
    </row>
    <row r="59" spans="1:21" ht="18" customHeight="1" x14ac:dyDescent="0.15">
      <c r="B59" s="108" t="s">
        <v>52</v>
      </c>
      <c r="C59" s="109"/>
      <c r="D59" s="109"/>
      <c r="E59" s="109"/>
      <c r="F59" s="110"/>
      <c r="G59" s="27" t="s">
        <v>78</v>
      </c>
      <c r="H59" s="26" t="s">
        <v>81</v>
      </c>
      <c r="I59" s="13" t="s">
        <v>57</v>
      </c>
      <c r="J59" s="13" t="s">
        <v>59</v>
      </c>
      <c r="K59" s="108" t="s">
        <v>52</v>
      </c>
      <c r="L59" s="109"/>
      <c r="M59" s="109"/>
      <c r="N59" s="109"/>
      <c r="O59" s="109"/>
      <c r="P59" s="109"/>
      <c r="Q59" s="110"/>
      <c r="R59" s="27" t="s">
        <v>78</v>
      </c>
      <c r="S59" s="26" t="s">
        <v>81</v>
      </c>
      <c r="T59" s="13" t="s">
        <v>57</v>
      </c>
      <c r="U59" s="13" t="s">
        <v>59</v>
      </c>
    </row>
    <row r="60" spans="1:21" ht="18" customHeight="1" x14ac:dyDescent="0.15">
      <c r="A60" s="3"/>
      <c r="B60" s="119" t="s">
        <v>140</v>
      </c>
      <c r="C60" s="120"/>
      <c r="D60" s="120"/>
      <c r="E60" s="120"/>
      <c r="F60" s="121"/>
      <c r="G60" s="14">
        <v>1</v>
      </c>
      <c r="H60" s="14" t="s">
        <v>139</v>
      </c>
      <c r="I60" s="14" t="s">
        <v>139</v>
      </c>
      <c r="J60" s="14" t="s">
        <v>139</v>
      </c>
      <c r="K60" s="119"/>
      <c r="L60" s="120"/>
      <c r="M60" s="120"/>
      <c r="N60" s="120"/>
      <c r="O60" s="120"/>
      <c r="P60" s="120"/>
      <c r="Q60" s="121"/>
      <c r="R60" s="14"/>
      <c r="S60" s="14"/>
      <c r="T60" s="14"/>
      <c r="U60" s="14"/>
    </row>
    <row r="61" spans="1:21" ht="18" customHeight="1" x14ac:dyDescent="0.15">
      <c r="A61" s="3"/>
      <c r="B61" s="111" t="s">
        <v>141</v>
      </c>
      <c r="C61" s="112"/>
      <c r="D61" s="112"/>
      <c r="E61" s="112"/>
      <c r="F61" s="113"/>
      <c r="G61" s="62">
        <v>1</v>
      </c>
      <c r="H61" s="15" t="s">
        <v>139</v>
      </c>
      <c r="I61" s="15" t="s">
        <v>139</v>
      </c>
      <c r="J61" s="15"/>
      <c r="K61" s="111"/>
      <c r="L61" s="112"/>
      <c r="M61" s="112"/>
      <c r="N61" s="112"/>
      <c r="O61" s="112"/>
      <c r="P61" s="112"/>
      <c r="Q61" s="113"/>
      <c r="R61" s="15"/>
      <c r="S61" s="15"/>
      <c r="T61" s="15"/>
      <c r="U61" s="15"/>
    </row>
    <row r="62" spans="1:21" ht="18" customHeight="1" x14ac:dyDescent="0.15">
      <c r="A62" s="3"/>
      <c r="B62" s="111"/>
      <c r="C62" s="112"/>
      <c r="D62" s="112"/>
      <c r="E62" s="112"/>
      <c r="F62" s="113"/>
      <c r="G62" s="15"/>
      <c r="H62" s="15"/>
      <c r="I62" s="15"/>
      <c r="J62" s="15"/>
      <c r="K62" s="111"/>
      <c r="L62" s="112"/>
      <c r="M62" s="112"/>
      <c r="N62" s="112"/>
      <c r="O62" s="112"/>
      <c r="P62" s="112"/>
      <c r="Q62" s="113"/>
      <c r="R62" s="15"/>
      <c r="S62" s="15"/>
      <c r="T62" s="15"/>
      <c r="U62" s="15"/>
    </row>
    <row r="63" spans="1:21" ht="18" customHeight="1" x14ac:dyDescent="0.15">
      <c r="A63" s="3"/>
      <c r="B63" s="111"/>
      <c r="C63" s="112"/>
      <c r="D63" s="112"/>
      <c r="E63" s="112"/>
      <c r="F63" s="113"/>
      <c r="G63" s="15"/>
      <c r="H63" s="15"/>
      <c r="I63" s="15"/>
      <c r="J63" s="15"/>
      <c r="K63" s="111"/>
      <c r="L63" s="112"/>
      <c r="M63" s="112"/>
      <c r="N63" s="112"/>
      <c r="O63" s="112"/>
      <c r="P63" s="112"/>
      <c r="Q63" s="113"/>
      <c r="R63" s="15"/>
      <c r="S63" s="15"/>
      <c r="T63" s="15"/>
      <c r="U63" s="15"/>
    </row>
    <row r="64" spans="1:21" ht="18" customHeight="1" x14ac:dyDescent="0.15">
      <c r="A64" s="3"/>
      <c r="B64" s="111"/>
      <c r="C64" s="112"/>
      <c r="D64" s="112"/>
      <c r="E64" s="112"/>
      <c r="F64" s="113"/>
      <c r="G64" s="15"/>
      <c r="H64" s="15"/>
      <c r="I64" s="15"/>
      <c r="J64" s="15"/>
      <c r="K64" s="111"/>
      <c r="L64" s="112"/>
      <c r="M64" s="112"/>
      <c r="N64" s="112"/>
      <c r="O64" s="112"/>
      <c r="P64" s="112"/>
      <c r="Q64" s="113"/>
      <c r="R64" s="15"/>
      <c r="S64" s="15"/>
      <c r="T64" s="15"/>
      <c r="U64" s="15"/>
    </row>
    <row r="65" spans="1:21" ht="18" customHeight="1" x14ac:dyDescent="0.15">
      <c r="A65" s="3"/>
      <c r="B65" s="111"/>
      <c r="C65" s="112"/>
      <c r="D65" s="112"/>
      <c r="E65" s="112"/>
      <c r="F65" s="113"/>
      <c r="G65" s="15"/>
      <c r="H65" s="15"/>
      <c r="I65" s="15"/>
      <c r="J65" s="15"/>
      <c r="K65" s="111"/>
      <c r="L65" s="112"/>
      <c r="M65" s="112"/>
      <c r="N65" s="112"/>
      <c r="O65" s="112"/>
      <c r="P65" s="112"/>
      <c r="Q65" s="113"/>
      <c r="R65" s="15"/>
      <c r="S65" s="15"/>
      <c r="T65" s="15"/>
      <c r="U65" s="15"/>
    </row>
    <row r="66" spans="1:21" ht="18" customHeight="1" x14ac:dyDescent="0.15">
      <c r="A66" s="3"/>
      <c r="B66" s="114"/>
      <c r="C66" s="115"/>
      <c r="D66" s="115"/>
      <c r="E66" s="115"/>
      <c r="F66" s="116"/>
      <c r="G66" s="16"/>
      <c r="H66" s="16"/>
      <c r="I66" s="17"/>
      <c r="J66" s="17"/>
      <c r="K66" s="114"/>
      <c r="L66" s="115"/>
      <c r="M66" s="115"/>
      <c r="N66" s="115"/>
      <c r="O66" s="115"/>
      <c r="P66" s="115"/>
      <c r="Q66" s="116"/>
      <c r="R66" s="16"/>
      <c r="S66" s="16"/>
      <c r="T66" s="17"/>
      <c r="U66" s="17"/>
    </row>
    <row r="67" spans="1:21" ht="7.5" customHeight="1" x14ac:dyDescent="0.15">
      <c r="B67" s="11"/>
      <c r="C67" s="11"/>
      <c r="D67" s="11"/>
      <c r="E67" s="11"/>
      <c r="F67" s="11"/>
      <c r="G67" s="11"/>
      <c r="H67" s="11"/>
      <c r="I67" s="11"/>
      <c r="J67" s="11"/>
      <c r="K67" s="11"/>
      <c r="L67" s="11"/>
      <c r="M67" s="11"/>
      <c r="N67" s="11"/>
      <c r="O67" s="11"/>
      <c r="P67" s="11"/>
      <c r="Q67" s="11"/>
      <c r="R67" s="11"/>
      <c r="S67" s="11"/>
      <c r="T67" s="11"/>
    </row>
    <row r="68" spans="1:21" ht="18" customHeight="1" x14ac:dyDescent="0.15">
      <c r="A68" s="122" t="s">
        <v>106</v>
      </c>
      <c r="B68" s="122"/>
      <c r="C68" s="122"/>
      <c r="D68" s="122"/>
      <c r="E68" s="122"/>
      <c r="F68" s="122"/>
      <c r="G68" s="122"/>
      <c r="H68" s="122"/>
      <c r="I68" s="122"/>
      <c r="J68" s="122"/>
      <c r="K68" s="122"/>
      <c r="L68" s="122"/>
      <c r="M68" s="122"/>
      <c r="N68" s="122"/>
      <c r="O68" s="122"/>
      <c r="P68" s="122"/>
      <c r="Q68" s="122"/>
      <c r="R68" s="122"/>
      <c r="S68" s="122"/>
      <c r="T68" s="122"/>
      <c r="U68" s="122"/>
    </row>
    <row r="69" spans="1:21" ht="18" customHeight="1" x14ac:dyDescent="0.15">
      <c r="A69" s="122"/>
      <c r="B69" s="122"/>
      <c r="C69" s="122"/>
      <c r="D69" s="122"/>
      <c r="E69" s="122"/>
      <c r="F69" s="122"/>
      <c r="G69" s="122"/>
      <c r="H69" s="122"/>
      <c r="I69" s="122"/>
      <c r="J69" s="122"/>
      <c r="K69" s="122"/>
      <c r="L69" s="122"/>
      <c r="M69" s="122"/>
      <c r="N69" s="122"/>
      <c r="O69" s="122"/>
      <c r="P69" s="122"/>
      <c r="Q69" s="122"/>
      <c r="R69" s="122"/>
      <c r="S69" s="122"/>
      <c r="T69" s="122"/>
      <c r="U69" s="122"/>
    </row>
    <row r="70" spans="1:21" ht="18" customHeight="1" x14ac:dyDescent="0.15">
      <c r="B70" s="108" t="s">
        <v>52</v>
      </c>
      <c r="C70" s="109"/>
      <c r="D70" s="109"/>
      <c r="E70" s="109"/>
      <c r="F70" s="27" t="s">
        <v>78</v>
      </c>
      <c r="G70" s="26" t="s">
        <v>81</v>
      </c>
      <c r="H70" s="13" t="s">
        <v>93</v>
      </c>
      <c r="I70" s="13" t="s">
        <v>73</v>
      </c>
      <c r="J70" s="13" t="s">
        <v>74</v>
      </c>
      <c r="K70" s="108" t="s">
        <v>52</v>
      </c>
      <c r="L70" s="109"/>
      <c r="M70" s="109"/>
      <c r="N70" s="109"/>
      <c r="O70" s="109"/>
      <c r="P70" s="110"/>
      <c r="Q70" s="27" t="s">
        <v>78</v>
      </c>
      <c r="R70" s="26" t="s">
        <v>81</v>
      </c>
      <c r="S70" s="13" t="s">
        <v>93</v>
      </c>
      <c r="T70" s="13" t="s">
        <v>73</v>
      </c>
      <c r="U70" s="13" t="s">
        <v>74</v>
      </c>
    </row>
    <row r="71" spans="1:21" ht="18" customHeight="1" x14ac:dyDescent="0.15">
      <c r="A71" s="3"/>
      <c r="B71" s="119" t="s">
        <v>140</v>
      </c>
      <c r="C71" s="120"/>
      <c r="D71" s="120"/>
      <c r="E71" s="121"/>
      <c r="F71" s="14">
        <v>1</v>
      </c>
      <c r="G71" s="14" t="s">
        <v>139</v>
      </c>
      <c r="H71" s="14" t="s">
        <v>139</v>
      </c>
      <c r="I71" s="14" t="s">
        <v>139</v>
      </c>
      <c r="J71" s="14" t="s">
        <v>139</v>
      </c>
      <c r="K71" s="119"/>
      <c r="L71" s="120"/>
      <c r="M71" s="120"/>
      <c r="N71" s="120"/>
      <c r="O71" s="120"/>
      <c r="P71" s="121"/>
      <c r="Q71" s="14"/>
      <c r="R71" s="14"/>
      <c r="S71" s="14"/>
      <c r="T71" s="14"/>
      <c r="U71" s="14"/>
    </row>
    <row r="72" spans="1:21" ht="18" customHeight="1" x14ac:dyDescent="0.15">
      <c r="A72" s="3"/>
      <c r="B72" s="111" t="s">
        <v>141</v>
      </c>
      <c r="C72" s="112"/>
      <c r="D72" s="112"/>
      <c r="E72" s="113"/>
      <c r="F72" s="62">
        <v>1</v>
      </c>
      <c r="G72" s="15" t="s">
        <v>139</v>
      </c>
      <c r="H72" s="15" t="s">
        <v>139</v>
      </c>
      <c r="I72" s="15" t="s">
        <v>139</v>
      </c>
      <c r="J72" s="15" t="s">
        <v>139</v>
      </c>
      <c r="K72" s="111"/>
      <c r="L72" s="112"/>
      <c r="M72" s="112"/>
      <c r="N72" s="112"/>
      <c r="O72" s="112"/>
      <c r="P72" s="113"/>
      <c r="Q72" s="15"/>
      <c r="R72" s="15"/>
      <c r="S72" s="15"/>
      <c r="T72" s="15"/>
      <c r="U72" s="15"/>
    </row>
    <row r="73" spans="1:21" ht="18" customHeight="1" x14ac:dyDescent="0.15">
      <c r="A73" s="3"/>
      <c r="B73" s="111"/>
      <c r="C73" s="112"/>
      <c r="D73" s="112"/>
      <c r="E73" s="112"/>
      <c r="F73" s="15"/>
      <c r="G73" s="15"/>
      <c r="H73" s="15"/>
      <c r="I73" s="15"/>
      <c r="J73" s="15"/>
      <c r="K73" s="111"/>
      <c r="L73" s="112"/>
      <c r="M73" s="112"/>
      <c r="N73" s="112"/>
      <c r="O73" s="112"/>
      <c r="P73" s="113"/>
      <c r="Q73" s="15"/>
      <c r="R73" s="15"/>
      <c r="S73" s="15"/>
      <c r="T73" s="15"/>
      <c r="U73" s="15"/>
    </row>
    <row r="74" spans="1:21" ht="18" customHeight="1" x14ac:dyDescent="0.15">
      <c r="A74" s="3"/>
      <c r="B74" s="111"/>
      <c r="C74" s="112"/>
      <c r="D74" s="112"/>
      <c r="E74" s="112"/>
      <c r="F74" s="15"/>
      <c r="G74" s="15"/>
      <c r="H74" s="15"/>
      <c r="I74" s="15"/>
      <c r="J74" s="15"/>
      <c r="K74" s="111"/>
      <c r="L74" s="112"/>
      <c r="M74" s="112"/>
      <c r="N74" s="112"/>
      <c r="O74" s="112"/>
      <c r="P74" s="113"/>
      <c r="Q74" s="15"/>
      <c r="R74" s="15"/>
      <c r="S74" s="15"/>
      <c r="T74" s="15"/>
      <c r="U74" s="15"/>
    </row>
    <row r="75" spans="1:21" ht="18" customHeight="1" x14ac:dyDescent="0.15">
      <c r="A75" s="3"/>
      <c r="B75" s="111"/>
      <c r="C75" s="112"/>
      <c r="D75" s="112"/>
      <c r="E75" s="112"/>
      <c r="F75" s="15"/>
      <c r="G75" s="15"/>
      <c r="H75" s="15"/>
      <c r="I75" s="15"/>
      <c r="J75" s="15"/>
      <c r="K75" s="111"/>
      <c r="L75" s="112"/>
      <c r="M75" s="112"/>
      <c r="N75" s="112"/>
      <c r="O75" s="112"/>
      <c r="P75" s="113"/>
      <c r="Q75" s="15"/>
      <c r="R75" s="15"/>
      <c r="S75" s="15"/>
      <c r="T75" s="15"/>
      <c r="U75" s="15"/>
    </row>
    <row r="76" spans="1:21" ht="18" customHeight="1" x14ac:dyDescent="0.15">
      <c r="A76" s="3"/>
      <c r="B76" s="111"/>
      <c r="C76" s="112"/>
      <c r="D76" s="112"/>
      <c r="E76" s="112"/>
      <c r="F76" s="15"/>
      <c r="G76" s="15"/>
      <c r="H76" s="15"/>
      <c r="I76" s="15"/>
      <c r="J76" s="15"/>
      <c r="K76" s="111"/>
      <c r="L76" s="112"/>
      <c r="M76" s="112"/>
      <c r="N76" s="112"/>
      <c r="O76" s="112"/>
      <c r="P76" s="113"/>
      <c r="Q76" s="15"/>
      <c r="R76" s="15"/>
      <c r="S76" s="15"/>
      <c r="T76" s="15"/>
      <c r="U76" s="15"/>
    </row>
    <row r="77" spans="1:21" ht="18" customHeight="1" x14ac:dyDescent="0.15">
      <c r="A77" s="3"/>
      <c r="B77" s="114"/>
      <c r="C77" s="115"/>
      <c r="D77" s="115"/>
      <c r="E77" s="115"/>
      <c r="F77" s="16"/>
      <c r="G77" s="16"/>
      <c r="H77" s="17"/>
      <c r="I77" s="17"/>
      <c r="J77" s="17"/>
      <c r="K77" s="114"/>
      <c r="L77" s="115"/>
      <c r="M77" s="115"/>
      <c r="N77" s="115"/>
      <c r="O77" s="115"/>
      <c r="P77" s="116"/>
      <c r="Q77" s="16"/>
      <c r="R77" s="16"/>
      <c r="S77" s="17"/>
      <c r="T77" s="17"/>
      <c r="U77" s="17"/>
    </row>
    <row r="78" spans="1:21" ht="7.5" customHeight="1" x14ac:dyDescent="0.15">
      <c r="B78" s="11"/>
      <c r="C78" s="11"/>
      <c r="D78" s="11"/>
      <c r="E78" s="11"/>
      <c r="F78" s="11"/>
      <c r="G78" s="11"/>
      <c r="H78" s="11"/>
      <c r="I78" s="11"/>
      <c r="J78" s="11"/>
      <c r="K78" s="11"/>
      <c r="L78" s="11"/>
      <c r="M78" s="11"/>
      <c r="N78" s="11"/>
      <c r="O78" s="11"/>
      <c r="P78" s="11"/>
      <c r="Q78" s="11"/>
      <c r="R78" s="11"/>
      <c r="S78" s="11"/>
      <c r="T78" s="11"/>
    </row>
    <row r="79" spans="1:21" ht="18" customHeight="1" x14ac:dyDescent="0.15">
      <c r="A79" s="1" t="s">
        <v>107</v>
      </c>
      <c r="I79" s="3"/>
      <c r="J79" s="3"/>
      <c r="K79" s="3"/>
      <c r="L79" s="3"/>
      <c r="M79" s="3"/>
      <c r="N79" s="3"/>
      <c r="O79" s="3"/>
      <c r="P79" s="3"/>
      <c r="Q79" s="3"/>
      <c r="R79" s="3"/>
      <c r="S79" s="3"/>
      <c r="T79" s="3"/>
      <c r="U79" s="3"/>
    </row>
    <row r="80" spans="1:21" ht="18" customHeight="1" x14ac:dyDescent="0.15">
      <c r="B80" s="108" t="s">
        <v>52</v>
      </c>
      <c r="C80" s="109"/>
      <c r="D80" s="109"/>
      <c r="E80" s="109"/>
      <c r="F80" s="110"/>
      <c r="G80" s="108" t="s">
        <v>79</v>
      </c>
      <c r="H80" s="109"/>
      <c r="I80" s="109"/>
      <c r="J80" s="110"/>
      <c r="K80" s="128" t="s">
        <v>52</v>
      </c>
      <c r="L80" s="129"/>
      <c r="M80" s="129"/>
      <c r="N80" s="129"/>
      <c r="O80" s="129"/>
      <c r="P80" s="129"/>
      <c r="Q80" s="130"/>
      <c r="R80" s="108" t="s">
        <v>79</v>
      </c>
      <c r="S80" s="109"/>
      <c r="T80" s="109"/>
      <c r="U80" s="110"/>
    </row>
    <row r="81" spans="1:21" ht="18" customHeight="1" x14ac:dyDescent="0.15">
      <c r="A81" s="3"/>
      <c r="B81" s="119"/>
      <c r="C81" s="120"/>
      <c r="D81" s="120"/>
      <c r="E81" s="120"/>
      <c r="F81" s="121"/>
      <c r="G81" s="123"/>
      <c r="H81" s="124"/>
      <c r="I81" s="124"/>
      <c r="J81" s="125"/>
      <c r="K81" s="119"/>
      <c r="L81" s="120"/>
      <c r="M81" s="120"/>
      <c r="N81" s="120"/>
      <c r="O81" s="120"/>
      <c r="P81" s="120"/>
      <c r="Q81" s="121"/>
      <c r="R81" s="123"/>
      <c r="S81" s="124"/>
      <c r="T81" s="124"/>
      <c r="U81" s="125"/>
    </row>
    <row r="82" spans="1:21" ht="18" customHeight="1" x14ac:dyDescent="0.15">
      <c r="A82" s="3"/>
      <c r="B82" s="111"/>
      <c r="C82" s="112"/>
      <c r="D82" s="112"/>
      <c r="E82" s="112"/>
      <c r="F82" s="113"/>
      <c r="G82" s="105"/>
      <c r="H82" s="106"/>
      <c r="I82" s="106"/>
      <c r="J82" s="107"/>
      <c r="K82" s="111"/>
      <c r="L82" s="112"/>
      <c r="M82" s="112"/>
      <c r="N82" s="112"/>
      <c r="O82" s="112"/>
      <c r="P82" s="112"/>
      <c r="Q82" s="113"/>
      <c r="R82" s="105"/>
      <c r="S82" s="106"/>
      <c r="T82" s="106"/>
      <c r="U82" s="107"/>
    </row>
    <row r="83" spans="1:21" ht="18" customHeight="1" x14ac:dyDescent="0.15">
      <c r="A83" s="3"/>
      <c r="B83" s="111"/>
      <c r="C83" s="112"/>
      <c r="D83" s="112"/>
      <c r="E83" s="112"/>
      <c r="F83" s="113"/>
      <c r="G83" s="105"/>
      <c r="H83" s="106"/>
      <c r="I83" s="106"/>
      <c r="J83" s="107"/>
      <c r="K83" s="111"/>
      <c r="L83" s="112"/>
      <c r="M83" s="112"/>
      <c r="N83" s="112"/>
      <c r="O83" s="112"/>
      <c r="P83" s="112"/>
      <c r="Q83" s="113"/>
      <c r="R83" s="105"/>
      <c r="S83" s="106"/>
      <c r="T83" s="106"/>
      <c r="U83" s="107"/>
    </row>
    <row r="84" spans="1:21" ht="18" customHeight="1" x14ac:dyDescent="0.15">
      <c r="A84" s="3"/>
      <c r="B84" s="111"/>
      <c r="C84" s="112"/>
      <c r="D84" s="112"/>
      <c r="E84" s="112"/>
      <c r="F84" s="113"/>
      <c r="G84" s="105"/>
      <c r="H84" s="106"/>
      <c r="I84" s="106"/>
      <c r="J84" s="107"/>
      <c r="K84" s="111"/>
      <c r="L84" s="112"/>
      <c r="M84" s="112"/>
      <c r="N84" s="112"/>
      <c r="O84" s="112"/>
      <c r="P84" s="112"/>
      <c r="Q84" s="113"/>
      <c r="R84" s="105"/>
      <c r="S84" s="106"/>
      <c r="T84" s="106"/>
      <c r="U84" s="107"/>
    </row>
    <row r="85" spans="1:21" ht="18" customHeight="1" x14ac:dyDescent="0.15">
      <c r="A85" s="3"/>
      <c r="B85" s="111"/>
      <c r="C85" s="112"/>
      <c r="D85" s="112"/>
      <c r="E85" s="112"/>
      <c r="F85" s="113"/>
      <c r="G85" s="105"/>
      <c r="H85" s="106"/>
      <c r="I85" s="106"/>
      <c r="J85" s="107"/>
      <c r="K85" s="111"/>
      <c r="L85" s="112"/>
      <c r="M85" s="112"/>
      <c r="N85" s="112"/>
      <c r="O85" s="112"/>
      <c r="P85" s="112"/>
      <c r="Q85" s="113"/>
      <c r="R85" s="105"/>
      <c r="S85" s="106"/>
      <c r="T85" s="106"/>
      <c r="U85" s="107"/>
    </row>
    <row r="86" spans="1:21" ht="18" customHeight="1" x14ac:dyDescent="0.15">
      <c r="A86" s="3"/>
      <c r="B86" s="111"/>
      <c r="C86" s="112"/>
      <c r="D86" s="112"/>
      <c r="E86" s="112"/>
      <c r="F86" s="113"/>
      <c r="G86" s="105"/>
      <c r="H86" s="106"/>
      <c r="I86" s="106"/>
      <c r="J86" s="107"/>
      <c r="K86" s="111"/>
      <c r="L86" s="112"/>
      <c r="M86" s="112"/>
      <c r="N86" s="112"/>
      <c r="O86" s="112"/>
      <c r="P86" s="112"/>
      <c r="Q86" s="113"/>
      <c r="R86" s="105"/>
      <c r="S86" s="106"/>
      <c r="T86" s="106"/>
      <c r="U86" s="107"/>
    </row>
    <row r="87" spans="1:21" ht="18" customHeight="1" x14ac:dyDescent="0.15">
      <c r="A87" s="3"/>
      <c r="B87" s="114"/>
      <c r="C87" s="115"/>
      <c r="D87" s="115"/>
      <c r="E87" s="115"/>
      <c r="F87" s="116"/>
      <c r="G87" s="146"/>
      <c r="H87" s="147"/>
      <c r="I87" s="147"/>
      <c r="J87" s="148"/>
      <c r="K87" s="114"/>
      <c r="L87" s="115"/>
      <c r="M87" s="115"/>
      <c r="N87" s="115"/>
      <c r="O87" s="115"/>
      <c r="P87" s="115"/>
      <c r="Q87" s="116"/>
      <c r="R87" s="146"/>
      <c r="S87" s="147"/>
      <c r="T87" s="147"/>
      <c r="U87" s="148"/>
    </row>
    <row r="88" spans="1:21" ht="18" customHeight="1" x14ac:dyDescent="0.15">
      <c r="A88" s="3"/>
      <c r="B88" s="4"/>
      <c r="C88" s="4"/>
      <c r="D88" s="4"/>
      <c r="E88" s="4"/>
      <c r="F88" s="4"/>
      <c r="G88" s="18"/>
      <c r="H88" s="18"/>
      <c r="I88" s="18"/>
      <c r="J88" s="18"/>
      <c r="K88" s="4"/>
      <c r="L88" s="4"/>
      <c r="M88" s="4"/>
      <c r="N88" s="4"/>
      <c r="O88" s="4"/>
      <c r="P88" s="4"/>
      <c r="Q88" s="4"/>
      <c r="R88" s="18"/>
      <c r="S88" s="18"/>
      <c r="T88" s="18"/>
      <c r="U88" s="18"/>
    </row>
    <row r="89" spans="1:21" ht="18.75" customHeight="1" x14ac:dyDescent="0.15">
      <c r="A89" s="1" t="s">
        <v>108</v>
      </c>
    </row>
    <row r="90" spans="1:21" ht="18.75" customHeight="1" x14ac:dyDescent="0.15">
      <c r="B90" s="149" t="s">
        <v>53</v>
      </c>
      <c r="C90" s="150"/>
      <c r="D90" s="108" t="s">
        <v>54</v>
      </c>
      <c r="E90" s="109"/>
      <c r="F90" s="109"/>
      <c r="G90" s="109"/>
      <c r="H90" s="109"/>
      <c r="I90" s="109"/>
      <c r="J90" s="109"/>
      <c r="K90" s="109"/>
      <c r="L90" s="109"/>
      <c r="M90" s="109"/>
      <c r="N90" s="109"/>
      <c r="O90" s="109"/>
      <c r="P90" s="109"/>
      <c r="Q90" s="109"/>
      <c r="R90" s="109"/>
      <c r="S90" s="109"/>
      <c r="T90" s="109"/>
      <c r="U90" s="110"/>
    </row>
    <row r="91" spans="1:21" ht="97.5" customHeight="1" x14ac:dyDescent="0.15">
      <c r="B91" s="126" t="s">
        <v>60</v>
      </c>
      <c r="C91" s="19" t="s">
        <v>55</v>
      </c>
      <c r="D91" s="172" t="s">
        <v>142</v>
      </c>
      <c r="E91" s="160"/>
      <c r="F91" s="160"/>
      <c r="G91" s="160"/>
      <c r="H91" s="160"/>
      <c r="I91" s="160"/>
      <c r="J91" s="160"/>
      <c r="K91" s="160"/>
      <c r="L91" s="160"/>
      <c r="M91" s="160"/>
      <c r="N91" s="160"/>
      <c r="O91" s="160"/>
      <c r="P91" s="160"/>
      <c r="Q91" s="160"/>
      <c r="R91" s="160"/>
      <c r="S91" s="160"/>
      <c r="T91" s="160"/>
      <c r="U91" s="161"/>
    </row>
    <row r="92" spans="1:21" ht="97.5" customHeight="1" x14ac:dyDescent="0.15">
      <c r="B92" s="131"/>
      <c r="C92" s="20" t="s">
        <v>75</v>
      </c>
      <c r="D92" s="156" t="s">
        <v>143</v>
      </c>
      <c r="E92" s="157"/>
      <c r="F92" s="157"/>
      <c r="G92" s="157"/>
      <c r="H92" s="157"/>
      <c r="I92" s="157"/>
      <c r="J92" s="157"/>
      <c r="K92" s="157"/>
      <c r="L92" s="157"/>
      <c r="M92" s="157"/>
      <c r="N92" s="157"/>
      <c r="O92" s="157"/>
      <c r="P92" s="157"/>
      <c r="Q92" s="157"/>
      <c r="R92" s="157"/>
      <c r="S92" s="157"/>
      <c r="T92" s="157"/>
      <c r="U92" s="158"/>
    </row>
    <row r="93" spans="1:21" ht="97.5" customHeight="1" x14ac:dyDescent="0.15">
      <c r="B93" s="126" t="s">
        <v>61</v>
      </c>
      <c r="C93" s="21" t="s">
        <v>69</v>
      </c>
      <c r="D93" s="159" t="s">
        <v>144</v>
      </c>
      <c r="E93" s="173"/>
      <c r="F93" s="173"/>
      <c r="G93" s="173"/>
      <c r="H93" s="173"/>
      <c r="I93" s="173"/>
      <c r="J93" s="173"/>
      <c r="K93" s="173"/>
      <c r="L93" s="173"/>
      <c r="M93" s="173"/>
      <c r="N93" s="173"/>
      <c r="O93" s="173"/>
      <c r="P93" s="173"/>
      <c r="Q93" s="173"/>
      <c r="R93" s="173"/>
      <c r="S93" s="173"/>
      <c r="T93" s="173"/>
      <c r="U93" s="174"/>
    </row>
    <row r="94" spans="1:21" ht="97.5" customHeight="1" x14ac:dyDescent="0.15">
      <c r="B94" s="127"/>
      <c r="C94" s="22" t="s">
        <v>70</v>
      </c>
      <c r="D94" s="156" t="s">
        <v>145</v>
      </c>
      <c r="E94" s="157"/>
      <c r="F94" s="157"/>
      <c r="G94" s="157"/>
      <c r="H94" s="157"/>
      <c r="I94" s="157"/>
      <c r="J94" s="157"/>
      <c r="K94" s="157"/>
      <c r="L94" s="157"/>
      <c r="M94" s="157"/>
      <c r="N94" s="157"/>
      <c r="O94" s="157"/>
      <c r="P94" s="157"/>
      <c r="Q94" s="157"/>
      <c r="R94" s="157"/>
      <c r="S94" s="157"/>
      <c r="T94" s="157"/>
      <c r="U94" s="158"/>
    </row>
    <row r="95" spans="1:21" ht="97.5" customHeight="1" x14ac:dyDescent="0.15">
      <c r="B95" s="126" t="s">
        <v>62</v>
      </c>
      <c r="C95" s="21" t="s">
        <v>71</v>
      </c>
      <c r="D95" s="172" t="s">
        <v>146</v>
      </c>
      <c r="E95" s="160"/>
      <c r="F95" s="160"/>
      <c r="G95" s="160"/>
      <c r="H95" s="160"/>
      <c r="I95" s="160"/>
      <c r="J95" s="160"/>
      <c r="K95" s="160"/>
      <c r="L95" s="160"/>
      <c r="M95" s="160"/>
      <c r="N95" s="160"/>
      <c r="O95" s="160"/>
      <c r="P95" s="160"/>
      <c r="Q95" s="160"/>
      <c r="R95" s="160"/>
      <c r="S95" s="160"/>
      <c r="T95" s="160"/>
      <c r="U95" s="161"/>
    </row>
    <row r="96" spans="1:21" ht="97.5" customHeight="1" x14ac:dyDescent="0.15">
      <c r="B96" s="127"/>
      <c r="C96" s="23" t="s">
        <v>72</v>
      </c>
      <c r="D96" s="156" t="s">
        <v>147</v>
      </c>
      <c r="E96" s="157"/>
      <c r="F96" s="157"/>
      <c r="G96" s="157"/>
      <c r="H96" s="157"/>
      <c r="I96" s="157"/>
      <c r="J96" s="157"/>
      <c r="K96" s="157"/>
      <c r="L96" s="157"/>
      <c r="M96" s="157"/>
      <c r="N96" s="157"/>
      <c r="O96" s="157"/>
      <c r="P96" s="157"/>
      <c r="Q96" s="157"/>
      <c r="R96" s="157"/>
      <c r="S96" s="157"/>
      <c r="T96" s="157"/>
      <c r="U96" s="158"/>
    </row>
    <row r="97" spans="1:33" ht="97.5" customHeight="1" x14ac:dyDescent="0.15">
      <c r="B97" s="126" t="s">
        <v>76</v>
      </c>
      <c r="C97" s="19" t="s">
        <v>57</v>
      </c>
      <c r="D97" s="159" t="s">
        <v>148</v>
      </c>
      <c r="E97" s="160"/>
      <c r="F97" s="160"/>
      <c r="G97" s="160"/>
      <c r="H97" s="160"/>
      <c r="I97" s="160"/>
      <c r="J97" s="160"/>
      <c r="K97" s="160"/>
      <c r="L97" s="160"/>
      <c r="M97" s="160"/>
      <c r="N97" s="160"/>
      <c r="O97" s="160"/>
      <c r="P97" s="160"/>
      <c r="Q97" s="160"/>
      <c r="R97" s="160"/>
      <c r="S97" s="160"/>
      <c r="T97" s="160"/>
      <c r="U97" s="161"/>
    </row>
    <row r="98" spans="1:33" ht="97.5" customHeight="1" x14ac:dyDescent="0.15">
      <c r="B98" s="127"/>
      <c r="C98" s="22" t="s">
        <v>59</v>
      </c>
      <c r="D98" s="156" t="s">
        <v>149</v>
      </c>
      <c r="E98" s="157"/>
      <c r="F98" s="157"/>
      <c r="G98" s="157"/>
      <c r="H98" s="157"/>
      <c r="I98" s="157"/>
      <c r="J98" s="157"/>
      <c r="K98" s="157"/>
      <c r="L98" s="157"/>
      <c r="M98" s="157"/>
      <c r="N98" s="157"/>
      <c r="O98" s="157"/>
      <c r="P98" s="157"/>
      <c r="Q98" s="157"/>
      <c r="R98" s="157"/>
      <c r="S98" s="157"/>
      <c r="T98" s="157"/>
      <c r="U98" s="158"/>
    </row>
    <row r="99" spans="1:33" ht="97.5" customHeight="1" x14ac:dyDescent="0.15">
      <c r="B99" s="126" t="s">
        <v>77</v>
      </c>
      <c r="C99" s="21" t="s">
        <v>56</v>
      </c>
      <c r="D99" s="159" t="s">
        <v>150</v>
      </c>
      <c r="E99" s="160"/>
      <c r="F99" s="160"/>
      <c r="G99" s="160"/>
      <c r="H99" s="160"/>
      <c r="I99" s="160"/>
      <c r="J99" s="160"/>
      <c r="K99" s="160"/>
      <c r="L99" s="160"/>
      <c r="M99" s="160"/>
      <c r="N99" s="160"/>
      <c r="O99" s="160"/>
      <c r="P99" s="160"/>
      <c r="Q99" s="160"/>
      <c r="R99" s="160"/>
      <c r="S99" s="160"/>
      <c r="T99" s="160"/>
      <c r="U99" s="161"/>
    </row>
    <row r="100" spans="1:33" ht="97.5" customHeight="1" x14ac:dyDescent="0.15">
      <c r="B100" s="131"/>
      <c r="C100" s="24" t="s">
        <v>73</v>
      </c>
      <c r="D100" s="162" t="s">
        <v>159</v>
      </c>
      <c r="E100" s="163"/>
      <c r="F100" s="163"/>
      <c r="G100" s="163"/>
      <c r="H100" s="163"/>
      <c r="I100" s="163"/>
      <c r="J100" s="163"/>
      <c r="K100" s="163"/>
      <c r="L100" s="163"/>
      <c r="M100" s="163"/>
      <c r="N100" s="163"/>
      <c r="O100" s="163"/>
      <c r="P100" s="163"/>
      <c r="Q100" s="163"/>
      <c r="R100" s="163"/>
      <c r="S100" s="163"/>
      <c r="T100" s="163"/>
      <c r="U100" s="164"/>
    </row>
    <row r="101" spans="1:33" ht="97.5" customHeight="1" x14ac:dyDescent="0.15">
      <c r="B101" s="127"/>
      <c r="C101" s="23" t="s">
        <v>74</v>
      </c>
      <c r="D101" s="165" t="s">
        <v>160</v>
      </c>
      <c r="E101" s="157"/>
      <c r="F101" s="157"/>
      <c r="G101" s="157"/>
      <c r="H101" s="157"/>
      <c r="I101" s="157"/>
      <c r="J101" s="157"/>
      <c r="K101" s="157"/>
      <c r="L101" s="157"/>
      <c r="M101" s="157"/>
      <c r="N101" s="157"/>
      <c r="O101" s="157"/>
      <c r="P101" s="157"/>
      <c r="Q101" s="157"/>
      <c r="R101" s="157"/>
      <c r="S101" s="157"/>
      <c r="T101" s="157"/>
      <c r="U101" s="158"/>
    </row>
    <row r="102" spans="1:33" ht="6" customHeight="1" x14ac:dyDescent="0.15"/>
    <row r="103" spans="1:33" ht="18.75" customHeight="1" x14ac:dyDescent="0.15">
      <c r="A103" s="1" t="s">
        <v>109</v>
      </c>
    </row>
    <row r="104" spans="1:33" ht="117" customHeight="1" x14ac:dyDescent="0.15">
      <c r="B104" s="143" t="s">
        <v>155</v>
      </c>
      <c r="C104" s="144"/>
      <c r="D104" s="144"/>
      <c r="E104" s="144"/>
      <c r="F104" s="144"/>
      <c r="G104" s="144"/>
      <c r="H104" s="144"/>
      <c r="I104" s="144"/>
      <c r="J104" s="144"/>
      <c r="K104" s="144"/>
      <c r="L104" s="144"/>
      <c r="M104" s="144"/>
      <c r="N104" s="144"/>
      <c r="O104" s="144"/>
      <c r="P104" s="144"/>
      <c r="Q104" s="144"/>
      <c r="R104" s="144"/>
      <c r="S104" s="144"/>
      <c r="T104" s="144"/>
      <c r="U104" s="145"/>
    </row>
    <row r="106" spans="1:33" ht="18.75" customHeight="1" x14ac:dyDescent="0.15">
      <c r="A106" s="48" t="s">
        <v>124</v>
      </c>
      <c r="B106" s="49"/>
      <c r="C106" s="49"/>
      <c r="D106" s="49"/>
      <c r="E106" s="49"/>
      <c r="F106" s="49"/>
      <c r="G106" s="49"/>
      <c r="H106" s="49"/>
      <c r="I106" s="49"/>
      <c r="J106" s="49"/>
      <c r="K106" s="49"/>
      <c r="L106" s="49"/>
      <c r="M106" s="49"/>
      <c r="N106" s="49"/>
      <c r="O106" s="49"/>
      <c r="P106" s="49"/>
      <c r="Q106" s="49"/>
      <c r="R106" s="49"/>
      <c r="S106" s="49"/>
      <c r="T106" s="49"/>
      <c r="U106" s="49"/>
    </row>
    <row r="107" spans="1:33" ht="18.75" customHeight="1" x14ac:dyDescent="0.15">
      <c r="A107" s="48" t="s">
        <v>126</v>
      </c>
      <c r="B107" s="48"/>
      <c r="C107" s="48"/>
      <c r="D107" s="48"/>
      <c r="E107" s="48"/>
      <c r="F107" s="48"/>
      <c r="G107" s="48"/>
      <c r="H107" s="48"/>
      <c r="I107" s="48"/>
      <c r="J107" s="48"/>
      <c r="K107" s="48"/>
      <c r="L107" s="48"/>
      <c r="M107" s="48"/>
      <c r="N107" s="48"/>
      <c r="O107" s="48"/>
      <c r="P107" s="48"/>
      <c r="Q107" s="48"/>
      <c r="R107" s="48"/>
      <c r="S107" s="48"/>
      <c r="T107" s="48"/>
      <c r="U107" s="48"/>
      <c r="V107" s="2"/>
      <c r="W107" s="2"/>
      <c r="X107" s="2"/>
      <c r="Y107" s="2"/>
      <c r="Z107" s="2"/>
      <c r="AA107" s="2"/>
      <c r="AB107" s="2"/>
      <c r="AC107" s="2"/>
      <c r="AD107" s="2"/>
      <c r="AE107" s="2"/>
      <c r="AF107" s="2"/>
      <c r="AG107" s="2"/>
    </row>
    <row r="108" spans="1:33" ht="18.75" customHeight="1" x14ac:dyDescent="0.15">
      <c r="A108" s="48"/>
      <c r="B108" s="155" t="s">
        <v>129</v>
      </c>
      <c r="C108" s="155"/>
      <c r="D108" s="155"/>
      <c r="E108" s="155"/>
      <c r="F108" s="155"/>
      <c r="G108" s="155"/>
      <c r="H108" s="155"/>
      <c r="I108" s="155"/>
      <c r="J108" s="155"/>
      <c r="K108" s="155"/>
      <c r="L108" s="155"/>
      <c r="M108" s="155"/>
      <c r="N108" s="155"/>
      <c r="O108" s="155"/>
      <c r="P108" s="155"/>
      <c r="Q108" s="155"/>
      <c r="R108" s="155"/>
      <c r="S108" s="155"/>
      <c r="T108" s="155"/>
      <c r="U108" s="155"/>
      <c r="V108" s="46"/>
      <c r="W108" s="46"/>
      <c r="X108" s="46"/>
      <c r="Y108" s="46"/>
      <c r="Z108" s="46"/>
      <c r="AA108" s="46"/>
      <c r="AB108" s="46"/>
      <c r="AC108" s="46"/>
      <c r="AD108" s="46"/>
      <c r="AE108" s="46"/>
      <c r="AF108" s="46"/>
      <c r="AG108" s="46"/>
    </row>
    <row r="109" spans="1:33" ht="37.15" customHeight="1" x14ac:dyDescent="0.15">
      <c r="A109" s="48"/>
      <c r="B109" s="155"/>
      <c r="C109" s="155"/>
      <c r="D109" s="155"/>
      <c r="E109" s="155"/>
      <c r="F109" s="155"/>
      <c r="G109" s="155"/>
      <c r="H109" s="155"/>
      <c r="I109" s="155"/>
      <c r="J109" s="155"/>
      <c r="K109" s="155"/>
      <c r="L109" s="155"/>
      <c r="M109" s="155"/>
      <c r="N109" s="155"/>
      <c r="O109" s="155"/>
      <c r="P109" s="155"/>
      <c r="Q109" s="155"/>
      <c r="R109" s="155"/>
      <c r="S109" s="155"/>
      <c r="T109" s="155"/>
      <c r="U109" s="155"/>
      <c r="V109" s="46"/>
      <c r="W109" s="46"/>
      <c r="X109" s="46"/>
      <c r="Y109" s="46"/>
      <c r="Z109" s="46"/>
      <c r="AA109" s="46"/>
      <c r="AB109" s="46"/>
      <c r="AC109" s="46"/>
      <c r="AD109" s="46"/>
      <c r="AE109" s="46"/>
      <c r="AF109" s="46"/>
      <c r="AG109" s="46"/>
    </row>
    <row r="110" spans="1:33" ht="18.75" customHeight="1" x14ac:dyDescent="0.15">
      <c r="A110" s="48"/>
      <c r="B110" s="104" t="s">
        <v>125</v>
      </c>
      <c r="C110" s="104"/>
      <c r="D110" s="104"/>
      <c r="E110" s="104"/>
      <c r="F110" s="104"/>
      <c r="G110" s="104"/>
      <c r="H110" s="104"/>
      <c r="I110" s="104"/>
      <c r="J110" s="104"/>
      <c r="K110" s="104"/>
      <c r="L110" s="104"/>
      <c r="M110" s="104"/>
      <c r="N110" s="104"/>
      <c r="O110" s="104"/>
      <c r="P110" s="104"/>
      <c r="Q110" s="104"/>
      <c r="R110" s="104"/>
      <c r="S110" s="104"/>
      <c r="T110" s="104"/>
      <c r="U110" s="104"/>
      <c r="V110" s="46"/>
      <c r="W110" s="46"/>
      <c r="X110" s="46"/>
      <c r="Y110" s="46"/>
      <c r="Z110" s="46"/>
      <c r="AA110" s="46"/>
      <c r="AB110" s="46"/>
      <c r="AC110" s="46"/>
      <c r="AD110" s="46"/>
      <c r="AE110" s="46"/>
      <c r="AF110" s="46"/>
      <c r="AG110" s="46"/>
    </row>
    <row r="111" spans="1:33" ht="18.75" customHeight="1" x14ac:dyDescent="0.15">
      <c r="A111" s="48"/>
      <c r="B111" s="117" t="s">
        <v>54</v>
      </c>
      <c r="C111" s="117"/>
      <c r="D111" s="117"/>
      <c r="E111" s="117"/>
      <c r="F111" s="117"/>
      <c r="G111" s="117"/>
      <c r="H111" s="117"/>
      <c r="I111" s="117"/>
      <c r="J111" s="117"/>
      <c r="K111" s="117"/>
      <c r="L111" s="117"/>
      <c r="M111" s="117"/>
      <c r="N111" s="117"/>
      <c r="O111" s="117"/>
      <c r="P111" s="117"/>
      <c r="Q111" s="117"/>
      <c r="R111" s="117"/>
      <c r="S111" s="117"/>
      <c r="T111" s="117"/>
      <c r="U111" s="117"/>
      <c r="V111" s="45"/>
      <c r="W111" s="45"/>
      <c r="X111" s="45"/>
      <c r="Y111" s="45"/>
      <c r="Z111" s="45"/>
      <c r="AA111" s="45"/>
      <c r="AB111" s="45"/>
      <c r="AC111" s="45"/>
      <c r="AD111" s="45"/>
      <c r="AE111" s="45"/>
      <c r="AF111" s="45"/>
      <c r="AG111" s="45"/>
    </row>
    <row r="112" spans="1:33" ht="132" customHeight="1" x14ac:dyDescent="0.15">
      <c r="A112" s="48"/>
      <c r="B112" s="118" t="s">
        <v>153</v>
      </c>
      <c r="C112" s="118"/>
      <c r="D112" s="118"/>
      <c r="E112" s="118"/>
      <c r="F112" s="118"/>
      <c r="G112" s="118"/>
      <c r="H112" s="118"/>
      <c r="I112" s="118"/>
      <c r="J112" s="118"/>
      <c r="K112" s="118"/>
      <c r="L112" s="118"/>
      <c r="M112" s="118"/>
      <c r="N112" s="118"/>
      <c r="O112" s="118"/>
      <c r="P112" s="118"/>
      <c r="Q112" s="118"/>
      <c r="R112" s="118"/>
      <c r="S112" s="118"/>
      <c r="T112" s="118"/>
      <c r="U112" s="118"/>
      <c r="V112" s="47"/>
      <c r="W112" s="47"/>
      <c r="X112" s="47"/>
      <c r="Y112" s="47"/>
      <c r="Z112" s="47"/>
      <c r="AA112" s="47"/>
      <c r="AB112" s="47"/>
      <c r="AC112" s="47"/>
      <c r="AD112" s="47"/>
      <c r="AE112" s="47"/>
      <c r="AF112" s="47"/>
      <c r="AG112" s="47"/>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50"/>
      <c r="B1" s="50"/>
      <c r="C1" s="50"/>
      <c r="D1" s="50"/>
      <c r="E1" s="50"/>
      <c r="F1" s="50"/>
      <c r="G1" s="50"/>
      <c r="H1" s="50"/>
      <c r="I1" s="50"/>
      <c r="J1" s="50"/>
      <c r="K1" s="50"/>
      <c r="L1" s="50"/>
      <c r="M1" s="50"/>
      <c r="N1" s="50"/>
      <c r="O1" s="50"/>
      <c r="P1" s="50"/>
      <c r="Q1" s="50"/>
      <c r="R1" s="50"/>
      <c r="S1" s="50" t="s">
        <v>98</v>
      </c>
    </row>
    <row r="2" spans="1:21" ht="18" customHeight="1" x14ac:dyDescent="0.15">
      <c r="A2" s="50"/>
      <c r="B2" s="50"/>
      <c r="C2" s="50"/>
      <c r="D2" s="50"/>
      <c r="E2" s="50"/>
      <c r="F2" s="50"/>
      <c r="G2" s="50"/>
      <c r="H2" s="50"/>
      <c r="I2" s="50"/>
      <c r="J2" s="50"/>
      <c r="K2" s="50"/>
      <c r="L2" s="50"/>
      <c r="M2" s="50"/>
      <c r="N2" s="50"/>
      <c r="O2" s="50"/>
      <c r="P2" s="50"/>
      <c r="Q2" s="182" t="str">
        <f>'様式１　プログラムを構成する授業科目'!C2</f>
        <v>秋田栄養短期大学</v>
      </c>
      <c r="R2" s="182"/>
      <c r="S2" s="182"/>
    </row>
    <row r="3" spans="1:21" ht="18" customHeight="1" x14ac:dyDescent="0.15">
      <c r="A3" s="132" t="s">
        <v>47</v>
      </c>
      <c r="B3" s="132"/>
      <c r="C3" s="132"/>
      <c r="D3" s="132"/>
      <c r="E3" s="132"/>
      <c r="F3" s="132"/>
      <c r="G3" s="132"/>
      <c r="H3" s="132"/>
      <c r="I3" s="132"/>
      <c r="J3" s="132"/>
      <c r="K3" s="132"/>
      <c r="L3" s="132"/>
      <c r="M3" s="132"/>
      <c r="N3" s="132"/>
      <c r="O3" s="132"/>
      <c r="P3" s="132"/>
      <c r="Q3" s="132"/>
      <c r="R3" s="132"/>
      <c r="S3" s="132"/>
    </row>
    <row r="4" spans="1:21" ht="7.5" customHeight="1" x14ac:dyDescent="0.15">
      <c r="A4" s="55"/>
      <c r="B4" s="55"/>
      <c r="C4" s="55"/>
      <c r="D4" s="55"/>
      <c r="E4" s="55"/>
      <c r="F4" s="55"/>
      <c r="G4" s="55"/>
      <c r="H4" s="55"/>
      <c r="I4" s="55"/>
      <c r="J4" s="55"/>
      <c r="K4" s="55"/>
      <c r="L4" s="55"/>
      <c r="M4" s="55"/>
      <c r="N4" s="55"/>
      <c r="O4" s="55"/>
      <c r="P4" s="55"/>
      <c r="Q4" s="55"/>
      <c r="R4" s="55"/>
      <c r="S4" s="55"/>
    </row>
    <row r="5" spans="1:21" ht="18" customHeight="1" x14ac:dyDescent="0.15">
      <c r="A5" s="50" t="s">
        <v>80</v>
      </c>
      <c r="B5" s="50"/>
      <c r="C5" s="183" t="s">
        <v>151</v>
      </c>
      <c r="D5" s="184"/>
      <c r="E5" s="55" t="s">
        <v>51</v>
      </c>
      <c r="F5" s="55"/>
      <c r="G5" s="55"/>
      <c r="H5" s="55"/>
      <c r="I5" s="55"/>
      <c r="J5" s="55"/>
      <c r="K5" s="55"/>
      <c r="L5" s="55"/>
      <c r="M5" s="55"/>
      <c r="N5" s="55"/>
      <c r="O5" s="55"/>
      <c r="P5" s="55"/>
      <c r="Q5" s="55"/>
      <c r="R5" s="53"/>
      <c r="S5" s="53"/>
    </row>
    <row r="6" spans="1:21" ht="7.15" customHeight="1" x14ac:dyDescent="0.15">
      <c r="A6" s="50"/>
      <c r="B6" s="50"/>
      <c r="C6" s="60"/>
      <c r="D6" s="60"/>
      <c r="E6" s="55"/>
      <c r="F6" s="55"/>
      <c r="G6" s="55"/>
      <c r="H6" s="55"/>
      <c r="I6" s="55"/>
      <c r="J6" s="55"/>
      <c r="K6" s="55"/>
      <c r="L6" s="55"/>
      <c r="M6" s="55"/>
      <c r="N6" s="55"/>
      <c r="O6" s="55"/>
      <c r="P6" s="55"/>
      <c r="Q6" s="55"/>
      <c r="R6" s="53"/>
      <c r="S6" s="53"/>
    </row>
    <row r="7" spans="1:21" ht="18" customHeight="1" x14ac:dyDescent="0.15">
      <c r="A7" s="50" t="s">
        <v>117</v>
      </c>
      <c r="B7" s="50"/>
      <c r="C7" s="63"/>
      <c r="D7" s="63"/>
      <c r="E7" s="64" t="s">
        <v>118</v>
      </c>
      <c r="F7" s="65">
        <v>16</v>
      </c>
      <c r="G7" s="66" t="s">
        <v>119</v>
      </c>
      <c r="H7" s="64" t="s">
        <v>120</v>
      </c>
      <c r="I7" s="65">
        <v>61</v>
      </c>
      <c r="J7" s="66" t="s">
        <v>119</v>
      </c>
      <c r="K7" s="67" t="s">
        <v>121</v>
      </c>
      <c r="L7" s="64" t="s">
        <v>122</v>
      </c>
      <c r="M7" s="65">
        <f>F7+I7</f>
        <v>77</v>
      </c>
      <c r="N7" s="64" t="s">
        <v>1</v>
      </c>
      <c r="O7" s="66" t="s">
        <v>123</v>
      </c>
      <c r="P7" s="55"/>
      <c r="Q7" s="55"/>
      <c r="R7" s="53"/>
      <c r="S7" s="53"/>
    </row>
    <row r="8" spans="1:21" ht="6" customHeight="1" x14ac:dyDescent="0.15">
      <c r="A8" s="55"/>
      <c r="B8" s="55"/>
      <c r="C8" s="64"/>
      <c r="D8" s="64"/>
      <c r="E8" s="64"/>
      <c r="F8" s="64"/>
      <c r="G8" s="64"/>
      <c r="H8" s="64"/>
      <c r="I8" s="64"/>
      <c r="J8" s="64"/>
      <c r="K8" s="64"/>
      <c r="L8" s="64"/>
      <c r="M8" s="64"/>
      <c r="N8" s="64"/>
      <c r="O8" s="64"/>
      <c r="P8" s="55"/>
      <c r="Q8" s="55"/>
      <c r="R8" s="55"/>
      <c r="S8" s="55"/>
    </row>
    <row r="9" spans="1:21" ht="18" customHeight="1" x14ac:dyDescent="0.15">
      <c r="A9" s="50" t="s">
        <v>133</v>
      </c>
      <c r="B9" s="55"/>
      <c r="C9" s="64"/>
      <c r="D9" s="64"/>
      <c r="E9" s="64"/>
      <c r="F9" s="64"/>
      <c r="G9" s="64"/>
      <c r="H9" s="64"/>
      <c r="I9" s="64"/>
      <c r="J9" s="64"/>
      <c r="K9" s="64"/>
      <c r="L9" s="64"/>
      <c r="M9" s="64"/>
      <c r="N9" s="64"/>
      <c r="O9" s="64"/>
      <c r="P9" s="55"/>
      <c r="Q9" s="55"/>
      <c r="R9" s="55"/>
      <c r="S9" s="55"/>
    </row>
    <row r="10" spans="1:21" ht="6" customHeight="1" x14ac:dyDescent="0.15">
      <c r="B10" s="3"/>
      <c r="C10" s="68"/>
      <c r="D10" s="68"/>
      <c r="E10" s="68"/>
      <c r="F10" s="68"/>
      <c r="G10" s="68"/>
      <c r="H10" s="68"/>
      <c r="I10" s="68"/>
      <c r="J10" s="68"/>
      <c r="K10" s="68"/>
      <c r="L10" s="68"/>
      <c r="M10" s="68"/>
      <c r="N10" s="68"/>
      <c r="O10" s="68"/>
      <c r="P10" s="3"/>
      <c r="Q10" s="3"/>
      <c r="R10" s="3"/>
      <c r="S10" s="3"/>
    </row>
    <row r="11" spans="1:21" ht="18" customHeight="1" x14ac:dyDescent="0.15">
      <c r="B11" s="185" t="s">
        <v>44</v>
      </c>
      <c r="C11" s="195" t="s">
        <v>83</v>
      </c>
      <c r="D11" s="187" t="s">
        <v>46</v>
      </c>
      <c r="E11" s="189" t="s">
        <v>39</v>
      </c>
      <c r="F11" s="181" t="s">
        <v>111</v>
      </c>
      <c r="G11" s="181"/>
      <c r="H11" s="181" t="s">
        <v>82</v>
      </c>
      <c r="I11" s="181"/>
      <c r="J11" s="181" t="s">
        <v>48</v>
      </c>
      <c r="K11" s="181"/>
      <c r="L11" s="181" t="s">
        <v>49</v>
      </c>
      <c r="M11" s="181"/>
      <c r="N11" s="181" t="s">
        <v>92</v>
      </c>
      <c r="O11" s="181"/>
      <c r="P11" s="197" t="s">
        <v>50</v>
      </c>
      <c r="Q11" s="197"/>
      <c r="R11" s="191" t="s">
        <v>35</v>
      </c>
      <c r="S11" s="193" t="s">
        <v>32</v>
      </c>
      <c r="U11" s="2"/>
    </row>
    <row r="12" spans="1:21" ht="16.899999999999999" customHeight="1" x14ac:dyDescent="0.15">
      <c r="B12" s="186"/>
      <c r="C12" s="196"/>
      <c r="D12" s="188"/>
      <c r="E12" s="190"/>
      <c r="F12" s="69" t="s">
        <v>91</v>
      </c>
      <c r="G12" s="69" t="s">
        <v>29</v>
      </c>
      <c r="H12" s="69" t="s">
        <v>91</v>
      </c>
      <c r="I12" s="69" t="s">
        <v>29</v>
      </c>
      <c r="J12" s="69" t="s">
        <v>91</v>
      </c>
      <c r="K12" s="69" t="s">
        <v>29</v>
      </c>
      <c r="L12" s="69" t="s">
        <v>91</v>
      </c>
      <c r="M12" s="69" t="s">
        <v>29</v>
      </c>
      <c r="N12" s="69" t="s">
        <v>91</v>
      </c>
      <c r="O12" s="69" t="s">
        <v>29</v>
      </c>
      <c r="P12" s="40" t="s">
        <v>91</v>
      </c>
      <c r="Q12" s="41" t="s">
        <v>29</v>
      </c>
      <c r="R12" s="192"/>
      <c r="S12" s="194"/>
      <c r="U12" s="2"/>
    </row>
    <row r="13" spans="1:21" ht="18" customHeight="1" x14ac:dyDescent="0.15">
      <c r="A13" s="4"/>
      <c r="B13" s="42" t="s">
        <v>152</v>
      </c>
      <c r="C13" s="70">
        <v>77</v>
      </c>
      <c r="D13" s="71">
        <v>80</v>
      </c>
      <c r="E13" s="72">
        <v>160</v>
      </c>
      <c r="F13" s="72">
        <v>12</v>
      </c>
      <c r="G13" s="72">
        <v>11</v>
      </c>
      <c r="H13" s="72"/>
      <c r="I13" s="72"/>
      <c r="J13" s="72"/>
      <c r="K13" s="72"/>
      <c r="L13" s="72"/>
      <c r="M13" s="72"/>
      <c r="N13" s="72"/>
      <c r="O13" s="72"/>
      <c r="P13" s="30"/>
      <c r="Q13" s="43"/>
      <c r="R13" s="29">
        <f>F13+H13+J13+L13+N13+P13</f>
        <v>12</v>
      </c>
      <c r="S13" s="44">
        <f>R13/E13</f>
        <v>7.4999999999999997E-2</v>
      </c>
    </row>
    <row r="14" spans="1:21" ht="18" customHeight="1" x14ac:dyDescent="0.15">
      <c r="A14" s="4"/>
      <c r="B14" s="8"/>
      <c r="C14" s="73"/>
      <c r="D14" s="74"/>
      <c r="E14" s="75"/>
      <c r="F14" s="76"/>
      <c r="G14" s="76"/>
      <c r="H14" s="76"/>
      <c r="I14" s="76"/>
      <c r="J14" s="76"/>
      <c r="K14" s="76"/>
      <c r="L14" s="76"/>
      <c r="M14" s="76"/>
      <c r="N14" s="76"/>
      <c r="O14" s="76"/>
      <c r="P14" s="34"/>
      <c r="Q14" s="31"/>
      <c r="R14" s="32">
        <f t="shared" ref="R14:R32" si="0">F14+H14+J14+L14+N14+P14</f>
        <v>0</v>
      </c>
      <c r="S14" s="12" t="e">
        <f t="shared" ref="S14:S33" si="1">R14/E14</f>
        <v>#DIV/0!</v>
      </c>
    </row>
    <row r="15" spans="1:21" ht="18" customHeight="1" x14ac:dyDescent="0.15">
      <c r="A15" s="4"/>
      <c r="B15" s="8"/>
      <c r="C15" s="31"/>
      <c r="D15" s="32"/>
      <c r="E15" s="33"/>
      <c r="F15" s="34"/>
      <c r="G15" s="34"/>
      <c r="H15" s="34"/>
      <c r="I15" s="34"/>
      <c r="J15" s="34"/>
      <c r="K15" s="34"/>
      <c r="L15" s="34"/>
      <c r="M15" s="34"/>
      <c r="N15" s="34"/>
      <c r="O15" s="34"/>
      <c r="P15" s="34"/>
      <c r="Q15" s="31"/>
      <c r="R15" s="32">
        <f t="shared" si="0"/>
        <v>0</v>
      </c>
      <c r="S15" s="6" t="e">
        <f t="shared" si="1"/>
        <v>#DIV/0!</v>
      </c>
    </row>
    <row r="16" spans="1:21" ht="18" customHeight="1" x14ac:dyDescent="0.15">
      <c r="A16" s="4"/>
      <c r="B16" s="8"/>
      <c r="C16" s="31"/>
      <c r="D16" s="32"/>
      <c r="E16" s="33"/>
      <c r="F16" s="34"/>
      <c r="G16" s="34"/>
      <c r="H16" s="34"/>
      <c r="I16" s="34"/>
      <c r="J16" s="34"/>
      <c r="K16" s="34"/>
      <c r="L16" s="34"/>
      <c r="M16" s="34"/>
      <c r="N16" s="34"/>
      <c r="O16" s="34"/>
      <c r="P16" s="34"/>
      <c r="Q16" s="31"/>
      <c r="R16" s="32">
        <f t="shared" si="0"/>
        <v>0</v>
      </c>
      <c r="S16" s="6" t="e">
        <f t="shared" si="1"/>
        <v>#DIV/0!</v>
      </c>
    </row>
    <row r="17" spans="1:19" ht="18" customHeight="1" x14ac:dyDescent="0.15">
      <c r="A17" s="4"/>
      <c r="B17" s="8"/>
      <c r="C17" s="31"/>
      <c r="D17" s="32"/>
      <c r="E17" s="33"/>
      <c r="F17" s="34"/>
      <c r="G17" s="34"/>
      <c r="H17" s="34"/>
      <c r="I17" s="34"/>
      <c r="J17" s="34"/>
      <c r="K17" s="34"/>
      <c r="L17" s="34"/>
      <c r="M17" s="34"/>
      <c r="N17" s="34"/>
      <c r="O17" s="34"/>
      <c r="P17" s="34"/>
      <c r="Q17" s="31"/>
      <c r="R17" s="32">
        <f t="shared" si="0"/>
        <v>0</v>
      </c>
      <c r="S17" s="6" t="e">
        <f t="shared" si="1"/>
        <v>#DIV/0!</v>
      </c>
    </row>
    <row r="18" spans="1:19" ht="18" customHeight="1" x14ac:dyDescent="0.15">
      <c r="A18" s="4"/>
      <c r="B18" s="8"/>
      <c r="C18" s="31"/>
      <c r="D18" s="32"/>
      <c r="E18" s="33"/>
      <c r="F18" s="34"/>
      <c r="G18" s="34"/>
      <c r="H18" s="34"/>
      <c r="I18" s="34"/>
      <c r="J18" s="34"/>
      <c r="K18" s="34"/>
      <c r="L18" s="34"/>
      <c r="M18" s="34"/>
      <c r="N18" s="34"/>
      <c r="O18" s="34"/>
      <c r="P18" s="34"/>
      <c r="Q18" s="31"/>
      <c r="R18" s="32">
        <f t="shared" si="0"/>
        <v>0</v>
      </c>
      <c r="S18" s="6" t="e">
        <f t="shared" si="1"/>
        <v>#DIV/0!</v>
      </c>
    </row>
    <row r="19" spans="1:19" ht="18" customHeight="1" x14ac:dyDescent="0.15">
      <c r="A19" s="4"/>
      <c r="B19" s="8"/>
      <c r="C19" s="31"/>
      <c r="D19" s="32"/>
      <c r="E19" s="33"/>
      <c r="F19" s="34"/>
      <c r="G19" s="34"/>
      <c r="H19" s="34"/>
      <c r="I19" s="34"/>
      <c r="J19" s="34"/>
      <c r="K19" s="34"/>
      <c r="L19" s="34"/>
      <c r="M19" s="34"/>
      <c r="N19" s="34"/>
      <c r="O19" s="34"/>
      <c r="P19" s="34"/>
      <c r="Q19" s="31"/>
      <c r="R19" s="32">
        <f t="shared" si="0"/>
        <v>0</v>
      </c>
      <c r="S19" s="6" t="e">
        <f t="shared" si="1"/>
        <v>#DIV/0!</v>
      </c>
    </row>
    <row r="20" spans="1:19" ht="18" customHeight="1" x14ac:dyDescent="0.15">
      <c r="A20" s="4"/>
      <c r="B20" s="8"/>
      <c r="C20" s="31"/>
      <c r="D20" s="32"/>
      <c r="E20" s="33"/>
      <c r="F20" s="34"/>
      <c r="G20" s="34"/>
      <c r="H20" s="34"/>
      <c r="I20" s="34"/>
      <c r="J20" s="34"/>
      <c r="K20" s="34"/>
      <c r="L20" s="34"/>
      <c r="M20" s="34"/>
      <c r="N20" s="34"/>
      <c r="O20" s="34"/>
      <c r="P20" s="34"/>
      <c r="Q20" s="31"/>
      <c r="R20" s="32">
        <f t="shared" si="0"/>
        <v>0</v>
      </c>
      <c r="S20" s="6" t="e">
        <f t="shared" si="1"/>
        <v>#DIV/0!</v>
      </c>
    </row>
    <row r="21" spans="1:19" ht="18" customHeight="1" x14ac:dyDescent="0.15">
      <c r="A21" s="4"/>
      <c r="B21" s="8"/>
      <c r="C21" s="31"/>
      <c r="D21" s="32"/>
      <c r="E21" s="33"/>
      <c r="F21" s="34"/>
      <c r="G21" s="34"/>
      <c r="H21" s="34"/>
      <c r="I21" s="34"/>
      <c r="J21" s="34"/>
      <c r="K21" s="34"/>
      <c r="L21" s="34"/>
      <c r="M21" s="34"/>
      <c r="N21" s="34"/>
      <c r="O21" s="34"/>
      <c r="P21" s="34"/>
      <c r="Q21" s="31"/>
      <c r="R21" s="32">
        <f t="shared" si="0"/>
        <v>0</v>
      </c>
      <c r="S21" s="6" t="e">
        <f t="shared" si="1"/>
        <v>#DIV/0!</v>
      </c>
    </row>
    <row r="22" spans="1:19" ht="18" customHeight="1" x14ac:dyDescent="0.15">
      <c r="A22" s="4"/>
      <c r="B22" s="8"/>
      <c r="C22" s="31"/>
      <c r="D22" s="32"/>
      <c r="E22" s="33"/>
      <c r="F22" s="34"/>
      <c r="G22" s="34"/>
      <c r="H22" s="34"/>
      <c r="I22" s="34"/>
      <c r="J22" s="34"/>
      <c r="K22" s="34"/>
      <c r="L22" s="34"/>
      <c r="M22" s="34"/>
      <c r="N22" s="34"/>
      <c r="O22" s="34"/>
      <c r="P22" s="34"/>
      <c r="Q22" s="31"/>
      <c r="R22" s="32">
        <f t="shared" si="0"/>
        <v>0</v>
      </c>
      <c r="S22" s="6" t="e">
        <f t="shared" si="1"/>
        <v>#DIV/0!</v>
      </c>
    </row>
    <row r="23" spans="1:19" ht="18" customHeight="1" x14ac:dyDescent="0.15">
      <c r="A23" s="4"/>
      <c r="B23" s="8"/>
      <c r="C23" s="31"/>
      <c r="D23" s="32"/>
      <c r="E23" s="33"/>
      <c r="F23" s="34"/>
      <c r="G23" s="34"/>
      <c r="H23" s="34"/>
      <c r="I23" s="34"/>
      <c r="J23" s="34"/>
      <c r="K23" s="34"/>
      <c r="L23" s="34"/>
      <c r="M23" s="34"/>
      <c r="N23" s="34"/>
      <c r="O23" s="34"/>
      <c r="P23" s="34"/>
      <c r="Q23" s="31"/>
      <c r="R23" s="32">
        <f t="shared" si="0"/>
        <v>0</v>
      </c>
      <c r="S23" s="6" t="e">
        <f t="shared" si="1"/>
        <v>#DIV/0!</v>
      </c>
    </row>
    <row r="24" spans="1:19" ht="18" customHeight="1" x14ac:dyDescent="0.15">
      <c r="A24" s="4"/>
      <c r="B24" s="8"/>
      <c r="C24" s="31"/>
      <c r="D24" s="32"/>
      <c r="E24" s="33"/>
      <c r="F24" s="34"/>
      <c r="G24" s="34"/>
      <c r="H24" s="34"/>
      <c r="I24" s="34"/>
      <c r="J24" s="34"/>
      <c r="K24" s="34"/>
      <c r="L24" s="34"/>
      <c r="M24" s="34"/>
      <c r="N24" s="34"/>
      <c r="O24" s="34"/>
      <c r="P24" s="34"/>
      <c r="Q24" s="31"/>
      <c r="R24" s="32">
        <f t="shared" si="0"/>
        <v>0</v>
      </c>
      <c r="S24" s="6" t="e">
        <f t="shared" si="1"/>
        <v>#DIV/0!</v>
      </c>
    </row>
    <row r="25" spans="1:19" ht="18" customHeight="1" x14ac:dyDescent="0.15">
      <c r="A25" s="4"/>
      <c r="B25" s="8"/>
      <c r="C25" s="31"/>
      <c r="D25" s="32"/>
      <c r="E25" s="33"/>
      <c r="F25" s="34"/>
      <c r="G25" s="34"/>
      <c r="H25" s="34"/>
      <c r="I25" s="34"/>
      <c r="J25" s="34"/>
      <c r="K25" s="34"/>
      <c r="L25" s="34"/>
      <c r="M25" s="34"/>
      <c r="N25" s="34"/>
      <c r="O25" s="34"/>
      <c r="P25" s="34"/>
      <c r="Q25" s="31"/>
      <c r="R25" s="32">
        <f t="shared" si="0"/>
        <v>0</v>
      </c>
      <c r="S25" s="6" t="e">
        <f t="shared" si="1"/>
        <v>#DIV/0!</v>
      </c>
    </row>
    <row r="26" spans="1:19" ht="18" customHeight="1" x14ac:dyDescent="0.15">
      <c r="A26" s="4"/>
      <c r="B26" s="8"/>
      <c r="C26" s="31"/>
      <c r="D26" s="32"/>
      <c r="E26" s="33"/>
      <c r="F26" s="34"/>
      <c r="G26" s="34"/>
      <c r="H26" s="34"/>
      <c r="I26" s="34"/>
      <c r="J26" s="34"/>
      <c r="K26" s="34"/>
      <c r="L26" s="34"/>
      <c r="M26" s="34"/>
      <c r="N26" s="34"/>
      <c r="O26" s="34"/>
      <c r="P26" s="34"/>
      <c r="Q26" s="31"/>
      <c r="R26" s="32">
        <f t="shared" si="0"/>
        <v>0</v>
      </c>
      <c r="S26" s="6" t="e">
        <f t="shared" si="1"/>
        <v>#DIV/0!</v>
      </c>
    </row>
    <row r="27" spans="1:19" ht="18" customHeight="1" x14ac:dyDescent="0.15">
      <c r="A27" s="4"/>
      <c r="B27" s="8"/>
      <c r="C27" s="31"/>
      <c r="D27" s="32"/>
      <c r="E27" s="33"/>
      <c r="F27" s="34"/>
      <c r="G27" s="34"/>
      <c r="H27" s="34"/>
      <c r="I27" s="34"/>
      <c r="J27" s="34"/>
      <c r="K27" s="34"/>
      <c r="L27" s="34"/>
      <c r="M27" s="34"/>
      <c r="N27" s="34"/>
      <c r="O27" s="34"/>
      <c r="P27" s="34"/>
      <c r="Q27" s="31"/>
      <c r="R27" s="32">
        <f t="shared" si="0"/>
        <v>0</v>
      </c>
      <c r="S27" s="6" t="e">
        <f t="shared" si="1"/>
        <v>#DIV/0!</v>
      </c>
    </row>
    <row r="28" spans="1:19" ht="18" customHeight="1" x14ac:dyDescent="0.15">
      <c r="A28" s="4"/>
      <c r="B28" s="8"/>
      <c r="C28" s="31"/>
      <c r="D28" s="32"/>
      <c r="E28" s="33"/>
      <c r="F28" s="34"/>
      <c r="G28" s="34"/>
      <c r="H28" s="34"/>
      <c r="I28" s="34"/>
      <c r="J28" s="34"/>
      <c r="K28" s="34"/>
      <c r="L28" s="34"/>
      <c r="M28" s="34"/>
      <c r="N28" s="34"/>
      <c r="O28" s="34"/>
      <c r="P28" s="34"/>
      <c r="Q28" s="31"/>
      <c r="R28" s="32">
        <f t="shared" si="0"/>
        <v>0</v>
      </c>
      <c r="S28" s="6" t="e">
        <f t="shared" si="1"/>
        <v>#DIV/0!</v>
      </c>
    </row>
    <row r="29" spans="1:19" ht="18" customHeight="1" x14ac:dyDescent="0.15">
      <c r="A29" s="4"/>
      <c r="B29" s="8"/>
      <c r="C29" s="31"/>
      <c r="D29" s="32"/>
      <c r="E29" s="33"/>
      <c r="F29" s="34"/>
      <c r="G29" s="34"/>
      <c r="H29" s="34"/>
      <c r="I29" s="34"/>
      <c r="J29" s="34"/>
      <c r="K29" s="34"/>
      <c r="L29" s="34"/>
      <c r="M29" s="34"/>
      <c r="N29" s="34"/>
      <c r="O29" s="34"/>
      <c r="P29" s="34"/>
      <c r="Q29" s="31"/>
      <c r="R29" s="32">
        <f t="shared" si="0"/>
        <v>0</v>
      </c>
      <c r="S29" s="6" t="e">
        <f t="shared" si="1"/>
        <v>#DIV/0!</v>
      </c>
    </row>
    <row r="30" spans="1:19" ht="18" customHeight="1" x14ac:dyDescent="0.15">
      <c r="A30" s="4"/>
      <c r="B30" s="8"/>
      <c r="C30" s="31"/>
      <c r="D30" s="35"/>
      <c r="E30" s="33"/>
      <c r="F30" s="34"/>
      <c r="G30" s="34"/>
      <c r="H30" s="34"/>
      <c r="I30" s="34"/>
      <c r="J30" s="34"/>
      <c r="K30" s="34"/>
      <c r="L30" s="34"/>
      <c r="M30" s="34"/>
      <c r="N30" s="34"/>
      <c r="O30" s="34"/>
      <c r="P30" s="34"/>
      <c r="Q30" s="31"/>
      <c r="R30" s="35">
        <f t="shared" si="0"/>
        <v>0</v>
      </c>
      <c r="S30" s="6" t="e">
        <f t="shared" si="1"/>
        <v>#DIV/0!</v>
      </c>
    </row>
    <row r="31" spans="1:19" ht="18" customHeight="1" x14ac:dyDescent="0.15">
      <c r="A31" s="4"/>
      <c r="B31" s="8"/>
      <c r="C31" s="31"/>
      <c r="D31" s="35"/>
      <c r="E31" s="33"/>
      <c r="F31" s="34"/>
      <c r="G31" s="34"/>
      <c r="H31" s="34"/>
      <c r="I31" s="34"/>
      <c r="J31" s="34"/>
      <c r="K31" s="34"/>
      <c r="L31" s="34"/>
      <c r="M31" s="34"/>
      <c r="N31" s="34"/>
      <c r="O31" s="34"/>
      <c r="P31" s="34"/>
      <c r="Q31" s="31"/>
      <c r="R31" s="35">
        <f t="shared" si="0"/>
        <v>0</v>
      </c>
      <c r="S31" s="6" t="e">
        <f t="shared" si="1"/>
        <v>#DIV/0!</v>
      </c>
    </row>
    <row r="32" spans="1:19" ht="18" customHeight="1" thickBot="1" x14ac:dyDescent="0.2">
      <c r="A32" s="4"/>
      <c r="B32" s="9"/>
      <c r="C32" s="28"/>
      <c r="D32" s="36"/>
      <c r="E32" s="30"/>
      <c r="F32" s="30"/>
      <c r="G32" s="30"/>
      <c r="H32" s="30"/>
      <c r="I32" s="30"/>
      <c r="J32" s="30"/>
      <c r="K32" s="30"/>
      <c r="L32" s="30"/>
      <c r="M32" s="30"/>
      <c r="N32" s="30"/>
      <c r="O32" s="30"/>
      <c r="P32" s="30"/>
      <c r="Q32" s="31"/>
      <c r="R32" s="36">
        <f t="shared" si="0"/>
        <v>0</v>
      </c>
      <c r="S32" s="5" t="e">
        <f t="shared" si="1"/>
        <v>#DIV/0!</v>
      </c>
    </row>
    <row r="33" spans="2:19" ht="18" customHeight="1" thickTop="1" x14ac:dyDescent="0.15">
      <c r="B33" s="10" t="s">
        <v>33</v>
      </c>
      <c r="C33" s="37">
        <f t="shared" ref="C33" si="2">SUM(C13:C32)</f>
        <v>77</v>
      </c>
      <c r="D33" s="38">
        <f t="shared" ref="D33:R33" si="3">SUM(D13:D32)</f>
        <v>80</v>
      </c>
      <c r="E33" s="39">
        <f t="shared" si="3"/>
        <v>160</v>
      </c>
      <c r="F33" s="39">
        <f t="shared" si="3"/>
        <v>12</v>
      </c>
      <c r="G33" s="39">
        <f t="shared" ref="G33:H33" si="4">SUM(G13:G32)</f>
        <v>11</v>
      </c>
      <c r="H33" s="39">
        <f t="shared" si="4"/>
        <v>0</v>
      </c>
      <c r="I33" s="39">
        <f t="shared" ref="I33:J33" si="5">SUM(I13:I32)</f>
        <v>0</v>
      </c>
      <c r="J33" s="39">
        <f t="shared" si="5"/>
        <v>0</v>
      </c>
      <c r="K33" s="39">
        <f t="shared" ref="K33:O33" si="6">SUM(K13:K32)</f>
        <v>0</v>
      </c>
      <c r="L33" s="39">
        <f t="shared" si="6"/>
        <v>0</v>
      </c>
      <c r="M33" s="39">
        <f t="shared" si="6"/>
        <v>0</v>
      </c>
      <c r="N33" s="39">
        <f t="shared" si="6"/>
        <v>0</v>
      </c>
      <c r="O33" s="39">
        <f t="shared" si="6"/>
        <v>0</v>
      </c>
      <c r="P33" s="39">
        <f t="shared" ref="P33:Q33" si="7">SUM(P13:P32)</f>
        <v>0</v>
      </c>
      <c r="Q33" s="37">
        <f t="shared" si="7"/>
        <v>0</v>
      </c>
      <c r="R33" s="38">
        <f t="shared" si="3"/>
        <v>12</v>
      </c>
      <c r="S33" s="7">
        <f t="shared" si="1"/>
        <v>7.4999999999999997E-2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B1" sqref="B1"/>
    </sheetView>
  </sheetViews>
  <sheetFormatPr defaultColWidth="11.375" defaultRowHeight="18.75" customHeight="1" x14ac:dyDescent="0.15"/>
  <cols>
    <col min="1" max="1" width="2.75" style="81" customWidth="1"/>
    <col min="2" max="2" width="16.625" style="50" customWidth="1"/>
    <col min="3" max="3" width="8.875" style="50" customWidth="1"/>
    <col min="4" max="4" width="2.25" style="50" customWidth="1"/>
    <col min="5" max="5" width="16.625" style="50" customWidth="1"/>
    <col min="6" max="6" width="4.375" style="50" customWidth="1"/>
    <col min="7" max="7" width="9" style="50" customWidth="1"/>
    <col min="8" max="8" width="16.625" style="50" customWidth="1"/>
    <col min="9" max="9" width="12.125" style="50" customWidth="1"/>
    <col min="10" max="16384" width="11.375" style="1"/>
  </cols>
  <sheetData>
    <row r="1" spans="1:9" ht="18.75" customHeight="1" x14ac:dyDescent="0.15">
      <c r="A1" s="81" t="s">
        <v>63</v>
      </c>
      <c r="I1" s="79" t="s">
        <v>97</v>
      </c>
    </row>
    <row r="2" spans="1:9" ht="18.75" customHeight="1" x14ac:dyDescent="0.15">
      <c r="G2" s="79" t="s">
        <v>99</v>
      </c>
      <c r="H2" s="152" t="str">
        <f>'様式１　プログラムを構成する授業科目'!C2</f>
        <v>秋田栄養短期大学</v>
      </c>
      <c r="I2" s="154"/>
    </row>
    <row r="3" spans="1:9" ht="18.75" customHeight="1" x14ac:dyDescent="0.15">
      <c r="G3" s="79"/>
      <c r="H3" s="57"/>
      <c r="I3" s="57"/>
    </row>
    <row r="4" spans="1:9" ht="18.600000000000001" customHeight="1" x14ac:dyDescent="0.15">
      <c r="A4" s="132" t="s">
        <v>36</v>
      </c>
      <c r="B4" s="132"/>
      <c r="C4" s="132"/>
      <c r="D4" s="132"/>
      <c r="E4" s="132"/>
      <c r="F4" s="132"/>
      <c r="G4" s="132"/>
      <c r="H4" s="132"/>
      <c r="I4" s="132"/>
    </row>
    <row r="5" spans="1:9" ht="13.15" customHeight="1" x14ac:dyDescent="0.15">
      <c r="B5" s="55"/>
      <c r="C5" s="55"/>
      <c r="D5" s="55"/>
      <c r="E5" s="55"/>
      <c r="F5" s="55"/>
      <c r="G5" s="55"/>
      <c r="H5" s="55"/>
      <c r="I5" s="55"/>
    </row>
    <row r="6" spans="1:9" ht="18" customHeight="1" x14ac:dyDescent="0.15">
      <c r="A6" s="50" t="s">
        <v>0</v>
      </c>
      <c r="B6" s="57" t="s">
        <v>86</v>
      </c>
      <c r="C6" s="215" t="s">
        <v>87</v>
      </c>
      <c r="D6" s="215"/>
      <c r="E6" s="82">
        <v>9</v>
      </c>
      <c r="F6" s="55" t="s">
        <v>1</v>
      </c>
      <c r="G6" s="55" t="s">
        <v>2</v>
      </c>
      <c r="H6" s="82">
        <v>19</v>
      </c>
      <c r="I6" s="57" t="s">
        <v>1</v>
      </c>
    </row>
    <row r="7" spans="1:9" ht="12" customHeight="1" x14ac:dyDescent="0.15">
      <c r="C7" s="56"/>
      <c r="D7" s="56"/>
      <c r="E7" s="56"/>
      <c r="F7" s="56"/>
      <c r="G7" s="56"/>
      <c r="H7" s="56"/>
      <c r="I7" s="83"/>
    </row>
    <row r="8" spans="1:9" ht="18" customHeight="1" x14ac:dyDescent="0.15">
      <c r="A8" s="50" t="s">
        <v>3</v>
      </c>
      <c r="B8" s="57" t="s">
        <v>88</v>
      </c>
      <c r="E8" s="55"/>
      <c r="F8" s="55"/>
      <c r="G8" s="55"/>
      <c r="H8" s="80">
        <v>2</v>
      </c>
      <c r="I8" s="57" t="s">
        <v>1</v>
      </c>
    </row>
    <row r="9" spans="1:9" ht="9" customHeight="1" x14ac:dyDescent="0.15">
      <c r="B9" s="55"/>
      <c r="C9" s="55"/>
      <c r="D9" s="55"/>
      <c r="E9" s="55"/>
      <c r="F9" s="55"/>
      <c r="G9" s="55"/>
      <c r="H9" s="55"/>
      <c r="I9" s="55"/>
    </row>
    <row r="10" spans="1:9" ht="18" customHeight="1" x14ac:dyDescent="0.15">
      <c r="A10" s="50" t="s">
        <v>4</v>
      </c>
      <c r="B10" s="57" t="s">
        <v>89</v>
      </c>
      <c r="C10" s="55"/>
      <c r="D10" s="55"/>
      <c r="E10" s="55"/>
      <c r="F10" s="55"/>
      <c r="G10" s="55"/>
      <c r="H10" s="55"/>
      <c r="I10" s="55"/>
    </row>
    <row r="11" spans="1:9" ht="18" customHeight="1" x14ac:dyDescent="0.15">
      <c r="B11" s="79" t="s">
        <v>42</v>
      </c>
      <c r="C11" s="199" t="s">
        <v>161</v>
      </c>
      <c r="D11" s="213"/>
      <c r="E11" s="214"/>
      <c r="F11" s="83"/>
      <c r="G11" s="79" t="s">
        <v>10</v>
      </c>
      <c r="H11" s="199" t="s">
        <v>162</v>
      </c>
      <c r="I11" s="214"/>
    </row>
    <row r="12" spans="1:9" ht="10.15" customHeight="1" x14ac:dyDescent="0.15">
      <c r="B12" s="79"/>
      <c r="C12" s="57"/>
      <c r="D12" s="83"/>
      <c r="E12" s="83"/>
      <c r="F12" s="83"/>
      <c r="G12" s="79"/>
      <c r="H12" s="57"/>
      <c r="I12" s="83"/>
    </row>
    <row r="13" spans="1:9" ht="18" customHeight="1" x14ac:dyDescent="0.15">
      <c r="A13" s="50" t="s">
        <v>7</v>
      </c>
      <c r="B13" s="57" t="s">
        <v>84</v>
      </c>
      <c r="C13" s="55"/>
      <c r="D13" s="55"/>
      <c r="E13" s="55"/>
      <c r="F13" s="55"/>
      <c r="G13" s="55"/>
      <c r="H13" s="55"/>
      <c r="I13" s="55"/>
    </row>
    <row r="14" spans="1:9" ht="18" customHeight="1" x14ac:dyDescent="0.15">
      <c r="B14" s="199" t="s">
        <v>163</v>
      </c>
      <c r="C14" s="200"/>
      <c r="D14" s="200"/>
      <c r="E14" s="200"/>
      <c r="F14" s="200"/>
      <c r="G14" s="200"/>
      <c r="H14" s="200"/>
      <c r="I14" s="201"/>
    </row>
    <row r="15" spans="1:9" ht="9" customHeight="1" x14ac:dyDescent="0.15">
      <c r="B15" s="55"/>
      <c r="C15" s="55"/>
      <c r="D15" s="55"/>
      <c r="E15" s="55"/>
      <c r="F15" s="55"/>
      <c r="G15" s="55"/>
      <c r="H15" s="55"/>
      <c r="I15" s="55"/>
    </row>
    <row r="16" spans="1:9" ht="18" customHeight="1" x14ac:dyDescent="0.15">
      <c r="B16" s="79" t="s">
        <v>42</v>
      </c>
      <c r="C16" s="199" t="s">
        <v>161</v>
      </c>
      <c r="D16" s="213"/>
      <c r="E16" s="214"/>
      <c r="F16" s="83"/>
      <c r="G16" s="79" t="s">
        <v>10</v>
      </c>
      <c r="H16" s="199" t="s">
        <v>162</v>
      </c>
      <c r="I16" s="214"/>
    </row>
    <row r="17" spans="1:9" ht="18" customHeight="1" x14ac:dyDescent="0.15">
      <c r="B17" s="55"/>
      <c r="C17" s="55"/>
      <c r="D17" s="55"/>
      <c r="E17" s="55"/>
      <c r="F17" s="55"/>
      <c r="G17" s="55"/>
      <c r="H17" s="55"/>
      <c r="I17" s="55"/>
    </row>
    <row r="18" spans="1:9" ht="18.75" customHeight="1" x14ac:dyDescent="0.15">
      <c r="A18" s="50" t="s">
        <v>5</v>
      </c>
      <c r="B18" s="50" t="s">
        <v>41</v>
      </c>
      <c r="I18" s="55"/>
    </row>
    <row r="19" spans="1:9" ht="18.75" customHeight="1" x14ac:dyDescent="0.15">
      <c r="A19" s="50"/>
      <c r="B19" s="199" t="s">
        <v>164</v>
      </c>
      <c r="C19" s="200"/>
      <c r="D19" s="200"/>
      <c r="E19" s="200"/>
      <c r="F19" s="200"/>
      <c r="G19" s="200"/>
      <c r="H19" s="200"/>
      <c r="I19" s="201"/>
    </row>
    <row r="20" spans="1:9" ht="7.5" customHeight="1" x14ac:dyDescent="0.15">
      <c r="B20" s="55"/>
      <c r="C20" s="55"/>
      <c r="D20" s="55"/>
      <c r="E20" s="55"/>
      <c r="F20" s="55"/>
      <c r="G20" s="55"/>
      <c r="H20" s="55"/>
      <c r="I20" s="55"/>
    </row>
    <row r="21" spans="1:9" ht="18.75" customHeight="1" x14ac:dyDescent="0.15">
      <c r="A21" s="50" t="s">
        <v>8</v>
      </c>
      <c r="B21" s="50" t="s">
        <v>25</v>
      </c>
    </row>
    <row r="22" spans="1:9" ht="18.75" customHeight="1" x14ac:dyDescent="0.15">
      <c r="A22" s="84"/>
      <c r="B22" s="202" t="s">
        <v>177</v>
      </c>
      <c r="C22" s="203"/>
      <c r="D22" s="203"/>
      <c r="E22" s="203"/>
      <c r="F22" s="203"/>
      <c r="G22" s="203"/>
      <c r="H22" s="203"/>
      <c r="I22" s="204"/>
    </row>
    <row r="23" spans="1:9" ht="18.75" customHeight="1" x14ac:dyDescent="0.15">
      <c r="A23" s="84"/>
      <c r="B23" s="205"/>
      <c r="C23" s="206"/>
      <c r="D23" s="206"/>
      <c r="E23" s="206"/>
      <c r="F23" s="206"/>
      <c r="G23" s="206"/>
      <c r="H23" s="206"/>
      <c r="I23" s="207"/>
    </row>
    <row r="24" spans="1:9" ht="18.75" customHeight="1" x14ac:dyDescent="0.15">
      <c r="A24" s="84"/>
      <c r="B24" s="205"/>
      <c r="C24" s="206"/>
      <c r="D24" s="206"/>
      <c r="E24" s="206"/>
      <c r="F24" s="206"/>
      <c r="G24" s="206"/>
      <c r="H24" s="206"/>
      <c r="I24" s="207"/>
    </row>
    <row r="25" spans="1:9" ht="18.75" customHeight="1" x14ac:dyDescent="0.15">
      <c r="A25" s="84"/>
      <c r="B25" s="205"/>
      <c r="C25" s="206"/>
      <c r="D25" s="206"/>
      <c r="E25" s="206"/>
      <c r="F25" s="206"/>
      <c r="G25" s="206"/>
      <c r="H25" s="206"/>
      <c r="I25" s="207"/>
    </row>
    <row r="26" spans="1:9" ht="18.75" customHeight="1" x14ac:dyDescent="0.15">
      <c r="A26" s="84"/>
      <c r="B26" s="205"/>
      <c r="C26" s="206"/>
      <c r="D26" s="206"/>
      <c r="E26" s="206"/>
      <c r="F26" s="206"/>
      <c r="G26" s="206"/>
      <c r="H26" s="206"/>
      <c r="I26" s="207"/>
    </row>
    <row r="27" spans="1:9" ht="18.75" customHeight="1" x14ac:dyDescent="0.15">
      <c r="A27" s="84"/>
      <c r="B27" s="205"/>
      <c r="C27" s="206"/>
      <c r="D27" s="206"/>
      <c r="E27" s="206"/>
      <c r="F27" s="206"/>
      <c r="G27" s="206"/>
      <c r="H27" s="206"/>
      <c r="I27" s="207"/>
    </row>
    <row r="28" spans="1:9" ht="18.75" customHeight="1" x14ac:dyDescent="0.15">
      <c r="A28" s="84"/>
      <c r="B28" s="205"/>
      <c r="C28" s="206"/>
      <c r="D28" s="206"/>
      <c r="E28" s="206"/>
      <c r="F28" s="206"/>
      <c r="G28" s="206"/>
      <c r="H28" s="206"/>
      <c r="I28" s="207"/>
    </row>
    <row r="29" spans="1:9" ht="18.75" customHeight="1" x14ac:dyDescent="0.15">
      <c r="A29" s="84"/>
      <c r="B29" s="205"/>
      <c r="C29" s="206"/>
      <c r="D29" s="206"/>
      <c r="E29" s="206"/>
      <c r="F29" s="206"/>
      <c r="G29" s="206"/>
      <c r="H29" s="206"/>
      <c r="I29" s="207"/>
    </row>
    <row r="30" spans="1:9" ht="18.75" customHeight="1" x14ac:dyDescent="0.15">
      <c r="A30" s="84"/>
      <c r="B30" s="208"/>
      <c r="C30" s="209"/>
      <c r="D30" s="209"/>
      <c r="E30" s="209"/>
      <c r="F30" s="209"/>
      <c r="G30" s="209"/>
      <c r="H30" s="209"/>
      <c r="I30" s="207"/>
    </row>
    <row r="31" spans="1:9" ht="18.75" customHeight="1" x14ac:dyDescent="0.15">
      <c r="A31" s="84"/>
      <c r="B31" s="208"/>
      <c r="C31" s="209"/>
      <c r="D31" s="209"/>
      <c r="E31" s="209"/>
      <c r="F31" s="209"/>
      <c r="G31" s="209"/>
      <c r="H31" s="209"/>
      <c r="I31" s="207"/>
    </row>
    <row r="32" spans="1:9" ht="18.75" customHeight="1" x14ac:dyDescent="0.15">
      <c r="A32" s="84"/>
      <c r="B32" s="210"/>
      <c r="C32" s="211"/>
      <c r="D32" s="211"/>
      <c r="E32" s="211"/>
      <c r="F32" s="211"/>
      <c r="G32" s="211"/>
      <c r="H32" s="211"/>
      <c r="I32" s="212"/>
    </row>
    <row r="33" spans="1:9" ht="7.5" customHeight="1" x14ac:dyDescent="0.15">
      <c r="A33" s="84"/>
      <c r="B33" s="84"/>
      <c r="C33" s="84"/>
      <c r="D33" s="84"/>
      <c r="E33" s="84"/>
      <c r="F33" s="84"/>
      <c r="G33" s="84"/>
      <c r="H33" s="84"/>
      <c r="I33" s="84"/>
    </row>
    <row r="34" spans="1:9" ht="18.75" customHeight="1" x14ac:dyDescent="0.15">
      <c r="A34" s="78" t="s">
        <v>6</v>
      </c>
      <c r="B34" s="78" t="s">
        <v>9</v>
      </c>
      <c r="C34" s="57"/>
      <c r="D34" s="78"/>
      <c r="E34" s="78"/>
      <c r="F34" s="78"/>
      <c r="G34" s="78"/>
      <c r="H34" s="78"/>
      <c r="I34" s="78"/>
    </row>
    <row r="35" spans="1:9" ht="18.75" customHeight="1" x14ac:dyDescent="0.15">
      <c r="A35" s="84"/>
      <c r="B35" s="202" t="s">
        <v>165</v>
      </c>
      <c r="C35" s="203"/>
      <c r="D35" s="203"/>
      <c r="E35" s="203"/>
      <c r="F35" s="203"/>
      <c r="G35" s="203"/>
      <c r="H35" s="203"/>
      <c r="I35" s="204"/>
    </row>
    <row r="36" spans="1:9" ht="18.75" customHeight="1" x14ac:dyDescent="0.15">
      <c r="A36" s="84"/>
      <c r="B36" s="208"/>
      <c r="C36" s="209"/>
      <c r="D36" s="209"/>
      <c r="E36" s="209"/>
      <c r="F36" s="209"/>
      <c r="G36" s="209"/>
      <c r="H36" s="209"/>
      <c r="I36" s="207"/>
    </row>
    <row r="37" spans="1:9" ht="18.75" customHeight="1" x14ac:dyDescent="0.15">
      <c r="A37" s="84"/>
      <c r="B37" s="208"/>
      <c r="C37" s="209"/>
      <c r="D37" s="209"/>
      <c r="E37" s="209"/>
      <c r="F37" s="209"/>
      <c r="G37" s="209"/>
      <c r="H37" s="209"/>
      <c r="I37" s="207"/>
    </row>
    <row r="38" spans="1:9" ht="18.75" customHeight="1" x14ac:dyDescent="0.15">
      <c r="A38" s="84"/>
      <c r="B38" s="208"/>
      <c r="C38" s="209"/>
      <c r="D38" s="209"/>
      <c r="E38" s="209"/>
      <c r="F38" s="209"/>
      <c r="G38" s="209"/>
      <c r="H38" s="209"/>
      <c r="I38" s="207"/>
    </row>
    <row r="39" spans="1:9" ht="18.75" customHeight="1" x14ac:dyDescent="0.15">
      <c r="A39" s="84"/>
      <c r="B39" s="208"/>
      <c r="C39" s="209"/>
      <c r="D39" s="209"/>
      <c r="E39" s="209"/>
      <c r="F39" s="209"/>
      <c r="G39" s="209"/>
      <c r="H39" s="209"/>
      <c r="I39" s="207"/>
    </row>
    <row r="40" spans="1:9" ht="18.75" customHeight="1" x14ac:dyDescent="0.15">
      <c r="A40" s="84"/>
      <c r="B40" s="208"/>
      <c r="C40" s="209"/>
      <c r="D40" s="209"/>
      <c r="E40" s="209"/>
      <c r="F40" s="209"/>
      <c r="G40" s="209"/>
      <c r="H40" s="209"/>
      <c r="I40" s="207"/>
    </row>
    <row r="41" spans="1:9" ht="18.75" customHeight="1" x14ac:dyDescent="0.15">
      <c r="A41" s="84"/>
      <c r="B41" s="208"/>
      <c r="C41" s="209"/>
      <c r="D41" s="209"/>
      <c r="E41" s="209"/>
      <c r="F41" s="209"/>
      <c r="G41" s="209"/>
      <c r="H41" s="209"/>
      <c r="I41" s="207"/>
    </row>
    <row r="42" spans="1:9" ht="18.75" customHeight="1" x14ac:dyDescent="0.15">
      <c r="A42" s="84"/>
      <c r="B42" s="208"/>
      <c r="C42" s="209"/>
      <c r="D42" s="209"/>
      <c r="E42" s="209"/>
      <c r="F42" s="209"/>
      <c r="G42" s="209"/>
      <c r="H42" s="209"/>
      <c r="I42" s="207"/>
    </row>
    <row r="43" spans="1:9" ht="18.75" customHeight="1" x14ac:dyDescent="0.15">
      <c r="A43" s="84"/>
      <c r="B43" s="208"/>
      <c r="C43" s="209"/>
      <c r="D43" s="209"/>
      <c r="E43" s="209"/>
      <c r="F43" s="209"/>
      <c r="G43" s="209"/>
      <c r="H43" s="209"/>
      <c r="I43" s="207"/>
    </row>
    <row r="44" spans="1:9" ht="18.75" customHeight="1" x14ac:dyDescent="0.15">
      <c r="A44" s="84"/>
      <c r="B44" s="208"/>
      <c r="C44" s="209"/>
      <c r="D44" s="209"/>
      <c r="E44" s="209"/>
      <c r="F44" s="209"/>
      <c r="G44" s="209"/>
      <c r="H44" s="209"/>
      <c r="I44" s="207"/>
    </row>
    <row r="45" spans="1:9" ht="18.75" customHeight="1" x14ac:dyDescent="0.15">
      <c r="A45" s="84"/>
      <c r="B45" s="208"/>
      <c r="C45" s="209"/>
      <c r="D45" s="209"/>
      <c r="E45" s="209"/>
      <c r="F45" s="209"/>
      <c r="G45" s="209"/>
      <c r="H45" s="209"/>
      <c r="I45" s="207"/>
    </row>
    <row r="46" spans="1:9" ht="18.75" customHeight="1" x14ac:dyDescent="0.15">
      <c r="A46" s="84"/>
      <c r="B46" s="210"/>
      <c r="C46" s="211"/>
      <c r="D46" s="211"/>
      <c r="E46" s="211"/>
      <c r="F46" s="211"/>
      <c r="G46" s="211"/>
      <c r="H46" s="211"/>
      <c r="I46" s="212"/>
    </row>
    <row r="47" spans="1:9" ht="7.5" customHeight="1" x14ac:dyDescent="0.15">
      <c r="A47" s="85"/>
      <c r="B47" s="85"/>
      <c r="C47" s="85"/>
      <c r="D47" s="85"/>
      <c r="E47" s="85"/>
      <c r="F47" s="85"/>
      <c r="G47" s="85"/>
      <c r="H47" s="85"/>
      <c r="I47" s="85"/>
    </row>
    <row r="48" spans="1:9" ht="18.75" customHeight="1" x14ac:dyDescent="0.15">
      <c r="A48" s="50" t="s">
        <v>31</v>
      </c>
      <c r="B48" s="50" t="s">
        <v>166</v>
      </c>
    </row>
    <row r="49" spans="1:15" s="3" customFormat="1" ht="18.75" customHeight="1" x14ac:dyDescent="0.15">
      <c r="A49" s="55"/>
      <c r="B49" s="86" t="s">
        <v>127</v>
      </c>
      <c r="C49" s="237">
        <f>'様式２ 履修者等数の実績'!S33</f>
        <v>7.4999999999999997E-2</v>
      </c>
      <c r="D49" s="237"/>
      <c r="E49" s="86" t="s">
        <v>64</v>
      </c>
      <c r="F49" s="237">
        <v>0.25</v>
      </c>
      <c r="G49" s="237"/>
      <c r="H49" s="86" t="s">
        <v>65</v>
      </c>
      <c r="I49" s="87">
        <v>0.5</v>
      </c>
      <c r="J49" s="1"/>
      <c r="M49" s="1"/>
      <c r="N49" s="25"/>
    </row>
    <row r="50" spans="1:15" s="3" customFormat="1" ht="18.75" customHeight="1" x14ac:dyDescent="0.15">
      <c r="A50" s="55"/>
      <c r="B50" s="88" t="s">
        <v>85</v>
      </c>
      <c r="C50" s="220">
        <v>0.6</v>
      </c>
      <c r="D50" s="220"/>
      <c r="E50" s="88" t="s">
        <v>128</v>
      </c>
      <c r="F50" s="220">
        <v>0.7</v>
      </c>
      <c r="G50" s="220"/>
      <c r="H50" s="88" t="s">
        <v>66</v>
      </c>
      <c r="I50" s="89">
        <f>'様式２ 履修者等数の実績'!E33</f>
        <v>160</v>
      </c>
      <c r="J50" s="1"/>
      <c r="M50" s="1"/>
      <c r="N50" s="25"/>
    </row>
    <row r="51" spans="1:15" ht="18.75" customHeight="1" x14ac:dyDescent="0.15">
      <c r="A51" s="50"/>
      <c r="B51" s="217" t="s">
        <v>67</v>
      </c>
      <c r="C51" s="218"/>
      <c r="D51" s="218"/>
      <c r="E51" s="218"/>
      <c r="F51" s="218"/>
      <c r="G51" s="218"/>
      <c r="H51" s="218"/>
      <c r="I51" s="219"/>
      <c r="N51" s="25"/>
      <c r="O51" s="3"/>
    </row>
    <row r="52" spans="1:15" ht="18.75" customHeight="1" x14ac:dyDescent="0.15">
      <c r="A52" s="50"/>
      <c r="B52" s="238" t="s">
        <v>167</v>
      </c>
      <c r="C52" s="239"/>
      <c r="D52" s="239"/>
      <c r="E52" s="239"/>
      <c r="F52" s="239"/>
      <c r="G52" s="239"/>
      <c r="H52" s="239"/>
      <c r="I52" s="240"/>
      <c r="N52" s="25"/>
      <c r="O52" s="3"/>
    </row>
    <row r="53" spans="1:15" ht="18.75" customHeight="1" x14ac:dyDescent="0.15">
      <c r="A53" s="50"/>
      <c r="B53" s="241"/>
      <c r="C53" s="242"/>
      <c r="D53" s="242"/>
      <c r="E53" s="242"/>
      <c r="F53" s="242"/>
      <c r="G53" s="242"/>
      <c r="H53" s="242"/>
      <c r="I53" s="243"/>
      <c r="N53" s="25"/>
      <c r="O53" s="3"/>
    </row>
    <row r="54" spans="1:15" ht="18.75" customHeight="1" x14ac:dyDescent="0.15">
      <c r="A54" s="50"/>
      <c r="B54" s="241"/>
      <c r="C54" s="242"/>
      <c r="D54" s="242"/>
      <c r="E54" s="242"/>
      <c r="F54" s="242"/>
      <c r="G54" s="242"/>
      <c r="H54" s="242"/>
      <c r="I54" s="243"/>
    </row>
    <row r="55" spans="1:15" ht="18.75" customHeight="1" x14ac:dyDescent="0.15">
      <c r="A55" s="50"/>
      <c r="B55" s="241"/>
      <c r="C55" s="242"/>
      <c r="D55" s="242"/>
      <c r="E55" s="242"/>
      <c r="F55" s="242"/>
      <c r="G55" s="242"/>
      <c r="H55" s="242"/>
      <c r="I55" s="243"/>
    </row>
    <row r="56" spans="1:15" ht="18.75" customHeight="1" x14ac:dyDescent="0.15">
      <c r="A56" s="50"/>
      <c r="B56" s="241"/>
      <c r="C56" s="242"/>
      <c r="D56" s="242"/>
      <c r="E56" s="242"/>
      <c r="F56" s="242"/>
      <c r="G56" s="242"/>
      <c r="H56" s="242"/>
      <c r="I56" s="243"/>
    </row>
    <row r="57" spans="1:15" ht="18.75" customHeight="1" x14ac:dyDescent="0.15">
      <c r="A57" s="50"/>
      <c r="B57" s="241"/>
      <c r="C57" s="242"/>
      <c r="D57" s="242"/>
      <c r="E57" s="242"/>
      <c r="F57" s="242"/>
      <c r="G57" s="242"/>
      <c r="H57" s="242"/>
      <c r="I57" s="243"/>
    </row>
    <row r="58" spans="1:15" ht="18.75" customHeight="1" x14ac:dyDescent="0.15">
      <c r="A58" s="50"/>
      <c r="B58" s="241"/>
      <c r="C58" s="242"/>
      <c r="D58" s="242"/>
      <c r="E58" s="242"/>
      <c r="F58" s="242"/>
      <c r="G58" s="242"/>
      <c r="H58" s="242"/>
      <c r="I58" s="243"/>
    </row>
    <row r="59" spans="1:15" ht="18.75" customHeight="1" x14ac:dyDescent="0.15">
      <c r="A59" s="50"/>
      <c r="B59" s="241"/>
      <c r="C59" s="242"/>
      <c r="D59" s="242"/>
      <c r="E59" s="242"/>
      <c r="F59" s="242"/>
      <c r="G59" s="242"/>
      <c r="H59" s="242"/>
      <c r="I59" s="243"/>
    </row>
    <row r="60" spans="1:15" ht="18.75" customHeight="1" x14ac:dyDescent="0.15">
      <c r="A60" s="50"/>
      <c r="B60" s="241"/>
      <c r="C60" s="242"/>
      <c r="D60" s="242"/>
      <c r="E60" s="242"/>
      <c r="F60" s="242"/>
      <c r="G60" s="242"/>
      <c r="H60" s="242"/>
      <c r="I60" s="243"/>
    </row>
    <row r="61" spans="1:15" ht="18.75" customHeight="1" x14ac:dyDescent="0.15">
      <c r="A61" s="50"/>
      <c r="B61" s="241"/>
      <c r="C61" s="242"/>
      <c r="D61" s="242"/>
      <c r="E61" s="242"/>
      <c r="F61" s="242"/>
      <c r="G61" s="242"/>
      <c r="H61" s="242"/>
      <c r="I61" s="243"/>
    </row>
    <row r="62" spans="1:15" ht="18.75" customHeight="1" x14ac:dyDescent="0.15">
      <c r="A62" s="50"/>
      <c r="B62" s="241"/>
      <c r="C62" s="242"/>
      <c r="D62" s="242"/>
      <c r="E62" s="242"/>
      <c r="F62" s="242"/>
      <c r="G62" s="242"/>
      <c r="H62" s="242"/>
      <c r="I62" s="243"/>
    </row>
    <row r="63" spans="1:15" ht="18.75" customHeight="1" x14ac:dyDescent="0.15">
      <c r="A63" s="50"/>
      <c r="B63" s="244"/>
      <c r="C63" s="245"/>
      <c r="D63" s="245"/>
      <c r="E63" s="245"/>
      <c r="F63" s="245"/>
      <c r="G63" s="245"/>
      <c r="H63" s="245"/>
      <c r="I63" s="246"/>
    </row>
    <row r="64" spans="1:15" ht="7.5" customHeight="1" x14ac:dyDescent="0.15">
      <c r="A64" s="84"/>
      <c r="B64" s="84"/>
      <c r="C64" s="84"/>
      <c r="D64" s="84"/>
      <c r="E64" s="84"/>
      <c r="F64" s="84"/>
      <c r="G64" s="84"/>
      <c r="H64" s="84"/>
      <c r="I64" s="84"/>
    </row>
    <row r="65" spans="1:9" ht="18.75" customHeight="1" x14ac:dyDescent="0.15">
      <c r="A65" s="78" t="s">
        <v>34</v>
      </c>
      <c r="B65" s="50" t="s">
        <v>37</v>
      </c>
      <c r="I65" s="78"/>
    </row>
    <row r="66" spans="1:9" ht="18.75" customHeight="1" x14ac:dyDescent="0.15">
      <c r="A66" s="85"/>
      <c r="B66" s="221" t="s">
        <v>168</v>
      </c>
      <c r="C66" s="222"/>
      <c r="D66" s="222"/>
      <c r="E66" s="222"/>
      <c r="F66" s="222"/>
      <c r="G66" s="222"/>
      <c r="H66" s="222"/>
      <c r="I66" s="223"/>
    </row>
    <row r="67" spans="1:9" ht="18.75" customHeight="1" x14ac:dyDescent="0.15">
      <c r="A67" s="85"/>
      <c r="B67" s="224"/>
      <c r="C67" s="225"/>
      <c r="D67" s="225"/>
      <c r="E67" s="225"/>
      <c r="F67" s="225"/>
      <c r="G67" s="225"/>
      <c r="H67" s="225"/>
      <c r="I67" s="226"/>
    </row>
    <row r="68" spans="1:9" ht="18.75" customHeight="1" x14ac:dyDescent="0.15">
      <c r="A68" s="85"/>
      <c r="B68" s="224"/>
      <c r="C68" s="225"/>
      <c r="D68" s="225"/>
      <c r="E68" s="225"/>
      <c r="F68" s="225"/>
      <c r="G68" s="225"/>
      <c r="H68" s="225"/>
      <c r="I68" s="226"/>
    </row>
    <row r="69" spans="1:9" ht="18.75" customHeight="1" x14ac:dyDescent="0.15">
      <c r="A69" s="85"/>
      <c r="B69" s="224"/>
      <c r="C69" s="225"/>
      <c r="D69" s="225"/>
      <c r="E69" s="225"/>
      <c r="F69" s="225"/>
      <c r="G69" s="225"/>
      <c r="H69" s="225"/>
      <c r="I69" s="226"/>
    </row>
    <row r="70" spans="1:9" ht="18.75" customHeight="1" x14ac:dyDescent="0.15">
      <c r="A70" s="85"/>
      <c r="B70" s="224"/>
      <c r="C70" s="225"/>
      <c r="D70" s="225"/>
      <c r="E70" s="225"/>
      <c r="F70" s="225"/>
      <c r="G70" s="225"/>
      <c r="H70" s="225"/>
      <c r="I70" s="226"/>
    </row>
    <row r="71" spans="1:9" ht="18.75" customHeight="1" x14ac:dyDescent="0.15">
      <c r="A71" s="85"/>
      <c r="B71" s="224"/>
      <c r="C71" s="225"/>
      <c r="D71" s="225"/>
      <c r="E71" s="225"/>
      <c r="F71" s="225"/>
      <c r="G71" s="225"/>
      <c r="H71" s="225"/>
      <c r="I71" s="226"/>
    </row>
    <row r="72" spans="1:9" ht="18.75" customHeight="1" x14ac:dyDescent="0.15">
      <c r="A72" s="85"/>
      <c r="B72" s="224"/>
      <c r="C72" s="225"/>
      <c r="D72" s="225"/>
      <c r="E72" s="225"/>
      <c r="F72" s="225"/>
      <c r="G72" s="225"/>
      <c r="H72" s="225"/>
      <c r="I72" s="226"/>
    </row>
    <row r="73" spans="1:9" ht="18.75" customHeight="1" x14ac:dyDescent="0.15">
      <c r="A73" s="85"/>
      <c r="B73" s="224"/>
      <c r="C73" s="225"/>
      <c r="D73" s="225"/>
      <c r="E73" s="225"/>
      <c r="F73" s="225"/>
      <c r="G73" s="225"/>
      <c r="H73" s="225"/>
      <c r="I73" s="226"/>
    </row>
    <row r="74" spans="1:9" ht="18.75" customHeight="1" x14ac:dyDescent="0.15">
      <c r="A74" s="85"/>
      <c r="B74" s="224"/>
      <c r="C74" s="225"/>
      <c r="D74" s="225"/>
      <c r="E74" s="225"/>
      <c r="F74" s="225"/>
      <c r="G74" s="225"/>
      <c r="H74" s="225"/>
      <c r="I74" s="226"/>
    </row>
    <row r="75" spans="1:9" ht="18.75" customHeight="1" x14ac:dyDescent="0.15">
      <c r="A75" s="85"/>
      <c r="B75" s="224"/>
      <c r="C75" s="225"/>
      <c r="D75" s="225"/>
      <c r="E75" s="225"/>
      <c r="F75" s="225"/>
      <c r="G75" s="225"/>
      <c r="H75" s="225"/>
      <c r="I75" s="226"/>
    </row>
    <row r="76" spans="1:9" ht="18.75" customHeight="1" x14ac:dyDescent="0.15">
      <c r="A76" s="85"/>
      <c r="B76" s="224"/>
      <c r="C76" s="225"/>
      <c r="D76" s="225"/>
      <c r="E76" s="225"/>
      <c r="F76" s="225"/>
      <c r="G76" s="225"/>
      <c r="H76" s="225"/>
      <c r="I76" s="226"/>
    </row>
    <row r="77" spans="1:9" ht="18.75" customHeight="1" x14ac:dyDescent="0.15">
      <c r="A77" s="85"/>
      <c r="B77" s="227"/>
      <c r="C77" s="228"/>
      <c r="D77" s="228"/>
      <c r="E77" s="228"/>
      <c r="F77" s="228"/>
      <c r="G77" s="228"/>
      <c r="H77" s="228"/>
      <c r="I77" s="229"/>
    </row>
    <row r="78" spans="1:9" ht="7.5" customHeight="1" x14ac:dyDescent="0.15">
      <c r="A78" s="85"/>
      <c r="B78" s="85"/>
      <c r="C78" s="85"/>
      <c r="D78" s="85"/>
      <c r="E78" s="85"/>
      <c r="F78" s="85"/>
      <c r="G78" s="85"/>
      <c r="H78" s="85"/>
      <c r="I78" s="85"/>
    </row>
    <row r="79" spans="1:9" ht="18.75" customHeight="1" x14ac:dyDescent="0.15">
      <c r="A79" s="50" t="s">
        <v>11</v>
      </c>
      <c r="B79" s="50" t="s">
        <v>40</v>
      </c>
    </row>
    <row r="80" spans="1:9" ht="18.75" customHeight="1" x14ac:dyDescent="0.15">
      <c r="A80" s="50"/>
      <c r="B80" s="221" t="s">
        <v>169</v>
      </c>
      <c r="C80" s="222"/>
      <c r="D80" s="222"/>
      <c r="E80" s="222"/>
      <c r="F80" s="222"/>
      <c r="G80" s="222"/>
      <c r="H80" s="222"/>
      <c r="I80" s="230"/>
    </row>
    <row r="81" spans="1:9" ht="18.75" customHeight="1" x14ac:dyDescent="0.15">
      <c r="A81" s="50"/>
      <c r="B81" s="231"/>
      <c r="C81" s="232"/>
      <c r="D81" s="232"/>
      <c r="E81" s="232"/>
      <c r="F81" s="232"/>
      <c r="G81" s="232"/>
      <c r="H81" s="232"/>
      <c r="I81" s="233"/>
    </row>
    <row r="82" spans="1:9" ht="18.75" customHeight="1" x14ac:dyDescent="0.15">
      <c r="A82" s="50"/>
      <c r="B82" s="231"/>
      <c r="C82" s="232"/>
      <c r="D82" s="232"/>
      <c r="E82" s="232"/>
      <c r="F82" s="232"/>
      <c r="G82" s="232"/>
      <c r="H82" s="232"/>
      <c r="I82" s="233"/>
    </row>
    <row r="83" spans="1:9" ht="18.75" customHeight="1" x14ac:dyDescent="0.15">
      <c r="A83" s="50"/>
      <c r="B83" s="231"/>
      <c r="C83" s="232"/>
      <c r="D83" s="232"/>
      <c r="E83" s="232"/>
      <c r="F83" s="232"/>
      <c r="G83" s="232"/>
      <c r="H83" s="232"/>
      <c r="I83" s="233"/>
    </row>
    <row r="84" spans="1:9" ht="18.75" customHeight="1" x14ac:dyDescent="0.15">
      <c r="A84" s="50"/>
      <c r="B84" s="231"/>
      <c r="C84" s="232"/>
      <c r="D84" s="232"/>
      <c r="E84" s="232"/>
      <c r="F84" s="232"/>
      <c r="G84" s="232"/>
      <c r="H84" s="232"/>
      <c r="I84" s="233"/>
    </row>
    <row r="85" spans="1:9" ht="18.75" customHeight="1" x14ac:dyDescent="0.15">
      <c r="A85" s="50"/>
      <c r="B85" s="231"/>
      <c r="C85" s="232"/>
      <c r="D85" s="232"/>
      <c r="E85" s="232"/>
      <c r="F85" s="232"/>
      <c r="G85" s="232"/>
      <c r="H85" s="232"/>
      <c r="I85" s="233"/>
    </row>
    <row r="86" spans="1:9" ht="18.75" customHeight="1" x14ac:dyDescent="0.15">
      <c r="A86" s="50"/>
      <c r="B86" s="231"/>
      <c r="C86" s="232"/>
      <c r="D86" s="232"/>
      <c r="E86" s="232"/>
      <c r="F86" s="232"/>
      <c r="G86" s="232"/>
      <c r="H86" s="232"/>
      <c r="I86" s="233"/>
    </row>
    <row r="87" spans="1:9" ht="18.75" customHeight="1" x14ac:dyDescent="0.15">
      <c r="A87" s="50"/>
      <c r="B87" s="231"/>
      <c r="C87" s="232"/>
      <c r="D87" s="232"/>
      <c r="E87" s="232"/>
      <c r="F87" s="232"/>
      <c r="G87" s="232"/>
      <c r="H87" s="232"/>
      <c r="I87" s="233"/>
    </row>
    <row r="88" spans="1:9" ht="18.75" customHeight="1" x14ac:dyDescent="0.15">
      <c r="A88" s="50"/>
      <c r="B88" s="231"/>
      <c r="C88" s="232"/>
      <c r="D88" s="232"/>
      <c r="E88" s="232"/>
      <c r="F88" s="232"/>
      <c r="G88" s="232"/>
      <c r="H88" s="232"/>
      <c r="I88" s="233"/>
    </row>
    <row r="89" spans="1:9" ht="18.75" customHeight="1" x14ac:dyDescent="0.15">
      <c r="A89" s="50"/>
      <c r="B89" s="231"/>
      <c r="C89" s="232"/>
      <c r="D89" s="232"/>
      <c r="E89" s="232"/>
      <c r="F89" s="232"/>
      <c r="G89" s="232"/>
      <c r="H89" s="232"/>
      <c r="I89" s="233"/>
    </row>
    <row r="90" spans="1:9" ht="18.75" customHeight="1" x14ac:dyDescent="0.15">
      <c r="A90" s="85"/>
      <c r="B90" s="231"/>
      <c r="C90" s="232"/>
      <c r="D90" s="232"/>
      <c r="E90" s="232"/>
      <c r="F90" s="232"/>
      <c r="G90" s="232"/>
      <c r="H90" s="232"/>
      <c r="I90" s="233"/>
    </row>
    <row r="91" spans="1:9" ht="18.75" customHeight="1" x14ac:dyDescent="0.15">
      <c r="A91" s="85"/>
      <c r="B91" s="234"/>
      <c r="C91" s="235"/>
      <c r="D91" s="235"/>
      <c r="E91" s="235"/>
      <c r="F91" s="235"/>
      <c r="G91" s="235"/>
      <c r="H91" s="235"/>
      <c r="I91" s="236"/>
    </row>
    <row r="92" spans="1:9" ht="7.5" customHeight="1" x14ac:dyDescent="0.15">
      <c r="A92" s="85"/>
      <c r="B92" s="85"/>
      <c r="C92" s="85"/>
      <c r="D92" s="85"/>
      <c r="E92" s="85"/>
      <c r="F92" s="85"/>
      <c r="G92" s="85"/>
      <c r="H92" s="85"/>
      <c r="I92" s="85"/>
    </row>
    <row r="93" spans="1:9" ht="18.75" customHeight="1" x14ac:dyDescent="0.15">
      <c r="A93" s="50" t="s">
        <v>43</v>
      </c>
      <c r="B93" s="50" t="s">
        <v>13</v>
      </c>
    </row>
    <row r="94" spans="1:9" ht="18.75" customHeight="1" x14ac:dyDescent="0.15">
      <c r="A94" s="50"/>
      <c r="B94" s="202" t="s">
        <v>156</v>
      </c>
      <c r="C94" s="203"/>
      <c r="D94" s="203"/>
      <c r="E94" s="203"/>
      <c r="F94" s="203"/>
      <c r="G94" s="203"/>
      <c r="H94" s="203"/>
      <c r="I94" s="204"/>
    </row>
    <row r="95" spans="1:9" ht="18.75" customHeight="1" x14ac:dyDescent="0.15">
      <c r="A95" s="50"/>
      <c r="B95" s="208"/>
      <c r="C95" s="209"/>
      <c r="D95" s="209"/>
      <c r="E95" s="209"/>
      <c r="F95" s="209"/>
      <c r="G95" s="209"/>
      <c r="H95" s="209"/>
      <c r="I95" s="207"/>
    </row>
    <row r="96" spans="1:9" ht="18.75" customHeight="1" x14ac:dyDescent="0.15">
      <c r="A96" s="50"/>
      <c r="B96" s="208"/>
      <c r="C96" s="209"/>
      <c r="D96" s="209"/>
      <c r="E96" s="209"/>
      <c r="F96" s="209"/>
      <c r="G96" s="209"/>
      <c r="H96" s="209"/>
      <c r="I96" s="207"/>
    </row>
    <row r="97" spans="1:9" ht="18.75" customHeight="1" x14ac:dyDescent="0.15">
      <c r="A97" s="50"/>
      <c r="B97" s="208"/>
      <c r="C97" s="209"/>
      <c r="D97" s="209"/>
      <c r="E97" s="209"/>
      <c r="F97" s="209"/>
      <c r="G97" s="209"/>
      <c r="H97" s="209"/>
      <c r="I97" s="207"/>
    </row>
    <row r="98" spans="1:9" ht="18.75" customHeight="1" x14ac:dyDescent="0.15">
      <c r="A98" s="50"/>
      <c r="B98" s="208"/>
      <c r="C98" s="209"/>
      <c r="D98" s="209"/>
      <c r="E98" s="209"/>
      <c r="F98" s="209"/>
      <c r="G98" s="209"/>
      <c r="H98" s="209"/>
      <c r="I98" s="207"/>
    </row>
    <row r="99" spans="1:9" ht="18.75" customHeight="1" x14ac:dyDescent="0.15">
      <c r="A99" s="50"/>
      <c r="B99" s="208"/>
      <c r="C99" s="209"/>
      <c r="D99" s="209"/>
      <c r="E99" s="209"/>
      <c r="F99" s="209"/>
      <c r="G99" s="209"/>
      <c r="H99" s="209"/>
      <c r="I99" s="207"/>
    </row>
    <row r="100" spans="1:9" ht="18.75" customHeight="1" x14ac:dyDescent="0.15">
      <c r="A100" s="50"/>
      <c r="B100" s="208"/>
      <c r="C100" s="209"/>
      <c r="D100" s="209"/>
      <c r="E100" s="209"/>
      <c r="F100" s="209"/>
      <c r="G100" s="209"/>
      <c r="H100" s="209"/>
      <c r="I100" s="207"/>
    </row>
    <row r="101" spans="1:9" ht="18.75" customHeight="1" x14ac:dyDescent="0.15">
      <c r="A101" s="50"/>
      <c r="B101" s="208"/>
      <c r="C101" s="209"/>
      <c r="D101" s="209"/>
      <c r="E101" s="209"/>
      <c r="F101" s="209"/>
      <c r="G101" s="209"/>
      <c r="H101" s="209"/>
      <c r="I101" s="207"/>
    </row>
    <row r="102" spans="1:9" ht="18.75" customHeight="1" x14ac:dyDescent="0.15">
      <c r="A102" s="50"/>
      <c r="B102" s="208"/>
      <c r="C102" s="209"/>
      <c r="D102" s="209"/>
      <c r="E102" s="209"/>
      <c r="F102" s="209"/>
      <c r="G102" s="209"/>
      <c r="H102" s="209"/>
      <c r="I102" s="207"/>
    </row>
    <row r="103" spans="1:9" ht="18.75" customHeight="1" x14ac:dyDescent="0.15">
      <c r="A103" s="50"/>
      <c r="B103" s="208"/>
      <c r="C103" s="209"/>
      <c r="D103" s="209"/>
      <c r="E103" s="209"/>
      <c r="F103" s="209"/>
      <c r="G103" s="209"/>
      <c r="H103" s="209"/>
      <c r="I103" s="207"/>
    </row>
    <row r="104" spans="1:9" ht="18.75" customHeight="1" x14ac:dyDescent="0.15">
      <c r="A104" s="50"/>
      <c r="B104" s="208"/>
      <c r="C104" s="209"/>
      <c r="D104" s="209"/>
      <c r="E104" s="209"/>
      <c r="F104" s="209"/>
      <c r="G104" s="209"/>
      <c r="H104" s="209"/>
      <c r="I104" s="207"/>
    </row>
    <row r="105" spans="1:9" ht="18.75" customHeight="1" x14ac:dyDescent="0.15">
      <c r="A105" s="85"/>
      <c r="B105" s="210"/>
      <c r="C105" s="211"/>
      <c r="D105" s="211"/>
      <c r="E105" s="211"/>
      <c r="F105" s="211"/>
      <c r="G105" s="211"/>
      <c r="H105" s="211"/>
      <c r="I105" s="212"/>
    </row>
    <row r="106" spans="1:9" ht="7.5" customHeight="1" x14ac:dyDescent="0.15">
      <c r="A106" s="85"/>
      <c r="B106" s="85"/>
      <c r="C106" s="85"/>
      <c r="D106" s="85"/>
      <c r="E106" s="85"/>
      <c r="F106" s="85"/>
      <c r="G106" s="85"/>
      <c r="H106" s="85"/>
      <c r="I106" s="85"/>
    </row>
    <row r="107" spans="1:9" ht="18.75" customHeight="1" x14ac:dyDescent="0.15">
      <c r="A107" s="50" t="s">
        <v>30</v>
      </c>
      <c r="B107" s="216" t="s">
        <v>45</v>
      </c>
      <c r="C107" s="216"/>
      <c r="D107" s="216"/>
      <c r="E107" s="216"/>
      <c r="F107" s="216"/>
      <c r="G107" s="216"/>
      <c r="H107" s="216"/>
      <c r="I107" s="216"/>
    </row>
    <row r="108" spans="1:9" ht="18.75" customHeight="1" x14ac:dyDescent="0.15">
      <c r="A108" s="85"/>
      <c r="B108" s="202" t="s">
        <v>154</v>
      </c>
      <c r="C108" s="203"/>
      <c r="D108" s="203"/>
      <c r="E108" s="203"/>
      <c r="F108" s="203"/>
      <c r="G108" s="203"/>
      <c r="H108" s="203"/>
      <c r="I108" s="204"/>
    </row>
    <row r="109" spans="1:9" ht="18.75" customHeight="1" x14ac:dyDescent="0.15">
      <c r="A109" s="85"/>
      <c r="B109" s="208"/>
      <c r="C109" s="209"/>
      <c r="D109" s="209"/>
      <c r="E109" s="209"/>
      <c r="F109" s="209"/>
      <c r="G109" s="209"/>
      <c r="H109" s="209"/>
      <c r="I109" s="207"/>
    </row>
    <row r="110" spans="1:9" ht="18.75" customHeight="1" x14ac:dyDescent="0.15">
      <c r="A110" s="85"/>
      <c r="B110" s="208"/>
      <c r="C110" s="209"/>
      <c r="D110" s="209"/>
      <c r="E110" s="209"/>
      <c r="F110" s="209"/>
      <c r="G110" s="209"/>
      <c r="H110" s="209"/>
      <c r="I110" s="207"/>
    </row>
    <row r="111" spans="1:9" ht="18.75" customHeight="1" x14ac:dyDescent="0.15">
      <c r="A111" s="85"/>
      <c r="B111" s="208"/>
      <c r="C111" s="209"/>
      <c r="D111" s="209"/>
      <c r="E111" s="209"/>
      <c r="F111" s="209"/>
      <c r="G111" s="209"/>
      <c r="H111" s="209"/>
      <c r="I111" s="207"/>
    </row>
    <row r="112" spans="1:9" ht="18.75" customHeight="1" x14ac:dyDescent="0.15">
      <c r="A112" s="85"/>
      <c r="B112" s="208"/>
      <c r="C112" s="209"/>
      <c r="D112" s="209"/>
      <c r="E112" s="209"/>
      <c r="F112" s="209"/>
      <c r="G112" s="209"/>
      <c r="H112" s="209"/>
      <c r="I112" s="207"/>
    </row>
    <row r="113" spans="1:9" ht="18.75" customHeight="1" x14ac:dyDescent="0.15">
      <c r="A113" s="85"/>
      <c r="B113" s="208"/>
      <c r="C113" s="209"/>
      <c r="D113" s="209"/>
      <c r="E113" s="209"/>
      <c r="F113" s="209"/>
      <c r="G113" s="209"/>
      <c r="H113" s="209"/>
      <c r="I113" s="207"/>
    </row>
    <row r="114" spans="1:9" ht="18.75" customHeight="1" x14ac:dyDescent="0.15">
      <c r="A114" s="85"/>
      <c r="B114" s="208"/>
      <c r="C114" s="209"/>
      <c r="D114" s="209"/>
      <c r="E114" s="209"/>
      <c r="F114" s="209"/>
      <c r="G114" s="209"/>
      <c r="H114" s="209"/>
      <c r="I114" s="207"/>
    </row>
    <row r="115" spans="1:9" ht="18.75" customHeight="1" x14ac:dyDescent="0.15">
      <c r="A115" s="85"/>
      <c r="B115" s="208"/>
      <c r="C115" s="209"/>
      <c r="D115" s="209"/>
      <c r="E115" s="209"/>
      <c r="F115" s="209"/>
      <c r="G115" s="209"/>
      <c r="H115" s="209"/>
      <c r="I115" s="207"/>
    </row>
    <row r="116" spans="1:9" ht="18.75" customHeight="1" x14ac:dyDescent="0.15">
      <c r="A116" s="85"/>
      <c r="B116" s="208"/>
      <c r="C116" s="209"/>
      <c r="D116" s="209"/>
      <c r="E116" s="209"/>
      <c r="F116" s="209"/>
      <c r="G116" s="209"/>
      <c r="H116" s="209"/>
      <c r="I116" s="207"/>
    </row>
    <row r="117" spans="1:9" ht="18.75" customHeight="1" x14ac:dyDescent="0.15">
      <c r="A117" s="85"/>
      <c r="B117" s="208"/>
      <c r="C117" s="209"/>
      <c r="D117" s="209"/>
      <c r="E117" s="209"/>
      <c r="F117" s="209"/>
      <c r="G117" s="209"/>
      <c r="H117" s="209"/>
      <c r="I117" s="207"/>
    </row>
    <row r="118" spans="1:9" ht="18.75" customHeight="1" x14ac:dyDescent="0.15">
      <c r="A118" s="85"/>
      <c r="B118" s="208"/>
      <c r="C118" s="209"/>
      <c r="D118" s="209"/>
      <c r="E118" s="209"/>
      <c r="F118" s="209"/>
      <c r="G118" s="209"/>
      <c r="H118" s="209"/>
      <c r="I118" s="207"/>
    </row>
    <row r="119" spans="1:9" ht="18.75" customHeight="1" x14ac:dyDescent="0.15">
      <c r="A119" s="85"/>
      <c r="B119" s="210"/>
      <c r="C119" s="211"/>
      <c r="D119" s="211"/>
      <c r="E119" s="211"/>
      <c r="F119" s="211"/>
      <c r="G119" s="211"/>
      <c r="H119" s="211"/>
      <c r="I119" s="212"/>
    </row>
    <row r="120" spans="1:9" ht="7.5" customHeight="1" x14ac:dyDescent="0.15">
      <c r="A120" s="85"/>
      <c r="B120" s="90"/>
      <c r="C120" s="90"/>
      <c r="D120" s="90"/>
      <c r="E120" s="90"/>
      <c r="F120" s="90"/>
      <c r="G120" s="90"/>
      <c r="H120" s="90"/>
      <c r="I120" s="90"/>
    </row>
    <row r="121" spans="1:9" ht="18.75" customHeight="1" x14ac:dyDescent="0.15">
      <c r="A121" s="50"/>
      <c r="B121" s="198"/>
      <c r="C121" s="198"/>
      <c r="D121" s="198"/>
      <c r="E121" s="198"/>
      <c r="F121" s="198"/>
      <c r="G121" s="198"/>
      <c r="H121" s="198"/>
      <c r="I121" s="198"/>
    </row>
    <row r="122" spans="1:9" ht="18.75" customHeight="1" x14ac:dyDescent="0.15">
      <c r="A122" s="50"/>
      <c r="B122" s="198"/>
      <c r="C122" s="198"/>
      <c r="D122" s="198"/>
      <c r="E122" s="198"/>
      <c r="F122" s="198"/>
      <c r="G122" s="198"/>
      <c r="H122" s="198"/>
      <c r="I122" s="198"/>
    </row>
    <row r="123" spans="1:9" ht="18.75" customHeight="1" x14ac:dyDescent="0.15">
      <c r="A123" s="85"/>
      <c r="B123" s="91"/>
      <c r="C123" s="91"/>
      <c r="D123" s="91"/>
      <c r="E123" s="91"/>
      <c r="F123" s="91"/>
      <c r="G123" s="91"/>
      <c r="H123" s="91"/>
      <c r="I123" s="92"/>
    </row>
    <row r="124" spans="1:9" ht="18.75" customHeight="1" x14ac:dyDescent="0.15">
      <c r="A124" s="85"/>
      <c r="B124" s="92"/>
      <c r="C124" s="92"/>
      <c r="D124" s="92"/>
      <c r="E124" s="92"/>
      <c r="F124" s="92"/>
      <c r="G124" s="92"/>
      <c r="H124" s="92"/>
      <c r="I124" s="92"/>
    </row>
    <row r="125" spans="1:9" ht="18.75" customHeight="1" x14ac:dyDescent="0.15">
      <c r="A125" s="85"/>
      <c r="B125" s="92"/>
      <c r="C125" s="92"/>
      <c r="D125" s="92"/>
      <c r="E125" s="92"/>
      <c r="F125" s="92"/>
      <c r="G125" s="92"/>
      <c r="H125" s="92"/>
      <c r="I125" s="92"/>
    </row>
    <row r="126" spans="1:9" ht="18.75" customHeight="1" x14ac:dyDescent="0.15">
      <c r="A126" s="85"/>
      <c r="B126" s="92"/>
      <c r="C126" s="92"/>
      <c r="D126" s="92"/>
      <c r="E126" s="92"/>
      <c r="F126" s="92"/>
      <c r="G126" s="92"/>
      <c r="H126" s="92"/>
      <c r="I126" s="92"/>
    </row>
    <row r="127" spans="1:9" ht="18.75" customHeight="1" x14ac:dyDescent="0.15">
      <c r="A127" s="85"/>
      <c r="B127" s="92"/>
      <c r="C127" s="92"/>
      <c r="D127" s="92"/>
      <c r="E127" s="92"/>
      <c r="F127" s="92"/>
      <c r="G127" s="92"/>
      <c r="H127" s="92"/>
      <c r="I127" s="92"/>
    </row>
    <row r="128" spans="1:9" ht="18.75" customHeight="1" x14ac:dyDescent="0.15">
      <c r="A128" s="85"/>
      <c r="B128" s="92"/>
      <c r="C128" s="92"/>
      <c r="D128" s="92"/>
      <c r="E128" s="92"/>
      <c r="F128" s="92"/>
      <c r="G128" s="92"/>
      <c r="H128" s="92"/>
      <c r="I128" s="92"/>
    </row>
    <row r="129" spans="1:9" ht="18.75" customHeight="1" x14ac:dyDescent="0.15">
      <c r="A129" s="85"/>
      <c r="B129" s="92"/>
      <c r="C129" s="92"/>
      <c r="D129" s="92"/>
      <c r="E129" s="92"/>
      <c r="F129" s="92"/>
      <c r="G129" s="92"/>
      <c r="H129" s="92"/>
      <c r="I129" s="92"/>
    </row>
    <row r="130" spans="1:9" ht="18.75" customHeight="1" x14ac:dyDescent="0.15">
      <c r="A130" s="85"/>
      <c r="B130" s="92"/>
      <c r="C130" s="92"/>
      <c r="D130" s="92"/>
      <c r="E130" s="92"/>
      <c r="F130" s="92"/>
      <c r="G130" s="92"/>
      <c r="H130" s="92"/>
      <c r="I130" s="92"/>
    </row>
    <row r="131" spans="1:9" ht="18.75" customHeight="1" x14ac:dyDescent="0.15">
      <c r="A131" s="85"/>
      <c r="B131" s="92"/>
      <c r="C131" s="92"/>
      <c r="D131" s="92"/>
      <c r="E131" s="92"/>
      <c r="F131" s="92"/>
      <c r="G131" s="92"/>
      <c r="H131" s="92"/>
      <c r="I131" s="92"/>
    </row>
    <row r="132" spans="1:9" ht="18.75" customHeight="1" x14ac:dyDescent="0.15">
      <c r="A132" s="85"/>
      <c r="B132" s="92"/>
      <c r="C132" s="92"/>
      <c r="D132" s="92"/>
      <c r="E132" s="92"/>
      <c r="F132" s="92"/>
      <c r="G132" s="92"/>
      <c r="H132" s="92"/>
      <c r="I132" s="92"/>
    </row>
    <row r="133" spans="1:9" ht="14.25" x14ac:dyDescent="0.15">
      <c r="A133" s="85"/>
      <c r="B133" s="92"/>
      <c r="C133" s="92"/>
      <c r="D133" s="92"/>
      <c r="E133" s="92"/>
      <c r="F133" s="92"/>
      <c r="G133" s="92"/>
      <c r="H133" s="92"/>
      <c r="I133" s="92"/>
    </row>
    <row r="134" spans="1:9" ht="7.5" customHeight="1" x14ac:dyDescent="0.15">
      <c r="A134" s="85"/>
      <c r="B134" s="92"/>
      <c r="C134" s="92"/>
      <c r="D134" s="92"/>
      <c r="E134" s="92"/>
      <c r="F134" s="92"/>
      <c r="G134" s="92"/>
      <c r="H134" s="92"/>
      <c r="I134" s="92"/>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Normal="100" zoomScaleSheetLayoutView="100" workbookViewId="0">
      <selection activeCell="B1" sqref="B1"/>
    </sheetView>
  </sheetViews>
  <sheetFormatPr defaultColWidth="11.375" defaultRowHeight="22.5" customHeight="1" x14ac:dyDescent="0.15"/>
  <cols>
    <col min="1" max="3" width="2.75" style="50" customWidth="1"/>
    <col min="4" max="4" width="22.25" style="50" customWidth="1"/>
    <col min="5" max="5" width="30.75" style="50" customWidth="1"/>
    <col min="6" max="7" width="7.75" style="50" customWidth="1"/>
    <col min="8" max="9" width="30.75" style="50" customWidth="1"/>
    <col min="10" max="10" width="4.125" style="1" customWidth="1"/>
    <col min="11" max="16384" width="11.375" style="1"/>
  </cols>
  <sheetData>
    <row r="1" spans="1:9" ht="18.75" customHeight="1" x14ac:dyDescent="0.15">
      <c r="A1" s="50" t="s">
        <v>68</v>
      </c>
      <c r="I1" s="79" t="s">
        <v>96</v>
      </c>
    </row>
    <row r="2" spans="1:9" ht="18.75" customHeight="1" x14ac:dyDescent="0.15">
      <c r="H2" s="79" t="s">
        <v>99</v>
      </c>
      <c r="I2" s="80" t="str">
        <f>'様式１　プログラムを構成する授業科目'!C2</f>
        <v>秋田栄養短期大学</v>
      </c>
    </row>
    <row r="3" spans="1:9" ht="18.75" customHeight="1" x14ac:dyDescent="0.15">
      <c r="A3" s="132" t="s">
        <v>28</v>
      </c>
      <c r="B3" s="132"/>
      <c r="C3" s="132"/>
      <c r="D3" s="132"/>
      <c r="E3" s="132"/>
      <c r="F3" s="132"/>
      <c r="G3" s="132"/>
      <c r="H3" s="132"/>
      <c r="I3" s="132"/>
    </row>
    <row r="4" spans="1:9" ht="18.75" customHeight="1" x14ac:dyDescent="0.15">
      <c r="A4" s="77"/>
      <c r="B4" s="77"/>
      <c r="C4" s="77"/>
      <c r="D4" s="77"/>
      <c r="E4" s="77"/>
      <c r="F4" s="77"/>
      <c r="G4" s="77"/>
      <c r="H4" s="77"/>
      <c r="I4" s="77"/>
    </row>
    <row r="5" spans="1:9" ht="18.75" customHeight="1" x14ac:dyDescent="0.15">
      <c r="A5" s="50" t="s">
        <v>0</v>
      </c>
      <c r="B5" s="57" t="s">
        <v>90</v>
      </c>
      <c r="C5" s="77"/>
      <c r="D5" s="77"/>
      <c r="E5" s="77"/>
      <c r="F5" s="77"/>
      <c r="G5" s="77"/>
      <c r="H5" s="77"/>
      <c r="I5" s="77"/>
    </row>
    <row r="6" spans="1:9" ht="26.25" customHeight="1" x14ac:dyDescent="0.15">
      <c r="A6" s="77"/>
      <c r="B6" s="199" t="s">
        <v>163</v>
      </c>
      <c r="C6" s="257"/>
      <c r="D6" s="257"/>
      <c r="E6" s="257"/>
      <c r="F6" s="257"/>
      <c r="G6" s="257"/>
      <c r="H6" s="258"/>
      <c r="I6" s="55"/>
    </row>
    <row r="7" spans="1:9" ht="9" customHeight="1" x14ac:dyDescent="0.15">
      <c r="A7" s="77"/>
      <c r="B7" s="57"/>
      <c r="C7" s="57"/>
      <c r="D7" s="57"/>
      <c r="E7" s="57"/>
      <c r="F7" s="57"/>
      <c r="G7" s="57"/>
      <c r="H7" s="57"/>
      <c r="I7" s="55"/>
    </row>
    <row r="8" spans="1:9" ht="18.75" customHeight="1" x14ac:dyDescent="0.15">
      <c r="A8" s="77"/>
      <c r="B8" s="55"/>
      <c r="C8" s="55"/>
      <c r="D8" s="79" t="s">
        <v>42</v>
      </c>
      <c r="E8" s="93" t="s">
        <v>161</v>
      </c>
      <c r="F8" s="55"/>
      <c r="G8" s="79" t="s">
        <v>10</v>
      </c>
      <c r="H8" s="93" t="s">
        <v>162</v>
      </c>
      <c r="I8" s="55"/>
    </row>
    <row r="9" spans="1:9" ht="7.5" customHeight="1" x14ac:dyDescent="0.15">
      <c r="A9" s="77"/>
      <c r="B9" s="77"/>
      <c r="C9" s="77"/>
      <c r="D9" s="77"/>
      <c r="E9" s="77"/>
      <c r="F9" s="77"/>
      <c r="G9" s="77"/>
      <c r="H9" s="77"/>
      <c r="I9" s="77"/>
    </row>
    <row r="10" spans="1:9" ht="18.75" customHeight="1" x14ac:dyDescent="0.15">
      <c r="A10" s="50" t="s">
        <v>3</v>
      </c>
      <c r="B10" s="50" t="s">
        <v>27</v>
      </c>
      <c r="C10" s="85"/>
      <c r="D10" s="85"/>
      <c r="E10" s="85"/>
      <c r="F10" s="85"/>
      <c r="G10" s="85"/>
      <c r="H10" s="85"/>
      <c r="I10" s="85"/>
    </row>
    <row r="11" spans="1:9" ht="18.75" customHeight="1" x14ac:dyDescent="0.15">
      <c r="B11" s="152" t="s">
        <v>24</v>
      </c>
      <c r="C11" s="153"/>
      <c r="D11" s="154"/>
      <c r="E11" s="153" t="s">
        <v>26</v>
      </c>
      <c r="F11" s="153"/>
      <c r="G11" s="153"/>
      <c r="H11" s="153"/>
      <c r="I11" s="154"/>
    </row>
    <row r="12" spans="1:9" ht="26.25" customHeight="1" x14ac:dyDescent="0.15">
      <c r="B12" s="94" t="s">
        <v>14</v>
      </c>
      <c r="C12" s="95"/>
      <c r="D12" s="96"/>
      <c r="E12" s="97"/>
      <c r="F12" s="97"/>
      <c r="G12" s="97"/>
      <c r="H12" s="97"/>
      <c r="I12" s="96"/>
    </row>
    <row r="13" spans="1:9" ht="210.75" customHeight="1" x14ac:dyDescent="0.15">
      <c r="B13" s="98"/>
      <c r="C13" s="252" t="s">
        <v>15</v>
      </c>
      <c r="D13" s="253"/>
      <c r="E13" s="254" t="s">
        <v>170</v>
      </c>
      <c r="F13" s="255"/>
      <c r="G13" s="255"/>
      <c r="H13" s="255"/>
      <c r="I13" s="256"/>
    </row>
    <row r="14" spans="1:9" ht="210.75" customHeight="1" x14ac:dyDescent="0.15">
      <c r="B14" s="98"/>
      <c r="C14" s="247" t="s">
        <v>16</v>
      </c>
      <c r="D14" s="248"/>
      <c r="E14" s="249" t="s">
        <v>171</v>
      </c>
      <c r="F14" s="250"/>
      <c r="G14" s="250"/>
      <c r="H14" s="250"/>
      <c r="I14" s="251"/>
    </row>
    <row r="15" spans="1:9" ht="210.75" customHeight="1" x14ac:dyDescent="0.15">
      <c r="B15" s="98"/>
      <c r="C15" s="252" t="s">
        <v>17</v>
      </c>
      <c r="D15" s="253"/>
      <c r="E15" s="254" t="s">
        <v>157</v>
      </c>
      <c r="F15" s="255"/>
      <c r="G15" s="255"/>
      <c r="H15" s="255"/>
      <c r="I15" s="256"/>
    </row>
    <row r="16" spans="1:9" ht="210.75" customHeight="1" x14ac:dyDescent="0.15">
      <c r="B16" s="98"/>
      <c r="C16" s="252" t="s">
        <v>18</v>
      </c>
      <c r="D16" s="253"/>
      <c r="E16" s="254" t="s">
        <v>158</v>
      </c>
      <c r="F16" s="255"/>
      <c r="G16" s="255"/>
      <c r="H16" s="255"/>
      <c r="I16" s="256"/>
    </row>
    <row r="17" spans="2:9" ht="210.75" customHeight="1" x14ac:dyDescent="0.15">
      <c r="B17" s="99"/>
      <c r="C17" s="259" t="s">
        <v>19</v>
      </c>
      <c r="D17" s="260"/>
      <c r="E17" s="261" t="s">
        <v>172</v>
      </c>
      <c r="F17" s="262"/>
      <c r="G17" s="262"/>
      <c r="H17" s="262"/>
      <c r="I17" s="263"/>
    </row>
    <row r="18" spans="2:9" ht="24" customHeight="1" x14ac:dyDescent="0.15">
      <c r="B18" s="94" t="s">
        <v>20</v>
      </c>
      <c r="C18" s="100"/>
      <c r="D18" s="101"/>
      <c r="E18" s="102"/>
      <c r="F18" s="102"/>
      <c r="G18" s="102"/>
      <c r="H18" s="102"/>
      <c r="I18" s="103"/>
    </row>
    <row r="19" spans="2:9" ht="218.25" customHeight="1" x14ac:dyDescent="0.15">
      <c r="B19" s="98"/>
      <c r="C19" s="252" t="s">
        <v>21</v>
      </c>
      <c r="D19" s="253"/>
      <c r="E19" s="255" t="s">
        <v>173</v>
      </c>
      <c r="F19" s="255"/>
      <c r="G19" s="255"/>
      <c r="H19" s="255"/>
      <c r="I19" s="256"/>
    </row>
    <row r="20" spans="2:9" ht="218.25" customHeight="1" x14ac:dyDescent="0.15">
      <c r="B20" s="99"/>
      <c r="C20" s="259" t="s">
        <v>22</v>
      </c>
      <c r="D20" s="260"/>
      <c r="E20" s="262" t="s">
        <v>176</v>
      </c>
      <c r="F20" s="262"/>
      <c r="G20" s="262"/>
      <c r="H20" s="262"/>
      <c r="I20" s="263"/>
    </row>
    <row r="21" spans="2:9" ht="218.25" customHeight="1" x14ac:dyDescent="0.15">
      <c r="B21" s="269" t="s">
        <v>23</v>
      </c>
      <c r="C21" s="270"/>
      <c r="D21" s="271"/>
      <c r="E21" s="272" t="s">
        <v>174</v>
      </c>
      <c r="F21" s="272"/>
      <c r="G21" s="272"/>
      <c r="H21" s="272"/>
      <c r="I21" s="273"/>
    </row>
    <row r="22" spans="2:9" ht="218.25" customHeight="1" x14ac:dyDescent="0.15">
      <c r="B22" s="264" t="s">
        <v>134</v>
      </c>
      <c r="C22" s="265"/>
      <c r="D22" s="266"/>
      <c r="E22" s="267" t="s">
        <v>175</v>
      </c>
      <c r="F22" s="267"/>
      <c r="G22" s="267"/>
      <c r="H22" s="267"/>
      <c r="I22" s="268"/>
    </row>
    <row r="23" spans="2:9" ht="22.5" customHeight="1" x14ac:dyDescent="0.15">
      <c r="B23" s="85"/>
      <c r="C23" s="85"/>
      <c r="D23" s="85"/>
      <c r="E23" s="85"/>
      <c r="F23" s="85"/>
      <c r="G23" s="85"/>
      <c r="H23" s="85"/>
      <c r="I23" s="85"/>
    </row>
    <row r="24" spans="2:9" ht="22.5" customHeight="1" x14ac:dyDescent="0.15">
      <c r="B24" s="85"/>
      <c r="C24" s="85"/>
      <c r="D24" s="85"/>
      <c r="E24" s="85"/>
      <c r="F24" s="85"/>
      <c r="G24" s="85"/>
      <c r="H24" s="85"/>
      <c r="I24" s="85"/>
    </row>
    <row r="25" spans="2:9" ht="22.5" customHeight="1" x14ac:dyDescent="0.15">
      <c r="B25" s="85"/>
      <c r="C25" s="85"/>
      <c r="D25" s="85"/>
      <c r="E25" s="85"/>
      <c r="F25" s="85"/>
      <c r="G25" s="85"/>
      <c r="H25" s="85"/>
      <c r="I25" s="85"/>
    </row>
    <row r="26" spans="2:9" ht="22.5" customHeight="1" x14ac:dyDescent="0.15">
      <c r="B26" s="85"/>
      <c r="C26" s="85"/>
      <c r="D26" s="85"/>
      <c r="E26" s="85"/>
      <c r="F26" s="85"/>
      <c r="G26" s="85"/>
      <c r="H26" s="85"/>
      <c r="I26" s="85"/>
    </row>
    <row r="27" spans="2:9" ht="22.5" customHeight="1" x14ac:dyDescent="0.15">
      <c r="B27" s="85"/>
      <c r="C27" s="85"/>
      <c r="D27" s="85"/>
      <c r="E27" s="85"/>
      <c r="F27" s="85"/>
      <c r="G27" s="85"/>
      <c r="H27" s="85"/>
      <c r="I27" s="85"/>
    </row>
    <row r="28" spans="2:9" ht="22.5" customHeight="1" x14ac:dyDescent="0.15">
      <c r="B28" s="84"/>
      <c r="C28" s="84"/>
      <c r="D28" s="84"/>
      <c r="E28" s="84"/>
      <c r="F28" s="84"/>
      <c r="G28" s="84"/>
      <c r="H28" s="84"/>
      <c r="I28" s="84"/>
    </row>
    <row r="29" spans="2:9" ht="22.5" customHeight="1" x14ac:dyDescent="0.15">
      <c r="B29" s="84"/>
      <c r="C29" s="84"/>
      <c r="D29" s="84"/>
      <c r="E29" s="84"/>
      <c r="F29" s="84"/>
      <c r="G29" s="84"/>
      <c r="H29" s="84"/>
      <c r="I29" s="84"/>
    </row>
    <row r="30" spans="2:9" ht="22.5" customHeight="1" x14ac:dyDescent="0.15">
      <c r="B30" s="84"/>
      <c r="C30" s="84"/>
      <c r="D30" s="84"/>
      <c r="E30" s="84"/>
      <c r="F30" s="84"/>
      <c r="G30" s="84"/>
      <c r="H30" s="84"/>
      <c r="I30" s="8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jimu999</cp:lastModifiedBy>
  <cp:lastPrinted>2024-05-08T10:05:19Z</cp:lastPrinted>
  <dcterms:created xsi:type="dcterms:W3CDTF">2011-06-14T05:32:50Z</dcterms:created>
  <dcterms:modified xsi:type="dcterms:W3CDTF">2024-05-11T02:30:16Z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