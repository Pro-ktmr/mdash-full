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172.17.10.86\group\ps-教務\全学共通教育部関係\全学共通教養(ローカル資料）\2024(R6)　全共教ローカル\数理データサイエンス申請書類\0612再申請\神戸女子大学\01_神戸女子大学_リテラシー\"/>
    </mc:Choice>
  </mc:AlternateContent>
  <bookViews>
    <workbookView xWindow="0" yWindow="0" windowWidth="19200" windowHeight="6345" tabRatio="885" activeTab="1"/>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自己点検・評価'!$A$1:$I$17</definedName>
    <definedName name="_xlnm.Print_Titles" localSheetId="3">'様式４　自己点検・評価'!$6:$6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M7" i="40" l="1"/>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<sst xmlns="http://schemas.openxmlformats.org/spreadsheetml/2006/main" count="277" uniqueCount="184">
  <si>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</si>
  <si>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</si>
  <si>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</si>
  <si>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</si>
  <si>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</si>
  <si>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</si>
  <si>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</si>
  <si>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</si>
  <si>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</si>
  <si>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</si>
  <si>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</si>
  <si>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</si>
  <si>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</si>
  <si>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</si>
  <si>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</si>
  <si>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</si>
  <si>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</si>
  <si>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</si>
  <si>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</si>
  <si>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</si>
  <si>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</si>
  <si>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</si>
  <si>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</si>
  <si>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</si>
  <si>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</si>
  <si>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</si>
  <si>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</si>
  <si>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</si>
  <si>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</si>
  <si>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</si>
  <si>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</si>
  <si>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</si>
  <si>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</si>
  <si>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</si>
  <si>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</si>
  <si>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</si>
  <si>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</si>
  <si>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</si>
  <si>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</si>
  <si>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</si>
  <si>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</si>
  <si>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</si>
  <si>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</si>
  <si>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</si>
  <si>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</si>
  <si>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</si>
  <si>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</si>
  <si>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</si>
  <si>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</si>
  <si>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</si>
  <si>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</si>
  <si>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</si>
  <si>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</si>
  <si>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</si>
  <si>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</si>
  <si>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</si>
  <si>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</si>
  <si>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</si>
  <si>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</si>
  <si>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</si>
  <si>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</si>
  <si>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</si>
  <si>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</si>
  <si>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</si>
  <si>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</si>
  <si>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</si>
  <si>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</si>
  <si>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</si>
  <si>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</si>
  <si>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</si>
  <si>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</si>
  <si>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</si>
  <si>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</si>
  <si>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</si>
  <si>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</si>
  <si>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</si>
  <si>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</si>
  <si>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</si>
  <si>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</si>
  <si>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</si>
  <si>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</si>
  <si>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</si>
  <si>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</si>
  <si>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</si>
  <si>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</si>
  <si>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</si>
  <si>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</si>
  <si>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</si>
  <si>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</si>
  <si>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</si>
  <si>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</si>
  <si>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</si>
  <si>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</si>
  <si>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</si>
  <si>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</si>
  <si>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</si>
  <si>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</si>
  <si>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</si>
  <si>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</si>
  <si>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</si>
  <si>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</si>
  <si>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</si>
  <si>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</si>
  <si>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</si>
  <si>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</si>
  <si>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</si>
  <si>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</si>
  <si>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</si>
  <si>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</si>
  <si>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</si>
  <si>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</si>
  <si>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</si>
  <si>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</si>
  <si>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</si>
  <si>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</si>
  <si>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</si>
  <si>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</si>
  <si>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</si>
  <si>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</si>
  <si>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</si>
  <si>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</si>
  <si>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</si>
  <si>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</si>
  <si>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</si>
  <si>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</si>
  <si>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</si>
  <si>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</si>
  <si>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</si>
  <si>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</si>
  <si>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神戸女子大学</t>
    <rPh sb="0" eb="6">
      <t>コウベジョシダイガク</t>
    </rPh>
    <phoneticPr fontId="1"/>
  </si>
  <si>
    <t>学部・学科によって、修了要件は相違しない</t>
  </si>
  <si>
    <t>○</t>
  </si>
  <si>
    <t>情報B</t>
    <rPh sb="0" eb="2">
      <t>ジョウホウ</t>
    </rPh>
    <phoneticPr fontId="1"/>
  </si>
  <si>
    <t>情報A</t>
    <rPh sb="0" eb="2">
      <t>ジョウホウ</t>
    </rPh>
    <phoneticPr fontId="1"/>
  </si>
  <si>
    <t>1．基本的な文書処理やデータ処理ができる能力、2．インターネットを適切に利用できる能力、3.AI・データサイエンスの必要性を説明できる能力、4.社会で活用されているデータ・AI活用の事例を例示できる能力、5.データの活用方法について説明できる能力、6.データ・AIを扱う上での留意事項を説明できる能力。</t>
    <phoneticPr fontId="1"/>
  </si>
  <si>
    <t>稲垣　善茂</t>
    <rPh sb="0" eb="2">
      <t>イナガキ</t>
    </rPh>
    <rPh sb="3" eb="4">
      <t>ゼン</t>
    </rPh>
    <rPh sb="4" eb="5">
      <t>シゲ</t>
    </rPh>
    <phoneticPr fontId="1"/>
  </si>
  <si>
    <t>全学共通教育部長</t>
    <rPh sb="0" eb="2">
      <t>ゼンガク</t>
    </rPh>
    <rPh sb="2" eb="4">
      <t>キョウツウ</t>
    </rPh>
    <rPh sb="4" eb="6">
      <t>キョウイク</t>
    </rPh>
    <rPh sb="6" eb="8">
      <t>ブチョウ</t>
    </rPh>
    <phoneticPr fontId="1"/>
  </si>
  <si>
    <t>稲垣　善茂</t>
    <rPh sb="0" eb="2">
      <t>イナガキ</t>
    </rPh>
    <rPh sb="3" eb="4">
      <t>ゼン</t>
    </rPh>
    <rPh sb="4" eb="5">
      <t>シゲル</t>
    </rPh>
    <phoneticPr fontId="1"/>
  </si>
  <si>
    <t>導入している学修支援システムやe-Learningシステムにより、動画教材の視聴状況やプログラムの各内容に関する理解度を小テストを実施することで把握することが可能である。動画教材の視聴状況に関しては、e-Learningシステムの機能で１つ１つの動画視聴の視聴時期や視聴時間を詳細に把握し、データ分析に活用することで履修状況を把握することができる。また、理解度に関しては、学修支援システムの機能で、小テストに取り組んだ時期、回数、点数の推移、問題の正否等のデータを取得することが可能であり、これらのデータをもとに各内容の修得状況を把握することができる。</t>
    <rPh sb="0" eb="2">
      <t>ドウニュウ</t>
    </rPh>
    <rPh sb="6" eb="8">
      <t>ガクシュウ</t>
    </rPh>
    <rPh sb="8" eb="10">
      <t>シエン</t>
    </rPh>
    <rPh sb="33" eb="37">
      <t>ドウガキョウザイ</t>
    </rPh>
    <rPh sb="38" eb="42">
      <t>シチョウジョウキョウ</t>
    </rPh>
    <rPh sb="49" eb="52">
      <t>カクナイヨウ</t>
    </rPh>
    <rPh sb="53" eb="54">
      <t>カン</t>
    </rPh>
    <rPh sb="56" eb="59">
      <t>リカイド</t>
    </rPh>
    <rPh sb="60" eb="61">
      <t>ショウ</t>
    </rPh>
    <rPh sb="65" eb="67">
      <t>ジッシ</t>
    </rPh>
    <rPh sb="72" eb="74">
      <t>ハアク</t>
    </rPh>
    <rPh sb="79" eb="81">
      <t>カノウ</t>
    </rPh>
    <rPh sb="85" eb="89">
      <t>ドウガキョウザイ</t>
    </rPh>
    <rPh sb="90" eb="94">
      <t>シチョウジョウキョウ</t>
    </rPh>
    <rPh sb="95" eb="96">
      <t>カン</t>
    </rPh>
    <rPh sb="115" eb="117">
      <t>キノウ</t>
    </rPh>
    <rPh sb="123" eb="125">
      <t>ドウガ</t>
    </rPh>
    <rPh sb="125" eb="127">
      <t>シチョウ</t>
    </rPh>
    <rPh sb="133" eb="135">
      <t>シチョウ</t>
    </rPh>
    <rPh sb="135" eb="137">
      <t>ジカン</t>
    </rPh>
    <rPh sb="138" eb="140">
      <t>ショウサイ</t>
    </rPh>
    <rPh sb="141" eb="143">
      <t>ハアク</t>
    </rPh>
    <rPh sb="148" eb="150">
      <t>ブンセキ</t>
    </rPh>
    <rPh sb="151" eb="153">
      <t>カツヨウ</t>
    </rPh>
    <rPh sb="158" eb="162">
      <t>リシュウジョウキョウ</t>
    </rPh>
    <rPh sb="163" eb="165">
      <t>ハアク</t>
    </rPh>
    <rPh sb="177" eb="180">
      <t>リカイド</t>
    </rPh>
    <rPh sb="181" eb="182">
      <t>カン</t>
    </rPh>
    <rPh sb="195" eb="197">
      <t>キノウ</t>
    </rPh>
    <rPh sb="199" eb="200">
      <t>ショウ</t>
    </rPh>
    <rPh sb="204" eb="205">
      <t>ト</t>
    </rPh>
    <rPh sb="206" eb="207">
      <t>ク</t>
    </rPh>
    <rPh sb="209" eb="211">
      <t>ジキ</t>
    </rPh>
    <rPh sb="212" eb="214">
      <t>カイスウ</t>
    </rPh>
    <rPh sb="215" eb="217">
      <t>テンスウ</t>
    </rPh>
    <rPh sb="218" eb="220">
      <t>スイイ</t>
    </rPh>
    <rPh sb="221" eb="223">
      <t>モンダイ</t>
    </rPh>
    <rPh sb="224" eb="226">
      <t>セイヒ</t>
    </rPh>
    <rPh sb="226" eb="227">
      <t>トウ</t>
    </rPh>
    <rPh sb="232" eb="234">
      <t>シュトク</t>
    </rPh>
    <rPh sb="239" eb="241">
      <t>カノウ</t>
    </rPh>
    <rPh sb="256" eb="259">
      <t>カクナイヨウ</t>
    </rPh>
    <rPh sb="265" eb="267">
      <t>ハアク</t>
    </rPh>
    <phoneticPr fontId="1"/>
  </si>
  <si>
    <t>令和5年度から実施したため、まだ本教育プログラムを修了した卒業生を輩出していない。今後は、本学のキャリアサポートセンターと連携し、本教育プログラムを修了した卒業生の進路や採用状況を把握する仕組みを構築していく予定である。</t>
    <rPh sb="25" eb="27">
      <t>シュウリョウ</t>
    </rPh>
    <rPh sb="45" eb="47">
      <t>ホンガク</t>
    </rPh>
    <rPh sb="65" eb="66">
      <t>ホン</t>
    </rPh>
    <rPh sb="66" eb="68">
      <t>キョウイク</t>
    </rPh>
    <rPh sb="74" eb="76">
      <t>シュウリョウ</t>
    </rPh>
    <rPh sb="104" eb="106">
      <t>ヨテイ</t>
    </rPh>
    <phoneticPr fontId="1"/>
  </si>
  <si>
    <t>文学部</t>
    <rPh sb="0" eb="3">
      <t>ブンガクブ</t>
    </rPh>
    <phoneticPr fontId="1"/>
  </si>
  <si>
    <t>家政学部</t>
    <rPh sb="0" eb="4">
      <t>カセイガクブ</t>
    </rPh>
    <phoneticPr fontId="1"/>
  </si>
  <si>
    <t>健康福祉学部</t>
    <rPh sb="0" eb="2">
      <t>ケンコウ</t>
    </rPh>
    <rPh sb="2" eb="4">
      <t>フクシ</t>
    </rPh>
    <rPh sb="4" eb="6">
      <t>ガクブ</t>
    </rPh>
    <phoneticPr fontId="1"/>
  </si>
  <si>
    <t>看護学部</t>
    <rPh sb="0" eb="4">
      <t>カンゴガクブ</t>
    </rPh>
    <phoneticPr fontId="1"/>
  </si>
  <si>
    <t>心理学部</t>
    <rPh sb="0" eb="4">
      <t>シンリガクブ</t>
    </rPh>
    <phoneticPr fontId="1"/>
  </si>
  <si>
    <t>神戸女子大学・神戸女子短期大学 数理・データサイエンス・AI教育ワーキンググループ</t>
    <rPh sb="0" eb="2">
      <t>コウベ</t>
    </rPh>
    <rPh sb="2" eb="4">
      <t>ジョシ</t>
    </rPh>
    <rPh sb="4" eb="6">
      <t>ダイガク</t>
    </rPh>
    <rPh sb="7" eb="9">
      <t>コウベ</t>
    </rPh>
    <rPh sb="9" eb="11">
      <t>ジョシ</t>
    </rPh>
    <rPh sb="11" eb="13">
      <t>タンキ</t>
    </rPh>
    <rPh sb="13" eb="15">
      <t>ダイガク</t>
    </rPh>
    <rPh sb="16" eb="18">
      <t>スウリ</t>
    </rPh>
    <rPh sb="30" eb="32">
      <t>キョウイク</t>
    </rPh>
    <phoneticPr fontId="1"/>
  </si>
  <si>
    <t>グループ長</t>
    <rPh sb="4" eb="5">
      <t>チョウ</t>
    </rPh>
    <phoneticPr fontId="1"/>
  </si>
  <si>
    <t>神戸女子大学・神戸女子短期大学 数理・データサイエンス・AI教育ワーキンググループ規程</t>
    <rPh sb="0" eb="2">
      <t>コウベ</t>
    </rPh>
    <rPh sb="2" eb="4">
      <t>ジョシ</t>
    </rPh>
    <rPh sb="4" eb="6">
      <t>ダイガク</t>
    </rPh>
    <rPh sb="7" eb="9">
      <t>コウベ</t>
    </rPh>
    <rPh sb="9" eb="11">
      <t>ジョシ</t>
    </rPh>
    <rPh sb="11" eb="13">
      <t>タンキ</t>
    </rPh>
    <rPh sb="13" eb="15">
      <t>ダイガク</t>
    </rPh>
    <rPh sb="16" eb="18">
      <t>スウリ</t>
    </rPh>
    <rPh sb="30" eb="32">
      <t>キョウイク</t>
    </rPh>
    <rPh sb="41" eb="43">
      <t>キテイ</t>
    </rPh>
    <phoneticPr fontId="1"/>
  </si>
  <si>
    <t>ワーキンググループは、文部科学省が定める「数理・データサイエンス・AI教育プログラム認定制度」に基づく神戸女子大学・神戸女子短期大学の認定プログラムの運営に関して、次の各号に掲げる事項について審議する。
（1）認定プログラムに関する計画・実施
（2）認定プログラムに関する改善・進化
（3）認定プログラムに関する自己点検・評価
（4）その他、上記運営に係る事項</t>
    <phoneticPr fontId="1"/>
  </si>
  <si>
    <t xml:space="preserve">
全学共通教養科目の「情報」科目群のうち、プログラムを構成する以下の2科目、計4単位を修得すること。
全学共通教養科目・情報科目群
プログラム構成科目：「情報A」（2単位）、情報B（2単位）</t>
    <rPh sb="61" eb="63">
      <t>ジョウホウ</t>
    </rPh>
    <phoneticPr fontId="1"/>
  </si>
  <si>
    <t>情報の基礎的な知識やスキルを培いつつ、最新の技術や社会問題、動向に基づく時事やトレンドの実例を取り入れた興味を引く講義内容を提供している。最新のトレンドに関しては、学生がそれぞれの興味や関心に基づいたテーマを選び、レポートを作成させ、その内容に対して評価を行っている。令和５年度において、10個のテーマの中から、マイナンバーカードの普及、ロシアのウクライナ侵攻における「ハイブリッド戦」、 生成型AIの台頭などが選ばれた。</t>
    <rPh sb="134" eb="136">
      <t>レイワ</t>
    </rPh>
    <rPh sb="152" eb="153">
      <t>ナカ</t>
    </rPh>
    <rPh sb="206" eb="207">
      <t>エラ</t>
    </rPh>
    <phoneticPr fontId="1"/>
  </si>
  <si>
    <t xml:space="preserve">過去3年間（令和3年度～令和5年度）の本学キャリアサポートセンターの求人情報によれば、情報、医療、福祉、一般など、さまざまな分野で約1900件に及ぶIT系（データサイエンティスト、データアナリスト、システムエンジニア、プログラマーなど）の求人がある。同時に、過去3年間の就職状況では、学科を問わず約75名の学生がこれらの需要に応じ、様々な分野で就職し、活躍している。今後は提携企業と協力して、社会で必要とされる情報に関する知識やスキルについての意見を収集し、それを基に授業の改善を進める計画を推進していく予定である。
</t>
    <rPh sb="19" eb="21">
      <t>ホンガク</t>
    </rPh>
    <phoneticPr fontId="1"/>
  </si>
  <si>
    <t>数理・データサイエンス・AIリテラシープログラム</t>
    <rPh sb="0" eb="2">
      <t>スウリ</t>
    </rPh>
    <phoneticPr fontId="1"/>
  </si>
  <si>
    <t>1-1</t>
    <phoneticPr fontId="1"/>
  </si>
  <si>
    <t>1-6</t>
    <phoneticPr fontId="1"/>
  </si>
  <si>
    <t>AI等を活用した新しいビジネスモデル(シェアリングエコノミー、商品のレコメンデーションなど)
AI最新技術の活用例（深層生成モデル、敵対的生成ネットワーク、強化学習、転移学習など）
「情報B」（8回目）</t>
    <phoneticPr fontId="1"/>
  </si>
  <si>
    <t>1-2</t>
    <phoneticPr fontId="1"/>
  </si>
  <si>
    <t>調査データ、実験データ、人の行動ログデータ、機械の稼働ログデータなど
1次データ、2次データ
構造化データ、非構造化データ（文章、画像/動画、音声/音楽など）
データのオープン化（オープンデータ）
「情報B」（3回目、6回目）</t>
    <phoneticPr fontId="1"/>
  </si>
  <si>
    <t xml:space="preserve">データ・AI活用領域の広がり(生産、消費、文化活動など)
研究開発、調達、製造、物流、販売、マーケティング、サービスなど
仮説検証、知識発見、原因究明、計画策定、判断支援、活動代替、新規生成など
「情報B」（4回目）
</t>
    <phoneticPr fontId="1"/>
  </si>
  <si>
    <t>データ解析：予測、グルーピング、パターン発見、最適化、シミュレーション・データ同化など
特化型AIと汎用AI、今のAIで出来ることと出来ないこと
認識技術、ルールベース
「情報B」（5回目）</t>
    <phoneticPr fontId="1"/>
  </si>
  <si>
    <t>流通、製造、金融、サービス、インフラ、公共、ヘルスケア等におけるデータ・AI利活用事例紹介
「情報B」（7回目）</t>
    <phoneticPr fontId="1"/>
  </si>
  <si>
    <t>ELSI（Ethical, Legal and Social Issues）
個人情報保護、EU一般データ保護規則(GDPR)、忘れられる権利、オプトアウト
データ倫理：データのねつ造、改ざん、盗用、プライバシー保護
AI社会原則（公平性、説明責任、透明性、人間中心の判断）
データバイアス、アルゴリズムバイアス
「情報A」（4回目）、「情報B」（12回目）</t>
    <phoneticPr fontId="1"/>
  </si>
  <si>
    <t>情報セキュリティ：機密性、完全性、可用性
匿名加工情報、暗号化、パスワード、悪意ある情報搾取
情報漏洩等によるセキュリティ事故の事例紹介
「情報A」（5回目）、「情報B」（13回目）</t>
    <phoneticPr fontId="1"/>
  </si>
  <si>
    <t>2-1</t>
    <phoneticPr fontId="1"/>
  </si>
  <si>
    <t>2-2</t>
    <phoneticPr fontId="1"/>
  </si>
  <si>
    <t>データ表現（棒グラフ、折線グラフ、散布図、ヒートマップ）
データの図表表現（チャート化）
データの比較（条件をそろえた比較、処理の前後での比較、A/Bテスト)
不適切なグラフ表現（チャートジャンク、不必要な視覚的要素）
優れた可視化事例の紹介（可視化することによって新たな気づきがあった事例など）
「情報A」（12回目）、「情報B」（10回目）</t>
    <rPh sb="151" eb="153">
      <t>ジョウホウ</t>
    </rPh>
    <phoneticPr fontId="1"/>
  </si>
  <si>
    <t>データの種類（量的変数、質的変数）
データの分布(ヒストグラム)と代表値（平均値、中央値、最頻値）・代表値の性質の違い（実社会では平均値＝最頻値でないことが多い）
データのばらつき（分散、標準偏差、偏差値）
打ち切りや脱落を含むデータ、層別の必要なデータ
相関と因果（相関係数、擬似相関、交絡）
母集団と標本抽出（国勢調査、アンケート調査、全数調査、単純無作為抽出、層別抽出、多段抽出）
統計情報の正しい理解（誇張表現に惑わされない）
「情報A」（11回目）、「情報B」（9回目、10回目）</t>
    <phoneticPr fontId="1"/>
  </si>
  <si>
    <t>データの集計（和、平均）
データの並び替え、ランキング
データ解析ツール（スプレッドシート）
「情報A」（8回目、9回目、10回目、11回目）、「情報B」（9回目）</t>
    <rPh sb="75" eb="77">
      <t>ジョウホウ</t>
    </rPh>
    <rPh sb="81" eb="83">
      <t>カイメ</t>
    </rPh>
    <phoneticPr fontId="1"/>
  </si>
  <si>
    <t>ビッグデータ、IoT、AI
計算機の処理性能の向上
第4次産業革命、Society 5.0、データ駆動型社会
「情報B」（1回目、2回目）</t>
    <phoneticPr fontId="1"/>
  </si>
  <si>
    <t>　本学では令和5年度より学生のノートPC必携化を推進しており、PC教室の空き状況に関わらず情報分野に関する学習が可能で、学内ではWI-FIが常時接続可能となっているため、メディア授業である「情報B」は場所や時間を選ばずに受講可能となっている。</t>
    <phoneticPr fontId="1"/>
  </si>
  <si>
    <t>　本学のLMS（manaba）上で履修者と教員間の資料のアップロード・ダウンロードや掲示板を利用して質問や回答が可能となっている。
　その他にもポータルサイト（KISSシステム）を使用して該当学生と教員から学生個人ともメールや掲示連絡が可能となっている。ポータルサイトで確認できるシラバスには教員のメールアドレスやオフィスアワーも記載している。</t>
    <phoneticPr fontId="1"/>
  </si>
  <si>
    <t>本教育プログラム受講者全員に対して授業アンケートを実施しており、授業の理解度や授業外での学修状況、内容の難易度、フィードバック、授業の工夫、授業の良かったところや改善点に関する自由記述等のデータを取得している。授業アンケートから把握できる受講生の主観的な意識と学修成果の欄で示した動画視聴の視聴時期や視聴時間、小テストに取り組んだ時期、回数、点数の推移、問題の正否等の客観的なデータを数理・データサイエンス・AI教育ワーキンググループにおいて総合的に分析し、学生の理解度を分析している。</t>
    <rPh sb="32" eb="34">
      <t>ジュギョウ</t>
    </rPh>
    <rPh sb="35" eb="38">
      <t>リカイド</t>
    </rPh>
    <rPh sb="39" eb="42">
      <t>ジュギョウガイ</t>
    </rPh>
    <rPh sb="44" eb="46">
      <t>ガクシュウ</t>
    </rPh>
    <rPh sb="46" eb="48">
      <t>ジョウキョウ</t>
    </rPh>
    <rPh sb="49" eb="51">
      <t>ナイヨウ</t>
    </rPh>
    <rPh sb="52" eb="55">
      <t>ナンイド</t>
    </rPh>
    <rPh sb="64" eb="66">
      <t>ジュギョウ</t>
    </rPh>
    <rPh sb="67" eb="69">
      <t>クフウ</t>
    </rPh>
    <rPh sb="70" eb="72">
      <t>ジュギョウ</t>
    </rPh>
    <rPh sb="73" eb="74">
      <t>ヨ</t>
    </rPh>
    <rPh sb="81" eb="84">
      <t>カイゼンテン</t>
    </rPh>
    <rPh sb="85" eb="86">
      <t>カン</t>
    </rPh>
    <rPh sb="88" eb="92">
      <t>ジユウキジュツ</t>
    </rPh>
    <rPh sb="92" eb="93">
      <t>トウ</t>
    </rPh>
    <rPh sb="98" eb="100">
      <t>シュトク</t>
    </rPh>
    <rPh sb="119" eb="122">
      <t>ジュコウセイ</t>
    </rPh>
    <rPh sb="123" eb="126">
      <t>シュカンテキ</t>
    </rPh>
    <rPh sb="127" eb="129">
      <t>イシキ</t>
    </rPh>
    <phoneticPr fontId="1"/>
  </si>
  <si>
    <t>本教育プログラムを構成する科目である情報A及び情報Bに関して、各学部学科の初年度ガイダンスにおいて本教育プログラムの履修を推奨すること等の取り組みにより、履修者数、履修率の向上にむけて推進している。また、科目担当教員を中心とした数理・データサイエンス・AI教育ワーキンググループを定期的に実施し、各学部・学科における数理・データサイエンス・AI教育の内容について各専門分野からの観点も取り入れ見直し等を検討し、より学生の履修推進を図る。</t>
    <rPh sb="18" eb="20">
      <t>ジョウホウ</t>
    </rPh>
    <rPh sb="21" eb="22">
      <t>オヨ</t>
    </rPh>
    <rPh sb="23" eb="25">
      <t>ジョウホウ</t>
    </rPh>
    <rPh sb="27" eb="28">
      <t>カン</t>
    </rPh>
    <rPh sb="31" eb="36">
      <t>カクガクブガッカ</t>
    </rPh>
    <rPh sb="37" eb="40">
      <t>ショネンド</t>
    </rPh>
    <rPh sb="49" eb="52">
      <t>ホンキョウイク</t>
    </rPh>
    <rPh sb="58" eb="60">
      <t>リシュウ</t>
    </rPh>
    <rPh sb="61" eb="63">
      <t>スイショウ</t>
    </rPh>
    <rPh sb="67" eb="68">
      <t>トウ</t>
    </rPh>
    <rPh sb="69" eb="70">
      <t>ト</t>
    </rPh>
    <rPh sb="71" eb="72">
      <t>ク</t>
    </rPh>
    <rPh sb="102" eb="108">
      <t>カモクタントウキョウイン</t>
    </rPh>
    <rPh sb="109" eb="111">
      <t>チュウシン</t>
    </rPh>
    <rPh sb="152" eb="154">
      <t>ガッカ</t>
    </rPh>
    <rPh sb="215" eb="216">
      <t>ハカ</t>
    </rPh>
    <phoneticPr fontId="1"/>
  </si>
  <si>
    <t>科目「情報B」において生成AIに関する技術や課題（リスクとそのコントロール等）、生成AI時代に求められるスキルなどについて説明されているAI・データサイエンストレンド動画教材を視聴できるようにしている。また、それらの動画教材について学期末レポート（テーマは受講生がAI・データサイエンストレンド動画教材の中より任意に選択）を課し、自分が選んだテーマについて授業内容をふまえた上で自ら調べまとめることを促している。</t>
    <phoneticPr fontId="1"/>
  </si>
  <si>
    <r>
      <t>教育プログラムを構成する科目に、</t>
    </r>
    <r>
      <rPr>
        <b/>
        <sz val="11"/>
        <color theme="1"/>
        <rFont val="ＭＳ Ｐゴシック"/>
        <family val="3"/>
        <charset val="128"/>
        <scheme val="minor"/>
      </rPr>
      <t>「数理・データサイエンス・ＡＩ（リテラシーレベル）モデルカリキュラム改訂版」</t>
    </r>
    <r>
      <rPr>
        <sz val="11"/>
        <color theme="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</si>
  <si>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　新入生オリエンテーションで現代社会におけるAIやデータサイエンスの必要性や本プログラムについての説明を新入学生全員に案内し、プログラムの学生認知度を高めるとともに履修を促す。
　令和6年度からは、本学の「数理・データサイエンス・AIリテラシープログラム」が認定されれば、成績証明書にてプログラム修了証明が記載されることを対象学生に周知し、就職活動等でも有益であることを周知する。
　令和7年度については前年度の周知状況と履修者数を参考に履修案内の内容や方法を見直したい。
　令和8年度については全ての学年がプログラムの対象となることから、一年次のみではなく上回生でも未だ履修したことのない学生に対して改めて周知を行い、全学的に再度履修率を向上させる。
　令和9年度には最初のプログラム実施対象学年が卒業し、このプログラムにおける就職活動での活用等について意見が得られることから有用性を伝え履修率の向上につなげる。</t>
    <rPh sb="192" eb="194">
      <t>レイワ</t>
    </rPh>
    <rPh sb="195" eb="197">
      <t>ネンド</t>
    </rPh>
    <rPh sb="202" eb="205">
      <t>ゼンネンド</t>
    </rPh>
    <rPh sb="206" eb="208">
      <t>シュウチ</t>
    </rPh>
    <rPh sb="208" eb="210">
      <t>ジョウキョウ</t>
    </rPh>
    <rPh sb="213" eb="214">
      <t>シャ</t>
    </rPh>
    <rPh sb="214" eb="215">
      <t>スウ</t>
    </rPh>
    <rPh sb="216" eb="218">
      <t>サンコウ</t>
    </rPh>
    <rPh sb="219" eb="221">
      <t>リシュウ</t>
    </rPh>
    <rPh sb="221" eb="223">
      <t>アンナイ</t>
    </rPh>
    <rPh sb="224" eb="226">
      <t>ナイヨウ</t>
    </rPh>
    <rPh sb="227" eb="229">
      <t>ホウホウ</t>
    </rPh>
    <rPh sb="230" eb="232">
      <t>ミナオ</t>
    </rPh>
    <rPh sb="238" eb="240">
      <t>レイワ</t>
    </rPh>
    <rPh sb="241" eb="243">
      <t>ネンド</t>
    </rPh>
    <rPh sb="248" eb="249">
      <t>スベ</t>
    </rPh>
    <rPh sb="251" eb="253">
      <t>ガクネン</t>
    </rPh>
    <rPh sb="260" eb="262">
      <t>タイショウ</t>
    </rPh>
    <rPh sb="270" eb="273">
      <t>イチネンジ</t>
    </rPh>
    <rPh sb="279" eb="282">
      <t>ジョウカイセイ</t>
    </rPh>
    <rPh sb="284" eb="285">
      <t>マ</t>
    </rPh>
    <rPh sb="286" eb="288">
      <t>リシュウ</t>
    </rPh>
    <rPh sb="295" eb="297">
      <t>ガクセイ</t>
    </rPh>
    <rPh sb="298" eb="299">
      <t>タイ</t>
    </rPh>
    <rPh sb="301" eb="302">
      <t>アラタ</t>
    </rPh>
    <rPh sb="304" eb="306">
      <t>シュウチ</t>
    </rPh>
    <rPh sb="307" eb="308">
      <t>オコナ</t>
    </rPh>
    <rPh sb="310" eb="313">
      <t>ゼンガクテキ</t>
    </rPh>
    <rPh sb="314" eb="316">
      <t>サイド</t>
    </rPh>
    <rPh sb="316" eb="318">
      <t>リシュウ</t>
    </rPh>
    <rPh sb="318" eb="319">
      <t>リツ</t>
    </rPh>
    <rPh sb="320" eb="322">
      <t>コウジョウ</t>
    </rPh>
    <rPh sb="328" eb="330">
      <t>レイワ</t>
    </rPh>
    <rPh sb="331" eb="333">
      <t>ネンド</t>
    </rPh>
    <rPh sb="335" eb="337">
      <t>サイショ</t>
    </rPh>
    <rPh sb="343" eb="345">
      <t>ジッシ</t>
    </rPh>
    <rPh sb="345" eb="347">
      <t>タイショウ</t>
    </rPh>
    <rPh sb="347" eb="349">
      <t>ガクネン</t>
    </rPh>
    <rPh sb="350" eb="352">
      <t>ソツギョウ</t>
    </rPh>
    <rPh sb="365" eb="367">
      <t>シュウショク</t>
    </rPh>
    <rPh sb="367" eb="369">
      <t>カツドウ</t>
    </rPh>
    <rPh sb="371" eb="373">
      <t>カツヨウ</t>
    </rPh>
    <rPh sb="373" eb="374">
      <t>トウ</t>
    </rPh>
    <rPh sb="378" eb="380">
      <t>イケン</t>
    </rPh>
    <rPh sb="381" eb="382">
      <t>エ</t>
    </rPh>
    <rPh sb="389" eb="392">
      <t>ユウヨウセイ</t>
    </rPh>
    <rPh sb="393" eb="394">
      <t>ツタ</t>
    </rPh>
    <rPh sb="395" eb="397">
      <t>リシュウ</t>
    </rPh>
    <rPh sb="397" eb="398">
      <t>リツ</t>
    </rPh>
    <rPh sb="399" eb="401">
      <t>コウジョウ</t>
    </rPh>
    <phoneticPr fontId="1"/>
  </si>
  <si>
    <t>　HP上に本プログラムの特設ページを設けプログラム開始を周知するとともに、本学のポータルサイトにおいても周知を図り、学生が本プログラムの情報を得やすい環境を整えている。これらの内容は「履修の手引き」に記載しオリエンテーション時に学生へ配付し、周知している。</t>
    <rPh sb="37" eb="39">
      <t>ホンガク</t>
    </rPh>
    <rPh sb="52" eb="54">
      <t>シュウチ</t>
    </rPh>
    <rPh sb="55" eb="56">
      <t>ハカ</t>
    </rPh>
    <rPh sb="58" eb="60">
      <t>ガクセイ</t>
    </rPh>
    <rPh sb="61" eb="62">
      <t>ホン</t>
    </rPh>
    <rPh sb="68" eb="70">
      <t>ジョウホウ</t>
    </rPh>
    <rPh sb="71" eb="72">
      <t>エ</t>
    </rPh>
    <rPh sb="75" eb="77">
      <t>カンキョウ</t>
    </rPh>
    <rPh sb="78" eb="79">
      <t>トトノ</t>
    </rPh>
    <phoneticPr fontId="1"/>
  </si>
  <si>
    <t>　　本プログラムを構成する2科目は、どちらも全学共通教養科目として1年次から開講しており、学科を問わず希望する全学生が受講可能なカリキュラムとしている。「情報A」は基本的に学科毎で開講クラスを設定しており、必要な学科はさらにクラスを分割して授業を設定している。また、それに必要な授業担当教員数も確保している。メディア授業（オンデマンド方式によるe-Learning）である「情報B」は、スマートフォンなどでも受講できるため、場所や時間を選ばずに学習可能であり、自宅などで各学生のペースにあわせた学習もできる。今後は履修対象学年が進み、希望者が増加していくことが予想されるが、全学生のノートパソコン必携化が進み普通教室での実施も可能となっているため、必要があれば教室調整等も行うことで希望者全員が受講可能な体制を保っていく。</t>
    <rPh sb="22" eb="24">
      <t>ゼンガク</t>
    </rPh>
    <rPh sb="24" eb="26">
      <t>キョウツウ</t>
    </rPh>
    <rPh sb="82" eb="85">
      <t>キホンテキ</t>
    </rPh>
    <rPh sb="103" eb="105">
      <t>ヒツヨウ</t>
    </rPh>
    <rPh sb="106" eb="108">
      <t>ガッカ</t>
    </rPh>
    <rPh sb="116" eb="118">
      <t>ブンカツ</t>
    </rPh>
    <rPh sb="120" eb="122">
      <t>ジュギョウ</t>
    </rPh>
    <rPh sb="123" eb="125">
      <t>セッテイ</t>
    </rPh>
    <rPh sb="261" eb="263">
      <t>ガクネン</t>
    </rPh>
    <rPh sb="264" eb="265">
      <t>スス</t>
    </rPh>
    <rPh sb="287" eb="289">
      <t>ゼンガク</t>
    </rPh>
    <rPh sb="289" eb="290">
      <t>セイ</t>
    </rPh>
    <rPh sb="298" eb="301">
      <t>ヒッケイカ</t>
    </rPh>
    <rPh sb="302" eb="303">
      <t>スス</t>
    </rPh>
    <rPh sb="304" eb="308">
      <t>フツウキョウシツ</t>
    </rPh>
    <rPh sb="310" eb="312">
      <t>ジッシ</t>
    </rPh>
    <rPh sb="313" eb="315">
      <t>カノウ</t>
    </rPh>
    <rPh sb="324" eb="326">
      <t>ヒツヨウ</t>
    </rPh>
    <phoneticPr fontId="1"/>
  </si>
  <si>
    <t>令和5年度「数理・データサイエンス・AIリテラシープログラム」自己点検・評価について</t>
    <rPh sb="0" eb="2">
      <t>レイワ</t>
    </rPh>
    <rPh sb="3" eb="5">
      <t>ネンド</t>
    </rPh>
    <rPh sb="31" eb="33">
      <t>ジコ</t>
    </rPh>
    <rPh sb="33" eb="35">
      <t>テンケン</t>
    </rPh>
    <rPh sb="36" eb="38">
      <t>ヒョウカ</t>
    </rPh>
    <phoneticPr fontId="1"/>
  </si>
  <si>
    <t>導入している学修支援システムやe-Learningシステムにより、動画視聴の視聴時期や視聴時間、小テストに取り組んだ時期、回数、点数の推移、問題の正否等の客観的なデータを数理・データサイエンス・AI教育ワーキンググループにおいて学部学科を越えて本教育プログラムを構成する科目の学修状況として共有・分析し、本教育プログラムの評価・改善に活用している。具体的には、受講者の授業での取り組み状況・成果物、動画教材や小テストの活用状況と最終的な評価との関連性を検討し、改善すべき点を精微に洗い出している。</t>
    <rPh sb="77" eb="80">
      <t>キャッカンテキ</t>
    </rPh>
    <rPh sb="114" eb="118">
      <t>ガクブガッカ</t>
    </rPh>
    <rPh sb="119" eb="120">
      <t>コ</t>
    </rPh>
    <rPh sb="122" eb="125">
      <t>ホンキョウイク</t>
    </rPh>
    <rPh sb="131" eb="133">
      <t>コウセイ</t>
    </rPh>
    <rPh sb="135" eb="137">
      <t>カモク</t>
    </rPh>
    <rPh sb="138" eb="142">
      <t>ガクシュウジョウキョウ</t>
    </rPh>
    <rPh sb="145" eb="147">
      <t>キョウユウ</t>
    </rPh>
    <rPh sb="148" eb="150">
      <t>ブンセキ</t>
    </rPh>
    <rPh sb="174" eb="177">
      <t>グタイテキ</t>
    </rPh>
    <rPh sb="180" eb="183">
      <t>ジュコウシャ</t>
    </rPh>
    <rPh sb="184" eb="186">
      <t>ジュギョウ</t>
    </rPh>
    <rPh sb="188" eb="189">
      <t>ト</t>
    </rPh>
    <rPh sb="190" eb="191">
      <t>ク</t>
    </rPh>
    <rPh sb="192" eb="194">
      <t>ジョウキョウ</t>
    </rPh>
    <rPh sb="195" eb="198">
      <t>セイカブツ</t>
    </rPh>
    <rPh sb="199" eb="203">
      <t>ドウガキョウザイ</t>
    </rPh>
    <rPh sb="204" eb="205">
      <t>ショウ</t>
    </rPh>
    <rPh sb="209" eb="213">
      <t>カツヨウジョウキョウ</t>
    </rPh>
    <rPh sb="214" eb="217">
      <t>サイシュウテキ</t>
    </rPh>
    <rPh sb="218" eb="220">
      <t>ヒョウカ</t>
    </rPh>
    <rPh sb="222" eb="225">
      <t>カンレンセイ</t>
    </rPh>
    <rPh sb="226" eb="228">
      <t>ケントウ</t>
    </rPh>
    <rPh sb="230" eb="232">
      <t>カイゼン</t>
    </rPh>
    <rPh sb="235" eb="236">
      <t>テン</t>
    </rPh>
    <rPh sb="237" eb="239">
      <t>セイビ</t>
    </rPh>
    <rPh sb="240" eb="241">
      <t>アラ</t>
    </rPh>
    <rPh sb="242" eb="243">
      <t>ダ</t>
    </rPh>
    <phoneticPr fontId="1"/>
  </si>
  <si>
    <t>令和５年度より本教育プログラムが実施されたため今後の展望となるが、受講生の受講状況や授業アンケート等の分析結果に基づいて本教育プログラムの概要や得られる学びに関して学修支援システムを通じて配信し、受講の推奨に活用する予定である。将来的には、本教育プログラムにおける受講生の成果物等を受講者に確認した上で後輩学生が自由に閲覧できるようにアーカイブ化し、本教育プログラムの受講によって習得できる資質・能力を具体的にイメージできるようにすることも検討している。</t>
    <rPh sb="3" eb="4">
      <t>ネン</t>
    </rPh>
    <rPh sb="7" eb="10">
      <t>ホンキョウイク</t>
    </rPh>
    <rPh sb="16" eb="18">
      <t>ジッシ</t>
    </rPh>
    <rPh sb="23" eb="25">
      <t>コンゴ</t>
    </rPh>
    <rPh sb="26" eb="28">
      <t>テンボウ</t>
    </rPh>
    <rPh sb="37" eb="41">
      <t>ジュコウジョウキョウ</t>
    </rPh>
    <rPh sb="49" eb="50">
      <t>トウ</t>
    </rPh>
    <rPh sb="51" eb="53">
      <t>ブンセキ</t>
    </rPh>
    <rPh sb="53" eb="55">
      <t>ケッカ</t>
    </rPh>
    <rPh sb="56" eb="57">
      <t>モト</t>
    </rPh>
    <rPh sb="60" eb="63">
      <t>ホンキョウイク</t>
    </rPh>
    <rPh sb="72" eb="73">
      <t>エ</t>
    </rPh>
    <rPh sb="76" eb="77">
      <t>マナ</t>
    </rPh>
    <rPh sb="79" eb="80">
      <t>カン</t>
    </rPh>
    <rPh sb="91" eb="92">
      <t>ツウ</t>
    </rPh>
    <rPh sb="94" eb="96">
      <t>ハイシン</t>
    </rPh>
    <rPh sb="101" eb="103">
      <t>スイショウ</t>
    </rPh>
    <rPh sb="104" eb="106">
      <t>カツヨウ</t>
    </rPh>
    <rPh sb="108" eb="110">
      <t>ヨテイ</t>
    </rPh>
    <rPh sb="114" eb="117">
      <t>ショウライテキ</t>
    </rPh>
    <rPh sb="120" eb="123">
      <t>ホンキョウイク</t>
    </rPh>
    <rPh sb="132" eb="135">
      <t>ジュコウセイ</t>
    </rPh>
    <rPh sb="136" eb="139">
      <t>セイカブツ</t>
    </rPh>
    <rPh sb="139" eb="140">
      <t>トウ</t>
    </rPh>
    <rPh sb="141" eb="144">
      <t>ジュコウシャ</t>
    </rPh>
    <rPh sb="145" eb="147">
      <t>カクニン</t>
    </rPh>
    <rPh sb="149" eb="150">
      <t>ウエ</t>
    </rPh>
    <rPh sb="151" eb="155">
      <t>コウハイガクセイ</t>
    </rPh>
    <rPh sb="156" eb="158">
      <t>ジユウ</t>
    </rPh>
    <rPh sb="159" eb="161">
      <t>エツラン</t>
    </rPh>
    <rPh sb="172" eb="173">
      <t>カ</t>
    </rPh>
    <rPh sb="175" eb="178">
      <t>ホンキョウイク</t>
    </rPh>
    <rPh sb="184" eb="186">
      <t>ジュコウ</t>
    </rPh>
    <rPh sb="190" eb="192">
      <t>シュウトク</t>
    </rPh>
    <rPh sb="201" eb="204">
      <t>グタイテキ</t>
    </rPh>
    <rPh sb="220" eb="222">
      <t>ケントウ</t>
    </rPh>
    <phoneticPr fontId="1"/>
  </si>
  <si>
    <t>全学共通教育部長　教授　稲垣　善茂（グループ長）
全学共通教育部次長　准教授　竹田　和恵（情報分野担当）
文学部　准教授　黒田　昌克（情報分野担当）
心理学部　講師　西本 実苗（情報分野担当）
神戸女子短期大学　教授　堀　桂太郎（短大情報分野担当）</t>
    <rPh sb="0" eb="2">
      <t>ゼンガク</t>
    </rPh>
    <rPh sb="2" eb="4">
      <t>キョウツウ</t>
    </rPh>
    <rPh sb="4" eb="7">
      <t>キョウイクブ</t>
    </rPh>
    <rPh sb="7" eb="8">
      <t>チョウ</t>
    </rPh>
    <rPh sb="9" eb="11">
      <t>キョウジュ</t>
    </rPh>
    <rPh sb="12" eb="14">
      <t>イナガキ</t>
    </rPh>
    <rPh sb="15" eb="17">
      <t>ヨシシゲ</t>
    </rPh>
    <rPh sb="22" eb="23">
      <t>チョウ</t>
    </rPh>
    <rPh sb="25" eb="27">
      <t>ゼンガク</t>
    </rPh>
    <rPh sb="27" eb="29">
      <t>キョウツウ</t>
    </rPh>
    <rPh sb="29" eb="32">
      <t>キョウイクブ</t>
    </rPh>
    <rPh sb="32" eb="34">
      <t>ジチョウ</t>
    </rPh>
    <rPh sb="35" eb="38">
      <t>ジュンキョウジュ</t>
    </rPh>
    <rPh sb="39" eb="41">
      <t>タケダ</t>
    </rPh>
    <rPh sb="42" eb="44">
      <t>カズエ</t>
    </rPh>
    <rPh sb="45" eb="47">
      <t>ジョウホウ</t>
    </rPh>
    <rPh sb="47" eb="49">
      <t>ブンヤ</t>
    </rPh>
    <rPh sb="49" eb="51">
      <t>タントウ</t>
    </rPh>
    <rPh sb="53" eb="56">
      <t>ブンガクブ</t>
    </rPh>
    <rPh sb="57" eb="58">
      <t>ジュン</t>
    </rPh>
    <rPh sb="58" eb="60">
      <t>キョウジュ</t>
    </rPh>
    <rPh sb="61" eb="63">
      <t>クロダ</t>
    </rPh>
    <rPh sb="64" eb="65">
      <t>マサ</t>
    </rPh>
    <rPh sb="65" eb="66">
      <t>カツ</t>
    </rPh>
    <rPh sb="67" eb="69">
      <t>ジョウホウ</t>
    </rPh>
    <rPh sb="69" eb="71">
      <t>ブンヤ</t>
    </rPh>
    <rPh sb="71" eb="73">
      <t>タントウ</t>
    </rPh>
    <rPh sb="109" eb="110">
      <t>ホリ</t>
    </rPh>
    <rPh sb="121" eb="123">
      <t>タントウ</t>
    </rPh>
    <phoneticPr fontId="1"/>
  </si>
  <si>
    <t xml:space="preserve">FD・SD委員会の学生授業アンケートを参考に、「分かりやすさ」の観点から講義の内容・実施方法の見直しを検討している。特に、令和５年度では実習形式の演習による丁寧な指導やオンデマンド講義での繰り返し、いつでも動画を視聴可能な点が「わかりやすさ」に寄与していたことが確認された。
また、社会の変化に応じた最新のトレンドを取り上げ、動画として何度も繰り返し視聴できるようにしている。
</t>
    <rPh sb="61" eb="63">
      <t>レイワ</t>
    </rPh>
    <rPh sb="122" eb="124">
      <t>キヨ</t>
    </rPh>
    <rPh sb="141" eb="143">
      <t>シャカイ</t>
    </rPh>
    <rPh sb="144" eb="146">
      <t>ヘンカ</t>
    </rPh>
    <rPh sb="147" eb="148">
      <t>オウ</t>
    </rPh>
    <rPh sb="150" eb="152">
      <t>サイシン</t>
    </rPh>
    <rPh sb="158" eb="159">
      <t>ト</t>
    </rPh>
    <rPh sb="160" eb="161">
      <t>ア</t>
    </rPh>
    <rPh sb="163" eb="165">
      <t>ドウガ</t>
    </rPh>
    <rPh sb="168" eb="170">
      <t>ナンド</t>
    </rPh>
    <rPh sb="171" eb="172">
      <t>ク</t>
    </rPh>
    <rPh sb="173" eb="174">
      <t>カエ</t>
    </rPh>
    <rPh sb="175" eb="177">
      <t>シチョウ</t>
    </rPh>
    <phoneticPr fontId="1"/>
  </si>
  <si>
    <t>令和5</t>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</si>
</sst>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b/>
      <sz val="11"/>
      <color theme="1"/>
      <name val="ＭＳ Ｐゴシック"/>
      <family val="3"/>
      <charset val="128"/>
      <scheme val="minor"/>
    </font>
    <font>
      <sz val="12"/>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2">
    <xf numFmtId="0" fontId="0" fillId="0" borderId="0" xfId="0">
      <alignment vertical="center"/>
    </xf>
    <xf numFmtId="0" fontId="5" fillId="0" borderId="0" xfId="0" applyFont="1">
      <alignment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38" fontId="2" fillId="0" borderId="48" xfId="2" applyFont="1" applyBorder="1" applyAlignment="1">
      <alignment vertical="center" shrinkToFit="1"/>
    </xf>
    <xf numFmtId="0" fontId="2" fillId="0" borderId="0" xfId="0" applyFont="1" applyAlignment="1">
      <alignment vertical="top" wrapText="1" shrinkToFit="1"/>
    </xf>
    <xf numFmtId="0" fontId="2" fillId="0" borderId="48" xfId="0" applyFont="1" applyFill="1" applyBorder="1" applyAlignment="1">
      <alignment horizontal="left" vertical="center" shrinkToFit="1"/>
    </xf>
    <xf numFmtId="38" fontId="2" fillId="0" borderId="45"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0" fontId="2" fillId="0" borderId="20" xfId="0" applyFont="1" applyFill="1" applyBorder="1" applyAlignment="1">
      <alignment horizontal="lef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18" xfId="2" applyFont="1" applyFill="1" applyBorder="1" applyAlignment="1">
      <alignment vertical="center" shrinkToFit="1"/>
    </xf>
    <xf numFmtId="38" fontId="2" fillId="0" borderId="46" xfId="2" applyFont="1" applyFill="1" applyBorder="1" applyAlignment="1">
      <alignment vertical="center" shrinkToFit="1"/>
    </xf>
    <xf numFmtId="0" fontId="2" fillId="0" borderId="1" xfId="0" applyFont="1" applyFill="1" applyBorder="1" applyAlignment="1">
      <alignment horizontal="center" vertical="center"/>
    </xf>
    <xf numFmtId="0" fontId="2" fillId="0" borderId="20" xfId="0" applyFont="1" applyFill="1" applyBorder="1" applyAlignment="1">
      <alignment horizontal="center" vertical="center" shrinkToFit="1"/>
    </xf>
    <xf numFmtId="0" fontId="2" fillId="0" borderId="0" xfId="0" applyFont="1" applyAlignment="1">
      <alignment vertical="center" wrapText="1"/>
    </xf>
    <xf numFmtId="0" fontId="6"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vertical="top" shrinkToFit="1"/>
    </xf>
    <xf numFmtId="0" fontId="2" fillId="0" borderId="0" xfId="0" applyFont="1">
      <alignment vertical="center"/>
    </xf>
    <xf numFmtId="9" fontId="2" fillId="0" borderId="1" xfId="0" applyNumberFormat="1" applyFont="1" applyFill="1" applyBorder="1" applyAlignment="1">
      <alignment horizontal="center" vertical="center" shrinkToFit="1"/>
    </xf>
    <xf numFmtId="9" fontId="2" fillId="0" borderId="45" xfId="0" applyNumberFormat="1" applyFont="1" applyBorder="1" applyAlignment="1">
      <alignment vertical="center" shrinkToFit="1"/>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49" fontId="3" fillId="0" borderId="43" xfId="0" applyNumberFormat="1" applyFont="1" applyFill="1" applyBorder="1" applyAlignment="1">
      <alignment horizontal="center" vertical="center"/>
    </xf>
    <xf numFmtId="49" fontId="3" fillId="0" borderId="44" xfId="0" applyNumberFormat="1" applyFont="1" applyFill="1" applyBorder="1" applyAlignment="1">
      <alignment horizontal="center" vertical="center"/>
    </xf>
    <xf numFmtId="49" fontId="3" fillId="0" borderId="39" xfId="0" applyNumberFormat="1" applyFont="1" applyFill="1" applyBorder="1" applyAlignment="1">
      <alignment horizontal="center" vertical="center"/>
    </xf>
    <xf numFmtId="49" fontId="3" fillId="0" borderId="26" xfId="0" applyNumberFormat="1" applyFont="1" applyFill="1" applyBorder="1" applyAlignment="1">
      <alignment horizontal="center" vertical="center"/>
    </xf>
    <xf numFmtId="49" fontId="3" fillId="0" borderId="42" xfId="0" applyNumberFormat="1" applyFont="1" applyFill="1" applyBorder="1" applyAlignment="1">
      <alignment horizontal="center" vertical="center"/>
    </xf>
    <xf numFmtId="49" fontId="3" fillId="0" borderId="28" xfId="0" applyNumberFormat="1" applyFont="1" applyFill="1" applyBorder="1" applyAlignment="1">
      <alignment horizontal="center" vertical="center"/>
    </xf>
    <xf numFmtId="0" fontId="5" fillId="0" borderId="0" xfId="0" applyFont="1" applyFill="1">
      <alignment vertical="center"/>
    </xf>
    <xf numFmtId="0" fontId="2" fillId="0" borderId="0" xfId="0" applyFont="1" applyFill="1">
      <alignment vertical="center"/>
    </xf>
    <xf numFmtId="0" fontId="5" fillId="0" borderId="0" xfId="0" applyFont="1" applyAlignment="1">
      <alignment vertical="center" wrapText="1"/>
    </xf>
    <xf numFmtId="49" fontId="5" fillId="0" borderId="0" xfId="0" applyNumberFormat="1" applyFont="1" applyAlignment="1">
      <alignment vertical="center" shrinkToFit="1"/>
    </xf>
    <xf numFmtId="0" fontId="2" fillId="0" borderId="1" xfId="0" applyFont="1" applyFill="1" applyBorder="1">
      <alignment vertical="center"/>
    </xf>
    <xf numFmtId="0" fontId="3" fillId="2" borderId="37" xfId="0" applyFont="1" applyFill="1" applyBorder="1" applyAlignment="1">
      <alignment vertical="top" shrinkToFit="1"/>
    </xf>
    <xf numFmtId="0" fontId="3" fillId="2" borderId="38" xfId="0" applyFont="1" applyFill="1" applyBorder="1" applyAlignment="1">
      <alignment vertical="top" shrinkToFit="1"/>
    </xf>
    <xf numFmtId="0" fontId="2" fillId="0" borderId="0" xfId="0" applyFont="1" applyAlignment="1">
      <alignment horizontal="right" vertical="center"/>
    </xf>
    <xf numFmtId="0" fontId="2" fillId="0" borderId="0" xfId="0" applyFont="1">
      <alignment vertical="center"/>
    </xf>
    <xf numFmtId="0" fontId="6" fillId="0" borderId="0" xfId="0" applyFont="1" applyAlignment="1">
      <alignment horizontal="center" vertical="center" wrapText="1"/>
    </xf>
    <xf numFmtId="0" fontId="2" fillId="0" borderId="0" xfId="0" applyFont="1" applyBorder="1" applyAlignment="1">
      <alignment horizontal="center" vertical="center"/>
    </xf>
    <xf numFmtId="0" fontId="5" fillId="0" borderId="0" xfId="0" applyFont="1" applyFill="1" applyAlignment="1">
      <alignment horizontal="left" vertical="center" wrapText="1"/>
    </xf>
    <xf numFmtId="49" fontId="3" fillId="0" borderId="32" xfId="0" applyNumberFormat="1" applyFont="1" applyFill="1" applyBorder="1" applyAlignment="1">
      <alignment horizontal="left" vertical="center" wrapText="1"/>
    </xf>
    <xf numFmtId="49" fontId="3" fillId="0" borderId="33" xfId="0" applyNumberFormat="1" applyFont="1" applyFill="1" applyBorder="1" applyAlignment="1">
      <alignment horizontal="left" vertical="center"/>
    </xf>
    <xf numFmtId="49" fontId="3" fillId="0" borderId="34" xfId="0" applyNumberFormat="1" applyFont="1" applyFill="1" applyBorder="1" applyAlignment="1">
      <alignment horizontal="left" vertical="center"/>
    </xf>
    <xf numFmtId="49" fontId="3" fillId="0" borderId="29" xfId="0" applyNumberFormat="1" applyFont="1" applyFill="1" applyBorder="1" applyAlignment="1">
      <alignment horizontal="left" vertical="center" wrapText="1"/>
    </xf>
    <xf numFmtId="49" fontId="3" fillId="0" borderId="31" xfId="0" applyNumberFormat="1" applyFont="1" applyFill="1" applyBorder="1" applyAlignment="1">
      <alignment horizontal="left" vertical="center"/>
    </xf>
    <xf numFmtId="49" fontId="3" fillId="0" borderId="30" xfId="0" applyNumberFormat="1" applyFont="1" applyFill="1" applyBorder="1" applyAlignment="1">
      <alignment horizontal="left" vertical="center"/>
    </xf>
    <xf numFmtId="49" fontId="3" fillId="0" borderId="18" xfId="0" applyNumberFormat="1" applyFont="1" applyFill="1" applyBorder="1" applyAlignment="1">
      <alignment horizontal="left" vertical="center" wrapText="1"/>
    </xf>
    <xf numFmtId="49" fontId="3" fillId="0" borderId="19" xfId="0" applyNumberFormat="1" applyFont="1" applyFill="1" applyBorder="1" applyAlignment="1">
      <alignment horizontal="left" vertical="center"/>
    </xf>
    <xf numFmtId="49" fontId="3" fillId="0" borderId="17" xfId="0" applyNumberFormat="1" applyFont="1" applyFill="1" applyBorder="1" applyAlignment="1">
      <alignment horizontal="left" vertical="center"/>
    </xf>
    <xf numFmtId="0" fontId="5" fillId="0" borderId="2" xfId="0" applyFont="1" applyFill="1" applyBorder="1" applyAlignment="1">
      <alignment horizontal="center" vertical="center" shrinkToFit="1"/>
    </xf>
    <xf numFmtId="0" fontId="5" fillId="0" borderId="3" xfId="0" applyFont="1" applyFill="1" applyBorder="1" applyAlignment="1">
      <alignment horizontal="center" vertical="center" shrinkToFit="1"/>
    </xf>
    <xf numFmtId="0" fontId="5" fillId="0" borderId="4" xfId="0" applyFont="1" applyFill="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33" xfId="0" applyNumberFormat="1" applyFont="1" applyFill="1" applyBorder="1" applyAlignment="1">
      <alignment horizontal="left" vertical="center" wrapText="1"/>
    </xf>
    <xf numFmtId="49" fontId="3" fillId="0" borderId="34" xfId="0" applyNumberFormat="1" applyFont="1" applyFill="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0" xfId="0" applyFont="1" applyAlignment="1">
      <alignment horizontal="right" vertical="center"/>
    </xf>
    <xf numFmtId="0" fontId="2" fillId="0" borderId="2" xfId="0" applyFont="1" applyFill="1" applyBorder="1" applyAlignment="1">
      <alignment horizontal="center" vertical="center"/>
    </xf>
    <xf numFmtId="0" fontId="2" fillId="0" borderId="3" xfId="0" applyFont="1" applyFill="1" applyBorder="1" applyAlignment="1">
      <alignment horizontal="center" vertical="center"/>
    </xf>
    <xf numFmtId="0" fontId="2" fillId="0" borderId="4" xfId="0" applyFont="1" applyFill="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5" fillId="0" borderId="6" xfId="0" applyFont="1" applyFill="1" applyBorder="1" applyAlignment="1">
      <alignment horizontal="left" vertical="center" wrapText="1"/>
    </xf>
    <xf numFmtId="0" fontId="5" fillId="0" borderId="1" xfId="0" applyFont="1" applyFill="1" applyBorder="1" applyAlignment="1">
      <alignment horizontal="center" vertical="center"/>
    </xf>
    <xf numFmtId="0" fontId="3" fillId="0" borderId="1" xfId="0" applyFont="1" applyFill="1" applyBorder="1" applyAlignment="1">
      <alignment vertical="center" wrapText="1"/>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Fill="1" applyBorder="1" applyAlignment="1">
      <alignment horizontal="center" vertical="center" wrapText="1" shrinkToFit="1"/>
    </xf>
    <xf numFmtId="0" fontId="2" fillId="0" borderId="7" xfId="0" applyFont="1" applyFill="1" applyBorder="1" applyAlignment="1">
      <alignment vertical="top" wrapText="1"/>
    </xf>
    <xf numFmtId="0" fontId="2" fillId="0" borderId="8" xfId="0" applyFont="1" applyFill="1" applyBorder="1" applyAlignment="1">
      <alignment vertical="top" wrapText="1"/>
    </xf>
    <xf numFmtId="0" fontId="2" fillId="0" borderId="9" xfId="0" applyFont="1" applyFill="1" applyBorder="1" applyAlignment="1">
      <alignment vertical="top" wrapText="1"/>
    </xf>
    <xf numFmtId="0" fontId="2" fillId="0" borderId="5" xfId="0" applyFont="1" applyFill="1" applyBorder="1" applyAlignment="1">
      <alignment vertical="top" wrapText="1"/>
    </xf>
    <xf numFmtId="0" fontId="2" fillId="0" borderId="0" xfId="0" applyFont="1" applyFill="1" applyAlignment="1">
      <alignment vertical="top" wrapText="1"/>
    </xf>
    <xf numFmtId="0" fontId="2" fillId="0" borderId="10" xfId="0" applyFont="1" applyFill="1" applyBorder="1" applyAlignment="1">
      <alignment vertical="top" wrapText="1"/>
    </xf>
    <xf numFmtId="0" fontId="2" fillId="0" borderId="11" xfId="0" applyFont="1" applyFill="1" applyBorder="1" applyAlignment="1">
      <alignment vertical="top" wrapText="1"/>
    </xf>
    <xf numFmtId="0" fontId="2" fillId="0" borderId="6" xfId="0" applyFont="1" applyFill="1" applyBorder="1" applyAlignment="1">
      <alignment vertical="top" wrapText="1"/>
    </xf>
    <xf numFmtId="0" fontId="2" fillId="0" borderId="12" xfId="0" applyFont="1" applyFill="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0" xfId="0" applyFont="1" applyAlignment="1">
      <alignment horizontal="left" vertical="center" wrapText="1"/>
    </xf>
    <xf numFmtId="0" fontId="2" fillId="0" borderId="2" xfId="0" applyFont="1" applyFill="1" applyBorder="1" applyAlignment="1">
      <alignment vertical="center"/>
    </xf>
    <xf numFmtId="0" fontId="2" fillId="0" borderId="3" xfId="0" applyFont="1" applyFill="1" applyBorder="1" applyAlignment="1">
      <alignment vertical="center"/>
    </xf>
    <xf numFmtId="0" fontId="2" fillId="0" borderId="4" xfId="0" applyFont="1" applyFill="1" applyBorder="1" applyAlignment="1">
      <alignment vertical="center"/>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wrapText="1" shrinkToFit="1"/>
    </xf>
    <xf numFmtId="0" fontId="2" fillId="0" borderId="0" xfId="0" applyFont="1" applyFill="1" applyAlignment="1">
      <alignment vertical="top" wrapText="1" shrinkToFit="1"/>
    </xf>
    <xf numFmtId="0" fontId="2" fillId="0" borderId="10"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2" xfId="0" applyFont="1" applyFill="1" applyBorder="1" applyAlignment="1">
      <alignment horizontal="left" vertical="center"/>
    </xf>
    <xf numFmtId="0" fontId="5" fillId="0" borderId="3" xfId="0" applyFont="1" applyFill="1" applyBorder="1">
      <alignment vertical="center"/>
    </xf>
    <xf numFmtId="0" fontId="5" fillId="0" borderId="4" xfId="0" applyFont="1" applyFill="1" applyBorder="1">
      <alignmen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5" fillId="0" borderId="4" xfId="0" applyFont="1" applyFill="1" applyBorder="1" applyAlignment="1">
      <alignment horizontal="left" vertical="center"/>
    </xf>
    <xf numFmtId="0" fontId="2" fillId="0" borderId="0" xfId="0" applyFont="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11" fillId="0" borderId="18" xfId="0" applyFont="1" applyBorder="1" applyAlignment="1">
      <alignment vertical="top" wrapText="1" shrinkToFit="1"/>
    </xf>
    <xf numFmtId="0" fontId="11" fillId="0" borderId="19" xfId="0" applyFont="1" applyBorder="1" applyAlignment="1">
      <alignment vertical="top" wrapText="1" shrinkToFit="1"/>
    </xf>
    <xf numFmtId="0" fontId="11" fillId="0" borderId="17"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zoomScaleNormal="100" zoomScaleSheetLayoutView="100" workbookViewId="0"/>
  </sheetViews>
  <sheetFormatPr defaultColWidth="9" defaultRowHeight="18.75" customHeight="1" x14ac:dyDescent="0.15"/>
  <cols>
    <col min="1" max="1" width="2.5" style="69" customWidth="1"/>
    <col min="2" max="2" width="16.5" style="69" customWidth="1"/>
    <col min="3" max="21" width="5.625" style="69" customWidth="1"/>
    <col min="22" max="22" width="9" style="69"/>
    <col min="23" max="23" width="3.625" style="69" customWidth="1"/>
    <col min="24" max="24" width="48.625" style="69" hidden="1" customWidth="1"/>
    <col min="25" max="16384" width="9" style="69"/>
  </cols>
  <sheetData>
    <row r="1" spans="1:24" ht="18.600000000000001" customHeight="1" x14ac:dyDescent="0.15">
      <c r="T1" s="129" t="s">
        <v>12</v>
      </c>
      <c r="U1" s="129"/>
      <c r="V1" s="1" t="s">
        <v>94</v>
      </c>
    </row>
    <row r="2" spans="1:24" ht="18.75" customHeight="1" x14ac:dyDescent="0.15">
      <c r="B2" s="18" t="s">
        <v>93</v>
      </c>
      <c r="C2" s="108" t="s">
        <v>129</v>
      </c>
      <c r="D2" s="109"/>
      <c r="E2" s="109"/>
      <c r="F2" s="109"/>
      <c r="G2" s="109"/>
      <c r="H2" s="109"/>
      <c r="I2" s="109"/>
      <c r="J2" s="110"/>
      <c r="K2" s="19"/>
      <c r="L2" s="3"/>
      <c r="M2" s="3"/>
      <c r="N2" s="3"/>
      <c r="O2" s="3"/>
      <c r="P2" s="3"/>
      <c r="Q2" s="3"/>
      <c r="R2" s="3"/>
      <c r="S2" s="3"/>
      <c r="T2" s="3"/>
      <c r="U2" s="3"/>
    </row>
    <row r="3" spans="1:24" ht="18.75" customHeight="1" x14ac:dyDescent="0.15">
      <c r="B3" s="18" t="s">
        <v>89</v>
      </c>
      <c r="C3" s="130" t="s">
        <v>152</v>
      </c>
      <c r="D3" s="131"/>
      <c r="E3" s="131"/>
      <c r="F3" s="131"/>
      <c r="G3" s="131"/>
      <c r="H3" s="131"/>
      <c r="I3" s="131"/>
      <c r="J3" s="132"/>
      <c r="K3" s="19"/>
      <c r="L3" s="3"/>
      <c r="M3" s="3"/>
      <c r="N3" s="3"/>
      <c r="O3" s="3"/>
      <c r="P3" s="3"/>
      <c r="Q3" s="3"/>
      <c r="R3" s="3"/>
      <c r="S3" s="3"/>
      <c r="T3" s="3"/>
      <c r="U3" s="3"/>
    </row>
    <row r="4" spans="1:24" ht="15" customHeight="1" x14ac:dyDescent="0.15">
      <c r="L4" s="19"/>
      <c r="M4" s="72"/>
      <c r="N4" s="72"/>
      <c r="O4" s="72"/>
      <c r="P4" s="72"/>
      <c r="Q4" s="72"/>
      <c r="R4" s="72"/>
      <c r="S4" s="72"/>
      <c r="T4" s="72"/>
      <c r="U4" s="72"/>
    </row>
    <row r="5" spans="1:24" ht="18" customHeight="1" x14ac:dyDescent="0.15">
      <c r="A5" s="133" t="s">
        <v>36</v>
      </c>
      <c r="B5" s="133"/>
      <c r="C5" s="133"/>
      <c r="D5" s="133"/>
      <c r="E5" s="133"/>
      <c r="F5" s="133"/>
      <c r="G5" s="133"/>
      <c r="H5" s="133"/>
      <c r="I5" s="133"/>
      <c r="J5" s="133"/>
      <c r="K5" s="133"/>
      <c r="L5" s="133"/>
      <c r="M5" s="133"/>
      <c r="N5" s="133"/>
      <c r="O5" s="133"/>
      <c r="P5" s="133"/>
      <c r="Q5" s="133"/>
      <c r="R5" s="133"/>
      <c r="S5" s="133"/>
      <c r="T5" s="133"/>
      <c r="U5" s="133"/>
    </row>
    <row r="6" spans="1:24" ht="15" customHeight="1" x14ac:dyDescent="0.15">
      <c r="B6" s="67"/>
      <c r="C6" s="67"/>
      <c r="D6" s="67"/>
      <c r="E6" s="67"/>
      <c r="F6" s="67"/>
      <c r="G6" s="67"/>
      <c r="H6" s="67"/>
      <c r="I6" s="67"/>
      <c r="J6" s="67"/>
      <c r="K6" s="67"/>
      <c r="L6" s="67"/>
      <c r="M6" s="67"/>
      <c r="N6" s="67"/>
      <c r="O6" s="67"/>
      <c r="P6" s="67"/>
      <c r="Q6" s="67"/>
      <c r="R6" s="67"/>
      <c r="S6" s="67"/>
      <c r="T6" s="67"/>
      <c r="U6" s="67"/>
    </row>
    <row r="7" spans="1:24" ht="15" customHeight="1" x14ac:dyDescent="0.15">
      <c r="A7" s="69" t="s">
        <v>124</v>
      </c>
      <c r="B7" s="67"/>
      <c r="C7" s="67"/>
      <c r="D7" s="67"/>
      <c r="E7" s="67"/>
      <c r="F7" s="1"/>
      <c r="G7" s="1"/>
      <c r="H7" s="1"/>
      <c r="I7" s="1"/>
      <c r="J7" s="1"/>
      <c r="K7" s="1"/>
      <c r="L7" s="105" t="s">
        <v>130</v>
      </c>
      <c r="M7" s="106"/>
      <c r="N7" s="106"/>
      <c r="O7" s="106"/>
      <c r="P7" s="106"/>
      <c r="Q7" s="106"/>
      <c r="R7" s="106"/>
      <c r="S7" s="106"/>
      <c r="T7" s="106"/>
      <c r="U7" s="107"/>
    </row>
    <row r="8" spans="1:24" ht="6" customHeight="1" x14ac:dyDescent="0.15">
      <c r="B8" s="67"/>
      <c r="C8" s="67"/>
      <c r="D8" s="67"/>
      <c r="E8" s="67"/>
      <c r="F8" s="67"/>
      <c r="G8" s="67"/>
      <c r="H8" s="67"/>
      <c r="I8" s="67"/>
      <c r="J8" s="67"/>
      <c r="K8" s="67"/>
      <c r="L8" s="67"/>
      <c r="M8" s="67"/>
      <c r="N8" s="67"/>
      <c r="O8" s="67"/>
      <c r="P8" s="67"/>
      <c r="Q8" s="67"/>
      <c r="R8" s="67"/>
      <c r="S8" s="67"/>
      <c r="T8" s="67"/>
      <c r="U8" s="67"/>
    </row>
    <row r="9" spans="1:24" ht="18" customHeight="1" x14ac:dyDescent="0.15">
      <c r="A9" s="69" t="s">
        <v>125</v>
      </c>
      <c r="C9" s="67"/>
      <c r="D9" s="67"/>
      <c r="K9" s="19"/>
      <c r="L9" s="1"/>
      <c r="M9" s="1"/>
      <c r="N9" s="1"/>
      <c r="O9" s="1"/>
      <c r="P9" s="1"/>
      <c r="Q9" s="1"/>
      <c r="R9" s="1"/>
      <c r="S9" s="1"/>
      <c r="T9" s="1"/>
      <c r="U9" s="1"/>
    </row>
    <row r="10" spans="1:24" ht="6" customHeight="1" x14ac:dyDescent="0.15">
      <c r="B10" s="67"/>
      <c r="C10" s="67"/>
      <c r="D10" s="67"/>
      <c r="E10" s="67"/>
      <c r="F10" s="67"/>
      <c r="G10" s="67"/>
      <c r="H10" s="67"/>
      <c r="I10" s="67"/>
      <c r="J10" s="67"/>
      <c r="K10" s="67"/>
      <c r="L10" s="7"/>
      <c r="M10" s="67"/>
      <c r="N10" s="67"/>
      <c r="O10" s="67"/>
      <c r="P10" s="67"/>
      <c r="Q10" s="67"/>
      <c r="R10" s="67"/>
      <c r="S10" s="67"/>
      <c r="T10" s="67"/>
      <c r="U10" s="67"/>
    </row>
    <row r="11" spans="1:24" ht="18" customHeight="1" x14ac:dyDescent="0.15">
      <c r="B11" s="113"/>
      <c r="C11" s="114"/>
      <c r="D11" s="114"/>
      <c r="E11" s="114"/>
      <c r="F11" s="114"/>
      <c r="G11" s="114"/>
      <c r="H11" s="114"/>
      <c r="I11" s="114"/>
      <c r="J11" s="114"/>
      <c r="K11" s="114"/>
      <c r="L11" s="114"/>
      <c r="M11" s="114"/>
      <c r="N11" s="114"/>
      <c r="O11" s="114"/>
      <c r="P11" s="114"/>
      <c r="Q11" s="114"/>
      <c r="R11" s="114"/>
      <c r="S11" s="114"/>
      <c r="T11" s="114"/>
      <c r="U11" s="115"/>
    </row>
    <row r="12" spans="1:24" ht="18" customHeight="1" x14ac:dyDescent="0.15">
      <c r="B12" s="116"/>
      <c r="C12" s="117"/>
      <c r="D12" s="117"/>
      <c r="E12" s="117"/>
      <c r="F12" s="117"/>
      <c r="G12" s="117"/>
      <c r="H12" s="117"/>
      <c r="I12" s="117"/>
      <c r="J12" s="117"/>
      <c r="K12" s="117"/>
      <c r="L12" s="117"/>
      <c r="M12" s="117"/>
      <c r="N12" s="117"/>
      <c r="O12" s="117"/>
      <c r="P12" s="117"/>
      <c r="Q12" s="117"/>
      <c r="R12" s="117"/>
      <c r="S12" s="117"/>
      <c r="T12" s="117"/>
      <c r="U12" s="118"/>
    </row>
    <row r="13" spans="1:24" ht="6" customHeight="1" x14ac:dyDescent="0.15">
      <c r="B13" s="67"/>
      <c r="C13" s="67"/>
      <c r="D13" s="67"/>
      <c r="E13" s="67"/>
      <c r="F13" s="67"/>
      <c r="G13" s="67"/>
      <c r="H13" s="67"/>
      <c r="I13" s="67"/>
      <c r="J13" s="67"/>
      <c r="K13" s="67"/>
      <c r="L13" s="7"/>
      <c r="M13" s="67"/>
      <c r="N13" s="67"/>
      <c r="O13" s="67"/>
      <c r="P13" s="67"/>
      <c r="Q13" s="67"/>
      <c r="R13" s="67"/>
      <c r="S13" s="67"/>
      <c r="T13" s="67"/>
      <c r="U13" s="67"/>
    </row>
    <row r="14" spans="1:24" ht="18" customHeight="1" x14ac:dyDescent="0.15">
      <c r="A14" s="69" t="s">
        <v>95</v>
      </c>
      <c r="B14" s="67"/>
      <c r="C14" s="67"/>
      <c r="D14" s="67"/>
      <c r="E14" s="19"/>
      <c r="F14" s="19"/>
      <c r="G14" s="19"/>
      <c r="H14" s="19"/>
      <c r="I14" s="19"/>
      <c r="J14" s="19"/>
      <c r="K14" s="19"/>
      <c r="L14" s="73"/>
      <c r="M14" s="73"/>
      <c r="N14" s="73"/>
      <c r="O14" s="73"/>
      <c r="P14" s="73"/>
      <c r="Q14" s="73"/>
      <c r="R14" s="73"/>
      <c r="S14" s="73"/>
      <c r="T14" s="73"/>
      <c r="U14" s="73"/>
    </row>
    <row r="15" spans="1:24" ht="18" customHeight="1" x14ac:dyDescent="0.15">
      <c r="B15" s="134" t="s">
        <v>149</v>
      </c>
      <c r="C15" s="135"/>
      <c r="D15" s="135"/>
      <c r="E15" s="135"/>
      <c r="F15" s="135"/>
      <c r="G15" s="135"/>
      <c r="H15" s="135"/>
      <c r="I15" s="135"/>
      <c r="J15" s="135"/>
      <c r="K15" s="135"/>
      <c r="L15" s="135"/>
      <c r="M15" s="135"/>
      <c r="N15" s="135"/>
      <c r="O15" s="135"/>
      <c r="P15" s="135"/>
      <c r="Q15" s="135"/>
      <c r="R15" s="135"/>
      <c r="S15" s="135"/>
      <c r="T15" s="135"/>
      <c r="U15" s="136"/>
      <c r="X15" s="69" t="s">
        <v>90</v>
      </c>
    </row>
    <row r="16" spans="1:24" ht="18" customHeight="1" x14ac:dyDescent="0.15">
      <c r="B16" s="137"/>
      <c r="C16" s="138"/>
      <c r="D16" s="138"/>
      <c r="E16" s="138"/>
      <c r="F16" s="138"/>
      <c r="G16" s="138"/>
      <c r="H16" s="138"/>
      <c r="I16" s="138"/>
      <c r="J16" s="138"/>
      <c r="K16" s="138"/>
      <c r="L16" s="138"/>
      <c r="M16" s="138"/>
      <c r="N16" s="138"/>
      <c r="O16" s="138"/>
      <c r="P16" s="138"/>
      <c r="Q16" s="138"/>
      <c r="R16" s="138"/>
      <c r="S16" s="138"/>
      <c r="T16" s="138"/>
      <c r="U16" s="139"/>
      <c r="X16" s="69" t="s">
        <v>109</v>
      </c>
    </row>
    <row r="17" spans="1:24" ht="18" customHeight="1" x14ac:dyDescent="0.15">
      <c r="B17" s="137"/>
      <c r="C17" s="138"/>
      <c r="D17" s="138"/>
      <c r="E17" s="138"/>
      <c r="F17" s="138"/>
      <c r="G17" s="138"/>
      <c r="H17" s="138"/>
      <c r="I17" s="138"/>
      <c r="J17" s="138"/>
      <c r="K17" s="138"/>
      <c r="L17" s="138"/>
      <c r="M17" s="138"/>
      <c r="N17" s="138"/>
      <c r="O17" s="138"/>
      <c r="P17" s="138"/>
      <c r="Q17" s="138"/>
      <c r="R17" s="138"/>
      <c r="S17" s="138"/>
      <c r="T17" s="138"/>
      <c r="U17" s="139"/>
      <c r="X17" s="69" t="s">
        <v>110</v>
      </c>
    </row>
    <row r="18" spans="1:24" ht="18" customHeight="1" x14ac:dyDescent="0.15">
      <c r="B18" s="137"/>
      <c r="C18" s="138"/>
      <c r="D18" s="138"/>
      <c r="E18" s="138"/>
      <c r="F18" s="138"/>
      <c r="G18" s="138"/>
      <c r="H18" s="138"/>
      <c r="I18" s="138"/>
      <c r="J18" s="138"/>
      <c r="K18" s="138"/>
      <c r="L18" s="138"/>
      <c r="M18" s="138"/>
      <c r="N18" s="138"/>
      <c r="O18" s="138"/>
      <c r="P18" s="138"/>
      <c r="Q18" s="138"/>
      <c r="R18" s="138"/>
      <c r="S18" s="138"/>
      <c r="T18" s="138"/>
      <c r="U18" s="139"/>
      <c r="X18" s="69" t="s">
        <v>111</v>
      </c>
    </row>
    <row r="19" spans="1:24" ht="18" customHeight="1" x14ac:dyDescent="0.15">
      <c r="B19" s="137"/>
      <c r="C19" s="138"/>
      <c r="D19" s="138"/>
      <c r="E19" s="138"/>
      <c r="F19" s="138"/>
      <c r="G19" s="138"/>
      <c r="H19" s="138"/>
      <c r="I19" s="138"/>
      <c r="J19" s="138"/>
      <c r="K19" s="138"/>
      <c r="L19" s="138"/>
      <c r="M19" s="138"/>
      <c r="N19" s="138"/>
      <c r="O19" s="138"/>
      <c r="P19" s="138"/>
      <c r="Q19" s="138"/>
      <c r="R19" s="138"/>
      <c r="S19" s="138"/>
      <c r="T19" s="138"/>
      <c r="U19" s="139"/>
    </row>
    <row r="20" spans="1:24" ht="18" customHeight="1" x14ac:dyDescent="0.15">
      <c r="B20" s="140"/>
      <c r="C20" s="141"/>
      <c r="D20" s="141"/>
      <c r="E20" s="141"/>
      <c r="F20" s="141"/>
      <c r="G20" s="141"/>
      <c r="H20" s="141"/>
      <c r="I20" s="141"/>
      <c r="J20" s="141"/>
      <c r="K20" s="141"/>
      <c r="L20" s="141"/>
      <c r="M20" s="141"/>
      <c r="N20" s="141"/>
      <c r="O20" s="141"/>
      <c r="P20" s="141"/>
      <c r="Q20" s="141"/>
      <c r="R20" s="141"/>
      <c r="S20" s="141"/>
      <c r="T20" s="141"/>
      <c r="U20" s="142"/>
    </row>
    <row r="21" spans="1:24" ht="7.5" customHeight="1" x14ac:dyDescent="0.15">
      <c r="B21" s="67"/>
      <c r="C21" s="67"/>
      <c r="D21" s="67"/>
      <c r="E21" s="67"/>
      <c r="F21" s="67"/>
      <c r="G21" s="67"/>
      <c r="H21" s="67"/>
      <c r="I21" s="67"/>
      <c r="J21" s="67"/>
      <c r="K21" s="67"/>
      <c r="L21" s="67"/>
      <c r="M21" s="67"/>
      <c r="N21" s="67"/>
      <c r="O21" s="67"/>
      <c r="P21" s="67"/>
      <c r="Q21" s="67"/>
      <c r="R21" s="67"/>
      <c r="S21" s="67"/>
      <c r="T21" s="67"/>
      <c r="U21" s="67"/>
    </row>
    <row r="22" spans="1:24" ht="20.100000000000001" customHeight="1" x14ac:dyDescent="0.15">
      <c r="B22" s="69" t="s">
        <v>126</v>
      </c>
      <c r="E22" s="74">
        <v>2</v>
      </c>
      <c r="F22" s="69" t="s">
        <v>107</v>
      </c>
      <c r="H22" s="20">
        <v>4</v>
      </c>
      <c r="I22" s="67" t="s">
        <v>108</v>
      </c>
      <c r="J22" s="67"/>
      <c r="K22" s="19"/>
      <c r="M22" s="19" t="s">
        <v>104</v>
      </c>
      <c r="N22" s="102" t="s">
        <v>111</v>
      </c>
      <c r="O22" s="103"/>
      <c r="P22" s="103"/>
      <c r="Q22" s="103"/>
      <c r="R22" s="103"/>
      <c r="S22" s="103"/>
      <c r="T22" s="103"/>
      <c r="U22" s="104"/>
    </row>
    <row r="23" spans="1:24" ht="7.5" customHeight="1" x14ac:dyDescent="0.15">
      <c r="B23" s="67"/>
      <c r="C23" s="67"/>
      <c r="D23" s="67"/>
      <c r="E23" s="67"/>
      <c r="F23" s="67"/>
      <c r="G23" s="67"/>
      <c r="H23" s="67"/>
      <c r="I23" s="67"/>
      <c r="J23" s="67"/>
      <c r="K23" s="67"/>
      <c r="L23" s="67"/>
      <c r="M23" s="67"/>
      <c r="N23" s="67"/>
      <c r="O23" s="67"/>
      <c r="P23" s="67"/>
      <c r="Q23" s="67"/>
      <c r="R23" s="67"/>
      <c r="S23" s="67"/>
      <c r="T23" s="67"/>
      <c r="U23" s="67"/>
    </row>
    <row r="24" spans="1:24" ht="18" customHeight="1" x14ac:dyDescent="0.15">
      <c r="A24" s="128" t="s">
        <v>96</v>
      </c>
      <c r="B24" s="128"/>
      <c r="C24" s="128"/>
      <c r="D24" s="128"/>
      <c r="E24" s="128"/>
      <c r="F24" s="128"/>
      <c r="G24" s="128"/>
      <c r="H24" s="128"/>
      <c r="I24" s="128"/>
      <c r="J24" s="128"/>
      <c r="K24" s="128"/>
      <c r="L24" s="128"/>
      <c r="M24" s="128"/>
      <c r="N24" s="128"/>
      <c r="O24" s="128"/>
      <c r="P24" s="128"/>
      <c r="Q24" s="128"/>
      <c r="R24" s="128"/>
      <c r="S24" s="128"/>
      <c r="T24" s="128"/>
      <c r="U24" s="128"/>
    </row>
    <row r="25" spans="1:24" ht="18" customHeight="1" x14ac:dyDescent="0.15">
      <c r="A25" s="128"/>
      <c r="B25" s="128"/>
      <c r="C25" s="128"/>
      <c r="D25" s="128"/>
      <c r="E25" s="128"/>
      <c r="F25" s="128"/>
      <c r="G25" s="128"/>
      <c r="H25" s="128"/>
      <c r="I25" s="128"/>
      <c r="J25" s="128"/>
      <c r="K25" s="128"/>
      <c r="L25" s="128"/>
      <c r="M25" s="128"/>
      <c r="N25" s="128"/>
      <c r="O25" s="128"/>
      <c r="P25" s="128"/>
      <c r="Q25" s="128"/>
      <c r="R25" s="128"/>
      <c r="S25" s="128"/>
      <c r="T25" s="128"/>
      <c r="U25" s="128"/>
    </row>
    <row r="26" spans="1:24" ht="18" customHeight="1" x14ac:dyDescent="0.15">
      <c r="B26" s="108" t="s">
        <v>50</v>
      </c>
      <c r="C26" s="109"/>
      <c r="D26" s="109"/>
      <c r="E26" s="109"/>
      <c r="F26" s="110"/>
      <c r="G26" s="37" t="s">
        <v>74</v>
      </c>
      <c r="H26" s="36" t="s">
        <v>77</v>
      </c>
      <c r="I26" s="12" t="s">
        <v>53</v>
      </c>
      <c r="J26" s="12" t="s">
        <v>55</v>
      </c>
      <c r="K26" s="108" t="s">
        <v>50</v>
      </c>
      <c r="L26" s="109"/>
      <c r="M26" s="109"/>
      <c r="N26" s="109"/>
      <c r="O26" s="109"/>
      <c r="P26" s="109"/>
      <c r="Q26" s="110"/>
      <c r="R26" s="37" t="s">
        <v>74</v>
      </c>
      <c r="S26" s="36" t="s">
        <v>77</v>
      </c>
      <c r="T26" s="12" t="s">
        <v>53</v>
      </c>
      <c r="U26" s="12" t="s">
        <v>55</v>
      </c>
    </row>
    <row r="27" spans="1:24" ht="18" customHeight="1" x14ac:dyDescent="0.15">
      <c r="B27" s="125" t="s">
        <v>132</v>
      </c>
      <c r="C27" s="126"/>
      <c r="D27" s="126"/>
      <c r="E27" s="126"/>
      <c r="F27" s="127"/>
      <c r="G27" s="13">
        <v>2</v>
      </c>
      <c r="H27" s="13" t="s">
        <v>131</v>
      </c>
      <c r="I27" s="13" t="s">
        <v>131</v>
      </c>
      <c r="J27" s="13" t="s">
        <v>131</v>
      </c>
      <c r="K27" s="125"/>
      <c r="L27" s="126"/>
      <c r="M27" s="126"/>
      <c r="N27" s="126"/>
      <c r="O27" s="126"/>
      <c r="P27" s="126"/>
      <c r="Q27" s="127"/>
      <c r="R27" s="13"/>
      <c r="S27" s="13"/>
      <c r="T27" s="13"/>
      <c r="U27" s="13"/>
    </row>
    <row r="28" spans="1:24" ht="18" customHeight="1" x14ac:dyDescent="0.15">
      <c r="B28" s="119"/>
      <c r="C28" s="120"/>
      <c r="D28" s="120"/>
      <c r="E28" s="120"/>
      <c r="F28" s="121"/>
      <c r="G28" s="14"/>
      <c r="H28" s="14"/>
      <c r="I28" s="14"/>
      <c r="J28" s="14"/>
      <c r="K28" s="119"/>
      <c r="L28" s="120"/>
      <c r="M28" s="120"/>
      <c r="N28" s="120"/>
      <c r="O28" s="120"/>
      <c r="P28" s="120"/>
      <c r="Q28" s="121"/>
      <c r="R28" s="14"/>
      <c r="S28" s="14"/>
      <c r="T28" s="14"/>
      <c r="U28" s="14"/>
    </row>
    <row r="29" spans="1:24" ht="18" customHeight="1" x14ac:dyDescent="0.15">
      <c r="B29" s="119"/>
      <c r="C29" s="120"/>
      <c r="D29" s="120"/>
      <c r="E29" s="120"/>
      <c r="F29" s="121"/>
      <c r="G29" s="14"/>
      <c r="H29" s="14"/>
      <c r="I29" s="14"/>
      <c r="J29" s="14"/>
      <c r="K29" s="119"/>
      <c r="L29" s="120"/>
      <c r="M29" s="120"/>
      <c r="N29" s="120"/>
      <c r="O29" s="120"/>
      <c r="P29" s="120"/>
      <c r="Q29" s="121"/>
      <c r="R29" s="14"/>
      <c r="S29" s="14"/>
      <c r="T29" s="14"/>
      <c r="U29" s="14"/>
    </row>
    <row r="30" spans="1:24" ht="18" customHeight="1" x14ac:dyDescent="0.15">
      <c r="B30" s="119"/>
      <c r="C30" s="120"/>
      <c r="D30" s="120"/>
      <c r="E30" s="120"/>
      <c r="F30" s="121"/>
      <c r="G30" s="14"/>
      <c r="H30" s="14"/>
      <c r="I30" s="14"/>
      <c r="J30" s="14"/>
      <c r="K30" s="119"/>
      <c r="L30" s="120"/>
      <c r="M30" s="120"/>
      <c r="N30" s="120"/>
      <c r="O30" s="120"/>
      <c r="P30" s="120"/>
      <c r="Q30" s="121"/>
      <c r="R30" s="14"/>
      <c r="S30" s="14"/>
      <c r="T30" s="14"/>
      <c r="U30" s="14"/>
    </row>
    <row r="31" spans="1:24" ht="18" customHeight="1" x14ac:dyDescent="0.15">
      <c r="B31" s="119"/>
      <c r="C31" s="120"/>
      <c r="D31" s="120"/>
      <c r="E31" s="120"/>
      <c r="F31" s="121"/>
      <c r="G31" s="14"/>
      <c r="H31" s="14"/>
      <c r="I31" s="14"/>
      <c r="J31" s="14"/>
      <c r="K31" s="119"/>
      <c r="L31" s="120"/>
      <c r="M31" s="120"/>
      <c r="N31" s="120"/>
      <c r="O31" s="120"/>
      <c r="P31" s="120"/>
      <c r="Q31" s="121"/>
      <c r="R31" s="14"/>
      <c r="S31" s="14"/>
      <c r="T31" s="14"/>
      <c r="U31" s="14"/>
    </row>
    <row r="32" spans="1:24" ht="18" customHeight="1" x14ac:dyDescent="0.15">
      <c r="A32" s="67"/>
      <c r="B32" s="119"/>
      <c r="C32" s="120"/>
      <c r="D32" s="120"/>
      <c r="E32" s="120"/>
      <c r="F32" s="121"/>
      <c r="G32" s="14"/>
      <c r="H32" s="14"/>
      <c r="I32" s="14"/>
      <c r="J32" s="14"/>
      <c r="K32" s="119"/>
      <c r="L32" s="120"/>
      <c r="M32" s="120"/>
      <c r="N32" s="120"/>
      <c r="O32" s="120"/>
      <c r="P32" s="120"/>
      <c r="Q32" s="121"/>
      <c r="R32" s="14"/>
      <c r="S32" s="14"/>
      <c r="T32" s="14"/>
      <c r="U32" s="14"/>
    </row>
    <row r="33" spans="1:21" ht="18" customHeight="1" x14ac:dyDescent="0.15">
      <c r="A33" s="67"/>
      <c r="B33" s="122"/>
      <c r="C33" s="123"/>
      <c r="D33" s="123"/>
      <c r="E33" s="123"/>
      <c r="F33" s="124"/>
      <c r="G33" s="15"/>
      <c r="H33" s="15"/>
      <c r="I33" s="16"/>
      <c r="J33" s="16"/>
      <c r="K33" s="122"/>
      <c r="L33" s="123"/>
      <c r="M33" s="123"/>
      <c r="N33" s="123"/>
      <c r="O33" s="123"/>
      <c r="P33" s="123"/>
      <c r="Q33" s="124"/>
      <c r="R33" s="15"/>
      <c r="S33" s="15"/>
      <c r="T33" s="16"/>
      <c r="U33" s="16"/>
    </row>
    <row r="34" spans="1:21" ht="7.5" customHeight="1" x14ac:dyDescent="0.15">
      <c r="A34" s="67"/>
      <c r="B34" s="3"/>
      <c r="C34" s="3"/>
      <c r="D34" s="3"/>
      <c r="E34" s="67"/>
      <c r="F34" s="67"/>
      <c r="G34" s="67"/>
      <c r="H34" s="67"/>
      <c r="I34" s="3"/>
      <c r="J34" s="3"/>
      <c r="K34" s="3"/>
      <c r="L34" s="3"/>
      <c r="M34" s="3"/>
      <c r="N34" s="3"/>
      <c r="O34" s="3"/>
      <c r="P34" s="3"/>
      <c r="Q34" s="3"/>
      <c r="R34" s="3"/>
      <c r="S34" s="3"/>
      <c r="T34" s="3"/>
      <c r="U34" s="67"/>
    </row>
    <row r="35" spans="1:21" ht="18" customHeight="1" x14ac:dyDescent="0.15">
      <c r="A35" s="128" t="s">
        <v>97</v>
      </c>
      <c r="B35" s="128"/>
      <c r="C35" s="128"/>
      <c r="D35" s="128"/>
      <c r="E35" s="128"/>
      <c r="F35" s="128"/>
      <c r="G35" s="128"/>
      <c r="H35" s="128"/>
      <c r="I35" s="128"/>
      <c r="J35" s="128"/>
      <c r="K35" s="128"/>
      <c r="L35" s="128"/>
      <c r="M35" s="128"/>
      <c r="N35" s="128"/>
      <c r="O35" s="128"/>
      <c r="P35" s="128"/>
      <c r="Q35" s="128"/>
      <c r="R35" s="128"/>
      <c r="S35" s="128"/>
      <c r="T35" s="128"/>
      <c r="U35" s="128"/>
    </row>
    <row r="36" spans="1:21" ht="18" customHeight="1" x14ac:dyDescent="0.15">
      <c r="A36" s="128"/>
      <c r="B36" s="128"/>
      <c r="C36" s="128"/>
      <c r="D36" s="128"/>
      <c r="E36" s="128"/>
      <c r="F36" s="128"/>
      <c r="G36" s="128"/>
      <c r="H36" s="128"/>
      <c r="I36" s="128"/>
      <c r="J36" s="128"/>
      <c r="K36" s="128"/>
      <c r="L36" s="128"/>
      <c r="M36" s="128"/>
      <c r="N36" s="128"/>
      <c r="O36" s="128"/>
      <c r="P36" s="128"/>
      <c r="Q36" s="128"/>
      <c r="R36" s="128"/>
      <c r="S36" s="128"/>
      <c r="T36" s="128"/>
      <c r="U36" s="128"/>
    </row>
    <row r="37" spans="1:21" ht="18" customHeight="1" x14ac:dyDescent="0.15">
      <c r="B37" s="108" t="s">
        <v>50</v>
      </c>
      <c r="C37" s="109"/>
      <c r="D37" s="109"/>
      <c r="E37" s="109"/>
      <c r="F37" s="110"/>
      <c r="G37" s="37" t="s">
        <v>74</v>
      </c>
      <c r="H37" s="36" t="s">
        <v>77</v>
      </c>
      <c r="I37" s="12" t="s">
        <v>66</v>
      </c>
      <c r="J37" s="12" t="s">
        <v>67</v>
      </c>
      <c r="K37" s="108" t="s">
        <v>50</v>
      </c>
      <c r="L37" s="109"/>
      <c r="M37" s="109"/>
      <c r="N37" s="109"/>
      <c r="O37" s="109"/>
      <c r="P37" s="109"/>
      <c r="Q37" s="110"/>
      <c r="R37" s="37" t="s">
        <v>74</v>
      </c>
      <c r="S37" s="36" t="s">
        <v>77</v>
      </c>
      <c r="T37" s="12" t="s">
        <v>66</v>
      </c>
      <c r="U37" s="12" t="s">
        <v>67</v>
      </c>
    </row>
    <row r="38" spans="1:21" ht="18" customHeight="1" x14ac:dyDescent="0.15">
      <c r="B38" s="125" t="s">
        <v>132</v>
      </c>
      <c r="C38" s="126"/>
      <c r="D38" s="126"/>
      <c r="E38" s="126"/>
      <c r="F38" s="127"/>
      <c r="G38" s="13">
        <v>2</v>
      </c>
      <c r="H38" s="13" t="s">
        <v>131</v>
      </c>
      <c r="I38" s="13" t="s">
        <v>131</v>
      </c>
      <c r="J38" s="13" t="s">
        <v>131</v>
      </c>
      <c r="K38" s="125"/>
      <c r="L38" s="126"/>
      <c r="M38" s="126"/>
      <c r="N38" s="126"/>
      <c r="O38" s="126"/>
      <c r="P38" s="126"/>
      <c r="Q38" s="127"/>
      <c r="R38" s="13"/>
      <c r="S38" s="13"/>
      <c r="T38" s="13"/>
      <c r="U38" s="13"/>
    </row>
    <row r="39" spans="1:21" ht="18" customHeight="1" x14ac:dyDescent="0.15">
      <c r="B39" s="119"/>
      <c r="C39" s="120"/>
      <c r="D39" s="120"/>
      <c r="E39" s="120"/>
      <c r="F39" s="121"/>
      <c r="G39" s="14"/>
      <c r="H39" s="14"/>
      <c r="I39" s="14"/>
      <c r="J39" s="14"/>
      <c r="K39" s="119"/>
      <c r="L39" s="120"/>
      <c r="M39" s="120"/>
      <c r="N39" s="120"/>
      <c r="O39" s="120"/>
      <c r="P39" s="120"/>
      <c r="Q39" s="121"/>
      <c r="R39" s="14"/>
      <c r="S39" s="14"/>
      <c r="T39" s="14"/>
      <c r="U39" s="14"/>
    </row>
    <row r="40" spans="1:21" ht="18" customHeight="1" x14ac:dyDescent="0.15">
      <c r="B40" s="119"/>
      <c r="C40" s="120"/>
      <c r="D40" s="120"/>
      <c r="E40" s="120"/>
      <c r="F40" s="121"/>
      <c r="G40" s="14"/>
      <c r="H40" s="14"/>
      <c r="I40" s="14"/>
      <c r="J40" s="14"/>
      <c r="K40" s="119"/>
      <c r="L40" s="120"/>
      <c r="M40" s="120"/>
      <c r="N40" s="120"/>
      <c r="O40" s="120"/>
      <c r="P40" s="120"/>
      <c r="Q40" s="121"/>
      <c r="R40" s="14"/>
      <c r="S40" s="14"/>
      <c r="T40" s="14"/>
      <c r="U40" s="14"/>
    </row>
    <row r="41" spans="1:21" ht="18" customHeight="1" x14ac:dyDescent="0.15">
      <c r="B41" s="119"/>
      <c r="C41" s="120"/>
      <c r="D41" s="120"/>
      <c r="E41" s="120"/>
      <c r="F41" s="121"/>
      <c r="G41" s="14"/>
      <c r="H41" s="14"/>
      <c r="I41" s="14"/>
      <c r="J41" s="14"/>
      <c r="K41" s="119"/>
      <c r="L41" s="120"/>
      <c r="M41" s="120"/>
      <c r="N41" s="120"/>
      <c r="O41" s="120"/>
      <c r="P41" s="120"/>
      <c r="Q41" s="121"/>
      <c r="R41" s="14"/>
      <c r="S41" s="14"/>
      <c r="T41" s="14"/>
      <c r="U41" s="14"/>
    </row>
    <row r="42" spans="1:21" ht="18" customHeight="1" x14ac:dyDescent="0.15">
      <c r="B42" s="119"/>
      <c r="C42" s="120"/>
      <c r="D42" s="120"/>
      <c r="E42" s="120"/>
      <c r="F42" s="121"/>
      <c r="G42" s="14"/>
      <c r="H42" s="14"/>
      <c r="I42" s="14"/>
      <c r="J42" s="14"/>
      <c r="K42" s="119"/>
      <c r="L42" s="120"/>
      <c r="M42" s="120"/>
      <c r="N42" s="120"/>
      <c r="O42" s="120"/>
      <c r="P42" s="120"/>
      <c r="Q42" s="121"/>
      <c r="R42" s="14"/>
      <c r="S42" s="14"/>
      <c r="T42" s="14"/>
      <c r="U42" s="14"/>
    </row>
    <row r="43" spans="1:21" ht="18" customHeight="1" x14ac:dyDescent="0.15">
      <c r="B43" s="119"/>
      <c r="C43" s="120"/>
      <c r="D43" s="120"/>
      <c r="E43" s="120"/>
      <c r="F43" s="121"/>
      <c r="G43" s="14"/>
      <c r="H43" s="14"/>
      <c r="I43" s="14"/>
      <c r="J43" s="14"/>
      <c r="K43" s="119"/>
      <c r="L43" s="120"/>
      <c r="M43" s="120"/>
      <c r="N43" s="120"/>
      <c r="O43" s="120"/>
      <c r="P43" s="120"/>
      <c r="Q43" s="121"/>
      <c r="R43" s="14"/>
      <c r="S43" s="14"/>
      <c r="T43" s="14"/>
      <c r="U43" s="14"/>
    </row>
    <row r="44" spans="1:21" ht="18" customHeight="1" x14ac:dyDescent="0.15">
      <c r="B44" s="122"/>
      <c r="C44" s="123"/>
      <c r="D44" s="123"/>
      <c r="E44" s="123"/>
      <c r="F44" s="124"/>
      <c r="G44" s="15"/>
      <c r="H44" s="15"/>
      <c r="I44" s="16"/>
      <c r="J44" s="16"/>
      <c r="K44" s="122"/>
      <c r="L44" s="123"/>
      <c r="M44" s="123"/>
      <c r="N44" s="123"/>
      <c r="O44" s="123"/>
      <c r="P44" s="123"/>
      <c r="Q44" s="124"/>
      <c r="R44" s="15"/>
      <c r="S44" s="15"/>
      <c r="T44" s="16"/>
      <c r="U44" s="16"/>
    </row>
    <row r="45" spans="1:21" ht="7.5" customHeight="1" x14ac:dyDescent="0.15">
      <c r="A45" s="67"/>
      <c r="B45" s="3"/>
      <c r="C45" s="3"/>
      <c r="D45" s="3"/>
      <c r="E45" s="67"/>
      <c r="F45" s="67"/>
      <c r="G45" s="67"/>
      <c r="H45" s="67"/>
      <c r="I45" s="3"/>
      <c r="J45" s="3"/>
      <c r="K45" s="3"/>
      <c r="L45" s="3"/>
      <c r="M45" s="3"/>
      <c r="N45" s="3"/>
      <c r="O45" s="3"/>
      <c r="P45" s="3"/>
      <c r="Q45" s="3"/>
      <c r="R45" s="3"/>
      <c r="S45" s="3"/>
      <c r="T45" s="3"/>
      <c r="U45" s="67"/>
    </row>
    <row r="46" spans="1:21" ht="18" customHeight="1" x14ac:dyDescent="0.15">
      <c r="A46" s="128" t="s">
        <v>98</v>
      </c>
      <c r="B46" s="128"/>
      <c r="C46" s="128"/>
      <c r="D46" s="128"/>
      <c r="E46" s="128"/>
      <c r="F46" s="128"/>
      <c r="G46" s="128"/>
      <c r="H46" s="128"/>
      <c r="I46" s="128"/>
      <c r="J46" s="128"/>
      <c r="K46" s="128"/>
      <c r="L46" s="128"/>
      <c r="M46" s="128"/>
      <c r="N46" s="128"/>
      <c r="O46" s="128"/>
      <c r="P46" s="128"/>
      <c r="Q46" s="128"/>
      <c r="R46" s="128"/>
      <c r="S46" s="128"/>
      <c r="T46" s="128"/>
      <c r="U46" s="128"/>
    </row>
    <row r="47" spans="1:21" ht="18" customHeight="1" x14ac:dyDescent="0.15">
      <c r="A47" s="128"/>
      <c r="B47" s="128"/>
      <c r="C47" s="128"/>
      <c r="D47" s="128"/>
      <c r="E47" s="128"/>
      <c r="F47" s="128"/>
      <c r="G47" s="128"/>
      <c r="H47" s="128"/>
      <c r="I47" s="128"/>
      <c r="J47" s="128"/>
      <c r="K47" s="128"/>
      <c r="L47" s="128"/>
      <c r="M47" s="128"/>
      <c r="N47" s="128"/>
      <c r="O47" s="128"/>
      <c r="P47" s="128"/>
      <c r="Q47" s="128"/>
      <c r="R47" s="128"/>
      <c r="S47" s="128"/>
      <c r="T47" s="128"/>
      <c r="U47" s="128"/>
    </row>
    <row r="48" spans="1:21" ht="18" customHeight="1" x14ac:dyDescent="0.15">
      <c r="B48" s="108" t="s">
        <v>50</v>
      </c>
      <c r="C48" s="109"/>
      <c r="D48" s="109"/>
      <c r="E48" s="109"/>
      <c r="F48" s="110"/>
      <c r="G48" s="37" t="s">
        <v>74</v>
      </c>
      <c r="H48" s="36" t="s">
        <v>77</v>
      </c>
      <c r="I48" s="12" t="s">
        <v>68</v>
      </c>
      <c r="J48" s="12" t="s">
        <v>69</v>
      </c>
      <c r="K48" s="108" t="s">
        <v>50</v>
      </c>
      <c r="L48" s="109"/>
      <c r="M48" s="109"/>
      <c r="N48" s="109"/>
      <c r="O48" s="109"/>
      <c r="P48" s="109"/>
      <c r="Q48" s="110"/>
      <c r="R48" s="37" t="s">
        <v>74</v>
      </c>
      <c r="S48" s="36" t="s">
        <v>77</v>
      </c>
      <c r="T48" s="12" t="s">
        <v>68</v>
      </c>
      <c r="U48" s="12" t="s">
        <v>69</v>
      </c>
    </row>
    <row r="49" spans="1:21" ht="18" customHeight="1" x14ac:dyDescent="0.15">
      <c r="A49" s="67"/>
      <c r="B49" s="125" t="s">
        <v>132</v>
      </c>
      <c r="C49" s="126"/>
      <c r="D49" s="126"/>
      <c r="E49" s="126"/>
      <c r="F49" s="127"/>
      <c r="G49" s="13">
        <v>2</v>
      </c>
      <c r="H49" s="13" t="s">
        <v>131</v>
      </c>
      <c r="I49" s="13" t="s">
        <v>131</v>
      </c>
      <c r="J49" s="13" t="s">
        <v>131</v>
      </c>
      <c r="K49" s="125"/>
      <c r="L49" s="126"/>
      <c r="M49" s="126"/>
      <c r="N49" s="126"/>
      <c r="O49" s="126"/>
      <c r="P49" s="126"/>
      <c r="Q49" s="127"/>
      <c r="R49" s="13"/>
      <c r="S49" s="13"/>
      <c r="T49" s="13"/>
      <c r="U49" s="13"/>
    </row>
    <row r="50" spans="1:21" ht="18" customHeight="1" x14ac:dyDescent="0.15">
      <c r="A50" s="67"/>
      <c r="B50" s="119"/>
      <c r="C50" s="120"/>
      <c r="D50" s="120"/>
      <c r="E50" s="120"/>
      <c r="F50" s="121"/>
      <c r="G50" s="14"/>
      <c r="H50" s="14"/>
      <c r="I50" s="14"/>
      <c r="J50" s="14"/>
      <c r="K50" s="119"/>
      <c r="L50" s="120"/>
      <c r="M50" s="120"/>
      <c r="N50" s="120"/>
      <c r="O50" s="120"/>
      <c r="P50" s="120"/>
      <c r="Q50" s="121"/>
      <c r="R50" s="14"/>
      <c r="S50" s="14"/>
      <c r="T50" s="14"/>
      <c r="U50" s="14"/>
    </row>
    <row r="51" spans="1:21" ht="18" customHeight="1" x14ac:dyDescent="0.15">
      <c r="A51" s="67"/>
      <c r="B51" s="119"/>
      <c r="C51" s="120"/>
      <c r="D51" s="120"/>
      <c r="E51" s="120"/>
      <c r="F51" s="121"/>
      <c r="G51" s="14"/>
      <c r="H51" s="14"/>
      <c r="I51" s="14"/>
      <c r="J51" s="14"/>
      <c r="K51" s="119"/>
      <c r="L51" s="120"/>
      <c r="M51" s="120"/>
      <c r="N51" s="120"/>
      <c r="O51" s="120"/>
      <c r="P51" s="120"/>
      <c r="Q51" s="121"/>
      <c r="R51" s="14"/>
      <c r="S51" s="14"/>
      <c r="T51" s="14"/>
      <c r="U51" s="14"/>
    </row>
    <row r="52" spans="1:21" ht="18" customHeight="1" x14ac:dyDescent="0.15">
      <c r="A52" s="67"/>
      <c r="B52" s="119"/>
      <c r="C52" s="120"/>
      <c r="D52" s="120"/>
      <c r="E52" s="120"/>
      <c r="F52" s="121"/>
      <c r="G52" s="14"/>
      <c r="H52" s="14"/>
      <c r="I52" s="14"/>
      <c r="J52" s="14"/>
      <c r="K52" s="119"/>
      <c r="L52" s="120"/>
      <c r="M52" s="120"/>
      <c r="N52" s="120"/>
      <c r="O52" s="120"/>
      <c r="P52" s="120"/>
      <c r="Q52" s="121"/>
      <c r="R52" s="14"/>
      <c r="S52" s="14"/>
      <c r="T52" s="14"/>
      <c r="U52" s="14"/>
    </row>
    <row r="53" spans="1:21" ht="18" customHeight="1" x14ac:dyDescent="0.15">
      <c r="A53" s="67"/>
      <c r="B53" s="119"/>
      <c r="C53" s="120"/>
      <c r="D53" s="120"/>
      <c r="E53" s="120"/>
      <c r="F53" s="121"/>
      <c r="G53" s="14"/>
      <c r="H53" s="14"/>
      <c r="I53" s="14"/>
      <c r="J53" s="14"/>
      <c r="K53" s="119"/>
      <c r="L53" s="120"/>
      <c r="M53" s="120"/>
      <c r="N53" s="120"/>
      <c r="O53" s="120"/>
      <c r="P53" s="120"/>
      <c r="Q53" s="121"/>
      <c r="R53" s="14"/>
      <c r="S53" s="14"/>
      <c r="T53" s="14"/>
      <c r="U53" s="14"/>
    </row>
    <row r="54" spans="1:21" ht="18" customHeight="1" x14ac:dyDescent="0.15">
      <c r="A54" s="67"/>
      <c r="B54" s="119"/>
      <c r="C54" s="120"/>
      <c r="D54" s="120"/>
      <c r="E54" s="120"/>
      <c r="F54" s="121"/>
      <c r="G54" s="14"/>
      <c r="H54" s="14"/>
      <c r="I54" s="14"/>
      <c r="J54" s="14"/>
      <c r="K54" s="119"/>
      <c r="L54" s="120"/>
      <c r="M54" s="120"/>
      <c r="N54" s="120"/>
      <c r="O54" s="120"/>
      <c r="P54" s="120"/>
      <c r="Q54" s="121"/>
      <c r="R54" s="14"/>
      <c r="S54" s="14"/>
      <c r="T54" s="14"/>
      <c r="U54" s="14"/>
    </row>
    <row r="55" spans="1:21" ht="18" customHeight="1" x14ac:dyDescent="0.15">
      <c r="A55" s="67"/>
      <c r="B55" s="122"/>
      <c r="C55" s="123"/>
      <c r="D55" s="123"/>
      <c r="E55" s="123"/>
      <c r="F55" s="124"/>
      <c r="G55" s="15"/>
      <c r="H55" s="15"/>
      <c r="I55" s="16"/>
      <c r="J55" s="16"/>
      <c r="K55" s="122"/>
      <c r="L55" s="123"/>
      <c r="M55" s="123"/>
      <c r="N55" s="123"/>
      <c r="O55" s="123"/>
      <c r="P55" s="123"/>
      <c r="Q55" s="124"/>
      <c r="R55" s="15"/>
      <c r="S55" s="15"/>
      <c r="T55" s="16"/>
      <c r="U55" s="16"/>
    </row>
    <row r="56" spans="1:21" ht="7.5" customHeight="1" x14ac:dyDescent="0.15">
      <c r="B56" s="11"/>
      <c r="C56" s="11"/>
      <c r="D56" s="11"/>
      <c r="E56" s="11"/>
      <c r="F56" s="11"/>
      <c r="G56" s="11"/>
      <c r="H56" s="11"/>
      <c r="I56" s="11"/>
      <c r="J56" s="11"/>
      <c r="K56" s="11"/>
      <c r="L56" s="11"/>
      <c r="M56" s="11"/>
      <c r="N56" s="11"/>
      <c r="O56" s="11"/>
      <c r="P56" s="11"/>
      <c r="Q56" s="11"/>
      <c r="R56" s="11"/>
      <c r="S56" s="11"/>
      <c r="T56" s="11"/>
    </row>
    <row r="57" spans="1:21" ht="18" customHeight="1" x14ac:dyDescent="0.15">
      <c r="A57" s="128" t="s">
        <v>99</v>
      </c>
      <c r="B57" s="128"/>
      <c r="C57" s="128"/>
      <c r="D57" s="128"/>
      <c r="E57" s="128"/>
      <c r="F57" s="128"/>
      <c r="G57" s="128"/>
      <c r="H57" s="128"/>
      <c r="I57" s="128"/>
      <c r="J57" s="128"/>
      <c r="K57" s="128"/>
      <c r="L57" s="128"/>
      <c r="M57" s="128"/>
      <c r="N57" s="128"/>
      <c r="O57" s="128"/>
      <c r="P57" s="128"/>
      <c r="Q57" s="128"/>
      <c r="R57" s="128"/>
      <c r="S57" s="128"/>
      <c r="T57" s="128"/>
      <c r="U57" s="128"/>
    </row>
    <row r="58" spans="1:21" ht="18" customHeight="1" x14ac:dyDescent="0.15">
      <c r="A58" s="128"/>
      <c r="B58" s="128"/>
      <c r="C58" s="128"/>
      <c r="D58" s="128"/>
      <c r="E58" s="128"/>
      <c r="F58" s="128"/>
      <c r="G58" s="128"/>
      <c r="H58" s="128"/>
      <c r="I58" s="128"/>
      <c r="J58" s="128"/>
      <c r="K58" s="128"/>
      <c r="L58" s="128"/>
      <c r="M58" s="128"/>
      <c r="N58" s="128"/>
      <c r="O58" s="128"/>
      <c r="P58" s="128"/>
      <c r="Q58" s="128"/>
      <c r="R58" s="128"/>
      <c r="S58" s="128"/>
      <c r="T58" s="128"/>
      <c r="U58" s="128"/>
    </row>
    <row r="59" spans="1:21" ht="18" customHeight="1" x14ac:dyDescent="0.15">
      <c r="B59" s="108" t="s">
        <v>50</v>
      </c>
      <c r="C59" s="109"/>
      <c r="D59" s="109"/>
      <c r="E59" s="109"/>
      <c r="F59" s="110"/>
      <c r="G59" s="37" t="s">
        <v>74</v>
      </c>
      <c r="H59" s="36" t="s">
        <v>77</v>
      </c>
      <c r="I59" s="12" t="s">
        <v>54</v>
      </c>
      <c r="J59" s="12" t="s">
        <v>56</v>
      </c>
      <c r="K59" s="108" t="s">
        <v>50</v>
      </c>
      <c r="L59" s="109"/>
      <c r="M59" s="109"/>
      <c r="N59" s="109"/>
      <c r="O59" s="109"/>
      <c r="P59" s="109"/>
      <c r="Q59" s="110"/>
      <c r="R59" s="37" t="s">
        <v>74</v>
      </c>
      <c r="S59" s="36" t="s">
        <v>77</v>
      </c>
      <c r="T59" s="12" t="s">
        <v>54</v>
      </c>
      <c r="U59" s="12" t="s">
        <v>56</v>
      </c>
    </row>
    <row r="60" spans="1:21" ht="18" customHeight="1" x14ac:dyDescent="0.15">
      <c r="A60" s="67"/>
      <c r="B60" s="125" t="s">
        <v>133</v>
      </c>
      <c r="C60" s="126"/>
      <c r="D60" s="126"/>
      <c r="E60" s="126"/>
      <c r="F60" s="127"/>
      <c r="G60" s="13">
        <v>2</v>
      </c>
      <c r="H60" s="13" t="s">
        <v>131</v>
      </c>
      <c r="I60" s="13" t="s">
        <v>131</v>
      </c>
      <c r="J60" s="13" t="s">
        <v>131</v>
      </c>
      <c r="K60" s="125"/>
      <c r="L60" s="126"/>
      <c r="M60" s="126"/>
      <c r="N60" s="126"/>
      <c r="O60" s="126"/>
      <c r="P60" s="126"/>
      <c r="Q60" s="127"/>
      <c r="R60" s="13"/>
      <c r="S60" s="13"/>
      <c r="T60" s="13"/>
      <c r="U60" s="13"/>
    </row>
    <row r="61" spans="1:21" ht="18" customHeight="1" x14ac:dyDescent="0.15">
      <c r="A61" s="67"/>
      <c r="B61" s="119" t="s">
        <v>132</v>
      </c>
      <c r="C61" s="120"/>
      <c r="D61" s="120"/>
      <c r="E61" s="120"/>
      <c r="F61" s="121"/>
      <c r="G61" s="14">
        <v>2</v>
      </c>
      <c r="H61" s="14" t="s">
        <v>131</v>
      </c>
      <c r="I61" s="14" t="s">
        <v>131</v>
      </c>
      <c r="J61" s="14" t="s">
        <v>131</v>
      </c>
      <c r="K61" s="119"/>
      <c r="L61" s="120"/>
      <c r="M61" s="120"/>
      <c r="N61" s="120"/>
      <c r="O61" s="120"/>
      <c r="P61" s="120"/>
      <c r="Q61" s="121"/>
      <c r="R61" s="14"/>
      <c r="S61" s="14"/>
      <c r="T61" s="14"/>
      <c r="U61" s="14"/>
    </row>
    <row r="62" spans="1:21" ht="18" customHeight="1" x14ac:dyDescent="0.15">
      <c r="A62" s="67"/>
      <c r="B62" s="119"/>
      <c r="C62" s="120"/>
      <c r="D62" s="120"/>
      <c r="E62" s="120"/>
      <c r="F62" s="121"/>
      <c r="G62" s="14"/>
      <c r="H62" s="14"/>
      <c r="I62" s="14"/>
      <c r="J62" s="14"/>
      <c r="K62" s="119"/>
      <c r="L62" s="120"/>
      <c r="M62" s="120"/>
      <c r="N62" s="120"/>
      <c r="O62" s="120"/>
      <c r="P62" s="120"/>
      <c r="Q62" s="121"/>
      <c r="R62" s="14"/>
      <c r="S62" s="14"/>
      <c r="T62" s="14"/>
      <c r="U62" s="14"/>
    </row>
    <row r="63" spans="1:21" ht="18" customHeight="1" x14ac:dyDescent="0.15">
      <c r="A63" s="67"/>
      <c r="B63" s="119"/>
      <c r="C63" s="120"/>
      <c r="D63" s="120"/>
      <c r="E63" s="120"/>
      <c r="F63" s="121"/>
      <c r="G63" s="14"/>
      <c r="H63" s="14"/>
      <c r="I63" s="14"/>
      <c r="J63" s="14"/>
      <c r="K63" s="119"/>
      <c r="L63" s="120"/>
      <c r="M63" s="120"/>
      <c r="N63" s="120"/>
      <c r="O63" s="120"/>
      <c r="P63" s="120"/>
      <c r="Q63" s="121"/>
      <c r="R63" s="14"/>
      <c r="S63" s="14"/>
      <c r="T63" s="14"/>
      <c r="U63" s="14"/>
    </row>
    <row r="64" spans="1:21" ht="18" customHeight="1" x14ac:dyDescent="0.15">
      <c r="A64" s="67"/>
      <c r="B64" s="119"/>
      <c r="C64" s="120"/>
      <c r="D64" s="120"/>
      <c r="E64" s="120"/>
      <c r="F64" s="121"/>
      <c r="G64" s="14"/>
      <c r="H64" s="14"/>
      <c r="I64" s="14"/>
      <c r="J64" s="14"/>
      <c r="K64" s="119"/>
      <c r="L64" s="120"/>
      <c r="M64" s="120"/>
      <c r="N64" s="120"/>
      <c r="O64" s="120"/>
      <c r="P64" s="120"/>
      <c r="Q64" s="121"/>
      <c r="R64" s="14"/>
      <c r="S64" s="14"/>
      <c r="T64" s="14"/>
      <c r="U64" s="14"/>
    </row>
    <row r="65" spans="1:21" ht="18" customHeight="1" x14ac:dyDescent="0.15">
      <c r="A65" s="67"/>
      <c r="B65" s="119"/>
      <c r="C65" s="120"/>
      <c r="D65" s="120"/>
      <c r="E65" s="120"/>
      <c r="F65" s="121"/>
      <c r="G65" s="14"/>
      <c r="H65" s="14"/>
      <c r="I65" s="14"/>
      <c r="J65" s="14"/>
      <c r="K65" s="119"/>
      <c r="L65" s="120"/>
      <c r="M65" s="120"/>
      <c r="N65" s="120"/>
      <c r="O65" s="120"/>
      <c r="P65" s="120"/>
      <c r="Q65" s="121"/>
      <c r="R65" s="14"/>
      <c r="S65" s="14"/>
      <c r="T65" s="14"/>
      <c r="U65" s="14"/>
    </row>
    <row r="66" spans="1:21" ht="18" customHeight="1" x14ac:dyDescent="0.15">
      <c r="A66" s="67"/>
      <c r="B66" s="122"/>
      <c r="C66" s="123"/>
      <c r="D66" s="123"/>
      <c r="E66" s="123"/>
      <c r="F66" s="124"/>
      <c r="G66" s="15"/>
      <c r="H66" s="15"/>
      <c r="I66" s="16"/>
      <c r="J66" s="16"/>
      <c r="K66" s="122"/>
      <c r="L66" s="123"/>
      <c r="M66" s="123"/>
      <c r="N66" s="123"/>
      <c r="O66" s="123"/>
      <c r="P66" s="123"/>
      <c r="Q66" s="124"/>
      <c r="R66" s="15"/>
      <c r="S66" s="15"/>
      <c r="T66" s="16"/>
      <c r="U66" s="16"/>
    </row>
    <row r="67" spans="1:21" ht="7.5" customHeight="1" x14ac:dyDescent="0.15">
      <c r="B67" s="11"/>
      <c r="C67" s="11"/>
      <c r="D67" s="11"/>
      <c r="E67" s="11"/>
      <c r="F67" s="11"/>
      <c r="G67" s="11"/>
      <c r="H67" s="11"/>
      <c r="I67" s="11"/>
      <c r="J67" s="11"/>
      <c r="K67" s="11"/>
      <c r="L67" s="11"/>
      <c r="M67" s="11"/>
      <c r="N67" s="11"/>
      <c r="O67" s="11"/>
      <c r="P67" s="11"/>
      <c r="Q67" s="11"/>
      <c r="R67" s="11"/>
      <c r="S67" s="11"/>
      <c r="T67" s="11"/>
    </row>
    <row r="68" spans="1:21" ht="18" customHeight="1" x14ac:dyDescent="0.15">
      <c r="A68" s="128" t="s">
        <v>100</v>
      </c>
      <c r="B68" s="128"/>
      <c r="C68" s="128"/>
      <c r="D68" s="128"/>
      <c r="E68" s="128"/>
      <c r="F68" s="128"/>
      <c r="G68" s="128"/>
      <c r="H68" s="128"/>
      <c r="I68" s="128"/>
      <c r="J68" s="128"/>
      <c r="K68" s="128"/>
      <c r="L68" s="128"/>
      <c r="M68" s="128"/>
      <c r="N68" s="128"/>
      <c r="O68" s="128"/>
      <c r="P68" s="128"/>
      <c r="Q68" s="128"/>
      <c r="R68" s="128"/>
      <c r="S68" s="128"/>
      <c r="T68" s="128"/>
      <c r="U68" s="128"/>
    </row>
    <row r="69" spans="1:21" ht="18" customHeight="1" x14ac:dyDescent="0.15">
      <c r="A69" s="128"/>
      <c r="B69" s="128"/>
      <c r="C69" s="128"/>
      <c r="D69" s="128"/>
      <c r="E69" s="128"/>
      <c r="F69" s="128"/>
      <c r="G69" s="128"/>
      <c r="H69" s="128"/>
      <c r="I69" s="128"/>
      <c r="J69" s="128"/>
      <c r="K69" s="128"/>
      <c r="L69" s="128"/>
      <c r="M69" s="128"/>
      <c r="N69" s="128"/>
      <c r="O69" s="128"/>
      <c r="P69" s="128"/>
      <c r="Q69" s="128"/>
      <c r="R69" s="128"/>
      <c r="S69" s="128"/>
      <c r="T69" s="128"/>
      <c r="U69" s="128"/>
    </row>
    <row r="70" spans="1:21" ht="18" customHeight="1" x14ac:dyDescent="0.15">
      <c r="B70" s="108" t="s">
        <v>50</v>
      </c>
      <c r="C70" s="109"/>
      <c r="D70" s="109"/>
      <c r="E70" s="109"/>
      <c r="F70" s="37" t="s">
        <v>74</v>
      </c>
      <c r="G70" s="36" t="s">
        <v>77</v>
      </c>
      <c r="H70" s="12" t="s">
        <v>88</v>
      </c>
      <c r="I70" s="12" t="s">
        <v>70</v>
      </c>
      <c r="J70" s="12" t="s">
        <v>71</v>
      </c>
      <c r="K70" s="108" t="s">
        <v>50</v>
      </c>
      <c r="L70" s="109"/>
      <c r="M70" s="109"/>
      <c r="N70" s="109"/>
      <c r="O70" s="109"/>
      <c r="P70" s="110"/>
      <c r="Q70" s="37" t="s">
        <v>74</v>
      </c>
      <c r="R70" s="36" t="s">
        <v>77</v>
      </c>
      <c r="S70" s="12" t="s">
        <v>88</v>
      </c>
      <c r="T70" s="12" t="s">
        <v>70</v>
      </c>
      <c r="U70" s="12" t="s">
        <v>71</v>
      </c>
    </row>
    <row r="71" spans="1:21" ht="18" customHeight="1" x14ac:dyDescent="0.15">
      <c r="A71" s="67"/>
      <c r="B71" s="125" t="s">
        <v>133</v>
      </c>
      <c r="C71" s="126"/>
      <c r="D71" s="126"/>
      <c r="E71" s="127"/>
      <c r="F71" s="13">
        <v>2</v>
      </c>
      <c r="G71" s="13" t="s">
        <v>131</v>
      </c>
      <c r="H71" s="13" t="s">
        <v>131</v>
      </c>
      <c r="I71" s="13" t="s">
        <v>131</v>
      </c>
      <c r="J71" s="64" t="s">
        <v>131</v>
      </c>
      <c r="K71" s="125"/>
      <c r="L71" s="126"/>
      <c r="M71" s="126"/>
      <c r="N71" s="126"/>
      <c r="O71" s="126"/>
      <c r="P71" s="127"/>
      <c r="Q71" s="13"/>
      <c r="R71" s="13"/>
      <c r="S71" s="13"/>
      <c r="T71" s="13"/>
      <c r="U71" s="13"/>
    </row>
    <row r="72" spans="1:21" ht="18" customHeight="1" x14ac:dyDescent="0.15">
      <c r="A72" s="67"/>
      <c r="B72" s="119" t="s">
        <v>132</v>
      </c>
      <c r="C72" s="120"/>
      <c r="D72" s="120"/>
      <c r="E72" s="121"/>
      <c r="F72" s="14">
        <v>2</v>
      </c>
      <c r="G72" s="14" t="s">
        <v>131</v>
      </c>
      <c r="H72" s="14" t="s">
        <v>131</v>
      </c>
      <c r="I72" s="14" t="s">
        <v>131</v>
      </c>
      <c r="J72" s="64" t="s">
        <v>131</v>
      </c>
      <c r="K72" s="119"/>
      <c r="L72" s="120"/>
      <c r="M72" s="120"/>
      <c r="N72" s="120"/>
      <c r="O72" s="120"/>
      <c r="P72" s="121"/>
      <c r="Q72" s="14"/>
      <c r="R72" s="14"/>
      <c r="S72" s="14"/>
      <c r="T72" s="14"/>
      <c r="U72" s="14"/>
    </row>
    <row r="73" spans="1:21" ht="18" customHeight="1" x14ac:dyDescent="0.15">
      <c r="A73" s="67"/>
      <c r="B73" s="119"/>
      <c r="C73" s="120"/>
      <c r="D73" s="120"/>
      <c r="E73" s="120"/>
      <c r="F73" s="14"/>
      <c r="G73" s="14"/>
      <c r="H73" s="14"/>
      <c r="I73" s="14"/>
      <c r="J73" s="14"/>
      <c r="K73" s="119"/>
      <c r="L73" s="120"/>
      <c r="M73" s="120"/>
      <c r="N73" s="120"/>
      <c r="O73" s="120"/>
      <c r="P73" s="121"/>
      <c r="Q73" s="14"/>
      <c r="R73" s="14"/>
      <c r="S73" s="14"/>
      <c r="T73" s="14"/>
      <c r="U73" s="14"/>
    </row>
    <row r="74" spans="1:21" ht="18" customHeight="1" x14ac:dyDescent="0.15">
      <c r="A74" s="67"/>
      <c r="B74" s="119"/>
      <c r="C74" s="120"/>
      <c r="D74" s="120"/>
      <c r="E74" s="120"/>
      <c r="F74" s="14"/>
      <c r="G74" s="14"/>
      <c r="H74" s="14"/>
      <c r="I74" s="14"/>
      <c r="J74" s="14"/>
      <c r="K74" s="119"/>
      <c r="L74" s="120"/>
      <c r="M74" s="120"/>
      <c r="N74" s="120"/>
      <c r="O74" s="120"/>
      <c r="P74" s="121"/>
      <c r="Q74" s="14"/>
      <c r="R74" s="14"/>
      <c r="S74" s="14"/>
      <c r="T74" s="14"/>
      <c r="U74" s="14"/>
    </row>
    <row r="75" spans="1:21" ht="18" customHeight="1" x14ac:dyDescent="0.15">
      <c r="A75" s="67"/>
      <c r="B75" s="119"/>
      <c r="C75" s="120"/>
      <c r="D75" s="120"/>
      <c r="E75" s="120"/>
      <c r="F75" s="14"/>
      <c r="G75" s="14"/>
      <c r="H75" s="14"/>
      <c r="I75" s="14"/>
      <c r="J75" s="14"/>
      <c r="K75" s="119"/>
      <c r="L75" s="120"/>
      <c r="M75" s="120"/>
      <c r="N75" s="120"/>
      <c r="O75" s="120"/>
      <c r="P75" s="121"/>
      <c r="Q75" s="14"/>
      <c r="R75" s="14"/>
      <c r="S75" s="14"/>
      <c r="T75" s="14"/>
      <c r="U75" s="14"/>
    </row>
    <row r="76" spans="1:21" ht="18" customHeight="1" x14ac:dyDescent="0.15">
      <c r="A76" s="67"/>
      <c r="B76" s="119"/>
      <c r="C76" s="120"/>
      <c r="D76" s="120"/>
      <c r="E76" s="120"/>
      <c r="F76" s="14"/>
      <c r="G76" s="14"/>
      <c r="H76" s="14"/>
      <c r="I76" s="14"/>
      <c r="J76" s="14"/>
      <c r="K76" s="119"/>
      <c r="L76" s="120"/>
      <c r="M76" s="120"/>
      <c r="N76" s="120"/>
      <c r="O76" s="120"/>
      <c r="P76" s="121"/>
      <c r="Q76" s="14"/>
      <c r="R76" s="14"/>
      <c r="S76" s="14"/>
      <c r="T76" s="14"/>
      <c r="U76" s="14"/>
    </row>
    <row r="77" spans="1:21" ht="18" customHeight="1" x14ac:dyDescent="0.15">
      <c r="A77" s="67"/>
      <c r="B77" s="122"/>
      <c r="C77" s="123"/>
      <c r="D77" s="123"/>
      <c r="E77" s="123"/>
      <c r="F77" s="15"/>
      <c r="G77" s="15"/>
      <c r="H77" s="16"/>
      <c r="I77" s="16"/>
      <c r="J77" s="16"/>
      <c r="K77" s="122"/>
      <c r="L77" s="123"/>
      <c r="M77" s="123"/>
      <c r="N77" s="123"/>
      <c r="O77" s="123"/>
      <c r="P77" s="124"/>
      <c r="Q77" s="15"/>
      <c r="R77" s="15"/>
      <c r="S77" s="16"/>
      <c r="T77" s="16"/>
      <c r="U77" s="16"/>
    </row>
    <row r="78" spans="1:21" ht="7.5" customHeight="1" x14ac:dyDescent="0.15">
      <c r="B78" s="11"/>
      <c r="C78" s="11"/>
      <c r="D78" s="11"/>
      <c r="E78" s="11"/>
      <c r="F78" s="11"/>
      <c r="G78" s="11"/>
      <c r="H78" s="11"/>
      <c r="I78" s="11"/>
      <c r="J78" s="11"/>
      <c r="K78" s="11"/>
      <c r="L78" s="11"/>
      <c r="M78" s="11"/>
      <c r="N78" s="11"/>
      <c r="O78" s="11"/>
      <c r="P78" s="11"/>
      <c r="Q78" s="11"/>
      <c r="R78" s="11"/>
      <c r="S78" s="11"/>
      <c r="T78" s="11"/>
    </row>
    <row r="79" spans="1:21" ht="18" customHeight="1" x14ac:dyDescent="0.15">
      <c r="A79" s="69" t="s">
        <v>101</v>
      </c>
      <c r="I79" s="67"/>
      <c r="J79" s="67"/>
      <c r="K79" s="67"/>
      <c r="L79" s="67"/>
      <c r="M79" s="67"/>
      <c r="N79" s="67"/>
      <c r="O79" s="67"/>
      <c r="P79" s="67"/>
      <c r="Q79" s="67"/>
      <c r="R79" s="67"/>
      <c r="S79" s="67"/>
      <c r="T79" s="67"/>
      <c r="U79" s="67"/>
    </row>
    <row r="80" spans="1:21" ht="18" customHeight="1" x14ac:dyDescent="0.15">
      <c r="B80" s="108" t="s">
        <v>50</v>
      </c>
      <c r="C80" s="109"/>
      <c r="D80" s="109"/>
      <c r="E80" s="109"/>
      <c r="F80" s="110"/>
      <c r="G80" s="108" t="s">
        <v>75</v>
      </c>
      <c r="H80" s="109"/>
      <c r="I80" s="109"/>
      <c r="J80" s="110"/>
      <c r="K80" s="157" t="s">
        <v>50</v>
      </c>
      <c r="L80" s="158"/>
      <c r="M80" s="158"/>
      <c r="N80" s="158"/>
      <c r="O80" s="158"/>
      <c r="P80" s="158"/>
      <c r="Q80" s="159"/>
      <c r="R80" s="108" t="s">
        <v>75</v>
      </c>
      <c r="S80" s="109"/>
      <c r="T80" s="109"/>
      <c r="U80" s="110"/>
    </row>
    <row r="81" spans="1:21" ht="18" customHeight="1" x14ac:dyDescent="0.15">
      <c r="A81" s="67"/>
      <c r="B81" s="125"/>
      <c r="C81" s="126"/>
      <c r="D81" s="126"/>
      <c r="E81" s="126"/>
      <c r="F81" s="127"/>
      <c r="G81" s="160"/>
      <c r="H81" s="161"/>
      <c r="I81" s="161"/>
      <c r="J81" s="162"/>
      <c r="K81" s="125"/>
      <c r="L81" s="126"/>
      <c r="M81" s="126"/>
      <c r="N81" s="126"/>
      <c r="O81" s="126"/>
      <c r="P81" s="126"/>
      <c r="Q81" s="127"/>
      <c r="R81" s="160"/>
      <c r="S81" s="161"/>
      <c r="T81" s="161"/>
      <c r="U81" s="162"/>
    </row>
    <row r="82" spans="1:21" ht="18" customHeight="1" x14ac:dyDescent="0.15">
      <c r="A82" s="67"/>
      <c r="B82" s="119"/>
      <c r="C82" s="120"/>
      <c r="D82" s="120"/>
      <c r="E82" s="120"/>
      <c r="F82" s="121"/>
      <c r="G82" s="149"/>
      <c r="H82" s="150"/>
      <c r="I82" s="150"/>
      <c r="J82" s="151"/>
      <c r="K82" s="119"/>
      <c r="L82" s="120"/>
      <c r="M82" s="120"/>
      <c r="N82" s="120"/>
      <c r="O82" s="120"/>
      <c r="P82" s="120"/>
      <c r="Q82" s="121"/>
      <c r="R82" s="149"/>
      <c r="S82" s="150"/>
      <c r="T82" s="150"/>
      <c r="U82" s="151"/>
    </row>
    <row r="83" spans="1:21" ht="18" customHeight="1" x14ac:dyDescent="0.15">
      <c r="A83" s="67"/>
      <c r="B83" s="119"/>
      <c r="C83" s="120"/>
      <c r="D83" s="120"/>
      <c r="E83" s="120"/>
      <c r="F83" s="121"/>
      <c r="G83" s="149"/>
      <c r="H83" s="150"/>
      <c r="I83" s="150"/>
      <c r="J83" s="151"/>
      <c r="K83" s="119"/>
      <c r="L83" s="120"/>
      <c r="M83" s="120"/>
      <c r="N83" s="120"/>
      <c r="O83" s="120"/>
      <c r="P83" s="120"/>
      <c r="Q83" s="121"/>
      <c r="R83" s="149"/>
      <c r="S83" s="150"/>
      <c r="T83" s="150"/>
      <c r="U83" s="151"/>
    </row>
    <row r="84" spans="1:21" ht="18" customHeight="1" x14ac:dyDescent="0.15">
      <c r="A84" s="67"/>
      <c r="B84" s="119"/>
      <c r="C84" s="120"/>
      <c r="D84" s="120"/>
      <c r="E84" s="120"/>
      <c r="F84" s="121"/>
      <c r="G84" s="149"/>
      <c r="H84" s="150"/>
      <c r="I84" s="150"/>
      <c r="J84" s="151"/>
      <c r="K84" s="119"/>
      <c r="L84" s="120"/>
      <c r="M84" s="120"/>
      <c r="N84" s="120"/>
      <c r="O84" s="120"/>
      <c r="P84" s="120"/>
      <c r="Q84" s="121"/>
      <c r="R84" s="149"/>
      <c r="S84" s="150"/>
      <c r="T84" s="150"/>
      <c r="U84" s="151"/>
    </row>
    <row r="85" spans="1:21" ht="18" customHeight="1" x14ac:dyDescent="0.15">
      <c r="A85" s="67"/>
      <c r="B85" s="119"/>
      <c r="C85" s="120"/>
      <c r="D85" s="120"/>
      <c r="E85" s="120"/>
      <c r="F85" s="121"/>
      <c r="G85" s="149"/>
      <c r="H85" s="150"/>
      <c r="I85" s="150"/>
      <c r="J85" s="151"/>
      <c r="K85" s="119"/>
      <c r="L85" s="120"/>
      <c r="M85" s="120"/>
      <c r="N85" s="120"/>
      <c r="O85" s="120"/>
      <c r="P85" s="120"/>
      <c r="Q85" s="121"/>
      <c r="R85" s="149"/>
      <c r="S85" s="150"/>
      <c r="T85" s="150"/>
      <c r="U85" s="151"/>
    </row>
    <row r="86" spans="1:21" ht="18" customHeight="1" x14ac:dyDescent="0.15">
      <c r="A86" s="67"/>
      <c r="B86" s="119"/>
      <c r="C86" s="120"/>
      <c r="D86" s="120"/>
      <c r="E86" s="120"/>
      <c r="F86" s="121"/>
      <c r="G86" s="149"/>
      <c r="H86" s="150"/>
      <c r="I86" s="150"/>
      <c r="J86" s="151"/>
      <c r="K86" s="119"/>
      <c r="L86" s="120"/>
      <c r="M86" s="120"/>
      <c r="N86" s="120"/>
      <c r="O86" s="120"/>
      <c r="P86" s="120"/>
      <c r="Q86" s="121"/>
      <c r="R86" s="149"/>
      <c r="S86" s="150"/>
      <c r="T86" s="150"/>
      <c r="U86" s="151"/>
    </row>
    <row r="87" spans="1:21" ht="18" customHeight="1" x14ac:dyDescent="0.15">
      <c r="A87" s="67"/>
      <c r="B87" s="122"/>
      <c r="C87" s="123"/>
      <c r="D87" s="123"/>
      <c r="E87" s="123"/>
      <c r="F87" s="124"/>
      <c r="G87" s="146"/>
      <c r="H87" s="147"/>
      <c r="I87" s="147"/>
      <c r="J87" s="148"/>
      <c r="K87" s="122"/>
      <c r="L87" s="123"/>
      <c r="M87" s="123"/>
      <c r="N87" s="123"/>
      <c r="O87" s="123"/>
      <c r="P87" s="123"/>
      <c r="Q87" s="124"/>
      <c r="R87" s="146"/>
      <c r="S87" s="147"/>
      <c r="T87" s="147"/>
      <c r="U87" s="148"/>
    </row>
    <row r="88" spans="1:21" ht="18" customHeight="1" x14ac:dyDescent="0.15">
      <c r="A88" s="67"/>
      <c r="B88" s="3"/>
      <c r="C88" s="3"/>
      <c r="D88" s="3"/>
      <c r="E88" s="3"/>
      <c r="F88" s="3"/>
      <c r="G88" s="17"/>
      <c r="H88" s="17"/>
      <c r="I88" s="17"/>
      <c r="J88" s="17"/>
      <c r="K88" s="3"/>
      <c r="L88" s="3"/>
      <c r="M88" s="3"/>
      <c r="N88" s="3"/>
      <c r="O88" s="3"/>
      <c r="P88" s="3"/>
      <c r="Q88" s="3"/>
      <c r="R88" s="17"/>
      <c r="S88" s="17"/>
      <c r="T88" s="17"/>
      <c r="U88" s="17"/>
    </row>
    <row r="89" spans="1:21" ht="18.75" customHeight="1" x14ac:dyDescent="0.15">
      <c r="A89" s="69" t="s">
        <v>102</v>
      </c>
    </row>
    <row r="90" spans="1:21" ht="18.75" customHeight="1" x14ac:dyDescent="0.15">
      <c r="B90" s="155" t="s">
        <v>51</v>
      </c>
      <c r="C90" s="156"/>
      <c r="D90" s="108" t="s">
        <v>52</v>
      </c>
      <c r="E90" s="109"/>
      <c r="F90" s="109"/>
      <c r="G90" s="109"/>
      <c r="H90" s="109"/>
      <c r="I90" s="109"/>
      <c r="J90" s="109"/>
      <c r="K90" s="109"/>
      <c r="L90" s="109"/>
      <c r="M90" s="109"/>
      <c r="N90" s="109"/>
      <c r="O90" s="109"/>
      <c r="P90" s="109"/>
      <c r="Q90" s="109"/>
      <c r="R90" s="109"/>
      <c r="S90" s="109"/>
      <c r="T90" s="109"/>
      <c r="U90" s="110"/>
    </row>
    <row r="91" spans="1:21" ht="97.5" customHeight="1" x14ac:dyDescent="0.15">
      <c r="B91" s="152" t="s">
        <v>57</v>
      </c>
      <c r="C91" s="75" t="s">
        <v>153</v>
      </c>
      <c r="D91" s="96" t="s">
        <v>168</v>
      </c>
      <c r="E91" s="97"/>
      <c r="F91" s="97"/>
      <c r="G91" s="97"/>
      <c r="H91" s="97"/>
      <c r="I91" s="97"/>
      <c r="J91" s="97"/>
      <c r="K91" s="97"/>
      <c r="L91" s="97"/>
      <c r="M91" s="97"/>
      <c r="N91" s="97"/>
      <c r="O91" s="97"/>
      <c r="P91" s="97"/>
      <c r="Q91" s="97"/>
      <c r="R91" s="97"/>
      <c r="S91" s="97"/>
      <c r="T91" s="97"/>
      <c r="U91" s="98"/>
    </row>
    <row r="92" spans="1:21" ht="97.5" customHeight="1" x14ac:dyDescent="0.15">
      <c r="B92" s="153"/>
      <c r="C92" s="76" t="s">
        <v>154</v>
      </c>
      <c r="D92" s="93" t="s">
        <v>155</v>
      </c>
      <c r="E92" s="111"/>
      <c r="F92" s="111"/>
      <c r="G92" s="111"/>
      <c r="H92" s="111"/>
      <c r="I92" s="111"/>
      <c r="J92" s="111"/>
      <c r="K92" s="111"/>
      <c r="L92" s="111"/>
      <c r="M92" s="111"/>
      <c r="N92" s="111"/>
      <c r="O92" s="111"/>
      <c r="P92" s="111"/>
      <c r="Q92" s="111"/>
      <c r="R92" s="111"/>
      <c r="S92" s="111"/>
      <c r="T92" s="111"/>
      <c r="U92" s="112"/>
    </row>
    <row r="93" spans="1:21" ht="97.5" customHeight="1" x14ac:dyDescent="0.15">
      <c r="B93" s="152" t="s">
        <v>58</v>
      </c>
      <c r="C93" s="77" t="s">
        <v>156</v>
      </c>
      <c r="D93" s="96" t="s">
        <v>157</v>
      </c>
      <c r="E93" s="97"/>
      <c r="F93" s="97"/>
      <c r="G93" s="97"/>
      <c r="H93" s="97"/>
      <c r="I93" s="97"/>
      <c r="J93" s="97"/>
      <c r="K93" s="97"/>
      <c r="L93" s="97"/>
      <c r="M93" s="97"/>
      <c r="N93" s="97"/>
      <c r="O93" s="97"/>
      <c r="P93" s="97"/>
      <c r="Q93" s="97"/>
      <c r="R93" s="97"/>
      <c r="S93" s="97"/>
      <c r="T93" s="97"/>
      <c r="U93" s="98"/>
    </row>
    <row r="94" spans="1:21" ht="97.5" customHeight="1" x14ac:dyDescent="0.15">
      <c r="B94" s="154"/>
      <c r="C94" s="78" t="s">
        <v>67</v>
      </c>
      <c r="D94" s="93" t="s">
        <v>158</v>
      </c>
      <c r="E94" s="94"/>
      <c r="F94" s="94"/>
      <c r="G94" s="94"/>
      <c r="H94" s="94"/>
      <c r="I94" s="94"/>
      <c r="J94" s="94"/>
      <c r="K94" s="94"/>
      <c r="L94" s="94"/>
      <c r="M94" s="94"/>
      <c r="N94" s="94"/>
      <c r="O94" s="94"/>
      <c r="P94" s="94"/>
      <c r="Q94" s="94"/>
      <c r="R94" s="94"/>
      <c r="S94" s="94"/>
      <c r="T94" s="94"/>
      <c r="U94" s="95"/>
    </row>
    <row r="95" spans="1:21" ht="97.5" customHeight="1" x14ac:dyDescent="0.15">
      <c r="B95" s="152" t="s">
        <v>59</v>
      </c>
      <c r="C95" s="77" t="s">
        <v>68</v>
      </c>
      <c r="D95" s="96" t="s">
        <v>159</v>
      </c>
      <c r="E95" s="97"/>
      <c r="F95" s="97"/>
      <c r="G95" s="97"/>
      <c r="H95" s="97"/>
      <c r="I95" s="97"/>
      <c r="J95" s="97"/>
      <c r="K95" s="97"/>
      <c r="L95" s="97"/>
      <c r="M95" s="97"/>
      <c r="N95" s="97"/>
      <c r="O95" s="97"/>
      <c r="P95" s="97"/>
      <c r="Q95" s="97"/>
      <c r="R95" s="97"/>
      <c r="S95" s="97"/>
      <c r="T95" s="97"/>
      <c r="U95" s="98"/>
    </row>
    <row r="96" spans="1:21" ht="97.5" customHeight="1" x14ac:dyDescent="0.15">
      <c r="B96" s="154"/>
      <c r="C96" s="79" t="s">
        <v>69</v>
      </c>
      <c r="D96" s="93" t="s">
        <v>160</v>
      </c>
      <c r="E96" s="94"/>
      <c r="F96" s="94"/>
      <c r="G96" s="94"/>
      <c r="H96" s="94"/>
      <c r="I96" s="94"/>
      <c r="J96" s="94"/>
      <c r="K96" s="94"/>
      <c r="L96" s="94"/>
      <c r="M96" s="94"/>
      <c r="N96" s="94"/>
      <c r="O96" s="94"/>
      <c r="P96" s="94"/>
      <c r="Q96" s="94"/>
      <c r="R96" s="94"/>
      <c r="S96" s="94"/>
      <c r="T96" s="94"/>
      <c r="U96" s="95"/>
    </row>
    <row r="97" spans="1:33" ht="97.5" customHeight="1" x14ac:dyDescent="0.15">
      <c r="B97" s="152" t="s">
        <v>72</v>
      </c>
      <c r="C97" s="75" t="s">
        <v>54</v>
      </c>
      <c r="D97" s="96" t="s">
        <v>161</v>
      </c>
      <c r="E97" s="97"/>
      <c r="F97" s="97"/>
      <c r="G97" s="97"/>
      <c r="H97" s="97"/>
      <c r="I97" s="97"/>
      <c r="J97" s="97"/>
      <c r="K97" s="97"/>
      <c r="L97" s="97"/>
      <c r="M97" s="97"/>
      <c r="N97" s="97"/>
      <c r="O97" s="97"/>
      <c r="P97" s="97"/>
      <c r="Q97" s="97"/>
      <c r="R97" s="97"/>
      <c r="S97" s="97"/>
      <c r="T97" s="97"/>
      <c r="U97" s="98"/>
    </row>
    <row r="98" spans="1:33" ht="97.5" customHeight="1" x14ac:dyDescent="0.15">
      <c r="B98" s="154"/>
      <c r="C98" s="78" t="s">
        <v>56</v>
      </c>
      <c r="D98" s="93" t="s">
        <v>162</v>
      </c>
      <c r="E98" s="94"/>
      <c r="F98" s="94"/>
      <c r="G98" s="94"/>
      <c r="H98" s="94"/>
      <c r="I98" s="94"/>
      <c r="J98" s="94"/>
      <c r="K98" s="94"/>
      <c r="L98" s="94"/>
      <c r="M98" s="94"/>
      <c r="N98" s="94"/>
      <c r="O98" s="94"/>
      <c r="P98" s="94"/>
      <c r="Q98" s="94"/>
      <c r="R98" s="94"/>
      <c r="S98" s="94"/>
      <c r="T98" s="94"/>
      <c r="U98" s="95"/>
    </row>
    <row r="99" spans="1:33" ht="97.5" customHeight="1" x14ac:dyDescent="0.15">
      <c r="B99" s="152" t="s">
        <v>73</v>
      </c>
      <c r="C99" s="77" t="s">
        <v>163</v>
      </c>
      <c r="D99" s="96" t="s">
        <v>166</v>
      </c>
      <c r="E99" s="97"/>
      <c r="F99" s="97"/>
      <c r="G99" s="97"/>
      <c r="H99" s="97"/>
      <c r="I99" s="97"/>
      <c r="J99" s="97"/>
      <c r="K99" s="97"/>
      <c r="L99" s="97"/>
      <c r="M99" s="97"/>
      <c r="N99" s="97"/>
      <c r="O99" s="97"/>
      <c r="P99" s="97"/>
      <c r="Q99" s="97"/>
      <c r="R99" s="97"/>
      <c r="S99" s="97"/>
      <c r="T99" s="97"/>
      <c r="U99" s="98"/>
    </row>
    <row r="100" spans="1:33" ht="97.5" customHeight="1" x14ac:dyDescent="0.15">
      <c r="B100" s="153"/>
      <c r="C100" s="80" t="s">
        <v>164</v>
      </c>
      <c r="D100" s="99" t="s">
        <v>165</v>
      </c>
      <c r="E100" s="100"/>
      <c r="F100" s="100"/>
      <c r="G100" s="100"/>
      <c r="H100" s="100"/>
      <c r="I100" s="100"/>
      <c r="J100" s="100"/>
      <c r="K100" s="100"/>
      <c r="L100" s="100"/>
      <c r="M100" s="100"/>
      <c r="N100" s="100"/>
      <c r="O100" s="100"/>
      <c r="P100" s="100"/>
      <c r="Q100" s="100"/>
      <c r="R100" s="100"/>
      <c r="S100" s="100"/>
      <c r="T100" s="100"/>
      <c r="U100" s="101"/>
    </row>
    <row r="101" spans="1:33" ht="97.5" customHeight="1" x14ac:dyDescent="0.15">
      <c r="B101" s="154"/>
      <c r="C101" s="79" t="s">
        <v>71</v>
      </c>
      <c r="D101" s="93" t="s">
        <v>167</v>
      </c>
      <c r="E101" s="94"/>
      <c r="F101" s="94"/>
      <c r="G101" s="94"/>
      <c r="H101" s="94"/>
      <c r="I101" s="94"/>
      <c r="J101" s="94"/>
      <c r="K101" s="94"/>
      <c r="L101" s="94"/>
      <c r="M101" s="94"/>
      <c r="N101" s="94"/>
      <c r="O101" s="94"/>
      <c r="P101" s="94"/>
      <c r="Q101" s="94"/>
      <c r="R101" s="94"/>
      <c r="S101" s="94"/>
      <c r="T101" s="94"/>
      <c r="U101" s="95"/>
    </row>
    <row r="102" spans="1:33" ht="6" customHeight="1" x14ac:dyDescent="0.15"/>
    <row r="103" spans="1:33" ht="18.75" customHeight="1" x14ac:dyDescent="0.15">
      <c r="A103" s="69" t="s">
        <v>103</v>
      </c>
    </row>
    <row r="104" spans="1:33" ht="81.75" customHeight="1" x14ac:dyDescent="0.15">
      <c r="B104" s="143" t="s">
        <v>134</v>
      </c>
      <c r="C104" s="144"/>
      <c r="D104" s="144"/>
      <c r="E104" s="144"/>
      <c r="F104" s="144"/>
      <c r="G104" s="144"/>
      <c r="H104" s="144"/>
      <c r="I104" s="144"/>
      <c r="J104" s="144"/>
      <c r="K104" s="144"/>
      <c r="L104" s="144"/>
      <c r="M104" s="144"/>
      <c r="N104" s="144"/>
      <c r="O104" s="144"/>
      <c r="P104" s="144"/>
      <c r="Q104" s="144"/>
      <c r="R104" s="144"/>
      <c r="S104" s="144"/>
      <c r="T104" s="144"/>
      <c r="U104" s="145"/>
    </row>
    <row r="106" spans="1:33" ht="18.75" customHeight="1" x14ac:dyDescent="0.15">
      <c r="A106" s="81" t="s">
        <v>119</v>
      </c>
      <c r="B106" s="82"/>
      <c r="C106" s="82"/>
      <c r="D106" s="82"/>
      <c r="E106" s="82"/>
      <c r="F106" s="82"/>
      <c r="G106" s="82"/>
      <c r="H106" s="82"/>
      <c r="I106" s="82"/>
      <c r="J106" s="82"/>
      <c r="K106" s="82"/>
      <c r="L106" s="82"/>
      <c r="M106" s="82"/>
      <c r="N106" s="82"/>
      <c r="O106" s="82"/>
      <c r="P106" s="82"/>
      <c r="Q106" s="82"/>
      <c r="R106" s="82"/>
      <c r="S106" s="82"/>
      <c r="T106" s="82"/>
      <c r="U106" s="82"/>
    </row>
    <row r="107" spans="1:33" ht="18.75" customHeight="1" x14ac:dyDescent="0.15">
      <c r="A107" s="81" t="s">
        <v>121</v>
      </c>
      <c r="B107" s="81"/>
      <c r="C107" s="81"/>
      <c r="D107" s="81"/>
      <c r="E107" s="81"/>
      <c r="F107" s="81"/>
      <c r="G107" s="81"/>
      <c r="H107" s="81"/>
      <c r="I107" s="81"/>
      <c r="J107" s="81"/>
      <c r="K107" s="81"/>
      <c r="L107" s="81"/>
      <c r="M107" s="81"/>
      <c r="N107" s="81"/>
      <c r="O107" s="81"/>
      <c r="P107" s="81"/>
      <c r="Q107" s="81"/>
      <c r="R107" s="81"/>
      <c r="S107" s="81"/>
      <c r="T107" s="81"/>
      <c r="U107" s="81"/>
      <c r="V107" s="1"/>
      <c r="W107" s="1"/>
      <c r="X107" s="1"/>
      <c r="Y107" s="1"/>
      <c r="Z107" s="1"/>
      <c r="AA107" s="1"/>
      <c r="AB107" s="1"/>
      <c r="AC107" s="1"/>
      <c r="AD107" s="1"/>
      <c r="AE107" s="1"/>
      <c r="AF107" s="1"/>
      <c r="AG107" s="1"/>
    </row>
    <row r="108" spans="1:33" ht="18.75" customHeight="1" x14ac:dyDescent="0.15">
      <c r="A108" s="81"/>
      <c r="B108" s="92" t="s">
        <v>174</v>
      </c>
      <c r="C108" s="92"/>
      <c r="D108" s="92"/>
      <c r="E108" s="92"/>
      <c r="F108" s="92"/>
      <c r="G108" s="92"/>
      <c r="H108" s="92"/>
      <c r="I108" s="92"/>
      <c r="J108" s="92"/>
      <c r="K108" s="92"/>
      <c r="L108" s="92"/>
      <c r="M108" s="92"/>
      <c r="N108" s="92"/>
      <c r="O108" s="92"/>
      <c r="P108" s="92"/>
      <c r="Q108" s="92"/>
      <c r="R108" s="92"/>
      <c r="S108" s="92"/>
      <c r="T108" s="92"/>
      <c r="U108" s="92"/>
      <c r="V108" s="83"/>
      <c r="W108" s="83"/>
      <c r="X108" s="83"/>
      <c r="Y108" s="83"/>
      <c r="Z108" s="83"/>
      <c r="AA108" s="83"/>
      <c r="AB108" s="83"/>
      <c r="AC108" s="83"/>
      <c r="AD108" s="83"/>
      <c r="AE108" s="83"/>
      <c r="AF108" s="83"/>
      <c r="AG108" s="83"/>
    </row>
    <row r="109" spans="1:33" ht="37.35" customHeight="1" x14ac:dyDescent="0.15">
      <c r="A109" s="81"/>
      <c r="B109" s="92"/>
      <c r="C109" s="92"/>
      <c r="D109" s="92"/>
      <c r="E109" s="92"/>
      <c r="F109" s="92"/>
      <c r="G109" s="92"/>
      <c r="H109" s="92"/>
      <c r="I109" s="92"/>
      <c r="J109" s="92"/>
      <c r="K109" s="92"/>
      <c r="L109" s="92"/>
      <c r="M109" s="92"/>
      <c r="N109" s="92"/>
      <c r="O109" s="92"/>
      <c r="P109" s="92"/>
      <c r="Q109" s="92"/>
      <c r="R109" s="92"/>
      <c r="S109" s="92"/>
      <c r="T109" s="92"/>
      <c r="U109" s="92"/>
      <c r="V109" s="83"/>
      <c r="W109" s="83"/>
      <c r="X109" s="83"/>
      <c r="Y109" s="83"/>
      <c r="Z109" s="83"/>
      <c r="AA109" s="83"/>
      <c r="AB109" s="83"/>
      <c r="AC109" s="83"/>
      <c r="AD109" s="83"/>
      <c r="AE109" s="83"/>
      <c r="AF109" s="83"/>
      <c r="AG109" s="83"/>
    </row>
    <row r="110" spans="1:33" ht="18.75" customHeight="1" x14ac:dyDescent="0.15">
      <c r="A110" s="81"/>
      <c r="B110" s="163" t="s">
        <v>120</v>
      </c>
      <c r="C110" s="163"/>
      <c r="D110" s="163"/>
      <c r="E110" s="163"/>
      <c r="F110" s="163"/>
      <c r="G110" s="163"/>
      <c r="H110" s="163"/>
      <c r="I110" s="163"/>
      <c r="J110" s="163"/>
      <c r="K110" s="163"/>
      <c r="L110" s="163"/>
      <c r="M110" s="163"/>
      <c r="N110" s="163"/>
      <c r="O110" s="163"/>
      <c r="P110" s="163"/>
      <c r="Q110" s="163"/>
      <c r="R110" s="163"/>
      <c r="S110" s="163"/>
      <c r="T110" s="163"/>
      <c r="U110" s="163"/>
      <c r="V110" s="83"/>
      <c r="W110" s="83"/>
      <c r="X110" s="83"/>
      <c r="Y110" s="83"/>
      <c r="Z110" s="83"/>
      <c r="AA110" s="83"/>
      <c r="AB110" s="83"/>
      <c r="AC110" s="83"/>
      <c r="AD110" s="83"/>
      <c r="AE110" s="83"/>
      <c r="AF110" s="83"/>
      <c r="AG110" s="83"/>
    </row>
    <row r="111" spans="1:33" ht="18.75" customHeight="1" x14ac:dyDescent="0.15">
      <c r="A111" s="81"/>
      <c r="B111" s="164" t="s">
        <v>52</v>
      </c>
      <c r="C111" s="164"/>
      <c r="D111" s="164"/>
      <c r="E111" s="164"/>
      <c r="F111" s="164"/>
      <c r="G111" s="164"/>
      <c r="H111" s="164"/>
      <c r="I111" s="164"/>
      <c r="J111" s="164"/>
      <c r="K111" s="164"/>
      <c r="L111" s="164"/>
      <c r="M111" s="164"/>
      <c r="N111" s="164"/>
      <c r="O111" s="164"/>
      <c r="P111" s="164"/>
      <c r="Q111" s="164"/>
      <c r="R111" s="164"/>
      <c r="S111" s="164"/>
      <c r="T111" s="164"/>
      <c r="U111" s="164"/>
      <c r="V111" s="1"/>
      <c r="W111" s="1"/>
      <c r="X111" s="1"/>
      <c r="Y111" s="1"/>
      <c r="Z111" s="1"/>
      <c r="AA111" s="1"/>
      <c r="AB111" s="1"/>
      <c r="AC111" s="1"/>
      <c r="AD111" s="1"/>
      <c r="AE111" s="1"/>
      <c r="AF111" s="1"/>
      <c r="AG111" s="1"/>
    </row>
    <row r="112" spans="1:33" ht="132" customHeight="1" x14ac:dyDescent="0.15">
      <c r="A112" s="81"/>
      <c r="B112" s="165" t="s">
        <v>173</v>
      </c>
      <c r="C112" s="165"/>
      <c r="D112" s="165"/>
      <c r="E112" s="165"/>
      <c r="F112" s="165"/>
      <c r="G112" s="165"/>
      <c r="H112" s="165"/>
      <c r="I112" s="165"/>
      <c r="J112" s="165"/>
      <c r="K112" s="165"/>
      <c r="L112" s="165"/>
      <c r="M112" s="165"/>
      <c r="N112" s="165"/>
      <c r="O112" s="165"/>
      <c r="P112" s="165"/>
      <c r="Q112" s="165"/>
      <c r="R112" s="165"/>
      <c r="S112" s="165"/>
      <c r="T112" s="165"/>
      <c r="U112" s="165"/>
      <c r="V112" s="84"/>
      <c r="W112" s="84"/>
      <c r="X112" s="84"/>
      <c r="Y112" s="84"/>
      <c r="Z112" s="84"/>
      <c r="AA112" s="84"/>
      <c r="AB112" s="84"/>
      <c r="AC112" s="84"/>
      <c r="AD112" s="84"/>
      <c r="AE112" s="84"/>
      <c r="AF112" s="84"/>
      <c r="AG112" s="84"/>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tabSelected="1" view="pageBreakPreview" zoomScaleNormal="100" zoomScaleSheetLayoutView="100" workbookViewId="0">
      <selection activeCell="U14" sqref="U14"/>
    </sheetView>
  </sheetViews>
  <sheetFormatPr defaultColWidth="9" defaultRowHeight="18.75" customHeight="1" x14ac:dyDescent="0.15"/>
  <cols>
    <col min="1" max="1" width="2.875" style="69" customWidth="1"/>
    <col min="2" max="2" width="20.875" style="69" customWidth="1"/>
    <col min="3" max="18" width="6.125" style="69" customWidth="1"/>
    <col min="19" max="19" width="6.625" style="69" customWidth="1"/>
    <col min="20" max="16384" width="9" style="69"/>
  </cols>
  <sheetData>
    <row r="1" spans="1:21" ht="18" customHeight="1" x14ac:dyDescent="0.15">
      <c r="S1" s="69" t="s">
        <v>92</v>
      </c>
    </row>
    <row r="2" spans="1:21" ht="18" customHeight="1" x14ac:dyDescent="0.15">
      <c r="Q2" s="167" t="str">
        <f>'様式１　プログラムを構成する授業科目'!C2</f>
        <v>神戸女子大学</v>
      </c>
      <c r="R2" s="167"/>
      <c r="S2" s="167"/>
    </row>
    <row r="3" spans="1:21" ht="18" customHeight="1" x14ac:dyDescent="0.15">
      <c r="A3" s="133" t="s">
        <v>45</v>
      </c>
      <c r="B3" s="133"/>
      <c r="C3" s="133"/>
      <c r="D3" s="133"/>
      <c r="E3" s="133"/>
      <c r="F3" s="133"/>
      <c r="G3" s="133"/>
      <c r="H3" s="133"/>
      <c r="I3" s="133"/>
      <c r="J3" s="133"/>
      <c r="K3" s="133"/>
      <c r="L3" s="133"/>
      <c r="M3" s="133"/>
      <c r="N3" s="133"/>
      <c r="O3" s="133"/>
      <c r="P3" s="133"/>
      <c r="Q3" s="133"/>
      <c r="R3" s="133"/>
      <c r="S3" s="133"/>
    </row>
    <row r="4" spans="1:21" ht="7.5" customHeight="1" x14ac:dyDescent="0.15">
      <c r="A4" s="67"/>
      <c r="B4" s="67"/>
      <c r="C4" s="67"/>
      <c r="D4" s="67"/>
      <c r="E4" s="67"/>
      <c r="F4" s="67"/>
      <c r="G4" s="67"/>
      <c r="H4" s="67"/>
      <c r="I4" s="67"/>
      <c r="J4" s="67"/>
      <c r="K4" s="67"/>
      <c r="L4" s="67"/>
      <c r="M4" s="67"/>
      <c r="N4" s="67"/>
      <c r="O4" s="67"/>
      <c r="P4" s="67"/>
      <c r="Q4" s="67"/>
      <c r="R4" s="67"/>
      <c r="S4" s="67"/>
    </row>
    <row r="5" spans="1:21" ht="18" customHeight="1" x14ac:dyDescent="0.15">
      <c r="A5" s="69" t="s">
        <v>76</v>
      </c>
      <c r="C5" s="168" t="s">
        <v>183</v>
      </c>
      <c r="D5" s="169"/>
      <c r="E5" s="67" t="s">
        <v>49</v>
      </c>
      <c r="F5" s="67"/>
      <c r="G5" s="67"/>
      <c r="H5" s="67"/>
      <c r="I5" s="67"/>
      <c r="J5" s="67"/>
      <c r="K5" s="67"/>
      <c r="L5" s="67"/>
      <c r="M5" s="67"/>
      <c r="N5" s="67"/>
      <c r="O5" s="67"/>
      <c r="P5" s="67"/>
      <c r="Q5" s="67"/>
      <c r="R5" s="3"/>
      <c r="S5" s="3"/>
    </row>
    <row r="6" spans="1:21" ht="7.35" customHeight="1" x14ac:dyDescent="0.15">
      <c r="C6" s="17"/>
      <c r="D6" s="17"/>
      <c r="E6" s="67"/>
      <c r="F6" s="67"/>
      <c r="G6" s="67"/>
      <c r="H6" s="67"/>
      <c r="I6" s="67"/>
      <c r="J6" s="67"/>
      <c r="K6" s="67"/>
      <c r="L6" s="67"/>
      <c r="M6" s="67"/>
      <c r="N6" s="67"/>
      <c r="O6" s="67"/>
      <c r="P6" s="67"/>
      <c r="Q6" s="67"/>
      <c r="R6" s="3"/>
      <c r="S6" s="3"/>
    </row>
    <row r="7" spans="1:21" ht="18" customHeight="1" x14ac:dyDescent="0.15">
      <c r="A7" s="69" t="s">
        <v>112</v>
      </c>
      <c r="C7" s="17"/>
      <c r="D7" s="17"/>
      <c r="E7" s="67" t="s">
        <v>113</v>
      </c>
      <c r="F7" s="85">
        <v>0</v>
      </c>
      <c r="G7" s="7" t="s">
        <v>114</v>
      </c>
      <c r="H7" s="67" t="s">
        <v>115</v>
      </c>
      <c r="I7" s="85">
        <v>2987</v>
      </c>
      <c r="J7" s="7" t="s">
        <v>114</v>
      </c>
      <c r="K7" s="19" t="s">
        <v>116</v>
      </c>
      <c r="L7" s="67" t="s">
        <v>117</v>
      </c>
      <c r="M7" s="74">
        <f>F7+I7</f>
        <v>2987</v>
      </c>
      <c r="N7" s="67" t="s">
        <v>1</v>
      </c>
      <c r="O7" s="7" t="s">
        <v>118</v>
      </c>
      <c r="P7" s="67"/>
      <c r="Q7" s="67"/>
      <c r="R7" s="3"/>
      <c r="S7" s="3"/>
    </row>
    <row r="8" spans="1:21" ht="6" customHeight="1" x14ac:dyDescent="0.15">
      <c r="A8" s="67"/>
      <c r="B8" s="67"/>
      <c r="C8" s="67"/>
      <c r="D8" s="67"/>
      <c r="E8" s="67"/>
      <c r="F8" s="67"/>
      <c r="G8" s="67"/>
      <c r="H8" s="67"/>
      <c r="I8" s="67"/>
      <c r="J8" s="67"/>
      <c r="K8" s="67"/>
      <c r="L8" s="67"/>
      <c r="M8" s="67"/>
      <c r="N8" s="67"/>
      <c r="O8" s="67"/>
      <c r="P8" s="67"/>
      <c r="Q8" s="67"/>
      <c r="R8" s="67"/>
      <c r="S8" s="67"/>
    </row>
    <row r="9" spans="1:21" ht="18" customHeight="1" x14ac:dyDescent="0.15">
      <c r="A9" s="69" t="s">
        <v>127</v>
      </c>
      <c r="B9" s="67"/>
      <c r="C9" s="67"/>
      <c r="D9" s="67"/>
      <c r="E9" s="67"/>
      <c r="F9" s="67"/>
      <c r="G9" s="67"/>
      <c r="H9" s="67"/>
      <c r="I9" s="67"/>
      <c r="J9" s="67"/>
      <c r="K9" s="67"/>
      <c r="L9" s="67"/>
      <c r="M9" s="67"/>
      <c r="N9" s="67"/>
      <c r="O9" s="67"/>
      <c r="P9" s="67"/>
      <c r="Q9" s="67"/>
      <c r="R9" s="67"/>
      <c r="S9" s="67"/>
    </row>
    <row r="10" spans="1:21" ht="6" customHeight="1" x14ac:dyDescent="0.15">
      <c r="B10" s="67"/>
      <c r="C10" s="67"/>
      <c r="D10" s="67"/>
      <c r="E10" s="67"/>
      <c r="F10" s="67"/>
      <c r="G10" s="67"/>
      <c r="H10" s="67"/>
      <c r="I10" s="67"/>
      <c r="J10" s="67"/>
      <c r="K10" s="67"/>
      <c r="L10" s="67"/>
      <c r="M10" s="67"/>
      <c r="N10" s="67"/>
      <c r="O10" s="67"/>
      <c r="P10" s="67"/>
      <c r="Q10" s="67"/>
      <c r="R10" s="67"/>
      <c r="S10" s="67"/>
    </row>
    <row r="11" spans="1:21" ht="18" customHeight="1" x14ac:dyDescent="0.15">
      <c r="B11" s="170" t="s">
        <v>42</v>
      </c>
      <c r="C11" s="180" t="s">
        <v>79</v>
      </c>
      <c r="D11" s="172" t="s">
        <v>44</v>
      </c>
      <c r="E11" s="174" t="s">
        <v>37</v>
      </c>
      <c r="F11" s="166" t="s">
        <v>106</v>
      </c>
      <c r="G11" s="166"/>
      <c r="H11" s="166" t="s">
        <v>78</v>
      </c>
      <c r="I11" s="166"/>
      <c r="J11" s="166" t="s">
        <v>46</v>
      </c>
      <c r="K11" s="166"/>
      <c r="L11" s="166" t="s">
        <v>47</v>
      </c>
      <c r="M11" s="166"/>
      <c r="N11" s="166" t="s">
        <v>87</v>
      </c>
      <c r="O11" s="166"/>
      <c r="P11" s="166" t="s">
        <v>48</v>
      </c>
      <c r="Q11" s="166"/>
      <c r="R11" s="176" t="s">
        <v>33</v>
      </c>
      <c r="S11" s="178" t="s">
        <v>30</v>
      </c>
      <c r="U11" s="1"/>
    </row>
    <row r="12" spans="1:21" ht="17.100000000000001" customHeight="1" x14ac:dyDescent="0.15">
      <c r="B12" s="171"/>
      <c r="C12" s="181"/>
      <c r="D12" s="173"/>
      <c r="E12" s="175"/>
      <c r="F12" s="50" t="s">
        <v>86</v>
      </c>
      <c r="G12" s="50" t="s">
        <v>27</v>
      </c>
      <c r="H12" s="50" t="s">
        <v>86</v>
      </c>
      <c r="I12" s="50" t="s">
        <v>27</v>
      </c>
      <c r="J12" s="50" t="s">
        <v>86</v>
      </c>
      <c r="K12" s="50" t="s">
        <v>27</v>
      </c>
      <c r="L12" s="50" t="s">
        <v>86</v>
      </c>
      <c r="M12" s="50" t="s">
        <v>27</v>
      </c>
      <c r="N12" s="50" t="s">
        <v>86</v>
      </c>
      <c r="O12" s="50" t="s">
        <v>27</v>
      </c>
      <c r="P12" s="50" t="s">
        <v>86</v>
      </c>
      <c r="Q12" s="51" t="s">
        <v>27</v>
      </c>
      <c r="R12" s="177"/>
      <c r="S12" s="179"/>
      <c r="U12" s="1"/>
    </row>
    <row r="13" spans="1:21" ht="18" customHeight="1" x14ac:dyDescent="0.15">
      <c r="A13" s="3"/>
      <c r="B13" s="54" t="s">
        <v>140</v>
      </c>
      <c r="C13" s="55">
        <v>1113</v>
      </c>
      <c r="D13" s="56">
        <v>405</v>
      </c>
      <c r="E13" s="57">
        <v>1620</v>
      </c>
      <c r="F13" s="57">
        <v>177</v>
      </c>
      <c r="G13" s="57">
        <v>22</v>
      </c>
      <c r="H13" s="57"/>
      <c r="I13" s="40"/>
      <c r="J13" s="40"/>
      <c r="K13" s="40"/>
      <c r="L13" s="40"/>
      <c r="M13" s="40"/>
      <c r="N13" s="40"/>
      <c r="O13" s="40"/>
      <c r="P13" s="40"/>
      <c r="Q13" s="52"/>
      <c r="R13" s="39">
        <f t="shared" ref="R13:R32" si="0">F13+H13+J13+L13+N13+P13</f>
        <v>177</v>
      </c>
      <c r="S13" s="71">
        <f t="shared" ref="S13:S33" si="1">R13/E13</f>
        <v>0.10925925925925926</v>
      </c>
    </row>
    <row r="14" spans="1:21" ht="18" customHeight="1" x14ac:dyDescent="0.15">
      <c r="A14" s="3"/>
      <c r="B14" s="58" t="s">
        <v>141</v>
      </c>
      <c r="C14" s="59">
        <v>841</v>
      </c>
      <c r="D14" s="60">
        <v>230</v>
      </c>
      <c r="E14" s="61">
        <v>940</v>
      </c>
      <c r="F14" s="62">
        <v>184</v>
      </c>
      <c r="G14" s="62">
        <v>80</v>
      </c>
      <c r="H14" s="62"/>
      <c r="I14" s="44"/>
      <c r="J14" s="44"/>
      <c r="K14" s="44"/>
      <c r="L14" s="44"/>
      <c r="M14" s="44"/>
      <c r="N14" s="44"/>
      <c r="O14" s="44"/>
      <c r="P14" s="44"/>
      <c r="Q14" s="41"/>
      <c r="R14" s="42">
        <f t="shared" si="0"/>
        <v>184</v>
      </c>
      <c r="S14" s="5">
        <f t="shared" si="1"/>
        <v>0.19574468085106383</v>
      </c>
    </row>
    <row r="15" spans="1:21" ht="18" customHeight="1" x14ac:dyDescent="0.15">
      <c r="A15" s="3"/>
      <c r="B15" s="58" t="s">
        <v>142</v>
      </c>
      <c r="C15" s="59">
        <v>484</v>
      </c>
      <c r="D15" s="60">
        <v>160</v>
      </c>
      <c r="E15" s="61">
        <v>640</v>
      </c>
      <c r="F15" s="62">
        <v>110</v>
      </c>
      <c r="G15" s="62">
        <v>6</v>
      </c>
      <c r="H15" s="62"/>
      <c r="I15" s="44"/>
      <c r="J15" s="44"/>
      <c r="K15" s="44"/>
      <c r="L15" s="44"/>
      <c r="M15" s="44"/>
      <c r="N15" s="44"/>
      <c r="O15" s="44"/>
      <c r="P15" s="44"/>
      <c r="Q15" s="41"/>
      <c r="R15" s="42">
        <f t="shared" si="0"/>
        <v>110</v>
      </c>
      <c r="S15" s="5">
        <f t="shared" si="1"/>
        <v>0.171875</v>
      </c>
    </row>
    <row r="16" spans="1:21" ht="18" customHeight="1" x14ac:dyDescent="0.15">
      <c r="A16" s="3"/>
      <c r="B16" s="58" t="s">
        <v>143</v>
      </c>
      <c r="C16" s="59">
        <v>367</v>
      </c>
      <c r="D16" s="60">
        <v>90</v>
      </c>
      <c r="E16" s="61">
        <v>360</v>
      </c>
      <c r="F16" s="62">
        <v>109</v>
      </c>
      <c r="G16" s="62">
        <v>16</v>
      </c>
      <c r="H16" s="62"/>
      <c r="I16" s="44"/>
      <c r="J16" s="44"/>
      <c r="K16" s="44"/>
      <c r="L16" s="44"/>
      <c r="M16" s="44"/>
      <c r="N16" s="44"/>
      <c r="O16" s="44"/>
      <c r="P16" s="44"/>
      <c r="Q16" s="41"/>
      <c r="R16" s="42">
        <f t="shared" si="0"/>
        <v>109</v>
      </c>
      <c r="S16" s="5">
        <f t="shared" si="1"/>
        <v>0.30277777777777776</v>
      </c>
    </row>
    <row r="17" spans="1:19" ht="18" customHeight="1" x14ac:dyDescent="0.15">
      <c r="A17" s="3"/>
      <c r="B17" s="58" t="s">
        <v>144</v>
      </c>
      <c r="C17" s="59">
        <v>182</v>
      </c>
      <c r="D17" s="60">
        <v>80</v>
      </c>
      <c r="E17" s="61">
        <v>320</v>
      </c>
      <c r="F17" s="62">
        <v>101</v>
      </c>
      <c r="G17" s="62">
        <v>28</v>
      </c>
      <c r="H17" s="62"/>
      <c r="I17" s="44"/>
      <c r="J17" s="44"/>
      <c r="K17" s="44"/>
      <c r="L17" s="44"/>
      <c r="M17" s="44"/>
      <c r="N17" s="44"/>
      <c r="O17" s="44"/>
      <c r="P17" s="44"/>
      <c r="Q17" s="41"/>
      <c r="R17" s="42">
        <f t="shared" si="0"/>
        <v>101</v>
      </c>
      <c r="S17" s="5">
        <f t="shared" si="1"/>
        <v>0.31562499999999999</v>
      </c>
    </row>
    <row r="18" spans="1:19" ht="18" customHeight="1" x14ac:dyDescent="0.15">
      <c r="A18" s="3"/>
      <c r="B18" s="8"/>
      <c r="C18" s="41"/>
      <c r="D18" s="42"/>
      <c r="E18" s="43"/>
      <c r="F18" s="44"/>
      <c r="G18" s="44"/>
      <c r="H18" s="44"/>
      <c r="I18" s="44"/>
      <c r="J18" s="44"/>
      <c r="K18" s="44"/>
      <c r="L18" s="44"/>
      <c r="M18" s="44"/>
      <c r="N18" s="44"/>
      <c r="O18" s="44"/>
      <c r="P18" s="44"/>
      <c r="Q18" s="41"/>
      <c r="R18" s="42">
        <f t="shared" si="0"/>
        <v>0</v>
      </c>
      <c r="S18" s="5" t="e">
        <f t="shared" si="1"/>
        <v>#DIV/0!</v>
      </c>
    </row>
    <row r="19" spans="1:19" ht="18" customHeight="1" x14ac:dyDescent="0.15">
      <c r="A19" s="3"/>
      <c r="B19" s="8"/>
      <c r="C19" s="41"/>
      <c r="D19" s="42"/>
      <c r="E19" s="43"/>
      <c r="F19" s="44"/>
      <c r="G19" s="44"/>
      <c r="H19" s="44"/>
      <c r="I19" s="44"/>
      <c r="J19" s="44"/>
      <c r="K19" s="44"/>
      <c r="L19" s="44"/>
      <c r="M19" s="44"/>
      <c r="N19" s="44"/>
      <c r="O19" s="44"/>
      <c r="P19" s="44"/>
      <c r="Q19" s="41"/>
      <c r="R19" s="42">
        <f t="shared" si="0"/>
        <v>0</v>
      </c>
      <c r="S19" s="5" t="e">
        <f t="shared" si="1"/>
        <v>#DIV/0!</v>
      </c>
    </row>
    <row r="20" spans="1:19" ht="18" customHeight="1" x14ac:dyDescent="0.15">
      <c r="A20" s="3"/>
      <c r="B20" s="8"/>
      <c r="C20" s="41"/>
      <c r="D20" s="42"/>
      <c r="E20" s="43"/>
      <c r="F20" s="44"/>
      <c r="G20" s="44"/>
      <c r="H20" s="44"/>
      <c r="I20" s="44"/>
      <c r="J20" s="44"/>
      <c r="K20" s="44"/>
      <c r="L20" s="44"/>
      <c r="M20" s="44"/>
      <c r="N20" s="44"/>
      <c r="O20" s="44"/>
      <c r="P20" s="44"/>
      <c r="Q20" s="41"/>
      <c r="R20" s="42">
        <f t="shared" si="0"/>
        <v>0</v>
      </c>
      <c r="S20" s="5" t="e">
        <f t="shared" si="1"/>
        <v>#DIV/0!</v>
      </c>
    </row>
    <row r="21" spans="1:19" ht="18" customHeight="1" x14ac:dyDescent="0.15">
      <c r="A21" s="3"/>
      <c r="B21" s="8"/>
      <c r="C21" s="41"/>
      <c r="D21" s="42"/>
      <c r="E21" s="43"/>
      <c r="F21" s="44"/>
      <c r="G21" s="44"/>
      <c r="H21" s="44"/>
      <c r="I21" s="44"/>
      <c r="J21" s="44"/>
      <c r="K21" s="44"/>
      <c r="L21" s="44"/>
      <c r="M21" s="44"/>
      <c r="N21" s="44"/>
      <c r="O21" s="44"/>
      <c r="P21" s="44"/>
      <c r="Q21" s="41"/>
      <c r="R21" s="42">
        <f t="shared" si="0"/>
        <v>0</v>
      </c>
      <c r="S21" s="5" t="e">
        <f t="shared" si="1"/>
        <v>#DIV/0!</v>
      </c>
    </row>
    <row r="22" spans="1:19" ht="18" customHeight="1" x14ac:dyDescent="0.15">
      <c r="A22" s="3"/>
      <c r="B22" s="8"/>
      <c r="C22" s="41"/>
      <c r="D22" s="42"/>
      <c r="E22" s="43"/>
      <c r="F22" s="44"/>
      <c r="G22" s="44"/>
      <c r="H22" s="44"/>
      <c r="I22" s="44"/>
      <c r="J22" s="44"/>
      <c r="K22" s="44"/>
      <c r="L22" s="44"/>
      <c r="M22" s="44"/>
      <c r="N22" s="44"/>
      <c r="O22" s="44"/>
      <c r="P22" s="44"/>
      <c r="Q22" s="41"/>
      <c r="R22" s="42">
        <f t="shared" si="0"/>
        <v>0</v>
      </c>
      <c r="S22" s="5" t="e">
        <f t="shared" si="1"/>
        <v>#DIV/0!</v>
      </c>
    </row>
    <row r="23" spans="1:19" ht="18" customHeight="1" x14ac:dyDescent="0.15">
      <c r="A23" s="3"/>
      <c r="B23" s="8"/>
      <c r="C23" s="41"/>
      <c r="D23" s="42"/>
      <c r="E23" s="43"/>
      <c r="F23" s="44"/>
      <c r="G23" s="44"/>
      <c r="H23" s="44"/>
      <c r="I23" s="44"/>
      <c r="J23" s="44"/>
      <c r="K23" s="44"/>
      <c r="L23" s="44"/>
      <c r="M23" s="44"/>
      <c r="N23" s="44"/>
      <c r="O23" s="44"/>
      <c r="P23" s="44"/>
      <c r="Q23" s="41"/>
      <c r="R23" s="42">
        <f t="shared" si="0"/>
        <v>0</v>
      </c>
      <c r="S23" s="5" t="e">
        <f t="shared" si="1"/>
        <v>#DIV/0!</v>
      </c>
    </row>
    <row r="24" spans="1:19" ht="18" customHeight="1" x14ac:dyDescent="0.15">
      <c r="A24" s="3"/>
      <c r="B24" s="8"/>
      <c r="C24" s="41"/>
      <c r="D24" s="42"/>
      <c r="E24" s="43"/>
      <c r="F24" s="44"/>
      <c r="G24" s="44"/>
      <c r="H24" s="44"/>
      <c r="I24" s="44"/>
      <c r="J24" s="44"/>
      <c r="K24" s="44"/>
      <c r="L24" s="44"/>
      <c r="M24" s="44"/>
      <c r="N24" s="44"/>
      <c r="O24" s="44"/>
      <c r="P24" s="44"/>
      <c r="Q24" s="41"/>
      <c r="R24" s="42">
        <f t="shared" si="0"/>
        <v>0</v>
      </c>
      <c r="S24" s="5" t="e">
        <f t="shared" si="1"/>
        <v>#DIV/0!</v>
      </c>
    </row>
    <row r="25" spans="1:19" ht="18" customHeight="1" x14ac:dyDescent="0.15">
      <c r="A25" s="3"/>
      <c r="B25" s="8"/>
      <c r="C25" s="41"/>
      <c r="D25" s="42"/>
      <c r="E25" s="43"/>
      <c r="F25" s="44"/>
      <c r="G25" s="44"/>
      <c r="H25" s="44"/>
      <c r="I25" s="44"/>
      <c r="J25" s="44"/>
      <c r="K25" s="44"/>
      <c r="L25" s="44"/>
      <c r="M25" s="44"/>
      <c r="N25" s="44"/>
      <c r="O25" s="44"/>
      <c r="P25" s="44"/>
      <c r="Q25" s="41"/>
      <c r="R25" s="42">
        <f t="shared" si="0"/>
        <v>0</v>
      </c>
      <c r="S25" s="5" t="e">
        <f t="shared" si="1"/>
        <v>#DIV/0!</v>
      </c>
    </row>
    <row r="26" spans="1:19" ht="18" customHeight="1" x14ac:dyDescent="0.15">
      <c r="A26" s="3"/>
      <c r="B26" s="8"/>
      <c r="C26" s="41"/>
      <c r="D26" s="42"/>
      <c r="E26" s="43"/>
      <c r="F26" s="44"/>
      <c r="G26" s="44"/>
      <c r="H26" s="44"/>
      <c r="I26" s="44"/>
      <c r="J26" s="44"/>
      <c r="K26" s="44"/>
      <c r="L26" s="44"/>
      <c r="M26" s="44"/>
      <c r="N26" s="44"/>
      <c r="O26" s="44"/>
      <c r="P26" s="44"/>
      <c r="Q26" s="41"/>
      <c r="R26" s="42">
        <f t="shared" si="0"/>
        <v>0</v>
      </c>
      <c r="S26" s="5" t="e">
        <f t="shared" si="1"/>
        <v>#DIV/0!</v>
      </c>
    </row>
    <row r="27" spans="1:19" ht="18" customHeight="1" x14ac:dyDescent="0.15">
      <c r="A27" s="3"/>
      <c r="B27" s="8"/>
      <c r="C27" s="41"/>
      <c r="D27" s="42"/>
      <c r="E27" s="43"/>
      <c r="F27" s="44"/>
      <c r="G27" s="44"/>
      <c r="H27" s="44"/>
      <c r="I27" s="44"/>
      <c r="J27" s="44"/>
      <c r="K27" s="44"/>
      <c r="L27" s="44"/>
      <c r="M27" s="44"/>
      <c r="N27" s="44"/>
      <c r="O27" s="44"/>
      <c r="P27" s="44"/>
      <c r="Q27" s="41"/>
      <c r="R27" s="42">
        <f t="shared" si="0"/>
        <v>0</v>
      </c>
      <c r="S27" s="5" t="e">
        <f t="shared" si="1"/>
        <v>#DIV/0!</v>
      </c>
    </row>
    <row r="28" spans="1:19" ht="18" customHeight="1" x14ac:dyDescent="0.15">
      <c r="A28" s="3"/>
      <c r="B28" s="8"/>
      <c r="C28" s="41"/>
      <c r="D28" s="42"/>
      <c r="E28" s="43"/>
      <c r="F28" s="44"/>
      <c r="G28" s="44"/>
      <c r="H28" s="44"/>
      <c r="I28" s="44"/>
      <c r="J28" s="44"/>
      <c r="K28" s="44"/>
      <c r="L28" s="44"/>
      <c r="M28" s="44"/>
      <c r="N28" s="44"/>
      <c r="O28" s="44"/>
      <c r="P28" s="44"/>
      <c r="Q28" s="41"/>
      <c r="R28" s="42">
        <f t="shared" si="0"/>
        <v>0</v>
      </c>
      <c r="S28" s="5" t="e">
        <f t="shared" si="1"/>
        <v>#DIV/0!</v>
      </c>
    </row>
    <row r="29" spans="1:19" ht="18" customHeight="1" x14ac:dyDescent="0.15">
      <c r="A29" s="3"/>
      <c r="B29" s="8"/>
      <c r="C29" s="41"/>
      <c r="D29" s="42"/>
      <c r="E29" s="43"/>
      <c r="F29" s="44"/>
      <c r="G29" s="44"/>
      <c r="H29" s="44"/>
      <c r="I29" s="44"/>
      <c r="J29" s="44"/>
      <c r="K29" s="44"/>
      <c r="L29" s="44"/>
      <c r="M29" s="44"/>
      <c r="N29" s="44"/>
      <c r="O29" s="44"/>
      <c r="P29" s="44"/>
      <c r="Q29" s="41"/>
      <c r="R29" s="42">
        <f t="shared" si="0"/>
        <v>0</v>
      </c>
      <c r="S29" s="5" t="e">
        <f t="shared" si="1"/>
        <v>#DIV/0!</v>
      </c>
    </row>
    <row r="30" spans="1:19" ht="18" customHeight="1" x14ac:dyDescent="0.15">
      <c r="A30" s="3"/>
      <c r="B30" s="8"/>
      <c r="C30" s="41"/>
      <c r="D30" s="45"/>
      <c r="E30" s="43"/>
      <c r="F30" s="44"/>
      <c r="G30" s="44"/>
      <c r="H30" s="44"/>
      <c r="I30" s="44"/>
      <c r="J30" s="44"/>
      <c r="K30" s="44"/>
      <c r="L30" s="44"/>
      <c r="M30" s="44"/>
      <c r="N30" s="44"/>
      <c r="O30" s="44"/>
      <c r="P30" s="44"/>
      <c r="Q30" s="41"/>
      <c r="R30" s="45">
        <f t="shared" si="0"/>
        <v>0</v>
      </c>
      <c r="S30" s="5" t="e">
        <f t="shared" si="1"/>
        <v>#DIV/0!</v>
      </c>
    </row>
    <row r="31" spans="1:19" ht="18" customHeight="1" x14ac:dyDescent="0.15">
      <c r="A31" s="3"/>
      <c r="B31" s="8"/>
      <c r="C31" s="41"/>
      <c r="D31" s="45"/>
      <c r="E31" s="43"/>
      <c r="F31" s="44"/>
      <c r="G31" s="44"/>
      <c r="H31" s="44"/>
      <c r="I31" s="44"/>
      <c r="J31" s="44"/>
      <c r="K31" s="44"/>
      <c r="L31" s="44"/>
      <c r="M31" s="44"/>
      <c r="N31" s="44"/>
      <c r="O31" s="44"/>
      <c r="P31" s="44"/>
      <c r="Q31" s="41"/>
      <c r="R31" s="45">
        <f t="shared" si="0"/>
        <v>0</v>
      </c>
      <c r="S31" s="5" t="e">
        <f t="shared" si="1"/>
        <v>#DIV/0!</v>
      </c>
    </row>
    <row r="32" spans="1:19" ht="18" customHeight="1" thickBot="1" x14ac:dyDescent="0.2">
      <c r="A32" s="3"/>
      <c r="B32" s="9"/>
      <c r="C32" s="38"/>
      <c r="D32" s="46"/>
      <c r="E32" s="40"/>
      <c r="F32" s="40"/>
      <c r="G32" s="40"/>
      <c r="H32" s="40"/>
      <c r="I32" s="40"/>
      <c r="J32" s="40"/>
      <c r="K32" s="40"/>
      <c r="L32" s="40"/>
      <c r="M32" s="40"/>
      <c r="N32" s="40"/>
      <c r="O32" s="40"/>
      <c r="P32" s="40"/>
      <c r="Q32" s="41"/>
      <c r="R32" s="46">
        <f t="shared" si="0"/>
        <v>0</v>
      </c>
      <c r="S32" s="4" t="e">
        <f t="shared" si="1"/>
        <v>#DIV/0!</v>
      </c>
    </row>
    <row r="33" spans="2:19" ht="18" customHeight="1" thickTop="1" x14ac:dyDescent="0.15">
      <c r="B33" s="10" t="s">
        <v>31</v>
      </c>
      <c r="C33" s="47">
        <f t="shared" ref="C33" si="2">SUM(C13:C32)</f>
        <v>2987</v>
      </c>
      <c r="D33" s="48">
        <f t="shared" ref="D33:R33" si="3">SUM(D13:D32)</f>
        <v>965</v>
      </c>
      <c r="E33" s="49">
        <f t="shared" si="3"/>
        <v>3880</v>
      </c>
      <c r="F33" s="49">
        <f t="shared" si="3"/>
        <v>681</v>
      </c>
      <c r="G33" s="49">
        <f t="shared" ref="G33:H33" si="4">SUM(G13:G32)</f>
        <v>152</v>
      </c>
      <c r="H33" s="49">
        <f t="shared" si="4"/>
        <v>0</v>
      </c>
      <c r="I33" s="49">
        <f t="shared" ref="I33:J33" si="5">SUM(I13:I32)</f>
        <v>0</v>
      </c>
      <c r="J33" s="49">
        <f t="shared" si="5"/>
        <v>0</v>
      </c>
      <c r="K33" s="49">
        <f t="shared" ref="K33:O33" si="6">SUM(K13:K32)</f>
        <v>0</v>
      </c>
      <c r="L33" s="49">
        <f t="shared" si="6"/>
        <v>0</v>
      </c>
      <c r="M33" s="49">
        <f t="shared" si="6"/>
        <v>0</v>
      </c>
      <c r="N33" s="49">
        <f t="shared" si="6"/>
        <v>0</v>
      </c>
      <c r="O33" s="49">
        <f t="shared" si="6"/>
        <v>0</v>
      </c>
      <c r="P33" s="49">
        <f t="shared" ref="P33:Q33" si="7">SUM(P13:P32)</f>
        <v>0</v>
      </c>
      <c r="Q33" s="47">
        <f t="shared" si="7"/>
        <v>0</v>
      </c>
      <c r="R33" s="48">
        <f t="shared" si="3"/>
        <v>681</v>
      </c>
      <c r="S33" s="6">
        <f t="shared" si="1"/>
        <v>0.17551546391752576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96" zoomScaleNormal="100" zoomScaleSheetLayoutView="100" workbookViewId="0">
      <selection activeCell="K38" sqref="K38"/>
    </sheetView>
  </sheetViews>
  <sheetFormatPr defaultColWidth="11.375" defaultRowHeight="18.75" customHeight="1" x14ac:dyDescent="0.15"/>
  <cols>
    <col min="1" max="1" width="2.875" style="21" customWidth="1"/>
    <col min="2" max="2" width="16.625" style="69" customWidth="1"/>
    <col min="3" max="3" width="8.875" style="69" customWidth="1"/>
    <col min="4" max="4" width="2.125" style="69" customWidth="1"/>
    <col min="5" max="5" width="16.625" style="69" customWidth="1"/>
    <col min="6" max="6" width="4.375" style="69" customWidth="1"/>
    <col min="7" max="7" width="9" style="69" customWidth="1"/>
    <col min="8" max="8" width="16.625" style="69" customWidth="1"/>
    <col min="9" max="9" width="12.125" style="69" customWidth="1"/>
    <col min="10" max="16384" width="11.375" style="69"/>
  </cols>
  <sheetData>
    <row r="1" spans="1:9" ht="18.75" customHeight="1" x14ac:dyDescent="0.15">
      <c r="A1" s="21" t="s">
        <v>60</v>
      </c>
      <c r="I1" s="19" t="s">
        <v>91</v>
      </c>
    </row>
    <row r="2" spans="1:9" ht="18.75" customHeight="1" x14ac:dyDescent="0.15">
      <c r="G2" s="19" t="s">
        <v>93</v>
      </c>
      <c r="H2" s="108" t="str">
        <f>'様式１　プログラムを構成する授業科目'!C2</f>
        <v>神戸女子大学</v>
      </c>
      <c r="I2" s="110"/>
    </row>
    <row r="3" spans="1:9" ht="18.75" customHeight="1" x14ac:dyDescent="0.15">
      <c r="G3" s="19"/>
      <c r="H3" s="7"/>
      <c r="I3" s="7"/>
    </row>
    <row r="4" spans="1:9" ht="18.600000000000001" customHeight="1" x14ac:dyDescent="0.15">
      <c r="A4" s="133" t="s">
        <v>34</v>
      </c>
      <c r="B4" s="133"/>
      <c r="C4" s="133"/>
      <c r="D4" s="133"/>
      <c r="E4" s="133"/>
      <c r="F4" s="133"/>
      <c r="G4" s="133"/>
      <c r="H4" s="133"/>
      <c r="I4" s="133"/>
    </row>
    <row r="5" spans="1:9" ht="13.35" customHeight="1" x14ac:dyDescent="0.15">
      <c r="B5" s="67"/>
      <c r="C5" s="67"/>
      <c r="D5" s="67"/>
      <c r="E5" s="67"/>
      <c r="F5" s="67"/>
      <c r="G5" s="67"/>
      <c r="H5" s="67"/>
      <c r="I5" s="67"/>
    </row>
    <row r="6" spans="1:9" ht="18" customHeight="1" x14ac:dyDescent="0.15">
      <c r="A6" s="69" t="s">
        <v>0</v>
      </c>
      <c r="B6" s="7" t="s">
        <v>82</v>
      </c>
      <c r="C6" s="233" t="s">
        <v>83</v>
      </c>
      <c r="D6" s="233"/>
      <c r="E6" s="18">
        <v>188</v>
      </c>
      <c r="F6" s="67" t="s">
        <v>1</v>
      </c>
      <c r="G6" s="67" t="s">
        <v>2</v>
      </c>
      <c r="H6" s="18">
        <v>250</v>
      </c>
      <c r="I6" s="7" t="s">
        <v>1</v>
      </c>
    </row>
    <row r="7" spans="1:9" ht="12" customHeight="1" x14ac:dyDescent="0.15">
      <c r="C7" s="1"/>
      <c r="D7" s="1"/>
      <c r="E7" s="1"/>
      <c r="F7" s="1"/>
      <c r="G7" s="1"/>
      <c r="H7" s="1"/>
      <c r="I7" s="22"/>
    </row>
    <row r="8" spans="1:9" ht="18" customHeight="1" x14ac:dyDescent="0.15">
      <c r="A8" s="69" t="s">
        <v>3</v>
      </c>
      <c r="B8" s="7" t="s">
        <v>84</v>
      </c>
      <c r="E8" s="67"/>
      <c r="F8" s="67"/>
      <c r="G8" s="67"/>
      <c r="H8" s="63">
        <v>8</v>
      </c>
      <c r="I8" s="7" t="s">
        <v>1</v>
      </c>
    </row>
    <row r="9" spans="1:9" ht="9" customHeight="1" x14ac:dyDescent="0.15">
      <c r="B9" s="67"/>
      <c r="C9" s="67"/>
      <c r="D9" s="67"/>
      <c r="E9" s="67"/>
      <c r="F9" s="67"/>
      <c r="G9" s="67"/>
      <c r="H9" s="67"/>
      <c r="I9" s="67"/>
    </row>
    <row r="10" spans="1:9" ht="18" customHeight="1" x14ac:dyDescent="0.15">
      <c r="A10" s="69" t="s">
        <v>4</v>
      </c>
      <c r="B10" s="7" t="s">
        <v>85</v>
      </c>
      <c r="C10" s="67"/>
      <c r="D10" s="67"/>
      <c r="E10" s="67"/>
      <c r="F10" s="67"/>
      <c r="G10" s="67"/>
      <c r="H10" s="67"/>
      <c r="I10" s="67"/>
    </row>
    <row r="11" spans="1:9" ht="18" customHeight="1" x14ac:dyDescent="0.15">
      <c r="B11" s="19" t="s">
        <v>40</v>
      </c>
      <c r="C11" s="229" t="s">
        <v>135</v>
      </c>
      <c r="D11" s="230"/>
      <c r="E11" s="231"/>
      <c r="F11" s="22"/>
      <c r="G11" s="19" t="s">
        <v>10</v>
      </c>
      <c r="H11" s="229" t="s">
        <v>136</v>
      </c>
      <c r="I11" s="231"/>
    </row>
    <row r="12" spans="1:9" ht="10.35" customHeight="1" x14ac:dyDescent="0.15">
      <c r="B12" s="19"/>
      <c r="C12" s="7"/>
      <c r="D12" s="22"/>
      <c r="E12" s="22"/>
      <c r="F12" s="22"/>
      <c r="G12" s="19"/>
      <c r="H12" s="7"/>
      <c r="I12" s="22"/>
    </row>
    <row r="13" spans="1:9" ht="18" customHeight="1" x14ac:dyDescent="0.15">
      <c r="A13" s="69" t="s">
        <v>7</v>
      </c>
      <c r="B13" s="7" t="s">
        <v>80</v>
      </c>
      <c r="C13" s="67"/>
      <c r="D13" s="67"/>
      <c r="E13" s="67"/>
      <c r="F13" s="67"/>
      <c r="G13" s="67"/>
      <c r="H13" s="67"/>
      <c r="I13" s="67"/>
    </row>
    <row r="14" spans="1:9" ht="18" customHeight="1" x14ac:dyDescent="0.15">
      <c r="B14" s="226" t="s">
        <v>145</v>
      </c>
      <c r="C14" s="227"/>
      <c r="D14" s="227"/>
      <c r="E14" s="227"/>
      <c r="F14" s="227"/>
      <c r="G14" s="227"/>
      <c r="H14" s="227"/>
      <c r="I14" s="228"/>
    </row>
    <row r="15" spans="1:9" ht="9" customHeight="1" x14ac:dyDescent="0.15">
      <c r="B15" s="67"/>
      <c r="C15" s="67"/>
      <c r="D15" s="67"/>
      <c r="E15" s="67"/>
      <c r="F15" s="67"/>
      <c r="G15" s="67"/>
      <c r="H15" s="67"/>
      <c r="I15" s="67"/>
    </row>
    <row r="16" spans="1:9" ht="18" customHeight="1" x14ac:dyDescent="0.15">
      <c r="B16" s="19" t="s">
        <v>40</v>
      </c>
      <c r="C16" s="229" t="s">
        <v>137</v>
      </c>
      <c r="D16" s="230"/>
      <c r="E16" s="231"/>
      <c r="F16" s="22"/>
      <c r="G16" s="19" t="s">
        <v>10</v>
      </c>
      <c r="H16" s="226" t="s">
        <v>146</v>
      </c>
      <c r="I16" s="232"/>
    </row>
    <row r="17" spans="1:9" ht="18" customHeight="1" x14ac:dyDescent="0.15">
      <c r="B17" s="67"/>
      <c r="C17" s="67"/>
      <c r="D17" s="67"/>
      <c r="E17" s="67"/>
      <c r="F17" s="67"/>
      <c r="G17" s="67"/>
      <c r="H17" s="67"/>
      <c r="I17" s="67"/>
    </row>
    <row r="18" spans="1:9" ht="18.75" customHeight="1" x14ac:dyDescent="0.15">
      <c r="A18" s="69" t="s">
        <v>5</v>
      </c>
      <c r="B18" s="69" t="s">
        <v>39</v>
      </c>
      <c r="I18" s="67"/>
    </row>
    <row r="19" spans="1:9" ht="18.75" customHeight="1" x14ac:dyDescent="0.15">
      <c r="A19" s="69"/>
      <c r="B19" s="212" t="s">
        <v>147</v>
      </c>
      <c r="C19" s="213"/>
      <c r="D19" s="213"/>
      <c r="E19" s="213"/>
      <c r="F19" s="213"/>
      <c r="G19" s="213"/>
      <c r="H19" s="213"/>
      <c r="I19" s="214"/>
    </row>
    <row r="20" spans="1:9" ht="7.5" customHeight="1" x14ac:dyDescent="0.15">
      <c r="B20" s="67"/>
      <c r="C20" s="67"/>
      <c r="D20" s="67"/>
      <c r="E20" s="67"/>
      <c r="F20" s="67"/>
      <c r="G20" s="67"/>
      <c r="H20" s="67"/>
      <c r="I20" s="67"/>
    </row>
    <row r="21" spans="1:9" ht="18.75" customHeight="1" x14ac:dyDescent="0.15">
      <c r="A21" s="69" t="s">
        <v>8</v>
      </c>
      <c r="B21" s="69" t="s">
        <v>25</v>
      </c>
    </row>
    <row r="22" spans="1:9" ht="18.75" customHeight="1" x14ac:dyDescent="0.15">
      <c r="A22" s="11"/>
      <c r="B22" s="215" t="s">
        <v>148</v>
      </c>
      <c r="C22" s="216"/>
      <c r="D22" s="216"/>
      <c r="E22" s="216"/>
      <c r="F22" s="216"/>
      <c r="G22" s="216"/>
      <c r="H22" s="216"/>
      <c r="I22" s="217"/>
    </row>
    <row r="23" spans="1:9" ht="18.75" customHeight="1" x14ac:dyDescent="0.15">
      <c r="A23" s="11"/>
      <c r="B23" s="218"/>
      <c r="C23" s="219"/>
      <c r="D23" s="219"/>
      <c r="E23" s="219"/>
      <c r="F23" s="219"/>
      <c r="G23" s="219"/>
      <c r="H23" s="219"/>
      <c r="I23" s="220"/>
    </row>
    <row r="24" spans="1:9" ht="18.75" customHeight="1" x14ac:dyDescent="0.15">
      <c r="A24" s="11"/>
      <c r="B24" s="218"/>
      <c r="C24" s="219"/>
      <c r="D24" s="219"/>
      <c r="E24" s="219"/>
      <c r="F24" s="219"/>
      <c r="G24" s="219"/>
      <c r="H24" s="219"/>
      <c r="I24" s="220"/>
    </row>
    <row r="25" spans="1:9" ht="18.75" customHeight="1" x14ac:dyDescent="0.15">
      <c r="A25" s="11"/>
      <c r="B25" s="218"/>
      <c r="C25" s="219"/>
      <c r="D25" s="219"/>
      <c r="E25" s="219"/>
      <c r="F25" s="219"/>
      <c r="G25" s="219"/>
      <c r="H25" s="219"/>
      <c r="I25" s="220"/>
    </row>
    <row r="26" spans="1:9" ht="18.75" customHeight="1" x14ac:dyDescent="0.15">
      <c r="A26" s="11"/>
      <c r="B26" s="218"/>
      <c r="C26" s="219"/>
      <c r="D26" s="219"/>
      <c r="E26" s="219"/>
      <c r="F26" s="219"/>
      <c r="G26" s="219"/>
      <c r="H26" s="219"/>
      <c r="I26" s="220"/>
    </row>
    <row r="27" spans="1:9" ht="18.75" customHeight="1" x14ac:dyDescent="0.15">
      <c r="A27" s="11"/>
      <c r="B27" s="218"/>
      <c r="C27" s="219"/>
      <c r="D27" s="219"/>
      <c r="E27" s="219"/>
      <c r="F27" s="219"/>
      <c r="G27" s="219"/>
      <c r="H27" s="219"/>
      <c r="I27" s="220"/>
    </row>
    <row r="28" spans="1:9" ht="18.75" customHeight="1" x14ac:dyDescent="0.15">
      <c r="A28" s="11"/>
      <c r="B28" s="218"/>
      <c r="C28" s="219"/>
      <c r="D28" s="219"/>
      <c r="E28" s="219"/>
      <c r="F28" s="219"/>
      <c r="G28" s="219"/>
      <c r="H28" s="219"/>
      <c r="I28" s="220"/>
    </row>
    <row r="29" spans="1:9" ht="18.75" customHeight="1" x14ac:dyDescent="0.15">
      <c r="A29" s="11"/>
      <c r="B29" s="218"/>
      <c r="C29" s="219"/>
      <c r="D29" s="219"/>
      <c r="E29" s="219"/>
      <c r="F29" s="219"/>
      <c r="G29" s="219"/>
      <c r="H29" s="219"/>
      <c r="I29" s="220"/>
    </row>
    <row r="30" spans="1:9" ht="18.75" customHeight="1" x14ac:dyDescent="0.15">
      <c r="A30" s="11"/>
      <c r="B30" s="221"/>
      <c r="C30" s="222"/>
      <c r="D30" s="222"/>
      <c r="E30" s="222"/>
      <c r="F30" s="222"/>
      <c r="G30" s="222"/>
      <c r="H30" s="222"/>
      <c r="I30" s="220"/>
    </row>
    <row r="31" spans="1:9" ht="18.75" customHeight="1" x14ac:dyDescent="0.15">
      <c r="A31" s="11"/>
      <c r="B31" s="221"/>
      <c r="C31" s="222"/>
      <c r="D31" s="222"/>
      <c r="E31" s="222"/>
      <c r="F31" s="222"/>
      <c r="G31" s="222"/>
      <c r="H31" s="222"/>
      <c r="I31" s="220"/>
    </row>
    <row r="32" spans="1:9" ht="18.75" customHeight="1" x14ac:dyDescent="0.15">
      <c r="A32" s="11"/>
      <c r="B32" s="223"/>
      <c r="C32" s="224"/>
      <c r="D32" s="224"/>
      <c r="E32" s="224"/>
      <c r="F32" s="224"/>
      <c r="G32" s="224"/>
      <c r="H32" s="224"/>
      <c r="I32" s="225"/>
    </row>
    <row r="33" spans="1:9" ht="7.5" customHeight="1" x14ac:dyDescent="0.15">
      <c r="A33" s="11"/>
      <c r="B33" s="11"/>
      <c r="C33" s="11"/>
      <c r="D33" s="11"/>
      <c r="E33" s="11"/>
      <c r="F33" s="11"/>
      <c r="G33" s="11"/>
      <c r="H33" s="11"/>
      <c r="I33" s="11"/>
    </row>
    <row r="34" spans="1:9" ht="18.75" customHeight="1" x14ac:dyDescent="0.15">
      <c r="A34" s="65" t="s">
        <v>6</v>
      </c>
      <c r="B34" s="65" t="s">
        <v>9</v>
      </c>
      <c r="C34" s="7"/>
      <c r="D34" s="65"/>
      <c r="E34" s="65"/>
      <c r="F34" s="65"/>
      <c r="G34" s="65"/>
      <c r="H34" s="65"/>
      <c r="I34" s="65"/>
    </row>
    <row r="35" spans="1:9" ht="18.75" customHeight="1" x14ac:dyDescent="0.15">
      <c r="A35" s="11"/>
      <c r="B35" s="215" t="s">
        <v>181</v>
      </c>
      <c r="C35" s="216"/>
      <c r="D35" s="216"/>
      <c r="E35" s="216"/>
      <c r="F35" s="216"/>
      <c r="G35" s="216"/>
      <c r="H35" s="216"/>
      <c r="I35" s="217"/>
    </row>
    <row r="36" spans="1:9" ht="18.75" customHeight="1" x14ac:dyDescent="0.15">
      <c r="A36" s="11"/>
      <c r="B36" s="221"/>
      <c r="C36" s="222"/>
      <c r="D36" s="222"/>
      <c r="E36" s="222"/>
      <c r="F36" s="222"/>
      <c r="G36" s="222"/>
      <c r="H36" s="222"/>
      <c r="I36" s="220"/>
    </row>
    <row r="37" spans="1:9" ht="18.75" customHeight="1" x14ac:dyDescent="0.15">
      <c r="A37" s="11"/>
      <c r="B37" s="221"/>
      <c r="C37" s="222"/>
      <c r="D37" s="222"/>
      <c r="E37" s="222"/>
      <c r="F37" s="222"/>
      <c r="G37" s="222"/>
      <c r="H37" s="222"/>
      <c r="I37" s="220"/>
    </row>
    <row r="38" spans="1:9" ht="18.75" customHeight="1" x14ac:dyDescent="0.15">
      <c r="A38" s="11"/>
      <c r="B38" s="221"/>
      <c r="C38" s="222"/>
      <c r="D38" s="222"/>
      <c r="E38" s="222"/>
      <c r="F38" s="222"/>
      <c r="G38" s="222"/>
      <c r="H38" s="222"/>
      <c r="I38" s="220"/>
    </row>
    <row r="39" spans="1:9" ht="18.75" customHeight="1" x14ac:dyDescent="0.15">
      <c r="A39" s="11"/>
      <c r="B39" s="221"/>
      <c r="C39" s="222"/>
      <c r="D39" s="222"/>
      <c r="E39" s="222"/>
      <c r="F39" s="222"/>
      <c r="G39" s="222"/>
      <c r="H39" s="222"/>
      <c r="I39" s="220"/>
    </row>
    <row r="40" spans="1:9" ht="18.75" customHeight="1" x14ac:dyDescent="0.15">
      <c r="A40" s="11"/>
      <c r="B40" s="221"/>
      <c r="C40" s="222"/>
      <c r="D40" s="222"/>
      <c r="E40" s="222"/>
      <c r="F40" s="222"/>
      <c r="G40" s="222"/>
      <c r="H40" s="222"/>
      <c r="I40" s="220"/>
    </row>
    <row r="41" spans="1:9" ht="18.75" customHeight="1" x14ac:dyDescent="0.15">
      <c r="A41" s="11"/>
      <c r="B41" s="221"/>
      <c r="C41" s="222"/>
      <c r="D41" s="222"/>
      <c r="E41" s="222"/>
      <c r="F41" s="222"/>
      <c r="G41" s="222"/>
      <c r="H41" s="222"/>
      <c r="I41" s="220"/>
    </row>
    <row r="42" spans="1:9" ht="18.75" customHeight="1" x14ac:dyDescent="0.15">
      <c r="A42" s="11"/>
      <c r="B42" s="221"/>
      <c r="C42" s="222"/>
      <c r="D42" s="222"/>
      <c r="E42" s="222"/>
      <c r="F42" s="222"/>
      <c r="G42" s="222"/>
      <c r="H42" s="222"/>
      <c r="I42" s="220"/>
    </row>
    <row r="43" spans="1:9" ht="18.75" customHeight="1" x14ac:dyDescent="0.15">
      <c r="A43" s="11"/>
      <c r="B43" s="221"/>
      <c r="C43" s="222"/>
      <c r="D43" s="222"/>
      <c r="E43" s="222"/>
      <c r="F43" s="222"/>
      <c r="G43" s="222"/>
      <c r="H43" s="222"/>
      <c r="I43" s="220"/>
    </row>
    <row r="44" spans="1:9" ht="18.75" customHeight="1" x14ac:dyDescent="0.15">
      <c r="A44" s="11"/>
      <c r="B44" s="221"/>
      <c r="C44" s="222"/>
      <c r="D44" s="222"/>
      <c r="E44" s="222"/>
      <c r="F44" s="222"/>
      <c r="G44" s="222"/>
      <c r="H44" s="222"/>
      <c r="I44" s="220"/>
    </row>
    <row r="45" spans="1:9" ht="18.75" customHeight="1" x14ac:dyDescent="0.15">
      <c r="A45" s="11"/>
      <c r="B45" s="221"/>
      <c r="C45" s="222"/>
      <c r="D45" s="222"/>
      <c r="E45" s="222"/>
      <c r="F45" s="222"/>
      <c r="G45" s="222"/>
      <c r="H45" s="222"/>
      <c r="I45" s="220"/>
    </row>
    <row r="46" spans="1:9" ht="18.75" customHeight="1" x14ac:dyDescent="0.15">
      <c r="A46" s="11"/>
      <c r="B46" s="223"/>
      <c r="C46" s="224"/>
      <c r="D46" s="224"/>
      <c r="E46" s="224"/>
      <c r="F46" s="224"/>
      <c r="G46" s="224"/>
      <c r="H46" s="224"/>
      <c r="I46" s="225"/>
    </row>
    <row r="47" spans="1:9" ht="7.5" customHeight="1" x14ac:dyDescent="0.15">
      <c r="A47" s="2"/>
      <c r="B47" s="2"/>
      <c r="C47" s="2"/>
      <c r="D47" s="2"/>
      <c r="E47" s="2"/>
      <c r="F47" s="2"/>
      <c r="G47" s="2"/>
      <c r="H47" s="2"/>
      <c r="I47" s="2"/>
    </row>
    <row r="48" spans="1:9" ht="18.75" customHeight="1" x14ac:dyDescent="0.15">
      <c r="A48" s="69" t="s">
        <v>29</v>
      </c>
      <c r="B48" s="69" t="s">
        <v>105</v>
      </c>
    </row>
    <row r="49" spans="1:15" s="67" customFormat="1" ht="18.75" customHeight="1" x14ac:dyDescent="0.15">
      <c r="B49" s="23" t="s">
        <v>122</v>
      </c>
      <c r="C49" s="201">
        <f>'様式２ 履修者等数の実績'!S33</f>
        <v>0.17551546391752576</v>
      </c>
      <c r="D49" s="201"/>
      <c r="E49" s="23" t="s">
        <v>61</v>
      </c>
      <c r="F49" s="182">
        <v>0.4</v>
      </c>
      <c r="G49" s="182"/>
      <c r="H49" s="23" t="s">
        <v>62</v>
      </c>
      <c r="I49" s="70">
        <v>0.6</v>
      </c>
      <c r="J49" s="69"/>
      <c r="M49" s="69"/>
      <c r="N49" s="24"/>
    </row>
    <row r="50" spans="1:15" s="67" customFormat="1" ht="18.75" customHeight="1" x14ac:dyDescent="0.15">
      <c r="B50" s="25" t="s">
        <v>81</v>
      </c>
      <c r="C50" s="182">
        <v>0.8</v>
      </c>
      <c r="D50" s="182"/>
      <c r="E50" s="25" t="s">
        <v>123</v>
      </c>
      <c r="F50" s="182">
        <v>0.85</v>
      </c>
      <c r="G50" s="182"/>
      <c r="H50" s="25" t="s">
        <v>63</v>
      </c>
      <c r="I50" s="26">
        <f>'様式２ 履修者等数の実績'!E33</f>
        <v>3880</v>
      </c>
      <c r="J50" s="69"/>
      <c r="M50" s="69"/>
      <c r="N50" s="24"/>
    </row>
    <row r="51" spans="1:15" ht="18.75" customHeight="1" x14ac:dyDescent="0.15">
      <c r="A51" s="69"/>
      <c r="B51" s="244" t="s">
        <v>64</v>
      </c>
      <c r="C51" s="245"/>
      <c r="D51" s="245"/>
      <c r="E51" s="245"/>
      <c r="F51" s="245"/>
      <c r="G51" s="245"/>
      <c r="H51" s="245"/>
      <c r="I51" s="246"/>
      <c r="N51" s="24"/>
      <c r="O51" s="67"/>
    </row>
    <row r="52" spans="1:15" ht="18.75" customHeight="1" x14ac:dyDescent="0.15">
      <c r="A52" s="69"/>
      <c r="B52" s="202" t="s">
        <v>175</v>
      </c>
      <c r="C52" s="203"/>
      <c r="D52" s="203"/>
      <c r="E52" s="203"/>
      <c r="F52" s="203"/>
      <c r="G52" s="203"/>
      <c r="H52" s="203"/>
      <c r="I52" s="204"/>
      <c r="N52" s="24"/>
      <c r="O52" s="67"/>
    </row>
    <row r="53" spans="1:15" ht="18.75" customHeight="1" x14ac:dyDescent="0.15">
      <c r="A53" s="69"/>
      <c r="B53" s="205"/>
      <c r="C53" s="206"/>
      <c r="D53" s="206"/>
      <c r="E53" s="206"/>
      <c r="F53" s="206"/>
      <c r="G53" s="206"/>
      <c r="H53" s="206"/>
      <c r="I53" s="207"/>
      <c r="N53" s="24"/>
      <c r="O53" s="67"/>
    </row>
    <row r="54" spans="1:15" ht="18.75" customHeight="1" x14ac:dyDescent="0.15">
      <c r="A54" s="69"/>
      <c r="B54" s="205"/>
      <c r="C54" s="206"/>
      <c r="D54" s="206"/>
      <c r="E54" s="206"/>
      <c r="F54" s="206"/>
      <c r="G54" s="206"/>
      <c r="H54" s="206"/>
      <c r="I54" s="207"/>
    </row>
    <row r="55" spans="1:15" ht="18.75" customHeight="1" x14ac:dyDescent="0.15">
      <c r="A55" s="69"/>
      <c r="B55" s="205"/>
      <c r="C55" s="206"/>
      <c r="D55" s="206"/>
      <c r="E55" s="206"/>
      <c r="F55" s="206"/>
      <c r="G55" s="206"/>
      <c r="H55" s="206"/>
      <c r="I55" s="207"/>
    </row>
    <row r="56" spans="1:15" ht="18.75" customHeight="1" x14ac:dyDescent="0.15">
      <c r="A56" s="69"/>
      <c r="B56" s="205"/>
      <c r="C56" s="206"/>
      <c r="D56" s="206"/>
      <c r="E56" s="206"/>
      <c r="F56" s="206"/>
      <c r="G56" s="206"/>
      <c r="H56" s="206"/>
      <c r="I56" s="207"/>
    </row>
    <row r="57" spans="1:15" ht="18.75" customHeight="1" x14ac:dyDescent="0.15">
      <c r="A57" s="69"/>
      <c r="B57" s="205"/>
      <c r="C57" s="206"/>
      <c r="D57" s="206"/>
      <c r="E57" s="206"/>
      <c r="F57" s="206"/>
      <c r="G57" s="206"/>
      <c r="H57" s="206"/>
      <c r="I57" s="207"/>
    </row>
    <row r="58" spans="1:15" ht="18.75" customHeight="1" x14ac:dyDescent="0.15">
      <c r="A58" s="69"/>
      <c r="B58" s="205"/>
      <c r="C58" s="206"/>
      <c r="D58" s="206"/>
      <c r="E58" s="206"/>
      <c r="F58" s="206"/>
      <c r="G58" s="206"/>
      <c r="H58" s="206"/>
      <c r="I58" s="207"/>
    </row>
    <row r="59" spans="1:15" ht="18.75" customHeight="1" x14ac:dyDescent="0.15">
      <c r="A59" s="69"/>
      <c r="B59" s="205"/>
      <c r="C59" s="206"/>
      <c r="D59" s="206"/>
      <c r="E59" s="206"/>
      <c r="F59" s="206"/>
      <c r="G59" s="206"/>
      <c r="H59" s="206"/>
      <c r="I59" s="207"/>
    </row>
    <row r="60" spans="1:15" ht="18.75" customHeight="1" x14ac:dyDescent="0.15">
      <c r="A60" s="69"/>
      <c r="B60" s="205"/>
      <c r="C60" s="206"/>
      <c r="D60" s="206"/>
      <c r="E60" s="206"/>
      <c r="F60" s="206"/>
      <c r="G60" s="206"/>
      <c r="H60" s="206"/>
      <c r="I60" s="207"/>
    </row>
    <row r="61" spans="1:15" ht="18.75" customHeight="1" x14ac:dyDescent="0.15">
      <c r="A61" s="69"/>
      <c r="B61" s="205"/>
      <c r="C61" s="206"/>
      <c r="D61" s="206"/>
      <c r="E61" s="206"/>
      <c r="F61" s="206"/>
      <c r="G61" s="206"/>
      <c r="H61" s="206"/>
      <c r="I61" s="207"/>
    </row>
    <row r="62" spans="1:15" ht="18.75" customHeight="1" x14ac:dyDescent="0.15">
      <c r="A62" s="69"/>
      <c r="B62" s="205"/>
      <c r="C62" s="206"/>
      <c r="D62" s="206"/>
      <c r="E62" s="206"/>
      <c r="F62" s="206"/>
      <c r="G62" s="206"/>
      <c r="H62" s="206"/>
      <c r="I62" s="207"/>
    </row>
    <row r="63" spans="1:15" ht="18.75" customHeight="1" x14ac:dyDescent="0.15">
      <c r="A63" s="69"/>
      <c r="B63" s="208"/>
      <c r="C63" s="209"/>
      <c r="D63" s="209"/>
      <c r="E63" s="209"/>
      <c r="F63" s="209"/>
      <c r="G63" s="209"/>
      <c r="H63" s="209"/>
      <c r="I63" s="210"/>
    </row>
    <row r="64" spans="1:15" ht="7.5" customHeight="1" x14ac:dyDescent="0.15">
      <c r="A64" s="11"/>
      <c r="B64" s="11"/>
      <c r="C64" s="11"/>
      <c r="D64" s="11"/>
      <c r="E64" s="11"/>
      <c r="F64" s="11"/>
      <c r="G64" s="11"/>
      <c r="H64" s="11"/>
      <c r="I64" s="11"/>
    </row>
    <row r="65" spans="1:9" ht="18.75" customHeight="1" x14ac:dyDescent="0.15">
      <c r="A65" s="65" t="s">
        <v>32</v>
      </c>
      <c r="B65" s="69" t="s">
        <v>35</v>
      </c>
      <c r="I65" s="65"/>
    </row>
    <row r="66" spans="1:9" ht="18.75" customHeight="1" x14ac:dyDescent="0.15">
      <c r="A66" s="2"/>
      <c r="B66" s="183" t="s">
        <v>177</v>
      </c>
      <c r="C66" s="184"/>
      <c r="D66" s="184"/>
      <c r="E66" s="184"/>
      <c r="F66" s="184"/>
      <c r="G66" s="184"/>
      <c r="H66" s="184"/>
      <c r="I66" s="185"/>
    </row>
    <row r="67" spans="1:9" ht="18.75" customHeight="1" x14ac:dyDescent="0.15">
      <c r="A67" s="2"/>
      <c r="B67" s="186"/>
      <c r="C67" s="187"/>
      <c r="D67" s="187"/>
      <c r="E67" s="187"/>
      <c r="F67" s="187"/>
      <c r="G67" s="187"/>
      <c r="H67" s="187"/>
      <c r="I67" s="188"/>
    </row>
    <row r="68" spans="1:9" ht="18.75" customHeight="1" x14ac:dyDescent="0.15">
      <c r="A68" s="2"/>
      <c r="B68" s="186"/>
      <c r="C68" s="187"/>
      <c r="D68" s="187"/>
      <c r="E68" s="187"/>
      <c r="F68" s="187"/>
      <c r="G68" s="187"/>
      <c r="H68" s="187"/>
      <c r="I68" s="188"/>
    </row>
    <row r="69" spans="1:9" ht="18.75" customHeight="1" x14ac:dyDescent="0.15">
      <c r="A69" s="2"/>
      <c r="B69" s="186"/>
      <c r="C69" s="187"/>
      <c r="D69" s="187"/>
      <c r="E69" s="187"/>
      <c r="F69" s="187"/>
      <c r="G69" s="187"/>
      <c r="H69" s="187"/>
      <c r="I69" s="188"/>
    </row>
    <row r="70" spans="1:9" ht="18.75" customHeight="1" x14ac:dyDescent="0.15">
      <c r="A70" s="2"/>
      <c r="B70" s="186"/>
      <c r="C70" s="187"/>
      <c r="D70" s="187"/>
      <c r="E70" s="187"/>
      <c r="F70" s="187"/>
      <c r="G70" s="187"/>
      <c r="H70" s="187"/>
      <c r="I70" s="188"/>
    </row>
    <row r="71" spans="1:9" ht="18.75" customHeight="1" x14ac:dyDescent="0.15">
      <c r="A71" s="2"/>
      <c r="B71" s="186"/>
      <c r="C71" s="187"/>
      <c r="D71" s="187"/>
      <c r="E71" s="187"/>
      <c r="F71" s="187"/>
      <c r="G71" s="187"/>
      <c r="H71" s="187"/>
      <c r="I71" s="188"/>
    </row>
    <row r="72" spans="1:9" ht="18.75" customHeight="1" x14ac:dyDescent="0.15">
      <c r="A72" s="2"/>
      <c r="B72" s="186"/>
      <c r="C72" s="187"/>
      <c r="D72" s="187"/>
      <c r="E72" s="187"/>
      <c r="F72" s="187"/>
      <c r="G72" s="187"/>
      <c r="H72" s="187"/>
      <c r="I72" s="188"/>
    </row>
    <row r="73" spans="1:9" ht="18.75" customHeight="1" x14ac:dyDescent="0.15">
      <c r="A73" s="2"/>
      <c r="B73" s="186"/>
      <c r="C73" s="187"/>
      <c r="D73" s="187"/>
      <c r="E73" s="187"/>
      <c r="F73" s="187"/>
      <c r="G73" s="187"/>
      <c r="H73" s="187"/>
      <c r="I73" s="188"/>
    </row>
    <row r="74" spans="1:9" ht="18.75" customHeight="1" x14ac:dyDescent="0.15">
      <c r="A74" s="2"/>
      <c r="B74" s="186"/>
      <c r="C74" s="187"/>
      <c r="D74" s="187"/>
      <c r="E74" s="187"/>
      <c r="F74" s="187"/>
      <c r="G74" s="187"/>
      <c r="H74" s="187"/>
      <c r="I74" s="188"/>
    </row>
    <row r="75" spans="1:9" ht="18.75" customHeight="1" x14ac:dyDescent="0.15">
      <c r="A75" s="2"/>
      <c r="B75" s="186"/>
      <c r="C75" s="187"/>
      <c r="D75" s="187"/>
      <c r="E75" s="187"/>
      <c r="F75" s="187"/>
      <c r="G75" s="187"/>
      <c r="H75" s="187"/>
      <c r="I75" s="188"/>
    </row>
    <row r="76" spans="1:9" ht="18.75" customHeight="1" x14ac:dyDescent="0.15">
      <c r="A76" s="2"/>
      <c r="B76" s="186"/>
      <c r="C76" s="187"/>
      <c r="D76" s="187"/>
      <c r="E76" s="187"/>
      <c r="F76" s="187"/>
      <c r="G76" s="187"/>
      <c r="H76" s="187"/>
      <c r="I76" s="188"/>
    </row>
    <row r="77" spans="1:9" ht="18.75" customHeight="1" x14ac:dyDescent="0.15">
      <c r="A77" s="2"/>
      <c r="B77" s="189"/>
      <c r="C77" s="190"/>
      <c r="D77" s="190"/>
      <c r="E77" s="190"/>
      <c r="F77" s="190"/>
      <c r="G77" s="190"/>
      <c r="H77" s="190"/>
      <c r="I77" s="191"/>
    </row>
    <row r="78" spans="1:9" ht="7.5" customHeight="1" x14ac:dyDescent="0.15">
      <c r="A78" s="2"/>
      <c r="B78" s="2"/>
      <c r="C78" s="2"/>
      <c r="D78" s="2"/>
      <c r="E78" s="2"/>
      <c r="F78" s="2"/>
      <c r="G78" s="2"/>
      <c r="H78" s="2"/>
      <c r="I78" s="2"/>
    </row>
    <row r="79" spans="1:9" ht="18.75" customHeight="1" x14ac:dyDescent="0.15">
      <c r="A79" s="69" t="s">
        <v>11</v>
      </c>
      <c r="B79" s="69" t="s">
        <v>38</v>
      </c>
    </row>
    <row r="80" spans="1:9" ht="18.75" customHeight="1" x14ac:dyDescent="0.15">
      <c r="A80" s="69"/>
      <c r="B80" s="192" t="s">
        <v>176</v>
      </c>
      <c r="C80" s="193"/>
      <c r="D80" s="193"/>
      <c r="E80" s="193"/>
      <c r="F80" s="193"/>
      <c r="G80" s="193"/>
      <c r="H80" s="193"/>
      <c r="I80" s="194"/>
    </row>
    <row r="81" spans="1:9" ht="18.75" customHeight="1" x14ac:dyDescent="0.15">
      <c r="A81" s="69"/>
      <c r="B81" s="195"/>
      <c r="C81" s="196"/>
      <c r="D81" s="196"/>
      <c r="E81" s="196"/>
      <c r="F81" s="196"/>
      <c r="G81" s="196"/>
      <c r="H81" s="196"/>
      <c r="I81" s="197"/>
    </row>
    <row r="82" spans="1:9" ht="18.75" customHeight="1" x14ac:dyDescent="0.15">
      <c r="A82" s="69"/>
      <c r="B82" s="195"/>
      <c r="C82" s="196"/>
      <c r="D82" s="196"/>
      <c r="E82" s="196"/>
      <c r="F82" s="196"/>
      <c r="G82" s="196"/>
      <c r="H82" s="196"/>
      <c r="I82" s="197"/>
    </row>
    <row r="83" spans="1:9" ht="18.75" customHeight="1" x14ac:dyDescent="0.15">
      <c r="A83" s="69"/>
      <c r="B83" s="195"/>
      <c r="C83" s="196"/>
      <c r="D83" s="196"/>
      <c r="E83" s="196"/>
      <c r="F83" s="196"/>
      <c r="G83" s="196"/>
      <c r="H83" s="196"/>
      <c r="I83" s="197"/>
    </row>
    <row r="84" spans="1:9" ht="18.75" customHeight="1" x14ac:dyDescent="0.15">
      <c r="A84" s="69"/>
      <c r="B84" s="195"/>
      <c r="C84" s="196"/>
      <c r="D84" s="196"/>
      <c r="E84" s="196"/>
      <c r="F84" s="196"/>
      <c r="G84" s="196"/>
      <c r="H84" s="196"/>
      <c r="I84" s="197"/>
    </row>
    <row r="85" spans="1:9" ht="18.75" customHeight="1" x14ac:dyDescent="0.15">
      <c r="A85" s="69"/>
      <c r="B85" s="195"/>
      <c r="C85" s="196"/>
      <c r="D85" s="196"/>
      <c r="E85" s="196"/>
      <c r="F85" s="196"/>
      <c r="G85" s="196"/>
      <c r="H85" s="196"/>
      <c r="I85" s="197"/>
    </row>
    <row r="86" spans="1:9" ht="18.75" customHeight="1" x14ac:dyDescent="0.15">
      <c r="A86" s="69"/>
      <c r="B86" s="195"/>
      <c r="C86" s="196"/>
      <c r="D86" s="196"/>
      <c r="E86" s="196"/>
      <c r="F86" s="196"/>
      <c r="G86" s="196"/>
      <c r="H86" s="196"/>
      <c r="I86" s="197"/>
    </row>
    <row r="87" spans="1:9" ht="18.75" customHeight="1" x14ac:dyDescent="0.15">
      <c r="A87" s="69"/>
      <c r="B87" s="195"/>
      <c r="C87" s="196"/>
      <c r="D87" s="196"/>
      <c r="E87" s="196"/>
      <c r="F87" s="196"/>
      <c r="G87" s="196"/>
      <c r="H87" s="196"/>
      <c r="I87" s="197"/>
    </row>
    <row r="88" spans="1:9" ht="18.75" customHeight="1" x14ac:dyDescent="0.15">
      <c r="A88" s="69"/>
      <c r="B88" s="195"/>
      <c r="C88" s="196"/>
      <c r="D88" s="196"/>
      <c r="E88" s="196"/>
      <c r="F88" s="196"/>
      <c r="G88" s="196"/>
      <c r="H88" s="196"/>
      <c r="I88" s="197"/>
    </row>
    <row r="89" spans="1:9" ht="18.75" customHeight="1" x14ac:dyDescent="0.15">
      <c r="A89" s="69"/>
      <c r="B89" s="195"/>
      <c r="C89" s="196"/>
      <c r="D89" s="196"/>
      <c r="E89" s="196"/>
      <c r="F89" s="196"/>
      <c r="G89" s="196"/>
      <c r="H89" s="196"/>
      <c r="I89" s="197"/>
    </row>
    <row r="90" spans="1:9" ht="18.75" customHeight="1" x14ac:dyDescent="0.15">
      <c r="A90" s="2"/>
      <c r="B90" s="195"/>
      <c r="C90" s="196"/>
      <c r="D90" s="196"/>
      <c r="E90" s="196"/>
      <c r="F90" s="196"/>
      <c r="G90" s="196"/>
      <c r="H90" s="196"/>
      <c r="I90" s="197"/>
    </row>
    <row r="91" spans="1:9" ht="18.75" customHeight="1" x14ac:dyDescent="0.15">
      <c r="A91" s="2"/>
      <c r="B91" s="198"/>
      <c r="C91" s="199"/>
      <c r="D91" s="199"/>
      <c r="E91" s="199"/>
      <c r="F91" s="199"/>
      <c r="G91" s="199"/>
      <c r="H91" s="199"/>
      <c r="I91" s="200"/>
    </row>
    <row r="92" spans="1:9" ht="7.5" customHeight="1" x14ac:dyDescent="0.15">
      <c r="A92" s="2"/>
      <c r="B92" s="2"/>
      <c r="C92" s="2"/>
      <c r="D92" s="2"/>
      <c r="E92" s="2"/>
      <c r="F92" s="2"/>
      <c r="G92" s="2"/>
      <c r="H92" s="2"/>
      <c r="I92" s="2"/>
    </row>
    <row r="93" spans="1:9" ht="18.75" customHeight="1" x14ac:dyDescent="0.15">
      <c r="A93" s="69" t="s">
        <v>41</v>
      </c>
      <c r="B93" s="69" t="s">
        <v>13</v>
      </c>
    </row>
    <row r="94" spans="1:9" ht="18.75" customHeight="1" x14ac:dyDescent="0.15">
      <c r="A94" s="69"/>
      <c r="B94" s="234" t="s">
        <v>169</v>
      </c>
      <c r="C94" s="235"/>
      <c r="D94" s="235"/>
      <c r="E94" s="235"/>
      <c r="F94" s="235"/>
      <c r="G94" s="235"/>
      <c r="H94" s="235"/>
      <c r="I94" s="236"/>
    </row>
    <row r="95" spans="1:9" ht="18.75" customHeight="1" x14ac:dyDescent="0.15">
      <c r="A95" s="69"/>
      <c r="B95" s="237"/>
      <c r="C95" s="238"/>
      <c r="D95" s="238"/>
      <c r="E95" s="238"/>
      <c r="F95" s="238"/>
      <c r="G95" s="238"/>
      <c r="H95" s="238"/>
      <c r="I95" s="239"/>
    </row>
    <row r="96" spans="1:9" ht="18.75" customHeight="1" x14ac:dyDescent="0.15">
      <c r="A96" s="69"/>
      <c r="B96" s="237"/>
      <c r="C96" s="238"/>
      <c r="D96" s="238"/>
      <c r="E96" s="238"/>
      <c r="F96" s="238"/>
      <c r="G96" s="238"/>
      <c r="H96" s="238"/>
      <c r="I96" s="239"/>
    </row>
    <row r="97" spans="1:9" ht="18.75" customHeight="1" x14ac:dyDescent="0.15">
      <c r="A97" s="69"/>
      <c r="B97" s="237"/>
      <c r="C97" s="238"/>
      <c r="D97" s="238"/>
      <c r="E97" s="238"/>
      <c r="F97" s="238"/>
      <c r="G97" s="238"/>
      <c r="H97" s="238"/>
      <c r="I97" s="239"/>
    </row>
    <row r="98" spans="1:9" ht="18.75" customHeight="1" x14ac:dyDescent="0.15">
      <c r="A98" s="69"/>
      <c r="B98" s="237"/>
      <c r="C98" s="238"/>
      <c r="D98" s="238"/>
      <c r="E98" s="238"/>
      <c r="F98" s="238"/>
      <c r="G98" s="238"/>
      <c r="H98" s="238"/>
      <c r="I98" s="239"/>
    </row>
    <row r="99" spans="1:9" ht="18.75" customHeight="1" x14ac:dyDescent="0.15">
      <c r="A99" s="69"/>
      <c r="B99" s="237"/>
      <c r="C99" s="238"/>
      <c r="D99" s="238"/>
      <c r="E99" s="238"/>
      <c r="F99" s="238"/>
      <c r="G99" s="238"/>
      <c r="H99" s="238"/>
      <c r="I99" s="239"/>
    </row>
    <row r="100" spans="1:9" ht="18.75" customHeight="1" x14ac:dyDescent="0.15">
      <c r="A100" s="69"/>
      <c r="B100" s="237"/>
      <c r="C100" s="238"/>
      <c r="D100" s="238"/>
      <c r="E100" s="238"/>
      <c r="F100" s="238"/>
      <c r="G100" s="238"/>
      <c r="H100" s="238"/>
      <c r="I100" s="239"/>
    </row>
    <row r="101" spans="1:9" ht="18.75" customHeight="1" x14ac:dyDescent="0.15">
      <c r="A101" s="69"/>
      <c r="B101" s="237"/>
      <c r="C101" s="238"/>
      <c r="D101" s="238"/>
      <c r="E101" s="238"/>
      <c r="F101" s="238"/>
      <c r="G101" s="238"/>
      <c r="H101" s="238"/>
      <c r="I101" s="239"/>
    </row>
    <row r="102" spans="1:9" ht="18.75" customHeight="1" x14ac:dyDescent="0.15">
      <c r="A102" s="69"/>
      <c r="B102" s="237"/>
      <c r="C102" s="238"/>
      <c r="D102" s="238"/>
      <c r="E102" s="238"/>
      <c r="F102" s="238"/>
      <c r="G102" s="238"/>
      <c r="H102" s="238"/>
      <c r="I102" s="239"/>
    </row>
    <row r="103" spans="1:9" ht="18.75" customHeight="1" x14ac:dyDescent="0.15">
      <c r="A103" s="69"/>
      <c r="B103" s="237"/>
      <c r="C103" s="238"/>
      <c r="D103" s="238"/>
      <c r="E103" s="238"/>
      <c r="F103" s="238"/>
      <c r="G103" s="238"/>
      <c r="H103" s="238"/>
      <c r="I103" s="239"/>
    </row>
    <row r="104" spans="1:9" ht="18.75" customHeight="1" x14ac:dyDescent="0.15">
      <c r="A104" s="69"/>
      <c r="B104" s="237"/>
      <c r="C104" s="238"/>
      <c r="D104" s="238"/>
      <c r="E104" s="238"/>
      <c r="F104" s="238"/>
      <c r="G104" s="238"/>
      <c r="H104" s="238"/>
      <c r="I104" s="239"/>
    </row>
    <row r="105" spans="1:9" ht="18.75" customHeight="1" x14ac:dyDescent="0.15">
      <c r="A105" s="2"/>
      <c r="B105" s="240"/>
      <c r="C105" s="241"/>
      <c r="D105" s="241"/>
      <c r="E105" s="241"/>
      <c r="F105" s="241"/>
      <c r="G105" s="241"/>
      <c r="H105" s="241"/>
      <c r="I105" s="242"/>
    </row>
    <row r="106" spans="1:9" ht="7.5" customHeight="1" x14ac:dyDescent="0.15">
      <c r="A106" s="2"/>
      <c r="B106" s="2"/>
      <c r="C106" s="2"/>
      <c r="D106" s="2"/>
      <c r="E106" s="2"/>
      <c r="F106" s="2"/>
      <c r="G106" s="2"/>
      <c r="H106" s="2"/>
      <c r="I106" s="2"/>
    </row>
    <row r="107" spans="1:9" ht="18.75" customHeight="1" x14ac:dyDescent="0.15">
      <c r="A107" s="69" t="s">
        <v>28</v>
      </c>
      <c r="B107" s="243" t="s">
        <v>43</v>
      </c>
      <c r="C107" s="243"/>
      <c r="D107" s="243"/>
      <c r="E107" s="243"/>
      <c r="F107" s="243"/>
      <c r="G107" s="243"/>
      <c r="H107" s="243"/>
      <c r="I107" s="243"/>
    </row>
    <row r="108" spans="1:9" ht="18.75" customHeight="1" x14ac:dyDescent="0.15">
      <c r="A108" s="2"/>
      <c r="B108" s="234" t="s">
        <v>170</v>
      </c>
      <c r="C108" s="235"/>
      <c r="D108" s="235"/>
      <c r="E108" s="235"/>
      <c r="F108" s="235"/>
      <c r="G108" s="235"/>
      <c r="H108" s="235"/>
      <c r="I108" s="236"/>
    </row>
    <row r="109" spans="1:9" ht="18.75" customHeight="1" x14ac:dyDescent="0.15">
      <c r="A109" s="2"/>
      <c r="B109" s="237"/>
      <c r="C109" s="238"/>
      <c r="D109" s="238"/>
      <c r="E109" s="238"/>
      <c r="F109" s="238"/>
      <c r="G109" s="238"/>
      <c r="H109" s="238"/>
      <c r="I109" s="239"/>
    </row>
    <row r="110" spans="1:9" ht="18.75" customHeight="1" x14ac:dyDescent="0.15">
      <c r="A110" s="2"/>
      <c r="B110" s="237"/>
      <c r="C110" s="238"/>
      <c r="D110" s="238"/>
      <c r="E110" s="238"/>
      <c r="F110" s="238"/>
      <c r="G110" s="238"/>
      <c r="H110" s="238"/>
      <c r="I110" s="239"/>
    </row>
    <row r="111" spans="1:9" ht="18.75" customHeight="1" x14ac:dyDescent="0.15">
      <c r="A111" s="2"/>
      <c r="B111" s="237"/>
      <c r="C111" s="238"/>
      <c r="D111" s="238"/>
      <c r="E111" s="238"/>
      <c r="F111" s="238"/>
      <c r="G111" s="238"/>
      <c r="H111" s="238"/>
      <c r="I111" s="239"/>
    </row>
    <row r="112" spans="1:9" ht="18.75" customHeight="1" x14ac:dyDescent="0.15">
      <c r="A112" s="2"/>
      <c r="B112" s="237"/>
      <c r="C112" s="238"/>
      <c r="D112" s="238"/>
      <c r="E112" s="238"/>
      <c r="F112" s="238"/>
      <c r="G112" s="238"/>
      <c r="H112" s="238"/>
      <c r="I112" s="239"/>
    </row>
    <row r="113" spans="1:9" ht="18.75" customHeight="1" x14ac:dyDescent="0.15">
      <c r="A113" s="2"/>
      <c r="B113" s="237"/>
      <c r="C113" s="238"/>
      <c r="D113" s="238"/>
      <c r="E113" s="238"/>
      <c r="F113" s="238"/>
      <c r="G113" s="238"/>
      <c r="H113" s="238"/>
      <c r="I113" s="239"/>
    </row>
    <row r="114" spans="1:9" ht="18.75" customHeight="1" x14ac:dyDescent="0.15">
      <c r="A114" s="2"/>
      <c r="B114" s="237"/>
      <c r="C114" s="238"/>
      <c r="D114" s="238"/>
      <c r="E114" s="238"/>
      <c r="F114" s="238"/>
      <c r="G114" s="238"/>
      <c r="H114" s="238"/>
      <c r="I114" s="239"/>
    </row>
    <row r="115" spans="1:9" ht="18.75" customHeight="1" x14ac:dyDescent="0.15">
      <c r="A115" s="2"/>
      <c r="B115" s="237"/>
      <c r="C115" s="238"/>
      <c r="D115" s="238"/>
      <c r="E115" s="238"/>
      <c r="F115" s="238"/>
      <c r="G115" s="238"/>
      <c r="H115" s="238"/>
      <c r="I115" s="239"/>
    </row>
    <row r="116" spans="1:9" ht="18.75" customHeight="1" x14ac:dyDescent="0.15">
      <c r="A116" s="2"/>
      <c r="B116" s="237"/>
      <c r="C116" s="238"/>
      <c r="D116" s="238"/>
      <c r="E116" s="238"/>
      <c r="F116" s="238"/>
      <c r="G116" s="238"/>
      <c r="H116" s="238"/>
      <c r="I116" s="239"/>
    </row>
    <row r="117" spans="1:9" ht="18.75" customHeight="1" x14ac:dyDescent="0.15">
      <c r="A117" s="2"/>
      <c r="B117" s="237"/>
      <c r="C117" s="238"/>
      <c r="D117" s="238"/>
      <c r="E117" s="238"/>
      <c r="F117" s="238"/>
      <c r="G117" s="238"/>
      <c r="H117" s="238"/>
      <c r="I117" s="239"/>
    </row>
    <row r="118" spans="1:9" ht="18.75" customHeight="1" x14ac:dyDescent="0.15">
      <c r="A118" s="2"/>
      <c r="B118" s="237"/>
      <c r="C118" s="238"/>
      <c r="D118" s="238"/>
      <c r="E118" s="238"/>
      <c r="F118" s="238"/>
      <c r="G118" s="238"/>
      <c r="H118" s="238"/>
      <c r="I118" s="239"/>
    </row>
    <row r="119" spans="1:9" ht="18.75" customHeight="1" x14ac:dyDescent="0.15">
      <c r="A119" s="2"/>
      <c r="B119" s="240"/>
      <c r="C119" s="241"/>
      <c r="D119" s="241"/>
      <c r="E119" s="241"/>
      <c r="F119" s="241"/>
      <c r="G119" s="241"/>
      <c r="H119" s="241"/>
      <c r="I119" s="242"/>
    </row>
    <row r="120" spans="1:9" ht="7.5" customHeight="1" x14ac:dyDescent="0.15">
      <c r="A120" s="2"/>
      <c r="B120" s="27"/>
      <c r="C120" s="27"/>
      <c r="D120" s="27"/>
      <c r="E120" s="27"/>
      <c r="F120" s="27"/>
      <c r="G120" s="27"/>
      <c r="H120" s="27"/>
      <c r="I120" s="27"/>
    </row>
    <row r="121" spans="1:9" ht="18.75" customHeight="1" x14ac:dyDescent="0.15">
      <c r="A121" s="69"/>
      <c r="B121" s="211"/>
      <c r="C121" s="211"/>
      <c r="D121" s="211"/>
      <c r="E121" s="211"/>
      <c r="F121" s="211"/>
      <c r="G121" s="211"/>
      <c r="H121" s="211"/>
      <c r="I121" s="211"/>
    </row>
    <row r="122" spans="1:9" ht="18.75" customHeight="1" x14ac:dyDescent="0.15">
      <c r="A122" s="69"/>
      <c r="B122" s="211"/>
      <c r="C122" s="211"/>
      <c r="D122" s="211"/>
      <c r="E122" s="211"/>
      <c r="F122" s="211"/>
      <c r="G122" s="211"/>
      <c r="H122" s="211"/>
      <c r="I122" s="211"/>
    </row>
    <row r="123" spans="1:9" ht="18.75" customHeight="1" x14ac:dyDescent="0.15">
      <c r="A123" s="2"/>
      <c r="B123" s="53"/>
      <c r="C123" s="53"/>
      <c r="D123" s="53"/>
      <c r="E123" s="53"/>
      <c r="F123" s="53"/>
      <c r="G123" s="53"/>
      <c r="H123" s="53"/>
      <c r="I123" s="68"/>
    </row>
    <row r="124" spans="1:9" ht="18.75" customHeight="1" x14ac:dyDescent="0.15">
      <c r="A124" s="2"/>
      <c r="B124" s="68"/>
      <c r="C124" s="68"/>
      <c r="D124" s="68"/>
      <c r="E124" s="68"/>
      <c r="F124" s="68"/>
      <c r="G124" s="68"/>
      <c r="H124" s="68"/>
      <c r="I124" s="68"/>
    </row>
    <row r="125" spans="1:9" ht="18.75" customHeight="1" x14ac:dyDescent="0.15">
      <c r="A125" s="2"/>
      <c r="B125" s="68"/>
      <c r="C125" s="68"/>
      <c r="D125" s="68"/>
      <c r="E125" s="68"/>
      <c r="F125" s="68"/>
      <c r="G125" s="68"/>
      <c r="H125" s="68"/>
      <c r="I125" s="68"/>
    </row>
    <row r="126" spans="1:9" ht="18.75" customHeight="1" x14ac:dyDescent="0.15">
      <c r="A126" s="2"/>
      <c r="B126" s="68"/>
      <c r="C126" s="68"/>
      <c r="D126" s="68"/>
      <c r="E126" s="68"/>
      <c r="F126" s="68"/>
      <c r="G126" s="68"/>
      <c r="H126" s="68"/>
      <c r="I126" s="68"/>
    </row>
    <row r="127" spans="1:9" ht="18.75" customHeight="1" x14ac:dyDescent="0.15">
      <c r="A127" s="2"/>
      <c r="B127" s="68"/>
      <c r="C127" s="68"/>
      <c r="D127" s="68"/>
      <c r="E127" s="68"/>
      <c r="F127" s="68"/>
      <c r="G127" s="68"/>
      <c r="H127" s="68"/>
      <c r="I127" s="68"/>
    </row>
    <row r="128" spans="1:9" ht="18.75" customHeight="1" x14ac:dyDescent="0.15">
      <c r="A128" s="2"/>
      <c r="B128" s="68"/>
      <c r="C128" s="68"/>
      <c r="D128" s="68"/>
      <c r="E128" s="68"/>
      <c r="F128" s="68"/>
      <c r="G128" s="68"/>
      <c r="H128" s="68"/>
      <c r="I128" s="68"/>
    </row>
    <row r="129" spans="1:9" ht="18.75" customHeight="1" x14ac:dyDescent="0.15">
      <c r="A129" s="2"/>
      <c r="B129" s="68"/>
      <c r="C129" s="68"/>
      <c r="D129" s="68"/>
      <c r="E129" s="68"/>
      <c r="F129" s="68"/>
      <c r="G129" s="68"/>
      <c r="H129" s="68"/>
      <c r="I129" s="68"/>
    </row>
    <row r="130" spans="1:9" ht="18.75" customHeight="1" x14ac:dyDescent="0.15">
      <c r="A130" s="2"/>
      <c r="B130" s="68"/>
      <c r="C130" s="68"/>
      <c r="D130" s="68"/>
      <c r="E130" s="68"/>
      <c r="F130" s="68"/>
      <c r="G130" s="68"/>
      <c r="H130" s="68"/>
      <c r="I130" s="68"/>
    </row>
    <row r="131" spans="1:9" ht="18.75" customHeight="1" x14ac:dyDescent="0.15">
      <c r="A131" s="2"/>
      <c r="B131" s="68"/>
      <c r="C131" s="68"/>
      <c r="D131" s="68"/>
      <c r="E131" s="68"/>
      <c r="F131" s="68"/>
      <c r="G131" s="68"/>
      <c r="H131" s="68"/>
      <c r="I131" s="68"/>
    </row>
    <row r="132" spans="1:9" ht="18.75" customHeight="1" x14ac:dyDescent="0.15">
      <c r="A132" s="2"/>
      <c r="B132" s="68"/>
      <c r="C132" s="68"/>
      <c r="D132" s="68"/>
      <c r="E132" s="68"/>
      <c r="F132" s="68"/>
      <c r="G132" s="68"/>
      <c r="H132" s="68"/>
      <c r="I132" s="68"/>
    </row>
    <row r="133" spans="1:9" ht="14.25" x14ac:dyDescent="0.15">
      <c r="A133" s="2"/>
      <c r="B133" s="68"/>
      <c r="C133" s="68"/>
      <c r="D133" s="68"/>
      <c r="E133" s="68"/>
      <c r="F133" s="68"/>
      <c r="G133" s="68"/>
      <c r="H133" s="68"/>
      <c r="I133" s="68"/>
    </row>
    <row r="134" spans="1:9" ht="7.5" customHeight="1" x14ac:dyDescent="0.15">
      <c r="A134" s="2"/>
      <c r="B134" s="68"/>
      <c r="C134" s="68"/>
      <c r="D134" s="68"/>
      <c r="E134" s="68"/>
      <c r="F134" s="68"/>
      <c r="G134" s="68"/>
      <c r="H134" s="68"/>
      <c r="I134" s="68"/>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5"/>
  <sheetViews>
    <sheetView showZeros="0" view="pageBreakPreview" topLeftCell="A12" zoomScaleNormal="100" zoomScaleSheetLayoutView="100" workbookViewId="0">
      <selection activeCell="L17" sqref="L17"/>
    </sheetView>
  </sheetViews>
  <sheetFormatPr defaultColWidth="11.375" defaultRowHeight="22.5" customHeight="1" x14ac:dyDescent="0.15"/>
  <cols>
    <col min="1" max="3" width="2.875" style="69" customWidth="1"/>
    <col min="4" max="4" width="22.125" style="69" customWidth="1"/>
    <col min="5" max="5" width="30.875" style="69" customWidth="1"/>
    <col min="6" max="7" width="7.875" style="69" customWidth="1"/>
    <col min="8" max="9" width="30.875" style="69" customWidth="1"/>
    <col min="10" max="10" width="4.125" style="69" customWidth="1"/>
    <col min="11" max="16384" width="11.375" style="69"/>
  </cols>
  <sheetData>
    <row r="1" spans="1:9" ht="18.75" customHeight="1" x14ac:dyDescent="0.15">
      <c r="A1" s="69" t="s">
        <v>65</v>
      </c>
      <c r="I1" s="19"/>
    </row>
    <row r="2" spans="1:9" ht="18.75" customHeight="1" x14ac:dyDescent="0.15">
      <c r="H2" s="19"/>
      <c r="I2" s="18" t="str">
        <f>'様式１　プログラムを構成する授業科目'!C2</f>
        <v>神戸女子大学</v>
      </c>
    </row>
    <row r="3" spans="1:9" s="89" customFormat="1" ht="18.75" customHeight="1" x14ac:dyDescent="0.15">
      <c r="H3" s="88"/>
      <c r="I3" s="91"/>
    </row>
    <row r="4" spans="1:9" ht="18.75" customHeight="1" x14ac:dyDescent="0.15">
      <c r="A4" s="133" t="s">
        <v>178</v>
      </c>
      <c r="B4" s="133"/>
      <c r="C4" s="133"/>
      <c r="D4" s="133"/>
      <c r="E4" s="133"/>
      <c r="F4" s="133"/>
      <c r="G4" s="133"/>
      <c r="H4" s="133"/>
      <c r="I4" s="133"/>
    </row>
    <row r="5" spans="1:9" ht="18.75" customHeight="1" x14ac:dyDescent="0.15">
      <c r="A5" s="66"/>
      <c r="B5" s="66"/>
      <c r="C5" s="66"/>
      <c r="D5" s="90"/>
      <c r="E5" s="66"/>
      <c r="F5" s="66"/>
      <c r="G5" s="66"/>
      <c r="H5" s="66"/>
      <c r="I5" s="66"/>
    </row>
    <row r="6" spans="1:9" ht="18.75" customHeight="1" x14ac:dyDescent="0.15">
      <c r="B6" s="108" t="s">
        <v>24</v>
      </c>
      <c r="C6" s="109"/>
      <c r="D6" s="110"/>
      <c r="E6" s="109" t="s">
        <v>26</v>
      </c>
      <c r="F6" s="109"/>
      <c r="G6" s="109"/>
      <c r="H6" s="109"/>
      <c r="I6" s="110"/>
    </row>
    <row r="7" spans="1:9" ht="26.25" customHeight="1" x14ac:dyDescent="0.15">
      <c r="B7" s="28" t="s">
        <v>14</v>
      </c>
      <c r="C7" s="34"/>
      <c r="D7" s="29"/>
      <c r="E7" s="35"/>
      <c r="F7" s="35"/>
      <c r="G7" s="35"/>
      <c r="H7" s="35"/>
      <c r="I7" s="29"/>
    </row>
    <row r="8" spans="1:9" ht="210.75" customHeight="1" x14ac:dyDescent="0.15">
      <c r="B8" s="30"/>
      <c r="C8" s="252" t="s">
        <v>15</v>
      </c>
      <c r="D8" s="253"/>
      <c r="E8" s="265" t="s">
        <v>138</v>
      </c>
      <c r="F8" s="254"/>
      <c r="G8" s="254"/>
      <c r="H8" s="254"/>
      <c r="I8" s="255"/>
    </row>
    <row r="9" spans="1:9" ht="210.75" customHeight="1" x14ac:dyDescent="0.15">
      <c r="B9" s="30"/>
      <c r="C9" s="267" t="s">
        <v>16</v>
      </c>
      <c r="D9" s="268"/>
      <c r="E9" s="269" t="s">
        <v>179</v>
      </c>
      <c r="F9" s="270"/>
      <c r="G9" s="270"/>
      <c r="H9" s="270"/>
      <c r="I9" s="271"/>
    </row>
    <row r="10" spans="1:9" ht="210.75" customHeight="1" x14ac:dyDescent="0.15">
      <c r="B10" s="30"/>
      <c r="C10" s="252" t="s">
        <v>17</v>
      </c>
      <c r="D10" s="253"/>
      <c r="E10" s="265" t="s">
        <v>171</v>
      </c>
      <c r="F10" s="254"/>
      <c r="G10" s="254"/>
      <c r="H10" s="254"/>
      <c r="I10" s="255"/>
    </row>
    <row r="11" spans="1:9" ht="210.75" customHeight="1" x14ac:dyDescent="0.15">
      <c r="B11" s="30"/>
      <c r="C11" s="252" t="s">
        <v>18</v>
      </c>
      <c r="D11" s="253"/>
      <c r="E11" s="265" t="s">
        <v>180</v>
      </c>
      <c r="F11" s="254"/>
      <c r="G11" s="254"/>
      <c r="H11" s="254"/>
      <c r="I11" s="255"/>
    </row>
    <row r="12" spans="1:9" ht="210.75" customHeight="1" x14ac:dyDescent="0.15">
      <c r="B12" s="31"/>
      <c r="C12" s="256" t="s">
        <v>19</v>
      </c>
      <c r="D12" s="257"/>
      <c r="E12" s="266" t="s">
        <v>172</v>
      </c>
      <c r="F12" s="258"/>
      <c r="G12" s="258"/>
      <c r="H12" s="258"/>
      <c r="I12" s="259"/>
    </row>
    <row r="13" spans="1:9" ht="24" customHeight="1" x14ac:dyDescent="0.15">
      <c r="B13" s="28" t="s">
        <v>20</v>
      </c>
      <c r="C13" s="32"/>
      <c r="D13" s="33"/>
      <c r="E13" s="86"/>
      <c r="F13" s="86"/>
      <c r="G13" s="86"/>
      <c r="H13" s="86"/>
      <c r="I13" s="87"/>
    </row>
    <row r="14" spans="1:9" ht="218.25" customHeight="1" x14ac:dyDescent="0.15">
      <c r="B14" s="30"/>
      <c r="C14" s="252" t="s">
        <v>21</v>
      </c>
      <c r="D14" s="253"/>
      <c r="E14" s="254" t="s">
        <v>139</v>
      </c>
      <c r="F14" s="254"/>
      <c r="G14" s="254"/>
      <c r="H14" s="254"/>
      <c r="I14" s="255"/>
    </row>
    <row r="15" spans="1:9" ht="218.25" customHeight="1" x14ac:dyDescent="0.15">
      <c r="B15" s="31"/>
      <c r="C15" s="256" t="s">
        <v>22</v>
      </c>
      <c r="D15" s="257"/>
      <c r="E15" s="258" t="s">
        <v>151</v>
      </c>
      <c r="F15" s="258"/>
      <c r="G15" s="258"/>
      <c r="H15" s="258"/>
      <c r="I15" s="259"/>
    </row>
    <row r="16" spans="1:9" ht="218.25" customHeight="1" x14ac:dyDescent="0.15">
      <c r="B16" s="260" t="s">
        <v>23</v>
      </c>
      <c r="C16" s="261"/>
      <c r="D16" s="262"/>
      <c r="E16" s="263" t="s">
        <v>150</v>
      </c>
      <c r="F16" s="263"/>
      <c r="G16" s="263"/>
      <c r="H16" s="263"/>
      <c r="I16" s="264"/>
    </row>
    <row r="17" spans="2:9" ht="218.25" customHeight="1" x14ac:dyDescent="0.15">
      <c r="B17" s="247" t="s">
        <v>128</v>
      </c>
      <c r="C17" s="248"/>
      <c r="D17" s="249"/>
      <c r="E17" s="250" t="s">
        <v>182</v>
      </c>
      <c r="F17" s="250"/>
      <c r="G17" s="250"/>
      <c r="H17" s="250"/>
      <c r="I17" s="251"/>
    </row>
    <row r="18" spans="2:9" ht="22.5" customHeight="1" x14ac:dyDescent="0.15">
      <c r="B18" s="2"/>
      <c r="C18" s="2"/>
      <c r="D18" s="2"/>
      <c r="E18" s="2"/>
      <c r="F18" s="2"/>
      <c r="G18" s="2"/>
      <c r="H18" s="2"/>
      <c r="I18" s="2"/>
    </row>
    <row r="19" spans="2:9" ht="22.5" customHeight="1" x14ac:dyDescent="0.15">
      <c r="B19" s="2"/>
      <c r="C19" s="2"/>
      <c r="D19" s="2"/>
      <c r="E19" s="2"/>
      <c r="F19" s="2"/>
      <c r="G19" s="2"/>
      <c r="H19" s="2"/>
      <c r="I19" s="2"/>
    </row>
    <row r="20" spans="2:9" ht="22.5" customHeight="1" x14ac:dyDescent="0.15">
      <c r="B20" s="2"/>
      <c r="C20" s="2"/>
      <c r="D20" s="2"/>
      <c r="E20" s="2"/>
      <c r="F20" s="2"/>
      <c r="G20" s="2"/>
      <c r="H20" s="2"/>
      <c r="I20" s="2"/>
    </row>
    <row r="21" spans="2:9" ht="22.5" customHeight="1" x14ac:dyDescent="0.15">
      <c r="B21" s="2"/>
      <c r="C21" s="2"/>
      <c r="D21" s="2"/>
      <c r="E21" s="2"/>
      <c r="F21" s="2"/>
      <c r="G21" s="2"/>
      <c r="H21" s="2"/>
      <c r="I21" s="2"/>
    </row>
    <row r="22" spans="2:9" ht="22.5" customHeight="1" x14ac:dyDescent="0.15">
      <c r="B22" s="2"/>
      <c r="C22" s="2"/>
      <c r="D22" s="2"/>
      <c r="E22" s="2"/>
      <c r="F22" s="2"/>
      <c r="G22" s="2"/>
      <c r="H22" s="2"/>
      <c r="I22" s="2"/>
    </row>
    <row r="23" spans="2:9" ht="22.5" customHeight="1" x14ac:dyDescent="0.15">
      <c r="B23" s="11"/>
      <c r="C23" s="11"/>
      <c r="D23" s="11"/>
      <c r="E23" s="11"/>
      <c r="F23" s="11"/>
      <c r="G23" s="11"/>
      <c r="H23" s="11"/>
      <c r="I23" s="11"/>
    </row>
    <row r="24" spans="2:9" ht="22.5" customHeight="1" x14ac:dyDescent="0.15">
      <c r="B24" s="11"/>
      <c r="C24" s="11"/>
      <c r="D24" s="11"/>
      <c r="E24" s="11"/>
      <c r="F24" s="11"/>
      <c r="G24" s="11"/>
      <c r="H24" s="11"/>
      <c r="I24" s="11"/>
    </row>
    <row r="25" spans="2:9" ht="22.5" customHeight="1" x14ac:dyDescent="0.15">
      <c r="B25" s="11"/>
      <c r="C25" s="11"/>
      <c r="D25" s="11"/>
      <c r="E25" s="11"/>
      <c r="F25" s="11"/>
      <c r="G25" s="11"/>
      <c r="H25" s="11"/>
      <c r="I25" s="11"/>
    </row>
  </sheetData>
  <mergeCells count="21">
    <mergeCell ref="C9:D9"/>
    <mergeCell ref="E9:I9"/>
    <mergeCell ref="A4:I4"/>
    <mergeCell ref="B6:D6"/>
    <mergeCell ref="E6:I6"/>
    <mergeCell ref="C8:D8"/>
    <mergeCell ref="E8:I8"/>
    <mergeCell ref="C10:D10"/>
    <mergeCell ref="E10:I10"/>
    <mergeCell ref="C11:D11"/>
    <mergeCell ref="E11:I11"/>
    <mergeCell ref="C12:D12"/>
    <mergeCell ref="E12:I12"/>
    <mergeCell ref="B17:D17"/>
    <mergeCell ref="E17:I17"/>
    <mergeCell ref="C14:D14"/>
    <mergeCell ref="E14:I14"/>
    <mergeCell ref="C15:D15"/>
    <mergeCell ref="E15:I15"/>
    <mergeCell ref="B16:D16"/>
    <mergeCell ref="E16:I16"/>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rowBreaks count="1" manualBreakCount="1">
    <brk id="12"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ﾀﾅｶ ﾘｮｳ　田中 亮</cp:lastModifiedBy>
  <cp:lastPrinted>2024-04-22T07:10:55Z</cp:lastPrinted>
  <dcterms:created xsi:type="dcterms:W3CDTF">2011-06-14T05:32:50Z</dcterms:created>
  <dcterms:modified xsi:type="dcterms:W3CDTF">2024-06-12T07:19:20Z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