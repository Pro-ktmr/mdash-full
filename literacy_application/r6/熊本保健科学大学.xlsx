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24226"/>
  <mc:AlternateContent xmlns:mc="http://schemas.openxmlformats.org/markup-compatibility/2006">
    <mc:Choice Requires="x15">
      <x15ac:absPath xmlns:x15ac="http://schemas.microsoft.com/office/spreadsheetml/2010/11/ac" url="T:\125企画課\kikaku\02-26 数理・データサイエンス・ＡＩ教育プログラム認定制度（リテラシーレベル）\0501_提出\02_熊本保健科学大学_応用基礎(大学全体)\"/>
    </mc:Choice>
  </mc:AlternateContent>
  <bookViews>
    <workbookView xWindow="0" yWindow="0" windowWidth="17130" windowHeight="8265" tabRatio="885"/>
  </bookViews>
  <sheets>
    <sheet name="様式１　プログラムを構成する授業科目" sheetId="39" r:id="rId1"/>
    <sheet name="様式２ 履修者等数の実績" sheetId="40" r:id="rId2"/>
    <sheet name="様式３ 教育の質・履修者数を向上させるための体制・計画" sheetId="41" r:id="rId3"/>
    <sheet name="様式４　自己点検・評価" sheetId="42" r:id="rId4"/>
  </sheets>
  <definedNames>
    <definedName name="_xlnm._FilterDatabase" localSheetId="0" hidden="1">'様式１　プログラムを構成する授業科目'!$X$16:$X$18</definedName>
    <definedName name="_xlnm._FilterDatabase" localSheetId="1" hidden="1">'様式２ 履修者等数の実績'!#REF!</definedName>
    <definedName name="_xlnm.Print_Area" localSheetId="0">'様式１　プログラムを構成する授業科目'!$A$1:$U$112</definedName>
    <definedName name="_xlnm.Print_Area" localSheetId="1">'様式２ 履修者等数の実績'!$A$1:$S$33</definedName>
    <definedName name="_xlnm.Print_Area" localSheetId="2">'様式３ 教育の質・履修者数を向上させるための体制・計画'!$A$1:$I$119</definedName>
    <definedName name="_xlnm.Print_Area" localSheetId="3">'様式４　自己点検・評価'!$A$1:$I$22</definedName>
    <definedName name="_xlnm.Print_Titles" localSheetId="3">'様式４　自己点検・評価'!$11:$11</definedName>
  </definedNames>
  <calcPr calcId="162913"/>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M7" i="40" l="1"/>
  <c r="I2" i="42"/>
  <c r="H2" i="41"/>
  <c r="Q2" i="40"/>
  <c r="I33" i="40" l="1"/>
  <c r="M33" i="40"/>
  <c r="P33" i="40"/>
  <c r="Q33" i="40"/>
  <c r="O33" i="40"/>
  <c r="N33" i="40"/>
  <c r="L33" i="40"/>
  <c r="J33" i="40"/>
  <c r="K33" i="40"/>
  <c r="H33" i="40"/>
  <c r="R14" i="40" l="1"/>
  <c r="R15" i="40"/>
  <c r="R16" i="40"/>
  <c r="R17" i="40"/>
  <c r="R18" i="40"/>
  <c r="R19" i="40"/>
  <c r="R20" i="40"/>
  <c r="R21" i="40"/>
  <c r="R22" i="40"/>
  <c r="R23" i="40"/>
  <c r="R24" i="40"/>
  <c r="R25" i="40"/>
  <c r="R26" i="40"/>
  <c r="R27" i="40"/>
  <c r="R28" i="40"/>
  <c r="R29" i="40"/>
  <c r="R30" i="40"/>
  <c r="R31" i="40"/>
  <c r="R32" i="40"/>
  <c r="R13" i="40"/>
  <c r="S13" i="40" s="1"/>
  <c r="C33" i="40"/>
  <c r="G33" i="40" l="1"/>
  <c r="F33" i="40" l="1"/>
  <c r="E33" i="40"/>
  <c r="I50" i="41" s="1"/>
  <c r="D33" i="40"/>
  <c r="S32" i="40"/>
  <c r="S31" i="40"/>
  <c r="S30" i="40"/>
  <c r="S29" i="40"/>
  <c r="S28" i="40"/>
  <c r="S27" i="40"/>
  <c r="S26" i="40"/>
  <c r="S25" i="40"/>
  <c r="S24" i="40"/>
  <c r="S23" i="40"/>
  <c r="S22" i="40"/>
  <c r="S21" i="40"/>
  <c r="S20" i="40"/>
  <c r="S19" i="40"/>
  <c r="S18" i="40"/>
  <c r="S17" i="40"/>
  <c r="S16" i="40"/>
  <c r="S15" i="40"/>
  <c r="S14" i="40"/>
  <c r="R33" i="40" l="1"/>
  <c r="S33" i="40" s="1"/>
  <c r="C49" i="41" s="1"/>
</calcChain>
</file>

<file path=xl/sharedStrings.xml><?xml version="1.0" encoding="utf-8"?>
<sst xmlns="http://schemas.openxmlformats.org/spreadsheetml/2006/main" count="282" uniqueCount="182">
  <si>
    <t>①</t>
    <phoneticPr fontId="1"/>
  </si>
  <si>
    <t>人</t>
    <rPh sb="0" eb="1">
      <t>ニン</t>
    </rPh>
    <phoneticPr fontId="1"/>
  </si>
  <si>
    <t>（非常勤）</t>
    <rPh sb="1" eb="4">
      <t>ヒジョウキン</t>
    </rPh>
    <phoneticPr fontId="1"/>
  </si>
  <si>
    <t>②</t>
    <phoneticPr fontId="1"/>
  </si>
  <si>
    <t>③</t>
    <phoneticPr fontId="1"/>
  </si>
  <si>
    <t>⑤</t>
    <phoneticPr fontId="1"/>
  </si>
  <si>
    <t>⑦</t>
    <phoneticPr fontId="1"/>
  </si>
  <si>
    <t>④</t>
    <phoneticPr fontId="1"/>
  </si>
  <si>
    <t>⑥</t>
    <phoneticPr fontId="1"/>
  </si>
  <si>
    <t>具体的な構成員</t>
    <rPh sb="0" eb="3">
      <t>グタイテキ</t>
    </rPh>
    <rPh sb="4" eb="7">
      <t>コウセイイン</t>
    </rPh>
    <phoneticPr fontId="1"/>
  </si>
  <si>
    <t>（役職名）</t>
    <rPh sb="1" eb="4">
      <t>ヤクショクメイ</t>
    </rPh>
    <phoneticPr fontId="1"/>
  </si>
  <si>
    <t>⑩</t>
    <phoneticPr fontId="1"/>
  </si>
  <si>
    <t>様式１</t>
    <rPh sb="0" eb="2">
      <t>ヨウシキ</t>
    </rPh>
    <phoneticPr fontId="1"/>
  </si>
  <si>
    <t>できる限り多くの学生が履修・修得できるようなサポート体制</t>
    <rPh sb="26" eb="28">
      <t>タイセイ</t>
    </rPh>
    <phoneticPr fontId="1"/>
  </si>
  <si>
    <t>学内からの視点</t>
    <rPh sb="0" eb="2">
      <t>ガクナイ</t>
    </rPh>
    <rPh sb="5" eb="7">
      <t>シテン</t>
    </rPh>
    <phoneticPr fontId="1"/>
  </si>
  <si>
    <t>プログラムの履修・修得状況</t>
    <rPh sb="6" eb="8">
      <t>リシュウ</t>
    </rPh>
    <rPh sb="9" eb="11">
      <t>シュウトク</t>
    </rPh>
    <rPh sb="11" eb="13">
      <t>ジョウキョウ</t>
    </rPh>
    <phoneticPr fontId="1"/>
  </si>
  <si>
    <t>学修成果</t>
    <rPh sb="0" eb="2">
      <t>ガクシュウ</t>
    </rPh>
    <rPh sb="2" eb="4">
      <t>セイカ</t>
    </rPh>
    <phoneticPr fontId="1"/>
  </si>
  <si>
    <t>学生アンケート等を通じた学生の内容の理解度</t>
    <rPh sb="0" eb="2">
      <t>ガクセイ</t>
    </rPh>
    <rPh sb="7" eb="8">
      <t>トウ</t>
    </rPh>
    <rPh sb="9" eb="10">
      <t>ツウ</t>
    </rPh>
    <rPh sb="12" eb="14">
      <t>ガクセイ</t>
    </rPh>
    <rPh sb="15" eb="17">
      <t>ナイヨウ</t>
    </rPh>
    <rPh sb="18" eb="21">
      <t>リカイド</t>
    </rPh>
    <phoneticPr fontId="1"/>
  </si>
  <si>
    <t>学生アンケート等を通じた後輩等他の学生への推奨度</t>
    <rPh sb="0" eb="2">
      <t>ガクセイ</t>
    </rPh>
    <rPh sb="7" eb="8">
      <t>トウ</t>
    </rPh>
    <rPh sb="9" eb="10">
      <t>ツウ</t>
    </rPh>
    <rPh sb="12" eb="14">
      <t>コウハイ</t>
    </rPh>
    <rPh sb="14" eb="15">
      <t>トウ</t>
    </rPh>
    <rPh sb="15" eb="16">
      <t>タ</t>
    </rPh>
    <rPh sb="17" eb="19">
      <t>ガクセイ</t>
    </rPh>
    <rPh sb="21" eb="23">
      <t>スイショウ</t>
    </rPh>
    <rPh sb="23" eb="24">
      <t>ド</t>
    </rPh>
    <phoneticPr fontId="1"/>
  </si>
  <si>
    <t>全学的な履修者数、履修率向上に向けた計画の達成・進捗状況</t>
    <rPh sb="0" eb="3">
      <t>ゼンガクテキ</t>
    </rPh>
    <rPh sb="4" eb="6">
      <t>リシュウ</t>
    </rPh>
    <rPh sb="6" eb="7">
      <t>シャ</t>
    </rPh>
    <rPh sb="7" eb="8">
      <t>スウ</t>
    </rPh>
    <rPh sb="9" eb="11">
      <t>リシュウ</t>
    </rPh>
    <rPh sb="11" eb="12">
      <t>リツ</t>
    </rPh>
    <rPh sb="12" eb="14">
      <t>コウジョウ</t>
    </rPh>
    <rPh sb="15" eb="16">
      <t>ム</t>
    </rPh>
    <rPh sb="18" eb="20">
      <t>ケイカク</t>
    </rPh>
    <rPh sb="21" eb="23">
      <t>タッセイ</t>
    </rPh>
    <rPh sb="24" eb="26">
      <t>シンチョク</t>
    </rPh>
    <rPh sb="26" eb="28">
      <t>ジョウキョウ</t>
    </rPh>
    <phoneticPr fontId="1"/>
  </si>
  <si>
    <t>学外からの視点</t>
    <rPh sb="0" eb="2">
      <t>ガクガイ</t>
    </rPh>
    <rPh sb="5" eb="7">
      <t>シテン</t>
    </rPh>
    <phoneticPr fontId="1"/>
  </si>
  <si>
    <t>教育プログラム修了者の進路、活躍状況、企業等の評価</t>
    <rPh sb="0" eb="2">
      <t>キョウイク</t>
    </rPh>
    <rPh sb="7" eb="10">
      <t>シュウリョウシャ</t>
    </rPh>
    <rPh sb="11" eb="13">
      <t>シンロ</t>
    </rPh>
    <rPh sb="14" eb="16">
      <t>カツヤク</t>
    </rPh>
    <rPh sb="16" eb="18">
      <t>ジョウキョウ</t>
    </rPh>
    <rPh sb="19" eb="21">
      <t>キギョウ</t>
    </rPh>
    <rPh sb="21" eb="22">
      <t>トウ</t>
    </rPh>
    <rPh sb="23" eb="25">
      <t>ヒョウカ</t>
    </rPh>
    <phoneticPr fontId="1"/>
  </si>
  <si>
    <t>産業界からの視点を含めた教育プログラム内容・手法等への意見</t>
    <rPh sb="0" eb="3">
      <t>サンギョウカイ</t>
    </rPh>
    <rPh sb="6" eb="8">
      <t>シテン</t>
    </rPh>
    <rPh sb="9" eb="10">
      <t>フク</t>
    </rPh>
    <rPh sb="12" eb="14">
      <t>キョウイク</t>
    </rPh>
    <rPh sb="19" eb="21">
      <t>ナイヨウ</t>
    </rPh>
    <rPh sb="22" eb="24">
      <t>シュホウ</t>
    </rPh>
    <rPh sb="24" eb="25">
      <t>トウ</t>
    </rPh>
    <rPh sb="27" eb="29">
      <t>イケン</t>
    </rPh>
    <phoneticPr fontId="1"/>
  </si>
  <si>
    <t>数理・データサイエンス・ＡＩを「学ぶ楽しさ」「学ぶことの意義」を理解させること</t>
    <rPh sb="0" eb="2">
      <t>スウリ</t>
    </rPh>
    <rPh sb="16" eb="17">
      <t>マナ</t>
    </rPh>
    <rPh sb="18" eb="19">
      <t>タノ</t>
    </rPh>
    <rPh sb="23" eb="24">
      <t>マナ</t>
    </rPh>
    <rPh sb="28" eb="30">
      <t>イギ</t>
    </rPh>
    <rPh sb="32" eb="34">
      <t>リカイ</t>
    </rPh>
    <phoneticPr fontId="1"/>
  </si>
  <si>
    <t>自己点検・評価の視点</t>
    <rPh sb="0" eb="2">
      <t>ジコ</t>
    </rPh>
    <rPh sb="2" eb="4">
      <t>テンケン</t>
    </rPh>
    <rPh sb="5" eb="7">
      <t>ヒョウカ</t>
    </rPh>
    <rPh sb="8" eb="10">
      <t>シテン</t>
    </rPh>
    <phoneticPr fontId="1"/>
  </si>
  <si>
    <t>体制の目的</t>
    <rPh sb="0" eb="2">
      <t>タイセイ</t>
    </rPh>
    <rPh sb="3" eb="5">
      <t>モクテキ</t>
    </rPh>
    <phoneticPr fontId="1"/>
  </si>
  <si>
    <t>自己点検・評価体制における意見・結果・改善に向けた取組等</t>
    <rPh sb="7" eb="9">
      <t>タイセイ</t>
    </rPh>
    <rPh sb="13" eb="15">
      <t>イケン</t>
    </rPh>
    <rPh sb="16" eb="18">
      <t>ケッカ</t>
    </rPh>
    <rPh sb="19" eb="21">
      <t>カイゼン</t>
    </rPh>
    <rPh sb="22" eb="23">
      <t>ム</t>
    </rPh>
    <rPh sb="25" eb="27">
      <t>トリクミ</t>
    </rPh>
    <rPh sb="27" eb="28">
      <t>トウ</t>
    </rPh>
    <phoneticPr fontId="1"/>
  </si>
  <si>
    <t>自己点検・評価体制における意見等</t>
    <rPh sb="15" eb="16">
      <t>トウ</t>
    </rPh>
    <phoneticPr fontId="1"/>
  </si>
  <si>
    <t>自己点検・評価について</t>
    <rPh sb="0" eb="2">
      <t>ジコ</t>
    </rPh>
    <rPh sb="2" eb="4">
      <t>テンケン</t>
    </rPh>
    <rPh sb="5" eb="7">
      <t>ヒョウカ</t>
    </rPh>
    <phoneticPr fontId="1"/>
  </si>
  <si>
    <t>修了者数</t>
    <rPh sb="0" eb="3">
      <t>シュウリョウシャ</t>
    </rPh>
    <rPh sb="3" eb="4">
      <t>スウ</t>
    </rPh>
    <phoneticPr fontId="1"/>
  </si>
  <si>
    <t>⑫</t>
    <phoneticPr fontId="1"/>
  </si>
  <si>
    <t>⑧</t>
    <phoneticPr fontId="1"/>
  </si>
  <si>
    <t>履修率</t>
    <rPh sb="0" eb="2">
      <t>リシュウ</t>
    </rPh>
    <rPh sb="2" eb="3">
      <t>リツ</t>
    </rPh>
    <phoneticPr fontId="1"/>
  </si>
  <si>
    <t>合　計</t>
    <phoneticPr fontId="1"/>
  </si>
  <si>
    <t>⑨</t>
    <phoneticPr fontId="1"/>
  </si>
  <si>
    <t>履修者数
合計</t>
    <rPh sb="0" eb="2">
      <t>リシュウ</t>
    </rPh>
    <rPh sb="2" eb="3">
      <t>シャ</t>
    </rPh>
    <rPh sb="3" eb="4">
      <t>スウ</t>
    </rPh>
    <rPh sb="5" eb="7">
      <t>ゴウケイ</t>
    </rPh>
    <phoneticPr fontId="1"/>
  </si>
  <si>
    <t>教育の質・履修者数を向上させるための体制・計画について</t>
    <rPh sb="0" eb="2">
      <t>キョウイク</t>
    </rPh>
    <rPh sb="3" eb="4">
      <t>シツ</t>
    </rPh>
    <rPh sb="5" eb="7">
      <t>リシュウ</t>
    </rPh>
    <rPh sb="7" eb="8">
      <t>シャ</t>
    </rPh>
    <rPh sb="8" eb="9">
      <t>スウ</t>
    </rPh>
    <rPh sb="10" eb="12">
      <t>コウジョウ</t>
    </rPh>
    <rPh sb="18" eb="20">
      <t>タイセイ</t>
    </rPh>
    <rPh sb="21" eb="23">
      <t>ケイカク</t>
    </rPh>
    <phoneticPr fontId="1"/>
  </si>
  <si>
    <t>学部・学科に関係なく希望する学生全員が受講可能となるような必要な体制・取組等</t>
    <rPh sb="29" eb="31">
      <t>ヒツヨウ</t>
    </rPh>
    <rPh sb="32" eb="34">
      <t>タイセイ</t>
    </rPh>
    <rPh sb="35" eb="37">
      <t>トリクミ</t>
    </rPh>
    <rPh sb="37" eb="38">
      <t>トウ</t>
    </rPh>
    <phoneticPr fontId="1"/>
  </si>
  <si>
    <t>プログラムを構成する授業科目について</t>
    <phoneticPr fontId="1"/>
  </si>
  <si>
    <t>収容
定員</t>
    <rPh sb="0" eb="2">
      <t>シュウヨウ</t>
    </rPh>
    <rPh sb="3" eb="5">
      <t>テイイン</t>
    </rPh>
    <phoneticPr fontId="1"/>
  </si>
  <si>
    <t>できる限り多くの学生が履修できるような具体的な周知方法・取組</t>
    <rPh sb="3" eb="4">
      <t>カギ</t>
    </rPh>
    <rPh sb="5" eb="6">
      <t>オオ</t>
    </rPh>
    <rPh sb="8" eb="10">
      <t>ガクセイ</t>
    </rPh>
    <rPh sb="11" eb="13">
      <t>リシュウ</t>
    </rPh>
    <rPh sb="19" eb="22">
      <t>グタイテキ</t>
    </rPh>
    <rPh sb="23" eb="25">
      <t>シュウチ</t>
    </rPh>
    <rPh sb="25" eb="27">
      <t>ホウホウ</t>
    </rPh>
    <rPh sb="28" eb="30">
      <t>トリクミ</t>
    </rPh>
    <phoneticPr fontId="1"/>
  </si>
  <si>
    <t>プログラムを改善・進化させるための体制を定める規則名称</t>
    <phoneticPr fontId="1"/>
  </si>
  <si>
    <t>（責任者名）</t>
    <rPh sb="1" eb="4">
      <t>セキニンシャ</t>
    </rPh>
    <rPh sb="4" eb="5">
      <t>メイ</t>
    </rPh>
    <phoneticPr fontId="1"/>
  </si>
  <si>
    <t>⑪</t>
    <phoneticPr fontId="1"/>
  </si>
  <si>
    <t>学部・学科名称</t>
    <rPh sb="0" eb="2">
      <t>ガクブ</t>
    </rPh>
    <rPh sb="3" eb="5">
      <t>ガッカ</t>
    </rPh>
    <rPh sb="5" eb="7">
      <t>メイショウ</t>
    </rPh>
    <phoneticPr fontId="1"/>
  </si>
  <si>
    <t>授業時間内外で学習指導、質問を受け付ける具体的な仕組み</t>
    <rPh sb="20" eb="23">
      <t>グタイテキ</t>
    </rPh>
    <phoneticPr fontId="1"/>
  </si>
  <si>
    <t>入学
定員</t>
    <rPh sb="0" eb="2">
      <t>ニュウガク</t>
    </rPh>
    <rPh sb="3" eb="5">
      <t>テイイン</t>
    </rPh>
    <phoneticPr fontId="1"/>
  </si>
  <si>
    <t>プログラムの履修者数等の実績について</t>
    <phoneticPr fontId="1"/>
  </si>
  <si>
    <t>令和3年度</t>
    <rPh sb="0" eb="2">
      <t>レイワ</t>
    </rPh>
    <rPh sb="3" eb="5">
      <t>ネンド</t>
    </rPh>
    <phoneticPr fontId="1"/>
  </si>
  <si>
    <t>令和2年度</t>
    <rPh sb="0" eb="2">
      <t>レイワ</t>
    </rPh>
    <rPh sb="3" eb="5">
      <t>ネンド</t>
    </rPh>
    <phoneticPr fontId="1"/>
  </si>
  <si>
    <t>平成30年度</t>
    <rPh sb="0" eb="2">
      <t>ヘイセイ</t>
    </rPh>
    <rPh sb="4" eb="6">
      <t>ネンド</t>
    </rPh>
    <phoneticPr fontId="1"/>
  </si>
  <si>
    <t>年度</t>
    <rPh sb="0" eb="2">
      <t>ネンド</t>
    </rPh>
    <phoneticPr fontId="1"/>
  </si>
  <si>
    <t>授業科目</t>
    <rPh sb="0" eb="2">
      <t>ジュギョウ</t>
    </rPh>
    <rPh sb="2" eb="4">
      <t>カモク</t>
    </rPh>
    <phoneticPr fontId="1"/>
  </si>
  <si>
    <t>授業に含まれている内容・要素</t>
    <phoneticPr fontId="1"/>
  </si>
  <si>
    <t>講義内容</t>
    <rPh sb="0" eb="2">
      <t>コウギ</t>
    </rPh>
    <rPh sb="2" eb="4">
      <t>ナイヨウ</t>
    </rPh>
    <phoneticPr fontId="1"/>
  </si>
  <si>
    <t>1-1</t>
    <phoneticPr fontId="1"/>
  </si>
  <si>
    <t>2-1</t>
    <phoneticPr fontId="1"/>
  </si>
  <si>
    <t>3-1</t>
    <phoneticPr fontId="1"/>
  </si>
  <si>
    <t>1-6</t>
  </si>
  <si>
    <t>3-2</t>
    <phoneticPr fontId="1"/>
  </si>
  <si>
    <t>（１）現在進行中の社会変化（第４次産業革命、Society 5.0、データ駆動型社会等）に深く寄与しているものであり、それが自らの生活と密接に結びついている</t>
    <phoneticPr fontId="1"/>
  </si>
  <si>
    <t>（２）「社会で活用されているデータ」や「データの活用領域」は非常に広範囲であって、日常生活や社会の課題を解決する有用なツールになり得るもの</t>
    <phoneticPr fontId="1"/>
  </si>
  <si>
    <t>（３）様々なデータ利活用の現場におけるデータ利活用事例が示され、様々な適用領域（流通、製造、金融、サービス、インフラ、公共、ヘルスケア等）の知見と組み合わせることで価値を創出するもの</t>
    <phoneticPr fontId="1"/>
  </si>
  <si>
    <t>　　　　　　　　　　　　　　　　　　　　　　　　　　　　　　　　　　　　　　　　　　　　　　　　　　　　　　　　　　　　　　　　　　　　　　　　　　　　　　　　　　　　　　　　　　　　　　　　　　　　　　　　　　　　　　　　　　　　　　　　　　　　　　　　　　　　　　　　　　　　　　　　　　　　　　　　　　　　　　　　　　　　　　　　　　　　　　　　　　　　　　　　　　　　　　　　　　　　　　　　　　　　　　　　　　　　　　　　　　　　　　　　　　　　　　　　　　　　　　　　　　　　　　　　　　　　　　　　　　　　　　　　　　　　　　　　　　　　　　　　　　　　　　　　　　　　　　　　　　　　　　　　　　　　　　　　　　　　　　　　　　　　　　　　　　　　　　　　　　　　　　　　　　　　　　　　　　　　　　　　　　　　　　　　　　　　　　　　　　　　　　　　　　　　　　　　　　　　　　　　　　　　　　　　　　　　　　　　　　　　　　　　　　　　　　　　　　　　　　　　　　　　　　　　　　　　　　　　　　　　　　　　　　　　　　　　　　　　　　　　　　　　　　　　　　　　　　　　　　　　　　　　　　　　　　　　　　　　　　　　　　　　　　　　　　　　　　　　　　　　　　　　　　　　　　　　　　　　　　　　　　　　　　　　　　　　　　　　　　　　　　　　　　　　　　　　　　　　　　　　　　　　　　　　　　　　　　　　　　　　　　　　　　　　　　　　　　　　　　　　　　　　　　　　　　　　　　　　　　　　　　　　　　　　　　　　　　　　　　　　　　　　　　　　　　　　　　　　　　　　　　　　　　　　　　　　　　　　　　　　　　　　　　　　　　　　　　</t>
    <phoneticPr fontId="1"/>
  </si>
  <si>
    <t>令和６年度予定</t>
    <rPh sb="0" eb="2">
      <t>レイワ</t>
    </rPh>
    <rPh sb="3" eb="5">
      <t>ネンド</t>
    </rPh>
    <rPh sb="5" eb="7">
      <t>ヨテイ</t>
    </rPh>
    <phoneticPr fontId="1"/>
  </si>
  <si>
    <t>令和７年度予定</t>
    <rPh sb="0" eb="2">
      <t>レイワ</t>
    </rPh>
    <rPh sb="3" eb="5">
      <t>ネンド</t>
    </rPh>
    <rPh sb="5" eb="7">
      <t>ヨテイ</t>
    </rPh>
    <phoneticPr fontId="1"/>
  </si>
  <si>
    <t>収容定員（名）</t>
    <rPh sb="0" eb="4">
      <t>シュウヨウテイイン</t>
    </rPh>
    <rPh sb="5" eb="6">
      <t>メイ</t>
    </rPh>
    <phoneticPr fontId="1"/>
  </si>
  <si>
    <t>具体的な計画</t>
    <rPh sb="0" eb="3">
      <t>グタイテキ</t>
    </rPh>
    <rPh sb="4" eb="6">
      <t>ケイカク</t>
    </rPh>
    <phoneticPr fontId="1"/>
  </si>
  <si>
    <t>　　　　　　　　　　　　　　　　　　　　　　　　　　　　　　　　　　　　　　　　　　　　　　　　　　　　　　　　　　　　　　　　　　　　　　　　　</t>
    <phoneticPr fontId="1"/>
  </si>
  <si>
    <t>1-2</t>
    <phoneticPr fontId="1"/>
  </si>
  <si>
    <t>1-3</t>
    <phoneticPr fontId="1"/>
  </si>
  <si>
    <t>1-4</t>
    <phoneticPr fontId="1"/>
  </si>
  <si>
    <t>1-5</t>
    <phoneticPr fontId="1"/>
  </si>
  <si>
    <t>2-2</t>
    <phoneticPr fontId="1"/>
  </si>
  <si>
    <t>2-3</t>
    <phoneticPr fontId="1"/>
  </si>
  <si>
    <t>1-6</t>
    <phoneticPr fontId="1"/>
  </si>
  <si>
    <t>（４）活用に当たっての様々な留意事項（ELSI、個人情報、データ倫理、ＡＩ社会原則等）を考慮し、情報セキュリティや情報漏洩等、データを守る上での留意事項への理解をする</t>
    <phoneticPr fontId="1"/>
  </si>
  <si>
    <t>（５）実データ・実課題（学術データ等を含む）を用いた演習など、社会での実例を題材として、「データを読む、説明する、扱う」といった数理・データサイエンス・ＡＩの基本的な活用法に関するもの</t>
    <phoneticPr fontId="1"/>
  </si>
  <si>
    <t>単位数</t>
    <rPh sb="0" eb="3">
      <t>タンイスウ</t>
    </rPh>
    <phoneticPr fontId="1"/>
  </si>
  <si>
    <t>選択項目</t>
    <rPh sb="0" eb="2">
      <t>センタク</t>
    </rPh>
    <rPh sb="2" eb="4">
      <t>コウモク</t>
    </rPh>
    <phoneticPr fontId="1"/>
  </si>
  <si>
    <t>①プログラム開設年度</t>
    <rPh sb="6" eb="8">
      <t>カイセツ</t>
    </rPh>
    <rPh sb="8" eb="10">
      <t>ネンド</t>
    </rPh>
    <phoneticPr fontId="1"/>
  </si>
  <si>
    <t>必須</t>
    <rPh sb="0" eb="2">
      <t>ヒッス</t>
    </rPh>
    <phoneticPr fontId="1"/>
  </si>
  <si>
    <t>令和4年度</t>
    <rPh sb="0" eb="2">
      <t>レイワ</t>
    </rPh>
    <rPh sb="3" eb="5">
      <t>ネンド</t>
    </rPh>
    <phoneticPr fontId="1"/>
  </si>
  <si>
    <t>学生数</t>
    <rPh sb="0" eb="3">
      <t>ガクセイスウ</t>
    </rPh>
    <phoneticPr fontId="1"/>
  </si>
  <si>
    <t>プログラムを改善・進化させるための体制（委員会・組織等）</t>
    <phoneticPr fontId="1"/>
  </si>
  <si>
    <t>令和８年度予定</t>
    <rPh sb="0" eb="2">
      <t>レイワ</t>
    </rPh>
    <rPh sb="3" eb="5">
      <t>ネンド</t>
    </rPh>
    <rPh sb="5" eb="7">
      <t>ヨテイ</t>
    </rPh>
    <phoneticPr fontId="1"/>
  </si>
  <si>
    <t>全学の教員数</t>
    <rPh sb="0" eb="2">
      <t>ゼンガク</t>
    </rPh>
    <rPh sb="3" eb="6">
      <t>キョウインスウ</t>
    </rPh>
    <phoneticPr fontId="1"/>
  </si>
  <si>
    <t>(常勤）</t>
    <rPh sb="1" eb="3">
      <t>ジョウキン</t>
    </rPh>
    <phoneticPr fontId="1"/>
  </si>
  <si>
    <t>プログラムの授業を教えている教員数</t>
    <rPh sb="6" eb="8">
      <t>ジュギョウ</t>
    </rPh>
    <rPh sb="9" eb="10">
      <t>オシ</t>
    </rPh>
    <rPh sb="14" eb="17">
      <t>キョウインスウ</t>
    </rPh>
    <phoneticPr fontId="1"/>
  </si>
  <si>
    <t>プログラムの運営責任者</t>
    <rPh sb="6" eb="8">
      <t>ウンエイ</t>
    </rPh>
    <rPh sb="8" eb="11">
      <t>セキニンシャ</t>
    </rPh>
    <phoneticPr fontId="1"/>
  </si>
  <si>
    <t>プログラムの自己点検・評価を行う体制（委員会・組織等）</t>
    <phoneticPr fontId="1"/>
  </si>
  <si>
    <t>履修者数</t>
    <rPh sb="0" eb="3">
      <t>リシュウシャ</t>
    </rPh>
    <rPh sb="3" eb="4">
      <t>スウ</t>
    </rPh>
    <phoneticPr fontId="1"/>
  </si>
  <si>
    <t>令和元年度</t>
    <rPh sb="0" eb="2">
      <t>レイワ</t>
    </rPh>
    <rPh sb="2" eb="3">
      <t>モト</t>
    </rPh>
    <rPh sb="3" eb="5">
      <t>ネンド</t>
    </rPh>
    <phoneticPr fontId="1"/>
  </si>
  <si>
    <t>2-1</t>
  </si>
  <si>
    <t>プログラム名</t>
    <rPh sb="5" eb="6">
      <t>メイ</t>
    </rPh>
    <phoneticPr fontId="1"/>
  </si>
  <si>
    <t>【プルダウンリスト】</t>
    <phoneticPr fontId="1"/>
  </si>
  <si>
    <t>様式４</t>
    <phoneticPr fontId="1"/>
  </si>
  <si>
    <t>様式３</t>
    <phoneticPr fontId="1"/>
  </si>
  <si>
    <t>様式２</t>
    <phoneticPr fontId="1"/>
  </si>
  <si>
    <t>大学等名</t>
    <rPh sb="0" eb="2">
      <t>ダイガク</t>
    </rPh>
    <rPh sb="2" eb="3">
      <t>トウ</t>
    </rPh>
    <rPh sb="3" eb="4">
      <t>メイ</t>
    </rPh>
    <phoneticPr fontId="1"/>
  </si>
  <si>
    <t>「学部・学科によって、修了要件は相違する」場合は、本シートを複製の上＜様式１－〇＞と枝番号を付してください</t>
    <rPh sb="21" eb="23">
      <t>バアイ</t>
    </rPh>
    <rPh sb="25" eb="26">
      <t>ホン</t>
    </rPh>
    <rPh sb="30" eb="32">
      <t>フクセイ</t>
    </rPh>
    <rPh sb="33" eb="34">
      <t>ウエ</t>
    </rPh>
    <rPh sb="42" eb="45">
      <t>エダバンゴウ</t>
    </rPh>
    <rPh sb="46" eb="47">
      <t>フ</t>
    </rPh>
    <phoneticPr fontId="1"/>
  </si>
  <si>
    <t>③ 修了要件</t>
    <phoneticPr fontId="1"/>
  </si>
  <si>
    <t>④ 現在進行中の社会変化（第４次産業革命、Society 5.0、データ駆動型社会等）に深く寄与しているものであり、それが自らの生活と密接に結びついている」の内容を含む授業科目</t>
    <rPh sb="2" eb="4">
      <t>ゲンザイ</t>
    </rPh>
    <rPh sb="4" eb="6">
      <t>シンコウ</t>
    </rPh>
    <rPh sb="6" eb="7">
      <t>チュウ</t>
    </rPh>
    <rPh sb="8" eb="10">
      <t>シャカイ</t>
    </rPh>
    <rPh sb="10" eb="12">
      <t>ヘンカ</t>
    </rPh>
    <rPh sb="13" eb="14">
      <t>ダイ</t>
    </rPh>
    <rPh sb="15" eb="16">
      <t>ジ</t>
    </rPh>
    <rPh sb="16" eb="18">
      <t>サンギョウ</t>
    </rPh>
    <rPh sb="18" eb="20">
      <t>カクメイ</t>
    </rPh>
    <rPh sb="36" eb="38">
      <t>クドウ</t>
    </rPh>
    <rPh sb="38" eb="39">
      <t>ガタ</t>
    </rPh>
    <rPh sb="39" eb="41">
      <t>シャカイ</t>
    </rPh>
    <rPh sb="41" eb="42">
      <t>トウ</t>
    </rPh>
    <rPh sb="44" eb="45">
      <t>フカ</t>
    </rPh>
    <rPh sb="46" eb="48">
      <t>キヨ</t>
    </rPh>
    <rPh sb="61" eb="62">
      <t>ミズカ</t>
    </rPh>
    <rPh sb="64" eb="66">
      <t>セイカツ</t>
    </rPh>
    <rPh sb="67" eb="69">
      <t>ミッセツ</t>
    </rPh>
    <rPh sb="70" eb="71">
      <t>ムス</t>
    </rPh>
    <rPh sb="79" eb="81">
      <t>ナイヨウ</t>
    </rPh>
    <rPh sb="82" eb="83">
      <t>フク</t>
    </rPh>
    <rPh sb="84" eb="86">
      <t>ジュギョウ</t>
    </rPh>
    <rPh sb="86" eb="88">
      <t>カモク</t>
    </rPh>
    <phoneticPr fontId="1"/>
  </si>
  <si>
    <t>⑤ 「社会で活用されているデータ」や「データの活用領域」は非常に広範囲であって、日常生活や社会の課題を解決する有用なツールになり得るもの」の内容を含む授業科目</t>
    <rPh sb="3" eb="5">
      <t>シャカイ</t>
    </rPh>
    <rPh sb="6" eb="8">
      <t>カツヨウ</t>
    </rPh>
    <rPh sb="23" eb="25">
      <t>カツヨウ</t>
    </rPh>
    <rPh sb="25" eb="27">
      <t>リョウイキ</t>
    </rPh>
    <rPh sb="29" eb="31">
      <t>ヒジョウ</t>
    </rPh>
    <rPh sb="32" eb="35">
      <t>コウハンイ</t>
    </rPh>
    <rPh sb="40" eb="42">
      <t>ニチジョウ</t>
    </rPh>
    <rPh sb="42" eb="44">
      <t>セイカツ</t>
    </rPh>
    <rPh sb="45" eb="47">
      <t>シャカイ</t>
    </rPh>
    <rPh sb="48" eb="50">
      <t>カダイ</t>
    </rPh>
    <rPh sb="51" eb="53">
      <t>カイケツ</t>
    </rPh>
    <rPh sb="55" eb="57">
      <t>ユウヨウ</t>
    </rPh>
    <rPh sb="64" eb="65">
      <t>ウ</t>
    </rPh>
    <rPh sb="70" eb="72">
      <t>ナイヨウ</t>
    </rPh>
    <phoneticPr fontId="1"/>
  </si>
  <si>
    <t>⑥ 「様々なデータ利活用の現場におけるデータ利活用事例が示され、様々な適用領域（流通、製造、金融、サービス、インフラ、公共、ヘルスケア等）の知見と組み合わせることで価値を創出するもの」の内容を含む授業科目</t>
    <rPh sb="3" eb="5">
      <t>サマザマ</t>
    </rPh>
    <rPh sb="9" eb="12">
      <t>リカツヨウ</t>
    </rPh>
    <rPh sb="13" eb="15">
      <t>ゲンバ</t>
    </rPh>
    <rPh sb="22" eb="25">
      <t>リカツヨウ</t>
    </rPh>
    <rPh sb="25" eb="27">
      <t>ジレイ</t>
    </rPh>
    <rPh sb="28" eb="29">
      <t>シメ</t>
    </rPh>
    <rPh sb="32" eb="34">
      <t>サマザマ</t>
    </rPh>
    <rPh sb="35" eb="37">
      <t>テキヨウ</t>
    </rPh>
    <rPh sb="37" eb="39">
      <t>リョウイキ</t>
    </rPh>
    <rPh sb="40" eb="42">
      <t>リュウツウ</t>
    </rPh>
    <rPh sb="43" eb="45">
      <t>セイゾウ</t>
    </rPh>
    <rPh sb="46" eb="48">
      <t>キンユウ</t>
    </rPh>
    <rPh sb="59" eb="61">
      <t>コウキョウ</t>
    </rPh>
    <rPh sb="67" eb="68">
      <t>ナド</t>
    </rPh>
    <rPh sb="70" eb="72">
      <t>チケン</t>
    </rPh>
    <rPh sb="73" eb="74">
      <t>ク</t>
    </rPh>
    <rPh sb="75" eb="76">
      <t>ア</t>
    </rPh>
    <rPh sb="82" eb="84">
      <t>カチ</t>
    </rPh>
    <rPh sb="85" eb="87">
      <t>ソウシュツ</t>
    </rPh>
    <phoneticPr fontId="1"/>
  </si>
  <si>
    <t>⑦ 「活用に当たっての様々な留意事項（ELSI、個人情報、データ倫理、ＡＩ社会原則等）を考慮し、情報セキュリティや情報漏洩等、データを守る上での留意事項への理解をする」の内容を含む授業科目</t>
    <rPh sb="3" eb="5">
      <t>カツヨウ</t>
    </rPh>
    <rPh sb="6" eb="7">
      <t>ア</t>
    </rPh>
    <rPh sb="11" eb="13">
      <t>サマザマ</t>
    </rPh>
    <rPh sb="14" eb="16">
      <t>リュウイ</t>
    </rPh>
    <rPh sb="16" eb="18">
      <t>ジコウ</t>
    </rPh>
    <rPh sb="24" eb="26">
      <t>コジン</t>
    </rPh>
    <rPh sb="26" eb="28">
      <t>ジョウホウ</t>
    </rPh>
    <rPh sb="32" eb="34">
      <t>リンリ</t>
    </rPh>
    <rPh sb="37" eb="39">
      <t>シャカイ</t>
    </rPh>
    <rPh sb="39" eb="41">
      <t>ゲンソク</t>
    </rPh>
    <rPh sb="41" eb="42">
      <t>ナド</t>
    </rPh>
    <rPh sb="44" eb="46">
      <t>コウリョ</t>
    </rPh>
    <rPh sb="48" eb="50">
      <t>ジョウホウ</t>
    </rPh>
    <rPh sb="57" eb="59">
      <t>ジョウホウ</t>
    </rPh>
    <rPh sb="59" eb="61">
      <t>ロウエイ</t>
    </rPh>
    <rPh sb="61" eb="62">
      <t>ナド</t>
    </rPh>
    <rPh sb="67" eb="68">
      <t>マモ</t>
    </rPh>
    <rPh sb="69" eb="70">
      <t>ウエ</t>
    </rPh>
    <rPh sb="72" eb="74">
      <t>リュウイ</t>
    </rPh>
    <rPh sb="74" eb="76">
      <t>ジコウ</t>
    </rPh>
    <rPh sb="78" eb="80">
      <t>リカイ</t>
    </rPh>
    <phoneticPr fontId="1"/>
  </si>
  <si>
    <t>⑧ 「実データ・実課題（学術データ等を含む）を用いた演習など、社会での実例を題材として、「データを読む、説明する、扱う」といった数理・データサイエンス・ＡＩの基本的な活用法に関するもの」の内容を含む授業科目</t>
    <phoneticPr fontId="1"/>
  </si>
  <si>
    <t>⑨ 選択「４．オプション」の内容を含む授業科目</t>
    <rPh sb="14" eb="16">
      <t>ナイヨウ</t>
    </rPh>
    <rPh sb="17" eb="18">
      <t>フク</t>
    </rPh>
    <rPh sb="19" eb="21">
      <t>ジュギョウ</t>
    </rPh>
    <rPh sb="21" eb="23">
      <t>カモク</t>
    </rPh>
    <phoneticPr fontId="1"/>
  </si>
  <si>
    <t>⑩ プログラムを構成する授業の内容</t>
    <phoneticPr fontId="1"/>
  </si>
  <si>
    <t>⑪ プログラムの学修成果（学生等が身に付けられる能力等）</t>
    <phoneticPr fontId="1"/>
  </si>
  <si>
    <t>履修必須の有無</t>
    <rPh sb="0" eb="2">
      <t>リシュウ</t>
    </rPh>
    <rPh sb="2" eb="4">
      <t>ヒッス</t>
    </rPh>
    <rPh sb="5" eb="7">
      <t>ウム</t>
    </rPh>
    <phoneticPr fontId="1"/>
  </si>
  <si>
    <r>
      <t xml:space="preserve">履修者数・履修率の向上に向けた計画 </t>
    </r>
    <r>
      <rPr>
        <sz val="6"/>
        <color theme="1"/>
        <rFont val="ＭＳ Ｐゴシック"/>
        <family val="3"/>
        <charset val="128"/>
        <scheme val="minor"/>
      </rPr>
      <t>※様式１の「履修必須の有無」で「計画がある」としている場合は詳細について記載すること</t>
    </r>
    <rPh sb="5" eb="7">
      <t>リシュウ</t>
    </rPh>
    <rPh sb="7" eb="8">
      <t>リツ</t>
    </rPh>
    <rPh sb="19" eb="21">
      <t>ヨウシキ</t>
    </rPh>
    <rPh sb="34" eb="36">
      <t>ケイカク</t>
    </rPh>
    <rPh sb="45" eb="47">
      <t>バアイ</t>
    </rPh>
    <rPh sb="48" eb="50">
      <t>ショウサイ</t>
    </rPh>
    <rPh sb="54" eb="56">
      <t>キサイ</t>
    </rPh>
    <phoneticPr fontId="1"/>
  </si>
  <si>
    <t>令和5年度</t>
    <rPh sb="0" eb="2">
      <t>レイワ</t>
    </rPh>
    <rPh sb="3" eb="5">
      <t>ネンド</t>
    </rPh>
    <phoneticPr fontId="1"/>
  </si>
  <si>
    <t>科目</t>
    <rPh sb="0" eb="2">
      <t>カモク</t>
    </rPh>
    <phoneticPr fontId="1"/>
  </si>
  <si>
    <t>単位</t>
    <rPh sb="0" eb="2">
      <t>タンイ</t>
    </rPh>
    <phoneticPr fontId="1"/>
  </si>
  <si>
    <t>令和５年度以前より、履修することが必須のプログラムとして実施</t>
    <rPh sb="0" eb="2">
      <t>レイワ</t>
    </rPh>
    <rPh sb="3" eb="5">
      <t>ネンド</t>
    </rPh>
    <rPh sb="5" eb="7">
      <t>イゼン</t>
    </rPh>
    <phoneticPr fontId="1"/>
  </si>
  <si>
    <t>令和８年度までに履修必須とする計画</t>
    <rPh sb="3" eb="4">
      <t>ネン</t>
    </rPh>
    <phoneticPr fontId="1"/>
  </si>
  <si>
    <t>令和９年度以降に履修必須とする計画、又は未定</t>
    <rPh sb="18" eb="19">
      <t>マタ</t>
    </rPh>
    <rPh sb="20" eb="22">
      <t>ミテイ</t>
    </rPh>
    <phoneticPr fontId="1"/>
  </si>
  <si>
    <t>②大学等全体の男女別学生数</t>
    <rPh sb="1" eb="3">
      <t>ダイガク</t>
    </rPh>
    <rPh sb="3" eb="4">
      <t>トウ</t>
    </rPh>
    <rPh sb="4" eb="6">
      <t>ゼンタイ</t>
    </rPh>
    <rPh sb="7" eb="10">
      <t>ダンジョベツ</t>
    </rPh>
    <rPh sb="10" eb="13">
      <t>ガクセイスウ</t>
    </rPh>
    <phoneticPr fontId="1"/>
  </si>
  <si>
    <t>男性</t>
    <rPh sb="0" eb="2">
      <t>ダンセイ</t>
    </rPh>
    <phoneticPr fontId="1"/>
  </si>
  <si>
    <t>人</t>
    <rPh sb="0" eb="1">
      <t>ヒト</t>
    </rPh>
    <phoneticPr fontId="1"/>
  </si>
  <si>
    <t>女性</t>
    <rPh sb="0" eb="2">
      <t>ジョセイ</t>
    </rPh>
    <phoneticPr fontId="1"/>
  </si>
  <si>
    <t>（</t>
    <phoneticPr fontId="1"/>
  </si>
  <si>
    <t>合計</t>
    <rPh sb="0" eb="2">
      <t>ゴウケイ</t>
    </rPh>
    <phoneticPr fontId="1"/>
  </si>
  <si>
    <t>）</t>
    <phoneticPr fontId="1"/>
  </si>
  <si>
    <t>【参考】</t>
    <rPh sb="1" eb="3">
      <t>サンコウ</t>
    </rPh>
    <phoneticPr fontId="1"/>
  </si>
  <si>
    <t>※本項目は各大学の実践例を参考に伺うものであり、認定要件とはなりません。</t>
    <rPh sb="1" eb="4">
      <t>ホンコウモク</t>
    </rPh>
    <rPh sb="5" eb="8">
      <t>カクダイガク</t>
    </rPh>
    <rPh sb="9" eb="12">
      <t>ジッセンレイ</t>
    </rPh>
    <rPh sb="13" eb="15">
      <t>サンコウ</t>
    </rPh>
    <rPh sb="16" eb="17">
      <t>ウカガ</t>
    </rPh>
    <rPh sb="24" eb="26">
      <t>ニンテイ</t>
    </rPh>
    <rPh sb="26" eb="28">
      <t>ヨウケン</t>
    </rPh>
    <phoneticPr fontId="1"/>
  </si>
  <si>
    <t>⑫ 生成AIに関連する授業内容　※該当がある場合に記載</t>
    <rPh sb="2" eb="4">
      <t>セイセイ</t>
    </rPh>
    <rPh sb="7" eb="9">
      <t>カンレン</t>
    </rPh>
    <rPh sb="11" eb="13">
      <t>ジュギョウ</t>
    </rPh>
    <rPh sb="13" eb="15">
      <t>ナイヨウ</t>
    </rPh>
    <rPh sb="17" eb="19">
      <t>ガイトウ</t>
    </rPh>
    <rPh sb="22" eb="24">
      <t>バアイ</t>
    </rPh>
    <rPh sb="25" eb="27">
      <t>キサイ</t>
    </rPh>
    <phoneticPr fontId="1"/>
  </si>
  <si>
    <t>令和５年度実績</t>
    <rPh sb="0" eb="2">
      <t>レイワ</t>
    </rPh>
    <rPh sb="3" eb="5">
      <t>ネンド</t>
    </rPh>
    <rPh sb="5" eb="7">
      <t>ジッセキ</t>
    </rPh>
    <phoneticPr fontId="1"/>
  </si>
  <si>
    <t>令和９年度予定</t>
    <rPh sb="0" eb="2">
      <t>レイワ</t>
    </rPh>
    <rPh sb="3" eb="5">
      <t>ネンド</t>
    </rPh>
    <rPh sb="5" eb="7">
      <t>ヨテイ</t>
    </rPh>
    <phoneticPr fontId="1"/>
  </si>
  <si>
    <r>
      <t>教育プログラムを構成する科目に、</t>
    </r>
    <r>
      <rPr>
        <b/>
        <sz val="11"/>
        <rFont val="ＭＳ Ｐゴシック"/>
        <family val="3"/>
        <charset val="128"/>
        <scheme val="minor"/>
      </rPr>
      <t>「数理・データサイエンス・ＡＩ（リテラシーレベル）モデルカリキュラム改訂版」</t>
    </r>
    <r>
      <rPr>
        <sz val="11"/>
        <rFont val="ＭＳ Ｐゴシック"/>
        <family val="3"/>
        <charset val="128"/>
        <scheme val="minor"/>
      </rPr>
      <t>（2024年2月　数理・データサイエンス教育強化拠点コンソーシアム）において追加された生成AIに関連するスキルセットの内容を含む授業（授業内で活用事例などを取り上げる、実際に使用してみるなど）がある場合に、どの科目でどのような授業をどのように実施しているかを記載してください。</t>
    </r>
    <rPh sb="50" eb="53">
      <t>カイテイバン</t>
    </rPh>
    <rPh sb="92" eb="94">
      <t>ツイカ</t>
    </rPh>
    <rPh sb="97" eb="99">
      <t>セイセイ</t>
    </rPh>
    <rPh sb="102" eb="104">
      <t>カンレン</t>
    </rPh>
    <rPh sb="113" eb="115">
      <t>ナイヨウ</t>
    </rPh>
    <rPh sb="116" eb="117">
      <t>フク</t>
    </rPh>
    <rPh sb="121" eb="123">
      <t>ジュギョウ</t>
    </rPh>
    <rPh sb="123" eb="124">
      <t>ナイ</t>
    </rPh>
    <rPh sb="125" eb="127">
      <t>カツヨウ</t>
    </rPh>
    <rPh sb="127" eb="129">
      <t>ジレイ</t>
    </rPh>
    <rPh sb="132" eb="133">
      <t>ト</t>
    </rPh>
    <rPh sb="134" eb="135">
      <t>ア</t>
    </rPh>
    <rPh sb="138" eb="140">
      <t>ジッサイ</t>
    </rPh>
    <rPh sb="141" eb="143">
      <t>シヨウ</t>
    </rPh>
    <rPh sb="153" eb="155">
      <t>バアイ</t>
    </rPh>
    <rPh sb="159" eb="161">
      <t>カモク</t>
    </rPh>
    <rPh sb="167" eb="169">
      <t>ジュギョウ</t>
    </rPh>
    <rPh sb="175" eb="177">
      <t>ジッシ</t>
    </rPh>
    <rPh sb="183" eb="185">
      <t>キサイ</t>
    </rPh>
    <phoneticPr fontId="1"/>
  </si>
  <si>
    <t>① 教育プログラムの修了要件</t>
    <rPh sb="2" eb="4">
      <t>キョウイク</t>
    </rPh>
    <rPh sb="10" eb="14">
      <t>シュウリョウヨウケン</t>
    </rPh>
    <phoneticPr fontId="1"/>
  </si>
  <si>
    <t>② 対象となる学部・学科名称</t>
    <phoneticPr fontId="1"/>
  </si>
  <si>
    <t>必要最低科目数・単位数</t>
    <rPh sb="4" eb="7">
      <t>カモクスウ</t>
    </rPh>
    <phoneticPr fontId="1"/>
  </si>
  <si>
    <t>③履修者・修了者の実績</t>
    <rPh sb="1" eb="3">
      <t>リシュウ</t>
    </rPh>
    <rPh sb="3" eb="4">
      <t>シャ</t>
    </rPh>
    <rPh sb="5" eb="8">
      <t>シュウリョウシャ</t>
    </rPh>
    <rPh sb="9" eb="11">
      <t>ジッセキ</t>
    </rPh>
    <phoneticPr fontId="1"/>
  </si>
  <si>
    <t>内容・水準を維持・向上しつつ、より「分かりやすい」授業とすること
※社会の変化や生成AI等の技術の発展を踏まえて教育内容を継続的に見直すなど、より教育効果の高まる授業内容・方法とするための取組や仕組みについても該当があれば記載</t>
    <rPh sb="0" eb="2">
      <t>ナイヨウ</t>
    </rPh>
    <rPh sb="3" eb="5">
      <t>スイジュン</t>
    </rPh>
    <rPh sb="6" eb="8">
      <t>イジ</t>
    </rPh>
    <rPh sb="9" eb="11">
      <t>コウジョウ</t>
    </rPh>
    <rPh sb="18" eb="19">
      <t>ワ</t>
    </rPh>
    <rPh sb="25" eb="27">
      <t>ジュギョウ</t>
    </rPh>
    <rPh sb="50" eb="52">
      <t>ハッテン</t>
    </rPh>
    <rPh sb="74" eb="76">
      <t>キョウイク</t>
    </rPh>
    <rPh sb="76" eb="78">
      <t>コウカ</t>
    </rPh>
    <rPh sb="79" eb="80">
      <t>タカ</t>
    </rPh>
    <rPh sb="82" eb="84">
      <t>ジュギョウ</t>
    </rPh>
    <rPh sb="84" eb="86">
      <t>ナイヨウ</t>
    </rPh>
    <rPh sb="87" eb="89">
      <t>ホウホウ</t>
    </rPh>
    <rPh sb="95" eb="97">
      <t>トリクミ</t>
    </rPh>
    <rPh sb="98" eb="100">
      <t>シク</t>
    </rPh>
    <rPh sb="106" eb="108">
      <t>ガイトウ</t>
    </rPh>
    <rPh sb="112" eb="114">
      <t>キサイ</t>
    </rPh>
    <phoneticPr fontId="1"/>
  </si>
  <si>
    <t>熊本保健科学大学</t>
    <rPh sb="0" eb="8">
      <t>クマモトホケンカガクダイガク</t>
    </rPh>
    <phoneticPr fontId="1"/>
  </si>
  <si>
    <t>熊保大 保健医療データサイエンティスト育成プログラム</t>
    <rPh sb="0" eb="1">
      <t>クマ</t>
    </rPh>
    <rPh sb="1" eb="2">
      <t>タモツ</t>
    </rPh>
    <rPh sb="2" eb="3">
      <t>ダイ</t>
    </rPh>
    <rPh sb="4" eb="6">
      <t>ホケン</t>
    </rPh>
    <rPh sb="6" eb="8">
      <t>イリョウ</t>
    </rPh>
    <rPh sb="19" eb="21">
      <t>イクセイ</t>
    </rPh>
    <phoneticPr fontId="1"/>
  </si>
  <si>
    <t>学部・学科によって、修了要件は相違しない</t>
  </si>
  <si>
    <t>○</t>
  </si>
  <si>
    <t>統計学入門</t>
    <rPh sb="0" eb="3">
      <t>トウケイガク</t>
    </rPh>
    <rPh sb="3" eb="5">
      <t>ニュウモン</t>
    </rPh>
    <phoneticPr fontId="1"/>
  </si>
  <si>
    <t>4-1統計および数理基礎</t>
  </si>
  <si>
    <t>竹屋　元裕</t>
    <rPh sb="0" eb="2">
      <t>タケヤ</t>
    </rPh>
    <rPh sb="3" eb="4">
      <t>モト</t>
    </rPh>
    <rPh sb="4" eb="5">
      <t>ヒロシ</t>
    </rPh>
    <phoneticPr fontId="1"/>
  </si>
  <si>
    <t>学長</t>
    <rPh sb="0" eb="2">
      <t>ガクチョウ</t>
    </rPh>
    <phoneticPr fontId="1"/>
  </si>
  <si>
    <t>数理・データサイエンス・AI教育専門部会</t>
    <rPh sb="0" eb="2">
      <t>スウリ</t>
    </rPh>
    <rPh sb="14" eb="16">
      <t>キョウイク</t>
    </rPh>
    <rPh sb="16" eb="20">
      <t>センモンブカイ</t>
    </rPh>
    <phoneticPr fontId="1"/>
  </si>
  <si>
    <t>竹永　和典</t>
    <rPh sb="0" eb="2">
      <t>タケナガ</t>
    </rPh>
    <rPh sb="3" eb="4">
      <t>ワ</t>
    </rPh>
    <phoneticPr fontId="1"/>
  </si>
  <si>
    <t>部会長・教授</t>
    <rPh sb="0" eb="3">
      <t>ブカイチョウ</t>
    </rPh>
    <rPh sb="4" eb="6">
      <t>キョウジュ</t>
    </rPh>
    <phoneticPr fontId="1"/>
  </si>
  <si>
    <t>熊本保健科学大学　数理・データサイエンス・AI教育に関する規程</t>
    <rPh sb="0" eb="8">
      <t>クマモトホケンカガクダイガク</t>
    </rPh>
    <rPh sb="9" eb="11">
      <t>スウリ</t>
    </rPh>
    <rPh sb="23" eb="25">
      <t>キョウイク</t>
    </rPh>
    <rPh sb="26" eb="27">
      <t>カン</t>
    </rPh>
    <rPh sb="29" eb="31">
      <t>キテイ</t>
    </rPh>
    <phoneticPr fontId="1"/>
  </si>
  <si>
    <t>本部会は、本学における数理・データサイエンス・AI教育により、数理・データサイエンス・AIを適切に理解し、活用するための力を育み、保健衛生並びに医療に寄与する人材を育成するためのプログラムを運営することを目的とする。この目的を達成するために、プログラムの計画策定と実施、自己点検・評価及び改善、プログラムの広報や研修、情報公開等に関する役割を担う。</t>
    <rPh sb="0" eb="3">
      <t>ホンブカイ</t>
    </rPh>
    <rPh sb="5" eb="7">
      <t>ホンガク</t>
    </rPh>
    <rPh sb="11" eb="13">
      <t>スウリ</t>
    </rPh>
    <rPh sb="25" eb="27">
      <t>キョウイク</t>
    </rPh>
    <rPh sb="31" eb="33">
      <t>スウリ</t>
    </rPh>
    <rPh sb="46" eb="48">
      <t>テキセツ</t>
    </rPh>
    <rPh sb="49" eb="51">
      <t>リカイ</t>
    </rPh>
    <rPh sb="53" eb="55">
      <t>カツヨウ</t>
    </rPh>
    <rPh sb="60" eb="61">
      <t>チカラ</t>
    </rPh>
    <rPh sb="62" eb="63">
      <t>ハグク</t>
    </rPh>
    <rPh sb="65" eb="69">
      <t>ホケンエイセイ</t>
    </rPh>
    <rPh sb="69" eb="70">
      <t>ナラ</t>
    </rPh>
    <rPh sb="72" eb="74">
      <t>イリョウ</t>
    </rPh>
    <rPh sb="75" eb="77">
      <t>キヨ</t>
    </rPh>
    <rPh sb="79" eb="81">
      <t>ジンザイ</t>
    </rPh>
    <rPh sb="82" eb="84">
      <t>イクセイ</t>
    </rPh>
    <rPh sb="95" eb="97">
      <t>ウンエイ</t>
    </rPh>
    <rPh sb="102" eb="104">
      <t>モクテキ</t>
    </rPh>
    <rPh sb="110" eb="112">
      <t>モクテキ</t>
    </rPh>
    <rPh sb="113" eb="115">
      <t>タッセイ</t>
    </rPh>
    <rPh sb="127" eb="131">
      <t>ケイカクサクテイ</t>
    </rPh>
    <rPh sb="132" eb="134">
      <t>ジッシ</t>
    </rPh>
    <rPh sb="135" eb="139">
      <t>ジコテンケン</t>
    </rPh>
    <rPh sb="140" eb="142">
      <t>ヒョウカ</t>
    </rPh>
    <rPh sb="142" eb="143">
      <t>オヨ</t>
    </rPh>
    <rPh sb="144" eb="146">
      <t>カイゼン</t>
    </rPh>
    <rPh sb="153" eb="155">
      <t>コウホウ</t>
    </rPh>
    <rPh sb="156" eb="158">
      <t>ケンシュウ</t>
    </rPh>
    <rPh sb="159" eb="163">
      <t>ジョウホウコウカイ</t>
    </rPh>
    <rPh sb="163" eb="164">
      <t>トウ</t>
    </rPh>
    <rPh sb="165" eb="166">
      <t>カン</t>
    </rPh>
    <rPh sb="168" eb="170">
      <t>ヤクワリ</t>
    </rPh>
    <rPh sb="171" eb="172">
      <t>ニナ</t>
    </rPh>
    <phoneticPr fontId="1"/>
  </si>
  <si>
    <t>リテラシーレベルの授業科目はいずれも学科（あるいは専攻）別に開講することで、どの学科・専攻の学生も他の授業科目と競合することなく履修ができるようにしている。</t>
    <rPh sb="9" eb="13">
      <t>ジュギョウカモク</t>
    </rPh>
    <rPh sb="18" eb="20">
      <t>ガッカ</t>
    </rPh>
    <rPh sb="25" eb="27">
      <t>センコウ</t>
    </rPh>
    <rPh sb="28" eb="29">
      <t>ベツ</t>
    </rPh>
    <rPh sb="30" eb="32">
      <t>カイコウ</t>
    </rPh>
    <rPh sb="40" eb="42">
      <t>ガッカ</t>
    </rPh>
    <rPh sb="43" eb="45">
      <t>センコウ</t>
    </rPh>
    <rPh sb="46" eb="48">
      <t>ガクセイ</t>
    </rPh>
    <rPh sb="49" eb="50">
      <t>タ</t>
    </rPh>
    <rPh sb="51" eb="55">
      <t>ジュギョウカモク</t>
    </rPh>
    <rPh sb="56" eb="58">
      <t>キョウゴウ</t>
    </rPh>
    <rPh sb="64" eb="66">
      <t>リシュウ</t>
    </rPh>
    <phoneticPr fontId="1"/>
  </si>
  <si>
    <t>〇情報科学（令和6(2024)年度より「データサイエンス入門」に改称）
保健科学部全学科に開講される「情報科学」に関して、履修が成立した全学生が単位を修得した。また、「AA」（一般目標を十分に達成し、きわめて優秀な成果をおさめている）もしくは「A」（一般目標を十分に達成している）の評価が73%と受講生の大半が一般目標を十分に達成していた。
〇統計学入門
保健科学部全学科に開講される「統計学入門」に関して、履修が成立した学生のうち1名を除き単位を修得した。また、「AA」（一般目標を十分に達成し、きわめて優秀な成果をおさめている）もしくは「A」（一般目標を十分に達成している）の評価が79%と受講生の大半が一般目標を十分に達成していた。</t>
    <phoneticPr fontId="1"/>
  </si>
  <si>
    <t>FD委員会が実施する「授業改善アンケート」中の「授業内容に関心を持った」「授業内容は理解できた」の2つの設問を通して、学生の内容の理解度を検討した。（「そう思う」「ややそう思う」「どちらともいえない」「あまり思わない」「思わない」の5段階評価）
〇情報科学（令和6(2024)年度より「データサイエンス入門」に改称）
「授業内容に関心を持った」という設問では、「あまり思わない」「思わない」という回答はなく、「そう思う」「ややそう思う」という回答が全体の96.6%に及んでいた。また、「授業内容は理解できた」という設問では、「あまり思わない」「思わない」という回答はなく、「そう思う」「ややそう思う」という回答が全体の97.3%に及んでいた。いずれも良好な結果であるといえる。
〇統計学入門
「授業内容に関心を持った」という設問については、「そう思う」「ややそう思う」という回答が全体の89.1%であった。一方で、「授業内容は理解できた」という設問については、「そう思う」「ややそう思う」という回答が全体の66.1%と「情報科学」に比べ明らかに低かった。
1年次後期時点での学修内容を精査し、より医療系に関連し、学生が理解できるテーマ、内容を扱うようにする予定である。また、コンピュータを用いた実践的な演習の時間を増やすことで、データサイエンスをより身近に感じ、授業内容への興味・関心を高めることに繋げていくことが重要である。</t>
    <rPh sb="342" eb="345">
      <t>トウケイガク</t>
    </rPh>
    <rPh sb="345" eb="347">
      <t>ニュウモン</t>
    </rPh>
    <rPh sb="405" eb="407">
      <t>イッポウ</t>
    </rPh>
    <rPh sb="435" eb="436">
      <t>オモ</t>
    </rPh>
    <rPh sb="462" eb="466">
      <t>ジョウホウカガク</t>
    </rPh>
    <rPh sb="468" eb="469">
      <t>クラ</t>
    </rPh>
    <rPh sb="470" eb="471">
      <t>アキ</t>
    </rPh>
    <rPh sb="474" eb="475">
      <t>ヒク</t>
    </rPh>
    <phoneticPr fontId="1"/>
  </si>
  <si>
    <t>プログラム修了者が卒業年次に到達していないため未実施。</t>
    <phoneticPr fontId="1"/>
  </si>
  <si>
    <t>〇外部評価委員（リハビリテーション専門職）からの意見
自身が関連する範囲についてではあるが、本学の卒業生は検査結果を解釈する際に必要となる統計学的概念（標準偏差の適切な理解など）をよく理解している印象を持っている。こういったデータサイエンスの基盤となる内容に加え、データを扱う際に必要となるＥｘｃｅｌの操作に習熟していると日々の業務の効率化にも繋がる。引き続きプログラムの充実をお願いしたい。</t>
    <phoneticPr fontId="1"/>
  </si>
  <si>
    <t>「情報科学（令和6（2023）年度より「データサイエンス入門」に改称）」に関しては、学生アンケート結果からも、概ね「学ぶ楽しさ」や「学ぶことの意義」の理解に繋がっていると思われる。「統計学入門」では、1年次後期の時点での学修内容を精査し、より医療系に関連し、学生が理解できるテーマ、内容を扱うようにする予定である。また、コンピュータを用いた実践的な演習の時間を増やすことで、データサイエンスをより身近に感じ、授業内容への興味・関心を高めることに繋げていくことが重要である。</t>
    <phoneticPr fontId="1"/>
  </si>
  <si>
    <t>「情報科学（令和6（2023）年度より「データサイエンス入門」に改称）」に関しては、学生アンケート結果からも、概ね「分かりやすい」と感じていると思われる。「統計学入門」に関しては、コンピュータを用いたデータ処理を含め、練習問題のやや詳しい解説を授業中に行う（または、LMSに載せる）と同時に、関連したテーマの問題を提示することで、例題から実践的演習までの流れについてより段階的に行い、学生の学修状況を十分に確認しながら進めることで、より「わかりやすい」と感じられるようにしたい。</t>
    <phoneticPr fontId="1"/>
  </si>
  <si>
    <t>情報科学</t>
    <rPh sb="0" eb="4">
      <t>ジョウホウカガク</t>
    </rPh>
    <phoneticPr fontId="1"/>
  </si>
  <si>
    <t>「情報科学」の中でChatGTPなどの生成AIについて紹介するとともに、活用の可能性とリスクについて説明を行った。</t>
    <rPh sb="1" eb="5">
      <t>ジョウホウカガク</t>
    </rPh>
    <rPh sb="7" eb="8">
      <t>ナカ</t>
    </rPh>
    <rPh sb="19" eb="21">
      <t>セイセイ</t>
    </rPh>
    <rPh sb="27" eb="29">
      <t>ショウカイ</t>
    </rPh>
    <rPh sb="36" eb="38">
      <t>カツヨウ</t>
    </rPh>
    <rPh sb="39" eb="42">
      <t>カノウセイ</t>
    </rPh>
    <rPh sb="50" eb="52">
      <t>セツメイ</t>
    </rPh>
    <rPh sb="53" eb="54">
      <t>オコナ</t>
    </rPh>
    <phoneticPr fontId="1"/>
  </si>
  <si>
    <t>「熊本保健科学大学　数理・データサイエンス・AI教育に関する規程」第４条第３項に定める。
〇プログラムを構成する授業科目を担当するすべての専任教員
　竹永　和典　部会長／共通教育センター　教授
　水本　豪　共通教育センター　教授
　向井　良人　共通教育センター　准教授
　山鹿　敏臣　共通教育センター　講師
〇その他部会長が必要と認めた者（プログラムの自己点検・評価の際に参加）
　東谷　孝一　共通教育センター長／教授
　外部評価委員（本学卒業生、リハビリテーション専門職）</t>
    <rPh sb="1" eb="9">
      <t>クマモトホケンカガクダイガク</t>
    </rPh>
    <rPh sb="10" eb="12">
      <t>スウリ</t>
    </rPh>
    <rPh sb="24" eb="26">
      <t>キョウイク</t>
    </rPh>
    <rPh sb="27" eb="28">
      <t>カン</t>
    </rPh>
    <rPh sb="30" eb="32">
      <t>キテイ</t>
    </rPh>
    <rPh sb="33" eb="34">
      <t>ダイ</t>
    </rPh>
    <rPh sb="35" eb="36">
      <t>ジョウ</t>
    </rPh>
    <rPh sb="36" eb="37">
      <t>ダイ</t>
    </rPh>
    <rPh sb="38" eb="39">
      <t>コウ</t>
    </rPh>
    <rPh sb="40" eb="41">
      <t>サダ</t>
    </rPh>
    <rPh sb="53" eb="55">
      <t>コウセイ</t>
    </rPh>
    <rPh sb="57" eb="61">
      <t>ジュギョウカモク</t>
    </rPh>
    <rPh sb="62" eb="64">
      <t>タントウ</t>
    </rPh>
    <rPh sb="70" eb="74">
      <t>センニンキョウイン</t>
    </rPh>
    <rPh sb="76" eb="78">
      <t>タケナガ</t>
    </rPh>
    <rPh sb="79" eb="80">
      <t>ワ</t>
    </rPh>
    <rPh sb="178" eb="182">
      <t>ジコテンケン</t>
    </rPh>
    <rPh sb="183" eb="185">
      <t>ヒョウカ</t>
    </rPh>
    <rPh sb="186" eb="187">
      <t>サイ</t>
    </rPh>
    <rPh sb="188" eb="190">
      <t>サンカ</t>
    </rPh>
    <rPh sb="220" eb="225">
      <t>ホンガクソツギョウセイ</t>
    </rPh>
    <rPh sb="235" eb="238">
      <t>センモンショク</t>
    </rPh>
    <phoneticPr fontId="1"/>
  </si>
  <si>
    <t>プログラムを構成する以下の科目の単位をすべて修得すること。
　・「情報科学」 （1年次・前期）　2単位　※令和6(2024)年度からは「データサイエンス入門」に改称
　・「統計学入門」 （1年次・後期）　2単位</t>
    <rPh sb="33" eb="37">
      <t>ジョウホウカガク</t>
    </rPh>
    <rPh sb="53" eb="55">
      <t>レイワ</t>
    </rPh>
    <rPh sb="62" eb="64">
      <t>ネンド</t>
    </rPh>
    <rPh sb="76" eb="78">
      <t>ニュウモン</t>
    </rPh>
    <rPh sb="80" eb="82">
      <t>カイショウ</t>
    </rPh>
    <phoneticPr fontId="1"/>
  </si>
  <si>
    <t>学生募集の際にチラシを配付するようにし、入学前の段階からプログラムを知ってもらう機会を設けている。また、令和6(2024)年度より、入学時のオリエンテーションや「データサイエンス入門」（令和5(2023)年度以前は「情報科学」）の初回講義等で周知し、できるだけ多くの学生にこのプログラムに興味を持ってもらえるよう周知の取組を強化した。</t>
    <rPh sb="52" eb="54">
      <t>レイワ</t>
    </rPh>
    <rPh sb="61" eb="63">
      <t>ネンド</t>
    </rPh>
    <rPh sb="66" eb="69">
      <t>ニュウガクジ</t>
    </rPh>
    <rPh sb="89" eb="91">
      <t>ニュウモン</t>
    </rPh>
    <rPh sb="93" eb="95">
      <t>レイワ</t>
    </rPh>
    <rPh sb="102" eb="104">
      <t>ネンド</t>
    </rPh>
    <rPh sb="104" eb="106">
      <t>イゼン</t>
    </rPh>
    <rPh sb="108" eb="112">
      <t>ジョウホウカガク</t>
    </rPh>
    <rPh sb="115" eb="117">
      <t>ショカイ</t>
    </rPh>
    <rPh sb="117" eb="119">
      <t>コウギ</t>
    </rPh>
    <rPh sb="119" eb="120">
      <t>トウ</t>
    </rPh>
    <rPh sb="121" eb="123">
      <t>シュウチ</t>
    </rPh>
    <rPh sb="130" eb="131">
      <t>オオ</t>
    </rPh>
    <rPh sb="133" eb="135">
      <t>ガクセイ</t>
    </rPh>
    <rPh sb="144" eb="146">
      <t>キョウミ</t>
    </rPh>
    <rPh sb="147" eb="148">
      <t>モ</t>
    </rPh>
    <rPh sb="156" eb="158">
      <t>シュウチ</t>
    </rPh>
    <rPh sb="159" eb="161">
      <t>トリクミ</t>
    </rPh>
    <rPh sb="162" eb="164">
      <t>キョウカ</t>
    </rPh>
    <phoneticPr fontId="1"/>
  </si>
  <si>
    <t>修了証が発行される令和6(2024)年度入学生以降、プログラム修了生に対するアンケート調査を実施予定である。</t>
    <rPh sb="0" eb="3">
      <t>シュウリョウショウ</t>
    </rPh>
    <rPh sb="23" eb="25">
      <t>イコウ</t>
    </rPh>
    <rPh sb="43" eb="45">
      <t>チョウサ</t>
    </rPh>
    <phoneticPr fontId="1"/>
  </si>
  <si>
    <t>１．データ駆動型社会において広い視野から適切に情報を理解し、収集・活用することができる。
２．データ駆動型社会におけるリスクを理解し、データの利活用に求められるモラルや倫理について説明することができる。
３．生涯にわたってコンピュータやデータサイエンス・AIを用いた課題探究や問題解決を志向することができる。
４．統計学の基礎を理解し、データの特徴や意味合い、起きている事象の背景を説明することができる。</t>
    <rPh sb="90" eb="92">
      <t>セツメイ</t>
    </rPh>
    <phoneticPr fontId="1"/>
  </si>
  <si>
    <t>リテラシーレベルの授業科目は1年次に開講されるため、年次進行とともに履修者数が増加していくことが見込まれる。ただし、特に「統計学入門」に関しては一部の学科・専攻において履修率が低い傾向が見られたため、令和6(2024)年度よりオリエンテーション等の場を活用した学内広報に力を入れる。また、令和6(2024)年度入学生より、プログラム修了者に対し修了証を発行する予定である。なお、令和6(2024)年度以降、授業科目の必修化や必修科目への内容の統合等について検討を行う予定である。</t>
    <rPh sb="9" eb="13">
      <t>ジュギョウカモク</t>
    </rPh>
    <rPh sb="15" eb="17">
      <t>ネンジ</t>
    </rPh>
    <rPh sb="18" eb="20">
      <t>カイコウ</t>
    </rPh>
    <rPh sb="26" eb="28">
      <t>ネンジ</t>
    </rPh>
    <rPh sb="28" eb="30">
      <t>シンコウ</t>
    </rPh>
    <rPh sb="34" eb="38">
      <t>リシュウシャスウ</t>
    </rPh>
    <rPh sb="39" eb="41">
      <t>ゾウカ</t>
    </rPh>
    <rPh sb="48" eb="50">
      <t>ミコ</t>
    </rPh>
    <rPh sb="58" eb="59">
      <t>トク</t>
    </rPh>
    <rPh sb="61" eb="64">
      <t>トウケイガク</t>
    </rPh>
    <rPh sb="64" eb="66">
      <t>ニュウモン</t>
    </rPh>
    <rPh sb="68" eb="69">
      <t>カン</t>
    </rPh>
    <rPh sb="72" eb="74">
      <t>イチブ</t>
    </rPh>
    <rPh sb="75" eb="77">
      <t>ガッカ</t>
    </rPh>
    <rPh sb="78" eb="80">
      <t>センコウ</t>
    </rPh>
    <rPh sb="84" eb="87">
      <t>リシュウリツ</t>
    </rPh>
    <rPh sb="88" eb="89">
      <t>ヒク</t>
    </rPh>
    <rPh sb="90" eb="92">
      <t>ケイコウ</t>
    </rPh>
    <rPh sb="93" eb="94">
      <t>ミ</t>
    </rPh>
    <rPh sb="100" eb="102">
      <t>レイワ</t>
    </rPh>
    <rPh sb="109" eb="111">
      <t>ネンド</t>
    </rPh>
    <rPh sb="122" eb="123">
      <t>トウ</t>
    </rPh>
    <rPh sb="124" eb="125">
      <t>バ</t>
    </rPh>
    <rPh sb="126" eb="128">
      <t>カツヨウ</t>
    </rPh>
    <rPh sb="130" eb="132">
      <t>ガクナイ</t>
    </rPh>
    <rPh sb="132" eb="134">
      <t>コウホウ</t>
    </rPh>
    <rPh sb="135" eb="136">
      <t>チカラ</t>
    </rPh>
    <rPh sb="137" eb="138">
      <t>イ</t>
    </rPh>
    <rPh sb="144" eb="146">
      <t>レイワ</t>
    </rPh>
    <rPh sb="153" eb="155">
      <t>ネンド</t>
    </rPh>
    <rPh sb="155" eb="158">
      <t>ニュウガクセイ</t>
    </rPh>
    <rPh sb="166" eb="169">
      <t>シュウリョウシャ</t>
    </rPh>
    <rPh sb="170" eb="171">
      <t>タイ</t>
    </rPh>
    <rPh sb="172" eb="175">
      <t>シュウリョウショウ</t>
    </rPh>
    <rPh sb="176" eb="178">
      <t>ハッコウ</t>
    </rPh>
    <rPh sb="180" eb="182">
      <t>ヨテイ</t>
    </rPh>
    <phoneticPr fontId="1"/>
  </si>
  <si>
    <t>1年次に開講される基盤となる授業科目を学科（あるいは専攻）別に開講することで、どの学科・専攻の学生も他の授業科目と競合することなく履修ができるようにしている。一方、後述する学修相談室「スタサ」の利用やLMSの活用により、わからないことをそのままにしないためのサポート体制を設けている。</t>
    <phoneticPr fontId="1"/>
  </si>
  <si>
    <t>学修相談室「スタサ」（スタディ・サポート・カフェ）を活用した学習指導を行う。
「スタサ」には、毎週指定の曜日・日時にどんな内容についても相談を受け付ける「定期開室型」と、特定の内容について相談・サポートを行う「特化型」の２種類あり、「定期開室型」と「コンピュータサポート」に特化したものの両方で数理・データサイエンス・AIに関する質問を受け付けたり、学習指導を行ったりする。なお、いずれの担当者も「データサイエンス入門」及び「統計学入門」の担当者であることから講義内容について質問しやすい状況になっている。</t>
    <rPh sb="0" eb="5">
      <t>ガクシュウソウダンシツ</t>
    </rPh>
    <rPh sb="26" eb="28">
      <t>カツヨウ</t>
    </rPh>
    <rPh sb="30" eb="34">
      <t>ガクシュウシドウ</t>
    </rPh>
    <rPh sb="35" eb="36">
      <t>オコナ</t>
    </rPh>
    <rPh sb="47" eb="49">
      <t>マイシュウ</t>
    </rPh>
    <rPh sb="49" eb="51">
      <t>シテイ</t>
    </rPh>
    <rPh sb="52" eb="54">
      <t>ヨウビ</t>
    </rPh>
    <rPh sb="55" eb="57">
      <t>ニチジ</t>
    </rPh>
    <rPh sb="61" eb="63">
      <t>ナイヨウ</t>
    </rPh>
    <rPh sb="68" eb="70">
      <t>ソウダン</t>
    </rPh>
    <rPh sb="71" eb="72">
      <t>ウ</t>
    </rPh>
    <rPh sb="73" eb="74">
      <t>ツ</t>
    </rPh>
    <rPh sb="77" eb="81">
      <t>テイキカイシツ</t>
    </rPh>
    <rPh sb="81" eb="82">
      <t>ガタ</t>
    </rPh>
    <rPh sb="85" eb="87">
      <t>トクテイ</t>
    </rPh>
    <rPh sb="88" eb="90">
      <t>ナイヨウ</t>
    </rPh>
    <rPh sb="94" eb="96">
      <t>ソウダン</t>
    </rPh>
    <rPh sb="102" eb="103">
      <t>オコナ</t>
    </rPh>
    <rPh sb="105" eb="108">
      <t>トッカガタ</t>
    </rPh>
    <rPh sb="111" eb="113">
      <t>シュルイ</t>
    </rPh>
    <rPh sb="117" eb="122">
      <t>テイキカイシツガタ</t>
    </rPh>
    <rPh sb="137" eb="139">
      <t>トッカ</t>
    </rPh>
    <rPh sb="144" eb="146">
      <t>リョウホウ</t>
    </rPh>
    <rPh sb="147" eb="149">
      <t>スウリ</t>
    </rPh>
    <rPh sb="162" eb="163">
      <t>カン</t>
    </rPh>
    <rPh sb="165" eb="167">
      <t>シツモン</t>
    </rPh>
    <rPh sb="168" eb="169">
      <t>ウ</t>
    </rPh>
    <rPh sb="170" eb="171">
      <t>ツ</t>
    </rPh>
    <rPh sb="175" eb="179">
      <t>ガクシュウシドウ</t>
    </rPh>
    <rPh sb="180" eb="181">
      <t>オコナ</t>
    </rPh>
    <rPh sb="194" eb="197">
      <t>タントウシャ</t>
    </rPh>
    <rPh sb="207" eb="209">
      <t>ニュウモン</t>
    </rPh>
    <rPh sb="210" eb="211">
      <t>オヨ</t>
    </rPh>
    <rPh sb="213" eb="216">
      <t>トウケイガク</t>
    </rPh>
    <rPh sb="216" eb="218">
      <t>ニュウモン</t>
    </rPh>
    <rPh sb="220" eb="223">
      <t>タントウシャ</t>
    </rPh>
    <rPh sb="230" eb="234">
      <t>コウギナイヨウ</t>
    </rPh>
    <rPh sb="238" eb="240">
      <t>シツモン</t>
    </rPh>
    <rPh sb="244" eb="246">
      <t>ジョウキョウ</t>
    </rPh>
    <phoneticPr fontId="1"/>
  </si>
  <si>
    <t>「情報科学」（令和6（2023）年度より「データサイエンス入門」に改称）は教育課程上の必修科目であるため、保健科学部学生全員が履修している。「統計学入門」に関してはリハビリテーション学科理学療法学専攻及び生活機能療法学専攻の受講者が少ない傾向にある。この点については、新入生オリエンテーションやガイダンス、「データサイエンス入門」の講義等による周知を行うことである程度の向上が見込まれると考えている。また、令和6(2024)年度入学生より、プログラム修了者に対し修了証を発行することとしている。なお、リテラシーレベルに関しては全入学者の履修を念頭に、令和6(2024)年度以降、授業科目の必修化や必修科目への内容の統合等について検討を行う予定である。これらを通じて全学的な履修者数・履修率の向上を図る。</t>
    <rPh sb="37" eb="42">
      <t>キョウイクカテイジョウ</t>
    </rPh>
    <rPh sb="329" eb="330">
      <t>ツウ</t>
    </rPh>
    <rPh sb="332" eb="335">
      <t>ゼンガクテキ</t>
    </rPh>
    <rPh sb="336" eb="340">
      <t>リシュウシャスウ</t>
    </rPh>
    <rPh sb="341" eb="344">
      <t>リシュウリツ</t>
    </rPh>
    <rPh sb="345" eb="347">
      <t>コウジョウ</t>
    </rPh>
    <rPh sb="348" eb="349">
      <t>ハカ</t>
    </rPh>
    <phoneticPr fontId="1"/>
  </si>
  <si>
    <t>「情報科学」（令和6（2024）年度より「データサイエンス入門」と改称）に関しては保健科学部全学科における教育課程上の必修科目であるため、全員が履修し、単位を修得している。一方、「統計学入門」に関しては、国家試験受験資格のために必要となる保健科学部リハビリテーション学科言語聴覚学専攻を除き、リハビリテーション学科の受講者が少ない状況にある。この点に関しては、令和6（2024）年度より、新入生オリエンテーションや「データサイエンス入門」等の場を活用し、プログラムに対する十分な周知を図り、履修者数の増加を図りたい。令和6(2024)年度入学生からはプログラム修了者に対し修了証を発行することとしており、この点からも履修者数の増加が期待される。</t>
    <rPh sb="250" eb="252">
      <t>ゾウカ</t>
    </rPh>
    <rPh sb="258" eb="260">
      <t>レイワ</t>
    </rPh>
    <rPh sb="267" eb="269">
      <t>ネンド</t>
    </rPh>
    <rPh sb="269" eb="272">
      <t>ニュウガクセイ</t>
    </rPh>
    <rPh sb="280" eb="283">
      <t>シュウリョウシャ</t>
    </rPh>
    <rPh sb="284" eb="285">
      <t>タイ</t>
    </rPh>
    <rPh sb="286" eb="289">
      <t>シュウリョウショウ</t>
    </rPh>
    <rPh sb="290" eb="292">
      <t>ハッコウ</t>
    </rPh>
    <rPh sb="304" eb="305">
      <t>テン</t>
    </rPh>
    <rPh sb="308" eb="312">
      <t>リシュウシャスウ</t>
    </rPh>
    <rPh sb="313" eb="315">
      <t>ゾウカ</t>
    </rPh>
    <rPh sb="316" eb="318">
      <t>キタイ</t>
    </rPh>
    <phoneticPr fontId="1"/>
  </si>
  <si>
    <r>
      <rPr>
        <b/>
        <sz val="9"/>
        <rFont val="ＭＳ Ｐゴシック"/>
        <family val="3"/>
        <charset val="128"/>
        <scheme val="minor"/>
      </rPr>
      <t>「情報科学」</t>
    </r>
    <r>
      <rPr>
        <sz val="9"/>
        <rFont val="ＭＳ Ｐゴシック"/>
        <family val="3"/>
        <charset val="128"/>
        <scheme val="minor"/>
      </rPr>
      <t xml:space="preserve">
データ駆動型社会、データ駆動型社会におけるデータ（ビッグデータ）　（第11回a、第8回b, e、第7回c, d）
a:　医学検査学科
b:　看護学科
c:　リハビリテーション学科　理学療法学専攻
d:　リハビリテーション学科　生活機能療法学専攻
e:　リハビリテーション学科　言語聴覚学専攻</t>
    </r>
    <rPh sb="1" eb="5">
      <t>ジョウホウカガク</t>
    </rPh>
    <rPh sb="19" eb="24">
      <t>クドウガタシャカイ</t>
    </rPh>
    <phoneticPr fontId="1"/>
  </si>
  <si>
    <r>
      <rPr>
        <b/>
        <sz val="9"/>
        <rFont val="ＭＳ Ｐゴシック"/>
        <family val="3"/>
        <charset val="128"/>
        <scheme val="minor"/>
      </rPr>
      <t>「情報科学」</t>
    </r>
    <r>
      <rPr>
        <sz val="9"/>
        <rFont val="ＭＳ Ｐゴシック"/>
        <family val="3"/>
        <charset val="128"/>
        <scheme val="minor"/>
      </rPr>
      <t xml:space="preserve">
データサイエンス・AI利活用の目的と活用事例（活用領域の広がりと最新動向）　（第12回a、第10回b、第8回c, d、第9回e）
a:　医学検査学科
b:　看護学科
c:　リハビリテーション学科　理学療法学専攻
d:　リハビリテーション学科　生活機能療法学専攻
e:　リハビリテーション学科　言語聴覚学専攻</t>
    </r>
    <rPh sb="1" eb="5">
      <t>ジョウホウカガク</t>
    </rPh>
    <phoneticPr fontId="1"/>
  </si>
  <si>
    <r>
      <rPr>
        <b/>
        <sz val="9"/>
        <rFont val="ＭＳ Ｐゴシック"/>
        <family val="3"/>
        <charset val="128"/>
        <scheme val="minor"/>
      </rPr>
      <t>「情報科学」</t>
    </r>
    <r>
      <rPr>
        <sz val="9"/>
        <rFont val="ＭＳ Ｐゴシック"/>
        <family val="3"/>
        <charset val="128"/>
        <scheme val="minor"/>
      </rPr>
      <t xml:space="preserve">
多様なデータとデータ表現（コンピュータで扱うデータ、構造化データと非構造化データ）　（第11回a、第12回・第13回b、第7回c, d、第8回e）
a:　医学検査学科
b:　看護学科
c:　リハビリテーション学科　理学療法学専攻
d:　リハビリテーション学科　生活機能療法学専攻
e:　リハビリテーション学科　言語聴覚学専攻</t>
    </r>
    <rPh sb="1" eb="5">
      <t>ジョウホウカガク</t>
    </rPh>
    <rPh sb="27" eb="28">
      <t>アツカ</t>
    </rPh>
    <rPh sb="33" eb="36">
      <t>コウゾウカ</t>
    </rPh>
    <rPh sb="40" eb="44">
      <t>ヒコウゾウカ</t>
    </rPh>
    <rPh sb="61" eb="62">
      <t>ダイ</t>
    </rPh>
    <rPh sb="64" eb="65">
      <t>カイ</t>
    </rPh>
    <rPh sb="75" eb="76">
      <t>ダイ</t>
    </rPh>
    <rPh sb="77" eb="78">
      <t>カイ</t>
    </rPh>
    <phoneticPr fontId="1"/>
  </si>
  <si>
    <r>
      <rPr>
        <b/>
        <sz val="9"/>
        <rFont val="ＭＳ Ｐゴシック"/>
        <family val="3"/>
        <charset val="128"/>
        <scheme val="minor"/>
      </rPr>
      <t>「情報科学」</t>
    </r>
    <r>
      <rPr>
        <sz val="9"/>
        <rFont val="ＭＳ Ｐゴシック"/>
        <family val="3"/>
        <charset val="128"/>
        <scheme val="minor"/>
      </rPr>
      <t xml:space="preserve">
データサイエンスの技術と方法（データ解析・可視化・処理）　（第11回a、第8回b, e、第7回c, d）
特化型AIと汎用AI　（第13回a, c, d、第11回b、第10回e）
a:　医学検査学科
b:　看護学科
c:　リハビリテーション学科　理学療法学専攻
d:　リハビリテーション学科　生活機能療法学専攻
e:　リハビリテーション学科　言語聴覚学専攻</t>
    </r>
    <rPh sb="1" eb="5">
      <t>ジョウホウカガク</t>
    </rPh>
    <rPh sb="25" eb="27">
      <t>カイセキ</t>
    </rPh>
    <rPh sb="28" eb="31">
      <t>カシカ</t>
    </rPh>
    <rPh sb="32" eb="34">
      <t>ショリ</t>
    </rPh>
    <rPh sb="60" eb="63">
      <t>トッカガタ</t>
    </rPh>
    <rPh sb="66" eb="68">
      <t>ハンヨウ</t>
    </rPh>
    <rPh sb="72" eb="73">
      <t>ダイ</t>
    </rPh>
    <rPh sb="75" eb="76">
      <t>カイ</t>
    </rPh>
    <rPh sb="84" eb="85">
      <t>ダイ</t>
    </rPh>
    <rPh sb="87" eb="88">
      <t>カイ</t>
    </rPh>
    <rPh sb="90" eb="91">
      <t>ダイ</t>
    </rPh>
    <rPh sb="93" eb="94">
      <t>カイ</t>
    </rPh>
    <phoneticPr fontId="1"/>
  </si>
  <si>
    <r>
      <rPr>
        <b/>
        <sz val="9"/>
        <rFont val="ＭＳ Ｐゴシック"/>
        <family val="3"/>
        <charset val="128"/>
        <scheme val="minor"/>
      </rPr>
      <t>「情報科学」</t>
    </r>
    <r>
      <rPr>
        <sz val="9"/>
        <rFont val="ＭＳ Ｐゴシック"/>
        <family val="3"/>
        <charset val="128"/>
        <scheme val="minor"/>
      </rPr>
      <t xml:space="preserve">
データサイエンスのサイクル　（第12回a、第10回b、第8回c, d、第9回e）
a:　医学検査学科
b:　看護学科
c:　リハビリテーション学科　理学療法学専攻
d:　リハビリテーション学科　生活機能療法学専攻
e:　リハビリテーション学科　言語聴覚学専攻</t>
    </r>
    <rPh sb="1" eb="5">
      <t>ジョウホウカガク</t>
    </rPh>
    <phoneticPr fontId="1"/>
  </si>
  <si>
    <r>
      <rPr>
        <b/>
        <sz val="9"/>
        <rFont val="ＭＳ Ｐゴシック"/>
        <family val="3"/>
        <charset val="128"/>
        <scheme val="minor"/>
      </rPr>
      <t>「情報科学」</t>
    </r>
    <r>
      <rPr>
        <sz val="9"/>
        <rFont val="ＭＳ Ｐゴシック"/>
        <family val="3"/>
        <charset val="128"/>
        <scheme val="minor"/>
      </rPr>
      <t xml:space="preserve">
ELSI、GDPR、個人情報保護、AI社会原則、AI倫理　（第13回a, c, d、第11回b、第10回e）
a:　医学検査学科
b:　看護学科
c:　リハビリテーション学科　理学療法学専攻
d:　リハビリテーション学科　生活機能療法学専攻
e:　リハビリテーション学科　言語聴覚学専攻</t>
    </r>
    <rPh sb="1" eb="5">
      <t>ジョウホウカガク</t>
    </rPh>
    <phoneticPr fontId="1"/>
  </si>
  <si>
    <r>
      <rPr>
        <b/>
        <sz val="9"/>
        <rFont val="ＭＳ Ｐゴシック"/>
        <family val="3"/>
        <charset val="128"/>
        <scheme val="minor"/>
      </rPr>
      <t>「情報科学」</t>
    </r>
    <r>
      <rPr>
        <sz val="9"/>
        <rFont val="ＭＳ Ｐゴシック"/>
        <family val="3"/>
        <charset val="128"/>
        <scheme val="minor"/>
      </rPr>
      <t xml:space="preserve">
情報セキュリティ　（第1回a、第2回b, c, d, e）
a:　医学検査学科
b:　看護学科
c:　リハビリテーション学科　理学療法学専攻
d:　リハビリテーション学科　生活機能療法学専攻
e:　リハビリテーション学科　言語聴覚学専攻</t>
    </r>
    <rPh sb="1" eb="5">
      <t>ジョウホウカガク</t>
    </rPh>
    <phoneticPr fontId="1"/>
  </si>
  <si>
    <r>
      <rPr>
        <b/>
        <sz val="9"/>
        <rFont val="ＭＳ Ｐゴシック"/>
        <family val="3"/>
        <charset val="128"/>
        <scheme val="minor"/>
      </rPr>
      <t>「統計学入門」</t>
    </r>
    <r>
      <rPr>
        <sz val="9"/>
        <rFont val="ＭＳ Ｐゴシック"/>
        <family val="3"/>
        <charset val="128"/>
        <scheme val="minor"/>
      </rPr>
      <t xml:space="preserve">
代表値、散布度（データのばらつき）　（第3回a, c, d、第2回b、第4回e）
相関係数　（第4回a, c, d, e、第3回b）
クロス表（クロス集計）　（第14回a, c, d、第5回b、第4回e）
a:　医学検査学科
b:　看護学科
c:　リハビリテーション学科　理学療法学専攻
d:　リハビリテーション学科　生活機能療法学専攻
e:　リハビリテーション学科　言語聴覚学専攻</t>
    </r>
    <rPh sb="1" eb="4">
      <t>トウケイガク</t>
    </rPh>
    <rPh sb="4" eb="6">
      <t>ニュウモン</t>
    </rPh>
    <phoneticPr fontId="1"/>
  </si>
  <si>
    <r>
      <rPr>
        <b/>
        <sz val="9"/>
        <rFont val="ＭＳ Ｐゴシック"/>
        <family val="3"/>
        <charset val="128"/>
        <scheme val="minor"/>
      </rPr>
      <t>「情報科学」</t>
    </r>
    <r>
      <rPr>
        <sz val="9"/>
        <rFont val="ＭＳ Ｐゴシック"/>
        <family val="3"/>
        <charset val="128"/>
        <scheme val="minor"/>
      </rPr>
      <t xml:space="preserve">
グラフの作成（グラフ表現/データ表現）　（第2回a、第5回・第13回b、第10回・第12回c, d、第12回e）
</t>
    </r>
    <r>
      <rPr>
        <b/>
        <sz val="9"/>
        <rFont val="ＭＳ Ｐゴシック"/>
        <family val="3"/>
        <charset val="128"/>
        <scheme val="minor"/>
      </rPr>
      <t>「統計学入門」</t>
    </r>
    <r>
      <rPr>
        <sz val="9"/>
        <rFont val="ＭＳ Ｐゴシック"/>
        <family val="3"/>
        <charset val="128"/>
        <scheme val="minor"/>
      </rPr>
      <t xml:space="preserve">
度数分布表、ヒストグラム　（第2回a, c, d）
散布図　（第4回a, c, d、第3回b）
グラフによる可視化（ヒストグラム、散布図など）　（第4回e）
a:　医学検査学科
b:　看護学科
c:　リハビリテーション学科　理学療法学専攻
d:　リハビリテーション学科　生活機能療法学専攻
e:　リハビリテーション学科　言語聴覚学専攻</t>
    </r>
    <rPh sb="1" eb="5">
      <t>ジョウホウカガク</t>
    </rPh>
    <rPh sb="11" eb="13">
      <t>サクセイ</t>
    </rPh>
    <rPh sb="23" eb="25">
      <t>ヒョウゲン</t>
    </rPh>
    <rPh sb="66" eb="69">
      <t>トウケイガク</t>
    </rPh>
    <rPh sb="69" eb="71">
      <t>ニュウモン</t>
    </rPh>
    <rPh sb="73" eb="78">
      <t>ドスウブンプヒョウ</t>
    </rPh>
    <rPh sb="87" eb="88">
      <t>ダイ</t>
    </rPh>
    <rPh sb="89" eb="90">
      <t>カイ</t>
    </rPh>
    <rPh sb="99" eb="102">
      <t>サンプズ</t>
    </rPh>
    <rPh sb="104" eb="105">
      <t>ダイ</t>
    </rPh>
    <rPh sb="106" eb="107">
      <t>カイ</t>
    </rPh>
    <rPh sb="115" eb="116">
      <t>ダイ</t>
    </rPh>
    <rPh sb="117" eb="118">
      <t>カイ</t>
    </rPh>
    <rPh sb="127" eb="130">
      <t>カシカ</t>
    </rPh>
    <rPh sb="138" eb="141">
      <t>サンプズ</t>
    </rPh>
    <rPh sb="146" eb="147">
      <t>ダイ</t>
    </rPh>
    <rPh sb="148" eb="149">
      <t>カイ</t>
    </rPh>
    <phoneticPr fontId="1"/>
  </si>
  <si>
    <r>
      <rPr>
        <b/>
        <sz val="9"/>
        <rFont val="ＭＳ Ｐゴシック"/>
        <family val="3"/>
        <charset val="128"/>
        <scheme val="minor"/>
      </rPr>
      <t>「情報科学」</t>
    </r>
    <r>
      <rPr>
        <sz val="9"/>
        <rFont val="ＭＳ Ｐゴシック"/>
        <family val="3"/>
        <charset val="128"/>
        <scheme val="minor"/>
      </rPr>
      <t xml:space="preserve">
（Excel/スプレッドシートを使った）データ集計　（第2回a、第14回b、第11回c, d, e）
a:　医学検査学科
b:　看護学科
c:　リハビリテーション学科　理学療法学専攻
d:　リハビリテーション学科　生活機能療法学専攻
e:　リハビリテーション学科　言語聴覚学専攻</t>
    </r>
    <rPh sb="1" eb="5">
      <t>ジョウホウカガク</t>
    </rPh>
    <phoneticPr fontId="1"/>
  </si>
  <si>
    <t>令和5</t>
    <rPh sb="0" eb="2">
      <t>レイワ</t>
    </rPh>
    <phoneticPr fontId="1"/>
  </si>
  <si>
    <t>保健科学部　医学検査学科</t>
    <rPh sb="0" eb="5">
      <t>ホケンカガクブ</t>
    </rPh>
    <rPh sb="6" eb="8">
      <t>イガク</t>
    </rPh>
    <rPh sb="8" eb="10">
      <t>ケンサ</t>
    </rPh>
    <rPh sb="10" eb="12">
      <t>ガッカ</t>
    </rPh>
    <phoneticPr fontId="1"/>
  </si>
  <si>
    <t>保健科学部　看護学科</t>
    <phoneticPr fontId="1"/>
  </si>
  <si>
    <t>保健科学部　リハビリテーション学科</t>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</si>
</sst>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76" formatCode="#,##0_ "/>
  </numFmts>
  <fonts count="19" x14ac:knownFonts="1">
    <font>
      <sz val="11"/>
      <color theme="1"/>
      <name val="ＭＳ Ｐゴシック"/>
      <family val="2"/>
      <charset val="128"/>
      <scheme val="minor"/>
    </font>
    <font>
      <sz val="6"/>
      <name val="ＭＳ Ｐゴシック"/>
      <family val="2"/>
      <charset val="128"/>
      <scheme val="minor"/>
    </font>
    <font>
      <sz val="12"/>
      <color theme="1"/>
      <name val="ＭＳ Ｐゴシック"/>
      <family val="3"/>
      <charset val="128"/>
      <scheme val="minor"/>
    </font>
    <font>
      <sz val="9"/>
      <color theme="1"/>
      <name val="ＭＳ Ｐゴシック"/>
      <family val="3"/>
      <charset val="128"/>
      <scheme val="minor"/>
    </font>
    <font>
      <sz val="11"/>
      <color theme="1"/>
      <name val="ＭＳ Ｐゴシック"/>
      <family val="2"/>
      <charset val="128"/>
      <scheme val="minor"/>
    </font>
    <font>
      <sz val="11"/>
      <color theme="1"/>
      <name val="ＭＳ Ｐゴシック"/>
      <family val="3"/>
      <charset val="128"/>
      <scheme val="minor"/>
    </font>
    <font>
      <sz val="14"/>
      <color theme="1"/>
      <name val="ＭＳ Ｐゴシック"/>
      <family val="3"/>
      <charset val="128"/>
      <scheme val="minor"/>
    </font>
    <font>
      <sz val="10"/>
      <color theme="1"/>
      <name val="ＭＳ Ｐゴシック"/>
      <family val="3"/>
      <charset val="128"/>
      <scheme val="minor"/>
    </font>
    <font>
      <sz val="7"/>
      <color theme="1"/>
      <name val="ＭＳ Ｐゴシック"/>
      <family val="3"/>
      <charset val="128"/>
      <scheme val="minor"/>
    </font>
    <font>
      <sz val="6"/>
      <color theme="1"/>
      <name val="ＭＳ Ｐゴシック"/>
      <family val="3"/>
      <charset val="128"/>
      <scheme val="minor"/>
    </font>
    <font>
      <sz val="12"/>
      <color rgb="FFFF0000"/>
      <name val="ＭＳ Ｐゴシック"/>
      <family val="3"/>
      <charset val="128"/>
      <scheme val="minor"/>
    </font>
    <font>
      <sz val="11"/>
      <color rgb="FFFF0000"/>
      <name val="ＭＳ Ｐゴシック"/>
      <family val="3"/>
      <charset val="128"/>
      <scheme val="minor"/>
    </font>
    <font>
      <sz val="11"/>
      <name val="ＭＳ Ｐゴシック"/>
      <family val="3"/>
      <charset val="128"/>
      <scheme val="minor"/>
    </font>
    <font>
      <sz val="12"/>
      <name val="ＭＳ Ｐゴシック"/>
      <family val="3"/>
      <charset val="128"/>
      <scheme val="minor"/>
    </font>
    <font>
      <b/>
      <sz val="11"/>
      <name val="ＭＳ Ｐゴシック"/>
      <family val="3"/>
      <charset val="128"/>
      <scheme val="minor"/>
    </font>
    <font>
      <sz val="14"/>
      <name val="ＭＳ Ｐゴシック"/>
      <family val="3"/>
      <charset val="128"/>
      <scheme val="minor"/>
    </font>
    <font>
      <sz val="10"/>
      <name val="ＭＳ Ｐゴシック"/>
      <family val="3"/>
      <charset val="128"/>
      <scheme val="minor"/>
    </font>
    <font>
      <sz val="9"/>
      <name val="ＭＳ Ｐゴシック"/>
      <family val="3"/>
      <charset val="128"/>
      <scheme val="minor"/>
    </font>
    <font>
      <b/>
      <sz val="9"/>
      <name val="ＭＳ Ｐゴシック"/>
      <family val="3"/>
      <charset val="128"/>
      <scheme val="minor"/>
    </font>
  </fonts>
  <fills count="3">
    <fill>
      <patternFill patternType="none"/>
    </fill>
    <fill>
      <patternFill patternType="gray125"/>
    </fill>
    <fill>
      <patternFill patternType="solid">
        <fgColor theme="0" tint="-4.9989318521683403E-2"/>
        <bgColor indexed="64"/>
      </patternFill>
    </fill>
  </fills>
  <borders count="49">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top/>
      <bottom/>
      <diagonal/>
    </border>
    <border>
      <left/>
      <right/>
      <top/>
      <bottom style="thin">
        <color auto="1"/>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right style="thin">
        <color auto="1"/>
      </right>
      <top/>
      <bottom/>
      <diagonal/>
    </border>
    <border>
      <left style="thin">
        <color auto="1"/>
      </left>
      <right/>
      <top/>
      <bottom style="thin">
        <color auto="1"/>
      </bottom>
      <diagonal/>
    </border>
    <border>
      <left/>
      <right style="thin">
        <color auto="1"/>
      </right>
      <top/>
      <bottom style="thin">
        <color auto="1"/>
      </bottom>
      <diagonal/>
    </border>
    <border>
      <left style="thin">
        <color auto="1"/>
      </left>
      <right style="thin">
        <color auto="1"/>
      </right>
      <top/>
      <bottom style="thin">
        <color auto="1"/>
      </bottom>
      <diagonal/>
    </border>
    <border>
      <left style="thin">
        <color auto="1"/>
      </left>
      <right style="thin">
        <color auto="1"/>
      </right>
      <top style="thin">
        <color auto="1"/>
      </top>
      <bottom style="hair">
        <color auto="1"/>
      </bottom>
      <diagonal/>
    </border>
    <border>
      <left style="thin">
        <color auto="1"/>
      </left>
      <right style="thin">
        <color auto="1"/>
      </right>
      <top style="thin">
        <color auto="1"/>
      </top>
      <bottom/>
      <diagonal/>
    </border>
    <border>
      <left style="hair">
        <color auto="1"/>
      </left>
      <right/>
      <top style="hair">
        <color auto="1"/>
      </top>
      <bottom style="hair">
        <color auto="1"/>
      </bottom>
      <diagonal/>
    </border>
    <border>
      <left/>
      <right style="thin">
        <color auto="1"/>
      </right>
      <top style="hair">
        <color auto="1"/>
      </top>
      <bottom style="hair">
        <color auto="1"/>
      </bottom>
      <diagonal/>
    </border>
    <border>
      <left style="thin">
        <color auto="1"/>
      </left>
      <right/>
      <top style="hair">
        <color auto="1"/>
      </top>
      <bottom style="hair">
        <color auto="1"/>
      </bottom>
      <diagonal/>
    </border>
    <border>
      <left/>
      <right/>
      <top style="hair">
        <color auto="1"/>
      </top>
      <bottom style="hair">
        <color auto="1"/>
      </bottom>
      <diagonal/>
    </border>
    <border>
      <left style="thin">
        <color auto="1"/>
      </left>
      <right style="thin">
        <color auto="1"/>
      </right>
      <top style="hair">
        <color auto="1"/>
      </top>
      <bottom style="hair">
        <color auto="1"/>
      </bottom>
      <diagonal/>
    </border>
    <border>
      <left style="thin">
        <color auto="1"/>
      </left>
      <right style="thin">
        <color auto="1"/>
      </right>
      <top style="hair">
        <color auto="1"/>
      </top>
      <bottom style="double">
        <color auto="1"/>
      </bottom>
      <diagonal/>
    </border>
    <border>
      <left style="thin">
        <color auto="1"/>
      </left>
      <right/>
      <top style="double">
        <color auto="1"/>
      </top>
      <bottom style="thin">
        <color auto="1"/>
      </bottom>
      <diagonal/>
    </border>
    <border>
      <left/>
      <right/>
      <top style="double">
        <color auto="1"/>
      </top>
      <bottom style="thin">
        <color auto="1"/>
      </bottom>
      <diagonal/>
    </border>
    <border>
      <left/>
      <right style="thin">
        <color auto="1"/>
      </right>
      <top style="double">
        <color auto="1"/>
      </top>
      <bottom style="thin">
        <color auto="1"/>
      </bottom>
      <diagonal/>
    </border>
    <border>
      <left style="thin">
        <color auto="1"/>
      </left>
      <right style="thin">
        <color auto="1"/>
      </right>
      <top style="double">
        <color auto="1"/>
      </top>
      <bottom style="thin">
        <color auto="1"/>
      </bottom>
      <diagonal/>
    </border>
    <border>
      <left style="hair">
        <color auto="1"/>
      </left>
      <right style="thin">
        <color auto="1"/>
      </right>
      <top style="hair">
        <color auto="1"/>
      </top>
      <bottom style="thin">
        <color auto="1"/>
      </bottom>
      <diagonal/>
    </border>
    <border>
      <left style="thin">
        <color auto="1"/>
      </left>
      <right style="hair">
        <color auto="1"/>
      </right>
      <top/>
      <bottom/>
      <diagonal/>
    </border>
    <border>
      <left style="hair">
        <color auto="1"/>
      </left>
      <right style="thin">
        <color auto="1"/>
      </right>
      <top style="hair">
        <color auto="1"/>
      </top>
      <bottom style="hair">
        <color auto="1"/>
      </bottom>
      <diagonal/>
    </border>
    <border>
      <left style="thin">
        <color auto="1"/>
      </left>
      <right/>
      <top style="thin">
        <color auto="1"/>
      </top>
      <bottom style="hair">
        <color auto="1"/>
      </bottom>
      <diagonal/>
    </border>
    <border>
      <left/>
      <right style="thin">
        <color auto="1"/>
      </right>
      <top style="thin">
        <color auto="1"/>
      </top>
      <bottom style="hair">
        <color auto="1"/>
      </bottom>
      <diagonal/>
    </border>
    <border>
      <left/>
      <right/>
      <top style="thin">
        <color auto="1"/>
      </top>
      <bottom style="hair">
        <color auto="1"/>
      </bottom>
      <diagonal/>
    </border>
    <border>
      <left style="thin">
        <color auto="1"/>
      </left>
      <right/>
      <top style="hair">
        <color auto="1"/>
      </top>
      <bottom style="thin">
        <color auto="1"/>
      </bottom>
      <diagonal/>
    </border>
    <border>
      <left/>
      <right/>
      <top style="hair">
        <color auto="1"/>
      </top>
      <bottom style="thin">
        <color auto="1"/>
      </bottom>
      <diagonal/>
    </border>
    <border>
      <left/>
      <right style="thin">
        <color auto="1"/>
      </right>
      <top style="hair">
        <color auto="1"/>
      </top>
      <bottom style="thin">
        <color auto="1"/>
      </bottom>
      <diagonal/>
    </border>
    <border>
      <left style="thin">
        <color auto="1"/>
      </left>
      <right style="thin">
        <color auto="1"/>
      </right>
      <top style="hair">
        <color auto="1"/>
      </top>
      <bottom style="thin">
        <color auto="1"/>
      </bottom>
      <diagonal/>
    </border>
    <border>
      <left style="thin">
        <color auto="1"/>
      </left>
      <right/>
      <top/>
      <bottom style="hair">
        <color auto="1"/>
      </bottom>
      <diagonal/>
    </border>
    <border>
      <left/>
      <right/>
      <top/>
      <bottom style="hair">
        <color auto="1"/>
      </bottom>
      <diagonal/>
    </border>
    <border>
      <left/>
      <right style="thin">
        <color auto="1"/>
      </right>
      <top/>
      <bottom style="hair">
        <color auto="1"/>
      </bottom>
      <diagonal/>
    </border>
    <border>
      <left style="hair">
        <color auto="1"/>
      </left>
      <right style="thin">
        <color auto="1"/>
      </right>
      <top style="thin">
        <color auto="1"/>
      </top>
      <bottom style="hair">
        <color auto="1"/>
      </bottom>
      <diagonal/>
    </border>
    <border>
      <left style="thin">
        <color auto="1"/>
      </left>
      <right style="hair">
        <color auto="1"/>
      </right>
      <top style="thin">
        <color auto="1"/>
      </top>
      <bottom/>
      <diagonal/>
    </border>
    <border>
      <left style="thin">
        <color auto="1"/>
      </left>
      <right style="hair">
        <color auto="1"/>
      </right>
      <top/>
      <bottom style="thin">
        <color auto="1"/>
      </bottom>
      <diagonal/>
    </border>
    <border>
      <left style="hair">
        <color auto="1"/>
      </left>
      <right style="thin">
        <color auto="1"/>
      </right>
      <top/>
      <bottom style="thin">
        <color auto="1"/>
      </bottom>
      <diagonal/>
    </border>
    <border>
      <left style="hair">
        <color auto="1"/>
      </left>
      <right style="thin">
        <color auto="1"/>
      </right>
      <top style="thin">
        <color auto="1"/>
      </top>
      <bottom/>
      <diagonal/>
    </border>
    <border>
      <left style="hair">
        <color auto="1"/>
      </left>
      <right style="thin">
        <color auto="1"/>
      </right>
      <top style="hair">
        <color auto="1"/>
      </top>
      <bottom/>
      <diagonal/>
    </border>
    <border>
      <left style="thin">
        <color auto="1"/>
      </left>
      <right style="thin">
        <color auto="1"/>
      </right>
      <top/>
      <bottom/>
      <diagonal/>
    </border>
    <border>
      <left style="thin">
        <color auto="1"/>
      </left>
      <right style="dotted">
        <color auto="1"/>
      </right>
      <top style="hair">
        <color auto="1"/>
      </top>
      <bottom style="hair">
        <color auto="1"/>
      </bottom>
      <diagonal/>
    </border>
    <border>
      <left style="hair">
        <color auto="1"/>
      </left>
      <right/>
      <top style="hair">
        <color auto="1"/>
      </top>
      <bottom style="thin">
        <color indexed="64"/>
      </bottom>
      <diagonal/>
    </border>
    <border>
      <left style="thin">
        <color auto="1"/>
      </left>
      <right style="thin">
        <color auto="1"/>
      </right>
      <top/>
      <bottom style="hair">
        <color auto="1"/>
      </bottom>
      <diagonal/>
    </border>
  </borders>
  <cellStyleXfs count="3">
    <xf numFmtId="0" fontId="0" fillId="0" borderId="0">
      <alignment vertical="center"/>
    </xf>
    <xf numFmtId="9" fontId="4" fillId="0" borderId="0" applyFont="0" applyFill="0" applyBorder="0" applyAlignment="0" applyProtection="0">
      <alignment vertical="center"/>
    </xf>
    <xf numFmtId="38" fontId="4" fillId="0" borderId="0" applyFont="0" applyFill="0" applyBorder="0" applyAlignment="0" applyProtection="0">
      <alignment vertical="center"/>
    </xf>
  </cellStyleXfs>
  <cellXfs count="248">
    <xf numFmtId="0" fontId="0" fillId="0" borderId="0" xfId="0">
      <alignment vertical="center"/>
    </xf>
    <xf numFmtId="0" fontId="2" fillId="0" borderId="0" xfId="0" applyFont="1">
      <alignment vertical="center"/>
    </xf>
    <xf numFmtId="0" fontId="5" fillId="0" borderId="0" xfId="0" applyFont="1">
      <alignment vertical="center"/>
    </xf>
    <xf numFmtId="0" fontId="2" fillId="0" borderId="0" xfId="0" applyFont="1" applyAlignment="1">
      <alignment horizontal="center" vertical="center"/>
    </xf>
    <xf numFmtId="0" fontId="3" fillId="0" borderId="0" xfId="0" applyFont="1" applyAlignment="1">
      <alignment vertical="top" wrapText="1"/>
    </xf>
    <xf numFmtId="0" fontId="6" fillId="0" borderId="0" xfId="0" applyFont="1" applyAlignment="1">
      <alignment horizontal="center" vertical="center"/>
    </xf>
    <xf numFmtId="0" fontId="2" fillId="0" borderId="0" xfId="0" applyFont="1" applyAlignment="1">
      <alignment vertical="center" shrinkToFit="1"/>
    </xf>
    <xf numFmtId="9" fontId="2" fillId="0" borderId="10" xfId="0" applyNumberFormat="1" applyFont="1" applyBorder="1" applyAlignment="1">
      <alignment vertical="center" shrinkToFit="1"/>
    </xf>
    <xf numFmtId="9" fontId="2" fillId="0" borderId="20" xfId="0" applyNumberFormat="1" applyFont="1" applyBorder="1" applyAlignment="1">
      <alignment vertical="center" shrinkToFit="1"/>
    </xf>
    <xf numFmtId="9" fontId="2" fillId="0" borderId="24" xfId="0" applyNumberFormat="1" applyFont="1" applyBorder="1" applyAlignment="1">
      <alignment vertical="center" shrinkToFit="1"/>
    </xf>
    <xf numFmtId="0" fontId="2" fillId="0" borderId="0" xfId="0" applyFont="1" applyAlignment="1">
      <alignment horizontal="left" vertical="center"/>
    </xf>
    <xf numFmtId="0" fontId="2" fillId="0" borderId="20" xfId="0" applyFont="1" applyBorder="1" applyAlignment="1">
      <alignment horizontal="left" vertical="center" shrinkToFit="1"/>
    </xf>
    <xf numFmtId="0" fontId="2" fillId="0" borderId="21" xfId="0" applyFont="1" applyBorder="1" applyAlignment="1">
      <alignment horizontal="left" vertical="center" shrinkToFit="1"/>
    </xf>
    <xf numFmtId="0" fontId="2" fillId="0" borderId="25" xfId="0" applyFont="1" applyBorder="1" applyAlignment="1">
      <alignment horizontal="center" vertical="center" shrinkToFit="1"/>
    </xf>
    <xf numFmtId="0" fontId="2" fillId="0" borderId="0" xfId="0" applyFont="1" applyAlignment="1">
      <alignment vertical="top" wrapText="1"/>
    </xf>
    <xf numFmtId="0" fontId="2" fillId="0" borderId="0" xfId="0" applyFont="1" applyAlignment="1">
      <alignment vertical="center" wrapText="1"/>
    </xf>
    <xf numFmtId="49" fontId="3" fillId="0" borderId="1" xfId="0" applyNumberFormat="1" applyFont="1" applyBorder="1" applyAlignment="1">
      <alignment horizontal="center" vertical="center"/>
    </xf>
    <xf numFmtId="0" fontId="2" fillId="0" borderId="14" xfId="0" applyFont="1" applyBorder="1" applyAlignment="1">
      <alignment horizontal="center" vertical="center" shrinkToFit="1"/>
    </xf>
    <xf numFmtId="0" fontId="2" fillId="0" borderId="20" xfId="0" applyFont="1" applyBorder="1" applyAlignment="1">
      <alignment horizontal="center" vertical="center" shrinkToFit="1"/>
    </xf>
    <xf numFmtId="0" fontId="2" fillId="0" borderId="13" xfId="0" applyFont="1" applyBorder="1" applyAlignment="1">
      <alignment horizontal="center" vertical="center" shrinkToFit="1"/>
    </xf>
    <xf numFmtId="0" fontId="2" fillId="0" borderId="35" xfId="0" applyFont="1" applyBorder="1" applyAlignment="1">
      <alignment horizontal="center" vertical="center" shrinkToFit="1"/>
    </xf>
    <xf numFmtId="0" fontId="2" fillId="0" borderId="0" xfId="0" applyFont="1" applyAlignment="1">
      <alignment horizontal="center" vertical="center" shrinkToFit="1"/>
    </xf>
    <xf numFmtId="0" fontId="2" fillId="0" borderId="1" xfId="0" applyFont="1" applyBorder="1" applyAlignment="1">
      <alignment horizontal="center" vertical="center"/>
    </xf>
    <xf numFmtId="0" fontId="2" fillId="0" borderId="0" xfId="0" applyFont="1" applyAlignment="1">
      <alignment horizontal="right" vertical="center"/>
    </xf>
    <xf numFmtId="0" fontId="3" fillId="0" borderId="0" xfId="0" applyFont="1">
      <alignment vertical="center"/>
    </xf>
    <xf numFmtId="0" fontId="5" fillId="0" borderId="0" xfId="0" applyFont="1" applyAlignment="1">
      <alignment horizontal="left" vertical="center"/>
    </xf>
    <xf numFmtId="0" fontId="2" fillId="0" borderId="1" xfId="0" applyFont="1" applyBorder="1" applyAlignment="1">
      <alignment horizontal="center" vertical="center" wrapText="1" shrinkToFit="1"/>
    </xf>
    <xf numFmtId="9" fontId="2" fillId="0" borderId="1" xfId="0" applyNumberFormat="1" applyFont="1" applyBorder="1" applyAlignment="1">
      <alignment horizontal="center" vertical="center" shrinkToFit="1"/>
    </xf>
    <xf numFmtId="9" fontId="2" fillId="0" borderId="0" xfId="1" applyFont="1" applyAlignment="1">
      <alignment horizontal="center" vertical="center"/>
    </xf>
    <xf numFmtId="0" fontId="2" fillId="0" borderId="1" xfId="0" applyFont="1" applyBorder="1" applyAlignment="1">
      <alignment horizontal="center" vertical="center" shrinkToFit="1"/>
    </xf>
    <xf numFmtId="176" fontId="2" fillId="0" borderId="1" xfId="0" applyNumberFormat="1" applyFont="1" applyBorder="1" applyAlignment="1">
      <alignment horizontal="center" vertical="center" shrinkToFit="1"/>
    </xf>
    <xf numFmtId="0" fontId="3" fillId="0" borderId="0" xfId="0" applyFont="1" applyAlignment="1">
      <alignment vertical="top" shrinkToFit="1"/>
    </xf>
    <xf numFmtId="0" fontId="2" fillId="2" borderId="5" xfId="0" applyFont="1" applyFill="1" applyBorder="1">
      <alignment vertical="center"/>
    </xf>
    <xf numFmtId="0" fontId="3" fillId="2" borderId="10" xfId="0" applyFont="1" applyFill="1" applyBorder="1" applyAlignment="1">
      <alignment vertical="top" wrapText="1"/>
    </xf>
    <xf numFmtId="0" fontId="3" fillId="2" borderId="5" xfId="0" applyFont="1" applyFill="1" applyBorder="1" applyAlignment="1">
      <alignment vertical="top" wrapText="1"/>
    </xf>
    <xf numFmtId="0" fontId="3" fillId="2" borderId="11" xfId="0" applyFont="1" applyFill="1" applyBorder="1" applyAlignment="1">
      <alignment vertical="top" wrapText="1"/>
    </xf>
    <xf numFmtId="0" fontId="3" fillId="2" borderId="37" xfId="0" applyFont="1" applyFill="1" applyBorder="1" applyAlignment="1">
      <alignment vertical="top" wrapText="1"/>
    </xf>
    <xf numFmtId="0" fontId="3" fillId="2" borderId="38" xfId="0" applyFont="1" applyFill="1" applyBorder="1" applyAlignment="1">
      <alignment vertical="top" wrapText="1"/>
    </xf>
    <xf numFmtId="0" fontId="3" fillId="2" borderId="37" xfId="0" applyFont="1" applyFill="1" applyBorder="1" applyAlignment="1">
      <alignment vertical="top" shrinkToFit="1"/>
    </xf>
    <xf numFmtId="0" fontId="3" fillId="2" borderId="0" xfId="0" applyFont="1" applyFill="1" applyAlignment="1">
      <alignment vertical="top" wrapText="1"/>
    </xf>
    <xf numFmtId="0" fontId="2" fillId="2" borderId="0" xfId="0" applyFont="1" applyFill="1">
      <alignment vertical="center"/>
    </xf>
    <xf numFmtId="0" fontId="3" fillId="2" borderId="38" xfId="0" applyFont="1" applyFill="1" applyBorder="1" applyAlignment="1">
      <alignment vertical="top" shrinkToFit="1"/>
    </xf>
    <xf numFmtId="0" fontId="3" fillId="0" borderId="4" xfId="0" applyFont="1" applyBorder="1" applyAlignment="1">
      <alignment horizontal="center" vertical="center" shrinkToFit="1"/>
    </xf>
    <xf numFmtId="0" fontId="3" fillId="0" borderId="1" xfId="0" applyFont="1" applyBorder="1" applyAlignment="1">
      <alignment horizontal="center" vertical="center" shrinkToFit="1"/>
    </xf>
    <xf numFmtId="38" fontId="2" fillId="0" borderId="45" xfId="2" applyFont="1" applyBorder="1" applyAlignment="1">
      <alignment vertical="center" shrinkToFit="1"/>
    </xf>
    <xf numFmtId="38" fontId="2" fillId="0" borderId="0" xfId="2" applyFont="1" applyAlignment="1">
      <alignment vertical="center" shrinkToFit="1"/>
    </xf>
    <xf numFmtId="38" fontId="2" fillId="0" borderId="5" xfId="2" applyFont="1" applyBorder="1" applyAlignment="1">
      <alignment vertical="center" shrinkToFit="1"/>
    </xf>
    <xf numFmtId="38" fontId="2" fillId="0" borderId="20" xfId="2" applyFont="1" applyBorder="1" applyAlignment="1">
      <alignment vertical="center" shrinkToFit="1"/>
    </xf>
    <xf numFmtId="38" fontId="2" fillId="0" borderId="19" xfId="2" applyFont="1" applyBorder="1" applyAlignment="1">
      <alignment vertical="center" shrinkToFit="1"/>
    </xf>
    <xf numFmtId="38" fontId="2" fillId="0" borderId="18" xfId="2" applyFont="1" applyBorder="1" applyAlignment="1">
      <alignment vertical="center" shrinkToFit="1"/>
    </xf>
    <xf numFmtId="38" fontId="2" fillId="0" borderId="46" xfId="2" applyFont="1" applyBorder="1" applyAlignment="1">
      <alignment vertical="center" shrinkToFit="1"/>
    </xf>
    <xf numFmtId="38" fontId="2" fillId="0" borderId="17" xfId="2" applyFont="1" applyBorder="1" applyAlignment="1">
      <alignment vertical="center" shrinkToFit="1"/>
    </xf>
    <xf numFmtId="38" fontId="2" fillId="0" borderId="10" xfId="2" applyFont="1" applyBorder="1" applyAlignment="1">
      <alignment vertical="center" shrinkToFit="1"/>
    </xf>
    <xf numFmtId="38" fontId="2" fillId="0" borderId="25" xfId="2" applyFont="1" applyBorder="1" applyAlignment="1">
      <alignment vertical="center" shrinkToFit="1"/>
    </xf>
    <xf numFmtId="38" fontId="2" fillId="0" borderId="23" xfId="2" applyFont="1" applyBorder="1" applyAlignment="1">
      <alignment vertical="center" shrinkToFit="1"/>
    </xf>
    <xf numFmtId="38" fontId="2" fillId="0" borderId="22" xfId="2" applyFont="1" applyBorder="1" applyAlignment="1">
      <alignment vertical="center" shrinkToFit="1"/>
    </xf>
    <xf numFmtId="0" fontId="8" fillId="0" borderId="32" xfId="0" applyFont="1" applyBorder="1" applyAlignment="1">
      <alignment horizontal="center" vertical="center"/>
    </xf>
    <xf numFmtId="0" fontId="8" fillId="0" borderId="35" xfId="0" applyFont="1" applyBorder="1" applyAlignment="1">
      <alignment horizontal="center" vertical="center"/>
    </xf>
    <xf numFmtId="0" fontId="2" fillId="0" borderId="48" xfId="0" applyFont="1" applyBorder="1" applyAlignment="1">
      <alignment horizontal="left" vertical="center" shrinkToFit="1"/>
    </xf>
    <xf numFmtId="38" fontId="2" fillId="0" borderId="48" xfId="2" applyFont="1" applyBorder="1" applyAlignment="1">
      <alignment vertical="center" shrinkToFit="1"/>
    </xf>
    <xf numFmtId="0" fontId="10" fillId="0" borderId="0" xfId="0" applyFont="1">
      <alignment vertical="center"/>
    </xf>
    <xf numFmtId="0" fontId="11" fillId="0" borderId="0" xfId="0" applyFont="1">
      <alignment vertical="center"/>
    </xf>
    <xf numFmtId="0" fontId="11" fillId="0" borderId="0" xfId="0" applyFont="1" applyAlignment="1">
      <alignment vertical="center" wrapText="1"/>
    </xf>
    <xf numFmtId="49" fontId="11" fillId="0" borderId="0" xfId="0" applyNumberFormat="1" applyFont="1" applyAlignment="1">
      <alignment vertical="center" shrinkToFit="1"/>
    </xf>
    <xf numFmtId="0" fontId="2" fillId="0" borderId="0" xfId="0" applyFont="1" applyAlignment="1">
      <alignment vertical="top" wrapText="1" shrinkToFit="1"/>
    </xf>
    <xf numFmtId="0" fontId="2" fillId="0" borderId="0" xfId="0" applyFont="1" applyAlignment="1">
      <alignment vertical="top" shrinkToFit="1"/>
    </xf>
    <xf numFmtId="0" fontId="12" fillId="0" borderId="0" xfId="0" applyFont="1">
      <alignment vertical="center"/>
    </xf>
    <xf numFmtId="0" fontId="13" fillId="0" borderId="0" xfId="0" applyFont="1">
      <alignment vertical="center"/>
    </xf>
    <xf numFmtId="0" fontId="13" fillId="0" borderId="0" xfId="0" applyFont="1" applyAlignment="1">
      <alignment horizontal="right" vertical="center"/>
    </xf>
    <xf numFmtId="0" fontId="13" fillId="0" borderId="1" xfId="0" applyFont="1" applyBorder="1" applyAlignment="1">
      <alignment horizontal="center" vertical="center"/>
    </xf>
    <xf numFmtId="0" fontId="13" fillId="0" borderId="0" xfId="0" applyFont="1" applyAlignment="1">
      <alignment vertical="center" shrinkToFit="1"/>
    </xf>
    <xf numFmtId="0" fontId="13" fillId="0" borderId="0" xfId="0" applyFont="1" applyAlignment="1">
      <alignment horizontal="left" vertical="center" shrinkToFit="1"/>
    </xf>
    <xf numFmtId="0" fontId="13" fillId="0" borderId="0" xfId="0" applyFont="1" applyAlignment="1">
      <alignment horizontal="center" vertical="center"/>
    </xf>
    <xf numFmtId="0" fontId="13" fillId="0" borderId="0" xfId="0" applyFont="1" applyAlignment="1">
      <alignment horizontal="left" vertical="center"/>
    </xf>
    <xf numFmtId="0" fontId="12" fillId="0" borderId="0" xfId="0" applyFont="1" applyAlignment="1">
      <alignment horizontal="center" vertical="center"/>
    </xf>
    <xf numFmtId="0" fontId="13" fillId="0" borderId="1" xfId="0" applyFont="1" applyBorder="1">
      <alignment vertical="center"/>
    </xf>
    <xf numFmtId="0" fontId="13" fillId="0" borderId="1" xfId="0" applyFont="1" applyBorder="1" applyAlignment="1">
      <alignment horizontal="left" vertical="center"/>
    </xf>
    <xf numFmtId="0" fontId="13" fillId="0" borderId="0" xfId="0" applyFont="1" applyAlignment="1">
      <alignment horizontal="center" vertical="center" shrinkToFit="1"/>
    </xf>
    <xf numFmtId="49" fontId="17" fillId="0" borderId="43" xfId="0" applyNumberFormat="1" applyFont="1" applyBorder="1" applyAlignment="1">
      <alignment horizontal="center" vertical="center"/>
    </xf>
    <xf numFmtId="49" fontId="17" fillId="0" borderId="44" xfId="0" applyNumberFormat="1" applyFont="1" applyBorder="1" applyAlignment="1">
      <alignment horizontal="center" vertical="center"/>
    </xf>
    <xf numFmtId="49" fontId="17" fillId="0" borderId="39" xfId="0" applyNumberFormat="1" applyFont="1" applyBorder="1" applyAlignment="1">
      <alignment horizontal="center" vertical="center"/>
    </xf>
    <xf numFmtId="49" fontId="17" fillId="0" borderId="26" xfId="0" applyNumberFormat="1" applyFont="1" applyBorder="1" applyAlignment="1">
      <alignment horizontal="center" vertical="center"/>
    </xf>
    <xf numFmtId="49" fontId="17" fillId="0" borderId="42" xfId="0" applyNumberFormat="1" applyFont="1" applyBorder="1" applyAlignment="1">
      <alignment horizontal="center" vertical="center"/>
    </xf>
    <xf numFmtId="49" fontId="17" fillId="0" borderId="28" xfId="0" applyNumberFormat="1" applyFont="1" applyBorder="1" applyAlignment="1">
      <alignment horizontal="center" vertical="center"/>
    </xf>
    <xf numFmtId="9" fontId="2" fillId="0" borderId="45" xfId="0" applyNumberFormat="1" applyFont="1" applyBorder="1" applyAlignment="1">
      <alignment vertical="center" shrinkToFit="1"/>
    </xf>
    <xf numFmtId="0" fontId="12" fillId="0" borderId="0" xfId="0" applyFont="1" applyAlignment="1">
      <alignment horizontal="left" vertical="center" wrapText="1"/>
    </xf>
    <xf numFmtId="49" fontId="17" fillId="0" borderId="32" xfId="0" applyNumberFormat="1" applyFont="1" applyBorder="1" applyAlignment="1">
      <alignment horizontal="left" vertical="center" wrapText="1"/>
    </xf>
    <xf numFmtId="49" fontId="17" fillId="0" borderId="33" xfId="0" applyNumberFormat="1" applyFont="1" applyBorder="1" applyAlignment="1">
      <alignment horizontal="left" vertical="center"/>
    </xf>
    <xf numFmtId="49" fontId="17" fillId="0" borderId="34" xfId="0" applyNumberFormat="1" applyFont="1" applyBorder="1" applyAlignment="1">
      <alignment horizontal="left" vertical="center"/>
    </xf>
    <xf numFmtId="49" fontId="17" fillId="0" borderId="29" xfId="0" applyNumberFormat="1" applyFont="1" applyBorder="1" applyAlignment="1">
      <alignment horizontal="left" vertical="center" wrapText="1"/>
    </xf>
    <xf numFmtId="49" fontId="17" fillId="0" borderId="31" xfId="0" applyNumberFormat="1" applyFont="1" applyBorder="1" applyAlignment="1">
      <alignment horizontal="left" vertical="center"/>
    </xf>
    <xf numFmtId="49" fontId="17" fillId="0" borderId="30" xfId="0" applyNumberFormat="1" applyFont="1" applyBorder="1" applyAlignment="1">
      <alignment horizontal="left" vertical="center"/>
    </xf>
    <xf numFmtId="49" fontId="17" fillId="0" borderId="18" xfId="0" applyNumberFormat="1" applyFont="1" applyBorder="1" applyAlignment="1">
      <alignment horizontal="left" vertical="center" wrapText="1"/>
    </xf>
    <xf numFmtId="49" fontId="17" fillId="0" borderId="19" xfId="0" applyNumberFormat="1" applyFont="1" applyBorder="1" applyAlignment="1">
      <alignment horizontal="left" vertical="center"/>
    </xf>
    <xf numFmtId="49" fontId="17" fillId="0" borderId="17" xfId="0" applyNumberFormat="1" applyFont="1" applyBorder="1" applyAlignment="1">
      <alignment horizontal="left" vertical="center"/>
    </xf>
    <xf numFmtId="0" fontId="12" fillId="0" borderId="2" xfId="0" applyFont="1" applyBorder="1" applyAlignment="1">
      <alignment horizontal="center" vertical="center" shrinkToFit="1"/>
    </xf>
    <xf numFmtId="0" fontId="12" fillId="0" borderId="3" xfId="0" applyFont="1" applyBorder="1" applyAlignment="1">
      <alignment horizontal="center" vertical="center" shrinkToFit="1"/>
    </xf>
    <xf numFmtId="0" fontId="12" fillId="0" borderId="4" xfId="0" applyFont="1" applyBorder="1" applyAlignment="1">
      <alignment horizontal="center" vertical="center" shrinkToFit="1"/>
    </xf>
    <xf numFmtId="0" fontId="12" fillId="0" borderId="2" xfId="0" applyFont="1" applyBorder="1" applyAlignment="1">
      <alignment horizontal="center" vertical="center"/>
    </xf>
    <xf numFmtId="0" fontId="12" fillId="0" borderId="3" xfId="0" applyFont="1" applyBorder="1" applyAlignment="1">
      <alignment horizontal="center" vertical="center"/>
    </xf>
    <xf numFmtId="0" fontId="12" fillId="0" borderId="4" xfId="0" applyFont="1" applyBorder="1" applyAlignment="1">
      <alignment horizontal="center" vertical="center"/>
    </xf>
    <xf numFmtId="0" fontId="13" fillId="0" borderId="2" xfId="0" applyFont="1" applyBorder="1" applyAlignment="1">
      <alignment horizontal="center" vertical="center"/>
    </xf>
    <xf numFmtId="0" fontId="13" fillId="0" borderId="3" xfId="0" applyFont="1" applyBorder="1" applyAlignment="1">
      <alignment horizontal="center" vertical="center"/>
    </xf>
    <xf numFmtId="0" fontId="13" fillId="0" borderId="4" xfId="0" applyFont="1" applyBorder="1" applyAlignment="1">
      <alignment horizontal="center" vertical="center"/>
    </xf>
    <xf numFmtId="49" fontId="17" fillId="0" borderId="33" xfId="0" applyNumberFormat="1" applyFont="1" applyBorder="1" applyAlignment="1">
      <alignment horizontal="left" vertical="center" wrapText="1"/>
    </xf>
    <xf numFmtId="49" fontId="17" fillId="0" borderId="34" xfId="0" applyNumberFormat="1" applyFont="1" applyBorder="1" applyAlignment="1">
      <alignment horizontal="left" vertical="center" wrapText="1"/>
    </xf>
    <xf numFmtId="0" fontId="13" fillId="0" borderId="7" xfId="0" applyFont="1" applyBorder="1" applyAlignment="1">
      <alignment horizontal="left" vertical="center" wrapText="1"/>
    </xf>
    <xf numFmtId="0" fontId="13" fillId="0" borderId="8" xfId="0" applyFont="1" applyBorder="1" applyAlignment="1">
      <alignment horizontal="left" vertical="center" wrapText="1"/>
    </xf>
    <xf numFmtId="0" fontId="13" fillId="0" borderId="9" xfId="0" applyFont="1" applyBorder="1" applyAlignment="1">
      <alignment horizontal="left" vertical="center" wrapText="1"/>
    </xf>
    <xf numFmtId="0" fontId="13" fillId="0" borderId="11" xfId="0" applyFont="1" applyBorder="1" applyAlignment="1">
      <alignment horizontal="left" vertical="center" wrapText="1"/>
    </xf>
    <xf numFmtId="0" fontId="13" fillId="0" borderId="6" xfId="0" applyFont="1" applyBorder="1" applyAlignment="1">
      <alignment horizontal="left" vertical="center" wrapText="1"/>
    </xf>
    <xf numFmtId="0" fontId="13" fillId="0" borderId="12" xfId="0" applyFont="1" applyBorder="1" applyAlignment="1">
      <alignment horizontal="left" vertical="center" wrapText="1"/>
    </xf>
    <xf numFmtId="0" fontId="2" fillId="0" borderId="18" xfId="0" applyFont="1" applyBorder="1" applyAlignment="1">
      <alignment vertical="center" shrinkToFit="1"/>
    </xf>
    <xf numFmtId="0" fontId="2" fillId="0" borderId="19" xfId="0" applyFont="1" applyBorder="1" applyAlignment="1">
      <alignment vertical="center" shrinkToFit="1"/>
    </xf>
    <xf numFmtId="0" fontId="2" fillId="0" borderId="17" xfId="0" applyFont="1" applyBorder="1" applyAlignment="1">
      <alignment vertical="center" shrinkToFit="1"/>
    </xf>
    <xf numFmtId="0" fontId="2" fillId="0" borderId="32" xfId="0" applyFont="1" applyBorder="1" applyAlignment="1">
      <alignment vertical="center" shrinkToFit="1"/>
    </xf>
    <xf numFmtId="0" fontId="2" fillId="0" borderId="33" xfId="0" applyFont="1" applyBorder="1" applyAlignment="1">
      <alignment vertical="center" shrinkToFit="1"/>
    </xf>
    <xf numFmtId="0" fontId="2" fillId="0" borderId="34" xfId="0" applyFont="1" applyBorder="1" applyAlignment="1">
      <alignment vertical="center" shrinkToFit="1"/>
    </xf>
    <xf numFmtId="0" fontId="2" fillId="0" borderId="2" xfId="0" applyFont="1" applyBorder="1" applyAlignment="1">
      <alignment horizontal="center" vertical="center"/>
    </xf>
    <xf numFmtId="0" fontId="2" fillId="0" borderId="3" xfId="0" applyFont="1" applyBorder="1" applyAlignment="1">
      <alignment horizontal="center" vertical="center"/>
    </xf>
    <xf numFmtId="0" fontId="2" fillId="0" borderId="29" xfId="0" applyFont="1" applyBorder="1" applyAlignment="1">
      <alignment vertical="center" shrinkToFit="1"/>
    </xf>
    <xf numFmtId="0" fontId="2" fillId="0" borderId="31" xfId="0" applyFont="1" applyBorder="1" applyAlignment="1">
      <alignment vertical="center" shrinkToFit="1"/>
    </xf>
    <xf numFmtId="0" fontId="2" fillId="0" borderId="30" xfId="0" applyFont="1" applyBorder="1" applyAlignment="1">
      <alignment vertical="center" shrinkToFit="1"/>
    </xf>
    <xf numFmtId="0" fontId="2" fillId="0" borderId="4" xfId="0" applyFont="1" applyBorder="1" applyAlignment="1">
      <alignment horizontal="center" vertical="center"/>
    </xf>
    <xf numFmtId="0" fontId="2" fillId="0" borderId="0" xfId="0" applyFont="1" applyAlignment="1">
      <alignment vertical="center" wrapText="1"/>
    </xf>
    <xf numFmtId="0" fontId="13" fillId="0" borderId="0" xfId="0" applyFont="1" applyAlignment="1">
      <alignment horizontal="right" vertical="center"/>
    </xf>
    <xf numFmtId="0" fontId="15" fillId="0" borderId="0" xfId="0" applyFont="1" applyAlignment="1">
      <alignment horizontal="center" vertical="center"/>
    </xf>
    <xf numFmtId="0" fontId="13" fillId="0" borderId="7" xfId="0" applyFont="1" applyBorder="1" applyAlignment="1">
      <alignment horizontal="left" vertical="top" wrapText="1" shrinkToFit="1"/>
    </xf>
    <xf numFmtId="0" fontId="13" fillId="0" borderId="8" xfId="0" applyFont="1" applyBorder="1" applyAlignment="1">
      <alignment horizontal="left" vertical="top" wrapText="1" shrinkToFit="1"/>
    </xf>
    <xf numFmtId="0" fontId="13" fillId="0" borderId="9" xfId="0" applyFont="1" applyBorder="1" applyAlignment="1">
      <alignment horizontal="left" vertical="top" wrapText="1" shrinkToFit="1"/>
    </xf>
    <xf numFmtId="0" fontId="13" fillId="0" borderId="5" xfId="0" applyFont="1" applyBorder="1" applyAlignment="1">
      <alignment horizontal="left" vertical="top" wrapText="1" shrinkToFit="1"/>
    </xf>
    <xf numFmtId="0" fontId="13" fillId="0" borderId="0" xfId="0" applyFont="1" applyAlignment="1">
      <alignment horizontal="left" vertical="top" wrapText="1" shrinkToFit="1"/>
    </xf>
    <xf numFmtId="0" fontId="13" fillId="0" borderId="10" xfId="0" applyFont="1" applyBorder="1" applyAlignment="1">
      <alignment horizontal="left" vertical="top" wrapText="1" shrinkToFit="1"/>
    </xf>
    <xf numFmtId="0" fontId="13" fillId="0" borderId="11" xfId="0" applyFont="1" applyBorder="1" applyAlignment="1">
      <alignment horizontal="left" vertical="top" wrapText="1" shrinkToFit="1"/>
    </xf>
    <xf numFmtId="0" fontId="13" fillId="0" borderId="6" xfId="0" applyFont="1" applyBorder="1" applyAlignment="1">
      <alignment horizontal="left" vertical="top" wrapText="1" shrinkToFit="1"/>
    </xf>
    <xf numFmtId="0" fontId="13" fillId="0" borderId="12" xfId="0" applyFont="1" applyBorder="1" applyAlignment="1">
      <alignment horizontal="left" vertical="top" wrapText="1" shrinkToFit="1"/>
    </xf>
    <xf numFmtId="0" fontId="13" fillId="0" borderId="0" xfId="0" applyFont="1" applyAlignment="1">
      <alignment vertical="center" wrapText="1"/>
    </xf>
    <xf numFmtId="0" fontId="2" fillId="0" borderId="2" xfId="0" applyFont="1" applyBorder="1" applyAlignment="1">
      <alignment vertical="center" wrapText="1" shrinkToFit="1"/>
    </xf>
    <xf numFmtId="0" fontId="2" fillId="0" borderId="3" xfId="0" applyFont="1" applyBorder="1" applyAlignment="1">
      <alignment vertical="center" wrapText="1" shrinkToFit="1"/>
    </xf>
    <xf numFmtId="0" fontId="2" fillId="0" borderId="4" xfId="0" applyFont="1" applyBorder="1" applyAlignment="1">
      <alignment vertical="center" wrapText="1" shrinkToFit="1"/>
    </xf>
    <xf numFmtId="0" fontId="2" fillId="0" borderId="32" xfId="0" applyFont="1" applyBorder="1" applyAlignment="1">
      <alignment horizontal="center" vertical="center" shrinkToFit="1"/>
    </xf>
    <xf numFmtId="0" fontId="2" fillId="0" borderId="33" xfId="0" applyFont="1" applyBorder="1" applyAlignment="1">
      <alignment horizontal="center" vertical="center" shrinkToFit="1"/>
    </xf>
    <xf numFmtId="0" fontId="2" fillId="0" borderId="34" xfId="0" applyFont="1" applyBorder="1" applyAlignment="1">
      <alignment horizontal="center" vertical="center" shrinkToFit="1"/>
    </xf>
    <xf numFmtId="0" fontId="2" fillId="0" borderId="18" xfId="0" applyFont="1" applyBorder="1" applyAlignment="1">
      <alignment horizontal="center" vertical="center" shrinkToFit="1"/>
    </xf>
    <xf numFmtId="0" fontId="2" fillId="0" borderId="19" xfId="0" applyFont="1" applyBorder="1" applyAlignment="1">
      <alignment horizontal="center" vertical="center" shrinkToFit="1"/>
    </xf>
    <xf numFmtId="0" fontId="2" fillId="0" borderId="17" xfId="0" applyFont="1" applyBorder="1" applyAlignment="1">
      <alignment horizontal="center" vertical="center" shrinkToFit="1"/>
    </xf>
    <xf numFmtId="0" fontId="17" fillId="0" borderId="40" xfId="0" applyFont="1" applyBorder="1" applyAlignment="1">
      <alignment vertical="center" wrapText="1"/>
    </xf>
    <xf numFmtId="0" fontId="17" fillId="0" borderId="27" xfId="0" applyFont="1" applyBorder="1" applyAlignment="1">
      <alignment vertical="center" wrapText="1"/>
    </xf>
    <xf numFmtId="0" fontId="17" fillId="0" borderId="41" xfId="0" applyFont="1" applyBorder="1" applyAlignment="1">
      <alignment vertical="center" wrapText="1"/>
    </xf>
    <xf numFmtId="0" fontId="16" fillId="0" borderId="2" xfId="0" applyFont="1" applyBorder="1" applyAlignment="1">
      <alignment horizontal="center" vertical="center" shrinkToFit="1"/>
    </xf>
    <xf numFmtId="0" fontId="16" fillId="0" borderId="4" xfId="0" applyFont="1" applyBorder="1" applyAlignment="1">
      <alignment horizontal="center" vertical="center" shrinkToFit="1"/>
    </xf>
    <xf numFmtId="0" fontId="2" fillId="0" borderId="7" xfId="0" applyFont="1" applyBorder="1" applyAlignment="1">
      <alignment horizontal="center" vertical="center"/>
    </xf>
    <xf numFmtId="0" fontId="2" fillId="0" borderId="8" xfId="0" applyFont="1" applyBorder="1" applyAlignment="1">
      <alignment horizontal="center" vertical="center"/>
    </xf>
    <xf numFmtId="0" fontId="2" fillId="0" borderId="9" xfId="0" applyFont="1" applyBorder="1" applyAlignment="1">
      <alignment horizontal="center" vertical="center"/>
    </xf>
    <xf numFmtId="0" fontId="2" fillId="0" borderId="29" xfId="0" applyFont="1" applyBorder="1" applyAlignment="1">
      <alignment horizontal="center" vertical="center" shrinkToFit="1"/>
    </xf>
    <xf numFmtId="0" fontId="2" fillId="0" borderId="31" xfId="0" applyFont="1" applyBorder="1" applyAlignment="1">
      <alignment horizontal="center" vertical="center" shrinkToFit="1"/>
    </xf>
    <xf numFmtId="0" fontId="2" fillId="0" borderId="30" xfId="0" applyFont="1" applyBorder="1" applyAlignment="1">
      <alignment horizontal="center" vertical="center" shrinkToFit="1"/>
    </xf>
    <xf numFmtId="0" fontId="12" fillId="0" borderId="6" xfId="0" applyFont="1" applyBorder="1" applyAlignment="1">
      <alignment horizontal="left" vertical="center" wrapText="1"/>
    </xf>
    <xf numFmtId="0" fontId="12" fillId="0" borderId="1" xfId="0" applyFont="1" applyBorder="1" applyAlignment="1">
      <alignment horizontal="center" vertical="center"/>
    </xf>
    <xf numFmtId="0" fontId="12" fillId="0" borderId="1" xfId="0" applyFont="1" applyBorder="1" applyAlignment="1">
      <alignment vertical="center" wrapText="1"/>
    </xf>
    <xf numFmtId="0" fontId="2" fillId="0" borderId="14" xfId="0" applyFont="1" applyBorder="1" applyAlignment="1">
      <alignment horizontal="center" vertical="center"/>
    </xf>
    <xf numFmtId="0" fontId="13" fillId="0" borderId="1" xfId="0" applyFont="1" applyBorder="1" applyAlignment="1">
      <alignment horizontal="center" vertical="center"/>
    </xf>
    <xf numFmtId="0" fontId="13" fillId="0" borderId="2" xfId="0" applyFont="1" applyBorder="1" applyAlignment="1">
      <alignment horizontal="center" vertical="center" shrinkToFit="1"/>
    </xf>
    <xf numFmtId="0" fontId="13" fillId="0" borderId="4" xfId="0" applyFont="1" applyBorder="1" applyAlignment="1">
      <alignment horizontal="center" vertical="center" shrinkToFit="1"/>
    </xf>
    <xf numFmtId="0" fontId="2" fillId="0" borderId="15" xfId="0" applyFont="1" applyBorder="1" applyAlignment="1">
      <alignment horizontal="center" vertical="center"/>
    </xf>
    <xf numFmtId="0" fontId="2" fillId="0" borderId="13" xfId="0" applyFont="1" applyBorder="1" applyAlignment="1">
      <alignment horizontal="center" vertical="center"/>
    </xf>
    <xf numFmtId="0" fontId="7" fillId="0" borderId="8" xfId="0" applyFont="1" applyBorder="1" applyAlignment="1">
      <alignment horizontal="center" vertical="center" wrapText="1"/>
    </xf>
    <xf numFmtId="0" fontId="7" fillId="0" borderId="6" xfId="0" applyFont="1" applyBorder="1" applyAlignment="1">
      <alignment horizontal="center" vertical="center" wrapText="1"/>
    </xf>
    <xf numFmtId="0" fontId="7" fillId="0" borderId="7" xfId="0" applyFont="1" applyBorder="1" applyAlignment="1">
      <alignment horizontal="center" vertical="center" wrapText="1"/>
    </xf>
    <xf numFmtId="0" fontId="7" fillId="0" borderId="11" xfId="0" applyFont="1" applyBorder="1" applyAlignment="1">
      <alignment horizontal="center" vertical="center" wrapText="1"/>
    </xf>
    <xf numFmtId="0" fontId="8" fillId="0" borderId="9" xfId="0" applyFont="1" applyBorder="1" applyAlignment="1">
      <alignment horizontal="center" vertical="center" wrapText="1"/>
    </xf>
    <xf numFmtId="0" fontId="8" fillId="0" borderId="12" xfId="0" applyFont="1" applyBorder="1" applyAlignment="1">
      <alignment horizontal="center" vertical="center" wrapText="1"/>
    </xf>
    <xf numFmtId="0" fontId="7" fillId="0" borderId="9" xfId="0" applyFont="1" applyBorder="1" applyAlignment="1">
      <alignment horizontal="center" vertical="center"/>
    </xf>
    <xf numFmtId="0" fontId="7" fillId="0" borderId="12" xfId="0" applyFont="1" applyBorder="1" applyAlignment="1">
      <alignment horizontal="center" vertical="center"/>
    </xf>
    <xf numFmtId="0" fontId="7" fillId="0" borderId="15" xfId="0" applyFont="1" applyBorder="1" applyAlignment="1">
      <alignment horizontal="center" vertical="center" wrapText="1"/>
    </xf>
    <xf numFmtId="0" fontId="7" fillId="0" borderId="13" xfId="0" applyFont="1" applyBorder="1" applyAlignment="1">
      <alignment horizontal="center" vertical="center" wrapText="1"/>
    </xf>
    <xf numFmtId="9" fontId="2" fillId="0" borderId="1" xfId="0" applyNumberFormat="1" applyFont="1" applyBorder="1" applyAlignment="1">
      <alignment horizontal="center" vertical="center" shrinkToFit="1"/>
    </xf>
    <xf numFmtId="0" fontId="2" fillId="0" borderId="7" xfId="0" applyFont="1" applyBorder="1" applyAlignment="1">
      <alignment vertical="top" wrapText="1"/>
    </xf>
    <xf numFmtId="0" fontId="2" fillId="0" borderId="8" xfId="0" applyFont="1" applyBorder="1" applyAlignment="1">
      <alignment vertical="top" wrapText="1"/>
    </xf>
    <xf numFmtId="0" fontId="2" fillId="0" borderId="9" xfId="0" applyFont="1" applyBorder="1" applyAlignment="1">
      <alignment vertical="top" wrapText="1"/>
    </xf>
    <xf numFmtId="0" fontId="2" fillId="0" borderId="5" xfId="0" applyFont="1" applyBorder="1" applyAlignment="1">
      <alignment vertical="top" wrapText="1"/>
    </xf>
    <xf numFmtId="0" fontId="2" fillId="0" borderId="0" xfId="0" applyFont="1" applyAlignment="1">
      <alignment vertical="top" wrapText="1"/>
    </xf>
    <xf numFmtId="0" fontId="2" fillId="0" borderId="10" xfId="0" applyFont="1" applyBorder="1" applyAlignment="1">
      <alignment vertical="top" wrapText="1"/>
    </xf>
    <xf numFmtId="0" fontId="2" fillId="0" borderId="11" xfId="0" applyFont="1" applyBorder="1" applyAlignment="1">
      <alignment vertical="top" wrapText="1"/>
    </xf>
    <xf numFmtId="0" fontId="2" fillId="0" borderId="6" xfId="0" applyFont="1" applyBorder="1" applyAlignment="1">
      <alignment vertical="top" wrapText="1"/>
    </xf>
    <xf numFmtId="0" fontId="2" fillId="0" borderId="12" xfId="0" applyFont="1" applyBorder="1" applyAlignment="1">
      <alignment vertical="top" wrapText="1"/>
    </xf>
    <xf numFmtId="0" fontId="2" fillId="0" borderId="9" xfId="0" applyFont="1" applyBorder="1" applyAlignment="1">
      <alignment vertical="top"/>
    </xf>
    <xf numFmtId="0" fontId="2" fillId="0" borderId="5" xfId="0" applyFont="1" applyBorder="1" applyAlignment="1">
      <alignment vertical="top"/>
    </xf>
    <xf numFmtId="0" fontId="2" fillId="0" borderId="0" xfId="0" applyFont="1" applyAlignment="1">
      <alignment vertical="top"/>
    </xf>
    <xf numFmtId="0" fontId="2" fillId="0" borderId="10" xfId="0" applyFont="1" applyBorder="1" applyAlignment="1">
      <alignment vertical="top"/>
    </xf>
    <xf numFmtId="0" fontId="2" fillId="0" borderId="11" xfId="0" applyFont="1" applyBorder="1" applyAlignment="1">
      <alignment vertical="top"/>
    </xf>
    <xf numFmtId="0" fontId="2" fillId="0" borderId="6" xfId="0" applyFont="1" applyBorder="1" applyAlignment="1">
      <alignment vertical="top"/>
    </xf>
    <xf numFmtId="0" fontId="2" fillId="0" borderId="12" xfId="0" applyFont="1" applyBorder="1" applyAlignment="1">
      <alignment vertical="top"/>
    </xf>
    <xf numFmtId="9" fontId="2" fillId="0" borderId="1" xfId="0" applyNumberFormat="1" applyFont="1" applyBorder="1" applyAlignment="1">
      <alignment horizontal="center" vertical="center" wrapText="1" shrinkToFit="1"/>
    </xf>
    <xf numFmtId="0" fontId="2" fillId="0" borderId="7" xfId="0" applyFont="1" applyBorder="1" applyAlignment="1">
      <alignment horizontal="left" vertical="top" wrapText="1"/>
    </xf>
    <xf numFmtId="0" fontId="2" fillId="0" borderId="8" xfId="0" applyFont="1" applyBorder="1" applyAlignment="1">
      <alignment horizontal="left" vertical="top" wrapText="1"/>
    </xf>
    <xf numFmtId="0" fontId="2" fillId="0" borderId="9" xfId="0" applyFont="1" applyBorder="1" applyAlignment="1">
      <alignment horizontal="left" vertical="top" wrapText="1"/>
    </xf>
    <xf numFmtId="0" fontId="2" fillId="0" borderId="5" xfId="0" applyFont="1" applyBorder="1" applyAlignment="1">
      <alignment horizontal="left" vertical="top" wrapText="1"/>
    </xf>
    <xf numFmtId="0" fontId="2" fillId="0" borderId="0" xfId="0" applyFont="1" applyAlignment="1">
      <alignment horizontal="left" vertical="top" wrapText="1"/>
    </xf>
    <xf numFmtId="0" fontId="2" fillId="0" borderId="10" xfId="0" applyFont="1" applyBorder="1" applyAlignment="1">
      <alignment horizontal="left" vertical="top" wrapText="1"/>
    </xf>
    <xf numFmtId="0" fontId="2" fillId="0" borderId="11" xfId="0" applyFont="1" applyBorder="1" applyAlignment="1">
      <alignment horizontal="left" vertical="top" wrapText="1"/>
    </xf>
    <xf numFmtId="0" fontId="2" fillId="0" borderId="6" xfId="0" applyFont="1" applyBorder="1" applyAlignment="1">
      <alignment horizontal="left" vertical="top" wrapText="1"/>
    </xf>
    <xf numFmtId="0" fontId="2" fillId="0" borderId="12" xfId="0" applyFont="1" applyBorder="1" applyAlignment="1">
      <alignment horizontal="left" vertical="top" wrapText="1"/>
    </xf>
    <xf numFmtId="0" fontId="10" fillId="0" borderId="0" xfId="0" applyFont="1" applyAlignment="1">
      <alignment horizontal="left" vertical="center" wrapText="1"/>
    </xf>
    <xf numFmtId="0" fontId="6" fillId="0" borderId="0" xfId="0" applyFont="1" applyAlignment="1">
      <alignment horizontal="center" vertical="center"/>
    </xf>
    <xf numFmtId="0" fontId="2" fillId="0" borderId="2" xfId="0" applyFont="1" applyBorder="1" applyAlignment="1">
      <alignment horizontal="center" vertical="center" shrinkToFit="1"/>
    </xf>
    <xf numFmtId="0" fontId="2" fillId="0" borderId="3" xfId="0" applyFont="1" applyBorder="1" applyAlignment="1">
      <alignment horizontal="center" vertical="center" shrinkToFit="1"/>
    </xf>
    <xf numFmtId="0" fontId="2" fillId="0" borderId="4" xfId="0" applyFont="1" applyBorder="1" applyAlignment="1">
      <alignment horizontal="center" vertical="center" shrinkToFit="1"/>
    </xf>
    <xf numFmtId="0" fontId="2" fillId="0" borderId="7" xfId="0" applyFont="1" applyBorder="1" applyAlignment="1">
      <alignment vertical="top" wrapText="1" shrinkToFit="1"/>
    </xf>
    <xf numFmtId="0" fontId="2" fillId="0" borderId="8" xfId="0" applyFont="1" applyBorder="1" applyAlignment="1">
      <alignment vertical="top" wrapText="1" shrinkToFit="1"/>
    </xf>
    <xf numFmtId="0" fontId="2" fillId="0" borderId="9" xfId="0" applyFont="1" applyBorder="1" applyAlignment="1">
      <alignment vertical="top" shrinkToFit="1"/>
    </xf>
    <xf numFmtId="0" fontId="2" fillId="0" borderId="5" xfId="0" applyFont="1" applyBorder="1" applyAlignment="1">
      <alignment vertical="top" wrapText="1" shrinkToFit="1"/>
    </xf>
    <xf numFmtId="0" fontId="2" fillId="0" borderId="0" xfId="0" applyFont="1" applyAlignment="1">
      <alignment vertical="top" wrapText="1" shrinkToFit="1"/>
    </xf>
    <xf numFmtId="0" fontId="2" fillId="0" borderId="10" xfId="0" applyFont="1" applyBorder="1" applyAlignment="1">
      <alignment vertical="top" shrinkToFit="1"/>
    </xf>
    <xf numFmtId="0" fontId="2" fillId="0" borderId="5" xfId="0" applyFont="1" applyBorder="1" applyAlignment="1">
      <alignment vertical="top" shrinkToFit="1"/>
    </xf>
    <xf numFmtId="0" fontId="2" fillId="0" borderId="0" xfId="0" applyFont="1" applyAlignment="1">
      <alignment vertical="top" shrinkToFit="1"/>
    </xf>
    <xf numFmtId="0" fontId="2" fillId="0" borderId="11" xfId="0" applyFont="1" applyBorder="1" applyAlignment="1">
      <alignment vertical="top" shrinkToFit="1"/>
    </xf>
    <xf numFmtId="0" fontId="2" fillId="0" borderId="6" xfId="0" applyFont="1" applyBorder="1" applyAlignment="1">
      <alignment vertical="top" shrinkToFit="1"/>
    </xf>
    <xf numFmtId="0" fontId="2" fillId="0" borderId="12" xfId="0" applyFont="1" applyBorder="1" applyAlignment="1">
      <alignment vertical="top" shrinkToFit="1"/>
    </xf>
    <xf numFmtId="0" fontId="5" fillId="0" borderId="3" xfId="0" applyFont="1" applyBorder="1" applyAlignment="1">
      <alignment horizontal="center" vertical="center"/>
    </xf>
    <xf numFmtId="0" fontId="5" fillId="0" borderId="4" xfId="0" applyFont="1" applyBorder="1" applyAlignment="1">
      <alignment horizontal="center" vertical="center"/>
    </xf>
    <xf numFmtId="0" fontId="2" fillId="0" borderId="0" xfId="0" applyFont="1" applyAlignment="1">
      <alignment horizontal="center" vertical="center"/>
    </xf>
    <xf numFmtId="0" fontId="2" fillId="0" borderId="0" xfId="0" applyFont="1">
      <alignment vertical="center"/>
    </xf>
    <xf numFmtId="0" fontId="2" fillId="2" borderId="5" xfId="0" applyFont="1" applyFill="1" applyBorder="1" applyAlignment="1">
      <alignment horizontal="center" vertical="center" shrinkToFit="1"/>
    </xf>
    <xf numFmtId="0" fontId="2" fillId="2" borderId="0" xfId="0" applyFont="1" applyFill="1" applyAlignment="1">
      <alignment horizontal="center" vertical="center" shrinkToFit="1"/>
    </xf>
    <xf numFmtId="0" fontId="2" fillId="2" borderId="10" xfId="0" applyFont="1" applyFill="1" applyBorder="1" applyAlignment="1">
      <alignment horizontal="center" vertical="center" shrinkToFit="1"/>
    </xf>
    <xf numFmtId="0" fontId="13" fillId="0" borderId="11" xfId="0" applyFont="1" applyBorder="1" applyAlignment="1">
      <alignment vertical="center" wrapText="1"/>
    </xf>
    <xf numFmtId="0" fontId="13" fillId="0" borderId="6" xfId="0" applyFont="1" applyBorder="1" applyAlignment="1">
      <alignment vertical="center" wrapText="1"/>
    </xf>
    <xf numFmtId="0" fontId="13" fillId="0" borderId="12" xfId="0" applyFont="1" applyBorder="1" applyAlignment="1">
      <alignment vertical="center" wrapText="1"/>
    </xf>
    <xf numFmtId="0" fontId="2" fillId="0" borderId="6" xfId="0" applyFont="1" applyBorder="1" applyAlignment="1">
      <alignment vertical="top" wrapText="1" shrinkToFit="1"/>
    </xf>
    <xf numFmtId="0" fontId="2" fillId="0" borderId="12" xfId="0" applyFont="1" applyBorder="1" applyAlignment="1">
      <alignment vertical="top" wrapText="1" shrinkToFit="1"/>
    </xf>
    <xf numFmtId="0" fontId="2" fillId="0" borderId="16" xfId="0" applyFont="1" applyBorder="1" applyAlignment="1">
      <alignment vertical="center" wrapText="1"/>
    </xf>
    <xf numFmtId="0" fontId="2" fillId="0" borderId="17" xfId="0" applyFont="1" applyBorder="1" applyAlignment="1">
      <alignment vertical="center" wrapText="1"/>
    </xf>
    <xf numFmtId="0" fontId="2" fillId="0" borderId="19" xfId="0" applyFont="1" applyBorder="1" applyAlignment="1">
      <alignment vertical="top" wrapText="1" shrinkToFit="1"/>
    </xf>
    <xf numFmtId="0" fontId="2" fillId="0" borderId="17" xfId="0" applyFont="1" applyBorder="1" applyAlignment="1">
      <alignment vertical="top" wrapText="1" shrinkToFit="1"/>
    </xf>
    <xf numFmtId="0" fontId="2" fillId="0" borderId="47" xfId="0" applyFont="1" applyBorder="1" applyAlignment="1">
      <alignment vertical="center" wrapText="1"/>
    </xf>
    <xf numFmtId="0" fontId="2" fillId="0" borderId="34" xfId="0" applyFont="1" applyBorder="1" applyAlignment="1">
      <alignment vertical="center" wrapText="1"/>
    </xf>
    <xf numFmtId="0" fontId="2" fillId="0" borderId="33" xfId="0" applyFont="1" applyBorder="1" applyAlignment="1">
      <alignment vertical="top" wrapText="1" shrinkToFit="1"/>
    </xf>
    <xf numFmtId="0" fontId="2" fillId="0" borderId="34" xfId="0" applyFont="1" applyBorder="1" applyAlignment="1">
      <alignment vertical="top" wrapText="1" shrinkToFit="1"/>
    </xf>
    <xf numFmtId="0" fontId="2" fillId="0" borderId="36" xfId="0" applyFont="1" applyBorder="1" applyAlignment="1">
      <alignment vertical="center" wrapText="1"/>
    </xf>
    <xf numFmtId="0" fontId="2" fillId="0" borderId="37" xfId="0" applyFont="1" applyBorder="1" applyAlignment="1">
      <alignment vertical="center" wrapText="1"/>
    </xf>
    <xf numFmtId="0" fontId="2" fillId="0" borderId="38" xfId="0" applyFont="1" applyBorder="1" applyAlignment="1">
      <alignment vertical="center" wrapText="1"/>
    </xf>
    <xf numFmtId="0" fontId="2" fillId="0" borderId="37" xfId="0" applyFont="1" applyBorder="1" applyAlignment="1">
      <alignment vertical="top" wrapText="1" shrinkToFit="1"/>
    </xf>
    <xf numFmtId="0" fontId="2" fillId="0" borderId="38" xfId="0" applyFont="1" applyBorder="1" applyAlignment="1">
      <alignment vertical="top" wrapText="1" shrinkToFit="1"/>
    </xf>
    <xf numFmtId="0" fontId="2" fillId="0" borderId="18" xfId="0" applyFont="1" applyBorder="1" applyAlignment="1">
      <alignment vertical="top" wrapText="1" shrinkToFit="1"/>
    </xf>
    <xf numFmtId="0" fontId="2" fillId="0" borderId="32" xfId="0" applyFont="1" applyBorder="1" applyAlignment="1">
      <alignment vertical="top" wrapText="1" shrinkToFit="1"/>
    </xf>
    <xf numFmtId="0" fontId="2" fillId="0" borderId="16" xfId="0" applyFont="1" applyBorder="1">
      <alignment vertical="center"/>
    </xf>
    <xf numFmtId="0" fontId="5" fillId="0" borderId="17" xfId="0" applyFont="1" applyBorder="1">
      <alignment vertical="center"/>
    </xf>
  </cellXfs>
  <cellStyles count="3">
    <cellStyle name="パーセント" xfId="1" builtinId="5"/>
    <cellStyle name="桁区切り" xfId="2" builtinId="6"/>
    <cellStyle name="標準" xfId="0" builtinId="0"/>
  </cellStyles>
  <dxfs count="2">
    <dxf>
      <font>
        <color theme="0" tint="-0.34998626667073579"/>
      </font>
      <fill>
        <patternFill>
          <bgColor theme="0" tint="-0.34998626667073579"/>
        </patternFill>
      </fill>
    </dxf>
    <dxf>
      <fill>
        <patternFill>
          <bgColor theme="0" tint="-0.34998626667073579"/>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AG114"/>
  <sheetViews>
    <sheetView showZeros="0" tabSelected="1" view="pageBreakPreview" zoomScaleNormal="100" zoomScaleSheetLayoutView="100" workbookViewId="0">
      <selection activeCell="B2" sqref="B2"/>
    </sheetView>
  </sheetViews>
  <sheetFormatPr defaultColWidth="9" defaultRowHeight="18.75" customHeight="1" x14ac:dyDescent="0.15"/>
  <cols>
    <col min="1" max="1" width="2.5" style="1" customWidth="1"/>
    <col min="2" max="2" width="16.5" style="1" customWidth="1"/>
    <col min="3" max="21" width="5.625" style="1" customWidth="1"/>
    <col min="22" max="22" width="9" style="1"/>
    <col min="23" max="23" width="3.625" style="1" customWidth="1"/>
    <col min="24" max="24" width="48.625" style="1" hidden="1" customWidth="1"/>
    <col min="25" max="16384" width="9" style="1"/>
  </cols>
  <sheetData>
    <row r="1" spans="1:24" ht="18.600000000000001" customHeight="1" x14ac:dyDescent="0.15">
      <c r="A1" s="67"/>
      <c r="B1" s="67"/>
      <c r="C1" s="67"/>
      <c r="D1" s="67"/>
      <c r="E1" s="67"/>
      <c r="F1" s="67"/>
      <c r="G1" s="67"/>
      <c r="H1" s="67"/>
      <c r="I1" s="67"/>
      <c r="J1" s="67"/>
      <c r="K1" s="67"/>
      <c r="L1" s="67"/>
      <c r="M1" s="67"/>
      <c r="N1" s="67"/>
      <c r="O1" s="67"/>
      <c r="P1" s="67"/>
      <c r="Q1" s="67"/>
      <c r="R1" s="67"/>
      <c r="S1" s="67"/>
      <c r="T1" s="125" t="s">
        <v>12</v>
      </c>
      <c r="U1" s="125"/>
      <c r="V1" s="2" t="s">
        <v>100</v>
      </c>
    </row>
    <row r="2" spans="1:24" ht="18.75" customHeight="1" x14ac:dyDescent="0.15">
      <c r="A2" s="67"/>
      <c r="B2" s="69" t="s">
        <v>99</v>
      </c>
      <c r="C2" s="101" t="s">
        <v>136</v>
      </c>
      <c r="D2" s="102"/>
      <c r="E2" s="102"/>
      <c r="F2" s="102"/>
      <c r="G2" s="102"/>
      <c r="H2" s="102"/>
      <c r="I2" s="102"/>
      <c r="J2" s="103"/>
      <c r="K2" s="68"/>
      <c r="L2" s="70"/>
      <c r="M2" s="70"/>
      <c r="N2" s="70"/>
      <c r="O2" s="70"/>
      <c r="P2" s="70"/>
      <c r="Q2" s="70"/>
      <c r="R2" s="70"/>
      <c r="S2" s="70"/>
      <c r="T2" s="70"/>
      <c r="U2" s="70"/>
    </row>
    <row r="3" spans="1:24" ht="18.75" customHeight="1" x14ac:dyDescent="0.15">
      <c r="A3" s="67"/>
      <c r="B3" s="69" t="s">
        <v>94</v>
      </c>
      <c r="C3" s="95" t="s">
        <v>137</v>
      </c>
      <c r="D3" s="96"/>
      <c r="E3" s="96"/>
      <c r="F3" s="96"/>
      <c r="G3" s="96"/>
      <c r="H3" s="96"/>
      <c r="I3" s="96"/>
      <c r="J3" s="97"/>
      <c r="K3" s="68"/>
      <c r="L3" s="70"/>
      <c r="M3" s="70"/>
      <c r="N3" s="70"/>
      <c r="O3" s="70"/>
      <c r="P3" s="70"/>
      <c r="Q3" s="70"/>
      <c r="R3" s="70"/>
      <c r="S3" s="70"/>
      <c r="T3" s="70"/>
      <c r="U3" s="70"/>
    </row>
    <row r="4" spans="1:24" ht="15" customHeight="1" x14ac:dyDescent="0.15">
      <c r="A4" s="67"/>
      <c r="B4" s="67"/>
      <c r="C4" s="67"/>
      <c r="D4" s="67"/>
      <c r="E4" s="67"/>
      <c r="F4" s="67"/>
      <c r="G4" s="67"/>
      <c r="H4" s="67"/>
      <c r="I4" s="67"/>
      <c r="J4" s="67"/>
      <c r="K4" s="67"/>
      <c r="L4" s="68"/>
      <c r="M4" s="71"/>
      <c r="N4" s="71"/>
      <c r="O4" s="71"/>
      <c r="P4" s="71"/>
      <c r="Q4" s="71"/>
      <c r="R4" s="71"/>
      <c r="S4" s="71"/>
      <c r="T4" s="71"/>
      <c r="U4" s="71"/>
    </row>
    <row r="5" spans="1:24" ht="18" customHeight="1" x14ac:dyDescent="0.15">
      <c r="A5" s="126" t="s">
        <v>38</v>
      </c>
      <c r="B5" s="126"/>
      <c r="C5" s="126"/>
      <c r="D5" s="126"/>
      <c r="E5" s="126"/>
      <c r="F5" s="126"/>
      <c r="G5" s="126"/>
      <c r="H5" s="126"/>
      <c r="I5" s="126"/>
      <c r="J5" s="126"/>
      <c r="K5" s="126"/>
      <c r="L5" s="126"/>
      <c r="M5" s="126"/>
      <c r="N5" s="126"/>
      <c r="O5" s="126"/>
      <c r="P5" s="126"/>
      <c r="Q5" s="126"/>
      <c r="R5" s="126"/>
      <c r="S5" s="126"/>
      <c r="T5" s="126"/>
      <c r="U5" s="126"/>
    </row>
    <row r="6" spans="1:24" ht="15" customHeight="1" x14ac:dyDescent="0.15">
      <c r="A6" s="67"/>
      <c r="B6" s="72"/>
      <c r="C6" s="72"/>
      <c r="D6" s="72"/>
      <c r="E6" s="72"/>
      <c r="F6" s="72"/>
      <c r="G6" s="72"/>
      <c r="H6" s="72"/>
      <c r="I6" s="72"/>
      <c r="J6" s="72"/>
      <c r="K6" s="72"/>
      <c r="L6" s="72"/>
      <c r="M6" s="72"/>
      <c r="N6" s="72"/>
      <c r="O6" s="72"/>
      <c r="P6" s="72"/>
      <c r="Q6" s="72"/>
      <c r="R6" s="72"/>
      <c r="S6" s="72"/>
      <c r="T6" s="72"/>
      <c r="U6" s="72"/>
    </row>
    <row r="7" spans="1:24" ht="15" customHeight="1" x14ac:dyDescent="0.15">
      <c r="A7" s="67" t="s">
        <v>131</v>
      </c>
      <c r="B7" s="72"/>
      <c r="C7" s="72"/>
      <c r="D7" s="72"/>
      <c r="E7" s="72"/>
      <c r="F7" s="66"/>
      <c r="G7" s="66"/>
      <c r="H7" s="66"/>
      <c r="I7" s="66"/>
      <c r="J7" s="66"/>
      <c r="K7" s="66"/>
      <c r="L7" s="98" t="s">
        <v>138</v>
      </c>
      <c r="M7" s="99"/>
      <c r="N7" s="99"/>
      <c r="O7" s="99"/>
      <c r="P7" s="99"/>
      <c r="Q7" s="99"/>
      <c r="R7" s="99"/>
      <c r="S7" s="99"/>
      <c r="T7" s="99"/>
      <c r="U7" s="100"/>
    </row>
    <row r="8" spans="1:24" ht="6" customHeight="1" x14ac:dyDescent="0.15">
      <c r="A8" s="67"/>
      <c r="B8" s="72"/>
      <c r="C8" s="72"/>
      <c r="D8" s="72"/>
      <c r="E8" s="72"/>
      <c r="F8" s="72"/>
      <c r="G8" s="72"/>
      <c r="H8" s="72"/>
      <c r="I8" s="72"/>
      <c r="J8" s="72"/>
      <c r="K8" s="72"/>
      <c r="L8" s="72"/>
      <c r="M8" s="72"/>
      <c r="N8" s="72"/>
      <c r="O8" s="72"/>
      <c r="P8" s="72"/>
      <c r="Q8" s="72"/>
      <c r="R8" s="72"/>
      <c r="S8" s="72"/>
      <c r="T8" s="72"/>
      <c r="U8" s="72"/>
    </row>
    <row r="9" spans="1:24" ht="18" customHeight="1" x14ac:dyDescent="0.15">
      <c r="A9" s="67" t="s">
        <v>132</v>
      </c>
      <c r="B9" s="67"/>
      <c r="C9" s="72"/>
      <c r="D9" s="72"/>
      <c r="E9" s="67"/>
      <c r="F9" s="67"/>
      <c r="G9" s="67"/>
      <c r="H9" s="67"/>
      <c r="I9" s="67"/>
      <c r="J9" s="67"/>
      <c r="K9" s="68"/>
      <c r="L9" s="66"/>
      <c r="M9" s="66"/>
      <c r="N9" s="66"/>
      <c r="O9" s="66"/>
      <c r="P9" s="66"/>
      <c r="Q9" s="66"/>
      <c r="R9" s="66"/>
      <c r="S9" s="66"/>
      <c r="T9" s="66"/>
      <c r="U9" s="66"/>
    </row>
    <row r="10" spans="1:24" ht="6" customHeight="1" x14ac:dyDescent="0.15">
      <c r="A10" s="67"/>
      <c r="B10" s="72"/>
      <c r="C10" s="72"/>
      <c r="D10" s="72"/>
      <c r="E10" s="72"/>
      <c r="F10" s="72"/>
      <c r="G10" s="72"/>
      <c r="H10" s="72"/>
      <c r="I10" s="72"/>
      <c r="J10" s="72"/>
      <c r="K10" s="72"/>
      <c r="L10" s="73"/>
      <c r="M10" s="72"/>
      <c r="N10" s="72"/>
      <c r="O10" s="72"/>
      <c r="P10" s="72"/>
      <c r="Q10" s="72"/>
      <c r="R10" s="72"/>
      <c r="S10" s="72"/>
      <c r="T10" s="72"/>
      <c r="U10" s="72"/>
    </row>
    <row r="11" spans="1:24" ht="18" customHeight="1" x14ac:dyDescent="0.15">
      <c r="A11" s="67"/>
      <c r="B11" s="106"/>
      <c r="C11" s="107"/>
      <c r="D11" s="107"/>
      <c r="E11" s="107"/>
      <c r="F11" s="107"/>
      <c r="G11" s="107"/>
      <c r="H11" s="107"/>
      <c r="I11" s="107"/>
      <c r="J11" s="107"/>
      <c r="K11" s="107"/>
      <c r="L11" s="107"/>
      <c r="M11" s="107"/>
      <c r="N11" s="107"/>
      <c r="O11" s="107"/>
      <c r="P11" s="107"/>
      <c r="Q11" s="107"/>
      <c r="R11" s="107"/>
      <c r="S11" s="107"/>
      <c r="T11" s="107"/>
      <c r="U11" s="108"/>
    </row>
    <row r="12" spans="1:24" ht="18" customHeight="1" x14ac:dyDescent="0.15">
      <c r="A12" s="67"/>
      <c r="B12" s="109"/>
      <c r="C12" s="110"/>
      <c r="D12" s="110"/>
      <c r="E12" s="110"/>
      <c r="F12" s="110"/>
      <c r="G12" s="110"/>
      <c r="H12" s="110"/>
      <c r="I12" s="110"/>
      <c r="J12" s="110"/>
      <c r="K12" s="110"/>
      <c r="L12" s="110"/>
      <c r="M12" s="110"/>
      <c r="N12" s="110"/>
      <c r="O12" s="110"/>
      <c r="P12" s="110"/>
      <c r="Q12" s="110"/>
      <c r="R12" s="110"/>
      <c r="S12" s="110"/>
      <c r="T12" s="110"/>
      <c r="U12" s="111"/>
    </row>
    <row r="13" spans="1:24" ht="6" customHeight="1" x14ac:dyDescent="0.15">
      <c r="A13" s="67"/>
      <c r="B13" s="72"/>
      <c r="C13" s="72"/>
      <c r="D13" s="72"/>
      <c r="E13" s="72"/>
      <c r="F13" s="72"/>
      <c r="G13" s="72"/>
      <c r="H13" s="72"/>
      <c r="I13" s="72"/>
      <c r="J13" s="72"/>
      <c r="K13" s="72"/>
      <c r="L13" s="73"/>
      <c r="M13" s="72"/>
      <c r="N13" s="72"/>
      <c r="O13" s="72"/>
      <c r="P13" s="72"/>
      <c r="Q13" s="72"/>
      <c r="R13" s="72"/>
      <c r="S13" s="72"/>
      <c r="T13" s="72"/>
      <c r="U13" s="72"/>
    </row>
    <row r="14" spans="1:24" ht="18" customHeight="1" x14ac:dyDescent="0.15">
      <c r="A14" s="67" t="s">
        <v>101</v>
      </c>
      <c r="B14" s="72"/>
      <c r="C14" s="72"/>
      <c r="D14" s="72"/>
      <c r="E14" s="68"/>
      <c r="F14" s="68"/>
      <c r="G14" s="68"/>
      <c r="H14" s="68"/>
      <c r="I14" s="68"/>
      <c r="J14" s="68"/>
      <c r="K14" s="68"/>
      <c r="L14" s="74"/>
      <c r="M14" s="74"/>
      <c r="N14" s="74"/>
      <c r="O14" s="74"/>
      <c r="P14" s="74"/>
      <c r="Q14" s="74"/>
      <c r="R14" s="74"/>
      <c r="S14" s="74"/>
      <c r="T14" s="74"/>
      <c r="U14" s="74"/>
    </row>
    <row r="15" spans="1:24" ht="18" customHeight="1" x14ac:dyDescent="0.15">
      <c r="A15" s="67"/>
      <c r="B15" s="127" t="s">
        <v>159</v>
      </c>
      <c r="C15" s="128"/>
      <c r="D15" s="128"/>
      <c r="E15" s="128"/>
      <c r="F15" s="128"/>
      <c r="G15" s="128"/>
      <c r="H15" s="128"/>
      <c r="I15" s="128"/>
      <c r="J15" s="128"/>
      <c r="K15" s="128"/>
      <c r="L15" s="128"/>
      <c r="M15" s="128"/>
      <c r="N15" s="128"/>
      <c r="O15" s="128"/>
      <c r="P15" s="128"/>
      <c r="Q15" s="128"/>
      <c r="R15" s="128"/>
      <c r="S15" s="128"/>
      <c r="T15" s="128"/>
      <c r="U15" s="129"/>
      <c r="X15" s="1" t="s">
        <v>95</v>
      </c>
    </row>
    <row r="16" spans="1:24" ht="18" customHeight="1" x14ac:dyDescent="0.15">
      <c r="A16" s="67"/>
      <c r="B16" s="130"/>
      <c r="C16" s="131"/>
      <c r="D16" s="131"/>
      <c r="E16" s="131"/>
      <c r="F16" s="131"/>
      <c r="G16" s="131"/>
      <c r="H16" s="131"/>
      <c r="I16" s="131"/>
      <c r="J16" s="131"/>
      <c r="K16" s="131"/>
      <c r="L16" s="131"/>
      <c r="M16" s="131"/>
      <c r="N16" s="131"/>
      <c r="O16" s="131"/>
      <c r="P16" s="131"/>
      <c r="Q16" s="131"/>
      <c r="R16" s="131"/>
      <c r="S16" s="131"/>
      <c r="T16" s="131"/>
      <c r="U16" s="132"/>
      <c r="X16" s="1" t="s">
        <v>115</v>
      </c>
    </row>
    <row r="17" spans="1:24" ht="18" customHeight="1" x14ac:dyDescent="0.15">
      <c r="A17" s="67"/>
      <c r="B17" s="130"/>
      <c r="C17" s="131"/>
      <c r="D17" s="131"/>
      <c r="E17" s="131"/>
      <c r="F17" s="131"/>
      <c r="G17" s="131"/>
      <c r="H17" s="131"/>
      <c r="I17" s="131"/>
      <c r="J17" s="131"/>
      <c r="K17" s="131"/>
      <c r="L17" s="131"/>
      <c r="M17" s="131"/>
      <c r="N17" s="131"/>
      <c r="O17" s="131"/>
      <c r="P17" s="131"/>
      <c r="Q17" s="131"/>
      <c r="R17" s="131"/>
      <c r="S17" s="131"/>
      <c r="T17" s="131"/>
      <c r="U17" s="132"/>
      <c r="X17" s="1" t="s">
        <v>116</v>
      </c>
    </row>
    <row r="18" spans="1:24" ht="18" customHeight="1" x14ac:dyDescent="0.15">
      <c r="A18" s="67"/>
      <c r="B18" s="130"/>
      <c r="C18" s="131"/>
      <c r="D18" s="131"/>
      <c r="E18" s="131"/>
      <c r="F18" s="131"/>
      <c r="G18" s="131"/>
      <c r="H18" s="131"/>
      <c r="I18" s="131"/>
      <c r="J18" s="131"/>
      <c r="K18" s="131"/>
      <c r="L18" s="131"/>
      <c r="M18" s="131"/>
      <c r="N18" s="131"/>
      <c r="O18" s="131"/>
      <c r="P18" s="131"/>
      <c r="Q18" s="131"/>
      <c r="R18" s="131"/>
      <c r="S18" s="131"/>
      <c r="T18" s="131"/>
      <c r="U18" s="132"/>
      <c r="X18" s="1" t="s">
        <v>117</v>
      </c>
    </row>
    <row r="19" spans="1:24" ht="18" customHeight="1" x14ac:dyDescent="0.15">
      <c r="A19" s="67"/>
      <c r="B19" s="130"/>
      <c r="C19" s="131"/>
      <c r="D19" s="131"/>
      <c r="E19" s="131"/>
      <c r="F19" s="131"/>
      <c r="G19" s="131"/>
      <c r="H19" s="131"/>
      <c r="I19" s="131"/>
      <c r="J19" s="131"/>
      <c r="K19" s="131"/>
      <c r="L19" s="131"/>
      <c r="M19" s="131"/>
      <c r="N19" s="131"/>
      <c r="O19" s="131"/>
      <c r="P19" s="131"/>
      <c r="Q19" s="131"/>
      <c r="R19" s="131"/>
      <c r="S19" s="131"/>
      <c r="T19" s="131"/>
      <c r="U19" s="132"/>
    </row>
    <row r="20" spans="1:24" ht="18" customHeight="1" x14ac:dyDescent="0.15">
      <c r="A20" s="67"/>
      <c r="B20" s="133"/>
      <c r="C20" s="134"/>
      <c r="D20" s="134"/>
      <c r="E20" s="134"/>
      <c r="F20" s="134"/>
      <c r="G20" s="134"/>
      <c r="H20" s="134"/>
      <c r="I20" s="134"/>
      <c r="J20" s="134"/>
      <c r="K20" s="134"/>
      <c r="L20" s="134"/>
      <c r="M20" s="134"/>
      <c r="N20" s="134"/>
      <c r="O20" s="134"/>
      <c r="P20" s="134"/>
      <c r="Q20" s="134"/>
      <c r="R20" s="134"/>
      <c r="S20" s="134"/>
      <c r="T20" s="134"/>
      <c r="U20" s="135"/>
    </row>
    <row r="21" spans="1:24" ht="7.5" customHeight="1" x14ac:dyDescent="0.15">
      <c r="A21" s="67"/>
      <c r="B21" s="72"/>
      <c r="C21" s="72"/>
      <c r="D21" s="72"/>
      <c r="E21" s="72"/>
      <c r="F21" s="72"/>
      <c r="G21" s="72"/>
      <c r="H21" s="72"/>
      <c r="I21" s="72"/>
      <c r="J21" s="72"/>
      <c r="K21" s="72"/>
      <c r="L21" s="72"/>
      <c r="M21" s="72"/>
      <c r="N21" s="72"/>
      <c r="O21" s="72"/>
      <c r="P21" s="72"/>
      <c r="Q21" s="72"/>
      <c r="R21" s="72"/>
      <c r="S21" s="72"/>
      <c r="T21" s="72"/>
      <c r="U21" s="72"/>
    </row>
    <row r="22" spans="1:24" ht="19.899999999999999" customHeight="1" x14ac:dyDescent="0.15">
      <c r="A22" s="67"/>
      <c r="B22" s="67" t="s">
        <v>133</v>
      </c>
      <c r="C22" s="67"/>
      <c r="D22" s="67"/>
      <c r="E22" s="75">
        <v>2</v>
      </c>
      <c r="F22" s="67" t="s">
        <v>113</v>
      </c>
      <c r="G22" s="67"/>
      <c r="H22" s="76">
        <v>4</v>
      </c>
      <c r="I22" s="72" t="s">
        <v>114</v>
      </c>
      <c r="J22" s="72"/>
      <c r="K22" s="68"/>
      <c r="L22" s="67"/>
      <c r="M22" s="68" t="s">
        <v>110</v>
      </c>
      <c r="N22" s="95" t="s">
        <v>117</v>
      </c>
      <c r="O22" s="96"/>
      <c r="P22" s="96"/>
      <c r="Q22" s="96"/>
      <c r="R22" s="96"/>
      <c r="S22" s="96"/>
      <c r="T22" s="96"/>
      <c r="U22" s="97"/>
    </row>
    <row r="23" spans="1:24" ht="7.5" customHeight="1" x14ac:dyDescent="0.15">
      <c r="A23" s="67"/>
      <c r="B23" s="72"/>
      <c r="C23" s="72"/>
      <c r="D23" s="72"/>
      <c r="E23" s="72"/>
      <c r="F23" s="72"/>
      <c r="G23" s="72"/>
      <c r="H23" s="72"/>
      <c r="I23" s="72"/>
      <c r="J23" s="72"/>
      <c r="K23" s="72"/>
      <c r="L23" s="72"/>
      <c r="M23" s="72"/>
      <c r="N23" s="72"/>
      <c r="O23" s="72"/>
      <c r="P23" s="72"/>
      <c r="Q23" s="72"/>
      <c r="R23" s="72"/>
      <c r="S23" s="72"/>
      <c r="T23" s="72"/>
      <c r="U23" s="72"/>
    </row>
    <row r="24" spans="1:24" ht="18" customHeight="1" x14ac:dyDescent="0.15">
      <c r="A24" s="136" t="s">
        <v>102</v>
      </c>
      <c r="B24" s="136"/>
      <c r="C24" s="136"/>
      <c r="D24" s="136"/>
      <c r="E24" s="136"/>
      <c r="F24" s="136"/>
      <c r="G24" s="136"/>
      <c r="H24" s="136"/>
      <c r="I24" s="136"/>
      <c r="J24" s="136"/>
      <c r="K24" s="136"/>
      <c r="L24" s="136"/>
      <c r="M24" s="136"/>
      <c r="N24" s="136"/>
      <c r="O24" s="136"/>
      <c r="P24" s="136"/>
      <c r="Q24" s="136"/>
      <c r="R24" s="136"/>
      <c r="S24" s="136"/>
      <c r="T24" s="136"/>
      <c r="U24" s="136"/>
    </row>
    <row r="25" spans="1:24" ht="18" customHeight="1" x14ac:dyDescent="0.15">
      <c r="A25" s="136"/>
      <c r="B25" s="136"/>
      <c r="C25" s="136"/>
      <c r="D25" s="136"/>
      <c r="E25" s="136"/>
      <c r="F25" s="136"/>
      <c r="G25" s="136"/>
      <c r="H25" s="136"/>
      <c r="I25" s="136"/>
      <c r="J25" s="136"/>
      <c r="K25" s="136"/>
      <c r="L25" s="136"/>
      <c r="M25" s="136"/>
      <c r="N25" s="136"/>
      <c r="O25" s="136"/>
      <c r="P25" s="136"/>
      <c r="Q25" s="136"/>
      <c r="R25" s="136"/>
      <c r="S25" s="136"/>
      <c r="T25" s="136"/>
      <c r="U25" s="136"/>
    </row>
    <row r="26" spans="1:24" ht="18" customHeight="1" x14ac:dyDescent="0.15">
      <c r="B26" s="118" t="s">
        <v>52</v>
      </c>
      <c r="C26" s="119"/>
      <c r="D26" s="119"/>
      <c r="E26" s="119"/>
      <c r="F26" s="123"/>
      <c r="G26" s="43" t="s">
        <v>78</v>
      </c>
      <c r="H26" s="42" t="s">
        <v>81</v>
      </c>
      <c r="I26" s="16" t="s">
        <v>55</v>
      </c>
      <c r="J26" s="16" t="s">
        <v>58</v>
      </c>
      <c r="K26" s="118" t="s">
        <v>52</v>
      </c>
      <c r="L26" s="119"/>
      <c r="M26" s="119"/>
      <c r="N26" s="119"/>
      <c r="O26" s="119"/>
      <c r="P26" s="119"/>
      <c r="Q26" s="123"/>
      <c r="R26" s="43" t="s">
        <v>78</v>
      </c>
      <c r="S26" s="42" t="s">
        <v>81</v>
      </c>
      <c r="T26" s="16" t="s">
        <v>55</v>
      </c>
      <c r="U26" s="16" t="s">
        <v>58</v>
      </c>
    </row>
    <row r="27" spans="1:24" ht="18" customHeight="1" x14ac:dyDescent="0.15">
      <c r="B27" s="120" t="s">
        <v>156</v>
      </c>
      <c r="C27" s="121"/>
      <c r="D27" s="121"/>
      <c r="E27" s="121"/>
      <c r="F27" s="122"/>
      <c r="G27" s="17">
        <v>2</v>
      </c>
      <c r="H27" s="17" t="s">
        <v>139</v>
      </c>
      <c r="I27" s="17" t="s">
        <v>139</v>
      </c>
      <c r="J27" s="17" t="s">
        <v>139</v>
      </c>
      <c r="K27" s="120"/>
      <c r="L27" s="121"/>
      <c r="M27" s="121"/>
      <c r="N27" s="121"/>
      <c r="O27" s="121"/>
      <c r="P27" s="121"/>
      <c r="Q27" s="122"/>
      <c r="R27" s="17"/>
      <c r="S27" s="17"/>
      <c r="T27" s="17"/>
      <c r="U27" s="17"/>
    </row>
    <row r="28" spans="1:24" ht="18" customHeight="1" x14ac:dyDescent="0.15">
      <c r="B28" s="112"/>
      <c r="C28" s="113"/>
      <c r="D28" s="113"/>
      <c r="E28" s="113"/>
      <c r="F28" s="114"/>
      <c r="G28" s="18"/>
      <c r="H28" s="18"/>
      <c r="I28" s="18"/>
      <c r="J28" s="18"/>
      <c r="K28" s="112"/>
      <c r="L28" s="113"/>
      <c r="M28" s="113"/>
      <c r="N28" s="113"/>
      <c r="O28" s="113"/>
      <c r="P28" s="113"/>
      <c r="Q28" s="114"/>
      <c r="R28" s="18"/>
      <c r="S28" s="18"/>
      <c r="T28" s="18"/>
      <c r="U28" s="18"/>
    </row>
    <row r="29" spans="1:24" ht="18" customHeight="1" x14ac:dyDescent="0.15">
      <c r="B29" s="112"/>
      <c r="C29" s="113"/>
      <c r="D29" s="113"/>
      <c r="E29" s="113"/>
      <c r="F29" s="114"/>
      <c r="G29" s="18"/>
      <c r="H29" s="18"/>
      <c r="I29" s="18"/>
      <c r="J29" s="18"/>
      <c r="K29" s="112"/>
      <c r="L29" s="113"/>
      <c r="M29" s="113"/>
      <c r="N29" s="113"/>
      <c r="O29" s="113"/>
      <c r="P29" s="113"/>
      <c r="Q29" s="114"/>
      <c r="R29" s="18"/>
      <c r="S29" s="18"/>
      <c r="T29" s="18"/>
      <c r="U29" s="18"/>
    </row>
    <row r="30" spans="1:24" ht="18" customHeight="1" x14ac:dyDescent="0.15">
      <c r="B30" s="112"/>
      <c r="C30" s="113"/>
      <c r="D30" s="113"/>
      <c r="E30" s="113"/>
      <c r="F30" s="114"/>
      <c r="G30" s="18"/>
      <c r="H30" s="18"/>
      <c r="I30" s="18"/>
      <c r="J30" s="18"/>
      <c r="K30" s="112"/>
      <c r="L30" s="113"/>
      <c r="M30" s="113"/>
      <c r="N30" s="113"/>
      <c r="O30" s="113"/>
      <c r="P30" s="113"/>
      <c r="Q30" s="114"/>
      <c r="R30" s="18"/>
      <c r="S30" s="18"/>
      <c r="T30" s="18"/>
      <c r="U30" s="18"/>
    </row>
    <row r="31" spans="1:24" ht="18" customHeight="1" x14ac:dyDescent="0.15">
      <c r="B31" s="112"/>
      <c r="C31" s="113"/>
      <c r="D31" s="113"/>
      <c r="E31" s="113"/>
      <c r="F31" s="114"/>
      <c r="G31" s="18"/>
      <c r="H31" s="18"/>
      <c r="I31" s="18"/>
      <c r="J31" s="18"/>
      <c r="K31" s="112"/>
      <c r="L31" s="113"/>
      <c r="M31" s="113"/>
      <c r="N31" s="113"/>
      <c r="O31" s="113"/>
      <c r="P31" s="113"/>
      <c r="Q31" s="114"/>
      <c r="R31" s="18"/>
      <c r="S31" s="18"/>
      <c r="T31" s="18"/>
      <c r="U31" s="18"/>
    </row>
    <row r="32" spans="1:24" ht="18" customHeight="1" x14ac:dyDescent="0.15">
      <c r="A32" s="3"/>
      <c r="B32" s="112"/>
      <c r="C32" s="113"/>
      <c r="D32" s="113"/>
      <c r="E32" s="113"/>
      <c r="F32" s="114"/>
      <c r="G32" s="18"/>
      <c r="H32" s="18"/>
      <c r="I32" s="18"/>
      <c r="J32" s="18"/>
      <c r="K32" s="112"/>
      <c r="L32" s="113"/>
      <c r="M32" s="113"/>
      <c r="N32" s="113"/>
      <c r="O32" s="113"/>
      <c r="P32" s="113"/>
      <c r="Q32" s="114"/>
      <c r="R32" s="18"/>
      <c r="S32" s="18"/>
      <c r="T32" s="18"/>
      <c r="U32" s="18"/>
    </row>
    <row r="33" spans="1:21" ht="18" customHeight="1" x14ac:dyDescent="0.15">
      <c r="A33" s="3"/>
      <c r="B33" s="115"/>
      <c r="C33" s="116"/>
      <c r="D33" s="116"/>
      <c r="E33" s="116"/>
      <c r="F33" s="117"/>
      <c r="G33" s="19"/>
      <c r="H33" s="19"/>
      <c r="I33" s="20"/>
      <c r="J33" s="20"/>
      <c r="K33" s="115"/>
      <c r="L33" s="116"/>
      <c r="M33" s="116"/>
      <c r="N33" s="116"/>
      <c r="O33" s="116"/>
      <c r="P33" s="116"/>
      <c r="Q33" s="117"/>
      <c r="R33" s="19"/>
      <c r="S33" s="19"/>
      <c r="T33" s="20"/>
      <c r="U33" s="20"/>
    </row>
    <row r="34" spans="1:21" ht="7.5" customHeight="1" x14ac:dyDescent="0.15">
      <c r="A34" s="3"/>
      <c r="B34" s="6"/>
      <c r="C34" s="6"/>
      <c r="D34" s="6"/>
      <c r="E34" s="3"/>
      <c r="F34" s="3"/>
      <c r="G34" s="3"/>
      <c r="H34" s="3"/>
      <c r="I34" s="6"/>
      <c r="J34" s="6"/>
      <c r="K34" s="6"/>
      <c r="L34" s="6"/>
      <c r="M34" s="6"/>
      <c r="N34" s="6"/>
      <c r="O34" s="6"/>
      <c r="P34" s="6"/>
      <c r="Q34" s="6"/>
      <c r="R34" s="6"/>
      <c r="S34" s="6"/>
      <c r="T34" s="6"/>
      <c r="U34" s="3"/>
    </row>
    <row r="35" spans="1:21" ht="18" customHeight="1" x14ac:dyDescent="0.15">
      <c r="A35" s="124" t="s">
        <v>103</v>
      </c>
      <c r="B35" s="124"/>
      <c r="C35" s="124"/>
      <c r="D35" s="124"/>
      <c r="E35" s="124"/>
      <c r="F35" s="124"/>
      <c r="G35" s="124"/>
      <c r="H35" s="124"/>
      <c r="I35" s="124"/>
      <c r="J35" s="124"/>
      <c r="K35" s="124"/>
      <c r="L35" s="124"/>
      <c r="M35" s="124"/>
      <c r="N35" s="124"/>
      <c r="O35" s="124"/>
      <c r="P35" s="124"/>
      <c r="Q35" s="124"/>
      <c r="R35" s="124"/>
      <c r="S35" s="124"/>
      <c r="T35" s="124"/>
      <c r="U35" s="124"/>
    </row>
    <row r="36" spans="1:21" ht="18" customHeight="1" x14ac:dyDescent="0.15">
      <c r="A36" s="124"/>
      <c r="B36" s="124"/>
      <c r="C36" s="124"/>
      <c r="D36" s="124"/>
      <c r="E36" s="124"/>
      <c r="F36" s="124"/>
      <c r="G36" s="124"/>
      <c r="H36" s="124"/>
      <c r="I36" s="124"/>
      <c r="J36" s="124"/>
      <c r="K36" s="124"/>
      <c r="L36" s="124"/>
      <c r="M36" s="124"/>
      <c r="N36" s="124"/>
      <c r="O36" s="124"/>
      <c r="P36" s="124"/>
      <c r="Q36" s="124"/>
      <c r="R36" s="124"/>
      <c r="S36" s="124"/>
      <c r="T36" s="124"/>
      <c r="U36" s="124"/>
    </row>
    <row r="37" spans="1:21" ht="18" customHeight="1" x14ac:dyDescent="0.15">
      <c r="B37" s="118" t="s">
        <v>52</v>
      </c>
      <c r="C37" s="119"/>
      <c r="D37" s="119"/>
      <c r="E37" s="119"/>
      <c r="F37" s="123"/>
      <c r="G37" s="43" t="s">
        <v>78</v>
      </c>
      <c r="H37" s="42" t="s">
        <v>81</v>
      </c>
      <c r="I37" s="16" t="s">
        <v>69</v>
      </c>
      <c r="J37" s="16" t="s">
        <v>70</v>
      </c>
      <c r="K37" s="118" t="s">
        <v>52</v>
      </c>
      <c r="L37" s="119"/>
      <c r="M37" s="119"/>
      <c r="N37" s="119"/>
      <c r="O37" s="119"/>
      <c r="P37" s="119"/>
      <c r="Q37" s="123"/>
      <c r="R37" s="43" t="s">
        <v>78</v>
      </c>
      <c r="S37" s="42" t="s">
        <v>81</v>
      </c>
      <c r="T37" s="16" t="s">
        <v>69</v>
      </c>
      <c r="U37" s="16" t="s">
        <v>70</v>
      </c>
    </row>
    <row r="38" spans="1:21" ht="18" customHeight="1" x14ac:dyDescent="0.15">
      <c r="B38" s="120" t="s">
        <v>156</v>
      </c>
      <c r="C38" s="121"/>
      <c r="D38" s="121"/>
      <c r="E38" s="121"/>
      <c r="F38" s="122"/>
      <c r="G38" s="17">
        <v>2</v>
      </c>
      <c r="H38" s="17" t="s">
        <v>139</v>
      </c>
      <c r="I38" s="17" t="s">
        <v>139</v>
      </c>
      <c r="J38" s="17" t="s">
        <v>139</v>
      </c>
      <c r="K38" s="120"/>
      <c r="L38" s="121"/>
      <c r="M38" s="121"/>
      <c r="N38" s="121"/>
      <c r="O38" s="121"/>
      <c r="P38" s="121"/>
      <c r="Q38" s="122"/>
      <c r="R38" s="17"/>
      <c r="S38" s="17"/>
      <c r="T38" s="17"/>
      <c r="U38" s="17"/>
    </row>
    <row r="39" spans="1:21" ht="18" customHeight="1" x14ac:dyDescent="0.15">
      <c r="B39" s="112"/>
      <c r="C39" s="113"/>
      <c r="D39" s="113"/>
      <c r="E39" s="113"/>
      <c r="F39" s="114"/>
      <c r="G39" s="18"/>
      <c r="H39" s="18"/>
      <c r="I39" s="18"/>
      <c r="J39" s="18"/>
      <c r="K39" s="112"/>
      <c r="L39" s="113"/>
      <c r="M39" s="113"/>
      <c r="N39" s="113"/>
      <c r="O39" s="113"/>
      <c r="P39" s="113"/>
      <c r="Q39" s="114"/>
      <c r="R39" s="18"/>
      <c r="S39" s="18"/>
      <c r="T39" s="18"/>
      <c r="U39" s="18"/>
    </row>
    <row r="40" spans="1:21" ht="18" customHeight="1" x14ac:dyDescent="0.15">
      <c r="B40" s="112"/>
      <c r="C40" s="113"/>
      <c r="D40" s="113"/>
      <c r="E40" s="113"/>
      <c r="F40" s="114"/>
      <c r="G40" s="18"/>
      <c r="H40" s="18"/>
      <c r="I40" s="18"/>
      <c r="J40" s="18"/>
      <c r="K40" s="112"/>
      <c r="L40" s="113"/>
      <c r="M40" s="113"/>
      <c r="N40" s="113"/>
      <c r="O40" s="113"/>
      <c r="P40" s="113"/>
      <c r="Q40" s="114"/>
      <c r="R40" s="18"/>
      <c r="S40" s="18"/>
      <c r="T40" s="18"/>
      <c r="U40" s="18"/>
    </row>
    <row r="41" spans="1:21" ht="18" customHeight="1" x14ac:dyDescent="0.15">
      <c r="B41" s="112"/>
      <c r="C41" s="113"/>
      <c r="D41" s="113"/>
      <c r="E41" s="113"/>
      <c r="F41" s="114"/>
      <c r="G41" s="18"/>
      <c r="H41" s="18"/>
      <c r="I41" s="18"/>
      <c r="J41" s="18"/>
      <c r="K41" s="112"/>
      <c r="L41" s="113"/>
      <c r="M41" s="113"/>
      <c r="N41" s="113"/>
      <c r="O41" s="113"/>
      <c r="P41" s="113"/>
      <c r="Q41" s="114"/>
      <c r="R41" s="18"/>
      <c r="S41" s="18"/>
      <c r="T41" s="18"/>
      <c r="U41" s="18"/>
    </row>
    <row r="42" spans="1:21" ht="18" customHeight="1" x14ac:dyDescent="0.15">
      <c r="B42" s="112"/>
      <c r="C42" s="113"/>
      <c r="D42" s="113"/>
      <c r="E42" s="113"/>
      <c r="F42" s="114"/>
      <c r="G42" s="18"/>
      <c r="H42" s="18"/>
      <c r="I42" s="18"/>
      <c r="J42" s="18"/>
      <c r="K42" s="112"/>
      <c r="L42" s="113"/>
      <c r="M42" s="113"/>
      <c r="N42" s="113"/>
      <c r="O42" s="113"/>
      <c r="P42" s="113"/>
      <c r="Q42" s="114"/>
      <c r="R42" s="18"/>
      <c r="S42" s="18"/>
      <c r="T42" s="18"/>
      <c r="U42" s="18"/>
    </row>
    <row r="43" spans="1:21" ht="18" customHeight="1" x14ac:dyDescent="0.15">
      <c r="B43" s="112"/>
      <c r="C43" s="113"/>
      <c r="D43" s="113"/>
      <c r="E43" s="113"/>
      <c r="F43" s="114"/>
      <c r="G43" s="18"/>
      <c r="H43" s="18"/>
      <c r="I43" s="18"/>
      <c r="J43" s="18"/>
      <c r="K43" s="112"/>
      <c r="L43" s="113"/>
      <c r="M43" s="113"/>
      <c r="N43" s="113"/>
      <c r="O43" s="113"/>
      <c r="P43" s="113"/>
      <c r="Q43" s="114"/>
      <c r="R43" s="18"/>
      <c r="S43" s="18"/>
      <c r="T43" s="18"/>
      <c r="U43" s="18"/>
    </row>
    <row r="44" spans="1:21" ht="18" customHeight="1" x14ac:dyDescent="0.15">
      <c r="B44" s="115"/>
      <c r="C44" s="116"/>
      <c r="D44" s="116"/>
      <c r="E44" s="116"/>
      <c r="F44" s="117"/>
      <c r="G44" s="19"/>
      <c r="H44" s="19"/>
      <c r="I44" s="20"/>
      <c r="J44" s="20"/>
      <c r="K44" s="115"/>
      <c r="L44" s="116"/>
      <c r="M44" s="116"/>
      <c r="N44" s="116"/>
      <c r="O44" s="116"/>
      <c r="P44" s="116"/>
      <c r="Q44" s="117"/>
      <c r="R44" s="19"/>
      <c r="S44" s="19"/>
      <c r="T44" s="20"/>
      <c r="U44" s="20"/>
    </row>
    <row r="45" spans="1:21" ht="7.5" customHeight="1" x14ac:dyDescent="0.15">
      <c r="A45" s="3"/>
      <c r="B45" s="6"/>
      <c r="C45" s="6"/>
      <c r="D45" s="6"/>
      <c r="E45" s="3"/>
      <c r="F45" s="3"/>
      <c r="G45" s="3"/>
      <c r="H45" s="3"/>
      <c r="I45" s="6"/>
      <c r="J45" s="6"/>
      <c r="K45" s="6"/>
      <c r="L45" s="6"/>
      <c r="M45" s="6"/>
      <c r="N45" s="6"/>
      <c r="O45" s="6"/>
      <c r="P45" s="6"/>
      <c r="Q45" s="6"/>
      <c r="R45" s="6"/>
      <c r="S45" s="6"/>
      <c r="T45" s="6"/>
      <c r="U45" s="3"/>
    </row>
    <row r="46" spans="1:21" ht="18" customHeight="1" x14ac:dyDescent="0.15">
      <c r="A46" s="124" t="s">
        <v>104</v>
      </c>
      <c r="B46" s="124"/>
      <c r="C46" s="124"/>
      <c r="D46" s="124"/>
      <c r="E46" s="124"/>
      <c r="F46" s="124"/>
      <c r="G46" s="124"/>
      <c r="H46" s="124"/>
      <c r="I46" s="124"/>
      <c r="J46" s="124"/>
      <c r="K46" s="124"/>
      <c r="L46" s="124"/>
      <c r="M46" s="124"/>
      <c r="N46" s="124"/>
      <c r="O46" s="124"/>
      <c r="P46" s="124"/>
      <c r="Q46" s="124"/>
      <c r="R46" s="124"/>
      <c r="S46" s="124"/>
      <c r="T46" s="124"/>
      <c r="U46" s="124"/>
    </row>
    <row r="47" spans="1:21" ht="18" customHeight="1" x14ac:dyDescent="0.15">
      <c r="A47" s="124"/>
      <c r="B47" s="124"/>
      <c r="C47" s="124"/>
      <c r="D47" s="124"/>
      <c r="E47" s="124"/>
      <c r="F47" s="124"/>
      <c r="G47" s="124"/>
      <c r="H47" s="124"/>
      <c r="I47" s="124"/>
      <c r="J47" s="124"/>
      <c r="K47" s="124"/>
      <c r="L47" s="124"/>
      <c r="M47" s="124"/>
      <c r="N47" s="124"/>
      <c r="O47" s="124"/>
      <c r="P47" s="124"/>
      <c r="Q47" s="124"/>
      <c r="R47" s="124"/>
      <c r="S47" s="124"/>
      <c r="T47" s="124"/>
      <c r="U47" s="124"/>
    </row>
    <row r="48" spans="1:21" ht="18" customHeight="1" x14ac:dyDescent="0.15">
      <c r="B48" s="118" t="s">
        <v>52</v>
      </c>
      <c r="C48" s="119"/>
      <c r="D48" s="119"/>
      <c r="E48" s="119"/>
      <c r="F48" s="123"/>
      <c r="G48" s="43" t="s">
        <v>78</v>
      </c>
      <c r="H48" s="42" t="s">
        <v>81</v>
      </c>
      <c r="I48" s="16" t="s">
        <v>71</v>
      </c>
      <c r="J48" s="16" t="s">
        <v>72</v>
      </c>
      <c r="K48" s="118" t="s">
        <v>52</v>
      </c>
      <c r="L48" s="119"/>
      <c r="M48" s="119"/>
      <c r="N48" s="119"/>
      <c r="O48" s="119"/>
      <c r="P48" s="119"/>
      <c r="Q48" s="123"/>
      <c r="R48" s="43" t="s">
        <v>78</v>
      </c>
      <c r="S48" s="42" t="s">
        <v>81</v>
      </c>
      <c r="T48" s="16" t="s">
        <v>71</v>
      </c>
      <c r="U48" s="16" t="s">
        <v>72</v>
      </c>
    </row>
    <row r="49" spans="1:21" ht="18" customHeight="1" x14ac:dyDescent="0.15">
      <c r="A49" s="3"/>
      <c r="B49" s="120" t="s">
        <v>156</v>
      </c>
      <c r="C49" s="121"/>
      <c r="D49" s="121"/>
      <c r="E49" s="121"/>
      <c r="F49" s="122"/>
      <c r="G49" s="17">
        <v>2</v>
      </c>
      <c r="H49" s="17" t="s">
        <v>139</v>
      </c>
      <c r="I49" s="17" t="s">
        <v>139</v>
      </c>
      <c r="J49" s="17" t="s">
        <v>139</v>
      </c>
      <c r="K49" s="120"/>
      <c r="L49" s="121"/>
      <c r="M49" s="121"/>
      <c r="N49" s="121"/>
      <c r="O49" s="121"/>
      <c r="P49" s="121"/>
      <c r="Q49" s="122"/>
      <c r="R49" s="17"/>
      <c r="S49" s="17"/>
      <c r="T49" s="17"/>
      <c r="U49" s="17"/>
    </row>
    <row r="50" spans="1:21" ht="18" customHeight="1" x14ac:dyDescent="0.15">
      <c r="A50" s="3"/>
      <c r="B50" s="112"/>
      <c r="C50" s="113"/>
      <c r="D50" s="113"/>
      <c r="E50" s="113"/>
      <c r="F50" s="114"/>
      <c r="G50" s="18"/>
      <c r="H50" s="18"/>
      <c r="I50" s="18"/>
      <c r="J50" s="18"/>
      <c r="K50" s="112"/>
      <c r="L50" s="113"/>
      <c r="M50" s="113"/>
      <c r="N50" s="113"/>
      <c r="O50" s="113"/>
      <c r="P50" s="113"/>
      <c r="Q50" s="114"/>
      <c r="R50" s="18"/>
      <c r="S50" s="18"/>
      <c r="T50" s="18"/>
      <c r="U50" s="18"/>
    </row>
    <row r="51" spans="1:21" ht="18" customHeight="1" x14ac:dyDescent="0.15">
      <c r="A51" s="3"/>
      <c r="B51" s="112"/>
      <c r="C51" s="113"/>
      <c r="D51" s="113"/>
      <c r="E51" s="113"/>
      <c r="F51" s="114"/>
      <c r="G51" s="18"/>
      <c r="H51" s="18"/>
      <c r="I51" s="18"/>
      <c r="J51" s="18"/>
      <c r="K51" s="112"/>
      <c r="L51" s="113"/>
      <c r="M51" s="113"/>
      <c r="N51" s="113"/>
      <c r="O51" s="113"/>
      <c r="P51" s="113"/>
      <c r="Q51" s="114"/>
      <c r="R51" s="18"/>
      <c r="S51" s="18"/>
      <c r="T51" s="18"/>
      <c r="U51" s="18"/>
    </row>
    <row r="52" spans="1:21" ht="18" customHeight="1" x14ac:dyDescent="0.15">
      <c r="A52" s="3"/>
      <c r="B52" s="112"/>
      <c r="C52" s="113"/>
      <c r="D52" s="113"/>
      <c r="E52" s="113"/>
      <c r="F52" s="114"/>
      <c r="G52" s="18"/>
      <c r="H52" s="18"/>
      <c r="I52" s="18"/>
      <c r="J52" s="18"/>
      <c r="K52" s="112"/>
      <c r="L52" s="113"/>
      <c r="M52" s="113"/>
      <c r="N52" s="113"/>
      <c r="O52" s="113"/>
      <c r="P52" s="113"/>
      <c r="Q52" s="114"/>
      <c r="R52" s="18"/>
      <c r="S52" s="18"/>
      <c r="T52" s="18"/>
      <c r="U52" s="18"/>
    </row>
    <row r="53" spans="1:21" ht="18" customHeight="1" x14ac:dyDescent="0.15">
      <c r="A53" s="3"/>
      <c r="B53" s="112"/>
      <c r="C53" s="113"/>
      <c r="D53" s="113"/>
      <c r="E53" s="113"/>
      <c r="F53" s="114"/>
      <c r="G53" s="18"/>
      <c r="H53" s="18"/>
      <c r="I53" s="18"/>
      <c r="J53" s="18"/>
      <c r="K53" s="112"/>
      <c r="L53" s="113"/>
      <c r="M53" s="113"/>
      <c r="N53" s="113"/>
      <c r="O53" s="113"/>
      <c r="P53" s="113"/>
      <c r="Q53" s="114"/>
      <c r="R53" s="18"/>
      <c r="S53" s="18"/>
      <c r="T53" s="18"/>
      <c r="U53" s="18"/>
    </row>
    <row r="54" spans="1:21" ht="18" customHeight="1" x14ac:dyDescent="0.15">
      <c r="A54" s="3"/>
      <c r="B54" s="112"/>
      <c r="C54" s="113"/>
      <c r="D54" s="113"/>
      <c r="E54" s="113"/>
      <c r="F54" s="114"/>
      <c r="G54" s="18"/>
      <c r="H54" s="18"/>
      <c r="I54" s="18"/>
      <c r="J54" s="18"/>
      <c r="K54" s="112"/>
      <c r="L54" s="113"/>
      <c r="M54" s="113"/>
      <c r="N54" s="113"/>
      <c r="O54" s="113"/>
      <c r="P54" s="113"/>
      <c r="Q54" s="114"/>
      <c r="R54" s="18"/>
      <c r="S54" s="18"/>
      <c r="T54" s="18"/>
      <c r="U54" s="18"/>
    </row>
    <row r="55" spans="1:21" ht="18" customHeight="1" x14ac:dyDescent="0.15">
      <c r="A55" s="3"/>
      <c r="B55" s="115"/>
      <c r="C55" s="116"/>
      <c r="D55" s="116"/>
      <c r="E55" s="116"/>
      <c r="F55" s="117"/>
      <c r="G55" s="19"/>
      <c r="H55" s="19"/>
      <c r="I55" s="20"/>
      <c r="J55" s="20"/>
      <c r="K55" s="115"/>
      <c r="L55" s="116"/>
      <c r="M55" s="116"/>
      <c r="N55" s="116"/>
      <c r="O55" s="116"/>
      <c r="P55" s="116"/>
      <c r="Q55" s="117"/>
      <c r="R55" s="19"/>
      <c r="S55" s="19"/>
      <c r="T55" s="20"/>
      <c r="U55" s="20"/>
    </row>
    <row r="56" spans="1:21" ht="7.5" customHeight="1" x14ac:dyDescent="0.15">
      <c r="B56" s="14"/>
      <c r="C56" s="14"/>
      <c r="D56" s="14"/>
      <c r="E56" s="14"/>
      <c r="F56" s="14"/>
      <c r="G56" s="14"/>
      <c r="H56" s="14"/>
      <c r="I56" s="14"/>
      <c r="J56" s="14"/>
      <c r="K56" s="14"/>
      <c r="L56" s="14"/>
      <c r="M56" s="14"/>
      <c r="N56" s="14"/>
      <c r="O56" s="14"/>
      <c r="P56" s="14"/>
      <c r="Q56" s="14"/>
      <c r="R56" s="14"/>
      <c r="S56" s="14"/>
      <c r="T56" s="14"/>
    </row>
    <row r="57" spans="1:21" ht="18" customHeight="1" x14ac:dyDescent="0.15">
      <c r="A57" s="124" t="s">
        <v>105</v>
      </c>
      <c r="B57" s="124"/>
      <c r="C57" s="124"/>
      <c r="D57" s="124"/>
      <c r="E57" s="124"/>
      <c r="F57" s="124"/>
      <c r="G57" s="124"/>
      <c r="H57" s="124"/>
      <c r="I57" s="124"/>
      <c r="J57" s="124"/>
      <c r="K57" s="124"/>
      <c r="L57" s="124"/>
      <c r="M57" s="124"/>
      <c r="N57" s="124"/>
      <c r="O57" s="124"/>
      <c r="P57" s="124"/>
      <c r="Q57" s="124"/>
      <c r="R57" s="124"/>
      <c r="S57" s="124"/>
      <c r="T57" s="124"/>
      <c r="U57" s="124"/>
    </row>
    <row r="58" spans="1:21" ht="18" customHeight="1" x14ac:dyDescent="0.15">
      <c r="A58" s="124"/>
      <c r="B58" s="124"/>
      <c r="C58" s="124"/>
      <c r="D58" s="124"/>
      <c r="E58" s="124"/>
      <c r="F58" s="124"/>
      <c r="G58" s="124"/>
      <c r="H58" s="124"/>
      <c r="I58" s="124"/>
      <c r="J58" s="124"/>
      <c r="K58" s="124"/>
      <c r="L58" s="124"/>
      <c r="M58" s="124"/>
      <c r="N58" s="124"/>
      <c r="O58" s="124"/>
      <c r="P58" s="124"/>
      <c r="Q58" s="124"/>
      <c r="R58" s="124"/>
      <c r="S58" s="124"/>
      <c r="T58" s="124"/>
      <c r="U58" s="124"/>
    </row>
    <row r="59" spans="1:21" ht="18" customHeight="1" x14ac:dyDescent="0.15">
      <c r="B59" s="118" t="s">
        <v>52</v>
      </c>
      <c r="C59" s="119"/>
      <c r="D59" s="119"/>
      <c r="E59" s="119"/>
      <c r="F59" s="123"/>
      <c r="G59" s="43" t="s">
        <v>78</v>
      </c>
      <c r="H59" s="42" t="s">
        <v>81</v>
      </c>
      <c r="I59" s="16" t="s">
        <v>57</v>
      </c>
      <c r="J59" s="16" t="s">
        <v>59</v>
      </c>
      <c r="K59" s="118" t="s">
        <v>52</v>
      </c>
      <c r="L59" s="119"/>
      <c r="M59" s="119"/>
      <c r="N59" s="119"/>
      <c r="O59" s="119"/>
      <c r="P59" s="119"/>
      <c r="Q59" s="123"/>
      <c r="R59" s="43" t="s">
        <v>78</v>
      </c>
      <c r="S59" s="42" t="s">
        <v>81</v>
      </c>
      <c r="T59" s="16" t="s">
        <v>57</v>
      </c>
      <c r="U59" s="16" t="s">
        <v>59</v>
      </c>
    </row>
    <row r="60" spans="1:21" ht="18" customHeight="1" x14ac:dyDescent="0.15">
      <c r="A60" s="3"/>
      <c r="B60" s="120" t="s">
        <v>156</v>
      </c>
      <c r="C60" s="121"/>
      <c r="D60" s="121"/>
      <c r="E60" s="121"/>
      <c r="F60" s="122"/>
      <c r="G60" s="17">
        <v>2</v>
      </c>
      <c r="H60" s="17" t="s">
        <v>139</v>
      </c>
      <c r="I60" s="17" t="s">
        <v>139</v>
      </c>
      <c r="J60" s="17" t="s">
        <v>139</v>
      </c>
      <c r="K60" s="120"/>
      <c r="L60" s="121"/>
      <c r="M60" s="121"/>
      <c r="N60" s="121"/>
      <c r="O60" s="121"/>
      <c r="P60" s="121"/>
      <c r="Q60" s="122"/>
      <c r="R60" s="17"/>
      <c r="S60" s="17"/>
      <c r="T60" s="17"/>
      <c r="U60" s="17"/>
    </row>
    <row r="61" spans="1:21" ht="18" customHeight="1" x14ac:dyDescent="0.15">
      <c r="A61" s="3"/>
      <c r="B61" s="112"/>
      <c r="C61" s="113"/>
      <c r="D61" s="113"/>
      <c r="E61" s="113"/>
      <c r="F61" s="114"/>
      <c r="G61" s="18"/>
      <c r="H61" s="18"/>
      <c r="I61" s="18"/>
      <c r="J61" s="18"/>
      <c r="K61" s="112"/>
      <c r="L61" s="113"/>
      <c r="M61" s="113"/>
      <c r="N61" s="113"/>
      <c r="O61" s="113"/>
      <c r="P61" s="113"/>
      <c r="Q61" s="114"/>
      <c r="R61" s="18"/>
      <c r="S61" s="18"/>
      <c r="T61" s="18"/>
      <c r="U61" s="18"/>
    </row>
    <row r="62" spans="1:21" ht="18" customHeight="1" x14ac:dyDescent="0.15">
      <c r="A62" s="3"/>
      <c r="B62" s="112"/>
      <c r="C62" s="113"/>
      <c r="D62" s="113"/>
      <c r="E62" s="113"/>
      <c r="F62" s="114"/>
      <c r="G62" s="18"/>
      <c r="H62" s="18"/>
      <c r="I62" s="18"/>
      <c r="J62" s="18"/>
      <c r="K62" s="112"/>
      <c r="L62" s="113"/>
      <c r="M62" s="113"/>
      <c r="N62" s="113"/>
      <c r="O62" s="113"/>
      <c r="P62" s="113"/>
      <c r="Q62" s="114"/>
      <c r="R62" s="18"/>
      <c r="S62" s="18"/>
      <c r="T62" s="18"/>
      <c r="U62" s="18"/>
    </row>
    <row r="63" spans="1:21" ht="18" customHeight="1" x14ac:dyDescent="0.15">
      <c r="A63" s="3"/>
      <c r="B63" s="112"/>
      <c r="C63" s="113"/>
      <c r="D63" s="113"/>
      <c r="E63" s="113"/>
      <c r="F63" s="114"/>
      <c r="G63" s="18"/>
      <c r="H63" s="18"/>
      <c r="I63" s="18"/>
      <c r="J63" s="18"/>
      <c r="K63" s="112"/>
      <c r="L63" s="113"/>
      <c r="M63" s="113"/>
      <c r="N63" s="113"/>
      <c r="O63" s="113"/>
      <c r="P63" s="113"/>
      <c r="Q63" s="114"/>
      <c r="R63" s="18"/>
      <c r="S63" s="18"/>
      <c r="T63" s="18"/>
      <c r="U63" s="18"/>
    </row>
    <row r="64" spans="1:21" ht="18" customHeight="1" x14ac:dyDescent="0.15">
      <c r="A64" s="3"/>
      <c r="B64" s="112"/>
      <c r="C64" s="113"/>
      <c r="D64" s="113"/>
      <c r="E64" s="113"/>
      <c r="F64" s="114"/>
      <c r="G64" s="18"/>
      <c r="H64" s="18"/>
      <c r="I64" s="18"/>
      <c r="J64" s="18"/>
      <c r="K64" s="112"/>
      <c r="L64" s="113"/>
      <c r="M64" s="113"/>
      <c r="N64" s="113"/>
      <c r="O64" s="113"/>
      <c r="P64" s="113"/>
      <c r="Q64" s="114"/>
      <c r="R64" s="18"/>
      <c r="S64" s="18"/>
      <c r="T64" s="18"/>
      <c r="U64" s="18"/>
    </row>
    <row r="65" spans="1:21" ht="18" customHeight="1" x14ac:dyDescent="0.15">
      <c r="A65" s="3"/>
      <c r="B65" s="112"/>
      <c r="C65" s="113"/>
      <c r="D65" s="113"/>
      <c r="E65" s="113"/>
      <c r="F65" s="114"/>
      <c r="G65" s="18"/>
      <c r="H65" s="18"/>
      <c r="I65" s="18"/>
      <c r="J65" s="18"/>
      <c r="K65" s="112"/>
      <c r="L65" s="113"/>
      <c r="M65" s="113"/>
      <c r="N65" s="113"/>
      <c r="O65" s="113"/>
      <c r="P65" s="113"/>
      <c r="Q65" s="114"/>
      <c r="R65" s="18"/>
      <c r="S65" s="18"/>
      <c r="T65" s="18"/>
      <c r="U65" s="18"/>
    </row>
    <row r="66" spans="1:21" ht="18" customHeight="1" x14ac:dyDescent="0.15">
      <c r="A66" s="3"/>
      <c r="B66" s="115"/>
      <c r="C66" s="116"/>
      <c r="D66" s="116"/>
      <c r="E66" s="116"/>
      <c r="F66" s="117"/>
      <c r="G66" s="19"/>
      <c r="H66" s="19"/>
      <c r="I66" s="20"/>
      <c r="J66" s="20"/>
      <c r="K66" s="115"/>
      <c r="L66" s="116"/>
      <c r="M66" s="116"/>
      <c r="N66" s="116"/>
      <c r="O66" s="116"/>
      <c r="P66" s="116"/>
      <c r="Q66" s="117"/>
      <c r="R66" s="19"/>
      <c r="S66" s="19"/>
      <c r="T66" s="20"/>
      <c r="U66" s="20"/>
    </row>
    <row r="67" spans="1:21" ht="7.5" customHeight="1" x14ac:dyDescent="0.15">
      <c r="B67" s="14"/>
      <c r="C67" s="14"/>
      <c r="D67" s="14"/>
      <c r="E67" s="14"/>
      <c r="F67" s="14"/>
      <c r="G67" s="14"/>
      <c r="H67" s="14"/>
      <c r="I67" s="14"/>
      <c r="J67" s="14"/>
      <c r="K67" s="14"/>
      <c r="L67" s="14"/>
      <c r="M67" s="14"/>
      <c r="N67" s="14"/>
      <c r="O67" s="14"/>
      <c r="P67" s="14"/>
      <c r="Q67" s="14"/>
      <c r="R67" s="14"/>
      <c r="S67" s="14"/>
      <c r="T67" s="14"/>
    </row>
    <row r="68" spans="1:21" ht="18" customHeight="1" x14ac:dyDescent="0.15">
      <c r="A68" s="124" t="s">
        <v>106</v>
      </c>
      <c r="B68" s="124"/>
      <c r="C68" s="124"/>
      <c r="D68" s="124"/>
      <c r="E68" s="124"/>
      <c r="F68" s="124"/>
      <c r="G68" s="124"/>
      <c r="H68" s="124"/>
      <c r="I68" s="124"/>
      <c r="J68" s="124"/>
      <c r="K68" s="124"/>
      <c r="L68" s="124"/>
      <c r="M68" s="124"/>
      <c r="N68" s="124"/>
      <c r="O68" s="124"/>
      <c r="P68" s="124"/>
      <c r="Q68" s="124"/>
      <c r="R68" s="124"/>
      <c r="S68" s="124"/>
      <c r="T68" s="124"/>
      <c r="U68" s="124"/>
    </row>
    <row r="69" spans="1:21" ht="18" customHeight="1" x14ac:dyDescent="0.15">
      <c r="A69" s="124"/>
      <c r="B69" s="124"/>
      <c r="C69" s="124"/>
      <c r="D69" s="124"/>
      <c r="E69" s="124"/>
      <c r="F69" s="124"/>
      <c r="G69" s="124"/>
      <c r="H69" s="124"/>
      <c r="I69" s="124"/>
      <c r="J69" s="124"/>
      <c r="K69" s="124"/>
      <c r="L69" s="124"/>
      <c r="M69" s="124"/>
      <c r="N69" s="124"/>
      <c r="O69" s="124"/>
      <c r="P69" s="124"/>
      <c r="Q69" s="124"/>
      <c r="R69" s="124"/>
      <c r="S69" s="124"/>
      <c r="T69" s="124"/>
      <c r="U69" s="124"/>
    </row>
    <row r="70" spans="1:21" ht="18" customHeight="1" x14ac:dyDescent="0.15">
      <c r="B70" s="118" t="s">
        <v>52</v>
      </c>
      <c r="C70" s="119"/>
      <c r="D70" s="119"/>
      <c r="E70" s="119"/>
      <c r="F70" s="43" t="s">
        <v>78</v>
      </c>
      <c r="G70" s="42" t="s">
        <v>81</v>
      </c>
      <c r="H70" s="16" t="s">
        <v>93</v>
      </c>
      <c r="I70" s="16" t="s">
        <v>73</v>
      </c>
      <c r="J70" s="16" t="s">
        <v>74</v>
      </c>
      <c r="K70" s="118" t="s">
        <v>52</v>
      </c>
      <c r="L70" s="119"/>
      <c r="M70" s="119"/>
      <c r="N70" s="119"/>
      <c r="O70" s="119"/>
      <c r="P70" s="123"/>
      <c r="Q70" s="43" t="s">
        <v>78</v>
      </c>
      <c r="R70" s="42" t="s">
        <v>81</v>
      </c>
      <c r="S70" s="16" t="s">
        <v>93</v>
      </c>
      <c r="T70" s="16" t="s">
        <v>73</v>
      </c>
      <c r="U70" s="16" t="s">
        <v>74</v>
      </c>
    </row>
    <row r="71" spans="1:21" ht="18" customHeight="1" x14ac:dyDescent="0.15">
      <c r="A71" s="3"/>
      <c r="B71" s="120" t="s">
        <v>156</v>
      </c>
      <c r="C71" s="121"/>
      <c r="D71" s="121"/>
      <c r="E71" s="121"/>
      <c r="F71" s="17">
        <v>2</v>
      </c>
      <c r="G71" s="17" t="s">
        <v>139</v>
      </c>
      <c r="H71" s="17"/>
      <c r="I71" s="17" t="s">
        <v>139</v>
      </c>
      <c r="J71" s="17" t="s">
        <v>139</v>
      </c>
      <c r="K71" s="120"/>
      <c r="L71" s="121"/>
      <c r="M71" s="121"/>
      <c r="N71" s="121"/>
      <c r="O71" s="121"/>
      <c r="P71" s="122"/>
      <c r="Q71" s="17"/>
      <c r="R71" s="17"/>
      <c r="S71" s="17"/>
      <c r="T71" s="17"/>
      <c r="U71" s="17"/>
    </row>
    <row r="72" spans="1:21" ht="18" customHeight="1" x14ac:dyDescent="0.15">
      <c r="A72" s="3"/>
      <c r="B72" s="112" t="s">
        <v>140</v>
      </c>
      <c r="C72" s="113"/>
      <c r="D72" s="113"/>
      <c r="E72" s="113"/>
      <c r="F72" s="18">
        <v>2</v>
      </c>
      <c r="G72" s="18" t="s">
        <v>139</v>
      </c>
      <c r="H72" s="18" t="s">
        <v>139</v>
      </c>
      <c r="I72" s="18" t="s">
        <v>139</v>
      </c>
      <c r="J72" s="18"/>
      <c r="K72" s="112"/>
      <c r="L72" s="113"/>
      <c r="M72" s="113"/>
      <c r="N72" s="113"/>
      <c r="O72" s="113"/>
      <c r="P72" s="114"/>
      <c r="Q72" s="18"/>
      <c r="R72" s="18"/>
      <c r="S72" s="18"/>
      <c r="T72" s="18"/>
      <c r="U72" s="18"/>
    </row>
    <row r="73" spans="1:21" ht="18" customHeight="1" x14ac:dyDescent="0.15">
      <c r="A73" s="3"/>
      <c r="B73" s="112"/>
      <c r="C73" s="113"/>
      <c r="D73" s="113"/>
      <c r="E73" s="113"/>
      <c r="F73" s="18"/>
      <c r="G73" s="18"/>
      <c r="H73" s="18"/>
      <c r="I73" s="18"/>
      <c r="J73" s="18"/>
      <c r="K73" s="112"/>
      <c r="L73" s="113"/>
      <c r="M73" s="113"/>
      <c r="N73" s="113"/>
      <c r="O73" s="113"/>
      <c r="P73" s="114"/>
      <c r="Q73" s="18"/>
      <c r="R73" s="18"/>
      <c r="S73" s="18"/>
      <c r="T73" s="18"/>
      <c r="U73" s="18"/>
    </row>
    <row r="74" spans="1:21" ht="18" customHeight="1" x14ac:dyDescent="0.15">
      <c r="A74" s="3"/>
      <c r="B74" s="112"/>
      <c r="C74" s="113"/>
      <c r="D74" s="113"/>
      <c r="E74" s="113"/>
      <c r="F74" s="18"/>
      <c r="G74" s="18"/>
      <c r="H74" s="18"/>
      <c r="I74" s="18"/>
      <c r="J74" s="18"/>
      <c r="K74" s="112"/>
      <c r="L74" s="113"/>
      <c r="M74" s="113"/>
      <c r="N74" s="113"/>
      <c r="O74" s="113"/>
      <c r="P74" s="114"/>
      <c r="Q74" s="18"/>
      <c r="R74" s="18"/>
      <c r="S74" s="18"/>
      <c r="T74" s="18"/>
      <c r="U74" s="18"/>
    </row>
    <row r="75" spans="1:21" ht="18" customHeight="1" x14ac:dyDescent="0.15">
      <c r="A75" s="3"/>
      <c r="B75" s="112"/>
      <c r="C75" s="113"/>
      <c r="D75" s="113"/>
      <c r="E75" s="113"/>
      <c r="F75" s="18"/>
      <c r="G75" s="18"/>
      <c r="H75" s="18"/>
      <c r="I75" s="18"/>
      <c r="J75" s="18"/>
      <c r="K75" s="112"/>
      <c r="L75" s="113"/>
      <c r="M75" s="113"/>
      <c r="N75" s="113"/>
      <c r="O75" s="113"/>
      <c r="P75" s="114"/>
      <c r="Q75" s="18"/>
      <c r="R75" s="18"/>
      <c r="S75" s="18"/>
      <c r="T75" s="18"/>
      <c r="U75" s="18"/>
    </row>
    <row r="76" spans="1:21" ht="18" customHeight="1" x14ac:dyDescent="0.15">
      <c r="A76" s="3"/>
      <c r="B76" s="112"/>
      <c r="C76" s="113"/>
      <c r="D76" s="113"/>
      <c r="E76" s="113"/>
      <c r="F76" s="18"/>
      <c r="G76" s="18"/>
      <c r="H76" s="18"/>
      <c r="I76" s="18"/>
      <c r="J76" s="18"/>
      <c r="K76" s="112"/>
      <c r="L76" s="113"/>
      <c r="M76" s="113"/>
      <c r="N76" s="113"/>
      <c r="O76" s="113"/>
      <c r="P76" s="114"/>
      <c r="Q76" s="18"/>
      <c r="R76" s="18"/>
      <c r="S76" s="18"/>
      <c r="T76" s="18"/>
      <c r="U76" s="18"/>
    </row>
    <row r="77" spans="1:21" ht="18" customHeight="1" x14ac:dyDescent="0.15">
      <c r="A77" s="3"/>
      <c r="B77" s="115"/>
      <c r="C77" s="116"/>
      <c r="D77" s="116"/>
      <c r="E77" s="116"/>
      <c r="F77" s="19"/>
      <c r="G77" s="19"/>
      <c r="H77" s="20"/>
      <c r="I77" s="20"/>
      <c r="J77" s="20"/>
      <c r="K77" s="115"/>
      <c r="L77" s="116"/>
      <c r="M77" s="116"/>
      <c r="N77" s="116"/>
      <c r="O77" s="116"/>
      <c r="P77" s="117"/>
      <c r="Q77" s="19"/>
      <c r="R77" s="19"/>
      <c r="S77" s="20"/>
      <c r="T77" s="20"/>
      <c r="U77" s="20"/>
    </row>
    <row r="78" spans="1:21" ht="7.5" customHeight="1" x14ac:dyDescent="0.15">
      <c r="B78" s="14"/>
      <c r="C78" s="14"/>
      <c r="D78" s="14"/>
      <c r="E78" s="14"/>
      <c r="F78" s="14"/>
      <c r="G78" s="14"/>
      <c r="H78" s="14"/>
      <c r="I78" s="14"/>
      <c r="J78" s="14"/>
      <c r="K78" s="14"/>
      <c r="L78" s="14"/>
      <c r="M78" s="14"/>
      <c r="N78" s="14"/>
      <c r="O78" s="14"/>
      <c r="P78" s="14"/>
      <c r="Q78" s="14"/>
      <c r="R78" s="14"/>
      <c r="S78" s="14"/>
      <c r="T78" s="14"/>
    </row>
    <row r="79" spans="1:21" ht="18" customHeight="1" x14ac:dyDescent="0.15">
      <c r="A79" s="1" t="s">
        <v>107</v>
      </c>
      <c r="I79" s="3"/>
      <c r="J79" s="3"/>
      <c r="K79" s="3"/>
      <c r="L79" s="3"/>
      <c r="M79" s="3"/>
      <c r="N79" s="3"/>
      <c r="O79" s="3"/>
      <c r="P79" s="3"/>
      <c r="Q79" s="3"/>
      <c r="R79" s="3"/>
      <c r="S79" s="3"/>
      <c r="T79" s="3"/>
      <c r="U79" s="3"/>
    </row>
    <row r="80" spans="1:21" ht="18" customHeight="1" x14ac:dyDescent="0.15">
      <c r="B80" s="118" t="s">
        <v>52</v>
      </c>
      <c r="C80" s="119"/>
      <c r="D80" s="119"/>
      <c r="E80" s="119"/>
      <c r="F80" s="123"/>
      <c r="G80" s="118" t="s">
        <v>79</v>
      </c>
      <c r="H80" s="119"/>
      <c r="I80" s="119"/>
      <c r="J80" s="123"/>
      <c r="K80" s="151" t="s">
        <v>52</v>
      </c>
      <c r="L80" s="152"/>
      <c r="M80" s="152"/>
      <c r="N80" s="152"/>
      <c r="O80" s="152"/>
      <c r="P80" s="152"/>
      <c r="Q80" s="153"/>
      <c r="R80" s="118" t="s">
        <v>79</v>
      </c>
      <c r="S80" s="119"/>
      <c r="T80" s="119"/>
      <c r="U80" s="123"/>
    </row>
    <row r="81" spans="1:21" ht="18" customHeight="1" x14ac:dyDescent="0.15">
      <c r="A81" s="3"/>
      <c r="B81" s="120" t="s">
        <v>140</v>
      </c>
      <c r="C81" s="121"/>
      <c r="D81" s="121"/>
      <c r="E81" s="121"/>
      <c r="F81" s="122"/>
      <c r="G81" s="154" t="s">
        <v>141</v>
      </c>
      <c r="H81" s="155"/>
      <c r="I81" s="155"/>
      <c r="J81" s="156"/>
      <c r="K81" s="120"/>
      <c r="L81" s="121"/>
      <c r="M81" s="121"/>
      <c r="N81" s="121"/>
      <c r="O81" s="121"/>
      <c r="P81" s="121"/>
      <c r="Q81" s="122"/>
      <c r="R81" s="154"/>
      <c r="S81" s="155"/>
      <c r="T81" s="155"/>
      <c r="U81" s="156"/>
    </row>
    <row r="82" spans="1:21" ht="18" customHeight="1" x14ac:dyDescent="0.15">
      <c r="A82" s="3"/>
      <c r="B82" s="112"/>
      <c r="C82" s="113"/>
      <c r="D82" s="113"/>
      <c r="E82" s="113"/>
      <c r="F82" s="114"/>
      <c r="G82" s="143"/>
      <c r="H82" s="144"/>
      <c r="I82" s="144"/>
      <c r="J82" s="145"/>
      <c r="K82" s="112"/>
      <c r="L82" s="113"/>
      <c r="M82" s="113"/>
      <c r="N82" s="113"/>
      <c r="O82" s="113"/>
      <c r="P82" s="113"/>
      <c r="Q82" s="114"/>
      <c r="R82" s="143"/>
      <c r="S82" s="144"/>
      <c r="T82" s="144"/>
      <c r="U82" s="145"/>
    </row>
    <row r="83" spans="1:21" ht="18" customHeight="1" x14ac:dyDescent="0.15">
      <c r="A83" s="3"/>
      <c r="B83" s="112"/>
      <c r="C83" s="113"/>
      <c r="D83" s="113"/>
      <c r="E83" s="113"/>
      <c r="F83" s="114"/>
      <c r="G83" s="143"/>
      <c r="H83" s="144"/>
      <c r="I83" s="144"/>
      <c r="J83" s="145"/>
      <c r="K83" s="112"/>
      <c r="L83" s="113"/>
      <c r="M83" s="113"/>
      <c r="N83" s="113"/>
      <c r="O83" s="113"/>
      <c r="P83" s="113"/>
      <c r="Q83" s="114"/>
      <c r="R83" s="143"/>
      <c r="S83" s="144"/>
      <c r="T83" s="144"/>
      <c r="U83" s="145"/>
    </row>
    <row r="84" spans="1:21" ht="18" customHeight="1" x14ac:dyDescent="0.15">
      <c r="A84" s="3"/>
      <c r="B84" s="112"/>
      <c r="C84" s="113"/>
      <c r="D84" s="113"/>
      <c r="E84" s="113"/>
      <c r="F84" s="114"/>
      <c r="G84" s="143"/>
      <c r="H84" s="144"/>
      <c r="I84" s="144"/>
      <c r="J84" s="145"/>
      <c r="K84" s="112"/>
      <c r="L84" s="113"/>
      <c r="M84" s="113"/>
      <c r="N84" s="113"/>
      <c r="O84" s="113"/>
      <c r="P84" s="113"/>
      <c r="Q84" s="114"/>
      <c r="R84" s="143"/>
      <c r="S84" s="144"/>
      <c r="T84" s="144"/>
      <c r="U84" s="145"/>
    </row>
    <row r="85" spans="1:21" ht="18" customHeight="1" x14ac:dyDescent="0.15">
      <c r="A85" s="3"/>
      <c r="B85" s="112"/>
      <c r="C85" s="113"/>
      <c r="D85" s="113"/>
      <c r="E85" s="113"/>
      <c r="F85" s="114"/>
      <c r="G85" s="143"/>
      <c r="H85" s="144"/>
      <c r="I85" s="144"/>
      <c r="J85" s="145"/>
      <c r="K85" s="112"/>
      <c r="L85" s="113"/>
      <c r="M85" s="113"/>
      <c r="N85" s="113"/>
      <c r="O85" s="113"/>
      <c r="P85" s="113"/>
      <c r="Q85" s="114"/>
      <c r="R85" s="143"/>
      <c r="S85" s="144"/>
      <c r="T85" s="144"/>
      <c r="U85" s="145"/>
    </row>
    <row r="86" spans="1:21" ht="18" customHeight="1" x14ac:dyDescent="0.15">
      <c r="A86" s="3"/>
      <c r="B86" s="112"/>
      <c r="C86" s="113"/>
      <c r="D86" s="113"/>
      <c r="E86" s="113"/>
      <c r="F86" s="114"/>
      <c r="G86" s="143"/>
      <c r="H86" s="144"/>
      <c r="I86" s="144"/>
      <c r="J86" s="145"/>
      <c r="K86" s="112"/>
      <c r="L86" s="113"/>
      <c r="M86" s="113"/>
      <c r="N86" s="113"/>
      <c r="O86" s="113"/>
      <c r="P86" s="113"/>
      <c r="Q86" s="114"/>
      <c r="R86" s="143"/>
      <c r="S86" s="144"/>
      <c r="T86" s="144"/>
      <c r="U86" s="145"/>
    </row>
    <row r="87" spans="1:21" ht="18" customHeight="1" x14ac:dyDescent="0.15">
      <c r="A87" s="3"/>
      <c r="B87" s="115"/>
      <c r="C87" s="116"/>
      <c r="D87" s="116"/>
      <c r="E87" s="116"/>
      <c r="F87" s="117"/>
      <c r="G87" s="140"/>
      <c r="H87" s="141"/>
      <c r="I87" s="141"/>
      <c r="J87" s="142"/>
      <c r="K87" s="115"/>
      <c r="L87" s="116"/>
      <c r="M87" s="116"/>
      <c r="N87" s="116"/>
      <c r="O87" s="116"/>
      <c r="P87" s="116"/>
      <c r="Q87" s="117"/>
      <c r="R87" s="140"/>
      <c r="S87" s="141"/>
      <c r="T87" s="141"/>
      <c r="U87" s="142"/>
    </row>
    <row r="88" spans="1:21" ht="18" customHeight="1" x14ac:dyDescent="0.15">
      <c r="A88" s="3"/>
      <c r="B88" s="6"/>
      <c r="C88" s="6"/>
      <c r="D88" s="6"/>
      <c r="E88" s="6"/>
      <c r="F88" s="6"/>
      <c r="G88" s="21"/>
      <c r="H88" s="21"/>
      <c r="I88" s="21"/>
      <c r="J88" s="21"/>
      <c r="K88" s="6"/>
      <c r="L88" s="6"/>
      <c r="M88" s="6"/>
      <c r="N88" s="6"/>
      <c r="O88" s="6"/>
      <c r="P88" s="6"/>
      <c r="Q88" s="6"/>
      <c r="R88" s="21"/>
      <c r="S88" s="21"/>
      <c r="T88" s="21"/>
      <c r="U88" s="21"/>
    </row>
    <row r="89" spans="1:21" ht="18.75" customHeight="1" x14ac:dyDescent="0.15">
      <c r="A89" s="67" t="s">
        <v>108</v>
      </c>
      <c r="B89" s="67"/>
      <c r="C89" s="67"/>
      <c r="D89" s="67"/>
      <c r="E89" s="67"/>
      <c r="F89" s="67"/>
      <c r="G89" s="67"/>
      <c r="H89" s="67"/>
      <c r="I89" s="67"/>
      <c r="J89" s="67"/>
      <c r="K89" s="67"/>
      <c r="L89" s="67"/>
      <c r="M89" s="67"/>
      <c r="N89" s="67"/>
      <c r="O89" s="67"/>
      <c r="P89" s="67"/>
      <c r="Q89" s="67"/>
      <c r="R89" s="67"/>
      <c r="S89" s="67"/>
      <c r="T89" s="67"/>
      <c r="U89" s="67"/>
    </row>
    <row r="90" spans="1:21" ht="18.75" customHeight="1" x14ac:dyDescent="0.15">
      <c r="A90" s="67"/>
      <c r="B90" s="149" t="s">
        <v>53</v>
      </c>
      <c r="C90" s="150"/>
      <c r="D90" s="101" t="s">
        <v>54</v>
      </c>
      <c r="E90" s="102"/>
      <c r="F90" s="102"/>
      <c r="G90" s="102"/>
      <c r="H90" s="102"/>
      <c r="I90" s="102"/>
      <c r="J90" s="102"/>
      <c r="K90" s="102"/>
      <c r="L90" s="102"/>
      <c r="M90" s="102"/>
      <c r="N90" s="102"/>
      <c r="O90" s="102"/>
      <c r="P90" s="102"/>
      <c r="Q90" s="102"/>
      <c r="R90" s="102"/>
      <c r="S90" s="102"/>
      <c r="T90" s="102"/>
      <c r="U90" s="103"/>
    </row>
    <row r="91" spans="1:21" ht="114" customHeight="1" x14ac:dyDescent="0.15">
      <c r="A91" s="67"/>
      <c r="B91" s="146" t="s">
        <v>60</v>
      </c>
      <c r="C91" s="78" t="s">
        <v>55</v>
      </c>
      <c r="D91" s="89" t="s">
        <v>168</v>
      </c>
      <c r="E91" s="90"/>
      <c r="F91" s="90"/>
      <c r="G91" s="90"/>
      <c r="H91" s="90"/>
      <c r="I91" s="90"/>
      <c r="J91" s="90"/>
      <c r="K91" s="90"/>
      <c r="L91" s="90"/>
      <c r="M91" s="90"/>
      <c r="N91" s="90"/>
      <c r="O91" s="90"/>
      <c r="P91" s="90"/>
      <c r="Q91" s="90"/>
      <c r="R91" s="90"/>
      <c r="S91" s="90"/>
      <c r="T91" s="90"/>
      <c r="U91" s="91"/>
    </row>
    <row r="92" spans="1:21" ht="112.5" customHeight="1" x14ac:dyDescent="0.15">
      <c r="A92" s="67"/>
      <c r="B92" s="147"/>
      <c r="C92" s="79" t="s">
        <v>75</v>
      </c>
      <c r="D92" s="86" t="s">
        <v>169</v>
      </c>
      <c r="E92" s="87"/>
      <c r="F92" s="87"/>
      <c r="G92" s="87"/>
      <c r="H92" s="87"/>
      <c r="I92" s="87"/>
      <c r="J92" s="87"/>
      <c r="K92" s="87"/>
      <c r="L92" s="87"/>
      <c r="M92" s="87"/>
      <c r="N92" s="87"/>
      <c r="O92" s="87"/>
      <c r="P92" s="87"/>
      <c r="Q92" s="87"/>
      <c r="R92" s="87"/>
      <c r="S92" s="87"/>
      <c r="T92" s="87"/>
      <c r="U92" s="88"/>
    </row>
    <row r="93" spans="1:21" ht="120.75" customHeight="1" x14ac:dyDescent="0.15">
      <c r="A93" s="67"/>
      <c r="B93" s="146" t="s">
        <v>61</v>
      </c>
      <c r="C93" s="80" t="s">
        <v>69</v>
      </c>
      <c r="D93" s="89" t="s">
        <v>170</v>
      </c>
      <c r="E93" s="90"/>
      <c r="F93" s="90"/>
      <c r="G93" s="90"/>
      <c r="H93" s="90"/>
      <c r="I93" s="90"/>
      <c r="J93" s="90"/>
      <c r="K93" s="90"/>
      <c r="L93" s="90"/>
      <c r="M93" s="90"/>
      <c r="N93" s="90"/>
      <c r="O93" s="90"/>
      <c r="P93" s="90"/>
      <c r="Q93" s="90"/>
      <c r="R93" s="90"/>
      <c r="S93" s="90"/>
      <c r="T93" s="90"/>
      <c r="U93" s="91"/>
    </row>
    <row r="94" spans="1:21" ht="108.75" customHeight="1" x14ac:dyDescent="0.15">
      <c r="A94" s="67"/>
      <c r="B94" s="148"/>
      <c r="C94" s="81" t="s">
        <v>70</v>
      </c>
      <c r="D94" s="86" t="s">
        <v>169</v>
      </c>
      <c r="E94" s="104"/>
      <c r="F94" s="104"/>
      <c r="G94" s="104"/>
      <c r="H94" s="104"/>
      <c r="I94" s="104"/>
      <c r="J94" s="104"/>
      <c r="K94" s="104"/>
      <c r="L94" s="104"/>
      <c r="M94" s="104"/>
      <c r="N94" s="104"/>
      <c r="O94" s="104"/>
      <c r="P94" s="104"/>
      <c r="Q94" s="104"/>
      <c r="R94" s="104"/>
      <c r="S94" s="104"/>
      <c r="T94" s="104"/>
      <c r="U94" s="105"/>
    </row>
    <row r="95" spans="1:21" ht="117.75" customHeight="1" x14ac:dyDescent="0.15">
      <c r="A95" s="67"/>
      <c r="B95" s="146" t="s">
        <v>62</v>
      </c>
      <c r="C95" s="80" t="s">
        <v>71</v>
      </c>
      <c r="D95" s="89" t="s">
        <v>171</v>
      </c>
      <c r="E95" s="90"/>
      <c r="F95" s="90"/>
      <c r="G95" s="90"/>
      <c r="H95" s="90"/>
      <c r="I95" s="90"/>
      <c r="J95" s="90"/>
      <c r="K95" s="90"/>
      <c r="L95" s="90"/>
      <c r="M95" s="90"/>
      <c r="N95" s="90"/>
      <c r="O95" s="90"/>
      <c r="P95" s="90"/>
      <c r="Q95" s="90"/>
      <c r="R95" s="90"/>
      <c r="S95" s="90"/>
      <c r="T95" s="90"/>
      <c r="U95" s="91"/>
    </row>
    <row r="96" spans="1:21" ht="117" customHeight="1" x14ac:dyDescent="0.15">
      <c r="A96" s="67"/>
      <c r="B96" s="148"/>
      <c r="C96" s="82" t="s">
        <v>72</v>
      </c>
      <c r="D96" s="86" t="s">
        <v>172</v>
      </c>
      <c r="E96" s="87"/>
      <c r="F96" s="87"/>
      <c r="G96" s="87"/>
      <c r="H96" s="87"/>
      <c r="I96" s="87"/>
      <c r="J96" s="87"/>
      <c r="K96" s="87"/>
      <c r="L96" s="87"/>
      <c r="M96" s="87"/>
      <c r="N96" s="87"/>
      <c r="O96" s="87"/>
      <c r="P96" s="87"/>
      <c r="Q96" s="87"/>
      <c r="R96" s="87"/>
      <c r="S96" s="87"/>
      <c r="T96" s="87"/>
      <c r="U96" s="88"/>
    </row>
    <row r="97" spans="1:33" ht="112.5" customHeight="1" x14ac:dyDescent="0.15">
      <c r="A97" s="67"/>
      <c r="B97" s="146" t="s">
        <v>76</v>
      </c>
      <c r="C97" s="78" t="s">
        <v>57</v>
      </c>
      <c r="D97" s="89" t="s">
        <v>173</v>
      </c>
      <c r="E97" s="90"/>
      <c r="F97" s="90"/>
      <c r="G97" s="90"/>
      <c r="H97" s="90"/>
      <c r="I97" s="90"/>
      <c r="J97" s="90"/>
      <c r="K97" s="90"/>
      <c r="L97" s="90"/>
      <c r="M97" s="90"/>
      <c r="N97" s="90"/>
      <c r="O97" s="90"/>
      <c r="P97" s="90"/>
      <c r="Q97" s="90"/>
      <c r="R97" s="90"/>
      <c r="S97" s="90"/>
      <c r="T97" s="90"/>
      <c r="U97" s="91"/>
    </row>
    <row r="98" spans="1:33" ht="112.5" customHeight="1" x14ac:dyDescent="0.15">
      <c r="A98" s="67"/>
      <c r="B98" s="148"/>
      <c r="C98" s="81" t="s">
        <v>59</v>
      </c>
      <c r="D98" s="86" t="s">
        <v>174</v>
      </c>
      <c r="E98" s="87"/>
      <c r="F98" s="87"/>
      <c r="G98" s="87"/>
      <c r="H98" s="87"/>
      <c r="I98" s="87"/>
      <c r="J98" s="87"/>
      <c r="K98" s="87"/>
      <c r="L98" s="87"/>
      <c r="M98" s="87"/>
      <c r="N98" s="87"/>
      <c r="O98" s="87"/>
      <c r="P98" s="87"/>
      <c r="Q98" s="87"/>
      <c r="R98" s="87"/>
      <c r="S98" s="87"/>
      <c r="T98" s="87"/>
      <c r="U98" s="88"/>
    </row>
    <row r="99" spans="1:33" ht="127.5" customHeight="1" x14ac:dyDescent="0.15">
      <c r="A99" s="67"/>
      <c r="B99" s="146" t="s">
        <v>77</v>
      </c>
      <c r="C99" s="80" t="s">
        <v>56</v>
      </c>
      <c r="D99" s="89" t="s">
        <v>175</v>
      </c>
      <c r="E99" s="90"/>
      <c r="F99" s="90"/>
      <c r="G99" s="90"/>
      <c r="H99" s="90"/>
      <c r="I99" s="90"/>
      <c r="J99" s="90"/>
      <c r="K99" s="90"/>
      <c r="L99" s="90"/>
      <c r="M99" s="90"/>
      <c r="N99" s="90"/>
      <c r="O99" s="90"/>
      <c r="P99" s="90"/>
      <c r="Q99" s="90"/>
      <c r="R99" s="90"/>
      <c r="S99" s="90"/>
      <c r="T99" s="90"/>
      <c r="U99" s="91"/>
    </row>
    <row r="100" spans="1:33" ht="172.5" customHeight="1" x14ac:dyDescent="0.15">
      <c r="A100" s="67"/>
      <c r="B100" s="147"/>
      <c r="C100" s="83" t="s">
        <v>73</v>
      </c>
      <c r="D100" s="92" t="s">
        <v>176</v>
      </c>
      <c r="E100" s="93"/>
      <c r="F100" s="93"/>
      <c r="G100" s="93"/>
      <c r="H100" s="93"/>
      <c r="I100" s="93"/>
      <c r="J100" s="93"/>
      <c r="K100" s="93"/>
      <c r="L100" s="93"/>
      <c r="M100" s="93"/>
      <c r="N100" s="93"/>
      <c r="O100" s="93"/>
      <c r="P100" s="93"/>
      <c r="Q100" s="93"/>
      <c r="R100" s="93"/>
      <c r="S100" s="93"/>
      <c r="T100" s="93"/>
      <c r="U100" s="94"/>
    </row>
    <row r="101" spans="1:33" ht="124.5" customHeight="1" x14ac:dyDescent="0.15">
      <c r="A101" s="67"/>
      <c r="B101" s="148"/>
      <c r="C101" s="82" t="s">
        <v>74</v>
      </c>
      <c r="D101" s="86" t="s">
        <v>177</v>
      </c>
      <c r="E101" s="87"/>
      <c r="F101" s="87"/>
      <c r="G101" s="87"/>
      <c r="H101" s="87"/>
      <c r="I101" s="87"/>
      <c r="J101" s="87"/>
      <c r="K101" s="87"/>
      <c r="L101" s="87"/>
      <c r="M101" s="87"/>
      <c r="N101" s="87"/>
      <c r="O101" s="87"/>
      <c r="P101" s="87"/>
      <c r="Q101" s="87"/>
      <c r="R101" s="87"/>
      <c r="S101" s="87"/>
      <c r="T101" s="87"/>
      <c r="U101" s="88"/>
    </row>
    <row r="102" spans="1:33" ht="6" customHeight="1" x14ac:dyDescent="0.15"/>
    <row r="103" spans="1:33" ht="18.75" customHeight="1" x14ac:dyDescent="0.15">
      <c r="A103" s="1" t="s">
        <v>109</v>
      </c>
    </row>
    <row r="104" spans="1:33" ht="81.75" customHeight="1" x14ac:dyDescent="0.15">
      <c r="B104" s="137" t="s">
        <v>162</v>
      </c>
      <c r="C104" s="138"/>
      <c r="D104" s="138"/>
      <c r="E104" s="138"/>
      <c r="F104" s="138"/>
      <c r="G104" s="138"/>
      <c r="H104" s="138"/>
      <c r="I104" s="138"/>
      <c r="J104" s="138"/>
      <c r="K104" s="138"/>
      <c r="L104" s="138"/>
      <c r="M104" s="138"/>
      <c r="N104" s="138"/>
      <c r="O104" s="138"/>
      <c r="P104" s="138"/>
      <c r="Q104" s="138"/>
      <c r="R104" s="138"/>
      <c r="S104" s="138"/>
      <c r="T104" s="138"/>
      <c r="U104" s="139"/>
    </row>
    <row r="106" spans="1:33" ht="18.75" customHeight="1" x14ac:dyDescent="0.15">
      <c r="A106" s="66" t="s">
        <v>125</v>
      </c>
      <c r="B106" s="67"/>
      <c r="C106" s="67"/>
      <c r="D106" s="67"/>
      <c r="E106" s="67"/>
      <c r="F106" s="67"/>
      <c r="G106" s="67"/>
      <c r="H106" s="67"/>
      <c r="I106" s="67"/>
      <c r="J106" s="67"/>
      <c r="K106" s="67"/>
      <c r="L106" s="67"/>
      <c r="M106" s="67"/>
      <c r="N106" s="67"/>
      <c r="O106" s="67"/>
      <c r="P106" s="67"/>
      <c r="Q106" s="67"/>
      <c r="R106" s="67"/>
      <c r="S106" s="67"/>
      <c r="T106" s="67"/>
      <c r="U106" s="67"/>
    </row>
    <row r="107" spans="1:33" ht="18.75" customHeight="1" x14ac:dyDescent="0.15">
      <c r="A107" s="66" t="s">
        <v>127</v>
      </c>
      <c r="B107" s="66"/>
      <c r="C107" s="66"/>
      <c r="D107" s="66"/>
      <c r="E107" s="66"/>
      <c r="F107" s="66"/>
      <c r="G107" s="66"/>
      <c r="H107" s="66"/>
      <c r="I107" s="66"/>
      <c r="J107" s="66"/>
      <c r="K107" s="66"/>
      <c r="L107" s="66"/>
      <c r="M107" s="66"/>
      <c r="N107" s="66"/>
      <c r="O107" s="66"/>
      <c r="P107" s="66"/>
      <c r="Q107" s="66"/>
      <c r="R107" s="66"/>
      <c r="S107" s="66"/>
      <c r="T107" s="66"/>
      <c r="U107" s="66"/>
      <c r="V107" s="2"/>
      <c r="W107" s="2"/>
      <c r="X107" s="2"/>
      <c r="Y107" s="2"/>
      <c r="Z107" s="2"/>
      <c r="AA107" s="2"/>
      <c r="AB107" s="2"/>
      <c r="AC107" s="2"/>
      <c r="AD107" s="2"/>
      <c r="AE107" s="2"/>
      <c r="AF107" s="2"/>
      <c r="AG107" s="2"/>
    </row>
    <row r="108" spans="1:33" ht="18.75" customHeight="1" x14ac:dyDescent="0.15">
      <c r="A108" s="66"/>
      <c r="B108" s="85" t="s">
        <v>130</v>
      </c>
      <c r="C108" s="85"/>
      <c r="D108" s="85"/>
      <c r="E108" s="85"/>
      <c r="F108" s="85"/>
      <c r="G108" s="85"/>
      <c r="H108" s="85"/>
      <c r="I108" s="85"/>
      <c r="J108" s="85"/>
      <c r="K108" s="85"/>
      <c r="L108" s="85"/>
      <c r="M108" s="85"/>
      <c r="N108" s="85"/>
      <c r="O108" s="85"/>
      <c r="P108" s="85"/>
      <c r="Q108" s="85"/>
      <c r="R108" s="85"/>
      <c r="S108" s="85"/>
      <c r="T108" s="85"/>
      <c r="U108" s="85"/>
      <c r="V108" s="62"/>
      <c r="W108" s="62"/>
      <c r="X108" s="62"/>
      <c r="Y108" s="62"/>
      <c r="Z108" s="62"/>
      <c r="AA108" s="62"/>
      <c r="AB108" s="62"/>
      <c r="AC108" s="62"/>
      <c r="AD108" s="62"/>
      <c r="AE108" s="62"/>
      <c r="AF108" s="62"/>
      <c r="AG108" s="62"/>
    </row>
    <row r="109" spans="1:33" ht="37.15" customHeight="1" x14ac:dyDescent="0.15">
      <c r="A109" s="66"/>
      <c r="B109" s="85"/>
      <c r="C109" s="85"/>
      <c r="D109" s="85"/>
      <c r="E109" s="85"/>
      <c r="F109" s="85"/>
      <c r="G109" s="85"/>
      <c r="H109" s="85"/>
      <c r="I109" s="85"/>
      <c r="J109" s="85"/>
      <c r="K109" s="85"/>
      <c r="L109" s="85"/>
      <c r="M109" s="85"/>
      <c r="N109" s="85"/>
      <c r="O109" s="85"/>
      <c r="P109" s="85"/>
      <c r="Q109" s="85"/>
      <c r="R109" s="85"/>
      <c r="S109" s="85"/>
      <c r="T109" s="85"/>
      <c r="U109" s="85"/>
      <c r="V109" s="62"/>
      <c r="W109" s="62"/>
      <c r="X109" s="62"/>
      <c r="Y109" s="62"/>
      <c r="Z109" s="62"/>
      <c r="AA109" s="62"/>
      <c r="AB109" s="62"/>
      <c r="AC109" s="62"/>
      <c r="AD109" s="62"/>
      <c r="AE109" s="62"/>
      <c r="AF109" s="62"/>
      <c r="AG109" s="62"/>
    </row>
    <row r="110" spans="1:33" ht="18.75" customHeight="1" x14ac:dyDescent="0.15">
      <c r="A110" s="66"/>
      <c r="B110" s="157" t="s">
        <v>126</v>
      </c>
      <c r="C110" s="157"/>
      <c r="D110" s="157"/>
      <c r="E110" s="157"/>
      <c r="F110" s="157"/>
      <c r="G110" s="157"/>
      <c r="H110" s="157"/>
      <c r="I110" s="157"/>
      <c r="J110" s="157"/>
      <c r="K110" s="157"/>
      <c r="L110" s="157"/>
      <c r="M110" s="157"/>
      <c r="N110" s="157"/>
      <c r="O110" s="157"/>
      <c r="P110" s="157"/>
      <c r="Q110" s="157"/>
      <c r="R110" s="157"/>
      <c r="S110" s="157"/>
      <c r="T110" s="157"/>
      <c r="U110" s="157"/>
      <c r="V110" s="62"/>
      <c r="W110" s="62"/>
      <c r="X110" s="62"/>
      <c r="Y110" s="62"/>
      <c r="Z110" s="62"/>
      <c r="AA110" s="62"/>
      <c r="AB110" s="62"/>
      <c r="AC110" s="62"/>
      <c r="AD110" s="62"/>
      <c r="AE110" s="62"/>
      <c r="AF110" s="62"/>
      <c r="AG110" s="62"/>
    </row>
    <row r="111" spans="1:33" ht="18.75" customHeight="1" x14ac:dyDescent="0.15">
      <c r="A111" s="66"/>
      <c r="B111" s="158" t="s">
        <v>54</v>
      </c>
      <c r="C111" s="158"/>
      <c r="D111" s="158"/>
      <c r="E111" s="158"/>
      <c r="F111" s="158"/>
      <c r="G111" s="158"/>
      <c r="H111" s="158"/>
      <c r="I111" s="158"/>
      <c r="J111" s="158"/>
      <c r="K111" s="158"/>
      <c r="L111" s="158"/>
      <c r="M111" s="158"/>
      <c r="N111" s="158"/>
      <c r="O111" s="158"/>
      <c r="P111" s="158"/>
      <c r="Q111" s="158"/>
      <c r="R111" s="158"/>
      <c r="S111" s="158"/>
      <c r="T111" s="158"/>
      <c r="U111" s="158"/>
      <c r="V111" s="61"/>
      <c r="W111" s="61"/>
      <c r="X111" s="61"/>
      <c r="Y111" s="61"/>
      <c r="Z111" s="61"/>
      <c r="AA111" s="61"/>
      <c r="AB111" s="61"/>
      <c r="AC111" s="61"/>
      <c r="AD111" s="61"/>
      <c r="AE111" s="61"/>
      <c r="AF111" s="61"/>
      <c r="AG111" s="61"/>
    </row>
    <row r="112" spans="1:33" ht="132" customHeight="1" x14ac:dyDescent="0.15">
      <c r="A112" s="66"/>
      <c r="B112" s="159" t="s">
        <v>157</v>
      </c>
      <c r="C112" s="159"/>
      <c r="D112" s="159"/>
      <c r="E112" s="159"/>
      <c r="F112" s="159"/>
      <c r="G112" s="159"/>
      <c r="H112" s="159"/>
      <c r="I112" s="159"/>
      <c r="J112" s="159"/>
      <c r="K112" s="159"/>
      <c r="L112" s="159"/>
      <c r="M112" s="159"/>
      <c r="N112" s="159"/>
      <c r="O112" s="159"/>
      <c r="P112" s="159"/>
      <c r="Q112" s="159"/>
      <c r="R112" s="159"/>
      <c r="S112" s="159"/>
      <c r="T112" s="159"/>
      <c r="U112" s="159"/>
      <c r="V112" s="63"/>
      <c r="W112" s="63"/>
      <c r="X112" s="63"/>
      <c r="Y112" s="63"/>
      <c r="Z112" s="63"/>
      <c r="AA112" s="63"/>
      <c r="AB112" s="63"/>
      <c r="AC112" s="63"/>
      <c r="AD112" s="63"/>
      <c r="AE112" s="63"/>
      <c r="AF112" s="63"/>
      <c r="AG112" s="63"/>
    </row>
    <row r="114" ht="18" customHeight="1" x14ac:dyDescent="0.15"/>
  </sheetData>
  <mergeCells count="148">
    <mergeCell ref="B110:U110"/>
    <mergeCell ref="R83:U83"/>
    <mergeCell ref="K70:P70"/>
    <mergeCell ref="B65:F65"/>
    <mergeCell ref="B66:F66"/>
    <mergeCell ref="B111:U111"/>
    <mergeCell ref="B112:U112"/>
    <mergeCell ref="K39:Q39"/>
    <mergeCell ref="K40:Q40"/>
    <mergeCell ref="K59:Q59"/>
    <mergeCell ref="K60:Q60"/>
    <mergeCell ref="B73:E73"/>
    <mergeCell ref="B74:E74"/>
    <mergeCell ref="B40:F40"/>
    <mergeCell ref="B41:F41"/>
    <mergeCell ref="B42:F42"/>
    <mergeCell ref="B43:F43"/>
    <mergeCell ref="B44:F44"/>
    <mergeCell ref="K49:Q49"/>
    <mergeCell ref="K50:Q50"/>
    <mergeCell ref="K51:Q51"/>
    <mergeCell ref="K52:Q52"/>
    <mergeCell ref="K53:Q53"/>
    <mergeCell ref="K54:Q54"/>
    <mergeCell ref="K77:P77"/>
    <mergeCell ref="A68:U69"/>
    <mergeCell ref="K81:Q81"/>
    <mergeCell ref="R81:U81"/>
    <mergeCell ref="R80:U80"/>
    <mergeCell ref="B81:F81"/>
    <mergeCell ref="K61:Q61"/>
    <mergeCell ref="B80:F80"/>
    <mergeCell ref="G81:J81"/>
    <mergeCell ref="B93:B94"/>
    <mergeCell ref="R84:U84"/>
    <mergeCell ref="G80:J80"/>
    <mergeCell ref="K80:Q80"/>
    <mergeCell ref="B71:E71"/>
    <mergeCell ref="B72:E72"/>
    <mergeCell ref="K55:Q55"/>
    <mergeCell ref="B95:B96"/>
    <mergeCell ref="B91:B92"/>
    <mergeCell ref="K71:P71"/>
    <mergeCell ref="K72:P72"/>
    <mergeCell ref="K73:P73"/>
    <mergeCell ref="B84:F84"/>
    <mergeCell ref="G83:J83"/>
    <mergeCell ref="G84:J84"/>
    <mergeCell ref="K83:Q83"/>
    <mergeCell ref="K84:Q84"/>
    <mergeCell ref="B75:E75"/>
    <mergeCell ref="B76:E76"/>
    <mergeCell ref="B77:E77"/>
    <mergeCell ref="K74:P74"/>
    <mergeCell ref="K75:P75"/>
    <mergeCell ref="K76:P76"/>
    <mergeCell ref="A57:U58"/>
    <mergeCell ref="A5:U5"/>
    <mergeCell ref="B15:U20"/>
    <mergeCell ref="A24:U25"/>
    <mergeCell ref="K87:Q87"/>
    <mergeCell ref="B104:U104"/>
    <mergeCell ref="R87:U87"/>
    <mergeCell ref="B82:F82"/>
    <mergeCell ref="G82:J82"/>
    <mergeCell ref="K82:Q82"/>
    <mergeCell ref="R82:U82"/>
    <mergeCell ref="B85:F85"/>
    <mergeCell ref="G85:J85"/>
    <mergeCell ref="K85:Q85"/>
    <mergeCell ref="R85:U85"/>
    <mergeCell ref="B83:F83"/>
    <mergeCell ref="B86:F86"/>
    <mergeCell ref="G86:J86"/>
    <mergeCell ref="K86:Q86"/>
    <mergeCell ref="R86:U86"/>
    <mergeCell ref="B87:F87"/>
    <mergeCell ref="G87:J87"/>
    <mergeCell ref="B99:B101"/>
    <mergeCell ref="B97:B98"/>
    <mergeCell ref="B90:C90"/>
    <mergeCell ref="A35:U36"/>
    <mergeCell ref="B37:F37"/>
    <mergeCell ref="B38:F38"/>
    <mergeCell ref="B39:F39"/>
    <mergeCell ref="B59:F59"/>
    <mergeCell ref="T1:U1"/>
    <mergeCell ref="B26:F26"/>
    <mergeCell ref="B27:F27"/>
    <mergeCell ref="B28:F28"/>
    <mergeCell ref="B29:F29"/>
    <mergeCell ref="B30:F30"/>
    <mergeCell ref="B31:F31"/>
    <mergeCell ref="B32:F32"/>
    <mergeCell ref="B33:F33"/>
    <mergeCell ref="K26:Q26"/>
    <mergeCell ref="K27:Q27"/>
    <mergeCell ref="K28:Q28"/>
    <mergeCell ref="K29:Q29"/>
    <mergeCell ref="K30:Q30"/>
    <mergeCell ref="K31:Q31"/>
    <mergeCell ref="K32:Q32"/>
    <mergeCell ref="K33:Q33"/>
    <mergeCell ref="C2:J2"/>
    <mergeCell ref="C3:J3"/>
    <mergeCell ref="K37:Q37"/>
    <mergeCell ref="B62:F62"/>
    <mergeCell ref="B63:F63"/>
    <mergeCell ref="B64:F64"/>
    <mergeCell ref="K48:Q48"/>
    <mergeCell ref="B51:F51"/>
    <mergeCell ref="K38:Q38"/>
    <mergeCell ref="B52:F52"/>
    <mergeCell ref="B53:F53"/>
    <mergeCell ref="B54:F54"/>
    <mergeCell ref="B55:F55"/>
    <mergeCell ref="K42:Q42"/>
    <mergeCell ref="K43:Q43"/>
    <mergeCell ref="K44:Q44"/>
    <mergeCell ref="A46:U47"/>
    <mergeCell ref="K41:Q41"/>
    <mergeCell ref="B48:F48"/>
    <mergeCell ref="B49:F49"/>
    <mergeCell ref="B50:F50"/>
    <mergeCell ref="B108:U109"/>
    <mergeCell ref="D98:U98"/>
    <mergeCell ref="D99:U99"/>
    <mergeCell ref="D100:U100"/>
    <mergeCell ref="D101:U101"/>
    <mergeCell ref="N22:U22"/>
    <mergeCell ref="L7:U7"/>
    <mergeCell ref="D90:U90"/>
    <mergeCell ref="D91:U91"/>
    <mergeCell ref="D92:U92"/>
    <mergeCell ref="D93:U93"/>
    <mergeCell ref="D94:U94"/>
    <mergeCell ref="D95:U95"/>
    <mergeCell ref="D96:U96"/>
    <mergeCell ref="D97:U97"/>
    <mergeCell ref="B11:U12"/>
    <mergeCell ref="K62:Q62"/>
    <mergeCell ref="K63:Q63"/>
    <mergeCell ref="K64:Q64"/>
    <mergeCell ref="K65:Q65"/>
    <mergeCell ref="K66:Q66"/>
    <mergeCell ref="B70:E70"/>
    <mergeCell ref="B60:F60"/>
    <mergeCell ref="B61:F61"/>
  </mergeCells>
  <phoneticPr fontId="1"/>
  <conditionalFormatting sqref="B11:U12">
    <cfRule type="expression" dxfId="1" priority="1">
      <formula>$L$7="学部・学科によって、修了要件は相違しない"</formula>
    </cfRule>
    <cfRule type="expression" dxfId="0" priority="2">
      <formula>$L$9="学部・学科によって、修了要件は相違しない"</formula>
    </cfRule>
  </conditionalFormatting>
  <dataValidations count="5">
    <dataValidation type="list" allowBlank="1" showInputMessage="1" showErrorMessage="1" sqref="H27:J33 S27:U33 H38:J44 S38:U44 H49:J55 S49:U55 H60:J66 S60:U66 G71:J77 R71:U77">
      <formula1>"○"</formula1>
    </dataValidation>
    <dataValidation type="list" allowBlank="1" showInputMessage="1" showErrorMessage="1" sqref="U34 U45 E34:H34 E45:H45">
      <formula1>"全学開講,一部開講"</formula1>
    </dataValidation>
    <dataValidation type="list" allowBlank="1" showInputMessage="1" showErrorMessage="1" sqref="L14 L7:U7">
      <formula1>"学部・学科によって、修了要件は相違する,学部・学科によって、修了要件は相違しない"</formula1>
    </dataValidation>
    <dataValidation type="list" allowBlank="1" showInputMessage="1" showErrorMessage="1" sqref="G81:G88 R81:R88 H81:J82 H85:J88 S85:U88 S81:U82">
      <formula1>"4-1統計および数理基礎,4‐2アルゴリズム基礎,4‐3データ構造とプログラミング基礎,4‐4時系列データ解析,4‐5テキスト解析,4‐6画像解析,4‐7データハンドリング,4‐8データ活用実践（教師あり学習）,4‐9データ活用実践（教師なし学習）,その他"</formula1>
    </dataValidation>
    <dataValidation type="list" allowBlank="1" showInputMessage="1" showErrorMessage="1" sqref="N22:U22">
      <formula1>$X$16:$X$18</formula1>
    </dataValidation>
  </dataValidations>
  <printOptions horizontalCentered="1"/>
  <pageMargins left="0.78740157480314965" right="0.78740157480314965" top="0.78740157480314965" bottom="0.19685039370078741" header="0.31496062992125984" footer="0.19685039370078741"/>
  <pageSetup paperSize="9" scale="68" fitToHeight="0" orientation="portrait" r:id="rId1"/>
  <headerFooter>
    <oddHeader>&amp;C数理・データサイエンス・AI教育プログラム認定制度【リテラシーレベル】令和６年度申請用</oddHeader>
  </headerFooter>
  <rowBreaks count="2" manualBreakCount="2">
    <brk id="67" max="20" man="1"/>
    <brk id="96" max="20" man="1"/>
  </rowBreak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U33"/>
  <sheetViews>
    <sheetView view="pageBreakPreview" zoomScaleNormal="100" zoomScaleSheetLayoutView="100" workbookViewId="0">
      <selection activeCell="D91" sqref="D91:U91"/>
    </sheetView>
  </sheetViews>
  <sheetFormatPr defaultColWidth="9" defaultRowHeight="18.75" customHeight="1" x14ac:dyDescent="0.15"/>
  <cols>
    <col min="1" max="1" width="2.75" style="1" customWidth="1"/>
    <col min="2" max="2" width="20.75" style="1" customWidth="1"/>
    <col min="3" max="18" width="6.125" style="1" customWidth="1"/>
    <col min="19" max="19" width="6.625" style="1" customWidth="1"/>
    <col min="20" max="16384" width="9" style="1"/>
  </cols>
  <sheetData>
    <row r="1" spans="1:21" ht="18" customHeight="1" x14ac:dyDescent="0.15">
      <c r="A1" s="67"/>
      <c r="B1" s="67"/>
      <c r="C1" s="67"/>
      <c r="D1" s="67"/>
      <c r="E1" s="67"/>
      <c r="F1" s="67"/>
      <c r="G1" s="67"/>
      <c r="H1" s="67"/>
      <c r="I1" s="67"/>
      <c r="J1" s="67"/>
      <c r="K1" s="67"/>
      <c r="L1" s="67"/>
      <c r="M1" s="67"/>
      <c r="N1" s="67"/>
      <c r="O1" s="67"/>
      <c r="P1" s="67"/>
      <c r="Q1" s="67"/>
      <c r="R1" s="67"/>
      <c r="S1" s="67" t="s">
        <v>98</v>
      </c>
    </row>
    <row r="2" spans="1:21" ht="18" customHeight="1" x14ac:dyDescent="0.15">
      <c r="A2" s="67"/>
      <c r="B2" s="67"/>
      <c r="C2" s="67"/>
      <c r="D2" s="67"/>
      <c r="E2" s="67"/>
      <c r="F2" s="67"/>
      <c r="G2" s="67"/>
      <c r="H2" s="67"/>
      <c r="I2" s="67"/>
      <c r="J2" s="67"/>
      <c r="K2" s="67"/>
      <c r="L2" s="67"/>
      <c r="M2" s="67"/>
      <c r="N2" s="67"/>
      <c r="O2" s="67"/>
      <c r="P2" s="67"/>
      <c r="Q2" s="161" t="str">
        <f>'様式１　プログラムを構成する授業科目'!C2</f>
        <v>熊本保健科学大学</v>
      </c>
      <c r="R2" s="161"/>
      <c r="S2" s="161"/>
    </row>
    <row r="3" spans="1:21" ht="18" customHeight="1" x14ac:dyDescent="0.15">
      <c r="A3" s="126" t="s">
        <v>47</v>
      </c>
      <c r="B3" s="126"/>
      <c r="C3" s="126"/>
      <c r="D3" s="126"/>
      <c r="E3" s="126"/>
      <c r="F3" s="126"/>
      <c r="G3" s="126"/>
      <c r="H3" s="126"/>
      <c r="I3" s="126"/>
      <c r="J3" s="126"/>
      <c r="K3" s="126"/>
      <c r="L3" s="126"/>
      <c r="M3" s="126"/>
      <c r="N3" s="126"/>
      <c r="O3" s="126"/>
      <c r="P3" s="126"/>
      <c r="Q3" s="126"/>
      <c r="R3" s="126"/>
      <c r="S3" s="126"/>
    </row>
    <row r="4" spans="1:21" ht="7.5" customHeight="1" x14ac:dyDescent="0.15">
      <c r="A4" s="72"/>
      <c r="B4" s="72"/>
      <c r="C4" s="72"/>
      <c r="D4" s="72"/>
      <c r="E4" s="72"/>
      <c r="F4" s="72"/>
      <c r="G4" s="72"/>
      <c r="H4" s="72"/>
      <c r="I4" s="72"/>
      <c r="J4" s="72"/>
      <c r="K4" s="72"/>
      <c r="L4" s="72"/>
      <c r="M4" s="72"/>
      <c r="N4" s="72"/>
      <c r="O4" s="72"/>
      <c r="P4" s="72"/>
      <c r="Q4" s="72"/>
      <c r="R4" s="72"/>
      <c r="S4" s="72"/>
    </row>
    <row r="5" spans="1:21" ht="18" customHeight="1" x14ac:dyDescent="0.15">
      <c r="A5" s="67" t="s">
        <v>80</v>
      </c>
      <c r="B5" s="67"/>
      <c r="C5" s="162" t="s">
        <v>178</v>
      </c>
      <c r="D5" s="163"/>
      <c r="E5" s="72" t="s">
        <v>51</v>
      </c>
      <c r="F5" s="72"/>
      <c r="G5" s="72"/>
      <c r="H5" s="72"/>
      <c r="I5" s="72"/>
      <c r="J5" s="72"/>
      <c r="K5" s="72"/>
      <c r="L5" s="72"/>
      <c r="M5" s="72"/>
      <c r="N5" s="72"/>
      <c r="O5" s="72"/>
      <c r="P5" s="72"/>
      <c r="Q5" s="72"/>
      <c r="R5" s="70"/>
      <c r="S5" s="70"/>
    </row>
    <row r="6" spans="1:21" ht="7.15" customHeight="1" x14ac:dyDescent="0.15">
      <c r="A6" s="67"/>
      <c r="B6" s="67"/>
      <c r="C6" s="77"/>
      <c r="D6" s="77"/>
      <c r="E6" s="72"/>
      <c r="F6" s="72"/>
      <c r="G6" s="72"/>
      <c r="H6" s="72"/>
      <c r="I6" s="72"/>
      <c r="J6" s="72"/>
      <c r="K6" s="72"/>
      <c r="L6" s="72"/>
      <c r="M6" s="72"/>
      <c r="N6" s="72"/>
      <c r="O6" s="72"/>
      <c r="P6" s="72"/>
      <c r="Q6" s="72"/>
      <c r="R6" s="70"/>
      <c r="S6" s="70"/>
    </row>
    <row r="7" spans="1:21" ht="18" customHeight="1" x14ac:dyDescent="0.15">
      <c r="A7" s="67" t="s">
        <v>118</v>
      </c>
      <c r="B7" s="67"/>
      <c r="C7" s="77"/>
      <c r="D7" s="77"/>
      <c r="E7" s="72" t="s">
        <v>119</v>
      </c>
      <c r="F7" s="75">
        <v>386</v>
      </c>
      <c r="G7" s="73" t="s">
        <v>120</v>
      </c>
      <c r="H7" s="72" t="s">
        <v>121</v>
      </c>
      <c r="I7" s="75">
        <v>1088</v>
      </c>
      <c r="J7" s="73" t="s">
        <v>120</v>
      </c>
      <c r="K7" s="68" t="s">
        <v>122</v>
      </c>
      <c r="L7" s="72" t="s">
        <v>123</v>
      </c>
      <c r="M7" s="75">
        <f>F7+I7</f>
        <v>1474</v>
      </c>
      <c r="N7" s="72" t="s">
        <v>1</v>
      </c>
      <c r="O7" s="73" t="s">
        <v>124</v>
      </c>
      <c r="P7" s="72"/>
      <c r="Q7" s="72"/>
      <c r="R7" s="70"/>
      <c r="S7" s="70"/>
    </row>
    <row r="8" spans="1:21" ht="6" customHeight="1" x14ac:dyDescent="0.15">
      <c r="A8" s="72"/>
      <c r="B8" s="72"/>
      <c r="C8" s="72"/>
      <c r="D8" s="72"/>
      <c r="E8" s="72"/>
      <c r="F8" s="72"/>
      <c r="G8" s="72"/>
      <c r="H8" s="72"/>
      <c r="I8" s="72"/>
      <c r="J8" s="72"/>
      <c r="K8" s="72"/>
      <c r="L8" s="72"/>
      <c r="M8" s="72"/>
      <c r="N8" s="72"/>
      <c r="O8" s="72"/>
      <c r="P8" s="72"/>
      <c r="Q8" s="72"/>
      <c r="R8" s="72"/>
      <c r="S8" s="72"/>
    </row>
    <row r="9" spans="1:21" ht="18" customHeight="1" x14ac:dyDescent="0.15">
      <c r="A9" s="67" t="s">
        <v>134</v>
      </c>
      <c r="B9" s="72"/>
      <c r="C9" s="72"/>
      <c r="D9" s="72"/>
      <c r="E9" s="72"/>
      <c r="F9" s="72"/>
      <c r="G9" s="72"/>
      <c r="H9" s="72"/>
      <c r="I9" s="72"/>
      <c r="J9" s="72"/>
      <c r="K9" s="72"/>
      <c r="L9" s="72"/>
      <c r="M9" s="72"/>
      <c r="N9" s="72"/>
      <c r="O9" s="72"/>
      <c r="P9" s="72"/>
      <c r="Q9" s="72"/>
      <c r="R9" s="72"/>
      <c r="S9" s="72"/>
    </row>
    <row r="10" spans="1:21" ht="6" customHeight="1" x14ac:dyDescent="0.15">
      <c r="B10" s="3"/>
      <c r="C10" s="3"/>
      <c r="D10" s="3"/>
      <c r="E10" s="3"/>
      <c r="F10" s="3"/>
      <c r="G10" s="3"/>
      <c r="H10" s="3"/>
      <c r="I10" s="3"/>
      <c r="J10" s="3"/>
      <c r="K10" s="3"/>
      <c r="L10" s="3"/>
      <c r="M10" s="3"/>
      <c r="N10" s="3"/>
      <c r="O10" s="3"/>
      <c r="P10" s="3"/>
      <c r="Q10" s="3"/>
      <c r="R10" s="3"/>
      <c r="S10" s="3"/>
    </row>
    <row r="11" spans="1:21" ht="18" customHeight="1" x14ac:dyDescent="0.15">
      <c r="B11" s="164" t="s">
        <v>44</v>
      </c>
      <c r="C11" s="174" t="s">
        <v>83</v>
      </c>
      <c r="D11" s="166" t="s">
        <v>46</v>
      </c>
      <c r="E11" s="168" t="s">
        <v>39</v>
      </c>
      <c r="F11" s="160" t="s">
        <v>112</v>
      </c>
      <c r="G11" s="160"/>
      <c r="H11" s="160" t="s">
        <v>82</v>
      </c>
      <c r="I11" s="160"/>
      <c r="J11" s="160" t="s">
        <v>48</v>
      </c>
      <c r="K11" s="160"/>
      <c r="L11" s="160" t="s">
        <v>49</v>
      </c>
      <c r="M11" s="160"/>
      <c r="N11" s="160" t="s">
        <v>92</v>
      </c>
      <c r="O11" s="160"/>
      <c r="P11" s="160" t="s">
        <v>50</v>
      </c>
      <c r="Q11" s="160"/>
      <c r="R11" s="170" t="s">
        <v>35</v>
      </c>
      <c r="S11" s="172" t="s">
        <v>32</v>
      </c>
      <c r="U11" s="2"/>
    </row>
    <row r="12" spans="1:21" ht="16.899999999999999" customHeight="1" x14ac:dyDescent="0.15">
      <c r="B12" s="165"/>
      <c r="C12" s="175"/>
      <c r="D12" s="167"/>
      <c r="E12" s="169"/>
      <c r="F12" s="56" t="s">
        <v>91</v>
      </c>
      <c r="G12" s="56" t="s">
        <v>29</v>
      </c>
      <c r="H12" s="56" t="s">
        <v>91</v>
      </c>
      <c r="I12" s="56" t="s">
        <v>29</v>
      </c>
      <c r="J12" s="56" t="s">
        <v>91</v>
      </c>
      <c r="K12" s="56" t="s">
        <v>29</v>
      </c>
      <c r="L12" s="56" t="s">
        <v>91</v>
      </c>
      <c r="M12" s="56" t="s">
        <v>29</v>
      </c>
      <c r="N12" s="56" t="s">
        <v>91</v>
      </c>
      <c r="O12" s="56" t="s">
        <v>29</v>
      </c>
      <c r="P12" s="56" t="s">
        <v>91</v>
      </c>
      <c r="Q12" s="57" t="s">
        <v>29</v>
      </c>
      <c r="R12" s="171"/>
      <c r="S12" s="173"/>
      <c r="U12" s="2"/>
    </row>
    <row r="13" spans="1:21" ht="18" customHeight="1" x14ac:dyDescent="0.15">
      <c r="A13" s="6"/>
      <c r="B13" s="58" t="s">
        <v>179</v>
      </c>
      <c r="C13" s="44">
        <v>472</v>
      </c>
      <c r="D13" s="45">
        <v>100</v>
      </c>
      <c r="E13" s="46">
        <v>400</v>
      </c>
      <c r="F13" s="46">
        <v>112</v>
      </c>
      <c r="G13" s="46">
        <v>112</v>
      </c>
      <c r="H13" s="46"/>
      <c r="I13" s="46"/>
      <c r="J13" s="46"/>
      <c r="K13" s="46"/>
      <c r="L13" s="46"/>
      <c r="M13" s="46"/>
      <c r="N13" s="46"/>
      <c r="O13" s="46"/>
      <c r="P13" s="46"/>
      <c r="Q13" s="59"/>
      <c r="R13" s="45">
        <f t="shared" ref="R13:R32" si="0">F13+H13+J13+L13+N13+P13</f>
        <v>112</v>
      </c>
      <c r="S13" s="84">
        <f t="shared" ref="S13:S33" si="1">R13/E13</f>
        <v>0.28000000000000003</v>
      </c>
    </row>
    <row r="14" spans="1:21" ht="18" customHeight="1" x14ac:dyDescent="0.15">
      <c r="A14" s="6"/>
      <c r="B14" s="11" t="s">
        <v>180</v>
      </c>
      <c r="C14" s="47">
        <v>458</v>
      </c>
      <c r="D14" s="48">
        <v>100</v>
      </c>
      <c r="E14" s="49">
        <v>400</v>
      </c>
      <c r="F14" s="50">
        <v>127</v>
      </c>
      <c r="G14" s="50">
        <v>127</v>
      </c>
      <c r="H14" s="50"/>
      <c r="I14" s="50"/>
      <c r="J14" s="50"/>
      <c r="K14" s="50"/>
      <c r="L14" s="50"/>
      <c r="M14" s="50"/>
      <c r="N14" s="50"/>
      <c r="O14" s="50"/>
      <c r="P14" s="50"/>
      <c r="Q14" s="47"/>
      <c r="R14" s="48">
        <f t="shared" si="0"/>
        <v>127</v>
      </c>
      <c r="S14" s="8">
        <f t="shared" si="1"/>
        <v>0.3175</v>
      </c>
    </row>
    <row r="15" spans="1:21" ht="18" customHeight="1" x14ac:dyDescent="0.15">
      <c r="A15" s="6"/>
      <c r="B15" s="11" t="s">
        <v>181</v>
      </c>
      <c r="C15" s="47">
        <v>544</v>
      </c>
      <c r="D15" s="48">
        <v>140</v>
      </c>
      <c r="E15" s="49">
        <v>520</v>
      </c>
      <c r="F15" s="50">
        <v>64</v>
      </c>
      <c r="G15" s="50">
        <v>63</v>
      </c>
      <c r="H15" s="50"/>
      <c r="I15" s="50"/>
      <c r="J15" s="50"/>
      <c r="K15" s="50"/>
      <c r="L15" s="50"/>
      <c r="M15" s="50"/>
      <c r="N15" s="50"/>
      <c r="O15" s="50"/>
      <c r="P15" s="50"/>
      <c r="Q15" s="47"/>
      <c r="R15" s="48">
        <f t="shared" si="0"/>
        <v>64</v>
      </c>
      <c r="S15" s="8">
        <f t="shared" si="1"/>
        <v>0.12307692307692308</v>
      </c>
    </row>
    <row r="16" spans="1:21" ht="18" customHeight="1" x14ac:dyDescent="0.15">
      <c r="A16" s="6"/>
      <c r="B16" s="11"/>
      <c r="C16" s="47"/>
      <c r="D16" s="48"/>
      <c r="E16" s="49"/>
      <c r="F16" s="50"/>
      <c r="G16" s="50"/>
      <c r="H16" s="50"/>
      <c r="I16" s="50"/>
      <c r="J16" s="50"/>
      <c r="K16" s="50"/>
      <c r="L16" s="50"/>
      <c r="M16" s="50"/>
      <c r="N16" s="50"/>
      <c r="O16" s="50"/>
      <c r="P16" s="50"/>
      <c r="Q16" s="47"/>
      <c r="R16" s="48">
        <f t="shared" si="0"/>
        <v>0</v>
      </c>
      <c r="S16" s="8" t="e">
        <f t="shared" si="1"/>
        <v>#DIV/0!</v>
      </c>
    </row>
    <row r="17" spans="1:19" ht="18" customHeight="1" x14ac:dyDescent="0.15">
      <c r="A17" s="6"/>
      <c r="B17" s="11"/>
      <c r="C17" s="47"/>
      <c r="D17" s="48"/>
      <c r="E17" s="49"/>
      <c r="F17" s="50"/>
      <c r="G17" s="50"/>
      <c r="H17" s="50"/>
      <c r="I17" s="50"/>
      <c r="J17" s="50"/>
      <c r="K17" s="50"/>
      <c r="L17" s="50"/>
      <c r="M17" s="50"/>
      <c r="N17" s="50"/>
      <c r="O17" s="50"/>
      <c r="P17" s="50"/>
      <c r="Q17" s="47"/>
      <c r="R17" s="48">
        <f t="shared" si="0"/>
        <v>0</v>
      </c>
      <c r="S17" s="8" t="e">
        <f t="shared" si="1"/>
        <v>#DIV/0!</v>
      </c>
    </row>
    <row r="18" spans="1:19" ht="18" customHeight="1" x14ac:dyDescent="0.15">
      <c r="A18" s="6"/>
      <c r="B18" s="11"/>
      <c r="C18" s="47"/>
      <c r="D18" s="48"/>
      <c r="E18" s="49"/>
      <c r="F18" s="50"/>
      <c r="G18" s="50"/>
      <c r="H18" s="50"/>
      <c r="I18" s="50"/>
      <c r="J18" s="50"/>
      <c r="K18" s="50"/>
      <c r="L18" s="50"/>
      <c r="M18" s="50"/>
      <c r="N18" s="50"/>
      <c r="O18" s="50"/>
      <c r="P18" s="50"/>
      <c r="Q18" s="47"/>
      <c r="R18" s="48">
        <f t="shared" si="0"/>
        <v>0</v>
      </c>
      <c r="S18" s="8" t="e">
        <f t="shared" si="1"/>
        <v>#DIV/0!</v>
      </c>
    </row>
    <row r="19" spans="1:19" ht="18" customHeight="1" x14ac:dyDescent="0.15">
      <c r="A19" s="6"/>
      <c r="B19" s="11"/>
      <c r="C19" s="47"/>
      <c r="D19" s="48"/>
      <c r="E19" s="49"/>
      <c r="F19" s="50"/>
      <c r="G19" s="50"/>
      <c r="H19" s="50"/>
      <c r="I19" s="50"/>
      <c r="J19" s="50"/>
      <c r="K19" s="50"/>
      <c r="L19" s="50"/>
      <c r="M19" s="50"/>
      <c r="N19" s="50"/>
      <c r="O19" s="50"/>
      <c r="P19" s="50"/>
      <c r="Q19" s="47"/>
      <c r="R19" s="48">
        <f t="shared" si="0"/>
        <v>0</v>
      </c>
      <c r="S19" s="8" t="e">
        <f t="shared" si="1"/>
        <v>#DIV/0!</v>
      </c>
    </row>
    <row r="20" spans="1:19" ht="18" customHeight="1" x14ac:dyDescent="0.15">
      <c r="A20" s="6"/>
      <c r="B20" s="11"/>
      <c r="C20" s="47"/>
      <c r="D20" s="48"/>
      <c r="E20" s="49"/>
      <c r="F20" s="50"/>
      <c r="G20" s="50"/>
      <c r="H20" s="50"/>
      <c r="I20" s="50"/>
      <c r="J20" s="50"/>
      <c r="K20" s="50"/>
      <c r="L20" s="50"/>
      <c r="M20" s="50"/>
      <c r="N20" s="50"/>
      <c r="O20" s="50"/>
      <c r="P20" s="50"/>
      <c r="Q20" s="47"/>
      <c r="R20" s="48">
        <f t="shared" si="0"/>
        <v>0</v>
      </c>
      <c r="S20" s="8" t="e">
        <f t="shared" si="1"/>
        <v>#DIV/0!</v>
      </c>
    </row>
    <row r="21" spans="1:19" ht="18" customHeight="1" x14ac:dyDescent="0.15">
      <c r="A21" s="6"/>
      <c r="B21" s="11"/>
      <c r="C21" s="47"/>
      <c r="D21" s="48"/>
      <c r="E21" s="49"/>
      <c r="F21" s="50"/>
      <c r="G21" s="50"/>
      <c r="H21" s="50"/>
      <c r="I21" s="50"/>
      <c r="J21" s="50"/>
      <c r="K21" s="50"/>
      <c r="L21" s="50"/>
      <c r="M21" s="50"/>
      <c r="N21" s="50"/>
      <c r="O21" s="50"/>
      <c r="P21" s="50"/>
      <c r="Q21" s="47"/>
      <c r="R21" s="48">
        <f t="shared" si="0"/>
        <v>0</v>
      </c>
      <c r="S21" s="8" t="e">
        <f t="shared" si="1"/>
        <v>#DIV/0!</v>
      </c>
    </row>
    <row r="22" spans="1:19" ht="18" customHeight="1" x14ac:dyDescent="0.15">
      <c r="A22" s="6"/>
      <c r="B22" s="11"/>
      <c r="C22" s="47"/>
      <c r="D22" s="48"/>
      <c r="E22" s="49"/>
      <c r="F22" s="50"/>
      <c r="G22" s="50"/>
      <c r="H22" s="50"/>
      <c r="I22" s="50"/>
      <c r="J22" s="50"/>
      <c r="K22" s="50"/>
      <c r="L22" s="50"/>
      <c r="M22" s="50"/>
      <c r="N22" s="50"/>
      <c r="O22" s="50"/>
      <c r="P22" s="50"/>
      <c r="Q22" s="47"/>
      <c r="R22" s="48">
        <f t="shared" si="0"/>
        <v>0</v>
      </c>
      <c r="S22" s="8" t="e">
        <f t="shared" si="1"/>
        <v>#DIV/0!</v>
      </c>
    </row>
    <row r="23" spans="1:19" ht="18" customHeight="1" x14ac:dyDescent="0.15">
      <c r="A23" s="6"/>
      <c r="B23" s="11"/>
      <c r="C23" s="47"/>
      <c r="D23" s="48"/>
      <c r="E23" s="49"/>
      <c r="F23" s="50"/>
      <c r="G23" s="50"/>
      <c r="H23" s="50"/>
      <c r="I23" s="50"/>
      <c r="J23" s="50"/>
      <c r="K23" s="50"/>
      <c r="L23" s="50"/>
      <c r="M23" s="50"/>
      <c r="N23" s="50"/>
      <c r="O23" s="50"/>
      <c r="P23" s="50"/>
      <c r="Q23" s="47"/>
      <c r="R23" s="48">
        <f t="shared" si="0"/>
        <v>0</v>
      </c>
      <c r="S23" s="8" t="e">
        <f t="shared" si="1"/>
        <v>#DIV/0!</v>
      </c>
    </row>
    <row r="24" spans="1:19" ht="18" customHeight="1" x14ac:dyDescent="0.15">
      <c r="A24" s="6"/>
      <c r="B24" s="11"/>
      <c r="C24" s="47"/>
      <c r="D24" s="48"/>
      <c r="E24" s="49"/>
      <c r="F24" s="50"/>
      <c r="G24" s="50"/>
      <c r="H24" s="50"/>
      <c r="I24" s="50"/>
      <c r="J24" s="50"/>
      <c r="K24" s="50"/>
      <c r="L24" s="50"/>
      <c r="M24" s="50"/>
      <c r="N24" s="50"/>
      <c r="O24" s="50"/>
      <c r="P24" s="50"/>
      <c r="Q24" s="47"/>
      <c r="R24" s="48">
        <f t="shared" si="0"/>
        <v>0</v>
      </c>
      <c r="S24" s="8" t="e">
        <f t="shared" si="1"/>
        <v>#DIV/0!</v>
      </c>
    </row>
    <row r="25" spans="1:19" ht="18" customHeight="1" x14ac:dyDescent="0.15">
      <c r="A25" s="6"/>
      <c r="B25" s="11"/>
      <c r="C25" s="47"/>
      <c r="D25" s="48"/>
      <c r="E25" s="49"/>
      <c r="F25" s="50"/>
      <c r="G25" s="50"/>
      <c r="H25" s="50"/>
      <c r="I25" s="50"/>
      <c r="J25" s="50"/>
      <c r="K25" s="50"/>
      <c r="L25" s="50"/>
      <c r="M25" s="50"/>
      <c r="N25" s="50"/>
      <c r="O25" s="50"/>
      <c r="P25" s="50"/>
      <c r="Q25" s="47"/>
      <c r="R25" s="48">
        <f t="shared" si="0"/>
        <v>0</v>
      </c>
      <c r="S25" s="8" t="e">
        <f t="shared" si="1"/>
        <v>#DIV/0!</v>
      </c>
    </row>
    <row r="26" spans="1:19" ht="18" customHeight="1" x14ac:dyDescent="0.15">
      <c r="A26" s="6"/>
      <c r="B26" s="11"/>
      <c r="C26" s="47"/>
      <c r="D26" s="48"/>
      <c r="E26" s="49"/>
      <c r="F26" s="50"/>
      <c r="G26" s="50"/>
      <c r="H26" s="50"/>
      <c r="I26" s="50"/>
      <c r="J26" s="50"/>
      <c r="K26" s="50"/>
      <c r="L26" s="50"/>
      <c r="M26" s="50"/>
      <c r="N26" s="50"/>
      <c r="O26" s="50"/>
      <c r="P26" s="50"/>
      <c r="Q26" s="47"/>
      <c r="R26" s="48">
        <f t="shared" si="0"/>
        <v>0</v>
      </c>
      <c r="S26" s="8" t="e">
        <f t="shared" si="1"/>
        <v>#DIV/0!</v>
      </c>
    </row>
    <row r="27" spans="1:19" ht="18" customHeight="1" x14ac:dyDescent="0.15">
      <c r="A27" s="6"/>
      <c r="B27" s="11"/>
      <c r="C27" s="47"/>
      <c r="D27" s="48"/>
      <c r="E27" s="49"/>
      <c r="F27" s="50"/>
      <c r="G27" s="50"/>
      <c r="H27" s="50"/>
      <c r="I27" s="50"/>
      <c r="J27" s="50"/>
      <c r="K27" s="50"/>
      <c r="L27" s="50"/>
      <c r="M27" s="50"/>
      <c r="N27" s="50"/>
      <c r="O27" s="50"/>
      <c r="P27" s="50"/>
      <c r="Q27" s="47"/>
      <c r="R27" s="48">
        <f t="shared" si="0"/>
        <v>0</v>
      </c>
      <c r="S27" s="8" t="e">
        <f t="shared" si="1"/>
        <v>#DIV/0!</v>
      </c>
    </row>
    <row r="28" spans="1:19" ht="18" customHeight="1" x14ac:dyDescent="0.15">
      <c r="A28" s="6"/>
      <c r="B28" s="11"/>
      <c r="C28" s="47"/>
      <c r="D28" s="48"/>
      <c r="E28" s="49"/>
      <c r="F28" s="50"/>
      <c r="G28" s="50"/>
      <c r="H28" s="50"/>
      <c r="I28" s="50"/>
      <c r="J28" s="50"/>
      <c r="K28" s="50"/>
      <c r="L28" s="50"/>
      <c r="M28" s="50"/>
      <c r="N28" s="50"/>
      <c r="O28" s="50"/>
      <c r="P28" s="50"/>
      <c r="Q28" s="47"/>
      <c r="R28" s="48">
        <f t="shared" si="0"/>
        <v>0</v>
      </c>
      <c r="S28" s="8" t="e">
        <f t="shared" si="1"/>
        <v>#DIV/0!</v>
      </c>
    </row>
    <row r="29" spans="1:19" ht="18" customHeight="1" x14ac:dyDescent="0.15">
      <c r="A29" s="6"/>
      <c r="B29" s="11"/>
      <c r="C29" s="47"/>
      <c r="D29" s="48"/>
      <c r="E29" s="49"/>
      <c r="F29" s="50"/>
      <c r="G29" s="50"/>
      <c r="H29" s="50"/>
      <c r="I29" s="50"/>
      <c r="J29" s="50"/>
      <c r="K29" s="50"/>
      <c r="L29" s="50"/>
      <c r="M29" s="50"/>
      <c r="N29" s="50"/>
      <c r="O29" s="50"/>
      <c r="P29" s="50"/>
      <c r="Q29" s="47"/>
      <c r="R29" s="48">
        <f t="shared" si="0"/>
        <v>0</v>
      </c>
      <c r="S29" s="8" t="e">
        <f t="shared" si="1"/>
        <v>#DIV/0!</v>
      </c>
    </row>
    <row r="30" spans="1:19" ht="18" customHeight="1" x14ac:dyDescent="0.15">
      <c r="A30" s="6"/>
      <c r="B30" s="11"/>
      <c r="C30" s="47"/>
      <c r="D30" s="51"/>
      <c r="E30" s="49"/>
      <c r="F30" s="50"/>
      <c r="G30" s="50"/>
      <c r="H30" s="50"/>
      <c r="I30" s="50"/>
      <c r="J30" s="50"/>
      <c r="K30" s="50"/>
      <c r="L30" s="50"/>
      <c r="M30" s="50"/>
      <c r="N30" s="50"/>
      <c r="O30" s="50"/>
      <c r="P30" s="50"/>
      <c r="Q30" s="47"/>
      <c r="R30" s="51">
        <f t="shared" si="0"/>
        <v>0</v>
      </c>
      <c r="S30" s="8" t="e">
        <f t="shared" si="1"/>
        <v>#DIV/0!</v>
      </c>
    </row>
    <row r="31" spans="1:19" ht="18" customHeight="1" x14ac:dyDescent="0.15">
      <c r="A31" s="6"/>
      <c r="B31" s="11"/>
      <c r="C31" s="47"/>
      <c r="D31" s="51"/>
      <c r="E31" s="49"/>
      <c r="F31" s="50"/>
      <c r="G31" s="50"/>
      <c r="H31" s="50"/>
      <c r="I31" s="50"/>
      <c r="J31" s="50"/>
      <c r="K31" s="50"/>
      <c r="L31" s="50"/>
      <c r="M31" s="50"/>
      <c r="N31" s="50"/>
      <c r="O31" s="50"/>
      <c r="P31" s="50"/>
      <c r="Q31" s="47"/>
      <c r="R31" s="51">
        <f t="shared" si="0"/>
        <v>0</v>
      </c>
      <c r="S31" s="8" t="e">
        <f t="shared" si="1"/>
        <v>#DIV/0!</v>
      </c>
    </row>
    <row r="32" spans="1:19" ht="18" customHeight="1" thickBot="1" x14ac:dyDescent="0.2">
      <c r="A32" s="6"/>
      <c r="B32" s="12"/>
      <c r="C32" s="44"/>
      <c r="D32" s="52"/>
      <c r="E32" s="46"/>
      <c r="F32" s="46"/>
      <c r="G32" s="46"/>
      <c r="H32" s="46"/>
      <c r="I32" s="46"/>
      <c r="J32" s="46"/>
      <c r="K32" s="46"/>
      <c r="L32" s="46"/>
      <c r="M32" s="46"/>
      <c r="N32" s="46"/>
      <c r="O32" s="46"/>
      <c r="P32" s="46"/>
      <c r="Q32" s="47"/>
      <c r="R32" s="52">
        <f t="shared" si="0"/>
        <v>0</v>
      </c>
      <c r="S32" s="7" t="e">
        <f t="shared" si="1"/>
        <v>#DIV/0!</v>
      </c>
    </row>
    <row r="33" spans="2:19" ht="18" customHeight="1" thickTop="1" x14ac:dyDescent="0.15">
      <c r="B33" s="13" t="s">
        <v>33</v>
      </c>
      <c r="C33" s="53">
        <f t="shared" ref="C33" si="2">SUM(C13:C32)</f>
        <v>1474</v>
      </c>
      <c r="D33" s="54">
        <f t="shared" ref="D33:R33" si="3">SUM(D13:D32)</f>
        <v>340</v>
      </c>
      <c r="E33" s="55">
        <f t="shared" si="3"/>
        <v>1320</v>
      </c>
      <c r="F33" s="55">
        <f t="shared" si="3"/>
        <v>303</v>
      </c>
      <c r="G33" s="55">
        <f t="shared" ref="G33:H33" si="4">SUM(G13:G32)</f>
        <v>302</v>
      </c>
      <c r="H33" s="55">
        <f t="shared" si="4"/>
        <v>0</v>
      </c>
      <c r="I33" s="55">
        <f t="shared" ref="I33:J33" si="5">SUM(I13:I32)</f>
        <v>0</v>
      </c>
      <c r="J33" s="55">
        <f t="shared" si="5"/>
        <v>0</v>
      </c>
      <c r="K33" s="55">
        <f t="shared" ref="K33:O33" si="6">SUM(K13:K32)</f>
        <v>0</v>
      </c>
      <c r="L33" s="55">
        <f t="shared" si="6"/>
        <v>0</v>
      </c>
      <c r="M33" s="55">
        <f t="shared" si="6"/>
        <v>0</v>
      </c>
      <c r="N33" s="55">
        <f t="shared" si="6"/>
        <v>0</v>
      </c>
      <c r="O33" s="55">
        <f t="shared" si="6"/>
        <v>0</v>
      </c>
      <c r="P33" s="55">
        <f t="shared" ref="P33:Q33" si="7">SUM(P13:P32)</f>
        <v>0</v>
      </c>
      <c r="Q33" s="53">
        <f t="shared" si="7"/>
        <v>0</v>
      </c>
      <c r="R33" s="54">
        <f t="shared" si="3"/>
        <v>303</v>
      </c>
      <c r="S33" s="9">
        <f t="shared" si="1"/>
        <v>0.22954545454545455</v>
      </c>
    </row>
  </sheetData>
  <mergeCells count="15">
    <mergeCell ref="H11:I11"/>
    <mergeCell ref="J11:K11"/>
    <mergeCell ref="Q2:S2"/>
    <mergeCell ref="L11:M11"/>
    <mergeCell ref="A3:S3"/>
    <mergeCell ref="C5:D5"/>
    <mergeCell ref="B11:B12"/>
    <mergeCell ref="D11:D12"/>
    <mergeCell ref="E11:E12"/>
    <mergeCell ref="F11:G11"/>
    <mergeCell ref="R11:R12"/>
    <mergeCell ref="S11:S12"/>
    <mergeCell ref="C11:C12"/>
    <mergeCell ref="N11:O11"/>
    <mergeCell ref="P11:Q11"/>
  </mergeCells>
  <phoneticPr fontId="1"/>
  <conditionalFormatting sqref="C5:D7">
    <cfRule type="cellIs" priority="1" operator="equal">
      <formula>0</formula>
    </cfRule>
  </conditionalFormatting>
  <printOptions horizontalCentered="1"/>
  <pageMargins left="0.78740157480314965" right="0.78740157480314965" top="0.78740157480314965" bottom="0.59055118110236227" header="0.31496062992125984" footer="0.31496062992125984"/>
  <pageSetup paperSize="9" scale="99" orientation="landscape" r:id="rId1"/>
  <headerFooter>
    <oddHeader>&amp;C数理・データサイエンス・AI教育プログラム認定制度【リテラシーレベル】</oddHead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O134"/>
  <sheetViews>
    <sheetView showZeros="0" view="pageBreakPreview" topLeftCell="A90" zoomScaleNormal="100" zoomScaleSheetLayoutView="100" workbookViewId="0">
      <selection activeCell="D91" sqref="D91:U91"/>
    </sheetView>
  </sheetViews>
  <sheetFormatPr defaultColWidth="11.375" defaultRowHeight="18.75" customHeight="1" x14ac:dyDescent="0.15"/>
  <cols>
    <col min="1" max="1" width="2.75" style="24" customWidth="1"/>
    <col min="2" max="2" width="16.625" style="1" customWidth="1"/>
    <col min="3" max="3" width="8.875" style="1" customWidth="1"/>
    <col min="4" max="4" width="2.25" style="1" customWidth="1"/>
    <col min="5" max="5" width="16.625" style="1" customWidth="1"/>
    <col min="6" max="6" width="4.375" style="1" customWidth="1"/>
    <col min="7" max="7" width="9" style="1" customWidth="1"/>
    <col min="8" max="8" width="16.625" style="1" customWidth="1"/>
    <col min="9" max="9" width="12.125" style="1" customWidth="1"/>
    <col min="10" max="16384" width="11.375" style="1"/>
  </cols>
  <sheetData>
    <row r="1" spans="1:9" ht="18.75" customHeight="1" x14ac:dyDescent="0.15">
      <c r="A1" s="24" t="s">
        <v>63</v>
      </c>
      <c r="I1" s="23" t="s">
        <v>97</v>
      </c>
    </row>
    <row r="2" spans="1:9" ht="18.75" customHeight="1" x14ac:dyDescent="0.15">
      <c r="G2" s="23" t="s">
        <v>99</v>
      </c>
      <c r="H2" s="118" t="str">
        <f>'様式１　プログラムを構成する授業科目'!C2</f>
        <v>熊本保健科学大学</v>
      </c>
      <c r="I2" s="123"/>
    </row>
    <row r="3" spans="1:9" ht="18.75" customHeight="1" x14ac:dyDescent="0.15">
      <c r="G3" s="23"/>
      <c r="H3" s="10"/>
      <c r="I3" s="10"/>
    </row>
    <row r="4" spans="1:9" ht="18.600000000000001" customHeight="1" x14ac:dyDescent="0.15">
      <c r="A4" s="204" t="s">
        <v>36</v>
      </c>
      <c r="B4" s="204"/>
      <c r="C4" s="204"/>
      <c r="D4" s="204"/>
      <c r="E4" s="204"/>
      <c r="F4" s="204"/>
      <c r="G4" s="204"/>
      <c r="H4" s="204"/>
      <c r="I4" s="204"/>
    </row>
    <row r="5" spans="1:9" ht="13.15" customHeight="1" x14ac:dyDescent="0.15">
      <c r="B5" s="3"/>
      <c r="C5" s="3"/>
      <c r="D5" s="3"/>
      <c r="E5" s="3"/>
      <c r="F5" s="3"/>
      <c r="G5" s="3"/>
      <c r="H5" s="3"/>
      <c r="I5" s="3"/>
    </row>
    <row r="6" spans="1:9" ht="18" customHeight="1" x14ac:dyDescent="0.15">
      <c r="A6" s="1" t="s">
        <v>0</v>
      </c>
      <c r="B6" s="10" t="s">
        <v>86</v>
      </c>
      <c r="C6" s="221" t="s">
        <v>87</v>
      </c>
      <c r="D6" s="221"/>
      <c r="E6" s="22">
        <v>108</v>
      </c>
      <c r="F6" s="3" t="s">
        <v>1</v>
      </c>
      <c r="G6" s="3" t="s">
        <v>2</v>
      </c>
      <c r="H6" s="22">
        <v>244</v>
      </c>
      <c r="I6" s="10" t="s">
        <v>1</v>
      </c>
    </row>
    <row r="7" spans="1:9" ht="12" customHeight="1" x14ac:dyDescent="0.15">
      <c r="C7" s="2"/>
      <c r="D7" s="2"/>
      <c r="E7" s="2"/>
      <c r="F7" s="2"/>
      <c r="G7" s="2"/>
      <c r="H7" s="2"/>
      <c r="I7" s="25"/>
    </row>
    <row r="8" spans="1:9" ht="18" customHeight="1" x14ac:dyDescent="0.15">
      <c r="A8" s="1" t="s">
        <v>3</v>
      </c>
      <c r="B8" s="10" t="s">
        <v>88</v>
      </c>
      <c r="E8" s="3"/>
      <c r="F8" s="3"/>
      <c r="G8" s="3"/>
      <c r="H8" s="22">
        <v>4</v>
      </c>
      <c r="I8" s="10" t="s">
        <v>1</v>
      </c>
    </row>
    <row r="9" spans="1:9" ht="9" customHeight="1" x14ac:dyDescent="0.15">
      <c r="B9" s="3"/>
      <c r="C9" s="3"/>
      <c r="D9" s="3"/>
      <c r="E9" s="3"/>
      <c r="F9" s="3"/>
      <c r="G9" s="3"/>
      <c r="H9" s="3"/>
      <c r="I9" s="3"/>
    </row>
    <row r="10" spans="1:9" ht="18" customHeight="1" x14ac:dyDescent="0.15">
      <c r="A10" s="1" t="s">
        <v>4</v>
      </c>
      <c r="B10" s="10" t="s">
        <v>89</v>
      </c>
      <c r="C10" s="3"/>
      <c r="D10" s="3"/>
      <c r="E10" s="3"/>
      <c r="F10" s="3"/>
      <c r="G10" s="3"/>
      <c r="H10" s="3"/>
      <c r="I10" s="3"/>
    </row>
    <row r="11" spans="1:9" ht="18" customHeight="1" x14ac:dyDescent="0.15">
      <c r="B11" s="23" t="s">
        <v>42</v>
      </c>
      <c r="C11" s="118" t="s">
        <v>142</v>
      </c>
      <c r="D11" s="219"/>
      <c r="E11" s="220"/>
      <c r="F11" s="25"/>
      <c r="G11" s="23" t="s">
        <v>10</v>
      </c>
      <c r="H11" s="118" t="s">
        <v>143</v>
      </c>
      <c r="I11" s="220"/>
    </row>
    <row r="12" spans="1:9" ht="10.15" customHeight="1" x14ac:dyDescent="0.15">
      <c r="B12" s="23"/>
      <c r="C12" s="10"/>
      <c r="D12" s="25"/>
      <c r="E12" s="25"/>
      <c r="F12" s="25"/>
      <c r="G12" s="23"/>
      <c r="H12" s="10"/>
      <c r="I12" s="25"/>
    </row>
    <row r="13" spans="1:9" ht="18" customHeight="1" x14ac:dyDescent="0.15">
      <c r="A13" s="1" t="s">
        <v>7</v>
      </c>
      <c r="B13" s="10" t="s">
        <v>84</v>
      </c>
      <c r="C13" s="3"/>
      <c r="D13" s="3"/>
      <c r="E13" s="3"/>
      <c r="F13" s="3"/>
      <c r="G13" s="3"/>
      <c r="H13" s="3"/>
      <c r="I13" s="3"/>
    </row>
    <row r="14" spans="1:9" ht="18" customHeight="1" x14ac:dyDescent="0.15">
      <c r="B14" s="118" t="s">
        <v>144</v>
      </c>
      <c r="C14" s="219"/>
      <c r="D14" s="219"/>
      <c r="E14" s="219"/>
      <c r="F14" s="219"/>
      <c r="G14" s="219"/>
      <c r="H14" s="219"/>
      <c r="I14" s="220"/>
    </row>
    <row r="15" spans="1:9" ht="9" customHeight="1" x14ac:dyDescent="0.15">
      <c r="B15" s="3"/>
      <c r="C15" s="3"/>
      <c r="D15" s="3"/>
      <c r="E15" s="3"/>
      <c r="F15" s="3"/>
      <c r="G15" s="3"/>
      <c r="H15" s="3"/>
      <c r="I15" s="3"/>
    </row>
    <row r="16" spans="1:9" ht="18" customHeight="1" x14ac:dyDescent="0.15">
      <c r="B16" s="23" t="s">
        <v>42</v>
      </c>
      <c r="C16" s="118" t="s">
        <v>145</v>
      </c>
      <c r="D16" s="219"/>
      <c r="E16" s="220"/>
      <c r="F16" s="25"/>
      <c r="G16" s="23" t="s">
        <v>10</v>
      </c>
      <c r="H16" s="118" t="s">
        <v>146</v>
      </c>
      <c r="I16" s="220"/>
    </row>
    <row r="17" spans="1:9" ht="18" customHeight="1" x14ac:dyDescent="0.15">
      <c r="B17" s="3"/>
      <c r="C17" s="3"/>
      <c r="D17" s="3"/>
      <c r="E17" s="3"/>
      <c r="F17" s="3"/>
      <c r="G17" s="3"/>
      <c r="H17" s="3"/>
      <c r="I17" s="3"/>
    </row>
    <row r="18" spans="1:9" ht="18.75" customHeight="1" x14ac:dyDescent="0.15">
      <c r="A18" s="1" t="s">
        <v>5</v>
      </c>
      <c r="B18" s="1" t="s">
        <v>41</v>
      </c>
      <c r="I18" s="3"/>
    </row>
    <row r="19" spans="1:9" ht="18.75" customHeight="1" x14ac:dyDescent="0.15">
      <c r="A19" s="1"/>
      <c r="B19" s="205" t="s">
        <v>147</v>
      </c>
      <c r="C19" s="206"/>
      <c r="D19" s="206"/>
      <c r="E19" s="206"/>
      <c r="F19" s="206"/>
      <c r="G19" s="206"/>
      <c r="H19" s="206"/>
      <c r="I19" s="207"/>
    </row>
    <row r="20" spans="1:9" ht="7.5" customHeight="1" x14ac:dyDescent="0.15">
      <c r="B20" s="3"/>
      <c r="C20" s="3"/>
      <c r="D20" s="3"/>
      <c r="E20" s="3"/>
      <c r="F20" s="3"/>
      <c r="G20" s="3"/>
      <c r="H20" s="3"/>
      <c r="I20" s="3"/>
    </row>
    <row r="21" spans="1:9" ht="18.75" customHeight="1" x14ac:dyDescent="0.15">
      <c r="A21" s="1" t="s">
        <v>8</v>
      </c>
      <c r="B21" s="1" t="s">
        <v>25</v>
      </c>
    </row>
    <row r="22" spans="1:9" ht="18.75" customHeight="1" x14ac:dyDescent="0.15">
      <c r="A22" s="14"/>
      <c r="B22" s="208" t="s">
        <v>148</v>
      </c>
      <c r="C22" s="209"/>
      <c r="D22" s="209"/>
      <c r="E22" s="209"/>
      <c r="F22" s="209"/>
      <c r="G22" s="209"/>
      <c r="H22" s="209"/>
      <c r="I22" s="210"/>
    </row>
    <row r="23" spans="1:9" ht="18.75" customHeight="1" x14ac:dyDescent="0.15">
      <c r="A23" s="14"/>
      <c r="B23" s="211"/>
      <c r="C23" s="212"/>
      <c r="D23" s="212"/>
      <c r="E23" s="212"/>
      <c r="F23" s="212"/>
      <c r="G23" s="212"/>
      <c r="H23" s="212"/>
      <c r="I23" s="213"/>
    </row>
    <row r="24" spans="1:9" ht="18.75" customHeight="1" x14ac:dyDescent="0.15">
      <c r="A24" s="14"/>
      <c r="B24" s="211"/>
      <c r="C24" s="212"/>
      <c r="D24" s="212"/>
      <c r="E24" s="212"/>
      <c r="F24" s="212"/>
      <c r="G24" s="212"/>
      <c r="H24" s="212"/>
      <c r="I24" s="213"/>
    </row>
    <row r="25" spans="1:9" ht="18.75" customHeight="1" x14ac:dyDescent="0.15">
      <c r="A25" s="14"/>
      <c r="B25" s="211"/>
      <c r="C25" s="212"/>
      <c r="D25" s="212"/>
      <c r="E25" s="212"/>
      <c r="F25" s="212"/>
      <c r="G25" s="212"/>
      <c r="H25" s="212"/>
      <c r="I25" s="213"/>
    </row>
    <row r="26" spans="1:9" ht="18.75" customHeight="1" x14ac:dyDescent="0.15">
      <c r="A26" s="14"/>
      <c r="B26" s="211"/>
      <c r="C26" s="212"/>
      <c r="D26" s="212"/>
      <c r="E26" s="212"/>
      <c r="F26" s="212"/>
      <c r="G26" s="212"/>
      <c r="H26" s="212"/>
      <c r="I26" s="213"/>
    </row>
    <row r="27" spans="1:9" ht="18.75" customHeight="1" x14ac:dyDescent="0.15">
      <c r="A27" s="14"/>
      <c r="B27" s="211"/>
      <c r="C27" s="212"/>
      <c r="D27" s="212"/>
      <c r="E27" s="212"/>
      <c r="F27" s="212"/>
      <c r="G27" s="212"/>
      <c r="H27" s="212"/>
      <c r="I27" s="213"/>
    </row>
    <row r="28" spans="1:9" ht="18.75" customHeight="1" x14ac:dyDescent="0.15">
      <c r="A28" s="14"/>
      <c r="B28" s="211"/>
      <c r="C28" s="212"/>
      <c r="D28" s="212"/>
      <c r="E28" s="212"/>
      <c r="F28" s="212"/>
      <c r="G28" s="212"/>
      <c r="H28" s="212"/>
      <c r="I28" s="213"/>
    </row>
    <row r="29" spans="1:9" ht="18.75" customHeight="1" x14ac:dyDescent="0.15">
      <c r="A29" s="14"/>
      <c r="B29" s="211"/>
      <c r="C29" s="212"/>
      <c r="D29" s="212"/>
      <c r="E29" s="212"/>
      <c r="F29" s="212"/>
      <c r="G29" s="212"/>
      <c r="H29" s="212"/>
      <c r="I29" s="213"/>
    </row>
    <row r="30" spans="1:9" ht="18.75" customHeight="1" x14ac:dyDescent="0.15">
      <c r="A30" s="14"/>
      <c r="B30" s="214"/>
      <c r="C30" s="215"/>
      <c r="D30" s="215"/>
      <c r="E30" s="215"/>
      <c r="F30" s="215"/>
      <c r="G30" s="215"/>
      <c r="H30" s="215"/>
      <c r="I30" s="213"/>
    </row>
    <row r="31" spans="1:9" ht="18.75" customHeight="1" x14ac:dyDescent="0.15">
      <c r="A31" s="14"/>
      <c r="B31" s="214"/>
      <c r="C31" s="215"/>
      <c r="D31" s="215"/>
      <c r="E31" s="215"/>
      <c r="F31" s="215"/>
      <c r="G31" s="215"/>
      <c r="H31" s="215"/>
      <c r="I31" s="213"/>
    </row>
    <row r="32" spans="1:9" ht="18.75" customHeight="1" x14ac:dyDescent="0.15">
      <c r="A32" s="14"/>
      <c r="B32" s="216"/>
      <c r="C32" s="217"/>
      <c r="D32" s="217"/>
      <c r="E32" s="217"/>
      <c r="F32" s="217"/>
      <c r="G32" s="217"/>
      <c r="H32" s="217"/>
      <c r="I32" s="218"/>
    </row>
    <row r="33" spans="1:9" ht="7.5" customHeight="1" x14ac:dyDescent="0.15">
      <c r="A33" s="14"/>
      <c r="B33" s="14"/>
      <c r="C33" s="14"/>
      <c r="D33" s="14"/>
      <c r="E33" s="14"/>
      <c r="F33" s="14"/>
      <c r="G33" s="14"/>
      <c r="H33" s="14"/>
      <c r="I33" s="14"/>
    </row>
    <row r="34" spans="1:9" ht="18.75" customHeight="1" x14ac:dyDescent="0.15">
      <c r="A34" s="15" t="s">
        <v>6</v>
      </c>
      <c r="B34" s="15" t="s">
        <v>9</v>
      </c>
      <c r="C34" s="10"/>
      <c r="D34" s="15"/>
      <c r="E34" s="15"/>
      <c r="F34" s="15"/>
      <c r="G34" s="15"/>
      <c r="H34" s="15"/>
      <c r="I34" s="15"/>
    </row>
    <row r="35" spans="1:9" ht="18.75" customHeight="1" x14ac:dyDescent="0.15">
      <c r="A35" s="14"/>
      <c r="B35" s="208" t="s">
        <v>158</v>
      </c>
      <c r="C35" s="209"/>
      <c r="D35" s="209"/>
      <c r="E35" s="209"/>
      <c r="F35" s="209"/>
      <c r="G35" s="209"/>
      <c r="H35" s="209"/>
      <c r="I35" s="210"/>
    </row>
    <row r="36" spans="1:9" ht="18.75" customHeight="1" x14ac:dyDescent="0.15">
      <c r="A36" s="14"/>
      <c r="B36" s="214"/>
      <c r="C36" s="215"/>
      <c r="D36" s="215"/>
      <c r="E36" s="215"/>
      <c r="F36" s="215"/>
      <c r="G36" s="215"/>
      <c r="H36" s="215"/>
      <c r="I36" s="213"/>
    </row>
    <row r="37" spans="1:9" ht="18.75" customHeight="1" x14ac:dyDescent="0.15">
      <c r="A37" s="14"/>
      <c r="B37" s="214"/>
      <c r="C37" s="215"/>
      <c r="D37" s="215"/>
      <c r="E37" s="215"/>
      <c r="F37" s="215"/>
      <c r="G37" s="215"/>
      <c r="H37" s="215"/>
      <c r="I37" s="213"/>
    </row>
    <row r="38" spans="1:9" ht="18.75" customHeight="1" x14ac:dyDescent="0.15">
      <c r="A38" s="14"/>
      <c r="B38" s="214"/>
      <c r="C38" s="215"/>
      <c r="D38" s="215"/>
      <c r="E38" s="215"/>
      <c r="F38" s="215"/>
      <c r="G38" s="215"/>
      <c r="H38" s="215"/>
      <c r="I38" s="213"/>
    </row>
    <row r="39" spans="1:9" ht="18.75" customHeight="1" x14ac:dyDescent="0.15">
      <c r="A39" s="14"/>
      <c r="B39" s="214"/>
      <c r="C39" s="215"/>
      <c r="D39" s="215"/>
      <c r="E39" s="215"/>
      <c r="F39" s="215"/>
      <c r="G39" s="215"/>
      <c r="H39" s="215"/>
      <c r="I39" s="213"/>
    </row>
    <row r="40" spans="1:9" ht="18.75" customHeight="1" x14ac:dyDescent="0.15">
      <c r="A40" s="14"/>
      <c r="B40" s="214"/>
      <c r="C40" s="215"/>
      <c r="D40" s="215"/>
      <c r="E40" s="215"/>
      <c r="F40" s="215"/>
      <c r="G40" s="215"/>
      <c r="H40" s="215"/>
      <c r="I40" s="213"/>
    </row>
    <row r="41" spans="1:9" ht="18.75" customHeight="1" x14ac:dyDescent="0.15">
      <c r="A41" s="14"/>
      <c r="B41" s="214"/>
      <c r="C41" s="215"/>
      <c r="D41" s="215"/>
      <c r="E41" s="215"/>
      <c r="F41" s="215"/>
      <c r="G41" s="215"/>
      <c r="H41" s="215"/>
      <c r="I41" s="213"/>
    </row>
    <row r="42" spans="1:9" ht="18.75" customHeight="1" x14ac:dyDescent="0.15">
      <c r="A42" s="14"/>
      <c r="B42" s="214"/>
      <c r="C42" s="215"/>
      <c r="D42" s="215"/>
      <c r="E42" s="215"/>
      <c r="F42" s="215"/>
      <c r="G42" s="215"/>
      <c r="H42" s="215"/>
      <c r="I42" s="213"/>
    </row>
    <row r="43" spans="1:9" ht="18.75" customHeight="1" x14ac:dyDescent="0.15">
      <c r="A43" s="14"/>
      <c r="B43" s="214"/>
      <c r="C43" s="215"/>
      <c r="D43" s="215"/>
      <c r="E43" s="215"/>
      <c r="F43" s="215"/>
      <c r="G43" s="215"/>
      <c r="H43" s="215"/>
      <c r="I43" s="213"/>
    </row>
    <row r="44" spans="1:9" ht="18.75" customHeight="1" x14ac:dyDescent="0.15">
      <c r="A44" s="14"/>
      <c r="B44" s="214"/>
      <c r="C44" s="215"/>
      <c r="D44" s="215"/>
      <c r="E44" s="215"/>
      <c r="F44" s="215"/>
      <c r="G44" s="215"/>
      <c r="H44" s="215"/>
      <c r="I44" s="213"/>
    </row>
    <row r="45" spans="1:9" ht="18.75" customHeight="1" x14ac:dyDescent="0.15">
      <c r="A45" s="14"/>
      <c r="B45" s="214"/>
      <c r="C45" s="215"/>
      <c r="D45" s="215"/>
      <c r="E45" s="215"/>
      <c r="F45" s="215"/>
      <c r="G45" s="215"/>
      <c r="H45" s="215"/>
      <c r="I45" s="213"/>
    </row>
    <row r="46" spans="1:9" ht="18.75" customHeight="1" x14ac:dyDescent="0.15">
      <c r="A46" s="14"/>
      <c r="B46" s="216"/>
      <c r="C46" s="217"/>
      <c r="D46" s="217"/>
      <c r="E46" s="217"/>
      <c r="F46" s="217"/>
      <c r="G46" s="217"/>
      <c r="H46" s="217"/>
      <c r="I46" s="218"/>
    </row>
    <row r="47" spans="1:9" ht="7.5" customHeight="1" x14ac:dyDescent="0.15">
      <c r="A47" s="4"/>
      <c r="B47" s="4"/>
      <c r="C47" s="4"/>
      <c r="D47" s="4"/>
      <c r="E47" s="4"/>
      <c r="F47" s="4"/>
      <c r="G47" s="4"/>
      <c r="H47" s="4"/>
      <c r="I47" s="4"/>
    </row>
    <row r="48" spans="1:9" ht="18.75" customHeight="1" x14ac:dyDescent="0.15">
      <c r="A48" s="1" t="s">
        <v>31</v>
      </c>
      <c r="B48" s="1" t="s">
        <v>111</v>
      </c>
    </row>
    <row r="49" spans="1:15" s="3" customFormat="1" ht="18.75" customHeight="1" x14ac:dyDescent="0.15">
      <c r="B49" s="26" t="s">
        <v>128</v>
      </c>
      <c r="C49" s="193">
        <f>'様式２ 履修者等数の実績'!S33</f>
        <v>0.22954545454545455</v>
      </c>
      <c r="D49" s="193"/>
      <c r="E49" s="26" t="s">
        <v>64</v>
      </c>
      <c r="F49" s="193">
        <v>0.4</v>
      </c>
      <c r="G49" s="193"/>
      <c r="H49" s="26" t="s">
        <v>65</v>
      </c>
      <c r="I49" s="27">
        <v>0.6</v>
      </c>
      <c r="J49" s="1"/>
      <c r="M49" s="1"/>
      <c r="N49" s="28"/>
    </row>
    <row r="50" spans="1:15" s="3" customFormat="1" ht="18.75" customHeight="1" x14ac:dyDescent="0.15">
      <c r="B50" s="29" t="s">
        <v>85</v>
      </c>
      <c r="C50" s="176">
        <v>0.8</v>
      </c>
      <c r="D50" s="176"/>
      <c r="E50" s="29" t="s">
        <v>129</v>
      </c>
      <c r="F50" s="176">
        <v>1</v>
      </c>
      <c r="G50" s="176"/>
      <c r="H50" s="29" t="s">
        <v>66</v>
      </c>
      <c r="I50" s="30">
        <f>'様式２ 履修者等数の実績'!E33</f>
        <v>1320</v>
      </c>
      <c r="J50" s="1"/>
      <c r="M50" s="1"/>
      <c r="N50" s="28"/>
    </row>
    <row r="51" spans="1:15" ht="18.75" customHeight="1" x14ac:dyDescent="0.15">
      <c r="A51" s="1"/>
      <c r="B51" s="223" t="s">
        <v>67</v>
      </c>
      <c r="C51" s="224"/>
      <c r="D51" s="224"/>
      <c r="E51" s="224"/>
      <c r="F51" s="224"/>
      <c r="G51" s="224"/>
      <c r="H51" s="224"/>
      <c r="I51" s="225"/>
      <c r="N51" s="28"/>
      <c r="O51" s="3"/>
    </row>
    <row r="52" spans="1:15" ht="18.75" customHeight="1" x14ac:dyDescent="0.15">
      <c r="A52" s="1"/>
      <c r="B52" s="194" t="s">
        <v>163</v>
      </c>
      <c r="C52" s="195"/>
      <c r="D52" s="195"/>
      <c r="E52" s="195"/>
      <c r="F52" s="195"/>
      <c r="G52" s="195"/>
      <c r="H52" s="195"/>
      <c r="I52" s="196"/>
      <c r="N52" s="28"/>
      <c r="O52" s="3"/>
    </row>
    <row r="53" spans="1:15" ht="18.75" customHeight="1" x14ac:dyDescent="0.15">
      <c r="A53" s="1"/>
      <c r="B53" s="197"/>
      <c r="C53" s="198"/>
      <c r="D53" s="198"/>
      <c r="E53" s="198"/>
      <c r="F53" s="198"/>
      <c r="G53" s="198"/>
      <c r="H53" s="198"/>
      <c r="I53" s="199"/>
      <c r="N53" s="28"/>
      <c r="O53" s="3"/>
    </row>
    <row r="54" spans="1:15" ht="18.75" customHeight="1" x14ac:dyDescent="0.15">
      <c r="A54" s="1"/>
      <c r="B54" s="197"/>
      <c r="C54" s="198"/>
      <c r="D54" s="198"/>
      <c r="E54" s="198"/>
      <c r="F54" s="198"/>
      <c r="G54" s="198"/>
      <c r="H54" s="198"/>
      <c r="I54" s="199"/>
    </row>
    <row r="55" spans="1:15" ht="18.75" customHeight="1" x14ac:dyDescent="0.15">
      <c r="A55" s="1"/>
      <c r="B55" s="197"/>
      <c r="C55" s="198"/>
      <c r="D55" s="198"/>
      <c r="E55" s="198"/>
      <c r="F55" s="198"/>
      <c r="G55" s="198"/>
      <c r="H55" s="198"/>
      <c r="I55" s="199"/>
    </row>
    <row r="56" spans="1:15" ht="18.75" customHeight="1" x14ac:dyDescent="0.15">
      <c r="A56" s="1"/>
      <c r="B56" s="197"/>
      <c r="C56" s="198"/>
      <c r="D56" s="198"/>
      <c r="E56" s="198"/>
      <c r="F56" s="198"/>
      <c r="G56" s="198"/>
      <c r="H56" s="198"/>
      <c r="I56" s="199"/>
    </row>
    <row r="57" spans="1:15" ht="18.75" customHeight="1" x14ac:dyDescent="0.15">
      <c r="A57" s="1"/>
      <c r="B57" s="197"/>
      <c r="C57" s="198"/>
      <c r="D57" s="198"/>
      <c r="E57" s="198"/>
      <c r="F57" s="198"/>
      <c r="G57" s="198"/>
      <c r="H57" s="198"/>
      <c r="I57" s="199"/>
    </row>
    <row r="58" spans="1:15" ht="18.75" customHeight="1" x14ac:dyDescent="0.15">
      <c r="A58" s="1"/>
      <c r="B58" s="197"/>
      <c r="C58" s="198"/>
      <c r="D58" s="198"/>
      <c r="E58" s="198"/>
      <c r="F58" s="198"/>
      <c r="G58" s="198"/>
      <c r="H58" s="198"/>
      <c r="I58" s="199"/>
    </row>
    <row r="59" spans="1:15" ht="18.75" customHeight="1" x14ac:dyDescent="0.15">
      <c r="A59" s="1"/>
      <c r="B59" s="197"/>
      <c r="C59" s="198"/>
      <c r="D59" s="198"/>
      <c r="E59" s="198"/>
      <c r="F59" s="198"/>
      <c r="G59" s="198"/>
      <c r="H59" s="198"/>
      <c r="I59" s="199"/>
    </row>
    <row r="60" spans="1:15" ht="18.75" customHeight="1" x14ac:dyDescent="0.15">
      <c r="A60" s="1"/>
      <c r="B60" s="197"/>
      <c r="C60" s="198"/>
      <c r="D60" s="198"/>
      <c r="E60" s="198"/>
      <c r="F60" s="198"/>
      <c r="G60" s="198"/>
      <c r="H60" s="198"/>
      <c r="I60" s="199"/>
    </row>
    <row r="61" spans="1:15" ht="18.75" customHeight="1" x14ac:dyDescent="0.15">
      <c r="A61" s="1"/>
      <c r="B61" s="197"/>
      <c r="C61" s="198"/>
      <c r="D61" s="198"/>
      <c r="E61" s="198"/>
      <c r="F61" s="198"/>
      <c r="G61" s="198"/>
      <c r="H61" s="198"/>
      <c r="I61" s="199"/>
    </row>
    <row r="62" spans="1:15" ht="18.75" customHeight="1" x14ac:dyDescent="0.15">
      <c r="A62" s="1"/>
      <c r="B62" s="197"/>
      <c r="C62" s="198"/>
      <c r="D62" s="198"/>
      <c r="E62" s="198"/>
      <c r="F62" s="198"/>
      <c r="G62" s="198"/>
      <c r="H62" s="198"/>
      <c r="I62" s="199"/>
    </row>
    <row r="63" spans="1:15" ht="18.75" customHeight="1" x14ac:dyDescent="0.15">
      <c r="A63" s="1"/>
      <c r="B63" s="200"/>
      <c r="C63" s="201"/>
      <c r="D63" s="201"/>
      <c r="E63" s="201"/>
      <c r="F63" s="201"/>
      <c r="G63" s="201"/>
      <c r="H63" s="201"/>
      <c r="I63" s="202"/>
    </row>
    <row r="64" spans="1:15" ht="7.5" customHeight="1" x14ac:dyDescent="0.15">
      <c r="A64" s="14"/>
      <c r="B64" s="14"/>
      <c r="C64" s="14"/>
      <c r="D64" s="14"/>
      <c r="E64" s="14"/>
      <c r="F64" s="14"/>
      <c r="G64" s="14"/>
      <c r="H64" s="14"/>
      <c r="I64" s="14"/>
    </row>
    <row r="65" spans="1:9" ht="18.75" customHeight="1" x14ac:dyDescent="0.15">
      <c r="A65" s="15" t="s">
        <v>34</v>
      </c>
      <c r="B65" s="1" t="s">
        <v>37</v>
      </c>
      <c r="I65" s="15"/>
    </row>
    <row r="66" spans="1:9" ht="18.75" customHeight="1" x14ac:dyDescent="0.15">
      <c r="A66" s="4"/>
      <c r="B66" s="177" t="s">
        <v>149</v>
      </c>
      <c r="C66" s="178"/>
      <c r="D66" s="178"/>
      <c r="E66" s="178"/>
      <c r="F66" s="178"/>
      <c r="G66" s="178"/>
      <c r="H66" s="178"/>
      <c r="I66" s="179"/>
    </row>
    <row r="67" spans="1:9" ht="18.75" customHeight="1" x14ac:dyDescent="0.15">
      <c r="A67" s="4"/>
      <c r="B67" s="180"/>
      <c r="C67" s="181"/>
      <c r="D67" s="181"/>
      <c r="E67" s="181"/>
      <c r="F67" s="181"/>
      <c r="G67" s="181"/>
      <c r="H67" s="181"/>
      <c r="I67" s="182"/>
    </row>
    <row r="68" spans="1:9" ht="18.75" customHeight="1" x14ac:dyDescent="0.15">
      <c r="A68" s="4"/>
      <c r="B68" s="180"/>
      <c r="C68" s="181"/>
      <c r="D68" s="181"/>
      <c r="E68" s="181"/>
      <c r="F68" s="181"/>
      <c r="G68" s="181"/>
      <c r="H68" s="181"/>
      <c r="I68" s="182"/>
    </row>
    <row r="69" spans="1:9" ht="18.75" customHeight="1" x14ac:dyDescent="0.15">
      <c r="A69" s="4"/>
      <c r="B69" s="180"/>
      <c r="C69" s="181"/>
      <c r="D69" s="181"/>
      <c r="E69" s="181"/>
      <c r="F69" s="181"/>
      <c r="G69" s="181"/>
      <c r="H69" s="181"/>
      <c r="I69" s="182"/>
    </row>
    <row r="70" spans="1:9" ht="18.75" customHeight="1" x14ac:dyDescent="0.15">
      <c r="A70" s="4"/>
      <c r="B70" s="180"/>
      <c r="C70" s="181"/>
      <c r="D70" s="181"/>
      <c r="E70" s="181"/>
      <c r="F70" s="181"/>
      <c r="G70" s="181"/>
      <c r="H70" s="181"/>
      <c r="I70" s="182"/>
    </row>
    <row r="71" spans="1:9" ht="18.75" customHeight="1" x14ac:dyDescent="0.15">
      <c r="A71" s="4"/>
      <c r="B71" s="180"/>
      <c r="C71" s="181"/>
      <c r="D71" s="181"/>
      <c r="E71" s="181"/>
      <c r="F71" s="181"/>
      <c r="G71" s="181"/>
      <c r="H71" s="181"/>
      <c r="I71" s="182"/>
    </row>
    <row r="72" spans="1:9" ht="18.75" customHeight="1" x14ac:dyDescent="0.15">
      <c r="A72" s="4"/>
      <c r="B72" s="180"/>
      <c r="C72" s="181"/>
      <c r="D72" s="181"/>
      <c r="E72" s="181"/>
      <c r="F72" s="181"/>
      <c r="G72" s="181"/>
      <c r="H72" s="181"/>
      <c r="I72" s="182"/>
    </row>
    <row r="73" spans="1:9" ht="18.75" customHeight="1" x14ac:dyDescent="0.15">
      <c r="A73" s="4"/>
      <c r="B73" s="180"/>
      <c r="C73" s="181"/>
      <c r="D73" s="181"/>
      <c r="E73" s="181"/>
      <c r="F73" s="181"/>
      <c r="G73" s="181"/>
      <c r="H73" s="181"/>
      <c r="I73" s="182"/>
    </row>
    <row r="74" spans="1:9" ht="18.75" customHeight="1" x14ac:dyDescent="0.15">
      <c r="A74" s="4"/>
      <c r="B74" s="180"/>
      <c r="C74" s="181"/>
      <c r="D74" s="181"/>
      <c r="E74" s="181"/>
      <c r="F74" s="181"/>
      <c r="G74" s="181"/>
      <c r="H74" s="181"/>
      <c r="I74" s="182"/>
    </row>
    <row r="75" spans="1:9" ht="18.75" customHeight="1" x14ac:dyDescent="0.15">
      <c r="A75" s="4"/>
      <c r="B75" s="180"/>
      <c r="C75" s="181"/>
      <c r="D75" s="181"/>
      <c r="E75" s="181"/>
      <c r="F75" s="181"/>
      <c r="G75" s="181"/>
      <c r="H75" s="181"/>
      <c r="I75" s="182"/>
    </row>
    <row r="76" spans="1:9" ht="18.75" customHeight="1" x14ac:dyDescent="0.15">
      <c r="A76" s="4"/>
      <c r="B76" s="180"/>
      <c r="C76" s="181"/>
      <c r="D76" s="181"/>
      <c r="E76" s="181"/>
      <c r="F76" s="181"/>
      <c r="G76" s="181"/>
      <c r="H76" s="181"/>
      <c r="I76" s="182"/>
    </row>
    <row r="77" spans="1:9" ht="18.75" customHeight="1" x14ac:dyDescent="0.15">
      <c r="A77" s="4"/>
      <c r="B77" s="183"/>
      <c r="C77" s="184"/>
      <c r="D77" s="184"/>
      <c r="E77" s="184"/>
      <c r="F77" s="184"/>
      <c r="G77" s="184"/>
      <c r="H77" s="184"/>
      <c r="I77" s="185"/>
    </row>
    <row r="78" spans="1:9" ht="7.5" customHeight="1" x14ac:dyDescent="0.15">
      <c r="A78" s="4"/>
      <c r="B78" s="4"/>
      <c r="C78" s="4"/>
      <c r="D78" s="4"/>
      <c r="E78" s="4"/>
      <c r="F78" s="4"/>
      <c r="G78" s="4"/>
      <c r="H78" s="4"/>
      <c r="I78" s="4"/>
    </row>
    <row r="79" spans="1:9" ht="18.75" customHeight="1" x14ac:dyDescent="0.15">
      <c r="A79" s="1" t="s">
        <v>11</v>
      </c>
      <c r="B79" s="1" t="s">
        <v>40</v>
      </c>
    </row>
    <row r="80" spans="1:9" ht="18.75" customHeight="1" x14ac:dyDescent="0.15">
      <c r="A80" s="1"/>
      <c r="B80" s="177" t="s">
        <v>160</v>
      </c>
      <c r="C80" s="178"/>
      <c r="D80" s="178"/>
      <c r="E80" s="178"/>
      <c r="F80" s="178"/>
      <c r="G80" s="178"/>
      <c r="H80" s="178"/>
      <c r="I80" s="186"/>
    </row>
    <row r="81" spans="1:9" ht="18.75" customHeight="1" x14ac:dyDescent="0.15">
      <c r="A81" s="1"/>
      <c r="B81" s="187"/>
      <c r="C81" s="188"/>
      <c r="D81" s="188"/>
      <c r="E81" s="188"/>
      <c r="F81" s="188"/>
      <c r="G81" s="188"/>
      <c r="H81" s="188"/>
      <c r="I81" s="189"/>
    </row>
    <row r="82" spans="1:9" ht="18.75" customHeight="1" x14ac:dyDescent="0.15">
      <c r="A82" s="1"/>
      <c r="B82" s="187"/>
      <c r="C82" s="188"/>
      <c r="D82" s="188"/>
      <c r="E82" s="188"/>
      <c r="F82" s="188"/>
      <c r="G82" s="188"/>
      <c r="H82" s="188"/>
      <c r="I82" s="189"/>
    </row>
    <row r="83" spans="1:9" ht="18.75" customHeight="1" x14ac:dyDescent="0.15">
      <c r="A83" s="1"/>
      <c r="B83" s="187"/>
      <c r="C83" s="188"/>
      <c r="D83" s="188"/>
      <c r="E83" s="188"/>
      <c r="F83" s="188"/>
      <c r="G83" s="188"/>
      <c r="H83" s="188"/>
      <c r="I83" s="189"/>
    </row>
    <row r="84" spans="1:9" ht="18.75" customHeight="1" x14ac:dyDescent="0.15">
      <c r="A84" s="1"/>
      <c r="B84" s="187"/>
      <c r="C84" s="188"/>
      <c r="D84" s="188"/>
      <c r="E84" s="188"/>
      <c r="F84" s="188"/>
      <c r="G84" s="188"/>
      <c r="H84" s="188"/>
      <c r="I84" s="189"/>
    </row>
    <row r="85" spans="1:9" ht="18.75" customHeight="1" x14ac:dyDescent="0.15">
      <c r="A85" s="1"/>
      <c r="B85" s="187"/>
      <c r="C85" s="188"/>
      <c r="D85" s="188"/>
      <c r="E85" s="188"/>
      <c r="F85" s="188"/>
      <c r="G85" s="188"/>
      <c r="H85" s="188"/>
      <c r="I85" s="189"/>
    </row>
    <row r="86" spans="1:9" ht="18.75" customHeight="1" x14ac:dyDescent="0.15">
      <c r="A86" s="1"/>
      <c r="B86" s="187"/>
      <c r="C86" s="188"/>
      <c r="D86" s="188"/>
      <c r="E86" s="188"/>
      <c r="F86" s="188"/>
      <c r="G86" s="188"/>
      <c r="H86" s="188"/>
      <c r="I86" s="189"/>
    </row>
    <row r="87" spans="1:9" ht="18.75" customHeight="1" x14ac:dyDescent="0.15">
      <c r="A87" s="1"/>
      <c r="B87" s="187"/>
      <c r="C87" s="188"/>
      <c r="D87" s="188"/>
      <c r="E87" s="188"/>
      <c r="F87" s="188"/>
      <c r="G87" s="188"/>
      <c r="H87" s="188"/>
      <c r="I87" s="189"/>
    </row>
    <row r="88" spans="1:9" ht="18.75" customHeight="1" x14ac:dyDescent="0.15">
      <c r="A88" s="1"/>
      <c r="B88" s="187"/>
      <c r="C88" s="188"/>
      <c r="D88" s="188"/>
      <c r="E88" s="188"/>
      <c r="F88" s="188"/>
      <c r="G88" s="188"/>
      <c r="H88" s="188"/>
      <c r="I88" s="189"/>
    </row>
    <row r="89" spans="1:9" ht="18.75" customHeight="1" x14ac:dyDescent="0.15">
      <c r="A89" s="1"/>
      <c r="B89" s="187"/>
      <c r="C89" s="188"/>
      <c r="D89" s="188"/>
      <c r="E89" s="188"/>
      <c r="F89" s="188"/>
      <c r="G89" s="188"/>
      <c r="H89" s="188"/>
      <c r="I89" s="189"/>
    </row>
    <row r="90" spans="1:9" ht="18.75" customHeight="1" x14ac:dyDescent="0.15">
      <c r="A90" s="4"/>
      <c r="B90" s="187"/>
      <c r="C90" s="188"/>
      <c r="D90" s="188"/>
      <c r="E90" s="188"/>
      <c r="F90" s="188"/>
      <c r="G90" s="188"/>
      <c r="H90" s="188"/>
      <c r="I90" s="189"/>
    </row>
    <row r="91" spans="1:9" ht="18.75" customHeight="1" x14ac:dyDescent="0.15">
      <c r="A91" s="4"/>
      <c r="B91" s="190"/>
      <c r="C91" s="191"/>
      <c r="D91" s="191"/>
      <c r="E91" s="191"/>
      <c r="F91" s="191"/>
      <c r="G91" s="191"/>
      <c r="H91" s="191"/>
      <c r="I91" s="192"/>
    </row>
    <row r="92" spans="1:9" ht="7.5" customHeight="1" x14ac:dyDescent="0.15">
      <c r="A92" s="4"/>
      <c r="B92" s="4"/>
      <c r="C92" s="4"/>
      <c r="D92" s="4"/>
      <c r="E92" s="4"/>
      <c r="F92" s="4"/>
      <c r="G92" s="4"/>
      <c r="H92" s="4"/>
      <c r="I92" s="4"/>
    </row>
    <row r="93" spans="1:9" ht="18.75" customHeight="1" x14ac:dyDescent="0.15">
      <c r="A93" s="1" t="s">
        <v>43</v>
      </c>
      <c r="B93" s="1" t="s">
        <v>13</v>
      </c>
    </row>
    <row r="94" spans="1:9" ht="18.75" customHeight="1" x14ac:dyDescent="0.15">
      <c r="A94" s="1"/>
      <c r="B94" s="208" t="s">
        <v>164</v>
      </c>
      <c r="C94" s="209"/>
      <c r="D94" s="209"/>
      <c r="E94" s="209"/>
      <c r="F94" s="209"/>
      <c r="G94" s="209"/>
      <c r="H94" s="209"/>
      <c r="I94" s="210"/>
    </row>
    <row r="95" spans="1:9" ht="18.75" customHeight="1" x14ac:dyDescent="0.15">
      <c r="A95" s="1"/>
      <c r="B95" s="214"/>
      <c r="C95" s="215"/>
      <c r="D95" s="215"/>
      <c r="E95" s="215"/>
      <c r="F95" s="215"/>
      <c r="G95" s="215"/>
      <c r="H95" s="215"/>
      <c r="I95" s="213"/>
    </row>
    <row r="96" spans="1:9" ht="18.75" customHeight="1" x14ac:dyDescent="0.15">
      <c r="A96" s="1"/>
      <c r="B96" s="214"/>
      <c r="C96" s="215"/>
      <c r="D96" s="215"/>
      <c r="E96" s="215"/>
      <c r="F96" s="215"/>
      <c r="G96" s="215"/>
      <c r="H96" s="215"/>
      <c r="I96" s="213"/>
    </row>
    <row r="97" spans="1:9" ht="18.75" customHeight="1" x14ac:dyDescent="0.15">
      <c r="A97" s="1"/>
      <c r="B97" s="214"/>
      <c r="C97" s="215"/>
      <c r="D97" s="215"/>
      <c r="E97" s="215"/>
      <c r="F97" s="215"/>
      <c r="G97" s="215"/>
      <c r="H97" s="215"/>
      <c r="I97" s="213"/>
    </row>
    <row r="98" spans="1:9" ht="18.75" customHeight="1" x14ac:dyDescent="0.15">
      <c r="A98" s="1"/>
      <c r="B98" s="214"/>
      <c r="C98" s="215"/>
      <c r="D98" s="215"/>
      <c r="E98" s="215"/>
      <c r="F98" s="215"/>
      <c r="G98" s="215"/>
      <c r="H98" s="215"/>
      <c r="I98" s="213"/>
    </row>
    <row r="99" spans="1:9" ht="18.75" customHeight="1" x14ac:dyDescent="0.15">
      <c r="A99" s="1"/>
      <c r="B99" s="214"/>
      <c r="C99" s="215"/>
      <c r="D99" s="215"/>
      <c r="E99" s="215"/>
      <c r="F99" s="215"/>
      <c r="G99" s="215"/>
      <c r="H99" s="215"/>
      <c r="I99" s="213"/>
    </row>
    <row r="100" spans="1:9" ht="18.75" customHeight="1" x14ac:dyDescent="0.15">
      <c r="A100" s="1"/>
      <c r="B100" s="214"/>
      <c r="C100" s="215"/>
      <c r="D100" s="215"/>
      <c r="E100" s="215"/>
      <c r="F100" s="215"/>
      <c r="G100" s="215"/>
      <c r="H100" s="215"/>
      <c r="I100" s="213"/>
    </row>
    <row r="101" spans="1:9" ht="18.75" customHeight="1" x14ac:dyDescent="0.15">
      <c r="A101" s="1"/>
      <c r="B101" s="214"/>
      <c r="C101" s="215"/>
      <c r="D101" s="215"/>
      <c r="E101" s="215"/>
      <c r="F101" s="215"/>
      <c r="G101" s="215"/>
      <c r="H101" s="215"/>
      <c r="I101" s="213"/>
    </row>
    <row r="102" spans="1:9" ht="18.75" customHeight="1" x14ac:dyDescent="0.15">
      <c r="A102" s="1"/>
      <c r="B102" s="214"/>
      <c r="C102" s="215"/>
      <c r="D102" s="215"/>
      <c r="E102" s="215"/>
      <c r="F102" s="215"/>
      <c r="G102" s="215"/>
      <c r="H102" s="215"/>
      <c r="I102" s="213"/>
    </row>
    <row r="103" spans="1:9" ht="18.75" customHeight="1" x14ac:dyDescent="0.15">
      <c r="A103" s="1"/>
      <c r="B103" s="214"/>
      <c r="C103" s="215"/>
      <c r="D103" s="215"/>
      <c r="E103" s="215"/>
      <c r="F103" s="215"/>
      <c r="G103" s="215"/>
      <c r="H103" s="215"/>
      <c r="I103" s="213"/>
    </row>
    <row r="104" spans="1:9" ht="18.75" customHeight="1" x14ac:dyDescent="0.15">
      <c r="A104" s="1"/>
      <c r="B104" s="214"/>
      <c r="C104" s="215"/>
      <c r="D104" s="215"/>
      <c r="E104" s="215"/>
      <c r="F104" s="215"/>
      <c r="G104" s="215"/>
      <c r="H104" s="215"/>
      <c r="I104" s="213"/>
    </row>
    <row r="105" spans="1:9" ht="18.75" customHeight="1" x14ac:dyDescent="0.15">
      <c r="A105" s="4"/>
      <c r="B105" s="216"/>
      <c r="C105" s="217"/>
      <c r="D105" s="217"/>
      <c r="E105" s="217"/>
      <c r="F105" s="217"/>
      <c r="G105" s="217"/>
      <c r="H105" s="217"/>
      <c r="I105" s="218"/>
    </row>
    <row r="106" spans="1:9" ht="7.5" customHeight="1" x14ac:dyDescent="0.15">
      <c r="A106" s="4"/>
      <c r="B106" s="4"/>
      <c r="C106" s="4"/>
      <c r="D106" s="4"/>
      <c r="E106" s="4"/>
      <c r="F106" s="4"/>
      <c r="G106" s="4"/>
      <c r="H106" s="4"/>
      <c r="I106" s="4"/>
    </row>
    <row r="107" spans="1:9" ht="18.75" customHeight="1" x14ac:dyDescent="0.15">
      <c r="A107" s="1" t="s">
        <v>30</v>
      </c>
      <c r="B107" s="222" t="s">
        <v>45</v>
      </c>
      <c r="C107" s="222"/>
      <c r="D107" s="222"/>
      <c r="E107" s="222"/>
      <c r="F107" s="222"/>
      <c r="G107" s="222"/>
      <c r="H107" s="222"/>
      <c r="I107" s="222"/>
    </row>
    <row r="108" spans="1:9" ht="18.75" customHeight="1" x14ac:dyDescent="0.15">
      <c r="A108" s="4"/>
      <c r="B108" s="208" t="s">
        <v>165</v>
      </c>
      <c r="C108" s="209"/>
      <c r="D108" s="209"/>
      <c r="E108" s="209"/>
      <c r="F108" s="209"/>
      <c r="G108" s="209"/>
      <c r="H108" s="209"/>
      <c r="I108" s="210"/>
    </row>
    <row r="109" spans="1:9" ht="18.75" customHeight="1" x14ac:dyDescent="0.15">
      <c r="A109" s="4"/>
      <c r="B109" s="214"/>
      <c r="C109" s="215"/>
      <c r="D109" s="215"/>
      <c r="E109" s="215"/>
      <c r="F109" s="215"/>
      <c r="G109" s="215"/>
      <c r="H109" s="215"/>
      <c r="I109" s="213"/>
    </row>
    <row r="110" spans="1:9" ht="18.75" customHeight="1" x14ac:dyDescent="0.15">
      <c r="A110" s="4"/>
      <c r="B110" s="214"/>
      <c r="C110" s="215"/>
      <c r="D110" s="215"/>
      <c r="E110" s="215"/>
      <c r="F110" s="215"/>
      <c r="G110" s="215"/>
      <c r="H110" s="215"/>
      <c r="I110" s="213"/>
    </row>
    <row r="111" spans="1:9" ht="18.75" customHeight="1" x14ac:dyDescent="0.15">
      <c r="A111" s="4"/>
      <c r="B111" s="214"/>
      <c r="C111" s="215"/>
      <c r="D111" s="215"/>
      <c r="E111" s="215"/>
      <c r="F111" s="215"/>
      <c r="G111" s="215"/>
      <c r="H111" s="215"/>
      <c r="I111" s="213"/>
    </row>
    <row r="112" spans="1:9" ht="18.75" customHeight="1" x14ac:dyDescent="0.15">
      <c r="A112" s="4"/>
      <c r="B112" s="214"/>
      <c r="C112" s="215"/>
      <c r="D112" s="215"/>
      <c r="E112" s="215"/>
      <c r="F112" s="215"/>
      <c r="G112" s="215"/>
      <c r="H112" s="215"/>
      <c r="I112" s="213"/>
    </row>
    <row r="113" spans="1:9" ht="18.75" customHeight="1" x14ac:dyDescent="0.15">
      <c r="A113" s="4"/>
      <c r="B113" s="214"/>
      <c r="C113" s="215"/>
      <c r="D113" s="215"/>
      <c r="E113" s="215"/>
      <c r="F113" s="215"/>
      <c r="G113" s="215"/>
      <c r="H113" s="215"/>
      <c r="I113" s="213"/>
    </row>
    <row r="114" spans="1:9" ht="18.75" customHeight="1" x14ac:dyDescent="0.15">
      <c r="A114" s="4"/>
      <c r="B114" s="214"/>
      <c r="C114" s="215"/>
      <c r="D114" s="215"/>
      <c r="E114" s="215"/>
      <c r="F114" s="215"/>
      <c r="G114" s="215"/>
      <c r="H114" s="215"/>
      <c r="I114" s="213"/>
    </row>
    <row r="115" spans="1:9" ht="18.75" customHeight="1" x14ac:dyDescent="0.15">
      <c r="A115" s="4"/>
      <c r="B115" s="214"/>
      <c r="C115" s="215"/>
      <c r="D115" s="215"/>
      <c r="E115" s="215"/>
      <c r="F115" s="215"/>
      <c r="G115" s="215"/>
      <c r="H115" s="215"/>
      <c r="I115" s="213"/>
    </row>
    <row r="116" spans="1:9" ht="18.75" customHeight="1" x14ac:dyDescent="0.15">
      <c r="A116" s="4"/>
      <c r="B116" s="214"/>
      <c r="C116" s="215"/>
      <c r="D116" s="215"/>
      <c r="E116" s="215"/>
      <c r="F116" s="215"/>
      <c r="G116" s="215"/>
      <c r="H116" s="215"/>
      <c r="I116" s="213"/>
    </row>
    <row r="117" spans="1:9" ht="18.75" customHeight="1" x14ac:dyDescent="0.15">
      <c r="A117" s="4"/>
      <c r="B117" s="214"/>
      <c r="C117" s="215"/>
      <c r="D117" s="215"/>
      <c r="E117" s="215"/>
      <c r="F117" s="215"/>
      <c r="G117" s="215"/>
      <c r="H117" s="215"/>
      <c r="I117" s="213"/>
    </row>
    <row r="118" spans="1:9" ht="18.75" customHeight="1" x14ac:dyDescent="0.15">
      <c r="A118" s="4"/>
      <c r="B118" s="214"/>
      <c r="C118" s="215"/>
      <c r="D118" s="215"/>
      <c r="E118" s="215"/>
      <c r="F118" s="215"/>
      <c r="G118" s="215"/>
      <c r="H118" s="215"/>
      <c r="I118" s="213"/>
    </row>
    <row r="119" spans="1:9" ht="18.75" customHeight="1" x14ac:dyDescent="0.15">
      <c r="A119" s="4"/>
      <c r="B119" s="216"/>
      <c r="C119" s="217"/>
      <c r="D119" s="217"/>
      <c r="E119" s="217"/>
      <c r="F119" s="217"/>
      <c r="G119" s="217"/>
      <c r="H119" s="217"/>
      <c r="I119" s="218"/>
    </row>
    <row r="120" spans="1:9" ht="7.5" customHeight="1" x14ac:dyDescent="0.15">
      <c r="A120" s="4"/>
      <c r="B120" s="31"/>
      <c r="C120" s="31"/>
      <c r="D120" s="31"/>
      <c r="E120" s="31"/>
      <c r="F120" s="31"/>
      <c r="G120" s="31"/>
      <c r="H120" s="31"/>
      <c r="I120" s="31"/>
    </row>
    <row r="121" spans="1:9" ht="18.75" customHeight="1" x14ac:dyDescent="0.15">
      <c r="A121" s="60"/>
      <c r="B121" s="203"/>
      <c r="C121" s="203"/>
      <c r="D121" s="203"/>
      <c r="E121" s="203"/>
      <c r="F121" s="203"/>
      <c r="G121" s="203"/>
      <c r="H121" s="203"/>
      <c r="I121" s="203"/>
    </row>
    <row r="122" spans="1:9" ht="18.75" customHeight="1" x14ac:dyDescent="0.15">
      <c r="A122" s="60"/>
      <c r="B122" s="203"/>
      <c r="C122" s="203"/>
      <c r="D122" s="203"/>
      <c r="E122" s="203"/>
      <c r="F122" s="203"/>
      <c r="G122" s="203"/>
      <c r="H122" s="203"/>
      <c r="I122" s="203"/>
    </row>
    <row r="123" spans="1:9" ht="18.75" customHeight="1" x14ac:dyDescent="0.15">
      <c r="A123" s="4"/>
      <c r="B123" s="64"/>
      <c r="C123" s="64"/>
      <c r="D123" s="64"/>
      <c r="E123" s="64"/>
      <c r="F123" s="64"/>
      <c r="G123" s="64"/>
      <c r="H123" s="64"/>
      <c r="I123" s="65"/>
    </row>
    <row r="124" spans="1:9" ht="18.75" customHeight="1" x14ac:dyDescent="0.15">
      <c r="A124" s="4"/>
      <c r="B124" s="65"/>
      <c r="C124" s="65"/>
      <c r="D124" s="65"/>
      <c r="E124" s="65"/>
      <c r="F124" s="65"/>
      <c r="G124" s="65"/>
      <c r="H124" s="65"/>
      <c r="I124" s="65"/>
    </row>
    <row r="125" spans="1:9" ht="18.75" customHeight="1" x14ac:dyDescent="0.15">
      <c r="A125" s="4"/>
      <c r="B125" s="65"/>
      <c r="C125" s="65"/>
      <c r="D125" s="65"/>
      <c r="E125" s="65"/>
      <c r="F125" s="65"/>
      <c r="G125" s="65"/>
      <c r="H125" s="65"/>
      <c r="I125" s="65"/>
    </row>
    <row r="126" spans="1:9" ht="18.75" customHeight="1" x14ac:dyDescent="0.15">
      <c r="A126" s="4"/>
      <c r="B126" s="65"/>
      <c r="C126" s="65"/>
      <c r="D126" s="65"/>
      <c r="E126" s="65"/>
      <c r="F126" s="65"/>
      <c r="G126" s="65"/>
      <c r="H126" s="65"/>
      <c r="I126" s="65"/>
    </row>
    <row r="127" spans="1:9" ht="18.75" customHeight="1" x14ac:dyDescent="0.15">
      <c r="A127" s="4"/>
      <c r="B127" s="65"/>
      <c r="C127" s="65"/>
      <c r="D127" s="65"/>
      <c r="E127" s="65"/>
      <c r="F127" s="65"/>
      <c r="G127" s="65"/>
      <c r="H127" s="65"/>
      <c r="I127" s="65"/>
    </row>
    <row r="128" spans="1:9" ht="18.75" customHeight="1" x14ac:dyDescent="0.15">
      <c r="A128" s="4"/>
      <c r="B128" s="65"/>
      <c r="C128" s="65"/>
      <c r="D128" s="65"/>
      <c r="E128" s="65"/>
      <c r="F128" s="65"/>
      <c r="G128" s="65"/>
      <c r="H128" s="65"/>
      <c r="I128" s="65"/>
    </row>
    <row r="129" spans="1:9" ht="18.75" customHeight="1" x14ac:dyDescent="0.15">
      <c r="A129" s="4"/>
      <c r="B129" s="65"/>
      <c r="C129" s="65"/>
      <c r="D129" s="65"/>
      <c r="E129" s="65"/>
      <c r="F129" s="65"/>
      <c r="G129" s="65"/>
      <c r="H129" s="65"/>
      <c r="I129" s="65"/>
    </row>
    <row r="130" spans="1:9" ht="18.75" customHeight="1" x14ac:dyDescent="0.15">
      <c r="A130" s="4"/>
      <c r="B130" s="65"/>
      <c r="C130" s="65"/>
      <c r="D130" s="65"/>
      <c r="E130" s="65"/>
      <c r="F130" s="65"/>
      <c r="G130" s="65"/>
      <c r="H130" s="65"/>
      <c r="I130" s="65"/>
    </row>
    <row r="131" spans="1:9" ht="18.75" customHeight="1" x14ac:dyDescent="0.15">
      <c r="A131" s="4"/>
      <c r="B131" s="65"/>
      <c r="C131" s="65"/>
      <c r="D131" s="65"/>
      <c r="E131" s="65"/>
      <c r="F131" s="65"/>
      <c r="G131" s="65"/>
      <c r="H131" s="65"/>
      <c r="I131" s="65"/>
    </row>
    <row r="132" spans="1:9" ht="18.75" customHeight="1" x14ac:dyDescent="0.15">
      <c r="A132" s="4"/>
      <c r="B132" s="65"/>
      <c r="C132" s="65"/>
      <c r="D132" s="65"/>
      <c r="E132" s="65"/>
      <c r="F132" s="65"/>
      <c r="G132" s="65"/>
      <c r="H132" s="65"/>
      <c r="I132" s="65"/>
    </row>
    <row r="133" spans="1:9" ht="14.25" x14ac:dyDescent="0.15">
      <c r="A133" s="4"/>
      <c r="B133" s="65"/>
      <c r="C133" s="65"/>
      <c r="D133" s="65"/>
      <c r="E133" s="65"/>
      <c r="F133" s="65"/>
      <c r="G133" s="65"/>
      <c r="H133" s="65"/>
      <c r="I133" s="65"/>
    </row>
    <row r="134" spans="1:9" ht="7.5" customHeight="1" x14ac:dyDescent="0.15">
      <c r="A134" s="4"/>
      <c r="B134" s="65"/>
      <c r="C134" s="65"/>
      <c r="D134" s="65"/>
      <c r="E134" s="65"/>
      <c r="F134" s="65"/>
      <c r="G134" s="65"/>
      <c r="H134" s="65"/>
      <c r="I134" s="65"/>
    </row>
  </sheetData>
  <mergeCells count="23">
    <mergeCell ref="B121:I122"/>
    <mergeCell ref="H2:I2"/>
    <mergeCell ref="A4:I4"/>
    <mergeCell ref="B19:I19"/>
    <mergeCell ref="B22:I32"/>
    <mergeCell ref="B35:I46"/>
    <mergeCell ref="B14:I14"/>
    <mergeCell ref="C16:E16"/>
    <mergeCell ref="H16:I16"/>
    <mergeCell ref="C11:E11"/>
    <mergeCell ref="H11:I11"/>
    <mergeCell ref="C6:D6"/>
    <mergeCell ref="B94:I105"/>
    <mergeCell ref="B107:I107"/>
    <mergeCell ref="B108:I119"/>
    <mergeCell ref="B51:I51"/>
    <mergeCell ref="F50:G50"/>
    <mergeCell ref="B66:I77"/>
    <mergeCell ref="B80:I91"/>
    <mergeCell ref="C49:D49"/>
    <mergeCell ref="C50:D50"/>
    <mergeCell ref="F49:G49"/>
    <mergeCell ref="B52:I63"/>
  </mergeCells>
  <phoneticPr fontId="1"/>
  <printOptions horizontalCentered="1"/>
  <pageMargins left="0.59055118110236227" right="0.59055118110236227" top="0.78740157480314965" bottom="0.39370078740157483" header="0.31496062992125984" footer="0.19685039370078741"/>
  <pageSetup paperSize="9" fitToHeight="0" orientation="portrait" r:id="rId1"/>
  <headerFooter>
    <oddHeader>&amp;C数理・データサイエンス・AI教育プログラム認定制度【リテラシーレベル】</oddHeader>
  </headerFooter>
  <rowBreaks count="2" manualBreakCount="2">
    <brk id="47" max="8" man="1"/>
    <brk id="92" max="8" man="1"/>
  </rowBreak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I30"/>
  <sheetViews>
    <sheetView showZeros="0" view="pageBreakPreview" topLeftCell="A20" zoomScaleNormal="100" zoomScaleSheetLayoutView="100" workbookViewId="0">
      <selection activeCell="D91" sqref="D91:U91"/>
    </sheetView>
  </sheetViews>
  <sheetFormatPr defaultColWidth="11.375" defaultRowHeight="22.5" customHeight="1" x14ac:dyDescent="0.15"/>
  <cols>
    <col min="1" max="3" width="2.75" style="1" customWidth="1"/>
    <col min="4" max="4" width="22.25" style="1" customWidth="1"/>
    <col min="5" max="5" width="30.75" style="1" customWidth="1"/>
    <col min="6" max="7" width="7.75" style="1" customWidth="1"/>
    <col min="8" max="9" width="30.75" style="1" customWidth="1"/>
    <col min="10" max="10" width="4.125" style="1" customWidth="1"/>
    <col min="11" max="16384" width="11.375" style="1"/>
  </cols>
  <sheetData>
    <row r="1" spans="1:9" ht="18.75" customHeight="1" x14ac:dyDescent="0.15">
      <c r="A1" s="1" t="s">
        <v>68</v>
      </c>
      <c r="I1" s="23" t="s">
        <v>96</v>
      </c>
    </row>
    <row r="2" spans="1:9" ht="18.75" customHeight="1" x14ac:dyDescent="0.15">
      <c r="H2" s="23" t="s">
        <v>99</v>
      </c>
      <c r="I2" s="22" t="str">
        <f>'様式１　プログラムを構成する授業科目'!C2</f>
        <v>熊本保健科学大学</v>
      </c>
    </row>
    <row r="3" spans="1:9" ht="18.75" customHeight="1" x14ac:dyDescent="0.15">
      <c r="A3" s="204" t="s">
        <v>28</v>
      </c>
      <c r="B3" s="204"/>
      <c r="C3" s="204"/>
      <c r="D3" s="204"/>
      <c r="E3" s="204"/>
      <c r="F3" s="204"/>
      <c r="G3" s="204"/>
      <c r="H3" s="204"/>
      <c r="I3" s="204"/>
    </row>
    <row r="4" spans="1:9" ht="18.75" customHeight="1" x14ac:dyDescent="0.15">
      <c r="A4" s="5"/>
      <c r="B4" s="5"/>
      <c r="C4" s="5"/>
      <c r="D4" s="5"/>
      <c r="E4" s="5"/>
      <c r="F4" s="5"/>
      <c r="G4" s="5"/>
      <c r="H4" s="5"/>
      <c r="I4" s="5"/>
    </row>
    <row r="5" spans="1:9" ht="18.75" customHeight="1" x14ac:dyDescent="0.15">
      <c r="A5" s="1" t="s">
        <v>0</v>
      </c>
      <c r="B5" s="10" t="s">
        <v>90</v>
      </c>
      <c r="C5" s="5"/>
      <c r="D5" s="5"/>
      <c r="E5" s="5"/>
      <c r="F5" s="5"/>
      <c r="G5" s="5"/>
      <c r="H5" s="5"/>
      <c r="I5" s="5"/>
    </row>
    <row r="6" spans="1:9" ht="26.25" customHeight="1" x14ac:dyDescent="0.15">
      <c r="A6" s="5"/>
      <c r="B6" s="118" t="s">
        <v>144</v>
      </c>
      <c r="C6" s="119"/>
      <c r="D6" s="119"/>
      <c r="E6" s="119"/>
      <c r="F6" s="119"/>
      <c r="G6" s="119"/>
      <c r="H6" s="123"/>
      <c r="I6" s="3"/>
    </row>
    <row r="7" spans="1:9" ht="9" customHeight="1" x14ac:dyDescent="0.15">
      <c r="A7" s="5"/>
      <c r="B7" s="10"/>
      <c r="C7" s="10"/>
      <c r="D7" s="10"/>
      <c r="E7" s="10"/>
      <c r="F7" s="10"/>
      <c r="G7" s="10"/>
      <c r="H7" s="10"/>
      <c r="I7" s="3"/>
    </row>
    <row r="8" spans="1:9" ht="18.75" customHeight="1" x14ac:dyDescent="0.15">
      <c r="A8" s="5"/>
      <c r="B8" s="3"/>
      <c r="C8" s="3"/>
      <c r="D8" s="23" t="s">
        <v>42</v>
      </c>
      <c r="E8" s="22" t="s">
        <v>145</v>
      </c>
      <c r="F8" s="3"/>
      <c r="G8" s="23" t="s">
        <v>10</v>
      </c>
      <c r="H8" s="22" t="s">
        <v>146</v>
      </c>
      <c r="I8" s="3"/>
    </row>
    <row r="9" spans="1:9" ht="7.5" customHeight="1" x14ac:dyDescent="0.15">
      <c r="A9" s="5"/>
      <c r="B9" s="5"/>
      <c r="C9" s="5"/>
      <c r="D9" s="5"/>
      <c r="E9" s="5"/>
      <c r="F9" s="5"/>
      <c r="G9" s="5"/>
      <c r="H9" s="5"/>
      <c r="I9" s="5"/>
    </row>
    <row r="10" spans="1:9" ht="18.75" customHeight="1" x14ac:dyDescent="0.15">
      <c r="A10" s="1" t="s">
        <v>3</v>
      </c>
      <c r="B10" s="1" t="s">
        <v>27</v>
      </c>
      <c r="C10" s="4"/>
      <c r="D10" s="4"/>
      <c r="E10" s="4"/>
      <c r="F10" s="4"/>
      <c r="G10" s="4"/>
      <c r="H10" s="4"/>
      <c r="I10" s="4"/>
    </row>
    <row r="11" spans="1:9" ht="18.75" customHeight="1" x14ac:dyDescent="0.15">
      <c r="B11" s="118" t="s">
        <v>24</v>
      </c>
      <c r="C11" s="119"/>
      <c r="D11" s="123"/>
      <c r="E11" s="119" t="s">
        <v>26</v>
      </c>
      <c r="F11" s="119"/>
      <c r="G11" s="119"/>
      <c r="H11" s="119"/>
      <c r="I11" s="123"/>
    </row>
    <row r="12" spans="1:9" ht="26.25" customHeight="1" x14ac:dyDescent="0.15">
      <c r="B12" s="32" t="s">
        <v>14</v>
      </c>
      <c r="C12" s="39"/>
      <c r="D12" s="33"/>
      <c r="E12" s="40"/>
      <c r="F12" s="40"/>
      <c r="G12" s="40"/>
      <c r="H12" s="40"/>
      <c r="I12" s="33"/>
    </row>
    <row r="13" spans="1:9" ht="206.25" customHeight="1" x14ac:dyDescent="0.15">
      <c r="B13" s="34"/>
      <c r="C13" s="231" t="s">
        <v>15</v>
      </c>
      <c r="D13" s="232"/>
      <c r="E13" s="244" t="s">
        <v>167</v>
      </c>
      <c r="F13" s="233"/>
      <c r="G13" s="233"/>
      <c r="H13" s="233"/>
      <c r="I13" s="234"/>
    </row>
    <row r="14" spans="1:9" ht="206.25" customHeight="1" x14ac:dyDescent="0.15">
      <c r="B14" s="34"/>
      <c r="C14" s="246" t="s">
        <v>16</v>
      </c>
      <c r="D14" s="247"/>
      <c r="E14" s="244" t="s">
        <v>150</v>
      </c>
      <c r="F14" s="233"/>
      <c r="G14" s="233"/>
      <c r="H14" s="233"/>
      <c r="I14" s="234"/>
    </row>
    <row r="15" spans="1:9" ht="274.5" customHeight="1" x14ac:dyDescent="0.15">
      <c r="B15" s="34"/>
      <c r="C15" s="231" t="s">
        <v>17</v>
      </c>
      <c r="D15" s="232"/>
      <c r="E15" s="244" t="s">
        <v>151</v>
      </c>
      <c r="F15" s="233"/>
      <c r="G15" s="233"/>
      <c r="H15" s="233"/>
      <c r="I15" s="234"/>
    </row>
    <row r="16" spans="1:9" ht="93.75" customHeight="1" x14ac:dyDescent="0.15">
      <c r="B16" s="34"/>
      <c r="C16" s="231" t="s">
        <v>18</v>
      </c>
      <c r="D16" s="232"/>
      <c r="E16" s="244" t="s">
        <v>161</v>
      </c>
      <c r="F16" s="233"/>
      <c r="G16" s="233"/>
      <c r="H16" s="233"/>
      <c r="I16" s="234"/>
    </row>
    <row r="17" spans="2:9" ht="210.75" customHeight="1" x14ac:dyDescent="0.15">
      <c r="B17" s="35"/>
      <c r="C17" s="235" t="s">
        <v>19</v>
      </c>
      <c r="D17" s="236"/>
      <c r="E17" s="245" t="s">
        <v>166</v>
      </c>
      <c r="F17" s="237"/>
      <c r="G17" s="237"/>
      <c r="H17" s="237"/>
      <c r="I17" s="238"/>
    </row>
    <row r="18" spans="2:9" ht="24" customHeight="1" x14ac:dyDescent="0.15">
      <c r="B18" s="32" t="s">
        <v>20</v>
      </c>
      <c r="C18" s="36"/>
      <c r="D18" s="37"/>
      <c r="E18" s="38"/>
      <c r="F18" s="38"/>
      <c r="G18" s="38"/>
      <c r="H18" s="38"/>
      <c r="I18" s="41"/>
    </row>
    <row r="19" spans="2:9" ht="84.75" customHeight="1" x14ac:dyDescent="0.15">
      <c r="B19" s="34"/>
      <c r="C19" s="231" t="s">
        <v>21</v>
      </c>
      <c r="D19" s="232"/>
      <c r="E19" s="233" t="s">
        <v>152</v>
      </c>
      <c r="F19" s="233"/>
      <c r="G19" s="233"/>
      <c r="H19" s="233"/>
      <c r="I19" s="234"/>
    </row>
    <row r="20" spans="2:9" ht="218.25" customHeight="1" x14ac:dyDescent="0.15">
      <c r="B20" s="35"/>
      <c r="C20" s="235" t="s">
        <v>22</v>
      </c>
      <c r="D20" s="236"/>
      <c r="E20" s="237" t="s">
        <v>153</v>
      </c>
      <c r="F20" s="237"/>
      <c r="G20" s="237"/>
      <c r="H20" s="237"/>
      <c r="I20" s="238"/>
    </row>
    <row r="21" spans="2:9" ht="218.25" customHeight="1" x14ac:dyDescent="0.15">
      <c r="B21" s="239" t="s">
        <v>23</v>
      </c>
      <c r="C21" s="240"/>
      <c r="D21" s="241"/>
      <c r="E21" s="242" t="s">
        <v>154</v>
      </c>
      <c r="F21" s="242"/>
      <c r="G21" s="242"/>
      <c r="H21" s="242"/>
      <c r="I21" s="243"/>
    </row>
    <row r="22" spans="2:9" ht="218.25" customHeight="1" x14ac:dyDescent="0.15">
      <c r="B22" s="226" t="s">
        <v>135</v>
      </c>
      <c r="C22" s="227"/>
      <c r="D22" s="228"/>
      <c r="E22" s="229" t="s">
        <v>155</v>
      </c>
      <c r="F22" s="229"/>
      <c r="G22" s="229"/>
      <c r="H22" s="229"/>
      <c r="I22" s="230"/>
    </row>
    <row r="23" spans="2:9" ht="22.5" customHeight="1" x14ac:dyDescent="0.15">
      <c r="B23" s="4"/>
      <c r="C23" s="4"/>
      <c r="D23" s="4"/>
      <c r="E23" s="4"/>
      <c r="F23" s="4"/>
      <c r="G23" s="4"/>
      <c r="H23" s="4"/>
      <c r="I23" s="4"/>
    </row>
    <row r="24" spans="2:9" ht="22.5" customHeight="1" x14ac:dyDescent="0.15">
      <c r="B24" s="4"/>
      <c r="C24" s="4"/>
      <c r="D24" s="4"/>
      <c r="E24" s="4"/>
      <c r="F24" s="4"/>
      <c r="G24" s="4"/>
      <c r="H24" s="4"/>
      <c r="I24" s="4"/>
    </row>
    <row r="25" spans="2:9" ht="22.5" customHeight="1" x14ac:dyDescent="0.15">
      <c r="B25" s="4"/>
      <c r="C25" s="4"/>
      <c r="D25" s="4"/>
      <c r="E25" s="4"/>
      <c r="F25" s="4"/>
      <c r="G25" s="4"/>
      <c r="H25" s="4"/>
      <c r="I25" s="4"/>
    </row>
    <row r="26" spans="2:9" ht="22.5" customHeight="1" x14ac:dyDescent="0.15">
      <c r="B26" s="4"/>
      <c r="C26" s="4"/>
      <c r="D26" s="4"/>
      <c r="E26" s="4"/>
      <c r="F26" s="4"/>
      <c r="G26" s="4"/>
      <c r="H26" s="4"/>
      <c r="I26" s="4"/>
    </row>
    <row r="27" spans="2:9" ht="22.5" customHeight="1" x14ac:dyDescent="0.15">
      <c r="B27" s="4"/>
      <c r="C27" s="4"/>
      <c r="D27" s="4"/>
      <c r="E27" s="4"/>
      <c r="F27" s="4"/>
      <c r="G27" s="4"/>
      <c r="H27" s="4"/>
      <c r="I27" s="4"/>
    </row>
    <row r="28" spans="2:9" ht="22.5" customHeight="1" x14ac:dyDescent="0.15">
      <c r="B28" s="14"/>
      <c r="C28" s="14"/>
      <c r="D28" s="14"/>
      <c r="E28" s="14"/>
      <c r="F28" s="14"/>
      <c r="G28" s="14"/>
      <c r="H28" s="14"/>
      <c r="I28" s="14"/>
    </row>
    <row r="29" spans="2:9" ht="22.5" customHeight="1" x14ac:dyDescent="0.15">
      <c r="B29" s="14"/>
      <c r="C29" s="14"/>
      <c r="D29" s="14"/>
      <c r="E29" s="14"/>
      <c r="F29" s="14"/>
      <c r="G29" s="14"/>
      <c r="H29" s="14"/>
      <c r="I29" s="14"/>
    </row>
    <row r="30" spans="2:9" ht="22.5" customHeight="1" x14ac:dyDescent="0.15">
      <c r="B30" s="14"/>
      <c r="C30" s="14"/>
      <c r="D30" s="14"/>
      <c r="E30" s="14"/>
      <c r="F30" s="14"/>
      <c r="G30" s="14"/>
      <c r="H30" s="14"/>
      <c r="I30" s="14"/>
    </row>
  </sheetData>
  <mergeCells count="22">
    <mergeCell ref="C14:D14"/>
    <mergeCell ref="E14:I14"/>
    <mergeCell ref="A3:I3"/>
    <mergeCell ref="B11:D11"/>
    <mergeCell ref="E11:I11"/>
    <mergeCell ref="C13:D13"/>
    <mergeCell ref="E13:I13"/>
    <mergeCell ref="B6:H6"/>
    <mergeCell ref="C15:D15"/>
    <mergeCell ref="E15:I15"/>
    <mergeCell ref="C16:D16"/>
    <mergeCell ref="E16:I16"/>
    <mergeCell ref="C17:D17"/>
    <mergeCell ref="E17:I17"/>
    <mergeCell ref="B22:D22"/>
    <mergeCell ref="E22:I22"/>
    <mergeCell ref="C19:D19"/>
    <mergeCell ref="E19:I19"/>
    <mergeCell ref="C20:D20"/>
    <mergeCell ref="E20:I20"/>
    <mergeCell ref="B21:D21"/>
    <mergeCell ref="E21:I21"/>
  </mergeCells>
  <phoneticPr fontId="1"/>
  <printOptions horizontalCentered="1"/>
  <pageMargins left="0.78740157480314965" right="0.78740157480314965" top="0.78740157480314965" bottom="0.59055118110236227" header="0.31496062992125984" footer="0.31496062992125984"/>
  <pageSetup paperSize="9" scale="63" fitToHeight="0" orientation="portrait" r:id="rId1"/>
  <headerFooter>
    <oddHeader>&amp;C数理・データサイエンス・AI教育プログラム認定制度【リテラシーレベル】</oddHeader>
  </headerFooter>
  <rowBreaks count="1" manualBreakCount="1">
    <brk id="17" max="9" man="1"/>
  </rowBreak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4</vt:i4>
      </vt:variant>
      <vt:variant>
        <vt:lpstr>名前付き一覧</vt:lpstr>
      </vt:variant>
      <vt:variant>
        <vt:i4>5</vt:i4>
      </vt:variant>
    </vt:vector>
  </HeadingPairs>
  <TitlesOfParts>
    <vt:vector size="9" baseType="lpstr">
      <vt:lpstr>様式１　プログラムを構成する授業科目</vt:lpstr>
      <vt:lpstr>様式２ 履修者等数の実績</vt:lpstr>
      <vt:lpstr>様式３ 教育の質・履修者数を向上させるための体制・計画</vt:lpstr>
      <vt:lpstr>様式４　自己点検・評価</vt:lpstr>
      <vt:lpstr>'様式１　プログラムを構成する授業科目'!Print_Area</vt:lpstr>
      <vt:lpstr>'様式２ 履修者等数の実績'!Print_Area</vt:lpstr>
      <vt:lpstr>'様式３ 教育の質・履修者数を向上させるための体制・計画'!Print_Area</vt:lpstr>
      <vt:lpstr>'様式４　自己点検・評価'!Print_Area</vt:lpstr>
      <vt:lpstr>'様式４　自己点検・評価'!Print_Titles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文部科学省</dc:creator>
  <cp:lastModifiedBy>puser</cp:lastModifiedBy>
  <cp:lastPrinted>2024-06-18T00:52:44Z</cp:lastPrinted>
  <dcterms:created xsi:type="dcterms:W3CDTF">2011-06-14T05:32:50Z</dcterms:created>
  <dcterms:modified xsi:type="dcterms:W3CDTF">2024-06-18T00:52:53Z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d899a617-f30e-4fb8-b81c-fb6d0b94ac5b_Enabled">
    <vt:lpwstr>true</vt:lpwstr>
  </property>
  <property fmtid="{D5CDD505-2E9C-101B-9397-08002B2CF9AE}" pid="3" name="MSIP_Label_d899a617-f30e-4fb8-b81c-fb6d0b94ac5b_SetDate">
    <vt:lpwstr>2022-02-15T08:32:27Z</vt:lpwstr>
  </property>
  <property fmtid="{D5CDD505-2E9C-101B-9397-08002B2CF9AE}" pid="4" name="MSIP_Label_d899a617-f30e-4fb8-b81c-fb6d0b94ac5b_Method">
    <vt:lpwstr>Standard</vt:lpwstr>
  </property>
  <property fmtid="{D5CDD505-2E9C-101B-9397-08002B2CF9AE}" pid="5" name="MSIP_Label_d899a617-f30e-4fb8-b81c-fb6d0b94ac5b_Name">
    <vt:lpwstr>機密性2情報</vt:lpwstr>
  </property>
  <property fmtid="{D5CDD505-2E9C-101B-9397-08002B2CF9AE}" pid="6" name="MSIP_Label_d899a617-f30e-4fb8-b81c-fb6d0b94ac5b_SiteId">
    <vt:lpwstr>545810b0-36cb-4290-8926-48dbc0f9e92f</vt:lpwstr>
  </property>
  <property fmtid="{D5CDD505-2E9C-101B-9397-08002B2CF9AE}" pid="7" name="MSIP_Label_d899a617-f30e-4fb8-b81c-fb6d0b94ac5b_ActionId">
    <vt:lpwstr>2e617815-3938-4bbf-9581-e4cafc8cacf8</vt:lpwstr>
  </property>
  <property fmtid="{D5CDD505-2E9C-101B-9397-08002B2CF9AE}" pid="8" name="MSIP_Label_d899a617-f30e-4fb8-b81c-fb6d0b94ac5b_ContentBits">
    <vt:lpwstr>0</vt:lpwstr>
  </property>
</Properties>
</file>