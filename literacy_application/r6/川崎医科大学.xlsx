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knas\medgakumu\教務課\数理・データサイエンス・AI教育プログラム認定制度（リテラシーレベル）申請\R6年度_申請書類\"/>
    </mc:Choice>
  </mc:AlternateContent>
  <bookViews>
    <workbookView xWindow="3720" yWindow="0" windowWidth="20610" windowHeight="1093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52511"/>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<sst xmlns="http://schemas.openxmlformats.org/spreadsheetml/2006/main" count="327" uniqueCount="196">
  <si>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</si>
  <si>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</si>
  <si>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</si>
  <si>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</si>
  <si>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</si>
  <si>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</si>
  <si>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</si>
  <si>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</si>
  <si>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</si>
  <si>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</si>
  <si>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</si>
  <si>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</si>
  <si>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</si>
  <si>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</si>
  <si>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</si>
  <si>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</si>
  <si>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</si>
  <si>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</si>
  <si>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</si>
  <si>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</si>
  <si>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</si>
  <si>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</si>
  <si>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</si>
  <si>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</si>
  <si>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</si>
  <si>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</si>
  <si>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</si>
  <si>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</si>
  <si>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</si>
  <si>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</si>
  <si>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</si>
  <si>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</si>
  <si>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</si>
  <si>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</si>
  <si>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</si>
  <si>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</si>
  <si>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</si>
  <si>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</si>
  <si>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</si>
  <si>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</si>
  <si>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</si>
  <si>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</si>
  <si>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</si>
  <si>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</si>
  <si>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</si>
  <si>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</si>
  <si>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</si>
  <si>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</si>
  <si>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</si>
  <si>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</si>
  <si>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</si>
  <si>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</si>
  <si>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</si>
  <si>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</si>
  <si>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</si>
  <si>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</si>
  <si>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</si>
  <si>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</si>
  <si>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</si>
  <si>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</si>
  <si>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</si>
  <si>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</si>
  <si>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</si>
  <si>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</si>
  <si>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</si>
  <si>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</si>
  <si>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</si>
  <si>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</si>
  <si>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</si>
  <si>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</si>
  <si>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</si>
  <si>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</si>
  <si>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</si>
  <si>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</si>
  <si>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</si>
  <si>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</si>
  <si>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</si>
  <si>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</si>
  <si>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</si>
  <si>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</si>
  <si>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</si>
  <si>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</si>
  <si>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</si>
  <si>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</si>
  <si>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</si>
  <si>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</si>
  <si>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</si>
  <si>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</si>
  <si>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</si>
  <si>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</si>
  <si>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</si>
  <si>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</si>
  <si>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</si>
  <si>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</si>
  <si>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</si>
  <si>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</si>
  <si>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</si>
  <si>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</si>
  <si>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</si>
  <si>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</si>
  <si>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</si>
  <si>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</si>
  <si>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</si>
  <si>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</si>
  <si>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</si>
  <si>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</si>
  <si>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</si>
  <si>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</si>
  <si>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</si>
  <si>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</si>
  <si>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</si>
  <si>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</si>
  <si>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</si>
  <si>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</si>
  <si>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</si>
  <si>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</si>
  <si>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</si>
  <si>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</si>
  <si>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</si>
  <si>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</si>
  <si>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</si>
  <si>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</si>
  <si>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</si>
  <si>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</si>
  <si>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</si>
  <si>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</si>
  <si>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</si>
  <si>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</si>
  <si>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</si>
  <si>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</si>
  <si>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</si>
  <si>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</si>
  <si>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</si>
  <si>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</si>
  <si>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</si>
  <si>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川崎医科大学</t>
    <rPh sb="0" eb="6">
      <t>カワサキイカダイガク</t>
    </rPh>
    <phoneticPr fontId="1"/>
  </si>
  <si>
    <t>学部・学科によって、修了要件は相違しない</t>
  </si>
  <si>
    <t>○</t>
  </si>
  <si>
    <t>医学とEBM・データサイエンス</t>
    <phoneticPr fontId="1"/>
  </si>
  <si>
    <t>数理サイエンス講義とプログラミング実習</t>
    <phoneticPr fontId="1"/>
  </si>
  <si>
    <t>医学とEBM・データサイエンス</t>
    <phoneticPr fontId="1"/>
  </si>
  <si>
    <t>データ分析による研究講義</t>
    <phoneticPr fontId="1"/>
  </si>
  <si>
    <t>医科学入門</t>
    <phoneticPr fontId="1"/>
  </si>
  <si>
    <t>医学とEBM・データサイエンス</t>
    <phoneticPr fontId="1"/>
  </si>
  <si>
    <t>発表の技法</t>
    <phoneticPr fontId="1"/>
  </si>
  <si>
    <t>医学研究への扉</t>
    <phoneticPr fontId="1"/>
  </si>
  <si>
    <t>4‐3データ構造とプログラミング基礎</t>
  </si>
  <si>
    <t>数理サイエンス講義とプログラミング実習</t>
    <phoneticPr fontId="1"/>
  </si>
  <si>
    <t>数理サイエンス講義とプログラミング実習</t>
    <phoneticPr fontId="1"/>
  </si>
  <si>
    <t>4-1統計および数理基礎</t>
  </si>
  <si>
    <t>4‐2アルゴリズム基礎</t>
  </si>
  <si>
    <t>4‐4時系列データ解析</t>
  </si>
  <si>
    <t>4‐7データハンドリング</t>
  </si>
  <si>
    <t>4‐8データ活用実践（教師あり学習）</t>
  </si>
  <si>
    <t>医学部医学科</t>
    <rPh sb="0" eb="3">
      <t>イガクブ</t>
    </rPh>
    <rPh sb="3" eb="6">
      <t>イガクカ</t>
    </rPh>
    <phoneticPr fontId="1"/>
  </si>
  <si>
    <t>森谷　卓也</t>
    <rPh sb="0" eb="2">
      <t>モリヤ</t>
    </rPh>
    <rPh sb="3" eb="4">
      <t>タク</t>
    </rPh>
    <rPh sb="4" eb="5">
      <t>ナリ</t>
    </rPh>
    <phoneticPr fontId="1"/>
  </si>
  <si>
    <t>副学長</t>
    <rPh sb="0" eb="3">
      <t>フクガクチョウ</t>
    </rPh>
    <phoneticPr fontId="1"/>
  </si>
  <si>
    <t>数理・データサイエンス・AI教育プログラム委員会</t>
    <phoneticPr fontId="1"/>
  </si>
  <si>
    <t>森谷　卓也</t>
    <rPh sb="0" eb="2">
      <t>モリヤ</t>
    </rPh>
    <rPh sb="3" eb="5">
      <t>タクヤ</t>
    </rPh>
    <phoneticPr fontId="1"/>
  </si>
  <si>
    <t>数理・データサイエンス・AI教育プログラム委員会規程</t>
    <phoneticPr fontId="1"/>
  </si>
  <si>
    <t>　本学では、医学部学生教育全般の管理・運営を行う最上位委員会として「教務委員会」が、設置されている。文部科学大臣が定める「数理・データサイエンス・AI教育プログラム認定制度」に基づく認定プログラム（以下、「プログラム」という。）の立案、実施、改善を継続的に行うため、教務委員会の下部委員会として、数理・データサイエンス・AI教育プログラム委員会が設置された。
　数理・データサイエンス・AI教育プログラム委員会は、数理・データサイエンス・AIに関する授業について次の事項を行う。
①授業に関するプログラムの立案・実施を行う。
②教務委員会と連携し、プログラムの実施に際して、プログラムの見直し・改善を行う(授業内容・方法、教育効果、シラバス記載内容の改善、履修率向上、教員の配置等)。
③教育プログラムに関する授業に関して、履修学生による評価を調査する。そして、結果に基づき、学生の理解度を測るなど自己点検・評価プログラムの改善につなげる。
④大学ホームページでのプログラム・自己点検・評価結果の公開・発信を行う。
⑤その他数理・データサイエンス・AI教育プログラムに関する事項を検討し、プログラムを推進する。</t>
    <phoneticPr fontId="1"/>
  </si>
  <si>
    <t>数理・データサイエンス・AI教育プログラム委員会
副学長　　 　　　　　 森谷　卓也　（委員長）
学長付特任教授　　神田　英一郎　（副委員長）
生化学　教授　　　　栗林　　太
自然科学　准教授　辻　　修平
自然科学　講師　　 桶井　一秀
自然科学　助教　　 松本　宏樹
教務課　課長　　　　山本　善子
教務課　主任　　　  黒住　光正</t>
    <phoneticPr fontId="1"/>
  </si>
  <si>
    <t>本学ではいずれの授業もシラバスに「オフィスアワー、連絡先」が記載されている。いずれの授業担当者も、対面、内線電話、メール等を活用し、学習指導や質問を受け付けている。</t>
    <phoneticPr fontId="1"/>
  </si>
  <si>
    <t>教務委員会、数理・データサイエンス・AI教育プログラム委員会</t>
    <phoneticPr fontId="1"/>
  </si>
  <si>
    <t>いずれの科目も評価は、シラバスの記載に準じて行われている。各科目の学修評価方法は、定期テスト、レポート、研究発表など、各科目に応じた方法で行われている。また、必要に応じて講義または動画などの教材を用いたフィードバックを行っている。学期末には、学生を対象に授業評価アンケートを行い、学生の立場から見た評価も行っている。</t>
    <phoneticPr fontId="1"/>
  </si>
  <si>
    <t>本プログラム履修者全員に、授業内容や理解に関するアンケートを行っている。アンケートには、「科目の内容を理解できた」、「科目の内容は価値ある内容であった」、「科目の知識は十分に得られた」という項目がある。これらの項目の評価により、学生の理解度の評価が可能になっている。2022年度の評価では、本プログラムの多くの科目で、全科目の平均程度の評価を得ており、学生は数理・データサイエンス・AIについて理解していると考えられる。</t>
    <phoneticPr fontId="1"/>
  </si>
  <si>
    <t>本プログラムは開始されて1年が経過したところであり、履修者は卒業していない。将来的には、卒業者に対して、進路、活躍状況、就職先での評価について、アンケート調査を行うことを計画している。</t>
    <phoneticPr fontId="1"/>
  </si>
  <si>
    <t xml:space="preserve">本学では、患者データや画像データなど、産業界とも関連したデータを豊富に有している。そこで、これらのデータはどのよう活用され、治療に生かすことができるか、各医師が考えねばならない。そのためには、データと解析の知識や研究だけでなく、社会実装が不可欠であり、そのためには病院などの医療施設や、IT企業などの協力が不可欠である。
川崎医科大学では、大学連携・産学官連携を始め、多くの地域に根差した対外活動に参画しており、高等教育機関として、単科医科大学という独自性を超えた連携を行っている。
本学のカリキュラムポリシーでは、「地域社会と国際社会への貢献」および「高い問題対応能力」が述べられており、医学だけでなく社会全般についても対応できる医師を育成するよう、本プログラムを検討し、時代の変化に対応する。
</t>
    <phoneticPr fontId="1"/>
  </si>
  <si>
    <t>本プログラムでは、将来的に医師として、知識を身につけるため、　講義だけでなく、解析・プログラミング演習が行われている。
講義では、実際の英語論文を読むために必要な医学的知識、データの収集、データ解析方法、データの見方・解釈、得られたエビデンスの生かし方について、説明とフィードバックが行われている。
解析演習は、実際の臨床研究に使われるデータを利用し、RやPythonを用いて、プログラミングと解析を学ぶことができるよう構成されている。
さらに、数理データサイエンス・AIは医学だけでなく、身の回りにも多い。そこで、自動自動車の活用やAMAZONなどのデータセンターの仕組みなどを説明し、医学だけの知識に偏らないように、講義内容は構成されている。
「科目の内容は価値ある内容であった」、「科目の知識は十分に得られた」、「学習意欲、研究や医療に対する意欲が刺激された」という項目についておおむね高い評価を得ており、学ぶ楽しさや意義が学生に理解されていると考えられる。</t>
    <phoneticPr fontId="1"/>
  </si>
  <si>
    <t>本プログラムでは、医学だけでなく社会全般における数理データサイエンスについて理解を深めることができるよう、構成されている。そのため授業内容は、できるだけ活用事例が分かりやすいよう、理論講義だけでなく、動画の視聴や、コンピュータシステムを体験できるように工夫されている。
さらに、教員が人工知能学会などの数理データサイエンスに関連する学会へ積極的に参加し、内容・水準の維持・向上に努め、最新の知識を授業に取り入れている。
また、学生へのアンケートを実施し、「科目の内容を理解できた」などの項目を評価することで、より分かりやすい授業を行うよう、授業担当者にフィードバックがされている。</t>
    <phoneticPr fontId="1"/>
  </si>
  <si>
    <t>川崎医科大学　数理・データサイエンス・AI教育プログラム</t>
    <rPh sb="0" eb="6">
      <t>カワサキイカダイガク</t>
    </rPh>
    <rPh sb="7" eb="9">
      <t>スウリ</t>
    </rPh>
    <rPh sb="21" eb="23">
      <t>キョウイク</t>
    </rPh>
    <phoneticPr fontId="1"/>
  </si>
  <si>
    <t>令和4</t>
    <rPh sb="0" eb="2">
      <t>レイワ</t>
    </rPh>
    <phoneticPr fontId="1"/>
  </si>
  <si>
    <t>全て必修科目となっているため、３年修了時には、全員が本プログラムを履修していることになる。</t>
    <rPh sb="0" eb="1">
      <t>スベ</t>
    </rPh>
    <rPh sb="2" eb="4">
      <t>ヒッシュウ</t>
    </rPh>
    <rPh sb="4" eb="6">
      <t>カモク</t>
    </rPh>
    <rPh sb="16" eb="17">
      <t>ネン</t>
    </rPh>
    <rPh sb="17" eb="19">
      <t>シュウリョウ</t>
    </rPh>
    <rPh sb="19" eb="20">
      <t>ジ</t>
    </rPh>
    <rPh sb="23" eb="25">
      <t>ゼンイン</t>
    </rPh>
    <rPh sb="26" eb="27">
      <t>ホン</t>
    </rPh>
    <rPh sb="33" eb="35">
      <t>リシュウ</t>
    </rPh>
    <phoneticPr fontId="1"/>
  </si>
  <si>
    <t>第2学年「医学とEBM・データサイエンス」（必修）
・AIの活用事例 (6回目)： 生成AI(ChatGPT)の機能・社会的問題点・使用上の注意を説明している。
・AIの活用事例 (18, 19回目)： 生成AIのアルゴリズム(ChatGPT, GPT-3, Transformer, GANなど)について説明している。
・データサイエンス演習 (23回目)： 生成AIについて、BingやChatGPTを実際に体験させたうえで、使用法や注意点を説明している。</t>
    <rPh sb="42" eb="44">
      <t>セイセイ</t>
    </rPh>
    <rPh sb="56" eb="58">
      <t>キノウ</t>
    </rPh>
    <rPh sb="59" eb="62">
      <t>シャカイテキ</t>
    </rPh>
    <rPh sb="62" eb="65">
      <t>モンダイテン</t>
    </rPh>
    <rPh sb="66" eb="68">
      <t>シヨウ</t>
    </rPh>
    <rPh sb="68" eb="69">
      <t>ジョウ</t>
    </rPh>
    <rPh sb="70" eb="72">
      <t>チュウイ</t>
    </rPh>
    <rPh sb="73" eb="75">
      <t>セツメイ</t>
    </rPh>
    <rPh sb="153" eb="155">
      <t>セツメイ</t>
    </rPh>
    <rPh sb="170" eb="172">
      <t>エンシュウ</t>
    </rPh>
    <rPh sb="203" eb="205">
      <t>ジッサイ</t>
    </rPh>
    <rPh sb="206" eb="208">
      <t>タイケン</t>
    </rPh>
    <rPh sb="215" eb="218">
      <t>シヨウホウ</t>
    </rPh>
    <rPh sb="219" eb="222">
      <t>チュウイテン</t>
    </rPh>
    <phoneticPr fontId="1"/>
  </si>
  <si>
    <t>・ビッグデータ、IoT、AI、ロボット 「医学とEBM・データサイエンス」 (1回目)
・データ量の増加、計算機の処理性能の向上、AIの非連続的進化 「医学とEBM・データサイエンス」 (4回目)
・第4次産業革命、Society 5.0、データ駆動型社会 「医学とEBM・データサイエンス」 (1, 6回目)
・複数技術を組み合わせたAI技術 「医学とEBM・データサイエンス」 (5, 6回目)
・人間の知的活動とAIの関係性 「医学とEBM・データサイエンス」 (6, 8回目) 
・データを起点としたものの見方、人間の知的活動を起点としたものの見方 「数理サイエンス講義とプログラミング実習」 (2回目)</t>
    <rPh sb="21" eb="23">
      <t>イガク</t>
    </rPh>
    <rPh sb="48" eb="49">
      <t>リョウ</t>
    </rPh>
    <rPh sb="50" eb="52">
      <t>ゾウカ</t>
    </rPh>
    <rPh sb="53" eb="56">
      <t>ケイサンキ</t>
    </rPh>
    <rPh sb="57" eb="59">
      <t>ショリ</t>
    </rPh>
    <rPh sb="59" eb="61">
      <t>セイノウ</t>
    </rPh>
    <rPh sb="62" eb="64">
      <t>コウジョウ</t>
    </rPh>
    <rPh sb="68" eb="72">
      <t>ヒレンゾクテキ</t>
    </rPh>
    <rPh sb="72" eb="74">
      <t>シンカ</t>
    </rPh>
    <rPh sb="76" eb="78">
      <t>イガク</t>
    </rPh>
    <rPh sb="100" eb="101">
      <t>ダイ</t>
    </rPh>
    <rPh sb="102" eb="103">
      <t>ジ</t>
    </rPh>
    <rPh sb="103" eb="105">
      <t>サンギョウ</t>
    </rPh>
    <rPh sb="105" eb="107">
      <t>カクメイ</t>
    </rPh>
    <rPh sb="123" eb="126">
      <t>クドウガタ</t>
    </rPh>
    <rPh sb="126" eb="128">
      <t>シャカイ</t>
    </rPh>
    <rPh sb="130" eb="132">
      <t>イガク</t>
    </rPh>
    <rPh sb="157" eb="159">
      <t>フクスウ</t>
    </rPh>
    <rPh sb="159" eb="161">
      <t>ギジュツ</t>
    </rPh>
    <rPh sb="162" eb="163">
      <t>ク</t>
    </rPh>
    <rPh sb="164" eb="165">
      <t>ア</t>
    </rPh>
    <rPh sb="170" eb="172">
      <t>ギジュツ</t>
    </rPh>
    <rPh sb="174" eb="176">
      <t>イガク</t>
    </rPh>
    <rPh sb="201" eb="203">
      <t>ニンゲン</t>
    </rPh>
    <rPh sb="204" eb="206">
      <t>チテキ</t>
    </rPh>
    <rPh sb="206" eb="208">
      <t>カツドウ</t>
    </rPh>
    <rPh sb="212" eb="215">
      <t>カンケイセイ</t>
    </rPh>
    <rPh sb="217" eb="219">
      <t>イガク</t>
    </rPh>
    <rPh sb="249" eb="251">
      <t>キテン</t>
    </rPh>
    <rPh sb="257" eb="259">
      <t>ミカタ</t>
    </rPh>
    <rPh sb="260" eb="262">
      <t>ニンゲン</t>
    </rPh>
    <rPh sb="263" eb="265">
      <t>チテキ</t>
    </rPh>
    <rPh sb="265" eb="267">
      <t>カツドウ</t>
    </rPh>
    <rPh sb="268" eb="270">
      <t>キテン</t>
    </rPh>
    <rPh sb="276" eb="278">
      <t>ミカタ</t>
    </rPh>
    <phoneticPr fontId="1"/>
  </si>
  <si>
    <t>・調査データ、実験データ  「医学とEBM・データサイエンス」 (11, 20回目)
・1次データ、2次データ、データのメタ化 「医学とEBM・データサイエンス」 (3回目)
・構造化データ、非構造化データ (文章、画像/動画、音声/音楽) 「医学とEBM・データサイエンス」 (2回目)
・データ作成 (ビッグデータとアノテーション) 「医学とEBM・データサイエンス」 (3, 17, 23回目)
・データのオープン化 (オープンデータ) 「医学とEBM・データサイエンス」 (3, 10, 24回目),  「数理サイエンス講義とプログラミング実習」 (2, 4回目)</t>
    <rPh sb="1" eb="3">
      <t>チョウサ</t>
    </rPh>
    <rPh sb="7" eb="9">
      <t>ジッケン</t>
    </rPh>
    <rPh sb="15" eb="17">
      <t>イガク</t>
    </rPh>
    <rPh sb="45" eb="46">
      <t>ジ</t>
    </rPh>
    <rPh sb="51" eb="52">
      <t>ジ</t>
    </rPh>
    <rPh sb="62" eb="63">
      <t>カ</t>
    </rPh>
    <rPh sb="65" eb="67">
      <t>イガク</t>
    </rPh>
    <rPh sb="89" eb="92">
      <t>コウゾウカ</t>
    </rPh>
    <rPh sb="96" eb="97">
      <t>ヒ</t>
    </rPh>
    <rPh sb="97" eb="100">
      <t>コウゾウカ</t>
    </rPh>
    <rPh sb="105" eb="107">
      <t>ブンショウ</t>
    </rPh>
    <rPh sb="108" eb="110">
      <t>ガゾウ</t>
    </rPh>
    <rPh sb="111" eb="113">
      <t>ドウガ</t>
    </rPh>
    <rPh sb="114" eb="116">
      <t>オンセイ</t>
    </rPh>
    <rPh sb="117" eb="119">
      <t>オンガク</t>
    </rPh>
    <rPh sb="122" eb="124">
      <t>イガク</t>
    </rPh>
    <rPh sb="149" eb="151">
      <t>サクセイ</t>
    </rPh>
    <rPh sb="170" eb="172">
      <t>イガク</t>
    </rPh>
    <rPh sb="210" eb="211">
      <t>カ</t>
    </rPh>
    <rPh sb="223" eb="225">
      <t>イガク</t>
    </rPh>
    <phoneticPr fontId="1"/>
  </si>
  <si>
    <t>・データ・AI活用領域の広がり (生産、消費、文化活動) 「医学とEBM・データサイエンス」 (3, 4, 6, 20回目)
・研究開発、サービス 「医学とEBM・データサイエンス」 (3, 9, 20回目), 「数理サイエンス講義とプログラミング実習」 (2回目)
・仮説検証、知識発見、原因究明、計画策定、判断支援、活動代替、新規生成 「医学とEBM・データサイエンス」 (9, 13, 18, 19, 22, 25, 26回目)</t>
    <rPh sb="7" eb="9">
      <t>カツヨウ</t>
    </rPh>
    <rPh sb="9" eb="11">
      <t>リョウイキ</t>
    </rPh>
    <rPh sb="12" eb="13">
      <t>ヒロ</t>
    </rPh>
    <rPh sb="17" eb="19">
      <t>セイサン</t>
    </rPh>
    <rPh sb="20" eb="22">
      <t>ショウヒ</t>
    </rPh>
    <rPh sb="23" eb="25">
      <t>ブンカ</t>
    </rPh>
    <rPh sb="25" eb="27">
      <t>カツドウ</t>
    </rPh>
    <rPh sb="30" eb="32">
      <t>イガク</t>
    </rPh>
    <rPh sb="64" eb="66">
      <t>ケンキュウ</t>
    </rPh>
    <rPh sb="66" eb="68">
      <t>カイハツ</t>
    </rPh>
    <rPh sb="75" eb="77">
      <t>イガク</t>
    </rPh>
    <rPh sb="135" eb="137">
      <t>カセツ</t>
    </rPh>
    <rPh sb="137" eb="139">
      <t>ケンショウ</t>
    </rPh>
    <rPh sb="140" eb="142">
      <t>チシキ</t>
    </rPh>
    <rPh sb="142" eb="144">
      <t>ハッケン</t>
    </rPh>
    <rPh sb="145" eb="147">
      <t>ゲンイン</t>
    </rPh>
    <rPh sb="147" eb="149">
      <t>キュウメイ</t>
    </rPh>
    <rPh sb="150" eb="152">
      <t>ケイカク</t>
    </rPh>
    <rPh sb="152" eb="154">
      <t>サクテイ</t>
    </rPh>
    <rPh sb="155" eb="157">
      <t>ハンダン</t>
    </rPh>
    <rPh sb="157" eb="159">
      <t>シエン</t>
    </rPh>
    <rPh sb="160" eb="162">
      <t>カツドウ</t>
    </rPh>
    <rPh sb="162" eb="164">
      <t>ダイタイ</t>
    </rPh>
    <rPh sb="165" eb="167">
      <t>シンキ</t>
    </rPh>
    <rPh sb="167" eb="169">
      <t>セイセイ</t>
    </rPh>
    <rPh sb="171" eb="173">
      <t>イガク</t>
    </rPh>
    <phoneticPr fontId="1"/>
  </si>
  <si>
    <t>・データサイエンスのサイクル (課題抽出と定式化、データの取得、データ解析と推論、結果の共有・伝達、課題解決に向けた提案) 「医学とEBM・データサイエンス」 (8, 9回目)
・金融、サービス、インフラ、ヘルスケア等におけるデータ・AI利活用事例紹介 「医学とEBM・データサイエンス」 (3, 6, 20回目), 「データ分析に基づく研究講義」 (5, 12, 13回目)</t>
    <rPh sb="16" eb="18">
      <t>カダイ</t>
    </rPh>
    <rPh sb="18" eb="20">
      <t>チュウシュツ</t>
    </rPh>
    <rPh sb="21" eb="24">
      <t>テイシキカ</t>
    </rPh>
    <rPh sb="29" eb="31">
      <t>シュトク</t>
    </rPh>
    <rPh sb="35" eb="37">
      <t>カイセキ</t>
    </rPh>
    <rPh sb="38" eb="40">
      <t>スイロン</t>
    </rPh>
    <rPh sb="41" eb="43">
      <t>ケッカ</t>
    </rPh>
    <rPh sb="44" eb="46">
      <t>キョウユウ</t>
    </rPh>
    <rPh sb="47" eb="49">
      <t>デンタツ</t>
    </rPh>
    <rPh sb="50" eb="52">
      <t>カダイ</t>
    </rPh>
    <rPh sb="52" eb="54">
      <t>カイケツ</t>
    </rPh>
    <rPh sb="55" eb="56">
      <t>ム</t>
    </rPh>
    <rPh sb="58" eb="60">
      <t>テイアン</t>
    </rPh>
    <rPh sb="63" eb="65">
      <t>イガク</t>
    </rPh>
    <rPh sb="90" eb="92">
      <t>キンユウ</t>
    </rPh>
    <rPh sb="108" eb="109">
      <t>トウ</t>
    </rPh>
    <rPh sb="119" eb="122">
      <t>リカツヨウ</t>
    </rPh>
    <rPh sb="122" eb="124">
      <t>ジレイ</t>
    </rPh>
    <rPh sb="124" eb="126">
      <t>ショウカイ</t>
    </rPh>
    <rPh sb="128" eb="130">
      <t>イガク</t>
    </rPh>
    <rPh sb="185" eb="187">
      <t>カイメ</t>
    </rPh>
    <phoneticPr fontId="1"/>
  </si>
  <si>
    <t>・データの種類 (量的変数、質的変数) 「医学とEBM・データサイエンス」(17回目)
・データの分布 (ヒストグラム)と代表値 (平均値、中央値、最頻値) 「医学とEBM・データサイエンス」(11, 12回目), 「数理サイエンス講義とプログラミング実習」(6回目), 「医用統計学」(4-6回目)
・代表値の性質の違い 「医学とEBM・データサイエンス」(11, 12回目), 「数理サイエンス講義とプログラミング実習」(6回目), 「医用統計学」(4, 5回目)
・データのばらつき (分散、標準偏差、偏差値) 「医学とEBM・データサイエンス」(12回目), 「数理サイエンス講義とプログラミング実習」(6回目), 「医用統計学」(6回目)
・観測データに含まれる誤差の扱い 「医学とEBM・データサイエンス」(10-12回目), 「医用統計学」(20, 23-26回目)
・打ち切りや脱落を含むデータ、層別の必要なデータ 「医学とEBM・データサイエンス」(15-17回目)
・相関と因果 (相関係数、疑似相関、交絡) 「医学とEBM・データサイエンス」(10, 12, 14回目), 「数理サイエンス講義とプログラミング実習」(8, 10回目), 「医用統計学」(17, 34回目)
・母集団と標本抽出 (国勢調査、アンケート調査、単純無作為抽出、層別抽出) 「医学とEBM・データサイエンス」(9, 11, 12, 17回目), 「数理サイエンス講義とプログラミング実習」(8, 10回目), 「医用統計学」(20, 21回目)
・クロス集計法、分割表、相関係数行列、散布図行列 「医学とEBM・データサイエンス」(11, 12回目), 「数理サイエンス講義とプログラミング実習」(8回目), 「医用統計学」(17回目)
・統計情報の正しい理解 「医学とEBM・データサイエンス」(10, 22, 25, 26回目)</t>
    <rPh sb="5" eb="7">
      <t>シュルイ</t>
    </rPh>
    <rPh sb="9" eb="11">
      <t>リョウテキ</t>
    </rPh>
    <rPh sb="11" eb="13">
      <t>ヘンスウ</t>
    </rPh>
    <rPh sb="14" eb="16">
      <t>シツテキ</t>
    </rPh>
    <rPh sb="16" eb="18">
      <t>ヘンスウ</t>
    </rPh>
    <rPh sb="40" eb="42">
      <t>カイメ</t>
    </rPh>
    <rPh sb="49" eb="51">
      <t>ブンプ</t>
    </rPh>
    <rPh sb="61" eb="63">
      <t>ダイヒョウ</t>
    </rPh>
    <rPh sb="63" eb="64">
      <t>アタイ</t>
    </rPh>
    <rPh sb="66" eb="68">
      <t>ヘイキン</t>
    </rPh>
    <rPh sb="68" eb="69">
      <t>アタイ</t>
    </rPh>
    <rPh sb="70" eb="72">
      <t>チュウオウ</t>
    </rPh>
    <rPh sb="72" eb="73">
      <t>チ</t>
    </rPh>
    <rPh sb="74" eb="77">
      <t>サイヒンチ</t>
    </rPh>
    <rPh sb="137" eb="139">
      <t>イヨウ</t>
    </rPh>
    <rPh sb="139" eb="142">
      <t>トウケイガク</t>
    </rPh>
    <rPh sb="147" eb="149">
      <t>カイメ</t>
    </rPh>
    <rPh sb="152" eb="154">
      <t>ダイヒョウ</t>
    </rPh>
    <rPh sb="154" eb="155">
      <t>アタイ</t>
    </rPh>
    <rPh sb="156" eb="158">
      <t>セイシツ</t>
    </rPh>
    <rPh sb="159" eb="160">
      <t>チガ</t>
    </rPh>
    <rPh sb="246" eb="248">
      <t>ブンサン</t>
    </rPh>
    <rPh sb="249" eb="251">
      <t>ヒョウジュン</t>
    </rPh>
    <rPh sb="251" eb="253">
      <t>ヘンサ</t>
    </rPh>
    <rPh sb="254" eb="257">
      <t>ヘンサチ</t>
    </rPh>
    <rPh sb="326" eb="328">
      <t>カンソク</t>
    </rPh>
    <rPh sb="332" eb="333">
      <t>フク</t>
    </rPh>
    <rPh sb="336" eb="338">
      <t>ゴサ</t>
    </rPh>
    <rPh sb="339" eb="340">
      <t>アツカ</t>
    </rPh>
    <rPh sb="392" eb="393">
      <t>ウ</t>
    </rPh>
    <rPh sb="394" eb="395">
      <t>キ</t>
    </rPh>
    <rPh sb="397" eb="399">
      <t>ダツラク</t>
    </rPh>
    <rPh sb="400" eb="401">
      <t>フク</t>
    </rPh>
    <rPh sb="406" eb="408">
      <t>ソウベツ</t>
    </rPh>
    <rPh sb="409" eb="411">
      <t>ヒツヨウ</t>
    </rPh>
    <rPh sb="444" eb="446">
      <t>ソウカン</t>
    </rPh>
    <rPh sb="447" eb="449">
      <t>インガ</t>
    </rPh>
    <rPh sb="451" eb="453">
      <t>ソウカン</t>
    </rPh>
    <rPh sb="453" eb="455">
      <t>ケイスウ</t>
    </rPh>
    <rPh sb="456" eb="458">
      <t>ギジ</t>
    </rPh>
    <rPh sb="458" eb="460">
      <t>ソウカン</t>
    </rPh>
    <rPh sb="461" eb="463">
      <t>コウラク</t>
    </rPh>
    <rPh sb="549" eb="552">
      <t>ボシュウダン</t>
    </rPh>
    <rPh sb="553" eb="555">
      <t>ヒョウホン</t>
    </rPh>
    <rPh sb="555" eb="557">
      <t>チュウシュツ</t>
    </rPh>
    <rPh sb="559" eb="561">
      <t>コクセイ</t>
    </rPh>
    <rPh sb="561" eb="563">
      <t>チョウサ</t>
    </rPh>
    <rPh sb="569" eb="571">
      <t>チョウサ</t>
    </rPh>
    <rPh sb="572" eb="574">
      <t>タンジュン</t>
    </rPh>
    <rPh sb="574" eb="577">
      <t>ムサクイ</t>
    </rPh>
    <rPh sb="577" eb="579">
      <t>チュウシュツ</t>
    </rPh>
    <rPh sb="580" eb="582">
      <t>ソウベツ</t>
    </rPh>
    <rPh sb="582" eb="584">
      <t>チュウシュツ</t>
    </rPh>
    <rPh sb="668" eb="669">
      <t>カイ</t>
    </rPh>
    <rPh sb="676" eb="678">
      <t>シュウケイ</t>
    </rPh>
    <rPh sb="678" eb="679">
      <t>ホウ</t>
    </rPh>
    <rPh sb="680" eb="682">
      <t>ブンカツ</t>
    </rPh>
    <rPh sb="682" eb="683">
      <t>ヒョウ</t>
    </rPh>
    <rPh sb="684" eb="686">
      <t>ソウカン</t>
    </rPh>
    <rPh sb="686" eb="688">
      <t>ケイスウ</t>
    </rPh>
    <rPh sb="688" eb="690">
      <t>ギョウレツ</t>
    </rPh>
    <rPh sb="691" eb="693">
      <t>サンプ</t>
    </rPh>
    <rPh sb="693" eb="694">
      <t>ズ</t>
    </rPh>
    <rPh sb="694" eb="696">
      <t>ギョウレツ</t>
    </rPh>
    <rPh sb="769" eb="771">
      <t>トウケイ</t>
    </rPh>
    <rPh sb="771" eb="773">
      <t>ジョウホウ</t>
    </rPh>
    <rPh sb="774" eb="775">
      <t>タダ</t>
    </rPh>
    <rPh sb="777" eb="779">
      <t>リカイ</t>
    </rPh>
    <phoneticPr fontId="1"/>
  </si>
  <si>
    <r>
      <t>・データ表現 (棒グラフ、折れ線グラフ、散布図、ヒートマップ) 「医学とEBM・データサイエンス」 (17, 23回目), 「数理サイエンス講義とプログラミング実習」(7, 11, 12回目), 「発表の技法」(1-16回目), 「医学研究への扉」（7-153回目）
・データの図表表現 (チャート化) 「医学とEBM・データサイエンス」 (17, 23回目), 「数理サイエンス講義とプログラミング実習」(7, 11回目), 「発表の技法」(1-16回目), 「医学研究への扉」（7-153回目）
・データの比較 (条件をそろえた比較、処理の前後での比較、A/Bテスト) 「医学とEBM・データサイエンス」 (11, 14, 15回目), 「医学統計学」(27-30回目), 「医学研究への扉」（7-153回目）
・不適切なグラフ表現 (チャートジャンク、不必要な視覚的要素) 「数理サイエンス講義とプログラミング実習」(7, 11回目), 「発表の技法」(1-16回目), 「医学研究への扉」（7-153回目）
・優れた可視化事例の紹介 (可視化によって新たな気づきがあった事例) 「医学とEBM・データサイエンス」 (22, 25, 26回目), 「発表の技法」(1-16回目), 「医学研究への扉」（7-153回目）</t>
    </r>
    <r>
      <rPr>
        <sz val="10"/>
        <color theme="1"/>
        <rFont val="ＭＳ Ｐゴシック"/>
        <family val="3"/>
        <charset val="128"/>
        <scheme val="minor"/>
      </rPr>
      <t/>
    </r>
    <rPh sb="4" eb="6">
      <t>ヒョウゲン</t>
    </rPh>
    <rPh sb="8" eb="9">
      <t>ボウ</t>
    </rPh>
    <rPh sb="13" eb="14">
      <t>オ</t>
    </rPh>
    <rPh sb="15" eb="16">
      <t>セン</t>
    </rPh>
    <rPh sb="20" eb="22">
      <t>サンプ</t>
    </rPh>
    <rPh sb="22" eb="23">
      <t>ズ</t>
    </rPh>
    <rPh sb="93" eb="94">
      <t>カイ</t>
    </rPh>
    <rPh sb="94" eb="95">
      <t>メ</t>
    </rPh>
    <rPh sb="99" eb="101">
      <t>ハッピョウ</t>
    </rPh>
    <rPh sb="102" eb="104">
      <t>ギホウ</t>
    </rPh>
    <rPh sb="110" eb="111">
      <t>カイ</t>
    </rPh>
    <rPh sb="111" eb="112">
      <t>メ</t>
    </rPh>
    <rPh sb="139" eb="141">
      <t>ズヒョウ</t>
    </rPh>
    <rPh sb="141" eb="143">
      <t>ヒョウゲン</t>
    </rPh>
    <rPh sb="149" eb="150">
      <t>カ</t>
    </rPh>
    <rPh sb="255" eb="257">
      <t>ヒカク</t>
    </rPh>
    <rPh sb="259" eb="261">
      <t>ジョウケン</t>
    </rPh>
    <rPh sb="266" eb="268">
      <t>ヒカク</t>
    </rPh>
    <rPh sb="269" eb="271">
      <t>ショリ</t>
    </rPh>
    <rPh sb="272" eb="274">
      <t>ゼンゴ</t>
    </rPh>
    <rPh sb="276" eb="278">
      <t>ヒカク</t>
    </rPh>
    <rPh sb="322" eb="324">
      <t>イガク</t>
    </rPh>
    <rPh sb="324" eb="327">
      <t>トウケイガク</t>
    </rPh>
    <rPh sb="334" eb="336">
      <t>カイメ</t>
    </rPh>
    <rPh sb="359" eb="362">
      <t>フテキセツ</t>
    </rPh>
    <rPh sb="366" eb="368">
      <t>ヒョウゲン</t>
    </rPh>
    <rPh sb="379" eb="382">
      <t>フヒツヨウ</t>
    </rPh>
    <rPh sb="383" eb="386">
      <t>シカクテキ</t>
    </rPh>
    <rPh sb="386" eb="388">
      <t>ヨウソ</t>
    </rPh>
    <rPh sb="459" eb="460">
      <t>スグ</t>
    </rPh>
    <rPh sb="462" eb="465">
      <t>カシカ</t>
    </rPh>
    <rPh sb="465" eb="467">
      <t>ジレイ</t>
    </rPh>
    <rPh sb="468" eb="470">
      <t>ショウカイ</t>
    </rPh>
    <rPh sb="472" eb="475">
      <t>カシカ</t>
    </rPh>
    <rPh sb="479" eb="480">
      <t>アラ</t>
    </rPh>
    <rPh sb="482" eb="483">
      <t>キ</t>
    </rPh>
    <rPh sb="489" eb="491">
      <t>ジレイ</t>
    </rPh>
    <phoneticPr fontId="1"/>
  </si>
  <si>
    <t>・データ解析 (予測、グルーピング、パターン発見) 「医学とEBM・データサイエンス」 (18, 19, 23回目)
・データ可視化 (2軸グラフ、多次元の可視化、関係性の可視化) 「数理サイエンス講義とプログラミング実習」 (6, 11-13回)
・非構造化データ処理 (言語処理、画像/動画処理、音声/音楽処理) 「医学とEBM・データサイエンス」 (2回目)
・特化型AIと汎用AI、今のAIで出来ることとできないこと、AIとビッグデータ 「医学とEBM・データサイエンス」 (6, 18, 19回目)
・認知技術、ルールベース、自動化技術 「医学とEBM・データサイエンス」 (6, 18, 19, 21回目), 「数理サイエンス講義とプログラミング実習」 (9回)</t>
    <rPh sb="4" eb="6">
      <t>カイセキ</t>
    </rPh>
    <rPh sb="8" eb="10">
      <t>ヨソク</t>
    </rPh>
    <rPh sb="22" eb="24">
      <t>ハッケン</t>
    </rPh>
    <rPh sb="27" eb="29">
      <t>イガク</t>
    </rPh>
    <rPh sb="63" eb="66">
      <t>カシカ</t>
    </rPh>
    <rPh sb="69" eb="70">
      <t>ジク</t>
    </rPh>
    <rPh sb="74" eb="77">
      <t>タジゲン</t>
    </rPh>
    <rPh sb="78" eb="81">
      <t>カシカ</t>
    </rPh>
    <rPh sb="82" eb="85">
      <t>カンケイセイ</t>
    </rPh>
    <rPh sb="86" eb="89">
      <t>カシカ</t>
    </rPh>
    <rPh sb="122" eb="123">
      <t>カイ</t>
    </rPh>
    <rPh sb="126" eb="127">
      <t>ヒ</t>
    </rPh>
    <rPh sb="127" eb="130">
      <t>コウゾウカ</t>
    </rPh>
    <rPh sb="133" eb="135">
      <t>ショリ</t>
    </rPh>
    <rPh sb="137" eb="139">
      <t>ゲンゴ</t>
    </rPh>
    <rPh sb="139" eb="141">
      <t>ショリ</t>
    </rPh>
    <rPh sb="142" eb="144">
      <t>ガゾウ</t>
    </rPh>
    <rPh sb="145" eb="147">
      <t>ドウガ</t>
    </rPh>
    <rPh sb="147" eb="149">
      <t>ショリ</t>
    </rPh>
    <rPh sb="150" eb="152">
      <t>オンセイ</t>
    </rPh>
    <rPh sb="153" eb="155">
      <t>オンガク</t>
    </rPh>
    <rPh sb="155" eb="157">
      <t>ショリ</t>
    </rPh>
    <rPh sb="160" eb="162">
      <t>イガク</t>
    </rPh>
    <rPh sb="184" eb="187">
      <t>トッカガタ</t>
    </rPh>
    <rPh sb="190" eb="192">
      <t>ハンヨウ</t>
    </rPh>
    <rPh sb="195" eb="196">
      <t>イマ</t>
    </rPh>
    <rPh sb="200" eb="202">
      <t>デキ</t>
    </rPh>
    <rPh sb="224" eb="226">
      <t>イガク</t>
    </rPh>
    <rPh sb="256" eb="258">
      <t>ニンチ</t>
    </rPh>
    <rPh sb="258" eb="260">
      <t>ギジュツ</t>
    </rPh>
    <rPh sb="268" eb="271">
      <t>ジドウカ</t>
    </rPh>
    <rPh sb="271" eb="273">
      <t>ギジュツ</t>
    </rPh>
    <rPh sb="275" eb="277">
      <t>イガク</t>
    </rPh>
    <phoneticPr fontId="1"/>
  </si>
  <si>
    <r>
      <t>・ELSI (Ethical, Legal and Social Issues) 「医学とEBM・データサイエンス」 (7回目), 「医科学入門」 (1回目)
・個人情報保護 「医学とEBM・データサイエンス」 (7回目), 「医学研究への扉」 (2, 4, 5回目)
・データ倫理 (データの捏造、改ざん、盗用、プライバシー保護)「医学とEBM・データサイエンス」 (7, 9回目), 「医学研究への扉」 (2, 4, 5回目)
・AI社会原則 (公平性、説明責任、透明性、人間中心の判断) 「医学とEBM・データサイエンス」 (1, 6, 18, 19回目)
・データバイアス、アルゴリズムバイアス 「医学とEBM・データサイエンス」 (10回目)　
・AIサービスの責任論 「医学とEBM・データサイエンス」 (6, 18, 19回目) 
・データ・AI活用における負の事例紹介「医学とEBM・データサイエンス」 (9回目)</t>
    </r>
    <r>
      <rPr>
        <b/>
        <u/>
        <sz val="10"/>
        <color theme="1"/>
        <rFont val="ＭＳ Ｐゴシック"/>
        <family val="3"/>
        <charset val="128"/>
        <scheme val="minor"/>
      </rPr>
      <t/>
    </r>
    <rPh sb="61" eb="63">
      <t>カイメ</t>
    </rPh>
    <rPh sb="76" eb="77">
      <t>カイ</t>
    </rPh>
    <rPh sb="77" eb="78">
      <t>メ</t>
    </rPh>
    <rPh sb="81" eb="83">
      <t>コジン</t>
    </rPh>
    <rPh sb="83" eb="85">
      <t>ジョウホウ</t>
    </rPh>
    <rPh sb="85" eb="87">
      <t>ホゴ</t>
    </rPh>
    <rPh sb="131" eb="133">
      <t>カイメ</t>
    </rPh>
    <rPh sb="139" eb="141">
      <t>リンリ</t>
    </rPh>
    <rPh sb="147" eb="149">
      <t>ネツゾウ</t>
    </rPh>
    <rPh sb="150" eb="151">
      <t>カイ</t>
    </rPh>
    <rPh sb="154" eb="156">
      <t>トウヨウ</t>
    </rPh>
    <rPh sb="163" eb="165">
      <t>ホゴ</t>
    </rPh>
    <rPh sb="219" eb="221">
      <t>シャカイ</t>
    </rPh>
    <rPh sb="221" eb="223">
      <t>ゲンソク</t>
    </rPh>
    <rPh sb="225" eb="228">
      <t>コウヘイセイ</t>
    </rPh>
    <rPh sb="229" eb="231">
      <t>セツメイ</t>
    </rPh>
    <rPh sb="231" eb="233">
      <t>セキニン</t>
    </rPh>
    <rPh sb="234" eb="237">
      <t>トウメイセイ</t>
    </rPh>
    <rPh sb="238" eb="240">
      <t>ニンゲン</t>
    </rPh>
    <rPh sb="240" eb="242">
      <t>チュウシン</t>
    </rPh>
    <rPh sb="243" eb="245">
      <t>ハンダン</t>
    </rPh>
    <rPh sb="338" eb="339">
      <t>ロン</t>
    </rPh>
    <rPh sb="393" eb="395">
      <t>イガク</t>
    </rPh>
    <phoneticPr fontId="1"/>
  </si>
  <si>
    <t>・情報セキュリティ 「医科学入門」 (1回目), 「医学とEBM・データサイエンス」 (4, 7回目)
・匿名加工情報、暗号化、パスワード、悪意ある情報搾取 「医学とEBM・データサイエンス」 (4, 7回目) 
・情報漏洩等によるセキュリティ事故の事例紹介 「医学とEBM・データサイエンス」 (4, 7回目)</t>
    <rPh sb="1" eb="3">
      <t>ジョウホウ</t>
    </rPh>
    <rPh sb="48" eb="50">
      <t>カイメ</t>
    </rPh>
    <rPh sb="53" eb="55">
      <t>トクメイ</t>
    </rPh>
    <rPh sb="55" eb="57">
      <t>カコウ</t>
    </rPh>
    <rPh sb="57" eb="59">
      <t>ジョウホウ</t>
    </rPh>
    <rPh sb="60" eb="63">
      <t>アンゴウカ</t>
    </rPh>
    <rPh sb="70" eb="72">
      <t>アクイ</t>
    </rPh>
    <rPh sb="74" eb="76">
      <t>ジョウホウ</t>
    </rPh>
    <rPh sb="76" eb="78">
      <t>サクシュ</t>
    </rPh>
    <rPh sb="108" eb="110">
      <t>ジョウホウ</t>
    </rPh>
    <rPh sb="110" eb="112">
      <t>ロウエイ</t>
    </rPh>
    <rPh sb="112" eb="113">
      <t>トウ</t>
    </rPh>
    <rPh sb="122" eb="124">
      <t>ジコ</t>
    </rPh>
    <rPh sb="125" eb="127">
      <t>ジレイ</t>
    </rPh>
    <rPh sb="127" eb="129">
      <t>ショウカイ</t>
    </rPh>
    <phoneticPr fontId="1"/>
  </si>
  <si>
    <t>・データの集計 (和、平均) 「発表の技法」（5-10回目), 「数理サイエンス講義とプログラミング実習」（5, 7, 9, 11-13回目),  「医学研究への扉」（7-153回目）
・データの並べ替え、ランキング  「発表の技法」（5-10回目), 「数理サイエンス講義とプログラミング実習」（5, 7, 9,11-13回目), 「医学とEBM・データサイエンス」（3, 23回目）
・データ解析ツール (スプレッドシート) 「発表の技法」（5-10回目),  「医学研究への扉」（7-153回目）
・表形式のデータ (csv)  「発表の技法」（5-10回目), 「医学とEBM・データサイエンス」（17, 23回目）,  「医学研究への扉」（7-153回目）</t>
    <rPh sb="198" eb="200">
      <t>カイセキ</t>
    </rPh>
    <phoneticPr fontId="1"/>
  </si>
  <si>
    <t>各年度の履修者数(履修率)の目標は次のとおりである。
令和５年度　35%
令和６年度　50%
令和７年度　65%
令和８年度　80%
令和９年度　95%
履修科目は全て必修科目であるため、全員が履修することになる。そのため、毎年、約15%増加する。令和９年には、ほぼ全員が履修を達成することになる。</t>
    <rPh sb="0" eb="3">
      <t>カクネンド</t>
    </rPh>
    <rPh sb="4" eb="6">
      <t>リシュウ</t>
    </rPh>
    <rPh sb="6" eb="7">
      <t>シャ</t>
    </rPh>
    <rPh sb="7" eb="8">
      <t>カズ</t>
    </rPh>
    <rPh sb="9" eb="11">
      <t>リシュウ</t>
    </rPh>
    <rPh sb="11" eb="12">
      <t>リツ</t>
    </rPh>
    <rPh sb="14" eb="16">
      <t>モクヒョウ</t>
    </rPh>
    <rPh sb="17" eb="18">
      <t>ツギ</t>
    </rPh>
    <rPh sb="28" eb="30">
      <t>レイワ</t>
    </rPh>
    <rPh sb="31" eb="33">
      <t>ネンド</t>
    </rPh>
    <rPh sb="79" eb="81">
      <t>リシュウ</t>
    </rPh>
    <rPh sb="81" eb="83">
      <t>カモク</t>
    </rPh>
    <rPh sb="84" eb="85">
      <t>スベ</t>
    </rPh>
    <rPh sb="86" eb="88">
      <t>ヒッシュウ</t>
    </rPh>
    <rPh sb="88" eb="90">
      <t>カモク</t>
    </rPh>
    <rPh sb="96" eb="98">
      <t>ゼンイン</t>
    </rPh>
    <rPh sb="99" eb="101">
      <t>リシュウ</t>
    </rPh>
    <rPh sb="114" eb="116">
      <t>マイネン</t>
    </rPh>
    <rPh sb="117" eb="118">
      <t>ヤク</t>
    </rPh>
    <rPh sb="121" eb="123">
      <t>ゾウカ</t>
    </rPh>
    <rPh sb="126" eb="128">
      <t>レイワ</t>
    </rPh>
    <rPh sb="129" eb="130">
      <t>ネン</t>
    </rPh>
    <rPh sb="135" eb="137">
      <t>ゼンイン</t>
    </rPh>
    <rPh sb="138" eb="140">
      <t>リシュウ</t>
    </rPh>
    <rPh sb="141" eb="143">
      <t>タッセイ</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</si>
  <si>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</si>
  <si>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r>
      <t>・AI等を活用した新しいビジネスモデル (商品のレコメンデーション) 「医学とEBM・データサイエンス」 (2, 3, 6, 20回目)
・AI最新技術の活用例 (深層生成モデル、敵対的生成ネットワーク、強化学習、転移学習) 「医学とEBM・データサイエンス」 (6, 18, 19回目)</t>
    </r>
    <r>
      <rPr>
        <b/>
        <u/>
        <sz val="10"/>
        <color theme="1"/>
        <rFont val="ＭＳ Ｐゴシック"/>
        <family val="3"/>
        <charset val="128"/>
        <scheme val="minor"/>
      </rPr>
      <t/>
    </r>
    <rPh sb="21" eb="23">
      <t>ショウヒン</t>
    </rPh>
    <rPh sb="36" eb="38">
      <t>イガク</t>
    </rPh>
    <rPh sb="82" eb="84">
      <t>シンソウ</t>
    </rPh>
    <rPh sb="84" eb="86">
      <t>セイセイ</t>
    </rPh>
    <rPh sb="90" eb="93">
      <t>テキタイテキ</t>
    </rPh>
    <rPh sb="93" eb="95">
      <t>セイセイ</t>
    </rPh>
    <rPh sb="102" eb="104">
      <t>キョウカ</t>
    </rPh>
    <rPh sb="104" eb="106">
      <t>ガクシュウ</t>
    </rPh>
    <rPh sb="107" eb="109">
      <t>テンイ</t>
    </rPh>
    <rPh sb="109" eb="111">
      <t>ガクシュウ</t>
    </rPh>
    <rPh sb="114" eb="116">
      <t>イガク</t>
    </rPh>
    <phoneticPr fontId="1"/>
  </si>
  <si>
    <t>・医学、EBMとデータサイエンスの関わりについて説明できる。
・社会で活用されるデータ・AI・ICTとその活用について理解・説明できる。
・必要な医学情報(データ・論文)を入手し、適切に評価できる。
・個人情報保護、情報に関する倫理について理解し、適切に対応できる。
・データを活用した研究を立案し、遂行することができる。
・データを統計学的手法やAIなどで解析し、データをまとめ、発表できる。</t>
    <rPh sb="62" eb="64">
      <t>セツメイ</t>
    </rPh>
    <rPh sb="73" eb="75">
      <t>イガク</t>
    </rPh>
    <rPh sb="101" eb="103">
      <t>コジン</t>
    </rPh>
    <rPh sb="103" eb="105">
      <t>ジョウホウ</t>
    </rPh>
    <rPh sb="105" eb="107">
      <t>ホゴ</t>
    </rPh>
    <rPh sb="108" eb="110">
      <t>ジョウホウ</t>
    </rPh>
    <rPh sb="111" eb="112">
      <t>カン</t>
    </rPh>
    <rPh sb="114" eb="116">
      <t>リンリ</t>
    </rPh>
    <rPh sb="120" eb="122">
      <t>リカイ</t>
    </rPh>
    <rPh sb="124" eb="126">
      <t>テキセツ</t>
    </rPh>
    <rPh sb="127" eb="129">
      <t>タイオウ</t>
    </rPh>
    <phoneticPr fontId="1"/>
  </si>
  <si>
    <t>本学の数理・データサイエンス・AI教育プログラムは、ほぼ必修科目で構成されている。そのため、3年生終了時には全員がプログラムを履修する。令和４年度には、135名 (16%)が受講開始した。毎年およそ15%ずつ増加する予定である。</t>
    <rPh sb="68" eb="70">
      <t>レイワ</t>
    </rPh>
    <rPh sb="71" eb="73">
      <t>ネンド</t>
    </rPh>
    <rPh sb="79" eb="80">
      <t>メイ</t>
    </rPh>
    <rPh sb="87" eb="89">
      <t>ジュコウ</t>
    </rPh>
    <rPh sb="89" eb="91">
      <t>カイシ</t>
    </rPh>
    <rPh sb="94" eb="96">
      <t>マイトシ</t>
    </rPh>
    <rPh sb="104" eb="106">
      <t>ゾウカ</t>
    </rPh>
    <rPh sb="108" eb="110">
      <t>ヨテイ</t>
    </rPh>
    <phoneticPr fontId="1"/>
  </si>
  <si>
    <t>本プログラムの授業はいずれも必修科目であり、全ての学生が履修できるようになっている。そこで、積極的な学修を促すため、授業の内容や連関をシラバスなどで周知している。</t>
    <rPh sb="22" eb="23">
      <t>スベ</t>
    </rPh>
    <rPh sb="25" eb="27">
      <t>ガクセイ</t>
    </rPh>
    <rPh sb="28" eb="30">
      <t>リシュウ</t>
    </rPh>
    <rPh sb="46" eb="49">
      <t>セッキョクテキ</t>
    </rPh>
    <rPh sb="50" eb="52">
      <t>ガクシュウ</t>
    </rPh>
    <rPh sb="53" eb="54">
      <t>ウナガ</t>
    </rPh>
    <rPh sb="58" eb="60">
      <t>ジュギョウ</t>
    </rPh>
    <rPh sb="61" eb="63">
      <t>ナイヨウ</t>
    </rPh>
    <rPh sb="64" eb="66">
      <t>レンカン</t>
    </rPh>
    <rPh sb="74" eb="76">
      <t>シュウチ</t>
    </rPh>
    <phoneticPr fontId="1"/>
  </si>
  <si>
    <t>本プログラムの授業はいずれも必修科目であり、全ての学生が履修できるようになっている。そこで、卒業後も生かすことができる知識とスキルを身に着けるようにするため、PCを実際に使ったプログラミング実習やアクティブラーニングを積極的に導入している。さらに、各科目責任者だけでなく、各学年の担任など、複数の教員が学生の履修をサポートしている。</t>
    <rPh sb="46" eb="49">
      <t>ソツギョウゴ</t>
    </rPh>
    <rPh sb="50" eb="51">
      <t>イ</t>
    </rPh>
    <rPh sb="59" eb="61">
      <t>チシキ</t>
    </rPh>
    <rPh sb="66" eb="67">
      <t>ミ</t>
    </rPh>
    <rPh sb="68" eb="69">
      <t>ツ</t>
    </rPh>
    <rPh sb="82" eb="84">
      <t>ジッサイ</t>
    </rPh>
    <rPh sb="85" eb="86">
      <t>ツカ</t>
    </rPh>
    <rPh sb="95" eb="97">
      <t>ジッシュウ</t>
    </rPh>
    <rPh sb="109" eb="112">
      <t>セッキョクテキ</t>
    </rPh>
    <rPh sb="113" eb="115">
      <t>ドウニュウ</t>
    </rPh>
    <rPh sb="124" eb="125">
      <t>カク</t>
    </rPh>
    <rPh sb="125" eb="127">
      <t>カモク</t>
    </rPh>
    <rPh sb="127" eb="130">
      <t>セキニンシャ</t>
    </rPh>
    <rPh sb="136" eb="139">
      <t>カクガクネン</t>
    </rPh>
    <rPh sb="140" eb="142">
      <t>タンニン</t>
    </rPh>
    <rPh sb="145" eb="147">
      <t>フクスウ</t>
    </rPh>
    <rPh sb="148" eb="150">
      <t>キョウイン</t>
    </rPh>
    <rPh sb="151" eb="153">
      <t>ガクセイ</t>
    </rPh>
    <rPh sb="154" eb="156">
      <t>リシュウ</t>
    </rPh>
    <phoneticPr fontId="1"/>
  </si>
  <si>
    <t>本プログラムの科目はいずれも必修科目であるため、後輩への推奨は行われない。しかし、医学部として医学への意欲が他学年に影響を及ぼす。そこで、「学習意欲、研究や医療に対する意欲が刺激された」という質問をアンケートしている。この項について、多くの科目で全体平均程度の評価を得、非常に高い評価を得た科目もあった。</t>
  </si>
  <si>
    <t>本プログラムの科目は、いずれも必修科目であり、毎年履修者が増加する予定である。各年度の履修者数(履修率)の目標は次のとおりである。
令和５年度　35%
令和６年度　50%
令和７年度　65%
令和８年度　80%
令和９年度　95%
履修科目は全て必修科目であるため、全員が履修することになる。令和４年度には、135名 (16%)受講を開始した。令和９年には、ほぼ全学生が履修した状態になる予定である。</t>
    <rPh sb="23" eb="25">
      <t>マイネン</t>
    </rPh>
    <rPh sb="25" eb="27">
      <t>リシュウ</t>
    </rPh>
    <rPh sb="27" eb="28">
      <t>シャ</t>
    </rPh>
    <rPh sb="29" eb="31">
      <t>ゾウカ</t>
    </rPh>
    <rPh sb="33" eb="35">
      <t>ヨテイ</t>
    </rPh>
    <rPh sb="148" eb="150">
      <t>レイワ</t>
    </rPh>
    <rPh sb="151" eb="153">
      <t>ネンド</t>
    </rPh>
    <rPh sb="159" eb="160">
      <t>メイ</t>
    </rPh>
    <rPh sb="166" eb="168">
      <t>ジュコウ</t>
    </rPh>
    <rPh sb="169" eb="171">
      <t>カイシ</t>
    </rPh>
    <rPh sb="174" eb="176">
      <t>レイワ</t>
    </rPh>
    <rPh sb="177" eb="178">
      <t>ネン</t>
    </rPh>
    <rPh sb="183" eb="184">
      <t>ゼン</t>
    </rPh>
    <rPh sb="184" eb="186">
      <t>ガクセイ</t>
    </rPh>
    <rPh sb="187" eb="189">
      <t>リシュウ</t>
    </rPh>
    <rPh sb="191" eb="193">
      <t>ジョウタイ</t>
    </rPh>
    <rPh sb="196" eb="198">
      <t>ヨテイ</t>
    </rPh>
    <phoneticPr fontId="1"/>
  </si>
  <si>
    <t>医用統計学</t>
    <phoneticPr fontId="1"/>
  </si>
  <si>
    <t>医学研究への扉</t>
    <phoneticPr fontId="1"/>
  </si>
  <si>
    <t xml:space="preserve">プログラムを構成する全ての科目が必修科目となっている。すべてを履修し、単位取得することを修了要件としている。
プログラムは次の科目で構成される。
・医科学入門
・医用統計学
・発表の技法
・医学とEBM・データサイエンス
・数理サイエンス講義とプログラミング実習
・医学研究への扉
・データ分析による研究講義
なお、本学では各科目の単位数はシラバスへの記載ではなく、履修規程の別表として一覧表の形式で学生に周知することとしている。
</t>
    <rPh sb="44" eb="46">
      <t>シュウリョウ</t>
    </rPh>
    <rPh sb="46" eb="48">
      <t>ヨウケン</t>
    </rPh>
    <rPh sb="61" eb="62">
      <t>ツギ</t>
    </rPh>
    <rPh sb="63" eb="65">
      <t>カモク</t>
    </rPh>
    <rPh sb="66" eb="68">
      <t>コウセイ</t>
    </rPh>
    <rPh sb="158" eb="160">
      <t>ホンガク</t>
    </rPh>
    <rPh sb="162" eb="165">
      <t>カクカモク</t>
    </rPh>
    <rPh sb="166" eb="169">
      <t>タンイスウ</t>
    </rPh>
    <rPh sb="176" eb="178">
      <t>キサイ</t>
    </rPh>
    <rPh sb="183" eb="187">
      <t>リシュウキテイ</t>
    </rPh>
    <rPh sb="188" eb="190">
      <t>ベッピョウ</t>
    </rPh>
    <rPh sb="193" eb="196">
      <t>イチランヒョウ</t>
    </rPh>
    <rPh sb="197" eb="199">
      <t>ケイシキ</t>
    </rPh>
    <rPh sb="200" eb="202">
      <t>ガクセイ</t>
    </rPh>
    <rPh sb="203" eb="205">
      <t>シュウチ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</si>
</sst>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14"/>
      <name val="ＭＳ Ｐゴシック"/>
      <family val="3"/>
      <charset val="128"/>
      <scheme val="minor"/>
    </font>
    <font>
      <b/>
      <u/>
      <sz val="10"/>
      <color theme="1"/>
      <name val="ＭＳ Ｐゴシック"/>
      <family val="3"/>
      <charset val="128"/>
      <scheme val="minor"/>
    </font>
    <font>
      <sz val="9"/>
      <name val="ＭＳ Ｐゴシック"/>
      <family val="3"/>
      <charset val="128"/>
      <scheme val="minor"/>
    </font>
    <font>
      <sz val="6"/>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9" fillId="0" borderId="0" xfId="0" applyFont="1">
      <alignment vertical="center"/>
    </xf>
    <xf numFmtId="0" fontId="10" fillId="0" borderId="0" xfId="0" applyFont="1">
      <alignment vertical="center"/>
    </xf>
    <xf numFmtId="0" fontId="10" fillId="0" borderId="0" xfId="0" applyFont="1" applyAlignment="1">
      <alignment horizontal="right" vertical="center"/>
    </xf>
    <xf numFmtId="0" fontId="10" fillId="0" borderId="0" xfId="0" applyFont="1" applyAlignment="1">
      <alignment vertical="center" shrinkToFit="1"/>
    </xf>
    <xf numFmtId="0" fontId="10" fillId="0" borderId="0" xfId="0" applyFont="1" applyAlignment="1">
      <alignment horizontal="left" vertical="center" shrinkToFit="1"/>
    </xf>
    <xf numFmtId="0" fontId="10"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center" vertical="center"/>
    </xf>
    <xf numFmtId="0" fontId="10" fillId="0" borderId="1" xfId="0" applyFont="1" applyBorder="1">
      <alignment vertical="center"/>
    </xf>
    <xf numFmtId="0" fontId="10" fillId="0" borderId="0" xfId="0" applyFont="1" applyAlignment="1">
      <alignment horizontal="center" vertical="center" shrinkToFit="1"/>
    </xf>
    <xf numFmtId="9" fontId="2" fillId="0" borderId="14" xfId="0" applyNumberFormat="1" applyFont="1" applyBorder="1" applyAlignment="1">
      <alignment vertical="center" shrinkToFit="1"/>
    </xf>
    <xf numFmtId="0" fontId="10" fillId="0" borderId="0" xfId="0" applyFont="1" applyAlignment="1">
      <alignment horizontal="right" vertical="center"/>
    </xf>
    <xf numFmtId="0" fontId="10" fillId="0" borderId="0" xfId="0" applyFont="1" applyAlignment="1">
      <alignment vertical="center" wrapText="1"/>
    </xf>
    <xf numFmtId="0" fontId="10" fillId="0" borderId="1" xfId="0" applyFont="1" applyBorder="1" applyAlignment="1">
      <alignment horizontal="center" vertical="center"/>
    </xf>
    <xf numFmtId="0" fontId="14" fillId="0" borderId="0" xfId="0" applyFont="1">
      <alignment vertical="center"/>
    </xf>
    <xf numFmtId="0" fontId="9" fillId="0" borderId="0" xfId="0" applyFont="1" applyAlignment="1">
      <alignment horizontal="left" vertical="center"/>
    </xf>
    <xf numFmtId="0" fontId="10" fillId="0" borderId="0" xfId="0" applyFont="1" applyAlignment="1">
      <alignment vertical="top" wrapText="1"/>
    </xf>
    <xf numFmtId="0" fontId="14" fillId="0" borderId="0" xfId="0" applyFont="1" applyAlignment="1">
      <alignment vertical="top" wrapText="1"/>
    </xf>
    <xf numFmtId="0" fontId="10" fillId="0" borderId="1" xfId="0" applyFont="1" applyBorder="1" applyAlignment="1">
      <alignment horizontal="center" vertical="center" wrapText="1" shrinkToFit="1"/>
    </xf>
    <xf numFmtId="9" fontId="10" fillId="0" borderId="1" xfId="0" applyNumberFormat="1" applyFont="1" applyBorder="1" applyAlignment="1">
      <alignment horizontal="center" vertical="center" shrinkToFit="1"/>
    </xf>
    <xf numFmtId="9" fontId="10" fillId="0" borderId="0" xfId="1" applyFont="1" applyAlignment="1">
      <alignment horizontal="center" vertical="center"/>
    </xf>
    <xf numFmtId="0" fontId="10" fillId="0" borderId="1" xfId="0" applyFont="1" applyBorder="1" applyAlignment="1">
      <alignment horizontal="center" vertical="center" shrinkToFit="1"/>
    </xf>
    <xf numFmtId="176" fontId="10" fillId="0" borderId="1" xfId="0" applyNumberFormat="1" applyFont="1" applyBorder="1" applyAlignment="1">
      <alignment horizontal="center" vertical="center" shrinkToFit="1"/>
    </xf>
    <xf numFmtId="0" fontId="14" fillId="0" borderId="0" xfId="0" applyFont="1" applyAlignment="1">
      <alignment vertical="top" shrinkToFit="1"/>
    </xf>
    <xf numFmtId="0" fontId="10" fillId="0" borderId="0" xfId="0" applyFont="1" applyAlignment="1">
      <alignment vertical="top" wrapText="1" shrinkToFit="1"/>
    </xf>
    <xf numFmtId="0" fontId="10" fillId="0" borderId="0" xfId="0" applyFont="1" applyAlignment="1">
      <alignment vertical="top" shrinkToFit="1"/>
    </xf>
    <xf numFmtId="49" fontId="14" fillId="0" borderId="43" xfId="0" applyNumberFormat="1" applyFont="1" applyBorder="1" applyAlignment="1">
      <alignment horizontal="center" vertical="center"/>
    </xf>
    <xf numFmtId="49" fontId="14" fillId="0" borderId="44" xfId="0" applyNumberFormat="1" applyFont="1" applyBorder="1" applyAlignment="1">
      <alignment horizontal="center" vertical="center"/>
    </xf>
    <xf numFmtId="49" fontId="14" fillId="0" borderId="39" xfId="0" applyNumberFormat="1" applyFont="1" applyBorder="1" applyAlignment="1">
      <alignment horizontal="center" vertical="center"/>
    </xf>
    <xf numFmtId="49" fontId="14" fillId="0" borderId="26" xfId="0" applyNumberFormat="1" applyFont="1" applyBorder="1" applyAlignment="1">
      <alignment horizontal="center" vertical="center"/>
    </xf>
    <xf numFmtId="49" fontId="14" fillId="0" borderId="42" xfId="0" applyNumberFormat="1" applyFont="1" applyBorder="1" applyAlignment="1">
      <alignment horizontal="center" vertical="center"/>
    </xf>
    <xf numFmtId="49" fontId="14" fillId="0" borderId="28" xfId="0" applyNumberFormat="1" applyFont="1" applyBorder="1" applyAlignment="1">
      <alignment horizontal="center" vertical="center"/>
    </xf>
    <xf numFmtId="0" fontId="14" fillId="0" borderId="1" xfId="0" applyFont="1" applyBorder="1" applyAlignment="1">
      <alignment horizontal="center" vertical="center" shrinkToFit="1"/>
    </xf>
    <xf numFmtId="0" fontId="14" fillId="0" borderId="4" xfId="0" applyFont="1" applyBorder="1" applyAlignment="1">
      <alignment horizontal="center" vertical="center" shrinkToFit="1"/>
    </xf>
    <xf numFmtId="49" fontId="14" fillId="0" borderId="1" xfId="0" applyNumberFormat="1" applyFont="1" applyBorder="1" applyAlignment="1">
      <alignment horizontal="center" vertical="center"/>
    </xf>
    <xf numFmtId="0" fontId="10" fillId="0" borderId="14" xfId="0" applyFont="1" applyBorder="1" applyAlignment="1">
      <alignment horizontal="center" vertical="center" shrinkToFit="1"/>
    </xf>
    <xf numFmtId="0" fontId="10" fillId="0" borderId="20" xfId="0" applyFont="1" applyBorder="1" applyAlignment="1">
      <alignment horizontal="center" vertical="center" shrinkToFit="1"/>
    </xf>
    <xf numFmtId="0" fontId="10" fillId="0" borderId="13" xfId="0" applyFont="1" applyBorder="1" applyAlignment="1">
      <alignment horizontal="center" vertical="center" shrinkToFit="1"/>
    </xf>
    <xf numFmtId="0" fontId="10" fillId="0" borderId="35" xfId="0" applyFont="1" applyBorder="1" applyAlignment="1">
      <alignment horizontal="center" vertical="center" shrinkToFit="1"/>
    </xf>
    <xf numFmtId="0" fontId="9" fillId="0" borderId="0" xfId="0" applyFont="1" applyAlignment="1">
      <alignment vertical="center" wrapText="1"/>
    </xf>
    <xf numFmtId="49" fontId="9" fillId="0" borderId="0" xfId="0" applyNumberFormat="1" applyFont="1" applyAlignment="1">
      <alignment vertical="center" shrinkToFit="1"/>
    </xf>
    <xf numFmtId="0" fontId="9" fillId="0" borderId="0" xfId="0" applyFont="1" applyAlignment="1">
      <alignment horizontal="left" vertical="center" wrapText="1"/>
    </xf>
    <xf numFmtId="49" fontId="16" fillId="0" borderId="32" xfId="0" applyNumberFormat="1" applyFont="1" applyFill="1" applyBorder="1" applyAlignment="1">
      <alignment horizontal="left" vertical="center" wrapText="1"/>
    </xf>
    <xf numFmtId="49" fontId="16" fillId="0" borderId="33" xfId="0" applyNumberFormat="1" applyFont="1" applyFill="1" applyBorder="1" applyAlignment="1">
      <alignment horizontal="left" vertical="center"/>
    </xf>
    <xf numFmtId="49" fontId="16" fillId="0" borderId="34" xfId="0" applyNumberFormat="1" applyFont="1" applyFill="1" applyBorder="1" applyAlignment="1">
      <alignment horizontal="left" vertical="center"/>
    </xf>
    <xf numFmtId="49" fontId="16" fillId="0" borderId="29" xfId="0" applyNumberFormat="1" applyFont="1" applyFill="1" applyBorder="1" applyAlignment="1">
      <alignment horizontal="left" vertical="center" wrapText="1"/>
    </xf>
    <xf numFmtId="49" fontId="16" fillId="0" borderId="31" xfId="0" applyNumberFormat="1" applyFont="1" applyFill="1" applyBorder="1" applyAlignment="1">
      <alignment horizontal="left" vertical="center"/>
    </xf>
    <xf numFmtId="49" fontId="16" fillId="0" borderId="30" xfId="0" applyNumberFormat="1" applyFont="1" applyFill="1" applyBorder="1" applyAlignment="1">
      <alignment horizontal="left" vertical="center"/>
    </xf>
    <xf numFmtId="49" fontId="16" fillId="0" borderId="18" xfId="0" applyNumberFormat="1" applyFont="1" applyFill="1" applyBorder="1" applyAlignment="1">
      <alignment horizontal="left" vertical="center" wrapText="1"/>
    </xf>
    <xf numFmtId="49" fontId="16" fillId="0" borderId="19" xfId="0" applyNumberFormat="1" applyFont="1" applyFill="1" applyBorder="1" applyAlignment="1">
      <alignment horizontal="left" vertical="center"/>
    </xf>
    <xf numFmtId="49" fontId="16" fillId="0" borderId="17" xfId="0" applyNumberFormat="1" applyFont="1" applyFill="1" applyBorder="1" applyAlignment="1">
      <alignment horizontal="left" vertical="center"/>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1" xfId="0" applyFont="1" applyBorder="1" applyAlignment="1">
      <alignment horizontal="left" vertical="center" wrapText="1"/>
    </xf>
    <xf numFmtId="0" fontId="10" fillId="0" borderId="6" xfId="0" applyFont="1" applyBorder="1" applyAlignment="1">
      <alignment horizontal="left" vertical="center" wrapText="1"/>
    </xf>
    <xf numFmtId="0" fontId="10" fillId="0" borderId="12" xfId="0" applyFont="1" applyBorder="1" applyAlignment="1">
      <alignment horizontal="left" vertical="center" wrapTex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7" xfId="0" applyFont="1" applyBorder="1" applyAlignment="1">
      <alignment vertical="center" shrinkToFit="1"/>
    </xf>
    <xf numFmtId="0" fontId="10" fillId="0" borderId="32" xfId="0" applyFont="1" applyBorder="1" applyAlignment="1">
      <alignment vertical="center" shrinkToFit="1"/>
    </xf>
    <xf numFmtId="0" fontId="10" fillId="0" borderId="33" xfId="0" applyFont="1" applyBorder="1" applyAlignment="1">
      <alignment vertical="center" shrinkToFit="1"/>
    </xf>
    <xf numFmtId="0" fontId="10" fillId="0" borderId="34" xfId="0" applyFont="1" applyBorder="1" applyAlignment="1">
      <alignment vertical="center" shrinkToFit="1"/>
    </xf>
    <xf numFmtId="0" fontId="10" fillId="0" borderId="29" xfId="0" applyFont="1" applyBorder="1" applyAlignment="1">
      <alignment vertical="center" shrinkToFit="1"/>
    </xf>
    <xf numFmtId="0" fontId="10" fillId="0" borderId="31" xfId="0" applyFont="1" applyBorder="1" applyAlignment="1">
      <alignment vertical="center" shrinkToFit="1"/>
    </xf>
    <xf numFmtId="0" fontId="10" fillId="0" borderId="30" xfId="0" applyFont="1" applyBorder="1" applyAlignment="1">
      <alignment vertical="center" shrinkToFit="1"/>
    </xf>
    <xf numFmtId="0" fontId="10" fillId="0" borderId="0" xfId="0" applyFont="1" applyAlignment="1">
      <alignment vertical="center" wrapText="1"/>
    </xf>
    <xf numFmtId="0" fontId="10" fillId="0" borderId="0" xfId="0" applyFont="1" applyAlignment="1">
      <alignment horizontal="right" vertical="center"/>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2" fillId="0" borderId="0" xfId="0" applyFont="1" applyAlignment="1">
      <alignment horizontal="center" vertical="center"/>
    </xf>
    <xf numFmtId="0" fontId="10" fillId="0" borderId="7" xfId="0" applyFont="1" applyBorder="1" applyAlignment="1">
      <alignment horizontal="left" vertical="top" wrapText="1" shrinkToFit="1"/>
    </xf>
    <xf numFmtId="0" fontId="10" fillId="0" borderId="8" xfId="0" applyFont="1" applyBorder="1" applyAlignment="1">
      <alignment horizontal="left" vertical="top" wrapText="1" shrinkToFit="1"/>
    </xf>
    <xf numFmtId="0" fontId="10" fillId="0" borderId="9" xfId="0" applyFont="1" applyBorder="1" applyAlignment="1">
      <alignment horizontal="left" vertical="top" wrapText="1" shrinkToFit="1"/>
    </xf>
    <xf numFmtId="0" fontId="10" fillId="0" borderId="5" xfId="0" applyFont="1" applyBorder="1" applyAlignment="1">
      <alignment horizontal="left" vertical="top" wrapText="1" shrinkToFit="1"/>
    </xf>
    <xf numFmtId="0" fontId="10" fillId="0" borderId="0" xfId="0" applyFont="1" applyAlignment="1">
      <alignment horizontal="left" vertical="top" wrapText="1" shrinkToFit="1"/>
    </xf>
    <xf numFmtId="0" fontId="10" fillId="0" borderId="10" xfId="0" applyFont="1" applyBorder="1" applyAlignment="1">
      <alignment horizontal="left" vertical="top" wrapText="1" shrinkToFit="1"/>
    </xf>
    <xf numFmtId="0" fontId="10" fillId="0" borderId="11" xfId="0" applyFont="1" applyBorder="1" applyAlignment="1">
      <alignment horizontal="left" vertical="top" wrapText="1" shrinkToFit="1"/>
    </xf>
    <xf numFmtId="0" fontId="10" fillId="0" borderId="6" xfId="0" applyFont="1" applyBorder="1" applyAlignment="1">
      <alignment horizontal="left" vertical="top" wrapText="1" shrinkToFit="1"/>
    </xf>
    <xf numFmtId="0" fontId="10" fillId="0" borderId="12" xfId="0" applyFont="1" applyBorder="1" applyAlignment="1">
      <alignment horizontal="left" vertical="top" wrapText="1" shrinkToFit="1"/>
    </xf>
    <xf numFmtId="0" fontId="10" fillId="0" borderId="2" xfId="0" applyFont="1" applyFill="1" applyBorder="1" applyAlignment="1">
      <alignment vertical="center" wrapText="1" shrinkToFit="1"/>
    </xf>
    <xf numFmtId="0" fontId="10" fillId="0" borderId="3" xfId="0" applyFont="1" applyFill="1" applyBorder="1" applyAlignment="1">
      <alignment vertical="center" wrapText="1" shrinkToFit="1"/>
    </xf>
    <xf numFmtId="0" fontId="10" fillId="0" borderId="4" xfId="0" applyFont="1" applyFill="1" applyBorder="1" applyAlignment="1">
      <alignment vertical="center" wrapText="1" shrinkToFit="1"/>
    </xf>
    <xf numFmtId="0" fontId="10" fillId="0" borderId="32" xfId="0" applyFont="1" applyBorder="1" applyAlignment="1">
      <alignment horizontal="center" vertical="center" shrinkToFit="1"/>
    </xf>
    <xf numFmtId="0" fontId="10" fillId="0" borderId="33" xfId="0" applyFont="1" applyBorder="1" applyAlignment="1">
      <alignment horizontal="center" vertical="center" shrinkToFit="1"/>
    </xf>
    <xf numFmtId="0" fontId="10" fillId="0" borderId="34" xfId="0" applyFont="1" applyBorder="1" applyAlignment="1">
      <alignment horizontal="center" vertical="center" shrinkToFit="1"/>
    </xf>
    <xf numFmtId="0" fontId="10" fillId="0" borderId="18" xfId="0" applyFont="1" applyBorder="1" applyAlignment="1">
      <alignment horizontal="center" vertical="center" shrinkToFit="1"/>
    </xf>
    <xf numFmtId="0" fontId="10" fillId="0" borderId="19" xfId="0" applyFont="1" applyBorder="1" applyAlignment="1">
      <alignment horizontal="center" vertical="center" shrinkToFit="1"/>
    </xf>
    <xf numFmtId="0" fontId="10" fillId="0" borderId="17" xfId="0" applyFont="1" applyBorder="1" applyAlignment="1">
      <alignment horizontal="center" vertical="center" shrinkToFit="1"/>
    </xf>
    <xf numFmtId="0" fontId="14" fillId="0" borderId="40" xfId="0" applyFont="1" applyBorder="1" applyAlignment="1">
      <alignment vertical="center" wrapText="1"/>
    </xf>
    <xf numFmtId="0" fontId="14" fillId="0" borderId="27" xfId="0" applyFont="1" applyBorder="1" applyAlignment="1">
      <alignment vertical="center" wrapText="1"/>
    </xf>
    <xf numFmtId="0" fontId="14" fillId="0" borderId="41" xfId="0" applyFont="1" applyBorder="1" applyAlignment="1">
      <alignment vertical="center" wrapTex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10" fillId="0" borderId="29" xfId="0" applyFont="1" applyBorder="1" applyAlignment="1">
      <alignment horizontal="center" vertical="center" shrinkToFit="1"/>
    </xf>
    <xf numFmtId="0" fontId="10" fillId="0" borderId="31" xfId="0" applyFont="1" applyBorder="1" applyAlignment="1">
      <alignment horizontal="center" vertical="center" shrinkToFit="1"/>
    </xf>
    <xf numFmtId="0" fontId="10" fillId="0" borderId="30" xfId="0" applyFont="1" applyBorder="1" applyAlignment="1">
      <alignment horizontal="center" vertical="center" shrinkToFit="1"/>
    </xf>
    <xf numFmtId="0" fontId="9" fillId="0" borderId="6" xfId="0" applyFont="1" applyBorder="1" applyAlignment="1">
      <alignment horizontal="left" vertical="center" wrapText="1"/>
    </xf>
    <xf numFmtId="0" fontId="9" fillId="0" borderId="1" xfId="0" applyFont="1" applyBorder="1" applyAlignment="1">
      <alignment horizontal="center" vertical="center"/>
    </xf>
    <xf numFmtId="0" fontId="16" fillId="0" borderId="1" xfId="0" applyFont="1" applyFill="1" applyBorder="1" applyAlignment="1">
      <alignment vertical="center" wrapText="1"/>
    </xf>
    <xf numFmtId="0" fontId="14" fillId="0" borderId="1" xfId="0" applyFont="1" applyFill="1" applyBorder="1" applyAlignment="1">
      <alignment vertical="center" wrapText="1"/>
    </xf>
    <xf numFmtId="0" fontId="2" fillId="0" borderId="14" xfId="0" applyFont="1" applyBorder="1" applyAlignment="1">
      <alignment horizontal="center" vertical="center"/>
    </xf>
    <xf numFmtId="0" fontId="10"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10" fillId="0" borderId="1" xfId="0" applyNumberFormat="1" applyFont="1" applyBorder="1" applyAlignment="1">
      <alignment horizontal="center" vertical="center"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9" xfId="0" applyFont="1" applyBorder="1" applyAlignment="1">
      <alignment vertical="top"/>
    </xf>
    <xf numFmtId="0" fontId="10" fillId="0" borderId="5" xfId="0" applyFont="1" applyBorder="1" applyAlignment="1">
      <alignment vertical="top"/>
    </xf>
    <xf numFmtId="0" fontId="10" fillId="0" borderId="0" xfId="0" applyFont="1" applyAlignment="1">
      <alignment vertical="top"/>
    </xf>
    <xf numFmtId="0" fontId="10" fillId="0" borderId="10" xfId="0" applyFont="1" applyBorder="1" applyAlignment="1">
      <alignment vertical="top"/>
    </xf>
    <xf numFmtId="0" fontId="10" fillId="0" borderId="11" xfId="0" applyFont="1" applyBorder="1" applyAlignment="1">
      <alignment vertical="top"/>
    </xf>
    <xf numFmtId="0" fontId="10" fillId="0" borderId="6" xfId="0" applyFont="1" applyBorder="1" applyAlignment="1">
      <alignment vertical="top"/>
    </xf>
    <xf numFmtId="0" fontId="10" fillId="0" borderId="12" xfId="0" applyFont="1" applyBorder="1" applyAlignment="1">
      <alignment vertical="top"/>
    </xf>
    <xf numFmtId="9" fontId="10" fillId="0" borderId="1" xfId="0" applyNumberFormat="1" applyFont="1" applyBorder="1" applyAlignment="1">
      <alignment horizontal="center" vertical="center" wrapText="1" shrinkToFit="1"/>
    </xf>
    <xf numFmtId="0" fontId="10" fillId="0" borderId="7" xfId="0" applyFont="1" applyBorder="1" applyAlignment="1">
      <alignment horizontal="left" vertical="top" wrapText="1"/>
    </xf>
    <xf numFmtId="0" fontId="10" fillId="0" borderId="8" xfId="0" applyFont="1" applyBorder="1" applyAlignment="1">
      <alignment horizontal="left" vertical="top" wrapText="1"/>
    </xf>
    <xf numFmtId="0" fontId="10" fillId="0" borderId="9" xfId="0" applyFont="1" applyBorder="1" applyAlignment="1">
      <alignment horizontal="left" vertical="top" wrapText="1"/>
    </xf>
    <xf numFmtId="0" fontId="10" fillId="0" borderId="5" xfId="0" applyFont="1" applyBorder="1" applyAlignment="1">
      <alignment horizontal="left" vertical="top" wrapText="1"/>
    </xf>
    <xf numFmtId="0" fontId="10" fillId="0" borderId="0" xfId="0" applyFont="1" applyAlignment="1">
      <alignment horizontal="left" vertical="top" wrapText="1"/>
    </xf>
    <xf numFmtId="0" fontId="10" fillId="0" borderId="10" xfId="0" applyFont="1" applyBorder="1" applyAlignment="1">
      <alignment horizontal="left" vertical="top" wrapText="1"/>
    </xf>
    <xf numFmtId="0" fontId="10" fillId="0" borderId="11" xfId="0" applyFont="1" applyBorder="1" applyAlignment="1">
      <alignment horizontal="left" vertical="top" wrapText="1"/>
    </xf>
    <xf numFmtId="0" fontId="10" fillId="0" borderId="6" xfId="0" applyFont="1" applyBorder="1" applyAlignment="1">
      <alignment horizontal="left" vertical="top" wrapText="1"/>
    </xf>
    <xf numFmtId="0" fontId="10" fillId="0" borderId="12" xfId="0" applyFont="1" applyBorder="1" applyAlignment="1">
      <alignment horizontal="left" vertical="top" wrapText="1"/>
    </xf>
    <xf numFmtId="0" fontId="10" fillId="0" borderId="0" xfId="0" applyFont="1" applyAlignment="1">
      <alignment horizontal="left" vertical="center" wrapTex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4" xfId="0" applyFont="1" applyBorder="1" applyAlignment="1">
      <alignment vertical="center" shrinkToFit="1"/>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wrapText="1" shrinkToFit="1"/>
    </xf>
    <xf numFmtId="0" fontId="10" fillId="0" borderId="0" xfId="0" applyFont="1" applyAlignment="1">
      <alignment vertical="top" wrapText="1" shrinkToFit="1"/>
    </xf>
    <xf numFmtId="0" fontId="10" fillId="0" borderId="10"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2" xfId="0" applyFont="1" applyBorder="1" applyAlignment="1">
      <alignment horizontal="left" vertical="center"/>
    </xf>
    <xf numFmtId="0" fontId="9" fillId="0" borderId="3" xfId="0" applyFont="1" applyBorder="1">
      <alignment vertical="center"/>
    </xf>
    <xf numFmtId="0" fontId="9" fillId="0" borderId="4" xfId="0" applyFont="1" applyBorder="1">
      <alignment vertical="center"/>
    </xf>
    <xf numFmtId="0" fontId="9" fillId="0" borderId="3" xfId="0" applyFont="1" applyBorder="1" applyAlignment="1">
      <alignment horizontal="left" vertical="center"/>
    </xf>
    <xf numFmtId="0" fontId="9" fillId="0" borderId="4" xfId="0" applyFont="1" applyBorder="1" applyAlignment="1">
      <alignment horizontal="left" vertical="center"/>
    </xf>
    <xf numFmtId="0" fontId="10" fillId="0" borderId="0" xfId="0" applyFont="1" applyAlignment="1">
      <alignment horizontal="center" vertical="center"/>
    </xf>
    <xf numFmtId="0" fontId="10" fillId="0" borderId="0" xfId="0" applyFont="1">
      <alignment vertical="center"/>
    </xf>
    <xf numFmtId="0" fontId="10" fillId="2" borderId="5" xfId="0" applyFont="1" applyFill="1" applyBorder="1" applyAlignment="1">
      <alignment horizontal="center" vertical="center" shrinkToFit="1"/>
    </xf>
    <xf numFmtId="0" fontId="10" fillId="2" borderId="0" xfId="0" applyFont="1" applyFill="1" applyAlignment="1">
      <alignment horizontal="center" vertical="center" shrinkToFit="1"/>
    </xf>
    <xf numFmtId="0" fontId="10" fillId="2" borderId="10" xfId="0" applyFont="1" applyFill="1" applyBorder="1" applyAlignment="1">
      <alignment horizontal="center" vertical="center"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10" fillId="0" borderId="32" xfId="0" applyFont="1" applyBorder="1" applyAlignment="1">
      <alignment vertical="top" wrapText="1" shrinkToFit="1"/>
    </xf>
    <xf numFmtId="0" fontId="10" fillId="0" borderId="33" xfId="0" applyFont="1" applyBorder="1" applyAlignment="1">
      <alignment vertical="top" wrapText="1" shrinkToFit="1"/>
    </xf>
    <xf numFmtId="0" fontId="10" fillId="0" borderId="34"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6" fillId="0" borderId="0" xfId="0" applyFont="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0" fillId="0" borderId="18" xfId="0" applyFont="1" applyBorder="1" applyAlignment="1">
      <alignment vertical="top" wrapText="1" shrinkToFit="1"/>
    </xf>
    <xf numFmtId="0" fontId="10" fillId="0" borderId="19" xfId="0" applyFont="1" applyBorder="1" applyAlignment="1">
      <alignment vertical="top" wrapText="1" shrinkToFit="1"/>
    </xf>
    <xf numFmtId="0" fontId="10" fillId="0" borderId="17" xfId="0" applyFont="1" applyBorder="1" applyAlignment="1">
      <alignment vertical="top" wrapText="1" shrinkToFi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zoomScale="85" zoomScaleNormal="100" zoomScaleSheetLayoutView="85" workbookViewId="0">
      <selection activeCell="V15" sqref="V15"/>
    </sheetView>
  </sheetViews>
  <sheetFormatPr defaultColWidth="9" defaultRowHeight="18.75" customHeight="1" x14ac:dyDescent="0.15"/>
  <cols>
    <col min="1" max="1" width="2.5" style="46" customWidth="1"/>
    <col min="2" max="2" width="16.5" style="46" customWidth="1"/>
    <col min="3" max="21" width="5.625" style="46" customWidth="1"/>
    <col min="22" max="22" width="9" style="46"/>
    <col min="23" max="23" width="3.625" style="46" customWidth="1"/>
    <col min="24" max="24" width="48.625" style="46" hidden="1" customWidth="1"/>
    <col min="25" max="16384" width="9" style="46"/>
  </cols>
  <sheetData>
    <row r="1" spans="1:24" ht="18.600000000000001" customHeight="1" x14ac:dyDescent="0.15">
      <c r="T1" s="121" t="s">
        <v>12</v>
      </c>
      <c r="U1" s="121"/>
      <c r="V1" s="45" t="s">
        <v>100</v>
      </c>
    </row>
    <row r="2" spans="1:24" ht="18.75" customHeight="1" x14ac:dyDescent="0.15">
      <c r="B2" s="58" t="s">
        <v>99</v>
      </c>
      <c r="C2" s="102" t="s">
        <v>135</v>
      </c>
      <c r="D2" s="103"/>
      <c r="E2" s="103"/>
      <c r="F2" s="103"/>
      <c r="G2" s="103"/>
      <c r="H2" s="103"/>
      <c r="I2" s="103"/>
      <c r="J2" s="104"/>
      <c r="K2" s="56"/>
      <c r="L2" s="48"/>
      <c r="M2" s="48"/>
      <c r="N2" s="48"/>
      <c r="O2" s="48"/>
      <c r="P2" s="48"/>
      <c r="Q2" s="48"/>
      <c r="R2" s="48"/>
      <c r="S2" s="48"/>
      <c r="T2" s="48"/>
      <c r="U2" s="48"/>
    </row>
    <row r="3" spans="1:24" ht="18.75" customHeight="1" x14ac:dyDescent="0.15">
      <c r="B3" s="58" t="s">
        <v>94</v>
      </c>
      <c r="C3" s="122" t="s">
        <v>170</v>
      </c>
      <c r="D3" s="123"/>
      <c r="E3" s="123"/>
      <c r="F3" s="123"/>
      <c r="G3" s="123"/>
      <c r="H3" s="123"/>
      <c r="I3" s="123"/>
      <c r="J3" s="124"/>
      <c r="K3" s="56"/>
      <c r="L3" s="48"/>
      <c r="M3" s="48"/>
      <c r="N3" s="48"/>
      <c r="O3" s="48"/>
      <c r="P3" s="48"/>
      <c r="Q3" s="48"/>
      <c r="R3" s="48"/>
      <c r="S3" s="48"/>
      <c r="T3" s="48"/>
      <c r="U3" s="48"/>
    </row>
    <row r="4" spans="1:24" ht="15" customHeight="1" x14ac:dyDescent="0.15">
      <c r="L4" s="56"/>
      <c r="M4" s="49"/>
      <c r="N4" s="49"/>
      <c r="O4" s="49"/>
      <c r="P4" s="49"/>
      <c r="Q4" s="49"/>
      <c r="R4" s="49"/>
      <c r="S4" s="49"/>
      <c r="T4" s="49"/>
      <c r="U4" s="49"/>
    </row>
    <row r="5" spans="1:24" ht="18" customHeight="1" x14ac:dyDescent="0.15">
      <c r="A5" s="125" t="s">
        <v>38</v>
      </c>
      <c r="B5" s="125"/>
      <c r="C5" s="125"/>
      <c r="D5" s="125"/>
      <c r="E5" s="125"/>
      <c r="F5" s="125"/>
      <c r="G5" s="125"/>
      <c r="H5" s="125"/>
      <c r="I5" s="125"/>
      <c r="J5" s="125"/>
      <c r="K5" s="125"/>
      <c r="L5" s="125"/>
      <c r="M5" s="125"/>
      <c r="N5" s="125"/>
      <c r="O5" s="125"/>
      <c r="P5" s="125"/>
      <c r="Q5" s="125"/>
      <c r="R5" s="125"/>
      <c r="S5" s="125"/>
      <c r="T5" s="125"/>
      <c r="U5" s="125"/>
    </row>
    <row r="6" spans="1:24" ht="15" customHeight="1" x14ac:dyDescent="0.15">
      <c r="B6" s="50"/>
      <c r="C6" s="50"/>
      <c r="D6" s="50"/>
      <c r="E6" s="50"/>
      <c r="F6" s="50"/>
      <c r="G6" s="50"/>
      <c r="H6" s="50"/>
      <c r="I6" s="50"/>
      <c r="J6" s="50"/>
      <c r="K6" s="50"/>
      <c r="L6" s="50"/>
      <c r="M6" s="50"/>
      <c r="N6" s="50"/>
      <c r="O6" s="50"/>
      <c r="P6" s="50"/>
      <c r="Q6" s="50"/>
      <c r="R6" s="50"/>
      <c r="S6" s="50"/>
      <c r="T6" s="50"/>
      <c r="U6" s="50"/>
    </row>
    <row r="7" spans="1:24" ht="15" customHeight="1" x14ac:dyDescent="0.15">
      <c r="A7" s="46" t="s">
        <v>130</v>
      </c>
      <c r="B7" s="50"/>
      <c r="C7" s="50"/>
      <c r="D7" s="50"/>
      <c r="E7" s="50"/>
      <c r="F7" s="45"/>
      <c r="G7" s="45"/>
      <c r="H7" s="45"/>
      <c r="I7" s="45"/>
      <c r="J7" s="45"/>
      <c r="K7" s="45"/>
      <c r="L7" s="99" t="s">
        <v>136</v>
      </c>
      <c r="M7" s="100"/>
      <c r="N7" s="100"/>
      <c r="O7" s="100"/>
      <c r="P7" s="100"/>
      <c r="Q7" s="100"/>
      <c r="R7" s="100"/>
      <c r="S7" s="100"/>
      <c r="T7" s="100"/>
      <c r="U7" s="101"/>
    </row>
    <row r="8" spans="1:24" ht="6" customHeight="1" x14ac:dyDescent="0.15">
      <c r="B8" s="50"/>
      <c r="C8" s="50"/>
      <c r="D8" s="50"/>
      <c r="E8" s="50"/>
      <c r="F8" s="50"/>
      <c r="G8" s="50"/>
      <c r="H8" s="50"/>
      <c r="I8" s="50"/>
      <c r="J8" s="50"/>
      <c r="K8" s="50"/>
      <c r="L8" s="50"/>
      <c r="M8" s="50"/>
      <c r="N8" s="50"/>
      <c r="O8" s="50"/>
      <c r="P8" s="50"/>
      <c r="Q8" s="50"/>
      <c r="R8" s="50"/>
      <c r="S8" s="50"/>
      <c r="T8" s="50"/>
      <c r="U8" s="50"/>
    </row>
    <row r="9" spans="1:24" ht="18" customHeight="1" x14ac:dyDescent="0.15">
      <c r="A9" s="46" t="s">
        <v>131</v>
      </c>
      <c r="C9" s="50"/>
      <c r="D9" s="50"/>
      <c r="K9" s="56"/>
      <c r="L9" s="45"/>
      <c r="M9" s="45"/>
      <c r="N9" s="45"/>
      <c r="O9" s="45"/>
      <c r="P9" s="45"/>
      <c r="Q9" s="45"/>
      <c r="R9" s="45"/>
      <c r="S9" s="45"/>
      <c r="T9" s="45"/>
      <c r="U9" s="45"/>
    </row>
    <row r="10" spans="1:24" ht="6" customHeight="1" x14ac:dyDescent="0.15">
      <c r="B10" s="50"/>
      <c r="C10" s="50"/>
      <c r="D10" s="50"/>
      <c r="E10" s="50"/>
      <c r="F10" s="50"/>
      <c r="G10" s="50"/>
      <c r="H10" s="50"/>
      <c r="I10" s="50"/>
      <c r="J10" s="50"/>
      <c r="K10" s="50"/>
      <c r="L10" s="51"/>
      <c r="M10" s="50"/>
      <c r="N10" s="50"/>
      <c r="O10" s="50"/>
      <c r="P10" s="50"/>
      <c r="Q10" s="50"/>
      <c r="R10" s="50"/>
      <c r="S10" s="50"/>
      <c r="T10" s="50"/>
      <c r="U10" s="50"/>
    </row>
    <row r="11" spans="1:24" ht="18" customHeight="1" x14ac:dyDescent="0.15">
      <c r="B11" s="105"/>
      <c r="C11" s="106"/>
      <c r="D11" s="106"/>
      <c r="E11" s="106"/>
      <c r="F11" s="106"/>
      <c r="G11" s="106"/>
      <c r="H11" s="106"/>
      <c r="I11" s="106"/>
      <c r="J11" s="106"/>
      <c r="K11" s="106"/>
      <c r="L11" s="106"/>
      <c r="M11" s="106"/>
      <c r="N11" s="106"/>
      <c r="O11" s="106"/>
      <c r="P11" s="106"/>
      <c r="Q11" s="106"/>
      <c r="R11" s="106"/>
      <c r="S11" s="106"/>
      <c r="T11" s="106"/>
      <c r="U11" s="107"/>
    </row>
    <row r="12" spans="1:24" ht="18" customHeight="1" x14ac:dyDescent="0.15">
      <c r="B12" s="108"/>
      <c r="C12" s="109"/>
      <c r="D12" s="109"/>
      <c r="E12" s="109"/>
      <c r="F12" s="109"/>
      <c r="G12" s="109"/>
      <c r="H12" s="109"/>
      <c r="I12" s="109"/>
      <c r="J12" s="109"/>
      <c r="K12" s="109"/>
      <c r="L12" s="109"/>
      <c r="M12" s="109"/>
      <c r="N12" s="109"/>
      <c r="O12" s="109"/>
      <c r="P12" s="109"/>
      <c r="Q12" s="109"/>
      <c r="R12" s="109"/>
      <c r="S12" s="109"/>
      <c r="T12" s="109"/>
      <c r="U12" s="110"/>
    </row>
    <row r="13" spans="1:24" ht="6" customHeight="1" x14ac:dyDescent="0.15">
      <c r="B13" s="50"/>
      <c r="C13" s="50"/>
      <c r="D13" s="50"/>
      <c r="E13" s="50"/>
      <c r="F13" s="50"/>
      <c r="G13" s="50"/>
      <c r="H13" s="50"/>
      <c r="I13" s="50"/>
      <c r="J13" s="50"/>
      <c r="K13" s="50"/>
      <c r="L13" s="51"/>
      <c r="M13" s="50"/>
      <c r="N13" s="50"/>
      <c r="O13" s="50"/>
      <c r="P13" s="50"/>
      <c r="Q13" s="50"/>
      <c r="R13" s="50"/>
      <c r="S13" s="50"/>
      <c r="T13" s="50"/>
      <c r="U13" s="50"/>
    </row>
    <row r="14" spans="1:24" ht="18" customHeight="1" x14ac:dyDescent="0.15">
      <c r="A14" s="46" t="s">
        <v>101</v>
      </c>
      <c r="B14" s="50"/>
      <c r="C14" s="50"/>
      <c r="D14" s="50"/>
      <c r="E14" s="56"/>
      <c r="F14" s="56"/>
      <c r="G14" s="56"/>
      <c r="H14" s="56"/>
      <c r="I14" s="56"/>
      <c r="J14" s="56"/>
      <c r="K14" s="56"/>
      <c r="L14" s="52"/>
      <c r="M14" s="52"/>
      <c r="N14" s="52"/>
      <c r="O14" s="52"/>
      <c r="P14" s="52"/>
      <c r="Q14" s="52"/>
      <c r="R14" s="52"/>
      <c r="S14" s="52"/>
      <c r="T14" s="52"/>
      <c r="U14" s="52"/>
    </row>
    <row r="15" spans="1:24" ht="18" customHeight="1" x14ac:dyDescent="0.15">
      <c r="B15" s="126" t="s">
        <v>195</v>
      </c>
      <c r="C15" s="127"/>
      <c r="D15" s="127"/>
      <c r="E15" s="127"/>
      <c r="F15" s="127"/>
      <c r="G15" s="127"/>
      <c r="H15" s="127"/>
      <c r="I15" s="127"/>
      <c r="J15" s="127"/>
      <c r="K15" s="127"/>
      <c r="L15" s="127"/>
      <c r="M15" s="127"/>
      <c r="N15" s="127"/>
      <c r="O15" s="127"/>
      <c r="P15" s="127"/>
      <c r="Q15" s="127"/>
      <c r="R15" s="127"/>
      <c r="S15" s="127"/>
      <c r="T15" s="127"/>
      <c r="U15" s="128"/>
      <c r="X15" s="46" t="s">
        <v>95</v>
      </c>
    </row>
    <row r="16" spans="1:24" ht="18" customHeight="1" x14ac:dyDescent="0.15">
      <c r="B16" s="129"/>
      <c r="C16" s="130"/>
      <c r="D16" s="130"/>
      <c r="E16" s="130"/>
      <c r="F16" s="130"/>
      <c r="G16" s="130"/>
      <c r="H16" s="130"/>
      <c r="I16" s="130"/>
      <c r="J16" s="130"/>
      <c r="K16" s="130"/>
      <c r="L16" s="130"/>
      <c r="M16" s="130"/>
      <c r="N16" s="130"/>
      <c r="O16" s="130"/>
      <c r="P16" s="130"/>
      <c r="Q16" s="130"/>
      <c r="R16" s="130"/>
      <c r="S16" s="130"/>
      <c r="T16" s="130"/>
      <c r="U16" s="131"/>
      <c r="X16" s="46" t="s">
        <v>114</v>
      </c>
    </row>
    <row r="17" spans="1:24" ht="18" customHeight="1" x14ac:dyDescent="0.15">
      <c r="B17" s="129"/>
      <c r="C17" s="130"/>
      <c r="D17" s="130"/>
      <c r="E17" s="130"/>
      <c r="F17" s="130"/>
      <c r="G17" s="130"/>
      <c r="H17" s="130"/>
      <c r="I17" s="130"/>
      <c r="J17" s="130"/>
      <c r="K17" s="130"/>
      <c r="L17" s="130"/>
      <c r="M17" s="130"/>
      <c r="N17" s="130"/>
      <c r="O17" s="130"/>
      <c r="P17" s="130"/>
      <c r="Q17" s="130"/>
      <c r="R17" s="130"/>
      <c r="S17" s="130"/>
      <c r="T17" s="130"/>
      <c r="U17" s="131"/>
      <c r="X17" s="46" t="s">
        <v>115</v>
      </c>
    </row>
    <row r="18" spans="1:24" ht="18" customHeight="1" x14ac:dyDescent="0.15">
      <c r="B18" s="129"/>
      <c r="C18" s="130"/>
      <c r="D18" s="130"/>
      <c r="E18" s="130"/>
      <c r="F18" s="130"/>
      <c r="G18" s="130"/>
      <c r="H18" s="130"/>
      <c r="I18" s="130"/>
      <c r="J18" s="130"/>
      <c r="K18" s="130"/>
      <c r="L18" s="130"/>
      <c r="M18" s="130"/>
      <c r="N18" s="130"/>
      <c r="O18" s="130"/>
      <c r="P18" s="130"/>
      <c r="Q18" s="130"/>
      <c r="R18" s="130"/>
      <c r="S18" s="130"/>
      <c r="T18" s="130"/>
      <c r="U18" s="131"/>
      <c r="X18" s="46" t="s">
        <v>116</v>
      </c>
    </row>
    <row r="19" spans="1:24" ht="18" customHeight="1" x14ac:dyDescent="0.15">
      <c r="B19" s="129"/>
      <c r="C19" s="130"/>
      <c r="D19" s="130"/>
      <c r="E19" s="130"/>
      <c r="F19" s="130"/>
      <c r="G19" s="130"/>
      <c r="H19" s="130"/>
      <c r="I19" s="130"/>
      <c r="J19" s="130"/>
      <c r="K19" s="130"/>
      <c r="L19" s="130"/>
      <c r="M19" s="130"/>
      <c r="N19" s="130"/>
      <c r="O19" s="130"/>
      <c r="P19" s="130"/>
      <c r="Q19" s="130"/>
      <c r="R19" s="130"/>
      <c r="S19" s="130"/>
      <c r="T19" s="130"/>
      <c r="U19" s="131"/>
    </row>
    <row r="20" spans="1:24" ht="67.5" customHeight="1" x14ac:dyDescent="0.15">
      <c r="B20" s="132"/>
      <c r="C20" s="133"/>
      <c r="D20" s="133"/>
      <c r="E20" s="133"/>
      <c r="F20" s="133"/>
      <c r="G20" s="133"/>
      <c r="H20" s="133"/>
      <c r="I20" s="133"/>
      <c r="J20" s="133"/>
      <c r="K20" s="133"/>
      <c r="L20" s="133"/>
      <c r="M20" s="133"/>
      <c r="N20" s="133"/>
      <c r="O20" s="133"/>
      <c r="P20" s="133"/>
      <c r="Q20" s="133"/>
      <c r="R20" s="133"/>
      <c r="S20" s="133"/>
      <c r="T20" s="133"/>
      <c r="U20" s="134"/>
    </row>
    <row r="21" spans="1:24" ht="7.5" customHeight="1" x14ac:dyDescent="0.15">
      <c r="B21" s="50"/>
      <c r="C21" s="50"/>
      <c r="D21" s="50"/>
      <c r="E21" s="50"/>
      <c r="F21" s="50"/>
      <c r="G21" s="50"/>
      <c r="H21" s="50"/>
      <c r="I21" s="50"/>
      <c r="J21" s="50"/>
      <c r="K21" s="50"/>
      <c r="L21" s="50"/>
      <c r="M21" s="50"/>
      <c r="N21" s="50"/>
      <c r="O21" s="50"/>
      <c r="P21" s="50"/>
      <c r="Q21" s="50"/>
      <c r="R21" s="50"/>
      <c r="S21" s="50"/>
      <c r="T21" s="50"/>
      <c r="U21" s="50"/>
    </row>
    <row r="22" spans="1:24" ht="19.899999999999999" customHeight="1" x14ac:dyDescent="0.15">
      <c r="B22" s="46" t="s">
        <v>132</v>
      </c>
      <c r="E22" s="58">
        <v>7</v>
      </c>
      <c r="F22" s="46" t="s">
        <v>112</v>
      </c>
      <c r="H22" s="58">
        <v>11</v>
      </c>
      <c r="I22" s="50" t="s">
        <v>113</v>
      </c>
      <c r="J22" s="50"/>
      <c r="K22" s="56"/>
      <c r="M22" s="56" t="s">
        <v>110</v>
      </c>
      <c r="N22" s="96" t="s">
        <v>114</v>
      </c>
      <c r="O22" s="97"/>
      <c r="P22" s="97"/>
      <c r="Q22" s="97"/>
      <c r="R22" s="97"/>
      <c r="S22" s="97"/>
      <c r="T22" s="97"/>
      <c r="U22" s="98"/>
    </row>
    <row r="23" spans="1:24" ht="7.5" customHeight="1" x14ac:dyDescent="0.15">
      <c r="B23" s="50"/>
      <c r="C23" s="50"/>
      <c r="D23" s="50"/>
      <c r="E23" s="50"/>
      <c r="F23" s="50"/>
      <c r="G23" s="50"/>
      <c r="H23" s="50"/>
      <c r="I23" s="50"/>
      <c r="J23" s="50"/>
      <c r="K23" s="50"/>
      <c r="L23" s="50"/>
      <c r="M23" s="50"/>
      <c r="N23" s="50"/>
      <c r="O23" s="50"/>
      <c r="P23" s="50"/>
      <c r="Q23" s="50"/>
      <c r="R23" s="50"/>
      <c r="S23" s="50"/>
      <c r="T23" s="50"/>
      <c r="U23" s="50"/>
    </row>
    <row r="24" spans="1:24" ht="18" customHeight="1" x14ac:dyDescent="0.15">
      <c r="A24" s="120" t="s">
        <v>102</v>
      </c>
      <c r="B24" s="120"/>
      <c r="C24" s="120"/>
      <c r="D24" s="120"/>
      <c r="E24" s="120"/>
      <c r="F24" s="120"/>
      <c r="G24" s="120"/>
      <c r="H24" s="120"/>
      <c r="I24" s="120"/>
      <c r="J24" s="120"/>
      <c r="K24" s="120"/>
      <c r="L24" s="120"/>
      <c r="M24" s="120"/>
      <c r="N24" s="120"/>
      <c r="O24" s="120"/>
      <c r="P24" s="120"/>
      <c r="Q24" s="120"/>
      <c r="R24" s="120"/>
      <c r="S24" s="120"/>
      <c r="T24" s="120"/>
      <c r="U24" s="120"/>
    </row>
    <row r="25" spans="1:24" ht="18" customHeight="1" x14ac:dyDescent="0.15">
      <c r="A25" s="120"/>
      <c r="B25" s="120"/>
      <c r="C25" s="120"/>
      <c r="D25" s="120"/>
      <c r="E25" s="120"/>
      <c r="F25" s="120"/>
      <c r="G25" s="120"/>
      <c r="H25" s="120"/>
      <c r="I25" s="120"/>
      <c r="J25" s="120"/>
      <c r="K25" s="120"/>
      <c r="L25" s="120"/>
      <c r="M25" s="120"/>
      <c r="N25" s="120"/>
      <c r="O25" s="120"/>
      <c r="P25" s="120"/>
      <c r="Q25" s="120"/>
      <c r="R25" s="120"/>
      <c r="S25" s="120"/>
      <c r="T25" s="120"/>
      <c r="U25" s="120"/>
    </row>
    <row r="26" spans="1:24" ht="18" customHeight="1" x14ac:dyDescent="0.15">
      <c r="B26" s="102" t="s">
        <v>52</v>
      </c>
      <c r="C26" s="103"/>
      <c r="D26" s="103"/>
      <c r="E26" s="103"/>
      <c r="F26" s="104"/>
      <c r="G26" s="77" t="s">
        <v>78</v>
      </c>
      <c r="H26" s="78" t="s">
        <v>81</v>
      </c>
      <c r="I26" s="79" t="s">
        <v>55</v>
      </c>
      <c r="J26" s="79" t="s">
        <v>58</v>
      </c>
      <c r="K26" s="102" t="s">
        <v>52</v>
      </c>
      <c r="L26" s="103"/>
      <c r="M26" s="103"/>
      <c r="N26" s="103"/>
      <c r="O26" s="103"/>
      <c r="P26" s="103"/>
      <c r="Q26" s="104"/>
      <c r="R26" s="77" t="s">
        <v>78</v>
      </c>
      <c r="S26" s="78" t="s">
        <v>81</v>
      </c>
      <c r="T26" s="79" t="s">
        <v>55</v>
      </c>
      <c r="U26" s="79" t="s">
        <v>58</v>
      </c>
    </row>
    <row r="27" spans="1:24" ht="18" customHeight="1" x14ac:dyDescent="0.15">
      <c r="B27" s="117" t="s">
        <v>138</v>
      </c>
      <c r="C27" s="118"/>
      <c r="D27" s="118"/>
      <c r="E27" s="118"/>
      <c r="F27" s="119"/>
      <c r="G27" s="80">
        <v>1.5</v>
      </c>
      <c r="H27" s="80" t="s">
        <v>137</v>
      </c>
      <c r="I27" s="80" t="s">
        <v>137</v>
      </c>
      <c r="J27" s="80" t="s">
        <v>137</v>
      </c>
      <c r="K27" s="117"/>
      <c r="L27" s="118"/>
      <c r="M27" s="118"/>
      <c r="N27" s="118"/>
      <c r="O27" s="118"/>
      <c r="P27" s="118"/>
      <c r="Q27" s="119"/>
      <c r="R27" s="80"/>
      <c r="S27" s="80"/>
      <c r="T27" s="80"/>
      <c r="U27" s="80"/>
    </row>
    <row r="28" spans="1:24" ht="18" customHeight="1" x14ac:dyDescent="0.15">
      <c r="B28" s="111" t="s">
        <v>148</v>
      </c>
      <c r="C28" s="112"/>
      <c r="D28" s="112"/>
      <c r="E28" s="112"/>
      <c r="F28" s="113"/>
      <c r="G28" s="81">
        <v>0.5</v>
      </c>
      <c r="H28" s="81" t="s">
        <v>137</v>
      </c>
      <c r="I28" s="81" t="s">
        <v>137</v>
      </c>
      <c r="J28" s="81" t="s">
        <v>137</v>
      </c>
      <c r="K28" s="111"/>
      <c r="L28" s="112"/>
      <c r="M28" s="112"/>
      <c r="N28" s="112"/>
      <c r="O28" s="112"/>
      <c r="P28" s="112"/>
      <c r="Q28" s="113"/>
      <c r="R28" s="81"/>
      <c r="S28" s="81"/>
      <c r="T28" s="81"/>
      <c r="U28" s="81"/>
    </row>
    <row r="29" spans="1:24" ht="18" customHeight="1" x14ac:dyDescent="0.15">
      <c r="B29" s="111"/>
      <c r="C29" s="112"/>
      <c r="D29" s="112"/>
      <c r="E29" s="112"/>
      <c r="F29" s="113"/>
      <c r="G29" s="81"/>
      <c r="H29" s="81"/>
      <c r="I29" s="81"/>
      <c r="J29" s="81"/>
      <c r="K29" s="111"/>
      <c r="L29" s="112"/>
      <c r="M29" s="112"/>
      <c r="N29" s="112"/>
      <c r="O29" s="112"/>
      <c r="P29" s="112"/>
      <c r="Q29" s="113"/>
      <c r="R29" s="81"/>
      <c r="S29" s="81"/>
      <c r="T29" s="81"/>
      <c r="U29" s="81"/>
    </row>
    <row r="30" spans="1:24" ht="18" customHeight="1" x14ac:dyDescent="0.15">
      <c r="B30" s="111"/>
      <c r="C30" s="112"/>
      <c r="D30" s="112"/>
      <c r="E30" s="112"/>
      <c r="F30" s="113"/>
      <c r="G30" s="81"/>
      <c r="H30" s="81"/>
      <c r="I30" s="81"/>
      <c r="J30" s="81"/>
      <c r="K30" s="111"/>
      <c r="L30" s="112"/>
      <c r="M30" s="112"/>
      <c r="N30" s="112"/>
      <c r="O30" s="112"/>
      <c r="P30" s="112"/>
      <c r="Q30" s="113"/>
      <c r="R30" s="81"/>
      <c r="S30" s="81"/>
      <c r="T30" s="81"/>
      <c r="U30" s="81"/>
    </row>
    <row r="31" spans="1:24" ht="18" customHeight="1" x14ac:dyDescent="0.15">
      <c r="B31" s="111"/>
      <c r="C31" s="112"/>
      <c r="D31" s="112"/>
      <c r="E31" s="112"/>
      <c r="F31" s="113"/>
      <c r="G31" s="81"/>
      <c r="H31" s="81"/>
      <c r="I31" s="81"/>
      <c r="J31" s="81"/>
      <c r="K31" s="111"/>
      <c r="L31" s="112"/>
      <c r="M31" s="112"/>
      <c r="N31" s="112"/>
      <c r="O31" s="112"/>
      <c r="P31" s="112"/>
      <c r="Q31" s="113"/>
      <c r="R31" s="81"/>
      <c r="S31" s="81"/>
      <c r="T31" s="81"/>
      <c r="U31" s="81"/>
    </row>
    <row r="32" spans="1:24" ht="18" customHeight="1" x14ac:dyDescent="0.15">
      <c r="A32" s="50"/>
      <c r="B32" s="111"/>
      <c r="C32" s="112"/>
      <c r="D32" s="112"/>
      <c r="E32" s="112"/>
      <c r="F32" s="113"/>
      <c r="G32" s="81"/>
      <c r="H32" s="81"/>
      <c r="I32" s="81"/>
      <c r="J32" s="81"/>
      <c r="K32" s="111"/>
      <c r="L32" s="112"/>
      <c r="M32" s="112"/>
      <c r="N32" s="112"/>
      <c r="O32" s="112"/>
      <c r="P32" s="112"/>
      <c r="Q32" s="113"/>
      <c r="R32" s="81"/>
      <c r="S32" s="81"/>
      <c r="T32" s="81"/>
      <c r="U32" s="81"/>
    </row>
    <row r="33" spans="1:21" ht="18" customHeight="1" x14ac:dyDescent="0.15">
      <c r="A33" s="50"/>
      <c r="B33" s="114"/>
      <c r="C33" s="115"/>
      <c r="D33" s="115"/>
      <c r="E33" s="115"/>
      <c r="F33" s="116"/>
      <c r="G33" s="82"/>
      <c r="H33" s="82"/>
      <c r="I33" s="83"/>
      <c r="J33" s="83"/>
      <c r="K33" s="114"/>
      <c r="L33" s="115"/>
      <c r="M33" s="115"/>
      <c r="N33" s="115"/>
      <c r="O33" s="115"/>
      <c r="P33" s="115"/>
      <c r="Q33" s="116"/>
      <c r="R33" s="82"/>
      <c r="S33" s="82"/>
      <c r="T33" s="83"/>
      <c r="U33" s="83"/>
    </row>
    <row r="34" spans="1:21" ht="7.5" customHeight="1" x14ac:dyDescent="0.15">
      <c r="A34" s="50"/>
      <c r="B34" s="48"/>
      <c r="C34" s="48"/>
      <c r="D34" s="48"/>
      <c r="E34" s="50"/>
      <c r="F34" s="50"/>
      <c r="G34" s="50"/>
      <c r="H34" s="50"/>
      <c r="I34" s="48"/>
      <c r="J34" s="48"/>
      <c r="K34" s="48"/>
      <c r="L34" s="48"/>
      <c r="M34" s="48"/>
      <c r="N34" s="48"/>
      <c r="O34" s="48"/>
      <c r="P34" s="48"/>
      <c r="Q34" s="48"/>
      <c r="R34" s="48"/>
      <c r="S34" s="48"/>
      <c r="T34" s="48"/>
      <c r="U34" s="50"/>
    </row>
    <row r="35" spans="1:21" ht="18" customHeight="1" x14ac:dyDescent="0.15">
      <c r="A35" s="120" t="s">
        <v>103</v>
      </c>
      <c r="B35" s="120"/>
      <c r="C35" s="120"/>
      <c r="D35" s="120"/>
      <c r="E35" s="120"/>
      <c r="F35" s="120"/>
      <c r="G35" s="120"/>
      <c r="H35" s="120"/>
      <c r="I35" s="120"/>
      <c r="J35" s="120"/>
      <c r="K35" s="120"/>
      <c r="L35" s="120"/>
      <c r="M35" s="120"/>
      <c r="N35" s="120"/>
      <c r="O35" s="120"/>
      <c r="P35" s="120"/>
      <c r="Q35" s="120"/>
      <c r="R35" s="120"/>
      <c r="S35" s="120"/>
      <c r="T35" s="120"/>
      <c r="U35" s="120"/>
    </row>
    <row r="36" spans="1:21" ht="18" customHeight="1" x14ac:dyDescent="0.15">
      <c r="A36" s="120"/>
      <c r="B36" s="120"/>
      <c r="C36" s="120"/>
      <c r="D36" s="120"/>
      <c r="E36" s="120"/>
      <c r="F36" s="120"/>
      <c r="G36" s="120"/>
      <c r="H36" s="120"/>
      <c r="I36" s="120"/>
      <c r="J36" s="120"/>
      <c r="K36" s="120"/>
      <c r="L36" s="120"/>
      <c r="M36" s="120"/>
      <c r="N36" s="120"/>
      <c r="O36" s="120"/>
      <c r="P36" s="120"/>
      <c r="Q36" s="120"/>
      <c r="R36" s="120"/>
      <c r="S36" s="120"/>
      <c r="T36" s="120"/>
      <c r="U36" s="120"/>
    </row>
    <row r="37" spans="1:21" ht="18" customHeight="1" x14ac:dyDescent="0.15">
      <c r="B37" s="102" t="s">
        <v>52</v>
      </c>
      <c r="C37" s="103"/>
      <c r="D37" s="103"/>
      <c r="E37" s="103"/>
      <c r="F37" s="104"/>
      <c r="G37" s="77" t="s">
        <v>78</v>
      </c>
      <c r="H37" s="78" t="s">
        <v>81</v>
      </c>
      <c r="I37" s="79" t="s">
        <v>69</v>
      </c>
      <c r="J37" s="79" t="s">
        <v>70</v>
      </c>
      <c r="K37" s="102" t="s">
        <v>52</v>
      </c>
      <c r="L37" s="103"/>
      <c r="M37" s="103"/>
      <c r="N37" s="103"/>
      <c r="O37" s="103"/>
      <c r="P37" s="103"/>
      <c r="Q37" s="104"/>
      <c r="R37" s="77" t="s">
        <v>78</v>
      </c>
      <c r="S37" s="78" t="s">
        <v>81</v>
      </c>
      <c r="T37" s="79" t="s">
        <v>69</v>
      </c>
      <c r="U37" s="79" t="s">
        <v>70</v>
      </c>
    </row>
    <row r="38" spans="1:21" ht="18" customHeight="1" x14ac:dyDescent="0.15">
      <c r="B38" s="117" t="s">
        <v>140</v>
      </c>
      <c r="C38" s="118"/>
      <c r="D38" s="118"/>
      <c r="E38" s="118"/>
      <c r="F38" s="119"/>
      <c r="G38" s="80">
        <v>1.5</v>
      </c>
      <c r="H38" s="80" t="s">
        <v>137</v>
      </c>
      <c r="I38" s="80" t="s">
        <v>137</v>
      </c>
      <c r="J38" s="80" t="s">
        <v>137</v>
      </c>
      <c r="K38" s="117"/>
      <c r="L38" s="118"/>
      <c r="M38" s="118"/>
      <c r="N38" s="118"/>
      <c r="O38" s="118"/>
      <c r="P38" s="118"/>
      <c r="Q38" s="119"/>
      <c r="R38" s="80"/>
      <c r="S38" s="80"/>
      <c r="T38" s="80"/>
      <c r="U38" s="80"/>
    </row>
    <row r="39" spans="1:21" ht="18" customHeight="1" x14ac:dyDescent="0.15">
      <c r="B39" s="111" t="s">
        <v>139</v>
      </c>
      <c r="C39" s="112"/>
      <c r="D39" s="112"/>
      <c r="E39" s="112"/>
      <c r="F39" s="113"/>
      <c r="G39" s="81">
        <v>0.5</v>
      </c>
      <c r="H39" s="81" t="s">
        <v>137</v>
      </c>
      <c r="I39" s="81" t="s">
        <v>137</v>
      </c>
      <c r="J39" s="81" t="s">
        <v>137</v>
      </c>
      <c r="K39" s="111"/>
      <c r="L39" s="112"/>
      <c r="M39" s="112"/>
      <c r="N39" s="112"/>
      <c r="O39" s="112"/>
      <c r="P39" s="112"/>
      <c r="Q39" s="113"/>
      <c r="R39" s="81"/>
      <c r="S39" s="81"/>
      <c r="T39" s="81"/>
      <c r="U39" s="81"/>
    </row>
    <row r="40" spans="1:21" ht="18" customHeight="1" x14ac:dyDescent="0.15">
      <c r="B40" s="111"/>
      <c r="C40" s="112"/>
      <c r="D40" s="112"/>
      <c r="E40" s="112"/>
      <c r="F40" s="113"/>
      <c r="G40" s="81"/>
      <c r="H40" s="81"/>
      <c r="I40" s="81"/>
      <c r="J40" s="81"/>
      <c r="K40" s="111"/>
      <c r="L40" s="112"/>
      <c r="M40" s="112"/>
      <c r="N40" s="112"/>
      <c r="O40" s="112"/>
      <c r="P40" s="112"/>
      <c r="Q40" s="113"/>
      <c r="R40" s="81"/>
      <c r="S40" s="81"/>
      <c r="T40" s="81"/>
      <c r="U40" s="81"/>
    </row>
    <row r="41" spans="1:21" ht="18" customHeight="1" x14ac:dyDescent="0.15">
      <c r="B41" s="111"/>
      <c r="C41" s="112"/>
      <c r="D41" s="112"/>
      <c r="E41" s="112"/>
      <c r="F41" s="113"/>
      <c r="G41" s="81"/>
      <c r="H41" s="81"/>
      <c r="I41" s="81"/>
      <c r="J41" s="81"/>
      <c r="K41" s="111"/>
      <c r="L41" s="112"/>
      <c r="M41" s="112"/>
      <c r="N41" s="112"/>
      <c r="O41" s="112"/>
      <c r="P41" s="112"/>
      <c r="Q41" s="113"/>
      <c r="R41" s="81"/>
      <c r="S41" s="81"/>
      <c r="T41" s="81"/>
      <c r="U41" s="81"/>
    </row>
    <row r="42" spans="1:21" ht="18" customHeight="1" x14ac:dyDescent="0.15">
      <c r="B42" s="111"/>
      <c r="C42" s="112"/>
      <c r="D42" s="112"/>
      <c r="E42" s="112"/>
      <c r="F42" s="113"/>
      <c r="G42" s="81"/>
      <c r="H42" s="81"/>
      <c r="I42" s="81"/>
      <c r="J42" s="81"/>
      <c r="K42" s="111"/>
      <c r="L42" s="112"/>
      <c r="M42" s="112"/>
      <c r="N42" s="112"/>
      <c r="O42" s="112"/>
      <c r="P42" s="112"/>
      <c r="Q42" s="113"/>
      <c r="R42" s="81"/>
      <c r="S42" s="81"/>
      <c r="T42" s="81"/>
      <c r="U42" s="81"/>
    </row>
    <row r="43" spans="1:21" ht="18" customHeight="1" x14ac:dyDescent="0.15">
      <c r="B43" s="111"/>
      <c r="C43" s="112"/>
      <c r="D43" s="112"/>
      <c r="E43" s="112"/>
      <c r="F43" s="113"/>
      <c r="G43" s="81"/>
      <c r="H43" s="81"/>
      <c r="I43" s="81"/>
      <c r="J43" s="81"/>
      <c r="K43" s="111"/>
      <c r="L43" s="112"/>
      <c r="M43" s="112"/>
      <c r="N43" s="112"/>
      <c r="O43" s="112"/>
      <c r="P43" s="112"/>
      <c r="Q43" s="113"/>
      <c r="R43" s="81"/>
      <c r="S43" s="81"/>
      <c r="T43" s="81"/>
      <c r="U43" s="81"/>
    </row>
    <row r="44" spans="1:21" ht="18" customHeight="1" x14ac:dyDescent="0.15">
      <c r="B44" s="114"/>
      <c r="C44" s="115"/>
      <c r="D44" s="115"/>
      <c r="E44" s="115"/>
      <c r="F44" s="116"/>
      <c r="G44" s="82"/>
      <c r="H44" s="82"/>
      <c r="I44" s="83"/>
      <c r="J44" s="83"/>
      <c r="K44" s="114"/>
      <c r="L44" s="115"/>
      <c r="M44" s="115"/>
      <c r="N44" s="115"/>
      <c r="O44" s="115"/>
      <c r="P44" s="115"/>
      <c r="Q44" s="116"/>
      <c r="R44" s="82"/>
      <c r="S44" s="82"/>
      <c r="T44" s="83"/>
      <c r="U44" s="83"/>
    </row>
    <row r="45" spans="1:21" ht="7.5" customHeight="1" x14ac:dyDescent="0.15">
      <c r="A45" s="50"/>
      <c r="B45" s="48"/>
      <c r="C45" s="48"/>
      <c r="D45" s="48"/>
      <c r="E45" s="50"/>
      <c r="F45" s="50"/>
      <c r="G45" s="50"/>
      <c r="H45" s="50"/>
      <c r="I45" s="48"/>
      <c r="J45" s="48"/>
      <c r="K45" s="48"/>
      <c r="L45" s="48"/>
      <c r="M45" s="48"/>
      <c r="N45" s="48"/>
      <c r="O45" s="48"/>
      <c r="P45" s="48"/>
      <c r="Q45" s="48"/>
      <c r="R45" s="48"/>
      <c r="S45" s="48"/>
      <c r="T45" s="48"/>
      <c r="U45" s="50"/>
    </row>
    <row r="46" spans="1:21" ht="18" customHeight="1" x14ac:dyDescent="0.15">
      <c r="A46" s="120" t="s">
        <v>104</v>
      </c>
      <c r="B46" s="120"/>
      <c r="C46" s="120"/>
      <c r="D46" s="120"/>
      <c r="E46" s="120"/>
      <c r="F46" s="120"/>
      <c r="G46" s="120"/>
      <c r="H46" s="120"/>
      <c r="I46" s="120"/>
      <c r="J46" s="120"/>
      <c r="K46" s="120"/>
      <c r="L46" s="120"/>
      <c r="M46" s="120"/>
      <c r="N46" s="120"/>
      <c r="O46" s="120"/>
      <c r="P46" s="120"/>
      <c r="Q46" s="120"/>
      <c r="R46" s="120"/>
      <c r="S46" s="120"/>
      <c r="T46" s="120"/>
      <c r="U46" s="120"/>
    </row>
    <row r="47" spans="1:21" ht="18" customHeight="1" x14ac:dyDescent="0.15">
      <c r="A47" s="120"/>
      <c r="B47" s="120"/>
      <c r="C47" s="120"/>
      <c r="D47" s="120"/>
      <c r="E47" s="120"/>
      <c r="F47" s="120"/>
      <c r="G47" s="120"/>
      <c r="H47" s="120"/>
      <c r="I47" s="120"/>
      <c r="J47" s="120"/>
      <c r="K47" s="120"/>
      <c r="L47" s="120"/>
      <c r="M47" s="120"/>
      <c r="N47" s="120"/>
      <c r="O47" s="120"/>
      <c r="P47" s="120"/>
      <c r="Q47" s="120"/>
      <c r="R47" s="120"/>
      <c r="S47" s="120"/>
      <c r="T47" s="120"/>
      <c r="U47" s="120"/>
    </row>
    <row r="48" spans="1:21" ht="18" customHeight="1" x14ac:dyDescent="0.15">
      <c r="B48" s="102" t="s">
        <v>52</v>
      </c>
      <c r="C48" s="103"/>
      <c r="D48" s="103"/>
      <c r="E48" s="103"/>
      <c r="F48" s="104"/>
      <c r="G48" s="77" t="s">
        <v>78</v>
      </c>
      <c r="H48" s="78" t="s">
        <v>81</v>
      </c>
      <c r="I48" s="79" t="s">
        <v>71</v>
      </c>
      <c r="J48" s="79" t="s">
        <v>72</v>
      </c>
      <c r="K48" s="102" t="s">
        <v>52</v>
      </c>
      <c r="L48" s="103"/>
      <c r="M48" s="103"/>
      <c r="N48" s="103"/>
      <c r="O48" s="103"/>
      <c r="P48" s="103"/>
      <c r="Q48" s="104"/>
      <c r="R48" s="77" t="s">
        <v>78</v>
      </c>
      <c r="S48" s="78" t="s">
        <v>81</v>
      </c>
      <c r="T48" s="79" t="s">
        <v>71</v>
      </c>
      <c r="U48" s="79" t="s">
        <v>72</v>
      </c>
    </row>
    <row r="49" spans="1:21" ht="18" customHeight="1" x14ac:dyDescent="0.15">
      <c r="A49" s="50"/>
      <c r="B49" s="117" t="s">
        <v>193</v>
      </c>
      <c r="C49" s="118"/>
      <c r="D49" s="118"/>
      <c r="E49" s="118"/>
      <c r="F49" s="119"/>
      <c r="G49" s="80">
        <v>2</v>
      </c>
      <c r="H49" s="80" t="s">
        <v>137</v>
      </c>
      <c r="I49" s="80" t="s">
        <v>137</v>
      </c>
      <c r="J49" s="80"/>
      <c r="K49" s="117"/>
      <c r="L49" s="118"/>
      <c r="M49" s="118"/>
      <c r="N49" s="118"/>
      <c r="O49" s="118"/>
      <c r="P49" s="118"/>
      <c r="Q49" s="119"/>
      <c r="R49" s="80"/>
      <c r="S49" s="80"/>
      <c r="T49" s="80"/>
      <c r="U49" s="80"/>
    </row>
    <row r="50" spans="1:21" ht="18" customHeight="1" x14ac:dyDescent="0.15">
      <c r="A50" s="50"/>
      <c r="B50" s="111" t="s">
        <v>140</v>
      </c>
      <c r="C50" s="112"/>
      <c r="D50" s="112"/>
      <c r="E50" s="112"/>
      <c r="F50" s="113"/>
      <c r="G50" s="81">
        <v>1.5</v>
      </c>
      <c r="H50" s="81" t="s">
        <v>137</v>
      </c>
      <c r="I50" s="81" t="s">
        <v>137</v>
      </c>
      <c r="J50" s="81" t="s">
        <v>137</v>
      </c>
      <c r="K50" s="111"/>
      <c r="L50" s="112"/>
      <c r="M50" s="112"/>
      <c r="N50" s="112"/>
      <c r="O50" s="112"/>
      <c r="P50" s="112"/>
      <c r="Q50" s="113"/>
      <c r="R50" s="81"/>
      <c r="S50" s="81"/>
      <c r="T50" s="81"/>
      <c r="U50" s="81"/>
    </row>
    <row r="51" spans="1:21" ht="18" customHeight="1" x14ac:dyDescent="0.15">
      <c r="A51" s="50"/>
      <c r="B51" s="111" t="s">
        <v>139</v>
      </c>
      <c r="C51" s="112"/>
      <c r="D51" s="112"/>
      <c r="E51" s="112"/>
      <c r="F51" s="113"/>
      <c r="G51" s="81">
        <v>0.5</v>
      </c>
      <c r="H51" s="81" t="s">
        <v>137</v>
      </c>
      <c r="I51" s="81" t="s">
        <v>137</v>
      </c>
      <c r="J51" s="81" t="s">
        <v>137</v>
      </c>
      <c r="K51" s="111"/>
      <c r="L51" s="112"/>
      <c r="M51" s="112"/>
      <c r="N51" s="112"/>
      <c r="O51" s="112"/>
      <c r="P51" s="112"/>
      <c r="Q51" s="113"/>
      <c r="R51" s="81"/>
      <c r="S51" s="81"/>
      <c r="T51" s="81"/>
      <c r="U51" s="81"/>
    </row>
    <row r="52" spans="1:21" ht="18" customHeight="1" x14ac:dyDescent="0.15">
      <c r="A52" s="50"/>
      <c r="B52" s="111" t="s">
        <v>141</v>
      </c>
      <c r="C52" s="112"/>
      <c r="D52" s="112"/>
      <c r="E52" s="112"/>
      <c r="F52" s="113"/>
      <c r="G52" s="81">
        <v>1</v>
      </c>
      <c r="H52" s="81" t="s">
        <v>137</v>
      </c>
      <c r="I52" s="81"/>
      <c r="J52" s="81" t="s">
        <v>137</v>
      </c>
      <c r="K52" s="111"/>
      <c r="L52" s="112"/>
      <c r="M52" s="112"/>
      <c r="N52" s="112"/>
      <c r="O52" s="112"/>
      <c r="P52" s="112"/>
      <c r="Q52" s="113"/>
      <c r="R52" s="81"/>
      <c r="S52" s="81"/>
      <c r="T52" s="81"/>
      <c r="U52" s="81"/>
    </row>
    <row r="53" spans="1:21" ht="18" customHeight="1" x14ac:dyDescent="0.15">
      <c r="A53" s="50"/>
      <c r="B53" s="111"/>
      <c r="C53" s="112"/>
      <c r="D53" s="112"/>
      <c r="E53" s="112"/>
      <c r="F53" s="113"/>
      <c r="G53" s="81"/>
      <c r="H53" s="81"/>
      <c r="I53" s="81"/>
      <c r="J53" s="81"/>
      <c r="K53" s="111"/>
      <c r="L53" s="112"/>
      <c r="M53" s="112"/>
      <c r="N53" s="112"/>
      <c r="O53" s="112"/>
      <c r="P53" s="112"/>
      <c r="Q53" s="113"/>
      <c r="R53" s="81"/>
      <c r="S53" s="81"/>
      <c r="T53" s="81"/>
      <c r="U53" s="81"/>
    </row>
    <row r="54" spans="1:21" ht="18" customHeight="1" x14ac:dyDescent="0.15">
      <c r="A54" s="50"/>
      <c r="B54" s="111"/>
      <c r="C54" s="112"/>
      <c r="D54" s="112"/>
      <c r="E54" s="112"/>
      <c r="F54" s="113"/>
      <c r="G54" s="81"/>
      <c r="H54" s="81"/>
      <c r="I54" s="81"/>
      <c r="J54" s="81"/>
      <c r="K54" s="111"/>
      <c r="L54" s="112"/>
      <c r="M54" s="112"/>
      <c r="N54" s="112"/>
      <c r="O54" s="112"/>
      <c r="P54" s="112"/>
      <c r="Q54" s="113"/>
      <c r="R54" s="81"/>
      <c r="S54" s="81"/>
      <c r="T54" s="81"/>
      <c r="U54" s="81"/>
    </row>
    <row r="55" spans="1:21" ht="18" customHeight="1" x14ac:dyDescent="0.15">
      <c r="A55" s="50"/>
      <c r="B55" s="114"/>
      <c r="C55" s="115"/>
      <c r="D55" s="115"/>
      <c r="E55" s="115"/>
      <c r="F55" s="116"/>
      <c r="G55" s="82"/>
      <c r="H55" s="82"/>
      <c r="I55" s="83"/>
      <c r="J55" s="83"/>
      <c r="K55" s="114"/>
      <c r="L55" s="115"/>
      <c r="M55" s="115"/>
      <c r="N55" s="115"/>
      <c r="O55" s="115"/>
      <c r="P55" s="115"/>
      <c r="Q55" s="116"/>
      <c r="R55" s="82"/>
      <c r="S55" s="82"/>
      <c r="T55" s="83"/>
      <c r="U55" s="83"/>
    </row>
    <row r="56" spans="1:21" ht="7.5" customHeight="1" x14ac:dyDescent="0.15">
      <c r="B56" s="61"/>
      <c r="C56" s="61"/>
      <c r="D56" s="61"/>
      <c r="E56" s="61"/>
      <c r="F56" s="61"/>
      <c r="G56" s="61"/>
      <c r="H56" s="61"/>
      <c r="I56" s="61"/>
      <c r="J56" s="61"/>
      <c r="K56" s="61"/>
      <c r="L56" s="61"/>
      <c r="M56" s="61"/>
      <c r="N56" s="61"/>
      <c r="O56" s="61"/>
      <c r="P56" s="61"/>
      <c r="Q56" s="61"/>
      <c r="R56" s="61"/>
      <c r="S56" s="61"/>
      <c r="T56" s="61"/>
    </row>
    <row r="57" spans="1:21" ht="18" customHeight="1" x14ac:dyDescent="0.15">
      <c r="A57" s="120" t="s">
        <v>105</v>
      </c>
      <c r="B57" s="120"/>
      <c r="C57" s="120"/>
      <c r="D57" s="120"/>
      <c r="E57" s="120"/>
      <c r="F57" s="120"/>
      <c r="G57" s="120"/>
      <c r="H57" s="120"/>
      <c r="I57" s="120"/>
      <c r="J57" s="120"/>
      <c r="K57" s="120"/>
      <c r="L57" s="120"/>
      <c r="M57" s="120"/>
      <c r="N57" s="120"/>
      <c r="O57" s="120"/>
      <c r="P57" s="120"/>
      <c r="Q57" s="120"/>
      <c r="R57" s="120"/>
      <c r="S57" s="120"/>
      <c r="T57" s="120"/>
      <c r="U57" s="120"/>
    </row>
    <row r="58" spans="1:21" ht="18" customHeight="1" x14ac:dyDescent="0.15">
      <c r="A58" s="120"/>
      <c r="B58" s="120"/>
      <c r="C58" s="120"/>
      <c r="D58" s="120"/>
      <c r="E58" s="120"/>
      <c r="F58" s="120"/>
      <c r="G58" s="120"/>
      <c r="H58" s="120"/>
      <c r="I58" s="120"/>
      <c r="J58" s="120"/>
      <c r="K58" s="120"/>
      <c r="L58" s="120"/>
      <c r="M58" s="120"/>
      <c r="N58" s="120"/>
      <c r="O58" s="120"/>
      <c r="P58" s="120"/>
      <c r="Q58" s="120"/>
      <c r="R58" s="120"/>
      <c r="S58" s="120"/>
      <c r="T58" s="120"/>
      <c r="U58" s="120"/>
    </row>
    <row r="59" spans="1:21" ht="18" customHeight="1" x14ac:dyDescent="0.15">
      <c r="B59" s="102" t="s">
        <v>52</v>
      </c>
      <c r="C59" s="103"/>
      <c r="D59" s="103"/>
      <c r="E59" s="103"/>
      <c r="F59" s="104"/>
      <c r="G59" s="77" t="s">
        <v>78</v>
      </c>
      <c r="H59" s="78" t="s">
        <v>81</v>
      </c>
      <c r="I59" s="79" t="s">
        <v>57</v>
      </c>
      <c r="J59" s="79" t="s">
        <v>59</v>
      </c>
      <c r="K59" s="102" t="s">
        <v>52</v>
      </c>
      <c r="L59" s="103"/>
      <c r="M59" s="103"/>
      <c r="N59" s="103"/>
      <c r="O59" s="103"/>
      <c r="P59" s="103"/>
      <c r="Q59" s="104"/>
      <c r="R59" s="77" t="s">
        <v>78</v>
      </c>
      <c r="S59" s="78" t="s">
        <v>81</v>
      </c>
      <c r="T59" s="79" t="s">
        <v>57</v>
      </c>
      <c r="U59" s="79" t="s">
        <v>59</v>
      </c>
    </row>
    <row r="60" spans="1:21" ht="18" customHeight="1" x14ac:dyDescent="0.15">
      <c r="A60" s="50"/>
      <c r="B60" s="117" t="s">
        <v>142</v>
      </c>
      <c r="C60" s="118"/>
      <c r="D60" s="118"/>
      <c r="E60" s="118"/>
      <c r="F60" s="119"/>
      <c r="G60" s="80">
        <v>0.5</v>
      </c>
      <c r="H60" s="80" t="s">
        <v>137</v>
      </c>
      <c r="I60" s="80"/>
      <c r="J60" s="80" t="s">
        <v>137</v>
      </c>
      <c r="K60" s="117"/>
      <c r="L60" s="118"/>
      <c r="M60" s="118"/>
      <c r="N60" s="118"/>
      <c r="O60" s="118"/>
      <c r="P60" s="118"/>
      <c r="Q60" s="119"/>
      <c r="R60" s="80"/>
      <c r="S60" s="80"/>
      <c r="T60" s="80"/>
      <c r="U60" s="80"/>
    </row>
    <row r="61" spans="1:21" ht="18" customHeight="1" x14ac:dyDescent="0.15">
      <c r="A61" s="50"/>
      <c r="B61" s="111" t="s">
        <v>143</v>
      </c>
      <c r="C61" s="112"/>
      <c r="D61" s="112"/>
      <c r="E61" s="112"/>
      <c r="F61" s="113"/>
      <c r="G61" s="81">
        <v>1.5</v>
      </c>
      <c r="H61" s="81" t="s">
        <v>137</v>
      </c>
      <c r="I61" s="81" t="s">
        <v>137</v>
      </c>
      <c r="J61" s="81" t="s">
        <v>137</v>
      </c>
      <c r="K61" s="111"/>
      <c r="L61" s="112"/>
      <c r="M61" s="112"/>
      <c r="N61" s="112"/>
      <c r="O61" s="112"/>
      <c r="P61" s="112"/>
      <c r="Q61" s="113"/>
      <c r="R61" s="81"/>
      <c r="S61" s="81"/>
      <c r="T61" s="81"/>
      <c r="U61" s="81"/>
    </row>
    <row r="62" spans="1:21" ht="18" customHeight="1" x14ac:dyDescent="0.15">
      <c r="A62" s="50"/>
      <c r="B62" s="111" t="s">
        <v>194</v>
      </c>
      <c r="C62" s="112"/>
      <c r="D62" s="112"/>
      <c r="E62" s="112"/>
      <c r="F62" s="113"/>
      <c r="G62" s="81">
        <v>5</v>
      </c>
      <c r="H62" s="81" t="s">
        <v>137</v>
      </c>
      <c r="I62" s="81" t="s">
        <v>137</v>
      </c>
      <c r="J62" s="81" t="s">
        <v>137</v>
      </c>
      <c r="K62" s="111"/>
      <c r="L62" s="112"/>
      <c r="M62" s="112"/>
      <c r="N62" s="112"/>
      <c r="O62" s="112"/>
      <c r="P62" s="112"/>
      <c r="Q62" s="113"/>
      <c r="R62" s="81"/>
      <c r="S62" s="81"/>
      <c r="T62" s="81"/>
      <c r="U62" s="81"/>
    </row>
    <row r="63" spans="1:21" ht="18" customHeight="1" x14ac:dyDescent="0.15">
      <c r="A63" s="50"/>
      <c r="B63" s="111"/>
      <c r="C63" s="112"/>
      <c r="D63" s="112"/>
      <c r="E63" s="112"/>
      <c r="F63" s="113"/>
      <c r="G63" s="81"/>
      <c r="H63" s="81"/>
      <c r="I63" s="81"/>
      <c r="J63" s="81"/>
      <c r="K63" s="111"/>
      <c r="L63" s="112"/>
      <c r="M63" s="112"/>
      <c r="N63" s="112"/>
      <c r="O63" s="112"/>
      <c r="P63" s="112"/>
      <c r="Q63" s="113"/>
      <c r="R63" s="81"/>
      <c r="S63" s="81"/>
      <c r="T63" s="81"/>
      <c r="U63" s="81"/>
    </row>
    <row r="64" spans="1:21" ht="18" customHeight="1" x14ac:dyDescent="0.15">
      <c r="A64" s="50"/>
      <c r="B64" s="111"/>
      <c r="C64" s="112"/>
      <c r="D64" s="112"/>
      <c r="E64" s="112"/>
      <c r="F64" s="113"/>
      <c r="G64" s="81"/>
      <c r="H64" s="81"/>
      <c r="I64" s="81"/>
      <c r="J64" s="81"/>
      <c r="K64" s="111"/>
      <c r="L64" s="112"/>
      <c r="M64" s="112"/>
      <c r="N64" s="112"/>
      <c r="O64" s="112"/>
      <c r="P64" s="112"/>
      <c r="Q64" s="113"/>
      <c r="R64" s="81"/>
      <c r="S64" s="81"/>
      <c r="T64" s="81"/>
      <c r="U64" s="81"/>
    </row>
    <row r="65" spans="1:21" ht="18" customHeight="1" x14ac:dyDescent="0.15">
      <c r="A65" s="50"/>
      <c r="B65" s="111"/>
      <c r="C65" s="112"/>
      <c r="D65" s="112"/>
      <c r="E65" s="112"/>
      <c r="F65" s="113"/>
      <c r="G65" s="81"/>
      <c r="H65" s="81"/>
      <c r="I65" s="81"/>
      <c r="J65" s="81"/>
      <c r="K65" s="111"/>
      <c r="L65" s="112"/>
      <c r="M65" s="112"/>
      <c r="N65" s="112"/>
      <c r="O65" s="112"/>
      <c r="P65" s="112"/>
      <c r="Q65" s="113"/>
      <c r="R65" s="81"/>
      <c r="S65" s="81"/>
      <c r="T65" s="81"/>
      <c r="U65" s="81"/>
    </row>
    <row r="66" spans="1:21" ht="18" customHeight="1" x14ac:dyDescent="0.15">
      <c r="A66" s="50"/>
      <c r="B66" s="114"/>
      <c r="C66" s="115"/>
      <c r="D66" s="115"/>
      <c r="E66" s="115"/>
      <c r="F66" s="116"/>
      <c r="G66" s="82"/>
      <c r="H66" s="82"/>
      <c r="I66" s="83"/>
      <c r="J66" s="83"/>
      <c r="K66" s="114"/>
      <c r="L66" s="115"/>
      <c r="M66" s="115"/>
      <c r="N66" s="115"/>
      <c r="O66" s="115"/>
      <c r="P66" s="115"/>
      <c r="Q66" s="116"/>
      <c r="R66" s="82"/>
      <c r="S66" s="82"/>
      <c r="T66" s="83"/>
      <c r="U66" s="83"/>
    </row>
    <row r="67" spans="1:21" ht="7.5" customHeight="1" x14ac:dyDescent="0.15">
      <c r="B67" s="61"/>
      <c r="C67" s="61"/>
      <c r="D67" s="61"/>
      <c r="E67" s="61"/>
      <c r="F67" s="61"/>
      <c r="G67" s="61"/>
      <c r="H67" s="61"/>
      <c r="I67" s="61"/>
      <c r="J67" s="61"/>
      <c r="K67" s="61"/>
      <c r="L67" s="61"/>
      <c r="M67" s="61"/>
      <c r="N67" s="61"/>
      <c r="O67" s="61"/>
      <c r="P67" s="61"/>
      <c r="Q67" s="61"/>
      <c r="R67" s="61"/>
      <c r="S67" s="61"/>
      <c r="T67" s="61"/>
    </row>
    <row r="68" spans="1:21" ht="18" customHeight="1" x14ac:dyDescent="0.15">
      <c r="A68" s="120" t="s">
        <v>106</v>
      </c>
      <c r="B68" s="120"/>
      <c r="C68" s="120"/>
      <c r="D68" s="120"/>
      <c r="E68" s="120"/>
      <c r="F68" s="120"/>
      <c r="G68" s="120"/>
      <c r="H68" s="120"/>
      <c r="I68" s="120"/>
      <c r="J68" s="120"/>
      <c r="K68" s="120"/>
      <c r="L68" s="120"/>
      <c r="M68" s="120"/>
      <c r="N68" s="120"/>
      <c r="O68" s="120"/>
      <c r="P68" s="120"/>
      <c r="Q68" s="120"/>
      <c r="R68" s="120"/>
      <c r="S68" s="120"/>
      <c r="T68" s="120"/>
      <c r="U68" s="120"/>
    </row>
    <row r="69" spans="1:21" ht="18" customHeight="1" x14ac:dyDescent="0.15">
      <c r="A69" s="120"/>
      <c r="B69" s="120"/>
      <c r="C69" s="120"/>
      <c r="D69" s="120"/>
      <c r="E69" s="120"/>
      <c r="F69" s="120"/>
      <c r="G69" s="120"/>
      <c r="H69" s="120"/>
      <c r="I69" s="120"/>
      <c r="J69" s="120"/>
      <c r="K69" s="120"/>
      <c r="L69" s="120"/>
      <c r="M69" s="120"/>
      <c r="N69" s="120"/>
      <c r="O69" s="120"/>
      <c r="P69" s="120"/>
      <c r="Q69" s="120"/>
      <c r="R69" s="120"/>
      <c r="S69" s="120"/>
      <c r="T69" s="120"/>
      <c r="U69" s="120"/>
    </row>
    <row r="70" spans="1:21" ht="18" customHeight="1" x14ac:dyDescent="0.15">
      <c r="B70" s="102" t="s">
        <v>52</v>
      </c>
      <c r="C70" s="103"/>
      <c r="D70" s="103"/>
      <c r="E70" s="103"/>
      <c r="F70" s="77" t="s">
        <v>78</v>
      </c>
      <c r="G70" s="78" t="s">
        <v>81</v>
      </c>
      <c r="H70" s="79" t="s">
        <v>93</v>
      </c>
      <c r="I70" s="79" t="s">
        <v>73</v>
      </c>
      <c r="J70" s="79" t="s">
        <v>74</v>
      </c>
      <c r="K70" s="102" t="s">
        <v>52</v>
      </c>
      <c r="L70" s="103"/>
      <c r="M70" s="103"/>
      <c r="N70" s="103"/>
      <c r="O70" s="103"/>
      <c r="P70" s="104"/>
      <c r="Q70" s="77" t="s">
        <v>78</v>
      </c>
      <c r="R70" s="78" t="s">
        <v>81</v>
      </c>
      <c r="S70" s="79" t="s">
        <v>93</v>
      </c>
      <c r="T70" s="79" t="s">
        <v>73</v>
      </c>
      <c r="U70" s="79" t="s">
        <v>74</v>
      </c>
    </row>
    <row r="71" spans="1:21" ht="18" customHeight="1" x14ac:dyDescent="0.15">
      <c r="A71" s="50"/>
      <c r="B71" s="117" t="s">
        <v>144</v>
      </c>
      <c r="C71" s="118"/>
      <c r="D71" s="118"/>
      <c r="E71" s="118"/>
      <c r="F71" s="80">
        <v>0.5</v>
      </c>
      <c r="G71" s="80" t="s">
        <v>137</v>
      </c>
      <c r="H71" s="80" t="s">
        <v>137</v>
      </c>
      <c r="I71" s="80" t="s">
        <v>137</v>
      </c>
      <c r="J71" s="80" t="s">
        <v>137</v>
      </c>
      <c r="K71" s="117"/>
      <c r="L71" s="118"/>
      <c r="M71" s="118"/>
      <c r="N71" s="118"/>
      <c r="O71" s="118"/>
      <c r="P71" s="119"/>
      <c r="Q71" s="80"/>
      <c r="R71" s="80"/>
      <c r="S71" s="80"/>
      <c r="T71" s="80"/>
      <c r="U71" s="80"/>
    </row>
    <row r="72" spans="1:21" ht="18" customHeight="1" x14ac:dyDescent="0.15">
      <c r="A72" s="50"/>
      <c r="B72" s="111" t="s">
        <v>140</v>
      </c>
      <c r="C72" s="112"/>
      <c r="D72" s="112"/>
      <c r="E72" s="112"/>
      <c r="F72" s="81">
        <v>1.5</v>
      </c>
      <c r="G72" s="81" t="s">
        <v>137</v>
      </c>
      <c r="H72" s="81" t="s">
        <v>137</v>
      </c>
      <c r="I72" s="81" t="s">
        <v>137</v>
      </c>
      <c r="J72" s="81" t="s">
        <v>137</v>
      </c>
      <c r="K72" s="111"/>
      <c r="L72" s="112"/>
      <c r="M72" s="112"/>
      <c r="N72" s="112"/>
      <c r="O72" s="112"/>
      <c r="P72" s="113"/>
      <c r="Q72" s="81"/>
      <c r="R72" s="81"/>
      <c r="S72" s="81"/>
      <c r="T72" s="81"/>
      <c r="U72" s="81"/>
    </row>
    <row r="73" spans="1:21" ht="18" customHeight="1" x14ac:dyDescent="0.15">
      <c r="A73" s="50"/>
      <c r="B73" s="111" t="s">
        <v>139</v>
      </c>
      <c r="C73" s="112"/>
      <c r="D73" s="112"/>
      <c r="E73" s="112"/>
      <c r="F73" s="81">
        <v>0.5</v>
      </c>
      <c r="G73" s="81" t="s">
        <v>137</v>
      </c>
      <c r="H73" s="81" t="s">
        <v>137</v>
      </c>
      <c r="I73" s="81" t="s">
        <v>137</v>
      </c>
      <c r="J73" s="81" t="s">
        <v>137</v>
      </c>
      <c r="K73" s="111"/>
      <c r="L73" s="112"/>
      <c r="M73" s="112"/>
      <c r="N73" s="112"/>
      <c r="O73" s="112"/>
      <c r="P73" s="113"/>
      <c r="Q73" s="81"/>
      <c r="R73" s="81"/>
      <c r="S73" s="81"/>
      <c r="T73" s="81"/>
      <c r="U73" s="81"/>
    </row>
    <row r="74" spans="1:21" ht="18" customHeight="1" x14ac:dyDescent="0.15">
      <c r="A74" s="50"/>
      <c r="B74" s="111" t="s">
        <v>145</v>
      </c>
      <c r="C74" s="112"/>
      <c r="D74" s="112"/>
      <c r="E74" s="112"/>
      <c r="F74" s="81">
        <v>5</v>
      </c>
      <c r="G74" s="81" t="s">
        <v>137</v>
      </c>
      <c r="H74" s="81" t="s">
        <v>137</v>
      </c>
      <c r="I74" s="81" t="s">
        <v>137</v>
      </c>
      <c r="J74" s="81" t="s">
        <v>137</v>
      </c>
      <c r="K74" s="111"/>
      <c r="L74" s="112"/>
      <c r="M74" s="112"/>
      <c r="N74" s="112"/>
      <c r="O74" s="112"/>
      <c r="P74" s="113"/>
      <c r="Q74" s="81"/>
      <c r="R74" s="81"/>
      <c r="S74" s="81"/>
      <c r="T74" s="81"/>
      <c r="U74" s="81"/>
    </row>
    <row r="75" spans="1:21" ht="18" customHeight="1" x14ac:dyDescent="0.15">
      <c r="A75" s="50"/>
      <c r="B75" s="111"/>
      <c r="C75" s="112"/>
      <c r="D75" s="112"/>
      <c r="E75" s="112"/>
      <c r="F75" s="81"/>
      <c r="G75" s="81"/>
      <c r="H75" s="81"/>
      <c r="I75" s="81"/>
      <c r="J75" s="81"/>
      <c r="K75" s="111"/>
      <c r="L75" s="112"/>
      <c r="M75" s="112"/>
      <c r="N75" s="112"/>
      <c r="O75" s="112"/>
      <c r="P75" s="113"/>
      <c r="Q75" s="81"/>
      <c r="R75" s="81"/>
      <c r="S75" s="81"/>
      <c r="T75" s="81"/>
      <c r="U75" s="81"/>
    </row>
    <row r="76" spans="1:21" ht="18" customHeight="1" x14ac:dyDescent="0.15">
      <c r="A76" s="50"/>
      <c r="B76" s="111"/>
      <c r="C76" s="112"/>
      <c r="D76" s="112"/>
      <c r="E76" s="112"/>
      <c r="F76" s="81"/>
      <c r="G76" s="81"/>
      <c r="H76" s="81"/>
      <c r="I76" s="81"/>
      <c r="J76" s="81"/>
      <c r="K76" s="111"/>
      <c r="L76" s="112"/>
      <c r="M76" s="112"/>
      <c r="N76" s="112"/>
      <c r="O76" s="112"/>
      <c r="P76" s="113"/>
      <c r="Q76" s="81"/>
      <c r="R76" s="81"/>
      <c r="S76" s="81"/>
      <c r="T76" s="81"/>
      <c r="U76" s="81"/>
    </row>
    <row r="77" spans="1:21" ht="18" customHeight="1" x14ac:dyDescent="0.15">
      <c r="A77" s="50"/>
      <c r="B77" s="114"/>
      <c r="C77" s="115"/>
      <c r="D77" s="115"/>
      <c r="E77" s="115"/>
      <c r="F77" s="82"/>
      <c r="G77" s="82"/>
      <c r="H77" s="83"/>
      <c r="I77" s="83"/>
      <c r="J77" s="83"/>
      <c r="K77" s="114"/>
      <c r="L77" s="115"/>
      <c r="M77" s="115"/>
      <c r="N77" s="115"/>
      <c r="O77" s="115"/>
      <c r="P77" s="116"/>
      <c r="Q77" s="82"/>
      <c r="R77" s="82"/>
      <c r="S77" s="83"/>
      <c r="T77" s="83"/>
      <c r="U77" s="83"/>
    </row>
    <row r="78" spans="1:21" ht="7.5" customHeight="1" x14ac:dyDescent="0.15">
      <c r="B78" s="61"/>
      <c r="C78" s="61"/>
      <c r="D78" s="61"/>
      <c r="E78" s="61"/>
      <c r="F78" s="61"/>
      <c r="G78" s="61"/>
      <c r="H78" s="61"/>
      <c r="I78" s="61"/>
      <c r="J78" s="61"/>
      <c r="K78" s="61"/>
      <c r="L78" s="61"/>
      <c r="M78" s="61"/>
      <c r="N78" s="61"/>
      <c r="O78" s="61"/>
      <c r="P78" s="61"/>
      <c r="Q78" s="61"/>
      <c r="R78" s="61"/>
      <c r="S78" s="61"/>
      <c r="T78" s="61"/>
    </row>
    <row r="79" spans="1:21" ht="18" customHeight="1" x14ac:dyDescent="0.15">
      <c r="A79" s="46" t="s">
        <v>107</v>
      </c>
      <c r="I79" s="50"/>
      <c r="J79" s="50"/>
      <c r="K79" s="50"/>
      <c r="L79" s="50"/>
      <c r="M79" s="50"/>
      <c r="N79" s="50"/>
      <c r="O79" s="50"/>
      <c r="P79" s="50"/>
      <c r="Q79" s="50"/>
      <c r="R79" s="50"/>
      <c r="S79" s="50"/>
      <c r="T79" s="50"/>
      <c r="U79" s="50"/>
    </row>
    <row r="80" spans="1:21" ht="18" customHeight="1" x14ac:dyDescent="0.15">
      <c r="B80" s="102" t="s">
        <v>52</v>
      </c>
      <c r="C80" s="103"/>
      <c r="D80" s="103"/>
      <c r="E80" s="103"/>
      <c r="F80" s="104"/>
      <c r="G80" s="102" t="s">
        <v>79</v>
      </c>
      <c r="H80" s="103"/>
      <c r="I80" s="103"/>
      <c r="J80" s="104"/>
      <c r="K80" s="149" t="s">
        <v>52</v>
      </c>
      <c r="L80" s="150"/>
      <c r="M80" s="150"/>
      <c r="N80" s="150"/>
      <c r="O80" s="150"/>
      <c r="P80" s="150"/>
      <c r="Q80" s="151"/>
      <c r="R80" s="102" t="s">
        <v>79</v>
      </c>
      <c r="S80" s="103"/>
      <c r="T80" s="103"/>
      <c r="U80" s="104"/>
    </row>
    <row r="81" spans="1:21" ht="18" customHeight="1" x14ac:dyDescent="0.15">
      <c r="A81" s="50"/>
      <c r="B81" s="111" t="s">
        <v>139</v>
      </c>
      <c r="C81" s="112"/>
      <c r="D81" s="112"/>
      <c r="E81" s="112"/>
      <c r="F81" s="113"/>
      <c r="G81" s="152" t="s">
        <v>149</v>
      </c>
      <c r="H81" s="153"/>
      <c r="I81" s="153"/>
      <c r="J81" s="154"/>
      <c r="K81" s="117"/>
      <c r="L81" s="118"/>
      <c r="M81" s="118"/>
      <c r="N81" s="118"/>
      <c r="O81" s="118"/>
      <c r="P81" s="118"/>
      <c r="Q81" s="119"/>
      <c r="R81" s="152"/>
      <c r="S81" s="153"/>
      <c r="T81" s="153"/>
      <c r="U81" s="154"/>
    </row>
    <row r="82" spans="1:21" ht="18" customHeight="1" x14ac:dyDescent="0.15">
      <c r="A82" s="50"/>
      <c r="B82" s="111" t="s">
        <v>139</v>
      </c>
      <c r="C82" s="112"/>
      <c r="D82" s="112"/>
      <c r="E82" s="112"/>
      <c r="F82" s="113"/>
      <c r="G82" s="141" t="s">
        <v>150</v>
      </c>
      <c r="H82" s="142"/>
      <c r="I82" s="142"/>
      <c r="J82" s="143"/>
      <c r="K82" s="111"/>
      <c r="L82" s="112"/>
      <c r="M82" s="112"/>
      <c r="N82" s="112"/>
      <c r="O82" s="112"/>
      <c r="P82" s="112"/>
      <c r="Q82" s="113"/>
      <c r="R82" s="141"/>
      <c r="S82" s="142"/>
      <c r="T82" s="142"/>
      <c r="U82" s="143"/>
    </row>
    <row r="83" spans="1:21" ht="18" customHeight="1" x14ac:dyDescent="0.15">
      <c r="A83" s="50"/>
      <c r="B83" s="111" t="s">
        <v>147</v>
      </c>
      <c r="C83" s="112"/>
      <c r="D83" s="112"/>
      <c r="E83" s="112"/>
      <c r="F83" s="113"/>
      <c r="G83" s="141" t="s">
        <v>146</v>
      </c>
      <c r="H83" s="142"/>
      <c r="I83" s="142"/>
      <c r="J83" s="143"/>
      <c r="K83" s="111"/>
      <c r="L83" s="112"/>
      <c r="M83" s="112"/>
      <c r="N83" s="112"/>
      <c r="O83" s="112"/>
      <c r="P83" s="112"/>
      <c r="Q83" s="113"/>
      <c r="R83" s="141"/>
      <c r="S83" s="142"/>
      <c r="T83" s="142"/>
      <c r="U83" s="143"/>
    </row>
    <row r="84" spans="1:21" ht="18" customHeight="1" x14ac:dyDescent="0.15">
      <c r="A84" s="50"/>
      <c r="B84" s="111" t="s">
        <v>139</v>
      </c>
      <c r="C84" s="112"/>
      <c r="D84" s="112"/>
      <c r="E84" s="112"/>
      <c r="F84" s="113"/>
      <c r="G84" s="141" t="s">
        <v>151</v>
      </c>
      <c r="H84" s="142"/>
      <c r="I84" s="142"/>
      <c r="J84" s="143"/>
      <c r="K84" s="111"/>
      <c r="L84" s="112"/>
      <c r="M84" s="112"/>
      <c r="N84" s="112"/>
      <c r="O84" s="112"/>
      <c r="P84" s="112"/>
      <c r="Q84" s="113"/>
      <c r="R84" s="141"/>
      <c r="S84" s="142"/>
      <c r="T84" s="142"/>
      <c r="U84" s="143"/>
    </row>
    <row r="85" spans="1:21" ht="18" customHeight="1" x14ac:dyDescent="0.15">
      <c r="A85" s="50"/>
      <c r="B85" s="111" t="s">
        <v>148</v>
      </c>
      <c r="C85" s="112"/>
      <c r="D85" s="112"/>
      <c r="E85" s="112"/>
      <c r="F85" s="113"/>
      <c r="G85" s="141" t="s">
        <v>152</v>
      </c>
      <c r="H85" s="142"/>
      <c r="I85" s="142"/>
      <c r="J85" s="143"/>
      <c r="K85" s="111"/>
      <c r="L85" s="112"/>
      <c r="M85" s="112"/>
      <c r="N85" s="112"/>
      <c r="O85" s="112"/>
      <c r="P85" s="112"/>
      <c r="Q85" s="113"/>
      <c r="R85" s="141"/>
      <c r="S85" s="142"/>
      <c r="T85" s="142"/>
      <c r="U85" s="143"/>
    </row>
    <row r="86" spans="1:21" ht="18" customHeight="1" x14ac:dyDescent="0.15">
      <c r="A86" s="50"/>
      <c r="B86" s="111" t="s">
        <v>139</v>
      </c>
      <c r="C86" s="112"/>
      <c r="D86" s="112"/>
      <c r="E86" s="112"/>
      <c r="F86" s="113"/>
      <c r="G86" s="141" t="s">
        <v>153</v>
      </c>
      <c r="H86" s="142"/>
      <c r="I86" s="142"/>
      <c r="J86" s="143"/>
      <c r="K86" s="111"/>
      <c r="L86" s="112"/>
      <c r="M86" s="112"/>
      <c r="N86" s="112"/>
      <c r="O86" s="112"/>
      <c r="P86" s="112"/>
      <c r="Q86" s="113"/>
      <c r="R86" s="141"/>
      <c r="S86" s="142"/>
      <c r="T86" s="142"/>
      <c r="U86" s="143"/>
    </row>
    <row r="87" spans="1:21" ht="18" customHeight="1" x14ac:dyDescent="0.15">
      <c r="A87" s="50"/>
      <c r="B87" s="114"/>
      <c r="C87" s="115"/>
      <c r="D87" s="115"/>
      <c r="E87" s="115"/>
      <c r="F87" s="116"/>
      <c r="G87" s="138"/>
      <c r="H87" s="139"/>
      <c r="I87" s="139"/>
      <c r="J87" s="140"/>
      <c r="K87" s="114"/>
      <c r="L87" s="115"/>
      <c r="M87" s="115"/>
      <c r="N87" s="115"/>
      <c r="O87" s="115"/>
      <c r="P87" s="115"/>
      <c r="Q87" s="116"/>
      <c r="R87" s="138"/>
      <c r="S87" s="139"/>
      <c r="T87" s="139"/>
      <c r="U87" s="140"/>
    </row>
    <row r="88" spans="1:21" ht="18" customHeight="1" x14ac:dyDescent="0.15">
      <c r="A88" s="50"/>
      <c r="B88" s="48"/>
      <c r="C88" s="48"/>
      <c r="D88" s="48"/>
      <c r="E88" s="48"/>
      <c r="F88" s="48"/>
      <c r="G88" s="54"/>
      <c r="H88" s="54"/>
      <c r="I88" s="54"/>
      <c r="J88" s="54"/>
      <c r="K88" s="48"/>
      <c r="L88" s="48"/>
      <c r="M88" s="48"/>
      <c r="N88" s="48"/>
      <c r="O88" s="48"/>
      <c r="P88" s="48"/>
      <c r="Q88" s="48"/>
      <c r="R88" s="54"/>
      <c r="S88" s="54"/>
      <c r="T88" s="54"/>
      <c r="U88" s="54"/>
    </row>
    <row r="89" spans="1:21" ht="18.75" customHeight="1" x14ac:dyDescent="0.15">
      <c r="A89" s="46" t="s">
        <v>108</v>
      </c>
    </row>
    <row r="90" spans="1:21" ht="18.75" customHeight="1" x14ac:dyDescent="0.15">
      <c r="B90" s="147" t="s">
        <v>53</v>
      </c>
      <c r="C90" s="148"/>
      <c r="D90" s="102" t="s">
        <v>54</v>
      </c>
      <c r="E90" s="103"/>
      <c r="F90" s="103"/>
      <c r="G90" s="103"/>
      <c r="H90" s="103"/>
      <c r="I90" s="103"/>
      <c r="J90" s="103"/>
      <c r="K90" s="103"/>
      <c r="L90" s="103"/>
      <c r="M90" s="103"/>
      <c r="N90" s="103"/>
      <c r="O90" s="103"/>
      <c r="P90" s="103"/>
      <c r="Q90" s="103"/>
      <c r="R90" s="103"/>
      <c r="S90" s="103"/>
      <c r="T90" s="103"/>
      <c r="U90" s="104"/>
    </row>
    <row r="91" spans="1:21" ht="105" customHeight="1" x14ac:dyDescent="0.15">
      <c r="B91" s="144" t="s">
        <v>60</v>
      </c>
      <c r="C91" s="71" t="s">
        <v>55</v>
      </c>
      <c r="D91" s="90" t="s">
        <v>174</v>
      </c>
      <c r="E91" s="91"/>
      <c r="F91" s="91"/>
      <c r="G91" s="91"/>
      <c r="H91" s="91"/>
      <c r="I91" s="91"/>
      <c r="J91" s="91"/>
      <c r="K91" s="91"/>
      <c r="L91" s="91"/>
      <c r="M91" s="91"/>
      <c r="N91" s="91"/>
      <c r="O91" s="91"/>
      <c r="P91" s="91"/>
      <c r="Q91" s="91"/>
      <c r="R91" s="91"/>
      <c r="S91" s="91"/>
      <c r="T91" s="91"/>
      <c r="U91" s="92"/>
    </row>
    <row r="92" spans="1:21" ht="60" customHeight="1" x14ac:dyDescent="0.15">
      <c r="B92" s="145"/>
      <c r="C92" s="72" t="s">
        <v>75</v>
      </c>
      <c r="D92" s="87" t="s">
        <v>186</v>
      </c>
      <c r="E92" s="88"/>
      <c r="F92" s="88"/>
      <c r="G92" s="88"/>
      <c r="H92" s="88"/>
      <c r="I92" s="88"/>
      <c r="J92" s="88"/>
      <c r="K92" s="88"/>
      <c r="L92" s="88"/>
      <c r="M92" s="88"/>
      <c r="N92" s="88"/>
      <c r="O92" s="88"/>
      <c r="P92" s="88"/>
      <c r="Q92" s="88"/>
      <c r="R92" s="88"/>
      <c r="S92" s="88"/>
      <c r="T92" s="88"/>
      <c r="U92" s="89"/>
    </row>
    <row r="93" spans="1:21" ht="93" customHeight="1" x14ac:dyDescent="0.15">
      <c r="B93" s="144" t="s">
        <v>61</v>
      </c>
      <c r="C93" s="73" t="s">
        <v>69</v>
      </c>
      <c r="D93" s="90" t="s">
        <v>175</v>
      </c>
      <c r="E93" s="91"/>
      <c r="F93" s="91"/>
      <c r="G93" s="91"/>
      <c r="H93" s="91"/>
      <c r="I93" s="91"/>
      <c r="J93" s="91"/>
      <c r="K93" s="91"/>
      <c r="L93" s="91"/>
      <c r="M93" s="91"/>
      <c r="N93" s="91"/>
      <c r="O93" s="91"/>
      <c r="P93" s="91"/>
      <c r="Q93" s="91"/>
      <c r="R93" s="91"/>
      <c r="S93" s="91"/>
      <c r="T93" s="91"/>
      <c r="U93" s="92"/>
    </row>
    <row r="94" spans="1:21" ht="69" customHeight="1" x14ac:dyDescent="0.15">
      <c r="B94" s="146"/>
      <c r="C94" s="74" t="s">
        <v>70</v>
      </c>
      <c r="D94" s="87" t="s">
        <v>176</v>
      </c>
      <c r="E94" s="88"/>
      <c r="F94" s="88"/>
      <c r="G94" s="88"/>
      <c r="H94" s="88"/>
      <c r="I94" s="88"/>
      <c r="J94" s="88"/>
      <c r="K94" s="88"/>
      <c r="L94" s="88"/>
      <c r="M94" s="88"/>
      <c r="N94" s="88"/>
      <c r="O94" s="88"/>
      <c r="P94" s="88"/>
      <c r="Q94" s="88"/>
      <c r="R94" s="88"/>
      <c r="S94" s="88"/>
      <c r="T94" s="88"/>
      <c r="U94" s="89"/>
    </row>
    <row r="95" spans="1:21" ht="93" customHeight="1" x14ac:dyDescent="0.15">
      <c r="B95" s="144" t="s">
        <v>62</v>
      </c>
      <c r="C95" s="73" t="s">
        <v>71</v>
      </c>
      <c r="D95" s="90" t="s">
        <v>180</v>
      </c>
      <c r="E95" s="91"/>
      <c r="F95" s="91"/>
      <c r="G95" s="91"/>
      <c r="H95" s="91"/>
      <c r="I95" s="91"/>
      <c r="J95" s="91"/>
      <c r="K95" s="91"/>
      <c r="L95" s="91"/>
      <c r="M95" s="91"/>
      <c r="N95" s="91"/>
      <c r="O95" s="91"/>
      <c r="P95" s="91"/>
      <c r="Q95" s="91"/>
      <c r="R95" s="91"/>
      <c r="S95" s="91"/>
      <c r="T95" s="91"/>
      <c r="U95" s="92"/>
    </row>
    <row r="96" spans="1:21" ht="81" customHeight="1" x14ac:dyDescent="0.15">
      <c r="B96" s="146"/>
      <c r="C96" s="75" t="s">
        <v>72</v>
      </c>
      <c r="D96" s="87" t="s">
        <v>177</v>
      </c>
      <c r="E96" s="88"/>
      <c r="F96" s="88"/>
      <c r="G96" s="88"/>
      <c r="H96" s="88"/>
      <c r="I96" s="88"/>
      <c r="J96" s="88"/>
      <c r="K96" s="88"/>
      <c r="L96" s="88"/>
      <c r="M96" s="88"/>
      <c r="N96" s="88"/>
      <c r="O96" s="88"/>
      <c r="P96" s="88"/>
      <c r="Q96" s="88"/>
      <c r="R96" s="88"/>
      <c r="S96" s="88"/>
      <c r="T96" s="88"/>
      <c r="U96" s="89"/>
    </row>
    <row r="97" spans="1:33" ht="126" customHeight="1" x14ac:dyDescent="0.15">
      <c r="B97" s="144" t="s">
        <v>76</v>
      </c>
      <c r="C97" s="71" t="s">
        <v>57</v>
      </c>
      <c r="D97" s="90" t="s">
        <v>181</v>
      </c>
      <c r="E97" s="91"/>
      <c r="F97" s="91"/>
      <c r="G97" s="91"/>
      <c r="H97" s="91"/>
      <c r="I97" s="91"/>
      <c r="J97" s="91"/>
      <c r="K97" s="91"/>
      <c r="L97" s="91"/>
      <c r="M97" s="91"/>
      <c r="N97" s="91"/>
      <c r="O97" s="91"/>
      <c r="P97" s="91"/>
      <c r="Q97" s="91"/>
      <c r="R97" s="91"/>
      <c r="S97" s="91"/>
      <c r="T97" s="91"/>
      <c r="U97" s="92"/>
    </row>
    <row r="98" spans="1:33" ht="69.75" customHeight="1" x14ac:dyDescent="0.15">
      <c r="B98" s="146"/>
      <c r="C98" s="74" t="s">
        <v>59</v>
      </c>
      <c r="D98" s="87" t="s">
        <v>182</v>
      </c>
      <c r="E98" s="88"/>
      <c r="F98" s="88"/>
      <c r="G98" s="88"/>
      <c r="H98" s="88"/>
      <c r="I98" s="88"/>
      <c r="J98" s="88"/>
      <c r="K98" s="88"/>
      <c r="L98" s="88"/>
      <c r="M98" s="88"/>
      <c r="N98" s="88"/>
      <c r="O98" s="88"/>
      <c r="P98" s="88"/>
      <c r="Q98" s="88"/>
      <c r="R98" s="88"/>
      <c r="S98" s="88"/>
      <c r="T98" s="88"/>
      <c r="U98" s="89"/>
    </row>
    <row r="99" spans="1:33" ht="222" customHeight="1" x14ac:dyDescent="0.15">
      <c r="B99" s="144" t="s">
        <v>77</v>
      </c>
      <c r="C99" s="73" t="s">
        <v>56</v>
      </c>
      <c r="D99" s="90" t="s">
        <v>178</v>
      </c>
      <c r="E99" s="91"/>
      <c r="F99" s="91"/>
      <c r="G99" s="91"/>
      <c r="H99" s="91"/>
      <c r="I99" s="91"/>
      <c r="J99" s="91"/>
      <c r="K99" s="91"/>
      <c r="L99" s="91"/>
      <c r="M99" s="91"/>
      <c r="N99" s="91"/>
      <c r="O99" s="91"/>
      <c r="P99" s="91"/>
      <c r="Q99" s="91"/>
      <c r="R99" s="91"/>
      <c r="S99" s="91"/>
      <c r="T99" s="91"/>
      <c r="U99" s="92"/>
    </row>
    <row r="100" spans="1:33" ht="156" customHeight="1" x14ac:dyDescent="0.15">
      <c r="B100" s="145"/>
      <c r="C100" s="76" t="s">
        <v>73</v>
      </c>
      <c r="D100" s="93" t="s">
        <v>179</v>
      </c>
      <c r="E100" s="94"/>
      <c r="F100" s="94"/>
      <c r="G100" s="94"/>
      <c r="H100" s="94"/>
      <c r="I100" s="94"/>
      <c r="J100" s="94"/>
      <c r="K100" s="94"/>
      <c r="L100" s="94"/>
      <c r="M100" s="94"/>
      <c r="N100" s="94"/>
      <c r="O100" s="94"/>
      <c r="P100" s="94"/>
      <c r="Q100" s="94"/>
      <c r="R100" s="94"/>
      <c r="S100" s="94"/>
      <c r="T100" s="94"/>
      <c r="U100" s="95"/>
    </row>
    <row r="101" spans="1:33" ht="105" customHeight="1" x14ac:dyDescent="0.15">
      <c r="B101" s="146"/>
      <c r="C101" s="75" t="s">
        <v>74</v>
      </c>
      <c r="D101" s="87" t="s">
        <v>183</v>
      </c>
      <c r="E101" s="88"/>
      <c r="F101" s="88"/>
      <c r="G101" s="88"/>
      <c r="H101" s="88"/>
      <c r="I101" s="88"/>
      <c r="J101" s="88"/>
      <c r="K101" s="88"/>
      <c r="L101" s="88"/>
      <c r="M101" s="88"/>
      <c r="N101" s="88"/>
      <c r="O101" s="88"/>
      <c r="P101" s="88"/>
      <c r="Q101" s="88"/>
      <c r="R101" s="88"/>
      <c r="S101" s="88"/>
      <c r="T101" s="88"/>
      <c r="U101" s="89"/>
    </row>
    <row r="102" spans="1:33" ht="6" customHeight="1" x14ac:dyDescent="0.15"/>
    <row r="103" spans="1:33" ht="18.75" customHeight="1" x14ac:dyDescent="0.15">
      <c r="A103" s="46" t="s">
        <v>109</v>
      </c>
    </row>
    <row r="104" spans="1:33" ht="148.5" customHeight="1" x14ac:dyDescent="0.15">
      <c r="B104" s="135" t="s">
        <v>187</v>
      </c>
      <c r="C104" s="136"/>
      <c r="D104" s="136"/>
      <c r="E104" s="136"/>
      <c r="F104" s="136"/>
      <c r="G104" s="136"/>
      <c r="H104" s="136"/>
      <c r="I104" s="136"/>
      <c r="J104" s="136"/>
      <c r="K104" s="136"/>
      <c r="L104" s="136"/>
      <c r="M104" s="136"/>
      <c r="N104" s="136"/>
      <c r="O104" s="136"/>
      <c r="P104" s="136"/>
      <c r="Q104" s="136"/>
      <c r="R104" s="136"/>
      <c r="S104" s="136"/>
      <c r="T104" s="136"/>
      <c r="U104" s="137"/>
    </row>
    <row r="106" spans="1:33" ht="18.75" customHeight="1" x14ac:dyDescent="0.15">
      <c r="A106" s="45" t="s">
        <v>124</v>
      </c>
    </row>
    <row r="107" spans="1:33" ht="18.75" customHeight="1" x14ac:dyDescent="0.15">
      <c r="A107" s="45" t="s">
        <v>126</v>
      </c>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row>
    <row r="108" spans="1:33" ht="18.75" customHeight="1" x14ac:dyDescent="0.15">
      <c r="A108" s="45"/>
      <c r="B108" s="86" t="s">
        <v>129</v>
      </c>
      <c r="C108" s="86"/>
      <c r="D108" s="86"/>
      <c r="E108" s="86"/>
      <c r="F108" s="86"/>
      <c r="G108" s="86"/>
      <c r="H108" s="86"/>
      <c r="I108" s="86"/>
      <c r="J108" s="86"/>
      <c r="K108" s="86"/>
      <c r="L108" s="86"/>
      <c r="M108" s="86"/>
      <c r="N108" s="86"/>
      <c r="O108" s="86"/>
      <c r="P108" s="86"/>
      <c r="Q108" s="86"/>
      <c r="R108" s="86"/>
      <c r="S108" s="86"/>
      <c r="T108" s="86"/>
      <c r="U108" s="86"/>
      <c r="V108" s="84"/>
      <c r="W108" s="84"/>
      <c r="X108" s="84"/>
      <c r="Y108" s="84"/>
      <c r="Z108" s="84"/>
      <c r="AA108" s="84"/>
      <c r="AB108" s="84"/>
      <c r="AC108" s="84"/>
      <c r="AD108" s="84"/>
      <c r="AE108" s="84"/>
      <c r="AF108" s="84"/>
      <c r="AG108" s="84"/>
    </row>
    <row r="109" spans="1:33" ht="37.15" customHeight="1" x14ac:dyDescent="0.15">
      <c r="A109" s="45"/>
      <c r="B109" s="86"/>
      <c r="C109" s="86"/>
      <c r="D109" s="86"/>
      <c r="E109" s="86"/>
      <c r="F109" s="86"/>
      <c r="G109" s="86"/>
      <c r="H109" s="86"/>
      <c r="I109" s="86"/>
      <c r="J109" s="86"/>
      <c r="K109" s="86"/>
      <c r="L109" s="86"/>
      <c r="M109" s="86"/>
      <c r="N109" s="86"/>
      <c r="O109" s="86"/>
      <c r="P109" s="86"/>
      <c r="Q109" s="86"/>
      <c r="R109" s="86"/>
      <c r="S109" s="86"/>
      <c r="T109" s="86"/>
      <c r="U109" s="86"/>
      <c r="V109" s="84"/>
      <c r="W109" s="84"/>
      <c r="X109" s="84"/>
      <c r="Y109" s="84"/>
      <c r="Z109" s="84"/>
      <c r="AA109" s="84"/>
      <c r="AB109" s="84"/>
      <c r="AC109" s="84"/>
      <c r="AD109" s="84"/>
      <c r="AE109" s="84"/>
      <c r="AF109" s="84"/>
      <c r="AG109" s="84"/>
    </row>
    <row r="110" spans="1:33" ht="18.75" customHeight="1" x14ac:dyDescent="0.15">
      <c r="A110" s="45"/>
      <c r="B110" s="155" t="s">
        <v>125</v>
      </c>
      <c r="C110" s="155"/>
      <c r="D110" s="155"/>
      <c r="E110" s="155"/>
      <c r="F110" s="155"/>
      <c r="G110" s="155"/>
      <c r="H110" s="155"/>
      <c r="I110" s="155"/>
      <c r="J110" s="155"/>
      <c r="K110" s="155"/>
      <c r="L110" s="155"/>
      <c r="M110" s="155"/>
      <c r="N110" s="155"/>
      <c r="O110" s="155"/>
      <c r="P110" s="155"/>
      <c r="Q110" s="155"/>
      <c r="R110" s="155"/>
      <c r="S110" s="155"/>
      <c r="T110" s="155"/>
      <c r="U110" s="155"/>
      <c r="V110" s="84"/>
      <c r="W110" s="84"/>
      <c r="X110" s="84"/>
      <c r="Y110" s="84"/>
      <c r="Z110" s="84"/>
      <c r="AA110" s="84"/>
      <c r="AB110" s="84"/>
      <c r="AC110" s="84"/>
      <c r="AD110" s="84"/>
      <c r="AE110" s="84"/>
      <c r="AF110" s="84"/>
      <c r="AG110" s="84"/>
    </row>
    <row r="111" spans="1:33" ht="18.75" customHeight="1" x14ac:dyDescent="0.15">
      <c r="A111" s="45"/>
      <c r="B111" s="156" t="s">
        <v>54</v>
      </c>
      <c r="C111" s="156"/>
      <c r="D111" s="156"/>
      <c r="E111" s="156"/>
      <c r="F111" s="156"/>
      <c r="G111" s="156"/>
      <c r="H111" s="156"/>
      <c r="I111" s="156"/>
      <c r="J111" s="156"/>
      <c r="K111" s="156"/>
      <c r="L111" s="156"/>
      <c r="M111" s="156"/>
      <c r="N111" s="156"/>
      <c r="O111" s="156"/>
      <c r="P111" s="156"/>
      <c r="Q111" s="156"/>
      <c r="R111" s="156"/>
      <c r="S111" s="156"/>
      <c r="T111" s="156"/>
      <c r="U111" s="156"/>
      <c r="V111" s="45"/>
      <c r="W111" s="45"/>
      <c r="X111" s="45"/>
      <c r="Y111" s="45"/>
      <c r="Z111" s="45"/>
      <c r="AA111" s="45"/>
      <c r="AB111" s="45"/>
      <c r="AC111" s="45"/>
      <c r="AD111" s="45"/>
      <c r="AE111" s="45"/>
      <c r="AF111" s="45"/>
      <c r="AG111" s="45"/>
    </row>
    <row r="112" spans="1:33" ht="132" customHeight="1" x14ac:dyDescent="0.15">
      <c r="A112" s="45"/>
      <c r="B112" s="157" t="s">
        <v>173</v>
      </c>
      <c r="C112" s="158"/>
      <c r="D112" s="158"/>
      <c r="E112" s="158"/>
      <c r="F112" s="158"/>
      <c r="G112" s="158"/>
      <c r="H112" s="158"/>
      <c r="I112" s="158"/>
      <c r="J112" s="158"/>
      <c r="K112" s="158"/>
      <c r="L112" s="158"/>
      <c r="M112" s="158"/>
      <c r="N112" s="158"/>
      <c r="O112" s="158"/>
      <c r="P112" s="158"/>
      <c r="Q112" s="158"/>
      <c r="R112" s="158"/>
      <c r="S112" s="158"/>
      <c r="T112" s="158"/>
      <c r="U112" s="158"/>
      <c r="V112" s="85"/>
      <c r="W112" s="85"/>
      <c r="X112" s="85"/>
      <c r="Y112" s="85"/>
      <c r="Z112" s="85"/>
      <c r="AA112" s="85"/>
      <c r="AB112" s="85"/>
      <c r="AC112" s="85"/>
      <c r="AD112" s="85"/>
      <c r="AE112" s="85"/>
      <c r="AF112" s="85"/>
      <c r="AG112" s="85"/>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V28" sqref="V28"/>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46"/>
      <c r="B1" s="46"/>
      <c r="C1" s="46"/>
      <c r="D1" s="46"/>
      <c r="E1" s="46"/>
      <c r="F1" s="46"/>
      <c r="G1" s="46"/>
      <c r="H1" s="46"/>
      <c r="I1" s="46"/>
      <c r="J1" s="46"/>
      <c r="K1" s="46"/>
      <c r="L1" s="46"/>
      <c r="M1" s="46"/>
      <c r="N1" s="46"/>
      <c r="O1" s="46"/>
      <c r="P1" s="46"/>
      <c r="Q1" s="46"/>
      <c r="R1" s="46"/>
      <c r="S1" s="46" t="s">
        <v>98</v>
      </c>
    </row>
    <row r="2" spans="1:21" ht="18" customHeight="1" x14ac:dyDescent="0.15">
      <c r="A2" s="46"/>
      <c r="B2" s="46"/>
      <c r="C2" s="46"/>
      <c r="D2" s="46"/>
      <c r="E2" s="46"/>
      <c r="F2" s="46"/>
      <c r="G2" s="46"/>
      <c r="H2" s="46"/>
      <c r="I2" s="46"/>
      <c r="J2" s="46"/>
      <c r="K2" s="46"/>
      <c r="L2" s="46"/>
      <c r="M2" s="46"/>
      <c r="N2" s="46"/>
      <c r="O2" s="46"/>
      <c r="P2" s="46"/>
      <c r="Q2" s="160" t="str">
        <f>'様式１　プログラムを構成する授業科目'!C2</f>
        <v>川崎医科大学</v>
      </c>
      <c r="R2" s="160"/>
      <c r="S2" s="160"/>
    </row>
    <row r="3" spans="1:21" ht="18" customHeight="1" x14ac:dyDescent="0.15">
      <c r="A3" s="125" t="s">
        <v>47</v>
      </c>
      <c r="B3" s="125"/>
      <c r="C3" s="125"/>
      <c r="D3" s="125"/>
      <c r="E3" s="125"/>
      <c r="F3" s="125"/>
      <c r="G3" s="125"/>
      <c r="H3" s="125"/>
      <c r="I3" s="125"/>
      <c r="J3" s="125"/>
      <c r="K3" s="125"/>
      <c r="L3" s="125"/>
      <c r="M3" s="125"/>
      <c r="N3" s="125"/>
      <c r="O3" s="125"/>
      <c r="P3" s="125"/>
      <c r="Q3" s="125"/>
      <c r="R3" s="125"/>
      <c r="S3" s="125"/>
    </row>
    <row r="4" spans="1:21" ht="7.5" customHeight="1" x14ac:dyDescent="0.15">
      <c r="A4" s="50"/>
      <c r="B4" s="50"/>
      <c r="C4" s="50"/>
      <c r="D4" s="50"/>
      <c r="E4" s="50"/>
      <c r="F4" s="50"/>
      <c r="G4" s="50"/>
      <c r="H4" s="50"/>
      <c r="I4" s="50"/>
      <c r="J4" s="50"/>
      <c r="K4" s="50"/>
      <c r="L4" s="50"/>
      <c r="M4" s="50"/>
      <c r="N4" s="50"/>
      <c r="O4" s="50"/>
      <c r="P4" s="50"/>
      <c r="Q4" s="50"/>
      <c r="R4" s="50"/>
      <c r="S4" s="50"/>
    </row>
    <row r="5" spans="1:21" ht="18" customHeight="1" x14ac:dyDescent="0.15">
      <c r="A5" s="46" t="s">
        <v>80</v>
      </c>
      <c r="B5" s="46"/>
      <c r="C5" s="122" t="s">
        <v>171</v>
      </c>
      <c r="D5" s="124"/>
      <c r="E5" s="50" t="s">
        <v>51</v>
      </c>
      <c r="F5" s="50"/>
      <c r="G5" s="50"/>
      <c r="H5" s="50"/>
      <c r="I5" s="50"/>
      <c r="J5" s="50"/>
      <c r="K5" s="50"/>
      <c r="L5" s="50"/>
      <c r="M5" s="50"/>
      <c r="N5" s="50"/>
      <c r="O5" s="50"/>
      <c r="P5" s="50"/>
      <c r="Q5" s="50"/>
      <c r="R5" s="48"/>
      <c r="S5" s="48"/>
    </row>
    <row r="6" spans="1:21" ht="7.15" customHeight="1" x14ac:dyDescent="0.15">
      <c r="A6" s="46"/>
      <c r="B6" s="46"/>
      <c r="C6" s="54"/>
      <c r="D6" s="54"/>
      <c r="E6" s="50"/>
      <c r="F6" s="50"/>
      <c r="G6" s="50"/>
      <c r="H6" s="50"/>
      <c r="I6" s="50"/>
      <c r="J6" s="50"/>
      <c r="K6" s="50"/>
      <c r="L6" s="50"/>
      <c r="M6" s="50"/>
      <c r="N6" s="50"/>
      <c r="O6" s="50"/>
      <c r="P6" s="50"/>
      <c r="Q6" s="50"/>
      <c r="R6" s="48"/>
      <c r="S6" s="48"/>
    </row>
    <row r="7" spans="1:21" ht="18" customHeight="1" x14ac:dyDescent="0.15">
      <c r="A7" s="46" t="s">
        <v>117</v>
      </c>
      <c r="B7" s="46"/>
      <c r="C7" s="54"/>
      <c r="D7" s="54"/>
      <c r="E7" s="50" t="s">
        <v>118</v>
      </c>
      <c r="F7" s="53">
        <v>459</v>
      </c>
      <c r="G7" s="51" t="s">
        <v>119</v>
      </c>
      <c r="H7" s="50" t="s">
        <v>120</v>
      </c>
      <c r="I7" s="53">
        <v>336</v>
      </c>
      <c r="J7" s="51" t="s">
        <v>119</v>
      </c>
      <c r="K7" s="47" t="s">
        <v>121</v>
      </c>
      <c r="L7" s="50" t="s">
        <v>122</v>
      </c>
      <c r="M7" s="53">
        <f>F7+I7</f>
        <v>795</v>
      </c>
      <c r="N7" s="50" t="s">
        <v>1</v>
      </c>
      <c r="O7" s="51" t="s">
        <v>123</v>
      </c>
      <c r="P7" s="50"/>
      <c r="Q7" s="50"/>
      <c r="R7" s="48"/>
      <c r="S7" s="48"/>
    </row>
    <row r="8" spans="1:21" ht="6" customHeight="1" x14ac:dyDescent="0.15">
      <c r="A8" s="50"/>
      <c r="B8" s="50"/>
      <c r="C8" s="50"/>
      <c r="D8" s="50"/>
      <c r="E8" s="50"/>
      <c r="F8" s="50"/>
      <c r="G8" s="50"/>
      <c r="H8" s="50"/>
      <c r="I8" s="50"/>
      <c r="J8" s="50"/>
      <c r="K8" s="50"/>
      <c r="L8" s="50"/>
      <c r="M8" s="50"/>
      <c r="N8" s="50"/>
      <c r="O8" s="50"/>
      <c r="P8" s="50"/>
      <c r="Q8" s="50"/>
      <c r="R8" s="50"/>
      <c r="S8" s="50"/>
    </row>
    <row r="9" spans="1:21" ht="18" customHeight="1" x14ac:dyDescent="0.15">
      <c r="A9" s="46" t="s">
        <v>133</v>
      </c>
      <c r="B9" s="50"/>
      <c r="C9" s="50"/>
      <c r="D9" s="50"/>
      <c r="E9" s="50"/>
      <c r="F9" s="50"/>
      <c r="G9" s="50"/>
      <c r="H9" s="50"/>
      <c r="I9" s="50"/>
      <c r="J9" s="50"/>
      <c r="K9" s="50"/>
      <c r="L9" s="50"/>
      <c r="M9" s="50"/>
      <c r="N9" s="50"/>
      <c r="O9" s="50"/>
      <c r="P9" s="50"/>
      <c r="Q9" s="50"/>
      <c r="R9" s="50"/>
      <c r="S9" s="5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1" t="s">
        <v>44</v>
      </c>
      <c r="C11" s="171" t="s">
        <v>83</v>
      </c>
      <c r="D11" s="163" t="s">
        <v>46</v>
      </c>
      <c r="E11" s="165" t="s">
        <v>39</v>
      </c>
      <c r="F11" s="159" t="s">
        <v>111</v>
      </c>
      <c r="G11" s="159"/>
      <c r="H11" s="159" t="s">
        <v>82</v>
      </c>
      <c r="I11" s="159"/>
      <c r="J11" s="159" t="s">
        <v>48</v>
      </c>
      <c r="K11" s="159"/>
      <c r="L11" s="159" t="s">
        <v>49</v>
      </c>
      <c r="M11" s="159"/>
      <c r="N11" s="159" t="s">
        <v>92</v>
      </c>
      <c r="O11" s="159"/>
      <c r="P11" s="159" t="s">
        <v>50</v>
      </c>
      <c r="Q11" s="159"/>
      <c r="R11" s="167" t="s">
        <v>35</v>
      </c>
      <c r="S11" s="169" t="s">
        <v>32</v>
      </c>
      <c r="U11" s="2"/>
    </row>
    <row r="12" spans="1:21" ht="16.899999999999999" customHeight="1" x14ac:dyDescent="0.15">
      <c r="B12" s="162"/>
      <c r="C12" s="172"/>
      <c r="D12" s="164"/>
      <c r="E12" s="166"/>
      <c r="F12" s="41" t="s">
        <v>91</v>
      </c>
      <c r="G12" s="41" t="s">
        <v>29</v>
      </c>
      <c r="H12" s="41" t="s">
        <v>91</v>
      </c>
      <c r="I12" s="41" t="s">
        <v>29</v>
      </c>
      <c r="J12" s="41" t="s">
        <v>91</v>
      </c>
      <c r="K12" s="41" t="s">
        <v>29</v>
      </c>
      <c r="L12" s="41" t="s">
        <v>91</v>
      </c>
      <c r="M12" s="41" t="s">
        <v>29</v>
      </c>
      <c r="N12" s="41" t="s">
        <v>91</v>
      </c>
      <c r="O12" s="41" t="s">
        <v>29</v>
      </c>
      <c r="P12" s="41" t="s">
        <v>91</v>
      </c>
      <c r="Q12" s="42" t="s">
        <v>29</v>
      </c>
      <c r="R12" s="168"/>
      <c r="S12" s="170"/>
      <c r="U12" s="2"/>
    </row>
    <row r="13" spans="1:21" ht="18" customHeight="1" x14ac:dyDescent="0.15">
      <c r="A13" s="6"/>
      <c r="B13" s="43" t="s">
        <v>154</v>
      </c>
      <c r="C13" s="29">
        <v>795</v>
      </c>
      <c r="D13" s="30">
        <v>126</v>
      </c>
      <c r="E13" s="31">
        <v>752</v>
      </c>
      <c r="F13" s="31">
        <v>125</v>
      </c>
      <c r="G13" s="31">
        <v>0</v>
      </c>
      <c r="H13" s="31">
        <v>135</v>
      </c>
      <c r="I13" s="31">
        <v>0</v>
      </c>
      <c r="J13" s="31"/>
      <c r="K13" s="31"/>
      <c r="L13" s="31"/>
      <c r="M13" s="31"/>
      <c r="N13" s="31"/>
      <c r="O13" s="31"/>
      <c r="P13" s="31"/>
      <c r="Q13" s="44"/>
      <c r="R13" s="30">
        <f t="shared" ref="R13:R32" si="0">F13+H13+J13+L13+N13+P13</f>
        <v>260</v>
      </c>
      <c r="S13" s="55">
        <f t="shared" ref="S13:S33" si="1">R13/E13</f>
        <v>0.34574468085106386</v>
      </c>
    </row>
    <row r="14" spans="1:21" ht="18" customHeight="1" x14ac:dyDescent="0.15">
      <c r="A14" s="6"/>
      <c r="B14" s="11"/>
      <c r="C14" s="32"/>
      <c r="D14" s="33"/>
      <c r="E14" s="34"/>
      <c r="F14" s="35"/>
      <c r="G14" s="35"/>
      <c r="H14" s="35"/>
      <c r="I14" s="35"/>
      <c r="J14" s="35"/>
      <c r="K14" s="35"/>
      <c r="L14" s="35"/>
      <c r="M14" s="35"/>
      <c r="N14" s="35"/>
      <c r="O14" s="35"/>
      <c r="P14" s="35"/>
      <c r="Q14" s="32"/>
      <c r="R14" s="33">
        <f t="shared" si="0"/>
        <v>0</v>
      </c>
      <c r="S14" s="15" t="e">
        <f t="shared" si="1"/>
        <v>#DIV/0!</v>
      </c>
    </row>
    <row r="15" spans="1:21" ht="18" customHeight="1" x14ac:dyDescent="0.15">
      <c r="A15" s="6"/>
      <c r="B15" s="11"/>
      <c r="C15" s="32"/>
      <c r="D15" s="33"/>
      <c r="E15" s="34"/>
      <c r="F15" s="35"/>
      <c r="G15" s="35"/>
      <c r="H15" s="35"/>
      <c r="I15" s="35"/>
      <c r="J15" s="35"/>
      <c r="K15" s="35"/>
      <c r="L15" s="35"/>
      <c r="M15" s="35"/>
      <c r="N15" s="35"/>
      <c r="O15" s="35"/>
      <c r="P15" s="35"/>
      <c r="Q15" s="32"/>
      <c r="R15" s="33">
        <f t="shared" si="0"/>
        <v>0</v>
      </c>
      <c r="S15" s="8" t="e">
        <f t="shared" si="1"/>
        <v>#DIV/0!</v>
      </c>
    </row>
    <row r="16" spans="1:21" ht="18" customHeight="1" x14ac:dyDescent="0.15">
      <c r="A16" s="6"/>
      <c r="B16" s="11"/>
      <c r="C16" s="32"/>
      <c r="D16" s="33"/>
      <c r="E16" s="34"/>
      <c r="F16" s="35"/>
      <c r="G16" s="35"/>
      <c r="H16" s="35"/>
      <c r="I16" s="35"/>
      <c r="J16" s="35"/>
      <c r="K16" s="35"/>
      <c r="L16" s="35"/>
      <c r="M16" s="35"/>
      <c r="N16" s="35"/>
      <c r="O16" s="35"/>
      <c r="P16" s="35"/>
      <c r="Q16" s="32"/>
      <c r="R16" s="33">
        <f t="shared" si="0"/>
        <v>0</v>
      </c>
      <c r="S16" s="8" t="e">
        <f t="shared" si="1"/>
        <v>#DIV/0!</v>
      </c>
    </row>
    <row r="17" spans="1:19" ht="18" customHeight="1" x14ac:dyDescent="0.15">
      <c r="A17" s="6"/>
      <c r="B17" s="11"/>
      <c r="C17" s="32"/>
      <c r="D17" s="33"/>
      <c r="E17" s="34"/>
      <c r="F17" s="35"/>
      <c r="G17" s="35"/>
      <c r="H17" s="35"/>
      <c r="I17" s="35"/>
      <c r="J17" s="35"/>
      <c r="K17" s="35"/>
      <c r="L17" s="35"/>
      <c r="M17" s="35"/>
      <c r="N17" s="35"/>
      <c r="O17" s="35"/>
      <c r="P17" s="35"/>
      <c r="Q17" s="32"/>
      <c r="R17" s="33">
        <f t="shared" si="0"/>
        <v>0</v>
      </c>
      <c r="S17" s="8" t="e">
        <f t="shared" si="1"/>
        <v>#DIV/0!</v>
      </c>
    </row>
    <row r="18" spans="1:19" ht="18" customHeight="1" x14ac:dyDescent="0.15">
      <c r="A18" s="6"/>
      <c r="B18" s="11"/>
      <c r="C18" s="32"/>
      <c r="D18" s="33"/>
      <c r="E18" s="34"/>
      <c r="F18" s="35"/>
      <c r="G18" s="35"/>
      <c r="H18" s="35"/>
      <c r="I18" s="35"/>
      <c r="J18" s="35"/>
      <c r="K18" s="35"/>
      <c r="L18" s="35"/>
      <c r="M18" s="35"/>
      <c r="N18" s="35"/>
      <c r="O18" s="35"/>
      <c r="P18" s="35"/>
      <c r="Q18" s="32"/>
      <c r="R18" s="33">
        <f t="shared" si="0"/>
        <v>0</v>
      </c>
      <c r="S18" s="8" t="e">
        <f t="shared" si="1"/>
        <v>#DIV/0!</v>
      </c>
    </row>
    <row r="19" spans="1:19" ht="18" customHeight="1" x14ac:dyDescent="0.15">
      <c r="A19" s="6"/>
      <c r="B19" s="11"/>
      <c r="C19" s="32"/>
      <c r="D19" s="33"/>
      <c r="E19" s="34"/>
      <c r="F19" s="35"/>
      <c r="G19" s="35"/>
      <c r="H19" s="35"/>
      <c r="I19" s="35"/>
      <c r="J19" s="35"/>
      <c r="K19" s="35"/>
      <c r="L19" s="35"/>
      <c r="M19" s="35"/>
      <c r="N19" s="35"/>
      <c r="O19" s="35"/>
      <c r="P19" s="35"/>
      <c r="Q19" s="32"/>
      <c r="R19" s="33">
        <f t="shared" si="0"/>
        <v>0</v>
      </c>
      <c r="S19" s="8" t="e">
        <f t="shared" si="1"/>
        <v>#DIV/0!</v>
      </c>
    </row>
    <row r="20" spans="1:19" ht="18" customHeight="1" x14ac:dyDescent="0.15">
      <c r="A20" s="6"/>
      <c r="B20" s="11"/>
      <c r="C20" s="32"/>
      <c r="D20" s="33"/>
      <c r="E20" s="34"/>
      <c r="F20" s="35"/>
      <c r="G20" s="35"/>
      <c r="H20" s="35"/>
      <c r="I20" s="35"/>
      <c r="J20" s="35"/>
      <c r="K20" s="35"/>
      <c r="L20" s="35"/>
      <c r="M20" s="35"/>
      <c r="N20" s="35"/>
      <c r="O20" s="35"/>
      <c r="P20" s="35"/>
      <c r="Q20" s="32"/>
      <c r="R20" s="33">
        <f t="shared" si="0"/>
        <v>0</v>
      </c>
      <c r="S20" s="8" t="e">
        <f t="shared" si="1"/>
        <v>#DIV/0!</v>
      </c>
    </row>
    <row r="21" spans="1:19" ht="18" customHeight="1" x14ac:dyDescent="0.15">
      <c r="A21" s="6"/>
      <c r="B21" s="11"/>
      <c r="C21" s="32"/>
      <c r="D21" s="33"/>
      <c r="E21" s="34"/>
      <c r="F21" s="35"/>
      <c r="G21" s="35"/>
      <c r="H21" s="35"/>
      <c r="I21" s="35"/>
      <c r="J21" s="35"/>
      <c r="K21" s="35"/>
      <c r="L21" s="35"/>
      <c r="M21" s="35"/>
      <c r="N21" s="35"/>
      <c r="O21" s="35"/>
      <c r="P21" s="35"/>
      <c r="Q21" s="32"/>
      <c r="R21" s="33">
        <f t="shared" si="0"/>
        <v>0</v>
      </c>
      <c r="S21" s="8" t="e">
        <f t="shared" si="1"/>
        <v>#DIV/0!</v>
      </c>
    </row>
    <row r="22" spans="1:19" ht="18" customHeight="1" x14ac:dyDescent="0.15">
      <c r="A22" s="6"/>
      <c r="B22" s="11"/>
      <c r="C22" s="32"/>
      <c r="D22" s="33"/>
      <c r="E22" s="34"/>
      <c r="F22" s="35"/>
      <c r="G22" s="35"/>
      <c r="H22" s="35"/>
      <c r="I22" s="35"/>
      <c r="J22" s="35"/>
      <c r="K22" s="35"/>
      <c r="L22" s="35"/>
      <c r="M22" s="35"/>
      <c r="N22" s="35"/>
      <c r="O22" s="35"/>
      <c r="P22" s="35"/>
      <c r="Q22" s="32"/>
      <c r="R22" s="33">
        <f t="shared" si="0"/>
        <v>0</v>
      </c>
      <c r="S22" s="8" t="e">
        <f t="shared" si="1"/>
        <v>#DIV/0!</v>
      </c>
    </row>
    <row r="23" spans="1:19" ht="18" customHeight="1" x14ac:dyDescent="0.15">
      <c r="A23" s="6"/>
      <c r="B23" s="11"/>
      <c r="C23" s="32"/>
      <c r="D23" s="33"/>
      <c r="E23" s="34"/>
      <c r="F23" s="35"/>
      <c r="G23" s="35"/>
      <c r="H23" s="35"/>
      <c r="I23" s="35"/>
      <c r="J23" s="35"/>
      <c r="K23" s="35"/>
      <c r="L23" s="35"/>
      <c r="M23" s="35"/>
      <c r="N23" s="35"/>
      <c r="O23" s="35"/>
      <c r="P23" s="35"/>
      <c r="Q23" s="32"/>
      <c r="R23" s="33">
        <f t="shared" si="0"/>
        <v>0</v>
      </c>
      <c r="S23" s="8" t="e">
        <f t="shared" si="1"/>
        <v>#DIV/0!</v>
      </c>
    </row>
    <row r="24" spans="1:19" ht="18" customHeight="1" x14ac:dyDescent="0.15">
      <c r="A24" s="6"/>
      <c r="B24" s="11"/>
      <c r="C24" s="32"/>
      <c r="D24" s="33"/>
      <c r="E24" s="34"/>
      <c r="F24" s="35"/>
      <c r="G24" s="35"/>
      <c r="H24" s="35"/>
      <c r="I24" s="35"/>
      <c r="J24" s="35"/>
      <c r="K24" s="35"/>
      <c r="L24" s="35"/>
      <c r="M24" s="35"/>
      <c r="N24" s="35"/>
      <c r="O24" s="35"/>
      <c r="P24" s="35"/>
      <c r="Q24" s="32"/>
      <c r="R24" s="33">
        <f t="shared" si="0"/>
        <v>0</v>
      </c>
      <c r="S24" s="8" t="e">
        <f t="shared" si="1"/>
        <v>#DIV/0!</v>
      </c>
    </row>
    <row r="25" spans="1:19" ht="18" customHeight="1" x14ac:dyDescent="0.15">
      <c r="A25" s="6"/>
      <c r="B25" s="11"/>
      <c r="C25" s="32"/>
      <c r="D25" s="33"/>
      <c r="E25" s="34"/>
      <c r="F25" s="35"/>
      <c r="G25" s="35"/>
      <c r="H25" s="35"/>
      <c r="I25" s="35"/>
      <c r="J25" s="35"/>
      <c r="K25" s="35"/>
      <c r="L25" s="35"/>
      <c r="M25" s="35"/>
      <c r="N25" s="35"/>
      <c r="O25" s="35"/>
      <c r="P25" s="35"/>
      <c r="Q25" s="32"/>
      <c r="R25" s="33">
        <f t="shared" si="0"/>
        <v>0</v>
      </c>
      <c r="S25" s="8" t="e">
        <f t="shared" si="1"/>
        <v>#DIV/0!</v>
      </c>
    </row>
    <row r="26" spans="1:19" ht="18" customHeight="1" x14ac:dyDescent="0.15">
      <c r="A26" s="6"/>
      <c r="B26" s="11"/>
      <c r="C26" s="32"/>
      <c r="D26" s="33"/>
      <c r="E26" s="34"/>
      <c r="F26" s="35"/>
      <c r="G26" s="35"/>
      <c r="H26" s="35"/>
      <c r="I26" s="35"/>
      <c r="J26" s="35"/>
      <c r="K26" s="35"/>
      <c r="L26" s="35"/>
      <c r="M26" s="35"/>
      <c r="N26" s="35"/>
      <c r="O26" s="35"/>
      <c r="P26" s="35"/>
      <c r="Q26" s="32"/>
      <c r="R26" s="33">
        <f t="shared" si="0"/>
        <v>0</v>
      </c>
      <c r="S26" s="8" t="e">
        <f t="shared" si="1"/>
        <v>#DIV/0!</v>
      </c>
    </row>
    <row r="27" spans="1:19" ht="18" customHeight="1" x14ac:dyDescent="0.15">
      <c r="A27" s="6"/>
      <c r="B27" s="11"/>
      <c r="C27" s="32"/>
      <c r="D27" s="33"/>
      <c r="E27" s="34"/>
      <c r="F27" s="35"/>
      <c r="G27" s="35"/>
      <c r="H27" s="35"/>
      <c r="I27" s="35"/>
      <c r="J27" s="35"/>
      <c r="K27" s="35"/>
      <c r="L27" s="35"/>
      <c r="M27" s="35"/>
      <c r="N27" s="35"/>
      <c r="O27" s="35"/>
      <c r="P27" s="35"/>
      <c r="Q27" s="32"/>
      <c r="R27" s="33">
        <f t="shared" si="0"/>
        <v>0</v>
      </c>
      <c r="S27" s="8" t="e">
        <f t="shared" si="1"/>
        <v>#DIV/0!</v>
      </c>
    </row>
    <row r="28" spans="1:19" ht="18" customHeight="1" x14ac:dyDescent="0.15">
      <c r="A28" s="6"/>
      <c r="B28" s="11"/>
      <c r="C28" s="32"/>
      <c r="D28" s="33"/>
      <c r="E28" s="34"/>
      <c r="F28" s="35"/>
      <c r="G28" s="35"/>
      <c r="H28" s="35"/>
      <c r="I28" s="35"/>
      <c r="J28" s="35"/>
      <c r="K28" s="35"/>
      <c r="L28" s="35"/>
      <c r="M28" s="35"/>
      <c r="N28" s="35"/>
      <c r="O28" s="35"/>
      <c r="P28" s="35"/>
      <c r="Q28" s="32"/>
      <c r="R28" s="33">
        <f t="shared" si="0"/>
        <v>0</v>
      </c>
      <c r="S28" s="8" t="e">
        <f t="shared" si="1"/>
        <v>#DIV/0!</v>
      </c>
    </row>
    <row r="29" spans="1:19" ht="18" customHeight="1" x14ac:dyDescent="0.15">
      <c r="A29" s="6"/>
      <c r="B29" s="11"/>
      <c r="C29" s="32"/>
      <c r="D29" s="33"/>
      <c r="E29" s="34"/>
      <c r="F29" s="35"/>
      <c r="G29" s="35"/>
      <c r="H29" s="35"/>
      <c r="I29" s="35"/>
      <c r="J29" s="35"/>
      <c r="K29" s="35"/>
      <c r="L29" s="35"/>
      <c r="M29" s="35"/>
      <c r="N29" s="35"/>
      <c r="O29" s="35"/>
      <c r="P29" s="35"/>
      <c r="Q29" s="32"/>
      <c r="R29" s="33">
        <f t="shared" si="0"/>
        <v>0</v>
      </c>
      <c r="S29" s="8" t="e">
        <f t="shared" si="1"/>
        <v>#DIV/0!</v>
      </c>
    </row>
    <row r="30" spans="1:19" ht="18" customHeight="1" x14ac:dyDescent="0.15">
      <c r="A30" s="6"/>
      <c r="B30" s="11"/>
      <c r="C30" s="32"/>
      <c r="D30" s="36"/>
      <c r="E30" s="34"/>
      <c r="F30" s="35"/>
      <c r="G30" s="35"/>
      <c r="H30" s="35"/>
      <c r="I30" s="35"/>
      <c r="J30" s="35"/>
      <c r="K30" s="35"/>
      <c r="L30" s="35"/>
      <c r="M30" s="35"/>
      <c r="N30" s="35"/>
      <c r="O30" s="35"/>
      <c r="P30" s="35"/>
      <c r="Q30" s="32"/>
      <c r="R30" s="36">
        <f t="shared" si="0"/>
        <v>0</v>
      </c>
      <c r="S30" s="8" t="e">
        <f t="shared" si="1"/>
        <v>#DIV/0!</v>
      </c>
    </row>
    <row r="31" spans="1:19" ht="18" customHeight="1" x14ac:dyDescent="0.15">
      <c r="A31" s="6"/>
      <c r="B31" s="11"/>
      <c r="C31" s="32"/>
      <c r="D31" s="36"/>
      <c r="E31" s="34"/>
      <c r="F31" s="35"/>
      <c r="G31" s="35"/>
      <c r="H31" s="35"/>
      <c r="I31" s="35"/>
      <c r="J31" s="35"/>
      <c r="K31" s="35"/>
      <c r="L31" s="35"/>
      <c r="M31" s="35"/>
      <c r="N31" s="35"/>
      <c r="O31" s="35"/>
      <c r="P31" s="35"/>
      <c r="Q31" s="32"/>
      <c r="R31" s="36">
        <f t="shared" si="0"/>
        <v>0</v>
      </c>
      <c r="S31" s="8" t="e">
        <f t="shared" si="1"/>
        <v>#DIV/0!</v>
      </c>
    </row>
    <row r="32" spans="1:19" ht="18" customHeight="1" thickBot="1" x14ac:dyDescent="0.2">
      <c r="A32" s="6"/>
      <c r="B32" s="12"/>
      <c r="C32" s="29"/>
      <c r="D32" s="37"/>
      <c r="E32" s="31"/>
      <c r="F32" s="31"/>
      <c r="G32" s="31"/>
      <c r="H32" s="31"/>
      <c r="I32" s="31"/>
      <c r="J32" s="31"/>
      <c r="K32" s="31"/>
      <c r="L32" s="31"/>
      <c r="M32" s="31"/>
      <c r="N32" s="31"/>
      <c r="O32" s="31"/>
      <c r="P32" s="31"/>
      <c r="Q32" s="32"/>
      <c r="R32" s="37">
        <f t="shared" si="0"/>
        <v>0</v>
      </c>
      <c r="S32" s="7" t="e">
        <f t="shared" si="1"/>
        <v>#DIV/0!</v>
      </c>
    </row>
    <row r="33" spans="2:19" ht="18" customHeight="1" thickTop="1" x14ac:dyDescent="0.15">
      <c r="B33" s="13" t="s">
        <v>33</v>
      </c>
      <c r="C33" s="38">
        <f t="shared" ref="C33" si="2">SUM(C13:C32)</f>
        <v>795</v>
      </c>
      <c r="D33" s="39">
        <f t="shared" ref="D33:R33" si="3">SUM(D13:D32)</f>
        <v>126</v>
      </c>
      <c r="E33" s="40">
        <f t="shared" si="3"/>
        <v>752</v>
      </c>
      <c r="F33" s="40">
        <f t="shared" si="3"/>
        <v>125</v>
      </c>
      <c r="G33" s="40">
        <f t="shared" ref="G33:H33" si="4">SUM(G13:G32)</f>
        <v>0</v>
      </c>
      <c r="H33" s="40">
        <f t="shared" si="4"/>
        <v>135</v>
      </c>
      <c r="I33" s="40">
        <f t="shared" ref="I33:J33" si="5">SUM(I13:I32)</f>
        <v>0</v>
      </c>
      <c r="J33" s="40">
        <f t="shared" si="5"/>
        <v>0</v>
      </c>
      <c r="K33" s="40">
        <f t="shared" ref="K33:O33" si="6">SUM(K13:K32)</f>
        <v>0</v>
      </c>
      <c r="L33" s="40">
        <f t="shared" si="6"/>
        <v>0</v>
      </c>
      <c r="M33" s="40">
        <f t="shared" si="6"/>
        <v>0</v>
      </c>
      <c r="N33" s="40">
        <f t="shared" si="6"/>
        <v>0</v>
      </c>
      <c r="O33" s="40">
        <f t="shared" si="6"/>
        <v>0</v>
      </c>
      <c r="P33" s="40">
        <f t="shared" ref="P33:Q33" si="7">SUM(P13:P32)</f>
        <v>0</v>
      </c>
      <c r="Q33" s="38">
        <f t="shared" si="7"/>
        <v>0</v>
      </c>
      <c r="R33" s="39">
        <f t="shared" si="3"/>
        <v>260</v>
      </c>
      <c r="S33" s="9">
        <f t="shared" si="1"/>
        <v>0.34574468085106386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60" zoomScaleNormal="100" zoomScaleSheetLayoutView="100" workbookViewId="0">
      <selection activeCell="B80" sqref="B80:I91"/>
    </sheetView>
  </sheetViews>
  <sheetFormatPr defaultColWidth="11.375" defaultRowHeight="18.75" customHeight="1" x14ac:dyDescent="0.15"/>
  <cols>
    <col min="1" max="1" width="2.75" style="59" customWidth="1"/>
    <col min="2" max="2" width="16.625" style="46" customWidth="1"/>
    <col min="3" max="3" width="8.875" style="46" customWidth="1"/>
    <col min="4" max="4" width="2.25" style="46" customWidth="1"/>
    <col min="5" max="5" width="16.625" style="46" customWidth="1"/>
    <col min="6" max="6" width="4.375" style="46" customWidth="1"/>
    <col min="7" max="7" width="9" style="46" customWidth="1"/>
    <col min="8" max="8" width="16.625" style="46" customWidth="1"/>
    <col min="9" max="9" width="12.125" style="46" customWidth="1"/>
    <col min="10" max="16384" width="11.375" style="46"/>
  </cols>
  <sheetData>
    <row r="1" spans="1:9" ht="18.75" customHeight="1" x14ac:dyDescent="0.15">
      <c r="A1" s="59" t="s">
        <v>63</v>
      </c>
      <c r="I1" s="56" t="s">
        <v>97</v>
      </c>
    </row>
    <row r="2" spans="1:9" ht="18.75" customHeight="1" x14ac:dyDescent="0.15">
      <c r="G2" s="56" t="s">
        <v>99</v>
      </c>
      <c r="H2" s="102" t="str">
        <f>'様式１　プログラムを構成する授業科目'!C2</f>
        <v>川崎医科大学</v>
      </c>
      <c r="I2" s="104"/>
    </row>
    <row r="3" spans="1:9" ht="18.75" customHeight="1" x14ac:dyDescent="0.15">
      <c r="G3" s="56"/>
      <c r="H3" s="51"/>
      <c r="I3" s="51"/>
    </row>
    <row r="4" spans="1:9" ht="18.600000000000001" customHeight="1" x14ac:dyDescent="0.15">
      <c r="A4" s="125" t="s">
        <v>36</v>
      </c>
      <c r="B4" s="125"/>
      <c r="C4" s="125"/>
      <c r="D4" s="125"/>
      <c r="E4" s="125"/>
      <c r="F4" s="125"/>
      <c r="G4" s="125"/>
      <c r="H4" s="125"/>
      <c r="I4" s="125"/>
    </row>
    <row r="5" spans="1:9" ht="13.15" customHeight="1" x14ac:dyDescent="0.15">
      <c r="B5" s="50"/>
      <c r="C5" s="50"/>
      <c r="D5" s="50"/>
      <c r="E5" s="50"/>
      <c r="F5" s="50"/>
      <c r="G5" s="50"/>
      <c r="H5" s="50"/>
      <c r="I5" s="50"/>
    </row>
    <row r="6" spans="1:9" ht="18" customHeight="1" x14ac:dyDescent="0.15">
      <c r="A6" s="46" t="s">
        <v>0</v>
      </c>
      <c r="B6" s="51" t="s">
        <v>86</v>
      </c>
      <c r="C6" s="220" t="s">
        <v>87</v>
      </c>
      <c r="D6" s="220"/>
      <c r="E6" s="58">
        <v>569</v>
      </c>
      <c r="F6" s="50" t="s">
        <v>1</v>
      </c>
      <c r="G6" s="50" t="s">
        <v>2</v>
      </c>
      <c r="H6" s="58">
        <v>69</v>
      </c>
      <c r="I6" s="51" t="s">
        <v>1</v>
      </c>
    </row>
    <row r="7" spans="1:9" ht="12" customHeight="1" x14ac:dyDescent="0.15">
      <c r="C7" s="45"/>
      <c r="D7" s="45"/>
      <c r="E7" s="45"/>
      <c r="F7" s="45"/>
      <c r="G7" s="45"/>
      <c r="H7" s="45"/>
      <c r="I7" s="60"/>
    </row>
    <row r="8" spans="1:9" ht="18" customHeight="1" x14ac:dyDescent="0.15">
      <c r="A8" s="46" t="s">
        <v>3</v>
      </c>
      <c r="B8" s="51" t="s">
        <v>88</v>
      </c>
      <c r="E8" s="50"/>
      <c r="F8" s="50"/>
      <c r="G8" s="50"/>
      <c r="H8" s="58">
        <v>9</v>
      </c>
      <c r="I8" s="51" t="s">
        <v>1</v>
      </c>
    </row>
    <row r="9" spans="1:9" ht="9" customHeight="1" x14ac:dyDescent="0.15">
      <c r="B9" s="50"/>
      <c r="C9" s="50"/>
      <c r="D9" s="50"/>
      <c r="E9" s="50"/>
      <c r="F9" s="50"/>
      <c r="G9" s="50"/>
      <c r="H9" s="50"/>
      <c r="I9" s="50"/>
    </row>
    <row r="10" spans="1:9" ht="18" customHeight="1" x14ac:dyDescent="0.15">
      <c r="A10" s="46" t="s">
        <v>4</v>
      </c>
      <c r="B10" s="51" t="s">
        <v>89</v>
      </c>
      <c r="C10" s="50"/>
      <c r="D10" s="50"/>
      <c r="E10" s="50"/>
      <c r="F10" s="50"/>
      <c r="G10" s="50"/>
      <c r="H10" s="50"/>
      <c r="I10" s="50"/>
    </row>
    <row r="11" spans="1:9" ht="18" customHeight="1" x14ac:dyDescent="0.15">
      <c r="B11" s="56" t="s">
        <v>42</v>
      </c>
      <c r="C11" s="215" t="s">
        <v>155</v>
      </c>
      <c r="D11" s="218"/>
      <c r="E11" s="219"/>
      <c r="F11" s="60"/>
      <c r="G11" s="56" t="s">
        <v>10</v>
      </c>
      <c r="H11" s="215" t="s">
        <v>156</v>
      </c>
      <c r="I11" s="219"/>
    </row>
    <row r="12" spans="1:9" ht="10.15" customHeight="1" x14ac:dyDescent="0.15">
      <c r="B12" s="56"/>
      <c r="C12" s="51"/>
      <c r="D12" s="60"/>
      <c r="E12" s="60"/>
      <c r="F12" s="60"/>
      <c r="G12" s="56"/>
      <c r="H12" s="51"/>
      <c r="I12" s="60"/>
    </row>
    <row r="13" spans="1:9" ht="18" customHeight="1" x14ac:dyDescent="0.15">
      <c r="A13" s="46" t="s">
        <v>7</v>
      </c>
      <c r="B13" s="51" t="s">
        <v>84</v>
      </c>
      <c r="C13" s="50"/>
      <c r="D13" s="50"/>
      <c r="E13" s="50"/>
      <c r="F13" s="50"/>
      <c r="G13" s="50"/>
      <c r="H13" s="50"/>
      <c r="I13" s="50"/>
    </row>
    <row r="14" spans="1:9" ht="18" customHeight="1" x14ac:dyDescent="0.15">
      <c r="B14" s="215" t="s">
        <v>157</v>
      </c>
      <c r="C14" s="216"/>
      <c r="D14" s="216"/>
      <c r="E14" s="216"/>
      <c r="F14" s="216"/>
      <c r="G14" s="216"/>
      <c r="H14" s="216"/>
      <c r="I14" s="217"/>
    </row>
    <row r="15" spans="1:9" ht="9" customHeight="1" x14ac:dyDescent="0.15">
      <c r="B15" s="50"/>
      <c r="C15" s="50"/>
      <c r="D15" s="50"/>
      <c r="E15" s="50"/>
      <c r="F15" s="50"/>
      <c r="G15" s="50"/>
      <c r="H15" s="50"/>
      <c r="I15" s="50"/>
    </row>
    <row r="16" spans="1:9" ht="18" customHeight="1" x14ac:dyDescent="0.15">
      <c r="B16" s="56" t="s">
        <v>42</v>
      </c>
      <c r="C16" s="215" t="s">
        <v>158</v>
      </c>
      <c r="D16" s="218"/>
      <c r="E16" s="219"/>
      <c r="F16" s="60"/>
      <c r="G16" s="56" t="s">
        <v>10</v>
      </c>
      <c r="H16" s="215" t="s">
        <v>156</v>
      </c>
      <c r="I16" s="219"/>
    </row>
    <row r="17" spans="1:9" ht="18" customHeight="1" x14ac:dyDescent="0.15">
      <c r="B17" s="50"/>
      <c r="C17" s="50"/>
      <c r="D17" s="50"/>
      <c r="E17" s="50"/>
      <c r="F17" s="50"/>
      <c r="G17" s="50"/>
      <c r="H17" s="50"/>
      <c r="I17" s="50"/>
    </row>
    <row r="18" spans="1:9" ht="18.75" customHeight="1" x14ac:dyDescent="0.15">
      <c r="A18" s="46" t="s">
        <v>5</v>
      </c>
      <c r="B18" s="46" t="s">
        <v>41</v>
      </c>
      <c r="I18" s="50"/>
    </row>
    <row r="19" spans="1:9" ht="18.75" customHeight="1" x14ac:dyDescent="0.15">
      <c r="A19" s="46"/>
      <c r="B19" s="201" t="s">
        <v>159</v>
      </c>
      <c r="C19" s="202"/>
      <c r="D19" s="202"/>
      <c r="E19" s="202"/>
      <c r="F19" s="202"/>
      <c r="G19" s="202"/>
      <c r="H19" s="202"/>
      <c r="I19" s="203"/>
    </row>
    <row r="20" spans="1:9" ht="7.5" customHeight="1" x14ac:dyDescent="0.15">
      <c r="B20" s="50"/>
      <c r="C20" s="50"/>
      <c r="D20" s="50"/>
      <c r="E20" s="50"/>
      <c r="F20" s="50"/>
      <c r="G20" s="50"/>
      <c r="H20" s="50"/>
      <c r="I20" s="50"/>
    </row>
    <row r="21" spans="1:9" ht="18.75" customHeight="1" x14ac:dyDescent="0.15">
      <c r="A21" s="46" t="s">
        <v>8</v>
      </c>
      <c r="B21" s="46" t="s">
        <v>25</v>
      </c>
    </row>
    <row r="22" spans="1:9" ht="18.75" customHeight="1" x14ac:dyDescent="0.15">
      <c r="A22" s="61"/>
      <c r="B22" s="204" t="s">
        <v>160</v>
      </c>
      <c r="C22" s="205"/>
      <c r="D22" s="205"/>
      <c r="E22" s="205"/>
      <c r="F22" s="205"/>
      <c r="G22" s="205"/>
      <c r="H22" s="205"/>
      <c r="I22" s="206"/>
    </row>
    <row r="23" spans="1:9" ht="18.75" customHeight="1" x14ac:dyDescent="0.15">
      <c r="A23" s="61"/>
      <c r="B23" s="207"/>
      <c r="C23" s="208"/>
      <c r="D23" s="208"/>
      <c r="E23" s="208"/>
      <c r="F23" s="208"/>
      <c r="G23" s="208"/>
      <c r="H23" s="208"/>
      <c r="I23" s="209"/>
    </row>
    <row r="24" spans="1:9" ht="18.75" customHeight="1" x14ac:dyDescent="0.15">
      <c r="A24" s="61"/>
      <c r="B24" s="207"/>
      <c r="C24" s="208"/>
      <c r="D24" s="208"/>
      <c r="E24" s="208"/>
      <c r="F24" s="208"/>
      <c r="G24" s="208"/>
      <c r="H24" s="208"/>
      <c r="I24" s="209"/>
    </row>
    <row r="25" spans="1:9" ht="18.75" customHeight="1" x14ac:dyDescent="0.15">
      <c r="A25" s="61"/>
      <c r="B25" s="207"/>
      <c r="C25" s="208"/>
      <c r="D25" s="208"/>
      <c r="E25" s="208"/>
      <c r="F25" s="208"/>
      <c r="G25" s="208"/>
      <c r="H25" s="208"/>
      <c r="I25" s="209"/>
    </row>
    <row r="26" spans="1:9" ht="18.75" customHeight="1" x14ac:dyDescent="0.15">
      <c r="A26" s="61"/>
      <c r="B26" s="207"/>
      <c r="C26" s="208"/>
      <c r="D26" s="208"/>
      <c r="E26" s="208"/>
      <c r="F26" s="208"/>
      <c r="G26" s="208"/>
      <c r="H26" s="208"/>
      <c r="I26" s="209"/>
    </row>
    <row r="27" spans="1:9" ht="18.75" customHeight="1" x14ac:dyDescent="0.15">
      <c r="A27" s="61"/>
      <c r="B27" s="207"/>
      <c r="C27" s="208"/>
      <c r="D27" s="208"/>
      <c r="E27" s="208"/>
      <c r="F27" s="208"/>
      <c r="G27" s="208"/>
      <c r="H27" s="208"/>
      <c r="I27" s="209"/>
    </row>
    <row r="28" spans="1:9" ht="18.75" customHeight="1" x14ac:dyDescent="0.15">
      <c r="A28" s="61"/>
      <c r="B28" s="207"/>
      <c r="C28" s="208"/>
      <c r="D28" s="208"/>
      <c r="E28" s="208"/>
      <c r="F28" s="208"/>
      <c r="G28" s="208"/>
      <c r="H28" s="208"/>
      <c r="I28" s="209"/>
    </row>
    <row r="29" spans="1:9" ht="18.75" customHeight="1" x14ac:dyDescent="0.15">
      <c r="A29" s="61"/>
      <c r="B29" s="207"/>
      <c r="C29" s="208"/>
      <c r="D29" s="208"/>
      <c r="E29" s="208"/>
      <c r="F29" s="208"/>
      <c r="G29" s="208"/>
      <c r="H29" s="208"/>
      <c r="I29" s="209"/>
    </row>
    <row r="30" spans="1:9" ht="18.75" customHeight="1" x14ac:dyDescent="0.15">
      <c r="A30" s="61"/>
      <c r="B30" s="210"/>
      <c r="C30" s="211"/>
      <c r="D30" s="211"/>
      <c r="E30" s="211"/>
      <c r="F30" s="211"/>
      <c r="G30" s="211"/>
      <c r="H30" s="211"/>
      <c r="I30" s="209"/>
    </row>
    <row r="31" spans="1:9" ht="18.75" customHeight="1" x14ac:dyDescent="0.15">
      <c r="A31" s="61"/>
      <c r="B31" s="210"/>
      <c r="C31" s="211"/>
      <c r="D31" s="211"/>
      <c r="E31" s="211"/>
      <c r="F31" s="211"/>
      <c r="G31" s="211"/>
      <c r="H31" s="211"/>
      <c r="I31" s="209"/>
    </row>
    <row r="32" spans="1:9" ht="33" customHeight="1" x14ac:dyDescent="0.15">
      <c r="A32" s="61"/>
      <c r="B32" s="212"/>
      <c r="C32" s="213"/>
      <c r="D32" s="213"/>
      <c r="E32" s="213"/>
      <c r="F32" s="213"/>
      <c r="G32" s="213"/>
      <c r="H32" s="213"/>
      <c r="I32" s="214"/>
    </row>
    <row r="33" spans="1:9" ht="7.5" customHeight="1" x14ac:dyDescent="0.15">
      <c r="A33" s="61"/>
      <c r="B33" s="61"/>
      <c r="C33" s="61"/>
      <c r="D33" s="61"/>
      <c r="E33" s="61"/>
      <c r="F33" s="61"/>
      <c r="G33" s="61"/>
      <c r="H33" s="61"/>
      <c r="I33" s="61"/>
    </row>
    <row r="34" spans="1:9" ht="18.75" customHeight="1" x14ac:dyDescent="0.15">
      <c r="A34" s="57" t="s">
        <v>6</v>
      </c>
      <c r="B34" s="57" t="s">
        <v>9</v>
      </c>
      <c r="C34" s="51"/>
      <c r="D34" s="57"/>
      <c r="E34" s="57"/>
      <c r="F34" s="57"/>
      <c r="G34" s="57"/>
      <c r="H34" s="57"/>
      <c r="I34" s="57"/>
    </row>
    <row r="35" spans="1:9" ht="18.75" customHeight="1" x14ac:dyDescent="0.15">
      <c r="A35" s="61"/>
      <c r="B35" s="204" t="s">
        <v>161</v>
      </c>
      <c r="C35" s="205"/>
      <c r="D35" s="205"/>
      <c r="E35" s="205"/>
      <c r="F35" s="205"/>
      <c r="G35" s="205"/>
      <c r="H35" s="205"/>
      <c r="I35" s="206"/>
    </row>
    <row r="36" spans="1:9" ht="18.75" customHeight="1" x14ac:dyDescent="0.15">
      <c r="A36" s="61"/>
      <c r="B36" s="210"/>
      <c r="C36" s="211"/>
      <c r="D36" s="211"/>
      <c r="E36" s="211"/>
      <c r="F36" s="211"/>
      <c r="G36" s="211"/>
      <c r="H36" s="211"/>
      <c r="I36" s="209"/>
    </row>
    <row r="37" spans="1:9" ht="18.75" customHeight="1" x14ac:dyDescent="0.15">
      <c r="A37" s="61"/>
      <c r="B37" s="210"/>
      <c r="C37" s="211"/>
      <c r="D37" s="211"/>
      <c r="E37" s="211"/>
      <c r="F37" s="211"/>
      <c r="G37" s="211"/>
      <c r="H37" s="211"/>
      <c r="I37" s="209"/>
    </row>
    <row r="38" spans="1:9" ht="18.75" customHeight="1" x14ac:dyDescent="0.15">
      <c r="A38" s="61"/>
      <c r="B38" s="210"/>
      <c r="C38" s="211"/>
      <c r="D38" s="211"/>
      <c r="E38" s="211"/>
      <c r="F38" s="211"/>
      <c r="G38" s="211"/>
      <c r="H38" s="211"/>
      <c r="I38" s="209"/>
    </row>
    <row r="39" spans="1:9" ht="18.75" customHeight="1" x14ac:dyDescent="0.15">
      <c r="A39" s="61"/>
      <c r="B39" s="210"/>
      <c r="C39" s="211"/>
      <c r="D39" s="211"/>
      <c r="E39" s="211"/>
      <c r="F39" s="211"/>
      <c r="G39" s="211"/>
      <c r="H39" s="211"/>
      <c r="I39" s="209"/>
    </row>
    <row r="40" spans="1:9" ht="18.75" customHeight="1" x14ac:dyDescent="0.15">
      <c r="A40" s="61"/>
      <c r="B40" s="210"/>
      <c r="C40" s="211"/>
      <c r="D40" s="211"/>
      <c r="E40" s="211"/>
      <c r="F40" s="211"/>
      <c r="G40" s="211"/>
      <c r="H40" s="211"/>
      <c r="I40" s="209"/>
    </row>
    <row r="41" spans="1:9" ht="18.75" customHeight="1" x14ac:dyDescent="0.15">
      <c r="A41" s="61"/>
      <c r="B41" s="210"/>
      <c r="C41" s="211"/>
      <c r="D41" s="211"/>
      <c r="E41" s="211"/>
      <c r="F41" s="211"/>
      <c r="G41" s="211"/>
      <c r="H41" s="211"/>
      <c r="I41" s="209"/>
    </row>
    <row r="42" spans="1:9" ht="18.75" customHeight="1" x14ac:dyDescent="0.15">
      <c r="A42" s="61"/>
      <c r="B42" s="210"/>
      <c r="C42" s="211"/>
      <c r="D42" s="211"/>
      <c r="E42" s="211"/>
      <c r="F42" s="211"/>
      <c r="G42" s="211"/>
      <c r="H42" s="211"/>
      <c r="I42" s="209"/>
    </row>
    <row r="43" spans="1:9" ht="18.75" customHeight="1" x14ac:dyDescent="0.15">
      <c r="A43" s="61"/>
      <c r="B43" s="210"/>
      <c r="C43" s="211"/>
      <c r="D43" s="211"/>
      <c r="E43" s="211"/>
      <c r="F43" s="211"/>
      <c r="G43" s="211"/>
      <c r="H43" s="211"/>
      <c r="I43" s="209"/>
    </row>
    <row r="44" spans="1:9" ht="18.75" customHeight="1" x14ac:dyDescent="0.15">
      <c r="A44" s="61"/>
      <c r="B44" s="210"/>
      <c r="C44" s="211"/>
      <c r="D44" s="211"/>
      <c r="E44" s="211"/>
      <c r="F44" s="211"/>
      <c r="G44" s="211"/>
      <c r="H44" s="211"/>
      <c r="I44" s="209"/>
    </row>
    <row r="45" spans="1:9" ht="18.75" customHeight="1" x14ac:dyDescent="0.15">
      <c r="A45" s="61"/>
      <c r="B45" s="210"/>
      <c r="C45" s="211"/>
      <c r="D45" s="211"/>
      <c r="E45" s="211"/>
      <c r="F45" s="211"/>
      <c r="G45" s="211"/>
      <c r="H45" s="211"/>
      <c r="I45" s="209"/>
    </row>
    <row r="46" spans="1:9" ht="18.75" customHeight="1" x14ac:dyDescent="0.15">
      <c r="A46" s="61"/>
      <c r="B46" s="212"/>
      <c r="C46" s="213"/>
      <c r="D46" s="213"/>
      <c r="E46" s="213"/>
      <c r="F46" s="213"/>
      <c r="G46" s="213"/>
      <c r="H46" s="213"/>
      <c r="I46" s="214"/>
    </row>
    <row r="47" spans="1:9" ht="7.5" customHeight="1" x14ac:dyDescent="0.15">
      <c r="A47" s="62"/>
      <c r="B47" s="62"/>
      <c r="C47" s="62"/>
      <c r="D47" s="62"/>
      <c r="E47" s="62"/>
      <c r="F47" s="62"/>
      <c r="G47" s="62"/>
      <c r="H47" s="62"/>
      <c r="I47" s="62"/>
    </row>
    <row r="48" spans="1:9" ht="18.75" customHeight="1" x14ac:dyDescent="0.15">
      <c r="A48" s="46" t="s">
        <v>31</v>
      </c>
      <c r="B48" s="46" t="s">
        <v>185</v>
      </c>
    </row>
    <row r="49" spans="1:15" s="50" customFormat="1" ht="18.75" customHeight="1" x14ac:dyDescent="0.15">
      <c r="B49" s="63" t="s">
        <v>127</v>
      </c>
      <c r="C49" s="190">
        <f>'様式２ 履修者等数の実績'!S33</f>
        <v>0.34574468085106386</v>
      </c>
      <c r="D49" s="190"/>
      <c r="E49" s="63" t="s">
        <v>64</v>
      </c>
      <c r="F49" s="190">
        <v>0.5</v>
      </c>
      <c r="G49" s="190"/>
      <c r="H49" s="63" t="s">
        <v>65</v>
      </c>
      <c r="I49" s="64">
        <v>0.65</v>
      </c>
      <c r="J49" s="46"/>
      <c r="M49" s="46"/>
      <c r="N49" s="65"/>
    </row>
    <row r="50" spans="1:15" s="50" customFormat="1" ht="18.75" customHeight="1" x14ac:dyDescent="0.15">
      <c r="B50" s="66" t="s">
        <v>85</v>
      </c>
      <c r="C50" s="173">
        <v>0.8</v>
      </c>
      <c r="D50" s="173"/>
      <c r="E50" s="66" t="s">
        <v>128</v>
      </c>
      <c r="F50" s="173">
        <v>0.95</v>
      </c>
      <c r="G50" s="173"/>
      <c r="H50" s="66" t="s">
        <v>66</v>
      </c>
      <c r="I50" s="67">
        <f>'様式２ 履修者等数の実績'!E33</f>
        <v>752</v>
      </c>
      <c r="J50" s="46"/>
      <c r="M50" s="46"/>
      <c r="N50" s="65"/>
    </row>
    <row r="51" spans="1:15" ht="18.75" customHeight="1" x14ac:dyDescent="0.15">
      <c r="A51" s="46"/>
      <c r="B51" s="222" t="s">
        <v>67</v>
      </c>
      <c r="C51" s="223"/>
      <c r="D51" s="223"/>
      <c r="E51" s="223"/>
      <c r="F51" s="223"/>
      <c r="G51" s="223"/>
      <c r="H51" s="223"/>
      <c r="I51" s="224"/>
      <c r="N51" s="65"/>
      <c r="O51" s="50"/>
    </row>
    <row r="52" spans="1:15" ht="18.75" customHeight="1" x14ac:dyDescent="0.15">
      <c r="A52" s="46"/>
      <c r="B52" s="191" t="s">
        <v>184</v>
      </c>
      <c r="C52" s="192"/>
      <c r="D52" s="192"/>
      <c r="E52" s="192"/>
      <c r="F52" s="192"/>
      <c r="G52" s="192"/>
      <c r="H52" s="192"/>
      <c r="I52" s="193"/>
      <c r="N52" s="65"/>
      <c r="O52" s="50"/>
    </row>
    <row r="53" spans="1:15" ht="18.75" customHeight="1" x14ac:dyDescent="0.15">
      <c r="A53" s="46"/>
      <c r="B53" s="194"/>
      <c r="C53" s="195"/>
      <c r="D53" s="195"/>
      <c r="E53" s="195"/>
      <c r="F53" s="195"/>
      <c r="G53" s="195"/>
      <c r="H53" s="195"/>
      <c r="I53" s="196"/>
      <c r="N53" s="65"/>
      <c r="O53" s="50"/>
    </row>
    <row r="54" spans="1:15" ht="18.75" customHeight="1" x14ac:dyDescent="0.15">
      <c r="A54" s="46"/>
      <c r="B54" s="194"/>
      <c r="C54" s="195"/>
      <c r="D54" s="195"/>
      <c r="E54" s="195"/>
      <c r="F54" s="195"/>
      <c r="G54" s="195"/>
      <c r="H54" s="195"/>
      <c r="I54" s="196"/>
    </row>
    <row r="55" spans="1:15" ht="18.75" customHeight="1" x14ac:dyDescent="0.15">
      <c r="A55" s="46"/>
      <c r="B55" s="194"/>
      <c r="C55" s="195"/>
      <c r="D55" s="195"/>
      <c r="E55" s="195"/>
      <c r="F55" s="195"/>
      <c r="G55" s="195"/>
      <c r="H55" s="195"/>
      <c r="I55" s="196"/>
    </row>
    <row r="56" spans="1:15" ht="18.75" customHeight="1" x14ac:dyDescent="0.15">
      <c r="A56" s="46"/>
      <c r="B56" s="194"/>
      <c r="C56" s="195"/>
      <c r="D56" s="195"/>
      <c r="E56" s="195"/>
      <c r="F56" s="195"/>
      <c r="G56" s="195"/>
      <c r="H56" s="195"/>
      <c r="I56" s="196"/>
    </row>
    <row r="57" spans="1:15" ht="18.75" customHeight="1" x14ac:dyDescent="0.15">
      <c r="A57" s="46"/>
      <c r="B57" s="194"/>
      <c r="C57" s="195"/>
      <c r="D57" s="195"/>
      <c r="E57" s="195"/>
      <c r="F57" s="195"/>
      <c r="G57" s="195"/>
      <c r="H57" s="195"/>
      <c r="I57" s="196"/>
    </row>
    <row r="58" spans="1:15" ht="18.75" customHeight="1" x14ac:dyDescent="0.15">
      <c r="A58" s="46"/>
      <c r="B58" s="194"/>
      <c r="C58" s="195"/>
      <c r="D58" s="195"/>
      <c r="E58" s="195"/>
      <c r="F58" s="195"/>
      <c r="G58" s="195"/>
      <c r="H58" s="195"/>
      <c r="I58" s="196"/>
    </row>
    <row r="59" spans="1:15" ht="18.75" customHeight="1" x14ac:dyDescent="0.15">
      <c r="A59" s="46"/>
      <c r="B59" s="194"/>
      <c r="C59" s="195"/>
      <c r="D59" s="195"/>
      <c r="E59" s="195"/>
      <c r="F59" s="195"/>
      <c r="G59" s="195"/>
      <c r="H59" s="195"/>
      <c r="I59" s="196"/>
    </row>
    <row r="60" spans="1:15" ht="18.75" customHeight="1" x14ac:dyDescent="0.15">
      <c r="A60" s="46"/>
      <c r="B60" s="194"/>
      <c r="C60" s="195"/>
      <c r="D60" s="195"/>
      <c r="E60" s="195"/>
      <c r="F60" s="195"/>
      <c r="G60" s="195"/>
      <c r="H60" s="195"/>
      <c r="I60" s="196"/>
    </row>
    <row r="61" spans="1:15" ht="18.75" customHeight="1" x14ac:dyDescent="0.15">
      <c r="A61" s="46"/>
      <c r="B61" s="194"/>
      <c r="C61" s="195"/>
      <c r="D61" s="195"/>
      <c r="E61" s="195"/>
      <c r="F61" s="195"/>
      <c r="G61" s="195"/>
      <c r="H61" s="195"/>
      <c r="I61" s="196"/>
    </row>
    <row r="62" spans="1:15" ht="18.75" customHeight="1" x14ac:dyDescent="0.15">
      <c r="A62" s="46"/>
      <c r="B62" s="194"/>
      <c r="C62" s="195"/>
      <c r="D62" s="195"/>
      <c r="E62" s="195"/>
      <c r="F62" s="195"/>
      <c r="G62" s="195"/>
      <c r="H62" s="195"/>
      <c r="I62" s="196"/>
    </row>
    <row r="63" spans="1:15" ht="18.75" customHeight="1" x14ac:dyDescent="0.15">
      <c r="A63" s="46"/>
      <c r="B63" s="197"/>
      <c r="C63" s="198"/>
      <c r="D63" s="198"/>
      <c r="E63" s="198"/>
      <c r="F63" s="198"/>
      <c r="G63" s="198"/>
      <c r="H63" s="198"/>
      <c r="I63" s="199"/>
    </row>
    <row r="64" spans="1:15" ht="7.5" customHeight="1" x14ac:dyDescent="0.15">
      <c r="A64" s="61"/>
      <c r="B64" s="61"/>
      <c r="C64" s="61"/>
      <c r="D64" s="61"/>
      <c r="E64" s="61"/>
      <c r="F64" s="61"/>
      <c r="G64" s="61"/>
      <c r="H64" s="61"/>
      <c r="I64" s="61"/>
    </row>
    <row r="65" spans="1:9" ht="18.75" customHeight="1" x14ac:dyDescent="0.15">
      <c r="A65" s="57" t="s">
        <v>34</v>
      </c>
      <c r="B65" s="46" t="s">
        <v>37</v>
      </c>
      <c r="I65" s="57"/>
    </row>
    <row r="66" spans="1:9" ht="18.75" customHeight="1" x14ac:dyDescent="0.15">
      <c r="A66" s="62"/>
      <c r="B66" s="174" t="s">
        <v>172</v>
      </c>
      <c r="C66" s="175"/>
      <c r="D66" s="175"/>
      <c r="E66" s="175"/>
      <c r="F66" s="175"/>
      <c r="G66" s="175"/>
      <c r="H66" s="175"/>
      <c r="I66" s="176"/>
    </row>
    <row r="67" spans="1:9" ht="18.75" customHeight="1" x14ac:dyDescent="0.15">
      <c r="A67" s="62"/>
      <c r="B67" s="177"/>
      <c r="C67" s="178"/>
      <c r="D67" s="178"/>
      <c r="E67" s="178"/>
      <c r="F67" s="178"/>
      <c r="G67" s="178"/>
      <c r="H67" s="178"/>
      <c r="I67" s="179"/>
    </row>
    <row r="68" spans="1:9" ht="18.75" customHeight="1" x14ac:dyDescent="0.15">
      <c r="A68" s="62"/>
      <c r="B68" s="177"/>
      <c r="C68" s="178"/>
      <c r="D68" s="178"/>
      <c r="E68" s="178"/>
      <c r="F68" s="178"/>
      <c r="G68" s="178"/>
      <c r="H68" s="178"/>
      <c r="I68" s="179"/>
    </row>
    <row r="69" spans="1:9" ht="18.75" customHeight="1" x14ac:dyDescent="0.15">
      <c r="A69" s="62"/>
      <c r="B69" s="177"/>
      <c r="C69" s="178"/>
      <c r="D69" s="178"/>
      <c r="E69" s="178"/>
      <c r="F69" s="178"/>
      <c r="G69" s="178"/>
      <c r="H69" s="178"/>
      <c r="I69" s="179"/>
    </row>
    <row r="70" spans="1:9" ht="18.75" customHeight="1" x14ac:dyDescent="0.15">
      <c r="A70" s="62"/>
      <c r="B70" s="177"/>
      <c r="C70" s="178"/>
      <c r="D70" s="178"/>
      <c r="E70" s="178"/>
      <c r="F70" s="178"/>
      <c r="G70" s="178"/>
      <c r="H70" s="178"/>
      <c r="I70" s="179"/>
    </row>
    <row r="71" spans="1:9" ht="18.75" customHeight="1" x14ac:dyDescent="0.15">
      <c r="A71" s="62"/>
      <c r="B71" s="177"/>
      <c r="C71" s="178"/>
      <c r="D71" s="178"/>
      <c r="E71" s="178"/>
      <c r="F71" s="178"/>
      <c r="G71" s="178"/>
      <c r="H71" s="178"/>
      <c r="I71" s="179"/>
    </row>
    <row r="72" spans="1:9" ht="18.75" customHeight="1" x14ac:dyDescent="0.15">
      <c r="A72" s="62"/>
      <c r="B72" s="177"/>
      <c r="C72" s="178"/>
      <c r="D72" s="178"/>
      <c r="E72" s="178"/>
      <c r="F72" s="178"/>
      <c r="G72" s="178"/>
      <c r="H72" s="178"/>
      <c r="I72" s="179"/>
    </row>
    <row r="73" spans="1:9" ht="18.75" customHeight="1" x14ac:dyDescent="0.15">
      <c r="A73" s="62"/>
      <c r="B73" s="177"/>
      <c r="C73" s="178"/>
      <c r="D73" s="178"/>
      <c r="E73" s="178"/>
      <c r="F73" s="178"/>
      <c r="G73" s="178"/>
      <c r="H73" s="178"/>
      <c r="I73" s="179"/>
    </row>
    <row r="74" spans="1:9" ht="18.75" customHeight="1" x14ac:dyDescent="0.15">
      <c r="A74" s="62"/>
      <c r="B74" s="177"/>
      <c r="C74" s="178"/>
      <c r="D74" s="178"/>
      <c r="E74" s="178"/>
      <c r="F74" s="178"/>
      <c r="G74" s="178"/>
      <c r="H74" s="178"/>
      <c r="I74" s="179"/>
    </row>
    <row r="75" spans="1:9" ht="18.75" customHeight="1" x14ac:dyDescent="0.15">
      <c r="A75" s="62"/>
      <c r="B75" s="177"/>
      <c r="C75" s="178"/>
      <c r="D75" s="178"/>
      <c r="E75" s="178"/>
      <c r="F75" s="178"/>
      <c r="G75" s="178"/>
      <c r="H75" s="178"/>
      <c r="I75" s="179"/>
    </row>
    <row r="76" spans="1:9" ht="18.75" customHeight="1" x14ac:dyDescent="0.15">
      <c r="A76" s="62"/>
      <c r="B76" s="177"/>
      <c r="C76" s="178"/>
      <c r="D76" s="178"/>
      <c r="E76" s="178"/>
      <c r="F76" s="178"/>
      <c r="G76" s="178"/>
      <c r="H76" s="178"/>
      <c r="I76" s="179"/>
    </row>
    <row r="77" spans="1:9" ht="18.75" customHeight="1" x14ac:dyDescent="0.15">
      <c r="A77" s="62"/>
      <c r="B77" s="180"/>
      <c r="C77" s="181"/>
      <c r="D77" s="181"/>
      <c r="E77" s="181"/>
      <c r="F77" s="181"/>
      <c r="G77" s="181"/>
      <c r="H77" s="181"/>
      <c r="I77" s="182"/>
    </row>
    <row r="78" spans="1:9" ht="7.5" customHeight="1" x14ac:dyDescent="0.15">
      <c r="A78" s="62"/>
      <c r="B78" s="62"/>
      <c r="C78" s="62"/>
      <c r="D78" s="62"/>
      <c r="E78" s="62"/>
      <c r="F78" s="62"/>
      <c r="G78" s="62"/>
      <c r="H78" s="62"/>
      <c r="I78" s="62"/>
    </row>
    <row r="79" spans="1:9" ht="18.75" customHeight="1" x14ac:dyDescent="0.15">
      <c r="A79" s="46" t="s">
        <v>11</v>
      </c>
      <c r="B79" s="46" t="s">
        <v>40</v>
      </c>
    </row>
    <row r="80" spans="1:9" ht="18.75" customHeight="1" x14ac:dyDescent="0.15">
      <c r="A80" s="46"/>
      <c r="B80" s="174" t="s">
        <v>189</v>
      </c>
      <c r="C80" s="175"/>
      <c r="D80" s="175"/>
      <c r="E80" s="175"/>
      <c r="F80" s="175"/>
      <c r="G80" s="175"/>
      <c r="H80" s="175"/>
      <c r="I80" s="183"/>
    </row>
    <row r="81" spans="1:9" ht="18.75" customHeight="1" x14ac:dyDescent="0.15">
      <c r="A81" s="46"/>
      <c r="B81" s="184"/>
      <c r="C81" s="185"/>
      <c r="D81" s="185"/>
      <c r="E81" s="185"/>
      <c r="F81" s="185"/>
      <c r="G81" s="185"/>
      <c r="H81" s="185"/>
      <c r="I81" s="186"/>
    </row>
    <row r="82" spans="1:9" ht="18.75" customHeight="1" x14ac:dyDescent="0.15">
      <c r="A82" s="46"/>
      <c r="B82" s="184"/>
      <c r="C82" s="185"/>
      <c r="D82" s="185"/>
      <c r="E82" s="185"/>
      <c r="F82" s="185"/>
      <c r="G82" s="185"/>
      <c r="H82" s="185"/>
      <c r="I82" s="186"/>
    </row>
    <row r="83" spans="1:9" ht="18.75" customHeight="1" x14ac:dyDescent="0.15">
      <c r="A83" s="46"/>
      <c r="B83" s="184"/>
      <c r="C83" s="185"/>
      <c r="D83" s="185"/>
      <c r="E83" s="185"/>
      <c r="F83" s="185"/>
      <c r="G83" s="185"/>
      <c r="H83" s="185"/>
      <c r="I83" s="186"/>
    </row>
    <row r="84" spans="1:9" ht="18.75" customHeight="1" x14ac:dyDescent="0.15">
      <c r="A84" s="46"/>
      <c r="B84" s="184"/>
      <c r="C84" s="185"/>
      <c r="D84" s="185"/>
      <c r="E84" s="185"/>
      <c r="F84" s="185"/>
      <c r="G84" s="185"/>
      <c r="H84" s="185"/>
      <c r="I84" s="186"/>
    </row>
    <row r="85" spans="1:9" ht="18.75" customHeight="1" x14ac:dyDescent="0.15">
      <c r="A85" s="46"/>
      <c r="B85" s="184"/>
      <c r="C85" s="185"/>
      <c r="D85" s="185"/>
      <c r="E85" s="185"/>
      <c r="F85" s="185"/>
      <c r="G85" s="185"/>
      <c r="H85" s="185"/>
      <c r="I85" s="186"/>
    </row>
    <row r="86" spans="1:9" ht="18.75" customHeight="1" x14ac:dyDescent="0.15">
      <c r="A86" s="46"/>
      <c r="B86" s="184"/>
      <c r="C86" s="185"/>
      <c r="D86" s="185"/>
      <c r="E86" s="185"/>
      <c r="F86" s="185"/>
      <c r="G86" s="185"/>
      <c r="H86" s="185"/>
      <c r="I86" s="186"/>
    </row>
    <row r="87" spans="1:9" ht="18.75" customHeight="1" x14ac:dyDescent="0.15">
      <c r="A87" s="46"/>
      <c r="B87" s="184"/>
      <c r="C87" s="185"/>
      <c r="D87" s="185"/>
      <c r="E87" s="185"/>
      <c r="F87" s="185"/>
      <c r="G87" s="185"/>
      <c r="H87" s="185"/>
      <c r="I87" s="186"/>
    </row>
    <row r="88" spans="1:9" ht="18.75" customHeight="1" x14ac:dyDescent="0.15">
      <c r="A88" s="46"/>
      <c r="B88" s="184"/>
      <c r="C88" s="185"/>
      <c r="D88" s="185"/>
      <c r="E88" s="185"/>
      <c r="F88" s="185"/>
      <c r="G88" s="185"/>
      <c r="H88" s="185"/>
      <c r="I88" s="186"/>
    </row>
    <row r="89" spans="1:9" ht="18.75" customHeight="1" x14ac:dyDescent="0.15">
      <c r="A89" s="46"/>
      <c r="B89" s="184"/>
      <c r="C89" s="185"/>
      <c r="D89" s="185"/>
      <c r="E89" s="185"/>
      <c r="F89" s="185"/>
      <c r="G89" s="185"/>
      <c r="H89" s="185"/>
      <c r="I89" s="186"/>
    </row>
    <row r="90" spans="1:9" ht="18.75" customHeight="1" x14ac:dyDescent="0.15">
      <c r="A90" s="62"/>
      <c r="B90" s="184"/>
      <c r="C90" s="185"/>
      <c r="D90" s="185"/>
      <c r="E90" s="185"/>
      <c r="F90" s="185"/>
      <c r="G90" s="185"/>
      <c r="H90" s="185"/>
      <c r="I90" s="186"/>
    </row>
    <row r="91" spans="1:9" ht="18.75" customHeight="1" x14ac:dyDescent="0.15">
      <c r="A91" s="62"/>
      <c r="B91" s="187"/>
      <c r="C91" s="188"/>
      <c r="D91" s="188"/>
      <c r="E91" s="188"/>
      <c r="F91" s="188"/>
      <c r="G91" s="188"/>
      <c r="H91" s="188"/>
      <c r="I91" s="189"/>
    </row>
    <row r="92" spans="1:9" ht="7.5" customHeight="1" x14ac:dyDescent="0.15">
      <c r="A92" s="62"/>
      <c r="B92" s="62"/>
      <c r="C92" s="62"/>
      <c r="D92" s="62"/>
      <c r="E92" s="62"/>
      <c r="F92" s="62"/>
      <c r="G92" s="62"/>
      <c r="H92" s="62"/>
      <c r="I92" s="62"/>
    </row>
    <row r="93" spans="1:9" ht="18.75" customHeight="1" x14ac:dyDescent="0.15">
      <c r="A93" s="46" t="s">
        <v>43</v>
      </c>
      <c r="B93" s="46" t="s">
        <v>13</v>
      </c>
    </row>
    <row r="94" spans="1:9" ht="18.75" customHeight="1" x14ac:dyDescent="0.15">
      <c r="A94" s="46"/>
      <c r="B94" s="204" t="s">
        <v>190</v>
      </c>
      <c r="C94" s="205"/>
      <c r="D94" s="205"/>
      <c r="E94" s="205"/>
      <c r="F94" s="205"/>
      <c r="G94" s="205"/>
      <c r="H94" s="205"/>
      <c r="I94" s="206"/>
    </row>
    <row r="95" spans="1:9" ht="18.75" customHeight="1" x14ac:dyDescent="0.15">
      <c r="A95" s="46"/>
      <c r="B95" s="210"/>
      <c r="C95" s="211"/>
      <c r="D95" s="211"/>
      <c r="E95" s="211"/>
      <c r="F95" s="211"/>
      <c r="G95" s="211"/>
      <c r="H95" s="211"/>
      <c r="I95" s="209"/>
    </row>
    <row r="96" spans="1:9" ht="18.75" customHeight="1" x14ac:dyDescent="0.15">
      <c r="A96" s="46"/>
      <c r="B96" s="210"/>
      <c r="C96" s="211"/>
      <c r="D96" s="211"/>
      <c r="E96" s="211"/>
      <c r="F96" s="211"/>
      <c r="G96" s="211"/>
      <c r="H96" s="211"/>
      <c r="I96" s="209"/>
    </row>
    <row r="97" spans="1:9" ht="18.75" customHeight="1" x14ac:dyDescent="0.15">
      <c r="A97" s="46"/>
      <c r="B97" s="210"/>
      <c r="C97" s="211"/>
      <c r="D97" s="211"/>
      <c r="E97" s="211"/>
      <c r="F97" s="211"/>
      <c r="G97" s="211"/>
      <c r="H97" s="211"/>
      <c r="I97" s="209"/>
    </row>
    <row r="98" spans="1:9" ht="18.75" customHeight="1" x14ac:dyDescent="0.15">
      <c r="A98" s="46"/>
      <c r="B98" s="210"/>
      <c r="C98" s="211"/>
      <c r="D98" s="211"/>
      <c r="E98" s="211"/>
      <c r="F98" s="211"/>
      <c r="G98" s="211"/>
      <c r="H98" s="211"/>
      <c r="I98" s="209"/>
    </row>
    <row r="99" spans="1:9" ht="18.75" customHeight="1" x14ac:dyDescent="0.15">
      <c r="A99" s="46"/>
      <c r="B99" s="210"/>
      <c r="C99" s="211"/>
      <c r="D99" s="211"/>
      <c r="E99" s="211"/>
      <c r="F99" s="211"/>
      <c r="G99" s="211"/>
      <c r="H99" s="211"/>
      <c r="I99" s="209"/>
    </row>
    <row r="100" spans="1:9" ht="18.75" customHeight="1" x14ac:dyDescent="0.15">
      <c r="A100" s="46"/>
      <c r="B100" s="210"/>
      <c r="C100" s="211"/>
      <c r="D100" s="211"/>
      <c r="E100" s="211"/>
      <c r="F100" s="211"/>
      <c r="G100" s="211"/>
      <c r="H100" s="211"/>
      <c r="I100" s="209"/>
    </row>
    <row r="101" spans="1:9" ht="18.75" customHeight="1" x14ac:dyDescent="0.15">
      <c r="A101" s="46"/>
      <c r="B101" s="210"/>
      <c r="C101" s="211"/>
      <c r="D101" s="211"/>
      <c r="E101" s="211"/>
      <c r="F101" s="211"/>
      <c r="G101" s="211"/>
      <c r="H101" s="211"/>
      <c r="I101" s="209"/>
    </row>
    <row r="102" spans="1:9" ht="18.75" customHeight="1" x14ac:dyDescent="0.15">
      <c r="A102" s="46"/>
      <c r="B102" s="210"/>
      <c r="C102" s="211"/>
      <c r="D102" s="211"/>
      <c r="E102" s="211"/>
      <c r="F102" s="211"/>
      <c r="G102" s="211"/>
      <c r="H102" s="211"/>
      <c r="I102" s="209"/>
    </row>
    <row r="103" spans="1:9" ht="18.75" customHeight="1" x14ac:dyDescent="0.15">
      <c r="A103" s="46"/>
      <c r="B103" s="210"/>
      <c r="C103" s="211"/>
      <c r="D103" s="211"/>
      <c r="E103" s="211"/>
      <c r="F103" s="211"/>
      <c r="G103" s="211"/>
      <c r="H103" s="211"/>
      <c r="I103" s="209"/>
    </row>
    <row r="104" spans="1:9" ht="18.75" customHeight="1" x14ac:dyDescent="0.15">
      <c r="A104" s="46"/>
      <c r="B104" s="210"/>
      <c r="C104" s="211"/>
      <c r="D104" s="211"/>
      <c r="E104" s="211"/>
      <c r="F104" s="211"/>
      <c r="G104" s="211"/>
      <c r="H104" s="211"/>
      <c r="I104" s="209"/>
    </row>
    <row r="105" spans="1:9" ht="18.75" customHeight="1" x14ac:dyDescent="0.15">
      <c r="A105" s="62"/>
      <c r="B105" s="212"/>
      <c r="C105" s="213"/>
      <c r="D105" s="213"/>
      <c r="E105" s="213"/>
      <c r="F105" s="213"/>
      <c r="G105" s="213"/>
      <c r="H105" s="213"/>
      <c r="I105" s="214"/>
    </row>
    <row r="106" spans="1:9" ht="7.5" customHeight="1" x14ac:dyDescent="0.15">
      <c r="A106" s="62"/>
      <c r="B106" s="62"/>
      <c r="C106" s="62"/>
      <c r="D106" s="62"/>
      <c r="E106" s="62"/>
      <c r="F106" s="62"/>
      <c r="G106" s="62"/>
      <c r="H106" s="62"/>
      <c r="I106" s="62"/>
    </row>
    <row r="107" spans="1:9" ht="18.75" customHeight="1" x14ac:dyDescent="0.15">
      <c r="A107" s="46" t="s">
        <v>30</v>
      </c>
      <c r="B107" s="221" t="s">
        <v>45</v>
      </c>
      <c r="C107" s="221"/>
      <c r="D107" s="221"/>
      <c r="E107" s="221"/>
      <c r="F107" s="221"/>
      <c r="G107" s="221"/>
      <c r="H107" s="221"/>
      <c r="I107" s="221"/>
    </row>
    <row r="108" spans="1:9" ht="18.75" customHeight="1" x14ac:dyDescent="0.15">
      <c r="A108" s="62"/>
      <c r="B108" s="204" t="s">
        <v>162</v>
      </c>
      <c r="C108" s="205"/>
      <c r="D108" s="205"/>
      <c r="E108" s="205"/>
      <c r="F108" s="205"/>
      <c r="G108" s="205"/>
      <c r="H108" s="205"/>
      <c r="I108" s="206"/>
    </row>
    <row r="109" spans="1:9" ht="18.75" customHeight="1" x14ac:dyDescent="0.15">
      <c r="A109" s="62"/>
      <c r="B109" s="210"/>
      <c r="C109" s="211"/>
      <c r="D109" s="211"/>
      <c r="E109" s="211"/>
      <c r="F109" s="211"/>
      <c r="G109" s="211"/>
      <c r="H109" s="211"/>
      <c r="I109" s="209"/>
    </row>
    <row r="110" spans="1:9" ht="18.75" customHeight="1" x14ac:dyDescent="0.15">
      <c r="A110" s="62"/>
      <c r="B110" s="210"/>
      <c r="C110" s="211"/>
      <c r="D110" s="211"/>
      <c r="E110" s="211"/>
      <c r="F110" s="211"/>
      <c r="G110" s="211"/>
      <c r="H110" s="211"/>
      <c r="I110" s="209"/>
    </row>
    <row r="111" spans="1:9" ht="18.75" customHeight="1" x14ac:dyDescent="0.15">
      <c r="A111" s="62"/>
      <c r="B111" s="210"/>
      <c r="C111" s="211"/>
      <c r="D111" s="211"/>
      <c r="E111" s="211"/>
      <c r="F111" s="211"/>
      <c r="G111" s="211"/>
      <c r="H111" s="211"/>
      <c r="I111" s="209"/>
    </row>
    <row r="112" spans="1:9" ht="18.75" customHeight="1" x14ac:dyDescent="0.15">
      <c r="A112" s="62"/>
      <c r="B112" s="210"/>
      <c r="C112" s="211"/>
      <c r="D112" s="211"/>
      <c r="E112" s="211"/>
      <c r="F112" s="211"/>
      <c r="G112" s="211"/>
      <c r="H112" s="211"/>
      <c r="I112" s="209"/>
    </row>
    <row r="113" spans="1:9" ht="18.75" customHeight="1" x14ac:dyDescent="0.15">
      <c r="A113" s="62"/>
      <c r="B113" s="210"/>
      <c r="C113" s="211"/>
      <c r="D113" s="211"/>
      <c r="E113" s="211"/>
      <c r="F113" s="211"/>
      <c r="G113" s="211"/>
      <c r="H113" s="211"/>
      <c r="I113" s="209"/>
    </row>
    <row r="114" spans="1:9" ht="18.75" customHeight="1" x14ac:dyDescent="0.15">
      <c r="A114" s="62"/>
      <c r="B114" s="210"/>
      <c r="C114" s="211"/>
      <c r="D114" s="211"/>
      <c r="E114" s="211"/>
      <c r="F114" s="211"/>
      <c r="G114" s="211"/>
      <c r="H114" s="211"/>
      <c r="I114" s="209"/>
    </row>
    <row r="115" spans="1:9" ht="18.75" customHeight="1" x14ac:dyDescent="0.15">
      <c r="A115" s="62"/>
      <c r="B115" s="210"/>
      <c r="C115" s="211"/>
      <c r="D115" s="211"/>
      <c r="E115" s="211"/>
      <c r="F115" s="211"/>
      <c r="G115" s="211"/>
      <c r="H115" s="211"/>
      <c r="I115" s="209"/>
    </row>
    <row r="116" spans="1:9" ht="18.75" customHeight="1" x14ac:dyDescent="0.15">
      <c r="A116" s="62"/>
      <c r="B116" s="210"/>
      <c r="C116" s="211"/>
      <c r="D116" s="211"/>
      <c r="E116" s="211"/>
      <c r="F116" s="211"/>
      <c r="G116" s="211"/>
      <c r="H116" s="211"/>
      <c r="I116" s="209"/>
    </row>
    <row r="117" spans="1:9" ht="18.75" customHeight="1" x14ac:dyDescent="0.15">
      <c r="A117" s="62"/>
      <c r="B117" s="210"/>
      <c r="C117" s="211"/>
      <c r="D117" s="211"/>
      <c r="E117" s="211"/>
      <c r="F117" s="211"/>
      <c r="G117" s="211"/>
      <c r="H117" s="211"/>
      <c r="I117" s="209"/>
    </row>
    <row r="118" spans="1:9" ht="18.75" customHeight="1" x14ac:dyDescent="0.15">
      <c r="A118" s="62"/>
      <c r="B118" s="210"/>
      <c r="C118" s="211"/>
      <c r="D118" s="211"/>
      <c r="E118" s="211"/>
      <c r="F118" s="211"/>
      <c r="G118" s="211"/>
      <c r="H118" s="211"/>
      <c r="I118" s="209"/>
    </row>
    <row r="119" spans="1:9" ht="18.75" customHeight="1" x14ac:dyDescent="0.15">
      <c r="A119" s="62"/>
      <c r="B119" s="212"/>
      <c r="C119" s="213"/>
      <c r="D119" s="213"/>
      <c r="E119" s="213"/>
      <c r="F119" s="213"/>
      <c r="G119" s="213"/>
      <c r="H119" s="213"/>
      <c r="I119" s="214"/>
    </row>
    <row r="120" spans="1:9" ht="7.5" customHeight="1" x14ac:dyDescent="0.15">
      <c r="A120" s="62"/>
      <c r="B120" s="68"/>
      <c r="C120" s="68"/>
      <c r="D120" s="68"/>
      <c r="E120" s="68"/>
      <c r="F120" s="68"/>
      <c r="G120" s="68"/>
      <c r="H120" s="68"/>
      <c r="I120" s="68"/>
    </row>
    <row r="121" spans="1:9" ht="18.75" customHeight="1" x14ac:dyDescent="0.15">
      <c r="A121" s="46"/>
      <c r="B121" s="200"/>
      <c r="C121" s="200"/>
      <c r="D121" s="200"/>
      <c r="E121" s="200"/>
      <c r="F121" s="200"/>
      <c r="G121" s="200"/>
      <c r="H121" s="200"/>
      <c r="I121" s="200"/>
    </row>
    <row r="122" spans="1:9" ht="18.75" customHeight="1" x14ac:dyDescent="0.15">
      <c r="A122" s="46"/>
      <c r="B122" s="200"/>
      <c r="C122" s="200"/>
      <c r="D122" s="200"/>
      <c r="E122" s="200"/>
      <c r="F122" s="200"/>
      <c r="G122" s="200"/>
      <c r="H122" s="200"/>
      <c r="I122" s="200"/>
    </row>
    <row r="123" spans="1:9" ht="18.75" customHeight="1" x14ac:dyDescent="0.15">
      <c r="A123" s="62"/>
      <c r="B123" s="69"/>
      <c r="C123" s="69"/>
      <c r="D123" s="69"/>
      <c r="E123" s="69"/>
      <c r="F123" s="69"/>
      <c r="G123" s="69"/>
      <c r="H123" s="69"/>
      <c r="I123" s="70"/>
    </row>
    <row r="124" spans="1:9" ht="18.75" customHeight="1" x14ac:dyDescent="0.15">
      <c r="A124" s="62"/>
      <c r="B124" s="70"/>
      <c r="C124" s="70"/>
      <c r="D124" s="70"/>
      <c r="E124" s="70"/>
      <c r="F124" s="70"/>
      <c r="G124" s="70"/>
      <c r="H124" s="70"/>
      <c r="I124" s="70"/>
    </row>
    <row r="125" spans="1:9" ht="18.75" customHeight="1" x14ac:dyDescent="0.15">
      <c r="A125" s="62"/>
      <c r="B125" s="70"/>
      <c r="C125" s="70"/>
      <c r="D125" s="70"/>
      <c r="E125" s="70"/>
      <c r="F125" s="70"/>
      <c r="G125" s="70"/>
      <c r="H125" s="70"/>
      <c r="I125" s="70"/>
    </row>
    <row r="126" spans="1:9" ht="18.75" customHeight="1" x14ac:dyDescent="0.15">
      <c r="A126" s="62"/>
      <c r="B126" s="70"/>
      <c r="C126" s="70"/>
      <c r="D126" s="70"/>
      <c r="E126" s="70"/>
      <c r="F126" s="70"/>
      <c r="G126" s="70"/>
      <c r="H126" s="70"/>
      <c r="I126" s="70"/>
    </row>
    <row r="127" spans="1:9" ht="18.75" customHeight="1" x14ac:dyDescent="0.15">
      <c r="A127" s="62"/>
      <c r="B127" s="70"/>
      <c r="C127" s="70"/>
      <c r="D127" s="70"/>
      <c r="E127" s="70"/>
      <c r="F127" s="70"/>
      <c r="G127" s="70"/>
      <c r="H127" s="70"/>
      <c r="I127" s="70"/>
    </row>
    <row r="128" spans="1:9" ht="18.75" customHeight="1" x14ac:dyDescent="0.15">
      <c r="A128" s="62"/>
      <c r="B128" s="70"/>
      <c r="C128" s="70"/>
      <c r="D128" s="70"/>
      <c r="E128" s="70"/>
      <c r="F128" s="70"/>
      <c r="G128" s="70"/>
      <c r="H128" s="70"/>
      <c r="I128" s="70"/>
    </row>
    <row r="129" spans="1:9" ht="18.75" customHeight="1" x14ac:dyDescent="0.15">
      <c r="A129" s="62"/>
      <c r="B129" s="70"/>
      <c r="C129" s="70"/>
      <c r="D129" s="70"/>
      <c r="E129" s="70"/>
      <c r="F129" s="70"/>
      <c r="G129" s="70"/>
      <c r="H129" s="70"/>
      <c r="I129" s="70"/>
    </row>
    <row r="130" spans="1:9" ht="18.75" customHeight="1" x14ac:dyDescent="0.15">
      <c r="A130" s="62"/>
      <c r="B130" s="70"/>
      <c r="C130" s="70"/>
      <c r="D130" s="70"/>
      <c r="E130" s="70"/>
      <c r="F130" s="70"/>
      <c r="G130" s="70"/>
      <c r="H130" s="70"/>
      <c r="I130" s="70"/>
    </row>
    <row r="131" spans="1:9" ht="18.75" customHeight="1" x14ac:dyDescent="0.15">
      <c r="A131" s="62"/>
      <c r="B131" s="70"/>
      <c r="C131" s="70"/>
      <c r="D131" s="70"/>
      <c r="E131" s="70"/>
      <c r="F131" s="70"/>
      <c r="G131" s="70"/>
      <c r="H131" s="70"/>
      <c r="I131" s="70"/>
    </row>
    <row r="132" spans="1:9" ht="18.75" customHeight="1" x14ac:dyDescent="0.15">
      <c r="A132" s="62"/>
      <c r="B132" s="70"/>
      <c r="C132" s="70"/>
      <c r="D132" s="70"/>
      <c r="E132" s="70"/>
      <c r="F132" s="70"/>
      <c r="G132" s="70"/>
      <c r="H132" s="70"/>
      <c r="I132" s="70"/>
    </row>
    <row r="133" spans="1:9" ht="14.25" x14ac:dyDescent="0.15">
      <c r="A133" s="62"/>
      <c r="B133" s="70"/>
      <c r="C133" s="70"/>
      <c r="D133" s="70"/>
      <c r="E133" s="70"/>
      <c r="F133" s="70"/>
      <c r="G133" s="70"/>
      <c r="H133" s="70"/>
      <c r="I133" s="70"/>
    </row>
    <row r="134" spans="1:9" ht="7.5" customHeight="1" x14ac:dyDescent="0.15">
      <c r="A134" s="62"/>
      <c r="B134" s="70"/>
      <c r="C134" s="70"/>
      <c r="D134" s="70"/>
      <c r="E134" s="70"/>
      <c r="F134" s="70"/>
      <c r="G134" s="70"/>
      <c r="H134" s="70"/>
      <c r="I134" s="70"/>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E16" sqref="E16:I16"/>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17" t="s">
        <v>96</v>
      </c>
    </row>
    <row r="2" spans="1:9" ht="18.75" customHeight="1" x14ac:dyDescent="0.15">
      <c r="H2" s="17" t="s">
        <v>99</v>
      </c>
      <c r="I2" s="16" t="str">
        <f>'様式１　プログラムを構成する授業科目'!C2</f>
        <v>川崎医科大学</v>
      </c>
    </row>
    <row r="3" spans="1:9" ht="18.75" customHeight="1" x14ac:dyDescent="0.15">
      <c r="A3" s="249" t="s">
        <v>28</v>
      </c>
      <c r="B3" s="249"/>
      <c r="C3" s="249"/>
      <c r="D3" s="249"/>
      <c r="E3" s="249"/>
      <c r="F3" s="249"/>
      <c r="G3" s="249"/>
      <c r="H3" s="249"/>
      <c r="I3" s="249"/>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256" t="s">
        <v>163</v>
      </c>
      <c r="C6" s="257"/>
      <c r="D6" s="257"/>
      <c r="E6" s="257"/>
      <c r="F6" s="257"/>
      <c r="G6" s="257"/>
      <c r="H6" s="258"/>
      <c r="I6" s="3"/>
    </row>
    <row r="7" spans="1:9" ht="9" customHeight="1" x14ac:dyDescent="0.15">
      <c r="A7" s="5"/>
      <c r="B7" s="10"/>
      <c r="C7" s="10"/>
      <c r="D7" s="10"/>
      <c r="E7" s="10"/>
      <c r="F7" s="10"/>
      <c r="G7" s="10"/>
      <c r="H7" s="10"/>
      <c r="I7" s="3"/>
    </row>
    <row r="8" spans="1:9" ht="18.75" customHeight="1" x14ac:dyDescent="0.15">
      <c r="A8" s="5"/>
      <c r="B8" s="3"/>
      <c r="C8" s="3"/>
      <c r="D8" s="17" t="s">
        <v>42</v>
      </c>
      <c r="E8" s="18" t="s">
        <v>158</v>
      </c>
      <c r="F8" s="3"/>
      <c r="G8" s="17" t="s">
        <v>10</v>
      </c>
      <c r="H8" s="18" t="s">
        <v>156</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250" t="s">
        <v>24</v>
      </c>
      <c r="C11" s="251"/>
      <c r="D11" s="252"/>
      <c r="E11" s="251" t="s">
        <v>26</v>
      </c>
      <c r="F11" s="251"/>
      <c r="G11" s="251"/>
      <c r="H11" s="251"/>
      <c r="I11" s="252"/>
    </row>
    <row r="12" spans="1:9" ht="26.25" customHeight="1" x14ac:dyDescent="0.15">
      <c r="B12" s="19" t="s">
        <v>14</v>
      </c>
      <c r="C12" s="26"/>
      <c r="D12" s="20"/>
      <c r="E12" s="27"/>
      <c r="F12" s="27"/>
      <c r="G12" s="27"/>
      <c r="H12" s="27"/>
      <c r="I12" s="20"/>
    </row>
    <row r="13" spans="1:9" ht="210.75" customHeight="1" x14ac:dyDescent="0.15">
      <c r="B13" s="21"/>
      <c r="C13" s="230" t="s">
        <v>15</v>
      </c>
      <c r="D13" s="231"/>
      <c r="E13" s="253" t="s">
        <v>188</v>
      </c>
      <c r="F13" s="254"/>
      <c r="G13" s="254"/>
      <c r="H13" s="254"/>
      <c r="I13" s="255"/>
    </row>
    <row r="14" spans="1:9" ht="210.75" customHeight="1" x14ac:dyDescent="0.15">
      <c r="B14" s="21"/>
      <c r="C14" s="247" t="s">
        <v>16</v>
      </c>
      <c r="D14" s="248"/>
      <c r="E14" s="243" t="s">
        <v>164</v>
      </c>
      <c r="F14" s="232"/>
      <c r="G14" s="232"/>
      <c r="H14" s="232"/>
      <c r="I14" s="233"/>
    </row>
    <row r="15" spans="1:9" ht="210.75" customHeight="1" x14ac:dyDescent="0.15">
      <c r="B15" s="21"/>
      <c r="C15" s="230" t="s">
        <v>17</v>
      </c>
      <c r="D15" s="231"/>
      <c r="E15" s="243" t="s">
        <v>165</v>
      </c>
      <c r="F15" s="232"/>
      <c r="G15" s="232"/>
      <c r="H15" s="232"/>
      <c r="I15" s="233"/>
    </row>
    <row r="16" spans="1:9" ht="210.75" customHeight="1" x14ac:dyDescent="0.15">
      <c r="B16" s="21"/>
      <c r="C16" s="230" t="s">
        <v>18</v>
      </c>
      <c r="D16" s="231"/>
      <c r="E16" s="243" t="s">
        <v>191</v>
      </c>
      <c r="F16" s="232"/>
      <c r="G16" s="232"/>
      <c r="H16" s="232"/>
      <c r="I16" s="233"/>
    </row>
    <row r="17" spans="2:9" ht="210.75" customHeight="1" x14ac:dyDescent="0.15">
      <c r="B17" s="22"/>
      <c r="C17" s="234" t="s">
        <v>19</v>
      </c>
      <c r="D17" s="235"/>
      <c r="E17" s="244" t="s">
        <v>192</v>
      </c>
      <c r="F17" s="245"/>
      <c r="G17" s="245"/>
      <c r="H17" s="245"/>
      <c r="I17" s="246"/>
    </row>
    <row r="18" spans="2:9" ht="24" customHeight="1" x14ac:dyDescent="0.15">
      <c r="B18" s="19" t="s">
        <v>20</v>
      </c>
      <c r="C18" s="23"/>
      <c r="D18" s="24"/>
      <c r="E18" s="25"/>
      <c r="F18" s="25"/>
      <c r="G18" s="25"/>
      <c r="H18" s="25"/>
      <c r="I18" s="28"/>
    </row>
    <row r="19" spans="2:9" ht="218.25" customHeight="1" x14ac:dyDescent="0.15">
      <c r="B19" s="21"/>
      <c r="C19" s="230" t="s">
        <v>21</v>
      </c>
      <c r="D19" s="231"/>
      <c r="E19" s="232" t="s">
        <v>166</v>
      </c>
      <c r="F19" s="232"/>
      <c r="G19" s="232"/>
      <c r="H19" s="232"/>
      <c r="I19" s="233"/>
    </row>
    <row r="20" spans="2:9" ht="218.25" customHeight="1" x14ac:dyDescent="0.15">
      <c r="B20" s="22"/>
      <c r="C20" s="234" t="s">
        <v>22</v>
      </c>
      <c r="D20" s="235"/>
      <c r="E20" s="236" t="s">
        <v>167</v>
      </c>
      <c r="F20" s="236"/>
      <c r="G20" s="236"/>
      <c r="H20" s="236"/>
      <c r="I20" s="237"/>
    </row>
    <row r="21" spans="2:9" ht="218.25" customHeight="1" x14ac:dyDescent="0.15">
      <c r="B21" s="238" t="s">
        <v>23</v>
      </c>
      <c r="C21" s="239"/>
      <c r="D21" s="240"/>
      <c r="E21" s="241" t="s">
        <v>168</v>
      </c>
      <c r="F21" s="241"/>
      <c r="G21" s="241"/>
      <c r="H21" s="241"/>
      <c r="I21" s="242"/>
    </row>
    <row r="22" spans="2:9" ht="218.25" customHeight="1" x14ac:dyDescent="0.15">
      <c r="B22" s="225" t="s">
        <v>134</v>
      </c>
      <c r="C22" s="226"/>
      <c r="D22" s="227"/>
      <c r="E22" s="228" t="s">
        <v>169</v>
      </c>
      <c r="F22" s="228"/>
      <c r="G22" s="228"/>
      <c r="H22" s="228"/>
      <c r="I22" s="22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事務部</cp:lastModifiedBy>
  <cp:lastPrinted>2024-05-27T08:39:16Z</cp:lastPrinted>
  <dcterms:created xsi:type="dcterms:W3CDTF">2011-06-14T05:32:50Z</dcterms:created>
  <dcterms:modified xsi:type="dcterms:W3CDTF">2024-05-27T08:39:24Z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