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千代田教育支援C\01 一般教務\42 全学共通科目調整委員会、大妻教養講座運営部会（旧機構）\21　全学共通科目\21　R06～　数理・データサイエンス・ＡＩ教育プログラム認定制度（リテラシーレベル）\03　申請書　提出用\02_提出資料\03.再提出時\01_大妻女子大学_リテラシー\"/>
    </mc:Choice>
  </mc:AlternateContent>
  <bookViews>
    <workbookView xWindow="0" yWindow="0" windowWidth="21600" windowHeight="8760" tabRatio="885" firstSheet="2" activeTab="4"/>
  </bookViews>
  <sheets>
    <sheet name="様式１-１　プログラムを構成する授業科目" sheetId="39" r:id="rId1"/>
    <sheet name="様式１-２　プログラムを構成する授業科目" sheetId="43" r:id="rId2"/>
    <sheet name="様式１-３　プログラムを構成する授業科目" sheetId="44"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'様式１-３　プログラムを構成する授業科目'!$X$16:$X$18</definedName>
    <definedName name="_xlnm._FilterDatabase" localSheetId="3"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'様式１-３　プログラムを構成する授業科目'!$A$1:$U$112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3" i="41" l="1"/>
  <c r="K100" i="41"/>
  <c r="K86" i="41"/>
  <c r="K69" i="41"/>
  <c r="K57" i="41"/>
  <c r="K39" i="41"/>
  <c r="K26" i="41"/>
  <c r="K22" i="42" l="1"/>
  <c r="K21" i="42"/>
  <c r="K20" i="42"/>
  <c r="K19" i="42"/>
  <c r="K18" i="42"/>
  <c r="K17" i="42"/>
  <c r="K16" i="42"/>
  <c r="K15" i="42"/>
  <c r="K14" i="42"/>
  <c r="K13" i="42"/>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<sst xmlns="http://schemas.openxmlformats.org/spreadsheetml/2006/main" count="563" uniqueCount="197">
  <si>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</si>
  <si>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</si>
  <si>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</si>
  <si>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</si>
  <si>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</si>
  <si>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</si>
  <si>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</si>
  <si>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</si>
  <si>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</si>
  <si>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</si>
  <si>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</si>
  <si>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</si>
  <si>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</si>
  <si>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</si>
  <si>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</si>
  <si>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</si>
  <si>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</si>
  <si>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</si>
  <si>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</si>
  <si>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</si>
  <si>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</si>
  <si>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</si>
  <si>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</si>
  <si>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</si>
  <si>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</si>
  <si>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</si>
  <si>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</si>
  <si>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</si>
  <si>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</si>
  <si>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</si>
  <si>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</si>
  <si>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</si>
  <si>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</si>
  <si>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</si>
  <si>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</si>
  <si>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</si>
  <si>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</si>
  <si>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</si>
  <si>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</si>
  <si>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</si>
  <si>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</si>
  <si>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</si>
  <si>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</si>
  <si>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</si>
  <si>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</si>
  <si>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</si>
  <si>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</si>
  <si>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</si>
  <si>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</si>
  <si>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</si>
  <si>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</si>
  <si>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</si>
  <si>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</si>
  <si>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</si>
  <si>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</si>
  <si>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</si>
  <si>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</si>
  <si>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</si>
  <si>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</si>
  <si>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</si>
  <si>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</si>
  <si>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</si>
  <si>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</si>
  <si>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</si>
  <si>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</si>
  <si>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</si>
  <si>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</si>
  <si>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</si>
  <si>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</si>
  <si>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</si>
  <si>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</si>
  <si>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</si>
  <si>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</si>
  <si>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</si>
  <si>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</si>
  <si>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</si>
  <si>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</si>
  <si>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</si>
  <si>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</si>
  <si>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</si>
  <si>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</si>
  <si>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</si>
  <si>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</si>
  <si>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</si>
  <si>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</si>
  <si>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</si>
  <si>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</si>
  <si>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</si>
  <si>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</si>
  <si>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</si>
  <si>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</si>
  <si>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</si>
  <si>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</si>
  <si>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</si>
  <si>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</si>
  <si>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</si>
  <si>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</si>
  <si>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</si>
  <si>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</si>
  <si>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</si>
  <si>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</si>
  <si>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</si>
  <si>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</si>
  <si>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</si>
  <si>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</si>
  <si>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</si>
  <si>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</si>
  <si>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</si>
  <si>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</si>
  <si>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</si>
  <si>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</si>
  <si>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</si>
  <si>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</si>
  <si>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</si>
  <si>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</si>
  <si>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</si>
  <si>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</si>
  <si>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</si>
  <si>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</si>
  <si>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</si>
  <si>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</si>
  <si>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</si>
  <si>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</si>
  <si>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</si>
  <si>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</si>
  <si>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</si>
  <si>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</si>
  <si>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</si>
  <si>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</si>
  <si>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</si>
  <si>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</si>
  <si>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</si>
  <si>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</si>
  <si>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</si>
  <si>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</si>
  <si>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</si>
  <si>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大妻女子大学</t>
    <rPh sb="0" eb="6">
      <t>オオツマジョシダイガク</t>
    </rPh>
    <phoneticPr fontId="1"/>
  </si>
  <si>
    <t>大妻データサイエンス・AIプログラム</t>
    <rPh sb="0" eb="2">
      <t>オオツマ</t>
    </rPh>
    <phoneticPr fontId="1"/>
  </si>
  <si>
    <t>家政学部・文学部・人間関係学部・比較文化学部</t>
    <phoneticPr fontId="1"/>
  </si>
  <si>
    <t>○</t>
  </si>
  <si>
    <t>データサイエンス・ＡＩ概論</t>
    <phoneticPr fontId="1"/>
  </si>
  <si>
    <t>コンピュータ基礎B</t>
    <phoneticPr fontId="1"/>
  </si>
  <si>
    <t>令和５</t>
    <rPh sb="0" eb="2">
      <t>レイワ</t>
    </rPh>
    <phoneticPr fontId="1"/>
  </si>
  <si>
    <t>家政学部</t>
    <rPh sb="0" eb="2">
      <t>カセイ</t>
    </rPh>
    <rPh sb="2" eb="4">
      <t>ガクブ</t>
    </rPh>
    <phoneticPr fontId="1"/>
  </si>
  <si>
    <t>文学部</t>
    <rPh sb="0" eb="3">
      <t>ブンガクブ</t>
    </rPh>
    <phoneticPr fontId="1"/>
  </si>
  <si>
    <t>社会情報学部</t>
    <rPh sb="0" eb="2">
      <t>シャカイ</t>
    </rPh>
    <rPh sb="2" eb="4">
      <t>ジョウホウ</t>
    </rPh>
    <rPh sb="4" eb="6">
      <t>ガクブ</t>
    </rPh>
    <phoneticPr fontId="1"/>
  </si>
  <si>
    <t>人間関係学部</t>
    <rPh sb="0" eb="2">
      <t>ニンゲン</t>
    </rPh>
    <rPh sb="2" eb="4">
      <t>カンケイ</t>
    </rPh>
    <rPh sb="4" eb="6">
      <t>ガクブ</t>
    </rPh>
    <phoneticPr fontId="1"/>
  </si>
  <si>
    <t>比較文化学部</t>
    <rPh sb="0" eb="2">
      <t>ヒカク</t>
    </rPh>
    <rPh sb="2" eb="4">
      <t>ブンカ</t>
    </rPh>
    <rPh sb="4" eb="6">
      <t>ガクブ</t>
    </rPh>
    <phoneticPr fontId="1"/>
  </si>
  <si>
    <t>山倉　健嗣</t>
    <phoneticPr fontId="1"/>
  </si>
  <si>
    <t>副学長（教育担当）</t>
    <phoneticPr fontId="1"/>
  </si>
  <si>
    <t>部会長</t>
    <phoneticPr fontId="1"/>
  </si>
  <si>
    <t>情報リテラシー教育検討部会</t>
    <phoneticPr fontId="1"/>
  </si>
  <si>
    <t>情報リテラシー教育検討部会内規</t>
    <phoneticPr fontId="1"/>
  </si>
  <si>
    <t>部会は、大妻女子大学全学共通科目調整委員会（以下「調整委員会」という。）の運営方針に基づき、次の各号に掲げる事項に関する業務を行う。
(1)　全学共通科目の基礎科目区分Ⅱリテラシーのうち、情報リテラシー科目の企画・運営・人事等に関する事項
(2)　大妻データサイエンス・ＡIプログラムの自己点検・評価および改善に関する事項
(3)　部会内規の改廃に関する事項
(4)　その他、調整委員会委員長からの依頼事項</t>
    <phoneticPr fontId="1"/>
  </si>
  <si>
    <t>情報処理実習Ｂ</t>
    <phoneticPr fontId="1"/>
  </si>
  <si>
    <t>情報処理実習Ａ</t>
    <phoneticPr fontId="1"/>
  </si>
  <si>
    <t>・人間の知的活動とAIの関係性「データサイエンス・AI概論」（第１回）
・データを起点としたものの見方、人間の知的活動を起点としたものの見方「データサイエンス・AI概論」（第１５回）</t>
    <rPh sb="1" eb="3">
      <t>ニンゲン</t>
    </rPh>
    <rPh sb="4" eb="8">
      <t>チテキカツドウ</t>
    </rPh>
    <rPh sb="12" eb="15">
      <t>カンケイセイ</t>
    </rPh>
    <rPh sb="27" eb="29">
      <t>ガイロン</t>
    </rPh>
    <rPh sb="31" eb="32">
      <t>ダイ</t>
    </rPh>
    <rPh sb="33" eb="34">
      <t>カイ</t>
    </rPh>
    <rPh sb="41" eb="43">
      <t>キテン</t>
    </rPh>
    <rPh sb="49" eb="51">
      <t>ミカタ</t>
    </rPh>
    <rPh sb="52" eb="54">
      <t>ニンゲン</t>
    </rPh>
    <rPh sb="55" eb="59">
      <t>チテキカツドウ</t>
    </rPh>
    <rPh sb="60" eb="62">
      <t>キテン</t>
    </rPh>
    <rPh sb="68" eb="70">
      <t>ミカタ</t>
    </rPh>
    <rPh sb="86" eb="87">
      <t>ダイ</t>
    </rPh>
    <phoneticPr fontId="1"/>
  </si>
  <si>
    <t>・情報セキュリティ：機密性、完全性、可用性「データサイエンス・AI概論」（第１４回）
・匿名加工情報、暗号化、パスワード、悪意ある情報搾取「データサイエンス・AI概論」（第１４回）
・情報漏洩等によるセキュリティ事故の事例紹介「データサイエンス・AI概論」（第１４回）</t>
    <rPh sb="1" eb="3">
      <t>ジョウホウ</t>
    </rPh>
    <rPh sb="10" eb="13">
      <t>キミツセイ</t>
    </rPh>
    <rPh sb="14" eb="17">
      <t>カンゼンセイ</t>
    </rPh>
    <rPh sb="18" eb="21">
      <t>カヨウセイ</t>
    </rPh>
    <rPh sb="37" eb="38">
      <t>ダイ</t>
    </rPh>
    <rPh sb="44" eb="46">
      <t>トクメイ</t>
    </rPh>
    <rPh sb="46" eb="50">
      <t>カコウジョウホウ</t>
    </rPh>
    <rPh sb="51" eb="54">
      <t>アンゴウカ</t>
    </rPh>
    <rPh sb="61" eb="63">
      <t>アクイ</t>
    </rPh>
    <rPh sb="65" eb="67">
      <t>ジョウホウ</t>
    </rPh>
    <rPh sb="67" eb="69">
      <t>サクシュ</t>
    </rPh>
    <rPh sb="85" eb="86">
      <t>ダイ</t>
    </rPh>
    <rPh sb="129" eb="130">
      <t>ダイ</t>
    </rPh>
    <phoneticPr fontId="1"/>
  </si>
  <si>
    <t>・データ表現（棒グラフ、折れ線グラフ、散布図、ヒートマップ）「コンピュータ基礎B」（第５回～第７回）
・データの図表表現「コンピュータ基礎B」（第５回～第７回）</t>
    <rPh sb="4" eb="6">
      <t>ヒョウゲン</t>
    </rPh>
    <rPh sb="7" eb="8">
      <t>ボウ</t>
    </rPh>
    <rPh sb="12" eb="13">
      <t>オ</t>
    </rPh>
    <rPh sb="14" eb="15">
      <t>セン</t>
    </rPh>
    <rPh sb="19" eb="22">
      <t>サンプズ</t>
    </rPh>
    <rPh sb="37" eb="39">
      <t>キソ</t>
    </rPh>
    <rPh sb="42" eb="43">
      <t>ダイ</t>
    </rPh>
    <rPh sb="44" eb="45">
      <t>カイ</t>
    </rPh>
    <rPh sb="46" eb="47">
      <t>ダイ</t>
    </rPh>
    <rPh sb="48" eb="49">
      <t>カイ</t>
    </rPh>
    <rPh sb="56" eb="58">
      <t>ズヒョウ</t>
    </rPh>
    <rPh sb="58" eb="60">
      <t>ヒョウゲン</t>
    </rPh>
    <phoneticPr fontId="1"/>
  </si>
  <si>
    <t>・データ表現（棒グラフ、折れ線グラフ、散布図、ヒートマップ）「情報処理実習A」（第１０回、第１１回）
・データの図表表現「情報処理実習A」（第１０回、第１１回）</t>
    <rPh sb="4" eb="6">
      <t>ヒョウゲン</t>
    </rPh>
    <rPh sb="7" eb="8">
      <t>ボウ</t>
    </rPh>
    <rPh sb="12" eb="13">
      <t>オ</t>
    </rPh>
    <rPh sb="14" eb="15">
      <t>セン</t>
    </rPh>
    <rPh sb="19" eb="22">
      <t>サンプズ</t>
    </rPh>
    <rPh sb="56" eb="58">
      <t>ズヒョウ</t>
    </rPh>
    <rPh sb="58" eb="60">
      <t>ヒョウゲン</t>
    </rPh>
    <phoneticPr fontId="1"/>
  </si>
  <si>
    <t>・データ表現（棒グラフ、折れ線グラフ、散布図、ヒートマップ）「情報処理実習B」（第５回～第８回）
・データの図表表現「情報処理実習B」（第５回～第８回）</t>
    <rPh sb="4" eb="6">
      <t>ヒョウゲン</t>
    </rPh>
    <rPh sb="7" eb="8">
      <t>ボウ</t>
    </rPh>
    <rPh sb="12" eb="13">
      <t>オ</t>
    </rPh>
    <rPh sb="14" eb="15">
      <t>セン</t>
    </rPh>
    <rPh sb="19" eb="22">
      <t>サンプズ</t>
    </rPh>
    <rPh sb="40" eb="41">
      <t>ダイ</t>
    </rPh>
    <rPh sb="42" eb="43">
      <t>カイ</t>
    </rPh>
    <rPh sb="44" eb="45">
      <t>ダイ</t>
    </rPh>
    <rPh sb="46" eb="47">
      <t>カイ</t>
    </rPh>
    <rPh sb="54" eb="56">
      <t>ズヒョウ</t>
    </rPh>
    <rPh sb="56" eb="58">
      <t>ヒョウゲン</t>
    </rPh>
    <phoneticPr fontId="1"/>
  </si>
  <si>
    <t>社会情報学部社会情報学科情報デザイン専攻</t>
    <phoneticPr fontId="1"/>
  </si>
  <si>
    <t>社会情報学部社会情報学科社会生活情報学専攻・環境情報学専攻</t>
    <phoneticPr fontId="1"/>
  </si>
  <si>
    <t>次の２科目４単位の単位修得をプログラムの修了要件とする。
　全学共通科目：「データサイエンス・ＡＩ概論」
　社会情報学部学部共通科目：「情報処理実習Ａ」</t>
    <rPh sb="6" eb="8">
      <t>タンイ</t>
    </rPh>
    <phoneticPr fontId="1"/>
  </si>
  <si>
    <t>次の２科目４単位の単位修得をプログラムの修了要件とする。
　全学共通科目：「データサイエンス・ＡＩ概論」「コンピュータ基礎Ｂ」</t>
    <rPh sb="6" eb="8">
      <t>タンイ</t>
    </rPh>
    <phoneticPr fontId="1"/>
  </si>
  <si>
    <t>次の２科目４単位の単位修得をプログラムの修了要件とする。
　全学共通科目：「データサイエンス・ＡＩ概論」
　社会情報学部学部共通科目：「情報処理実習Ｂ」</t>
    <rPh sb="6" eb="8">
      <t>タンイ</t>
    </rPh>
    <phoneticPr fontId="1"/>
  </si>
  <si>
    <t>情報リテラシー教育検討部会は、大妻データサイエンス・AIプログラムの履修・修得状況を調査の上、プログラムに関する自己点検・評価報告書に掲載し公表する。</t>
    <rPh sb="67" eb="69">
      <t>ケイサイ</t>
    </rPh>
    <rPh sb="70" eb="72">
      <t>コウヒョウ</t>
    </rPh>
    <phoneticPr fontId="1"/>
  </si>
  <si>
    <t>本学が提携や協力をお願いしている企業等産業界から、教育プログラムの内容や手法等への意見を聴取する機会を年に１回設けている。その意見は整理した上で自己点検・評価報告書に記載し公表する。</t>
    <rPh sb="0" eb="2">
      <t>ホンガク</t>
    </rPh>
    <rPh sb="3" eb="5">
      <t>テイケイ</t>
    </rPh>
    <rPh sb="6" eb="8">
      <t>キョウリョク</t>
    </rPh>
    <rPh sb="10" eb="11">
      <t>ネガ</t>
    </rPh>
    <rPh sb="16" eb="18">
      <t>キギョウ</t>
    </rPh>
    <rPh sb="18" eb="19">
      <t>ナド</t>
    </rPh>
    <rPh sb="19" eb="22">
      <t>サンギョウカイ</t>
    </rPh>
    <rPh sb="25" eb="27">
      <t>キョウイク</t>
    </rPh>
    <rPh sb="33" eb="35">
      <t>ナイヨウ</t>
    </rPh>
    <rPh sb="36" eb="38">
      <t>シュホウ</t>
    </rPh>
    <rPh sb="38" eb="39">
      <t>ナド</t>
    </rPh>
    <rPh sb="41" eb="43">
      <t>イケン</t>
    </rPh>
    <rPh sb="44" eb="46">
      <t>チョウシュ</t>
    </rPh>
    <rPh sb="48" eb="50">
      <t>キカイ</t>
    </rPh>
    <rPh sb="51" eb="52">
      <t>ネン</t>
    </rPh>
    <rPh sb="54" eb="55">
      <t>カイ</t>
    </rPh>
    <rPh sb="55" eb="56">
      <t>モウ</t>
    </rPh>
    <rPh sb="63" eb="65">
      <t>イケン</t>
    </rPh>
    <rPh sb="66" eb="68">
      <t>セイリ</t>
    </rPh>
    <rPh sb="70" eb="71">
      <t>ウエ</t>
    </rPh>
    <phoneticPr fontId="1"/>
  </si>
  <si>
    <t>・データサイエンスやAIが身近にあるさまざまな事象とどのように関係しているかを学び、それらを活用することの楽しさや学ぶ意義について理解する。
・データサイエンス・AI を活用する上での留意事項や情報セキュリティ、情報漏洩等、データを守る上での留意事項を理解する。
・社会における実データを含む多くのデータから、必要とする情報を抽出するスキルを身につける。
・抽出結果を読み解き、それら情報の関係を分析、考察し表現できる力を身につける。</t>
    <phoneticPr fontId="1"/>
  </si>
  <si>
    <t>情報リテラシー教育検討部会は、当該部会が実施する「大妻データサイエンス・AIプログラム修了者アンケート」において、プログラムを構成する科目の到達目標に達したか確認し、自己点検・評価報告書に掲載し公表する。また、大妻データサイエンス・AIプログラムの共通科目である「データサイエンス・AI概論」の成績分布を調査し、本教育プログラムの評価・改善に活用している。</t>
    <rPh sb="15" eb="19">
      <t>トウガイブカイ</t>
    </rPh>
    <rPh sb="20" eb="22">
      <t>ジッシ</t>
    </rPh>
    <rPh sb="63" eb="65">
      <t>コウセイ</t>
    </rPh>
    <rPh sb="67" eb="69">
      <t>カモク</t>
    </rPh>
    <rPh sb="70" eb="74">
      <t>トウタツモクヒョウ</t>
    </rPh>
    <rPh sb="75" eb="76">
      <t>タッ</t>
    </rPh>
    <rPh sb="79" eb="81">
      <t>カクニン</t>
    </rPh>
    <rPh sb="149" eb="151">
      <t>ブンプ</t>
    </rPh>
    <rPh sb="152" eb="154">
      <t>チョウサ</t>
    </rPh>
    <phoneticPr fontId="1"/>
  </si>
  <si>
    <t>後輩等他の学生への推奨度は、情報リテラシー教育検討部会が実施する「大妻データサイエンス・AIプログラム修了者アンケート」において、「友だちや後輩に受講を検討している人がいたら、プログラムをお勧めすることができますか」という設問を設け確認し、本教育プログラムの評価・改善に活用している。その他、同アンケートでは「プログラムについての感想や、改善してほしい点等があれば記入してください」という自由記述設問も設け、学生視点の改善点も確認している。
なお、これらの結果については、本学ホームページで公表するとともに、自己点検・評価報告書にも記載する。</t>
    <rPh sb="14" eb="16">
      <t>ジョウホウ</t>
    </rPh>
    <rPh sb="21" eb="25">
      <t>キョウイクケントウ</t>
    </rPh>
    <rPh sb="25" eb="27">
      <t>ブカイ</t>
    </rPh>
    <rPh sb="28" eb="30">
      <t>ジッシ</t>
    </rPh>
    <rPh sb="111" eb="113">
      <t>セツモン</t>
    </rPh>
    <rPh sb="114" eb="115">
      <t>モウ</t>
    </rPh>
    <rPh sb="144" eb="145">
      <t>ホカ</t>
    </rPh>
    <rPh sb="146" eb="147">
      <t>ドウ</t>
    </rPh>
    <rPh sb="194" eb="198">
      <t>ジユウキジュツ</t>
    </rPh>
    <rPh sb="198" eb="200">
      <t>セツモン</t>
    </rPh>
    <rPh sb="201" eb="202">
      <t>モウ</t>
    </rPh>
    <rPh sb="204" eb="206">
      <t>ガクセイ</t>
    </rPh>
    <rPh sb="206" eb="208">
      <t>シテン</t>
    </rPh>
    <rPh sb="209" eb="212">
      <t>カイゼンテン</t>
    </rPh>
    <rPh sb="213" eb="215">
      <t>カクニン</t>
    </rPh>
    <rPh sb="228" eb="230">
      <t>ケッカ</t>
    </rPh>
    <rPh sb="236" eb="238">
      <t>ホンガク</t>
    </rPh>
    <rPh sb="245" eb="247">
      <t>コウヒョウ</t>
    </rPh>
    <rPh sb="266" eb="268">
      <t>キサイ</t>
    </rPh>
    <phoneticPr fontId="1"/>
  </si>
  <si>
    <t>全学的な履修者数、履修率については、毎年情報リテラシー教育検討部会において共有し、現在行っている計画の効果を点検する。また、履修希望者の経年変化を踏まえ、希望者数が計画通り増加した場合は、他の情報リテラシー科目の開講コマ数と調整の上、増コマすることを全学共通科目調整委員会（全学共通科目のコマ数を審議する委員会）に提案する。
なお、本プログラムは令和５年度入学生から履修可能となったプログラムであり、令和５年度は１年生のみが対象だった。令和６年度以降は、対象者が１学年ずつ増えるため、履修者や修了者も増えていくことが見込まれる。</t>
    <rPh sb="0" eb="3">
      <t>ゼンガクテキ</t>
    </rPh>
    <rPh sb="4" eb="8">
      <t>リシュウシャスウ</t>
    </rPh>
    <rPh sb="9" eb="12">
      <t>リシュウリツ</t>
    </rPh>
    <rPh sb="18" eb="20">
      <t>マイトシ</t>
    </rPh>
    <rPh sb="20" eb="22">
      <t>ジョウホウ</t>
    </rPh>
    <rPh sb="27" eb="33">
      <t>キョウイクケントウブカイ</t>
    </rPh>
    <rPh sb="37" eb="39">
      <t>キョウユウ</t>
    </rPh>
    <rPh sb="41" eb="43">
      <t>ゲンザイ</t>
    </rPh>
    <rPh sb="43" eb="44">
      <t>オコナ</t>
    </rPh>
    <rPh sb="48" eb="50">
      <t>ケイカク</t>
    </rPh>
    <rPh sb="51" eb="53">
      <t>コウカ</t>
    </rPh>
    <rPh sb="54" eb="56">
      <t>テンケン</t>
    </rPh>
    <rPh sb="62" eb="67">
      <t>リシュウキボウシャ</t>
    </rPh>
    <rPh sb="68" eb="72">
      <t>ケイネンヘンカ</t>
    </rPh>
    <rPh sb="77" eb="81">
      <t>キボウシャスウ</t>
    </rPh>
    <rPh sb="82" eb="85">
      <t>ケイカクドオ</t>
    </rPh>
    <rPh sb="86" eb="88">
      <t>ゾウカ</t>
    </rPh>
    <rPh sb="90" eb="92">
      <t>バアイ</t>
    </rPh>
    <rPh sb="94" eb="95">
      <t>タ</t>
    </rPh>
    <rPh sb="117" eb="118">
      <t>ゾウ</t>
    </rPh>
    <rPh sb="125" eb="131">
      <t>ゼンガクキョウツウカモク</t>
    </rPh>
    <rPh sb="131" eb="136">
      <t>チョウセイイインカイ</t>
    </rPh>
    <rPh sb="137" eb="143">
      <t>ゼンガクキョウツウカモク</t>
    </rPh>
    <rPh sb="146" eb="147">
      <t>スウ</t>
    </rPh>
    <rPh sb="148" eb="150">
      <t>シンギ</t>
    </rPh>
    <rPh sb="152" eb="155">
      <t>イインカイ</t>
    </rPh>
    <rPh sb="157" eb="159">
      <t>テイアン</t>
    </rPh>
    <rPh sb="218" eb="220">
      <t>レイワ</t>
    </rPh>
    <rPh sb="221" eb="223">
      <t>ネンド</t>
    </rPh>
    <rPh sb="223" eb="225">
      <t>イコウ</t>
    </rPh>
    <rPh sb="232" eb="234">
      <t>ガクネン</t>
    </rPh>
    <rPh sb="236" eb="237">
      <t>フ</t>
    </rPh>
    <phoneticPr fontId="1"/>
  </si>
  <si>
    <t>本プログラムの科目は、家政学部、文学部、人間関係学部、比較文化学部は全学共通科目２科目（「データサイエンス・ＡＩ概論」「コンピュータ基礎Ｂ」）で構成している。社会情報学部社会情報学科社会生活情報学専攻、環境情報学専攻は全学共通科目「データサイエンス・ＡＩ概論」、専門教育科目の必修科目「情報処理実習Ｂ」の２科目で構成されており、社会情報学科情報デザイン専攻は全学共通科目「データサイエンス・ＡＩ概論」、専門教育科目の必修科目「情報処理実習A」の２科目で構成されている。このとおり、希望する学生全員が受講可能となっている。
また、プログラムを進化・改善する組織である情報リテラシー教育検討部会は、全学共通科目の教育課程の運営・管理を所掌している全学共通科目調整委員会の部会に位置付けられており、各学部教授会には当該委員会委員を通じて情報共有が行われており、全学的な連携体制が整っている。</t>
    <rPh sb="240" eb="242">
      <t>キボウ</t>
    </rPh>
    <rPh sb="244" eb="246">
      <t>ガクセイ</t>
    </rPh>
    <rPh sb="246" eb="248">
      <t>ゼンイン</t>
    </rPh>
    <rPh sb="277" eb="279">
      <t>ソシキ</t>
    </rPh>
    <rPh sb="354" eb="356">
      <t>トウガイ</t>
    </rPh>
    <rPh sb="356" eb="359">
      <t>イインカイ</t>
    </rPh>
    <phoneticPr fontId="1"/>
  </si>
  <si>
    <t>授業時間内外で学習指導、質問を受け付ける仕組みとして、次のようなものを設けている。
・プログラムを構成する科目を担当する専任教員は、オフィスアワーを活用し、学習指導や質問を受け付けている。
・その他、manaba（学修支援システム）のスレッド機能を活用し、いつでも質問を受け付ける仕組みを設けており、他の学生が質問した内容とその答えをすべての履修者が閲覧可能な状態としている。</t>
    <rPh sb="20" eb="22">
      <t>シク</t>
    </rPh>
    <rPh sb="27" eb="28">
      <t>ツギ</t>
    </rPh>
    <rPh sb="35" eb="36">
      <t>モウ</t>
    </rPh>
    <phoneticPr fontId="1"/>
  </si>
  <si>
    <t>様式１-１</t>
    <rPh sb="0" eb="2">
      <t>ヨウシキ</t>
    </rPh>
    <phoneticPr fontId="1"/>
  </si>
  <si>
    <t>様式１-２</t>
    <rPh sb="0" eb="2">
      <t>ヨウシキ</t>
    </rPh>
    <phoneticPr fontId="1"/>
  </si>
  <si>
    <t>様式１-３</t>
    <rPh sb="0" eb="2">
      <t>ヨウシキ</t>
    </rPh>
    <phoneticPr fontId="1"/>
  </si>
  <si>
    <t>・AI等を活用した新しいビジネスモデル(シェアリングエコノミー、商品のレコメンデーションなど)「データサイエンス・AI概論」（第１回、第１１回、第１５回）
・AI最新技術の活用例（深層生成モデル、敵対的生成ネットワーク、強化学習、転移学習など）「データサイエンス・AI概論」（第１１回）</t>
    <rPh sb="59" eb="61">
      <t>ガイロン</t>
    </rPh>
    <rPh sb="63" eb="64">
      <t>ダイ</t>
    </rPh>
    <rPh sb="65" eb="66">
      <t>カイ</t>
    </rPh>
    <rPh sb="67" eb="68">
      <t>ダイ</t>
    </rPh>
    <rPh sb="70" eb="71">
      <t>カイ</t>
    </rPh>
    <rPh sb="72" eb="73">
      <t>ダイ</t>
    </rPh>
    <rPh sb="75" eb="76">
      <t>カイ</t>
    </rPh>
    <rPh sb="138" eb="139">
      <t>ダイ</t>
    </rPh>
    <rPh sb="141" eb="142">
      <t>カイ</t>
    </rPh>
    <phoneticPr fontId="1"/>
  </si>
  <si>
    <t>・データ・AI活用領域の広がり（生産、消費、文化活動など）「データサイエンス・AI概論」（第２回、第７回、第１５回）
・研究開発、調達、製造、物流、販売、マーケティング、サービスなど「データサイエンス・AI概論」（第５回）
・仮説検証、知識発見、原因究明、計画策定、判断支援、活動代替、新規生成など「データサイエンス・AI概論」（第４回）</t>
    <rPh sb="7" eb="11">
      <t>カツヨウリョウイキ</t>
    </rPh>
    <rPh sb="12" eb="13">
      <t>ヒロ</t>
    </rPh>
    <rPh sb="16" eb="18">
      <t>セイサン</t>
    </rPh>
    <rPh sb="19" eb="21">
      <t>ショウヒ</t>
    </rPh>
    <rPh sb="22" eb="26">
      <t>ブンカカツドウ</t>
    </rPh>
    <rPh sb="45" eb="46">
      <t>ダイ</t>
    </rPh>
    <rPh sb="47" eb="48">
      <t>カイ</t>
    </rPh>
    <rPh sb="49" eb="50">
      <t>ダイ</t>
    </rPh>
    <rPh sb="53" eb="54">
      <t>ダイ</t>
    </rPh>
    <rPh sb="56" eb="57">
      <t>カイ</t>
    </rPh>
    <rPh sb="60" eb="64">
      <t>ケンキュウカイハツ</t>
    </rPh>
    <rPh sb="65" eb="67">
      <t>チョウタツ</t>
    </rPh>
    <rPh sb="68" eb="70">
      <t>セイゾウ</t>
    </rPh>
    <rPh sb="71" eb="73">
      <t>ブツリュウ</t>
    </rPh>
    <rPh sb="74" eb="76">
      <t>ハンバイ</t>
    </rPh>
    <rPh sb="107" eb="108">
      <t>ダイ</t>
    </rPh>
    <phoneticPr fontId="1"/>
  </si>
  <si>
    <t>・データ解析：予測、グル－ピング、パターン発見、最適化、シミュレーション・データ同化など「データサイエンス・AI概論」（第８回～第１２回）
・非構造化データ処理：言語処理、画像/動画処理、音声/音楽処理など「データサイエンス・AI概論」（第６回、第７回）
・認識技術、ルールベース、自動化技術「データサイエンス・AI概論」（第８回）</t>
    <rPh sb="62" eb="63">
      <t>カイ</t>
    </rPh>
    <rPh sb="64" eb="65">
      <t>ダイ</t>
    </rPh>
    <rPh sb="67" eb="68">
      <t>カイ</t>
    </rPh>
    <rPh sb="71" eb="72">
      <t>ヒ</t>
    </rPh>
    <rPh sb="72" eb="75">
      <t>コウゾウカ</t>
    </rPh>
    <rPh sb="78" eb="80">
      <t>ショリ</t>
    </rPh>
    <rPh sb="81" eb="85">
      <t>ゲンゴショリ</t>
    </rPh>
    <rPh sb="86" eb="88">
      <t>ガゾウ</t>
    </rPh>
    <rPh sb="89" eb="93">
      <t>ドウガショリ</t>
    </rPh>
    <rPh sb="94" eb="96">
      <t>オンセイ</t>
    </rPh>
    <rPh sb="97" eb="101">
      <t>オンガクショリ</t>
    </rPh>
    <rPh sb="119" eb="120">
      <t>ダイ</t>
    </rPh>
    <rPh sb="121" eb="122">
      <t>カイ</t>
    </rPh>
    <rPh sb="123" eb="124">
      <t>ダイ</t>
    </rPh>
    <phoneticPr fontId="1"/>
  </si>
  <si>
    <t>・流通、製造、金融、サービス、インフラ、公共、ヘルスケア等におけるデータ・AI利活用事例紹介「データサイエンス・AI概論」（第８回～第１２回）
・データサイエンスのサイクル（課題抽出と定式化、データの取得・管理・加工、探索的データ解析、データ解析と推論、結果の共有・伝達、課題解決に向けた提案）「データサイエンス・AI概論」（第４回）</t>
    <rPh sb="1" eb="3">
      <t>リュウツウ</t>
    </rPh>
    <rPh sb="4" eb="6">
      <t>セイゾウ</t>
    </rPh>
    <rPh sb="7" eb="9">
      <t>キンユウ</t>
    </rPh>
    <rPh sb="20" eb="22">
      <t>コウキョウ</t>
    </rPh>
    <rPh sb="28" eb="29">
      <t>ナド</t>
    </rPh>
    <rPh sb="39" eb="42">
      <t>リカツヨウ</t>
    </rPh>
    <rPh sb="42" eb="44">
      <t>ジレイ</t>
    </rPh>
    <rPh sb="44" eb="46">
      <t>ショウカイ</t>
    </rPh>
    <rPh sb="62" eb="63">
      <t>ダイ</t>
    </rPh>
    <rPh sb="64" eb="65">
      <t>カイ</t>
    </rPh>
    <rPh sb="66" eb="67">
      <t>ダイ</t>
    </rPh>
    <phoneticPr fontId="1"/>
  </si>
  <si>
    <t>・ELSI（Ethical, Legal and Social Issues）「データサイエンス・AI概論」（第１３回）
・個人情報保護、EU一般データ保護規則(GDPR)、忘れられる権利、オプトアウト「データサイエンス・AI概論」（第１１回、第１３回）
・データ倫理：データのねつ造、改ざん、盗用、プライバシー保護「データサイエンス・AI概論」（第１３回）
・AI社会原則（公平性、説明責任、透明性、人間中心の判断）「データサイエンス・AI概論」（第１５回）
・AIサービスの責任論「データサイエンス・AI概論」（第１３回）</t>
    <rPh sb="55" eb="56">
      <t>ダイ</t>
    </rPh>
    <rPh sb="117" eb="118">
      <t>ダイ</t>
    </rPh>
    <rPh sb="120" eb="121">
      <t>カイ</t>
    </rPh>
    <rPh sb="122" eb="123">
      <t>ダイ</t>
    </rPh>
    <rPh sb="132" eb="134">
      <t>リンリ</t>
    </rPh>
    <rPh sb="141" eb="142">
      <t>ゾウ</t>
    </rPh>
    <rPh sb="143" eb="144">
      <t>カイ</t>
    </rPh>
    <rPh sb="147" eb="149">
      <t>トウヨウ</t>
    </rPh>
    <rPh sb="156" eb="158">
      <t>ホゴ</t>
    </rPh>
    <rPh sb="174" eb="175">
      <t>ダイ</t>
    </rPh>
    <rPh sb="183" eb="187">
      <t>シャカイゲンソク</t>
    </rPh>
    <rPh sb="188" eb="191">
      <t>コウヘイセイ</t>
    </rPh>
    <rPh sb="192" eb="196">
      <t>セツメイセキニン</t>
    </rPh>
    <rPh sb="197" eb="200">
      <t>トウメイセイ</t>
    </rPh>
    <rPh sb="239" eb="242">
      <t>セキニンロン</t>
    </rPh>
    <rPh sb="258" eb="259">
      <t>ダイ</t>
    </rPh>
    <phoneticPr fontId="1"/>
  </si>
  <si>
    <t>・データの種類（量的変数、質的変数）「コンピュータ基礎B」（第１回）
・データの分布（ヒストグラム）と代表値（平均値、中央値、最頻値）「コンピュータ基礎B」（第３回）
・代表値の性質の違い（実社会では平均値=最頻値でないことが多い）「コンピュータ基礎B」（第３回）</t>
    <rPh sb="5" eb="7">
      <t>シュルイ</t>
    </rPh>
    <rPh sb="8" eb="12">
      <t>リョウテキヘンスウ</t>
    </rPh>
    <rPh sb="13" eb="15">
      <t>シツテキ</t>
    </rPh>
    <rPh sb="15" eb="17">
      <t>ヘンスウ</t>
    </rPh>
    <rPh sb="40" eb="42">
      <t>ブンプ</t>
    </rPh>
    <rPh sb="51" eb="54">
      <t>ダイヒョウチ</t>
    </rPh>
    <rPh sb="55" eb="58">
      <t>ヘイキンチ</t>
    </rPh>
    <rPh sb="59" eb="62">
      <t>チュウオウチ</t>
    </rPh>
    <rPh sb="63" eb="66">
      <t>サイヒンチ</t>
    </rPh>
    <rPh sb="85" eb="88">
      <t>ダイヒョウチ</t>
    </rPh>
    <rPh sb="89" eb="91">
      <t>セイシツ</t>
    </rPh>
    <rPh sb="92" eb="93">
      <t>チガ</t>
    </rPh>
    <rPh sb="95" eb="98">
      <t>ジッシャカイ</t>
    </rPh>
    <rPh sb="100" eb="103">
      <t>ヘイキンチ</t>
    </rPh>
    <rPh sb="104" eb="107">
      <t>サイヒンチ</t>
    </rPh>
    <rPh sb="113" eb="114">
      <t>オオ</t>
    </rPh>
    <phoneticPr fontId="1"/>
  </si>
  <si>
    <t>・データの集計（和、平均）「コンピュータ基礎B」（第３回）
・データの並び替え、ランキング「コンピュータ基礎B」（第４回、第７回、第１０回～第１３回）
・データ解析ツール（スプレッドシート）「コンピュータ基礎B」（第１回）
・表形式のデータ（csv）「コンピュータ基礎B」（第１回）</t>
    <rPh sb="5" eb="7">
      <t>シュウケイ</t>
    </rPh>
    <rPh sb="8" eb="9">
      <t>ワ</t>
    </rPh>
    <rPh sb="10" eb="12">
      <t>ヘイキン</t>
    </rPh>
    <rPh sb="35" eb="36">
      <t>ナラ</t>
    </rPh>
    <rPh sb="37" eb="38">
      <t>カ</t>
    </rPh>
    <rPh sb="61" eb="62">
      <t>ダイ</t>
    </rPh>
    <rPh sb="63" eb="64">
      <t>カイ</t>
    </rPh>
    <rPh sb="65" eb="66">
      <t>ダイ</t>
    </rPh>
    <rPh sb="68" eb="69">
      <t>カイ</t>
    </rPh>
    <rPh sb="70" eb="71">
      <t>ダイ</t>
    </rPh>
    <rPh sb="73" eb="74">
      <t>カイ</t>
    </rPh>
    <phoneticPr fontId="1"/>
  </si>
  <si>
    <t>・調査データ、実験データ、人の行動ログデータ、機械の稼働ログデータなど「データサイエンス・AI概論」（第２～４回、第８回）
・構造化データ、非構造化データ（文章、画像/動画、音声/音楽など）「データサイエンス・AI概論」（第６回）
・データのオープン化（オープンデータ）「データサイエンス・AI概論」（第５回）</t>
    <rPh sb="1" eb="3">
      <t>チョウサ</t>
    </rPh>
    <rPh sb="7" eb="9">
      <t>ジッケン</t>
    </rPh>
    <rPh sb="13" eb="14">
      <t>ヒト</t>
    </rPh>
    <rPh sb="15" eb="17">
      <t>コウドウ</t>
    </rPh>
    <rPh sb="23" eb="25">
      <t>キカイ</t>
    </rPh>
    <rPh sb="26" eb="28">
      <t>カドウ</t>
    </rPh>
    <rPh sb="51" eb="52">
      <t>ダイ</t>
    </rPh>
    <rPh sb="57" eb="58">
      <t>ダイ</t>
    </rPh>
    <rPh sb="59" eb="60">
      <t>カイ</t>
    </rPh>
    <rPh sb="63" eb="66">
      <t>コウゾウカ</t>
    </rPh>
    <rPh sb="70" eb="71">
      <t>ヒ</t>
    </rPh>
    <rPh sb="71" eb="74">
      <t>コウゾウカ</t>
    </rPh>
    <rPh sb="78" eb="80">
      <t>ブンショウ</t>
    </rPh>
    <rPh sb="81" eb="83">
      <t>ガゾウ</t>
    </rPh>
    <rPh sb="84" eb="86">
      <t>ドウガ</t>
    </rPh>
    <rPh sb="87" eb="89">
      <t>オンセイ</t>
    </rPh>
    <rPh sb="90" eb="92">
      <t>オンガク</t>
    </rPh>
    <rPh sb="111" eb="112">
      <t>ダイ</t>
    </rPh>
    <rPh sb="125" eb="126">
      <t>カ</t>
    </rPh>
    <rPh sb="151" eb="152">
      <t>ダイ</t>
    </rPh>
    <phoneticPr fontId="1"/>
  </si>
  <si>
    <t>・データの種類（量的変数、質的変数）「情報処理実習B」（第１１回、第１２回）
・データの分布（ヒストグラム）と代表値（平均値、中央値、最頻値）「情報処理実習B」（第１１回、第１２回）
・代表値の性質の違い（実社会では平均値=最頻値でないことが多い）「情報処理実習B」（第１１回、第１２回）
・データのばらつき（分散、標準偏差、偏差値）「情報処理実習B」（第１１回、第１２回）
・クロス集計表、分割表、相関係数行列、散布図行列「情報処理実習B」（第８回、第９回）</t>
    <rPh sb="15" eb="17">
      <t>ヘンスウ</t>
    </rPh>
    <rPh sb="19" eb="21">
      <t>ジョウホウ</t>
    </rPh>
    <rPh sb="21" eb="23">
      <t>ショリ</t>
    </rPh>
    <rPh sb="23" eb="25">
      <t>ジッシュウ</t>
    </rPh>
    <rPh sb="33" eb="34">
      <t>ダイ</t>
    </rPh>
    <rPh sb="36" eb="37">
      <t>カイ</t>
    </rPh>
    <rPh sb="155" eb="157">
      <t>ブンサン</t>
    </rPh>
    <rPh sb="158" eb="162">
      <t>ヒョウジュンヘンサ</t>
    </rPh>
    <rPh sb="163" eb="166">
      <t>ヘンサチ</t>
    </rPh>
    <phoneticPr fontId="1"/>
  </si>
  <si>
    <t>・データの集計（和、平均）「情報処理実習B」（第９回、第１０回）
・データの並び替え、ランキング「情報処理実習B」（第９回、第１０回）
・データ解析ツール（スプレッドシート）「情報処理実習B」（第５回）
・表形式のデータ（csv）「情報処理実習B」（第５回）</t>
    <rPh sb="5" eb="7">
      <t>シュウケイ</t>
    </rPh>
    <rPh sb="8" eb="9">
      <t>ワ</t>
    </rPh>
    <rPh sb="10" eb="12">
      <t>ヘイキン</t>
    </rPh>
    <rPh sb="27" eb="28">
      <t>ダイ</t>
    </rPh>
    <rPh sb="30" eb="31">
      <t>カイ</t>
    </rPh>
    <rPh sb="38" eb="39">
      <t>ナラ</t>
    </rPh>
    <rPh sb="40" eb="41">
      <t>カ</t>
    </rPh>
    <rPh sb="58" eb="59">
      <t>ダイ</t>
    </rPh>
    <rPh sb="60" eb="61">
      <t>カイ</t>
    </rPh>
    <rPh sb="62" eb="63">
      <t>ダイ</t>
    </rPh>
    <rPh sb="65" eb="66">
      <t>カイ</t>
    </rPh>
    <phoneticPr fontId="1"/>
  </si>
  <si>
    <t>・データの種類（量的変数、質的変数）「情報処理実習A」（第１２回、第１３回）
・データの分布（ヒストグラム）と代表値（平均値、中央値、最頻値）「情報処理実習A」（第１２回、第１３回）
・代表値の性質の違い（実社会では平均値=最頻値でないことが多い）「情報処理実習A」（第１２回、第１３回）
・データのばらつき（分散、標準偏差、偏差値）「情報処理実習A」（第１２回、第１３回）</t>
    <rPh sb="129" eb="131">
      <t>ジッシュウ</t>
    </rPh>
    <phoneticPr fontId="1"/>
  </si>
  <si>
    <t>・データの集計（和、平均）「情報処理実習A」（第８回、第９回）
・データの並び替え、ランキング「情報処理実習A」（（第８回、第９回）
・データ解析ツール（スプレッドシート）「情報処理実習A」（第８回）
・表形式のデータ（csv）「情報処理実習A」（第８回）</t>
    <rPh sb="5" eb="7">
      <t>シュウケイ</t>
    </rPh>
    <rPh sb="8" eb="9">
      <t>ワ</t>
    </rPh>
    <rPh sb="10" eb="12">
      <t>ヘイキン</t>
    </rPh>
    <rPh sb="37" eb="38">
      <t>ナラ</t>
    </rPh>
    <rPh sb="39" eb="40">
      <t>カ</t>
    </rPh>
    <rPh sb="58" eb="59">
      <t>ダイ</t>
    </rPh>
    <rPh sb="60" eb="61">
      <t>カイ</t>
    </rPh>
    <rPh sb="62" eb="63">
      <t>ダイ</t>
    </rPh>
    <rPh sb="64" eb="65">
      <t>カイ</t>
    </rPh>
    <phoneticPr fontId="1"/>
  </si>
  <si>
    <t xml:space="preserve">プログラムの科目はすべて配当年次が1年次のため、入学前に配付する冊子『新入生案内』に大妻データサイエンス・ＡＩプログラムの案内を掲載するとともに、4月の履修登録時に行われるクラス別ガイダンスにおいても、クラス指導主任から『履修登録の手引き』を通して、このプログラムを履修することの利点を説明している。また、プログラム修了者アンケートの結果は、HPで公表し、プログラム履修への意欲向上を図っている。
さらに本プログラムの修了者には修了証をオープンバッジで発行し、学習歴のデジタル化にも対応している。その他、プログラムに関係する科目のうち、共通科目である「データサイエンス・AI概論」は、後期のオンデマンド科目として配置することで、前期履修登録の結果、上限人数に満たないコマについては後期履修登録の機会を設けることを可能としている。
</t>
    <rPh sb="38" eb="40">
      <t>アンナイ</t>
    </rPh>
    <rPh sb="160" eb="161">
      <t>シャ</t>
    </rPh>
    <rPh sb="174" eb="176">
      <t>コウヒョウ</t>
    </rPh>
    <phoneticPr fontId="1"/>
  </si>
  <si>
    <t>できる限り多くの学生が履修できるよう、次のような取り組みを行っている。
・新入生発送資料やガイダンス配付資料を活用し周知するとともに、1年次全員にポータルサイト（UNIPA）から周知をしている。
・ホームページに特設ページを設け、学修成果や後輩等他の学生への推奨度を確認するアンケートなどの結果を積極的に公開している。
・プログラムの共通科目である「データサイエンス・ＡＩ概論」は、複数学部の教員が担当することで特定の学部に偏らない内容になるよう工夫している。
・前期教務委員会において、後期履修登録、他キャンパス履修、単位互換の日時や手続き方法を教職員で共有しており、上限に達していないプログラム科目について追加登録をするよう促している。</t>
    <rPh sb="19" eb="20">
      <t>ツギ</t>
    </rPh>
    <rPh sb="24" eb="25">
      <t>ト</t>
    </rPh>
    <rPh sb="26" eb="27">
      <t>ク</t>
    </rPh>
    <rPh sb="29" eb="30">
      <t>オコナ</t>
    </rPh>
    <rPh sb="120" eb="122">
      <t>コウハイ</t>
    </rPh>
    <rPh sb="122" eb="123">
      <t>ナド</t>
    </rPh>
    <rPh sb="123" eb="124">
      <t>ホカ</t>
    </rPh>
    <rPh sb="125" eb="127">
      <t>ガクセイ</t>
    </rPh>
    <phoneticPr fontId="1"/>
  </si>
  <si>
    <t>本学では、情報リテラシー教育検討部会において、各種アンケート調査、成績分布などを参考に自己点検・評価を行うとともに、データサイエンス分野に関する協定を締結した企業との意見交換を年に１回行い、社会の変化や生成AI等の技術の発展を踏まえた教育内容の見直しを行っている。</t>
    <rPh sb="0" eb="2">
      <t>ホンガク</t>
    </rPh>
    <rPh sb="5" eb="7">
      <t>ジョウホウ</t>
    </rPh>
    <rPh sb="12" eb="16">
      <t>キョウイクケントウ</t>
    </rPh>
    <rPh sb="16" eb="18">
      <t>ブカイ</t>
    </rPh>
    <rPh sb="23" eb="25">
      <t>カクシュ</t>
    </rPh>
    <rPh sb="30" eb="32">
      <t>チョウサ</t>
    </rPh>
    <rPh sb="33" eb="37">
      <t>セイセキブンプ</t>
    </rPh>
    <rPh sb="40" eb="42">
      <t>サンコウ</t>
    </rPh>
    <rPh sb="43" eb="47">
      <t>ジコテンケン</t>
    </rPh>
    <rPh sb="48" eb="50">
      <t>ヒョウカ</t>
    </rPh>
    <rPh sb="51" eb="52">
      <t>オコナ</t>
    </rPh>
    <phoneticPr fontId="1"/>
  </si>
  <si>
    <t>学生の内容の理解度については、大学が組織的に実施している「授業改善のためのアンケート」にある設問９「この授業によって、新しい知識・技能・ものの見方や考え方を習得できましたか」、設問10「あなたは授業に満足しましたか」において確認し、本教育プログラムの評価・改善に活用している。その結果は、情報リテラシー教育検討部会でも情報共有されるとともに、自己点検・評価報告書に記載し公表する。</t>
    <rPh sb="15" eb="17">
      <t>ダイガク</t>
    </rPh>
    <rPh sb="18" eb="21">
      <t>ソシキテキ</t>
    </rPh>
    <rPh sb="22" eb="24">
      <t>ジッシ</t>
    </rPh>
    <rPh sb="112" eb="114">
      <t>カクニン</t>
    </rPh>
    <rPh sb="144" eb="146">
      <t>ジョウホウ</t>
    </rPh>
    <rPh sb="151" eb="155">
      <t>キョウイクケントウ</t>
    </rPh>
    <rPh sb="155" eb="157">
      <t>ブカイ</t>
    </rPh>
    <rPh sb="159" eb="161">
      <t>ジョウホウ</t>
    </rPh>
    <rPh sb="161" eb="163">
      <t>キョウユウ</t>
    </rPh>
    <rPh sb="185" eb="187">
      <t>コウヒョウ</t>
    </rPh>
    <phoneticPr fontId="1"/>
  </si>
  <si>
    <t>本プログラムは令和５年度入学生から履修可能となったプログラムのため、初年度修了者の卒業は令和8年度末になる。そのため、令和9年度以降に修了者の進路、活躍状況等を確認していくこととなる。</t>
    <phoneticPr fontId="1"/>
  </si>
  <si>
    <t>プログラムの共通科目である「データサイエンス・ＡＩ概論」では、授業のガイダンスとして、初回授業の前にプレ授業を設け、「学ぶことの楽しさ」「学ぶことの意義」を説明している。
また、複数学部の教員がオムニバスで担当することにより、学生自身の今後の学修と関係のある内容も含めることでデータサイエンスやAIについて「学ぶことの意義」を伝える工夫をしている。
さらに担当教員がシラバスを執筆する際に参考とする『授業概要』では、データサイエンス・AIを活用することの「楽しさ」や「学ぶことの意義」に重きを置くことを記した。</t>
    <phoneticPr fontId="1"/>
  </si>
  <si>
    <t>できる限り多くの学生が履修・修得できるように次のようなサポート体制をとっている。
・プログラムの共通科目である「データサイエンス・ＡＩ概論」は、オンデマンド授業で実施しており、学生の理解度によって、繰り返し視聴可能としている。
・「データサイエンス・ＡＩ概論」は複数学部の教員が担当することで、多様な学生からの質問にも柔軟な対応が可能となっている。
・プログラム上、パソコンを使用する演習科目「コンピュータ基礎Ｂ」「情報処理実習Ａ」「情報処理実習Ｂ」は、「データサイエンス・ＡＩ概論」と異なり、対面形式で実施し、パソコンの習熟度によって担当教員やＴＡがサポートする体制を整えている。
・PCの利用やネットワーク接続等に関する質問については、専門部署が学生対応をしている。
・学内全域で無線LANを整備し、BYODに対応している。</t>
    <rPh sb="22" eb="23">
      <t>ツギ</t>
    </rPh>
    <rPh sb="296" eb="298">
      <t>リヨウ</t>
    </rPh>
    <rPh sb="305" eb="307">
      <t>セツゾク</t>
    </rPh>
    <rPh sb="307" eb="308">
      <t>ナド</t>
    </rPh>
    <rPh sb="309" eb="310">
      <t>カン</t>
    </rPh>
    <rPh sb="312" eb="314">
      <t>シツモン</t>
    </rPh>
    <rPh sb="320" eb="322">
      <t>センモン</t>
    </rPh>
    <rPh sb="322" eb="324">
      <t>ブショ</t>
    </rPh>
    <rPh sb="325" eb="329">
      <t>ガクセイタイオウ</t>
    </rPh>
    <rPh sb="342" eb="344">
      <t>ムセン</t>
    </rPh>
    <rPh sb="348" eb="350">
      <t>セイビ</t>
    </rPh>
    <rPh sb="357" eb="359">
      <t>タイオウ</t>
    </rPh>
    <phoneticPr fontId="1"/>
  </si>
  <si>
    <t>　部会は、次の各号に掲げる委員をもって組織する。
(1)　調整委員会委員長の指名する専任教員　若干名
　・山倉　健嗣　全学共通科目調整委員会委員長・副学長（教育担当）／部会長
　・市川　博　家政学部ライフデザイン学科教授
　・小野　茂　社会情報学部社会情報学科教授
　・八城　薫　人間関係学部人間関係学科教授
　・豊田　雄彦　短期大学部家政科教授
(2)　安倍　達哉　教育支援センター部長
(3)　西田　裕貴　教育支援グループ課長
(4)　桝渕　富士子　メディア教育開発グループ課長
(5)　その他部会長の推薦する者　若干名
　R5は推薦者なし。</t>
    <rPh sb="178" eb="180">
      <t>アベ</t>
    </rPh>
    <rPh sb="181" eb="183">
      <t>タツヤ</t>
    </rPh>
    <rPh sb="199" eb="201">
      <t>ニシダ</t>
    </rPh>
    <rPh sb="202" eb="204">
      <t>ユウキ</t>
    </rPh>
    <rPh sb="220" eb="222">
      <t>マスブチ</t>
    </rPh>
    <rPh sb="223" eb="226">
      <t>フジコ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</si>
</sst>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4" xfId="0" applyFont="1" applyBorder="1" applyAlignment="1">
      <alignment horizontal="left" vertical="center" shrinkToFit="1"/>
    </xf>
    <xf numFmtId="0" fontId="2" fillId="0" borderId="5" xfId="0" applyFont="1" applyBorder="1" applyAlignment="1">
      <alignment vertical="center" shrinkToFit="1"/>
    </xf>
    <xf numFmtId="38" fontId="2" fillId="0" borderId="15" xfId="2" applyFont="1" applyBorder="1" applyAlignment="1">
      <alignment vertical="center" shrinkToFit="1"/>
    </xf>
    <xf numFmtId="9" fontId="2" fillId="0" borderId="14"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5" fillId="0" borderId="2" xfId="0" applyFont="1" applyBorder="1" applyAlignment="1">
      <alignment vertical="center" wrapText="1" shrinkToFit="1"/>
    </xf>
    <xf numFmtId="0" fontId="5" fillId="0" borderId="3" xfId="0" applyFont="1" applyBorder="1" applyAlignment="1">
      <alignment vertical="center" wrapText="1" shrinkToFit="1"/>
    </xf>
    <xf numFmtId="0" fontId="5"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7"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3"/>
      <c r="B1" s="73"/>
      <c r="C1" s="73"/>
      <c r="D1" s="73"/>
      <c r="E1" s="73"/>
      <c r="F1" s="73"/>
      <c r="G1" s="73"/>
      <c r="H1" s="73"/>
      <c r="I1" s="73"/>
      <c r="J1" s="73"/>
      <c r="K1" s="73"/>
      <c r="L1" s="73"/>
      <c r="M1" s="73"/>
      <c r="N1" s="73"/>
      <c r="O1" s="73"/>
      <c r="P1" s="73"/>
      <c r="Q1" s="73"/>
      <c r="R1" s="73"/>
      <c r="S1" s="73"/>
      <c r="T1" s="135" t="s">
        <v>174</v>
      </c>
      <c r="U1" s="135"/>
      <c r="V1" s="2" t="s">
        <v>99</v>
      </c>
    </row>
    <row r="2" spans="1:24" ht="18.75" customHeight="1" x14ac:dyDescent="0.15">
      <c r="A2" s="73"/>
      <c r="B2" s="74" t="s">
        <v>98</v>
      </c>
      <c r="C2" s="136" t="s">
        <v>136</v>
      </c>
      <c r="D2" s="137"/>
      <c r="E2" s="137"/>
      <c r="F2" s="137"/>
      <c r="G2" s="137"/>
      <c r="H2" s="137"/>
      <c r="I2" s="137"/>
      <c r="J2" s="138"/>
      <c r="K2" s="75"/>
      <c r="L2" s="76"/>
      <c r="M2" s="76"/>
      <c r="N2" s="76"/>
      <c r="O2" s="76"/>
      <c r="P2" s="76"/>
      <c r="Q2" s="76"/>
      <c r="R2" s="76"/>
      <c r="S2" s="76"/>
      <c r="T2" s="76"/>
      <c r="U2" s="76"/>
    </row>
    <row r="3" spans="1:24" ht="18.75" customHeight="1" x14ac:dyDescent="0.15">
      <c r="A3" s="73"/>
      <c r="B3" s="74" t="s">
        <v>93</v>
      </c>
      <c r="C3" s="136" t="s">
        <v>137</v>
      </c>
      <c r="D3" s="137"/>
      <c r="E3" s="137"/>
      <c r="F3" s="137"/>
      <c r="G3" s="137"/>
      <c r="H3" s="137"/>
      <c r="I3" s="137"/>
      <c r="J3" s="138"/>
      <c r="K3" s="75"/>
      <c r="L3" s="76"/>
      <c r="M3" s="76"/>
      <c r="N3" s="76"/>
      <c r="O3" s="76"/>
      <c r="P3" s="76"/>
      <c r="Q3" s="76"/>
      <c r="R3" s="76"/>
      <c r="S3" s="76"/>
      <c r="T3" s="76"/>
      <c r="U3" s="76"/>
    </row>
    <row r="4" spans="1:24" ht="15" customHeight="1" x14ac:dyDescent="0.15">
      <c r="A4" s="73"/>
      <c r="B4" s="73"/>
      <c r="C4" s="73"/>
      <c r="D4" s="73"/>
      <c r="E4" s="73"/>
      <c r="F4" s="73"/>
      <c r="G4" s="73"/>
      <c r="H4" s="73"/>
      <c r="I4" s="73"/>
      <c r="J4" s="73"/>
      <c r="K4" s="73"/>
      <c r="L4" s="75"/>
      <c r="M4" s="77"/>
      <c r="N4" s="77"/>
      <c r="O4" s="77"/>
      <c r="P4" s="77"/>
      <c r="Q4" s="77"/>
      <c r="R4" s="77"/>
      <c r="S4" s="77"/>
      <c r="T4" s="77"/>
      <c r="U4" s="77"/>
    </row>
    <row r="5" spans="1:24" ht="18" customHeight="1" x14ac:dyDescent="0.15">
      <c r="A5" s="116" t="s">
        <v>37</v>
      </c>
      <c r="B5" s="116"/>
      <c r="C5" s="116"/>
      <c r="D5" s="116"/>
      <c r="E5" s="116"/>
      <c r="F5" s="116"/>
      <c r="G5" s="116"/>
      <c r="H5" s="116"/>
      <c r="I5" s="116"/>
      <c r="J5" s="116"/>
      <c r="K5" s="116"/>
      <c r="L5" s="116"/>
      <c r="M5" s="116"/>
      <c r="N5" s="116"/>
      <c r="O5" s="116"/>
      <c r="P5" s="116"/>
      <c r="Q5" s="116"/>
      <c r="R5" s="116"/>
      <c r="S5" s="116"/>
      <c r="T5" s="116"/>
      <c r="U5" s="116"/>
    </row>
    <row r="6" spans="1:24" ht="15" customHeight="1" x14ac:dyDescent="0.15">
      <c r="A6" s="73"/>
      <c r="B6" s="78"/>
      <c r="C6" s="78"/>
      <c r="D6" s="78"/>
      <c r="E6" s="78"/>
      <c r="F6" s="78"/>
      <c r="G6" s="78"/>
      <c r="H6" s="78"/>
      <c r="I6" s="78"/>
      <c r="J6" s="78"/>
      <c r="K6" s="78"/>
      <c r="L6" s="78"/>
      <c r="M6" s="78"/>
      <c r="N6" s="78"/>
      <c r="O6" s="78"/>
      <c r="P6" s="78"/>
      <c r="Q6" s="78"/>
      <c r="R6" s="78"/>
      <c r="S6" s="78"/>
      <c r="T6" s="78"/>
      <c r="U6" s="78"/>
    </row>
    <row r="7" spans="1:24" ht="15" customHeight="1" x14ac:dyDescent="0.15">
      <c r="A7" s="73" t="s">
        <v>131</v>
      </c>
      <c r="B7" s="78"/>
      <c r="C7" s="78"/>
      <c r="D7" s="78"/>
      <c r="E7" s="78"/>
      <c r="F7" s="72"/>
      <c r="G7" s="72"/>
      <c r="H7" s="72"/>
      <c r="I7" s="72"/>
      <c r="J7" s="72"/>
      <c r="K7" s="72"/>
      <c r="L7" s="152" t="s">
        <v>129</v>
      </c>
      <c r="M7" s="153"/>
      <c r="N7" s="153"/>
      <c r="O7" s="153"/>
      <c r="P7" s="153"/>
      <c r="Q7" s="153"/>
      <c r="R7" s="153"/>
      <c r="S7" s="153"/>
      <c r="T7" s="153"/>
      <c r="U7" s="154"/>
    </row>
    <row r="8" spans="1:24" ht="6" customHeight="1" x14ac:dyDescent="0.15">
      <c r="A8" s="73"/>
      <c r="B8" s="78"/>
      <c r="C8" s="78"/>
      <c r="D8" s="78"/>
      <c r="E8" s="78"/>
      <c r="F8" s="78"/>
      <c r="G8" s="78"/>
      <c r="H8" s="78"/>
      <c r="I8" s="78"/>
      <c r="J8" s="78"/>
      <c r="K8" s="78"/>
      <c r="L8" s="78"/>
      <c r="M8" s="78"/>
      <c r="N8" s="78"/>
      <c r="O8" s="78"/>
      <c r="P8" s="78"/>
      <c r="Q8" s="78"/>
      <c r="R8" s="78"/>
      <c r="S8" s="78"/>
      <c r="T8" s="78"/>
      <c r="U8" s="78"/>
    </row>
    <row r="9" spans="1:24" ht="18" customHeight="1" x14ac:dyDescent="0.15">
      <c r="A9" s="73" t="s">
        <v>132</v>
      </c>
      <c r="B9" s="73"/>
      <c r="C9" s="78"/>
      <c r="D9" s="78"/>
      <c r="E9" s="73"/>
      <c r="F9" s="73"/>
      <c r="G9" s="73"/>
      <c r="H9" s="73"/>
      <c r="I9" s="73"/>
      <c r="J9" s="73"/>
      <c r="K9" s="75"/>
      <c r="L9" s="72"/>
      <c r="M9" s="72"/>
      <c r="N9" s="72"/>
      <c r="O9" s="72"/>
      <c r="P9" s="72"/>
      <c r="Q9" s="72"/>
      <c r="R9" s="72"/>
      <c r="S9" s="72"/>
      <c r="T9" s="72"/>
      <c r="U9" s="72"/>
    </row>
    <row r="10" spans="1:24" ht="6" customHeight="1" x14ac:dyDescent="0.15">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15">
      <c r="A11" s="73"/>
      <c r="B11" s="155" t="s">
        <v>138</v>
      </c>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3"/>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15">
      <c r="A14" s="73" t="s">
        <v>100</v>
      </c>
      <c r="B14" s="78"/>
      <c r="C14" s="78"/>
      <c r="D14" s="78"/>
      <c r="E14" s="75"/>
      <c r="F14" s="75"/>
      <c r="G14" s="75"/>
      <c r="H14" s="75"/>
      <c r="I14" s="75"/>
      <c r="J14" s="75"/>
      <c r="K14" s="75"/>
      <c r="L14" s="80"/>
      <c r="M14" s="80"/>
      <c r="N14" s="80"/>
      <c r="O14" s="80"/>
      <c r="P14" s="80"/>
      <c r="Q14" s="80"/>
      <c r="R14" s="80"/>
      <c r="S14" s="80"/>
      <c r="T14" s="80"/>
      <c r="U14" s="80"/>
    </row>
    <row r="15" spans="1:24" ht="18" customHeight="1" x14ac:dyDescent="0.15">
      <c r="A15" s="73"/>
      <c r="B15" s="117" t="s">
        <v>164</v>
      </c>
      <c r="C15" s="118"/>
      <c r="D15" s="118"/>
      <c r="E15" s="118"/>
      <c r="F15" s="118"/>
      <c r="G15" s="118"/>
      <c r="H15" s="118"/>
      <c r="I15" s="118"/>
      <c r="J15" s="118"/>
      <c r="K15" s="118"/>
      <c r="L15" s="118"/>
      <c r="M15" s="118"/>
      <c r="N15" s="118"/>
      <c r="O15" s="118"/>
      <c r="P15" s="118"/>
      <c r="Q15" s="118"/>
      <c r="R15" s="118"/>
      <c r="S15" s="118"/>
      <c r="T15" s="118"/>
      <c r="U15" s="119"/>
      <c r="X15" s="1" t="s">
        <v>94</v>
      </c>
    </row>
    <row r="16" spans="1:24" ht="18" customHeight="1" x14ac:dyDescent="0.15">
      <c r="A16" s="73"/>
      <c r="B16" s="120"/>
      <c r="C16" s="121"/>
      <c r="D16" s="121"/>
      <c r="E16" s="121"/>
      <c r="F16" s="121"/>
      <c r="G16" s="121"/>
      <c r="H16" s="121"/>
      <c r="I16" s="121"/>
      <c r="J16" s="121"/>
      <c r="K16" s="121"/>
      <c r="L16" s="121"/>
      <c r="M16" s="121"/>
      <c r="N16" s="121"/>
      <c r="O16" s="121"/>
      <c r="P16" s="121"/>
      <c r="Q16" s="121"/>
      <c r="R16" s="121"/>
      <c r="S16" s="121"/>
      <c r="T16" s="121"/>
      <c r="U16" s="122"/>
      <c r="X16" s="1" t="s">
        <v>114</v>
      </c>
    </row>
    <row r="17" spans="1:24" ht="18" customHeight="1" x14ac:dyDescent="0.15">
      <c r="A17" s="73"/>
      <c r="B17" s="120"/>
      <c r="C17" s="121"/>
      <c r="D17" s="121"/>
      <c r="E17" s="121"/>
      <c r="F17" s="121"/>
      <c r="G17" s="121"/>
      <c r="H17" s="121"/>
      <c r="I17" s="121"/>
      <c r="J17" s="121"/>
      <c r="K17" s="121"/>
      <c r="L17" s="121"/>
      <c r="M17" s="121"/>
      <c r="N17" s="121"/>
      <c r="O17" s="121"/>
      <c r="P17" s="121"/>
      <c r="Q17" s="121"/>
      <c r="R17" s="121"/>
      <c r="S17" s="121"/>
      <c r="T17" s="121"/>
      <c r="U17" s="122"/>
      <c r="X17" s="1" t="s">
        <v>115</v>
      </c>
    </row>
    <row r="18" spans="1:24" ht="18" customHeight="1" x14ac:dyDescent="0.15">
      <c r="A18" s="73"/>
      <c r="B18" s="120"/>
      <c r="C18" s="121"/>
      <c r="D18" s="121"/>
      <c r="E18" s="121"/>
      <c r="F18" s="121"/>
      <c r="G18" s="121"/>
      <c r="H18" s="121"/>
      <c r="I18" s="121"/>
      <c r="J18" s="121"/>
      <c r="K18" s="121"/>
      <c r="L18" s="121"/>
      <c r="M18" s="121"/>
      <c r="N18" s="121"/>
      <c r="O18" s="121"/>
      <c r="P18" s="121"/>
      <c r="Q18" s="121"/>
      <c r="R18" s="121"/>
      <c r="S18" s="121"/>
      <c r="T18" s="121"/>
      <c r="U18" s="122"/>
      <c r="X18" s="1" t="s">
        <v>116</v>
      </c>
    </row>
    <row r="19" spans="1:24" ht="18" customHeight="1" x14ac:dyDescent="0.15">
      <c r="A19" s="73"/>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15">
      <c r="A20" s="73"/>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15">
      <c r="A21" s="73"/>
      <c r="B21" s="78"/>
      <c r="C21" s="78"/>
      <c r="D21" s="78"/>
      <c r="E21" s="78"/>
      <c r="F21" s="78"/>
      <c r="G21" s="78"/>
      <c r="H21" s="78"/>
      <c r="I21" s="78"/>
      <c r="J21" s="78"/>
      <c r="K21" s="78"/>
      <c r="L21" s="78"/>
      <c r="M21" s="78"/>
      <c r="N21" s="78"/>
      <c r="O21" s="78"/>
      <c r="P21" s="78"/>
      <c r="Q21" s="78"/>
      <c r="R21" s="78"/>
      <c r="S21" s="78"/>
      <c r="T21" s="78"/>
      <c r="U21" s="78"/>
    </row>
    <row r="22" spans="1:24" ht="19.899999999999999" customHeight="1" x14ac:dyDescent="0.15">
      <c r="A22" s="73"/>
      <c r="B22" s="73" t="s">
        <v>133</v>
      </c>
      <c r="C22" s="73"/>
      <c r="D22" s="73"/>
      <c r="E22" s="81">
        <v>2</v>
      </c>
      <c r="F22" s="73" t="s">
        <v>112</v>
      </c>
      <c r="G22" s="73"/>
      <c r="H22" s="82">
        <v>4</v>
      </c>
      <c r="I22" s="78" t="s">
        <v>113</v>
      </c>
      <c r="J22" s="78"/>
      <c r="K22" s="75"/>
      <c r="L22" s="73"/>
      <c r="M22" s="75" t="s">
        <v>109</v>
      </c>
      <c r="N22" s="149" t="s">
        <v>116</v>
      </c>
      <c r="O22" s="150"/>
      <c r="P22" s="150"/>
      <c r="Q22" s="150"/>
      <c r="R22" s="150"/>
      <c r="S22" s="150"/>
      <c r="T22" s="150"/>
      <c r="U22" s="151"/>
    </row>
    <row r="23" spans="1:24" ht="7.5" customHeight="1" x14ac:dyDescent="0.15">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15">
      <c r="A24" s="126" t="s">
        <v>101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15">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15">
      <c r="B26" s="92" t="s">
        <v>51</v>
      </c>
      <c r="C26" s="93"/>
      <c r="D26" s="93"/>
      <c r="E26" s="93"/>
      <c r="F26" s="94"/>
      <c r="G26" s="50" t="s">
        <v>77</v>
      </c>
      <c r="H26" s="49" t="s">
        <v>80</v>
      </c>
      <c r="I26" s="16" t="s">
        <v>54</v>
      </c>
      <c r="J26" s="16" t="s">
        <v>57</v>
      </c>
      <c r="K26" s="92" t="s">
        <v>51</v>
      </c>
      <c r="L26" s="93"/>
      <c r="M26" s="93"/>
      <c r="N26" s="93"/>
      <c r="O26" s="93"/>
      <c r="P26" s="93"/>
      <c r="Q26" s="94"/>
      <c r="R26" s="50" t="s">
        <v>77</v>
      </c>
      <c r="S26" s="49" t="s">
        <v>80</v>
      </c>
      <c r="T26" s="16" t="s">
        <v>54</v>
      </c>
      <c r="U26" s="16" t="s">
        <v>57</v>
      </c>
    </row>
    <row r="27" spans="1:24" ht="18" customHeight="1" x14ac:dyDescent="0.15">
      <c r="B27" s="103" t="s">
        <v>140</v>
      </c>
      <c r="C27" s="104"/>
      <c r="D27" s="104"/>
      <c r="E27" s="104"/>
      <c r="F27" s="105"/>
      <c r="G27" s="17">
        <v>2</v>
      </c>
      <c r="H27" s="17" t="s">
        <v>139</v>
      </c>
      <c r="I27" s="17" t="s">
        <v>139</v>
      </c>
      <c r="J27" s="17" t="s">
        <v>139</v>
      </c>
      <c r="K27" s="103"/>
      <c r="L27" s="104"/>
      <c r="M27" s="104"/>
      <c r="N27" s="104"/>
      <c r="O27" s="104"/>
      <c r="P27" s="104"/>
      <c r="Q27" s="105"/>
      <c r="R27" s="17"/>
      <c r="S27" s="17"/>
      <c r="T27" s="17"/>
      <c r="U27" s="17"/>
    </row>
    <row r="28" spans="1:24" ht="18" customHeight="1" x14ac:dyDescent="0.15">
      <c r="B28" s="95"/>
      <c r="C28" s="96"/>
      <c r="D28" s="96"/>
      <c r="E28" s="96"/>
      <c r="F28" s="97"/>
      <c r="G28" s="18"/>
      <c r="H28" s="18"/>
      <c r="I28" s="18"/>
      <c r="J28" s="18"/>
      <c r="K28" s="95"/>
      <c r="L28" s="96"/>
      <c r="M28" s="96"/>
      <c r="N28" s="96"/>
      <c r="O28" s="96"/>
      <c r="P28" s="96"/>
      <c r="Q28" s="97"/>
      <c r="R28" s="18"/>
      <c r="S28" s="18"/>
      <c r="T28" s="18"/>
      <c r="U28" s="18"/>
    </row>
    <row r="29" spans="1:24" ht="18" customHeight="1" x14ac:dyDescent="0.15">
      <c r="B29" s="95"/>
      <c r="C29" s="96"/>
      <c r="D29" s="96"/>
      <c r="E29" s="96"/>
      <c r="F29" s="97"/>
      <c r="G29" s="18"/>
      <c r="H29" s="18"/>
      <c r="I29" s="18"/>
      <c r="J29" s="18"/>
      <c r="K29" s="95"/>
      <c r="L29" s="96"/>
      <c r="M29" s="96"/>
      <c r="N29" s="96"/>
      <c r="O29" s="96"/>
      <c r="P29" s="96"/>
      <c r="Q29" s="97"/>
      <c r="R29" s="18"/>
      <c r="S29" s="18"/>
      <c r="T29" s="18"/>
      <c r="U29" s="18"/>
    </row>
    <row r="30" spans="1:24" ht="18" customHeight="1" x14ac:dyDescent="0.15">
      <c r="B30" s="95"/>
      <c r="C30" s="96"/>
      <c r="D30" s="96"/>
      <c r="E30" s="96"/>
      <c r="F30" s="97"/>
      <c r="G30" s="18"/>
      <c r="H30" s="18"/>
      <c r="I30" s="18"/>
      <c r="J30" s="18"/>
      <c r="K30" s="95"/>
      <c r="L30" s="96"/>
      <c r="M30" s="96"/>
      <c r="N30" s="96"/>
      <c r="O30" s="96"/>
      <c r="P30" s="96"/>
      <c r="Q30" s="97"/>
      <c r="R30" s="18"/>
      <c r="S30" s="18"/>
      <c r="T30" s="18"/>
      <c r="U30" s="18"/>
    </row>
    <row r="31" spans="1:24" ht="18" customHeight="1" x14ac:dyDescent="0.15">
      <c r="B31" s="95"/>
      <c r="C31" s="96"/>
      <c r="D31" s="96"/>
      <c r="E31" s="96"/>
      <c r="F31" s="97"/>
      <c r="G31" s="18"/>
      <c r="H31" s="18"/>
      <c r="I31" s="18"/>
      <c r="J31" s="18"/>
      <c r="K31" s="95"/>
      <c r="L31" s="96"/>
      <c r="M31" s="96"/>
      <c r="N31" s="96"/>
      <c r="O31" s="96"/>
      <c r="P31" s="96"/>
      <c r="Q31" s="97"/>
      <c r="R31" s="18"/>
      <c r="S31" s="18"/>
      <c r="T31" s="18"/>
      <c r="U31" s="18"/>
    </row>
    <row r="32" spans="1:24" ht="18" customHeight="1" x14ac:dyDescent="0.15">
      <c r="A32" s="3"/>
      <c r="B32" s="95"/>
      <c r="C32" s="96"/>
      <c r="D32" s="96"/>
      <c r="E32" s="96"/>
      <c r="F32" s="97"/>
      <c r="G32" s="18"/>
      <c r="H32" s="18"/>
      <c r="I32" s="18"/>
      <c r="J32" s="18"/>
      <c r="K32" s="95"/>
      <c r="L32" s="96"/>
      <c r="M32" s="96"/>
      <c r="N32" s="96"/>
      <c r="O32" s="96"/>
      <c r="P32" s="96"/>
      <c r="Q32" s="97"/>
      <c r="R32" s="18"/>
      <c r="S32" s="18"/>
      <c r="T32" s="18"/>
      <c r="U32" s="18"/>
    </row>
    <row r="33" spans="1:21" ht="18" customHeight="1" x14ac:dyDescent="0.15">
      <c r="A33" s="3"/>
      <c r="B33" s="98"/>
      <c r="C33" s="99"/>
      <c r="D33" s="99"/>
      <c r="E33" s="99"/>
      <c r="F33" s="100"/>
      <c r="G33" s="19"/>
      <c r="H33" s="19"/>
      <c r="I33" s="20"/>
      <c r="J33" s="20"/>
      <c r="K33" s="98"/>
      <c r="L33" s="99"/>
      <c r="M33" s="99"/>
      <c r="N33" s="99"/>
      <c r="O33" s="99"/>
      <c r="P33" s="99"/>
      <c r="Q33" s="100"/>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6" t="s">
        <v>102</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x14ac:dyDescent="0.15">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x14ac:dyDescent="0.15">
      <c r="B37" s="92" t="s">
        <v>51</v>
      </c>
      <c r="C37" s="93"/>
      <c r="D37" s="93"/>
      <c r="E37" s="93"/>
      <c r="F37" s="94"/>
      <c r="G37" s="50" t="s">
        <v>77</v>
      </c>
      <c r="H37" s="49" t="s">
        <v>80</v>
      </c>
      <c r="I37" s="16" t="s">
        <v>68</v>
      </c>
      <c r="J37" s="16" t="s">
        <v>69</v>
      </c>
      <c r="K37" s="92" t="s">
        <v>51</v>
      </c>
      <c r="L37" s="93"/>
      <c r="M37" s="93"/>
      <c r="N37" s="93"/>
      <c r="O37" s="93"/>
      <c r="P37" s="93"/>
      <c r="Q37" s="94"/>
      <c r="R37" s="50" t="s">
        <v>77</v>
      </c>
      <c r="S37" s="49" t="s">
        <v>80</v>
      </c>
      <c r="T37" s="16" t="s">
        <v>68</v>
      </c>
      <c r="U37" s="16" t="s">
        <v>69</v>
      </c>
    </row>
    <row r="38" spans="1:21" ht="18" customHeight="1" x14ac:dyDescent="0.15">
      <c r="B38" s="103" t="s">
        <v>140</v>
      </c>
      <c r="C38" s="104"/>
      <c r="D38" s="104"/>
      <c r="E38" s="104"/>
      <c r="F38" s="105"/>
      <c r="G38" s="17">
        <v>2</v>
      </c>
      <c r="H38" s="17" t="s">
        <v>139</v>
      </c>
      <c r="I38" s="17" t="s">
        <v>139</v>
      </c>
      <c r="J38" s="17" t="s">
        <v>139</v>
      </c>
      <c r="K38" s="103"/>
      <c r="L38" s="104"/>
      <c r="M38" s="104"/>
      <c r="N38" s="104"/>
      <c r="O38" s="104"/>
      <c r="P38" s="104"/>
      <c r="Q38" s="105"/>
      <c r="R38" s="17"/>
      <c r="S38" s="17"/>
      <c r="T38" s="17"/>
      <c r="U38" s="17"/>
    </row>
    <row r="39" spans="1:21" ht="18" customHeight="1" x14ac:dyDescent="0.15">
      <c r="B39" s="95"/>
      <c r="C39" s="96"/>
      <c r="D39" s="96"/>
      <c r="E39" s="96"/>
      <c r="F39" s="97"/>
      <c r="G39" s="18"/>
      <c r="H39" s="18"/>
      <c r="I39" s="18"/>
      <c r="J39" s="18"/>
      <c r="K39" s="95"/>
      <c r="L39" s="96"/>
      <c r="M39" s="96"/>
      <c r="N39" s="96"/>
      <c r="O39" s="96"/>
      <c r="P39" s="96"/>
      <c r="Q39" s="97"/>
      <c r="R39" s="18"/>
      <c r="S39" s="18"/>
      <c r="T39" s="18"/>
      <c r="U39" s="18"/>
    </row>
    <row r="40" spans="1:21" ht="18" customHeight="1" x14ac:dyDescent="0.15">
      <c r="B40" s="95"/>
      <c r="C40" s="96"/>
      <c r="D40" s="96"/>
      <c r="E40" s="96"/>
      <c r="F40" s="97"/>
      <c r="G40" s="18"/>
      <c r="H40" s="18"/>
      <c r="I40" s="18"/>
      <c r="J40" s="18"/>
      <c r="K40" s="95"/>
      <c r="L40" s="96"/>
      <c r="M40" s="96"/>
      <c r="N40" s="96"/>
      <c r="O40" s="96"/>
      <c r="P40" s="96"/>
      <c r="Q40" s="97"/>
      <c r="R40" s="18"/>
      <c r="S40" s="18"/>
      <c r="T40" s="18"/>
      <c r="U40" s="18"/>
    </row>
    <row r="41" spans="1:21" ht="18" customHeight="1" x14ac:dyDescent="0.15">
      <c r="B41" s="95"/>
      <c r="C41" s="96"/>
      <c r="D41" s="96"/>
      <c r="E41" s="96"/>
      <c r="F41" s="97"/>
      <c r="G41" s="18"/>
      <c r="H41" s="18"/>
      <c r="I41" s="18"/>
      <c r="J41" s="18"/>
      <c r="K41" s="95"/>
      <c r="L41" s="96"/>
      <c r="M41" s="96"/>
      <c r="N41" s="96"/>
      <c r="O41" s="96"/>
      <c r="P41" s="96"/>
      <c r="Q41" s="97"/>
      <c r="R41" s="18"/>
      <c r="S41" s="18"/>
      <c r="T41" s="18"/>
      <c r="U41" s="18"/>
    </row>
    <row r="42" spans="1:21" ht="18" customHeight="1" x14ac:dyDescent="0.15">
      <c r="B42" s="95"/>
      <c r="C42" s="96"/>
      <c r="D42" s="96"/>
      <c r="E42" s="96"/>
      <c r="F42" s="97"/>
      <c r="G42" s="18"/>
      <c r="H42" s="18"/>
      <c r="I42" s="18"/>
      <c r="J42" s="18"/>
      <c r="K42" s="95"/>
      <c r="L42" s="96"/>
      <c r="M42" s="96"/>
      <c r="N42" s="96"/>
      <c r="O42" s="96"/>
      <c r="P42" s="96"/>
      <c r="Q42" s="97"/>
      <c r="R42" s="18"/>
      <c r="S42" s="18"/>
      <c r="T42" s="18"/>
      <c r="U42" s="18"/>
    </row>
    <row r="43" spans="1:21" ht="18" customHeight="1" x14ac:dyDescent="0.15">
      <c r="B43" s="95"/>
      <c r="C43" s="96"/>
      <c r="D43" s="96"/>
      <c r="E43" s="96"/>
      <c r="F43" s="97"/>
      <c r="G43" s="18"/>
      <c r="H43" s="18"/>
      <c r="I43" s="18"/>
      <c r="J43" s="18"/>
      <c r="K43" s="95"/>
      <c r="L43" s="96"/>
      <c r="M43" s="96"/>
      <c r="N43" s="96"/>
      <c r="O43" s="96"/>
      <c r="P43" s="96"/>
      <c r="Q43" s="97"/>
      <c r="R43" s="18"/>
      <c r="S43" s="18"/>
      <c r="T43" s="18"/>
      <c r="U43" s="18"/>
    </row>
    <row r="44" spans="1:21" ht="18" customHeight="1" x14ac:dyDescent="0.15">
      <c r="B44" s="98"/>
      <c r="C44" s="99"/>
      <c r="D44" s="99"/>
      <c r="E44" s="99"/>
      <c r="F44" s="100"/>
      <c r="G44" s="19"/>
      <c r="H44" s="19"/>
      <c r="I44" s="20"/>
      <c r="J44" s="20"/>
      <c r="K44" s="98"/>
      <c r="L44" s="99"/>
      <c r="M44" s="99"/>
      <c r="N44" s="99"/>
      <c r="O44" s="99"/>
      <c r="P44" s="99"/>
      <c r="Q44" s="100"/>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6" t="s">
        <v>103</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x14ac:dyDescent="0.15">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x14ac:dyDescent="0.15">
      <c r="B48" s="92" t="s">
        <v>51</v>
      </c>
      <c r="C48" s="93"/>
      <c r="D48" s="93"/>
      <c r="E48" s="93"/>
      <c r="F48" s="94"/>
      <c r="G48" s="50" t="s">
        <v>77</v>
      </c>
      <c r="H48" s="49" t="s">
        <v>80</v>
      </c>
      <c r="I48" s="16" t="s">
        <v>70</v>
      </c>
      <c r="J48" s="16" t="s">
        <v>71</v>
      </c>
      <c r="K48" s="92" t="s">
        <v>51</v>
      </c>
      <c r="L48" s="93"/>
      <c r="M48" s="93"/>
      <c r="N48" s="93"/>
      <c r="O48" s="93"/>
      <c r="P48" s="93"/>
      <c r="Q48" s="94"/>
      <c r="R48" s="50" t="s">
        <v>77</v>
      </c>
      <c r="S48" s="49" t="s">
        <v>80</v>
      </c>
      <c r="T48" s="16" t="s">
        <v>70</v>
      </c>
      <c r="U48" s="16" t="s">
        <v>71</v>
      </c>
    </row>
    <row r="49" spans="1:21" ht="18" customHeight="1" x14ac:dyDescent="0.15">
      <c r="A49" s="3"/>
      <c r="B49" s="103" t="s">
        <v>140</v>
      </c>
      <c r="C49" s="104"/>
      <c r="D49" s="104"/>
      <c r="E49" s="104"/>
      <c r="F49" s="105"/>
      <c r="G49" s="17">
        <v>2</v>
      </c>
      <c r="H49" s="17" t="s">
        <v>139</v>
      </c>
      <c r="I49" s="17" t="s">
        <v>139</v>
      </c>
      <c r="J49" s="17" t="s">
        <v>139</v>
      </c>
      <c r="K49" s="103"/>
      <c r="L49" s="104"/>
      <c r="M49" s="104"/>
      <c r="N49" s="104"/>
      <c r="O49" s="104"/>
      <c r="P49" s="104"/>
      <c r="Q49" s="105"/>
      <c r="R49" s="17"/>
      <c r="S49" s="17"/>
      <c r="T49" s="17"/>
      <c r="U49" s="17"/>
    </row>
    <row r="50" spans="1:21" ht="18" customHeight="1" x14ac:dyDescent="0.15">
      <c r="A50" s="3"/>
      <c r="B50" s="95"/>
      <c r="C50" s="96"/>
      <c r="D50" s="96"/>
      <c r="E50" s="96"/>
      <c r="F50" s="97"/>
      <c r="G50" s="18"/>
      <c r="H50" s="18"/>
      <c r="I50" s="18"/>
      <c r="J50" s="18"/>
      <c r="K50" s="95"/>
      <c r="L50" s="96"/>
      <c r="M50" s="96"/>
      <c r="N50" s="96"/>
      <c r="O50" s="96"/>
      <c r="P50" s="96"/>
      <c r="Q50" s="97"/>
      <c r="R50" s="18"/>
      <c r="S50" s="18"/>
      <c r="T50" s="18"/>
      <c r="U50" s="18"/>
    </row>
    <row r="51" spans="1:21" ht="18" customHeight="1" x14ac:dyDescent="0.15">
      <c r="A51" s="3"/>
      <c r="B51" s="95"/>
      <c r="C51" s="96"/>
      <c r="D51" s="96"/>
      <c r="E51" s="96"/>
      <c r="F51" s="97"/>
      <c r="G51" s="18"/>
      <c r="H51" s="18"/>
      <c r="I51" s="18"/>
      <c r="J51" s="18"/>
      <c r="K51" s="95"/>
      <c r="L51" s="96"/>
      <c r="M51" s="96"/>
      <c r="N51" s="96"/>
      <c r="O51" s="96"/>
      <c r="P51" s="96"/>
      <c r="Q51" s="97"/>
      <c r="R51" s="18"/>
      <c r="S51" s="18"/>
      <c r="T51" s="18"/>
      <c r="U51" s="18"/>
    </row>
    <row r="52" spans="1:21" ht="18" customHeight="1" x14ac:dyDescent="0.15">
      <c r="A52" s="3"/>
      <c r="B52" s="95"/>
      <c r="C52" s="96"/>
      <c r="D52" s="96"/>
      <c r="E52" s="96"/>
      <c r="F52" s="97"/>
      <c r="G52" s="18"/>
      <c r="H52" s="18"/>
      <c r="I52" s="18"/>
      <c r="J52" s="18"/>
      <c r="K52" s="95"/>
      <c r="L52" s="96"/>
      <c r="M52" s="96"/>
      <c r="N52" s="96"/>
      <c r="O52" s="96"/>
      <c r="P52" s="96"/>
      <c r="Q52" s="97"/>
      <c r="R52" s="18"/>
      <c r="S52" s="18"/>
      <c r="T52" s="18"/>
      <c r="U52" s="18"/>
    </row>
    <row r="53" spans="1:21" ht="18" customHeight="1" x14ac:dyDescent="0.15">
      <c r="A53" s="3"/>
      <c r="B53" s="95"/>
      <c r="C53" s="96"/>
      <c r="D53" s="96"/>
      <c r="E53" s="96"/>
      <c r="F53" s="97"/>
      <c r="G53" s="18"/>
      <c r="H53" s="18"/>
      <c r="I53" s="18"/>
      <c r="J53" s="18"/>
      <c r="K53" s="95"/>
      <c r="L53" s="96"/>
      <c r="M53" s="96"/>
      <c r="N53" s="96"/>
      <c r="O53" s="96"/>
      <c r="P53" s="96"/>
      <c r="Q53" s="97"/>
      <c r="R53" s="18"/>
      <c r="S53" s="18"/>
      <c r="T53" s="18"/>
      <c r="U53" s="18"/>
    </row>
    <row r="54" spans="1:21" ht="18" customHeight="1" x14ac:dyDescent="0.15">
      <c r="A54" s="3"/>
      <c r="B54" s="95"/>
      <c r="C54" s="96"/>
      <c r="D54" s="96"/>
      <c r="E54" s="96"/>
      <c r="F54" s="97"/>
      <c r="G54" s="18"/>
      <c r="H54" s="18"/>
      <c r="I54" s="18"/>
      <c r="J54" s="18"/>
      <c r="K54" s="95"/>
      <c r="L54" s="96"/>
      <c r="M54" s="96"/>
      <c r="N54" s="96"/>
      <c r="O54" s="96"/>
      <c r="P54" s="96"/>
      <c r="Q54" s="97"/>
      <c r="R54" s="18"/>
      <c r="S54" s="18"/>
      <c r="T54" s="18"/>
      <c r="U54" s="18"/>
    </row>
    <row r="55" spans="1:21" ht="18" customHeight="1" x14ac:dyDescent="0.15">
      <c r="A55" s="3"/>
      <c r="B55" s="98"/>
      <c r="C55" s="99"/>
      <c r="D55" s="99"/>
      <c r="E55" s="99"/>
      <c r="F55" s="100"/>
      <c r="G55" s="19"/>
      <c r="H55" s="19"/>
      <c r="I55" s="20"/>
      <c r="J55" s="20"/>
      <c r="K55" s="98"/>
      <c r="L55" s="99"/>
      <c r="M55" s="99"/>
      <c r="N55" s="99"/>
      <c r="O55" s="99"/>
      <c r="P55" s="99"/>
      <c r="Q55" s="100"/>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6" t="s">
        <v>104</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x14ac:dyDescent="0.15">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x14ac:dyDescent="0.15">
      <c r="B59" s="92" t="s">
        <v>51</v>
      </c>
      <c r="C59" s="93"/>
      <c r="D59" s="93"/>
      <c r="E59" s="93"/>
      <c r="F59" s="94"/>
      <c r="G59" s="50" t="s">
        <v>77</v>
      </c>
      <c r="H59" s="49" t="s">
        <v>80</v>
      </c>
      <c r="I59" s="16" t="s">
        <v>56</v>
      </c>
      <c r="J59" s="16" t="s">
        <v>58</v>
      </c>
      <c r="K59" s="92" t="s">
        <v>51</v>
      </c>
      <c r="L59" s="93"/>
      <c r="M59" s="93"/>
      <c r="N59" s="93"/>
      <c r="O59" s="93"/>
      <c r="P59" s="93"/>
      <c r="Q59" s="94"/>
      <c r="R59" s="50" t="s">
        <v>77</v>
      </c>
      <c r="S59" s="49" t="s">
        <v>80</v>
      </c>
      <c r="T59" s="16" t="s">
        <v>56</v>
      </c>
      <c r="U59" s="16" t="s">
        <v>58</v>
      </c>
    </row>
    <row r="60" spans="1:21" ht="18" customHeight="1" x14ac:dyDescent="0.15">
      <c r="A60" s="3"/>
      <c r="B60" s="103" t="s">
        <v>140</v>
      </c>
      <c r="C60" s="104"/>
      <c r="D60" s="104"/>
      <c r="E60" s="104"/>
      <c r="F60" s="105"/>
      <c r="G60" s="17">
        <v>2</v>
      </c>
      <c r="H60" s="17" t="s">
        <v>139</v>
      </c>
      <c r="I60" s="17" t="s">
        <v>139</v>
      </c>
      <c r="J60" s="17" t="s">
        <v>139</v>
      </c>
      <c r="K60" s="103"/>
      <c r="L60" s="104"/>
      <c r="M60" s="104"/>
      <c r="N60" s="104"/>
      <c r="O60" s="104"/>
      <c r="P60" s="104"/>
      <c r="Q60" s="105"/>
      <c r="R60" s="17"/>
      <c r="S60" s="17"/>
      <c r="T60" s="17"/>
      <c r="U60" s="17"/>
    </row>
    <row r="61" spans="1:21" ht="18" customHeight="1" x14ac:dyDescent="0.15">
      <c r="A61" s="3"/>
      <c r="B61" s="95"/>
      <c r="C61" s="96"/>
      <c r="D61" s="96"/>
      <c r="E61" s="96"/>
      <c r="F61" s="97"/>
      <c r="G61" s="18"/>
      <c r="H61" s="18"/>
      <c r="I61" s="18"/>
      <c r="J61" s="18"/>
      <c r="K61" s="95"/>
      <c r="L61" s="96"/>
      <c r="M61" s="96"/>
      <c r="N61" s="96"/>
      <c r="O61" s="96"/>
      <c r="P61" s="96"/>
      <c r="Q61" s="97"/>
      <c r="R61" s="18"/>
      <c r="S61" s="18"/>
      <c r="T61" s="18"/>
      <c r="U61" s="18"/>
    </row>
    <row r="62" spans="1:21" ht="18" customHeight="1" x14ac:dyDescent="0.15">
      <c r="A62" s="3"/>
      <c r="B62" s="95"/>
      <c r="C62" s="96"/>
      <c r="D62" s="96"/>
      <c r="E62" s="96"/>
      <c r="F62" s="97"/>
      <c r="G62" s="18"/>
      <c r="H62" s="18"/>
      <c r="I62" s="18"/>
      <c r="J62" s="18"/>
      <c r="K62" s="95"/>
      <c r="L62" s="96"/>
      <c r="M62" s="96"/>
      <c r="N62" s="96"/>
      <c r="O62" s="96"/>
      <c r="P62" s="96"/>
      <c r="Q62" s="97"/>
      <c r="R62" s="18"/>
      <c r="S62" s="18"/>
      <c r="T62" s="18"/>
      <c r="U62" s="18"/>
    </row>
    <row r="63" spans="1:21" ht="18" customHeight="1" x14ac:dyDescent="0.15">
      <c r="A63" s="3"/>
      <c r="B63" s="95"/>
      <c r="C63" s="96"/>
      <c r="D63" s="96"/>
      <c r="E63" s="96"/>
      <c r="F63" s="97"/>
      <c r="G63" s="18"/>
      <c r="H63" s="18"/>
      <c r="I63" s="18"/>
      <c r="J63" s="18"/>
      <c r="K63" s="95"/>
      <c r="L63" s="96"/>
      <c r="M63" s="96"/>
      <c r="N63" s="96"/>
      <c r="O63" s="96"/>
      <c r="P63" s="96"/>
      <c r="Q63" s="97"/>
      <c r="R63" s="18"/>
      <c r="S63" s="18"/>
      <c r="T63" s="18"/>
      <c r="U63" s="18"/>
    </row>
    <row r="64" spans="1:21" ht="18" customHeight="1" x14ac:dyDescent="0.15">
      <c r="A64" s="3"/>
      <c r="B64" s="95"/>
      <c r="C64" s="96"/>
      <c r="D64" s="96"/>
      <c r="E64" s="96"/>
      <c r="F64" s="97"/>
      <c r="G64" s="18"/>
      <c r="H64" s="18"/>
      <c r="I64" s="18"/>
      <c r="J64" s="18"/>
      <c r="K64" s="95"/>
      <c r="L64" s="96"/>
      <c r="M64" s="96"/>
      <c r="N64" s="96"/>
      <c r="O64" s="96"/>
      <c r="P64" s="96"/>
      <c r="Q64" s="97"/>
      <c r="R64" s="18"/>
      <c r="S64" s="18"/>
      <c r="T64" s="18"/>
      <c r="U64" s="18"/>
    </row>
    <row r="65" spans="1:21" ht="18" customHeight="1" x14ac:dyDescent="0.15">
      <c r="A65" s="3"/>
      <c r="B65" s="95"/>
      <c r="C65" s="96"/>
      <c r="D65" s="96"/>
      <c r="E65" s="96"/>
      <c r="F65" s="97"/>
      <c r="G65" s="18"/>
      <c r="H65" s="18"/>
      <c r="I65" s="18"/>
      <c r="J65" s="18"/>
      <c r="K65" s="95"/>
      <c r="L65" s="96"/>
      <c r="M65" s="96"/>
      <c r="N65" s="96"/>
      <c r="O65" s="96"/>
      <c r="P65" s="96"/>
      <c r="Q65" s="97"/>
      <c r="R65" s="18"/>
      <c r="S65" s="18"/>
      <c r="T65" s="18"/>
      <c r="U65" s="18"/>
    </row>
    <row r="66" spans="1:21" ht="18" customHeight="1" x14ac:dyDescent="0.15">
      <c r="A66" s="3"/>
      <c r="B66" s="98"/>
      <c r="C66" s="99"/>
      <c r="D66" s="99"/>
      <c r="E66" s="99"/>
      <c r="F66" s="100"/>
      <c r="G66" s="19"/>
      <c r="H66" s="19"/>
      <c r="I66" s="20"/>
      <c r="J66" s="20"/>
      <c r="K66" s="98"/>
      <c r="L66" s="99"/>
      <c r="M66" s="99"/>
      <c r="N66" s="99"/>
      <c r="O66" s="99"/>
      <c r="P66" s="99"/>
      <c r="Q66" s="100"/>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6" t="s">
        <v>105</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x14ac:dyDescent="0.15">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x14ac:dyDescent="0.15">
      <c r="B70" s="92" t="s">
        <v>51</v>
      </c>
      <c r="C70" s="93"/>
      <c r="D70" s="93"/>
      <c r="E70" s="93"/>
      <c r="F70" s="50" t="s">
        <v>77</v>
      </c>
      <c r="G70" s="49" t="s">
        <v>80</v>
      </c>
      <c r="H70" s="16" t="s">
        <v>92</v>
      </c>
      <c r="I70" s="16" t="s">
        <v>72</v>
      </c>
      <c r="J70" s="16" t="s">
        <v>73</v>
      </c>
      <c r="K70" s="92" t="s">
        <v>51</v>
      </c>
      <c r="L70" s="93"/>
      <c r="M70" s="93"/>
      <c r="N70" s="93"/>
      <c r="O70" s="93"/>
      <c r="P70" s="94"/>
      <c r="Q70" s="50" t="s">
        <v>77</v>
      </c>
      <c r="R70" s="49" t="s">
        <v>80</v>
      </c>
      <c r="S70" s="16" t="s">
        <v>92</v>
      </c>
      <c r="T70" s="16" t="s">
        <v>72</v>
      </c>
      <c r="U70" s="16" t="s">
        <v>73</v>
      </c>
    </row>
    <row r="71" spans="1:21" ht="18" customHeight="1" x14ac:dyDescent="0.15">
      <c r="A71" s="3"/>
      <c r="B71" s="103" t="s">
        <v>141</v>
      </c>
      <c r="C71" s="104"/>
      <c r="D71" s="104"/>
      <c r="E71" s="104"/>
      <c r="F71" s="17">
        <v>2</v>
      </c>
      <c r="G71" s="17" t="s">
        <v>139</v>
      </c>
      <c r="H71" s="17" t="s">
        <v>139</v>
      </c>
      <c r="I71" s="17" t="s">
        <v>139</v>
      </c>
      <c r="J71" s="17" t="s">
        <v>139</v>
      </c>
      <c r="K71" s="103"/>
      <c r="L71" s="104"/>
      <c r="M71" s="104"/>
      <c r="N71" s="104"/>
      <c r="O71" s="104"/>
      <c r="P71" s="105"/>
      <c r="Q71" s="17"/>
      <c r="R71" s="17"/>
      <c r="S71" s="17"/>
      <c r="T71" s="17"/>
      <c r="U71" s="17"/>
    </row>
    <row r="72" spans="1:21" ht="18" customHeight="1" x14ac:dyDescent="0.15">
      <c r="A72" s="3"/>
      <c r="B72" s="95"/>
      <c r="C72" s="96"/>
      <c r="D72" s="96"/>
      <c r="E72" s="96"/>
      <c r="F72" s="18"/>
      <c r="G72" s="18"/>
      <c r="H72" s="18"/>
      <c r="I72" s="18"/>
      <c r="J72" s="18"/>
      <c r="K72" s="95"/>
      <c r="L72" s="96"/>
      <c r="M72" s="96"/>
      <c r="N72" s="96"/>
      <c r="O72" s="96"/>
      <c r="P72" s="97"/>
      <c r="Q72" s="18"/>
      <c r="R72" s="18"/>
      <c r="S72" s="18"/>
      <c r="T72" s="18"/>
      <c r="U72" s="18"/>
    </row>
    <row r="73" spans="1:21" ht="18" customHeight="1" x14ac:dyDescent="0.15">
      <c r="A73" s="3"/>
      <c r="B73" s="95"/>
      <c r="C73" s="96"/>
      <c r="D73" s="96"/>
      <c r="E73" s="96"/>
      <c r="F73" s="18"/>
      <c r="G73" s="18"/>
      <c r="H73" s="18"/>
      <c r="I73" s="18"/>
      <c r="J73" s="18"/>
      <c r="K73" s="95"/>
      <c r="L73" s="96"/>
      <c r="M73" s="96"/>
      <c r="N73" s="96"/>
      <c r="O73" s="96"/>
      <c r="P73" s="97"/>
      <c r="Q73" s="18"/>
      <c r="R73" s="18"/>
      <c r="S73" s="18"/>
      <c r="T73" s="18"/>
      <c r="U73" s="18"/>
    </row>
    <row r="74" spans="1:21" ht="18" customHeight="1" x14ac:dyDescent="0.15">
      <c r="A74" s="3"/>
      <c r="B74" s="95"/>
      <c r="C74" s="96"/>
      <c r="D74" s="96"/>
      <c r="E74" s="96"/>
      <c r="F74" s="18"/>
      <c r="G74" s="18"/>
      <c r="H74" s="18"/>
      <c r="I74" s="18"/>
      <c r="J74" s="18"/>
      <c r="K74" s="95"/>
      <c r="L74" s="96"/>
      <c r="M74" s="96"/>
      <c r="N74" s="96"/>
      <c r="O74" s="96"/>
      <c r="P74" s="97"/>
      <c r="Q74" s="18"/>
      <c r="R74" s="18"/>
      <c r="S74" s="18"/>
      <c r="T74" s="18"/>
      <c r="U74" s="18"/>
    </row>
    <row r="75" spans="1:21" ht="18" customHeight="1" x14ac:dyDescent="0.15">
      <c r="A75" s="3"/>
      <c r="B75" s="95"/>
      <c r="C75" s="96"/>
      <c r="D75" s="96"/>
      <c r="E75" s="96"/>
      <c r="F75" s="18"/>
      <c r="G75" s="18"/>
      <c r="H75" s="18"/>
      <c r="I75" s="18"/>
      <c r="J75" s="18"/>
      <c r="K75" s="95"/>
      <c r="L75" s="96"/>
      <c r="M75" s="96"/>
      <c r="N75" s="96"/>
      <c r="O75" s="96"/>
      <c r="P75" s="97"/>
      <c r="Q75" s="18"/>
      <c r="R75" s="18"/>
      <c r="S75" s="18"/>
      <c r="T75" s="18"/>
      <c r="U75" s="18"/>
    </row>
    <row r="76" spans="1:21" ht="18" customHeight="1" x14ac:dyDescent="0.15">
      <c r="A76" s="3"/>
      <c r="B76" s="95"/>
      <c r="C76" s="96"/>
      <c r="D76" s="96"/>
      <c r="E76" s="96"/>
      <c r="F76" s="18"/>
      <c r="G76" s="18"/>
      <c r="H76" s="18"/>
      <c r="I76" s="18"/>
      <c r="J76" s="18"/>
      <c r="K76" s="95"/>
      <c r="L76" s="96"/>
      <c r="M76" s="96"/>
      <c r="N76" s="96"/>
      <c r="O76" s="96"/>
      <c r="P76" s="97"/>
      <c r="Q76" s="18"/>
      <c r="R76" s="18"/>
      <c r="S76" s="18"/>
      <c r="T76" s="18"/>
      <c r="U76" s="18"/>
    </row>
    <row r="77" spans="1:21" ht="18" customHeight="1" x14ac:dyDescent="0.15">
      <c r="A77" s="3"/>
      <c r="B77" s="98"/>
      <c r="C77" s="99"/>
      <c r="D77" s="99"/>
      <c r="E77" s="99"/>
      <c r="F77" s="19"/>
      <c r="G77" s="19"/>
      <c r="H77" s="20"/>
      <c r="I77" s="20"/>
      <c r="J77" s="20"/>
      <c r="K77" s="98"/>
      <c r="L77" s="99"/>
      <c r="M77" s="99"/>
      <c r="N77" s="99"/>
      <c r="O77" s="99"/>
      <c r="P77" s="100"/>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12" t="s">
        <v>51</v>
      </c>
      <c r="L80" s="113"/>
      <c r="M80" s="113"/>
      <c r="N80" s="113"/>
      <c r="O80" s="113"/>
      <c r="P80" s="113"/>
      <c r="Q80" s="114"/>
      <c r="R80" s="92" t="s">
        <v>78</v>
      </c>
      <c r="S80" s="93"/>
      <c r="T80" s="93"/>
      <c r="U80" s="94"/>
    </row>
    <row r="81" spans="1:21" ht="18" customHeight="1" x14ac:dyDescent="0.15">
      <c r="A81" s="3"/>
      <c r="B81" s="103"/>
      <c r="C81" s="104"/>
      <c r="D81" s="104"/>
      <c r="E81" s="104"/>
      <c r="F81" s="105"/>
      <c r="G81" s="107"/>
      <c r="H81" s="108"/>
      <c r="I81" s="108"/>
      <c r="J81" s="109"/>
      <c r="K81" s="103"/>
      <c r="L81" s="104"/>
      <c r="M81" s="104"/>
      <c r="N81" s="104"/>
      <c r="O81" s="104"/>
      <c r="P81" s="104"/>
      <c r="Q81" s="105"/>
      <c r="R81" s="107"/>
      <c r="S81" s="108"/>
      <c r="T81" s="108"/>
      <c r="U81" s="109"/>
    </row>
    <row r="82" spans="1:21" ht="18" customHeight="1" x14ac:dyDescent="0.15">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15">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15">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15">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15">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15">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107</v>
      </c>
    </row>
    <row r="90" spans="1:21" ht="18.75" customHeight="1" x14ac:dyDescent="0.15">
      <c r="B90" s="133" t="s">
        <v>52</v>
      </c>
      <c r="C90" s="134"/>
      <c r="D90" s="92" t="s">
        <v>53</v>
      </c>
      <c r="E90" s="93"/>
      <c r="F90" s="93"/>
      <c r="G90" s="93"/>
      <c r="H90" s="93"/>
      <c r="I90" s="93"/>
      <c r="J90" s="93"/>
      <c r="K90" s="93"/>
      <c r="L90" s="93"/>
      <c r="M90" s="93"/>
      <c r="N90" s="93"/>
      <c r="O90" s="93"/>
      <c r="P90" s="93"/>
      <c r="Q90" s="93"/>
      <c r="R90" s="93"/>
      <c r="S90" s="93"/>
      <c r="T90" s="93"/>
      <c r="U90" s="94"/>
    </row>
    <row r="91" spans="1:21" ht="97.5" customHeight="1" x14ac:dyDescent="0.15">
      <c r="B91" s="110" t="s">
        <v>59</v>
      </c>
      <c r="C91" s="22" t="s">
        <v>54</v>
      </c>
      <c r="D91" s="143" t="s">
        <v>156</v>
      </c>
      <c r="E91" s="144"/>
      <c r="F91" s="144"/>
      <c r="G91" s="144"/>
      <c r="H91" s="144"/>
      <c r="I91" s="144"/>
      <c r="J91" s="144"/>
      <c r="K91" s="144"/>
      <c r="L91" s="144"/>
      <c r="M91" s="144"/>
      <c r="N91" s="144"/>
      <c r="O91" s="144"/>
      <c r="P91" s="144"/>
      <c r="Q91" s="144"/>
      <c r="R91" s="144"/>
      <c r="S91" s="144"/>
      <c r="T91" s="144"/>
      <c r="U91" s="145"/>
    </row>
    <row r="92" spans="1:21" ht="97.5" customHeight="1" x14ac:dyDescent="0.15">
      <c r="B92" s="115"/>
      <c r="C92" s="23" t="s">
        <v>74</v>
      </c>
      <c r="D92" s="140" t="s">
        <v>177</v>
      </c>
      <c r="E92" s="141"/>
      <c r="F92" s="141"/>
      <c r="G92" s="141"/>
      <c r="H92" s="141"/>
      <c r="I92" s="141"/>
      <c r="J92" s="141"/>
      <c r="K92" s="141"/>
      <c r="L92" s="141"/>
      <c r="M92" s="141"/>
      <c r="N92" s="141"/>
      <c r="O92" s="141"/>
      <c r="P92" s="141"/>
      <c r="Q92" s="141"/>
      <c r="R92" s="141"/>
      <c r="S92" s="141"/>
      <c r="T92" s="141"/>
      <c r="U92" s="142"/>
    </row>
    <row r="93" spans="1:21" ht="97.5" customHeight="1" x14ac:dyDescent="0.15">
      <c r="B93" s="110" t="s">
        <v>60</v>
      </c>
      <c r="C93" s="24" t="s">
        <v>68</v>
      </c>
      <c r="D93" s="143" t="s">
        <v>184</v>
      </c>
      <c r="E93" s="144"/>
      <c r="F93" s="144"/>
      <c r="G93" s="144"/>
      <c r="H93" s="144"/>
      <c r="I93" s="144"/>
      <c r="J93" s="144"/>
      <c r="K93" s="144"/>
      <c r="L93" s="144"/>
      <c r="M93" s="144"/>
      <c r="N93" s="144"/>
      <c r="O93" s="144"/>
      <c r="P93" s="144"/>
      <c r="Q93" s="144"/>
      <c r="R93" s="144"/>
      <c r="S93" s="144"/>
      <c r="T93" s="144"/>
      <c r="U93" s="145"/>
    </row>
    <row r="94" spans="1:21" ht="97.5" customHeight="1" x14ac:dyDescent="0.15">
      <c r="B94" s="111"/>
      <c r="C94" s="25" t="s">
        <v>69</v>
      </c>
      <c r="D94" s="140" t="s">
        <v>178</v>
      </c>
      <c r="E94" s="141"/>
      <c r="F94" s="141"/>
      <c r="G94" s="141"/>
      <c r="H94" s="141"/>
      <c r="I94" s="141"/>
      <c r="J94" s="141"/>
      <c r="K94" s="141"/>
      <c r="L94" s="141"/>
      <c r="M94" s="141"/>
      <c r="N94" s="141"/>
      <c r="O94" s="141"/>
      <c r="P94" s="141"/>
      <c r="Q94" s="141"/>
      <c r="R94" s="141"/>
      <c r="S94" s="141"/>
      <c r="T94" s="141"/>
      <c r="U94" s="142"/>
    </row>
    <row r="95" spans="1:21" ht="97.5" customHeight="1" x14ac:dyDescent="0.15">
      <c r="B95" s="110" t="s">
        <v>61</v>
      </c>
      <c r="C95" s="24" t="s">
        <v>70</v>
      </c>
      <c r="D95" s="143" t="s">
        <v>179</v>
      </c>
      <c r="E95" s="144"/>
      <c r="F95" s="144"/>
      <c r="G95" s="144"/>
      <c r="H95" s="144"/>
      <c r="I95" s="144"/>
      <c r="J95" s="144"/>
      <c r="K95" s="144"/>
      <c r="L95" s="144"/>
      <c r="M95" s="144"/>
      <c r="N95" s="144"/>
      <c r="O95" s="144"/>
      <c r="P95" s="144"/>
      <c r="Q95" s="144"/>
      <c r="R95" s="144"/>
      <c r="S95" s="144"/>
      <c r="T95" s="144"/>
      <c r="U95" s="145"/>
    </row>
    <row r="96" spans="1:21" ht="97.5" customHeight="1" x14ac:dyDescent="0.15">
      <c r="B96" s="111"/>
      <c r="C96" s="26" t="s">
        <v>71</v>
      </c>
      <c r="D96" s="140" t="s">
        <v>180</v>
      </c>
      <c r="E96" s="141"/>
      <c r="F96" s="141"/>
      <c r="G96" s="141"/>
      <c r="H96" s="141"/>
      <c r="I96" s="141"/>
      <c r="J96" s="141"/>
      <c r="K96" s="141"/>
      <c r="L96" s="141"/>
      <c r="M96" s="141"/>
      <c r="N96" s="141"/>
      <c r="O96" s="141"/>
      <c r="P96" s="141"/>
      <c r="Q96" s="141"/>
      <c r="R96" s="141"/>
      <c r="S96" s="141"/>
      <c r="T96" s="141"/>
      <c r="U96" s="142"/>
    </row>
    <row r="97" spans="1:33" ht="97.5" customHeight="1" x14ac:dyDescent="0.15">
      <c r="B97" s="110" t="s">
        <v>75</v>
      </c>
      <c r="C97" s="22" t="s">
        <v>56</v>
      </c>
      <c r="D97" s="143" t="s">
        <v>181</v>
      </c>
      <c r="E97" s="144"/>
      <c r="F97" s="144"/>
      <c r="G97" s="144"/>
      <c r="H97" s="144"/>
      <c r="I97" s="144"/>
      <c r="J97" s="144"/>
      <c r="K97" s="144"/>
      <c r="L97" s="144"/>
      <c r="M97" s="144"/>
      <c r="N97" s="144"/>
      <c r="O97" s="144"/>
      <c r="P97" s="144"/>
      <c r="Q97" s="144"/>
      <c r="R97" s="144"/>
      <c r="S97" s="144"/>
      <c r="T97" s="144"/>
      <c r="U97" s="145"/>
    </row>
    <row r="98" spans="1:33" ht="97.5" customHeight="1" x14ac:dyDescent="0.15">
      <c r="B98" s="111"/>
      <c r="C98" s="25" t="s">
        <v>58</v>
      </c>
      <c r="D98" s="140" t="s">
        <v>157</v>
      </c>
      <c r="E98" s="141"/>
      <c r="F98" s="141"/>
      <c r="G98" s="141"/>
      <c r="H98" s="141"/>
      <c r="I98" s="141"/>
      <c r="J98" s="141"/>
      <c r="K98" s="141"/>
      <c r="L98" s="141"/>
      <c r="M98" s="141"/>
      <c r="N98" s="141"/>
      <c r="O98" s="141"/>
      <c r="P98" s="141"/>
      <c r="Q98" s="141"/>
      <c r="R98" s="141"/>
      <c r="S98" s="141"/>
      <c r="T98" s="141"/>
      <c r="U98" s="142"/>
    </row>
    <row r="99" spans="1:33" ht="97.5" customHeight="1" x14ac:dyDescent="0.15">
      <c r="B99" s="110" t="s">
        <v>76</v>
      </c>
      <c r="C99" s="24" t="s">
        <v>55</v>
      </c>
      <c r="D99" s="143" t="s">
        <v>182</v>
      </c>
      <c r="E99" s="144"/>
      <c r="F99" s="144"/>
      <c r="G99" s="144"/>
      <c r="H99" s="144"/>
      <c r="I99" s="144"/>
      <c r="J99" s="144"/>
      <c r="K99" s="144"/>
      <c r="L99" s="144"/>
      <c r="M99" s="144"/>
      <c r="N99" s="144"/>
      <c r="O99" s="144"/>
      <c r="P99" s="144"/>
      <c r="Q99" s="144"/>
      <c r="R99" s="144"/>
      <c r="S99" s="144"/>
      <c r="T99" s="144"/>
      <c r="U99" s="145"/>
    </row>
    <row r="100" spans="1:33" ht="97.5" customHeight="1" x14ac:dyDescent="0.15">
      <c r="B100" s="115"/>
      <c r="C100" s="27" t="s">
        <v>72</v>
      </c>
      <c r="D100" s="146" t="s">
        <v>158</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11"/>
      <c r="C101" s="26" t="s">
        <v>73</v>
      </c>
      <c r="D101" s="140" t="s">
        <v>183</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15"/>
    <row r="103" spans="1:33" ht="18.75" customHeight="1" x14ac:dyDescent="0.15">
      <c r="A103" s="1" t="s">
        <v>108</v>
      </c>
    </row>
    <row r="104" spans="1:33" ht="81.75" customHeight="1" x14ac:dyDescent="0.15">
      <c r="B104" s="127" t="s">
        <v>168</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x14ac:dyDescent="0.15">
      <c r="A106" s="72" t="s">
        <v>124</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126</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39" t="s">
        <v>130</v>
      </c>
      <c r="C108" s="139"/>
      <c r="D108" s="139"/>
      <c r="E108" s="139"/>
      <c r="F108" s="139"/>
      <c r="G108" s="139"/>
      <c r="H108" s="139"/>
      <c r="I108" s="139"/>
      <c r="J108" s="139"/>
      <c r="K108" s="139"/>
      <c r="L108" s="139"/>
      <c r="M108" s="139"/>
      <c r="N108" s="139"/>
      <c r="O108" s="139"/>
      <c r="P108" s="139"/>
      <c r="Q108" s="139"/>
      <c r="R108" s="139"/>
      <c r="S108" s="139"/>
      <c r="T108" s="139"/>
      <c r="U108" s="139"/>
      <c r="V108" s="66"/>
      <c r="W108" s="66"/>
      <c r="X108" s="66"/>
      <c r="Y108" s="66"/>
      <c r="Z108" s="66"/>
      <c r="AA108" s="66"/>
      <c r="AB108" s="66"/>
      <c r="AC108" s="66"/>
      <c r="AD108" s="66"/>
      <c r="AE108" s="66"/>
      <c r="AF108" s="66"/>
      <c r="AG108" s="66"/>
    </row>
    <row r="109" spans="1:33" ht="37.15" customHeight="1" x14ac:dyDescent="0.15">
      <c r="A109" s="72"/>
      <c r="B109" s="139"/>
      <c r="C109" s="139"/>
      <c r="D109" s="139"/>
      <c r="E109" s="139"/>
      <c r="F109" s="139"/>
      <c r="G109" s="139"/>
      <c r="H109" s="139"/>
      <c r="I109" s="139"/>
      <c r="J109" s="139"/>
      <c r="K109" s="139"/>
      <c r="L109" s="139"/>
      <c r="M109" s="139"/>
      <c r="N109" s="139"/>
      <c r="O109" s="139"/>
      <c r="P109" s="139"/>
      <c r="Q109" s="139"/>
      <c r="R109" s="139"/>
      <c r="S109" s="139"/>
      <c r="T109" s="139"/>
      <c r="U109" s="139"/>
      <c r="V109" s="66"/>
      <c r="W109" s="66"/>
      <c r="X109" s="66"/>
      <c r="Y109" s="66"/>
      <c r="Z109" s="66"/>
      <c r="AA109" s="66"/>
      <c r="AB109" s="66"/>
      <c r="AC109" s="66"/>
      <c r="AD109" s="66"/>
      <c r="AE109" s="66"/>
      <c r="AF109" s="66"/>
      <c r="AG109" s="66"/>
    </row>
    <row r="110" spans="1:33" ht="18.75" customHeight="1" x14ac:dyDescent="0.15">
      <c r="A110" s="72"/>
      <c r="B110" s="88" t="s">
        <v>125</v>
      </c>
      <c r="C110" s="88"/>
      <c r="D110" s="88"/>
      <c r="E110" s="88"/>
      <c r="F110" s="88"/>
      <c r="G110" s="88"/>
      <c r="H110" s="88"/>
      <c r="I110" s="88"/>
      <c r="J110" s="88"/>
      <c r="K110" s="88"/>
      <c r="L110" s="88"/>
      <c r="M110" s="88"/>
      <c r="N110" s="88"/>
      <c r="O110" s="88"/>
      <c r="P110" s="88"/>
      <c r="Q110" s="88"/>
      <c r="R110" s="88"/>
      <c r="S110" s="88"/>
      <c r="T110" s="88"/>
      <c r="U110" s="88"/>
      <c r="V110" s="66"/>
      <c r="W110" s="66"/>
      <c r="X110" s="66"/>
      <c r="Y110" s="66"/>
      <c r="Z110" s="66"/>
      <c r="AA110" s="66"/>
      <c r="AB110" s="66"/>
      <c r="AC110" s="66"/>
      <c r="AD110" s="66"/>
      <c r="AE110" s="66"/>
      <c r="AF110" s="66"/>
      <c r="AG110" s="66"/>
    </row>
    <row r="111" spans="1:33" ht="18.75" customHeight="1" x14ac:dyDescent="0.15">
      <c r="A111" s="72"/>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5"/>
      <c r="W111" s="65"/>
      <c r="X111" s="65"/>
      <c r="Y111" s="65"/>
      <c r="Z111" s="65"/>
      <c r="AA111" s="65"/>
      <c r="AB111" s="65"/>
      <c r="AC111" s="65"/>
      <c r="AD111" s="65"/>
      <c r="AE111" s="65"/>
      <c r="AF111" s="65"/>
      <c r="AG111" s="65"/>
    </row>
    <row r="112" spans="1:33" ht="132" customHeight="1" x14ac:dyDescent="0.15">
      <c r="A112" s="72"/>
      <c r="B112" s="102"/>
      <c r="C112" s="102"/>
      <c r="D112" s="102"/>
      <c r="E112" s="102"/>
      <c r="F112" s="102"/>
      <c r="G112" s="102"/>
      <c r="H112" s="102"/>
      <c r="I112" s="102"/>
      <c r="J112" s="102"/>
      <c r="K112" s="102"/>
      <c r="L112" s="102"/>
      <c r="M112" s="102"/>
      <c r="N112" s="102"/>
      <c r="O112" s="102"/>
      <c r="P112" s="102"/>
      <c r="Q112" s="102"/>
      <c r="R112" s="102"/>
      <c r="S112" s="102"/>
      <c r="T112" s="102"/>
      <c r="U112" s="102"/>
      <c r="V112" s="67"/>
      <c r="W112" s="67"/>
      <c r="X112" s="67"/>
      <c r="Y112" s="67"/>
      <c r="Z112" s="67"/>
      <c r="AA112" s="67"/>
      <c r="AB112" s="67"/>
      <c r="AC112" s="67"/>
      <c r="AD112" s="67"/>
      <c r="AE112" s="67"/>
      <c r="AF112" s="67"/>
      <c r="AG112" s="67"/>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99" zoomScaleNormal="100" zoomScaleSheetLayoutView="100" workbookViewId="0">
      <selection activeCell="E14" sqref="E14:I1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3"/>
      <c r="B1" s="73"/>
      <c r="C1" s="73"/>
      <c r="D1" s="73"/>
      <c r="E1" s="73"/>
      <c r="F1" s="73"/>
      <c r="G1" s="73"/>
      <c r="H1" s="73"/>
      <c r="I1" s="73"/>
      <c r="J1" s="73"/>
      <c r="K1" s="73"/>
      <c r="L1" s="73"/>
      <c r="M1" s="73"/>
      <c r="N1" s="73"/>
      <c r="O1" s="73"/>
      <c r="P1" s="73"/>
      <c r="Q1" s="73"/>
      <c r="R1" s="73"/>
      <c r="S1" s="73"/>
      <c r="T1" s="135" t="s">
        <v>175</v>
      </c>
      <c r="U1" s="135"/>
      <c r="V1" s="2" t="s">
        <v>99</v>
      </c>
    </row>
    <row r="2" spans="1:24" ht="18.75" customHeight="1" x14ac:dyDescent="0.15">
      <c r="A2" s="73"/>
      <c r="B2" s="74" t="s">
        <v>98</v>
      </c>
      <c r="C2" s="136" t="s">
        <v>136</v>
      </c>
      <c r="D2" s="137"/>
      <c r="E2" s="137"/>
      <c r="F2" s="137"/>
      <c r="G2" s="137"/>
      <c r="H2" s="137"/>
      <c r="I2" s="137"/>
      <c r="J2" s="138"/>
      <c r="K2" s="75"/>
      <c r="L2" s="76"/>
      <c r="M2" s="76"/>
      <c r="N2" s="76"/>
      <c r="O2" s="76"/>
      <c r="P2" s="76"/>
      <c r="Q2" s="76"/>
      <c r="R2" s="76"/>
      <c r="S2" s="76"/>
      <c r="T2" s="76"/>
      <c r="U2" s="76"/>
    </row>
    <row r="3" spans="1:24" ht="18.75" customHeight="1" x14ac:dyDescent="0.15">
      <c r="A3" s="73"/>
      <c r="B3" s="74" t="s">
        <v>93</v>
      </c>
      <c r="C3" s="136" t="s">
        <v>137</v>
      </c>
      <c r="D3" s="137"/>
      <c r="E3" s="137"/>
      <c r="F3" s="137"/>
      <c r="G3" s="137"/>
      <c r="H3" s="137"/>
      <c r="I3" s="137"/>
      <c r="J3" s="138"/>
      <c r="K3" s="75"/>
      <c r="L3" s="76"/>
      <c r="M3" s="76"/>
      <c r="N3" s="76"/>
      <c r="O3" s="76"/>
      <c r="P3" s="76"/>
      <c r="Q3" s="76"/>
      <c r="R3" s="76"/>
      <c r="S3" s="76"/>
      <c r="T3" s="76"/>
      <c r="U3" s="76"/>
    </row>
    <row r="4" spans="1:24" ht="15" customHeight="1" x14ac:dyDescent="0.15">
      <c r="A4" s="73"/>
      <c r="B4" s="73"/>
      <c r="C4" s="73"/>
      <c r="D4" s="73"/>
      <c r="E4" s="73"/>
      <c r="F4" s="73"/>
      <c r="G4" s="73"/>
      <c r="H4" s="73"/>
      <c r="I4" s="73"/>
      <c r="J4" s="73"/>
      <c r="K4" s="73"/>
      <c r="L4" s="75"/>
      <c r="M4" s="77"/>
      <c r="N4" s="77"/>
      <c r="O4" s="77"/>
      <c r="P4" s="77"/>
      <c r="Q4" s="77"/>
      <c r="R4" s="77"/>
      <c r="S4" s="77"/>
      <c r="T4" s="77"/>
      <c r="U4" s="77"/>
    </row>
    <row r="5" spans="1:24" ht="18" customHeight="1" x14ac:dyDescent="0.15">
      <c r="A5" s="116" t="s">
        <v>37</v>
      </c>
      <c r="B5" s="116"/>
      <c r="C5" s="116"/>
      <c r="D5" s="116"/>
      <c r="E5" s="116"/>
      <c r="F5" s="116"/>
      <c r="G5" s="116"/>
      <c r="H5" s="116"/>
      <c r="I5" s="116"/>
      <c r="J5" s="116"/>
      <c r="K5" s="116"/>
      <c r="L5" s="116"/>
      <c r="M5" s="116"/>
      <c r="N5" s="116"/>
      <c r="O5" s="116"/>
      <c r="P5" s="116"/>
      <c r="Q5" s="116"/>
      <c r="R5" s="116"/>
      <c r="S5" s="116"/>
      <c r="T5" s="116"/>
      <c r="U5" s="116"/>
    </row>
    <row r="6" spans="1:24" ht="15" customHeight="1" x14ac:dyDescent="0.15">
      <c r="A6" s="73"/>
      <c r="B6" s="78"/>
      <c r="C6" s="78"/>
      <c r="D6" s="78"/>
      <c r="E6" s="78"/>
      <c r="F6" s="78"/>
      <c r="G6" s="78"/>
      <c r="H6" s="78"/>
      <c r="I6" s="78"/>
      <c r="J6" s="78"/>
      <c r="K6" s="78"/>
      <c r="L6" s="78"/>
      <c r="M6" s="78"/>
      <c r="N6" s="78"/>
      <c r="O6" s="78"/>
      <c r="P6" s="78"/>
      <c r="Q6" s="78"/>
      <c r="R6" s="78"/>
      <c r="S6" s="78"/>
      <c r="T6" s="78"/>
      <c r="U6" s="78"/>
    </row>
    <row r="7" spans="1:24" ht="15" customHeight="1" x14ac:dyDescent="0.15">
      <c r="A7" s="73" t="s">
        <v>131</v>
      </c>
      <c r="B7" s="78"/>
      <c r="C7" s="78"/>
      <c r="D7" s="78"/>
      <c r="E7" s="78"/>
      <c r="F7" s="72"/>
      <c r="G7" s="72"/>
      <c r="H7" s="72"/>
      <c r="I7" s="72"/>
      <c r="J7" s="72"/>
      <c r="K7" s="72"/>
      <c r="L7" s="152" t="s">
        <v>129</v>
      </c>
      <c r="M7" s="153"/>
      <c r="N7" s="153"/>
      <c r="O7" s="153"/>
      <c r="P7" s="153"/>
      <c r="Q7" s="153"/>
      <c r="R7" s="153"/>
      <c r="S7" s="153"/>
      <c r="T7" s="153"/>
      <c r="U7" s="154"/>
    </row>
    <row r="8" spans="1:24" ht="6" customHeight="1" x14ac:dyDescent="0.15">
      <c r="A8" s="73"/>
      <c r="B8" s="78"/>
      <c r="C8" s="78"/>
      <c r="D8" s="78"/>
      <c r="E8" s="78"/>
      <c r="F8" s="78"/>
      <c r="G8" s="78"/>
      <c r="H8" s="78"/>
      <c r="I8" s="78"/>
      <c r="J8" s="78"/>
      <c r="K8" s="78"/>
      <c r="L8" s="78"/>
      <c r="M8" s="78"/>
      <c r="N8" s="78"/>
      <c r="O8" s="78"/>
      <c r="P8" s="78"/>
      <c r="Q8" s="78"/>
      <c r="R8" s="78"/>
      <c r="S8" s="78"/>
      <c r="T8" s="78"/>
      <c r="U8" s="78"/>
    </row>
    <row r="9" spans="1:24" ht="18" customHeight="1" x14ac:dyDescent="0.15">
      <c r="A9" s="73" t="s">
        <v>132</v>
      </c>
      <c r="B9" s="73"/>
      <c r="C9" s="78"/>
      <c r="D9" s="78"/>
      <c r="E9" s="73"/>
      <c r="F9" s="73"/>
      <c r="G9" s="73"/>
      <c r="H9" s="73"/>
      <c r="I9" s="73"/>
      <c r="J9" s="73"/>
      <c r="K9" s="75"/>
      <c r="L9" s="72"/>
      <c r="M9" s="72"/>
      <c r="N9" s="72"/>
      <c r="O9" s="72"/>
      <c r="P9" s="72"/>
      <c r="Q9" s="72"/>
      <c r="R9" s="72"/>
      <c r="S9" s="72"/>
      <c r="T9" s="72"/>
      <c r="U9" s="72"/>
    </row>
    <row r="10" spans="1:24" ht="6" customHeight="1" x14ac:dyDescent="0.15">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15">
      <c r="A11" s="73"/>
      <c r="B11" s="155" t="s">
        <v>162</v>
      </c>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3"/>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15">
      <c r="A14" s="73" t="s">
        <v>100</v>
      </c>
      <c r="B14" s="78"/>
      <c r="C14" s="78"/>
      <c r="D14" s="78"/>
      <c r="E14" s="75"/>
      <c r="F14" s="75"/>
      <c r="G14" s="75"/>
      <c r="H14" s="75"/>
      <c r="I14" s="75"/>
      <c r="J14" s="75"/>
      <c r="K14" s="75"/>
      <c r="L14" s="80"/>
      <c r="M14" s="80"/>
      <c r="N14" s="80"/>
      <c r="O14" s="80"/>
      <c r="P14" s="80"/>
      <c r="Q14" s="80"/>
      <c r="R14" s="80"/>
      <c r="S14" s="80"/>
      <c r="T14" s="80"/>
      <c r="U14" s="80"/>
    </row>
    <row r="15" spans="1:24" ht="18" customHeight="1" x14ac:dyDescent="0.15">
      <c r="A15" s="73"/>
      <c r="B15" s="117" t="s">
        <v>165</v>
      </c>
      <c r="C15" s="118"/>
      <c r="D15" s="118"/>
      <c r="E15" s="118"/>
      <c r="F15" s="118"/>
      <c r="G15" s="118"/>
      <c r="H15" s="118"/>
      <c r="I15" s="118"/>
      <c r="J15" s="118"/>
      <c r="K15" s="118"/>
      <c r="L15" s="118"/>
      <c r="M15" s="118"/>
      <c r="N15" s="118"/>
      <c r="O15" s="118"/>
      <c r="P15" s="118"/>
      <c r="Q15" s="118"/>
      <c r="R15" s="118"/>
      <c r="S15" s="118"/>
      <c r="T15" s="118"/>
      <c r="U15" s="119"/>
      <c r="X15" s="1" t="s">
        <v>94</v>
      </c>
    </row>
    <row r="16" spans="1:24" ht="18" customHeight="1" x14ac:dyDescent="0.15">
      <c r="A16" s="73"/>
      <c r="B16" s="120"/>
      <c r="C16" s="121"/>
      <c r="D16" s="121"/>
      <c r="E16" s="121"/>
      <c r="F16" s="121"/>
      <c r="G16" s="121"/>
      <c r="H16" s="121"/>
      <c r="I16" s="121"/>
      <c r="J16" s="121"/>
      <c r="K16" s="121"/>
      <c r="L16" s="121"/>
      <c r="M16" s="121"/>
      <c r="N16" s="121"/>
      <c r="O16" s="121"/>
      <c r="P16" s="121"/>
      <c r="Q16" s="121"/>
      <c r="R16" s="121"/>
      <c r="S16" s="121"/>
      <c r="T16" s="121"/>
      <c r="U16" s="122"/>
      <c r="X16" s="1" t="s">
        <v>114</v>
      </c>
    </row>
    <row r="17" spans="1:24" ht="18" customHeight="1" x14ac:dyDescent="0.15">
      <c r="A17" s="73"/>
      <c r="B17" s="120"/>
      <c r="C17" s="121"/>
      <c r="D17" s="121"/>
      <c r="E17" s="121"/>
      <c r="F17" s="121"/>
      <c r="G17" s="121"/>
      <c r="H17" s="121"/>
      <c r="I17" s="121"/>
      <c r="J17" s="121"/>
      <c r="K17" s="121"/>
      <c r="L17" s="121"/>
      <c r="M17" s="121"/>
      <c r="N17" s="121"/>
      <c r="O17" s="121"/>
      <c r="P17" s="121"/>
      <c r="Q17" s="121"/>
      <c r="R17" s="121"/>
      <c r="S17" s="121"/>
      <c r="T17" s="121"/>
      <c r="U17" s="122"/>
      <c r="X17" s="1" t="s">
        <v>115</v>
      </c>
    </row>
    <row r="18" spans="1:24" ht="18" customHeight="1" x14ac:dyDescent="0.15">
      <c r="A18" s="73"/>
      <c r="B18" s="120"/>
      <c r="C18" s="121"/>
      <c r="D18" s="121"/>
      <c r="E18" s="121"/>
      <c r="F18" s="121"/>
      <c r="G18" s="121"/>
      <c r="H18" s="121"/>
      <c r="I18" s="121"/>
      <c r="J18" s="121"/>
      <c r="K18" s="121"/>
      <c r="L18" s="121"/>
      <c r="M18" s="121"/>
      <c r="N18" s="121"/>
      <c r="O18" s="121"/>
      <c r="P18" s="121"/>
      <c r="Q18" s="121"/>
      <c r="R18" s="121"/>
      <c r="S18" s="121"/>
      <c r="T18" s="121"/>
      <c r="U18" s="122"/>
      <c r="X18" s="1" t="s">
        <v>116</v>
      </c>
    </row>
    <row r="19" spans="1:24" ht="18" customHeight="1" x14ac:dyDescent="0.15">
      <c r="A19" s="73"/>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15">
      <c r="A20" s="73"/>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15">
      <c r="A21" s="73"/>
      <c r="B21" s="78"/>
      <c r="C21" s="78"/>
      <c r="D21" s="78"/>
      <c r="E21" s="78"/>
      <c r="F21" s="78"/>
      <c r="G21" s="78"/>
      <c r="H21" s="78"/>
      <c r="I21" s="78"/>
      <c r="J21" s="78"/>
      <c r="K21" s="78"/>
      <c r="L21" s="78"/>
      <c r="M21" s="78"/>
      <c r="N21" s="78"/>
      <c r="O21" s="78"/>
      <c r="P21" s="78"/>
      <c r="Q21" s="78"/>
      <c r="R21" s="78"/>
      <c r="S21" s="78"/>
      <c r="T21" s="78"/>
      <c r="U21" s="78"/>
    </row>
    <row r="22" spans="1:24" ht="19.899999999999999" customHeight="1" x14ac:dyDescent="0.15">
      <c r="A22" s="73"/>
      <c r="B22" s="73" t="s">
        <v>133</v>
      </c>
      <c r="C22" s="73"/>
      <c r="D22" s="73"/>
      <c r="E22" s="81">
        <v>2</v>
      </c>
      <c r="F22" s="73" t="s">
        <v>112</v>
      </c>
      <c r="G22" s="73"/>
      <c r="H22" s="82">
        <v>4</v>
      </c>
      <c r="I22" s="78" t="s">
        <v>113</v>
      </c>
      <c r="J22" s="78"/>
      <c r="K22" s="75"/>
      <c r="L22" s="73"/>
      <c r="M22" s="75" t="s">
        <v>109</v>
      </c>
      <c r="N22" s="149" t="s">
        <v>116</v>
      </c>
      <c r="O22" s="150"/>
      <c r="P22" s="150"/>
      <c r="Q22" s="150"/>
      <c r="R22" s="150"/>
      <c r="S22" s="150"/>
      <c r="T22" s="150"/>
      <c r="U22" s="151"/>
    </row>
    <row r="23" spans="1:24" ht="7.5" customHeight="1" x14ac:dyDescent="0.15">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15">
      <c r="A24" s="126" t="s">
        <v>101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15">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15">
      <c r="B26" s="92" t="s">
        <v>51</v>
      </c>
      <c r="C26" s="93"/>
      <c r="D26" s="93"/>
      <c r="E26" s="93"/>
      <c r="F26" s="94"/>
      <c r="G26" s="50" t="s">
        <v>77</v>
      </c>
      <c r="H26" s="49" t="s">
        <v>80</v>
      </c>
      <c r="I26" s="16" t="s">
        <v>54</v>
      </c>
      <c r="J26" s="16" t="s">
        <v>57</v>
      </c>
      <c r="K26" s="92" t="s">
        <v>51</v>
      </c>
      <c r="L26" s="93"/>
      <c r="M26" s="93"/>
      <c r="N26" s="93"/>
      <c r="O26" s="93"/>
      <c r="P26" s="93"/>
      <c r="Q26" s="94"/>
      <c r="R26" s="50" t="s">
        <v>77</v>
      </c>
      <c r="S26" s="49" t="s">
        <v>80</v>
      </c>
      <c r="T26" s="16" t="s">
        <v>54</v>
      </c>
      <c r="U26" s="16" t="s">
        <v>57</v>
      </c>
    </row>
    <row r="27" spans="1:24" ht="18" customHeight="1" x14ac:dyDescent="0.15">
      <c r="B27" s="103" t="s">
        <v>140</v>
      </c>
      <c r="C27" s="104"/>
      <c r="D27" s="104"/>
      <c r="E27" s="104"/>
      <c r="F27" s="105"/>
      <c r="G27" s="17">
        <v>2</v>
      </c>
      <c r="H27" s="17" t="s">
        <v>139</v>
      </c>
      <c r="I27" s="17" t="s">
        <v>139</v>
      </c>
      <c r="J27" s="17" t="s">
        <v>139</v>
      </c>
      <c r="K27" s="103"/>
      <c r="L27" s="104"/>
      <c r="M27" s="104"/>
      <c r="N27" s="104"/>
      <c r="O27" s="104"/>
      <c r="P27" s="104"/>
      <c r="Q27" s="105"/>
      <c r="R27" s="17"/>
      <c r="S27" s="17"/>
      <c r="T27" s="17"/>
      <c r="U27" s="17"/>
    </row>
    <row r="28" spans="1:24" ht="18" customHeight="1" x14ac:dyDescent="0.15">
      <c r="B28" s="95"/>
      <c r="C28" s="96"/>
      <c r="D28" s="96"/>
      <c r="E28" s="96"/>
      <c r="F28" s="97"/>
      <c r="G28" s="18"/>
      <c r="H28" s="18"/>
      <c r="I28" s="18"/>
      <c r="J28" s="18"/>
      <c r="K28" s="95"/>
      <c r="L28" s="96"/>
      <c r="M28" s="96"/>
      <c r="N28" s="96"/>
      <c r="O28" s="96"/>
      <c r="P28" s="96"/>
      <c r="Q28" s="97"/>
      <c r="R28" s="18"/>
      <c r="S28" s="18"/>
      <c r="T28" s="18"/>
      <c r="U28" s="18"/>
    </row>
    <row r="29" spans="1:24" ht="18" customHeight="1" x14ac:dyDescent="0.15">
      <c r="B29" s="95"/>
      <c r="C29" s="96"/>
      <c r="D29" s="96"/>
      <c r="E29" s="96"/>
      <c r="F29" s="97"/>
      <c r="G29" s="18"/>
      <c r="H29" s="18"/>
      <c r="I29" s="18"/>
      <c r="J29" s="18"/>
      <c r="K29" s="95"/>
      <c r="L29" s="96"/>
      <c r="M29" s="96"/>
      <c r="N29" s="96"/>
      <c r="O29" s="96"/>
      <c r="P29" s="96"/>
      <c r="Q29" s="97"/>
      <c r="R29" s="18"/>
      <c r="S29" s="18"/>
      <c r="T29" s="18"/>
      <c r="U29" s="18"/>
    </row>
    <row r="30" spans="1:24" ht="18" customHeight="1" x14ac:dyDescent="0.15">
      <c r="B30" s="95"/>
      <c r="C30" s="96"/>
      <c r="D30" s="96"/>
      <c r="E30" s="96"/>
      <c r="F30" s="97"/>
      <c r="G30" s="18"/>
      <c r="H30" s="18"/>
      <c r="I30" s="18"/>
      <c r="J30" s="18"/>
      <c r="K30" s="95"/>
      <c r="L30" s="96"/>
      <c r="M30" s="96"/>
      <c r="N30" s="96"/>
      <c r="O30" s="96"/>
      <c r="P30" s="96"/>
      <c r="Q30" s="97"/>
      <c r="R30" s="18"/>
      <c r="S30" s="18"/>
      <c r="T30" s="18"/>
      <c r="U30" s="18"/>
    </row>
    <row r="31" spans="1:24" ht="18" customHeight="1" x14ac:dyDescent="0.15">
      <c r="B31" s="95"/>
      <c r="C31" s="96"/>
      <c r="D31" s="96"/>
      <c r="E31" s="96"/>
      <c r="F31" s="97"/>
      <c r="G31" s="18"/>
      <c r="H31" s="18"/>
      <c r="I31" s="18"/>
      <c r="J31" s="18"/>
      <c r="K31" s="95"/>
      <c r="L31" s="96"/>
      <c r="M31" s="96"/>
      <c r="N31" s="96"/>
      <c r="O31" s="96"/>
      <c r="P31" s="96"/>
      <c r="Q31" s="97"/>
      <c r="R31" s="18"/>
      <c r="S31" s="18"/>
      <c r="T31" s="18"/>
      <c r="U31" s="18"/>
    </row>
    <row r="32" spans="1:24" ht="18" customHeight="1" x14ac:dyDescent="0.15">
      <c r="A32" s="3"/>
      <c r="B32" s="95"/>
      <c r="C32" s="96"/>
      <c r="D32" s="96"/>
      <c r="E32" s="96"/>
      <c r="F32" s="97"/>
      <c r="G32" s="18"/>
      <c r="H32" s="18"/>
      <c r="I32" s="18"/>
      <c r="J32" s="18"/>
      <c r="K32" s="95"/>
      <c r="L32" s="96"/>
      <c r="M32" s="96"/>
      <c r="N32" s="96"/>
      <c r="O32" s="96"/>
      <c r="P32" s="96"/>
      <c r="Q32" s="97"/>
      <c r="R32" s="18"/>
      <c r="S32" s="18"/>
      <c r="T32" s="18"/>
      <c r="U32" s="18"/>
    </row>
    <row r="33" spans="1:21" ht="18" customHeight="1" x14ac:dyDescent="0.15">
      <c r="A33" s="3"/>
      <c r="B33" s="98"/>
      <c r="C33" s="99"/>
      <c r="D33" s="99"/>
      <c r="E33" s="99"/>
      <c r="F33" s="100"/>
      <c r="G33" s="19"/>
      <c r="H33" s="19"/>
      <c r="I33" s="20"/>
      <c r="J33" s="20"/>
      <c r="K33" s="98"/>
      <c r="L33" s="99"/>
      <c r="M33" s="99"/>
      <c r="N33" s="99"/>
      <c r="O33" s="99"/>
      <c r="P33" s="99"/>
      <c r="Q33" s="100"/>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6" t="s">
        <v>102</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x14ac:dyDescent="0.15">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x14ac:dyDescent="0.15">
      <c r="B37" s="92" t="s">
        <v>51</v>
      </c>
      <c r="C37" s="93"/>
      <c r="D37" s="93"/>
      <c r="E37" s="93"/>
      <c r="F37" s="94"/>
      <c r="G37" s="50" t="s">
        <v>77</v>
      </c>
      <c r="H37" s="49" t="s">
        <v>80</v>
      </c>
      <c r="I37" s="16" t="s">
        <v>68</v>
      </c>
      <c r="J37" s="16" t="s">
        <v>69</v>
      </c>
      <c r="K37" s="92" t="s">
        <v>51</v>
      </c>
      <c r="L37" s="93"/>
      <c r="M37" s="93"/>
      <c r="N37" s="93"/>
      <c r="O37" s="93"/>
      <c r="P37" s="93"/>
      <c r="Q37" s="94"/>
      <c r="R37" s="50" t="s">
        <v>77</v>
      </c>
      <c r="S37" s="49" t="s">
        <v>80</v>
      </c>
      <c r="T37" s="16" t="s">
        <v>68</v>
      </c>
      <c r="U37" s="16" t="s">
        <v>69</v>
      </c>
    </row>
    <row r="38" spans="1:21" ht="18" customHeight="1" x14ac:dyDescent="0.15">
      <c r="B38" s="103" t="s">
        <v>140</v>
      </c>
      <c r="C38" s="104"/>
      <c r="D38" s="104"/>
      <c r="E38" s="104"/>
      <c r="F38" s="105"/>
      <c r="G38" s="17">
        <v>2</v>
      </c>
      <c r="H38" s="17" t="s">
        <v>139</v>
      </c>
      <c r="I38" s="17" t="s">
        <v>139</v>
      </c>
      <c r="J38" s="17" t="s">
        <v>139</v>
      </c>
      <c r="K38" s="103"/>
      <c r="L38" s="104"/>
      <c r="M38" s="104"/>
      <c r="N38" s="104"/>
      <c r="O38" s="104"/>
      <c r="P38" s="104"/>
      <c r="Q38" s="105"/>
      <c r="R38" s="17"/>
      <c r="S38" s="17"/>
      <c r="T38" s="17"/>
      <c r="U38" s="17"/>
    </row>
    <row r="39" spans="1:21" ht="18" customHeight="1" x14ac:dyDescent="0.15">
      <c r="B39" s="95"/>
      <c r="C39" s="96"/>
      <c r="D39" s="96"/>
      <c r="E39" s="96"/>
      <c r="F39" s="97"/>
      <c r="G39" s="18"/>
      <c r="H39" s="18"/>
      <c r="I39" s="18"/>
      <c r="J39" s="18"/>
      <c r="K39" s="95"/>
      <c r="L39" s="96"/>
      <c r="M39" s="96"/>
      <c r="N39" s="96"/>
      <c r="O39" s="96"/>
      <c r="P39" s="96"/>
      <c r="Q39" s="97"/>
      <c r="R39" s="18"/>
      <c r="S39" s="18"/>
      <c r="T39" s="18"/>
      <c r="U39" s="18"/>
    </row>
    <row r="40" spans="1:21" ht="18" customHeight="1" x14ac:dyDescent="0.15">
      <c r="B40" s="95"/>
      <c r="C40" s="96"/>
      <c r="D40" s="96"/>
      <c r="E40" s="96"/>
      <c r="F40" s="97"/>
      <c r="G40" s="18"/>
      <c r="H40" s="18"/>
      <c r="I40" s="18"/>
      <c r="J40" s="18"/>
      <c r="K40" s="95"/>
      <c r="L40" s="96"/>
      <c r="M40" s="96"/>
      <c r="N40" s="96"/>
      <c r="O40" s="96"/>
      <c r="P40" s="96"/>
      <c r="Q40" s="97"/>
      <c r="R40" s="18"/>
      <c r="S40" s="18"/>
      <c r="T40" s="18"/>
      <c r="U40" s="18"/>
    </row>
    <row r="41" spans="1:21" ht="18" customHeight="1" x14ac:dyDescent="0.15">
      <c r="B41" s="95"/>
      <c r="C41" s="96"/>
      <c r="D41" s="96"/>
      <c r="E41" s="96"/>
      <c r="F41" s="97"/>
      <c r="G41" s="18"/>
      <c r="H41" s="18"/>
      <c r="I41" s="18"/>
      <c r="J41" s="18"/>
      <c r="K41" s="95"/>
      <c r="L41" s="96"/>
      <c r="M41" s="96"/>
      <c r="N41" s="96"/>
      <c r="O41" s="96"/>
      <c r="P41" s="96"/>
      <c r="Q41" s="97"/>
      <c r="R41" s="18"/>
      <c r="S41" s="18"/>
      <c r="T41" s="18"/>
      <c r="U41" s="18"/>
    </row>
    <row r="42" spans="1:21" ht="18" customHeight="1" x14ac:dyDescent="0.15">
      <c r="B42" s="95"/>
      <c r="C42" s="96"/>
      <c r="D42" s="96"/>
      <c r="E42" s="96"/>
      <c r="F42" s="97"/>
      <c r="G42" s="18"/>
      <c r="H42" s="18"/>
      <c r="I42" s="18"/>
      <c r="J42" s="18"/>
      <c r="K42" s="95"/>
      <c r="L42" s="96"/>
      <c r="M42" s="96"/>
      <c r="N42" s="96"/>
      <c r="O42" s="96"/>
      <c r="P42" s="96"/>
      <c r="Q42" s="97"/>
      <c r="R42" s="18"/>
      <c r="S42" s="18"/>
      <c r="T42" s="18"/>
      <c r="U42" s="18"/>
    </row>
    <row r="43" spans="1:21" ht="18" customHeight="1" x14ac:dyDescent="0.15">
      <c r="B43" s="95"/>
      <c r="C43" s="96"/>
      <c r="D43" s="96"/>
      <c r="E43" s="96"/>
      <c r="F43" s="97"/>
      <c r="G43" s="18"/>
      <c r="H43" s="18"/>
      <c r="I43" s="18"/>
      <c r="J43" s="18"/>
      <c r="K43" s="95"/>
      <c r="L43" s="96"/>
      <c r="M43" s="96"/>
      <c r="N43" s="96"/>
      <c r="O43" s="96"/>
      <c r="P43" s="96"/>
      <c r="Q43" s="97"/>
      <c r="R43" s="18"/>
      <c r="S43" s="18"/>
      <c r="T43" s="18"/>
      <c r="U43" s="18"/>
    </row>
    <row r="44" spans="1:21" ht="18" customHeight="1" x14ac:dyDescent="0.15">
      <c r="B44" s="98"/>
      <c r="C44" s="99"/>
      <c r="D44" s="99"/>
      <c r="E44" s="99"/>
      <c r="F44" s="100"/>
      <c r="G44" s="19"/>
      <c r="H44" s="19"/>
      <c r="I44" s="20"/>
      <c r="J44" s="20"/>
      <c r="K44" s="98"/>
      <c r="L44" s="99"/>
      <c r="M44" s="99"/>
      <c r="N44" s="99"/>
      <c r="O44" s="99"/>
      <c r="P44" s="99"/>
      <c r="Q44" s="100"/>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6" t="s">
        <v>103</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x14ac:dyDescent="0.15">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x14ac:dyDescent="0.15">
      <c r="B48" s="92" t="s">
        <v>51</v>
      </c>
      <c r="C48" s="93"/>
      <c r="D48" s="93"/>
      <c r="E48" s="93"/>
      <c r="F48" s="94"/>
      <c r="G48" s="50" t="s">
        <v>77</v>
      </c>
      <c r="H48" s="49" t="s">
        <v>80</v>
      </c>
      <c r="I48" s="16" t="s">
        <v>70</v>
      </c>
      <c r="J48" s="16" t="s">
        <v>71</v>
      </c>
      <c r="K48" s="92" t="s">
        <v>51</v>
      </c>
      <c r="L48" s="93"/>
      <c r="M48" s="93"/>
      <c r="N48" s="93"/>
      <c r="O48" s="93"/>
      <c r="P48" s="93"/>
      <c r="Q48" s="94"/>
      <c r="R48" s="50" t="s">
        <v>77</v>
      </c>
      <c r="S48" s="49" t="s">
        <v>80</v>
      </c>
      <c r="T48" s="16" t="s">
        <v>70</v>
      </c>
      <c r="U48" s="16" t="s">
        <v>71</v>
      </c>
    </row>
    <row r="49" spans="1:21" ht="18" customHeight="1" x14ac:dyDescent="0.15">
      <c r="A49" s="3"/>
      <c r="B49" s="103" t="s">
        <v>140</v>
      </c>
      <c r="C49" s="104"/>
      <c r="D49" s="104"/>
      <c r="E49" s="104"/>
      <c r="F49" s="105"/>
      <c r="G49" s="17">
        <v>2</v>
      </c>
      <c r="H49" s="17" t="s">
        <v>139</v>
      </c>
      <c r="I49" s="17" t="s">
        <v>139</v>
      </c>
      <c r="J49" s="17" t="s">
        <v>139</v>
      </c>
      <c r="K49" s="103"/>
      <c r="L49" s="104"/>
      <c r="M49" s="104"/>
      <c r="N49" s="104"/>
      <c r="O49" s="104"/>
      <c r="P49" s="104"/>
      <c r="Q49" s="105"/>
      <c r="R49" s="17"/>
      <c r="S49" s="17"/>
      <c r="T49" s="17"/>
      <c r="U49" s="17"/>
    </row>
    <row r="50" spans="1:21" ht="18" customHeight="1" x14ac:dyDescent="0.15">
      <c r="A50" s="3"/>
      <c r="B50" s="95"/>
      <c r="C50" s="96"/>
      <c r="D50" s="96"/>
      <c r="E50" s="96"/>
      <c r="F50" s="97"/>
      <c r="G50" s="18"/>
      <c r="H50" s="18"/>
      <c r="I50" s="18"/>
      <c r="J50" s="18"/>
      <c r="K50" s="95"/>
      <c r="L50" s="96"/>
      <c r="M50" s="96"/>
      <c r="N50" s="96"/>
      <c r="O50" s="96"/>
      <c r="P50" s="96"/>
      <c r="Q50" s="97"/>
      <c r="R50" s="18"/>
      <c r="S50" s="18"/>
      <c r="T50" s="18"/>
      <c r="U50" s="18"/>
    </row>
    <row r="51" spans="1:21" ht="18" customHeight="1" x14ac:dyDescent="0.15">
      <c r="A51" s="3"/>
      <c r="B51" s="95"/>
      <c r="C51" s="96"/>
      <c r="D51" s="96"/>
      <c r="E51" s="96"/>
      <c r="F51" s="97"/>
      <c r="G51" s="18"/>
      <c r="H51" s="18"/>
      <c r="I51" s="18"/>
      <c r="J51" s="18"/>
      <c r="K51" s="95"/>
      <c r="L51" s="96"/>
      <c r="M51" s="96"/>
      <c r="N51" s="96"/>
      <c r="O51" s="96"/>
      <c r="P51" s="96"/>
      <c r="Q51" s="97"/>
      <c r="R51" s="18"/>
      <c r="S51" s="18"/>
      <c r="T51" s="18"/>
      <c r="U51" s="18"/>
    </row>
    <row r="52" spans="1:21" ht="18" customHeight="1" x14ac:dyDescent="0.15">
      <c r="A52" s="3"/>
      <c r="B52" s="95"/>
      <c r="C52" s="96"/>
      <c r="D52" s="96"/>
      <c r="E52" s="96"/>
      <c r="F52" s="97"/>
      <c r="G52" s="18"/>
      <c r="H52" s="18"/>
      <c r="I52" s="18"/>
      <c r="J52" s="18"/>
      <c r="K52" s="95"/>
      <c r="L52" s="96"/>
      <c r="M52" s="96"/>
      <c r="N52" s="96"/>
      <c r="O52" s="96"/>
      <c r="P52" s="96"/>
      <c r="Q52" s="97"/>
      <c r="R52" s="18"/>
      <c r="S52" s="18"/>
      <c r="T52" s="18"/>
      <c r="U52" s="18"/>
    </row>
    <row r="53" spans="1:21" ht="18" customHeight="1" x14ac:dyDescent="0.15">
      <c r="A53" s="3"/>
      <c r="B53" s="95"/>
      <c r="C53" s="96"/>
      <c r="D53" s="96"/>
      <c r="E53" s="96"/>
      <c r="F53" s="97"/>
      <c r="G53" s="18"/>
      <c r="H53" s="18"/>
      <c r="I53" s="18"/>
      <c r="J53" s="18"/>
      <c r="K53" s="95"/>
      <c r="L53" s="96"/>
      <c r="M53" s="96"/>
      <c r="N53" s="96"/>
      <c r="O53" s="96"/>
      <c r="P53" s="96"/>
      <c r="Q53" s="97"/>
      <c r="R53" s="18"/>
      <c r="S53" s="18"/>
      <c r="T53" s="18"/>
      <c r="U53" s="18"/>
    </row>
    <row r="54" spans="1:21" ht="18" customHeight="1" x14ac:dyDescent="0.15">
      <c r="A54" s="3"/>
      <c r="B54" s="95"/>
      <c r="C54" s="96"/>
      <c r="D54" s="96"/>
      <c r="E54" s="96"/>
      <c r="F54" s="97"/>
      <c r="G54" s="18"/>
      <c r="H54" s="18"/>
      <c r="I54" s="18"/>
      <c r="J54" s="18"/>
      <c r="K54" s="95"/>
      <c r="L54" s="96"/>
      <c r="M54" s="96"/>
      <c r="N54" s="96"/>
      <c r="O54" s="96"/>
      <c r="P54" s="96"/>
      <c r="Q54" s="97"/>
      <c r="R54" s="18"/>
      <c r="S54" s="18"/>
      <c r="T54" s="18"/>
      <c r="U54" s="18"/>
    </row>
    <row r="55" spans="1:21" ht="18" customHeight="1" x14ac:dyDescent="0.15">
      <c r="A55" s="3"/>
      <c r="B55" s="98"/>
      <c r="C55" s="99"/>
      <c r="D55" s="99"/>
      <c r="E55" s="99"/>
      <c r="F55" s="100"/>
      <c r="G55" s="19"/>
      <c r="H55" s="19"/>
      <c r="I55" s="20"/>
      <c r="J55" s="20"/>
      <c r="K55" s="98"/>
      <c r="L55" s="99"/>
      <c r="M55" s="99"/>
      <c r="N55" s="99"/>
      <c r="O55" s="99"/>
      <c r="P55" s="99"/>
      <c r="Q55" s="100"/>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6" t="s">
        <v>104</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x14ac:dyDescent="0.15">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x14ac:dyDescent="0.15">
      <c r="B59" s="92" t="s">
        <v>51</v>
      </c>
      <c r="C59" s="93"/>
      <c r="D59" s="93"/>
      <c r="E59" s="93"/>
      <c r="F59" s="94"/>
      <c r="G59" s="50" t="s">
        <v>77</v>
      </c>
      <c r="H59" s="49" t="s">
        <v>80</v>
      </c>
      <c r="I59" s="16" t="s">
        <v>56</v>
      </c>
      <c r="J59" s="16" t="s">
        <v>58</v>
      </c>
      <c r="K59" s="92" t="s">
        <v>51</v>
      </c>
      <c r="L59" s="93"/>
      <c r="M59" s="93"/>
      <c r="N59" s="93"/>
      <c r="O59" s="93"/>
      <c r="P59" s="93"/>
      <c r="Q59" s="94"/>
      <c r="R59" s="50" t="s">
        <v>77</v>
      </c>
      <c r="S59" s="49" t="s">
        <v>80</v>
      </c>
      <c r="T59" s="16" t="s">
        <v>56</v>
      </c>
      <c r="U59" s="16" t="s">
        <v>58</v>
      </c>
    </row>
    <row r="60" spans="1:21" ht="18" customHeight="1" x14ac:dyDescent="0.15">
      <c r="A60" s="3"/>
      <c r="B60" s="103" t="s">
        <v>140</v>
      </c>
      <c r="C60" s="104"/>
      <c r="D60" s="104"/>
      <c r="E60" s="104"/>
      <c r="F60" s="105"/>
      <c r="G60" s="17">
        <v>2</v>
      </c>
      <c r="H60" s="17" t="s">
        <v>139</v>
      </c>
      <c r="I60" s="17" t="s">
        <v>139</v>
      </c>
      <c r="J60" s="17" t="s">
        <v>139</v>
      </c>
      <c r="K60" s="103"/>
      <c r="L60" s="104"/>
      <c r="M60" s="104"/>
      <c r="N60" s="104"/>
      <c r="O60" s="104"/>
      <c r="P60" s="104"/>
      <c r="Q60" s="105"/>
      <c r="R60" s="17"/>
      <c r="S60" s="17"/>
      <c r="T60" s="17"/>
      <c r="U60" s="17"/>
    </row>
    <row r="61" spans="1:21" ht="18" customHeight="1" x14ac:dyDescent="0.15">
      <c r="A61" s="3"/>
      <c r="B61" s="95"/>
      <c r="C61" s="96"/>
      <c r="D61" s="96"/>
      <c r="E61" s="96"/>
      <c r="F61" s="97"/>
      <c r="G61" s="18"/>
      <c r="H61" s="18"/>
      <c r="I61" s="18"/>
      <c r="J61" s="18"/>
      <c r="K61" s="95"/>
      <c r="L61" s="96"/>
      <c r="M61" s="96"/>
      <c r="N61" s="96"/>
      <c r="O61" s="96"/>
      <c r="P61" s="96"/>
      <c r="Q61" s="97"/>
      <c r="R61" s="18"/>
      <c r="S61" s="18"/>
      <c r="T61" s="18"/>
      <c r="U61" s="18"/>
    </row>
    <row r="62" spans="1:21" ht="18" customHeight="1" x14ac:dyDescent="0.15">
      <c r="A62" s="3"/>
      <c r="B62" s="95"/>
      <c r="C62" s="96"/>
      <c r="D62" s="96"/>
      <c r="E62" s="96"/>
      <c r="F62" s="97"/>
      <c r="G62" s="18"/>
      <c r="H62" s="18"/>
      <c r="I62" s="18"/>
      <c r="J62" s="18"/>
      <c r="K62" s="95"/>
      <c r="L62" s="96"/>
      <c r="M62" s="96"/>
      <c r="N62" s="96"/>
      <c r="O62" s="96"/>
      <c r="P62" s="96"/>
      <c r="Q62" s="97"/>
      <c r="R62" s="18"/>
      <c r="S62" s="18"/>
      <c r="T62" s="18"/>
      <c r="U62" s="18"/>
    </row>
    <row r="63" spans="1:21" ht="18" customHeight="1" x14ac:dyDescent="0.15">
      <c r="A63" s="3"/>
      <c r="B63" s="95"/>
      <c r="C63" s="96"/>
      <c r="D63" s="96"/>
      <c r="E63" s="96"/>
      <c r="F63" s="97"/>
      <c r="G63" s="18"/>
      <c r="H63" s="18"/>
      <c r="I63" s="18"/>
      <c r="J63" s="18"/>
      <c r="K63" s="95"/>
      <c r="L63" s="96"/>
      <c r="M63" s="96"/>
      <c r="N63" s="96"/>
      <c r="O63" s="96"/>
      <c r="P63" s="96"/>
      <c r="Q63" s="97"/>
      <c r="R63" s="18"/>
      <c r="S63" s="18"/>
      <c r="T63" s="18"/>
      <c r="U63" s="18"/>
    </row>
    <row r="64" spans="1:21" ht="18" customHeight="1" x14ac:dyDescent="0.15">
      <c r="A64" s="3"/>
      <c r="B64" s="95"/>
      <c r="C64" s="96"/>
      <c r="D64" s="96"/>
      <c r="E64" s="96"/>
      <c r="F64" s="97"/>
      <c r="G64" s="18"/>
      <c r="H64" s="18"/>
      <c r="I64" s="18"/>
      <c r="J64" s="18"/>
      <c r="K64" s="95"/>
      <c r="L64" s="96"/>
      <c r="M64" s="96"/>
      <c r="N64" s="96"/>
      <c r="O64" s="96"/>
      <c r="P64" s="96"/>
      <c r="Q64" s="97"/>
      <c r="R64" s="18"/>
      <c r="S64" s="18"/>
      <c r="T64" s="18"/>
      <c r="U64" s="18"/>
    </row>
    <row r="65" spans="1:21" ht="18" customHeight="1" x14ac:dyDescent="0.15">
      <c r="A65" s="3"/>
      <c r="B65" s="95"/>
      <c r="C65" s="96"/>
      <c r="D65" s="96"/>
      <c r="E65" s="96"/>
      <c r="F65" s="97"/>
      <c r="G65" s="18"/>
      <c r="H65" s="18"/>
      <c r="I65" s="18"/>
      <c r="J65" s="18"/>
      <c r="K65" s="95"/>
      <c r="L65" s="96"/>
      <c r="M65" s="96"/>
      <c r="N65" s="96"/>
      <c r="O65" s="96"/>
      <c r="P65" s="96"/>
      <c r="Q65" s="97"/>
      <c r="R65" s="18"/>
      <c r="S65" s="18"/>
      <c r="T65" s="18"/>
      <c r="U65" s="18"/>
    </row>
    <row r="66" spans="1:21" ht="18" customHeight="1" x14ac:dyDescent="0.15">
      <c r="A66" s="3"/>
      <c r="B66" s="98"/>
      <c r="C66" s="99"/>
      <c r="D66" s="99"/>
      <c r="E66" s="99"/>
      <c r="F66" s="100"/>
      <c r="G66" s="19"/>
      <c r="H66" s="19"/>
      <c r="I66" s="20"/>
      <c r="J66" s="20"/>
      <c r="K66" s="98"/>
      <c r="L66" s="99"/>
      <c r="M66" s="99"/>
      <c r="N66" s="99"/>
      <c r="O66" s="99"/>
      <c r="P66" s="99"/>
      <c r="Q66" s="100"/>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6" t="s">
        <v>105</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x14ac:dyDescent="0.15">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x14ac:dyDescent="0.15">
      <c r="B70" s="92" t="s">
        <v>51</v>
      </c>
      <c r="C70" s="93"/>
      <c r="D70" s="93"/>
      <c r="E70" s="93"/>
      <c r="F70" s="50" t="s">
        <v>77</v>
      </c>
      <c r="G70" s="49" t="s">
        <v>80</v>
      </c>
      <c r="H70" s="16" t="s">
        <v>92</v>
      </c>
      <c r="I70" s="16" t="s">
        <v>72</v>
      </c>
      <c r="J70" s="16" t="s">
        <v>73</v>
      </c>
      <c r="K70" s="92" t="s">
        <v>51</v>
      </c>
      <c r="L70" s="93"/>
      <c r="M70" s="93"/>
      <c r="N70" s="93"/>
      <c r="O70" s="93"/>
      <c r="P70" s="94"/>
      <c r="Q70" s="50" t="s">
        <v>77</v>
      </c>
      <c r="R70" s="49" t="s">
        <v>80</v>
      </c>
      <c r="S70" s="16" t="s">
        <v>92</v>
      </c>
      <c r="T70" s="16" t="s">
        <v>72</v>
      </c>
      <c r="U70" s="16" t="s">
        <v>73</v>
      </c>
    </row>
    <row r="71" spans="1:21" ht="18" customHeight="1" x14ac:dyDescent="0.15">
      <c r="A71" s="3"/>
      <c r="B71" s="103" t="s">
        <v>154</v>
      </c>
      <c r="C71" s="104"/>
      <c r="D71" s="104"/>
      <c r="E71" s="104"/>
      <c r="F71" s="17">
        <v>2</v>
      </c>
      <c r="G71" s="17" t="s">
        <v>139</v>
      </c>
      <c r="H71" s="17" t="s">
        <v>139</v>
      </c>
      <c r="I71" s="17" t="s">
        <v>139</v>
      </c>
      <c r="J71" s="17" t="s">
        <v>139</v>
      </c>
      <c r="K71" s="103"/>
      <c r="L71" s="104"/>
      <c r="M71" s="104"/>
      <c r="N71" s="104"/>
      <c r="O71" s="104"/>
      <c r="P71" s="105"/>
      <c r="Q71" s="17"/>
      <c r="R71" s="17"/>
      <c r="S71" s="17"/>
      <c r="T71" s="17"/>
      <c r="U71" s="17"/>
    </row>
    <row r="72" spans="1:21" ht="18" customHeight="1" x14ac:dyDescent="0.15">
      <c r="A72" s="3"/>
      <c r="B72" s="95"/>
      <c r="C72" s="96"/>
      <c r="D72" s="96"/>
      <c r="E72" s="96"/>
      <c r="F72" s="18"/>
      <c r="G72" s="18"/>
      <c r="H72" s="18"/>
      <c r="I72" s="18"/>
      <c r="J72" s="18"/>
      <c r="K72" s="95"/>
      <c r="L72" s="96"/>
      <c r="M72" s="96"/>
      <c r="N72" s="96"/>
      <c r="O72" s="96"/>
      <c r="P72" s="97"/>
      <c r="Q72" s="18"/>
      <c r="R72" s="18"/>
      <c r="S72" s="18"/>
      <c r="T72" s="18"/>
      <c r="U72" s="18"/>
    </row>
    <row r="73" spans="1:21" ht="18" customHeight="1" x14ac:dyDescent="0.15">
      <c r="A73" s="3"/>
      <c r="B73" s="95"/>
      <c r="C73" s="96"/>
      <c r="D73" s="96"/>
      <c r="E73" s="96"/>
      <c r="F73" s="18"/>
      <c r="G73" s="18"/>
      <c r="H73" s="18"/>
      <c r="I73" s="18"/>
      <c r="J73" s="18"/>
      <c r="K73" s="95"/>
      <c r="L73" s="96"/>
      <c r="M73" s="96"/>
      <c r="N73" s="96"/>
      <c r="O73" s="96"/>
      <c r="P73" s="97"/>
      <c r="Q73" s="18"/>
      <c r="R73" s="18"/>
      <c r="S73" s="18"/>
      <c r="T73" s="18"/>
      <c r="U73" s="18"/>
    </row>
    <row r="74" spans="1:21" ht="18" customHeight="1" x14ac:dyDescent="0.15">
      <c r="A74" s="3"/>
      <c r="B74" s="95"/>
      <c r="C74" s="96"/>
      <c r="D74" s="96"/>
      <c r="E74" s="96"/>
      <c r="F74" s="18"/>
      <c r="G74" s="18"/>
      <c r="H74" s="18"/>
      <c r="I74" s="18"/>
      <c r="J74" s="18"/>
      <c r="K74" s="95"/>
      <c r="L74" s="96"/>
      <c r="M74" s="96"/>
      <c r="N74" s="96"/>
      <c r="O74" s="96"/>
      <c r="P74" s="97"/>
      <c r="Q74" s="18"/>
      <c r="R74" s="18"/>
      <c r="S74" s="18"/>
      <c r="T74" s="18"/>
      <c r="U74" s="18"/>
    </row>
    <row r="75" spans="1:21" ht="18" customHeight="1" x14ac:dyDescent="0.15">
      <c r="A75" s="3"/>
      <c r="B75" s="95"/>
      <c r="C75" s="96"/>
      <c r="D75" s="96"/>
      <c r="E75" s="96"/>
      <c r="F75" s="18"/>
      <c r="G75" s="18"/>
      <c r="H75" s="18"/>
      <c r="I75" s="18"/>
      <c r="J75" s="18"/>
      <c r="K75" s="95"/>
      <c r="L75" s="96"/>
      <c r="M75" s="96"/>
      <c r="N75" s="96"/>
      <c r="O75" s="96"/>
      <c r="P75" s="97"/>
      <c r="Q75" s="18"/>
      <c r="R75" s="18"/>
      <c r="S75" s="18"/>
      <c r="T75" s="18"/>
      <c r="U75" s="18"/>
    </row>
    <row r="76" spans="1:21" ht="18" customHeight="1" x14ac:dyDescent="0.15">
      <c r="A76" s="3"/>
      <c r="B76" s="95"/>
      <c r="C76" s="96"/>
      <c r="D76" s="96"/>
      <c r="E76" s="96"/>
      <c r="F76" s="18"/>
      <c r="G76" s="18"/>
      <c r="H76" s="18"/>
      <c r="I76" s="18"/>
      <c r="J76" s="18"/>
      <c r="K76" s="95"/>
      <c r="L76" s="96"/>
      <c r="M76" s="96"/>
      <c r="N76" s="96"/>
      <c r="O76" s="96"/>
      <c r="P76" s="97"/>
      <c r="Q76" s="18"/>
      <c r="R76" s="18"/>
      <c r="S76" s="18"/>
      <c r="T76" s="18"/>
      <c r="U76" s="18"/>
    </row>
    <row r="77" spans="1:21" ht="18" customHeight="1" x14ac:dyDescent="0.15">
      <c r="A77" s="3"/>
      <c r="B77" s="98"/>
      <c r="C77" s="99"/>
      <c r="D77" s="99"/>
      <c r="E77" s="99"/>
      <c r="F77" s="19"/>
      <c r="G77" s="19"/>
      <c r="H77" s="20"/>
      <c r="I77" s="20"/>
      <c r="J77" s="20"/>
      <c r="K77" s="98"/>
      <c r="L77" s="99"/>
      <c r="M77" s="99"/>
      <c r="N77" s="99"/>
      <c r="O77" s="99"/>
      <c r="P77" s="100"/>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12" t="s">
        <v>51</v>
      </c>
      <c r="L80" s="113"/>
      <c r="M80" s="113"/>
      <c r="N80" s="113"/>
      <c r="O80" s="113"/>
      <c r="P80" s="113"/>
      <c r="Q80" s="114"/>
      <c r="R80" s="92" t="s">
        <v>78</v>
      </c>
      <c r="S80" s="93"/>
      <c r="T80" s="93"/>
      <c r="U80" s="94"/>
    </row>
    <row r="81" spans="1:21" ht="18" customHeight="1" x14ac:dyDescent="0.15">
      <c r="A81" s="3"/>
      <c r="B81" s="103"/>
      <c r="C81" s="104"/>
      <c r="D81" s="104"/>
      <c r="E81" s="104"/>
      <c r="F81" s="105"/>
      <c r="G81" s="107"/>
      <c r="H81" s="108"/>
      <c r="I81" s="108"/>
      <c r="J81" s="109"/>
      <c r="K81" s="103"/>
      <c r="L81" s="104"/>
      <c r="M81" s="104"/>
      <c r="N81" s="104"/>
      <c r="O81" s="104"/>
      <c r="P81" s="104"/>
      <c r="Q81" s="105"/>
      <c r="R81" s="107"/>
      <c r="S81" s="108"/>
      <c r="T81" s="108"/>
      <c r="U81" s="109"/>
    </row>
    <row r="82" spans="1:21" ht="18" customHeight="1" x14ac:dyDescent="0.15">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15">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15">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15">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15">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15">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107</v>
      </c>
    </row>
    <row r="90" spans="1:21" ht="18.75" customHeight="1" x14ac:dyDescent="0.15">
      <c r="B90" s="133" t="s">
        <v>52</v>
      </c>
      <c r="C90" s="134"/>
      <c r="D90" s="92" t="s">
        <v>53</v>
      </c>
      <c r="E90" s="93"/>
      <c r="F90" s="93"/>
      <c r="G90" s="93"/>
      <c r="H90" s="93"/>
      <c r="I90" s="93"/>
      <c r="J90" s="93"/>
      <c r="K90" s="93"/>
      <c r="L90" s="93"/>
      <c r="M90" s="93"/>
      <c r="N90" s="93"/>
      <c r="O90" s="93"/>
      <c r="P90" s="93"/>
      <c r="Q90" s="93"/>
      <c r="R90" s="93"/>
      <c r="S90" s="93"/>
      <c r="T90" s="93"/>
      <c r="U90" s="94"/>
    </row>
    <row r="91" spans="1:21" ht="97.5" customHeight="1" x14ac:dyDescent="0.15">
      <c r="B91" s="110" t="s">
        <v>59</v>
      </c>
      <c r="C91" s="22" t="s">
        <v>54</v>
      </c>
      <c r="D91" s="143" t="s">
        <v>156</v>
      </c>
      <c r="E91" s="144"/>
      <c r="F91" s="144"/>
      <c r="G91" s="144"/>
      <c r="H91" s="144"/>
      <c r="I91" s="144"/>
      <c r="J91" s="144"/>
      <c r="K91" s="144"/>
      <c r="L91" s="144"/>
      <c r="M91" s="144"/>
      <c r="N91" s="144"/>
      <c r="O91" s="144"/>
      <c r="P91" s="144"/>
      <c r="Q91" s="144"/>
      <c r="R91" s="144"/>
      <c r="S91" s="144"/>
      <c r="T91" s="144"/>
      <c r="U91" s="145"/>
    </row>
    <row r="92" spans="1:21" ht="97.5" customHeight="1" x14ac:dyDescent="0.15">
      <c r="B92" s="115"/>
      <c r="C92" s="23" t="s">
        <v>74</v>
      </c>
      <c r="D92" s="140" t="s">
        <v>177</v>
      </c>
      <c r="E92" s="141"/>
      <c r="F92" s="141"/>
      <c r="G92" s="141"/>
      <c r="H92" s="141"/>
      <c r="I92" s="141"/>
      <c r="J92" s="141"/>
      <c r="K92" s="141"/>
      <c r="L92" s="141"/>
      <c r="M92" s="141"/>
      <c r="N92" s="141"/>
      <c r="O92" s="141"/>
      <c r="P92" s="141"/>
      <c r="Q92" s="141"/>
      <c r="R92" s="141"/>
      <c r="S92" s="141"/>
      <c r="T92" s="141"/>
      <c r="U92" s="142"/>
    </row>
    <row r="93" spans="1:21" ht="97.5" customHeight="1" x14ac:dyDescent="0.15">
      <c r="B93" s="110" t="s">
        <v>60</v>
      </c>
      <c r="C93" s="24" t="s">
        <v>68</v>
      </c>
      <c r="D93" s="143" t="s">
        <v>184</v>
      </c>
      <c r="E93" s="144"/>
      <c r="F93" s="144"/>
      <c r="G93" s="144"/>
      <c r="H93" s="144"/>
      <c r="I93" s="144"/>
      <c r="J93" s="144"/>
      <c r="K93" s="144"/>
      <c r="L93" s="144"/>
      <c r="M93" s="144"/>
      <c r="N93" s="144"/>
      <c r="O93" s="144"/>
      <c r="P93" s="144"/>
      <c r="Q93" s="144"/>
      <c r="R93" s="144"/>
      <c r="S93" s="144"/>
      <c r="T93" s="144"/>
      <c r="U93" s="145"/>
    </row>
    <row r="94" spans="1:21" ht="97.5" customHeight="1" x14ac:dyDescent="0.15">
      <c r="B94" s="111"/>
      <c r="C94" s="25" t="s">
        <v>69</v>
      </c>
      <c r="D94" s="140" t="s">
        <v>178</v>
      </c>
      <c r="E94" s="141"/>
      <c r="F94" s="141"/>
      <c r="G94" s="141"/>
      <c r="H94" s="141"/>
      <c r="I94" s="141"/>
      <c r="J94" s="141"/>
      <c r="K94" s="141"/>
      <c r="L94" s="141"/>
      <c r="M94" s="141"/>
      <c r="N94" s="141"/>
      <c r="O94" s="141"/>
      <c r="P94" s="141"/>
      <c r="Q94" s="141"/>
      <c r="R94" s="141"/>
      <c r="S94" s="141"/>
      <c r="T94" s="141"/>
      <c r="U94" s="142"/>
    </row>
    <row r="95" spans="1:21" ht="97.5" customHeight="1" x14ac:dyDescent="0.15">
      <c r="B95" s="110" t="s">
        <v>61</v>
      </c>
      <c r="C95" s="24" t="s">
        <v>70</v>
      </c>
      <c r="D95" s="143" t="s">
        <v>179</v>
      </c>
      <c r="E95" s="144"/>
      <c r="F95" s="144"/>
      <c r="G95" s="144"/>
      <c r="H95" s="144"/>
      <c r="I95" s="144"/>
      <c r="J95" s="144"/>
      <c r="K95" s="144"/>
      <c r="L95" s="144"/>
      <c r="M95" s="144"/>
      <c r="N95" s="144"/>
      <c r="O95" s="144"/>
      <c r="P95" s="144"/>
      <c r="Q95" s="144"/>
      <c r="R95" s="144"/>
      <c r="S95" s="144"/>
      <c r="T95" s="144"/>
      <c r="U95" s="145"/>
    </row>
    <row r="96" spans="1:21" ht="97.5" customHeight="1" x14ac:dyDescent="0.15">
      <c r="B96" s="111"/>
      <c r="C96" s="26" t="s">
        <v>71</v>
      </c>
      <c r="D96" s="140" t="s">
        <v>180</v>
      </c>
      <c r="E96" s="141"/>
      <c r="F96" s="141"/>
      <c r="G96" s="141"/>
      <c r="H96" s="141"/>
      <c r="I96" s="141"/>
      <c r="J96" s="141"/>
      <c r="K96" s="141"/>
      <c r="L96" s="141"/>
      <c r="M96" s="141"/>
      <c r="N96" s="141"/>
      <c r="O96" s="141"/>
      <c r="P96" s="141"/>
      <c r="Q96" s="141"/>
      <c r="R96" s="141"/>
      <c r="S96" s="141"/>
      <c r="T96" s="141"/>
      <c r="U96" s="142"/>
    </row>
    <row r="97" spans="1:33" ht="97.5" customHeight="1" x14ac:dyDescent="0.15">
      <c r="B97" s="110" t="s">
        <v>75</v>
      </c>
      <c r="C97" s="22" t="s">
        <v>56</v>
      </c>
      <c r="D97" s="143" t="s">
        <v>181</v>
      </c>
      <c r="E97" s="144"/>
      <c r="F97" s="144"/>
      <c r="G97" s="144"/>
      <c r="H97" s="144"/>
      <c r="I97" s="144"/>
      <c r="J97" s="144"/>
      <c r="K97" s="144"/>
      <c r="L97" s="144"/>
      <c r="M97" s="144"/>
      <c r="N97" s="144"/>
      <c r="O97" s="144"/>
      <c r="P97" s="144"/>
      <c r="Q97" s="144"/>
      <c r="R97" s="144"/>
      <c r="S97" s="144"/>
      <c r="T97" s="144"/>
      <c r="U97" s="145"/>
    </row>
    <row r="98" spans="1:33" ht="97.5" customHeight="1" x14ac:dyDescent="0.15">
      <c r="B98" s="111"/>
      <c r="C98" s="25" t="s">
        <v>58</v>
      </c>
      <c r="D98" s="140" t="s">
        <v>157</v>
      </c>
      <c r="E98" s="141"/>
      <c r="F98" s="141"/>
      <c r="G98" s="141"/>
      <c r="H98" s="141"/>
      <c r="I98" s="141"/>
      <c r="J98" s="141"/>
      <c r="K98" s="141"/>
      <c r="L98" s="141"/>
      <c r="M98" s="141"/>
      <c r="N98" s="141"/>
      <c r="O98" s="141"/>
      <c r="P98" s="141"/>
      <c r="Q98" s="141"/>
      <c r="R98" s="141"/>
      <c r="S98" s="141"/>
      <c r="T98" s="141"/>
      <c r="U98" s="142"/>
    </row>
    <row r="99" spans="1:33" ht="97.5" customHeight="1" x14ac:dyDescent="0.15">
      <c r="B99" s="110" t="s">
        <v>76</v>
      </c>
      <c r="C99" s="24" t="s">
        <v>55</v>
      </c>
      <c r="D99" s="143" t="s">
        <v>185</v>
      </c>
      <c r="E99" s="161"/>
      <c r="F99" s="161"/>
      <c r="G99" s="161"/>
      <c r="H99" s="161"/>
      <c r="I99" s="161"/>
      <c r="J99" s="161"/>
      <c r="K99" s="161"/>
      <c r="L99" s="161"/>
      <c r="M99" s="161"/>
      <c r="N99" s="161"/>
      <c r="O99" s="161"/>
      <c r="P99" s="161"/>
      <c r="Q99" s="161"/>
      <c r="R99" s="161"/>
      <c r="S99" s="161"/>
      <c r="T99" s="161"/>
      <c r="U99" s="162"/>
    </row>
    <row r="100" spans="1:33" ht="97.5" customHeight="1" x14ac:dyDescent="0.15">
      <c r="B100" s="115"/>
      <c r="C100" s="27" t="s">
        <v>72</v>
      </c>
      <c r="D100" s="146" t="s">
        <v>160</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11"/>
      <c r="C101" s="26" t="s">
        <v>73</v>
      </c>
      <c r="D101" s="140" t="s">
        <v>186</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15"/>
    <row r="103" spans="1:33" ht="18.75" customHeight="1" x14ac:dyDescent="0.15">
      <c r="A103" s="1" t="s">
        <v>108</v>
      </c>
    </row>
    <row r="104" spans="1:33" ht="81.75" customHeight="1" x14ac:dyDescent="0.15">
      <c r="B104" s="127" t="s">
        <v>168</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x14ac:dyDescent="0.15">
      <c r="A106" s="72" t="s">
        <v>124</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126</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39" t="s">
        <v>130</v>
      </c>
      <c r="C108" s="139"/>
      <c r="D108" s="139"/>
      <c r="E108" s="139"/>
      <c r="F108" s="139"/>
      <c r="G108" s="139"/>
      <c r="H108" s="139"/>
      <c r="I108" s="139"/>
      <c r="J108" s="139"/>
      <c r="K108" s="139"/>
      <c r="L108" s="139"/>
      <c r="M108" s="139"/>
      <c r="N108" s="139"/>
      <c r="O108" s="139"/>
      <c r="P108" s="139"/>
      <c r="Q108" s="139"/>
      <c r="R108" s="139"/>
      <c r="S108" s="139"/>
      <c r="T108" s="139"/>
      <c r="U108" s="139"/>
      <c r="V108" s="66"/>
      <c r="W108" s="66"/>
      <c r="X108" s="66"/>
      <c r="Y108" s="66"/>
      <c r="Z108" s="66"/>
      <c r="AA108" s="66"/>
      <c r="AB108" s="66"/>
      <c r="AC108" s="66"/>
      <c r="AD108" s="66"/>
      <c r="AE108" s="66"/>
      <c r="AF108" s="66"/>
      <c r="AG108" s="66"/>
    </row>
    <row r="109" spans="1:33" ht="37.15" customHeight="1" x14ac:dyDescent="0.15">
      <c r="A109" s="72"/>
      <c r="B109" s="139"/>
      <c r="C109" s="139"/>
      <c r="D109" s="139"/>
      <c r="E109" s="139"/>
      <c r="F109" s="139"/>
      <c r="G109" s="139"/>
      <c r="H109" s="139"/>
      <c r="I109" s="139"/>
      <c r="J109" s="139"/>
      <c r="K109" s="139"/>
      <c r="L109" s="139"/>
      <c r="M109" s="139"/>
      <c r="N109" s="139"/>
      <c r="O109" s="139"/>
      <c r="P109" s="139"/>
      <c r="Q109" s="139"/>
      <c r="R109" s="139"/>
      <c r="S109" s="139"/>
      <c r="T109" s="139"/>
      <c r="U109" s="139"/>
      <c r="V109" s="66"/>
      <c r="W109" s="66"/>
      <c r="X109" s="66"/>
      <c r="Y109" s="66"/>
      <c r="Z109" s="66"/>
      <c r="AA109" s="66"/>
      <c r="AB109" s="66"/>
      <c r="AC109" s="66"/>
      <c r="AD109" s="66"/>
      <c r="AE109" s="66"/>
      <c r="AF109" s="66"/>
      <c r="AG109" s="66"/>
    </row>
    <row r="110" spans="1:33" ht="18.75" customHeight="1" x14ac:dyDescent="0.15">
      <c r="A110" s="72"/>
      <c r="B110" s="88" t="s">
        <v>125</v>
      </c>
      <c r="C110" s="88"/>
      <c r="D110" s="88"/>
      <c r="E110" s="88"/>
      <c r="F110" s="88"/>
      <c r="G110" s="88"/>
      <c r="H110" s="88"/>
      <c r="I110" s="88"/>
      <c r="J110" s="88"/>
      <c r="K110" s="88"/>
      <c r="L110" s="88"/>
      <c r="M110" s="88"/>
      <c r="N110" s="88"/>
      <c r="O110" s="88"/>
      <c r="P110" s="88"/>
      <c r="Q110" s="88"/>
      <c r="R110" s="88"/>
      <c r="S110" s="88"/>
      <c r="T110" s="88"/>
      <c r="U110" s="88"/>
      <c r="V110" s="66"/>
      <c r="W110" s="66"/>
      <c r="X110" s="66"/>
      <c r="Y110" s="66"/>
      <c r="Z110" s="66"/>
      <c r="AA110" s="66"/>
      <c r="AB110" s="66"/>
      <c r="AC110" s="66"/>
      <c r="AD110" s="66"/>
      <c r="AE110" s="66"/>
      <c r="AF110" s="66"/>
      <c r="AG110" s="66"/>
    </row>
    <row r="111" spans="1:33" ht="18.75" customHeight="1" x14ac:dyDescent="0.15">
      <c r="A111" s="72"/>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5"/>
      <c r="W111" s="65"/>
      <c r="X111" s="65"/>
      <c r="Y111" s="65"/>
      <c r="Z111" s="65"/>
      <c r="AA111" s="65"/>
      <c r="AB111" s="65"/>
      <c r="AC111" s="65"/>
      <c r="AD111" s="65"/>
      <c r="AE111" s="65"/>
      <c r="AF111" s="65"/>
      <c r="AG111" s="65"/>
    </row>
    <row r="112" spans="1:33" ht="132" customHeight="1" x14ac:dyDescent="0.15">
      <c r="A112" s="72"/>
      <c r="B112" s="102"/>
      <c r="C112" s="102"/>
      <c r="D112" s="102"/>
      <c r="E112" s="102"/>
      <c r="F112" s="102"/>
      <c r="G112" s="102"/>
      <c r="H112" s="102"/>
      <c r="I112" s="102"/>
      <c r="J112" s="102"/>
      <c r="K112" s="102"/>
      <c r="L112" s="102"/>
      <c r="M112" s="102"/>
      <c r="N112" s="102"/>
      <c r="O112" s="102"/>
      <c r="P112" s="102"/>
      <c r="Q112" s="102"/>
      <c r="R112" s="102"/>
      <c r="S112" s="102"/>
      <c r="T112" s="102"/>
      <c r="U112" s="102"/>
      <c r="V112" s="67"/>
      <c r="W112" s="67"/>
      <c r="X112" s="67"/>
      <c r="Y112" s="67"/>
      <c r="Z112" s="67"/>
      <c r="AA112" s="67"/>
      <c r="AB112" s="67"/>
      <c r="AC112" s="67"/>
      <c r="AD112" s="67"/>
      <c r="AE112" s="67"/>
      <c r="AF112" s="67"/>
      <c r="AG112" s="67"/>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formula1>$X$16:$X$18</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R71:U77 S27:U33 H27:J33 S38:U44 H38:J44 S49:U55 H49:J55 S60:U66 H60:J66 G71:J77">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100" zoomScaleNormal="100" zoomScaleSheetLayoutView="100" workbookViewId="0">
      <selection activeCell="E14" sqref="E14:I1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3"/>
      <c r="B1" s="73"/>
      <c r="C1" s="73"/>
      <c r="D1" s="73"/>
      <c r="E1" s="73"/>
      <c r="F1" s="73"/>
      <c r="G1" s="73"/>
      <c r="H1" s="73"/>
      <c r="I1" s="73"/>
      <c r="J1" s="73"/>
      <c r="K1" s="73"/>
      <c r="L1" s="73"/>
      <c r="M1" s="73"/>
      <c r="N1" s="73"/>
      <c r="O1" s="73"/>
      <c r="P1" s="73"/>
      <c r="Q1" s="73"/>
      <c r="R1" s="73"/>
      <c r="S1" s="73"/>
      <c r="T1" s="135" t="s">
        <v>176</v>
      </c>
      <c r="U1" s="135"/>
      <c r="V1" s="2" t="s">
        <v>99</v>
      </c>
    </row>
    <row r="2" spans="1:24" ht="18.75" customHeight="1" x14ac:dyDescent="0.15">
      <c r="A2" s="73"/>
      <c r="B2" s="74" t="s">
        <v>98</v>
      </c>
      <c r="C2" s="136" t="s">
        <v>136</v>
      </c>
      <c r="D2" s="137"/>
      <c r="E2" s="137"/>
      <c r="F2" s="137"/>
      <c r="G2" s="137"/>
      <c r="H2" s="137"/>
      <c r="I2" s="137"/>
      <c r="J2" s="138"/>
      <c r="K2" s="75"/>
      <c r="L2" s="76"/>
      <c r="M2" s="76"/>
      <c r="N2" s="76"/>
      <c r="O2" s="76"/>
      <c r="P2" s="76"/>
      <c r="Q2" s="76"/>
      <c r="R2" s="76"/>
      <c r="S2" s="76"/>
      <c r="T2" s="76"/>
      <c r="U2" s="76"/>
    </row>
    <row r="3" spans="1:24" ht="18.75" customHeight="1" x14ac:dyDescent="0.15">
      <c r="A3" s="73"/>
      <c r="B3" s="74" t="s">
        <v>93</v>
      </c>
      <c r="C3" s="136" t="s">
        <v>137</v>
      </c>
      <c r="D3" s="137"/>
      <c r="E3" s="137"/>
      <c r="F3" s="137"/>
      <c r="G3" s="137"/>
      <c r="H3" s="137"/>
      <c r="I3" s="137"/>
      <c r="J3" s="138"/>
      <c r="K3" s="75"/>
      <c r="L3" s="76"/>
      <c r="M3" s="76"/>
      <c r="N3" s="76"/>
      <c r="O3" s="76"/>
      <c r="P3" s="76"/>
      <c r="Q3" s="76"/>
      <c r="R3" s="76"/>
      <c r="S3" s="76"/>
      <c r="T3" s="76"/>
      <c r="U3" s="76"/>
    </row>
    <row r="4" spans="1:24" ht="15" customHeight="1" x14ac:dyDescent="0.15">
      <c r="A4" s="73"/>
      <c r="B4" s="73"/>
      <c r="C4" s="73"/>
      <c r="D4" s="73"/>
      <c r="E4" s="73"/>
      <c r="F4" s="73"/>
      <c r="G4" s="73"/>
      <c r="H4" s="73"/>
      <c r="I4" s="73"/>
      <c r="J4" s="73"/>
      <c r="K4" s="73"/>
      <c r="L4" s="75"/>
      <c r="M4" s="77"/>
      <c r="N4" s="77"/>
      <c r="O4" s="77"/>
      <c r="P4" s="77"/>
      <c r="Q4" s="77"/>
      <c r="R4" s="77"/>
      <c r="S4" s="77"/>
      <c r="T4" s="77"/>
      <c r="U4" s="77"/>
    </row>
    <row r="5" spans="1:24" ht="18" customHeight="1" x14ac:dyDescent="0.15">
      <c r="A5" s="116" t="s">
        <v>37</v>
      </c>
      <c r="B5" s="116"/>
      <c r="C5" s="116"/>
      <c r="D5" s="116"/>
      <c r="E5" s="116"/>
      <c r="F5" s="116"/>
      <c r="G5" s="116"/>
      <c r="H5" s="116"/>
      <c r="I5" s="116"/>
      <c r="J5" s="116"/>
      <c r="K5" s="116"/>
      <c r="L5" s="116"/>
      <c r="M5" s="116"/>
      <c r="N5" s="116"/>
      <c r="O5" s="116"/>
      <c r="P5" s="116"/>
      <c r="Q5" s="116"/>
      <c r="R5" s="116"/>
      <c r="S5" s="116"/>
      <c r="T5" s="116"/>
      <c r="U5" s="116"/>
    </row>
    <row r="6" spans="1:24" ht="15" customHeight="1" x14ac:dyDescent="0.15">
      <c r="A6" s="73"/>
      <c r="B6" s="78"/>
      <c r="C6" s="78"/>
      <c r="D6" s="78"/>
      <c r="E6" s="78"/>
      <c r="F6" s="78"/>
      <c r="G6" s="78"/>
      <c r="H6" s="78"/>
      <c r="I6" s="78"/>
      <c r="J6" s="78"/>
      <c r="K6" s="78"/>
      <c r="L6" s="78"/>
      <c r="M6" s="78"/>
      <c r="N6" s="78"/>
      <c r="O6" s="78"/>
      <c r="P6" s="78"/>
      <c r="Q6" s="78"/>
      <c r="R6" s="78"/>
      <c r="S6" s="78"/>
      <c r="T6" s="78"/>
      <c r="U6" s="78"/>
    </row>
    <row r="7" spans="1:24" ht="15" customHeight="1" x14ac:dyDescent="0.15">
      <c r="A7" s="73" t="s">
        <v>131</v>
      </c>
      <c r="B7" s="78"/>
      <c r="C7" s="78"/>
      <c r="D7" s="78"/>
      <c r="E7" s="78"/>
      <c r="F7" s="72"/>
      <c r="G7" s="72"/>
      <c r="H7" s="72"/>
      <c r="I7" s="72"/>
      <c r="J7" s="72"/>
      <c r="K7" s="72"/>
      <c r="L7" s="152" t="s">
        <v>129</v>
      </c>
      <c r="M7" s="153"/>
      <c r="N7" s="153"/>
      <c r="O7" s="153"/>
      <c r="P7" s="153"/>
      <c r="Q7" s="153"/>
      <c r="R7" s="153"/>
      <c r="S7" s="153"/>
      <c r="T7" s="153"/>
      <c r="U7" s="154"/>
    </row>
    <row r="8" spans="1:24" ht="6" customHeight="1" x14ac:dyDescent="0.15">
      <c r="A8" s="73"/>
      <c r="B8" s="78"/>
      <c r="C8" s="78"/>
      <c r="D8" s="78"/>
      <c r="E8" s="78"/>
      <c r="F8" s="78"/>
      <c r="G8" s="78"/>
      <c r="H8" s="78"/>
      <c r="I8" s="78"/>
      <c r="J8" s="78"/>
      <c r="K8" s="78"/>
      <c r="L8" s="78"/>
      <c r="M8" s="78"/>
      <c r="N8" s="78"/>
      <c r="O8" s="78"/>
      <c r="P8" s="78"/>
      <c r="Q8" s="78"/>
      <c r="R8" s="78"/>
      <c r="S8" s="78"/>
      <c r="T8" s="78"/>
      <c r="U8" s="78"/>
    </row>
    <row r="9" spans="1:24" ht="18" customHeight="1" x14ac:dyDescent="0.15">
      <c r="A9" s="73" t="s">
        <v>132</v>
      </c>
      <c r="B9" s="73"/>
      <c r="C9" s="78"/>
      <c r="D9" s="78"/>
      <c r="E9" s="73"/>
      <c r="F9" s="73"/>
      <c r="G9" s="73"/>
      <c r="H9" s="73"/>
      <c r="I9" s="73"/>
      <c r="J9" s="73"/>
      <c r="K9" s="75"/>
      <c r="L9" s="72"/>
      <c r="M9" s="72"/>
      <c r="N9" s="72"/>
      <c r="O9" s="72"/>
      <c r="P9" s="72"/>
      <c r="Q9" s="72"/>
      <c r="R9" s="72"/>
      <c r="S9" s="72"/>
      <c r="T9" s="72"/>
      <c r="U9" s="72"/>
    </row>
    <row r="10" spans="1:24" ht="6" customHeight="1" x14ac:dyDescent="0.15">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15">
      <c r="A11" s="73"/>
      <c r="B11" s="155" t="s">
        <v>161</v>
      </c>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3"/>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15">
      <c r="A14" s="73" t="s">
        <v>100</v>
      </c>
      <c r="B14" s="78"/>
      <c r="C14" s="78"/>
      <c r="D14" s="78"/>
      <c r="E14" s="75"/>
      <c r="F14" s="75"/>
      <c r="G14" s="75"/>
      <c r="H14" s="75"/>
      <c r="I14" s="75"/>
      <c r="J14" s="75"/>
      <c r="K14" s="75"/>
      <c r="L14" s="80"/>
      <c r="M14" s="80"/>
      <c r="N14" s="80"/>
      <c r="O14" s="80"/>
      <c r="P14" s="80"/>
      <c r="Q14" s="80"/>
      <c r="R14" s="80"/>
      <c r="S14" s="80"/>
      <c r="T14" s="80"/>
      <c r="U14" s="80"/>
    </row>
    <row r="15" spans="1:24" ht="18" customHeight="1" x14ac:dyDescent="0.15">
      <c r="A15" s="73"/>
      <c r="B15" s="117" t="s">
        <v>163</v>
      </c>
      <c r="C15" s="118"/>
      <c r="D15" s="118"/>
      <c r="E15" s="118"/>
      <c r="F15" s="118"/>
      <c r="G15" s="118"/>
      <c r="H15" s="118"/>
      <c r="I15" s="118"/>
      <c r="J15" s="118"/>
      <c r="K15" s="118"/>
      <c r="L15" s="118"/>
      <c r="M15" s="118"/>
      <c r="N15" s="118"/>
      <c r="O15" s="118"/>
      <c r="P15" s="118"/>
      <c r="Q15" s="118"/>
      <c r="R15" s="118"/>
      <c r="S15" s="118"/>
      <c r="T15" s="118"/>
      <c r="U15" s="119"/>
      <c r="X15" s="1" t="s">
        <v>94</v>
      </c>
    </row>
    <row r="16" spans="1:24" ht="18" customHeight="1" x14ac:dyDescent="0.15">
      <c r="A16" s="73"/>
      <c r="B16" s="120"/>
      <c r="C16" s="121"/>
      <c r="D16" s="121"/>
      <c r="E16" s="121"/>
      <c r="F16" s="121"/>
      <c r="G16" s="121"/>
      <c r="H16" s="121"/>
      <c r="I16" s="121"/>
      <c r="J16" s="121"/>
      <c r="K16" s="121"/>
      <c r="L16" s="121"/>
      <c r="M16" s="121"/>
      <c r="N16" s="121"/>
      <c r="O16" s="121"/>
      <c r="P16" s="121"/>
      <c r="Q16" s="121"/>
      <c r="R16" s="121"/>
      <c r="S16" s="121"/>
      <c r="T16" s="121"/>
      <c r="U16" s="122"/>
      <c r="X16" s="1" t="s">
        <v>114</v>
      </c>
    </row>
    <row r="17" spans="1:24" ht="18" customHeight="1" x14ac:dyDescent="0.15">
      <c r="A17" s="73"/>
      <c r="B17" s="120"/>
      <c r="C17" s="121"/>
      <c r="D17" s="121"/>
      <c r="E17" s="121"/>
      <c r="F17" s="121"/>
      <c r="G17" s="121"/>
      <c r="H17" s="121"/>
      <c r="I17" s="121"/>
      <c r="J17" s="121"/>
      <c r="K17" s="121"/>
      <c r="L17" s="121"/>
      <c r="M17" s="121"/>
      <c r="N17" s="121"/>
      <c r="O17" s="121"/>
      <c r="P17" s="121"/>
      <c r="Q17" s="121"/>
      <c r="R17" s="121"/>
      <c r="S17" s="121"/>
      <c r="T17" s="121"/>
      <c r="U17" s="122"/>
      <c r="X17" s="1" t="s">
        <v>115</v>
      </c>
    </row>
    <row r="18" spans="1:24" ht="18" customHeight="1" x14ac:dyDescent="0.15">
      <c r="A18" s="73"/>
      <c r="B18" s="120"/>
      <c r="C18" s="121"/>
      <c r="D18" s="121"/>
      <c r="E18" s="121"/>
      <c r="F18" s="121"/>
      <c r="G18" s="121"/>
      <c r="H18" s="121"/>
      <c r="I18" s="121"/>
      <c r="J18" s="121"/>
      <c r="K18" s="121"/>
      <c r="L18" s="121"/>
      <c r="M18" s="121"/>
      <c r="N18" s="121"/>
      <c r="O18" s="121"/>
      <c r="P18" s="121"/>
      <c r="Q18" s="121"/>
      <c r="R18" s="121"/>
      <c r="S18" s="121"/>
      <c r="T18" s="121"/>
      <c r="U18" s="122"/>
      <c r="X18" s="1" t="s">
        <v>116</v>
      </c>
    </row>
    <row r="19" spans="1:24" ht="18" customHeight="1" x14ac:dyDescent="0.15">
      <c r="A19" s="73"/>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15">
      <c r="A20" s="73"/>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15">
      <c r="A21" s="73"/>
      <c r="B21" s="78"/>
      <c r="C21" s="78"/>
      <c r="D21" s="78"/>
      <c r="E21" s="78"/>
      <c r="F21" s="78"/>
      <c r="G21" s="78"/>
      <c r="H21" s="78"/>
      <c r="I21" s="78"/>
      <c r="J21" s="78"/>
      <c r="K21" s="78"/>
      <c r="L21" s="78"/>
      <c r="M21" s="78"/>
      <c r="N21" s="78"/>
      <c r="O21" s="78"/>
      <c r="P21" s="78"/>
      <c r="Q21" s="78"/>
      <c r="R21" s="78"/>
      <c r="S21" s="78"/>
      <c r="T21" s="78"/>
      <c r="U21" s="78"/>
    </row>
    <row r="22" spans="1:24" ht="19.899999999999999" customHeight="1" x14ac:dyDescent="0.15">
      <c r="A22" s="73"/>
      <c r="B22" s="73" t="s">
        <v>133</v>
      </c>
      <c r="C22" s="73"/>
      <c r="D22" s="73"/>
      <c r="E22" s="81">
        <v>2</v>
      </c>
      <c r="F22" s="73" t="s">
        <v>112</v>
      </c>
      <c r="G22" s="73"/>
      <c r="H22" s="82">
        <v>4</v>
      </c>
      <c r="I22" s="78" t="s">
        <v>113</v>
      </c>
      <c r="J22" s="78"/>
      <c r="K22" s="75"/>
      <c r="L22" s="73"/>
      <c r="M22" s="75" t="s">
        <v>109</v>
      </c>
      <c r="N22" s="149" t="s">
        <v>116</v>
      </c>
      <c r="O22" s="150"/>
      <c r="P22" s="150"/>
      <c r="Q22" s="150"/>
      <c r="R22" s="150"/>
      <c r="S22" s="150"/>
      <c r="T22" s="150"/>
      <c r="U22" s="151"/>
    </row>
    <row r="23" spans="1:24" ht="7.5" customHeight="1" x14ac:dyDescent="0.15">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15">
      <c r="A24" s="126" t="s">
        <v>101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15">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15">
      <c r="B26" s="92" t="s">
        <v>51</v>
      </c>
      <c r="C26" s="93"/>
      <c r="D26" s="93"/>
      <c r="E26" s="93"/>
      <c r="F26" s="94"/>
      <c r="G26" s="50" t="s">
        <v>77</v>
      </c>
      <c r="H26" s="49" t="s">
        <v>80</v>
      </c>
      <c r="I26" s="16" t="s">
        <v>54</v>
      </c>
      <c r="J26" s="16" t="s">
        <v>57</v>
      </c>
      <c r="K26" s="92" t="s">
        <v>51</v>
      </c>
      <c r="L26" s="93"/>
      <c r="M26" s="93"/>
      <c r="N26" s="93"/>
      <c r="O26" s="93"/>
      <c r="P26" s="93"/>
      <c r="Q26" s="94"/>
      <c r="R26" s="50" t="s">
        <v>77</v>
      </c>
      <c r="S26" s="49" t="s">
        <v>80</v>
      </c>
      <c r="T26" s="16" t="s">
        <v>54</v>
      </c>
      <c r="U26" s="16" t="s">
        <v>57</v>
      </c>
    </row>
    <row r="27" spans="1:24" ht="18" customHeight="1" x14ac:dyDescent="0.15">
      <c r="B27" s="103" t="s">
        <v>140</v>
      </c>
      <c r="C27" s="104"/>
      <c r="D27" s="104"/>
      <c r="E27" s="104"/>
      <c r="F27" s="105"/>
      <c r="G27" s="17">
        <v>2</v>
      </c>
      <c r="H27" s="17" t="s">
        <v>139</v>
      </c>
      <c r="I27" s="17" t="s">
        <v>139</v>
      </c>
      <c r="J27" s="17" t="s">
        <v>139</v>
      </c>
      <c r="K27" s="103"/>
      <c r="L27" s="104"/>
      <c r="M27" s="104"/>
      <c r="N27" s="104"/>
      <c r="O27" s="104"/>
      <c r="P27" s="104"/>
      <c r="Q27" s="105"/>
      <c r="R27" s="17"/>
      <c r="S27" s="17"/>
      <c r="T27" s="17"/>
      <c r="U27" s="17"/>
    </row>
    <row r="28" spans="1:24" ht="18" customHeight="1" x14ac:dyDescent="0.15">
      <c r="B28" s="95"/>
      <c r="C28" s="96"/>
      <c r="D28" s="96"/>
      <c r="E28" s="96"/>
      <c r="F28" s="97"/>
      <c r="G28" s="18"/>
      <c r="H28" s="18"/>
      <c r="I28" s="18"/>
      <c r="J28" s="18"/>
      <c r="K28" s="95"/>
      <c r="L28" s="96"/>
      <c r="M28" s="96"/>
      <c r="N28" s="96"/>
      <c r="O28" s="96"/>
      <c r="P28" s="96"/>
      <c r="Q28" s="97"/>
      <c r="R28" s="18"/>
      <c r="S28" s="18"/>
      <c r="T28" s="18"/>
      <c r="U28" s="18"/>
    </row>
    <row r="29" spans="1:24" ht="18" customHeight="1" x14ac:dyDescent="0.15">
      <c r="B29" s="95"/>
      <c r="C29" s="96"/>
      <c r="D29" s="96"/>
      <c r="E29" s="96"/>
      <c r="F29" s="97"/>
      <c r="G29" s="18"/>
      <c r="H29" s="18"/>
      <c r="I29" s="18"/>
      <c r="J29" s="18"/>
      <c r="K29" s="95"/>
      <c r="L29" s="96"/>
      <c r="M29" s="96"/>
      <c r="N29" s="96"/>
      <c r="O29" s="96"/>
      <c r="P29" s="96"/>
      <c r="Q29" s="97"/>
      <c r="R29" s="18"/>
      <c r="S29" s="18"/>
      <c r="T29" s="18"/>
      <c r="U29" s="18"/>
    </row>
    <row r="30" spans="1:24" ht="18" customHeight="1" x14ac:dyDescent="0.15">
      <c r="B30" s="95"/>
      <c r="C30" s="96"/>
      <c r="D30" s="96"/>
      <c r="E30" s="96"/>
      <c r="F30" s="97"/>
      <c r="G30" s="18"/>
      <c r="H30" s="18"/>
      <c r="I30" s="18"/>
      <c r="J30" s="18"/>
      <c r="K30" s="95"/>
      <c r="L30" s="96"/>
      <c r="M30" s="96"/>
      <c r="N30" s="96"/>
      <c r="O30" s="96"/>
      <c r="P30" s="96"/>
      <c r="Q30" s="97"/>
      <c r="R30" s="18"/>
      <c r="S30" s="18"/>
      <c r="T30" s="18"/>
      <c r="U30" s="18"/>
    </row>
    <row r="31" spans="1:24" ht="18" customHeight="1" x14ac:dyDescent="0.15">
      <c r="B31" s="95"/>
      <c r="C31" s="96"/>
      <c r="D31" s="96"/>
      <c r="E31" s="96"/>
      <c r="F31" s="97"/>
      <c r="G31" s="18"/>
      <c r="H31" s="18"/>
      <c r="I31" s="18"/>
      <c r="J31" s="18"/>
      <c r="K31" s="95"/>
      <c r="L31" s="96"/>
      <c r="M31" s="96"/>
      <c r="N31" s="96"/>
      <c r="O31" s="96"/>
      <c r="P31" s="96"/>
      <c r="Q31" s="97"/>
      <c r="R31" s="18"/>
      <c r="S31" s="18"/>
      <c r="T31" s="18"/>
      <c r="U31" s="18"/>
    </row>
    <row r="32" spans="1:24" ht="18" customHeight="1" x14ac:dyDescent="0.15">
      <c r="A32" s="3"/>
      <c r="B32" s="95"/>
      <c r="C32" s="96"/>
      <c r="D32" s="96"/>
      <c r="E32" s="96"/>
      <c r="F32" s="97"/>
      <c r="G32" s="18"/>
      <c r="H32" s="18"/>
      <c r="I32" s="18"/>
      <c r="J32" s="18"/>
      <c r="K32" s="95"/>
      <c r="L32" s="96"/>
      <c r="M32" s="96"/>
      <c r="N32" s="96"/>
      <c r="O32" s="96"/>
      <c r="P32" s="96"/>
      <c r="Q32" s="97"/>
      <c r="R32" s="18"/>
      <c r="S32" s="18"/>
      <c r="T32" s="18"/>
      <c r="U32" s="18"/>
    </row>
    <row r="33" spans="1:21" ht="18" customHeight="1" x14ac:dyDescent="0.15">
      <c r="A33" s="3"/>
      <c r="B33" s="98"/>
      <c r="C33" s="99"/>
      <c r="D33" s="99"/>
      <c r="E33" s="99"/>
      <c r="F33" s="100"/>
      <c r="G33" s="19"/>
      <c r="H33" s="19"/>
      <c r="I33" s="20"/>
      <c r="J33" s="20"/>
      <c r="K33" s="98"/>
      <c r="L33" s="99"/>
      <c r="M33" s="99"/>
      <c r="N33" s="99"/>
      <c r="O33" s="99"/>
      <c r="P33" s="99"/>
      <c r="Q33" s="100"/>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6" t="s">
        <v>102</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x14ac:dyDescent="0.15">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x14ac:dyDescent="0.15">
      <c r="B37" s="92" t="s">
        <v>51</v>
      </c>
      <c r="C37" s="93"/>
      <c r="D37" s="93"/>
      <c r="E37" s="93"/>
      <c r="F37" s="94"/>
      <c r="G37" s="50" t="s">
        <v>77</v>
      </c>
      <c r="H37" s="49" t="s">
        <v>80</v>
      </c>
      <c r="I37" s="16" t="s">
        <v>68</v>
      </c>
      <c r="J37" s="16" t="s">
        <v>69</v>
      </c>
      <c r="K37" s="92" t="s">
        <v>51</v>
      </c>
      <c r="L37" s="93"/>
      <c r="M37" s="93"/>
      <c r="N37" s="93"/>
      <c r="O37" s="93"/>
      <c r="P37" s="93"/>
      <c r="Q37" s="94"/>
      <c r="R37" s="50" t="s">
        <v>77</v>
      </c>
      <c r="S37" s="49" t="s">
        <v>80</v>
      </c>
      <c r="T37" s="16" t="s">
        <v>68</v>
      </c>
      <c r="U37" s="16" t="s">
        <v>69</v>
      </c>
    </row>
    <row r="38" spans="1:21" ht="18" customHeight="1" x14ac:dyDescent="0.15">
      <c r="B38" s="103" t="s">
        <v>140</v>
      </c>
      <c r="C38" s="104"/>
      <c r="D38" s="104"/>
      <c r="E38" s="104"/>
      <c r="F38" s="105"/>
      <c r="G38" s="17">
        <v>2</v>
      </c>
      <c r="H38" s="17" t="s">
        <v>139</v>
      </c>
      <c r="I38" s="17" t="s">
        <v>139</v>
      </c>
      <c r="J38" s="17" t="s">
        <v>139</v>
      </c>
      <c r="K38" s="103"/>
      <c r="L38" s="104"/>
      <c r="M38" s="104"/>
      <c r="N38" s="104"/>
      <c r="O38" s="104"/>
      <c r="P38" s="104"/>
      <c r="Q38" s="105"/>
      <c r="R38" s="17"/>
      <c r="S38" s="17"/>
      <c r="T38" s="17"/>
      <c r="U38" s="17"/>
    </row>
    <row r="39" spans="1:21" ht="18" customHeight="1" x14ac:dyDescent="0.15">
      <c r="B39" s="95"/>
      <c r="C39" s="96"/>
      <c r="D39" s="96"/>
      <c r="E39" s="96"/>
      <c r="F39" s="97"/>
      <c r="G39" s="18"/>
      <c r="H39" s="18"/>
      <c r="I39" s="18"/>
      <c r="J39" s="18"/>
      <c r="K39" s="95"/>
      <c r="L39" s="96"/>
      <c r="M39" s="96"/>
      <c r="N39" s="96"/>
      <c r="O39" s="96"/>
      <c r="P39" s="96"/>
      <c r="Q39" s="97"/>
      <c r="R39" s="18"/>
      <c r="S39" s="18"/>
      <c r="T39" s="18"/>
      <c r="U39" s="18"/>
    </row>
    <row r="40" spans="1:21" ht="18" customHeight="1" x14ac:dyDescent="0.15">
      <c r="B40" s="95"/>
      <c r="C40" s="96"/>
      <c r="D40" s="96"/>
      <c r="E40" s="96"/>
      <c r="F40" s="97"/>
      <c r="G40" s="18"/>
      <c r="H40" s="18"/>
      <c r="I40" s="18"/>
      <c r="J40" s="18"/>
      <c r="K40" s="95"/>
      <c r="L40" s="96"/>
      <c r="M40" s="96"/>
      <c r="N40" s="96"/>
      <c r="O40" s="96"/>
      <c r="P40" s="96"/>
      <c r="Q40" s="97"/>
      <c r="R40" s="18"/>
      <c r="S40" s="18"/>
      <c r="T40" s="18"/>
      <c r="U40" s="18"/>
    </row>
    <row r="41" spans="1:21" ht="18" customHeight="1" x14ac:dyDescent="0.15">
      <c r="B41" s="95"/>
      <c r="C41" s="96"/>
      <c r="D41" s="96"/>
      <c r="E41" s="96"/>
      <c r="F41" s="97"/>
      <c r="G41" s="18"/>
      <c r="H41" s="18"/>
      <c r="I41" s="18"/>
      <c r="J41" s="18"/>
      <c r="K41" s="95"/>
      <c r="L41" s="96"/>
      <c r="M41" s="96"/>
      <c r="N41" s="96"/>
      <c r="O41" s="96"/>
      <c r="P41" s="96"/>
      <c r="Q41" s="97"/>
      <c r="R41" s="18"/>
      <c r="S41" s="18"/>
      <c r="T41" s="18"/>
      <c r="U41" s="18"/>
    </row>
    <row r="42" spans="1:21" ht="18" customHeight="1" x14ac:dyDescent="0.15">
      <c r="B42" s="95"/>
      <c r="C42" s="96"/>
      <c r="D42" s="96"/>
      <c r="E42" s="96"/>
      <c r="F42" s="97"/>
      <c r="G42" s="18"/>
      <c r="H42" s="18"/>
      <c r="I42" s="18"/>
      <c r="J42" s="18"/>
      <c r="K42" s="95"/>
      <c r="L42" s="96"/>
      <c r="M42" s="96"/>
      <c r="N42" s="96"/>
      <c r="O42" s="96"/>
      <c r="P42" s="96"/>
      <c r="Q42" s="97"/>
      <c r="R42" s="18"/>
      <c r="S42" s="18"/>
      <c r="T42" s="18"/>
      <c r="U42" s="18"/>
    </row>
    <row r="43" spans="1:21" ht="18" customHeight="1" x14ac:dyDescent="0.15">
      <c r="B43" s="95"/>
      <c r="C43" s="96"/>
      <c r="D43" s="96"/>
      <c r="E43" s="96"/>
      <c r="F43" s="97"/>
      <c r="G43" s="18"/>
      <c r="H43" s="18"/>
      <c r="I43" s="18"/>
      <c r="J43" s="18"/>
      <c r="K43" s="95"/>
      <c r="L43" s="96"/>
      <c r="M43" s="96"/>
      <c r="N43" s="96"/>
      <c r="O43" s="96"/>
      <c r="P43" s="96"/>
      <c r="Q43" s="97"/>
      <c r="R43" s="18"/>
      <c r="S43" s="18"/>
      <c r="T43" s="18"/>
      <c r="U43" s="18"/>
    </row>
    <row r="44" spans="1:21" ht="18" customHeight="1" x14ac:dyDescent="0.15">
      <c r="B44" s="98"/>
      <c r="C44" s="99"/>
      <c r="D44" s="99"/>
      <c r="E44" s="99"/>
      <c r="F44" s="100"/>
      <c r="G44" s="19"/>
      <c r="H44" s="19"/>
      <c r="I44" s="20"/>
      <c r="J44" s="20"/>
      <c r="K44" s="98"/>
      <c r="L44" s="99"/>
      <c r="M44" s="99"/>
      <c r="N44" s="99"/>
      <c r="O44" s="99"/>
      <c r="P44" s="99"/>
      <c r="Q44" s="100"/>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6" t="s">
        <v>103</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x14ac:dyDescent="0.15">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x14ac:dyDescent="0.15">
      <c r="B48" s="92" t="s">
        <v>51</v>
      </c>
      <c r="C48" s="93"/>
      <c r="D48" s="93"/>
      <c r="E48" s="93"/>
      <c r="F48" s="94"/>
      <c r="G48" s="50" t="s">
        <v>77</v>
      </c>
      <c r="H48" s="49" t="s">
        <v>80</v>
      </c>
      <c r="I48" s="16" t="s">
        <v>70</v>
      </c>
      <c r="J48" s="16" t="s">
        <v>71</v>
      </c>
      <c r="K48" s="92" t="s">
        <v>51</v>
      </c>
      <c r="L48" s="93"/>
      <c r="M48" s="93"/>
      <c r="N48" s="93"/>
      <c r="O48" s="93"/>
      <c r="P48" s="93"/>
      <c r="Q48" s="94"/>
      <c r="R48" s="50" t="s">
        <v>77</v>
      </c>
      <c r="S48" s="49" t="s">
        <v>80</v>
      </c>
      <c r="T48" s="16" t="s">
        <v>70</v>
      </c>
      <c r="U48" s="16" t="s">
        <v>71</v>
      </c>
    </row>
    <row r="49" spans="1:21" ht="18" customHeight="1" x14ac:dyDescent="0.15">
      <c r="A49" s="3"/>
      <c r="B49" s="103" t="s">
        <v>140</v>
      </c>
      <c r="C49" s="104"/>
      <c r="D49" s="104"/>
      <c r="E49" s="104"/>
      <c r="F49" s="105"/>
      <c r="G49" s="17">
        <v>2</v>
      </c>
      <c r="H49" s="17" t="s">
        <v>139</v>
      </c>
      <c r="I49" s="17" t="s">
        <v>139</v>
      </c>
      <c r="J49" s="17" t="s">
        <v>139</v>
      </c>
      <c r="K49" s="103"/>
      <c r="L49" s="104"/>
      <c r="M49" s="104"/>
      <c r="N49" s="104"/>
      <c r="O49" s="104"/>
      <c r="P49" s="104"/>
      <c r="Q49" s="105"/>
      <c r="R49" s="17"/>
      <c r="S49" s="17"/>
      <c r="T49" s="17"/>
      <c r="U49" s="17"/>
    </row>
    <row r="50" spans="1:21" ht="18" customHeight="1" x14ac:dyDescent="0.15">
      <c r="A50" s="3"/>
      <c r="B50" s="95"/>
      <c r="C50" s="96"/>
      <c r="D50" s="96"/>
      <c r="E50" s="96"/>
      <c r="F50" s="97"/>
      <c r="G50" s="18"/>
      <c r="H50" s="18"/>
      <c r="I50" s="18"/>
      <c r="J50" s="18"/>
      <c r="K50" s="95"/>
      <c r="L50" s="96"/>
      <c r="M50" s="96"/>
      <c r="N50" s="96"/>
      <c r="O50" s="96"/>
      <c r="P50" s="96"/>
      <c r="Q50" s="97"/>
      <c r="R50" s="18"/>
      <c r="S50" s="18"/>
      <c r="T50" s="18"/>
      <c r="U50" s="18"/>
    </row>
    <row r="51" spans="1:21" ht="18" customHeight="1" x14ac:dyDescent="0.15">
      <c r="A51" s="3"/>
      <c r="B51" s="95"/>
      <c r="C51" s="96"/>
      <c r="D51" s="96"/>
      <c r="E51" s="96"/>
      <c r="F51" s="97"/>
      <c r="G51" s="18"/>
      <c r="H51" s="18"/>
      <c r="I51" s="18"/>
      <c r="J51" s="18"/>
      <c r="K51" s="95"/>
      <c r="L51" s="96"/>
      <c r="M51" s="96"/>
      <c r="N51" s="96"/>
      <c r="O51" s="96"/>
      <c r="P51" s="96"/>
      <c r="Q51" s="97"/>
      <c r="R51" s="18"/>
      <c r="S51" s="18"/>
      <c r="T51" s="18"/>
      <c r="U51" s="18"/>
    </row>
    <row r="52" spans="1:21" ht="18" customHeight="1" x14ac:dyDescent="0.15">
      <c r="A52" s="3"/>
      <c r="B52" s="95"/>
      <c r="C52" s="96"/>
      <c r="D52" s="96"/>
      <c r="E52" s="96"/>
      <c r="F52" s="97"/>
      <c r="G52" s="18"/>
      <c r="H52" s="18"/>
      <c r="I52" s="18"/>
      <c r="J52" s="18"/>
      <c r="K52" s="95"/>
      <c r="L52" s="96"/>
      <c r="M52" s="96"/>
      <c r="N52" s="96"/>
      <c r="O52" s="96"/>
      <c r="P52" s="96"/>
      <c r="Q52" s="97"/>
      <c r="R52" s="18"/>
      <c r="S52" s="18"/>
      <c r="T52" s="18"/>
      <c r="U52" s="18"/>
    </row>
    <row r="53" spans="1:21" ht="18" customHeight="1" x14ac:dyDescent="0.15">
      <c r="A53" s="3"/>
      <c r="B53" s="95"/>
      <c r="C53" s="96"/>
      <c r="D53" s="96"/>
      <c r="E53" s="96"/>
      <c r="F53" s="97"/>
      <c r="G53" s="18"/>
      <c r="H53" s="18"/>
      <c r="I53" s="18"/>
      <c r="J53" s="18"/>
      <c r="K53" s="95"/>
      <c r="L53" s="96"/>
      <c r="M53" s="96"/>
      <c r="N53" s="96"/>
      <c r="O53" s="96"/>
      <c r="P53" s="96"/>
      <c r="Q53" s="97"/>
      <c r="R53" s="18"/>
      <c r="S53" s="18"/>
      <c r="T53" s="18"/>
      <c r="U53" s="18"/>
    </row>
    <row r="54" spans="1:21" ht="18" customHeight="1" x14ac:dyDescent="0.15">
      <c r="A54" s="3"/>
      <c r="B54" s="95"/>
      <c r="C54" s="96"/>
      <c r="D54" s="96"/>
      <c r="E54" s="96"/>
      <c r="F54" s="97"/>
      <c r="G54" s="18"/>
      <c r="H54" s="18"/>
      <c r="I54" s="18"/>
      <c r="J54" s="18"/>
      <c r="K54" s="95"/>
      <c r="L54" s="96"/>
      <c r="M54" s="96"/>
      <c r="N54" s="96"/>
      <c r="O54" s="96"/>
      <c r="P54" s="96"/>
      <c r="Q54" s="97"/>
      <c r="R54" s="18"/>
      <c r="S54" s="18"/>
      <c r="T54" s="18"/>
      <c r="U54" s="18"/>
    </row>
    <row r="55" spans="1:21" ht="18" customHeight="1" x14ac:dyDescent="0.15">
      <c r="A55" s="3"/>
      <c r="B55" s="98"/>
      <c r="C55" s="99"/>
      <c r="D55" s="99"/>
      <c r="E55" s="99"/>
      <c r="F55" s="100"/>
      <c r="G55" s="19"/>
      <c r="H55" s="19"/>
      <c r="I55" s="20"/>
      <c r="J55" s="20"/>
      <c r="K55" s="98"/>
      <c r="L55" s="99"/>
      <c r="M55" s="99"/>
      <c r="N55" s="99"/>
      <c r="O55" s="99"/>
      <c r="P55" s="99"/>
      <c r="Q55" s="100"/>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6" t="s">
        <v>104</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x14ac:dyDescent="0.15">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x14ac:dyDescent="0.15">
      <c r="B59" s="92" t="s">
        <v>51</v>
      </c>
      <c r="C59" s="93"/>
      <c r="D59" s="93"/>
      <c r="E59" s="93"/>
      <c r="F59" s="94"/>
      <c r="G59" s="50" t="s">
        <v>77</v>
      </c>
      <c r="H59" s="49" t="s">
        <v>80</v>
      </c>
      <c r="I59" s="16" t="s">
        <v>56</v>
      </c>
      <c r="J59" s="16" t="s">
        <v>58</v>
      </c>
      <c r="K59" s="92" t="s">
        <v>51</v>
      </c>
      <c r="L59" s="93"/>
      <c r="M59" s="93"/>
      <c r="N59" s="93"/>
      <c r="O59" s="93"/>
      <c r="P59" s="93"/>
      <c r="Q59" s="94"/>
      <c r="R59" s="50" t="s">
        <v>77</v>
      </c>
      <c r="S59" s="49" t="s">
        <v>80</v>
      </c>
      <c r="T59" s="16" t="s">
        <v>56</v>
      </c>
      <c r="U59" s="16" t="s">
        <v>58</v>
      </c>
    </row>
    <row r="60" spans="1:21" ht="18" customHeight="1" x14ac:dyDescent="0.15">
      <c r="A60" s="3"/>
      <c r="B60" s="103" t="s">
        <v>140</v>
      </c>
      <c r="C60" s="104"/>
      <c r="D60" s="104"/>
      <c r="E60" s="104"/>
      <c r="F60" s="105"/>
      <c r="G60" s="17">
        <v>2</v>
      </c>
      <c r="H60" s="17" t="s">
        <v>139</v>
      </c>
      <c r="I60" s="17" t="s">
        <v>139</v>
      </c>
      <c r="J60" s="17" t="s">
        <v>139</v>
      </c>
      <c r="K60" s="103"/>
      <c r="L60" s="104"/>
      <c r="M60" s="104"/>
      <c r="N60" s="104"/>
      <c r="O60" s="104"/>
      <c r="P60" s="104"/>
      <c r="Q60" s="105"/>
      <c r="R60" s="17"/>
      <c r="S60" s="17"/>
      <c r="T60" s="17"/>
      <c r="U60" s="17"/>
    </row>
    <row r="61" spans="1:21" ht="18" customHeight="1" x14ac:dyDescent="0.15">
      <c r="A61" s="3"/>
      <c r="B61" s="95"/>
      <c r="C61" s="96"/>
      <c r="D61" s="96"/>
      <c r="E61" s="96"/>
      <c r="F61" s="97"/>
      <c r="G61" s="18"/>
      <c r="H61" s="18"/>
      <c r="I61" s="18"/>
      <c r="J61" s="18"/>
      <c r="K61" s="95"/>
      <c r="L61" s="96"/>
      <c r="M61" s="96"/>
      <c r="N61" s="96"/>
      <c r="O61" s="96"/>
      <c r="P61" s="96"/>
      <c r="Q61" s="97"/>
      <c r="R61" s="18"/>
      <c r="S61" s="18"/>
      <c r="T61" s="18"/>
      <c r="U61" s="18"/>
    </row>
    <row r="62" spans="1:21" ht="18" customHeight="1" x14ac:dyDescent="0.15">
      <c r="A62" s="3"/>
      <c r="B62" s="95"/>
      <c r="C62" s="96"/>
      <c r="D62" s="96"/>
      <c r="E62" s="96"/>
      <c r="F62" s="97"/>
      <c r="G62" s="18"/>
      <c r="H62" s="18"/>
      <c r="I62" s="18"/>
      <c r="J62" s="18"/>
      <c r="K62" s="95"/>
      <c r="L62" s="96"/>
      <c r="M62" s="96"/>
      <c r="N62" s="96"/>
      <c r="O62" s="96"/>
      <c r="P62" s="96"/>
      <c r="Q62" s="97"/>
      <c r="R62" s="18"/>
      <c r="S62" s="18"/>
      <c r="T62" s="18"/>
      <c r="U62" s="18"/>
    </row>
    <row r="63" spans="1:21" ht="18" customHeight="1" x14ac:dyDescent="0.15">
      <c r="A63" s="3"/>
      <c r="B63" s="95"/>
      <c r="C63" s="96"/>
      <c r="D63" s="96"/>
      <c r="E63" s="96"/>
      <c r="F63" s="97"/>
      <c r="G63" s="18"/>
      <c r="H63" s="18"/>
      <c r="I63" s="18"/>
      <c r="J63" s="18"/>
      <c r="K63" s="95"/>
      <c r="L63" s="96"/>
      <c r="M63" s="96"/>
      <c r="N63" s="96"/>
      <c r="O63" s="96"/>
      <c r="P63" s="96"/>
      <c r="Q63" s="97"/>
      <c r="R63" s="18"/>
      <c r="S63" s="18"/>
      <c r="T63" s="18"/>
      <c r="U63" s="18"/>
    </row>
    <row r="64" spans="1:21" ht="18" customHeight="1" x14ac:dyDescent="0.15">
      <c r="A64" s="3"/>
      <c r="B64" s="95"/>
      <c r="C64" s="96"/>
      <c r="D64" s="96"/>
      <c r="E64" s="96"/>
      <c r="F64" s="97"/>
      <c r="G64" s="18"/>
      <c r="H64" s="18"/>
      <c r="I64" s="18"/>
      <c r="J64" s="18"/>
      <c r="K64" s="95"/>
      <c r="L64" s="96"/>
      <c r="M64" s="96"/>
      <c r="N64" s="96"/>
      <c r="O64" s="96"/>
      <c r="P64" s="96"/>
      <c r="Q64" s="97"/>
      <c r="R64" s="18"/>
      <c r="S64" s="18"/>
      <c r="T64" s="18"/>
      <c r="U64" s="18"/>
    </row>
    <row r="65" spans="1:21" ht="18" customHeight="1" x14ac:dyDescent="0.15">
      <c r="A65" s="3"/>
      <c r="B65" s="95"/>
      <c r="C65" s="96"/>
      <c r="D65" s="96"/>
      <c r="E65" s="96"/>
      <c r="F65" s="97"/>
      <c r="G65" s="18"/>
      <c r="H65" s="18"/>
      <c r="I65" s="18"/>
      <c r="J65" s="18"/>
      <c r="K65" s="95"/>
      <c r="L65" s="96"/>
      <c r="M65" s="96"/>
      <c r="N65" s="96"/>
      <c r="O65" s="96"/>
      <c r="P65" s="96"/>
      <c r="Q65" s="97"/>
      <c r="R65" s="18"/>
      <c r="S65" s="18"/>
      <c r="T65" s="18"/>
      <c r="U65" s="18"/>
    </row>
    <row r="66" spans="1:21" ht="18" customHeight="1" x14ac:dyDescent="0.15">
      <c r="A66" s="3"/>
      <c r="B66" s="98"/>
      <c r="C66" s="99"/>
      <c r="D66" s="99"/>
      <c r="E66" s="99"/>
      <c r="F66" s="100"/>
      <c r="G66" s="19"/>
      <c r="H66" s="19"/>
      <c r="I66" s="20"/>
      <c r="J66" s="20"/>
      <c r="K66" s="98"/>
      <c r="L66" s="99"/>
      <c r="M66" s="99"/>
      <c r="N66" s="99"/>
      <c r="O66" s="99"/>
      <c r="P66" s="99"/>
      <c r="Q66" s="100"/>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6" t="s">
        <v>105</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x14ac:dyDescent="0.15">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x14ac:dyDescent="0.15">
      <c r="B70" s="92" t="s">
        <v>51</v>
      </c>
      <c r="C70" s="93"/>
      <c r="D70" s="93"/>
      <c r="E70" s="93"/>
      <c r="F70" s="50" t="s">
        <v>77</v>
      </c>
      <c r="G70" s="49" t="s">
        <v>80</v>
      </c>
      <c r="H70" s="16" t="s">
        <v>92</v>
      </c>
      <c r="I70" s="16" t="s">
        <v>72</v>
      </c>
      <c r="J70" s="16" t="s">
        <v>73</v>
      </c>
      <c r="K70" s="92" t="s">
        <v>51</v>
      </c>
      <c r="L70" s="93"/>
      <c r="M70" s="93"/>
      <c r="N70" s="93"/>
      <c r="O70" s="93"/>
      <c r="P70" s="94"/>
      <c r="Q70" s="50" t="s">
        <v>77</v>
      </c>
      <c r="R70" s="49" t="s">
        <v>80</v>
      </c>
      <c r="S70" s="16" t="s">
        <v>92</v>
      </c>
      <c r="T70" s="16" t="s">
        <v>72</v>
      </c>
      <c r="U70" s="16" t="s">
        <v>73</v>
      </c>
    </row>
    <row r="71" spans="1:21" ht="18" customHeight="1" x14ac:dyDescent="0.15">
      <c r="A71" s="3"/>
      <c r="B71" s="103" t="s">
        <v>155</v>
      </c>
      <c r="C71" s="104"/>
      <c r="D71" s="104"/>
      <c r="E71" s="104"/>
      <c r="F71" s="17">
        <v>2</v>
      </c>
      <c r="G71" s="17" t="s">
        <v>139</v>
      </c>
      <c r="H71" s="17" t="s">
        <v>139</v>
      </c>
      <c r="I71" s="17" t="s">
        <v>139</v>
      </c>
      <c r="J71" s="17" t="s">
        <v>139</v>
      </c>
      <c r="K71" s="103"/>
      <c r="L71" s="104"/>
      <c r="M71" s="104"/>
      <c r="N71" s="104"/>
      <c r="O71" s="104"/>
      <c r="P71" s="105"/>
      <c r="Q71" s="17"/>
      <c r="R71" s="17"/>
      <c r="S71" s="17"/>
      <c r="T71" s="17"/>
      <c r="U71" s="17"/>
    </row>
    <row r="72" spans="1:21" ht="18" customHeight="1" x14ac:dyDescent="0.15">
      <c r="A72" s="3"/>
      <c r="B72" s="95"/>
      <c r="C72" s="96"/>
      <c r="D72" s="96"/>
      <c r="E72" s="96"/>
      <c r="F72" s="18"/>
      <c r="G72" s="18"/>
      <c r="H72" s="18"/>
      <c r="I72" s="18"/>
      <c r="J72" s="18"/>
      <c r="K72" s="95"/>
      <c r="L72" s="96"/>
      <c r="M72" s="96"/>
      <c r="N72" s="96"/>
      <c r="O72" s="96"/>
      <c r="P72" s="97"/>
      <c r="Q72" s="18"/>
      <c r="R72" s="18"/>
      <c r="S72" s="18"/>
      <c r="T72" s="18"/>
      <c r="U72" s="18"/>
    </row>
    <row r="73" spans="1:21" ht="18" customHeight="1" x14ac:dyDescent="0.15">
      <c r="A73" s="3"/>
      <c r="B73" s="95"/>
      <c r="C73" s="96"/>
      <c r="D73" s="96"/>
      <c r="E73" s="96"/>
      <c r="F73" s="18"/>
      <c r="G73" s="18"/>
      <c r="H73" s="18"/>
      <c r="I73" s="18"/>
      <c r="J73" s="18"/>
      <c r="K73" s="95"/>
      <c r="L73" s="96"/>
      <c r="M73" s="96"/>
      <c r="N73" s="96"/>
      <c r="O73" s="96"/>
      <c r="P73" s="97"/>
      <c r="Q73" s="18"/>
      <c r="R73" s="18"/>
      <c r="S73" s="18"/>
      <c r="T73" s="18"/>
      <c r="U73" s="18"/>
    </row>
    <row r="74" spans="1:21" ht="18" customHeight="1" x14ac:dyDescent="0.15">
      <c r="A74" s="3"/>
      <c r="B74" s="95"/>
      <c r="C74" s="96"/>
      <c r="D74" s="96"/>
      <c r="E74" s="96"/>
      <c r="F74" s="18"/>
      <c r="G74" s="18"/>
      <c r="H74" s="18"/>
      <c r="I74" s="18"/>
      <c r="J74" s="18"/>
      <c r="K74" s="95"/>
      <c r="L74" s="96"/>
      <c r="M74" s="96"/>
      <c r="N74" s="96"/>
      <c r="O74" s="96"/>
      <c r="P74" s="97"/>
      <c r="Q74" s="18"/>
      <c r="R74" s="18"/>
      <c r="S74" s="18"/>
      <c r="T74" s="18"/>
      <c r="U74" s="18"/>
    </row>
    <row r="75" spans="1:21" ht="18" customHeight="1" x14ac:dyDescent="0.15">
      <c r="A75" s="3"/>
      <c r="B75" s="95"/>
      <c r="C75" s="96"/>
      <c r="D75" s="96"/>
      <c r="E75" s="96"/>
      <c r="F75" s="18"/>
      <c r="G75" s="18"/>
      <c r="H75" s="18"/>
      <c r="I75" s="18"/>
      <c r="J75" s="18"/>
      <c r="K75" s="95"/>
      <c r="L75" s="96"/>
      <c r="M75" s="96"/>
      <c r="N75" s="96"/>
      <c r="O75" s="96"/>
      <c r="P75" s="97"/>
      <c r="Q75" s="18"/>
      <c r="R75" s="18"/>
      <c r="S75" s="18"/>
      <c r="T75" s="18"/>
      <c r="U75" s="18"/>
    </row>
    <row r="76" spans="1:21" ht="18" customHeight="1" x14ac:dyDescent="0.15">
      <c r="A76" s="3"/>
      <c r="B76" s="95"/>
      <c r="C76" s="96"/>
      <c r="D76" s="96"/>
      <c r="E76" s="96"/>
      <c r="F76" s="18"/>
      <c r="G76" s="18"/>
      <c r="H76" s="18"/>
      <c r="I76" s="18"/>
      <c r="J76" s="18"/>
      <c r="K76" s="95"/>
      <c r="L76" s="96"/>
      <c r="M76" s="96"/>
      <c r="N76" s="96"/>
      <c r="O76" s="96"/>
      <c r="P76" s="97"/>
      <c r="Q76" s="18"/>
      <c r="R76" s="18"/>
      <c r="S76" s="18"/>
      <c r="T76" s="18"/>
      <c r="U76" s="18"/>
    </row>
    <row r="77" spans="1:21" ht="18" customHeight="1" x14ac:dyDescent="0.15">
      <c r="A77" s="3"/>
      <c r="B77" s="98"/>
      <c r="C77" s="99"/>
      <c r="D77" s="99"/>
      <c r="E77" s="99"/>
      <c r="F77" s="19"/>
      <c r="G77" s="19"/>
      <c r="H77" s="20"/>
      <c r="I77" s="20"/>
      <c r="J77" s="20"/>
      <c r="K77" s="98"/>
      <c r="L77" s="99"/>
      <c r="M77" s="99"/>
      <c r="N77" s="99"/>
      <c r="O77" s="99"/>
      <c r="P77" s="100"/>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2" t="s">
        <v>51</v>
      </c>
      <c r="C80" s="93"/>
      <c r="D80" s="93"/>
      <c r="E80" s="93"/>
      <c r="F80" s="94"/>
      <c r="G80" s="92" t="s">
        <v>78</v>
      </c>
      <c r="H80" s="93"/>
      <c r="I80" s="93"/>
      <c r="J80" s="94"/>
      <c r="K80" s="112" t="s">
        <v>51</v>
      </c>
      <c r="L80" s="113"/>
      <c r="M80" s="113"/>
      <c r="N80" s="113"/>
      <c r="O80" s="113"/>
      <c r="P80" s="113"/>
      <c r="Q80" s="114"/>
      <c r="R80" s="92" t="s">
        <v>78</v>
      </c>
      <c r="S80" s="93"/>
      <c r="T80" s="93"/>
      <c r="U80" s="94"/>
    </row>
    <row r="81" spans="1:21" ht="18" customHeight="1" x14ac:dyDescent="0.15">
      <c r="A81" s="3"/>
      <c r="B81" s="103"/>
      <c r="C81" s="104"/>
      <c r="D81" s="104"/>
      <c r="E81" s="104"/>
      <c r="F81" s="105"/>
      <c r="G81" s="107"/>
      <c r="H81" s="108"/>
      <c r="I81" s="108"/>
      <c r="J81" s="109"/>
      <c r="K81" s="103"/>
      <c r="L81" s="104"/>
      <c r="M81" s="104"/>
      <c r="N81" s="104"/>
      <c r="O81" s="104"/>
      <c r="P81" s="104"/>
      <c r="Q81" s="105"/>
      <c r="R81" s="107"/>
      <c r="S81" s="108"/>
      <c r="T81" s="108"/>
      <c r="U81" s="109"/>
    </row>
    <row r="82" spans="1:21" ht="18" customHeight="1" x14ac:dyDescent="0.15">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15">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15">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15">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15">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15">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107</v>
      </c>
    </row>
    <row r="90" spans="1:21" ht="18.75" customHeight="1" x14ac:dyDescent="0.15">
      <c r="B90" s="133" t="s">
        <v>52</v>
      </c>
      <c r="C90" s="134"/>
      <c r="D90" s="92" t="s">
        <v>53</v>
      </c>
      <c r="E90" s="93"/>
      <c r="F90" s="93"/>
      <c r="G90" s="93"/>
      <c r="H90" s="93"/>
      <c r="I90" s="93"/>
      <c r="J90" s="93"/>
      <c r="K90" s="93"/>
      <c r="L90" s="93"/>
      <c r="M90" s="93"/>
      <c r="N90" s="93"/>
      <c r="O90" s="93"/>
      <c r="P90" s="93"/>
      <c r="Q90" s="93"/>
      <c r="R90" s="93"/>
      <c r="S90" s="93"/>
      <c r="T90" s="93"/>
      <c r="U90" s="94"/>
    </row>
    <row r="91" spans="1:21" ht="97.5" customHeight="1" x14ac:dyDescent="0.15">
      <c r="B91" s="110" t="s">
        <v>59</v>
      </c>
      <c r="C91" s="22" t="s">
        <v>54</v>
      </c>
      <c r="D91" s="143" t="s">
        <v>156</v>
      </c>
      <c r="E91" s="144"/>
      <c r="F91" s="144"/>
      <c r="G91" s="144"/>
      <c r="H91" s="144"/>
      <c r="I91" s="144"/>
      <c r="J91" s="144"/>
      <c r="K91" s="144"/>
      <c r="L91" s="144"/>
      <c r="M91" s="144"/>
      <c r="N91" s="144"/>
      <c r="O91" s="144"/>
      <c r="P91" s="144"/>
      <c r="Q91" s="144"/>
      <c r="R91" s="144"/>
      <c r="S91" s="144"/>
      <c r="T91" s="144"/>
      <c r="U91" s="145"/>
    </row>
    <row r="92" spans="1:21" ht="97.5" customHeight="1" x14ac:dyDescent="0.15">
      <c r="B92" s="115"/>
      <c r="C92" s="23" t="s">
        <v>74</v>
      </c>
      <c r="D92" s="140" t="s">
        <v>177</v>
      </c>
      <c r="E92" s="141"/>
      <c r="F92" s="141"/>
      <c r="G92" s="141"/>
      <c r="H92" s="141"/>
      <c r="I92" s="141"/>
      <c r="J92" s="141"/>
      <c r="K92" s="141"/>
      <c r="L92" s="141"/>
      <c r="M92" s="141"/>
      <c r="N92" s="141"/>
      <c r="O92" s="141"/>
      <c r="P92" s="141"/>
      <c r="Q92" s="141"/>
      <c r="R92" s="141"/>
      <c r="S92" s="141"/>
      <c r="T92" s="141"/>
      <c r="U92" s="142"/>
    </row>
    <row r="93" spans="1:21" ht="97.5" customHeight="1" x14ac:dyDescent="0.15">
      <c r="B93" s="110" t="s">
        <v>60</v>
      </c>
      <c r="C93" s="24" t="s">
        <v>68</v>
      </c>
      <c r="D93" s="143" t="s">
        <v>184</v>
      </c>
      <c r="E93" s="144"/>
      <c r="F93" s="144"/>
      <c r="G93" s="144"/>
      <c r="H93" s="144"/>
      <c r="I93" s="144"/>
      <c r="J93" s="144"/>
      <c r="K93" s="144"/>
      <c r="L93" s="144"/>
      <c r="M93" s="144"/>
      <c r="N93" s="144"/>
      <c r="O93" s="144"/>
      <c r="P93" s="144"/>
      <c r="Q93" s="144"/>
      <c r="R93" s="144"/>
      <c r="S93" s="144"/>
      <c r="T93" s="144"/>
      <c r="U93" s="145"/>
    </row>
    <row r="94" spans="1:21" ht="97.5" customHeight="1" x14ac:dyDescent="0.15">
      <c r="B94" s="111"/>
      <c r="C94" s="25" t="s">
        <v>69</v>
      </c>
      <c r="D94" s="140" t="s">
        <v>178</v>
      </c>
      <c r="E94" s="141"/>
      <c r="F94" s="141"/>
      <c r="G94" s="141"/>
      <c r="H94" s="141"/>
      <c r="I94" s="141"/>
      <c r="J94" s="141"/>
      <c r="K94" s="141"/>
      <c r="L94" s="141"/>
      <c r="M94" s="141"/>
      <c r="N94" s="141"/>
      <c r="O94" s="141"/>
      <c r="P94" s="141"/>
      <c r="Q94" s="141"/>
      <c r="R94" s="141"/>
      <c r="S94" s="141"/>
      <c r="T94" s="141"/>
      <c r="U94" s="142"/>
    </row>
    <row r="95" spans="1:21" ht="97.5" customHeight="1" x14ac:dyDescent="0.15">
      <c r="B95" s="110" t="s">
        <v>61</v>
      </c>
      <c r="C95" s="24" t="s">
        <v>70</v>
      </c>
      <c r="D95" s="143" t="s">
        <v>179</v>
      </c>
      <c r="E95" s="144"/>
      <c r="F95" s="144"/>
      <c r="G95" s="144"/>
      <c r="H95" s="144"/>
      <c r="I95" s="144"/>
      <c r="J95" s="144"/>
      <c r="K95" s="144"/>
      <c r="L95" s="144"/>
      <c r="M95" s="144"/>
      <c r="N95" s="144"/>
      <c r="O95" s="144"/>
      <c r="P95" s="144"/>
      <c r="Q95" s="144"/>
      <c r="R95" s="144"/>
      <c r="S95" s="144"/>
      <c r="T95" s="144"/>
      <c r="U95" s="145"/>
    </row>
    <row r="96" spans="1:21" ht="97.5" customHeight="1" x14ac:dyDescent="0.15">
      <c r="B96" s="111"/>
      <c r="C96" s="26" t="s">
        <v>71</v>
      </c>
      <c r="D96" s="140" t="s">
        <v>180</v>
      </c>
      <c r="E96" s="141"/>
      <c r="F96" s="141"/>
      <c r="G96" s="141"/>
      <c r="H96" s="141"/>
      <c r="I96" s="141"/>
      <c r="J96" s="141"/>
      <c r="K96" s="141"/>
      <c r="L96" s="141"/>
      <c r="M96" s="141"/>
      <c r="N96" s="141"/>
      <c r="O96" s="141"/>
      <c r="P96" s="141"/>
      <c r="Q96" s="141"/>
      <c r="R96" s="141"/>
      <c r="S96" s="141"/>
      <c r="T96" s="141"/>
      <c r="U96" s="142"/>
    </row>
    <row r="97" spans="1:33" ht="97.5" customHeight="1" x14ac:dyDescent="0.15">
      <c r="B97" s="110" t="s">
        <v>75</v>
      </c>
      <c r="C97" s="22" t="s">
        <v>56</v>
      </c>
      <c r="D97" s="143" t="s">
        <v>181</v>
      </c>
      <c r="E97" s="144"/>
      <c r="F97" s="144"/>
      <c r="G97" s="144"/>
      <c r="H97" s="144"/>
      <c r="I97" s="144"/>
      <c r="J97" s="144"/>
      <c r="K97" s="144"/>
      <c r="L97" s="144"/>
      <c r="M97" s="144"/>
      <c r="N97" s="144"/>
      <c r="O97" s="144"/>
      <c r="P97" s="144"/>
      <c r="Q97" s="144"/>
      <c r="R97" s="144"/>
      <c r="S97" s="144"/>
      <c r="T97" s="144"/>
      <c r="U97" s="145"/>
    </row>
    <row r="98" spans="1:33" ht="97.5" customHeight="1" x14ac:dyDescent="0.15">
      <c r="B98" s="111"/>
      <c r="C98" s="25" t="s">
        <v>58</v>
      </c>
      <c r="D98" s="140" t="s">
        <v>157</v>
      </c>
      <c r="E98" s="141"/>
      <c r="F98" s="141"/>
      <c r="G98" s="141"/>
      <c r="H98" s="141"/>
      <c r="I98" s="141"/>
      <c r="J98" s="141"/>
      <c r="K98" s="141"/>
      <c r="L98" s="141"/>
      <c r="M98" s="141"/>
      <c r="N98" s="141"/>
      <c r="O98" s="141"/>
      <c r="P98" s="141"/>
      <c r="Q98" s="141"/>
      <c r="R98" s="141"/>
      <c r="S98" s="141"/>
      <c r="T98" s="141"/>
      <c r="U98" s="142"/>
    </row>
    <row r="99" spans="1:33" ht="97.5" customHeight="1" x14ac:dyDescent="0.15">
      <c r="B99" s="110" t="s">
        <v>76</v>
      </c>
      <c r="C99" s="24" t="s">
        <v>55</v>
      </c>
      <c r="D99" s="143" t="s">
        <v>187</v>
      </c>
      <c r="E99" s="161"/>
      <c r="F99" s="161"/>
      <c r="G99" s="161"/>
      <c r="H99" s="161"/>
      <c r="I99" s="161"/>
      <c r="J99" s="161"/>
      <c r="K99" s="161"/>
      <c r="L99" s="161"/>
      <c r="M99" s="161"/>
      <c r="N99" s="161"/>
      <c r="O99" s="161"/>
      <c r="P99" s="161"/>
      <c r="Q99" s="161"/>
      <c r="R99" s="161"/>
      <c r="S99" s="161"/>
      <c r="T99" s="161"/>
      <c r="U99" s="162"/>
    </row>
    <row r="100" spans="1:33" ht="97.5" customHeight="1" x14ac:dyDescent="0.15">
      <c r="B100" s="115"/>
      <c r="C100" s="27" t="s">
        <v>72</v>
      </c>
      <c r="D100" s="146" t="s">
        <v>159</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11"/>
      <c r="C101" s="26" t="s">
        <v>73</v>
      </c>
      <c r="D101" s="140" t="s">
        <v>188</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15"/>
    <row r="103" spans="1:33" ht="18.75" customHeight="1" x14ac:dyDescent="0.15">
      <c r="A103" s="1" t="s">
        <v>108</v>
      </c>
    </row>
    <row r="104" spans="1:33" ht="81.75" customHeight="1" x14ac:dyDescent="0.15">
      <c r="B104" s="127" t="s">
        <v>168</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x14ac:dyDescent="0.15">
      <c r="A106" s="72" t="s">
        <v>124</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126</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39" t="s">
        <v>130</v>
      </c>
      <c r="C108" s="139"/>
      <c r="D108" s="139"/>
      <c r="E108" s="139"/>
      <c r="F108" s="139"/>
      <c r="G108" s="139"/>
      <c r="H108" s="139"/>
      <c r="I108" s="139"/>
      <c r="J108" s="139"/>
      <c r="K108" s="139"/>
      <c r="L108" s="139"/>
      <c r="M108" s="139"/>
      <c r="N108" s="139"/>
      <c r="O108" s="139"/>
      <c r="P108" s="139"/>
      <c r="Q108" s="139"/>
      <c r="R108" s="139"/>
      <c r="S108" s="139"/>
      <c r="T108" s="139"/>
      <c r="U108" s="139"/>
      <c r="V108" s="66"/>
      <c r="W108" s="66"/>
      <c r="X108" s="66"/>
      <c r="Y108" s="66"/>
      <c r="Z108" s="66"/>
      <c r="AA108" s="66"/>
      <c r="AB108" s="66"/>
      <c r="AC108" s="66"/>
      <c r="AD108" s="66"/>
      <c r="AE108" s="66"/>
      <c r="AF108" s="66"/>
      <c r="AG108" s="66"/>
    </row>
    <row r="109" spans="1:33" ht="37.15" customHeight="1" x14ac:dyDescent="0.15">
      <c r="A109" s="72"/>
      <c r="B109" s="139"/>
      <c r="C109" s="139"/>
      <c r="D109" s="139"/>
      <c r="E109" s="139"/>
      <c r="F109" s="139"/>
      <c r="G109" s="139"/>
      <c r="H109" s="139"/>
      <c r="I109" s="139"/>
      <c r="J109" s="139"/>
      <c r="K109" s="139"/>
      <c r="L109" s="139"/>
      <c r="M109" s="139"/>
      <c r="N109" s="139"/>
      <c r="O109" s="139"/>
      <c r="P109" s="139"/>
      <c r="Q109" s="139"/>
      <c r="R109" s="139"/>
      <c r="S109" s="139"/>
      <c r="T109" s="139"/>
      <c r="U109" s="139"/>
      <c r="V109" s="66"/>
      <c r="W109" s="66"/>
      <c r="X109" s="66"/>
      <c r="Y109" s="66"/>
      <c r="Z109" s="66"/>
      <c r="AA109" s="66"/>
      <c r="AB109" s="66"/>
      <c r="AC109" s="66"/>
      <c r="AD109" s="66"/>
      <c r="AE109" s="66"/>
      <c r="AF109" s="66"/>
      <c r="AG109" s="66"/>
    </row>
    <row r="110" spans="1:33" ht="18.75" customHeight="1" x14ac:dyDescent="0.15">
      <c r="A110" s="72"/>
      <c r="B110" s="88" t="s">
        <v>125</v>
      </c>
      <c r="C110" s="88"/>
      <c r="D110" s="88"/>
      <c r="E110" s="88"/>
      <c r="F110" s="88"/>
      <c r="G110" s="88"/>
      <c r="H110" s="88"/>
      <c r="I110" s="88"/>
      <c r="J110" s="88"/>
      <c r="K110" s="88"/>
      <c r="L110" s="88"/>
      <c r="M110" s="88"/>
      <c r="N110" s="88"/>
      <c r="O110" s="88"/>
      <c r="P110" s="88"/>
      <c r="Q110" s="88"/>
      <c r="R110" s="88"/>
      <c r="S110" s="88"/>
      <c r="T110" s="88"/>
      <c r="U110" s="88"/>
      <c r="V110" s="66"/>
      <c r="W110" s="66"/>
      <c r="X110" s="66"/>
      <c r="Y110" s="66"/>
      <c r="Z110" s="66"/>
      <c r="AA110" s="66"/>
      <c r="AB110" s="66"/>
      <c r="AC110" s="66"/>
      <c r="AD110" s="66"/>
      <c r="AE110" s="66"/>
      <c r="AF110" s="66"/>
      <c r="AG110" s="66"/>
    </row>
    <row r="111" spans="1:33" ht="18.75" customHeight="1" x14ac:dyDescent="0.15">
      <c r="A111" s="72"/>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5"/>
      <c r="W111" s="65"/>
      <c r="X111" s="65"/>
      <c r="Y111" s="65"/>
      <c r="Z111" s="65"/>
      <c r="AA111" s="65"/>
      <c r="AB111" s="65"/>
      <c r="AC111" s="65"/>
      <c r="AD111" s="65"/>
      <c r="AE111" s="65"/>
      <c r="AF111" s="65"/>
      <c r="AG111" s="65"/>
    </row>
    <row r="112" spans="1:33" ht="132" customHeight="1" x14ac:dyDescent="0.15">
      <c r="A112" s="72"/>
      <c r="B112" s="102"/>
      <c r="C112" s="102"/>
      <c r="D112" s="102"/>
      <c r="E112" s="102"/>
      <c r="F112" s="102"/>
      <c r="G112" s="102"/>
      <c r="H112" s="102"/>
      <c r="I112" s="102"/>
      <c r="J112" s="102"/>
      <c r="K112" s="102"/>
      <c r="L112" s="102"/>
      <c r="M112" s="102"/>
      <c r="N112" s="102"/>
      <c r="O112" s="102"/>
      <c r="P112" s="102"/>
      <c r="Q112" s="102"/>
      <c r="R112" s="102"/>
      <c r="S112" s="102"/>
      <c r="T112" s="102"/>
      <c r="U112" s="102"/>
      <c r="V112" s="67"/>
      <c r="W112" s="67"/>
      <c r="X112" s="67"/>
      <c r="Y112" s="67"/>
      <c r="Z112" s="67"/>
      <c r="AA112" s="67"/>
      <c r="AB112" s="67"/>
      <c r="AC112" s="67"/>
      <c r="AD112" s="67"/>
      <c r="AE112" s="67"/>
      <c r="AF112" s="67"/>
      <c r="AG112" s="67"/>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topLeftCell="A4" zoomScaleNormal="100" zoomScaleSheetLayoutView="100" workbookViewId="0">
      <selection activeCell="H20" sqref="H20"/>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3"/>
      <c r="B1" s="73"/>
      <c r="C1" s="73"/>
      <c r="D1" s="73"/>
      <c r="E1" s="73"/>
      <c r="F1" s="73"/>
      <c r="G1" s="73"/>
      <c r="H1" s="73"/>
      <c r="I1" s="73"/>
      <c r="J1" s="73"/>
      <c r="K1" s="73"/>
      <c r="L1" s="73"/>
      <c r="M1" s="73"/>
      <c r="N1" s="73"/>
      <c r="O1" s="73"/>
      <c r="P1" s="73"/>
      <c r="Q1" s="73"/>
      <c r="R1" s="73"/>
      <c r="S1" s="73" t="s">
        <v>97</v>
      </c>
    </row>
    <row r="2" spans="1:21" ht="18" customHeight="1" x14ac:dyDescent="0.15">
      <c r="A2" s="73"/>
      <c r="B2" s="73"/>
      <c r="C2" s="73"/>
      <c r="D2" s="73"/>
      <c r="E2" s="73"/>
      <c r="F2" s="73"/>
      <c r="G2" s="73"/>
      <c r="H2" s="73"/>
      <c r="I2" s="73"/>
      <c r="J2" s="73"/>
      <c r="K2" s="73"/>
      <c r="L2" s="73"/>
      <c r="M2" s="73"/>
      <c r="N2" s="73"/>
      <c r="O2" s="73"/>
      <c r="P2" s="73"/>
      <c r="Q2" s="164" t="str">
        <f>'様式１-１　プログラムを構成する授業科目'!C2</f>
        <v>大妻女子大学</v>
      </c>
      <c r="R2" s="164"/>
      <c r="S2" s="164"/>
    </row>
    <row r="3" spans="1:21" ht="18" customHeight="1" x14ac:dyDescent="0.15">
      <c r="A3" s="116" t="s">
        <v>46</v>
      </c>
      <c r="B3" s="116"/>
      <c r="C3" s="116"/>
      <c r="D3" s="116"/>
      <c r="E3" s="116"/>
      <c r="F3" s="116"/>
      <c r="G3" s="116"/>
      <c r="H3" s="116"/>
      <c r="I3" s="116"/>
      <c r="J3" s="116"/>
      <c r="K3" s="116"/>
      <c r="L3" s="116"/>
      <c r="M3" s="116"/>
      <c r="N3" s="116"/>
      <c r="O3" s="116"/>
      <c r="P3" s="116"/>
      <c r="Q3" s="116"/>
      <c r="R3" s="116"/>
      <c r="S3" s="116"/>
    </row>
    <row r="4" spans="1:21" ht="7.5" customHeight="1" x14ac:dyDescent="0.15">
      <c r="A4" s="78"/>
      <c r="B4" s="78"/>
      <c r="C4" s="78"/>
      <c r="D4" s="78"/>
      <c r="E4" s="78"/>
      <c r="F4" s="78"/>
      <c r="G4" s="78"/>
      <c r="H4" s="78"/>
      <c r="I4" s="78"/>
      <c r="J4" s="78"/>
      <c r="K4" s="78"/>
      <c r="L4" s="78"/>
      <c r="M4" s="78"/>
      <c r="N4" s="78"/>
      <c r="O4" s="78"/>
      <c r="P4" s="78"/>
      <c r="Q4" s="78"/>
      <c r="R4" s="78"/>
      <c r="S4" s="78"/>
    </row>
    <row r="5" spans="1:21" ht="18" customHeight="1" x14ac:dyDescent="0.15">
      <c r="A5" s="73" t="s">
        <v>79</v>
      </c>
      <c r="B5" s="73"/>
      <c r="C5" s="165" t="s">
        <v>142</v>
      </c>
      <c r="D5" s="166"/>
      <c r="E5" s="78" t="s">
        <v>50</v>
      </c>
      <c r="F5" s="78"/>
      <c r="G5" s="78"/>
      <c r="H5" s="78"/>
      <c r="I5" s="78"/>
      <c r="J5" s="78"/>
      <c r="K5" s="78"/>
      <c r="L5" s="78"/>
      <c r="M5" s="78"/>
      <c r="N5" s="78"/>
      <c r="O5" s="78"/>
      <c r="P5" s="78"/>
      <c r="Q5" s="78"/>
      <c r="R5" s="76"/>
      <c r="S5" s="76"/>
    </row>
    <row r="6" spans="1:21" ht="7.15" customHeight="1" x14ac:dyDescent="0.15">
      <c r="A6" s="73"/>
      <c r="B6" s="73"/>
      <c r="C6" s="83"/>
      <c r="D6" s="83"/>
      <c r="E6" s="78"/>
      <c r="F6" s="78"/>
      <c r="G6" s="78"/>
      <c r="H6" s="78"/>
      <c r="I6" s="78"/>
      <c r="J6" s="78"/>
      <c r="K6" s="78"/>
      <c r="L6" s="78"/>
      <c r="M6" s="78"/>
      <c r="N6" s="78"/>
      <c r="O6" s="78"/>
      <c r="P6" s="78"/>
      <c r="Q6" s="78"/>
      <c r="R6" s="76"/>
      <c r="S6" s="76"/>
    </row>
    <row r="7" spans="1:21" ht="18" customHeight="1" x14ac:dyDescent="0.15">
      <c r="A7" s="73" t="s">
        <v>117</v>
      </c>
      <c r="B7" s="73"/>
      <c r="C7" s="83"/>
      <c r="D7" s="83"/>
      <c r="E7" s="78" t="s">
        <v>118</v>
      </c>
      <c r="F7" s="81">
        <v>0</v>
      </c>
      <c r="G7" s="79" t="s">
        <v>119</v>
      </c>
      <c r="H7" s="78" t="s">
        <v>120</v>
      </c>
      <c r="I7" s="81">
        <v>6650</v>
      </c>
      <c r="J7" s="79" t="s">
        <v>119</v>
      </c>
      <c r="K7" s="75" t="s">
        <v>121</v>
      </c>
      <c r="L7" s="78" t="s">
        <v>122</v>
      </c>
      <c r="M7" s="81">
        <f>F7+I7</f>
        <v>6650</v>
      </c>
      <c r="N7" s="78" t="s">
        <v>1</v>
      </c>
      <c r="O7" s="79" t="s">
        <v>123</v>
      </c>
      <c r="P7" s="78"/>
      <c r="Q7" s="78"/>
      <c r="R7" s="76"/>
      <c r="S7" s="76"/>
    </row>
    <row r="8" spans="1:21" ht="6" customHeight="1" x14ac:dyDescent="0.15">
      <c r="A8" s="78"/>
      <c r="B8" s="78"/>
      <c r="C8" s="78"/>
      <c r="D8" s="78"/>
      <c r="E8" s="78"/>
      <c r="F8" s="78"/>
      <c r="G8" s="78"/>
      <c r="H8" s="78"/>
      <c r="I8" s="78"/>
      <c r="J8" s="78"/>
      <c r="K8" s="78"/>
      <c r="L8" s="78"/>
      <c r="M8" s="78"/>
      <c r="N8" s="78"/>
      <c r="O8" s="78"/>
      <c r="P8" s="78"/>
      <c r="Q8" s="78"/>
      <c r="R8" s="78"/>
      <c r="S8" s="78"/>
    </row>
    <row r="9" spans="1:21" ht="18" customHeight="1" x14ac:dyDescent="0.15">
      <c r="A9" s="73" t="s">
        <v>134</v>
      </c>
      <c r="B9" s="78"/>
      <c r="C9" s="78"/>
      <c r="D9" s="78"/>
      <c r="E9" s="78"/>
      <c r="F9" s="78"/>
      <c r="G9" s="78"/>
      <c r="H9" s="78"/>
      <c r="I9" s="78"/>
      <c r="J9" s="78"/>
      <c r="K9" s="78"/>
      <c r="L9" s="78"/>
      <c r="M9" s="78"/>
      <c r="N9" s="78"/>
      <c r="O9" s="78"/>
      <c r="P9" s="78"/>
      <c r="Q9" s="78"/>
      <c r="R9" s="78"/>
      <c r="S9" s="78"/>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7" t="s">
        <v>43</v>
      </c>
      <c r="C11" s="177" t="s">
        <v>82</v>
      </c>
      <c r="D11" s="169" t="s">
        <v>45</v>
      </c>
      <c r="E11" s="171" t="s">
        <v>38</v>
      </c>
      <c r="F11" s="163" t="s">
        <v>111</v>
      </c>
      <c r="G11" s="163"/>
      <c r="H11" s="163" t="s">
        <v>81</v>
      </c>
      <c r="I11" s="163"/>
      <c r="J11" s="163" t="s">
        <v>47</v>
      </c>
      <c r="K11" s="163"/>
      <c r="L11" s="163" t="s">
        <v>48</v>
      </c>
      <c r="M11" s="163"/>
      <c r="N11" s="163" t="s">
        <v>91</v>
      </c>
      <c r="O11" s="163"/>
      <c r="P11" s="163" t="s">
        <v>49</v>
      </c>
      <c r="Q11" s="163"/>
      <c r="R11" s="173" t="s">
        <v>34</v>
      </c>
      <c r="S11" s="175" t="s">
        <v>31</v>
      </c>
      <c r="U11" s="2"/>
    </row>
    <row r="12" spans="1:21" ht="16.899999999999999" customHeight="1" x14ac:dyDescent="0.15">
      <c r="B12" s="168"/>
      <c r="C12" s="178"/>
      <c r="D12" s="170"/>
      <c r="E12" s="172"/>
      <c r="F12" s="62" t="s">
        <v>90</v>
      </c>
      <c r="G12" s="62" t="s">
        <v>28</v>
      </c>
      <c r="H12" s="62" t="s">
        <v>90</v>
      </c>
      <c r="I12" s="62" t="s">
        <v>28</v>
      </c>
      <c r="J12" s="62" t="s">
        <v>90</v>
      </c>
      <c r="K12" s="62" t="s">
        <v>28</v>
      </c>
      <c r="L12" s="62" t="s">
        <v>90</v>
      </c>
      <c r="M12" s="62" t="s">
        <v>28</v>
      </c>
      <c r="N12" s="62" t="s">
        <v>90</v>
      </c>
      <c r="O12" s="62" t="s">
        <v>28</v>
      </c>
      <c r="P12" s="62" t="s">
        <v>90</v>
      </c>
      <c r="Q12" s="63" t="s">
        <v>28</v>
      </c>
      <c r="R12" s="174"/>
      <c r="S12" s="176"/>
      <c r="U12" s="2"/>
    </row>
    <row r="13" spans="1:21" ht="18" customHeight="1" x14ac:dyDescent="0.15">
      <c r="A13" s="6"/>
      <c r="B13" s="84" t="s">
        <v>143</v>
      </c>
      <c r="C13" s="51">
        <v>2072</v>
      </c>
      <c r="D13" s="6">
        <v>490</v>
      </c>
      <c r="E13" s="85">
        <v>1998</v>
      </c>
      <c r="F13" s="52">
        <v>13</v>
      </c>
      <c r="G13" s="52">
        <v>8</v>
      </c>
      <c r="H13" s="52">
        <v>0</v>
      </c>
      <c r="I13" s="52">
        <v>0</v>
      </c>
      <c r="J13" s="52">
        <v>0</v>
      </c>
      <c r="K13" s="52">
        <v>0</v>
      </c>
      <c r="L13" s="52">
        <v>0</v>
      </c>
      <c r="M13" s="52">
        <v>0</v>
      </c>
      <c r="N13" s="52">
        <v>0</v>
      </c>
      <c r="O13" s="52">
        <v>0</v>
      </c>
      <c r="P13" s="52">
        <v>0</v>
      </c>
      <c r="Q13" s="52">
        <v>0</v>
      </c>
      <c r="R13" s="86">
        <f t="shared" ref="R13:R32" si="0">F13+H13+J13+L13+N13+P13</f>
        <v>13</v>
      </c>
      <c r="S13" s="87">
        <f t="shared" ref="S13:S33" si="1">R13/E13</f>
        <v>6.5065065065065065E-3</v>
      </c>
    </row>
    <row r="14" spans="1:21" ht="18" customHeight="1" x14ac:dyDescent="0.15">
      <c r="A14" s="6"/>
      <c r="B14" s="11" t="s">
        <v>144</v>
      </c>
      <c r="C14" s="53">
        <v>1512</v>
      </c>
      <c r="D14" s="71">
        <v>360</v>
      </c>
      <c r="E14" s="70">
        <v>1482</v>
      </c>
      <c r="F14" s="56">
        <v>1</v>
      </c>
      <c r="G14" s="56">
        <v>0</v>
      </c>
      <c r="H14" s="56">
        <v>0</v>
      </c>
      <c r="I14" s="56">
        <v>0</v>
      </c>
      <c r="J14" s="56">
        <v>0</v>
      </c>
      <c r="K14" s="56">
        <v>0</v>
      </c>
      <c r="L14" s="56">
        <v>0</v>
      </c>
      <c r="M14" s="56">
        <v>0</v>
      </c>
      <c r="N14" s="56">
        <v>0</v>
      </c>
      <c r="O14" s="56">
        <v>0</v>
      </c>
      <c r="P14" s="56">
        <v>0</v>
      </c>
      <c r="Q14" s="55">
        <v>0</v>
      </c>
      <c r="R14" s="53">
        <f t="shared" si="0"/>
        <v>1</v>
      </c>
      <c r="S14" s="8">
        <f t="shared" si="1"/>
        <v>6.7476383265856947E-4</v>
      </c>
    </row>
    <row r="15" spans="1:21" ht="18" customHeight="1" x14ac:dyDescent="0.15">
      <c r="A15" s="6"/>
      <c r="B15" s="11" t="s">
        <v>145</v>
      </c>
      <c r="C15" s="53">
        <v>1259</v>
      </c>
      <c r="D15" s="71">
        <v>300</v>
      </c>
      <c r="E15" s="70">
        <v>1230</v>
      </c>
      <c r="F15" s="56">
        <v>87</v>
      </c>
      <c r="G15" s="56">
        <v>78</v>
      </c>
      <c r="H15" s="56">
        <v>0</v>
      </c>
      <c r="I15" s="56">
        <v>0</v>
      </c>
      <c r="J15" s="56">
        <v>0</v>
      </c>
      <c r="K15" s="56">
        <v>0</v>
      </c>
      <c r="L15" s="56">
        <v>0</v>
      </c>
      <c r="M15" s="56">
        <v>0</v>
      </c>
      <c r="N15" s="56">
        <v>0</v>
      </c>
      <c r="O15" s="56">
        <v>0</v>
      </c>
      <c r="P15" s="56">
        <v>0</v>
      </c>
      <c r="Q15" s="55">
        <v>0</v>
      </c>
      <c r="R15" s="53">
        <f t="shared" si="0"/>
        <v>87</v>
      </c>
      <c r="S15" s="8">
        <f t="shared" si="1"/>
        <v>7.0731707317073164E-2</v>
      </c>
    </row>
    <row r="16" spans="1:21" ht="18" customHeight="1" x14ac:dyDescent="0.15">
      <c r="A16" s="6"/>
      <c r="B16" s="11" t="s">
        <v>146</v>
      </c>
      <c r="C16" s="53">
        <v>1111</v>
      </c>
      <c r="D16" s="71">
        <v>260</v>
      </c>
      <c r="E16" s="70">
        <v>1060</v>
      </c>
      <c r="F16" s="56">
        <v>19</v>
      </c>
      <c r="G16" s="56">
        <v>16</v>
      </c>
      <c r="H16" s="56">
        <v>0</v>
      </c>
      <c r="I16" s="56">
        <v>0</v>
      </c>
      <c r="J16" s="56">
        <v>0</v>
      </c>
      <c r="K16" s="56">
        <v>0</v>
      </c>
      <c r="L16" s="56">
        <v>0</v>
      </c>
      <c r="M16" s="56">
        <v>0</v>
      </c>
      <c r="N16" s="56">
        <v>0</v>
      </c>
      <c r="O16" s="56">
        <v>0</v>
      </c>
      <c r="P16" s="56">
        <v>0</v>
      </c>
      <c r="Q16" s="55">
        <v>0</v>
      </c>
      <c r="R16" s="53">
        <f t="shared" si="0"/>
        <v>19</v>
      </c>
      <c r="S16" s="8">
        <f t="shared" si="1"/>
        <v>1.7924528301886792E-2</v>
      </c>
    </row>
    <row r="17" spans="1:19" ht="18" customHeight="1" x14ac:dyDescent="0.15">
      <c r="A17" s="6"/>
      <c r="B17" s="11" t="s">
        <v>147</v>
      </c>
      <c r="C17" s="53">
        <v>696</v>
      </c>
      <c r="D17" s="71">
        <v>165</v>
      </c>
      <c r="E17" s="70">
        <v>670</v>
      </c>
      <c r="F17" s="56">
        <v>12</v>
      </c>
      <c r="G17" s="56">
        <v>11</v>
      </c>
      <c r="H17" s="56">
        <v>0</v>
      </c>
      <c r="I17" s="56">
        <v>0</v>
      </c>
      <c r="J17" s="56">
        <v>0</v>
      </c>
      <c r="K17" s="56">
        <v>0</v>
      </c>
      <c r="L17" s="56">
        <v>0</v>
      </c>
      <c r="M17" s="56">
        <v>0</v>
      </c>
      <c r="N17" s="56">
        <v>0</v>
      </c>
      <c r="O17" s="56">
        <v>0</v>
      </c>
      <c r="P17" s="56">
        <v>0</v>
      </c>
      <c r="Q17" s="55">
        <v>0</v>
      </c>
      <c r="R17" s="53">
        <f t="shared" si="0"/>
        <v>12</v>
      </c>
      <c r="S17" s="8">
        <f t="shared" si="1"/>
        <v>1.7910447761194031E-2</v>
      </c>
    </row>
    <row r="18" spans="1:19" ht="18" customHeight="1" x14ac:dyDescent="0.15">
      <c r="A18" s="6"/>
      <c r="B18" s="11"/>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15">
      <c r="A19" s="6"/>
      <c r="B19" s="11"/>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15">
      <c r="A20" s="6"/>
      <c r="B20" s="11"/>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15">
      <c r="A21" s="6"/>
      <c r="B21" s="11"/>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15">
      <c r="A22" s="6"/>
      <c r="B22" s="11"/>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15">
      <c r="A23" s="6"/>
      <c r="B23" s="11"/>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15">
      <c r="A24" s="6"/>
      <c r="B24" s="11"/>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15">
      <c r="A25" s="6"/>
      <c r="B25" s="11"/>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15">
      <c r="A26" s="6"/>
      <c r="B26" s="11"/>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15">
      <c r="A27" s="6"/>
      <c r="B27" s="11"/>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15">
      <c r="A28" s="6"/>
      <c r="B28" s="11"/>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15">
      <c r="A29" s="6"/>
      <c r="B29" s="11"/>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15">
      <c r="A30" s="6"/>
      <c r="B30" s="11"/>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15">
      <c r="A31" s="6"/>
      <c r="B31" s="11"/>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
      <c r="A32" s="6"/>
      <c r="B32" s="12"/>
      <c r="C32" s="51"/>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15">
      <c r="B33" s="13" t="s">
        <v>32</v>
      </c>
      <c r="C33" s="59">
        <f t="shared" ref="C33" si="2">SUM(C13:C32)</f>
        <v>6650</v>
      </c>
      <c r="D33" s="60">
        <f t="shared" ref="D33:R33" si="3">SUM(D13:D32)</f>
        <v>1575</v>
      </c>
      <c r="E33" s="61">
        <f t="shared" si="3"/>
        <v>6440</v>
      </c>
      <c r="F33" s="61">
        <f t="shared" si="3"/>
        <v>132</v>
      </c>
      <c r="G33" s="61">
        <f t="shared" ref="G33:H33" si="4">SUM(G13:G32)</f>
        <v>113</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132</v>
      </c>
      <c r="S33" s="9">
        <f t="shared" si="1"/>
        <v>2.0496894409937887E-2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zoomScale="70" zoomScaleNormal="100" zoomScaleSheetLayoutView="70" workbookViewId="0">
      <selection activeCell="B35" sqref="B35:I46"/>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62</v>
      </c>
      <c r="I1" s="29" t="s">
        <v>96</v>
      </c>
    </row>
    <row r="2" spans="1:9" ht="18.75" customHeight="1" x14ac:dyDescent="0.15">
      <c r="G2" s="29" t="s">
        <v>98</v>
      </c>
      <c r="H2" s="92" t="str">
        <f>'様式１-１　プログラムを構成する授業科目'!C2</f>
        <v>大妻女子大学</v>
      </c>
      <c r="I2" s="94"/>
    </row>
    <row r="3" spans="1:9" ht="18.75" customHeight="1" x14ac:dyDescent="0.15">
      <c r="G3" s="29"/>
      <c r="H3" s="10"/>
      <c r="I3" s="10"/>
    </row>
    <row r="4" spans="1:9" ht="18.600000000000001" customHeight="1" x14ac:dyDescent="0.15">
      <c r="A4" s="180" t="s">
        <v>35</v>
      </c>
      <c r="B4" s="180"/>
      <c r="C4" s="180"/>
      <c r="D4" s="180"/>
      <c r="E4" s="180"/>
      <c r="F4" s="180"/>
      <c r="G4" s="180"/>
      <c r="H4" s="180"/>
      <c r="I4" s="180"/>
    </row>
    <row r="5" spans="1:9" ht="13.15" customHeight="1" x14ac:dyDescent="0.15">
      <c r="B5" s="3"/>
      <c r="C5" s="3"/>
      <c r="D5" s="3"/>
      <c r="E5" s="3"/>
      <c r="F5" s="3"/>
      <c r="G5" s="3"/>
      <c r="H5" s="3"/>
      <c r="I5" s="3"/>
    </row>
    <row r="6" spans="1:9" ht="18" customHeight="1" x14ac:dyDescent="0.15">
      <c r="A6" s="1" t="s">
        <v>0</v>
      </c>
      <c r="B6" s="10" t="s">
        <v>85</v>
      </c>
      <c r="C6" s="200" t="s">
        <v>86</v>
      </c>
      <c r="D6" s="200"/>
      <c r="E6" s="28">
        <v>239</v>
      </c>
      <c r="F6" s="3" t="s">
        <v>1</v>
      </c>
      <c r="G6" s="3" t="s">
        <v>2</v>
      </c>
      <c r="H6" s="28">
        <v>499</v>
      </c>
      <c r="I6" s="10" t="s">
        <v>1</v>
      </c>
    </row>
    <row r="7" spans="1:9" ht="12" customHeight="1" x14ac:dyDescent="0.15">
      <c r="C7" s="2"/>
      <c r="D7" s="2"/>
      <c r="E7" s="2"/>
      <c r="F7" s="2"/>
      <c r="G7" s="2"/>
      <c r="H7" s="2"/>
      <c r="I7" s="32"/>
    </row>
    <row r="8" spans="1:9" ht="18" customHeight="1" x14ac:dyDescent="0.15">
      <c r="A8" s="1" t="s">
        <v>3</v>
      </c>
      <c r="B8" s="10" t="s">
        <v>87</v>
      </c>
      <c r="E8" s="3"/>
      <c r="F8" s="3"/>
      <c r="G8" s="3"/>
      <c r="H8" s="28">
        <v>23</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29" t="s">
        <v>41</v>
      </c>
      <c r="C11" s="195" t="s">
        <v>148</v>
      </c>
      <c r="D11" s="198"/>
      <c r="E11" s="199"/>
      <c r="F11" s="32"/>
      <c r="G11" s="29" t="s">
        <v>10</v>
      </c>
      <c r="H11" s="195" t="s">
        <v>149</v>
      </c>
      <c r="I11" s="199"/>
    </row>
    <row r="12" spans="1:9" ht="10.15" customHeight="1" x14ac:dyDescent="0.15">
      <c r="B12" s="29"/>
      <c r="C12" s="10"/>
      <c r="D12" s="32"/>
      <c r="E12" s="32"/>
      <c r="F12" s="32"/>
      <c r="G12" s="29"/>
      <c r="H12" s="10"/>
      <c r="I12" s="32"/>
    </row>
    <row r="13" spans="1:9" ht="18" customHeight="1" x14ac:dyDescent="0.15">
      <c r="A13" s="1" t="s">
        <v>7</v>
      </c>
      <c r="B13" s="10" t="s">
        <v>83</v>
      </c>
      <c r="C13" s="3"/>
      <c r="D13" s="3"/>
      <c r="E13" s="3"/>
      <c r="F13" s="3"/>
      <c r="G13" s="3"/>
      <c r="H13" s="3"/>
      <c r="I13" s="3"/>
    </row>
    <row r="14" spans="1:9" ht="18" customHeight="1" x14ac:dyDescent="0.15">
      <c r="B14" s="195" t="s">
        <v>151</v>
      </c>
      <c r="C14" s="196"/>
      <c r="D14" s="196"/>
      <c r="E14" s="196"/>
      <c r="F14" s="196"/>
      <c r="G14" s="196"/>
      <c r="H14" s="196"/>
      <c r="I14" s="197"/>
    </row>
    <row r="15" spans="1:9" ht="9" customHeight="1" x14ac:dyDescent="0.15">
      <c r="B15" s="3"/>
      <c r="C15" s="3"/>
      <c r="D15" s="3"/>
      <c r="E15" s="3"/>
      <c r="F15" s="3"/>
      <c r="G15" s="3"/>
      <c r="H15" s="3"/>
      <c r="I15" s="3"/>
    </row>
    <row r="16" spans="1:9" ht="18" customHeight="1" x14ac:dyDescent="0.15">
      <c r="B16" s="29" t="s">
        <v>41</v>
      </c>
      <c r="C16" s="195" t="s">
        <v>148</v>
      </c>
      <c r="D16" s="198"/>
      <c r="E16" s="199"/>
      <c r="F16" s="32"/>
      <c r="G16" s="29" t="s">
        <v>10</v>
      </c>
      <c r="H16" s="195" t="s">
        <v>150</v>
      </c>
      <c r="I16" s="199"/>
    </row>
    <row r="17" spans="1:11" ht="18" customHeight="1" x14ac:dyDescent="0.15">
      <c r="B17" s="3"/>
      <c r="C17" s="3"/>
      <c r="D17" s="3"/>
      <c r="E17" s="3"/>
      <c r="F17" s="3"/>
      <c r="G17" s="3"/>
      <c r="H17" s="3"/>
      <c r="I17" s="3"/>
    </row>
    <row r="18" spans="1:11" ht="18.75" customHeight="1" x14ac:dyDescent="0.15">
      <c r="A18" s="1" t="s">
        <v>5</v>
      </c>
      <c r="B18" s="1" t="s">
        <v>40</v>
      </c>
      <c r="I18" s="3"/>
    </row>
    <row r="19" spans="1:11" ht="18.75" customHeight="1" x14ac:dyDescent="0.15">
      <c r="A19" s="1"/>
      <c r="B19" s="181" t="s">
        <v>152</v>
      </c>
      <c r="C19" s="182"/>
      <c r="D19" s="182"/>
      <c r="E19" s="182"/>
      <c r="F19" s="182"/>
      <c r="G19" s="182"/>
      <c r="H19" s="182"/>
      <c r="I19" s="183"/>
    </row>
    <row r="20" spans="1:11" ht="7.5" customHeight="1" x14ac:dyDescent="0.15">
      <c r="B20" s="3"/>
      <c r="C20" s="3"/>
      <c r="D20" s="3"/>
      <c r="E20" s="3"/>
      <c r="F20" s="3"/>
      <c r="G20" s="3"/>
      <c r="H20" s="3"/>
      <c r="I20" s="3"/>
    </row>
    <row r="21" spans="1:11" ht="18.75" customHeight="1" x14ac:dyDescent="0.15">
      <c r="A21" s="1" t="s">
        <v>8</v>
      </c>
      <c r="B21" s="1" t="s">
        <v>24</v>
      </c>
    </row>
    <row r="22" spans="1:11" ht="18.75" customHeight="1" x14ac:dyDescent="0.15">
      <c r="A22" s="14"/>
      <c r="B22" s="184" t="s">
        <v>153</v>
      </c>
      <c r="C22" s="185"/>
      <c r="D22" s="185"/>
      <c r="E22" s="185"/>
      <c r="F22" s="185"/>
      <c r="G22" s="185"/>
      <c r="H22" s="185"/>
      <c r="I22" s="186"/>
    </row>
    <row r="23" spans="1:11" ht="18.75" customHeight="1" x14ac:dyDescent="0.15">
      <c r="A23" s="14"/>
      <c r="B23" s="187"/>
      <c r="C23" s="188"/>
      <c r="D23" s="188"/>
      <c r="E23" s="188"/>
      <c r="F23" s="188"/>
      <c r="G23" s="188"/>
      <c r="H23" s="188"/>
      <c r="I23" s="189"/>
    </row>
    <row r="24" spans="1:11" ht="18.75" customHeight="1" x14ac:dyDescent="0.15">
      <c r="A24" s="14"/>
      <c r="B24" s="187"/>
      <c r="C24" s="188"/>
      <c r="D24" s="188"/>
      <c r="E24" s="188"/>
      <c r="F24" s="188"/>
      <c r="G24" s="188"/>
      <c r="H24" s="188"/>
      <c r="I24" s="189"/>
    </row>
    <row r="25" spans="1:11" ht="18.75" customHeight="1" x14ac:dyDescent="0.15">
      <c r="A25" s="14"/>
      <c r="B25" s="187"/>
      <c r="C25" s="188"/>
      <c r="D25" s="188"/>
      <c r="E25" s="188"/>
      <c r="F25" s="188"/>
      <c r="G25" s="188"/>
      <c r="H25" s="188"/>
      <c r="I25" s="189"/>
    </row>
    <row r="26" spans="1:11" ht="18.75" customHeight="1" x14ac:dyDescent="0.15">
      <c r="A26" s="14"/>
      <c r="B26" s="187"/>
      <c r="C26" s="188"/>
      <c r="D26" s="188"/>
      <c r="E26" s="188"/>
      <c r="F26" s="188"/>
      <c r="G26" s="188"/>
      <c r="H26" s="188"/>
      <c r="I26" s="189"/>
      <c r="K26" s="1">
        <f>LEN(B22)</f>
        <v>204</v>
      </c>
    </row>
    <row r="27" spans="1:11" ht="18.75" customHeight="1" x14ac:dyDescent="0.15">
      <c r="A27" s="14"/>
      <c r="B27" s="187"/>
      <c r="C27" s="188"/>
      <c r="D27" s="188"/>
      <c r="E27" s="188"/>
      <c r="F27" s="188"/>
      <c r="G27" s="188"/>
      <c r="H27" s="188"/>
      <c r="I27" s="189"/>
    </row>
    <row r="28" spans="1:11" ht="18.75" customHeight="1" x14ac:dyDescent="0.15">
      <c r="A28" s="14"/>
      <c r="B28" s="187"/>
      <c r="C28" s="188"/>
      <c r="D28" s="188"/>
      <c r="E28" s="188"/>
      <c r="F28" s="188"/>
      <c r="G28" s="188"/>
      <c r="H28" s="188"/>
      <c r="I28" s="189"/>
    </row>
    <row r="29" spans="1:11" ht="18.75" customHeight="1" x14ac:dyDescent="0.15">
      <c r="A29" s="14"/>
      <c r="B29" s="187"/>
      <c r="C29" s="188"/>
      <c r="D29" s="188"/>
      <c r="E29" s="188"/>
      <c r="F29" s="188"/>
      <c r="G29" s="188"/>
      <c r="H29" s="188"/>
      <c r="I29" s="189"/>
    </row>
    <row r="30" spans="1:11" ht="18.75" customHeight="1" x14ac:dyDescent="0.15">
      <c r="A30" s="14"/>
      <c r="B30" s="190"/>
      <c r="C30" s="191"/>
      <c r="D30" s="191"/>
      <c r="E30" s="191"/>
      <c r="F30" s="191"/>
      <c r="G30" s="191"/>
      <c r="H30" s="191"/>
      <c r="I30" s="189"/>
    </row>
    <row r="31" spans="1:11" ht="18.75" customHeight="1" x14ac:dyDescent="0.15">
      <c r="A31" s="14"/>
      <c r="B31" s="190"/>
      <c r="C31" s="191"/>
      <c r="D31" s="191"/>
      <c r="E31" s="191"/>
      <c r="F31" s="191"/>
      <c r="G31" s="191"/>
      <c r="H31" s="191"/>
      <c r="I31" s="189"/>
    </row>
    <row r="32" spans="1:11" ht="18.75" customHeight="1" x14ac:dyDescent="0.15">
      <c r="A32" s="14"/>
      <c r="B32" s="192"/>
      <c r="C32" s="193"/>
      <c r="D32" s="193"/>
      <c r="E32" s="193"/>
      <c r="F32" s="193"/>
      <c r="G32" s="193"/>
      <c r="H32" s="193"/>
      <c r="I32" s="194"/>
    </row>
    <row r="33" spans="1:11" ht="7.5" customHeight="1" x14ac:dyDescent="0.15">
      <c r="A33" s="14"/>
      <c r="B33" s="14"/>
      <c r="C33" s="14"/>
      <c r="D33" s="14"/>
      <c r="E33" s="14"/>
      <c r="F33" s="14"/>
      <c r="G33" s="14"/>
      <c r="H33" s="14"/>
      <c r="I33" s="14"/>
    </row>
    <row r="34" spans="1:11" ht="18.75" customHeight="1" x14ac:dyDescent="0.15">
      <c r="A34" s="15" t="s">
        <v>6</v>
      </c>
      <c r="B34" s="15" t="s">
        <v>9</v>
      </c>
      <c r="C34" s="10"/>
      <c r="D34" s="15"/>
      <c r="E34" s="15"/>
      <c r="F34" s="15"/>
      <c r="G34" s="15"/>
      <c r="H34" s="15"/>
      <c r="I34" s="15"/>
    </row>
    <row r="35" spans="1:11" ht="18.75" customHeight="1" x14ac:dyDescent="0.15">
      <c r="A35" s="14"/>
      <c r="B35" s="184" t="s">
        <v>196</v>
      </c>
      <c r="C35" s="185"/>
      <c r="D35" s="185"/>
      <c r="E35" s="185"/>
      <c r="F35" s="185"/>
      <c r="G35" s="185"/>
      <c r="H35" s="185"/>
      <c r="I35" s="186"/>
    </row>
    <row r="36" spans="1:11" ht="18.75" customHeight="1" x14ac:dyDescent="0.15">
      <c r="A36" s="14"/>
      <c r="B36" s="190"/>
      <c r="C36" s="191"/>
      <c r="D36" s="191"/>
      <c r="E36" s="191"/>
      <c r="F36" s="191"/>
      <c r="G36" s="191"/>
      <c r="H36" s="191"/>
      <c r="I36" s="189"/>
    </row>
    <row r="37" spans="1:11" ht="18.75" customHeight="1" x14ac:dyDescent="0.15">
      <c r="A37" s="14"/>
      <c r="B37" s="190"/>
      <c r="C37" s="191"/>
      <c r="D37" s="191"/>
      <c r="E37" s="191"/>
      <c r="F37" s="191"/>
      <c r="G37" s="191"/>
      <c r="H37" s="191"/>
      <c r="I37" s="189"/>
    </row>
    <row r="38" spans="1:11" ht="18.75" customHeight="1" x14ac:dyDescent="0.15">
      <c r="A38" s="14"/>
      <c r="B38" s="190"/>
      <c r="C38" s="191"/>
      <c r="D38" s="191"/>
      <c r="E38" s="191"/>
      <c r="F38" s="191"/>
      <c r="G38" s="191"/>
      <c r="H38" s="191"/>
      <c r="I38" s="189"/>
    </row>
    <row r="39" spans="1:11" ht="18.75" customHeight="1" x14ac:dyDescent="0.15">
      <c r="A39" s="14"/>
      <c r="B39" s="190"/>
      <c r="C39" s="191"/>
      <c r="D39" s="191"/>
      <c r="E39" s="191"/>
      <c r="F39" s="191"/>
      <c r="G39" s="191"/>
      <c r="H39" s="191"/>
      <c r="I39" s="189"/>
      <c r="K39" s="1">
        <f>LEN(B35)</f>
        <v>273</v>
      </c>
    </row>
    <row r="40" spans="1:11" ht="18.75" customHeight="1" x14ac:dyDescent="0.15">
      <c r="A40" s="14"/>
      <c r="B40" s="190"/>
      <c r="C40" s="191"/>
      <c r="D40" s="191"/>
      <c r="E40" s="191"/>
      <c r="F40" s="191"/>
      <c r="G40" s="191"/>
      <c r="H40" s="191"/>
      <c r="I40" s="189"/>
    </row>
    <row r="41" spans="1:11" ht="18.75" customHeight="1" x14ac:dyDescent="0.15">
      <c r="A41" s="14"/>
      <c r="B41" s="190"/>
      <c r="C41" s="191"/>
      <c r="D41" s="191"/>
      <c r="E41" s="191"/>
      <c r="F41" s="191"/>
      <c r="G41" s="191"/>
      <c r="H41" s="191"/>
      <c r="I41" s="189"/>
    </row>
    <row r="42" spans="1:11" ht="18.75" customHeight="1" x14ac:dyDescent="0.15">
      <c r="A42" s="14"/>
      <c r="B42" s="190"/>
      <c r="C42" s="191"/>
      <c r="D42" s="191"/>
      <c r="E42" s="191"/>
      <c r="F42" s="191"/>
      <c r="G42" s="191"/>
      <c r="H42" s="191"/>
      <c r="I42" s="189"/>
    </row>
    <row r="43" spans="1:11" ht="18.75" customHeight="1" x14ac:dyDescent="0.15">
      <c r="A43" s="14"/>
      <c r="B43" s="190"/>
      <c r="C43" s="191"/>
      <c r="D43" s="191"/>
      <c r="E43" s="191"/>
      <c r="F43" s="191"/>
      <c r="G43" s="191"/>
      <c r="H43" s="191"/>
      <c r="I43" s="189"/>
    </row>
    <row r="44" spans="1:11" ht="18.75" customHeight="1" x14ac:dyDescent="0.15">
      <c r="A44" s="14"/>
      <c r="B44" s="190"/>
      <c r="C44" s="191"/>
      <c r="D44" s="191"/>
      <c r="E44" s="191"/>
      <c r="F44" s="191"/>
      <c r="G44" s="191"/>
      <c r="H44" s="191"/>
      <c r="I44" s="189"/>
    </row>
    <row r="45" spans="1:11" ht="18.75" customHeight="1" x14ac:dyDescent="0.15">
      <c r="A45" s="14"/>
      <c r="B45" s="190"/>
      <c r="C45" s="191"/>
      <c r="D45" s="191"/>
      <c r="E45" s="191"/>
      <c r="F45" s="191"/>
      <c r="G45" s="191"/>
      <c r="H45" s="191"/>
      <c r="I45" s="189"/>
    </row>
    <row r="46" spans="1:11" ht="18.75" customHeight="1" x14ac:dyDescent="0.15">
      <c r="A46" s="14"/>
      <c r="B46" s="192"/>
      <c r="C46" s="193"/>
      <c r="D46" s="193"/>
      <c r="E46" s="193"/>
      <c r="F46" s="193"/>
      <c r="G46" s="193"/>
      <c r="H46" s="193"/>
      <c r="I46" s="194"/>
    </row>
    <row r="47" spans="1:11" ht="7.5" customHeight="1" x14ac:dyDescent="0.15">
      <c r="A47" s="4"/>
      <c r="B47" s="4"/>
      <c r="C47" s="4"/>
      <c r="D47" s="4"/>
      <c r="E47" s="4"/>
      <c r="F47" s="4"/>
      <c r="G47" s="4"/>
      <c r="H47" s="4"/>
      <c r="I47" s="4"/>
    </row>
    <row r="48" spans="1:11" ht="18.75" customHeight="1" x14ac:dyDescent="0.15">
      <c r="A48" s="1" t="s">
        <v>30</v>
      </c>
      <c r="B48" s="1" t="s">
        <v>110</v>
      </c>
    </row>
    <row r="49" spans="1:15" s="3" customFormat="1" ht="18.75" customHeight="1" x14ac:dyDescent="0.15">
      <c r="B49" s="33" t="s">
        <v>127</v>
      </c>
      <c r="C49" s="222">
        <f>'様式２ 履修者等数の実績'!S33</f>
        <v>2.0496894409937887E-2</v>
      </c>
      <c r="D49" s="222"/>
      <c r="E49" s="33" t="s">
        <v>63</v>
      </c>
      <c r="F49" s="222">
        <v>2.3E-2</v>
      </c>
      <c r="G49" s="222"/>
      <c r="H49" s="33" t="s">
        <v>64</v>
      </c>
      <c r="I49" s="34">
        <v>3.1E-2</v>
      </c>
      <c r="J49" s="1"/>
      <c r="M49" s="1"/>
      <c r="N49" s="35"/>
    </row>
    <row r="50" spans="1:15" s="3" customFormat="1" ht="18.75" customHeight="1" x14ac:dyDescent="0.15">
      <c r="B50" s="36" t="s">
        <v>84</v>
      </c>
      <c r="C50" s="205">
        <v>3.7999999999999999E-2</v>
      </c>
      <c r="D50" s="205"/>
      <c r="E50" s="36" t="s">
        <v>128</v>
      </c>
      <c r="F50" s="205">
        <v>4.5999999999999999E-2</v>
      </c>
      <c r="G50" s="205"/>
      <c r="H50" s="36" t="s">
        <v>65</v>
      </c>
      <c r="I50" s="37">
        <f>'様式２ 履修者等数の実績'!E33</f>
        <v>6440</v>
      </c>
      <c r="J50" s="1"/>
      <c r="M50" s="1"/>
      <c r="N50" s="35"/>
    </row>
    <row r="51" spans="1:15" ht="18.75" customHeight="1" x14ac:dyDescent="0.15">
      <c r="A51" s="1"/>
      <c r="B51" s="202" t="s">
        <v>66</v>
      </c>
      <c r="C51" s="203"/>
      <c r="D51" s="203"/>
      <c r="E51" s="203"/>
      <c r="F51" s="203"/>
      <c r="G51" s="203"/>
      <c r="H51" s="203"/>
      <c r="I51" s="204"/>
      <c r="N51" s="35"/>
      <c r="O51" s="3"/>
    </row>
    <row r="52" spans="1:15" ht="18.75" customHeight="1" x14ac:dyDescent="0.15">
      <c r="A52" s="1"/>
      <c r="B52" s="223" t="s">
        <v>189</v>
      </c>
      <c r="C52" s="224"/>
      <c r="D52" s="224"/>
      <c r="E52" s="224"/>
      <c r="F52" s="224"/>
      <c r="G52" s="224"/>
      <c r="H52" s="224"/>
      <c r="I52" s="225"/>
      <c r="N52" s="35"/>
      <c r="O52" s="3"/>
    </row>
    <row r="53" spans="1:15" ht="18.75" customHeight="1" x14ac:dyDescent="0.15">
      <c r="A53" s="1"/>
      <c r="B53" s="226"/>
      <c r="C53" s="227"/>
      <c r="D53" s="227"/>
      <c r="E53" s="227"/>
      <c r="F53" s="227"/>
      <c r="G53" s="227"/>
      <c r="H53" s="227"/>
      <c r="I53" s="228"/>
      <c r="N53" s="35"/>
      <c r="O53" s="3"/>
    </row>
    <row r="54" spans="1:15" ht="18.75" customHeight="1" x14ac:dyDescent="0.15">
      <c r="A54" s="1"/>
      <c r="B54" s="226"/>
      <c r="C54" s="227"/>
      <c r="D54" s="227"/>
      <c r="E54" s="227"/>
      <c r="F54" s="227"/>
      <c r="G54" s="227"/>
      <c r="H54" s="227"/>
      <c r="I54" s="228"/>
    </row>
    <row r="55" spans="1:15" ht="18.75" customHeight="1" x14ac:dyDescent="0.15">
      <c r="A55" s="1"/>
      <c r="B55" s="226"/>
      <c r="C55" s="227"/>
      <c r="D55" s="227"/>
      <c r="E55" s="227"/>
      <c r="F55" s="227"/>
      <c r="G55" s="227"/>
      <c r="H55" s="227"/>
      <c r="I55" s="228"/>
    </row>
    <row r="56" spans="1:15" ht="18.75" customHeight="1" x14ac:dyDescent="0.15">
      <c r="A56" s="1"/>
      <c r="B56" s="226"/>
      <c r="C56" s="227"/>
      <c r="D56" s="227"/>
      <c r="E56" s="227"/>
      <c r="F56" s="227"/>
      <c r="G56" s="227"/>
      <c r="H56" s="227"/>
      <c r="I56" s="228"/>
    </row>
    <row r="57" spans="1:15" ht="18.75" customHeight="1" x14ac:dyDescent="0.15">
      <c r="A57" s="1"/>
      <c r="B57" s="226"/>
      <c r="C57" s="227"/>
      <c r="D57" s="227"/>
      <c r="E57" s="227"/>
      <c r="F57" s="227"/>
      <c r="G57" s="227"/>
      <c r="H57" s="227"/>
      <c r="I57" s="228"/>
      <c r="K57" s="1">
        <f>LEN(B52)</f>
        <v>365</v>
      </c>
    </row>
    <row r="58" spans="1:15" ht="18.75" customHeight="1" x14ac:dyDescent="0.15">
      <c r="A58" s="1"/>
      <c r="B58" s="226"/>
      <c r="C58" s="227"/>
      <c r="D58" s="227"/>
      <c r="E58" s="227"/>
      <c r="F58" s="227"/>
      <c r="G58" s="227"/>
      <c r="H58" s="227"/>
      <c r="I58" s="228"/>
    </row>
    <row r="59" spans="1:15" ht="18.75" customHeight="1" x14ac:dyDescent="0.15">
      <c r="A59" s="1"/>
      <c r="B59" s="226"/>
      <c r="C59" s="227"/>
      <c r="D59" s="227"/>
      <c r="E59" s="227"/>
      <c r="F59" s="227"/>
      <c r="G59" s="227"/>
      <c r="H59" s="227"/>
      <c r="I59" s="228"/>
    </row>
    <row r="60" spans="1:15" ht="18.75" customHeight="1" x14ac:dyDescent="0.15">
      <c r="A60" s="1"/>
      <c r="B60" s="226"/>
      <c r="C60" s="227"/>
      <c r="D60" s="227"/>
      <c r="E60" s="227"/>
      <c r="F60" s="227"/>
      <c r="G60" s="227"/>
      <c r="H60" s="227"/>
      <c r="I60" s="228"/>
    </row>
    <row r="61" spans="1:15" ht="18.75" customHeight="1" x14ac:dyDescent="0.15">
      <c r="A61" s="1"/>
      <c r="B61" s="226"/>
      <c r="C61" s="227"/>
      <c r="D61" s="227"/>
      <c r="E61" s="227"/>
      <c r="F61" s="227"/>
      <c r="G61" s="227"/>
      <c r="H61" s="227"/>
      <c r="I61" s="228"/>
    </row>
    <row r="62" spans="1:15" ht="18.75" customHeight="1" x14ac:dyDescent="0.15">
      <c r="A62" s="1"/>
      <c r="B62" s="226"/>
      <c r="C62" s="227"/>
      <c r="D62" s="227"/>
      <c r="E62" s="227"/>
      <c r="F62" s="227"/>
      <c r="G62" s="227"/>
      <c r="H62" s="227"/>
      <c r="I62" s="228"/>
    </row>
    <row r="63" spans="1:15" ht="18.75" customHeight="1" x14ac:dyDescent="0.15">
      <c r="A63" s="1"/>
      <c r="B63" s="229"/>
      <c r="C63" s="230"/>
      <c r="D63" s="230"/>
      <c r="E63" s="230"/>
      <c r="F63" s="230"/>
      <c r="G63" s="230"/>
      <c r="H63" s="230"/>
      <c r="I63" s="231"/>
    </row>
    <row r="64" spans="1:15" ht="7.5" customHeight="1" x14ac:dyDescent="0.15">
      <c r="A64" s="14"/>
      <c r="B64" s="14"/>
      <c r="C64" s="14"/>
      <c r="D64" s="14"/>
      <c r="E64" s="14"/>
      <c r="F64" s="14"/>
      <c r="G64" s="14"/>
      <c r="H64" s="14"/>
      <c r="I64" s="14"/>
    </row>
    <row r="65" spans="1:11" ht="18.75" customHeight="1" x14ac:dyDescent="0.15">
      <c r="A65" s="15" t="s">
        <v>33</v>
      </c>
      <c r="B65" s="1" t="s">
        <v>36</v>
      </c>
      <c r="I65" s="15"/>
    </row>
    <row r="66" spans="1:11" ht="18.75" customHeight="1" x14ac:dyDescent="0.15">
      <c r="A66" s="4"/>
      <c r="B66" s="206" t="s">
        <v>172</v>
      </c>
      <c r="C66" s="207"/>
      <c r="D66" s="207"/>
      <c r="E66" s="207"/>
      <c r="F66" s="207"/>
      <c r="G66" s="207"/>
      <c r="H66" s="207"/>
      <c r="I66" s="208"/>
    </row>
    <row r="67" spans="1:11" ht="18.75" customHeight="1" x14ac:dyDescent="0.15">
      <c r="A67" s="4"/>
      <c r="B67" s="209"/>
      <c r="C67" s="210"/>
      <c r="D67" s="210"/>
      <c r="E67" s="210"/>
      <c r="F67" s="210"/>
      <c r="G67" s="210"/>
      <c r="H67" s="210"/>
      <c r="I67" s="211"/>
    </row>
    <row r="68" spans="1:11" ht="18.75" customHeight="1" x14ac:dyDescent="0.15">
      <c r="A68" s="4"/>
      <c r="B68" s="209"/>
      <c r="C68" s="210"/>
      <c r="D68" s="210"/>
      <c r="E68" s="210"/>
      <c r="F68" s="210"/>
      <c r="G68" s="210"/>
      <c r="H68" s="210"/>
      <c r="I68" s="211"/>
    </row>
    <row r="69" spans="1:11" ht="18.75" customHeight="1" x14ac:dyDescent="0.15">
      <c r="A69" s="4"/>
      <c r="B69" s="209"/>
      <c r="C69" s="210"/>
      <c r="D69" s="210"/>
      <c r="E69" s="210"/>
      <c r="F69" s="210"/>
      <c r="G69" s="210"/>
      <c r="H69" s="210"/>
      <c r="I69" s="211"/>
      <c r="K69" s="1">
        <f>LEN(B66)</f>
        <v>392</v>
      </c>
    </row>
    <row r="70" spans="1:11" ht="18.75" customHeight="1" x14ac:dyDescent="0.15">
      <c r="A70" s="4"/>
      <c r="B70" s="209"/>
      <c r="C70" s="210"/>
      <c r="D70" s="210"/>
      <c r="E70" s="210"/>
      <c r="F70" s="210"/>
      <c r="G70" s="210"/>
      <c r="H70" s="210"/>
      <c r="I70" s="211"/>
    </row>
    <row r="71" spans="1:11" ht="18.75" customHeight="1" x14ac:dyDescent="0.15">
      <c r="A71" s="4"/>
      <c r="B71" s="209"/>
      <c r="C71" s="210"/>
      <c r="D71" s="210"/>
      <c r="E71" s="210"/>
      <c r="F71" s="210"/>
      <c r="G71" s="210"/>
      <c r="H71" s="210"/>
      <c r="I71" s="211"/>
    </row>
    <row r="72" spans="1:11" ht="18.75" customHeight="1" x14ac:dyDescent="0.15">
      <c r="A72" s="4"/>
      <c r="B72" s="209"/>
      <c r="C72" s="210"/>
      <c r="D72" s="210"/>
      <c r="E72" s="210"/>
      <c r="F72" s="210"/>
      <c r="G72" s="210"/>
      <c r="H72" s="210"/>
      <c r="I72" s="211"/>
    </row>
    <row r="73" spans="1:11" ht="18.75" customHeight="1" x14ac:dyDescent="0.15">
      <c r="A73" s="4"/>
      <c r="B73" s="209"/>
      <c r="C73" s="210"/>
      <c r="D73" s="210"/>
      <c r="E73" s="210"/>
      <c r="F73" s="210"/>
      <c r="G73" s="210"/>
      <c r="H73" s="210"/>
      <c r="I73" s="211"/>
    </row>
    <row r="74" spans="1:11" ht="18.75" customHeight="1" x14ac:dyDescent="0.15">
      <c r="A74" s="4"/>
      <c r="B74" s="209"/>
      <c r="C74" s="210"/>
      <c r="D74" s="210"/>
      <c r="E74" s="210"/>
      <c r="F74" s="210"/>
      <c r="G74" s="210"/>
      <c r="H74" s="210"/>
      <c r="I74" s="211"/>
    </row>
    <row r="75" spans="1:11" ht="18.75" customHeight="1" x14ac:dyDescent="0.15">
      <c r="A75" s="4"/>
      <c r="B75" s="209"/>
      <c r="C75" s="210"/>
      <c r="D75" s="210"/>
      <c r="E75" s="210"/>
      <c r="F75" s="210"/>
      <c r="G75" s="210"/>
      <c r="H75" s="210"/>
      <c r="I75" s="211"/>
    </row>
    <row r="76" spans="1:11" ht="18.75" customHeight="1" x14ac:dyDescent="0.15">
      <c r="A76" s="4"/>
      <c r="B76" s="209"/>
      <c r="C76" s="210"/>
      <c r="D76" s="210"/>
      <c r="E76" s="210"/>
      <c r="F76" s="210"/>
      <c r="G76" s="210"/>
      <c r="H76" s="210"/>
      <c r="I76" s="211"/>
    </row>
    <row r="77" spans="1:11" ht="18.75" customHeight="1" x14ac:dyDescent="0.15">
      <c r="A77" s="4"/>
      <c r="B77" s="212"/>
      <c r="C77" s="213"/>
      <c r="D77" s="213"/>
      <c r="E77" s="213"/>
      <c r="F77" s="213"/>
      <c r="G77" s="213"/>
      <c r="H77" s="213"/>
      <c r="I77" s="214"/>
    </row>
    <row r="78" spans="1:11" ht="7.5" customHeight="1" x14ac:dyDescent="0.15">
      <c r="A78" s="4"/>
      <c r="B78" s="4"/>
      <c r="C78" s="4"/>
      <c r="D78" s="4"/>
      <c r="E78" s="4"/>
      <c r="F78" s="4"/>
      <c r="G78" s="4"/>
      <c r="H78" s="4"/>
      <c r="I78" s="4"/>
    </row>
    <row r="79" spans="1:11" ht="18.75" customHeight="1" x14ac:dyDescent="0.15">
      <c r="A79" s="1" t="s">
        <v>11</v>
      </c>
      <c r="B79" s="1" t="s">
        <v>39</v>
      </c>
    </row>
    <row r="80" spans="1:11" ht="18.75" customHeight="1" x14ac:dyDescent="0.15">
      <c r="A80" s="1"/>
      <c r="B80" s="206" t="s">
        <v>190</v>
      </c>
      <c r="C80" s="207"/>
      <c r="D80" s="207"/>
      <c r="E80" s="207"/>
      <c r="F80" s="207"/>
      <c r="G80" s="207"/>
      <c r="H80" s="207"/>
      <c r="I80" s="215"/>
    </row>
    <row r="81" spans="1:11" ht="18.75" customHeight="1" x14ac:dyDescent="0.15">
      <c r="A81" s="1"/>
      <c r="B81" s="216"/>
      <c r="C81" s="217"/>
      <c r="D81" s="217"/>
      <c r="E81" s="217"/>
      <c r="F81" s="217"/>
      <c r="G81" s="217"/>
      <c r="H81" s="217"/>
      <c r="I81" s="218"/>
    </row>
    <row r="82" spans="1:11" ht="18.75" customHeight="1" x14ac:dyDescent="0.15">
      <c r="A82" s="1"/>
      <c r="B82" s="216"/>
      <c r="C82" s="217"/>
      <c r="D82" s="217"/>
      <c r="E82" s="217"/>
      <c r="F82" s="217"/>
      <c r="G82" s="217"/>
      <c r="H82" s="217"/>
      <c r="I82" s="218"/>
    </row>
    <row r="83" spans="1:11" ht="18.75" customHeight="1" x14ac:dyDescent="0.15">
      <c r="A83" s="1"/>
      <c r="B83" s="216"/>
      <c r="C83" s="217"/>
      <c r="D83" s="217"/>
      <c r="E83" s="217"/>
      <c r="F83" s="217"/>
      <c r="G83" s="217"/>
      <c r="H83" s="217"/>
      <c r="I83" s="218"/>
    </row>
    <row r="84" spans="1:11" ht="18.75" customHeight="1" x14ac:dyDescent="0.15">
      <c r="A84" s="1"/>
      <c r="B84" s="216"/>
      <c r="C84" s="217"/>
      <c r="D84" s="217"/>
      <c r="E84" s="217"/>
      <c r="F84" s="217"/>
      <c r="G84" s="217"/>
      <c r="H84" s="217"/>
      <c r="I84" s="218"/>
    </row>
    <row r="85" spans="1:11" ht="18.75" customHeight="1" x14ac:dyDescent="0.15">
      <c r="A85" s="1"/>
      <c r="B85" s="216"/>
      <c r="C85" s="217"/>
      <c r="D85" s="217"/>
      <c r="E85" s="217"/>
      <c r="F85" s="217"/>
      <c r="G85" s="217"/>
      <c r="H85" s="217"/>
      <c r="I85" s="218"/>
    </row>
    <row r="86" spans="1:11" ht="18.75" customHeight="1" x14ac:dyDescent="0.15">
      <c r="A86" s="1"/>
      <c r="B86" s="216"/>
      <c r="C86" s="217"/>
      <c r="D86" s="217"/>
      <c r="E86" s="217"/>
      <c r="F86" s="217"/>
      <c r="G86" s="217"/>
      <c r="H86" s="217"/>
      <c r="I86" s="218"/>
      <c r="K86" s="1">
        <f>LEN(B80)</f>
        <v>320</v>
      </c>
    </row>
    <row r="87" spans="1:11" ht="18.75" customHeight="1" x14ac:dyDescent="0.15">
      <c r="A87" s="1"/>
      <c r="B87" s="216"/>
      <c r="C87" s="217"/>
      <c r="D87" s="217"/>
      <c r="E87" s="217"/>
      <c r="F87" s="217"/>
      <c r="G87" s="217"/>
      <c r="H87" s="217"/>
      <c r="I87" s="218"/>
    </row>
    <row r="88" spans="1:11" ht="18.75" customHeight="1" x14ac:dyDescent="0.15">
      <c r="A88" s="1"/>
      <c r="B88" s="216"/>
      <c r="C88" s="217"/>
      <c r="D88" s="217"/>
      <c r="E88" s="217"/>
      <c r="F88" s="217"/>
      <c r="G88" s="217"/>
      <c r="H88" s="217"/>
      <c r="I88" s="218"/>
    </row>
    <row r="89" spans="1:11" ht="18.75" customHeight="1" x14ac:dyDescent="0.15">
      <c r="A89" s="1"/>
      <c r="B89" s="216"/>
      <c r="C89" s="217"/>
      <c r="D89" s="217"/>
      <c r="E89" s="217"/>
      <c r="F89" s="217"/>
      <c r="G89" s="217"/>
      <c r="H89" s="217"/>
      <c r="I89" s="218"/>
    </row>
    <row r="90" spans="1:11" ht="18.75" customHeight="1" x14ac:dyDescent="0.15">
      <c r="A90" s="4"/>
      <c r="B90" s="216"/>
      <c r="C90" s="217"/>
      <c r="D90" s="217"/>
      <c r="E90" s="217"/>
      <c r="F90" s="217"/>
      <c r="G90" s="217"/>
      <c r="H90" s="217"/>
      <c r="I90" s="218"/>
    </row>
    <row r="91" spans="1:11" ht="18.75" customHeight="1" x14ac:dyDescent="0.15">
      <c r="A91" s="4"/>
      <c r="B91" s="219"/>
      <c r="C91" s="220"/>
      <c r="D91" s="220"/>
      <c r="E91" s="220"/>
      <c r="F91" s="220"/>
      <c r="G91" s="220"/>
      <c r="H91" s="220"/>
      <c r="I91" s="221"/>
    </row>
    <row r="92" spans="1:11" ht="7.5" customHeight="1" x14ac:dyDescent="0.15">
      <c r="A92" s="4"/>
      <c r="B92" s="4"/>
      <c r="C92" s="4"/>
      <c r="D92" s="4"/>
      <c r="E92" s="4"/>
      <c r="F92" s="4"/>
      <c r="G92" s="4"/>
      <c r="H92" s="4"/>
      <c r="I92" s="4"/>
    </row>
    <row r="93" spans="1:11" ht="18.75" customHeight="1" x14ac:dyDescent="0.15">
      <c r="A93" s="1" t="s">
        <v>42</v>
      </c>
      <c r="B93" s="1" t="s">
        <v>12</v>
      </c>
    </row>
    <row r="94" spans="1:11" ht="18.75" customHeight="1" x14ac:dyDescent="0.15">
      <c r="A94" s="1"/>
      <c r="B94" s="184" t="s">
        <v>195</v>
      </c>
      <c r="C94" s="185"/>
      <c r="D94" s="185"/>
      <c r="E94" s="185"/>
      <c r="F94" s="185"/>
      <c r="G94" s="185"/>
      <c r="H94" s="185"/>
      <c r="I94" s="186"/>
    </row>
    <row r="95" spans="1:11" ht="18.75" customHeight="1" x14ac:dyDescent="0.15">
      <c r="A95" s="1"/>
      <c r="B95" s="190"/>
      <c r="C95" s="191"/>
      <c r="D95" s="191"/>
      <c r="E95" s="191"/>
      <c r="F95" s="191"/>
      <c r="G95" s="191"/>
      <c r="H95" s="191"/>
      <c r="I95" s="189"/>
    </row>
    <row r="96" spans="1:11" ht="18.75" customHeight="1" x14ac:dyDescent="0.15">
      <c r="A96" s="1"/>
      <c r="B96" s="190"/>
      <c r="C96" s="191"/>
      <c r="D96" s="191"/>
      <c r="E96" s="191"/>
      <c r="F96" s="191"/>
      <c r="G96" s="191"/>
      <c r="H96" s="191"/>
      <c r="I96" s="189"/>
    </row>
    <row r="97" spans="1:11" ht="18.75" customHeight="1" x14ac:dyDescent="0.15">
      <c r="A97" s="1"/>
      <c r="B97" s="190"/>
      <c r="C97" s="191"/>
      <c r="D97" s="191"/>
      <c r="E97" s="191"/>
      <c r="F97" s="191"/>
      <c r="G97" s="191"/>
      <c r="H97" s="191"/>
      <c r="I97" s="189"/>
    </row>
    <row r="98" spans="1:11" ht="18.75" customHeight="1" x14ac:dyDescent="0.15">
      <c r="A98" s="1"/>
      <c r="B98" s="190"/>
      <c r="C98" s="191"/>
      <c r="D98" s="191"/>
      <c r="E98" s="191"/>
      <c r="F98" s="191"/>
      <c r="G98" s="191"/>
      <c r="H98" s="191"/>
      <c r="I98" s="189"/>
    </row>
    <row r="99" spans="1:11" ht="18.75" customHeight="1" x14ac:dyDescent="0.15">
      <c r="A99" s="1"/>
      <c r="B99" s="190"/>
      <c r="C99" s="191"/>
      <c r="D99" s="191"/>
      <c r="E99" s="191"/>
      <c r="F99" s="191"/>
      <c r="G99" s="191"/>
      <c r="H99" s="191"/>
      <c r="I99" s="189"/>
    </row>
    <row r="100" spans="1:11" ht="18.75" customHeight="1" x14ac:dyDescent="0.15">
      <c r="A100" s="1"/>
      <c r="B100" s="190"/>
      <c r="C100" s="191"/>
      <c r="D100" s="191"/>
      <c r="E100" s="191"/>
      <c r="F100" s="191"/>
      <c r="G100" s="191"/>
      <c r="H100" s="191"/>
      <c r="I100" s="189"/>
      <c r="K100" s="1">
        <f>LEN(B94)</f>
        <v>364</v>
      </c>
    </row>
    <row r="101" spans="1:11" ht="18.75" customHeight="1" x14ac:dyDescent="0.15">
      <c r="A101" s="1"/>
      <c r="B101" s="190"/>
      <c r="C101" s="191"/>
      <c r="D101" s="191"/>
      <c r="E101" s="191"/>
      <c r="F101" s="191"/>
      <c r="G101" s="191"/>
      <c r="H101" s="191"/>
      <c r="I101" s="189"/>
    </row>
    <row r="102" spans="1:11" ht="18.75" customHeight="1" x14ac:dyDescent="0.15">
      <c r="A102" s="1"/>
      <c r="B102" s="190"/>
      <c r="C102" s="191"/>
      <c r="D102" s="191"/>
      <c r="E102" s="191"/>
      <c r="F102" s="191"/>
      <c r="G102" s="191"/>
      <c r="H102" s="191"/>
      <c r="I102" s="189"/>
    </row>
    <row r="103" spans="1:11" ht="18.75" customHeight="1" x14ac:dyDescent="0.15">
      <c r="A103" s="1"/>
      <c r="B103" s="190"/>
      <c r="C103" s="191"/>
      <c r="D103" s="191"/>
      <c r="E103" s="191"/>
      <c r="F103" s="191"/>
      <c r="G103" s="191"/>
      <c r="H103" s="191"/>
      <c r="I103" s="189"/>
    </row>
    <row r="104" spans="1:11" ht="18.75" customHeight="1" x14ac:dyDescent="0.15">
      <c r="A104" s="1"/>
      <c r="B104" s="190"/>
      <c r="C104" s="191"/>
      <c r="D104" s="191"/>
      <c r="E104" s="191"/>
      <c r="F104" s="191"/>
      <c r="G104" s="191"/>
      <c r="H104" s="191"/>
      <c r="I104" s="189"/>
    </row>
    <row r="105" spans="1:11" ht="18.75" customHeight="1" x14ac:dyDescent="0.15">
      <c r="A105" s="4"/>
      <c r="B105" s="192"/>
      <c r="C105" s="193"/>
      <c r="D105" s="193"/>
      <c r="E105" s="193"/>
      <c r="F105" s="193"/>
      <c r="G105" s="193"/>
      <c r="H105" s="193"/>
      <c r="I105" s="194"/>
    </row>
    <row r="106" spans="1:11" ht="7.5" customHeight="1" x14ac:dyDescent="0.15">
      <c r="A106" s="4"/>
      <c r="B106" s="4"/>
      <c r="C106" s="4"/>
      <c r="D106" s="4"/>
      <c r="E106" s="4"/>
      <c r="F106" s="4"/>
      <c r="G106" s="4"/>
      <c r="H106" s="4"/>
      <c r="I106" s="4"/>
    </row>
    <row r="107" spans="1:11" ht="18.75" customHeight="1" x14ac:dyDescent="0.15">
      <c r="A107" s="1" t="s">
        <v>29</v>
      </c>
      <c r="B107" s="201" t="s">
        <v>44</v>
      </c>
      <c r="C107" s="201"/>
      <c r="D107" s="201"/>
      <c r="E107" s="201"/>
      <c r="F107" s="201"/>
      <c r="G107" s="201"/>
      <c r="H107" s="201"/>
      <c r="I107" s="201"/>
    </row>
    <row r="108" spans="1:11" ht="18.75" customHeight="1" x14ac:dyDescent="0.15">
      <c r="A108" s="4"/>
      <c r="B108" s="184" t="s">
        <v>173</v>
      </c>
      <c r="C108" s="185"/>
      <c r="D108" s="185"/>
      <c r="E108" s="185"/>
      <c r="F108" s="185"/>
      <c r="G108" s="185"/>
      <c r="H108" s="185"/>
      <c r="I108" s="186"/>
    </row>
    <row r="109" spans="1:11" ht="18.75" customHeight="1" x14ac:dyDescent="0.15">
      <c r="A109" s="4"/>
      <c r="B109" s="190"/>
      <c r="C109" s="191"/>
      <c r="D109" s="191"/>
      <c r="E109" s="191"/>
      <c r="F109" s="191"/>
      <c r="G109" s="191"/>
      <c r="H109" s="191"/>
      <c r="I109" s="189"/>
    </row>
    <row r="110" spans="1:11" ht="18.75" customHeight="1" x14ac:dyDescent="0.15">
      <c r="A110" s="4"/>
      <c r="B110" s="190"/>
      <c r="C110" s="191"/>
      <c r="D110" s="191"/>
      <c r="E110" s="191"/>
      <c r="F110" s="191"/>
      <c r="G110" s="191"/>
      <c r="H110" s="191"/>
      <c r="I110" s="189"/>
    </row>
    <row r="111" spans="1:11" ht="18.75" customHeight="1" x14ac:dyDescent="0.15">
      <c r="A111" s="4"/>
      <c r="B111" s="190"/>
      <c r="C111" s="191"/>
      <c r="D111" s="191"/>
      <c r="E111" s="191"/>
      <c r="F111" s="191"/>
      <c r="G111" s="191"/>
      <c r="H111" s="191"/>
      <c r="I111" s="189"/>
    </row>
    <row r="112" spans="1:11" ht="18.75" customHeight="1" x14ac:dyDescent="0.15">
      <c r="A112" s="4"/>
      <c r="B112" s="190"/>
      <c r="C112" s="191"/>
      <c r="D112" s="191"/>
      <c r="E112" s="191"/>
      <c r="F112" s="191"/>
      <c r="G112" s="191"/>
      <c r="H112" s="191"/>
      <c r="I112" s="189"/>
    </row>
    <row r="113" spans="1:11" ht="18.75" customHeight="1" x14ac:dyDescent="0.15">
      <c r="A113" s="4"/>
      <c r="B113" s="190"/>
      <c r="C113" s="191"/>
      <c r="D113" s="191"/>
      <c r="E113" s="191"/>
      <c r="F113" s="191"/>
      <c r="G113" s="191"/>
      <c r="H113" s="191"/>
      <c r="I113" s="189"/>
      <c r="K113" s="1">
        <f>LEN(B108)</f>
        <v>188</v>
      </c>
    </row>
    <row r="114" spans="1:11" ht="18.75" customHeight="1" x14ac:dyDescent="0.15">
      <c r="A114" s="4"/>
      <c r="B114" s="190"/>
      <c r="C114" s="191"/>
      <c r="D114" s="191"/>
      <c r="E114" s="191"/>
      <c r="F114" s="191"/>
      <c r="G114" s="191"/>
      <c r="H114" s="191"/>
      <c r="I114" s="189"/>
    </row>
    <row r="115" spans="1:11" ht="18.75" customHeight="1" x14ac:dyDescent="0.15">
      <c r="A115" s="4"/>
      <c r="B115" s="190"/>
      <c r="C115" s="191"/>
      <c r="D115" s="191"/>
      <c r="E115" s="191"/>
      <c r="F115" s="191"/>
      <c r="G115" s="191"/>
      <c r="H115" s="191"/>
      <c r="I115" s="189"/>
    </row>
    <row r="116" spans="1:11" ht="18.75" customHeight="1" x14ac:dyDescent="0.15">
      <c r="A116" s="4"/>
      <c r="B116" s="190"/>
      <c r="C116" s="191"/>
      <c r="D116" s="191"/>
      <c r="E116" s="191"/>
      <c r="F116" s="191"/>
      <c r="G116" s="191"/>
      <c r="H116" s="191"/>
      <c r="I116" s="189"/>
    </row>
    <row r="117" spans="1:11" ht="18.75" customHeight="1" x14ac:dyDescent="0.15">
      <c r="A117" s="4"/>
      <c r="B117" s="190"/>
      <c r="C117" s="191"/>
      <c r="D117" s="191"/>
      <c r="E117" s="191"/>
      <c r="F117" s="191"/>
      <c r="G117" s="191"/>
      <c r="H117" s="191"/>
      <c r="I117" s="189"/>
    </row>
    <row r="118" spans="1:11" ht="18.75" customHeight="1" x14ac:dyDescent="0.15">
      <c r="A118" s="4"/>
      <c r="B118" s="190"/>
      <c r="C118" s="191"/>
      <c r="D118" s="191"/>
      <c r="E118" s="191"/>
      <c r="F118" s="191"/>
      <c r="G118" s="191"/>
      <c r="H118" s="191"/>
      <c r="I118" s="189"/>
    </row>
    <row r="119" spans="1:11" ht="18.75" customHeight="1" x14ac:dyDescent="0.15">
      <c r="A119" s="4"/>
      <c r="B119" s="192"/>
      <c r="C119" s="193"/>
      <c r="D119" s="193"/>
      <c r="E119" s="193"/>
      <c r="F119" s="193"/>
      <c r="G119" s="193"/>
      <c r="H119" s="193"/>
      <c r="I119" s="194"/>
    </row>
    <row r="120" spans="1:11" ht="7.5" customHeight="1" x14ac:dyDescent="0.15">
      <c r="A120" s="4"/>
      <c r="B120" s="38"/>
      <c r="C120" s="38"/>
      <c r="D120" s="38"/>
      <c r="E120" s="38"/>
      <c r="F120" s="38"/>
      <c r="G120" s="38"/>
      <c r="H120" s="38"/>
      <c r="I120" s="38"/>
    </row>
    <row r="121" spans="1:11" ht="18.75" customHeight="1" x14ac:dyDescent="0.15">
      <c r="A121" s="64"/>
      <c r="B121" s="179"/>
      <c r="C121" s="179"/>
      <c r="D121" s="179"/>
      <c r="E121" s="179"/>
      <c r="F121" s="179"/>
      <c r="G121" s="179"/>
      <c r="H121" s="179"/>
      <c r="I121" s="179"/>
    </row>
    <row r="122" spans="1:11" ht="18.75" customHeight="1" x14ac:dyDescent="0.15">
      <c r="A122" s="64"/>
      <c r="B122" s="179"/>
      <c r="C122" s="179"/>
      <c r="D122" s="179"/>
      <c r="E122" s="179"/>
      <c r="F122" s="179"/>
      <c r="G122" s="179"/>
      <c r="H122" s="179"/>
      <c r="I122" s="179"/>
    </row>
    <row r="123" spans="1:11" ht="18.75" customHeight="1" x14ac:dyDescent="0.15">
      <c r="A123" s="4"/>
      <c r="B123" s="68"/>
      <c r="C123" s="68"/>
      <c r="D123" s="68"/>
      <c r="E123" s="68"/>
      <c r="F123" s="68"/>
      <c r="G123" s="68"/>
      <c r="H123" s="68"/>
      <c r="I123" s="69"/>
    </row>
    <row r="124" spans="1:11" ht="18.75" customHeight="1" x14ac:dyDescent="0.15">
      <c r="A124" s="4"/>
      <c r="B124" s="69"/>
      <c r="C124" s="69"/>
      <c r="D124" s="69"/>
      <c r="E124" s="69"/>
      <c r="F124" s="69"/>
      <c r="G124" s="69"/>
      <c r="H124" s="69"/>
      <c r="I124" s="69"/>
    </row>
    <row r="125" spans="1:11" ht="18.75" customHeight="1" x14ac:dyDescent="0.15">
      <c r="A125" s="4"/>
      <c r="B125" s="69"/>
      <c r="C125" s="69"/>
      <c r="D125" s="69"/>
      <c r="E125" s="69"/>
      <c r="F125" s="69"/>
      <c r="G125" s="69"/>
      <c r="H125" s="69"/>
      <c r="I125" s="69"/>
    </row>
    <row r="126" spans="1:11" ht="18.75" customHeight="1" x14ac:dyDescent="0.15">
      <c r="A126" s="4"/>
      <c r="B126" s="69"/>
      <c r="C126" s="69"/>
      <c r="D126" s="69"/>
      <c r="E126" s="69"/>
      <c r="F126" s="69"/>
      <c r="G126" s="69"/>
      <c r="H126" s="69"/>
      <c r="I126" s="69"/>
    </row>
    <row r="127" spans="1:11" ht="18.75" customHeight="1" x14ac:dyDescent="0.15">
      <c r="A127" s="4"/>
      <c r="B127" s="69"/>
      <c r="C127" s="69"/>
      <c r="D127" s="69"/>
      <c r="E127" s="69"/>
      <c r="F127" s="69"/>
      <c r="G127" s="69"/>
      <c r="H127" s="69"/>
      <c r="I127" s="69"/>
    </row>
    <row r="128" spans="1:11" ht="18.75" customHeight="1" x14ac:dyDescent="0.15">
      <c r="A128" s="4"/>
      <c r="B128" s="69"/>
      <c r="C128" s="69"/>
      <c r="D128" s="69"/>
      <c r="E128" s="69"/>
      <c r="F128" s="69"/>
      <c r="G128" s="69"/>
      <c r="H128" s="69"/>
      <c r="I128" s="69"/>
    </row>
    <row r="129" spans="1:9" ht="18.75" customHeight="1" x14ac:dyDescent="0.15">
      <c r="A129" s="4"/>
      <c r="B129" s="69"/>
      <c r="C129" s="69"/>
      <c r="D129" s="69"/>
      <c r="E129" s="69"/>
      <c r="F129" s="69"/>
      <c r="G129" s="69"/>
      <c r="H129" s="69"/>
      <c r="I129" s="69"/>
    </row>
    <row r="130" spans="1:9" ht="18.75" customHeight="1" x14ac:dyDescent="0.15">
      <c r="A130" s="4"/>
      <c r="B130" s="69"/>
      <c r="C130" s="69"/>
      <c r="D130" s="69"/>
      <c r="E130" s="69"/>
      <c r="F130" s="69"/>
      <c r="G130" s="69"/>
      <c r="H130" s="69"/>
      <c r="I130" s="69"/>
    </row>
    <row r="131" spans="1:9" ht="18.75" customHeight="1" x14ac:dyDescent="0.15">
      <c r="A131" s="4"/>
      <c r="B131" s="69"/>
      <c r="C131" s="69"/>
      <c r="D131" s="69"/>
      <c r="E131" s="69"/>
      <c r="F131" s="69"/>
      <c r="G131" s="69"/>
      <c r="H131" s="69"/>
      <c r="I131" s="69"/>
    </row>
    <row r="132" spans="1:9" ht="18.75" customHeight="1" x14ac:dyDescent="0.15">
      <c r="A132" s="4"/>
      <c r="B132" s="69"/>
      <c r="C132" s="69"/>
      <c r="D132" s="69"/>
      <c r="E132" s="69"/>
      <c r="F132" s="69"/>
      <c r="G132" s="69"/>
      <c r="H132" s="69"/>
      <c r="I132" s="69"/>
    </row>
    <row r="133" spans="1:9" ht="14.25" x14ac:dyDescent="0.15">
      <c r="A133" s="4"/>
      <c r="B133" s="69"/>
      <c r="C133" s="69"/>
      <c r="D133" s="69"/>
      <c r="E133" s="69"/>
      <c r="F133" s="69"/>
      <c r="G133" s="69"/>
      <c r="H133" s="69"/>
      <c r="I133" s="69"/>
    </row>
    <row r="134" spans="1:9" ht="7.5" customHeight="1" x14ac:dyDescent="0.15">
      <c r="A134" s="4"/>
      <c r="B134" s="69"/>
      <c r="C134" s="69"/>
      <c r="D134" s="69"/>
      <c r="E134" s="69"/>
      <c r="F134" s="69"/>
      <c r="G134" s="69"/>
      <c r="H134" s="69"/>
      <c r="I134" s="6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showZeros="0" view="pageBreakPreview" topLeftCell="A12" zoomScaleNormal="100" zoomScaleSheetLayoutView="100" workbookViewId="0">
      <selection activeCell="E12" sqref="E1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1" ht="18.75" customHeight="1" x14ac:dyDescent="0.15">
      <c r="A1" s="1" t="s">
        <v>67</v>
      </c>
      <c r="I1" s="29" t="s">
        <v>95</v>
      </c>
    </row>
    <row r="2" spans="1:11" ht="18.75" customHeight="1" x14ac:dyDescent="0.15">
      <c r="H2" s="29" t="s">
        <v>98</v>
      </c>
      <c r="I2" s="28" t="str">
        <f>'様式１-１　プログラムを構成する授業科目'!C2</f>
        <v>大妻女子大学</v>
      </c>
    </row>
    <row r="3" spans="1:11" ht="18.75" customHeight="1" x14ac:dyDescent="0.15">
      <c r="A3" s="180" t="s">
        <v>27</v>
      </c>
      <c r="B3" s="180"/>
      <c r="C3" s="180"/>
      <c r="D3" s="180"/>
      <c r="E3" s="180"/>
      <c r="F3" s="180"/>
      <c r="G3" s="180"/>
      <c r="H3" s="180"/>
      <c r="I3" s="180"/>
    </row>
    <row r="4" spans="1:11" ht="18.75" customHeight="1" x14ac:dyDescent="0.15">
      <c r="A4" s="5"/>
      <c r="B4" s="5"/>
      <c r="C4" s="5"/>
      <c r="D4" s="5"/>
      <c r="E4" s="5"/>
      <c r="F4" s="5"/>
      <c r="G4" s="5"/>
      <c r="H4" s="5"/>
      <c r="I4" s="5"/>
    </row>
    <row r="5" spans="1:11" ht="18.75" customHeight="1" x14ac:dyDescent="0.15">
      <c r="A5" s="1" t="s">
        <v>0</v>
      </c>
      <c r="B5" s="10" t="s">
        <v>89</v>
      </c>
      <c r="C5" s="5"/>
      <c r="D5" s="5"/>
      <c r="E5" s="5"/>
      <c r="F5" s="5"/>
      <c r="G5" s="5"/>
      <c r="H5" s="5"/>
      <c r="I5" s="5"/>
    </row>
    <row r="6" spans="1:11" ht="26.25" customHeight="1" x14ac:dyDescent="0.15">
      <c r="A6" s="5"/>
      <c r="B6" s="195" t="s">
        <v>151</v>
      </c>
      <c r="C6" s="239"/>
      <c r="D6" s="239"/>
      <c r="E6" s="239"/>
      <c r="F6" s="239"/>
      <c r="G6" s="239"/>
      <c r="H6" s="240"/>
      <c r="I6" s="3"/>
    </row>
    <row r="7" spans="1:11" ht="9" customHeight="1" x14ac:dyDescent="0.15">
      <c r="A7" s="5"/>
      <c r="B7" s="10"/>
      <c r="C7" s="10"/>
      <c r="D7" s="10"/>
      <c r="E7" s="10"/>
      <c r="F7" s="10"/>
      <c r="G7" s="10"/>
      <c r="H7" s="10"/>
      <c r="I7" s="3"/>
    </row>
    <row r="8" spans="1:11" ht="18.75" customHeight="1" x14ac:dyDescent="0.15">
      <c r="A8" s="5"/>
      <c r="B8" s="3"/>
      <c r="C8" s="3"/>
      <c r="D8" s="29" t="s">
        <v>41</v>
      </c>
      <c r="E8" s="30" t="s">
        <v>148</v>
      </c>
      <c r="F8" s="3"/>
      <c r="G8" s="29" t="s">
        <v>10</v>
      </c>
      <c r="H8" s="30" t="s">
        <v>150</v>
      </c>
      <c r="I8" s="3"/>
    </row>
    <row r="9" spans="1:11" ht="7.5" customHeight="1" x14ac:dyDescent="0.15">
      <c r="A9" s="5"/>
      <c r="B9" s="5"/>
      <c r="C9" s="5"/>
      <c r="D9" s="5"/>
      <c r="E9" s="5"/>
      <c r="F9" s="5"/>
      <c r="G9" s="5"/>
      <c r="H9" s="5"/>
      <c r="I9" s="5"/>
    </row>
    <row r="10" spans="1:11" ht="18.75" customHeight="1" x14ac:dyDescent="0.15">
      <c r="A10" s="1" t="s">
        <v>3</v>
      </c>
      <c r="B10" s="1" t="s">
        <v>26</v>
      </c>
      <c r="C10" s="4"/>
      <c r="D10" s="4"/>
      <c r="E10" s="4"/>
      <c r="F10" s="4"/>
      <c r="G10" s="4"/>
      <c r="H10" s="4"/>
      <c r="I10" s="4"/>
    </row>
    <row r="11" spans="1:11" ht="18.75" customHeight="1" x14ac:dyDescent="0.15">
      <c r="B11" s="92" t="s">
        <v>23</v>
      </c>
      <c r="C11" s="93"/>
      <c r="D11" s="94"/>
      <c r="E11" s="93" t="s">
        <v>25</v>
      </c>
      <c r="F11" s="93"/>
      <c r="G11" s="93"/>
      <c r="H11" s="93"/>
      <c r="I11" s="94"/>
    </row>
    <row r="12" spans="1:11" ht="26.25" customHeight="1" x14ac:dyDescent="0.15">
      <c r="B12" s="39" t="s">
        <v>13</v>
      </c>
      <c r="C12" s="46"/>
      <c r="D12" s="40"/>
      <c r="E12" s="47"/>
      <c r="F12" s="47"/>
      <c r="G12" s="47"/>
      <c r="H12" s="47"/>
      <c r="I12" s="40"/>
    </row>
    <row r="13" spans="1:11" ht="210.75" customHeight="1" x14ac:dyDescent="0.15">
      <c r="B13" s="41"/>
      <c r="C13" s="237" t="s">
        <v>14</v>
      </c>
      <c r="D13" s="238"/>
      <c r="E13" s="234" t="s">
        <v>166</v>
      </c>
      <c r="F13" s="235"/>
      <c r="G13" s="235"/>
      <c r="H13" s="235"/>
      <c r="I13" s="236"/>
      <c r="K13" s="1">
        <f>LEN(E13)</f>
        <v>75</v>
      </c>
    </row>
    <row r="14" spans="1:11" ht="210.75" customHeight="1" x14ac:dyDescent="0.15">
      <c r="B14" s="41"/>
      <c r="C14" s="232" t="s">
        <v>15</v>
      </c>
      <c r="D14" s="233"/>
      <c r="E14" s="234" t="s">
        <v>169</v>
      </c>
      <c r="F14" s="235"/>
      <c r="G14" s="235"/>
      <c r="H14" s="235"/>
      <c r="I14" s="236"/>
      <c r="K14" s="1">
        <f t="shared" ref="K14:K22" si="0">LEN(E14)</f>
        <v>178</v>
      </c>
    </row>
    <row r="15" spans="1:11" ht="210.75" customHeight="1" x14ac:dyDescent="0.15">
      <c r="B15" s="41"/>
      <c r="C15" s="237" t="s">
        <v>16</v>
      </c>
      <c r="D15" s="238"/>
      <c r="E15" s="234" t="s">
        <v>192</v>
      </c>
      <c r="F15" s="235"/>
      <c r="G15" s="235"/>
      <c r="H15" s="235"/>
      <c r="I15" s="236"/>
      <c r="K15" s="1">
        <f t="shared" si="0"/>
        <v>190</v>
      </c>
    </row>
    <row r="16" spans="1:11" ht="161.44999999999999" customHeight="1" x14ac:dyDescent="0.15">
      <c r="B16" s="41"/>
      <c r="C16" s="237" t="s">
        <v>17</v>
      </c>
      <c r="D16" s="238"/>
      <c r="E16" s="234" t="s">
        <v>170</v>
      </c>
      <c r="F16" s="235"/>
      <c r="G16" s="235"/>
      <c r="H16" s="235"/>
      <c r="I16" s="236"/>
      <c r="K16" s="1">
        <f t="shared" si="0"/>
        <v>271</v>
      </c>
    </row>
    <row r="17" spans="2:11" ht="210.75" customHeight="1" x14ac:dyDescent="0.15">
      <c r="B17" s="42"/>
      <c r="C17" s="241" t="s">
        <v>18</v>
      </c>
      <c r="D17" s="242"/>
      <c r="E17" s="243" t="s">
        <v>171</v>
      </c>
      <c r="F17" s="244"/>
      <c r="G17" s="244"/>
      <c r="H17" s="244"/>
      <c r="I17" s="245"/>
      <c r="K17" s="1">
        <f t="shared" si="0"/>
        <v>264</v>
      </c>
    </row>
    <row r="18" spans="2:11" ht="24" customHeight="1" x14ac:dyDescent="0.15">
      <c r="B18" s="39" t="s">
        <v>19</v>
      </c>
      <c r="C18" s="43"/>
      <c r="D18" s="44"/>
      <c r="E18" s="45"/>
      <c r="F18" s="45"/>
      <c r="G18" s="45"/>
      <c r="H18" s="45"/>
      <c r="I18" s="48"/>
      <c r="K18" s="1">
        <f t="shared" si="0"/>
        <v>0</v>
      </c>
    </row>
    <row r="19" spans="2:11" ht="218.25" customHeight="1" x14ac:dyDescent="0.15">
      <c r="B19" s="41"/>
      <c r="C19" s="237" t="s">
        <v>20</v>
      </c>
      <c r="D19" s="238"/>
      <c r="E19" s="235" t="s">
        <v>193</v>
      </c>
      <c r="F19" s="235"/>
      <c r="G19" s="235"/>
      <c r="H19" s="235"/>
      <c r="I19" s="236"/>
      <c r="K19" s="1">
        <f t="shared" si="0"/>
        <v>92</v>
      </c>
    </row>
    <row r="20" spans="2:11" ht="218.25" customHeight="1" x14ac:dyDescent="0.15">
      <c r="B20" s="42"/>
      <c r="C20" s="241" t="s">
        <v>21</v>
      </c>
      <c r="D20" s="242"/>
      <c r="E20" s="244" t="s">
        <v>167</v>
      </c>
      <c r="F20" s="244"/>
      <c r="G20" s="244"/>
      <c r="H20" s="244"/>
      <c r="I20" s="245"/>
      <c r="K20" s="1">
        <f t="shared" si="0"/>
        <v>91</v>
      </c>
    </row>
    <row r="21" spans="2:11" ht="218.25" customHeight="1" x14ac:dyDescent="0.15">
      <c r="B21" s="251" t="s">
        <v>22</v>
      </c>
      <c r="C21" s="252"/>
      <c r="D21" s="253"/>
      <c r="E21" s="254" t="s">
        <v>194</v>
      </c>
      <c r="F21" s="254"/>
      <c r="G21" s="254"/>
      <c r="H21" s="254"/>
      <c r="I21" s="255"/>
      <c r="K21" s="1">
        <f t="shared" si="0"/>
        <v>255</v>
      </c>
    </row>
    <row r="22" spans="2:11" ht="218.25" customHeight="1" x14ac:dyDescent="0.15">
      <c r="B22" s="246" t="s">
        <v>135</v>
      </c>
      <c r="C22" s="247"/>
      <c r="D22" s="248"/>
      <c r="E22" s="249" t="s">
        <v>191</v>
      </c>
      <c r="F22" s="249"/>
      <c r="G22" s="249"/>
      <c r="H22" s="249"/>
      <c r="I22" s="250"/>
      <c r="K22" s="1">
        <f t="shared" si="0"/>
        <v>132</v>
      </c>
    </row>
    <row r="23" spans="2:11" ht="22.5" customHeight="1" x14ac:dyDescent="0.15">
      <c r="B23" s="4"/>
      <c r="C23" s="4"/>
      <c r="D23" s="4"/>
      <c r="E23" s="4"/>
      <c r="F23" s="4"/>
      <c r="G23" s="4"/>
      <c r="H23" s="4"/>
      <c r="I23" s="4"/>
    </row>
    <row r="24" spans="2:11" ht="22.5" customHeight="1" x14ac:dyDescent="0.15">
      <c r="B24" s="4"/>
      <c r="C24" s="4"/>
      <c r="D24" s="4"/>
      <c r="E24" s="4"/>
      <c r="F24" s="4"/>
      <c r="G24" s="4"/>
      <c r="H24" s="4"/>
      <c r="I24" s="4"/>
    </row>
    <row r="25" spans="2:11" ht="22.5" customHeight="1" x14ac:dyDescent="0.15">
      <c r="B25" s="4"/>
      <c r="C25" s="4"/>
      <c r="D25" s="4"/>
      <c r="E25" s="4"/>
      <c r="F25" s="4"/>
      <c r="G25" s="4"/>
      <c r="H25" s="4"/>
      <c r="I25" s="4"/>
    </row>
    <row r="26" spans="2:11" ht="22.5" customHeight="1" x14ac:dyDescent="0.15">
      <c r="B26" s="4"/>
      <c r="C26" s="4"/>
      <c r="D26" s="4"/>
      <c r="E26" s="4"/>
      <c r="F26" s="4"/>
      <c r="G26" s="4"/>
      <c r="H26" s="4"/>
      <c r="I26" s="4"/>
    </row>
    <row r="27" spans="2:11" ht="22.5" customHeight="1" x14ac:dyDescent="0.15">
      <c r="B27" s="4"/>
      <c r="C27" s="4"/>
      <c r="D27" s="4"/>
      <c r="E27" s="4"/>
      <c r="F27" s="4"/>
      <c r="G27" s="4"/>
      <c r="H27" s="4"/>
      <c r="I27" s="4"/>
    </row>
    <row r="28" spans="2:11" ht="22.5" customHeight="1" x14ac:dyDescent="0.15">
      <c r="B28" s="14"/>
      <c r="C28" s="14"/>
      <c r="D28" s="14"/>
      <c r="E28" s="14"/>
      <c r="F28" s="14"/>
      <c r="G28" s="14"/>
      <c r="H28" s="14"/>
      <c r="I28" s="14"/>
    </row>
    <row r="29" spans="2:11" ht="22.5" customHeight="1" x14ac:dyDescent="0.15">
      <c r="B29" s="14"/>
      <c r="C29" s="14"/>
      <c r="D29" s="14"/>
      <c r="E29" s="14"/>
      <c r="F29" s="14"/>
      <c r="G29" s="14"/>
      <c r="H29" s="14"/>
      <c r="I29" s="14"/>
    </row>
    <row r="30" spans="2:11"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vt:lpstr>
      <vt:lpstr>様式１-２　プログラムを構成する授業科目</vt:lpstr>
      <vt:lpstr>様式１-３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2024-06-12T04:17:32Z</cp:lastPrinted>
  <dcterms:created xsi:type="dcterms:W3CDTF">2011-06-14T05:32:50Z</dcterms:created>
  <dcterms:modified xsi:type="dcterms:W3CDTF">2024-06-12T04:21:53Z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