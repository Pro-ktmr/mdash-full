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C:\Users\nk\Desktop\"/>
    </mc:Choice>
  </mc:AlternateContent>
  <xr:revisionPtr revIDLastSave="0" documentId="13_ncr:1_{56280781-CCB5-4436-862C-022579568067}" xr6:coauthVersionLast="47" xr6:coauthVersionMax="47" xr10:uidLastSave="{00000000-0000-0000-0000-000000000000}"/>
  <bookViews>
    <workbookView xWindow="-108" yWindow="-108" windowWidth="23256" windowHeight="12456" tabRatio="885" xr2:uid="{00000000-000D-0000-FFFF-FFFF00000000}"/>
  </bookViews>
  <sheets>
    <sheet name="様式１-１　プログラムを構成する授業科目" sheetId="39" r:id="rId1"/>
    <sheet name="様式１-２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プログラムを構成する授業科目'!$X$16:$X$18</definedName>
    <definedName name="_xlnm._FilterDatabase" localSheetId="1" hidden="1">'様式１-２　プログラムを構成する授業科目'!$X$16:$X$18</definedName>
    <definedName name="_xlnm._FilterDatabase" localSheetId="2" hidden="1">'様式２ 履修者等数の実績'!#REF!</definedName>
    <definedName name="_xlnm.Print_Area" localSheetId="0">'様式１-１　プログラムを構成する授業科目'!$A$1:$U$112</definedName>
    <definedName name="_xlnm.Print_Area" localSheetId="1">'様式１-２　プログラムを構成する授業科目'!$A$1:$U$112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 i="40" l="1"/>
  <c r="I2" i="42" l="1"/>
  <c r="M7" i="40"/>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<sst xmlns="http://schemas.openxmlformats.org/spreadsheetml/2006/main" count="482" uniqueCount="201">
  <si>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</si>
  <si>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</si>
  <si>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</si>
  <si>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</si>
  <si>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</si>
  <si>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</si>
  <si>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</si>
  <si>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</si>
  <si>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</si>
  <si>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</si>
  <si>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</si>
  <si>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</si>
  <si>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</si>
  <si>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</si>
  <si>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</si>
  <si>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</si>
  <si>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</si>
  <si>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</si>
  <si>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</si>
  <si>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</si>
  <si>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</si>
  <si>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</si>
  <si>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</si>
  <si>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</si>
  <si>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</si>
  <si>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</si>
  <si>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</si>
  <si>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</si>
  <si>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</si>
  <si>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</si>
  <si>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</si>
  <si>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</si>
  <si>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</si>
  <si>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</si>
  <si>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</si>
  <si>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</si>
  <si>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</si>
  <si>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</si>
  <si>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</si>
  <si>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</si>
  <si>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</si>
  <si>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</si>
  <si>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</si>
  <si>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</si>
  <si>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</si>
  <si>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</si>
  <si>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</si>
  <si>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</si>
  <si>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</si>
  <si>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</si>
  <si>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</si>
  <si>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</si>
  <si>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</si>
  <si>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</si>
  <si>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</si>
  <si>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</si>
  <si>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</si>
  <si>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</si>
  <si>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</si>
  <si>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</si>
  <si>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</si>
  <si>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</si>
  <si>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</si>
  <si>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</si>
  <si>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</si>
  <si>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</si>
  <si>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</si>
  <si>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</si>
  <si>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</si>
  <si>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</si>
  <si>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</si>
  <si>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</si>
  <si>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</si>
  <si>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</si>
  <si>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</si>
  <si>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</si>
  <si>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</si>
  <si>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</si>
  <si>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</si>
  <si>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</si>
  <si>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</si>
  <si>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</si>
  <si>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</si>
  <si>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</si>
  <si>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</si>
  <si>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</si>
  <si>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</si>
  <si>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</si>
  <si>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</si>
  <si>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</si>
  <si>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</si>
  <si>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</si>
  <si>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</si>
  <si>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</si>
  <si>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</si>
  <si>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</si>
  <si>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</si>
  <si>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</si>
  <si>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</si>
  <si>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</si>
  <si>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</si>
  <si>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</si>
  <si>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</si>
  <si>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</si>
  <si>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</si>
  <si>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</si>
  <si>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</si>
  <si>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</si>
  <si>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</si>
  <si>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</si>
  <si>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</si>
  <si>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</si>
  <si>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</si>
  <si>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</si>
  <si>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</si>
  <si>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</si>
  <si>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</si>
  <si>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</si>
  <si>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</si>
  <si>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</si>
  <si>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</si>
  <si>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</si>
  <si>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</si>
  <si>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</si>
  <si>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</si>
  <si>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</si>
  <si>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</si>
  <si>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</si>
  <si>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</si>
  <si>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</si>
  <si>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</si>
  <si>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</si>
  <si>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</si>
  <si>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</si>
  <si>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</si>
  <si>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</si>
  <si>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名古屋国際工科専門職大学</t>
    <rPh sb="0" eb="3">
      <t>ナゴヤ</t>
    </rPh>
    <rPh sb="3" eb="5">
      <t>コクサイ</t>
    </rPh>
    <rPh sb="5" eb="7">
      <t>コウカ</t>
    </rPh>
    <rPh sb="7" eb="9">
      <t>センモン</t>
    </rPh>
    <rPh sb="9" eb="10">
      <t>ショク</t>
    </rPh>
    <rPh sb="10" eb="12">
      <t>ダイガク</t>
    </rPh>
    <phoneticPr fontId="1"/>
  </si>
  <si>
    <t>数理・データサイエンス・AI教育リテラシープログラム</t>
    <rPh sb="0" eb="2">
      <t>スウリ</t>
    </rPh>
    <rPh sb="14" eb="16">
      <t>キョウイク</t>
    </rPh>
    <phoneticPr fontId="1"/>
  </si>
  <si>
    <t>自己点検・評価委員会</t>
    <rPh sb="0" eb="2">
      <t>ジコ</t>
    </rPh>
    <rPh sb="2" eb="4">
      <t>テンケン</t>
    </rPh>
    <rPh sb="5" eb="7">
      <t>ヒョウカ</t>
    </rPh>
    <rPh sb="7" eb="10">
      <t>イインカイ</t>
    </rPh>
    <phoneticPr fontId="1"/>
  </si>
  <si>
    <t>松井　信行</t>
    <rPh sb="0" eb="2">
      <t>マツイ</t>
    </rPh>
    <rPh sb="3" eb="5">
      <t>ノブユキ</t>
    </rPh>
    <phoneticPr fontId="1"/>
  </si>
  <si>
    <t>学長</t>
    <rPh sb="0" eb="2">
      <t>ガクチョウ</t>
    </rPh>
    <phoneticPr fontId="1"/>
  </si>
  <si>
    <t>出欠をLMSで把握、単位取得情報は成績管理システムで担任が把握出来るような仕組みが整っている。LMSの出欠情報は、毎週全教員にフィードバックされるため、担当科目の履修・修得状況の向上に努めている。</t>
    <phoneticPr fontId="1"/>
  </si>
  <si>
    <t>本講義受講者全員に対してLMSなどを用いた授業アンケートを実施しており、アンケート結果をもとに、学生の理解度を分析し、学修成果の確認を行っている。</t>
    <phoneticPr fontId="1"/>
  </si>
  <si>
    <t>授業アンケートの分析結果等により、数理の理解度が高くないことから、教員を増員するなど指導体制の強化を図っていく。</t>
    <phoneticPr fontId="1"/>
  </si>
  <si>
    <t>本科目は全学的な卒業必修科目に位置付けられている。卒業までにすべての履修者は本プログラムを修了することになる。</t>
    <phoneticPr fontId="1"/>
  </si>
  <si>
    <t>LMSなどを用いた授業アンケートにより、学生の意見を抽出する仕組みがあり、FD活動等を通じてより「分かりやすい」授業となるよう努めている。</t>
    <phoneticPr fontId="1"/>
  </si>
  <si>
    <t>教授</t>
    <rPh sb="0" eb="2">
      <t>キョウジュ</t>
    </rPh>
    <phoneticPr fontId="1"/>
  </si>
  <si>
    <t>本学カリキュラムの中で、「数理・データサイエンス・AI」に関する科目の履修と、教育内容の高度化を図り、当該領域の基盤を固めるとともに、接続科目との整合性を調整してし、教育効果の改善を推進していく。</t>
    <phoneticPr fontId="1"/>
  </si>
  <si>
    <t>本学ではプログラムを構成する授業科目が必修科目となっているため、現体制を維持することにより、履修者数・履修率が向上していく。</t>
    <phoneticPr fontId="1"/>
  </si>
  <si>
    <t>全学共通の施策として以下の２点が実施されている。
(1)LMSによる課題の提出を行い、評価のフィードバックを行えるような環境を提供している。
(2)Slackにより授業の補足の情報の配信を行い、また学生から各科目の教員に質問を行う
ことができる環境を提供している。</t>
    <phoneticPr fontId="1"/>
  </si>
  <si>
    <t>工科学部・情報工学科</t>
    <phoneticPr fontId="1"/>
  </si>
  <si>
    <t>情報工学概論</t>
    <rPh sb="0" eb="2">
      <t>ジョウホウ</t>
    </rPh>
    <rPh sb="2" eb="4">
      <t>コウガク</t>
    </rPh>
    <rPh sb="4" eb="6">
      <t>ガイロン</t>
    </rPh>
    <phoneticPr fontId="1"/>
  </si>
  <si>
    <t>コンピュータアーキテクチャ</t>
    <phoneticPr fontId="1"/>
  </si>
  <si>
    <t>確率統計論</t>
    <rPh sb="0" eb="2">
      <t>カクリツ</t>
    </rPh>
    <rPh sb="2" eb="4">
      <t>トウケイ</t>
    </rPh>
    <rPh sb="4" eb="5">
      <t>ロン</t>
    </rPh>
    <phoneticPr fontId="1"/>
  </si>
  <si>
    <t>○</t>
  </si>
  <si>
    <t>4-1統計および数理基礎</t>
  </si>
  <si>
    <t>全学共通の施策として以下の２点が実施されている。
(1)LMSによる課題の提出を行い、評価のフィードバック２を行えるような環境を提供している。
(2)Slackにより授業の補足の情報の配信を行い、また学生から各科目の教員に質問を行う
ことができる環境を提供している。</t>
    <phoneticPr fontId="1"/>
  </si>
  <si>
    <t xml:space="preserve">情報工学の学問体系の概要、技術動向、およびこれらの背後に存在する様々な学問体系について理解し、以下の能力・知識を獲得する。
・コンピュータを組み込んだ製品 (embedded system)、情報システムの社会での応用例についての説明能力
・AIシステム／IoTシステム／ロボットの原理、歴史、応用例に関する基礎知識
</t>
    <phoneticPr fontId="1"/>
  </si>
  <si>
    <t>本科目は必修科目のため、履修する上での先輩から後輩、他学生への推奨、という場面は特段発生しないが、学内コミュニケーションツールとして整備したSlackによる学年を超えた交流や研究室活動、課外活動など上級生と下級生が交流する状況において、本教育プログラムで身につけた知識やスキル、数理・データサイエンス・AIなどの話題が学びの基盤となることを相互に共有し、また刺激しあう状況があると考えられる。</t>
    <phoneticPr fontId="1"/>
  </si>
  <si>
    <t>令和３年度から始まった講義であり、まだ修了者の進路、活躍状況、企業の評価は調査されていない。今後、卒業生調査を行うことを予定している。</t>
    <phoneticPr fontId="1"/>
  </si>
  <si>
    <t>本学では、産業界からの視点を教育に反映させるため、産業界と「教育課程連携協議会」を運営し、意見をいただいている。また、地域共創デザイン実習や臨地実務実習において、数理・データサイエンス・AIに関する基礎学力の強化を求める意見や期待が出されている。</t>
    <phoneticPr fontId="1"/>
  </si>
  <si>
    <t>キャリア教育プログラムの一環として両学科合同による拡大授業に外部講師を招き、講演を行っている。AI・深層学習に関する最先端・第一線の研究者を招いた講演により、学びの楽しさを感じることができるような機会を与えるよう工夫している。</t>
    <phoneticPr fontId="1"/>
  </si>
  <si>
    <t>情報工学科の「情報工学概論」「コンピュータアーキテクチャ」「確率統計論」は、それぞれともに本学の数理・データサイエンス・AIに関する基礎科目であり、各学科で卒業必修科目に位置付けられているため、すべての学生が履修する。</t>
    <phoneticPr fontId="1"/>
  </si>
  <si>
    <t>西井　育生（デジタルエンタテイメント学科、教授）
佐藤　省三（情報工学科、教授）
小南　哲也（情報工学科、教授）
伊部　公紀（デジタルエンタテインメント学科、講師）
田中　厚美（デジタルエンタテインメント学科、講師）</t>
    <rPh sb="0" eb="2">
      <t>ニシイ</t>
    </rPh>
    <rPh sb="3" eb="4">
      <t>イク</t>
    </rPh>
    <rPh sb="4" eb="5">
      <t>イ</t>
    </rPh>
    <rPh sb="41" eb="43">
      <t>コミナミ</t>
    </rPh>
    <rPh sb="44" eb="46">
      <t>テツヤ</t>
    </rPh>
    <rPh sb="53" eb="55">
      <t>キョウジュ</t>
    </rPh>
    <rPh sb="57" eb="59">
      <t>イベ</t>
    </rPh>
    <rPh sb="83" eb="85">
      <t>タナカ</t>
    </rPh>
    <rPh sb="86" eb="88">
      <t>アツミ</t>
    </rPh>
    <rPh sb="102" eb="104">
      <t>ガッカ</t>
    </rPh>
    <rPh sb="105" eb="107">
      <t>コウシ</t>
    </rPh>
    <phoneticPr fontId="1"/>
  </si>
  <si>
    <t>西井　育生</t>
    <rPh sb="0" eb="2">
      <t>ニシイ</t>
    </rPh>
    <rPh sb="3" eb="4">
      <t>イク</t>
    </rPh>
    <rPh sb="4" eb="5">
      <t>イ</t>
    </rPh>
    <phoneticPr fontId="1"/>
  </si>
  <si>
    <t>FD委員会</t>
    <rPh sb="2" eb="5">
      <t>イインカイ</t>
    </rPh>
    <phoneticPr fontId="1"/>
  </si>
  <si>
    <t>様式１-１</t>
    <rPh sb="0" eb="2">
      <t>ヨウシキ</t>
    </rPh>
    <phoneticPr fontId="1"/>
  </si>
  <si>
    <t>様式１-２</t>
    <rPh sb="0" eb="2">
      <t>ヨウシキ</t>
    </rPh>
    <phoneticPr fontId="1"/>
  </si>
  <si>
    <t>工科学部・デジタルエンタテインメント学科</t>
    <phoneticPr fontId="1"/>
  </si>
  <si>
    <t>デジタルエンタテインメント学科では、１年次開講の「コンテンツデザイン概論」、「電子情報工学概論」と２年次開講の「統計論」の各2単位の科目をすべて履修し、合計6単位を取得することにより、本プログラムの修了認定となります。</t>
    <phoneticPr fontId="1"/>
  </si>
  <si>
    <t>コンテンツデザイン概論</t>
    <rPh sb="9" eb="11">
      <t>ガイロン</t>
    </rPh>
    <phoneticPr fontId="1"/>
  </si>
  <si>
    <t>電子情報工学概論</t>
    <rPh sb="0" eb="2">
      <t>デンシ</t>
    </rPh>
    <rPh sb="2" eb="4">
      <t>ジョウホウ</t>
    </rPh>
    <rPh sb="4" eb="6">
      <t>コウガク</t>
    </rPh>
    <rPh sb="6" eb="8">
      <t>ガイロン</t>
    </rPh>
    <phoneticPr fontId="1"/>
  </si>
  <si>
    <t>統計論</t>
    <rPh sb="0" eb="2">
      <t>トウケイ</t>
    </rPh>
    <rPh sb="2" eb="3">
      <t>ロン</t>
    </rPh>
    <phoneticPr fontId="1"/>
  </si>
  <si>
    <t>高度な芸術的表現能力をもった高次のコンテンツクリエータを目指すために必要な以下の能力・知識を獲得する。
・数理的知識やプログラミング能力などの論理的思考能力
・メディアテクノロジーの進展にともなうコンテンツ領域の拡大、新たなコンテンツ文化の醸成、デジタルコンテンツにおける歴史的背景に関する基礎知識</t>
    <phoneticPr fontId="1"/>
  </si>
  <si>
    <t>情報工学科では、１年次開講の「情報工学概論」と２年次開講の「確率統計論」の各2単位と、1年次開講の「コンピュータアーキテクチャ」の4単位の科目をすべて履修し、合計8単位を取得することにより、本プログラムの修了認定となります。</t>
    <rPh sb="44" eb="45">
      <t>ネン</t>
    </rPh>
    <rPh sb="45" eb="46">
      <t>ジ</t>
    </rPh>
    <rPh sb="46" eb="48">
      <t>カイコウ</t>
    </rPh>
    <phoneticPr fontId="1"/>
  </si>
  <si>
    <t>情報工学科</t>
    <rPh sb="0" eb="2">
      <t>ジョウホウ</t>
    </rPh>
    <rPh sb="2" eb="5">
      <t>コウガッカ</t>
    </rPh>
    <phoneticPr fontId="1"/>
  </si>
  <si>
    <t>デジタルエンタテインメント学科</t>
    <rPh sb="13" eb="15">
      <t>ガッカ</t>
    </rPh>
    <phoneticPr fontId="1"/>
  </si>
  <si>
    <t>令和3</t>
    <rPh sb="0" eb="2">
      <t>レイワ</t>
    </rPh>
    <phoneticPr fontId="1"/>
  </si>
  <si>
    <t>名古屋国際工科専門職大学 FD(ファカルティ・ディベロップメント)委員会規程</t>
    <phoneticPr fontId="1"/>
  </si>
  <si>
    <t>AI最新技術の活用例「情報工学概論」（15回）</t>
    <phoneticPr fontId="1"/>
  </si>
  <si>
    <t>AI最新技術の活用例「情報工学概論」（15回）</t>
    <rPh sb="2" eb="4">
      <t>サイシン</t>
    </rPh>
    <rPh sb="4" eb="6">
      <t>ギジュツ</t>
    </rPh>
    <rPh sb="7" eb="9">
      <t>カツヨウ</t>
    </rPh>
    <rPh sb="9" eb="10">
      <t>レイ</t>
    </rPh>
    <rPh sb="11" eb="13">
      <t>ジョウホウ</t>
    </rPh>
    <rPh sb="13" eb="15">
      <t>コウガク</t>
    </rPh>
    <rPh sb="15" eb="17">
      <t>ガイロン</t>
    </rPh>
    <rPh sb="21" eb="22">
      <t>カイ</t>
    </rPh>
    <phoneticPr fontId="1"/>
  </si>
  <si>
    <t>データ・AI利活用事例紹介「情報工学概論」（14回）</t>
    <rPh sb="6" eb="9">
      <t>リカツヨウ</t>
    </rPh>
    <rPh sb="9" eb="11">
      <t>ジレイ</t>
    </rPh>
    <rPh sb="11" eb="13">
      <t>ショウカイ</t>
    </rPh>
    <rPh sb="14" eb="16">
      <t>ジョウホウ</t>
    </rPh>
    <rPh sb="16" eb="18">
      <t>コウガク</t>
    </rPh>
    <rPh sb="18" eb="20">
      <t>ガイロン</t>
    </rPh>
    <rPh sb="24" eb="25">
      <t>カイ</t>
    </rPh>
    <phoneticPr fontId="1"/>
  </si>
  <si>
    <t>データ倫理、AIサービスの責任論「情報工学概論」（14回）</t>
    <rPh sb="3" eb="5">
      <t>リンリ</t>
    </rPh>
    <rPh sb="13" eb="15">
      <t>セキニン</t>
    </rPh>
    <rPh sb="15" eb="16">
      <t>ロン</t>
    </rPh>
    <rPh sb="17" eb="19">
      <t>ジョウホウ</t>
    </rPh>
    <rPh sb="19" eb="21">
      <t>コウガク</t>
    </rPh>
    <rPh sb="21" eb="23">
      <t>ガイロン</t>
    </rPh>
    <rPh sb="27" eb="28">
      <t>カイ</t>
    </rPh>
    <phoneticPr fontId="1"/>
  </si>
  <si>
    <t>情報セキュリティ、暗号化「コンピュータアーキテクチャ」（29回）</t>
    <phoneticPr fontId="1"/>
  </si>
  <si>
    <t>AI最新技術の活用例「コンテンツデザイン概論」（14・15回）</t>
    <phoneticPr fontId="1"/>
  </si>
  <si>
    <t>データ・AI利活用事例紹介「コンテンツデザイン概論」（14・15回）</t>
    <phoneticPr fontId="1"/>
  </si>
  <si>
    <t>データ・AI活用における負の事例紹介「コンテンツデザイン概論」（15回）</t>
    <phoneticPr fontId="1"/>
  </si>
  <si>
    <t>暗号化、情報セキュリティ「電子情報工学概論」（12・14回）</t>
    <rPh sb="0" eb="3">
      <t>アンゴウカ</t>
    </rPh>
    <rPh sb="4" eb="6">
      <t>ジョウホウ</t>
    </rPh>
    <rPh sb="13" eb="15">
      <t>デンシ</t>
    </rPh>
    <rPh sb="15" eb="17">
      <t>ジョウホウ</t>
    </rPh>
    <rPh sb="17" eb="19">
      <t>コウガク</t>
    </rPh>
    <rPh sb="19" eb="21">
      <t>ガイロン</t>
    </rPh>
    <rPh sb="28" eb="29">
      <t>カイ</t>
    </rPh>
    <phoneticPr fontId="1"/>
  </si>
  <si>
    <t>非構造化データ処理:言語処理、画像処理「コンピュータアーキテクチャ」（23回）、認識技術「情報工学概論」（6回）、データ可視化「物理解析基礎」（8・9・10回）</t>
    <rPh sb="60" eb="63">
      <t>カシカ</t>
    </rPh>
    <rPh sb="64" eb="66">
      <t>ブツリ</t>
    </rPh>
    <rPh sb="66" eb="68">
      <t>カイセキ</t>
    </rPh>
    <rPh sb="68" eb="70">
      <t>キソ</t>
    </rPh>
    <rPh sb="78" eb="79">
      <t>カイ</t>
    </rPh>
    <phoneticPr fontId="1"/>
  </si>
  <si>
    <t>IoT、AI、ロボット「情報工学概論」（1回）</t>
    <rPh sb="12" eb="14">
      <t>ジョウホウ</t>
    </rPh>
    <rPh sb="14" eb="16">
      <t>コウガク</t>
    </rPh>
    <rPh sb="16" eb="18">
      <t>ガイロン</t>
    </rPh>
    <rPh sb="21" eb="22">
      <t>カイ</t>
    </rPh>
    <phoneticPr fontId="1"/>
  </si>
  <si>
    <t>データ・AI活用領域の広がり「確率統計論」（1回）</t>
    <rPh sb="6" eb="8">
      <t>カツヨウ</t>
    </rPh>
    <rPh sb="8" eb="10">
      <t>リョウイキ</t>
    </rPh>
    <rPh sb="11" eb="12">
      <t>ヒロ</t>
    </rPh>
    <rPh sb="15" eb="17">
      <t>カクリツ</t>
    </rPh>
    <rPh sb="17" eb="19">
      <t>トウケイ</t>
    </rPh>
    <rPh sb="19" eb="20">
      <t>ロン</t>
    </rPh>
    <rPh sb="23" eb="24">
      <t>カイ</t>
    </rPh>
    <phoneticPr fontId="1"/>
  </si>
  <si>
    <t>データのばらつき（分散、標準偏差）、相関と因果「確率統計論」（2回）</t>
    <rPh sb="9" eb="11">
      <t>ブンサン</t>
    </rPh>
    <rPh sb="12" eb="14">
      <t>ヒョウジュン</t>
    </rPh>
    <rPh sb="14" eb="16">
      <t>ヘンサ</t>
    </rPh>
    <rPh sb="18" eb="20">
      <t>ソウカン</t>
    </rPh>
    <rPh sb="21" eb="23">
      <t>インガ</t>
    </rPh>
    <rPh sb="24" eb="26">
      <t>カクリツ</t>
    </rPh>
    <rPh sb="26" eb="28">
      <t>トウケイ</t>
    </rPh>
    <rPh sb="28" eb="29">
      <t>ロン</t>
    </rPh>
    <rPh sb="32" eb="33">
      <t>カイ</t>
    </rPh>
    <phoneticPr fontId="1"/>
  </si>
  <si>
    <t>データ表現「確率統計論」（2回）</t>
    <rPh sb="3" eb="5">
      <t>ヒョウゲン</t>
    </rPh>
    <rPh sb="6" eb="8">
      <t>カクリツ</t>
    </rPh>
    <rPh sb="8" eb="10">
      <t>トウケイ</t>
    </rPh>
    <rPh sb="10" eb="11">
      <t>ロン</t>
    </rPh>
    <rPh sb="14" eb="15">
      <t>カイ</t>
    </rPh>
    <phoneticPr fontId="1"/>
  </si>
  <si>
    <t>データの集計「確率統計論」（8回）</t>
    <rPh sb="4" eb="6">
      <t>シュウケイ</t>
    </rPh>
    <rPh sb="7" eb="9">
      <t>カクリツ</t>
    </rPh>
    <rPh sb="9" eb="11">
      <t>トウケイ</t>
    </rPh>
    <rPh sb="11" eb="12">
      <t>ロン</t>
    </rPh>
    <rPh sb="15" eb="16">
      <t>カイ</t>
    </rPh>
    <phoneticPr fontId="1"/>
  </si>
  <si>
    <t>データ可視化「物理解析基礎」（8・9・10回）</t>
    <phoneticPr fontId="1"/>
  </si>
  <si>
    <t>人間の知的活動を起点としたものの見方「コンテンツデザイン概論概論」（8回）</t>
    <phoneticPr fontId="1"/>
  </si>
  <si>
    <t>調査データ、実験データ「統計論」（1回）</t>
    <rPh sb="0" eb="2">
      <t>チョウサ</t>
    </rPh>
    <rPh sb="6" eb="8">
      <t>ジッケン</t>
    </rPh>
    <rPh sb="12" eb="14">
      <t>トウケイ</t>
    </rPh>
    <rPh sb="14" eb="15">
      <t>ロン</t>
    </rPh>
    <rPh sb="18" eb="19">
      <t>カイ</t>
    </rPh>
    <phoneticPr fontId="1"/>
  </si>
  <si>
    <t>データ・AI活用領域の広がり「統計論」（1回）</t>
    <rPh sb="6" eb="8">
      <t>カツヨウ</t>
    </rPh>
    <rPh sb="8" eb="10">
      <t>リョウイキ</t>
    </rPh>
    <rPh sb="11" eb="12">
      <t>ヒロ</t>
    </rPh>
    <rPh sb="15" eb="17">
      <t>トウケイ</t>
    </rPh>
    <rPh sb="17" eb="18">
      <t>ロン</t>
    </rPh>
    <rPh sb="21" eb="22">
      <t>カイ</t>
    </rPh>
    <phoneticPr fontId="1"/>
  </si>
  <si>
    <t>データのばらつき（分散、標準偏差）、相関と因果「統計論」（2回）</t>
    <rPh sb="9" eb="11">
      <t>ブンサン</t>
    </rPh>
    <rPh sb="12" eb="14">
      <t>ヒョウジュン</t>
    </rPh>
    <rPh sb="14" eb="16">
      <t>ヘンサ</t>
    </rPh>
    <rPh sb="18" eb="20">
      <t>ソウカン</t>
    </rPh>
    <rPh sb="21" eb="23">
      <t>インガ</t>
    </rPh>
    <rPh sb="24" eb="26">
      <t>トウケイ</t>
    </rPh>
    <rPh sb="26" eb="27">
      <t>ロン</t>
    </rPh>
    <rPh sb="30" eb="31">
      <t>カイ</t>
    </rPh>
    <phoneticPr fontId="1"/>
  </si>
  <si>
    <t>データ表現「統計論」（2回）</t>
    <rPh sb="3" eb="5">
      <t>ヒョウゲン</t>
    </rPh>
    <rPh sb="6" eb="8">
      <t>トウケイ</t>
    </rPh>
    <rPh sb="8" eb="9">
      <t>ロン</t>
    </rPh>
    <rPh sb="12" eb="13">
      <t>カイ</t>
    </rPh>
    <phoneticPr fontId="1"/>
  </si>
  <si>
    <t>データの集計「確率統計論」（2回）</t>
    <rPh sb="4" eb="6">
      <t>シュウケイ</t>
    </rPh>
    <rPh sb="7" eb="9">
      <t>カクリツ</t>
    </rPh>
    <rPh sb="9" eb="11">
      <t>トウケイ</t>
    </rPh>
    <rPh sb="11" eb="12">
      <t>ロン</t>
    </rPh>
    <rPh sb="15" eb="16">
      <t>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</si>
</sst>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b/>
      <sz val="12"/>
      <color rgb="FFFF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1" xfId="0" applyFont="1" applyBorder="1" applyAlignment="1">
      <alignment horizontal="left" vertical="center"/>
    </xf>
    <xf numFmtId="9" fontId="2" fillId="0" borderId="45" xfId="0" applyNumberFormat="1" applyFont="1" applyBorder="1" applyAlignment="1">
      <alignment vertical="center" shrinkToFit="1"/>
    </xf>
    <xf numFmtId="9" fontId="2" fillId="0" borderId="1" xfId="0" applyNumberFormat="1"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7" xfId="0" applyNumberFormat="1" applyFont="1" applyBorder="1" applyAlignment="1">
      <alignment horizontal="left" vertical="center" wrapText="1"/>
    </xf>
    <xf numFmtId="49" fontId="3" fillId="0" borderId="8" xfId="0" applyNumberFormat="1" applyFont="1" applyBorder="1" applyAlignment="1">
      <alignment horizontal="left" vertical="center" wrapText="1"/>
    </xf>
    <xf numFmtId="49" fontId="3" fillId="0" borderId="9" xfId="0" applyNumberFormat="1" applyFont="1" applyBorder="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6" fillId="0" borderId="0" xfId="0" applyFont="1" applyAlignment="1">
      <alignment horizontal="center" vertical="center" shrinkToFit="1"/>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5" fillId="0" borderId="1" xfId="0" applyFont="1" applyBorder="1" applyAlignment="1">
      <alignment vertical="center" wrapText="1"/>
    </xf>
    <xf numFmtId="0" fontId="12" fillId="0" borderId="1" xfId="0" applyFont="1" applyBorder="1" applyAlignment="1">
      <alignment horizontal="center" vertical="center"/>
    </xf>
    <xf numFmtId="0" fontId="17" fillId="0" borderId="5" xfId="0" applyFont="1" applyBorder="1" applyAlignment="1">
      <alignment horizontal="left" vertical="center" wrapText="1"/>
    </xf>
    <xf numFmtId="0" fontId="17" fillId="0" borderId="0" xfId="0" applyFont="1" applyAlignment="1">
      <alignment horizontal="left" vertical="center" wrapText="1"/>
    </xf>
    <xf numFmtId="0" fontId="12" fillId="0" borderId="0" xfId="0" applyFont="1" applyAlignment="1">
      <alignment horizontal="left" vertical="center" wrapText="1"/>
    </xf>
    <xf numFmtId="0" fontId="12" fillId="0" borderId="6" xfId="0"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8" xfId="0" applyNumberFormat="1" applyFont="1" applyBorder="1" applyAlignment="1">
      <alignment horizontal="left" vertical="center"/>
    </xf>
    <xf numFmtId="49" fontId="3" fillId="0" borderId="9"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49" xfId="0" applyNumberFormat="1" applyFont="1" applyBorder="1" applyAlignment="1">
      <alignment horizontal="left" vertical="center" wrapText="1"/>
    </xf>
    <xf numFmtId="49" fontId="3" fillId="0" borderId="50" xfId="0" applyNumberFormat="1" applyFont="1" applyBorder="1" applyAlignment="1">
      <alignment horizontal="left" vertical="center"/>
    </xf>
    <xf numFmtId="49" fontId="3" fillId="0" borderId="51" xfId="0" applyNumberFormat="1" applyFont="1" applyBorder="1" applyAlignment="1">
      <alignment horizontal="left" vertical="center"/>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6" fillId="0" borderId="0" xfId="0" applyFont="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horizontal="left" vertical="top" wrapText="1" shrinkToFit="1"/>
    </xf>
    <xf numFmtId="0" fontId="2" fillId="0" borderId="19" xfId="0" applyFont="1" applyBorder="1" applyAlignment="1">
      <alignment horizontal="left" vertical="top" wrapText="1" shrinkToFit="1"/>
    </xf>
    <xf numFmtId="0" fontId="2" fillId="0" borderId="17" xfId="0" applyFont="1" applyBorder="1" applyAlignment="1">
      <alignment horizontal="lef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49" fontId="3" fillId="0" borderId="44" xfId="0" applyNumberFormat="1" applyFont="1" applyFill="1" applyBorder="1" applyAlignment="1">
      <alignment horizontal="center" vertical="center"/>
    </xf>
    <xf numFmtId="49" fontId="15" fillId="0" borderId="32" xfId="0" applyNumberFormat="1" applyFont="1" applyFill="1" applyBorder="1" applyAlignment="1">
      <alignment horizontal="left" vertical="center" wrapText="1"/>
    </xf>
    <xf numFmtId="49" fontId="15" fillId="0" borderId="33" xfId="0" applyNumberFormat="1" applyFont="1" applyFill="1" applyBorder="1" applyAlignment="1">
      <alignment horizontal="left" vertical="center" wrapText="1"/>
    </xf>
    <xf numFmtId="49" fontId="15" fillId="0" borderId="34" xfId="0" applyNumberFormat="1" applyFont="1" applyFill="1" applyBorder="1" applyAlignment="1">
      <alignment horizontal="left" vertical="center" wrapText="1"/>
    </xf>
    <xf numFmtId="49" fontId="3" fillId="0" borderId="39" xfId="0" applyNumberFormat="1" applyFont="1" applyFill="1" applyBorder="1" applyAlignment="1">
      <alignment horizontal="center" vertical="center"/>
    </xf>
    <xf numFmtId="49" fontId="3" fillId="0" borderId="7" xfId="0" applyNumberFormat="1" applyFont="1" applyFill="1" applyBorder="1" applyAlignment="1">
      <alignment horizontal="left" vertical="center" wrapText="1"/>
    </xf>
    <xf numFmtId="49" fontId="3" fillId="0" borderId="8" xfId="0" applyNumberFormat="1" applyFont="1" applyFill="1" applyBorder="1" applyAlignment="1">
      <alignment horizontal="left" vertical="center" wrapText="1"/>
    </xf>
    <xf numFmtId="49" fontId="3" fillId="0" borderId="9" xfId="0" applyNumberFormat="1" applyFont="1" applyFill="1" applyBorder="1" applyAlignment="1">
      <alignment horizontal="left" vertical="center" wrapText="1"/>
    </xf>
    <xf numFmtId="49" fontId="3" fillId="0" borderId="42" xfId="0" applyNumberFormat="1" applyFont="1" applyFill="1" applyBorder="1" applyAlignment="1">
      <alignment horizontal="center" vertical="center"/>
    </xf>
    <xf numFmtId="49" fontId="3" fillId="0" borderId="43" xfId="0" applyNumberFormat="1" applyFont="1" applyFill="1" applyBorder="1" applyAlignment="1">
      <alignment horizontal="center" vertical="center"/>
    </xf>
    <xf numFmtId="49" fontId="15" fillId="0" borderId="7" xfId="0" applyNumberFormat="1" applyFont="1" applyFill="1" applyBorder="1" applyAlignment="1">
      <alignment horizontal="left" vertical="center" wrapText="1"/>
    </xf>
    <xf numFmtId="49" fontId="15" fillId="0" borderId="8" xfId="0" applyNumberFormat="1" applyFont="1" applyFill="1" applyBorder="1" applyAlignment="1">
      <alignment horizontal="left" vertical="center" wrapText="1"/>
    </xf>
    <xf numFmtId="49" fontId="15" fillId="0" borderId="9" xfId="0" applyNumberFormat="1" applyFont="1" applyFill="1" applyBorder="1" applyAlignment="1">
      <alignment horizontal="left" vertical="center" wrapText="1"/>
    </xf>
    <xf numFmtId="49" fontId="3" fillId="0" borderId="26" xfId="0" applyNumberFormat="1" applyFont="1" applyFill="1" applyBorder="1" applyAlignment="1">
      <alignment horizontal="center" vertical="center"/>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wrapText="1"/>
    </xf>
    <xf numFmtId="49" fontId="3" fillId="0" borderId="34" xfId="0" applyNumberFormat="1" applyFont="1" applyFill="1" applyBorder="1" applyAlignment="1">
      <alignment horizontal="left" vertical="center" wrapText="1"/>
    </xf>
    <xf numFmtId="49" fontId="3" fillId="0" borderId="28" xfId="0" applyNumberFormat="1" applyFont="1" applyFill="1" applyBorder="1" applyAlignment="1">
      <alignment horizontal="center" vertical="center"/>
    </xf>
    <xf numFmtId="49" fontId="3" fillId="0" borderId="49" xfId="0" applyNumberFormat="1" applyFont="1" applyFill="1" applyBorder="1" applyAlignment="1">
      <alignment horizontal="left" vertical="center" wrapText="1"/>
    </xf>
    <xf numFmtId="49" fontId="3" fillId="0" borderId="50" xfId="0" applyNumberFormat="1" applyFont="1" applyFill="1" applyBorder="1" applyAlignment="1">
      <alignment horizontal="left" vertical="center" wrapText="1"/>
    </xf>
    <xf numFmtId="49" fontId="3" fillId="0" borderId="51" xfId="0" applyNumberFormat="1" applyFont="1" applyFill="1" applyBorder="1" applyAlignment="1">
      <alignment horizontal="left" vertical="center" wrapText="1"/>
    </xf>
    <xf numFmtId="49" fontId="3" fillId="0" borderId="5" xfId="0" applyNumberFormat="1" applyFont="1" applyFill="1" applyBorder="1" applyAlignment="1">
      <alignment horizontal="left" vertical="center" wrapText="1"/>
    </xf>
    <xf numFmtId="49" fontId="3" fillId="0" borderId="0" xfId="0" applyNumberFormat="1" applyFont="1" applyFill="1" applyAlignment="1">
      <alignment horizontal="left" vertical="center" wrapText="1"/>
    </xf>
    <xf numFmtId="49" fontId="3" fillId="0" borderId="10" xfId="0" applyNumberFormat="1" applyFont="1" applyFill="1" applyBorder="1" applyAlignment="1">
      <alignment horizontal="left" vertical="center" wrapTex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AD91" sqref="AD91"/>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x14ac:dyDescent="0.2">
      <c r="A1" s="72"/>
      <c r="B1" s="72"/>
      <c r="C1" s="72"/>
      <c r="D1" s="72"/>
      <c r="E1" s="72"/>
      <c r="F1" s="72"/>
      <c r="G1" s="72"/>
      <c r="H1" s="72"/>
      <c r="I1" s="72"/>
      <c r="J1" s="72"/>
      <c r="K1" s="72"/>
      <c r="L1" s="72"/>
      <c r="M1" s="72"/>
      <c r="N1" s="72"/>
      <c r="O1" s="72"/>
      <c r="P1" s="72"/>
      <c r="Q1" s="72"/>
      <c r="R1" s="72"/>
      <c r="S1" s="72"/>
      <c r="T1" s="117" t="s">
        <v>166</v>
      </c>
      <c r="U1" s="117"/>
      <c r="V1" s="2" t="s">
        <v>99</v>
      </c>
    </row>
    <row r="2" spans="1:24" ht="18.75" customHeight="1" x14ac:dyDescent="0.2">
      <c r="A2" s="72"/>
      <c r="B2" s="74" t="s">
        <v>98</v>
      </c>
      <c r="C2" s="118" t="s">
        <v>136</v>
      </c>
      <c r="D2" s="119"/>
      <c r="E2" s="119"/>
      <c r="F2" s="119"/>
      <c r="G2" s="119"/>
      <c r="H2" s="119"/>
      <c r="I2" s="119"/>
      <c r="J2" s="120"/>
      <c r="K2" s="73"/>
      <c r="L2" s="75"/>
      <c r="M2" s="75"/>
      <c r="N2" s="75"/>
      <c r="O2" s="75"/>
      <c r="P2" s="75"/>
      <c r="Q2" s="75"/>
      <c r="R2" s="75"/>
      <c r="S2" s="75"/>
      <c r="T2" s="75"/>
      <c r="U2" s="75"/>
    </row>
    <row r="3" spans="1:24" ht="18.75" customHeight="1" x14ac:dyDescent="0.2">
      <c r="A3" s="72"/>
      <c r="B3" s="74" t="s">
        <v>93</v>
      </c>
      <c r="C3" s="121" t="s">
        <v>137</v>
      </c>
      <c r="D3" s="122"/>
      <c r="E3" s="122"/>
      <c r="F3" s="122"/>
      <c r="G3" s="122"/>
      <c r="H3" s="122"/>
      <c r="I3" s="122"/>
      <c r="J3" s="123"/>
      <c r="K3" s="73"/>
      <c r="L3" s="75"/>
      <c r="M3" s="75"/>
      <c r="N3" s="75"/>
      <c r="O3" s="75"/>
      <c r="P3" s="75"/>
      <c r="Q3" s="75"/>
      <c r="R3" s="75"/>
      <c r="S3" s="75"/>
      <c r="T3" s="75"/>
      <c r="U3" s="75"/>
    </row>
    <row r="4" spans="1:24" ht="15" customHeight="1" x14ac:dyDescent="0.2">
      <c r="A4" s="72"/>
      <c r="B4" s="72"/>
      <c r="C4" s="72"/>
      <c r="D4" s="72"/>
      <c r="E4" s="72"/>
      <c r="F4" s="72"/>
      <c r="G4" s="72"/>
      <c r="H4" s="72"/>
      <c r="I4" s="72"/>
      <c r="J4" s="72"/>
      <c r="K4" s="72"/>
      <c r="L4" s="73"/>
      <c r="M4" s="76"/>
      <c r="N4" s="76"/>
      <c r="O4" s="76"/>
      <c r="P4" s="76"/>
      <c r="Q4" s="76"/>
      <c r="R4" s="76"/>
      <c r="S4" s="76"/>
      <c r="T4" s="76"/>
      <c r="U4" s="76"/>
    </row>
    <row r="5" spans="1:24" ht="18" customHeight="1" x14ac:dyDescent="0.2">
      <c r="A5" s="124" t="s">
        <v>37</v>
      </c>
      <c r="B5" s="124"/>
      <c r="C5" s="124"/>
      <c r="D5" s="124"/>
      <c r="E5" s="124"/>
      <c r="F5" s="124"/>
      <c r="G5" s="124"/>
      <c r="H5" s="124"/>
      <c r="I5" s="124"/>
      <c r="J5" s="124"/>
      <c r="K5" s="124"/>
      <c r="L5" s="124"/>
      <c r="M5" s="124"/>
      <c r="N5" s="124"/>
      <c r="O5" s="124"/>
      <c r="P5" s="124"/>
      <c r="Q5" s="124"/>
      <c r="R5" s="124"/>
      <c r="S5" s="124"/>
      <c r="T5" s="124"/>
      <c r="U5" s="124"/>
    </row>
    <row r="6" spans="1:24" ht="15" customHeight="1" x14ac:dyDescent="0.2">
      <c r="A6" s="72"/>
      <c r="B6" s="77"/>
      <c r="C6" s="77"/>
      <c r="D6" s="77"/>
      <c r="E6" s="77"/>
      <c r="F6" s="77"/>
      <c r="G6" s="77"/>
      <c r="H6" s="77"/>
      <c r="I6" s="77"/>
      <c r="J6" s="77"/>
      <c r="K6" s="77"/>
      <c r="L6" s="77"/>
      <c r="M6" s="77"/>
      <c r="N6" s="77"/>
      <c r="O6" s="77"/>
      <c r="P6" s="77"/>
      <c r="Q6" s="77"/>
      <c r="R6" s="77"/>
      <c r="S6" s="77"/>
      <c r="T6" s="77"/>
      <c r="U6" s="77"/>
    </row>
    <row r="7" spans="1:24" ht="15" customHeight="1" x14ac:dyDescent="0.2">
      <c r="A7" s="72" t="s">
        <v>131</v>
      </c>
      <c r="B7" s="77"/>
      <c r="C7" s="77"/>
      <c r="D7" s="77"/>
      <c r="E7" s="77"/>
      <c r="F7" s="71"/>
      <c r="G7" s="71"/>
      <c r="H7" s="71"/>
      <c r="I7" s="71"/>
      <c r="J7" s="71"/>
      <c r="K7" s="71"/>
      <c r="L7" s="89" t="s">
        <v>129</v>
      </c>
      <c r="M7" s="90"/>
      <c r="N7" s="90"/>
      <c r="O7" s="90"/>
      <c r="P7" s="90"/>
      <c r="Q7" s="90"/>
      <c r="R7" s="90"/>
      <c r="S7" s="90"/>
      <c r="T7" s="90"/>
      <c r="U7" s="91"/>
    </row>
    <row r="8" spans="1:24" ht="6" customHeight="1" x14ac:dyDescent="0.2">
      <c r="A8" s="72"/>
      <c r="B8" s="77"/>
      <c r="C8" s="77"/>
      <c r="D8" s="77"/>
      <c r="E8" s="77"/>
      <c r="F8" s="77"/>
      <c r="G8" s="77"/>
      <c r="H8" s="77"/>
      <c r="I8" s="77"/>
      <c r="J8" s="77"/>
      <c r="K8" s="77"/>
      <c r="L8" s="77"/>
      <c r="M8" s="77"/>
      <c r="N8" s="77"/>
      <c r="O8" s="77"/>
      <c r="P8" s="77"/>
      <c r="Q8" s="77"/>
      <c r="R8" s="77"/>
      <c r="S8" s="77"/>
      <c r="T8" s="77"/>
      <c r="U8" s="77"/>
    </row>
    <row r="9" spans="1:24" ht="18" customHeight="1" x14ac:dyDescent="0.2">
      <c r="A9" s="72" t="s">
        <v>132</v>
      </c>
      <c r="B9" s="72"/>
      <c r="C9" s="77"/>
      <c r="D9" s="77"/>
      <c r="E9" s="72"/>
      <c r="F9" s="72"/>
      <c r="G9" s="72"/>
      <c r="H9" s="72"/>
      <c r="I9" s="72"/>
      <c r="J9" s="72"/>
      <c r="K9" s="73"/>
      <c r="L9" s="71"/>
      <c r="M9" s="71"/>
      <c r="N9" s="71"/>
      <c r="O9" s="71"/>
      <c r="P9" s="71"/>
      <c r="Q9" s="71"/>
      <c r="R9" s="71"/>
      <c r="S9" s="71"/>
      <c r="T9" s="71"/>
      <c r="U9" s="71"/>
    </row>
    <row r="10" spans="1:24" ht="6" customHeight="1" x14ac:dyDescent="0.2">
      <c r="A10" s="72"/>
      <c r="B10" s="77"/>
      <c r="C10" s="77"/>
      <c r="D10" s="77"/>
      <c r="E10" s="77"/>
      <c r="F10" s="77"/>
      <c r="G10" s="77"/>
      <c r="H10" s="77"/>
      <c r="I10" s="77"/>
      <c r="J10" s="77"/>
      <c r="K10" s="77"/>
      <c r="L10" s="78"/>
      <c r="M10" s="77"/>
      <c r="N10" s="77"/>
      <c r="O10" s="77"/>
      <c r="P10" s="77"/>
      <c r="Q10" s="77"/>
      <c r="R10" s="77"/>
      <c r="S10" s="77"/>
      <c r="T10" s="77"/>
      <c r="U10" s="77"/>
    </row>
    <row r="11" spans="1:24" ht="18" customHeight="1" x14ac:dyDescent="0.2">
      <c r="A11" s="72"/>
      <c r="B11" s="101" t="s">
        <v>150</v>
      </c>
      <c r="C11" s="102"/>
      <c r="D11" s="102"/>
      <c r="E11" s="102"/>
      <c r="F11" s="102"/>
      <c r="G11" s="102"/>
      <c r="H11" s="102"/>
      <c r="I11" s="102"/>
      <c r="J11" s="102"/>
      <c r="K11" s="102"/>
      <c r="L11" s="102"/>
      <c r="M11" s="102"/>
      <c r="N11" s="102"/>
      <c r="O11" s="102"/>
      <c r="P11" s="102"/>
      <c r="Q11" s="102"/>
      <c r="R11" s="102"/>
      <c r="S11" s="102"/>
      <c r="T11" s="102"/>
      <c r="U11" s="103"/>
    </row>
    <row r="12" spans="1:24" ht="18" customHeight="1" x14ac:dyDescent="0.2">
      <c r="A12" s="72"/>
      <c r="B12" s="104"/>
      <c r="C12" s="105"/>
      <c r="D12" s="105"/>
      <c r="E12" s="105"/>
      <c r="F12" s="105"/>
      <c r="G12" s="105"/>
      <c r="H12" s="105"/>
      <c r="I12" s="105"/>
      <c r="J12" s="105"/>
      <c r="K12" s="105"/>
      <c r="L12" s="105"/>
      <c r="M12" s="105"/>
      <c r="N12" s="105"/>
      <c r="O12" s="105"/>
      <c r="P12" s="105"/>
      <c r="Q12" s="105"/>
      <c r="R12" s="105"/>
      <c r="S12" s="105"/>
      <c r="T12" s="105"/>
      <c r="U12" s="106"/>
    </row>
    <row r="13" spans="1:24" ht="6" customHeight="1" x14ac:dyDescent="0.2">
      <c r="A13" s="72"/>
      <c r="B13" s="77"/>
      <c r="C13" s="77"/>
      <c r="D13" s="77"/>
      <c r="E13" s="77"/>
      <c r="F13" s="77"/>
      <c r="G13" s="77"/>
      <c r="H13" s="77"/>
      <c r="I13" s="77"/>
      <c r="J13" s="77"/>
      <c r="K13" s="77"/>
      <c r="L13" s="78"/>
      <c r="M13" s="77"/>
      <c r="N13" s="77"/>
      <c r="O13" s="77"/>
      <c r="P13" s="77"/>
      <c r="Q13" s="77"/>
      <c r="R13" s="77"/>
      <c r="S13" s="77"/>
      <c r="T13" s="77"/>
      <c r="U13" s="77"/>
    </row>
    <row r="14" spans="1:24" ht="18" customHeight="1" x14ac:dyDescent="0.2">
      <c r="A14" s="72" t="s">
        <v>100</v>
      </c>
      <c r="B14" s="77"/>
      <c r="C14" s="77"/>
      <c r="D14" s="77"/>
      <c r="E14" s="73"/>
      <c r="F14" s="73"/>
      <c r="G14" s="73"/>
      <c r="H14" s="73"/>
      <c r="I14" s="73"/>
      <c r="J14" s="73"/>
      <c r="K14" s="73"/>
      <c r="L14" s="79"/>
      <c r="M14" s="79"/>
      <c r="N14" s="79"/>
      <c r="O14" s="79"/>
      <c r="P14" s="79"/>
      <c r="Q14" s="79"/>
      <c r="R14" s="79"/>
      <c r="S14" s="79"/>
      <c r="T14" s="79"/>
      <c r="U14" s="79"/>
    </row>
    <row r="15" spans="1:24" ht="18" customHeight="1" x14ac:dyDescent="0.2">
      <c r="A15" s="72"/>
      <c r="B15" s="125" t="s">
        <v>174</v>
      </c>
      <c r="C15" s="126"/>
      <c r="D15" s="126"/>
      <c r="E15" s="126"/>
      <c r="F15" s="126"/>
      <c r="G15" s="126"/>
      <c r="H15" s="126"/>
      <c r="I15" s="126"/>
      <c r="J15" s="126"/>
      <c r="K15" s="126"/>
      <c r="L15" s="126"/>
      <c r="M15" s="126"/>
      <c r="N15" s="126"/>
      <c r="O15" s="126"/>
      <c r="P15" s="126"/>
      <c r="Q15" s="126"/>
      <c r="R15" s="126"/>
      <c r="S15" s="126"/>
      <c r="T15" s="126"/>
      <c r="U15" s="127"/>
      <c r="X15" s="1" t="s">
        <v>94</v>
      </c>
    </row>
    <row r="16" spans="1:24" ht="18" customHeight="1" x14ac:dyDescent="0.2">
      <c r="A16" s="72"/>
      <c r="B16" s="128"/>
      <c r="C16" s="129"/>
      <c r="D16" s="129"/>
      <c r="E16" s="129"/>
      <c r="F16" s="129"/>
      <c r="G16" s="129"/>
      <c r="H16" s="129"/>
      <c r="I16" s="129"/>
      <c r="J16" s="129"/>
      <c r="K16" s="129"/>
      <c r="L16" s="129"/>
      <c r="M16" s="129"/>
      <c r="N16" s="129"/>
      <c r="O16" s="129"/>
      <c r="P16" s="129"/>
      <c r="Q16" s="129"/>
      <c r="R16" s="129"/>
      <c r="S16" s="129"/>
      <c r="T16" s="129"/>
      <c r="U16" s="130"/>
      <c r="X16" s="1" t="s">
        <v>114</v>
      </c>
    </row>
    <row r="17" spans="1:24" ht="18" customHeight="1" x14ac:dyDescent="0.2">
      <c r="A17" s="72"/>
      <c r="B17" s="128"/>
      <c r="C17" s="129"/>
      <c r="D17" s="129"/>
      <c r="E17" s="129"/>
      <c r="F17" s="129"/>
      <c r="G17" s="129"/>
      <c r="H17" s="129"/>
      <c r="I17" s="129"/>
      <c r="J17" s="129"/>
      <c r="K17" s="129"/>
      <c r="L17" s="129"/>
      <c r="M17" s="129"/>
      <c r="N17" s="129"/>
      <c r="O17" s="129"/>
      <c r="P17" s="129"/>
      <c r="Q17" s="129"/>
      <c r="R17" s="129"/>
      <c r="S17" s="129"/>
      <c r="T17" s="129"/>
      <c r="U17" s="130"/>
      <c r="X17" s="1" t="s">
        <v>115</v>
      </c>
    </row>
    <row r="18" spans="1:24" ht="18" customHeight="1" x14ac:dyDescent="0.2">
      <c r="A18" s="72"/>
      <c r="B18" s="128"/>
      <c r="C18" s="129"/>
      <c r="D18" s="129"/>
      <c r="E18" s="129"/>
      <c r="F18" s="129"/>
      <c r="G18" s="129"/>
      <c r="H18" s="129"/>
      <c r="I18" s="129"/>
      <c r="J18" s="129"/>
      <c r="K18" s="129"/>
      <c r="L18" s="129"/>
      <c r="M18" s="129"/>
      <c r="N18" s="129"/>
      <c r="O18" s="129"/>
      <c r="P18" s="129"/>
      <c r="Q18" s="129"/>
      <c r="R18" s="129"/>
      <c r="S18" s="129"/>
      <c r="T18" s="129"/>
      <c r="U18" s="130"/>
      <c r="X18" s="1" t="s">
        <v>116</v>
      </c>
    </row>
    <row r="19" spans="1:24" ht="18" customHeight="1" x14ac:dyDescent="0.2">
      <c r="A19" s="72"/>
      <c r="B19" s="128"/>
      <c r="C19" s="129"/>
      <c r="D19" s="129"/>
      <c r="E19" s="129"/>
      <c r="F19" s="129"/>
      <c r="G19" s="129"/>
      <c r="H19" s="129"/>
      <c r="I19" s="129"/>
      <c r="J19" s="129"/>
      <c r="K19" s="129"/>
      <c r="L19" s="129"/>
      <c r="M19" s="129"/>
      <c r="N19" s="129"/>
      <c r="O19" s="129"/>
      <c r="P19" s="129"/>
      <c r="Q19" s="129"/>
      <c r="R19" s="129"/>
      <c r="S19" s="129"/>
      <c r="T19" s="129"/>
      <c r="U19" s="130"/>
    </row>
    <row r="20" spans="1:24" ht="18" customHeight="1" x14ac:dyDescent="0.2">
      <c r="A20" s="72"/>
      <c r="B20" s="131"/>
      <c r="C20" s="132"/>
      <c r="D20" s="132"/>
      <c r="E20" s="132"/>
      <c r="F20" s="132"/>
      <c r="G20" s="132"/>
      <c r="H20" s="132"/>
      <c r="I20" s="132"/>
      <c r="J20" s="132"/>
      <c r="K20" s="132"/>
      <c r="L20" s="132"/>
      <c r="M20" s="132"/>
      <c r="N20" s="132"/>
      <c r="O20" s="132"/>
      <c r="P20" s="132"/>
      <c r="Q20" s="132"/>
      <c r="R20" s="132"/>
      <c r="S20" s="132"/>
      <c r="T20" s="132"/>
      <c r="U20" s="133"/>
    </row>
    <row r="21" spans="1:24" ht="7.5" customHeight="1" x14ac:dyDescent="0.2">
      <c r="A21" s="72"/>
      <c r="B21" s="77"/>
      <c r="C21" s="77"/>
      <c r="D21" s="77"/>
      <c r="E21" s="77"/>
      <c r="F21" s="77"/>
      <c r="G21" s="77"/>
      <c r="H21" s="77"/>
      <c r="I21" s="77"/>
      <c r="J21" s="77"/>
      <c r="K21" s="77"/>
      <c r="L21" s="77"/>
      <c r="M21" s="77"/>
      <c r="N21" s="77"/>
      <c r="O21" s="77"/>
      <c r="P21" s="77"/>
      <c r="Q21" s="77"/>
      <c r="R21" s="77"/>
      <c r="S21" s="77"/>
      <c r="T21" s="77"/>
      <c r="U21" s="77"/>
    </row>
    <row r="22" spans="1:24" ht="19.95" customHeight="1" x14ac:dyDescent="0.2">
      <c r="A22" s="72"/>
      <c r="B22" s="72" t="s">
        <v>133</v>
      </c>
      <c r="C22" s="72"/>
      <c r="D22" s="72"/>
      <c r="E22" s="80">
        <v>3</v>
      </c>
      <c r="F22" s="72" t="s">
        <v>112</v>
      </c>
      <c r="G22" s="72"/>
      <c r="H22" s="81">
        <v>8</v>
      </c>
      <c r="I22" s="77" t="s">
        <v>113</v>
      </c>
      <c r="J22" s="77"/>
      <c r="K22" s="73"/>
      <c r="L22" s="72"/>
      <c r="M22" s="73" t="s">
        <v>109</v>
      </c>
      <c r="N22" s="86" t="s">
        <v>114</v>
      </c>
      <c r="O22" s="87"/>
      <c r="P22" s="87"/>
      <c r="Q22" s="87"/>
      <c r="R22" s="87"/>
      <c r="S22" s="87"/>
      <c r="T22" s="87"/>
      <c r="U22" s="88"/>
    </row>
    <row r="23" spans="1:24" ht="7.5" customHeight="1" x14ac:dyDescent="0.2">
      <c r="A23" s="72"/>
      <c r="B23" s="77"/>
      <c r="C23" s="77"/>
      <c r="D23" s="77"/>
      <c r="E23" s="77"/>
      <c r="F23" s="77"/>
      <c r="G23" s="77"/>
      <c r="H23" s="77"/>
      <c r="I23" s="77"/>
      <c r="J23" s="77"/>
      <c r="K23" s="77"/>
      <c r="L23" s="77"/>
      <c r="M23" s="77"/>
      <c r="N23" s="77"/>
      <c r="O23" s="77"/>
      <c r="P23" s="77"/>
      <c r="Q23" s="77"/>
      <c r="R23" s="77"/>
      <c r="S23" s="77"/>
      <c r="T23" s="77"/>
      <c r="U23" s="77"/>
    </row>
    <row r="24" spans="1:24" ht="18" customHeight="1" x14ac:dyDescent="0.2">
      <c r="A24" s="134" t="s">
        <v>101</v>
      </c>
      <c r="B24" s="134"/>
      <c r="C24" s="134"/>
      <c r="D24" s="134"/>
      <c r="E24" s="134"/>
      <c r="F24" s="134"/>
      <c r="G24" s="134"/>
      <c r="H24" s="134"/>
      <c r="I24" s="134"/>
      <c r="J24" s="134"/>
      <c r="K24" s="134"/>
      <c r="L24" s="134"/>
      <c r="M24" s="134"/>
      <c r="N24" s="134"/>
      <c r="O24" s="134"/>
      <c r="P24" s="134"/>
      <c r="Q24" s="134"/>
      <c r="R24" s="134"/>
      <c r="S24" s="134"/>
      <c r="T24" s="134"/>
      <c r="U24" s="134"/>
    </row>
    <row r="25" spans="1:24" ht="18" customHeight="1" x14ac:dyDescent="0.2">
      <c r="A25" s="134"/>
      <c r="B25" s="134"/>
      <c r="C25" s="134"/>
      <c r="D25" s="134"/>
      <c r="E25" s="134"/>
      <c r="F25" s="134"/>
      <c r="G25" s="134"/>
      <c r="H25" s="134"/>
      <c r="I25" s="134"/>
      <c r="J25" s="134"/>
      <c r="K25" s="134"/>
      <c r="L25" s="134"/>
      <c r="M25" s="134"/>
      <c r="N25" s="134"/>
      <c r="O25" s="134"/>
      <c r="P25" s="134"/>
      <c r="Q25" s="134"/>
      <c r="R25" s="134"/>
      <c r="S25" s="134"/>
      <c r="T25" s="134"/>
      <c r="U25" s="134"/>
    </row>
    <row r="26" spans="1:24" ht="18" customHeight="1" x14ac:dyDescent="0.2">
      <c r="B26" s="92" t="s">
        <v>51</v>
      </c>
      <c r="C26" s="93"/>
      <c r="D26" s="93"/>
      <c r="E26" s="93"/>
      <c r="F26" s="94"/>
      <c r="G26" s="48" t="s">
        <v>77</v>
      </c>
      <c r="H26" s="47" t="s">
        <v>80</v>
      </c>
      <c r="I26" s="16" t="s">
        <v>54</v>
      </c>
      <c r="J26" s="16" t="s">
        <v>57</v>
      </c>
      <c r="K26" s="92" t="s">
        <v>51</v>
      </c>
      <c r="L26" s="93"/>
      <c r="M26" s="93"/>
      <c r="N26" s="93"/>
      <c r="O26" s="93"/>
      <c r="P26" s="93"/>
      <c r="Q26" s="94"/>
      <c r="R26" s="48" t="s">
        <v>77</v>
      </c>
      <c r="S26" s="47" t="s">
        <v>80</v>
      </c>
      <c r="T26" s="16" t="s">
        <v>54</v>
      </c>
      <c r="U26" s="16" t="s">
        <v>57</v>
      </c>
    </row>
    <row r="27" spans="1:24" ht="18" customHeight="1" x14ac:dyDescent="0.2">
      <c r="B27" s="113" t="s">
        <v>151</v>
      </c>
      <c r="C27" s="114"/>
      <c r="D27" s="114"/>
      <c r="E27" s="114"/>
      <c r="F27" s="115"/>
      <c r="G27" s="17">
        <v>2</v>
      </c>
      <c r="H27" s="17" t="s">
        <v>154</v>
      </c>
      <c r="I27" s="17" t="s">
        <v>154</v>
      </c>
      <c r="J27" s="17" t="s">
        <v>154</v>
      </c>
      <c r="K27" s="113"/>
      <c r="L27" s="114"/>
      <c r="M27" s="114"/>
      <c r="N27" s="114"/>
      <c r="O27" s="114"/>
      <c r="P27" s="114"/>
      <c r="Q27" s="115"/>
      <c r="R27" s="17"/>
      <c r="S27" s="17"/>
      <c r="T27" s="17"/>
      <c r="U27" s="17"/>
    </row>
    <row r="28" spans="1:24" ht="18" customHeight="1" x14ac:dyDescent="0.2">
      <c r="B28" s="107" t="s">
        <v>152</v>
      </c>
      <c r="C28" s="108"/>
      <c r="D28" s="108"/>
      <c r="E28" s="108"/>
      <c r="F28" s="109"/>
      <c r="G28" s="18">
        <v>4</v>
      </c>
      <c r="H28" s="18" t="s">
        <v>154</v>
      </c>
      <c r="I28" s="18" t="s">
        <v>154</v>
      </c>
      <c r="J28" s="18" t="s">
        <v>154</v>
      </c>
      <c r="K28" s="107"/>
      <c r="L28" s="108"/>
      <c r="M28" s="108"/>
      <c r="N28" s="108"/>
      <c r="O28" s="108"/>
      <c r="P28" s="108"/>
      <c r="Q28" s="109"/>
      <c r="R28" s="18"/>
      <c r="S28" s="18"/>
      <c r="T28" s="18"/>
      <c r="U28" s="18"/>
    </row>
    <row r="29" spans="1:24" ht="18" customHeight="1" x14ac:dyDescent="0.2">
      <c r="B29" s="107" t="s">
        <v>153</v>
      </c>
      <c r="C29" s="108"/>
      <c r="D29" s="108"/>
      <c r="E29" s="108"/>
      <c r="F29" s="109"/>
      <c r="G29" s="18">
        <v>2</v>
      </c>
      <c r="H29" s="18" t="s">
        <v>154</v>
      </c>
      <c r="I29" s="18"/>
      <c r="J29" s="18"/>
      <c r="K29" s="107"/>
      <c r="L29" s="108"/>
      <c r="M29" s="108"/>
      <c r="N29" s="108"/>
      <c r="O29" s="108"/>
      <c r="P29" s="108"/>
      <c r="Q29" s="109"/>
      <c r="R29" s="18"/>
      <c r="S29" s="18"/>
      <c r="T29" s="18"/>
      <c r="U29" s="18"/>
    </row>
    <row r="30" spans="1:24" ht="18" customHeight="1" x14ac:dyDescent="0.2">
      <c r="B30" s="107"/>
      <c r="C30" s="108"/>
      <c r="D30" s="108"/>
      <c r="E30" s="108"/>
      <c r="F30" s="109"/>
      <c r="G30" s="18"/>
      <c r="H30" s="18"/>
      <c r="I30" s="18"/>
      <c r="J30" s="18"/>
      <c r="K30" s="107"/>
      <c r="L30" s="108"/>
      <c r="M30" s="108"/>
      <c r="N30" s="108"/>
      <c r="O30" s="108"/>
      <c r="P30" s="108"/>
      <c r="Q30" s="109"/>
      <c r="R30" s="18"/>
      <c r="S30" s="18"/>
      <c r="T30" s="18"/>
      <c r="U30" s="18"/>
    </row>
    <row r="31" spans="1:24" ht="18" customHeight="1" x14ac:dyDescent="0.2">
      <c r="B31" s="107"/>
      <c r="C31" s="108"/>
      <c r="D31" s="108"/>
      <c r="E31" s="108"/>
      <c r="F31" s="109"/>
      <c r="G31" s="18"/>
      <c r="H31" s="18"/>
      <c r="I31" s="18"/>
      <c r="J31" s="18"/>
      <c r="K31" s="107"/>
      <c r="L31" s="108"/>
      <c r="M31" s="108"/>
      <c r="N31" s="108"/>
      <c r="O31" s="108"/>
      <c r="P31" s="108"/>
      <c r="Q31" s="109"/>
      <c r="R31" s="18"/>
      <c r="S31" s="18"/>
      <c r="T31" s="18"/>
      <c r="U31" s="18"/>
    </row>
    <row r="32" spans="1:24" ht="18" customHeight="1" x14ac:dyDescent="0.2">
      <c r="A32" s="3"/>
      <c r="B32" s="107"/>
      <c r="C32" s="108"/>
      <c r="D32" s="108"/>
      <c r="E32" s="108"/>
      <c r="F32" s="109"/>
      <c r="G32" s="18"/>
      <c r="H32" s="18"/>
      <c r="I32" s="18"/>
      <c r="J32" s="18"/>
      <c r="K32" s="107"/>
      <c r="L32" s="108"/>
      <c r="M32" s="108"/>
      <c r="N32" s="108"/>
      <c r="O32" s="108"/>
      <c r="P32" s="108"/>
      <c r="Q32" s="109"/>
      <c r="R32" s="18"/>
      <c r="S32" s="18"/>
      <c r="T32" s="18"/>
      <c r="U32" s="18"/>
    </row>
    <row r="33" spans="1:21" ht="18" customHeight="1" x14ac:dyDescent="0.2">
      <c r="A33" s="3"/>
      <c r="B33" s="110"/>
      <c r="C33" s="111"/>
      <c r="D33" s="111"/>
      <c r="E33" s="111"/>
      <c r="F33" s="112"/>
      <c r="G33" s="19"/>
      <c r="H33" s="19"/>
      <c r="I33" s="20"/>
      <c r="J33" s="20"/>
      <c r="K33" s="110"/>
      <c r="L33" s="111"/>
      <c r="M33" s="111"/>
      <c r="N33" s="111"/>
      <c r="O33" s="111"/>
      <c r="P33" s="111"/>
      <c r="Q33" s="112"/>
      <c r="R33" s="19"/>
      <c r="S33" s="19"/>
      <c r="T33" s="20"/>
      <c r="U33" s="20"/>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16" t="s">
        <v>102</v>
      </c>
      <c r="B35" s="116"/>
      <c r="C35" s="116"/>
      <c r="D35" s="116"/>
      <c r="E35" s="116"/>
      <c r="F35" s="116"/>
      <c r="G35" s="116"/>
      <c r="H35" s="116"/>
      <c r="I35" s="116"/>
      <c r="J35" s="116"/>
      <c r="K35" s="116"/>
      <c r="L35" s="116"/>
      <c r="M35" s="116"/>
      <c r="N35" s="116"/>
      <c r="O35" s="116"/>
      <c r="P35" s="116"/>
      <c r="Q35" s="116"/>
      <c r="R35" s="116"/>
      <c r="S35" s="116"/>
      <c r="T35" s="116"/>
      <c r="U35" s="116"/>
    </row>
    <row r="36" spans="1:21" ht="18" customHeight="1" x14ac:dyDescent="0.2">
      <c r="A36" s="116"/>
      <c r="B36" s="116"/>
      <c r="C36" s="116"/>
      <c r="D36" s="116"/>
      <c r="E36" s="116"/>
      <c r="F36" s="116"/>
      <c r="G36" s="116"/>
      <c r="H36" s="116"/>
      <c r="I36" s="116"/>
      <c r="J36" s="116"/>
      <c r="K36" s="116"/>
      <c r="L36" s="116"/>
      <c r="M36" s="116"/>
      <c r="N36" s="116"/>
      <c r="O36" s="116"/>
      <c r="P36" s="116"/>
      <c r="Q36" s="116"/>
      <c r="R36" s="116"/>
      <c r="S36" s="116"/>
      <c r="T36" s="116"/>
      <c r="U36" s="116"/>
    </row>
    <row r="37" spans="1:21" ht="18" customHeight="1" x14ac:dyDescent="0.2">
      <c r="B37" s="92" t="s">
        <v>51</v>
      </c>
      <c r="C37" s="93"/>
      <c r="D37" s="93"/>
      <c r="E37" s="93"/>
      <c r="F37" s="94"/>
      <c r="G37" s="48" t="s">
        <v>77</v>
      </c>
      <c r="H37" s="47" t="s">
        <v>80</v>
      </c>
      <c r="I37" s="16" t="s">
        <v>68</v>
      </c>
      <c r="J37" s="16" t="s">
        <v>69</v>
      </c>
      <c r="K37" s="92" t="s">
        <v>51</v>
      </c>
      <c r="L37" s="93"/>
      <c r="M37" s="93"/>
      <c r="N37" s="93"/>
      <c r="O37" s="93"/>
      <c r="P37" s="93"/>
      <c r="Q37" s="94"/>
      <c r="R37" s="48" t="s">
        <v>77</v>
      </c>
      <c r="S37" s="47" t="s">
        <v>80</v>
      </c>
      <c r="T37" s="16" t="s">
        <v>68</v>
      </c>
      <c r="U37" s="16" t="s">
        <v>69</v>
      </c>
    </row>
    <row r="38" spans="1:21" ht="18" customHeight="1" x14ac:dyDescent="0.2">
      <c r="B38" s="113" t="s">
        <v>151</v>
      </c>
      <c r="C38" s="114"/>
      <c r="D38" s="114"/>
      <c r="E38" s="114"/>
      <c r="F38" s="115"/>
      <c r="G38" s="17">
        <v>2</v>
      </c>
      <c r="H38" s="17" t="s">
        <v>154</v>
      </c>
      <c r="I38" s="17" t="s">
        <v>154</v>
      </c>
      <c r="J38" s="17" t="s">
        <v>154</v>
      </c>
      <c r="K38" s="113"/>
      <c r="L38" s="114"/>
      <c r="M38" s="114"/>
      <c r="N38" s="114"/>
      <c r="O38" s="114"/>
      <c r="P38" s="114"/>
      <c r="Q38" s="115"/>
      <c r="R38" s="17"/>
      <c r="S38" s="17"/>
      <c r="T38" s="17"/>
      <c r="U38" s="17"/>
    </row>
    <row r="39" spans="1:21" ht="18" customHeight="1" x14ac:dyDescent="0.2">
      <c r="B39" s="107" t="s">
        <v>152</v>
      </c>
      <c r="C39" s="108"/>
      <c r="D39" s="108"/>
      <c r="E39" s="108"/>
      <c r="F39" s="109"/>
      <c r="G39" s="18">
        <v>4</v>
      </c>
      <c r="H39" s="18" t="s">
        <v>154</v>
      </c>
      <c r="I39" s="18" t="s">
        <v>154</v>
      </c>
      <c r="J39" s="18" t="s">
        <v>154</v>
      </c>
      <c r="K39" s="107"/>
      <c r="L39" s="108"/>
      <c r="M39" s="108"/>
      <c r="N39" s="108"/>
      <c r="O39" s="108"/>
      <c r="P39" s="108"/>
      <c r="Q39" s="109"/>
      <c r="R39" s="18"/>
      <c r="S39" s="18"/>
      <c r="T39" s="18"/>
      <c r="U39" s="18"/>
    </row>
    <row r="40" spans="1:21" ht="18" customHeight="1" x14ac:dyDescent="0.2">
      <c r="B40" s="107" t="s">
        <v>153</v>
      </c>
      <c r="C40" s="108"/>
      <c r="D40" s="108"/>
      <c r="E40" s="108"/>
      <c r="F40" s="109"/>
      <c r="G40" s="18">
        <v>2</v>
      </c>
      <c r="H40" s="18" t="s">
        <v>154</v>
      </c>
      <c r="I40" s="18"/>
      <c r="J40" s="18"/>
      <c r="K40" s="107"/>
      <c r="L40" s="108"/>
      <c r="M40" s="108"/>
      <c r="N40" s="108"/>
      <c r="O40" s="108"/>
      <c r="P40" s="108"/>
      <c r="Q40" s="109"/>
      <c r="R40" s="18"/>
      <c r="S40" s="18"/>
      <c r="T40" s="18"/>
      <c r="U40" s="18"/>
    </row>
    <row r="41" spans="1:21" ht="18" customHeight="1" x14ac:dyDescent="0.2">
      <c r="B41" s="107"/>
      <c r="C41" s="108"/>
      <c r="D41" s="108"/>
      <c r="E41" s="108"/>
      <c r="F41" s="109"/>
      <c r="G41" s="18"/>
      <c r="H41" s="18"/>
      <c r="I41" s="18"/>
      <c r="J41" s="18"/>
      <c r="K41" s="107"/>
      <c r="L41" s="108"/>
      <c r="M41" s="108"/>
      <c r="N41" s="108"/>
      <c r="O41" s="108"/>
      <c r="P41" s="108"/>
      <c r="Q41" s="109"/>
      <c r="R41" s="18"/>
      <c r="S41" s="18"/>
      <c r="T41" s="18"/>
      <c r="U41" s="18"/>
    </row>
    <row r="42" spans="1:21" ht="18" customHeight="1" x14ac:dyDescent="0.2">
      <c r="B42" s="107"/>
      <c r="C42" s="108"/>
      <c r="D42" s="108"/>
      <c r="E42" s="108"/>
      <c r="F42" s="109"/>
      <c r="G42" s="18"/>
      <c r="H42" s="18"/>
      <c r="I42" s="18"/>
      <c r="J42" s="18"/>
      <c r="K42" s="107"/>
      <c r="L42" s="108"/>
      <c r="M42" s="108"/>
      <c r="N42" s="108"/>
      <c r="O42" s="108"/>
      <c r="P42" s="108"/>
      <c r="Q42" s="109"/>
      <c r="R42" s="18"/>
      <c r="S42" s="18"/>
      <c r="T42" s="18"/>
      <c r="U42" s="18"/>
    </row>
    <row r="43" spans="1:21" ht="18" customHeight="1" x14ac:dyDescent="0.2">
      <c r="B43" s="107"/>
      <c r="C43" s="108"/>
      <c r="D43" s="108"/>
      <c r="E43" s="108"/>
      <c r="F43" s="109"/>
      <c r="G43" s="18"/>
      <c r="H43" s="18"/>
      <c r="I43" s="18"/>
      <c r="J43" s="18"/>
      <c r="K43" s="107"/>
      <c r="L43" s="108"/>
      <c r="M43" s="108"/>
      <c r="N43" s="108"/>
      <c r="O43" s="108"/>
      <c r="P43" s="108"/>
      <c r="Q43" s="109"/>
      <c r="R43" s="18"/>
      <c r="S43" s="18"/>
      <c r="T43" s="18"/>
      <c r="U43" s="18"/>
    </row>
    <row r="44" spans="1:21" ht="18" customHeight="1" x14ac:dyDescent="0.2">
      <c r="B44" s="110"/>
      <c r="C44" s="111"/>
      <c r="D44" s="111"/>
      <c r="E44" s="111"/>
      <c r="F44" s="112"/>
      <c r="G44" s="19"/>
      <c r="H44" s="19"/>
      <c r="I44" s="20"/>
      <c r="J44" s="20"/>
      <c r="K44" s="110"/>
      <c r="L44" s="111"/>
      <c r="M44" s="111"/>
      <c r="N44" s="111"/>
      <c r="O44" s="111"/>
      <c r="P44" s="111"/>
      <c r="Q44" s="112"/>
      <c r="R44" s="19"/>
      <c r="S44" s="19"/>
      <c r="T44" s="20"/>
      <c r="U44" s="20"/>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16" t="s">
        <v>103</v>
      </c>
      <c r="B46" s="116"/>
      <c r="C46" s="116"/>
      <c r="D46" s="116"/>
      <c r="E46" s="116"/>
      <c r="F46" s="116"/>
      <c r="G46" s="116"/>
      <c r="H46" s="116"/>
      <c r="I46" s="116"/>
      <c r="J46" s="116"/>
      <c r="K46" s="116"/>
      <c r="L46" s="116"/>
      <c r="M46" s="116"/>
      <c r="N46" s="116"/>
      <c r="O46" s="116"/>
      <c r="P46" s="116"/>
      <c r="Q46" s="116"/>
      <c r="R46" s="116"/>
      <c r="S46" s="116"/>
      <c r="T46" s="116"/>
      <c r="U46" s="116"/>
    </row>
    <row r="47" spans="1:21" ht="18" customHeight="1" x14ac:dyDescent="0.2">
      <c r="A47" s="116"/>
      <c r="B47" s="116"/>
      <c r="C47" s="116"/>
      <c r="D47" s="116"/>
      <c r="E47" s="116"/>
      <c r="F47" s="116"/>
      <c r="G47" s="116"/>
      <c r="H47" s="116"/>
      <c r="I47" s="116"/>
      <c r="J47" s="116"/>
      <c r="K47" s="116"/>
      <c r="L47" s="116"/>
      <c r="M47" s="116"/>
      <c r="N47" s="116"/>
      <c r="O47" s="116"/>
      <c r="P47" s="116"/>
      <c r="Q47" s="116"/>
      <c r="R47" s="116"/>
      <c r="S47" s="116"/>
      <c r="T47" s="116"/>
      <c r="U47" s="116"/>
    </row>
    <row r="48" spans="1:21" ht="18" customHeight="1" x14ac:dyDescent="0.2">
      <c r="B48" s="92" t="s">
        <v>51</v>
      </c>
      <c r="C48" s="93"/>
      <c r="D48" s="93"/>
      <c r="E48" s="93"/>
      <c r="F48" s="94"/>
      <c r="G48" s="48" t="s">
        <v>77</v>
      </c>
      <c r="H48" s="47" t="s">
        <v>80</v>
      </c>
      <c r="I48" s="16" t="s">
        <v>70</v>
      </c>
      <c r="J48" s="16" t="s">
        <v>71</v>
      </c>
      <c r="K48" s="92" t="s">
        <v>51</v>
      </c>
      <c r="L48" s="93"/>
      <c r="M48" s="93"/>
      <c r="N48" s="93"/>
      <c r="O48" s="93"/>
      <c r="P48" s="93"/>
      <c r="Q48" s="94"/>
      <c r="R48" s="48" t="s">
        <v>77</v>
      </c>
      <c r="S48" s="47" t="s">
        <v>80</v>
      </c>
      <c r="T48" s="16" t="s">
        <v>70</v>
      </c>
      <c r="U48" s="16" t="s">
        <v>71</v>
      </c>
    </row>
    <row r="49" spans="1:21" ht="18" customHeight="1" x14ac:dyDescent="0.2">
      <c r="A49" s="3"/>
      <c r="B49" s="113" t="s">
        <v>151</v>
      </c>
      <c r="C49" s="114"/>
      <c r="D49" s="114"/>
      <c r="E49" s="114"/>
      <c r="F49" s="115"/>
      <c r="G49" s="17">
        <v>2</v>
      </c>
      <c r="H49" s="17" t="s">
        <v>154</v>
      </c>
      <c r="I49" s="17" t="s">
        <v>154</v>
      </c>
      <c r="J49" s="17" t="s">
        <v>154</v>
      </c>
      <c r="K49" s="113"/>
      <c r="L49" s="114"/>
      <c r="M49" s="114"/>
      <c r="N49" s="114"/>
      <c r="O49" s="114"/>
      <c r="P49" s="114"/>
      <c r="Q49" s="115"/>
      <c r="R49" s="17"/>
      <c r="S49" s="17"/>
      <c r="T49" s="17"/>
      <c r="U49" s="17"/>
    </row>
    <row r="50" spans="1:21" ht="18" customHeight="1" x14ac:dyDescent="0.2">
      <c r="A50" s="3"/>
      <c r="B50" s="107" t="s">
        <v>152</v>
      </c>
      <c r="C50" s="108"/>
      <c r="D50" s="108"/>
      <c r="E50" s="108"/>
      <c r="F50" s="109"/>
      <c r="G50" s="18">
        <v>4</v>
      </c>
      <c r="H50" s="18" t="s">
        <v>154</v>
      </c>
      <c r="I50" s="18" t="s">
        <v>154</v>
      </c>
      <c r="J50" s="18" t="s">
        <v>154</v>
      </c>
      <c r="K50" s="107"/>
      <c r="L50" s="108"/>
      <c r="M50" s="108"/>
      <c r="N50" s="108"/>
      <c r="O50" s="108"/>
      <c r="P50" s="108"/>
      <c r="Q50" s="109"/>
      <c r="R50" s="18"/>
      <c r="S50" s="18"/>
      <c r="T50" s="18"/>
      <c r="U50" s="18"/>
    </row>
    <row r="51" spans="1:21" ht="18" customHeight="1" x14ac:dyDescent="0.2">
      <c r="A51" s="3"/>
      <c r="B51" s="107" t="s">
        <v>153</v>
      </c>
      <c r="C51" s="108"/>
      <c r="D51" s="108"/>
      <c r="E51" s="108"/>
      <c r="F51" s="109"/>
      <c r="G51" s="18">
        <v>2</v>
      </c>
      <c r="H51" s="18" t="s">
        <v>154</v>
      </c>
      <c r="I51" s="18"/>
      <c r="J51" s="18"/>
      <c r="K51" s="107"/>
      <c r="L51" s="108"/>
      <c r="M51" s="108"/>
      <c r="N51" s="108"/>
      <c r="O51" s="108"/>
      <c r="P51" s="108"/>
      <c r="Q51" s="109"/>
      <c r="R51" s="18"/>
      <c r="S51" s="18"/>
      <c r="T51" s="18"/>
      <c r="U51" s="18"/>
    </row>
    <row r="52" spans="1:21" ht="18" customHeight="1" x14ac:dyDescent="0.2">
      <c r="A52" s="3"/>
      <c r="B52" s="107"/>
      <c r="C52" s="108"/>
      <c r="D52" s="108"/>
      <c r="E52" s="108"/>
      <c r="F52" s="109"/>
      <c r="G52" s="18"/>
      <c r="H52" s="18"/>
      <c r="I52" s="18"/>
      <c r="J52" s="18"/>
      <c r="K52" s="107"/>
      <c r="L52" s="108"/>
      <c r="M52" s="108"/>
      <c r="N52" s="108"/>
      <c r="O52" s="108"/>
      <c r="P52" s="108"/>
      <c r="Q52" s="109"/>
      <c r="R52" s="18"/>
      <c r="S52" s="18"/>
      <c r="T52" s="18"/>
      <c r="U52" s="18"/>
    </row>
    <row r="53" spans="1:21" ht="18" customHeight="1" x14ac:dyDescent="0.2">
      <c r="A53" s="3"/>
      <c r="B53" s="107"/>
      <c r="C53" s="108"/>
      <c r="D53" s="108"/>
      <c r="E53" s="108"/>
      <c r="F53" s="109"/>
      <c r="G53" s="18"/>
      <c r="H53" s="18"/>
      <c r="I53" s="18"/>
      <c r="J53" s="18"/>
      <c r="K53" s="107"/>
      <c r="L53" s="108"/>
      <c r="M53" s="108"/>
      <c r="N53" s="108"/>
      <c r="O53" s="108"/>
      <c r="P53" s="108"/>
      <c r="Q53" s="109"/>
      <c r="R53" s="18"/>
      <c r="S53" s="18"/>
      <c r="T53" s="18"/>
      <c r="U53" s="18"/>
    </row>
    <row r="54" spans="1:21" ht="18" customHeight="1" x14ac:dyDescent="0.2">
      <c r="A54" s="3"/>
      <c r="B54" s="107"/>
      <c r="C54" s="108"/>
      <c r="D54" s="108"/>
      <c r="E54" s="108"/>
      <c r="F54" s="109"/>
      <c r="G54" s="18"/>
      <c r="H54" s="18"/>
      <c r="I54" s="18"/>
      <c r="J54" s="18"/>
      <c r="K54" s="107"/>
      <c r="L54" s="108"/>
      <c r="M54" s="108"/>
      <c r="N54" s="108"/>
      <c r="O54" s="108"/>
      <c r="P54" s="108"/>
      <c r="Q54" s="109"/>
      <c r="R54" s="18"/>
      <c r="S54" s="18"/>
      <c r="T54" s="18"/>
      <c r="U54" s="18"/>
    </row>
    <row r="55" spans="1:21" ht="18" customHeight="1" x14ac:dyDescent="0.2">
      <c r="A55" s="3"/>
      <c r="B55" s="110"/>
      <c r="C55" s="111"/>
      <c r="D55" s="111"/>
      <c r="E55" s="111"/>
      <c r="F55" s="112"/>
      <c r="G55" s="19"/>
      <c r="H55" s="19"/>
      <c r="I55" s="20"/>
      <c r="J55" s="20"/>
      <c r="K55" s="110"/>
      <c r="L55" s="111"/>
      <c r="M55" s="111"/>
      <c r="N55" s="111"/>
      <c r="O55" s="111"/>
      <c r="P55" s="111"/>
      <c r="Q55" s="112"/>
      <c r="R55" s="19"/>
      <c r="S55" s="19"/>
      <c r="T55" s="20"/>
      <c r="U55" s="20"/>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16" t="s">
        <v>104</v>
      </c>
      <c r="B57" s="116"/>
      <c r="C57" s="116"/>
      <c r="D57" s="116"/>
      <c r="E57" s="116"/>
      <c r="F57" s="116"/>
      <c r="G57" s="116"/>
      <c r="H57" s="116"/>
      <c r="I57" s="116"/>
      <c r="J57" s="116"/>
      <c r="K57" s="116"/>
      <c r="L57" s="116"/>
      <c r="M57" s="116"/>
      <c r="N57" s="116"/>
      <c r="O57" s="116"/>
      <c r="P57" s="116"/>
      <c r="Q57" s="116"/>
      <c r="R57" s="116"/>
      <c r="S57" s="116"/>
      <c r="T57" s="116"/>
      <c r="U57" s="116"/>
    </row>
    <row r="58" spans="1:21" ht="18" customHeight="1" x14ac:dyDescent="0.2">
      <c r="A58" s="116"/>
      <c r="B58" s="116"/>
      <c r="C58" s="116"/>
      <c r="D58" s="116"/>
      <c r="E58" s="116"/>
      <c r="F58" s="116"/>
      <c r="G58" s="116"/>
      <c r="H58" s="116"/>
      <c r="I58" s="116"/>
      <c r="J58" s="116"/>
      <c r="K58" s="116"/>
      <c r="L58" s="116"/>
      <c r="M58" s="116"/>
      <c r="N58" s="116"/>
      <c r="O58" s="116"/>
      <c r="P58" s="116"/>
      <c r="Q58" s="116"/>
      <c r="R58" s="116"/>
      <c r="S58" s="116"/>
      <c r="T58" s="116"/>
      <c r="U58" s="116"/>
    </row>
    <row r="59" spans="1:21" ht="18" customHeight="1" x14ac:dyDescent="0.2">
      <c r="B59" s="92" t="s">
        <v>51</v>
      </c>
      <c r="C59" s="93"/>
      <c r="D59" s="93"/>
      <c r="E59" s="93"/>
      <c r="F59" s="94"/>
      <c r="G59" s="48" t="s">
        <v>77</v>
      </c>
      <c r="H59" s="47" t="s">
        <v>80</v>
      </c>
      <c r="I59" s="16" t="s">
        <v>56</v>
      </c>
      <c r="J59" s="16" t="s">
        <v>58</v>
      </c>
      <c r="K59" s="92" t="s">
        <v>51</v>
      </c>
      <c r="L59" s="93"/>
      <c r="M59" s="93"/>
      <c r="N59" s="93"/>
      <c r="O59" s="93"/>
      <c r="P59" s="93"/>
      <c r="Q59" s="94"/>
      <c r="R59" s="48" t="s">
        <v>77</v>
      </c>
      <c r="S59" s="47" t="s">
        <v>80</v>
      </c>
      <c r="T59" s="16" t="s">
        <v>56</v>
      </c>
      <c r="U59" s="16" t="s">
        <v>58</v>
      </c>
    </row>
    <row r="60" spans="1:21" ht="18" customHeight="1" x14ac:dyDescent="0.2">
      <c r="A60" s="3"/>
      <c r="B60" s="113" t="s">
        <v>151</v>
      </c>
      <c r="C60" s="114"/>
      <c r="D60" s="114"/>
      <c r="E60" s="114"/>
      <c r="F60" s="115"/>
      <c r="G60" s="17">
        <v>2</v>
      </c>
      <c r="H60" s="17" t="s">
        <v>154</v>
      </c>
      <c r="I60" s="17" t="s">
        <v>154</v>
      </c>
      <c r="J60" s="17" t="s">
        <v>154</v>
      </c>
      <c r="K60" s="113"/>
      <c r="L60" s="114"/>
      <c r="M60" s="114"/>
      <c r="N60" s="114"/>
      <c r="O60" s="114"/>
      <c r="P60" s="114"/>
      <c r="Q60" s="115"/>
      <c r="R60" s="17"/>
      <c r="S60" s="17"/>
      <c r="T60" s="17"/>
      <c r="U60" s="17"/>
    </row>
    <row r="61" spans="1:21" ht="18" customHeight="1" x14ac:dyDescent="0.2">
      <c r="A61" s="3"/>
      <c r="B61" s="107" t="s">
        <v>152</v>
      </c>
      <c r="C61" s="108"/>
      <c r="D61" s="108"/>
      <c r="E61" s="108"/>
      <c r="F61" s="109"/>
      <c r="G61" s="18">
        <v>4</v>
      </c>
      <c r="H61" s="18" t="s">
        <v>154</v>
      </c>
      <c r="I61" s="18" t="s">
        <v>154</v>
      </c>
      <c r="J61" s="18" t="s">
        <v>154</v>
      </c>
      <c r="K61" s="107"/>
      <c r="L61" s="108"/>
      <c r="M61" s="108"/>
      <c r="N61" s="108"/>
      <c r="O61" s="108"/>
      <c r="P61" s="108"/>
      <c r="Q61" s="109"/>
      <c r="R61" s="18"/>
      <c r="S61" s="18"/>
      <c r="T61" s="18"/>
      <c r="U61" s="18"/>
    </row>
    <row r="62" spans="1:21" ht="18" customHeight="1" x14ac:dyDescent="0.2">
      <c r="A62" s="3"/>
      <c r="B62" s="107" t="s">
        <v>153</v>
      </c>
      <c r="C62" s="108"/>
      <c r="D62" s="108"/>
      <c r="E62" s="108"/>
      <c r="F62" s="109"/>
      <c r="G62" s="18">
        <v>2</v>
      </c>
      <c r="H62" s="18" t="s">
        <v>154</v>
      </c>
      <c r="I62" s="18"/>
      <c r="J62" s="18"/>
      <c r="K62" s="107"/>
      <c r="L62" s="108"/>
      <c r="M62" s="108"/>
      <c r="N62" s="108"/>
      <c r="O62" s="108"/>
      <c r="P62" s="108"/>
      <c r="Q62" s="109"/>
      <c r="R62" s="18"/>
      <c r="S62" s="18"/>
      <c r="T62" s="18"/>
      <c r="U62" s="18"/>
    </row>
    <row r="63" spans="1:21" ht="18" customHeight="1" x14ac:dyDescent="0.2">
      <c r="A63" s="3"/>
      <c r="B63" s="107"/>
      <c r="C63" s="108"/>
      <c r="D63" s="108"/>
      <c r="E63" s="108"/>
      <c r="F63" s="109"/>
      <c r="G63" s="18"/>
      <c r="H63" s="18"/>
      <c r="I63" s="18"/>
      <c r="J63" s="18"/>
      <c r="K63" s="107"/>
      <c r="L63" s="108"/>
      <c r="M63" s="108"/>
      <c r="N63" s="108"/>
      <c r="O63" s="108"/>
      <c r="P63" s="108"/>
      <c r="Q63" s="109"/>
      <c r="R63" s="18"/>
      <c r="S63" s="18"/>
      <c r="T63" s="18"/>
      <c r="U63" s="18"/>
    </row>
    <row r="64" spans="1:21" ht="18" customHeight="1" x14ac:dyDescent="0.2">
      <c r="A64" s="3"/>
      <c r="B64" s="107"/>
      <c r="C64" s="108"/>
      <c r="D64" s="108"/>
      <c r="E64" s="108"/>
      <c r="F64" s="109"/>
      <c r="G64" s="18"/>
      <c r="H64" s="18"/>
      <c r="I64" s="18"/>
      <c r="J64" s="18"/>
      <c r="K64" s="107"/>
      <c r="L64" s="108"/>
      <c r="M64" s="108"/>
      <c r="N64" s="108"/>
      <c r="O64" s="108"/>
      <c r="P64" s="108"/>
      <c r="Q64" s="109"/>
      <c r="R64" s="18"/>
      <c r="S64" s="18"/>
      <c r="T64" s="18"/>
      <c r="U64" s="18"/>
    </row>
    <row r="65" spans="1:21" ht="18" customHeight="1" x14ac:dyDescent="0.2">
      <c r="A65" s="3"/>
      <c r="B65" s="107"/>
      <c r="C65" s="108"/>
      <c r="D65" s="108"/>
      <c r="E65" s="108"/>
      <c r="F65" s="109"/>
      <c r="G65" s="18"/>
      <c r="H65" s="18"/>
      <c r="I65" s="18"/>
      <c r="J65" s="18"/>
      <c r="K65" s="107"/>
      <c r="L65" s="108"/>
      <c r="M65" s="108"/>
      <c r="N65" s="108"/>
      <c r="O65" s="108"/>
      <c r="P65" s="108"/>
      <c r="Q65" s="109"/>
      <c r="R65" s="18"/>
      <c r="S65" s="18"/>
      <c r="T65" s="18"/>
      <c r="U65" s="18"/>
    </row>
    <row r="66" spans="1:21" ht="18" customHeight="1" x14ac:dyDescent="0.2">
      <c r="A66" s="3"/>
      <c r="B66" s="110"/>
      <c r="C66" s="111"/>
      <c r="D66" s="111"/>
      <c r="E66" s="111"/>
      <c r="F66" s="112"/>
      <c r="G66" s="19"/>
      <c r="H66" s="19"/>
      <c r="I66" s="20"/>
      <c r="J66" s="20"/>
      <c r="K66" s="110"/>
      <c r="L66" s="111"/>
      <c r="M66" s="111"/>
      <c r="N66" s="111"/>
      <c r="O66" s="111"/>
      <c r="P66" s="111"/>
      <c r="Q66" s="112"/>
      <c r="R66" s="19"/>
      <c r="S66" s="19"/>
      <c r="T66" s="20"/>
      <c r="U66" s="20"/>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16" t="s">
        <v>105</v>
      </c>
      <c r="B68" s="116"/>
      <c r="C68" s="116"/>
      <c r="D68" s="116"/>
      <c r="E68" s="116"/>
      <c r="F68" s="116"/>
      <c r="G68" s="116"/>
      <c r="H68" s="116"/>
      <c r="I68" s="116"/>
      <c r="J68" s="116"/>
      <c r="K68" s="116"/>
      <c r="L68" s="116"/>
      <c r="M68" s="116"/>
      <c r="N68" s="116"/>
      <c r="O68" s="116"/>
      <c r="P68" s="116"/>
      <c r="Q68" s="116"/>
      <c r="R68" s="116"/>
      <c r="S68" s="116"/>
      <c r="T68" s="116"/>
      <c r="U68" s="116"/>
    </row>
    <row r="69" spans="1:21" ht="18" customHeight="1" x14ac:dyDescent="0.2">
      <c r="A69" s="116"/>
      <c r="B69" s="116"/>
      <c r="C69" s="116"/>
      <c r="D69" s="116"/>
      <c r="E69" s="116"/>
      <c r="F69" s="116"/>
      <c r="G69" s="116"/>
      <c r="H69" s="116"/>
      <c r="I69" s="116"/>
      <c r="J69" s="116"/>
      <c r="K69" s="116"/>
      <c r="L69" s="116"/>
      <c r="M69" s="116"/>
      <c r="N69" s="116"/>
      <c r="O69" s="116"/>
      <c r="P69" s="116"/>
      <c r="Q69" s="116"/>
      <c r="R69" s="116"/>
      <c r="S69" s="116"/>
      <c r="T69" s="116"/>
      <c r="U69" s="116"/>
    </row>
    <row r="70" spans="1:21" ht="18" customHeight="1" x14ac:dyDescent="0.2">
      <c r="B70" s="92" t="s">
        <v>51</v>
      </c>
      <c r="C70" s="93"/>
      <c r="D70" s="93"/>
      <c r="E70" s="93"/>
      <c r="F70" s="48" t="s">
        <v>77</v>
      </c>
      <c r="G70" s="47" t="s">
        <v>80</v>
      </c>
      <c r="H70" s="16" t="s">
        <v>92</v>
      </c>
      <c r="I70" s="16" t="s">
        <v>72</v>
      </c>
      <c r="J70" s="16" t="s">
        <v>73</v>
      </c>
      <c r="K70" s="92" t="s">
        <v>51</v>
      </c>
      <c r="L70" s="93"/>
      <c r="M70" s="93"/>
      <c r="N70" s="93"/>
      <c r="O70" s="93"/>
      <c r="P70" s="94"/>
      <c r="Q70" s="48" t="s">
        <v>77</v>
      </c>
      <c r="R70" s="47" t="s">
        <v>80</v>
      </c>
      <c r="S70" s="16" t="s">
        <v>92</v>
      </c>
      <c r="T70" s="16" t="s">
        <v>72</v>
      </c>
      <c r="U70" s="16" t="s">
        <v>73</v>
      </c>
    </row>
    <row r="71" spans="1:21" ht="18" customHeight="1" x14ac:dyDescent="0.2">
      <c r="A71" s="3"/>
      <c r="B71" s="113" t="s">
        <v>151</v>
      </c>
      <c r="C71" s="114"/>
      <c r="D71" s="114"/>
      <c r="E71" s="115"/>
      <c r="F71" s="17">
        <v>2</v>
      </c>
      <c r="G71" s="17" t="s">
        <v>154</v>
      </c>
      <c r="H71" s="17"/>
      <c r="I71" s="17"/>
      <c r="J71" s="17"/>
      <c r="K71" s="113"/>
      <c r="L71" s="114"/>
      <c r="M71" s="114"/>
      <c r="N71" s="114"/>
      <c r="O71" s="114"/>
      <c r="P71" s="115"/>
      <c r="Q71" s="17"/>
      <c r="R71" s="17"/>
      <c r="S71" s="17"/>
      <c r="T71" s="17"/>
      <c r="U71" s="17"/>
    </row>
    <row r="72" spans="1:21" ht="18" customHeight="1" x14ac:dyDescent="0.2">
      <c r="A72" s="3"/>
      <c r="B72" s="107" t="s">
        <v>152</v>
      </c>
      <c r="C72" s="108"/>
      <c r="D72" s="108"/>
      <c r="E72" s="109"/>
      <c r="F72" s="18">
        <v>4</v>
      </c>
      <c r="G72" s="18" t="s">
        <v>154</v>
      </c>
      <c r="H72" s="18"/>
      <c r="I72" s="18"/>
      <c r="J72" s="18"/>
      <c r="K72" s="107"/>
      <c r="L72" s="108"/>
      <c r="M72" s="108"/>
      <c r="N72" s="108"/>
      <c r="O72" s="108"/>
      <c r="P72" s="109"/>
      <c r="Q72" s="18"/>
      <c r="R72" s="18"/>
      <c r="S72" s="18"/>
      <c r="T72" s="18"/>
      <c r="U72" s="18"/>
    </row>
    <row r="73" spans="1:21" ht="18" customHeight="1" x14ac:dyDescent="0.2">
      <c r="A73" s="3"/>
      <c r="B73" s="107" t="s">
        <v>153</v>
      </c>
      <c r="C73" s="108"/>
      <c r="D73" s="108"/>
      <c r="E73" s="109"/>
      <c r="F73" s="18">
        <v>2</v>
      </c>
      <c r="G73" s="18" t="s">
        <v>154</v>
      </c>
      <c r="H73" s="18" t="s">
        <v>154</v>
      </c>
      <c r="I73" s="18" t="s">
        <v>154</v>
      </c>
      <c r="J73" s="18" t="s">
        <v>154</v>
      </c>
      <c r="K73" s="107"/>
      <c r="L73" s="108"/>
      <c r="M73" s="108"/>
      <c r="N73" s="108"/>
      <c r="O73" s="108"/>
      <c r="P73" s="109"/>
      <c r="Q73" s="18"/>
      <c r="R73" s="18"/>
      <c r="S73" s="18"/>
      <c r="T73" s="18"/>
      <c r="U73" s="18"/>
    </row>
    <row r="74" spans="1:21" ht="18" customHeight="1" x14ac:dyDescent="0.2">
      <c r="A74" s="3"/>
      <c r="B74" s="107"/>
      <c r="C74" s="108"/>
      <c r="D74" s="108"/>
      <c r="E74" s="108"/>
      <c r="F74" s="18"/>
      <c r="G74" s="18"/>
      <c r="H74" s="18"/>
      <c r="I74" s="18"/>
      <c r="J74" s="18"/>
      <c r="K74" s="107"/>
      <c r="L74" s="108"/>
      <c r="M74" s="108"/>
      <c r="N74" s="108"/>
      <c r="O74" s="108"/>
      <c r="P74" s="109"/>
      <c r="Q74" s="18"/>
      <c r="R74" s="18"/>
      <c r="S74" s="18"/>
      <c r="T74" s="18"/>
      <c r="U74" s="18"/>
    </row>
    <row r="75" spans="1:21" ht="18" customHeight="1" x14ac:dyDescent="0.2">
      <c r="A75" s="3"/>
      <c r="B75" s="107"/>
      <c r="C75" s="108"/>
      <c r="D75" s="108"/>
      <c r="E75" s="108"/>
      <c r="F75" s="18"/>
      <c r="G75" s="18"/>
      <c r="H75" s="18"/>
      <c r="I75" s="18"/>
      <c r="J75" s="18"/>
      <c r="K75" s="107"/>
      <c r="L75" s="108"/>
      <c r="M75" s="108"/>
      <c r="N75" s="108"/>
      <c r="O75" s="108"/>
      <c r="P75" s="109"/>
      <c r="Q75" s="18"/>
      <c r="R75" s="18"/>
      <c r="S75" s="18"/>
      <c r="T75" s="18"/>
      <c r="U75" s="18"/>
    </row>
    <row r="76" spans="1:21" ht="18" customHeight="1" x14ac:dyDescent="0.2">
      <c r="A76" s="3"/>
      <c r="B76" s="107"/>
      <c r="C76" s="108"/>
      <c r="D76" s="108"/>
      <c r="E76" s="108"/>
      <c r="F76" s="18"/>
      <c r="G76" s="18"/>
      <c r="H76" s="18"/>
      <c r="I76" s="18"/>
      <c r="J76" s="18"/>
      <c r="K76" s="107"/>
      <c r="L76" s="108"/>
      <c r="M76" s="108"/>
      <c r="N76" s="108"/>
      <c r="O76" s="108"/>
      <c r="P76" s="109"/>
      <c r="Q76" s="18"/>
      <c r="R76" s="18"/>
      <c r="S76" s="18"/>
      <c r="T76" s="18"/>
      <c r="U76" s="18"/>
    </row>
    <row r="77" spans="1:21" ht="18" customHeight="1" x14ac:dyDescent="0.2">
      <c r="A77" s="3"/>
      <c r="B77" s="110"/>
      <c r="C77" s="111"/>
      <c r="D77" s="111"/>
      <c r="E77" s="111"/>
      <c r="F77" s="19"/>
      <c r="G77" s="19"/>
      <c r="H77" s="20"/>
      <c r="I77" s="20"/>
      <c r="J77" s="20"/>
      <c r="K77" s="110"/>
      <c r="L77" s="111"/>
      <c r="M77" s="111"/>
      <c r="N77" s="111"/>
      <c r="O77" s="111"/>
      <c r="P77" s="112"/>
      <c r="Q77" s="19"/>
      <c r="R77" s="19"/>
      <c r="S77" s="20"/>
      <c r="T77" s="20"/>
      <c r="U77" s="20"/>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106</v>
      </c>
      <c r="I79" s="3"/>
      <c r="J79" s="3"/>
      <c r="K79" s="3"/>
      <c r="L79" s="3"/>
      <c r="M79" s="3"/>
      <c r="N79" s="3"/>
      <c r="O79" s="3"/>
      <c r="P79" s="3"/>
      <c r="Q79" s="3"/>
      <c r="R79" s="3"/>
      <c r="S79" s="3"/>
      <c r="T79" s="3"/>
      <c r="U79" s="3"/>
    </row>
    <row r="80" spans="1:21" ht="18" customHeight="1" x14ac:dyDescent="0.2">
      <c r="B80" s="92" t="s">
        <v>51</v>
      </c>
      <c r="C80" s="93"/>
      <c r="D80" s="93"/>
      <c r="E80" s="93"/>
      <c r="F80" s="94"/>
      <c r="G80" s="92" t="s">
        <v>78</v>
      </c>
      <c r="H80" s="93"/>
      <c r="I80" s="93"/>
      <c r="J80" s="94"/>
      <c r="K80" s="152" t="s">
        <v>51</v>
      </c>
      <c r="L80" s="153"/>
      <c r="M80" s="153"/>
      <c r="N80" s="153"/>
      <c r="O80" s="153"/>
      <c r="P80" s="153"/>
      <c r="Q80" s="154"/>
      <c r="R80" s="92" t="s">
        <v>78</v>
      </c>
      <c r="S80" s="93"/>
      <c r="T80" s="93"/>
      <c r="U80" s="94"/>
    </row>
    <row r="81" spans="1:28" ht="18" customHeight="1" x14ac:dyDescent="0.2">
      <c r="A81" s="3"/>
      <c r="B81" s="113" t="s">
        <v>153</v>
      </c>
      <c r="C81" s="114"/>
      <c r="D81" s="114"/>
      <c r="E81" s="114"/>
      <c r="F81" s="115"/>
      <c r="G81" s="149" t="s">
        <v>155</v>
      </c>
      <c r="H81" s="150"/>
      <c r="I81" s="150"/>
      <c r="J81" s="151"/>
      <c r="K81" s="113"/>
      <c r="L81" s="114"/>
      <c r="M81" s="114"/>
      <c r="N81" s="114"/>
      <c r="O81" s="114"/>
      <c r="P81" s="114"/>
      <c r="Q81" s="115"/>
      <c r="R81" s="149"/>
      <c r="S81" s="150"/>
      <c r="T81" s="150"/>
      <c r="U81" s="151"/>
    </row>
    <row r="82" spans="1:28" ht="18" customHeight="1" x14ac:dyDescent="0.2">
      <c r="A82" s="3"/>
      <c r="B82" s="107"/>
      <c r="C82" s="108"/>
      <c r="D82" s="108"/>
      <c r="E82" s="108"/>
      <c r="F82" s="109"/>
      <c r="G82" s="141"/>
      <c r="H82" s="142"/>
      <c r="I82" s="142"/>
      <c r="J82" s="143"/>
      <c r="K82" s="107"/>
      <c r="L82" s="108"/>
      <c r="M82" s="108"/>
      <c r="N82" s="108"/>
      <c r="O82" s="108"/>
      <c r="P82" s="108"/>
      <c r="Q82" s="109"/>
      <c r="R82" s="141"/>
      <c r="S82" s="142"/>
      <c r="T82" s="142"/>
      <c r="U82" s="143"/>
    </row>
    <row r="83" spans="1:28" ht="18" customHeight="1" x14ac:dyDescent="0.2">
      <c r="A83" s="3"/>
      <c r="B83" s="107"/>
      <c r="C83" s="108"/>
      <c r="D83" s="108"/>
      <c r="E83" s="108"/>
      <c r="F83" s="109"/>
      <c r="G83" s="141"/>
      <c r="H83" s="142"/>
      <c r="I83" s="142"/>
      <c r="J83" s="143"/>
      <c r="K83" s="107"/>
      <c r="L83" s="108"/>
      <c r="M83" s="108"/>
      <c r="N83" s="108"/>
      <c r="O83" s="108"/>
      <c r="P83" s="108"/>
      <c r="Q83" s="109"/>
      <c r="R83" s="141"/>
      <c r="S83" s="142"/>
      <c r="T83" s="142"/>
      <c r="U83" s="143"/>
    </row>
    <row r="84" spans="1:28" ht="18" customHeight="1" x14ac:dyDescent="0.2">
      <c r="A84" s="3"/>
      <c r="B84" s="107"/>
      <c r="C84" s="108"/>
      <c r="D84" s="108"/>
      <c r="E84" s="108"/>
      <c r="F84" s="109"/>
      <c r="G84" s="141"/>
      <c r="H84" s="142"/>
      <c r="I84" s="142"/>
      <c r="J84" s="143"/>
      <c r="K84" s="107"/>
      <c r="L84" s="108"/>
      <c r="M84" s="108"/>
      <c r="N84" s="108"/>
      <c r="O84" s="108"/>
      <c r="P84" s="108"/>
      <c r="Q84" s="109"/>
      <c r="R84" s="141"/>
      <c r="S84" s="142"/>
      <c r="T84" s="142"/>
      <c r="U84" s="143"/>
    </row>
    <row r="85" spans="1:28" ht="18" customHeight="1" x14ac:dyDescent="0.2">
      <c r="A85" s="3"/>
      <c r="B85" s="107"/>
      <c r="C85" s="108"/>
      <c r="D85" s="108"/>
      <c r="E85" s="108"/>
      <c r="F85" s="109"/>
      <c r="G85" s="141"/>
      <c r="H85" s="142"/>
      <c r="I85" s="142"/>
      <c r="J85" s="143"/>
      <c r="K85" s="107"/>
      <c r="L85" s="108"/>
      <c r="M85" s="108"/>
      <c r="N85" s="108"/>
      <c r="O85" s="108"/>
      <c r="P85" s="108"/>
      <c r="Q85" s="109"/>
      <c r="R85" s="141"/>
      <c r="S85" s="142"/>
      <c r="T85" s="142"/>
      <c r="U85" s="143"/>
    </row>
    <row r="86" spans="1:28" ht="18" customHeight="1" x14ac:dyDescent="0.2">
      <c r="A86" s="3"/>
      <c r="B86" s="107"/>
      <c r="C86" s="108"/>
      <c r="D86" s="108"/>
      <c r="E86" s="108"/>
      <c r="F86" s="109"/>
      <c r="G86" s="141"/>
      <c r="H86" s="142"/>
      <c r="I86" s="142"/>
      <c r="J86" s="143"/>
      <c r="K86" s="107"/>
      <c r="L86" s="108"/>
      <c r="M86" s="108"/>
      <c r="N86" s="108"/>
      <c r="O86" s="108"/>
      <c r="P86" s="108"/>
      <c r="Q86" s="109"/>
      <c r="R86" s="141"/>
      <c r="S86" s="142"/>
      <c r="T86" s="142"/>
      <c r="U86" s="143"/>
    </row>
    <row r="87" spans="1:28" ht="18" customHeight="1" x14ac:dyDescent="0.2">
      <c r="A87" s="3"/>
      <c r="B87" s="110"/>
      <c r="C87" s="111"/>
      <c r="D87" s="111"/>
      <c r="E87" s="111"/>
      <c r="F87" s="112"/>
      <c r="G87" s="138"/>
      <c r="H87" s="139"/>
      <c r="I87" s="139"/>
      <c r="J87" s="140"/>
      <c r="K87" s="110"/>
      <c r="L87" s="111"/>
      <c r="M87" s="111"/>
      <c r="N87" s="111"/>
      <c r="O87" s="111"/>
      <c r="P87" s="111"/>
      <c r="Q87" s="112"/>
      <c r="R87" s="138"/>
      <c r="S87" s="139"/>
      <c r="T87" s="139"/>
      <c r="U87" s="140"/>
    </row>
    <row r="88" spans="1:28" ht="18" customHeight="1" x14ac:dyDescent="0.2">
      <c r="A88" s="3"/>
      <c r="B88" s="6"/>
      <c r="C88" s="6"/>
      <c r="D88" s="6"/>
      <c r="E88" s="6"/>
      <c r="F88" s="6"/>
      <c r="G88" s="21"/>
      <c r="H88" s="21"/>
      <c r="I88" s="21"/>
      <c r="J88" s="21"/>
      <c r="K88" s="6"/>
      <c r="L88" s="6"/>
      <c r="M88" s="6"/>
      <c r="N88" s="6"/>
      <c r="O88" s="6"/>
      <c r="P88" s="6"/>
      <c r="Q88" s="6"/>
      <c r="R88" s="21"/>
      <c r="S88" s="21"/>
      <c r="T88" s="21"/>
      <c r="U88" s="21"/>
    </row>
    <row r="89" spans="1:28" ht="18.75" customHeight="1" x14ac:dyDescent="0.2">
      <c r="A89" s="1" t="s">
        <v>107</v>
      </c>
    </row>
    <row r="90" spans="1:28" ht="18.75" customHeight="1" x14ac:dyDescent="0.2">
      <c r="B90" s="147" t="s">
        <v>52</v>
      </c>
      <c r="C90" s="148"/>
      <c r="D90" s="92" t="s">
        <v>53</v>
      </c>
      <c r="E90" s="93"/>
      <c r="F90" s="93"/>
      <c r="G90" s="93"/>
      <c r="H90" s="93"/>
      <c r="I90" s="93"/>
      <c r="J90" s="93"/>
      <c r="K90" s="93"/>
      <c r="L90" s="93"/>
      <c r="M90" s="93"/>
      <c r="N90" s="93"/>
      <c r="O90" s="93"/>
      <c r="P90" s="93"/>
      <c r="Q90" s="93"/>
      <c r="R90" s="93"/>
      <c r="S90" s="93"/>
      <c r="T90" s="93"/>
      <c r="U90" s="94"/>
    </row>
    <row r="91" spans="1:28" ht="97.5" customHeight="1" x14ac:dyDescent="0.2">
      <c r="B91" s="144" t="s">
        <v>59</v>
      </c>
      <c r="C91" s="22" t="s">
        <v>54</v>
      </c>
      <c r="D91" s="95" t="s">
        <v>189</v>
      </c>
      <c r="E91" s="96"/>
      <c r="F91" s="96"/>
      <c r="G91" s="96"/>
      <c r="H91" s="96"/>
      <c r="I91" s="96"/>
      <c r="J91" s="96"/>
      <c r="K91" s="96"/>
      <c r="L91" s="96"/>
      <c r="M91" s="96"/>
      <c r="N91" s="96"/>
      <c r="O91" s="96"/>
      <c r="P91" s="96"/>
      <c r="Q91" s="96"/>
      <c r="R91" s="96"/>
      <c r="S91" s="96"/>
      <c r="T91" s="96"/>
      <c r="U91" s="97"/>
      <c r="V91" s="157"/>
      <c r="W91" s="158"/>
      <c r="X91" s="158"/>
      <c r="Y91" s="158"/>
      <c r="Z91" s="158"/>
      <c r="AA91" s="158"/>
      <c r="AB91" s="158"/>
    </row>
    <row r="92" spans="1:28" ht="97.5" customHeight="1" x14ac:dyDescent="0.2">
      <c r="B92" s="145"/>
      <c r="C92" s="266" t="s">
        <v>74</v>
      </c>
      <c r="D92" s="267" t="s">
        <v>179</v>
      </c>
      <c r="E92" s="268"/>
      <c r="F92" s="268"/>
      <c r="G92" s="268"/>
      <c r="H92" s="268"/>
      <c r="I92" s="268"/>
      <c r="J92" s="268"/>
      <c r="K92" s="268"/>
      <c r="L92" s="268"/>
      <c r="M92" s="268"/>
      <c r="N92" s="268"/>
      <c r="O92" s="268"/>
      <c r="P92" s="268"/>
      <c r="Q92" s="268"/>
      <c r="R92" s="268"/>
      <c r="S92" s="268"/>
      <c r="T92" s="268"/>
      <c r="U92" s="269"/>
      <c r="V92" s="157"/>
      <c r="W92" s="158"/>
      <c r="X92" s="158"/>
      <c r="Y92" s="158"/>
      <c r="Z92" s="158"/>
      <c r="AA92" s="158"/>
      <c r="AB92" s="158"/>
    </row>
    <row r="93" spans="1:28" ht="97.5" customHeight="1" x14ac:dyDescent="0.2">
      <c r="B93" s="144" t="s">
        <v>60</v>
      </c>
      <c r="C93" s="24" t="s">
        <v>68</v>
      </c>
      <c r="D93" s="95" t="s">
        <v>180</v>
      </c>
      <c r="E93" s="96"/>
      <c r="F93" s="96"/>
      <c r="G93" s="96"/>
      <c r="H93" s="96"/>
      <c r="I93" s="96"/>
      <c r="J93" s="96"/>
      <c r="K93" s="96"/>
      <c r="L93" s="96"/>
      <c r="M93" s="96"/>
      <c r="N93" s="96"/>
      <c r="O93" s="96"/>
      <c r="P93" s="96"/>
      <c r="Q93" s="96"/>
      <c r="R93" s="96"/>
      <c r="S93" s="96"/>
      <c r="T93" s="96"/>
      <c r="U93" s="97"/>
      <c r="V93" s="157"/>
      <c r="W93" s="158"/>
      <c r="X93" s="158"/>
      <c r="Y93" s="158"/>
      <c r="Z93" s="158"/>
      <c r="AA93" s="158"/>
      <c r="AB93" s="158"/>
    </row>
    <row r="94" spans="1:28" ht="97.5" customHeight="1" x14ac:dyDescent="0.2">
      <c r="B94" s="146"/>
      <c r="C94" s="25" t="s">
        <v>69</v>
      </c>
      <c r="D94" s="98" t="s">
        <v>190</v>
      </c>
      <c r="E94" s="99"/>
      <c r="F94" s="99"/>
      <c r="G94" s="99"/>
      <c r="H94" s="99"/>
      <c r="I94" s="99"/>
      <c r="J94" s="99"/>
      <c r="K94" s="99"/>
      <c r="L94" s="99"/>
      <c r="M94" s="99"/>
      <c r="N94" s="99"/>
      <c r="O94" s="99"/>
      <c r="P94" s="99"/>
      <c r="Q94" s="99"/>
      <c r="R94" s="99"/>
      <c r="S94" s="99"/>
      <c r="T94" s="99"/>
      <c r="U94" s="100"/>
      <c r="V94" s="157"/>
      <c r="W94" s="158"/>
      <c r="X94" s="158"/>
      <c r="Y94" s="158"/>
      <c r="Z94" s="158"/>
      <c r="AA94" s="158"/>
      <c r="AB94" s="158"/>
    </row>
    <row r="95" spans="1:28" ht="97.5" customHeight="1" x14ac:dyDescent="0.2">
      <c r="B95" s="144" t="s">
        <v>61</v>
      </c>
      <c r="C95" s="270" t="s">
        <v>70</v>
      </c>
      <c r="D95" s="271" t="s">
        <v>188</v>
      </c>
      <c r="E95" s="272"/>
      <c r="F95" s="272"/>
      <c r="G95" s="272"/>
      <c r="H95" s="272"/>
      <c r="I95" s="272"/>
      <c r="J95" s="272"/>
      <c r="K95" s="272"/>
      <c r="L95" s="272"/>
      <c r="M95" s="272"/>
      <c r="N95" s="272"/>
      <c r="O95" s="272"/>
      <c r="P95" s="272"/>
      <c r="Q95" s="272"/>
      <c r="R95" s="272"/>
      <c r="S95" s="272"/>
      <c r="T95" s="272"/>
      <c r="U95" s="273"/>
      <c r="V95" s="157"/>
      <c r="W95" s="158"/>
      <c r="X95" s="158"/>
      <c r="Y95" s="158"/>
      <c r="Z95" s="158"/>
      <c r="AA95" s="158"/>
      <c r="AB95" s="158"/>
    </row>
    <row r="96" spans="1:28" ht="97.5" customHeight="1" x14ac:dyDescent="0.2">
      <c r="B96" s="146"/>
      <c r="C96" s="274" t="s">
        <v>71</v>
      </c>
      <c r="D96" s="267" t="s">
        <v>181</v>
      </c>
      <c r="E96" s="268"/>
      <c r="F96" s="268"/>
      <c r="G96" s="268"/>
      <c r="H96" s="268"/>
      <c r="I96" s="268"/>
      <c r="J96" s="268"/>
      <c r="K96" s="268"/>
      <c r="L96" s="268"/>
      <c r="M96" s="268"/>
      <c r="N96" s="268"/>
      <c r="O96" s="268"/>
      <c r="P96" s="268"/>
      <c r="Q96" s="268"/>
      <c r="R96" s="268"/>
      <c r="S96" s="268"/>
      <c r="T96" s="268"/>
      <c r="U96" s="269"/>
      <c r="V96" s="157"/>
      <c r="W96" s="158"/>
      <c r="X96" s="158"/>
      <c r="Y96" s="158"/>
      <c r="Z96" s="158"/>
      <c r="AA96" s="158"/>
      <c r="AB96" s="158"/>
    </row>
    <row r="97" spans="1:33" ht="97.5" customHeight="1" x14ac:dyDescent="0.2">
      <c r="B97" s="144" t="s">
        <v>75</v>
      </c>
      <c r="C97" s="275" t="s">
        <v>56</v>
      </c>
      <c r="D97" s="276" t="s">
        <v>182</v>
      </c>
      <c r="E97" s="277"/>
      <c r="F97" s="277"/>
      <c r="G97" s="277"/>
      <c r="H97" s="277"/>
      <c r="I97" s="277"/>
      <c r="J97" s="277"/>
      <c r="K97" s="277"/>
      <c r="L97" s="277"/>
      <c r="M97" s="277"/>
      <c r="N97" s="277"/>
      <c r="O97" s="277"/>
      <c r="P97" s="277"/>
      <c r="Q97" s="277"/>
      <c r="R97" s="277"/>
      <c r="S97" s="277"/>
      <c r="T97" s="277"/>
      <c r="U97" s="278"/>
      <c r="V97" s="157"/>
      <c r="W97" s="158"/>
      <c r="X97" s="158"/>
      <c r="Y97" s="158"/>
      <c r="Z97" s="158"/>
      <c r="AA97" s="158"/>
      <c r="AB97" s="158"/>
    </row>
    <row r="98" spans="1:33" ht="97.5" customHeight="1" x14ac:dyDescent="0.2">
      <c r="B98" s="146"/>
      <c r="C98" s="279" t="s">
        <v>58</v>
      </c>
      <c r="D98" s="280" t="s">
        <v>183</v>
      </c>
      <c r="E98" s="281"/>
      <c r="F98" s="281"/>
      <c r="G98" s="281"/>
      <c r="H98" s="281"/>
      <c r="I98" s="281"/>
      <c r="J98" s="281"/>
      <c r="K98" s="281"/>
      <c r="L98" s="281"/>
      <c r="M98" s="281"/>
      <c r="N98" s="281"/>
      <c r="O98" s="281"/>
      <c r="P98" s="281"/>
      <c r="Q98" s="281"/>
      <c r="R98" s="281"/>
      <c r="S98" s="281"/>
      <c r="T98" s="281"/>
      <c r="U98" s="282"/>
      <c r="V98" s="157"/>
      <c r="W98" s="158"/>
      <c r="X98" s="158"/>
      <c r="Y98" s="158"/>
      <c r="Z98" s="158"/>
      <c r="AA98" s="158"/>
      <c r="AB98" s="158"/>
    </row>
    <row r="99" spans="1:33" ht="97.5" customHeight="1" x14ac:dyDescent="0.2">
      <c r="B99" s="144" t="s">
        <v>76</v>
      </c>
      <c r="C99" s="270" t="s">
        <v>55</v>
      </c>
      <c r="D99" s="271" t="s">
        <v>191</v>
      </c>
      <c r="E99" s="272"/>
      <c r="F99" s="272"/>
      <c r="G99" s="272"/>
      <c r="H99" s="272"/>
      <c r="I99" s="272"/>
      <c r="J99" s="272"/>
      <c r="K99" s="272"/>
      <c r="L99" s="272"/>
      <c r="M99" s="272"/>
      <c r="N99" s="272"/>
      <c r="O99" s="272"/>
      <c r="P99" s="272"/>
      <c r="Q99" s="272"/>
      <c r="R99" s="272"/>
      <c r="S99" s="272"/>
      <c r="T99" s="272"/>
      <c r="U99" s="273"/>
      <c r="V99" s="157"/>
      <c r="W99" s="158"/>
      <c r="X99" s="158"/>
      <c r="Y99" s="158"/>
      <c r="Z99" s="158"/>
      <c r="AA99" s="158"/>
      <c r="AB99" s="158"/>
    </row>
    <row r="100" spans="1:33" ht="97.5" customHeight="1" x14ac:dyDescent="0.2">
      <c r="B100" s="145"/>
      <c r="C100" s="283" t="s">
        <v>72</v>
      </c>
      <c r="D100" s="284" t="s">
        <v>192</v>
      </c>
      <c r="E100" s="285"/>
      <c r="F100" s="285"/>
      <c r="G100" s="285"/>
      <c r="H100" s="285"/>
      <c r="I100" s="285"/>
      <c r="J100" s="285"/>
      <c r="K100" s="285"/>
      <c r="L100" s="285"/>
      <c r="M100" s="285"/>
      <c r="N100" s="285"/>
      <c r="O100" s="285"/>
      <c r="P100" s="285"/>
      <c r="Q100" s="285"/>
      <c r="R100" s="285"/>
      <c r="S100" s="285"/>
      <c r="T100" s="285"/>
      <c r="U100" s="286"/>
      <c r="V100" s="157"/>
      <c r="W100" s="158"/>
      <c r="X100" s="158"/>
      <c r="Y100" s="158"/>
      <c r="Z100" s="158"/>
      <c r="AA100" s="158"/>
      <c r="AB100" s="158"/>
    </row>
    <row r="101" spans="1:33" ht="97.5" customHeight="1" x14ac:dyDescent="0.2">
      <c r="B101" s="146"/>
      <c r="C101" s="274" t="s">
        <v>73</v>
      </c>
      <c r="D101" s="280" t="s">
        <v>193</v>
      </c>
      <c r="E101" s="281"/>
      <c r="F101" s="281"/>
      <c r="G101" s="281"/>
      <c r="H101" s="281"/>
      <c r="I101" s="281"/>
      <c r="J101" s="281"/>
      <c r="K101" s="281"/>
      <c r="L101" s="281"/>
      <c r="M101" s="281"/>
      <c r="N101" s="281"/>
      <c r="O101" s="281"/>
      <c r="P101" s="281"/>
      <c r="Q101" s="281"/>
      <c r="R101" s="281"/>
      <c r="S101" s="281"/>
      <c r="T101" s="281"/>
      <c r="U101" s="282"/>
      <c r="V101" s="157"/>
      <c r="W101" s="158"/>
      <c r="X101" s="158"/>
      <c r="Y101" s="158"/>
      <c r="Z101" s="158"/>
      <c r="AA101" s="158"/>
      <c r="AB101" s="158"/>
    </row>
    <row r="102" spans="1:33" ht="6" customHeight="1" x14ac:dyDescent="0.2"/>
    <row r="103" spans="1:33" ht="18.75" customHeight="1" x14ac:dyDescent="0.2">
      <c r="A103" s="1" t="s">
        <v>108</v>
      </c>
    </row>
    <row r="104" spans="1:33" ht="81.75" customHeight="1" x14ac:dyDescent="0.2">
      <c r="B104" s="135" t="s">
        <v>157</v>
      </c>
      <c r="C104" s="136"/>
      <c r="D104" s="136"/>
      <c r="E104" s="136"/>
      <c r="F104" s="136"/>
      <c r="G104" s="136"/>
      <c r="H104" s="136"/>
      <c r="I104" s="136"/>
      <c r="J104" s="136"/>
      <c r="K104" s="136"/>
      <c r="L104" s="136"/>
      <c r="M104" s="136"/>
      <c r="N104" s="136"/>
      <c r="O104" s="136"/>
      <c r="P104" s="136"/>
      <c r="Q104" s="136"/>
      <c r="R104" s="136"/>
      <c r="S104" s="136"/>
      <c r="T104" s="136"/>
      <c r="U104" s="137"/>
    </row>
    <row r="106" spans="1:33" ht="18.75" customHeight="1" x14ac:dyDescent="0.2">
      <c r="A106" s="71" t="s">
        <v>124</v>
      </c>
      <c r="B106" s="72"/>
      <c r="C106" s="72"/>
      <c r="D106" s="72"/>
      <c r="E106" s="72"/>
      <c r="F106" s="72"/>
      <c r="G106" s="72"/>
      <c r="H106" s="72"/>
      <c r="I106" s="72"/>
      <c r="J106" s="72"/>
      <c r="K106" s="72"/>
      <c r="L106" s="72"/>
      <c r="M106" s="72"/>
      <c r="N106" s="72"/>
      <c r="O106" s="72"/>
      <c r="P106" s="72"/>
      <c r="Q106" s="72"/>
      <c r="R106" s="72"/>
      <c r="S106" s="72"/>
      <c r="T106" s="72"/>
      <c r="U106" s="72"/>
    </row>
    <row r="107" spans="1:33" ht="18.75" customHeight="1" x14ac:dyDescent="0.2">
      <c r="A107" s="71" t="s">
        <v>126</v>
      </c>
      <c r="B107" s="71"/>
      <c r="C107" s="71"/>
      <c r="D107" s="71"/>
      <c r="E107" s="71"/>
      <c r="F107" s="71"/>
      <c r="G107" s="71"/>
      <c r="H107" s="71"/>
      <c r="I107" s="71"/>
      <c r="J107" s="71"/>
      <c r="K107" s="71"/>
      <c r="L107" s="71"/>
      <c r="M107" s="71"/>
      <c r="N107" s="71"/>
      <c r="O107" s="71"/>
      <c r="P107" s="71"/>
      <c r="Q107" s="71"/>
      <c r="R107" s="71"/>
      <c r="S107" s="71"/>
      <c r="T107" s="71"/>
      <c r="U107" s="71"/>
      <c r="V107" s="2"/>
      <c r="W107" s="2"/>
      <c r="X107" s="2"/>
      <c r="Y107" s="2"/>
      <c r="Z107" s="2"/>
      <c r="AA107" s="2"/>
      <c r="AB107" s="2"/>
      <c r="AC107" s="2"/>
      <c r="AD107" s="2"/>
      <c r="AE107" s="2"/>
      <c r="AF107" s="2"/>
      <c r="AG107" s="2"/>
    </row>
    <row r="108" spans="1:33" ht="18.75" customHeight="1" x14ac:dyDescent="0.2">
      <c r="A108" s="71"/>
      <c r="B108" s="159" t="s">
        <v>130</v>
      </c>
      <c r="C108" s="159"/>
      <c r="D108" s="159"/>
      <c r="E108" s="159"/>
      <c r="F108" s="159"/>
      <c r="G108" s="159"/>
      <c r="H108" s="159"/>
      <c r="I108" s="159"/>
      <c r="J108" s="159"/>
      <c r="K108" s="159"/>
      <c r="L108" s="159"/>
      <c r="M108" s="159"/>
      <c r="N108" s="159"/>
      <c r="O108" s="159"/>
      <c r="P108" s="159"/>
      <c r="Q108" s="159"/>
      <c r="R108" s="159"/>
      <c r="S108" s="159"/>
      <c r="T108" s="159"/>
      <c r="U108" s="159"/>
      <c r="V108" s="67"/>
      <c r="W108" s="67"/>
      <c r="X108" s="67"/>
      <c r="Y108" s="67"/>
      <c r="Z108" s="67"/>
      <c r="AA108" s="67"/>
      <c r="AB108" s="67"/>
      <c r="AC108" s="67"/>
      <c r="AD108" s="67"/>
      <c r="AE108" s="67"/>
      <c r="AF108" s="67"/>
      <c r="AG108" s="67"/>
    </row>
    <row r="109" spans="1:33" ht="37.200000000000003" customHeight="1" x14ac:dyDescent="0.2">
      <c r="A109" s="71"/>
      <c r="B109" s="159"/>
      <c r="C109" s="159"/>
      <c r="D109" s="159"/>
      <c r="E109" s="159"/>
      <c r="F109" s="159"/>
      <c r="G109" s="159"/>
      <c r="H109" s="159"/>
      <c r="I109" s="159"/>
      <c r="J109" s="159"/>
      <c r="K109" s="159"/>
      <c r="L109" s="159"/>
      <c r="M109" s="159"/>
      <c r="N109" s="159"/>
      <c r="O109" s="159"/>
      <c r="P109" s="159"/>
      <c r="Q109" s="159"/>
      <c r="R109" s="159"/>
      <c r="S109" s="159"/>
      <c r="T109" s="159"/>
      <c r="U109" s="159"/>
      <c r="V109" s="67"/>
      <c r="W109" s="67"/>
      <c r="X109" s="67"/>
      <c r="Y109" s="67"/>
      <c r="Z109" s="67"/>
      <c r="AA109" s="67"/>
      <c r="AB109" s="67"/>
      <c r="AC109" s="67"/>
      <c r="AD109" s="67"/>
      <c r="AE109" s="67"/>
      <c r="AF109" s="67"/>
      <c r="AG109" s="67"/>
    </row>
    <row r="110" spans="1:33" ht="18.75" customHeight="1" x14ac:dyDescent="0.2">
      <c r="A110" s="71"/>
      <c r="B110" s="160" t="s">
        <v>125</v>
      </c>
      <c r="C110" s="160"/>
      <c r="D110" s="160"/>
      <c r="E110" s="160"/>
      <c r="F110" s="160"/>
      <c r="G110" s="160"/>
      <c r="H110" s="160"/>
      <c r="I110" s="160"/>
      <c r="J110" s="160"/>
      <c r="K110" s="160"/>
      <c r="L110" s="160"/>
      <c r="M110" s="160"/>
      <c r="N110" s="160"/>
      <c r="O110" s="160"/>
      <c r="P110" s="160"/>
      <c r="Q110" s="160"/>
      <c r="R110" s="160"/>
      <c r="S110" s="160"/>
      <c r="T110" s="160"/>
      <c r="U110" s="160"/>
      <c r="V110" s="67"/>
      <c r="W110" s="67"/>
      <c r="X110" s="67"/>
      <c r="Y110" s="67"/>
      <c r="Z110" s="67"/>
      <c r="AA110" s="67"/>
      <c r="AB110" s="67"/>
      <c r="AC110" s="67"/>
      <c r="AD110" s="67"/>
      <c r="AE110" s="67"/>
      <c r="AF110" s="67"/>
      <c r="AG110" s="67"/>
    </row>
    <row r="111" spans="1:33" ht="18.75" customHeight="1" x14ac:dyDescent="0.2">
      <c r="A111" s="71"/>
      <c r="B111" s="156" t="s">
        <v>53</v>
      </c>
      <c r="C111" s="156"/>
      <c r="D111" s="156"/>
      <c r="E111" s="156"/>
      <c r="F111" s="156"/>
      <c r="G111" s="156"/>
      <c r="H111" s="156"/>
      <c r="I111" s="156"/>
      <c r="J111" s="156"/>
      <c r="K111" s="156"/>
      <c r="L111" s="156"/>
      <c r="M111" s="156"/>
      <c r="N111" s="156"/>
      <c r="O111" s="156"/>
      <c r="P111" s="156"/>
      <c r="Q111" s="156"/>
      <c r="R111" s="156"/>
      <c r="S111" s="156"/>
      <c r="T111" s="156"/>
      <c r="U111" s="156"/>
      <c r="V111" s="66"/>
      <c r="W111" s="66"/>
      <c r="X111" s="66"/>
      <c r="Y111" s="66"/>
      <c r="Z111" s="66"/>
      <c r="AA111" s="66"/>
      <c r="AB111" s="66"/>
      <c r="AC111" s="66"/>
      <c r="AD111" s="66"/>
      <c r="AE111" s="66"/>
      <c r="AF111" s="66"/>
      <c r="AG111" s="66"/>
    </row>
    <row r="112" spans="1:33" ht="132" customHeight="1" x14ac:dyDescent="0.2">
      <c r="A112" s="71"/>
      <c r="B112" s="155"/>
      <c r="C112" s="155"/>
      <c r="D112" s="155"/>
      <c r="E112" s="155"/>
      <c r="F112" s="155"/>
      <c r="G112" s="155"/>
      <c r="H112" s="155"/>
      <c r="I112" s="155"/>
      <c r="J112" s="155"/>
      <c r="K112" s="155"/>
      <c r="L112" s="155"/>
      <c r="M112" s="155"/>
      <c r="N112" s="155"/>
      <c r="O112" s="155"/>
      <c r="P112" s="155"/>
      <c r="Q112" s="155"/>
      <c r="R112" s="155"/>
      <c r="S112" s="155"/>
      <c r="T112" s="155"/>
      <c r="U112" s="155"/>
      <c r="V112" s="68"/>
      <c r="W112" s="68"/>
      <c r="X112" s="68"/>
      <c r="Y112" s="68"/>
      <c r="Z112" s="68"/>
      <c r="AA112" s="68"/>
      <c r="AB112" s="68"/>
      <c r="AC112" s="68"/>
      <c r="AD112" s="68"/>
      <c r="AE112" s="68"/>
      <c r="AF112" s="68"/>
      <c r="AG112" s="68"/>
    </row>
    <row r="114" ht="18" customHeight="1" x14ac:dyDescent="0.2"/>
  </sheetData>
  <mergeCells count="159">
    <mergeCell ref="V91:AB91"/>
    <mergeCell ref="V93:AB93"/>
    <mergeCell ref="V94:AB94"/>
    <mergeCell ref="V95:AB95"/>
    <mergeCell ref="B110:U110"/>
    <mergeCell ref="R83:U83"/>
    <mergeCell ref="K70:P70"/>
    <mergeCell ref="B65:F65"/>
    <mergeCell ref="B66:F66"/>
    <mergeCell ref="K74:P74"/>
    <mergeCell ref="K75:P75"/>
    <mergeCell ref="K76:P76"/>
    <mergeCell ref="B111:U111"/>
    <mergeCell ref="V96:AB96"/>
    <mergeCell ref="V92:AB92"/>
    <mergeCell ref="B108:U109"/>
    <mergeCell ref="D98:U98"/>
    <mergeCell ref="D99:U99"/>
    <mergeCell ref="D100:U100"/>
    <mergeCell ref="D101:U101"/>
    <mergeCell ref="D97:U97"/>
    <mergeCell ref="B95:B96"/>
    <mergeCell ref="V97:AB97"/>
    <mergeCell ref="V98:AB98"/>
    <mergeCell ref="V99:AB99"/>
    <mergeCell ref="V100:AB100"/>
    <mergeCell ref="V101:AB10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A57:U58"/>
    <mergeCell ref="B60:F60"/>
    <mergeCell ref="B61:F61"/>
    <mergeCell ref="K61:Q61"/>
    <mergeCell ref="B80:F80"/>
    <mergeCell ref="G81:J81"/>
    <mergeCell ref="B93:B94"/>
    <mergeCell ref="R84:U84"/>
    <mergeCell ref="G80:J80"/>
    <mergeCell ref="K80:Q80"/>
    <mergeCell ref="B71:E71"/>
    <mergeCell ref="B72:E72"/>
    <mergeCell ref="B91:B92"/>
    <mergeCell ref="K71:P71"/>
    <mergeCell ref="K72:P72"/>
    <mergeCell ref="K73:P73"/>
    <mergeCell ref="B84:F84"/>
    <mergeCell ref="G83:J83"/>
    <mergeCell ref="G84:J84"/>
    <mergeCell ref="K83:Q83"/>
    <mergeCell ref="K84:Q84"/>
    <mergeCell ref="B75:E75"/>
    <mergeCell ref="B76:E76"/>
    <mergeCell ref="B77:E77"/>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B53:F53"/>
    <mergeCell ref="B54:F54"/>
    <mergeCell ref="B55:F55"/>
    <mergeCell ref="K42:Q42"/>
    <mergeCell ref="K43:Q43"/>
    <mergeCell ref="K44:Q44"/>
    <mergeCell ref="A46:U47"/>
    <mergeCell ref="K41:Q41"/>
    <mergeCell ref="B48:F48"/>
    <mergeCell ref="B49:F49"/>
    <mergeCell ref="B50:F50"/>
    <mergeCell ref="K55:Q55"/>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K37:Q37"/>
    <mergeCell ref="B62:F62"/>
    <mergeCell ref="B63:F63"/>
    <mergeCell ref="B64:F64"/>
    <mergeCell ref="K48:Q48"/>
    <mergeCell ref="B51:F51"/>
    <mergeCell ref="K38:Q38"/>
    <mergeCell ref="B52:F52"/>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1B54-830A-411A-B4E6-EC50A1B200A8}">
  <sheetPr>
    <pageSetUpPr fitToPage="1"/>
  </sheetPr>
  <dimension ref="A1:AG114"/>
  <sheetViews>
    <sheetView showZeros="0" view="pageBreakPreview" topLeftCell="A104" zoomScaleNormal="100" zoomScaleSheetLayoutView="100" workbookViewId="0">
      <selection activeCell="AC91" sqref="AC91"/>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x14ac:dyDescent="0.2">
      <c r="A1" s="72"/>
      <c r="B1" s="72"/>
      <c r="C1" s="72"/>
      <c r="D1" s="72"/>
      <c r="E1" s="72"/>
      <c r="F1" s="72"/>
      <c r="G1" s="72"/>
      <c r="H1" s="72"/>
      <c r="I1" s="72"/>
      <c r="J1" s="72"/>
      <c r="K1" s="72"/>
      <c r="L1" s="72"/>
      <c r="M1" s="72"/>
      <c r="N1" s="72"/>
      <c r="O1" s="72"/>
      <c r="P1" s="72"/>
      <c r="Q1" s="72"/>
      <c r="R1" s="72"/>
      <c r="S1" s="72"/>
      <c r="T1" s="117" t="s">
        <v>167</v>
      </c>
      <c r="U1" s="117"/>
      <c r="V1" s="2" t="s">
        <v>99</v>
      </c>
    </row>
    <row r="2" spans="1:24" ht="18.75" customHeight="1" x14ac:dyDescent="0.2">
      <c r="A2" s="72"/>
      <c r="B2" s="74" t="s">
        <v>98</v>
      </c>
      <c r="C2" s="118" t="s">
        <v>136</v>
      </c>
      <c r="D2" s="119"/>
      <c r="E2" s="119"/>
      <c r="F2" s="119"/>
      <c r="G2" s="119"/>
      <c r="H2" s="119"/>
      <c r="I2" s="119"/>
      <c r="J2" s="120"/>
      <c r="K2" s="73"/>
      <c r="L2" s="75"/>
      <c r="M2" s="75"/>
      <c r="N2" s="75"/>
      <c r="O2" s="75"/>
      <c r="P2" s="75"/>
      <c r="Q2" s="75"/>
      <c r="R2" s="75"/>
      <c r="S2" s="75"/>
      <c r="T2" s="75"/>
      <c r="U2" s="75"/>
    </row>
    <row r="3" spans="1:24" ht="18.75" customHeight="1" x14ac:dyDescent="0.2">
      <c r="A3" s="72"/>
      <c r="B3" s="74" t="s">
        <v>93</v>
      </c>
      <c r="C3" s="121" t="s">
        <v>137</v>
      </c>
      <c r="D3" s="122"/>
      <c r="E3" s="122"/>
      <c r="F3" s="122"/>
      <c r="G3" s="122"/>
      <c r="H3" s="122"/>
      <c r="I3" s="122"/>
      <c r="J3" s="123"/>
      <c r="K3" s="73"/>
      <c r="L3" s="75"/>
      <c r="M3" s="75"/>
      <c r="N3" s="75"/>
      <c r="O3" s="75"/>
      <c r="P3" s="75"/>
      <c r="Q3" s="75"/>
      <c r="R3" s="75"/>
      <c r="S3" s="75"/>
      <c r="T3" s="75"/>
      <c r="U3" s="75"/>
    </row>
    <row r="4" spans="1:24" ht="15" customHeight="1" x14ac:dyDescent="0.2">
      <c r="A4" s="72"/>
      <c r="B4" s="72"/>
      <c r="C4" s="72"/>
      <c r="D4" s="72"/>
      <c r="E4" s="72"/>
      <c r="F4" s="72"/>
      <c r="G4" s="72"/>
      <c r="H4" s="72"/>
      <c r="I4" s="72"/>
      <c r="J4" s="72"/>
      <c r="K4" s="72"/>
      <c r="L4" s="73"/>
      <c r="M4" s="76"/>
      <c r="N4" s="76"/>
      <c r="O4" s="76"/>
      <c r="P4" s="76"/>
      <c r="Q4" s="76"/>
      <c r="R4" s="76"/>
      <c r="S4" s="76"/>
      <c r="T4" s="76"/>
      <c r="U4" s="76"/>
    </row>
    <row r="5" spans="1:24" ht="18" customHeight="1" x14ac:dyDescent="0.2">
      <c r="A5" s="124" t="s">
        <v>37</v>
      </c>
      <c r="B5" s="124"/>
      <c r="C5" s="124"/>
      <c r="D5" s="124"/>
      <c r="E5" s="124"/>
      <c r="F5" s="124"/>
      <c r="G5" s="124"/>
      <c r="H5" s="124"/>
      <c r="I5" s="124"/>
      <c r="J5" s="124"/>
      <c r="K5" s="124"/>
      <c r="L5" s="124"/>
      <c r="M5" s="124"/>
      <c r="N5" s="124"/>
      <c r="O5" s="124"/>
      <c r="P5" s="124"/>
      <c r="Q5" s="124"/>
      <c r="R5" s="124"/>
      <c r="S5" s="124"/>
      <c r="T5" s="124"/>
      <c r="U5" s="124"/>
    </row>
    <row r="6" spans="1:24" ht="15" customHeight="1" x14ac:dyDescent="0.2">
      <c r="A6" s="72"/>
      <c r="B6" s="77"/>
      <c r="C6" s="77"/>
      <c r="D6" s="77"/>
      <c r="E6" s="77"/>
      <c r="F6" s="77"/>
      <c r="G6" s="77"/>
      <c r="H6" s="77"/>
      <c r="I6" s="77"/>
      <c r="J6" s="77"/>
      <c r="K6" s="77"/>
      <c r="L6" s="77"/>
      <c r="M6" s="77"/>
      <c r="N6" s="77"/>
      <c r="O6" s="77"/>
      <c r="P6" s="77"/>
      <c r="Q6" s="77"/>
      <c r="R6" s="77"/>
      <c r="S6" s="77"/>
      <c r="T6" s="77"/>
      <c r="U6" s="77"/>
    </row>
    <row r="7" spans="1:24" ht="15" customHeight="1" x14ac:dyDescent="0.2">
      <c r="A7" s="72" t="s">
        <v>131</v>
      </c>
      <c r="B7" s="77"/>
      <c r="C7" s="77"/>
      <c r="D7" s="77"/>
      <c r="E7" s="77"/>
      <c r="F7" s="71"/>
      <c r="G7" s="71"/>
      <c r="H7" s="71"/>
      <c r="I7" s="71"/>
      <c r="J7" s="71"/>
      <c r="K7" s="71"/>
      <c r="L7" s="89" t="s">
        <v>129</v>
      </c>
      <c r="M7" s="90"/>
      <c r="N7" s="90"/>
      <c r="O7" s="90"/>
      <c r="P7" s="90"/>
      <c r="Q7" s="90"/>
      <c r="R7" s="90"/>
      <c r="S7" s="90"/>
      <c r="T7" s="90"/>
      <c r="U7" s="91"/>
    </row>
    <row r="8" spans="1:24" ht="6" customHeight="1" x14ac:dyDescent="0.2">
      <c r="A8" s="72"/>
      <c r="B8" s="77"/>
      <c r="C8" s="77"/>
      <c r="D8" s="77"/>
      <c r="E8" s="77"/>
      <c r="F8" s="77"/>
      <c r="G8" s="77"/>
      <c r="H8" s="77"/>
      <c r="I8" s="77"/>
      <c r="J8" s="77"/>
      <c r="K8" s="77"/>
      <c r="L8" s="77"/>
      <c r="M8" s="77"/>
      <c r="N8" s="77"/>
      <c r="O8" s="77"/>
      <c r="P8" s="77"/>
      <c r="Q8" s="77"/>
      <c r="R8" s="77"/>
      <c r="S8" s="77"/>
      <c r="T8" s="77"/>
      <c r="U8" s="77"/>
    </row>
    <row r="9" spans="1:24" ht="18" customHeight="1" x14ac:dyDescent="0.2">
      <c r="A9" s="72" t="s">
        <v>132</v>
      </c>
      <c r="B9" s="72"/>
      <c r="C9" s="77"/>
      <c r="D9" s="77"/>
      <c r="E9" s="72"/>
      <c r="F9" s="72"/>
      <c r="G9" s="72"/>
      <c r="H9" s="72"/>
      <c r="I9" s="72"/>
      <c r="J9" s="72"/>
      <c r="K9" s="73"/>
      <c r="L9" s="71"/>
      <c r="M9" s="71"/>
      <c r="N9" s="71"/>
      <c r="O9" s="71"/>
      <c r="P9" s="71"/>
      <c r="Q9" s="71"/>
      <c r="R9" s="71"/>
      <c r="S9" s="71"/>
      <c r="T9" s="71"/>
      <c r="U9" s="71"/>
    </row>
    <row r="10" spans="1:24" ht="6" customHeight="1" x14ac:dyDescent="0.2">
      <c r="A10" s="72"/>
      <c r="B10" s="77"/>
      <c r="C10" s="77"/>
      <c r="D10" s="77"/>
      <c r="E10" s="77"/>
      <c r="F10" s="77"/>
      <c r="G10" s="77"/>
      <c r="H10" s="77"/>
      <c r="I10" s="77"/>
      <c r="J10" s="77"/>
      <c r="K10" s="77"/>
      <c r="L10" s="78"/>
      <c r="M10" s="77"/>
      <c r="N10" s="77"/>
      <c r="O10" s="77"/>
      <c r="P10" s="77"/>
      <c r="Q10" s="77"/>
      <c r="R10" s="77"/>
      <c r="S10" s="77"/>
      <c r="T10" s="77"/>
      <c r="U10" s="77"/>
    </row>
    <row r="11" spans="1:24" ht="18" customHeight="1" x14ac:dyDescent="0.2">
      <c r="A11" s="72"/>
      <c r="B11" s="101" t="s">
        <v>168</v>
      </c>
      <c r="C11" s="102"/>
      <c r="D11" s="102"/>
      <c r="E11" s="102"/>
      <c r="F11" s="102"/>
      <c r="G11" s="102"/>
      <c r="H11" s="102"/>
      <c r="I11" s="102"/>
      <c r="J11" s="102"/>
      <c r="K11" s="102"/>
      <c r="L11" s="102"/>
      <c r="M11" s="102"/>
      <c r="N11" s="102"/>
      <c r="O11" s="102"/>
      <c r="P11" s="102"/>
      <c r="Q11" s="102"/>
      <c r="R11" s="102"/>
      <c r="S11" s="102"/>
      <c r="T11" s="102"/>
      <c r="U11" s="103"/>
    </row>
    <row r="12" spans="1:24" ht="18" customHeight="1" x14ac:dyDescent="0.2">
      <c r="A12" s="72"/>
      <c r="B12" s="104"/>
      <c r="C12" s="105"/>
      <c r="D12" s="105"/>
      <c r="E12" s="105"/>
      <c r="F12" s="105"/>
      <c r="G12" s="105"/>
      <c r="H12" s="105"/>
      <c r="I12" s="105"/>
      <c r="J12" s="105"/>
      <c r="K12" s="105"/>
      <c r="L12" s="105"/>
      <c r="M12" s="105"/>
      <c r="N12" s="105"/>
      <c r="O12" s="105"/>
      <c r="P12" s="105"/>
      <c r="Q12" s="105"/>
      <c r="R12" s="105"/>
      <c r="S12" s="105"/>
      <c r="T12" s="105"/>
      <c r="U12" s="106"/>
    </row>
    <row r="13" spans="1:24" ht="6" customHeight="1" x14ac:dyDescent="0.2">
      <c r="A13" s="72"/>
      <c r="B13" s="77"/>
      <c r="C13" s="77"/>
      <c r="D13" s="77"/>
      <c r="E13" s="77"/>
      <c r="F13" s="77"/>
      <c r="G13" s="77"/>
      <c r="H13" s="77"/>
      <c r="I13" s="77"/>
      <c r="J13" s="77"/>
      <c r="K13" s="77"/>
      <c r="L13" s="78"/>
      <c r="M13" s="77"/>
      <c r="N13" s="77"/>
      <c r="O13" s="77"/>
      <c r="P13" s="77"/>
      <c r="Q13" s="77"/>
      <c r="R13" s="77"/>
      <c r="S13" s="77"/>
      <c r="T13" s="77"/>
      <c r="U13" s="77"/>
    </row>
    <row r="14" spans="1:24" ht="18" customHeight="1" x14ac:dyDescent="0.2">
      <c r="A14" s="72" t="s">
        <v>100</v>
      </c>
      <c r="B14" s="77"/>
      <c r="C14" s="77"/>
      <c r="D14" s="77"/>
      <c r="E14" s="73"/>
      <c r="F14" s="73"/>
      <c r="G14" s="73"/>
      <c r="H14" s="73"/>
      <c r="I14" s="73"/>
      <c r="J14" s="73"/>
      <c r="K14" s="73"/>
      <c r="L14" s="79"/>
      <c r="M14" s="79"/>
      <c r="N14" s="79"/>
      <c r="O14" s="79"/>
      <c r="P14" s="79"/>
      <c r="Q14" s="79"/>
      <c r="R14" s="79"/>
      <c r="S14" s="79"/>
      <c r="T14" s="79"/>
      <c r="U14" s="79"/>
    </row>
    <row r="15" spans="1:24" ht="18" customHeight="1" x14ac:dyDescent="0.2">
      <c r="A15" s="72"/>
      <c r="B15" s="125" t="s">
        <v>169</v>
      </c>
      <c r="C15" s="126"/>
      <c r="D15" s="126"/>
      <c r="E15" s="126"/>
      <c r="F15" s="126"/>
      <c r="G15" s="126"/>
      <c r="H15" s="126"/>
      <c r="I15" s="126"/>
      <c r="J15" s="126"/>
      <c r="K15" s="126"/>
      <c r="L15" s="126"/>
      <c r="M15" s="126"/>
      <c r="N15" s="126"/>
      <c r="O15" s="126"/>
      <c r="P15" s="126"/>
      <c r="Q15" s="126"/>
      <c r="R15" s="126"/>
      <c r="S15" s="126"/>
      <c r="T15" s="126"/>
      <c r="U15" s="127"/>
      <c r="X15" s="1" t="s">
        <v>94</v>
      </c>
    </row>
    <row r="16" spans="1:24" ht="18" customHeight="1" x14ac:dyDescent="0.2">
      <c r="A16" s="72"/>
      <c r="B16" s="128"/>
      <c r="C16" s="129"/>
      <c r="D16" s="129"/>
      <c r="E16" s="129"/>
      <c r="F16" s="129"/>
      <c r="G16" s="129"/>
      <c r="H16" s="129"/>
      <c r="I16" s="129"/>
      <c r="J16" s="129"/>
      <c r="K16" s="129"/>
      <c r="L16" s="129"/>
      <c r="M16" s="129"/>
      <c r="N16" s="129"/>
      <c r="O16" s="129"/>
      <c r="P16" s="129"/>
      <c r="Q16" s="129"/>
      <c r="R16" s="129"/>
      <c r="S16" s="129"/>
      <c r="T16" s="129"/>
      <c r="U16" s="130"/>
      <c r="X16" s="1" t="s">
        <v>114</v>
      </c>
    </row>
    <row r="17" spans="1:24" ht="18" customHeight="1" x14ac:dyDescent="0.2">
      <c r="A17" s="72"/>
      <c r="B17" s="128"/>
      <c r="C17" s="129"/>
      <c r="D17" s="129"/>
      <c r="E17" s="129"/>
      <c r="F17" s="129"/>
      <c r="G17" s="129"/>
      <c r="H17" s="129"/>
      <c r="I17" s="129"/>
      <c r="J17" s="129"/>
      <c r="K17" s="129"/>
      <c r="L17" s="129"/>
      <c r="M17" s="129"/>
      <c r="N17" s="129"/>
      <c r="O17" s="129"/>
      <c r="P17" s="129"/>
      <c r="Q17" s="129"/>
      <c r="R17" s="129"/>
      <c r="S17" s="129"/>
      <c r="T17" s="129"/>
      <c r="U17" s="130"/>
      <c r="X17" s="1" t="s">
        <v>115</v>
      </c>
    </row>
    <row r="18" spans="1:24" ht="18" customHeight="1" x14ac:dyDescent="0.2">
      <c r="A18" s="72"/>
      <c r="B18" s="128"/>
      <c r="C18" s="129"/>
      <c r="D18" s="129"/>
      <c r="E18" s="129"/>
      <c r="F18" s="129"/>
      <c r="G18" s="129"/>
      <c r="H18" s="129"/>
      <c r="I18" s="129"/>
      <c r="J18" s="129"/>
      <c r="K18" s="129"/>
      <c r="L18" s="129"/>
      <c r="M18" s="129"/>
      <c r="N18" s="129"/>
      <c r="O18" s="129"/>
      <c r="P18" s="129"/>
      <c r="Q18" s="129"/>
      <c r="R18" s="129"/>
      <c r="S18" s="129"/>
      <c r="T18" s="129"/>
      <c r="U18" s="130"/>
      <c r="X18" s="1" t="s">
        <v>116</v>
      </c>
    </row>
    <row r="19" spans="1:24" ht="18" customHeight="1" x14ac:dyDescent="0.2">
      <c r="A19" s="72"/>
      <c r="B19" s="128"/>
      <c r="C19" s="129"/>
      <c r="D19" s="129"/>
      <c r="E19" s="129"/>
      <c r="F19" s="129"/>
      <c r="G19" s="129"/>
      <c r="H19" s="129"/>
      <c r="I19" s="129"/>
      <c r="J19" s="129"/>
      <c r="K19" s="129"/>
      <c r="L19" s="129"/>
      <c r="M19" s="129"/>
      <c r="N19" s="129"/>
      <c r="O19" s="129"/>
      <c r="P19" s="129"/>
      <c r="Q19" s="129"/>
      <c r="R19" s="129"/>
      <c r="S19" s="129"/>
      <c r="T19" s="129"/>
      <c r="U19" s="130"/>
    </row>
    <row r="20" spans="1:24" ht="18" customHeight="1" x14ac:dyDescent="0.2">
      <c r="A20" s="72"/>
      <c r="B20" s="131"/>
      <c r="C20" s="132"/>
      <c r="D20" s="132"/>
      <c r="E20" s="132"/>
      <c r="F20" s="132"/>
      <c r="G20" s="132"/>
      <c r="H20" s="132"/>
      <c r="I20" s="132"/>
      <c r="J20" s="132"/>
      <c r="K20" s="132"/>
      <c r="L20" s="132"/>
      <c r="M20" s="132"/>
      <c r="N20" s="132"/>
      <c r="O20" s="132"/>
      <c r="P20" s="132"/>
      <c r="Q20" s="132"/>
      <c r="R20" s="132"/>
      <c r="S20" s="132"/>
      <c r="T20" s="132"/>
      <c r="U20" s="133"/>
    </row>
    <row r="21" spans="1:24" ht="7.5" customHeight="1" x14ac:dyDescent="0.2">
      <c r="A21" s="72"/>
      <c r="B21" s="77"/>
      <c r="C21" s="77"/>
      <c r="D21" s="77"/>
      <c r="E21" s="77"/>
      <c r="F21" s="77"/>
      <c r="G21" s="77"/>
      <c r="H21" s="77"/>
      <c r="I21" s="77"/>
      <c r="J21" s="77"/>
      <c r="K21" s="77"/>
      <c r="L21" s="77"/>
      <c r="M21" s="77"/>
      <c r="N21" s="77"/>
      <c r="O21" s="77"/>
      <c r="P21" s="77"/>
      <c r="Q21" s="77"/>
      <c r="R21" s="77"/>
      <c r="S21" s="77"/>
      <c r="T21" s="77"/>
      <c r="U21" s="77"/>
    </row>
    <row r="22" spans="1:24" ht="19.95" customHeight="1" x14ac:dyDescent="0.2">
      <c r="A22" s="72"/>
      <c r="B22" s="72" t="s">
        <v>133</v>
      </c>
      <c r="C22" s="72"/>
      <c r="D22" s="72"/>
      <c r="E22" s="80">
        <v>3</v>
      </c>
      <c r="F22" s="72" t="s">
        <v>112</v>
      </c>
      <c r="G22" s="72"/>
      <c r="H22" s="81">
        <v>6</v>
      </c>
      <c r="I22" s="77" t="s">
        <v>113</v>
      </c>
      <c r="J22" s="77"/>
      <c r="K22" s="73"/>
      <c r="L22" s="72"/>
      <c r="M22" s="73" t="s">
        <v>109</v>
      </c>
      <c r="N22" s="86" t="s">
        <v>114</v>
      </c>
      <c r="O22" s="87"/>
      <c r="P22" s="87"/>
      <c r="Q22" s="87"/>
      <c r="R22" s="87"/>
      <c r="S22" s="87"/>
      <c r="T22" s="87"/>
      <c r="U22" s="88"/>
    </row>
    <row r="23" spans="1:24" ht="7.5" customHeight="1" x14ac:dyDescent="0.2">
      <c r="A23" s="72"/>
      <c r="B23" s="77"/>
      <c r="C23" s="77"/>
      <c r="D23" s="77"/>
      <c r="E23" s="77"/>
      <c r="F23" s="77"/>
      <c r="G23" s="77"/>
      <c r="H23" s="77"/>
      <c r="I23" s="77"/>
      <c r="J23" s="77"/>
      <c r="K23" s="77"/>
      <c r="L23" s="77"/>
      <c r="M23" s="77"/>
      <c r="N23" s="77"/>
      <c r="O23" s="77"/>
      <c r="P23" s="77"/>
      <c r="Q23" s="77"/>
      <c r="R23" s="77"/>
      <c r="S23" s="77"/>
      <c r="T23" s="77"/>
      <c r="U23" s="77"/>
    </row>
    <row r="24" spans="1:24" ht="18" customHeight="1" x14ac:dyDescent="0.2">
      <c r="A24" s="134" t="s">
        <v>101</v>
      </c>
      <c r="B24" s="134"/>
      <c r="C24" s="134"/>
      <c r="D24" s="134"/>
      <c r="E24" s="134"/>
      <c r="F24" s="134"/>
      <c r="G24" s="134"/>
      <c r="H24" s="134"/>
      <c r="I24" s="134"/>
      <c r="J24" s="134"/>
      <c r="K24" s="134"/>
      <c r="L24" s="134"/>
      <c r="M24" s="134"/>
      <c r="N24" s="134"/>
      <c r="O24" s="134"/>
      <c r="P24" s="134"/>
      <c r="Q24" s="134"/>
      <c r="R24" s="134"/>
      <c r="S24" s="134"/>
      <c r="T24" s="134"/>
      <c r="U24" s="134"/>
    </row>
    <row r="25" spans="1:24" ht="18" customHeight="1" x14ac:dyDescent="0.2">
      <c r="A25" s="134"/>
      <c r="B25" s="134"/>
      <c r="C25" s="134"/>
      <c r="D25" s="134"/>
      <c r="E25" s="134"/>
      <c r="F25" s="134"/>
      <c r="G25" s="134"/>
      <c r="H25" s="134"/>
      <c r="I25" s="134"/>
      <c r="J25" s="134"/>
      <c r="K25" s="134"/>
      <c r="L25" s="134"/>
      <c r="M25" s="134"/>
      <c r="N25" s="134"/>
      <c r="O25" s="134"/>
      <c r="P25" s="134"/>
      <c r="Q25" s="134"/>
      <c r="R25" s="134"/>
      <c r="S25" s="134"/>
      <c r="T25" s="134"/>
      <c r="U25" s="134"/>
    </row>
    <row r="26" spans="1:24" ht="18" customHeight="1" x14ac:dyDescent="0.2">
      <c r="B26" s="92" t="s">
        <v>51</v>
      </c>
      <c r="C26" s="93"/>
      <c r="D26" s="93"/>
      <c r="E26" s="93"/>
      <c r="F26" s="94"/>
      <c r="G26" s="48" t="s">
        <v>77</v>
      </c>
      <c r="H26" s="47" t="s">
        <v>80</v>
      </c>
      <c r="I26" s="16" t="s">
        <v>54</v>
      </c>
      <c r="J26" s="16" t="s">
        <v>57</v>
      </c>
      <c r="K26" s="92" t="s">
        <v>51</v>
      </c>
      <c r="L26" s="93"/>
      <c r="M26" s="93"/>
      <c r="N26" s="93"/>
      <c r="O26" s="93"/>
      <c r="P26" s="93"/>
      <c r="Q26" s="94"/>
      <c r="R26" s="48" t="s">
        <v>77</v>
      </c>
      <c r="S26" s="47" t="s">
        <v>80</v>
      </c>
      <c r="T26" s="16" t="s">
        <v>54</v>
      </c>
      <c r="U26" s="16" t="s">
        <v>57</v>
      </c>
    </row>
    <row r="27" spans="1:24" ht="18" customHeight="1" x14ac:dyDescent="0.2">
      <c r="B27" s="113" t="s">
        <v>170</v>
      </c>
      <c r="C27" s="114"/>
      <c r="D27" s="114"/>
      <c r="E27" s="114"/>
      <c r="F27" s="115"/>
      <c r="G27" s="17">
        <v>2</v>
      </c>
      <c r="H27" s="17" t="s">
        <v>154</v>
      </c>
      <c r="I27" s="17" t="s">
        <v>154</v>
      </c>
      <c r="J27" s="17" t="s">
        <v>154</v>
      </c>
      <c r="K27" s="113"/>
      <c r="L27" s="114"/>
      <c r="M27" s="114"/>
      <c r="N27" s="114"/>
      <c r="O27" s="114"/>
      <c r="P27" s="114"/>
      <c r="Q27" s="115"/>
      <c r="R27" s="17"/>
      <c r="S27" s="17"/>
      <c r="T27" s="17"/>
      <c r="U27" s="17"/>
    </row>
    <row r="28" spans="1:24" ht="18" customHeight="1" x14ac:dyDescent="0.2">
      <c r="B28" s="107" t="s">
        <v>171</v>
      </c>
      <c r="C28" s="108"/>
      <c r="D28" s="108"/>
      <c r="E28" s="108"/>
      <c r="F28" s="109"/>
      <c r="G28" s="18">
        <v>2</v>
      </c>
      <c r="H28" s="18" t="s">
        <v>154</v>
      </c>
      <c r="I28" s="18" t="s">
        <v>154</v>
      </c>
      <c r="J28" s="18" t="s">
        <v>154</v>
      </c>
      <c r="K28" s="107"/>
      <c r="L28" s="108"/>
      <c r="M28" s="108"/>
      <c r="N28" s="108"/>
      <c r="O28" s="108"/>
      <c r="P28" s="108"/>
      <c r="Q28" s="109"/>
      <c r="R28" s="18"/>
      <c r="S28" s="18"/>
      <c r="T28" s="18"/>
      <c r="U28" s="18"/>
    </row>
    <row r="29" spans="1:24" ht="18" customHeight="1" x14ac:dyDescent="0.2">
      <c r="B29" s="107" t="s">
        <v>172</v>
      </c>
      <c r="C29" s="108"/>
      <c r="D29" s="108"/>
      <c r="E29" s="108"/>
      <c r="F29" s="109"/>
      <c r="G29" s="18">
        <v>2</v>
      </c>
      <c r="H29" s="18" t="s">
        <v>154</v>
      </c>
      <c r="I29" s="18"/>
      <c r="J29" s="18"/>
      <c r="K29" s="107"/>
      <c r="L29" s="108"/>
      <c r="M29" s="108"/>
      <c r="N29" s="108"/>
      <c r="O29" s="108"/>
      <c r="P29" s="108"/>
      <c r="Q29" s="109"/>
      <c r="R29" s="18"/>
      <c r="S29" s="18"/>
      <c r="T29" s="18"/>
      <c r="U29" s="18"/>
    </row>
    <row r="30" spans="1:24" ht="18" customHeight="1" x14ac:dyDescent="0.2">
      <c r="B30" s="107"/>
      <c r="C30" s="108"/>
      <c r="D30" s="108"/>
      <c r="E30" s="108"/>
      <c r="F30" s="109"/>
      <c r="G30" s="18"/>
      <c r="H30" s="18"/>
      <c r="I30" s="18"/>
      <c r="J30" s="18"/>
      <c r="K30" s="107"/>
      <c r="L30" s="108"/>
      <c r="M30" s="108"/>
      <c r="N30" s="108"/>
      <c r="O30" s="108"/>
      <c r="P30" s="108"/>
      <c r="Q30" s="109"/>
      <c r="R30" s="18"/>
      <c r="S30" s="18"/>
      <c r="T30" s="18"/>
      <c r="U30" s="18"/>
    </row>
    <row r="31" spans="1:24" ht="18" customHeight="1" x14ac:dyDescent="0.2">
      <c r="B31" s="107"/>
      <c r="C31" s="108"/>
      <c r="D31" s="108"/>
      <c r="E31" s="108"/>
      <c r="F31" s="109"/>
      <c r="G31" s="18"/>
      <c r="H31" s="18"/>
      <c r="I31" s="18"/>
      <c r="J31" s="18"/>
      <c r="K31" s="107"/>
      <c r="L31" s="108"/>
      <c r="M31" s="108"/>
      <c r="N31" s="108"/>
      <c r="O31" s="108"/>
      <c r="P31" s="108"/>
      <c r="Q31" s="109"/>
      <c r="R31" s="18"/>
      <c r="S31" s="18"/>
      <c r="T31" s="18"/>
      <c r="U31" s="18"/>
    </row>
    <row r="32" spans="1:24" ht="18" customHeight="1" x14ac:dyDescent="0.2">
      <c r="A32" s="3"/>
      <c r="B32" s="107"/>
      <c r="C32" s="108"/>
      <c r="D32" s="108"/>
      <c r="E32" s="108"/>
      <c r="F32" s="109"/>
      <c r="G32" s="18"/>
      <c r="H32" s="18"/>
      <c r="I32" s="18"/>
      <c r="J32" s="18"/>
      <c r="K32" s="107"/>
      <c r="L32" s="108"/>
      <c r="M32" s="108"/>
      <c r="N32" s="108"/>
      <c r="O32" s="108"/>
      <c r="P32" s="108"/>
      <c r="Q32" s="109"/>
      <c r="R32" s="18"/>
      <c r="S32" s="18"/>
      <c r="T32" s="18"/>
      <c r="U32" s="18"/>
    </row>
    <row r="33" spans="1:21" ht="18" customHeight="1" x14ac:dyDescent="0.2">
      <c r="A33" s="3"/>
      <c r="B33" s="110"/>
      <c r="C33" s="111"/>
      <c r="D33" s="111"/>
      <c r="E33" s="111"/>
      <c r="F33" s="112"/>
      <c r="G33" s="19"/>
      <c r="H33" s="19"/>
      <c r="I33" s="20"/>
      <c r="J33" s="20"/>
      <c r="K33" s="110"/>
      <c r="L33" s="111"/>
      <c r="M33" s="111"/>
      <c r="N33" s="111"/>
      <c r="O33" s="111"/>
      <c r="P33" s="111"/>
      <c r="Q33" s="112"/>
      <c r="R33" s="19"/>
      <c r="S33" s="19"/>
      <c r="T33" s="20"/>
      <c r="U33" s="20"/>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16" t="s">
        <v>102</v>
      </c>
      <c r="B35" s="116"/>
      <c r="C35" s="116"/>
      <c r="D35" s="116"/>
      <c r="E35" s="116"/>
      <c r="F35" s="116"/>
      <c r="G35" s="116"/>
      <c r="H35" s="116"/>
      <c r="I35" s="116"/>
      <c r="J35" s="116"/>
      <c r="K35" s="116"/>
      <c r="L35" s="116"/>
      <c r="M35" s="116"/>
      <c r="N35" s="116"/>
      <c r="O35" s="116"/>
      <c r="P35" s="116"/>
      <c r="Q35" s="116"/>
      <c r="R35" s="116"/>
      <c r="S35" s="116"/>
      <c r="T35" s="116"/>
      <c r="U35" s="116"/>
    </row>
    <row r="36" spans="1:21" ht="18" customHeight="1" x14ac:dyDescent="0.2">
      <c r="A36" s="116"/>
      <c r="B36" s="116"/>
      <c r="C36" s="116"/>
      <c r="D36" s="116"/>
      <c r="E36" s="116"/>
      <c r="F36" s="116"/>
      <c r="G36" s="116"/>
      <c r="H36" s="116"/>
      <c r="I36" s="116"/>
      <c r="J36" s="116"/>
      <c r="K36" s="116"/>
      <c r="L36" s="116"/>
      <c r="M36" s="116"/>
      <c r="N36" s="116"/>
      <c r="O36" s="116"/>
      <c r="P36" s="116"/>
      <c r="Q36" s="116"/>
      <c r="R36" s="116"/>
      <c r="S36" s="116"/>
      <c r="T36" s="116"/>
      <c r="U36" s="116"/>
    </row>
    <row r="37" spans="1:21" ht="18" customHeight="1" x14ac:dyDescent="0.2">
      <c r="B37" s="92" t="s">
        <v>51</v>
      </c>
      <c r="C37" s="93"/>
      <c r="D37" s="93"/>
      <c r="E37" s="93"/>
      <c r="F37" s="94"/>
      <c r="G37" s="48" t="s">
        <v>77</v>
      </c>
      <c r="H37" s="47" t="s">
        <v>80</v>
      </c>
      <c r="I37" s="16" t="s">
        <v>68</v>
      </c>
      <c r="J37" s="16" t="s">
        <v>69</v>
      </c>
      <c r="K37" s="92" t="s">
        <v>51</v>
      </c>
      <c r="L37" s="93"/>
      <c r="M37" s="93"/>
      <c r="N37" s="93"/>
      <c r="O37" s="93"/>
      <c r="P37" s="93"/>
      <c r="Q37" s="94"/>
      <c r="R37" s="48" t="s">
        <v>77</v>
      </c>
      <c r="S37" s="47" t="s">
        <v>80</v>
      </c>
      <c r="T37" s="16" t="s">
        <v>68</v>
      </c>
      <c r="U37" s="16" t="s">
        <v>69</v>
      </c>
    </row>
    <row r="38" spans="1:21" ht="18" customHeight="1" x14ac:dyDescent="0.2">
      <c r="B38" s="113" t="s">
        <v>170</v>
      </c>
      <c r="C38" s="114"/>
      <c r="D38" s="114"/>
      <c r="E38" s="114"/>
      <c r="F38" s="115"/>
      <c r="G38" s="17">
        <v>2</v>
      </c>
      <c r="H38" s="17" t="s">
        <v>154</v>
      </c>
      <c r="I38" s="17" t="s">
        <v>154</v>
      </c>
      <c r="J38" s="17" t="s">
        <v>154</v>
      </c>
      <c r="K38" s="113"/>
      <c r="L38" s="114"/>
      <c r="M38" s="114"/>
      <c r="N38" s="114"/>
      <c r="O38" s="114"/>
      <c r="P38" s="114"/>
      <c r="Q38" s="115"/>
      <c r="R38" s="17"/>
      <c r="S38" s="17"/>
      <c r="T38" s="17"/>
      <c r="U38" s="17"/>
    </row>
    <row r="39" spans="1:21" ht="18" customHeight="1" x14ac:dyDescent="0.2">
      <c r="B39" s="107" t="s">
        <v>171</v>
      </c>
      <c r="C39" s="108"/>
      <c r="D39" s="108"/>
      <c r="E39" s="108"/>
      <c r="F39" s="109"/>
      <c r="G39" s="18">
        <v>2</v>
      </c>
      <c r="H39" s="18" t="s">
        <v>154</v>
      </c>
      <c r="I39" s="18" t="s">
        <v>154</v>
      </c>
      <c r="J39" s="18" t="s">
        <v>154</v>
      </c>
      <c r="K39" s="107"/>
      <c r="L39" s="108"/>
      <c r="M39" s="108"/>
      <c r="N39" s="108"/>
      <c r="O39" s="108"/>
      <c r="P39" s="108"/>
      <c r="Q39" s="109"/>
      <c r="R39" s="18"/>
      <c r="S39" s="18"/>
      <c r="T39" s="18"/>
      <c r="U39" s="18"/>
    </row>
    <row r="40" spans="1:21" ht="18" customHeight="1" x14ac:dyDescent="0.2">
      <c r="B40" s="107" t="s">
        <v>172</v>
      </c>
      <c r="C40" s="108"/>
      <c r="D40" s="108"/>
      <c r="E40" s="108"/>
      <c r="F40" s="109"/>
      <c r="G40" s="18">
        <v>2</v>
      </c>
      <c r="H40" s="18" t="s">
        <v>154</v>
      </c>
      <c r="I40" s="18" t="s">
        <v>154</v>
      </c>
      <c r="J40" s="18" t="s">
        <v>154</v>
      </c>
      <c r="K40" s="107"/>
      <c r="L40" s="108"/>
      <c r="M40" s="108"/>
      <c r="N40" s="108"/>
      <c r="O40" s="108"/>
      <c r="P40" s="108"/>
      <c r="Q40" s="109"/>
      <c r="R40" s="18"/>
      <c r="S40" s="18"/>
      <c r="T40" s="18"/>
      <c r="U40" s="18"/>
    </row>
    <row r="41" spans="1:21" ht="18" customHeight="1" x14ac:dyDescent="0.2">
      <c r="B41" s="107"/>
      <c r="C41" s="108"/>
      <c r="D41" s="108"/>
      <c r="E41" s="108"/>
      <c r="F41" s="109"/>
      <c r="G41" s="18"/>
      <c r="H41" s="18"/>
      <c r="I41" s="18"/>
      <c r="J41" s="18"/>
      <c r="K41" s="107"/>
      <c r="L41" s="108"/>
      <c r="M41" s="108"/>
      <c r="N41" s="108"/>
      <c r="O41" s="108"/>
      <c r="P41" s="108"/>
      <c r="Q41" s="109"/>
      <c r="R41" s="18"/>
      <c r="S41" s="18"/>
      <c r="T41" s="18"/>
      <c r="U41" s="18"/>
    </row>
    <row r="42" spans="1:21" ht="18" customHeight="1" x14ac:dyDescent="0.2">
      <c r="B42" s="107"/>
      <c r="C42" s="108"/>
      <c r="D42" s="108"/>
      <c r="E42" s="108"/>
      <c r="F42" s="109"/>
      <c r="G42" s="18"/>
      <c r="H42" s="18"/>
      <c r="I42" s="18"/>
      <c r="J42" s="18"/>
      <c r="K42" s="107"/>
      <c r="L42" s="108"/>
      <c r="M42" s="108"/>
      <c r="N42" s="108"/>
      <c r="O42" s="108"/>
      <c r="P42" s="108"/>
      <c r="Q42" s="109"/>
      <c r="R42" s="18"/>
      <c r="S42" s="18"/>
      <c r="T42" s="18"/>
      <c r="U42" s="18"/>
    </row>
    <row r="43" spans="1:21" ht="18" customHeight="1" x14ac:dyDescent="0.2">
      <c r="B43" s="107"/>
      <c r="C43" s="108"/>
      <c r="D43" s="108"/>
      <c r="E43" s="108"/>
      <c r="F43" s="109"/>
      <c r="G43" s="18"/>
      <c r="H43" s="18"/>
      <c r="I43" s="18"/>
      <c r="J43" s="18"/>
      <c r="K43" s="107"/>
      <c r="L43" s="108"/>
      <c r="M43" s="108"/>
      <c r="N43" s="108"/>
      <c r="O43" s="108"/>
      <c r="P43" s="108"/>
      <c r="Q43" s="109"/>
      <c r="R43" s="18"/>
      <c r="S43" s="18"/>
      <c r="T43" s="18"/>
      <c r="U43" s="18"/>
    </row>
    <row r="44" spans="1:21" ht="18" customHeight="1" x14ac:dyDescent="0.2">
      <c r="B44" s="110"/>
      <c r="C44" s="111"/>
      <c r="D44" s="111"/>
      <c r="E44" s="111"/>
      <c r="F44" s="112"/>
      <c r="G44" s="19"/>
      <c r="H44" s="19"/>
      <c r="I44" s="20"/>
      <c r="J44" s="20"/>
      <c r="K44" s="110"/>
      <c r="L44" s="111"/>
      <c r="M44" s="111"/>
      <c r="N44" s="111"/>
      <c r="O44" s="111"/>
      <c r="P44" s="111"/>
      <c r="Q44" s="112"/>
      <c r="R44" s="19"/>
      <c r="S44" s="19"/>
      <c r="T44" s="20"/>
      <c r="U44" s="20"/>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16" t="s">
        <v>103</v>
      </c>
      <c r="B46" s="116"/>
      <c r="C46" s="116"/>
      <c r="D46" s="116"/>
      <c r="E46" s="116"/>
      <c r="F46" s="116"/>
      <c r="G46" s="116"/>
      <c r="H46" s="116"/>
      <c r="I46" s="116"/>
      <c r="J46" s="116"/>
      <c r="K46" s="116"/>
      <c r="L46" s="116"/>
      <c r="M46" s="116"/>
      <c r="N46" s="116"/>
      <c r="O46" s="116"/>
      <c r="P46" s="116"/>
      <c r="Q46" s="116"/>
      <c r="R46" s="116"/>
      <c r="S46" s="116"/>
      <c r="T46" s="116"/>
      <c r="U46" s="116"/>
    </row>
    <row r="47" spans="1:21" ht="18" customHeight="1" x14ac:dyDescent="0.2">
      <c r="A47" s="116"/>
      <c r="B47" s="116"/>
      <c r="C47" s="116"/>
      <c r="D47" s="116"/>
      <c r="E47" s="116"/>
      <c r="F47" s="116"/>
      <c r="G47" s="116"/>
      <c r="H47" s="116"/>
      <c r="I47" s="116"/>
      <c r="J47" s="116"/>
      <c r="K47" s="116"/>
      <c r="L47" s="116"/>
      <c r="M47" s="116"/>
      <c r="N47" s="116"/>
      <c r="O47" s="116"/>
      <c r="P47" s="116"/>
      <c r="Q47" s="116"/>
      <c r="R47" s="116"/>
      <c r="S47" s="116"/>
      <c r="T47" s="116"/>
      <c r="U47" s="116"/>
    </row>
    <row r="48" spans="1:21" ht="18" customHeight="1" x14ac:dyDescent="0.2">
      <c r="B48" s="92" t="s">
        <v>51</v>
      </c>
      <c r="C48" s="93"/>
      <c r="D48" s="93"/>
      <c r="E48" s="93"/>
      <c r="F48" s="94"/>
      <c r="G48" s="48" t="s">
        <v>77</v>
      </c>
      <c r="H48" s="47" t="s">
        <v>80</v>
      </c>
      <c r="I48" s="16" t="s">
        <v>70</v>
      </c>
      <c r="J48" s="16" t="s">
        <v>71</v>
      </c>
      <c r="K48" s="92" t="s">
        <v>51</v>
      </c>
      <c r="L48" s="93"/>
      <c r="M48" s="93"/>
      <c r="N48" s="93"/>
      <c r="O48" s="93"/>
      <c r="P48" s="93"/>
      <c r="Q48" s="94"/>
      <c r="R48" s="48" t="s">
        <v>77</v>
      </c>
      <c r="S48" s="47" t="s">
        <v>80</v>
      </c>
      <c r="T48" s="16" t="s">
        <v>70</v>
      </c>
      <c r="U48" s="16" t="s">
        <v>71</v>
      </c>
    </row>
    <row r="49" spans="1:21" ht="18" customHeight="1" x14ac:dyDescent="0.2">
      <c r="A49" s="3"/>
      <c r="B49" s="113" t="s">
        <v>170</v>
      </c>
      <c r="C49" s="114"/>
      <c r="D49" s="114"/>
      <c r="E49" s="114"/>
      <c r="F49" s="115"/>
      <c r="G49" s="17">
        <v>2</v>
      </c>
      <c r="H49" s="17" t="s">
        <v>154</v>
      </c>
      <c r="I49" s="17" t="s">
        <v>154</v>
      </c>
      <c r="J49" s="17" t="s">
        <v>154</v>
      </c>
      <c r="K49" s="113"/>
      <c r="L49" s="114"/>
      <c r="M49" s="114"/>
      <c r="N49" s="114"/>
      <c r="O49" s="114"/>
      <c r="P49" s="114"/>
      <c r="Q49" s="115"/>
      <c r="R49" s="17"/>
      <c r="S49" s="17"/>
      <c r="T49" s="17"/>
      <c r="U49" s="17"/>
    </row>
    <row r="50" spans="1:21" ht="18" customHeight="1" x14ac:dyDescent="0.2">
      <c r="A50" s="3"/>
      <c r="B50" s="107" t="s">
        <v>171</v>
      </c>
      <c r="C50" s="108"/>
      <c r="D50" s="108"/>
      <c r="E50" s="108"/>
      <c r="F50" s="109"/>
      <c r="G50" s="18">
        <v>2</v>
      </c>
      <c r="H50" s="18" t="s">
        <v>154</v>
      </c>
      <c r="I50" s="18" t="s">
        <v>154</v>
      </c>
      <c r="J50" s="18" t="s">
        <v>154</v>
      </c>
      <c r="K50" s="107"/>
      <c r="L50" s="108"/>
      <c r="M50" s="108"/>
      <c r="N50" s="108"/>
      <c r="O50" s="108"/>
      <c r="P50" s="108"/>
      <c r="Q50" s="109"/>
      <c r="R50" s="18"/>
      <c r="S50" s="18"/>
      <c r="T50" s="18"/>
      <c r="U50" s="18"/>
    </row>
    <row r="51" spans="1:21" ht="18" customHeight="1" x14ac:dyDescent="0.2">
      <c r="A51" s="3"/>
      <c r="B51" s="107" t="s">
        <v>172</v>
      </c>
      <c r="C51" s="108"/>
      <c r="D51" s="108"/>
      <c r="E51" s="108"/>
      <c r="F51" s="109"/>
      <c r="G51" s="18">
        <v>2</v>
      </c>
      <c r="H51" s="18" t="s">
        <v>154</v>
      </c>
      <c r="I51" s="18" t="s">
        <v>154</v>
      </c>
      <c r="J51" s="18" t="s">
        <v>154</v>
      </c>
      <c r="K51" s="107"/>
      <c r="L51" s="108"/>
      <c r="M51" s="108"/>
      <c r="N51" s="108"/>
      <c r="O51" s="108"/>
      <c r="P51" s="108"/>
      <c r="Q51" s="109"/>
      <c r="R51" s="18"/>
      <c r="S51" s="18"/>
      <c r="T51" s="18"/>
      <c r="U51" s="18"/>
    </row>
    <row r="52" spans="1:21" ht="18" customHeight="1" x14ac:dyDescent="0.2">
      <c r="A52" s="3"/>
      <c r="B52" s="107"/>
      <c r="C52" s="108"/>
      <c r="D52" s="108"/>
      <c r="E52" s="108"/>
      <c r="F52" s="109"/>
      <c r="G52" s="18"/>
      <c r="H52" s="18"/>
      <c r="I52" s="18"/>
      <c r="J52" s="18"/>
      <c r="K52" s="107"/>
      <c r="L52" s="108"/>
      <c r="M52" s="108"/>
      <c r="N52" s="108"/>
      <c r="O52" s="108"/>
      <c r="P52" s="108"/>
      <c r="Q52" s="109"/>
      <c r="R52" s="18"/>
      <c r="S52" s="18"/>
      <c r="T52" s="18"/>
      <c r="U52" s="18"/>
    </row>
    <row r="53" spans="1:21" ht="18" customHeight="1" x14ac:dyDescent="0.2">
      <c r="A53" s="3"/>
      <c r="B53" s="107"/>
      <c r="C53" s="108"/>
      <c r="D53" s="108"/>
      <c r="E53" s="108"/>
      <c r="F53" s="109"/>
      <c r="G53" s="18"/>
      <c r="H53" s="18"/>
      <c r="I53" s="18"/>
      <c r="J53" s="18"/>
      <c r="K53" s="107"/>
      <c r="L53" s="108"/>
      <c r="M53" s="108"/>
      <c r="N53" s="108"/>
      <c r="O53" s="108"/>
      <c r="P53" s="108"/>
      <c r="Q53" s="109"/>
      <c r="R53" s="18"/>
      <c r="S53" s="18"/>
      <c r="T53" s="18"/>
      <c r="U53" s="18"/>
    </row>
    <row r="54" spans="1:21" ht="18" customHeight="1" x14ac:dyDescent="0.2">
      <c r="A54" s="3"/>
      <c r="B54" s="107"/>
      <c r="C54" s="108"/>
      <c r="D54" s="108"/>
      <c r="E54" s="108"/>
      <c r="F54" s="109"/>
      <c r="G54" s="18"/>
      <c r="H54" s="18"/>
      <c r="I54" s="18"/>
      <c r="J54" s="18"/>
      <c r="K54" s="107"/>
      <c r="L54" s="108"/>
      <c r="M54" s="108"/>
      <c r="N54" s="108"/>
      <c r="O54" s="108"/>
      <c r="P54" s="108"/>
      <c r="Q54" s="109"/>
      <c r="R54" s="18"/>
      <c r="S54" s="18"/>
      <c r="T54" s="18"/>
      <c r="U54" s="18"/>
    </row>
    <row r="55" spans="1:21" ht="18" customHeight="1" x14ac:dyDescent="0.2">
      <c r="A55" s="3"/>
      <c r="B55" s="110"/>
      <c r="C55" s="111"/>
      <c r="D55" s="111"/>
      <c r="E55" s="111"/>
      <c r="F55" s="112"/>
      <c r="G55" s="19"/>
      <c r="H55" s="19"/>
      <c r="I55" s="20"/>
      <c r="J55" s="20"/>
      <c r="K55" s="110"/>
      <c r="L55" s="111"/>
      <c r="M55" s="111"/>
      <c r="N55" s="111"/>
      <c r="O55" s="111"/>
      <c r="P55" s="111"/>
      <c r="Q55" s="112"/>
      <c r="R55" s="19"/>
      <c r="S55" s="19"/>
      <c r="T55" s="20"/>
      <c r="U55" s="20"/>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16" t="s">
        <v>104</v>
      </c>
      <c r="B57" s="116"/>
      <c r="C57" s="116"/>
      <c r="D57" s="116"/>
      <c r="E57" s="116"/>
      <c r="F57" s="116"/>
      <c r="G57" s="116"/>
      <c r="H57" s="116"/>
      <c r="I57" s="116"/>
      <c r="J57" s="116"/>
      <c r="K57" s="116"/>
      <c r="L57" s="116"/>
      <c r="M57" s="116"/>
      <c r="N57" s="116"/>
      <c r="O57" s="116"/>
      <c r="P57" s="116"/>
      <c r="Q57" s="116"/>
      <c r="R57" s="116"/>
      <c r="S57" s="116"/>
      <c r="T57" s="116"/>
      <c r="U57" s="116"/>
    </row>
    <row r="58" spans="1:21" ht="18" customHeight="1" x14ac:dyDescent="0.2">
      <c r="A58" s="116"/>
      <c r="B58" s="116"/>
      <c r="C58" s="116"/>
      <c r="D58" s="116"/>
      <c r="E58" s="116"/>
      <c r="F58" s="116"/>
      <c r="G58" s="116"/>
      <c r="H58" s="116"/>
      <c r="I58" s="116"/>
      <c r="J58" s="116"/>
      <c r="K58" s="116"/>
      <c r="L58" s="116"/>
      <c r="M58" s="116"/>
      <c r="N58" s="116"/>
      <c r="O58" s="116"/>
      <c r="P58" s="116"/>
      <c r="Q58" s="116"/>
      <c r="R58" s="116"/>
      <c r="S58" s="116"/>
      <c r="T58" s="116"/>
      <c r="U58" s="116"/>
    </row>
    <row r="59" spans="1:21" ht="18" customHeight="1" x14ac:dyDescent="0.2">
      <c r="B59" s="92" t="s">
        <v>51</v>
      </c>
      <c r="C59" s="93"/>
      <c r="D59" s="93"/>
      <c r="E59" s="93"/>
      <c r="F59" s="94"/>
      <c r="G59" s="48" t="s">
        <v>77</v>
      </c>
      <c r="H59" s="47" t="s">
        <v>80</v>
      </c>
      <c r="I59" s="16" t="s">
        <v>56</v>
      </c>
      <c r="J59" s="16" t="s">
        <v>58</v>
      </c>
      <c r="K59" s="92" t="s">
        <v>51</v>
      </c>
      <c r="L59" s="93"/>
      <c r="M59" s="93"/>
      <c r="N59" s="93"/>
      <c r="O59" s="93"/>
      <c r="P59" s="93"/>
      <c r="Q59" s="94"/>
      <c r="R59" s="48" t="s">
        <v>77</v>
      </c>
      <c r="S59" s="47" t="s">
        <v>80</v>
      </c>
      <c r="T59" s="16" t="s">
        <v>56</v>
      </c>
      <c r="U59" s="16" t="s">
        <v>58</v>
      </c>
    </row>
    <row r="60" spans="1:21" ht="18" customHeight="1" x14ac:dyDescent="0.2">
      <c r="A60" s="3"/>
      <c r="B60" s="113" t="s">
        <v>170</v>
      </c>
      <c r="C60" s="114"/>
      <c r="D60" s="114"/>
      <c r="E60" s="114"/>
      <c r="F60" s="115"/>
      <c r="G60" s="17">
        <v>2</v>
      </c>
      <c r="H60" s="17" t="s">
        <v>154</v>
      </c>
      <c r="I60" s="17" t="s">
        <v>154</v>
      </c>
      <c r="J60" s="17" t="s">
        <v>154</v>
      </c>
      <c r="K60" s="113"/>
      <c r="L60" s="114"/>
      <c r="M60" s="114"/>
      <c r="N60" s="114"/>
      <c r="O60" s="114"/>
      <c r="P60" s="114"/>
      <c r="Q60" s="115"/>
      <c r="R60" s="17"/>
      <c r="S60" s="17"/>
      <c r="T60" s="17"/>
      <c r="U60" s="17"/>
    </row>
    <row r="61" spans="1:21" ht="18" customHeight="1" x14ac:dyDescent="0.2">
      <c r="A61" s="3"/>
      <c r="B61" s="107" t="s">
        <v>171</v>
      </c>
      <c r="C61" s="108"/>
      <c r="D61" s="108"/>
      <c r="E61" s="108"/>
      <c r="F61" s="109"/>
      <c r="G61" s="18">
        <v>2</v>
      </c>
      <c r="H61" s="18" t="s">
        <v>154</v>
      </c>
      <c r="I61" s="18" t="s">
        <v>154</v>
      </c>
      <c r="J61" s="18" t="s">
        <v>154</v>
      </c>
      <c r="K61" s="107"/>
      <c r="L61" s="108"/>
      <c r="M61" s="108"/>
      <c r="N61" s="108"/>
      <c r="O61" s="108"/>
      <c r="P61" s="108"/>
      <c r="Q61" s="109"/>
      <c r="R61" s="18"/>
      <c r="S61" s="18"/>
      <c r="T61" s="18"/>
      <c r="U61" s="18"/>
    </row>
    <row r="62" spans="1:21" ht="18" customHeight="1" x14ac:dyDescent="0.2">
      <c r="A62" s="3"/>
      <c r="B62" s="107" t="s">
        <v>172</v>
      </c>
      <c r="C62" s="108"/>
      <c r="D62" s="108"/>
      <c r="E62" s="108"/>
      <c r="F62" s="109"/>
      <c r="G62" s="18">
        <v>2</v>
      </c>
      <c r="H62" s="18" t="s">
        <v>154</v>
      </c>
      <c r="I62" s="18"/>
      <c r="J62" s="18"/>
      <c r="K62" s="107"/>
      <c r="L62" s="108"/>
      <c r="M62" s="108"/>
      <c r="N62" s="108"/>
      <c r="O62" s="108"/>
      <c r="P62" s="108"/>
      <c r="Q62" s="109"/>
      <c r="R62" s="18"/>
      <c r="S62" s="18"/>
      <c r="T62" s="18"/>
      <c r="U62" s="18"/>
    </row>
    <row r="63" spans="1:21" ht="18" customHeight="1" x14ac:dyDescent="0.2">
      <c r="A63" s="3"/>
      <c r="B63" s="107"/>
      <c r="C63" s="108"/>
      <c r="D63" s="108"/>
      <c r="E63" s="108"/>
      <c r="F63" s="109"/>
      <c r="G63" s="18"/>
      <c r="H63" s="18"/>
      <c r="I63" s="18"/>
      <c r="J63" s="18"/>
      <c r="K63" s="107"/>
      <c r="L63" s="108"/>
      <c r="M63" s="108"/>
      <c r="N63" s="108"/>
      <c r="O63" s="108"/>
      <c r="P63" s="108"/>
      <c r="Q63" s="109"/>
      <c r="R63" s="18"/>
      <c r="S63" s="18"/>
      <c r="T63" s="18"/>
      <c r="U63" s="18"/>
    </row>
    <row r="64" spans="1:21" ht="18" customHeight="1" x14ac:dyDescent="0.2">
      <c r="A64" s="3"/>
      <c r="B64" s="107"/>
      <c r="C64" s="108"/>
      <c r="D64" s="108"/>
      <c r="E64" s="108"/>
      <c r="F64" s="109"/>
      <c r="G64" s="18"/>
      <c r="H64" s="18"/>
      <c r="I64" s="18"/>
      <c r="J64" s="18"/>
      <c r="K64" s="107"/>
      <c r="L64" s="108"/>
      <c r="M64" s="108"/>
      <c r="N64" s="108"/>
      <c r="O64" s="108"/>
      <c r="P64" s="108"/>
      <c r="Q64" s="109"/>
      <c r="R64" s="18"/>
      <c r="S64" s="18"/>
      <c r="T64" s="18"/>
      <c r="U64" s="18"/>
    </row>
    <row r="65" spans="1:21" ht="18" customHeight="1" x14ac:dyDescent="0.2">
      <c r="A65" s="3"/>
      <c r="B65" s="107"/>
      <c r="C65" s="108"/>
      <c r="D65" s="108"/>
      <c r="E65" s="108"/>
      <c r="F65" s="109"/>
      <c r="G65" s="18"/>
      <c r="H65" s="18"/>
      <c r="I65" s="18"/>
      <c r="J65" s="18"/>
      <c r="K65" s="107"/>
      <c r="L65" s="108"/>
      <c r="M65" s="108"/>
      <c r="N65" s="108"/>
      <c r="O65" s="108"/>
      <c r="P65" s="108"/>
      <c r="Q65" s="109"/>
      <c r="R65" s="18"/>
      <c r="S65" s="18"/>
      <c r="T65" s="18"/>
      <c r="U65" s="18"/>
    </row>
    <row r="66" spans="1:21" ht="18" customHeight="1" x14ac:dyDescent="0.2">
      <c r="A66" s="3"/>
      <c r="B66" s="110"/>
      <c r="C66" s="111"/>
      <c r="D66" s="111"/>
      <c r="E66" s="111"/>
      <c r="F66" s="112"/>
      <c r="G66" s="19"/>
      <c r="H66" s="19"/>
      <c r="I66" s="20"/>
      <c r="J66" s="20"/>
      <c r="K66" s="110"/>
      <c r="L66" s="111"/>
      <c r="M66" s="111"/>
      <c r="N66" s="111"/>
      <c r="O66" s="111"/>
      <c r="P66" s="111"/>
      <c r="Q66" s="112"/>
      <c r="R66" s="19"/>
      <c r="S66" s="19"/>
      <c r="T66" s="20"/>
      <c r="U66" s="20"/>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16" t="s">
        <v>105</v>
      </c>
      <c r="B68" s="116"/>
      <c r="C68" s="116"/>
      <c r="D68" s="116"/>
      <c r="E68" s="116"/>
      <c r="F68" s="116"/>
      <c r="G68" s="116"/>
      <c r="H68" s="116"/>
      <c r="I68" s="116"/>
      <c r="J68" s="116"/>
      <c r="K68" s="116"/>
      <c r="L68" s="116"/>
      <c r="M68" s="116"/>
      <c r="N68" s="116"/>
      <c r="O68" s="116"/>
      <c r="P68" s="116"/>
      <c r="Q68" s="116"/>
      <c r="R68" s="116"/>
      <c r="S68" s="116"/>
      <c r="T68" s="116"/>
      <c r="U68" s="116"/>
    </row>
    <row r="69" spans="1:21" ht="18" customHeight="1" x14ac:dyDescent="0.2">
      <c r="A69" s="116"/>
      <c r="B69" s="116"/>
      <c r="C69" s="116"/>
      <c r="D69" s="116"/>
      <c r="E69" s="116"/>
      <c r="F69" s="116"/>
      <c r="G69" s="116"/>
      <c r="H69" s="116"/>
      <c r="I69" s="116"/>
      <c r="J69" s="116"/>
      <c r="K69" s="116"/>
      <c r="L69" s="116"/>
      <c r="M69" s="116"/>
      <c r="N69" s="116"/>
      <c r="O69" s="116"/>
      <c r="P69" s="116"/>
      <c r="Q69" s="116"/>
      <c r="R69" s="116"/>
      <c r="S69" s="116"/>
      <c r="T69" s="116"/>
      <c r="U69" s="116"/>
    </row>
    <row r="70" spans="1:21" ht="18" customHeight="1" x14ac:dyDescent="0.2">
      <c r="B70" s="92" t="s">
        <v>51</v>
      </c>
      <c r="C70" s="93"/>
      <c r="D70" s="93"/>
      <c r="E70" s="93"/>
      <c r="F70" s="48" t="s">
        <v>77</v>
      </c>
      <c r="G70" s="47" t="s">
        <v>80</v>
      </c>
      <c r="H70" s="16" t="s">
        <v>92</v>
      </c>
      <c r="I70" s="16" t="s">
        <v>72</v>
      </c>
      <c r="J70" s="16" t="s">
        <v>73</v>
      </c>
      <c r="K70" s="92" t="s">
        <v>51</v>
      </c>
      <c r="L70" s="93"/>
      <c r="M70" s="93"/>
      <c r="N70" s="93"/>
      <c r="O70" s="93"/>
      <c r="P70" s="94"/>
      <c r="Q70" s="48" t="s">
        <v>77</v>
      </c>
      <c r="R70" s="47" t="s">
        <v>80</v>
      </c>
      <c r="S70" s="16" t="s">
        <v>92</v>
      </c>
      <c r="T70" s="16" t="s">
        <v>72</v>
      </c>
      <c r="U70" s="16" t="s">
        <v>73</v>
      </c>
    </row>
    <row r="71" spans="1:21" ht="18" customHeight="1" x14ac:dyDescent="0.2">
      <c r="A71" s="3"/>
      <c r="B71" s="113" t="s">
        <v>170</v>
      </c>
      <c r="C71" s="114"/>
      <c r="D71" s="114"/>
      <c r="E71" s="114"/>
      <c r="F71" s="17">
        <v>2</v>
      </c>
      <c r="G71" s="17" t="s">
        <v>154</v>
      </c>
      <c r="H71" s="17"/>
      <c r="I71" s="17"/>
      <c r="J71" s="17"/>
      <c r="K71" s="113"/>
      <c r="L71" s="114"/>
      <c r="M71" s="114"/>
      <c r="N71" s="114"/>
      <c r="O71" s="114"/>
      <c r="P71" s="115"/>
      <c r="Q71" s="17"/>
      <c r="R71" s="17"/>
      <c r="S71" s="17"/>
      <c r="T71" s="17"/>
      <c r="U71" s="17"/>
    </row>
    <row r="72" spans="1:21" ht="18" customHeight="1" x14ac:dyDescent="0.2">
      <c r="A72" s="3"/>
      <c r="B72" s="107" t="s">
        <v>171</v>
      </c>
      <c r="C72" s="108"/>
      <c r="D72" s="108"/>
      <c r="E72" s="108"/>
      <c r="F72" s="18">
        <v>2</v>
      </c>
      <c r="G72" s="18" t="s">
        <v>154</v>
      </c>
      <c r="H72" s="18"/>
      <c r="I72" s="18"/>
      <c r="J72" s="18"/>
      <c r="K72" s="107"/>
      <c r="L72" s="108"/>
      <c r="M72" s="108"/>
      <c r="N72" s="108"/>
      <c r="O72" s="108"/>
      <c r="P72" s="109"/>
      <c r="Q72" s="18"/>
      <c r="R72" s="18"/>
      <c r="S72" s="18"/>
      <c r="T72" s="18"/>
      <c r="U72" s="18"/>
    </row>
    <row r="73" spans="1:21" ht="18" customHeight="1" x14ac:dyDescent="0.2">
      <c r="A73" s="3"/>
      <c r="B73" s="107" t="s">
        <v>172</v>
      </c>
      <c r="C73" s="108"/>
      <c r="D73" s="108"/>
      <c r="E73" s="108"/>
      <c r="F73" s="18">
        <v>2</v>
      </c>
      <c r="G73" s="18" t="s">
        <v>154</v>
      </c>
      <c r="H73" s="18" t="s">
        <v>154</v>
      </c>
      <c r="I73" s="18" t="s">
        <v>154</v>
      </c>
      <c r="J73" s="18" t="s">
        <v>154</v>
      </c>
      <c r="K73" s="107"/>
      <c r="L73" s="108"/>
      <c r="M73" s="108"/>
      <c r="N73" s="108"/>
      <c r="O73" s="108"/>
      <c r="P73" s="109"/>
      <c r="Q73" s="18"/>
      <c r="R73" s="18"/>
      <c r="S73" s="18"/>
      <c r="T73" s="18"/>
      <c r="U73" s="18"/>
    </row>
    <row r="74" spans="1:21" ht="18" customHeight="1" x14ac:dyDescent="0.2">
      <c r="A74" s="3"/>
      <c r="B74" s="107"/>
      <c r="C74" s="108"/>
      <c r="D74" s="108"/>
      <c r="E74" s="108"/>
      <c r="F74" s="18"/>
      <c r="G74" s="18"/>
      <c r="H74" s="18"/>
      <c r="I74" s="18"/>
      <c r="J74" s="18"/>
      <c r="K74" s="107"/>
      <c r="L74" s="108"/>
      <c r="M74" s="108"/>
      <c r="N74" s="108"/>
      <c r="O74" s="108"/>
      <c r="P74" s="109"/>
      <c r="Q74" s="18"/>
      <c r="R74" s="18"/>
      <c r="S74" s="18"/>
      <c r="T74" s="18"/>
      <c r="U74" s="18"/>
    </row>
    <row r="75" spans="1:21" ht="18" customHeight="1" x14ac:dyDescent="0.2">
      <c r="A75" s="3"/>
      <c r="B75" s="107"/>
      <c r="C75" s="108"/>
      <c r="D75" s="108"/>
      <c r="E75" s="108"/>
      <c r="F75" s="18"/>
      <c r="G75" s="18"/>
      <c r="H75" s="18"/>
      <c r="I75" s="18"/>
      <c r="J75" s="18"/>
      <c r="K75" s="107"/>
      <c r="L75" s="108"/>
      <c r="M75" s="108"/>
      <c r="N75" s="108"/>
      <c r="O75" s="108"/>
      <c r="P75" s="109"/>
      <c r="Q75" s="18"/>
      <c r="R75" s="18"/>
      <c r="S75" s="18"/>
      <c r="T75" s="18"/>
      <c r="U75" s="18"/>
    </row>
    <row r="76" spans="1:21" ht="18" customHeight="1" x14ac:dyDescent="0.2">
      <c r="A76" s="3"/>
      <c r="B76" s="107"/>
      <c r="C76" s="108"/>
      <c r="D76" s="108"/>
      <c r="E76" s="108"/>
      <c r="F76" s="18"/>
      <c r="G76" s="18"/>
      <c r="H76" s="18"/>
      <c r="I76" s="18"/>
      <c r="J76" s="18"/>
      <c r="K76" s="107"/>
      <c r="L76" s="108"/>
      <c r="M76" s="108"/>
      <c r="N76" s="108"/>
      <c r="O76" s="108"/>
      <c r="P76" s="109"/>
      <c r="Q76" s="18"/>
      <c r="R76" s="18"/>
      <c r="S76" s="18"/>
      <c r="T76" s="18"/>
      <c r="U76" s="18"/>
    </row>
    <row r="77" spans="1:21" ht="18" customHeight="1" x14ac:dyDescent="0.2">
      <c r="A77" s="3"/>
      <c r="B77" s="110"/>
      <c r="C77" s="111"/>
      <c r="D77" s="111"/>
      <c r="E77" s="111"/>
      <c r="F77" s="19"/>
      <c r="G77" s="19"/>
      <c r="H77" s="20"/>
      <c r="I77" s="20"/>
      <c r="J77" s="20"/>
      <c r="K77" s="110"/>
      <c r="L77" s="111"/>
      <c r="M77" s="111"/>
      <c r="N77" s="111"/>
      <c r="O77" s="111"/>
      <c r="P77" s="112"/>
      <c r="Q77" s="19"/>
      <c r="R77" s="19"/>
      <c r="S77" s="20"/>
      <c r="T77" s="20"/>
      <c r="U77" s="20"/>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106</v>
      </c>
      <c r="I79" s="3"/>
      <c r="J79" s="3"/>
      <c r="K79" s="3"/>
      <c r="L79" s="3"/>
      <c r="M79" s="3"/>
      <c r="N79" s="3"/>
      <c r="O79" s="3"/>
      <c r="P79" s="3"/>
      <c r="Q79" s="3"/>
      <c r="R79" s="3"/>
      <c r="S79" s="3"/>
      <c r="T79" s="3"/>
      <c r="U79" s="3"/>
    </row>
    <row r="80" spans="1:21" ht="18" customHeight="1" x14ac:dyDescent="0.2">
      <c r="B80" s="92" t="s">
        <v>51</v>
      </c>
      <c r="C80" s="93"/>
      <c r="D80" s="93"/>
      <c r="E80" s="93"/>
      <c r="F80" s="94"/>
      <c r="G80" s="92" t="s">
        <v>78</v>
      </c>
      <c r="H80" s="93"/>
      <c r="I80" s="93"/>
      <c r="J80" s="94"/>
      <c r="K80" s="152" t="s">
        <v>51</v>
      </c>
      <c r="L80" s="153"/>
      <c r="M80" s="153"/>
      <c r="N80" s="153"/>
      <c r="O80" s="153"/>
      <c r="P80" s="153"/>
      <c r="Q80" s="154"/>
      <c r="R80" s="92" t="s">
        <v>78</v>
      </c>
      <c r="S80" s="93"/>
      <c r="T80" s="93"/>
      <c r="U80" s="94"/>
    </row>
    <row r="81" spans="1:28" ht="18" customHeight="1" x14ac:dyDescent="0.2">
      <c r="A81" s="3"/>
      <c r="B81" s="113" t="s">
        <v>172</v>
      </c>
      <c r="C81" s="114"/>
      <c r="D81" s="114"/>
      <c r="E81" s="114"/>
      <c r="F81" s="115"/>
      <c r="G81" s="149" t="s">
        <v>155</v>
      </c>
      <c r="H81" s="150"/>
      <c r="I81" s="150"/>
      <c r="J81" s="151"/>
      <c r="K81" s="113"/>
      <c r="L81" s="114"/>
      <c r="M81" s="114"/>
      <c r="N81" s="114"/>
      <c r="O81" s="114"/>
      <c r="P81" s="114"/>
      <c r="Q81" s="115"/>
      <c r="R81" s="149"/>
      <c r="S81" s="150"/>
      <c r="T81" s="150"/>
      <c r="U81" s="151"/>
    </row>
    <row r="82" spans="1:28" ht="18" customHeight="1" x14ac:dyDescent="0.2">
      <c r="A82" s="3"/>
      <c r="B82" s="107"/>
      <c r="C82" s="108"/>
      <c r="D82" s="108"/>
      <c r="E82" s="108"/>
      <c r="F82" s="109"/>
      <c r="G82" s="141"/>
      <c r="H82" s="142"/>
      <c r="I82" s="142"/>
      <c r="J82" s="143"/>
      <c r="K82" s="107"/>
      <c r="L82" s="108"/>
      <c r="M82" s="108"/>
      <c r="N82" s="108"/>
      <c r="O82" s="108"/>
      <c r="P82" s="108"/>
      <c r="Q82" s="109"/>
      <c r="R82" s="141"/>
      <c r="S82" s="142"/>
      <c r="T82" s="142"/>
      <c r="U82" s="143"/>
    </row>
    <row r="83" spans="1:28" ht="18" customHeight="1" x14ac:dyDescent="0.2">
      <c r="A83" s="3"/>
      <c r="B83" s="107"/>
      <c r="C83" s="108"/>
      <c r="D83" s="108"/>
      <c r="E83" s="108"/>
      <c r="F83" s="109"/>
      <c r="G83" s="141"/>
      <c r="H83" s="142"/>
      <c r="I83" s="142"/>
      <c r="J83" s="143"/>
      <c r="K83" s="107"/>
      <c r="L83" s="108"/>
      <c r="M83" s="108"/>
      <c r="N83" s="108"/>
      <c r="O83" s="108"/>
      <c r="P83" s="108"/>
      <c r="Q83" s="109"/>
      <c r="R83" s="141"/>
      <c r="S83" s="142"/>
      <c r="T83" s="142"/>
      <c r="U83" s="143"/>
    </row>
    <row r="84" spans="1:28" ht="18" customHeight="1" x14ac:dyDescent="0.2">
      <c r="A84" s="3"/>
      <c r="B84" s="107"/>
      <c r="C84" s="108"/>
      <c r="D84" s="108"/>
      <c r="E84" s="108"/>
      <c r="F84" s="109"/>
      <c r="G84" s="141"/>
      <c r="H84" s="142"/>
      <c r="I84" s="142"/>
      <c r="J84" s="143"/>
      <c r="K84" s="107"/>
      <c r="L84" s="108"/>
      <c r="M84" s="108"/>
      <c r="N84" s="108"/>
      <c r="O84" s="108"/>
      <c r="P84" s="108"/>
      <c r="Q84" s="109"/>
      <c r="R84" s="141"/>
      <c r="S84" s="142"/>
      <c r="T84" s="142"/>
      <c r="U84" s="143"/>
    </row>
    <row r="85" spans="1:28" ht="18" customHeight="1" x14ac:dyDescent="0.2">
      <c r="A85" s="3"/>
      <c r="B85" s="107"/>
      <c r="C85" s="108"/>
      <c r="D85" s="108"/>
      <c r="E85" s="108"/>
      <c r="F85" s="109"/>
      <c r="G85" s="141"/>
      <c r="H85" s="142"/>
      <c r="I85" s="142"/>
      <c r="J85" s="143"/>
      <c r="K85" s="107"/>
      <c r="L85" s="108"/>
      <c r="M85" s="108"/>
      <c r="N85" s="108"/>
      <c r="O85" s="108"/>
      <c r="P85" s="108"/>
      <c r="Q85" s="109"/>
      <c r="R85" s="141"/>
      <c r="S85" s="142"/>
      <c r="T85" s="142"/>
      <c r="U85" s="143"/>
    </row>
    <row r="86" spans="1:28" ht="18" customHeight="1" x14ac:dyDescent="0.2">
      <c r="A86" s="3"/>
      <c r="B86" s="107"/>
      <c r="C86" s="108"/>
      <c r="D86" s="108"/>
      <c r="E86" s="108"/>
      <c r="F86" s="109"/>
      <c r="G86" s="141"/>
      <c r="H86" s="142"/>
      <c r="I86" s="142"/>
      <c r="J86" s="143"/>
      <c r="K86" s="107"/>
      <c r="L86" s="108"/>
      <c r="M86" s="108"/>
      <c r="N86" s="108"/>
      <c r="O86" s="108"/>
      <c r="P86" s="108"/>
      <c r="Q86" s="109"/>
      <c r="R86" s="141"/>
      <c r="S86" s="142"/>
      <c r="T86" s="142"/>
      <c r="U86" s="143"/>
    </row>
    <row r="87" spans="1:28" ht="18" customHeight="1" x14ac:dyDescent="0.2">
      <c r="A87" s="3"/>
      <c r="B87" s="110"/>
      <c r="C87" s="111"/>
      <c r="D87" s="111"/>
      <c r="E87" s="111"/>
      <c r="F87" s="112"/>
      <c r="G87" s="138"/>
      <c r="H87" s="139"/>
      <c r="I87" s="139"/>
      <c r="J87" s="140"/>
      <c r="K87" s="110"/>
      <c r="L87" s="111"/>
      <c r="M87" s="111"/>
      <c r="N87" s="111"/>
      <c r="O87" s="111"/>
      <c r="P87" s="111"/>
      <c r="Q87" s="112"/>
      <c r="R87" s="138"/>
      <c r="S87" s="139"/>
      <c r="T87" s="139"/>
      <c r="U87" s="140"/>
    </row>
    <row r="88" spans="1:28" ht="18" customHeight="1" x14ac:dyDescent="0.2">
      <c r="A88" s="3"/>
      <c r="B88" s="6"/>
      <c r="C88" s="6"/>
      <c r="D88" s="6"/>
      <c r="E88" s="6"/>
      <c r="F88" s="6"/>
      <c r="G88" s="21"/>
      <c r="H88" s="21"/>
      <c r="I88" s="21"/>
      <c r="J88" s="21"/>
      <c r="K88" s="6"/>
      <c r="L88" s="6"/>
      <c r="M88" s="6"/>
      <c r="N88" s="6"/>
      <c r="O88" s="6"/>
      <c r="P88" s="6"/>
      <c r="Q88" s="6"/>
      <c r="R88" s="21"/>
      <c r="S88" s="21"/>
      <c r="T88" s="21"/>
      <c r="U88" s="21"/>
    </row>
    <row r="89" spans="1:28" ht="18.75" customHeight="1" x14ac:dyDescent="0.2">
      <c r="A89" s="1" t="s">
        <v>107</v>
      </c>
    </row>
    <row r="90" spans="1:28" ht="18.75" customHeight="1" x14ac:dyDescent="0.2">
      <c r="B90" s="147" t="s">
        <v>52</v>
      </c>
      <c r="C90" s="148"/>
      <c r="D90" s="92" t="s">
        <v>53</v>
      </c>
      <c r="E90" s="93"/>
      <c r="F90" s="93"/>
      <c r="G90" s="93"/>
      <c r="H90" s="93"/>
      <c r="I90" s="93"/>
      <c r="J90" s="93"/>
      <c r="K90" s="93"/>
      <c r="L90" s="93"/>
      <c r="M90" s="93"/>
      <c r="N90" s="93"/>
      <c r="O90" s="93"/>
      <c r="P90" s="93"/>
      <c r="Q90" s="93"/>
      <c r="R90" s="93"/>
      <c r="S90" s="93"/>
      <c r="T90" s="93"/>
      <c r="U90" s="94"/>
    </row>
    <row r="91" spans="1:28" ht="97.5" customHeight="1" x14ac:dyDescent="0.2">
      <c r="B91" s="144" t="s">
        <v>59</v>
      </c>
      <c r="C91" s="22" t="s">
        <v>54</v>
      </c>
      <c r="D91" s="95" t="s">
        <v>195</v>
      </c>
      <c r="E91" s="96"/>
      <c r="F91" s="96"/>
      <c r="G91" s="96"/>
      <c r="H91" s="96"/>
      <c r="I91" s="96"/>
      <c r="J91" s="96"/>
      <c r="K91" s="96"/>
      <c r="L91" s="96"/>
      <c r="M91" s="96"/>
      <c r="N91" s="96"/>
      <c r="O91" s="96"/>
      <c r="P91" s="96"/>
      <c r="Q91" s="96"/>
      <c r="R91" s="96"/>
      <c r="S91" s="96"/>
      <c r="T91" s="96"/>
      <c r="U91" s="97"/>
      <c r="V91" s="157"/>
      <c r="W91" s="158"/>
      <c r="X91" s="158"/>
      <c r="Y91" s="158"/>
      <c r="Z91" s="158"/>
      <c r="AA91" s="158"/>
      <c r="AB91" s="158"/>
    </row>
    <row r="92" spans="1:28" ht="97.5" customHeight="1" x14ac:dyDescent="0.2">
      <c r="B92" s="145"/>
      <c r="C92" s="23" t="s">
        <v>74</v>
      </c>
      <c r="D92" s="98" t="s">
        <v>184</v>
      </c>
      <c r="E92" s="99"/>
      <c r="F92" s="99"/>
      <c r="G92" s="99"/>
      <c r="H92" s="99"/>
      <c r="I92" s="99"/>
      <c r="J92" s="99"/>
      <c r="K92" s="99"/>
      <c r="L92" s="99"/>
      <c r="M92" s="99"/>
      <c r="N92" s="99"/>
      <c r="O92" s="99"/>
      <c r="P92" s="99"/>
      <c r="Q92" s="99"/>
      <c r="R92" s="99"/>
      <c r="S92" s="99"/>
      <c r="T92" s="99"/>
      <c r="U92" s="100"/>
      <c r="V92" s="157"/>
      <c r="W92" s="158"/>
      <c r="X92" s="158"/>
      <c r="Y92" s="158"/>
      <c r="Z92" s="158"/>
      <c r="AA92" s="158"/>
      <c r="AB92" s="158"/>
    </row>
    <row r="93" spans="1:28" ht="97.5" customHeight="1" x14ac:dyDescent="0.2">
      <c r="B93" s="144" t="s">
        <v>60</v>
      </c>
      <c r="C93" s="24" t="s">
        <v>68</v>
      </c>
      <c r="D93" s="95" t="s">
        <v>196</v>
      </c>
      <c r="E93" s="164"/>
      <c r="F93" s="164"/>
      <c r="G93" s="164"/>
      <c r="H93" s="164"/>
      <c r="I93" s="164"/>
      <c r="J93" s="164"/>
      <c r="K93" s="164"/>
      <c r="L93" s="164"/>
      <c r="M93" s="164"/>
      <c r="N93" s="164"/>
      <c r="O93" s="164"/>
      <c r="P93" s="164"/>
      <c r="Q93" s="164"/>
      <c r="R93" s="164"/>
      <c r="S93" s="164"/>
      <c r="T93" s="164"/>
      <c r="U93" s="165"/>
      <c r="V93" s="157"/>
      <c r="W93" s="158"/>
      <c r="X93" s="158"/>
      <c r="Y93" s="158"/>
      <c r="Z93" s="158"/>
      <c r="AA93" s="158"/>
      <c r="AB93" s="158"/>
    </row>
    <row r="94" spans="1:28" ht="97.5" customHeight="1" x14ac:dyDescent="0.2">
      <c r="B94" s="146"/>
      <c r="C94" s="25" t="s">
        <v>69</v>
      </c>
      <c r="D94" s="98" t="s">
        <v>197</v>
      </c>
      <c r="E94" s="166"/>
      <c r="F94" s="166"/>
      <c r="G94" s="166"/>
      <c r="H94" s="166"/>
      <c r="I94" s="166"/>
      <c r="J94" s="166"/>
      <c r="K94" s="166"/>
      <c r="L94" s="166"/>
      <c r="M94" s="166"/>
      <c r="N94" s="166"/>
      <c r="O94" s="166"/>
      <c r="P94" s="166"/>
      <c r="Q94" s="166"/>
      <c r="R94" s="166"/>
      <c r="S94" s="166"/>
      <c r="T94" s="166"/>
      <c r="U94" s="167"/>
      <c r="V94" s="157"/>
      <c r="W94" s="158"/>
      <c r="X94" s="158"/>
      <c r="Y94" s="158"/>
      <c r="Z94" s="158"/>
      <c r="AA94" s="158"/>
      <c r="AB94" s="158"/>
    </row>
    <row r="95" spans="1:28" ht="97.5" customHeight="1" x14ac:dyDescent="0.2">
      <c r="B95" s="144" t="s">
        <v>61</v>
      </c>
      <c r="C95" s="24" t="s">
        <v>70</v>
      </c>
      <c r="D95" s="287" t="s">
        <v>194</v>
      </c>
      <c r="E95" s="288"/>
      <c r="F95" s="288"/>
      <c r="G95" s="288"/>
      <c r="H95" s="288"/>
      <c r="I95" s="288"/>
      <c r="J95" s="288"/>
      <c r="K95" s="288"/>
      <c r="L95" s="288"/>
      <c r="M95" s="288"/>
      <c r="N95" s="288"/>
      <c r="O95" s="288"/>
      <c r="P95" s="288"/>
      <c r="Q95" s="288"/>
      <c r="R95" s="288"/>
      <c r="S95" s="288"/>
      <c r="T95" s="288"/>
      <c r="U95" s="289"/>
      <c r="V95" s="157"/>
      <c r="W95" s="158"/>
      <c r="X95" s="158"/>
      <c r="Y95" s="158"/>
      <c r="Z95" s="158"/>
      <c r="AA95" s="158"/>
      <c r="AB95" s="158"/>
    </row>
    <row r="96" spans="1:28" ht="97.5" customHeight="1" x14ac:dyDescent="0.2">
      <c r="B96" s="146"/>
      <c r="C96" s="26" t="s">
        <v>71</v>
      </c>
      <c r="D96" s="98" t="s">
        <v>185</v>
      </c>
      <c r="E96" s="99"/>
      <c r="F96" s="99"/>
      <c r="G96" s="99"/>
      <c r="H96" s="99"/>
      <c r="I96" s="99"/>
      <c r="J96" s="99"/>
      <c r="K96" s="99"/>
      <c r="L96" s="99"/>
      <c r="M96" s="99"/>
      <c r="N96" s="99"/>
      <c r="O96" s="99"/>
      <c r="P96" s="99"/>
      <c r="Q96" s="99"/>
      <c r="R96" s="99"/>
      <c r="S96" s="99"/>
      <c r="T96" s="99"/>
      <c r="U96" s="100"/>
      <c r="V96" s="157"/>
      <c r="W96" s="158"/>
      <c r="X96" s="158"/>
      <c r="Y96" s="158"/>
      <c r="Z96" s="158"/>
      <c r="AA96" s="158"/>
      <c r="AB96" s="158"/>
    </row>
    <row r="97" spans="1:33" ht="97.5" customHeight="1" x14ac:dyDescent="0.2">
      <c r="B97" s="144" t="s">
        <v>75</v>
      </c>
      <c r="C97" s="22" t="s">
        <v>56</v>
      </c>
      <c r="D97" s="161" t="s">
        <v>186</v>
      </c>
      <c r="E97" s="162"/>
      <c r="F97" s="162"/>
      <c r="G97" s="162"/>
      <c r="H97" s="162"/>
      <c r="I97" s="162"/>
      <c r="J97" s="162"/>
      <c r="K97" s="162"/>
      <c r="L97" s="162"/>
      <c r="M97" s="162"/>
      <c r="N97" s="162"/>
      <c r="O97" s="162"/>
      <c r="P97" s="162"/>
      <c r="Q97" s="162"/>
      <c r="R97" s="162"/>
      <c r="S97" s="162"/>
      <c r="T97" s="162"/>
      <c r="U97" s="163"/>
      <c r="V97" s="157"/>
      <c r="W97" s="158"/>
      <c r="X97" s="158"/>
      <c r="Y97" s="158"/>
      <c r="Z97" s="158"/>
      <c r="AA97" s="158"/>
      <c r="AB97" s="158"/>
    </row>
    <row r="98" spans="1:33" ht="97.5" customHeight="1" x14ac:dyDescent="0.2">
      <c r="B98" s="146"/>
      <c r="C98" s="25" t="s">
        <v>58</v>
      </c>
      <c r="D98" s="98" t="s">
        <v>187</v>
      </c>
      <c r="E98" s="99"/>
      <c r="F98" s="99"/>
      <c r="G98" s="99"/>
      <c r="H98" s="99"/>
      <c r="I98" s="99"/>
      <c r="J98" s="99"/>
      <c r="K98" s="99"/>
      <c r="L98" s="99"/>
      <c r="M98" s="99"/>
      <c r="N98" s="99"/>
      <c r="O98" s="99"/>
      <c r="P98" s="99"/>
      <c r="Q98" s="99"/>
      <c r="R98" s="99"/>
      <c r="S98" s="99"/>
      <c r="T98" s="99"/>
      <c r="U98" s="100"/>
      <c r="V98" s="157"/>
      <c r="W98" s="158"/>
      <c r="X98" s="158"/>
      <c r="Y98" s="158"/>
      <c r="Z98" s="158"/>
      <c r="AA98" s="158"/>
      <c r="AB98" s="158"/>
    </row>
    <row r="99" spans="1:33" ht="97.5" customHeight="1" x14ac:dyDescent="0.2">
      <c r="B99" s="144" t="s">
        <v>76</v>
      </c>
      <c r="C99" s="24" t="s">
        <v>55</v>
      </c>
      <c r="D99" s="95" t="s">
        <v>198</v>
      </c>
      <c r="E99" s="164"/>
      <c r="F99" s="164"/>
      <c r="G99" s="164"/>
      <c r="H99" s="164"/>
      <c r="I99" s="164"/>
      <c r="J99" s="164"/>
      <c r="K99" s="164"/>
      <c r="L99" s="164"/>
      <c r="M99" s="164"/>
      <c r="N99" s="164"/>
      <c r="O99" s="164"/>
      <c r="P99" s="164"/>
      <c r="Q99" s="164"/>
      <c r="R99" s="164"/>
      <c r="S99" s="164"/>
      <c r="T99" s="164"/>
      <c r="U99" s="165"/>
      <c r="V99" s="157"/>
      <c r="W99" s="158"/>
      <c r="X99" s="158"/>
      <c r="Y99" s="158"/>
      <c r="Z99" s="158"/>
      <c r="AA99" s="158"/>
      <c r="AB99" s="158"/>
    </row>
    <row r="100" spans="1:33" ht="97.5" customHeight="1" x14ac:dyDescent="0.2">
      <c r="B100" s="145"/>
      <c r="C100" s="27" t="s">
        <v>72</v>
      </c>
      <c r="D100" s="168" t="s">
        <v>199</v>
      </c>
      <c r="E100" s="169"/>
      <c r="F100" s="169"/>
      <c r="G100" s="169"/>
      <c r="H100" s="169"/>
      <c r="I100" s="169"/>
      <c r="J100" s="169"/>
      <c r="K100" s="169"/>
      <c r="L100" s="169"/>
      <c r="M100" s="169"/>
      <c r="N100" s="169"/>
      <c r="O100" s="169"/>
      <c r="P100" s="169"/>
      <c r="Q100" s="169"/>
      <c r="R100" s="169"/>
      <c r="S100" s="169"/>
      <c r="T100" s="169"/>
      <c r="U100" s="170"/>
      <c r="V100" s="157"/>
      <c r="W100" s="158"/>
      <c r="X100" s="158"/>
      <c r="Y100" s="158"/>
      <c r="Z100" s="158"/>
      <c r="AA100" s="158"/>
      <c r="AB100" s="158"/>
    </row>
    <row r="101" spans="1:33" ht="97.5" customHeight="1" x14ac:dyDescent="0.2">
      <c r="B101" s="146"/>
      <c r="C101" s="26" t="s">
        <v>73</v>
      </c>
      <c r="D101" s="98" t="s">
        <v>200</v>
      </c>
      <c r="E101" s="166"/>
      <c r="F101" s="166"/>
      <c r="G101" s="166"/>
      <c r="H101" s="166"/>
      <c r="I101" s="166"/>
      <c r="J101" s="166"/>
      <c r="K101" s="166"/>
      <c r="L101" s="166"/>
      <c r="M101" s="166"/>
      <c r="N101" s="166"/>
      <c r="O101" s="166"/>
      <c r="P101" s="166"/>
      <c r="Q101" s="166"/>
      <c r="R101" s="166"/>
      <c r="S101" s="166"/>
      <c r="T101" s="166"/>
      <c r="U101" s="167"/>
      <c r="V101" s="157"/>
      <c r="W101" s="158"/>
      <c r="X101" s="158"/>
      <c r="Y101" s="158"/>
      <c r="Z101" s="158"/>
      <c r="AA101" s="158"/>
      <c r="AB101" s="158"/>
    </row>
    <row r="102" spans="1:33" ht="6" customHeight="1" x14ac:dyDescent="0.2"/>
    <row r="103" spans="1:33" ht="18.75" customHeight="1" x14ac:dyDescent="0.2">
      <c r="A103" s="1" t="s">
        <v>108</v>
      </c>
    </row>
    <row r="104" spans="1:33" ht="81.75" customHeight="1" x14ac:dyDescent="0.2">
      <c r="B104" s="135" t="s">
        <v>173</v>
      </c>
      <c r="C104" s="136"/>
      <c r="D104" s="136"/>
      <c r="E104" s="136"/>
      <c r="F104" s="136"/>
      <c r="G104" s="136"/>
      <c r="H104" s="136"/>
      <c r="I104" s="136"/>
      <c r="J104" s="136"/>
      <c r="K104" s="136"/>
      <c r="L104" s="136"/>
      <c r="M104" s="136"/>
      <c r="N104" s="136"/>
      <c r="O104" s="136"/>
      <c r="P104" s="136"/>
      <c r="Q104" s="136"/>
      <c r="R104" s="136"/>
      <c r="S104" s="136"/>
      <c r="T104" s="136"/>
      <c r="U104" s="137"/>
    </row>
    <row r="106" spans="1:33" ht="18.75" customHeight="1" x14ac:dyDescent="0.2">
      <c r="A106" s="71" t="s">
        <v>124</v>
      </c>
      <c r="B106" s="72"/>
      <c r="C106" s="72"/>
      <c r="D106" s="72"/>
      <c r="E106" s="72"/>
      <c r="F106" s="72"/>
      <c r="G106" s="72"/>
      <c r="H106" s="72"/>
      <c r="I106" s="72"/>
      <c r="J106" s="72"/>
      <c r="K106" s="72"/>
      <c r="L106" s="72"/>
      <c r="M106" s="72"/>
      <c r="N106" s="72"/>
      <c r="O106" s="72"/>
      <c r="P106" s="72"/>
      <c r="Q106" s="72"/>
      <c r="R106" s="72"/>
      <c r="S106" s="72"/>
      <c r="T106" s="72"/>
      <c r="U106" s="72"/>
    </row>
    <row r="107" spans="1:33" ht="18.75" customHeight="1" x14ac:dyDescent="0.2">
      <c r="A107" s="71" t="s">
        <v>126</v>
      </c>
      <c r="B107" s="71"/>
      <c r="C107" s="71"/>
      <c r="D107" s="71"/>
      <c r="E107" s="71"/>
      <c r="F107" s="71"/>
      <c r="G107" s="71"/>
      <c r="H107" s="71"/>
      <c r="I107" s="71"/>
      <c r="J107" s="71"/>
      <c r="K107" s="71"/>
      <c r="L107" s="71"/>
      <c r="M107" s="71"/>
      <c r="N107" s="71"/>
      <c r="O107" s="71"/>
      <c r="P107" s="71"/>
      <c r="Q107" s="71"/>
      <c r="R107" s="71"/>
      <c r="S107" s="71"/>
      <c r="T107" s="71"/>
      <c r="U107" s="71"/>
      <c r="V107" s="2"/>
      <c r="W107" s="2"/>
      <c r="X107" s="2"/>
      <c r="Y107" s="2"/>
      <c r="Z107" s="2"/>
      <c r="AA107" s="2"/>
      <c r="AB107" s="2"/>
      <c r="AC107" s="2"/>
      <c r="AD107" s="2"/>
      <c r="AE107" s="2"/>
      <c r="AF107" s="2"/>
      <c r="AG107" s="2"/>
    </row>
    <row r="108" spans="1:33" ht="18.75" customHeight="1" x14ac:dyDescent="0.2">
      <c r="A108" s="71"/>
      <c r="B108" s="159" t="s">
        <v>130</v>
      </c>
      <c r="C108" s="159"/>
      <c r="D108" s="159"/>
      <c r="E108" s="159"/>
      <c r="F108" s="159"/>
      <c r="G108" s="159"/>
      <c r="H108" s="159"/>
      <c r="I108" s="159"/>
      <c r="J108" s="159"/>
      <c r="K108" s="159"/>
      <c r="L108" s="159"/>
      <c r="M108" s="159"/>
      <c r="N108" s="159"/>
      <c r="O108" s="159"/>
      <c r="P108" s="159"/>
      <c r="Q108" s="159"/>
      <c r="R108" s="159"/>
      <c r="S108" s="159"/>
      <c r="T108" s="159"/>
      <c r="U108" s="159"/>
      <c r="V108" s="67"/>
      <c r="W108" s="67"/>
      <c r="X108" s="67"/>
      <c r="Y108" s="67"/>
      <c r="Z108" s="67"/>
      <c r="AA108" s="67"/>
      <c r="AB108" s="67"/>
      <c r="AC108" s="67"/>
      <c r="AD108" s="67"/>
      <c r="AE108" s="67"/>
      <c r="AF108" s="67"/>
      <c r="AG108" s="67"/>
    </row>
    <row r="109" spans="1:33" ht="37.200000000000003" customHeight="1" x14ac:dyDescent="0.2">
      <c r="A109" s="71"/>
      <c r="B109" s="159"/>
      <c r="C109" s="159"/>
      <c r="D109" s="159"/>
      <c r="E109" s="159"/>
      <c r="F109" s="159"/>
      <c r="G109" s="159"/>
      <c r="H109" s="159"/>
      <c r="I109" s="159"/>
      <c r="J109" s="159"/>
      <c r="K109" s="159"/>
      <c r="L109" s="159"/>
      <c r="M109" s="159"/>
      <c r="N109" s="159"/>
      <c r="O109" s="159"/>
      <c r="P109" s="159"/>
      <c r="Q109" s="159"/>
      <c r="R109" s="159"/>
      <c r="S109" s="159"/>
      <c r="T109" s="159"/>
      <c r="U109" s="159"/>
      <c r="V109" s="67"/>
      <c r="W109" s="67"/>
      <c r="X109" s="67"/>
      <c r="Y109" s="67"/>
      <c r="Z109" s="67"/>
      <c r="AA109" s="67"/>
      <c r="AB109" s="67"/>
      <c r="AC109" s="67"/>
      <c r="AD109" s="67"/>
      <c r="AE109" s="67"/>
      <c r="AF109" s="67"/>
      <c r="AG109" s="67"/>
    </row>
    <row r="110" spans="1:33" ht="18.75" customHeight="1" x14ac:dyDescent="0.2">
      <c r="A110" s="71"/>
      <c r="B110" s="160" t="s">
        <v>125</v>
      </c>
      <c r="C110" s="160"/>
      <c r="D110" s="160"/>
      <c r="E110" s="160"/>
      <c r="F110" s="160"/>
      <c r="G110" s="160"/>
      <c r="H110" s="160"/>
      <c r="I110" s="160"/>
      <c r="J110" s="160"/>
      <c r="K110" s="160"/>
      <c r="L110" s="160"/>
      <c r="M110" s="160"/>
      <c r="N110" s="160"/>
      <c r="O110" s="160"/>
      <c r="P110" s="160"/>
      <c r="Q110" s="160"/>
      <c r="R110" s="160"/>
      <c r="S110" s="160"/>
      <c r="T110" s="160"/>
      <c r="U110" s="160"/>
      <c r="V110" s="67"/>
      <c r="W110" s="67"/>
      <c r="X110" s="67"/>
      <c r="Y110" s="67"/>
      <c r="Z110" s="67"/>
      <c r="AA110" s="67"/>
      <c r="AB110" s="67"/>
      <c r="AC110" s="67"/>
      <c r="AD110" s="67"/>
      <c r="AE110" s="67"/>
      <c r="AF110" s="67"/>
      <c r="AG110" s="67"/>
    </row>
    <row r="111" spans="1:33" ht="18.75" customHeight="1" x14ac:dyDescent="0.2">
      <c r="A111" s="71"/>
      <c r="B111" s="156" t="s">
        <v>53</v>
      </c>
      <c r="C111" s="156"/>
      <c r="D111" s="156"/>
      <c r="E111" s="156"/>
      <c r="F111" s="156"/>
      <c r="G111" s="156"/>
      <c r="H111" s="156"/>
      <c r="I111" s="156"/>
      <c r="J111" s="156"/>
      <c r="K111" s="156"/>
      <c r="L111" s="156"/>
      <c r="M111" s="156"/>
      <c r="N111" s="156"/>
      <c r="O111" s="156"/>
      <c r="P111" s="156"/>
      <c r="Q111" s="156"/>
      <c r="R111" s="156"/>
      <c r="S111" s="156"/>
      <c r="T111" s="156"/>
      <c r="U111" s="156"/>
      <c r="V111" s="66"/>
      <c r="W111" s="66"/>
      <c r="X111" s="66"/>
      <c r="Y111" s="66"/>
      <c r="Z111" s="66"/>
      <c r="AA111" s="66"/>
      <c r="AB111" s="66"/>
      <c r="AC111" s="66"/>
      <c r="AD111" s="66"/>
      <c r="AE111" s="66"/>
      <c r="AF111" s="66"/>
      <c r="AG111" s="66"/>
    </row>
    <row r="112" spans="1:33" ht="132" customHeight="1" x14ac:dyDescent="0.2">
      <c r="A112" s="71"/>
      <c r="B112" s="155"/>
      <c r="C112" s="155"/>
      <c r="D112" s="155"/>
      <c r="E112" s="155"/>
      <c r="F112" s="155"/>
      <c r="G112" s="155"/>
      <c r="H112" s="155"/>
      <c r="I112" s="155"/>
      <c r="J112" s="155"/>
      <c r="K112" s="155"/>
      <c r="L112" s="155"/>
      <c r="M112" s="155"/>
      <c r="N112" s="155"/>
      <c r="O112" s="155"/>
      <c r="P112" s="155"/>
      <c r="Q112" s="155"/>
      <c r="R112" s="155"/>
      <c r="S112" s="155"/>
      <c r="T112" s="155"/>
      <c r="U112" s="155"/>
      <c r="V112" s="68"/>
      <c r="W112" s="68"/>
      <c r="X112" s="68"/>
      <c r="Y112" s="68"/>
      <c r="Z112" s="68"/>
      <c r="AA112" s="68"/>
      <c r="AB112" s="68"/>
      <c r="AC112" s="68"/>
      <c r="AD112" s="68"/>
      <c r="AE112" s="68"/>
      <c r="AF112" s="68"/>
      <c r="AG112" s="68"/>
    </row>
    <row r="114" ht="18" customHeight="1" x14ac:dyDescent="0.2"/>
  </sheetData>
  <mergeCells count="159">
    <mergeCell ref="V99:AB99"/>
    <mergeCell ref="V100:AB100"/>
    <mergeCell ref="V101:AB101"/>
    <mergeCell ref="B110:U110"/>
    <mergeCell ref="B111:U111"/>
    <mergeCell ref="B112:U112"/>
    <mergeCell ref="B99:B101"/>
    <mergeCell ref="D99:U99"/>
    <mergeCell ref="D100:U100"/>
    <mergeCell ref="D101:U101"/>
    <mergeCell ref="B104:U104"/>
    <mergeCell ref="B108:U109"/>
    <mergeCell ref="B95:B96"/>
    <mergeCell ref="D95:U95"/>
    <mergeCell ref="D96:U96"/>
    <mergeCell ref="V96:AB96"/>
    <mergeCell ref="B97:B98"/>
    <mergeCell ref="D97:U97"/>
    <mergeCell ref="D98:U98"/>
    <mergeCell ref="B91:B92"/>
    <mergeCell ref="D91:U91"/>
    <mergeCell ref="D92:U92"/>
    <mergeCell ref="V92:AB92"/>
    <mergeCell ref="B93:B94"/>
    <mergeCell ref="D93:U93"/>
    <mergeCell ref="D94:U94"/>
    <mergeCell ref="V93:AB93"/>
    <mergeCell ref="V94:AB94"/>
    <mergeCell ref="V91:AB91"/>
    <mergeCell ref="V95:AB95"/>
    <mergeCell ref="V97:AB97"/>
    <mergeCell ref="V98:AB98"/>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xr:uid="{2B395EE4-02A6-40D8-9360-52EF7424C3BF}">
      <formula1>$X$16:$X$18</formula1>
    </dataValidation>
    <dataValidation type="list" allowBlank="1" showInputMessage="1" showErrorMessage="1" sqref="G81:G88 R81:R88 H81:J82 H85:J88 S85:U88 S81:U82" xr:uid="{6CCFA1C4-AF28-428E-B0AE-5B28844A1E8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3FB13418-E6FC-405D-B454-353EAA848DF2}">
      <formula1>"学部・学科によって、修了要件は相違する,学部・学科によって、修了要件は相違しない"</formula1>
    </dataValidation>
    <dataValidation type="list" allowBlank="1" showInputMessage="1" showErrorMessage="1" sqref="U34 U45 E34:H34 E45:H45" xr:uid="{47CBED94-7DD1-48DD-B6AD-F11E246EFA30}">
      <formula1>"全学開講,一部開講"</formula1>
    </dataValidation>
    <dataValidation type="list" allowBlank="1" showInputMessage="1" showErrorMessage="1" sqref="H27:J33 S27:U33 R71:U77 S38:U44 H38:J44 S49:U55 H49:J55 S60:U66 H60:J66 G71:J77" xr:uid="{72954E3E-E005-4D2E-913B-46F61A399906}">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O10" sqref="O10"/>
    </sheetView>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72"/>
      <c r="B1" s="72"/>
      <c r="C1" s="72"/>
      <c r="D1" s="72"/>
      <c r="E1" s="72"/>
      <c r="F1" s="72"/>
      <c r="G1" s="72"/>
      <c r="H1" s="72"/>
      <c r="I1" s="72"/>
      <c r="J1" s="72"/>
      <c r="K1" s="72"/>
      <c r="L1" s="72"/>
      <c r="M1" s="72"/>
      <c r="N1" s="72"/>
      <c r="O1" s="72"/>
      <c r="P1" s="72"/>
      <c r="Q1" s="72"/>
      <c r="R1" s="72"/>
      <c r="S1" s="72" t="s">
        <v>97</v>
      </c>
    </row>
    <row r="2" spans="1:21" ht="18" customHeight="1" x14ac:dyDescent="0.2">
      <c r="A2" s="72"/>
      <c r="B2" s="72"/>
      <c r="C2" s="72"/>
      <c r="D2" s="72"/>
      <c r="E2" s="72"/>
      <c r="F2" s="72"/>
      <c r="G2" s="72"/>
      <c r="H2" s="72"/>
      <c r="I2" s="72"/>
      <c r="J2" s="72"/>
      <c r="K2" s="72"/>
      <c r="L2" s="72"/>
      <c r="M2" s="72"/>
      <c r="N2" s="72"/>
      <c r="O2" s="72"/>
      <c r="P2" s="72"/>
      <c r="Q2" s="172" t="str">
        <f>'様式１-１　プログラムを構成する授業科目'!C2</f>
        <v>名古屋国際工科専門職大学</v>
      </c>
      <c r="R2" s="172"/>
      <c r="S2" s="172"/>
    </row>
    <row r="3" spans="1:21" ht="18" customHeight="1" x14ac:dyDescent="0.2">
      <c r="A3" s="173" t="s">
        <v>46</v>
      </c>
      <c r="B3" s="173"/>
      <c r="C3" s="173"/>
      <c r="D3" s="173"/>
      <c r="E3" s="173"/>
      <c r="F3" s="173"/>
      <c r="G3" s="173"/>
      <c r="H3" s="173"/>
      <c r="I3" s="173"/>
      <c r="J3" s="173"/>
      <c r="K3" s="173"/>
      <c r="L3" s="173"/>
      <c r="M3" s="173"/>
      <c r="N3" s="173"/>
      <c r="O3" s="173"/>
      <c r="P3" s="173"/>
      <c r="Q3" s="173"/>
      <c r="R3" s="173"/>
      <c r="S3" s="173"/>
    </row>
    <row r="4" spans="1:21" ht="7.5" customHeight="1" x14ac:dyDescent="0.2">
      <c r="A4" s="77"/>
      <c r="B4" s="77"/>
      <c r="C4" s="77"/>
      <c r="D4" s="77"/>
      <c r="E4" s="77"/>
      <c r="F4" s="77"/>
      <c r="G4" s="77"/>
      <c r="H4" s="77"/>
      <c r="I4" s="77"/>
      <c r="J4" s="77"/>
      <c r="K4" s="77"/>
      <c r="L4" s="77"/>
      <c r="M4" s="77"/>
      <c r="N4" s="77"/>
      <c r="O4" s="77"/>
      <c r="P4" s="77"/>
      <c r="Q4" s="77"/>
      <c r="R4" s="77"/>
      <c r="S4" s="77"/>
    </row>
    <row r="5" spans="1:21" ht="18" customHeight="1" x14ac:dyDescent="0.2">
      <c r="A5" s="72" t="s">
        <v>79</v>
      </c>
      <c r="B5" s="72"/>
      <c r="C5" s="121" t="s">
        <v>177</v>
      </c>
      <c r="D5" s="123"/>
      <c r="E5" s="77" t="s">
        <v>50</v>
      </c>
      <c r="F5" s="77"/>
      <c r="G5" s="77"/>
      <c r="H5" s="77"/>
      <c r="I5" s="77"/>
      <c r="J5" s="77"/>
      <c r="K5" s="77"/>
      <c r="L5" s="77"/>
      <c r="M5" s="77"/>
      <c r="N5" s="77"/>
      <c r="O5" s="77"/>
      <c r="P5" s="77"/>
      <c r="Q5" s="77"/>
      <c r="R5" s="75"/>
      <c r="S5" s="75"/>
    </row>
    <row r="6" spans="1:21" ht="7.2" customHeight="1" x14ac:dyDescent="0.2">
      <c r="A6" s="72"/>
      <c r="B6" s="72"/>
      <c r="C6" s="82"/>
      <c r="D6" s="82"/>
      <c r="E6" s="77"/>
      <c r="F6" s="77"/>
      <c r="G6" s="77"/>
      <c r="H6" s="77"/>
      <c r="I6" s="77"/>
      <c r="J6" s="77"/>
      <c r="K6" s="77"/>
      <c r="L6" s="77"/>
      <c r="M6" s="77"/>
      <c r="N6" s="77"/>
      <c r="O6" s="77"/>
      <c r="P6" s="77"/>
      <c r="Q6" s="77"/>
      <c r="R6" s="75"/>
      <c r="S6" s="75"/>
    </row>
    <row r="7" spans="1:21" ht="18" customHeight="1" x14ac:dyDescent="0.2">
      <c r="A7" s="72" t="s">
        <v>117</v>
      </c>
      <c r="B7" s="72"/>
      <c r="C7" s="82"/>
      <c r="D7" s="82"/>
      <c r="E7" s="77" t="s">
        <v>118</v>
      </c>
      <c r="F7" s="80">
        <v>342</v>
      </c>
      <c r="G7" s="78" t="s">
        <v>119</v>
      </c>
      <c r="H7" s="77" t="s">
        <v>120</v>
      </c>
      <c r="I7" s="80">
        <v>40</v>
      </c>
      <c r="J7" s="78" t="s">
        <v>119</v>
      </c>
      <c r="K7" s="73" t="s">
        <v>121</v>
      </c>
      <c r="L7" s="77" t="s">
        <v>122</v>
      </c>
      <c r="M7" s="80">
        <f>F7+I7</f>
        <v>382</v>
      </c>
      <c r="N7" s="77" t="s">
        <v>1</v>
      </c>
      <c r="O7" s="78" t="s">
        <v>123</v>
      </c>
      <c r="P7" s="77"/>
      <c r="Q7" s="77"/>
      <c r="R7" s="75"/>
      <c r="S7" s="75"/>
    </row>
    <row r="8" spans="1:21" ht="6" customHeight="1" x14ac:dyDescent="0.2">
      <c r="A8" s="77"/>
      <c r="B8" s="77"/>
      <c r="C8" s="77"/>
      <c r="D8" s="77"/>
      <c r="E8" s="77"/>
      <c r="F8" s="77"/>
      <c r="G8" s="77"/>
      <c r="H8" s="77"/>
      <c r="I8" s="77"/>
      <c r="J8" s="77"/>
      <c r="K8" s="77"/>
      <c r="L8" s="77"/>
      <c r="M8" s="77"/>
      <c r="N8" s="77"/>
      <c r="O8" s="77"/>
      <c r="P8" s="77"/>
      <c r="Q8" s="77"/>
      <c r="R8" s="77"/>
      <c r="S8" s="77"/>
    </row>
    <row r="9" spans="1:21" ht="18" customHeight="1" x14ac:dyDescent="0.2">
      <c r="A9" s="72" t="s">
        <v>134</v>
      </c>
      <c r="B9" s="77"/>
      <c r="C9" s="77"/>
      <c r="D9" s="77"/>
      <c r="E9" s="77"/>
      <c r="F9" s="77"/>
      <c r="G9" s="77"/>
      <c r="H9" s="77"/>
      <c r="I9" s="77"/>
      <c r="J9" s="77"/>
      <c r="K9" s="77"/>
      <c r="L9" s="77"/>
      <c r="M9" s="77"/>
      <c r="N9" s="77"/>
      <c r="O9" s="77"/>
      <c r="P9" s="77"/>
      <c r="Q9" s="77"/>
      <c r="R9" s="77"/>
      <c r="S9" s="77"/>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74" t="s">
        <v>43</v>
      </c>
      <c r="C11" s="184" t="s">
        <v>82</v>
      </c>
      <c r="D11" s="176" t="s">
        <v>45</v>
      </c>
      <c r="E11" s="178" t="s">
        <v>38</v>
      </c>
      <c r="F11" s="171" t="s">
        <v>111</v>
      </c>
      <c r="G11" s="171"/>
      <c r="H11" s="171" t="s">
        <v>81</v>
      </c>
      <c r="I11" s="171"/>
      <c r="J11" s="171" t="s">
        <v>47</v>
      </c>
      <c r="K11" s="171"/>
      <c r="L11" s="171" t="s">
        <v>48</v>
      </c>
      <c r="M11" s="171"/>
      <c r="N11" s="171" t="s">
        <v>91</v>
      </c>
      <c r="O11" s="171"/>
      <c r="P11" s="171" t="s">
        <v>49</v>
      </c>
      <c r="Q11" s="171"/>
      <c r="R11" s="180" t="s">
        <v>34</v>
      </c>
      <c r="S11" s="182" t="s">
        <v>31</v>
      </c>
      <c r="U11" s="2"/>
    </row>
    <row r="12" spans="1:21" ht="16.95" customHeight="1" x14ac:dyDescent="0.2">
      <c r="B12" s="175"/>
      <c r="C12" s="185"/>
      <c r="D12" s="177"/>
      <c r="E12" s="179"/>
      <c r="F12" s="61" t="s">
        <v>90</v>
      </c>
      <c r="G12" s="61" t="s">
        <v>28</v>
      </c>
      <c r="H12" s="61" t="s">
        <v>90</v>
      </c>
      <c r="I12" s="61" t="s">
        <v>28</v>
      </c>
      <c r="J12" s="61" t="s">
        <v>90</v>
      </c>
      <c r="K12" s="61" t="s">
        <v>28</v>
      </c>
      <c r="L12" s="61" t="s">
        <v>90</v>
      </c>
      <c r="M12" s="61" t="s">
        <v>28</v>
      </c>
      <c r="N12" s="61" t="s">
        <v>90</v>
      </c>
      <c r="O12" s="61" t="s">
        <v>28</v>
      </c>
      <c r="P12" s="61" t="s">
        <v>90</v>
      </c>
      <c r="Q12" s="62" t="s">
        <v>28</v>
      </c>
      <c r="R12" s="181"/>
      <c r="S12" s="183"/>
      <c r="U12" s="2"/>
    </row>
    <row r="13" spans="1:21" ht="18" customHeight="1" x14ac:dyDescent="0.2">
      <c r="A13" s="6"/>
      <c r="B13" s="63" t="s">
        <v>175</v>
      </c>
      <c r="C13" s="49">
        <v>249</v>
      </c>
      <c r="D13" s="50">
        <v>80</v>
      </c>
      <c r="E13" s="51">
        <v>320</v>
      </c>
      <c r="F13" s="51">
        <v>99</v>
      </c>
      <c r="G13" s="51">
        <v>91</v>
      </c>
      <c r="H13" s="51">
        <v>82</v>
      </c>
      <c r="I13" s="51">
        <v>81</v>
      </c>
      <c r="J13" s="51">
        <v>89</v>
      </c>
      <c r="K13" s="51">
        <v>89</v>
      </c>
      <c r="L13" s="51"/>
      <c r="M13" s="51"/>
      <c r="N13" s="51"/>
      <c r="O13" s="51"/>
      <c r="P13" s="51"/>
      <c r="Q13" s="64"/>
      <c r="R13" s="50">
        <f t="shared" ref="R13:R32" si="0">F13+H13+J13+L13+N13+P13</f>
        <v>270</v>
      </c>
      <c r="S13" s="84">
        <f>R13/E13</f>
        <v>0.84375</v>
      </c>
    </row>
    <row r="14" spans="1:21" ht="18" customHeight="1" x14ac:dyDescent="0.2">
      <c r="A14" s="6"/>
      <c r="B14" s="63" t="s">
        <v>176</v>
      </c>
      <c r="C14" s="52">
        <v>133</v>
      </c>
      <c r="D14" s="53">
        <v>40</v>
      </c>
      <c r="E14" s="54">
        <v>160</v>
      </c>
      <c r="F14" s="54">
        <v>46</v>
      </c>
      <c r="G14" s="54">
        <v>46</v>
      </c>
      <c r="H14" s="54">
        <v>45</v>
      </c>
      <c r="I14" s="54">
        <v>44</v>
      </c>
      <c r="J14" s="54">
        <v>42</v>
      </c>
      <c r="K14" s="52">
        <v>42</v>
      </c>
      <c r="L14" s="55"/>
      <c r="M14" s="55"/>
      <c r="N14" s="55"/>
      <c r="O14" s="55"/>
      <c r="P14" s="55"/>
      <c r="Q14" s="52"/>
      <c r="R14" s="53">
        <f t="shared" si="0"/>
        <v>133</v>
      </c>
      <c r="S14" s="8">
        <f t="shared" ref="S14:S33" si="1">R14/E14</f>
        <v>0.83125000000000004</v>
      </c>
    </row>
    <row r="15" spans="1:21" ht="18" customHeight="1" x14ac:dyDescent="0.2">
      <c r="A15" s="6"/>
      <c r="B15" s="11"/>
      <c r="C15" s="52"/>
      <c r="D15" s="53"/>
      <c r="E15" s="54"/>
      <c r="F15" s="55"/>
      <c r="G15" s="55"/>
      <c r="H15" s="55"/>
      <c r="I15" s="55"/>
      <c r="J15" s="55"/>
      <c r="K15" s="55"/>
      <c r="L15" s="55"/>
      <c r="M15" s="55"/>
      <c r="N15" s="55"/>
      <c r="O15" s="55"/>
      <c r="P15" s="55"/>
      <c r="Q15" s="52"/>
      <c r="R15" s="53">
        <f t="shared" si="0"/>
        <v>0</v>
      </c>
      <c r="S15" s="8" t="e">
        <f t="shared" si="1"/>
        <v>#DIV/0!</v>
      </c>
    </row>
    <row r="16" spans="1:21" ht="18" customHeight="1" x14ac:dyDescent="0.2">
      <c r="A16" s="6"/>
      <c r="B16" s="11"/>
      <c r="C16" s="52"/>
      <c r="D16" s="53"/>
      <c r="E16" s="54"/>
      <c r="F16" s="55"/>
      <c r="G16" s="55"/>
      <c r="H16" s="55"/>
      <c r="I16" s="55"/>
      <c r="J16" s="55"/>
      <c r="K16" s="55"/>
      <c r="L16" s="55"/>
      <c r="M16" s="55"/>
      <c r="N16" s="55"/>
      <c r="O16" s="55"/>
      <c r="P16" s="55"/>
      <c r="Q16" s="52"/>
      <c r="R16" s="53">
        <f t="shared" si="0"/>
        <v>0</v>
      </c>
      <c r="S16" s="8" t="e">
        <f t="shared" si="1"/>
        <v>#DIV/0!</v>
      </c>
    </row>
    <row r="17" spans="1:19" ht="18" customHeight="1" x14ac:dyDescent="0.2">
      <c r="A17" s="6"/>
      <c r="B17" s="11"/>
      <c r="C17" s="52"/>
      <c r="D17" s="53"/>
      <c r="E17" s="54"/>
      <c r="F17" s="55"/>
      <c r="G17" s="55"/>
      <c r="H17" s="55"/>
      <c r="I17" s="55"/>
      <c r="J17" s="55"/>
      <c r="K17" s="55"/>
      <c r="L17" s="55"/>
      <c r="M17" s="55"/>
      <c r="N17" s="55"/>
      <c r="O17" s="55"/>
      <c r="P17" s="55"/>
      <c r="Q17" s="52"/>
      <c r="R17" s="53">
        <f t="shared" si="0"/>
        <v>0</v>
      </c>
      <c r="S17" s="8" t="e">
        <f t="shared" si="1"/>
        <v>#DIV/0!</v>
      </c>
    </row>
    <row r="18" spans="1:19" ht="18" customHeight="1" x14ac:dyDescent="0.2">
      <c r="A18" s="6"/>
      <c r="B18" s="11"/>
      <c r="C18" s="52"/>
      <c r="D18" s="53"/>
      <c r="E18" s="54"/>
      <c r="F18" s="55"/>
      <c r="G18" s="55"/>
      <c r="H18" s="55"/>
      <c r="I18" s="55"/>
      <c r="J18" s="55"/>
      <c r="K18" s="55"/>
      <c r="L18" s="55"/>
      <c r="M18" s="55"/>
      <c r="N18" s="55"/>
      <c r="O18" s="55"/>
      <c r="P18" s="55"/>
      <c r="Q18" s="52"/>
      <c r="R18" s="53">
        <f t="shared" si="0"/>
        <v>0</v>
      </c>
      <c r="S18" s="8" t="e">
        <f t="shared" si="1"/>
        <v>#DIV/0!</v>
      </c>
    </row>
    <row r="19" spans="1:19" ht="18" customHeight="1" x14ac:dyDescent="0.2">
      <c r="A19" s="6"/>
      <c r="B19" s="11"/>
      <c r="C19" s="52"/>
      <c r="D19" s="53"/>
      <c r="E19" s="54"/>
      <c r="F19" s="55"/>
      <c r="G19" s="55"/>
      <c r="H19" s="55"/>
      <c r="I19" s="55"/>
      <c r="J19" s="55"/>
      <c r="K19" s="55"/>
      <c r="L19" s="55"/>
      <c r="M19" s="55"/>
      <c r="N19" s="55"/>
      <c r="O19" s="55"/>
      <c r="P19" s="55"/>
      <c r="Q19" s="52"/>
      <c r="R19" s="53">
        <f t="shared" si="0"/>
        <v>0</v>
      </c>
      <c r="S19" s="8" t="e">
        <f t="shared" si="1"/>
        <v>#DIV/0!</v>
      </c>
    </row>
    <row r="20" spans="1:19" ht="18" customHeight="1" x14ac:dyDescent="0.2">
      <c r="A20" s="6"/>
      <c r="B20" s="11"/>
      <c r="C20" s="52"/>
      <c r="D20" s="53"/>
      <c r="E20" s="54"/>
      <c r="F20" s="55"/>
      <c r="G20" s="55"/>
      <c r="H20" s="55"/>
      <c r="I20" s="55"/>
      <c r="J20" s="55"/>
      <c r="K20" s="55"/>
      <c r="L20" s="55"/>
      <c r="M20" s="55"/>
      <c r="N20" s="55"/>
      <c r="O20" s="55"/>
      <c r="P20" s="55"/>
      <c r="Q20" s="52"/>
      <c r="R20" s="53">
        <f t="shared" si="0"/>
        <v>0</v>
      </c>
      <c r="S20" s="8" t="e">
        <f t="shared" si="1"/>
        <v>#DIV/0!</v>
      </c>
    </row>
    <row r="21" spans="1:19" ht="18" customHeight="1" x14ac:dyDescent="0.2">
      <c r="A21" s="6"/>
      <c r="B21" s="11"/>
      <c r="C21" s="52"/>
      <c r="D21" s="53"/>
      <c r="E21" s="54"/>
      <c r="F21" s="55"/>
      <c r="G21" s="55"/>
      <c r="H21" s="55"/>
      <c r="I21" s="55"/>
      <c r="J21" s="55"/>
      <c r="K21" s="55"/>
      <c r="L21" s="55"/>
      <c r="M21" s="55"/>
      <c r="N21" s="55"/>
      <c r="O21" s="55"/>
      <c r="P21" s="55"/>
      <c r="Q21" s="52"/>
      <c r="R21" s="53">
        <f t="shared" si="0"/>
        <v>0</v>
      </c>
      <c r="S21" s="8" t="e">
        <f t="shared" si="1"/>
        <v>#DIV/0!</v>
      </c>
    </row>
    <row r="22" spans="1:19" ht="18" customHeight="1" x14ac:dyDescent="0.2">
      <c r="A22" s="6"/>
      <c r="B22" s="11"/>
      <c r="C22" s="52"/>
      <c r="D22" s="53"/>
      <c r="E22" s="54"/>
      <c r="F22" s="55"/>
      <c r="G22" s="55"/>
      <c r="H22" s="55"/>
      <c r="I22" s="55"/>
      <c r="J22" s="55"/>
      <c r="K22" s="55"/>
      <c r="L22" s="55"/>
      <c r="M22" s="55"/>
      <c r="N22" s="55"/>
      <c r="O22" s="55"/>
      <c r="P22" s="55"/>
      <c r="Q22" s="52"/>
      <c r="R22" s="53">
        <f t="shared" si="0"/>
        <v>0</v>
      </c>
      <c r="S22" s="8" t="e">
        <f t="shared" si="1"/>
        <v>#DIV/0!</v>
      </c>
    </row>
    <row r="23" spans="1:19" ht="18" customHeight="1" x14ac:dyDescent="0.2">
      <c r="A23" s="6"/>
      <c r="B23" s="11"/>
      <c r="C23" s="52"/>
      <c r="D23" s="53"/>
      <c r="E23" s="54"/>
      <c r="F23" s="55"/>
      <c r="G23" s="55"/>
      <c r="H23" s="55"/>
      <c r="I23" s="55"/>
      <c r="J23" s="55"/>
      <c r="K23" s="55"/>
      <c r="L23" s="55"/>
      <c r="M23" s="55"/>
      <c r="N23" s="55"/>
      <c r="O23" s="55"/>
      <c r="P23" s="55"/>
      <c r="Q23" s="52"/>
      <c r="R23" s="53">
        <f t="shared" si="0"/>
        <v>0</v>
      </c>
      <c r="S23" s="8" t="e">
        <f t="shared" si="1"/>
        <v>#DIV/0!</v>
      </c>
    </row>
    <row r="24" spans="1:19" ht="18" customHeight="1" x14ac:dyDescent="0.2">
      <c r="A24" s="6"/>
      <c r="B24" s="11"/>
      <c r="C24" s="52"/>
      <c r="D24" s="53"/>
      <c r="E24" s="54"/>
      <c r="F24" s="55"/>
      <c r="G24" s="55"/>
      <c r="H24" s="55"/>
      <c r="I24" s="55"/>
      <c r="J24" s="55"/>
      <c r="K24" s="55"/>
      <c r="L24" s="55"/>
      <c r="M24" s="55"/>
      <c r="N24" s="55"/>
      <c r="O24" s="55"/>
      <c r="P24" s="55"/>
      <c r="Q24" s="52"/>
      <c r="R24" s="53">
        <f t="shared" si="0"/>
        <v>0</v>
      </c>
      <c r="S24" s="8" t="e">
        <f t="shared" si="1"/>
        <v>#DIV/0!</v>
      </c>
    </row>
    <row r="25" spans="1:19" ht="18" customHeight="1" x14ac:dyDescent="0.2">
      <c r="A25" s="6"/>
      <c r="B25" s="11"/>
      <c r="C25" s="52"/>
      <c r="D25" s="53"/>
      <c r="E25" s="54"/>
      <c r="F25" s="55"/>
      <c r="G25" s="55"/>
      <c r="H25" s="55"/>
      <c r="I25" s="55"/>
      <c r="J25" s="55"/>
      <c r="K25" s="55"/>
      <c r="L25" s="55"/>
      <c r="M25" s="55"/>
      <c r="N25" s="55"/>
      <c r="O25" s="55"/>
      <c r="P25" s="55"/>
      <c r="Q25" s="52"/>
      <c r="R25" s="53">
        <f t="shared" si="0"/>
        <v>0</v>
      </c>
      <c r="S25" s="8" t="e">
        <f t="shared" si="1"/>
        <v>#DIV/0!</v>
      </c>
    </row>
    <row r="26" spans="1:19" ht="18" customHeight="1" x14ac:dyDescent="0.2">
      <c r="A26" s="6"/>
      <c r="B26" s="11"/>
      <c r="C26" s="52"/>
      <c r="D26" s="53"/>
      <c r="E26" s="54"/>
      <c r="F26" s="55"/>
      <c r="G26" s="55"/>
      <c r="H26" s="55"/>
      <c r="I26" s="55"/>
      <c r="J26" s="55"/>
      <c r="K26" s="55"/>
      <c r="L26" s="55"/>
      <c r="M26" s="55"/>
      <c r="N26" s="55"/>
      <c r="O26" s="55"/>
      <c r="P26" s="55"/>
      <c r="Q26" s="52"/>
      <c r="R26" s="53">
        <f t="shared" si="0"/>
        <v>0</v>
      </c>
      <c r="S26" s="8" t="e">
        <f t="shared" si="1"/>
        <v>#DIV/0!</v>
      </c>
    </row>
    <row r="27" spans="1:19" ht="18" customHeight="1" x14ac:dyDescent="0.2">
      <c r="A27" s="6"/>
      <c r="B27" s="11"/>
      <c r="C27" s="52"/>
      <c r="D27" s="53"/>
      <c r="E27" s="54"/>
      <c r="F27" s="55"/>
      <c r="G27" s="55"/>
      <c r="H27" s="55"/>
      <c r="I27" s="55"/>
      <c r="J27" s="55"/>
      <c r="K27" s="55"/>
      <c r="L27" s="55"/>
      <c r="M27" s="55"/>
      <c r="N27" s="55"/>
      <c r="O27" s="55"/>
      <c r="P27" s="55"/>
      <c r="Q27" s="52"/>
      <c r="R27" s="53">
        <f t="shared" si="0"/>
        <v>0</v>
      </c>
      <c r="S27" s="8" t="e">
        <f t="shared" si="1"/>
        <v>#DIV/0!</v>
      </c>
    </row>
    <row r="28" spans="1:19" ht="18" customHeight="1" x14ac:dyDescent="0.2">
      <c r="A28" s="6"/>
      <c r="B28" s="11"/>
      <c r="C28" s="52"/>
      <c r="D28" s="53"/>
      <c r="E28" s="54"/>
      <c r="F28" s="55"/>
      <c r="G28" s="55"/>
      <c r="H28" s="55"/>
      <c r="I28" s="55"/>
      <c r="J28" s="55"/>
      <c r="K28" s="55"/>
      <c r="L28" s="55"/>
      <c r="M28" s="55"/>
      <c r="N28" s="55"/>
      <c r="O28" s="55"/>
      <c r="P28" s="55"/>
      <c r="Q28" s="52"/>
      <c r="R28" s="53">
        <f t="shared" si="0"/>
        <v>0</v>
      </c>
      <c r="S28" s="8" t="e">
        <f t="shared" si="1"/>
        <v>#DIV/0!</v>
      </c>
    </row>
    <row r="29" spans="1:19" ht="18" customHeight="1" x14ac:dyDescent="0.2">
      <c r="A29" s="6"/>
      <c r="B29" s="11"/>
      <c r="C29" s="52"/>
      <c r="D29" s="53"/>
      <c r="E29" s="54"/>
      <c r="F29" s="55"/>
      <c r="G29" s="55"/>
      <c r="H29" s="55"/>
      <c r="I29" s="55"/>
      <c r="J29" s="55"/>
      <c r="K29" s="55"/>
      <c r="L29" s="55"/>
      <c r="M29" s="55"/>
      <c r="N29" s="55"/>
      <c r="O29" s="55"/>
      <c r="P29" s="55"/>
      <c r="Q29" s="52"/>
      <c r="R29" s="53">
        <f t="shared" si="0"/>
        <v>0</v>
      </c>
      <c r="S29" s="8" t="e">
        <f t="shared" si="1"/>
        <v>#DIV/0!</v>
      </c>
    </row>
    <row r="30" spans="1:19" ht="18" customHeight="1" x14ac:dyDescent="0.2">
      <c r="A30" s="6"/>
      <c r="B30" s="11"/>
      <c r="C30" s="52"/>
      <c r="D30" s="56"/>
      <c r="E30" s="54"/>
      <c r="F30" s="55"/>
      <c r="G30" s="55"/>
      <c r="H30" s="55"/>
      <c r="I30" s="55"/>
      <c r="J30" s="55"/>
      <c r="K30" s="55"/>
      <c r="L30" s="55"/>
      <c r="M30" s="55"/>
      <c r="N30" s="55"/>
      <c r="O30" s="55"/>
      <c r="P30" s="55"/>
      <c r="Q30" s="52"/>
      <c r="R30" s="56">
        <f t="shared" si="0"/>
        <v>0</v>
      </c>
      <c r="S30" s="8" t="e">
        <f t="shared" si="1"/>
        <v>#DIV/0!</v>
      </c>
    </row>
    <row r="31" spans="1:19" ht="18" customHeight="1" x14ac:dyDescent="0.2">
      <c r="A31" s="6"/>
      <c r="B31" s="11"/>
      <c r="C31" s="52"/>
      <c r="D31" s="56"/>
      <c r="E31" s="54"/>
      <c r="F31" s="55"/>
      <c r="G31" s="55"/>
      <c r="H31" s="55"/>
      <c r="I31" s="55"/>
      <c r="J31" s="55"/>
      <c r="K31" s="55"/>
      <c r="L31" s="55"/>
      <c r="M31" s="55"/>
      <c r="N31" s="55"/>
      <c r="O31" s="55"/>
      <c r="P31" s="55"/>
      <c r="Q31" s="52"/>
      <c r="R31" s="56">
        <f t="shared" si="0"/>
        <v>0</v>
      </c>
      <c r="S31" s="8" t="e">
        <f t="shared" si="1"/>
        <v>#DIV/0!</v>
      </c>
    </row>
    <row r="32" spans="1:19" ht="18" customHeight="1" thickBot="1" x14ac:dyDescent="0.25">
      <c r="A32" s="6"/>
      <c r="B32" s="12"/>
      <c r="C32" s="49"/>
      <c r="D32" s="57"/>
      <c r="E32" s="51"/>
      <c r="F32" s="51"/>
      <c r="G32" s="51"/>
      <c r="H32" s="51"/>
      <c r="I32" s="51"/>
      <c r="J32" s="51"/>
      <c r="K32" s="51"/>
      <c r="L32" s="51"/>
      <c r="M32" s="51"/>
      <c r="N32" s="51"/>
      <c r="O32" s="51"/>
      <c r="P32" s="51"/>
      <c r="Q32" s="52"/>
      <c r="R32" s="57">
        <f t="shared" si="0"/>
        <v>0</v>
      </c>
      <c r="S32" s="7" t="e">
        <f t="shared" si="1"/>
        <v>#DIV/0!</v>
      </c>
    </row>
    <row r="33" spans="2:19" ht="18" customHeight="1" thickTop="1" x14ac:dyDescent="0.2">
      <c r="B33" s="13" t="s">
        <v>32</v>
      </c>
      <c r="C33" s="58">
        <f t="shared" ref="C33" si="2">SUM(C13:C32)</f>
        <v>382</v>
      </c>
      <c r="D33" s="59">
        <f t="shared" ref="D33:R33" si="3">SUM(D13:D32)</f>
        <v>120</v>
      </c>
      <c r="E33" s="60">
        <f t="shared" si="3"/>
        <v>480</v>
      </c>
      <c r="F33" s="60">
        <f t="shared" si="3"/>
        <v>145</v>
      </c>
      <c r="G33" s="60">
        <f t="shared" ref="G33:H33" si="4">SUM(G13:G32)</f>
        <v>137</v>
      </c>
      <c r="H33" s="60">
        <f t="shared" si="4"/>
        <v>127</v>
      </c>
      <c r="I33" s="60">
        <f t="shared" ref="I33:J33" si="5">SUM(I13:I32)</f>
        <v>125</v>
      </c>
      <c r="J33" s="60">
        <f t="shared" si="5"/>
        <v>131</v>
      </c>
      <c r="K33" s="60">
        <f t="shared" ref="K33:O33" si="6">SUM(K13:K32)</f>
        <v>131</v>
      </c>
      <c r="L33" s="60">
        <f t="shared" si="6"/>
        <v>0</v>
      </c>
      <c r="M33" s="60">
        <f t="shared" si="6"/>
        <v>0</v>
      </c>
      <c r="N33" s="60">
        <f t="shared" si="6"/>
        <v>0</v>
      </c>
      <c r="O33" s="60">
        <f t="shared" si="6"/>
        <v>0</v>
      </c>
      <c r="P33" s="60">
        <f t="shared" ref="P33:Q33" si="7">SUM(P13:P32)</f>
        <v>0</v>
      </c>
      <c r="Q33" s="58">
        <f t="shared" si="7"/>
        <v>0</v>
      </c>
      <c r="R33" s="58">
        <f t="shared" si="3"/>
        <v>403</v>
      </c>
      <c r="S33" s="9">
        <f t="shared" si="1"/>
        <v>0.83958333333333335</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K18" sqref="K18"/>
    </sheetView>
  </sheetViews>
  <sheetFormatPr defaultColWidth="11.33203125" defaultRowHeight="18.75" customHeight="1" x14ac:dyDescent="0.2"/>
  <cols>
    <col min="1" max="1" width="2.77734375" style="30"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0" t="s">
        <v>62</v>
      </c>
      <c r="I1" s="29" t="s">
        <v>96</v>
      </c>
    </row>
    <row r="2" spans="1:9" ht="18.75" customHeight="1" x14ac:dyDescent="0.2">
      <c r="G2" s="29" t="s">
        <v>98</v>
      </c>
      <c r="H2" s="92" t="str">
        <f>'様式１-１　プログラムを構成する授業科目'!C2</f>
        <v>名古屋国際工科専門職大学</v>
      </c>
      <c r="I2" s="94"/>
    </row>
    <row r="3" spans="1:9" ht="18.75" customHeight="1" x14ac:dyDescent="0.2">
      <c r="G3" s="29"/>
      <c r="H3" s="10"/>
      <c r="I3" s="10"/>
    </row>
    <row r="4" spans="1:9" ht="18.600000000000001" customHeight="1" x14ac:dyDescent="0.2">
      <c r="A4" s="214" t="s">
        <v>35</v>
      </c>
      <c r="B4" s="214"/>
      <c r="C4" s="214"/>
      <c r="D4" s="214"/>
      <c r="E4" s="214"/>
      <c r="F4" s="214"/>
      <c r="G4" s="214"/>
      <c r="H4" s="214"/>
      <c r="I4" s="214"/>
    </row>
    <row r="5" spans="1:9" ht="13.2" customHeight="1" x14ac:dyDescent="0.2">
      <c r="B5" s="3"/>
      <c r="C5" s="3"/>
      <c r="D5" s="3"/>
      <c r="E5" s="3"/>
      <c r="F5" s="3"/>
      <c r="G5" s="3"/>
      <c r="H5" s="3"/>
      <c r="I5" s="3"/>
    </row>
    <row r="6" spans="1:9" ht="18" customHeight="1" x14ac:dyDescent="0.2">
      <c r="A6" s="1" t="s">
        <v>0</v>
      </c>
      <c r="B6" s="10" t="s">
        <v>85</v>
      </c>
      <c r="C6" s="234" t="s">
        <v>86</v>
      </c>
      <c r="D6" s="234"/>
      <c r="E6" s="28">
        <v>28</v>
      </c>
      <c r="F6" s="3" t="s">
        <v>1</v>
      </c>
      <c r="G6" s="3" t="s">
        <v>2</v>
      </c>
      <c r="H6" s="28">
        <v>3</v>
      </c>
      <c r="I6" s="10" t="s">
        <v>1</v>
      </c>
    </row>
    <row r="7" spans="1:9" ht="12" customHeight="1" x14ac:dyDescent="0.2">
      <c r="C7" s="2"/>
      <c r="D7" s="2"/>
      <c r="E7" s="2"/>
      <c r="F7" s="2"/>
      <c r="G7" s="2"/>
      <c r="H7" s="2"/>
      <c r="I7" s="31"/>
    </row>
    <row r="8" spans="1:9" ht="18" customHeight="1" x14ac:dyDescent="0.2">
      <c r="A8" s="1" t="s">
        <v>3</v>
      </c>
      <c r="B8" s="10" t="s">
        <v>87</v>
      </c>
      <c r="E8" s="3"/>
      <c r="F8" s="3"/>
      <c r="G8" s="3"/>
      <c r="H8" s="28">
        <v>3</v>
      </c>
      <c r="I8" s="10" t="s">
        <v>1</v>
      </c>
    </row>
    <row r="9" spans="1:9" ht="9" customHeight="1" x14ac:dyDescent="0.2">
      <c r="B9" s="3"/>
      <c r="C9" s="3"/>
      <c r="D9" s="3"/>
      <c r="E9" s="3"/>
      <c r="F9" s="3"/>
      <c r="G9" s="3"/>
      <c r="H9" s="3"/>
      <c r="I9" s="3"/>
    </row>
    <row r="10" spans="1:9" ht="18" customHeight="1" x14ac:dyDescent="0.2">
      <c r="A10" s="1" t="s">
        <v>4</v>
      </c>
      <c r="B10" s="10" t="s">
        <v>88</v>
      </c>
      <c r="C10" s="3"/>
      <c r="D10" s="3"/>
      <c r="E10" s="3"/>
      <c r="F10" s="3"/>
      <c r="G10" s="3"/>
      <c r="H10" s="3"/>
      <c r="I10" s="3"/>
    </row>
    <row r="11" spans="1:9" ht="18" customHeight="1" x14ac:dyDescent="0.2">
      <c r="B11" s="29" t="s">
        <v>41</v>
      </c>
      <c r="C11" s="229" t="s">
        <v>139</v>
      </c>
      <c r="D11" s="232"/>
      <c r="E11" s="233"/>
      <c r="F11" s="31"/>
      <c r="G11" s="29" t="s">
        <v>10</v>
      </c>
      <c r="H11" s="229" t="s">
        <v>140</v>
      </c>
      <c r="I11" s="233"/>
    </row>
    <row r="12" spans="1:9" ht="10.199999999999999" customHeight="1" x14ac:dyDescent="0.2">
      <c r="B12" s="29"/>
      <c r="C12" s="10"/>
      <c r="D12" s="31"/>
      <c r="E12" s="31"/>
      <c r="F12" s="31"/>
      <c r="G12" s="29"/>
      <c r="H12" s="10"/>
      <c r="I12" s="31"/>
    </row>
    <row r="13" spans="1:9" ht="18" customHeight="1" x14ac:dyDescent="0.2">
      <c r="A13" s="1" t="s">
        <v>7</v>
      </c>
      <c r="B13" s="10" t="s">
        <v>83</v>
      </c>
      <c r="C13" s="3"/>
      <c r="D13" s="3"/>
      <c r="E13" s="3"/>
      <c r="F13" s="3"/>
      <c r="G13" s="3"/>
      <c r="H13" s="3"/>
      <c r="I13" s="3"/>
    </row>
    <row r="14" spans="1:9" ht="18" customHeight="1" x14ac:dyDescent="0.2">
      <c r="B14" s="229" t="s">
        <v>165</v>
      </c>
      <c r="C14" s="230"/>
      <c r="D14" s="230"/>
      <c r="E14" s="230"/>
      <c r="F14" s="230"/>
      <c r="G14" s="230"/>
      <c r="H14" s="230"/>
      <c r="I14" s="231"/>
    </row>
    <row r="15" spans="1:9" ht="9" customHeight="1" x14ac:dyDescent="0.2">
      <c r="B15" s="3"/>
      <c r="C15" s="3"/>
      <c r="D15" s="3"/>
      <c r="E15" s="3"/>
      <c r="F15" s="3"/>
      <c r="G15" s="3"/>
      <c r="H15" s="3"/>
      <c r="I15" s="3"/>
    </row>
    <row r="16" spans="1:9" ht="18" customHeight="1" x14ac:dyDescent="0.2">
      <c r="B16" s="29" t="s">
        <v>41</v>
      </c>
      <c r="C16" s="229" t="s">
        <v>164</v>
      </c>
      <c r="D16" s="232"/>
      <c r="E16" s="233"/>
      <c r="F16" s="31"/>
      <c r="G16" s="29" t="s">
        <v>10</v>
      </c>
      <c r="H16" s="229" t="s">
        <v>146</v>
      </c>
      <c r="I16" s="233"/>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215" t="s">
        <v>178</v>
      </c>
      <c r="C19" s="216"/>
      <c r="D19" s="216"/>
      <c r="E19" s="216"/>
      <c r="F19" s="216"/>
      <c r="G19" s="216"/>
      <c r="H19" s="216"/>
      <c r="I19" s="217"/>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4"/>
      <c r="B22" s="218" t="s">
        <v>147</v>
      </c>
      <c r="C22" s="219"/>
      <c r="D22" s="219"/>
      <c r="E22" s="219"/>
      <c r="F22" s="219"/>
      <c r="G22" s="219"/>
      <c r="H22" s="219"/>
      <c r="I22" s="220"/>
    </row>
    <row r="23" spans="1:9" ht="18.75" customHeight="1" x14ac:dyDescent="0.2">
      <c r="A23" s="14"/>
      <c r="B23" s="221"/>
      <c r="C23" s="222"/>
      <c r="D23" s="222"/>
      <c r="E23" s="222"/>
      <c r="F23" s="222"/>
      <c r="G23" s="222"/>
      <c r="H23" s="222"/>
      <c r="I23" s="223"/>
    </row>
    <row r="24" spans="1:9" ht="18.75" customHeight="1" x14ac:dyDescent="0.2">
      <c r="A24" s="14"/>
      <c r="B24" s="221"/>
      <c r="C24" s="222"/>
      <c r="D24" s="222"/>
      <c r="E24" s="222"/>
      <c r="F24" s="222"/>
      <c r="G24" s="222"/>
      <c r="H24" s="222"/>
      <c r="I24" s="223"/>
    </row>
    <row r="25" spans="1:9" ht="18.75" customHeight="1" x14ac:dyDescent="0.2">
      <c r="A25" s="14"/>
      <c r="B25" s="221"/>
      <c r="C25" s="222"/>
      <c r="D25" s="222"/>
      <c r="E25" s="222"/>
      <c r="F25" s="222"/>
      <c r="G25" s="222"/>
      <c r="H25" s="222"/>
      <c r="I25" s="223"/>
    </row>
    <row r="26" spans="1:9" ht="18.75" customHeight="1" x14ac:dyDescent="0.2">
      <c r="A26" s="14"/>
      <c r="B26" s="221"/>
      <c r="C26" s="222"/>
      <c r="D26" s="222"/>
      <c r="E26" s="222"/>
      <c r="F26" s="222"/>
      <c r="G26" s="222"/>
      <c r="H26" s="222"/>
      <c r="I26" s="223"/>
    </row>
    <row r="27" spans="1:9" ht="18.75" customHeight="1" x14ac:dyDescent="0.2">
      <c r="A27" s="14"/>
      <c r="B27" s="221"/>
      <c r="C27" s="222"/>
      <c r="D27" s="222"/>
      <c r="E27" s="222"/>
      <c r="F27" s="222"/>
      <c r="G27" s="222"/>
      <c r="H27" s="222"/>
      <c r="I27" s="223"/>
    </row>
    <row r="28" spans="1:9" ht="18.75" customHeight="1" x14ac:dyDescent="0.2">
      <c r="A28" s="14"/>
      <c r="B28" s="221"/>
      <c r="C28" s="222"/>
      <c r="D28" s="222"/>
      <c r="E28" s="222"/>
      <c r="F28" s="222"/>
      <c r="G28" s="222"/>
      <c r="H28" s="222"/>
      <c r="I28" s="223"/>
    </row>
    <row r="29" spans="1:9" ht="18.75" customHeight="1" x14ac:dyDescent="0.2">
      <c r="A29" s="14"/>
      <c r="B29" s="221"/>
      <c r="C29" s="222"/>
      <c r="D29" s="222"/>
      <c r="E29" s="222"/>
      <c r="F29" s="222"/>
      <c r="G29" s="222"/>
      <c r="H29" s="222"/>
      <c r="I29" s="223"/>
    </row>
    <row r="30" spans="1:9" ht="18.75" customHeight="1" x14ac:dyDescent="0.2">
      <c r="A30" s="14"/>
      <c r="B30" s="224"/>
      <c r="C30" s="225"/>
      <c r="D30" s="225"/>
      <c r="E30" s="225"/>
      <c r="F30" s="225"/>
      <c r="G30" s="225"/>
      <c r="H30" s="225"/>
      <c r="I30" s="223"/>
    </row>
    <row r="31" spans="1:9" ht="18.75" customHeight="1" x14ac:dyDescent="0.2">
      <c r="A31" s="14"/>
      <c r="B31" s="224"/>
      <c r="C31" s="225"/>
      <c r="D31" s="225"/>
      <c r="E31" s="225"/>
      <c r="F31" s="225"/>
      <c r="G31" s="225"/>
      <c r="H31" s="225"/>
      <c r="I31" s="223"/>
    </row>
    <row r="32" spans="1:9" ht="18.75" customHeight="1" x14ac:dyDescent="0.2">
      <c r="A32" s="14"/>
      <c r="B32" s="226"/>
      <c r="C32" s="227"/>
      <c r="D32" s="227"/>
      <c r="E32" s="227"/>
      <c r="F32" s="227"/>
      <c r="G32" s="227"/>
      <c r="H32" s="227"/>
      <c r="I32" s="228"/>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18" t="s">
        <v>163</v>
      </c>
      <c r="C35" s="219"/>
      <c r="D35" s="219"/>
      <c r="E35" s="219"/>
      <c r="F35" s="219"/>
      <c r="G35" s="219"/>
      <c r="H35" s="219"/>
      <c r="I35" s="220"/>
    </row>
    <row r="36" spans="1:9" ht="18.75" customHeight="1" x14ac:dyDescent="0.2">
      <c r="A36" s="14"/>
      <c r="B36" s="224"/>
      <c r="C36" s="225"/>
      <c r="D36" s="225"/>
      <c r="E36" s="225"/>
      <c r="F36" s="225"/>
      <c r="G36" s="225"/>
      <c r="H36" s="225"/>
      <c r="I36" s="223"/>
    </row>
    <row r="37" spans="1:9" ht="18.75" customHeight="1" x14ac:dyDescent="0.2">
      <c r="A37" s="14"/>
      <c r="B37" s="224"/>
      <c r="C37" s="225"/>
      <c r="D37" s="225"/>
      <c r="E37" s="225"/>
      <c r="F37" s="225"/>
      <c r="G37" s="225"/>
      <c r="H37" s="225"/>
      <c r="I37" s="223"/>
    </row>
    <row r="38" spans="1:9" ht="18.75" customHeight="1" x14ac:dyDescent="0.2">
      <c r="A38" s="14"/>
      <c r="B38" s="224"/>
      <c r="C38" s="225"/>
      <c r="D38" s="225"/>
      <c r="E38" s="225"/>
      <c r="F38" s="225"/>
      <c r="G38" s="225"/>
      <c r="H38" s="225"/>
      <c r="I38" s="223"/>
    </row>
    <row r="39" spans="1:9" ht="18.75" customHeight="1" x14ac:dyDescent="0.2">
      <c r="A39" s="14"/>
      <c r="B39" s="224"/>
      <c r="C39" s="225"/>
      <c r="D39" s="225"/>
      <c r="E39" s="225"/>
      <c r="F39" s="225"/>
      <c r="G39" s="225"/>
      <c r="H39" s="225"/>
      <c r="I39" s="223"/>
    </row>
    <row r="40" spans="1:9" ht="18.75" customHeight="1" x14ac:dyDescent="0.2">
      <c r="A40" s="14"/>
      <c r="B40" s="224"/>
      <c r="C40" s="225"/>
      <c r="D40" s="225"/>
      <c r="E40" s="225"/>
      <c r="F40" s="225"/>
      <c r="G40" s="225"/>
      <c r="H40" s="225"/>
      <c r="I40" s="223"/>
    </row>
    <row r="41" spans="1:9" ht="18.75" customHeight="1" x14ac:dyDescent="0.2">
      <c r="A41" s="14"/>
      <c r="B41" s="224"/>
      <c r="C41" s="225"/>
      <c r="D41" s="225"/>
      <c r="E41" s="225"/>
      <c r="F41" s="225"/>
      <c r="G41" s="225"/>
      <c r="H41" s="225"/>
      <c r="I41" s="223"/>
    </row>
    <row r="42" spans="1:9" ht="18.75" customHeight="1" x14ac:dyDescent="0.2">
      <c r="A42" s="14"/>
      <c r="B42" s="224"/>
      <c r="C42" s="225"/>
      <c r="D42" s="225"/>
      <c r="E42" s="225"/>
      <c r="F42" s="225"/>
      <c r="G42" s="225"/>
      <c r="H42" s="225"/>
      <c r="I42" s="223"/>
    </row>
    <row r="43" spans="1:9" ht="18.75" customHeight="1" x14ac:dyDescent="0.2">
      <c r="A43" s="14"/>
      <c r="B43" s="224"/>
      <c r="C43" s="225"/>
      <c r="D43" s="225"/>
      <c r="E43" s="225"/>
      <c r="F43" s="225"/>
      <c r="G43" s="225"/>
      <c r="H43" s="225"/>
      <c r="I43" s="223"/>
    </row>
    <row r="44" spans="1:9" ht="18.75" customHeight="1" x14ac:dyDescent="0.2">
      <c r="A44" s="14"/>
      <c r="B44" s="224"/>
      <c r="C44" s="225"/>
      <c r="D44" s="225"/>
      <c r="E44" s="225"/>
      <c r="F44" s="225"/>
      <c r="G44" s="225"/>
      <c r="H44" s="225"/>
      <c r="I44" s="223"/>
    </row>
    <row r="45" spans="1:9" ht="18.75" customHeight="1" x14ac:dyDescent="0.2">
      <c r="A45" s="14"/>
      <c r="B45" s="224"/>
      <c r="C45" s="225"/>
      <c r="D45" s="225"/>
      <c r="E45" s="225"/>
      <c r="F45" s="225"/>
      <c r="G45" s="225"/>
      <c r="H45" s="225"/>
      <c r="I45" s="223"/>
    </row>
    <row r="46" spans="1:9" ht="18.75" customHeight="1" x14ac:dyDescent="0.2">
      <c r="A46" s="14"/>
      <c r="B46" s="226"/>
      <c r="C46" s="227"/>
      <c r="D46" s="227"/>
      <c r="E46" s="227"/>
      <c r="F46" s="227"/>
      <c r="G46" s="227"/>
      <c r="H46" s="227"/>
      <c r="I46" s="228"/>
    </row>
    <row r="47" spans="1:9" ht="7.5" customHeight="1" x14ac:dyDescent="0.2">
      <c r="A47" s="4"/>
      <c r="B47" s="4"/>
      <c r="C47" s="4"/>
      <c r="D47" s="4"/>
      <c r="E47" s="4"/>
      <c r="F47" s="4"/>
      <c r="G47" s="4"/>
      <c r="H47" s="4"/>
      <c r="I47" s="4"/>
    </row>
    <row r="48" spans="1:9" ht="18.75" customHeight="1" x14ac:dyDescent="0.2">
      <c r="A48" s="1" t="s">
        <v>30</v>
      </c>
      <c r="B48" s="1" t="s">
        <v>110</v>
      </c>
    </row>
    <row r="49" spans="1:15" s="3" customFormat="1" ht="18.75" customHeight="1" x14ac:dyDescent="0.2">
      <c r="B49" s="32" t="s">
        <v>127</v>
      </c>
      <c r="C49" s="203">
        <f>'様式２ 履修者等数の実績'!S33</f>
        <v>0.83958333333333335</v>
      </c>
      <c r="D49" s="203"/>
      <c r="E49" s="32" t="s">
        <v>63</v>
      </c>
      <c r="F49" s="203">
        <v>0.92</v>
      </c>
      <c r="G49" s="203"/>
      <c r="H49" s="32" t="s">
        <v>64</v>
      </c>
      <c r="I49" s="85">
        <v>1</v>
      </c>
      <c r="J49" s="1"/>
      <c r="M49" s="1"/>
      <c r="N49" s="33"/>
    </row>
    <row r="50" spans="1:15" s="3" customFormat="1" ht="18.75" customHeight="1" x14ac:dyDescent="0.2">
      <c r="B50" s="34" t="s">
        <v>84</v>
      </c>
      <c r="C50" s="186">
        <v>1</v>
      </c>
      <c r="D50" s="186"/>
      <c r="E50" s="34" t="s">
        <v>128</v>
      </c>
      <c r="F50" s="186">
        <v>1</v>
      </c>
      <c r="G50" s="186"/>
      <c r="H50" s="34" t="s">
        <v>65</v>
      </c>
      <c r="I50" s="35">
        <f>'様式２ 履修者等数の実績'!E33</f>
        <v>480</v>
      </c>
      <c r="J50" s="1"/>
      <c r="M50" s="1"/>
      <c r="N50" s="33"/>
    </row>
    <row r="51" spans="1:15" ht="18.75" customHeight="1" x14ac:dyDescent="0.2">
      <c r="A51" s="1"/>
      <c r="B51" s="236" t="s">
        <v>66</v>
      </c>
      <c r="C51" s="237"/>
      <c r="D51" s="237"/>
      <c r="E51" s="237"/>
      <c r="F51" s="237"/>
      <c r="G51" s="237"/>
      <c r="H51" s="237"/>
      <c r="I51" s="238"/>
      <c r="N51" s="33"/>
      <c r="O51" s="3"/>
    </row>
    <row r="52" spans="1:15" ht="18.75" customHeight="1" x14ac:dyDescent="0.2">
      <c r="A52" s="1"/>
      <c r="B52" s="204" t="s">
        <v>148</v>
      </c>
      <c r="C52" s="205"/>
      <c r="D52" s="205"/>
      <c r="E52" s="205"/>
      <c r="F52" s="205"/>
      <c r="G52" s="205"/>
      <c r="H52" s="205"/>
      <c r="I52" s="206"/>
      <c r="N52" s="33"/>
      <c r="O52" s="3"/>
    </row>
    <row r="53" spans="1:15" ht="18.75" customHeight="1" x14ac:dyDescent="0.2">
      <c r="A53" s="1"/>
      <c r="B53" s="207"/>
      <c r="C53" s="208"/>
      <c r="D53" s="208"/>
      <c r="E53" s="208"/>
      <c r="F53" s="208"/>
      <c r="G53" s="208"/>
      <c r="H53" s="208"/>
      <c r="I53" s="209"/>
      <c r="N53" s="33"/>
      <c r="O53" s="3"/>
    </row>
    <row r="54" spans="1:15" ht="18.75" customHeight="1" x14ac:dyDescent="0.2">
      <c r="A54" s="1"/>
      <c r="B54" s="207"/>
      <c r="C54" s="208"/>
      <c r="D54" s="208"/>
      <c r="E54" s="208"/>
      <c r="F54" s="208"/>
      <c r="G54" s="208"/>
      <c r="H54" s="208"/>
      <c r="I54" s="209"/>
    </row>
    <row r="55" spans="1:15" ht="18.75" customHeight="1" x14ac:dyDescent="0.2">
      <c r="A55" s="1"/>
      <c r="B55" s="207"/>
      <c r="C55" s="208"/>
      <c r="D55" s="208"/>
      <c r="E55" s="208"/>
      <c r="F55" s="208"/>
      <c r="G55" s="208"/>
      <c r="H55" s="208"/>
      <c r="I55" s="209"/>
    </row>
    <row r="56" spans="1:15" ht="18.75" customHeight="1" x14ac:dyDescent="0.2">
      <c r="A56" s="1"/>
      <c r="B56" s="207"/>
      <c r="C56" s="208"/>
      <c r="D56" s="208"/>
      <c r="E56" s="208"/>
      <c r="F56" s="208"/>
      <c r="G56" s="208"/>
      <c r="H56" s="208"/>
      <c r="I56" s="209"/>
    </row>
    <row r="57" spans="1:15" ht="18.75" customHeight="1" x14ac:dyDescent="0.2">
      <c r="A57" s="1"/>
      <c r="B57" s="207"/>
      <c r="C57" s="208"/>
      <c r="D57" s="208"/>
      <c r="E57" s="208"/>
      <c r="F57" s="208"/>
      <c r="G57" s="208"/>
      <c r="H57" s="208"/>
      <c r="I57" s="209"/>
    </row>
    <row r="58" spans="1:15" ht="18.75" customHeight="1" x14ac:dyDescent="0.2">
      <c r="A58" s="1"/>
      <c r="B58" s="207"/>
      <c r="C58" s="208"/>
      <c r="D58" s="208"/>
      <c r="E58" s="208"/>
      <c r="F58" s="208"/>
      <c r="G58" s="208"/>
      <c r="H58" s="208"/>
      <c r="I58" s="209"/>
    </row>
    <row r="59" spans="1:15" ht="18.75" customHeight="1" x14ac:dyDescent="0.2">
      <c r="A59" s="1"/>
      <c r="B59" s="207"/>
      <c r="C59" s="208"/>
      <c r="D59" s="208"/>
      <c r="E59" s="208"/>
      <c r="F59" s="208"/>
      <c r="G59" s="208"/>
      <c r="H59" s="208"/>
      <c r="I59" s="209"/>
    </row>
    <row r="60" spans="1:15" ht="18.75" customHeight="1" x14ac:dyDescent="0.2">
      <c r="A60" s="1"/>
      <c r="B60" s="207"/>
      <c r="C60" s="208"/>
      <c r="D60" s="208"/>
      <c r="E60" s="208"/>
      <c r="F60" s="208"/>
      <c r="G60" s="208"/>
      <c r="H60" s="208"/>
      <c r="I60" s="209"/>
    </row>
    <row r="61" spans="1:15" ht="18.75" customHeight="1" x14ac:dyDescent="0.2">
      <c r="A61" s="1"/>
      <c r="B61" s="207"/>
      <c r="C61" s="208"/>
      <c r="D61" s="208"/>
      <c r="E61" s="208"/>
      <c r="F61" s="208"/>
      <c r="G61" s="208"/>
      <c r="H61" s="208"/>
      <c r="I61" s="209"/>
    </row>
    <row r="62" spans="1:15" ht="18.75" customHeight="1" x14ac:dyDescent="0.2">
      <c r="A62" s="1"/>
      <c r="B62" s="207"/>
      <c r="C62" s="208"/>
      <c r="D62" s="208"/>
      <c r="E62" s="208"/>
      <c r="F62" s="208"/>
      <c r="G62" s="208"/>
      <c r="H62" s="208"/>
      <c r="I62" s="209"/>
    </row>
    <row r="63" spans="1:15" ht="18.75" customHeight="1" x14ac:dyDescent="0.2">
      <c r="A63" s="1"/>
      <c r="B63" s="210"/>
      <c r="C63" s="211"/>
      <c r="D63" s="211"/>
      <c r="E63" s="211"/>
      <c r="F63" s="211"/>
      <c r="G63" s="211"/>
      <c r="H63" s="211"/>
      <c r="I63" s="212"/>
    </row>
    <row r="64" spans="1:15" ht="7.5" customHeight="1" x14ac:dyDescent="0.2">
      <c r="A64" s="14"/>
      <c r="B64" s="14"/>
      <c r="C64" s="14"/>
      <c r="D64" s="14"/>
      <c r="E64" s="14"/>
      <c r="F64" s="14"/>
      <c r="G64" s="14"/>
      <c r="H64" s="14"/>
      <c r="I64" s="14"/>
    </row>
    <row r="65" spans="1:9" ht="18.75" customHeight="1" x14ac:dyDescent="0.2">
      <c r="A65" s="15" t="s">
        <v>33</v>
      </c>
      <c r="B65" s="1" t="s">
        <v>36</v>
      </c>
      <c r="I65" s="15"/>
    </row>
    <row r="66" spans="1:9" ht="18.75" customHeight="1" x14ac:dyDescent="0.2">
      <c r="A66" s="4"/>
      <c r="B66" s="187" t="s">
        <v>162</v>
      </c>
      <c r="C66" s="188"/>
      <c r="D66" s="188"/>
      <c r="E66" s="188"/>
      <c r="F66" s="188"/>
      <c r="G66" s="188"/>
      <c r="H66" s="188"/>
      <c r="I66" s="189"/>
    </row>
    <row r="67" spans="1:9" ht="18.75" customHeight="1" x14ac:dyDescent="0.2">
      <c r="A67" s="4"/>
      <c r="B67" s="190"/>
      <c r="C67" s="191"/>
      <c r="D67" s="191"/>
      <c r="E67" s="191"/>
      <c r="F67" s="191"/>
      <c r="G67" s="191"/>
      <c r="H67" s="191"/>
      <c r="I67" s="192"/>
    </row>
    <row r="68" spans="1:9" ht="18.75" customHeight="1" x14ac:dyDescent="0.2">
      <c r="A68" s="4"/>
      <c r="B68" s="190"/>
      <c r="C68" s="191"/>
      <c r="D68" s="191"/>
      <c r="E68" s="191"/>
      <c r="F68" s="191"/>
      <c r="G68" s="191"/>
      <c r="H68" s="191"/>
      <c r="I68" s="192"/>
    </row>
    <row r="69" spans="1:9" ht="18.75" customHeight="1" x14ac:dyDescent="0.2">
      <c r="A69" s="4"/>
      <c r="B69" s="190"/>
      <c r="C69" s="191"/>
      <c r="D69" s="191"/>
      <c r="E69" s="191"/>
      <c r="F69" s="191"/>
      <c r="G69" s="191"/>
      <c r="H69" s="191"/>
      <c r="I69" s="192"/>
    </row>
    <row r="70" spans="1:9" ht="18.75" customHeight="1" x14ac:dyDescent="0.2">
      <c r="A70" s="4"/>
      <c r="B70" s="190"/>
      <c r="C70" s="191"/>
      <c r="D70" s="191"/>
      <c r="E70" s="191"/>
      <c r="F70" s="191"/>
      <c r="G70" s="191"/>
      <c r="H70" s="191"/>
      <c r="I70" s="192"/>
    </row>
    <row r="71" spans="1:9" ht="18.75" customHeight="1" x14ac:dyDescent="0.2">
      <c r="A71" s="4"/>
      <c r="B71" s="190"/>
      <c r="C71" s="191"/>
      <c r="D71" s="191"/>
      <c r="E71" s="191"/>
      <c r="F71" s="191"/>
      <c r="G71" s="191"/>
      <c r="H71" s="191"/>
      <c r="I71" s="192"/>
    </row>
    <row r="72" spans="1:9" ht="18.75" customHeight="1" x14ac:dyDescent="0.2">
      <c r="A72" s="4"/>
      <c r="B72" s="190"/>
      <c r="C72" s="191"/>
      <c r="D72" s="191"/>
      <c r="E72" s="191"/>
      <c r="F72" s="191"/>
      <c r="G72" s="191"/>
      <c r="H72" s="191"/>
      <c r="I72" s="192"/>
    </row>
    <row r="73" spans="1:9" ht="18.75" customHeight="1" x14ac:dyDescent="0.2">
      <c r="A73" s="4"/>
      <c r="B73" s="190"/>
      <c r="C73" s="191"/>
      <c r="D73" s="191"/>
      <c r="E73" s="191"/>
      <c r="F73" s="191"/>
      <c r="G73" s="191"/>
      <c r="H73" s="191"/>
      <c r="I73" s="192"/>
    </row>
    <row r="74" spans="1:9" ht="18.75" customHeight="1" x14ac:dyDescent="0.2">
      <c r="A74" s="4"/>
      <c r="B74" s="190"/>
      <c r="C74" s="191"/>
      <c r="D74" s="191"/>
      <c r="E74" s="191"/>
      <c r="F74" s="191"/>
      <c r="G74" s="191"/>
      <c r="H74" s="191"/>
      <c r="I74" s="192"/>
    </row>
    <row r="75" spans="1:9" ht="18.75" customHeight="1" x14ac:dyDescent="0.2">
      <c r="A75" s="4"/>
      <c r="B75" s="190"/>
      <c r="C75" s="191"/>
      <c r="D75" s="191"/>
      <c r="E75" s="191"/>
      <c r="F75" s="191"/>
      <c r="G75" s="191"/>
      <c r="H75" s="191"/>
      <c r="I75" s="192"/>
    </row>
    <row r="76" spans="1:9" ht="18.75" customHeight="1" x14ac:dyDescent="0.2">
      <c r="A76" s="4"/>
      <c r="B76" s="190"/>
      <c r="C76" s="191"/>
      <c r="D76" s="191"/>
      <c r="E76" s="191"/>
      <c r="F76" s="191"/>
      <c r="G76" s="191"/>
      <c r="H76" s="191"/>
      <c r="I76" s="192"/>
    </row>
    <row r="77" spans="1:9" ht="18.75" customHeight="1" x14ac:dyDescent="0.2">
      <c r="A77" s="4"/>
      <c r="B77" s="193"/>
      <c r="C77" s="194"/>
      <c r="D77" s="194"/>
      <c r="E77" s="194"/>
      <c r="F77" s="194"/>
      <c r="G77" s="194"/>
      <c r="H77" s="194"/>
      <c r="I77" s="195"/>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187" t="s">
        <v>149</v>
      </c>
      <c r="C80" s="188"/>
      <c r="D80" s="188"/>
      <c r="E80" s="188"/>
      <c r="F80" s="188"/>
      <c r="G80" s="188"/>
      <c r="H80" s="188"/>
      <c r="I80" s="196"/>
    </row>
    <row r="81" spans="1:9" ht="18.75" customHeight="1" x14ac:dyDescent="0.2">
      <c r="A81" s="1"/>
      <c r="B81" s="197"/>
      <c r="C81" s="198"/>
      <c r="D81" s="198"/>
      <c r="E81" s="198"/>
      <c r="F81" s="198"/>
      <c r="G81" s="198"/>
      <c r="H81" s="198"/>
      <c r="I81" s="199"/>
    </row>
    <row r="82" spans="1:9" ht="18.75" customHeight="1" x14ac:dyDescent="0.2">
      <c r="A82" s="1"/>
      <c r="B82" s="197"/>
      <c r="C82" s="198"/>
      <c r="D82" s="198"/>
      <c r="E82" s="198"/>
      <c r="F82" s="198"/>
      <c r="G82" s="198"/>
      <c r="H82" s="198"/>
      <c r="I82" s="199"/>
    </row>
    <row r="83" spans="1:9" ht="18.75" customHeight="1" x14ac:dyDescent="0.2">
      <c r="A83" s="1"/>
      <c r="B83" s="197"/>
      <c r="C83" s="198"/>
      <c r="D83" s="198"/>
      <c r="E83" s="198"/>
      <c r="F83" s="198"/>
      <c r="G83" s="198"/>
      <c r="H83" s="198"/>
      <c r="I83" s="199"/>
    </row>
    <row r="84" spans="1:9" ht="18.75" customHeight="1" x14ac:dyDescent="0.2">
      <c r="A84" s="1"/>
      <c r="B84" s="197"/>
      <c r="C84" s="198"/>
      <c r="D84" s="198"/>
      <c r="E84" s="198"/>
      <c r="F84" s="198"/>
      <c r="G84" s="198"/>
      <c r="H84" s="198"/>
      <c r="I84" s="199"/>
    </row>
    <row r="85" spans="1:9" ht="18.75" customHeight="1" x14ac:dyDescent="0.2">
      <c r="A85" s="1"/>
      <c r="B85" s="197"/>
      <c r="C85" s="198"/>
      <c r="D85" s="198"/>
      <c r="E85" s="198"/>
      <c r="F85" s="198"/>
      <c r="G85" s="198"/>
      <c r="H85" s="198"/>
      <c r="I85" s="199"/>
    </row>
    <row r="86" spans="1:9" ht="18.75" customHeight="1" x14ac:dyDescent="0.2">
      <c r="A86" s="1"/>
      <c r="B86" s="197"/>
      <c r="C86" s="198"/>
      <c r="D86" s="198"/>
      <c r="E86" s="198"/>
      <c r="F86" s="198"/>
      <c r="G86" s="198"/>
      <c r="H86" s="198"/>
      <c r="I86" s="199"/>
    </row>
    <row r="87" spans="1:9" ht="18.75" customHeight="1" x14ac:dyDescent="0.2">
      <c r="A87" s="1"/>
      <c r="B87" s="197"/>
      <c r="C87" s="198"/>
      <c r="D87" s="198"/>
      <c r="E87" s="198"/>
      <c r="F87" s="198"/>
      <c r="G87" s="198"/>
      <c r="H87" s="198"/>
      <c r="I87" s="199"/>
    </row>
    <row r="88" spans="1:9" ht="18.75" customHeight="1" x14ac:dyDescent="0.2">
      <c r="A88" s="1"/>
      <c r="B88" s="197"/>
      <c r="C88" s="198"/>
      <c r="D88" s="198"/>
      <c r="E88" s="198"/>
      <c r="F88" s="198"/>
      <c r="G88" s="198"/>
      <c r="H88" s="198"/>
      <c r="I88" s="199"/>
    </row>
    <row r="89" spans="1:9" ht="18.75" customHeight="1" x14ac:dyDescent="0.2">
      <c r="A89" s="1"/>
      <c r="B89" s="197"/>
      <c r="C89" s="198"/>
      <c r="D89" s="198"/>
      <c r="E89" s="198"/>
      <c r="F89" s="198"/>
      <c r="G89" s="198"/>
      <c r="H89" s="198"/>
      <c r="I89" s="199"/>
    </row>
    <row r="90" spans="1:9" ht="18.75" customHeight="1" x14ac:dyDescent="0.2">
      <c r="A90" s="4"/>
      <c r="B90" s="197"/>
      <c r="C90" s="198"/>
      <c r="D90" s="198"/>
      <c r="E90" s="198"/>
      <c r="F90" s="198"/>
      <c r="G90" s="198"/>
      <c r="H90" s="198"/>
      <c r="I90" s="199"/>
    </row>
    <row r="91" spans="1:9" ht="18.75" customHeight="1" x14ac:dyDescent="0.2">
      <c r="A91" s="4"/>
      <c r="B91" s="200"/>
      <c r="C91" s="201"/>
      <c r="D91" s="201"/>
      <c r="E91" s="201"/>
      <c r="F91" s="201"/>
      <c r="G91" s="201"/>
      <c r="H91" s="201"/>
      <c r="I91" s="202"/>
    </row>
    <row r="92" spans="1:9" ht="7.5" customHeight="1" x14ac:dyDescent="0.2">
      <c r="A92" s="4"/>
      <c r="B92" s="4"/>
      <c r="C92" s="4"/>
      <c r="D92" s="4"/>
      <c r="E92" s="4"/>
      <c r="F92" s="4"/>
      <c r="G92" s="4"/>
      <c r="H92" s="4"/>
      <c r="I92" s="4"/>
    </row>
    <row r="93" spans="1:9" ht="18.75" customHeight="1" x14ac:dyDescent="0.2">
      <c r="A93" s="1" t="s">
        <v>42</v>
      </c>
      <c r="B93" s="1" t="s">
        <v>12</v>
      </c>
    </row>
    <row r="94" spans="1:9" ht="18.75" customHeight="1" x14ac:dyDescent="0.2">
      <c r="A94" s="1"/>
      <c r="B94" s="218" t="s">
        <v>149</v>
      </c>
      <c r="C94" s="219"/>
      <c r="D94" s="219"/>
      <c r="E94" s="219"/>
      <c r="F94" s="219"/>
      <c r="G94" s="219"/>
      <c r="H94" s="219"/>
      <c r="I94" s="220"/>
    </row>
    <row r="95" spans="1:9" ht="18.75" customHeight="1" x14ac:dyDescent="0.2">
      <c r="A95" s="1"/>
      <c r="B95" s="224"/>
      <c r="C95" s="225"/>
      <c r="D95" s="225"/>
      <c r="E95" s="225"/>
      <c r="F95" s="225"/>
      <c r="G95" s="225"/>
      <c r="H95" s="225"/>
      <c r="I95" s="223"/>
    </row>
    <row r="96" spans="1:9" ht="18.75" customHeight="1" x14ac:dyDescent="0.2">
      <c r="A96" s="1"/>
      <c r="B96" s="224"/>
      <c r="C96" s="225"/>
      <c r="D96" s="225"/>
      <c r="E96" s="225"/>
      <c r="F96" s="225"/>
      <c r="G96" s="225"/>
      <c r="H96" s="225"/>
      <c r="I96" s="223"/>
    </row>
    <row r="97" spans="1:9" ht="18.75" customHeight="1" x14ac:dyDescent="0.2">
      <c r="A97" s="1"/>
      <c r="B97" s="224"/>
      <c r="C97" s="225"/>
      <c r="D97" s="225"/>
      <c r="E97" s="225"/>
      <c r="F97" s="225"/>
      <c r="G97" s="225"/>
      <c r="H97" s="225"/>
      <c r="I97" s="223"/>
    </row>
    <row r="98" spans="1:9" ht="18.75" customHeight="1" x14ac:dyDescent="0.2">
      <c r="A98" s="1"/>
      <c r="B98" s="224"/>
      <c r="C98" s="225"/>
      <c r="D98" s="225"/>
      <c r="E98" s="225"/>
      <c r="F98" s="225"/>
      <c r="G98" s="225"/>
      <c r="H98" s="225"/>
      <c r="I98" s="223"/>
    </row>
    <row r="99" spans="1:9" ht="18.75" customHeight="1" x14ac:dyDescent="0.2">
      <c r="A99" s="1"/>
      <c r="B99" s="224"/>
      <c r="C99" s="225"/>
      <c r="D99" s="225"/>
      <c r="E99" s="225"/>
      <c r="F99" s="225"/>
      <c r="G99" s="225"/>
      <c r="H99" s="225"/>
      <c r="I99" s="223"/>
    </row>
    <row r="100" spans="1:9" ht="18.75" customHeight="1" x14ac:dyDescent="0.2">
      <c r="A100" s="1"/>
      <c r="B100" s="224"/>
      <c r="C100" s="225"/>
      <c r="D100" s="225"/>
      <c r="E100" s="225"/>
      <c r="F100" s="225"/>
      <c r="G100" s="225"/>
      <c r="H100" s="225"/>
      <c r="I100" s="223"/>
    </row>
    <row r="101" spans="1:9" ht="18.75" customHeight="1" x14ac:dyDescent="0.2">
      <c r="A101" s="1"/>
      <c r="B101" s="224"/>
      <c r="C101" s="225"/>
      <c r="D101" s="225"/>
      <c r="E101" s="225"/>
      <c r="F101" s="225"/>
      <c r="G101" s="225"/>
      <c r="H101" s="225"/>
      <c r="I101" s="223"/>
    </row>
    <row r="102" spans="1:9" ht="18.75" customHeight="1" x14ac:dyDescent="0.2">
      <c r="A102" s="1"/>
      <c r="B102" s="224"/>
      <c r="C102" s="225"/>
      <c r="D102" s="225"/>
      <c r="E102" s="225"/>
      <c r="F102" s="225"/>
      <c r="G102" s="225"/>
      <c r="H102" s="225"/>
      <c r="I102" s="223"/>
    </row>
    <row r="103" spans="1:9" ht="18.75" customHeight="1" x14ac:dyDescent="0.2">
      <c r="A103" s="1"/>
      <c r="B103" s="224"/>
      <c r="C103" s="225"/>
      <c r="D103" s="225"/>
      <c r="E103" s="225"/>
      <c r="F103" s="225"/>
      <c r="G103" s="225"/>
      <c r="H103" s="225"/>
      <c r="I103" s="223"/>
    </row>
    <row r="104" spans="1:9" ht="18.75" customHeight="1" x14ac:dyDescent="0.2">
      <c r="A104" s="1"/>
      <c r="B104" s="224"/>
      <c r="C104" s="225"/>
      <c r="D104" s="225"/>
      <c r="E104" s="225"/>
      <c r="F104" s="225"/>
      <c r="G104" s="225"/>
      <c r="H104" s="225"/>
      <c r="I104" s="223"/>
    </row>
    <row r="105" spans="1:9" ht="18.75" customHeight="1" x14ac:dyDescent="0.2">
      <c r="A105" s="4"/>
      <c r="B105" s="226"/>
      <c r="C105" s="227"/>
      <c r="D105" s="227"/>
      <c r="E105" s="227"/>
      <c r="F105" s="227"/>
      <c r="G105" s="227"/>
      <c r="H105" s="227"/>
      <c r="I105" s="228"/>
    </row>
    <row r="106" spans="1:9" ht="7.5" customHeight="1" x14ac:dyDescent="0.2">
      <c r="A106" s="4"/>
      <c r="B106" s="4"/>
      <c r="C106" s="4"/>
      <c r="D106" s="4"/>
      <c r="E106" s="4"/>
      <c r="F106" s="4"/>
      <c r="G106" s="4"/>
      <c r="H106" s="4"/>
      <c r="I106" s="4"/>
    </row>
    <row r="107" spans="1:9" ht="18.75" customHeight="1" x14ac:dyDescent="0.2">
      <c r="A107" s="1" t="s">
        <v>29</v>
      </c>
      <c r="B107" s="235" t="s">
        <v>44</v>
      </c>
      <c r="C107" s="235"/>
      <c r="D107" s="235"/>
      <c r="E107" s="235"/>
      <c r="F107" s="235"/>
      <c r="G107" s="235"/>
      <c r="H107" s="235"/>
      <c r="I107" s="235"/>
    </row>
    <row r="108" spans="1:9" ht="18.75" customHeight="1" x14ac:dyDescent="0.2">
      <c r="A108" s="4"/>
      <c r="B108" s="218" t="s">
        <v>156</v>
      </c>
      <c r="C108" s="219"/>
      <c r="D108" s="219"/>
      <c r="E108" s="219"/>
      <c r="F108" s="219"/>
      <c r="G108" s="219"/>
      <c r="H108" s="219"/>
      <c r="I108" s="220"/>
    </row>
    <row r="109" spans="1:9" ht="18.75" customHeight="1" x14ac:dyDescent="0.2">
      <c r="A109" s="4"/>
      <c r="B109" s="224"/>
      <c r="C109" s="225"/>
      <c r="D109" s="225"/>
      <c r="E109" s="225"/>
      <c r="F109" s="225"/>
      <c r="G109" s="225"/>
      <c r="H109" s="225"/>
      <c r="I109" s="223"/>
    </row>
    <row r="110" spans="1:9" ht="18.75" customHeight="1" x14ac:dyDescent="0.2">
      <c r="A110" s="4"/>
      <c r="B110" s="224"/>
      <c r="C110" s="225"/>
      <c r="D110" s="225"/>
      <c r="E110" s="225"/>
      <c r="F110" s="225"/>
      <c r="G110" s="225"/>
      <c r="H110" s="225"/>
      <c r="I110" s="223"/>
    </row>
    <row r="111" spans="1:9" ht="18.75" customHeight="1" x14ac:dyDescent="0.2">
      <c r="A111" s="4"/>
      <c r="B111" s="224"/>
      <c r="C111" s="225"/>
      <c r="D111" s="225"/>
      <c r="E111" s="225"/>
      <c r="F111" s="225"/>
      <c r="G111" s="225"/>
      <c r="H111" s="225"/>
      <c r="I111" s="223"/>
    </row>
    <row r="112" spans="1:9" ht="18.75" customHeight="1" x14ac:dyDescent="0.2">
      <c r="A112" s="4"/>
      <c r="B112" s="224"/>
      <c r="C112" s="225"/>
      <c r="D112" s="225"/>
      <c r="E112" s="225"/>
      <c r="F112" s="225"/>
      <c r="G112" s="225"/>
      <c r="H112" s="225"/>
      <c r="I112" s="223"/>
    </row>
    <row r="113" spans="1:9" ht="18.75" customHeight="1" x14ac:dyDescent="0.2">
      <c r="A113" s="4"/>
      <c r="B113" s="224"/>
      <c r="C113" s="225"/>
      <c r="D113" s="225"/>
      <c r="E113" s="225"/>
      <c r="F113" s="225"/>
      <c r="G113" s="225"/>
      <c r="H113" s="225"/>
      <c r="I113" s="223"/>
    </row>
    <row r="114" spans="1:9" ht="18.75" customHeight="1" x14ac:dyDescent="0.2">
      <c r="A114" s="4"/>
      <c r="B114" s="224"/>
      <c r="C114" s="225"/>
      <c r="D114" s="225"/>
      <c r="E114" s="225"/>
      <c r="F114" s="225"/>
      <c r="G114" s="225"/>
      <c r="H114" s="225"/>
      <c r="I114" s="223"/>
    </row>
    <row r="115" spans="1:9" ht="18.75" customHeight="1" x14ac:dyDescent="0.2">
      <c r="A115" s="4"/>
      <c r="B115" s="224"/>
      <c r="C115" s="225"/>
      <c r="D115" s="225"/>
      <c r="E115" s="225"/>
      <c r="F115" s="225"/>
      <c r="G115" s="225"/>
      <c r="H115" s="225"/>
      <c r="I115" s="223"/>
    </row>
    <row r="116" spans="1:9" ht="18.75" customHeight="1" x14ac:dyDescent="0.2">
      <c r="A116" s="4"/>
      <c r="B116" s="224"/>
      <c r="C116" s="225"/>
      <c r="D116" s="225"/>
      <c r="E116" s="225"/>
      <c r="F116" s="225"/>
      <c r="G116" s="225"/>
      <c r="H116" s="225"/>
      <c r="I116" s="223"/>
    </row>
    <row r="117" spans="1:9" ht="18.75" customHeight="1" x14ac:dyDescent="0.2">
      <c r="A117" s="4"/>
      <c r="B117" s="224"/>
      <c r="C117" s="225"/>
      <c r="D117" s="225"/>
      <c r="E117" s="225"/>
      <c r="F117" s="225"/>
      <c r="G117" s="225"/>
      <c r="H117" s="225"/>
      <c r="I117" s="223"/>
    </row>
    <row r="118" spans="1:9" ht="18.75" customHeight="1" x14ac:dyDescent="0.2">
      <c r="A118" s="4"/>
      <c r="B118" s="224"/>
      <c r="C118" s="225"/>
      <c r="D118" s="225"/>
      <c r="E118" s="225"/>
      <c r="F118" s="225"/>
      <c r="G118" s="225"/>
      <c r="H118" s="225"/>
      <c r="I118" s="223"/>
    </row>
    <row r="119" spans="1:9" ht="18.75" customHeight="1" x14ac:dyDescent="0.2">
      <c r="A119" s="4"/>
      <c r="B119" s="226"/>
      <c r="C119" s="227"/>
      <c r="D119" s="227"/>
      <c r="E119" s="227"/>
      <c r="F119" s="227"/>
      <c r="G119" s="227"/>
      <c r="H119" s="227"/>
      <c r="I119" s="228"/>
    </row>
    <row r="120" spans="1:9" ht="7.5" customHeight="1" x14ac:dyDescent="0.2">
      <c r="A120" s="4"/>
      <c r="B120" s="36"/>
      <c r="C120" s="36"/>
      <c r="D120" s="36"/>
      <c r="E120" s="36"/>
      <c r="F120" s="36"/>
      <c r="G120" s="36"/>
      <c r="H120" s="36"/>
      <c r="I120" s="36"/>
    </row>
    <row r="121" spans="1:9" ht="18.75" customHeight="1" x14ac:dyDescent="0.2">
      <c r="A121" s="65"/>
      <c r="B121" s="213"/>
      <c r="C121" s="213"/>
      <c r="D121" s="213"/>
      <c r="E121" s="213"/>
      <c r="F121" s="213"/>
      <c r="G121" s="213"/>
      <c r="H121" s="213"/>
      <c r="I121" s="213"/>
    </row>
    <row r="122" spans="1:9" ht="18.75" customHeight="1" x14ac:dyDescent="0.2">
      <c r="A122" s="65"/>
      <c r="B122" s="213"/>
      <c r="C122" s="213"/>
      <c r="D122" s="213"/>
      <c r="E122" s="213"/>
      <c r="F122" s="213"/>
      <c r="G122" s="213"/>
      <c r="H122" s="213"/>
      <c r="I122" s="213"/>
    </row>
    <row r="123" spans="1:9" ht="18.75" customHeight="1" x14ac:dyDescent="0.2">
      <c r="A123" s="4"/>
      <c r="B123" s="69"/>
      <c r="C123" s="69"/>
      <c r="D123" s="69"/>
      <c r="E123" s="69"/>
      <c r="F123" s="69"/>
      <c r="G123" s="69"/>
      <c r="H123" s="69"/>
      <c r="I123" s="70"/>
    </row>
    <row r="124" spans="1:9" ht="18.75" customHeight="1" x14ac:dyDescent="0.2">
      <c r="A124" s="4"/>
      <c r="B124" s="70"/>
      <c r="C124" s="70"/>
      <c r="D124" s="70"/>
      <c r="E124" s="70"/>
      <c r="F124" s="70"/>
      <c r="G124" s="70"/>
      <c r="H124" s="70"/>
      <c r="I124" s="70"/>
    </row>
    <row r="125" spans="1:9" ht="18.75" customHeight="1" x14ac:dyDescent="0.2">
      <c r="A125" s="4"/>
      <c r="B125" s="70"/>
      <c r="C125" s="70"/>
      <c r="D125" s="70"/>
      <c r="E125" s="70"/>
      <c r="F125" s="70"/>
      <c r="G125" s="70"/>
      <c r="H125" s="70"/>
      <c r="I125" s="70"/>
    </row>
    <row r="126" spans="1:9" ht="18.75" customHeight="1" x14ac:dyDescent="0.2">
      <c r="A126" s="4"/>
      <c r="B126" s="70"/>
      <c r="C126" s="70"/>
      <c r="D126" s="70"/>
      <c r="E126" s="70"/>
      <c r="F126" s="70"/>
      <c r="G126" s="70"/>
      <c r="H126" s="70"/>
      <c r="I126" s="70"/>
    </row>
    <row r="127" spans="1:9" ht="18.75" customHeight="1" x14ac:dyDescent="0.2">
      <c r="A127" s="4"/>
      <c r="B127" s="70"/>
      <c r="C127" s="70"/>
      <c r="D127" s="70"/>
      <c r="E127" s="70"/>
      <c r="F127" s="70"/>
      <c r="G127" s="70"/>
      <c r="H127" s="70"/>
      <c r="I127" s="70"/>
    </row>
    <row r="128" spans="1:9" ht="18.75" customHeight="1" x14ac:dyDescent="0.2">
      <c r="A128" s="4"/>
      <c r="B128" s="70"/>
      <c r="C128" s="70"/>
      <c r="D128" s="70"/>
      <c r="E128" s="70"/>
      <c r="F128" s="70"/>
      <c r="G128" s="70"/>
      <c r="H128" s="70"/>
      <c r="I128" s="70"/>
    </row>
    <row r="129" spans="1:9" ht="18.75" customHeight="1" x14ac:dyDescent="0.2">
      <c r="A129" s="4"/>
      <c r="B129" s="70"/>
      <c r="C129" s="70"/>
      <c r="D129" s="70"/>
      <c r="E129" s="70"/>
      <c r="F129" s="70"/>
      <c r="G129" s="70"/>
      <c r="H129" s="70"/>
      <c r="I129" s="70"/>
    </row>
    <row r="130" spans="1:9" ht="18.75" customHeight="1" x14ac:dyDescent="0.2">
      <c r="A130" s="4"/>
      <c r="B130" s="70"/>
      <c r="C130" s="70"/>
      <c r="D130" s="70"/>
      <c r="E130" s="70"/>
      <c r="F130" s="70"/>
      <c r="G130" s="70"/>
      <c r="H130" s="70"/>
      <c r="I130" s="70"/>
    </row>
    <row r="131" spans="1:9" ht="18.75" customHeight="1" x14ac:dyDescent="0.2">
      <c r="A131" s="4"/>
      <c r="B131" s="70"/>
      <c r="C131" s="70"/>
      <c r="D131" s="70"/>
      <c r="E131" s="70"/>
      <c r="F131" s="70"/>
      <c r="G131" s="70"/>
      <c r="H131" s="70"/>
      <c r="I131" s="70"/>
    </row>
    <row r="132" spans="1:9" ht="18.75" customHeight="1" x14ac:dyDescent="0.2">
      <c r="A132" s="4"/>
      <c r="B132" s="70"/>
      <c r="C132" s="70"/>
      <c r="D132" s="70"/>
      <c r="E132" s="70"/>
      <c r="F132" s="70"/>
      <c r="G132" s="70"/>
      <c r="H132" s="70"/>
      <c r="I132" s="70"/>
    </row>
    <row r="133" spans="1:9" ht="14.4" x14ac:dyDescent="0.2">
      <c r="A133" s="4"/>
      <c r="B133" s="70"/>
      <c r="C133" s="70"/>
      <c r="D133" s="70"/>
      <c r="E133" s="70"/>
      <c r="F133" s="70"/>
      <c r="G133" s="70"/>
      <c r="H133" s="70"/>
      <c r="I133" s="70"/>
    </row>
    <row r="134" spans="1:9" ht="7.5" customHeight="1" x14ac:dyDescent="0.2">
      <c r="A134" s="4"/>
      <c r="B134" s="70"/>
      <c r="C134" s="70"/>
      <c r="D134" s="70"/>
      <c r="E134" s="70"/>
      <c r="F134" s="70"/>
      <c r="G134" s="70"/>
      <c r="H134" s="70"/>
      <c r="I134" s="70"/>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4" zoomScaleNormal="100" zoomScaleSheetLayoutView="100" workbookViewId="0">
      <selection activeCell="E13" sqref="E13:I13"/>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67</v>
      </c>
      <c r="I1" s="29" t="s">
        <v>95</v>
      </c>
    </row>
    <row r="2" spans="1:9" ht="18.75" customHeight="1" x14ac:dyDescent="0.2">
      <c r="H2" s="29" t="s">
        <v>98</v>
      </c>
      <c r="I2" s="28" t="str">
        <f>'様式１-１　プログラムを構成する授業科目'!C2</f>
        <v>名古屋国際工科専門職大学</v>
      </c>
    </row>
    <row r="3" spans="1:9" ht="18.75" customHeight="1" x14ac:dyDescent="0.2">
      <c r="A3" s="214" t="s">
        <v>27</v>
      </c>
      <c r="B3" s="214"/>
      <c r="C3" s="214"/>
      <c r="D3" s="214"/>
      <c r="E3" s="214"/>
      <c r="F3" s="214"/>
      <c r="G3" s="214"/>
      <c r="H3" s="214"/>
      <c r="I3" s="214"/>
    </row>
    <row r="4" spans="1:9" ht="18.75" customHeight="1" x14ac:dyDescent="0.2">
      <c r="A4" s="5"/>
      <c r="B4" s="5"/>
      <c r="C4" s="5"/>
      <c r="D4" s="5"/>
      <c r="E4" s="5"/>
      <c r="F4" s="5"/>
      <c r="G4" s="5"/>
      <c r="H4" s="5"/>
      <c r="I4" s="5"/>
    </row>
    <row r="5" spans="1:9" ht="18.75" customHeight="1" x14ac:dyDescent="0.2">
      <c r="A5" s="1" t="s">
        <v>0</v>
      </c>
      <c r="B5" s="10" t="s">
        <v>89</v>
      </c>
      <c r="C5" s="5"/>
      <c r="D5" s="5"/>
      <c r="E5" s="5"/>
      <c r="F5" s="5"/>
      <c r="G5" s="5"/>
      <c r="H5" s="5"/>
      <c r="I5" s="5"/>
    </row>
    <row r="6" spans="1:9" ht="26.25" customHeight="1" x14ac:dyDescent="0.2">
      <c r="A6" s="5"/>
      <c r="B6" s="229" t="s">
        <v>138</v>
      </c>
      <c r="C6" s="264"/>
      <c r="D6" s="264"/>
      <c r="E6" s="264"/>
      <c r="F6" s="264"/>
      <c r="G6" s="264"/>
      <c r="H6" s="265"/>
      <c r="I6" s="3"/>
    </row>
    <row r="7" spans="1:9" ht="9" customHeight="1" x14ac:dyDescent="0.2">
      <c r="A7" s="5"/>
      <c r="B7" s="10"/>
      <c r="C7" s="10"/>
      <c r="D7" s="10"/>
      <c r="E7" s="10"/>
      <c r="F7" s="10"/>
      <c r="G7" s="10"/>
      <c r="H7" s="10"/>
      <c r="I7" s="3"/>
    </row>
    <row r="8" spans="1:9" ht="18.75" customHeight="1" x14ac:dyDescent="0.2">
      <c r="A8" s="5"/>
      <c r="B8" s="3"/>
      <c r="C8" s="3"/>
      <c r="D8" s="29" t="s">
        <v>41</v>
      </c>
      <c r="E8" s="83" t="s">
        <v>139</v>
      </c>
      <c r="F8" s="3"/>
      <c r="G8" s="29" t="s">
        <v>10</v>
      </c>
      <c r="H8" s="83" t="s">
        <v>140</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92" t="s">
        <v>23</v>
      </c>
      <c r="C11" s="93"/>
      <c r="D11" s="94"/>
      <c r="E11" s="93" t="s">
        <v>25</v>
      </c>
      <c r="F11" s="93"/>
      <c r="G11" s="93"/>
      <c r="H11" s="93"/>
      <c r="I11" s="94"/>
    </row>
    <row r="12" spans="1:9" ht="26.25" customHeight="1" x14ac:dyDescent="0.2">
      <c r="B12" s="37" t="s">
        <v>13</v>
      </c>
      <c r="C12" s="44"/>
      <c r="D12" s="38"/>
      <c r="E12" s="45"/>
      <c r="F12" s="45"/>
      <c r="G12" s="45"/>
      <c r="H12" s="45"/>
      <c r="I12" s="38"/>
    </row>
    <row r="13" spans="1:9" ht="210.75" customHeight="1" x14ac:dyDescent="0.2">
      <c r="B13" s="39"/>
      <c r="C13" s="244" t="s">
        <v>14</v>
      </c>
      <c r="D13" s="245"/>
      <c r="E13" s="261" t="s">
        <v>141</v>
      </c>
      <c r="F13" s="262"/>
      <c r="G13" s="262"/>
      <c r="H13" s="262"/>
      <c r="I13" s="263"/>
    </row>
    <row r="14" spans="1:9" ht="210.75" customHeight="1" x14ac:dyDescent="0.2">
      <c r="B14" s="39"/>
      <c r="C14" s="259" t="s">
        <v>15</v>
      </c>
      <c r="D14" s="260"/>
      <c r="E14" s="257" t="s">
        <v>142</v>
      </c>
      <c r="F14" s="246"/>
      <c r="G14" s="246"/>
      <c r="H14" s="246"/>
      <c r="I14" s="247"/>
    </row>
    <row r="15" spans="1:9" ht="210.75" customHeight="1" x14ac:dyDescent="0.2">
      <c r="B15" s="39"/>
      <c r="C15" s="244" t="s">
        <v>16</v>
      </c>
      <c r="D15" s="245"/>
      <c r="E15" s="257" t="s">
        <v>143</v>
      </c>
      <c r="F15" s="246"/>
      <c r="G15" s="246"/>
      <c r="H15" s="246"/>
      <c r="I15" s="247"/>
    </row>
    <row r="16" spans="1:9" ht="210.75" customHeight="1" x14ac:dyDescent="0.2">
      <c r="B16" s="39"/>
      <c r="C16" s="244" t="s">
        <v>17</v>
      </c>
      <c r="D16" s="245"/>
      <c r="E16" s="257" t="s">
        <v>158</v>
      </c>
      <c r="F16" s="246"/>
      <c r="G16" s="246"/>
      <c r="H16" s="246"/>
      <c r="I16" s="247"/>
    </row>
    <row r="17" spans="2:9" ht="210.75" customHeight="1" x14ac:dyDescent="0.2">
      <c r="B17" s="40"/>
      <c r="C17" s="248" t="s">
        <v>18</v>
      </c>
      <c r="D17" s="249"/>
      <c r="E17" s="258" t="s">
        <v>144</v>
      </c>
      <c r="F17" s="250"/>
      <c r="G17" s="250"/>
      <c r="H17" s="250"/>
      <c r="I17" s="251"/>
    </row>
    <row r="18" spans="2:9" ht="24" customHeight="1" x14ac:dyDescent="0.2">
      <c r="B18" s="37" t="s">
        <v>19</v>
      </c>
      <c r="C18" s="41"/>
      <c r="D18" s="42"/>
      <c r="E18" s="43"/>
      <c r="F18" s="43"/>
      <c r="G18" s="43"/>
      <c r="H18" s="43"/>
      <c r="I18" s="46"/>
    </row>
    <row r="19" spans="2:9" ht="218.25" customHeight="1" x14ac:dyDescent="0.2">
      <c r="B19" s="39"/>
      <c r="C19" s="244" t="s">
        <v>20</v>
      </c>
      <c r="D19" s="245"/>
      <c r="E19" s="246" t="s">
        <v>159</v>
      </c>
      <c r="F19" s="246"/>
      <c r="G19" s="246"/>
      <c r="H19" s="246"/>
      <c r="I19" s="247"/>
    </row>
    <row r="20" spans="2:9" ht="218.25" customHeight="1" x14ac:dyDescent="0.2">
      <c r="B20" s="40"/>
      <c r="C20" s="248" t="s">
        <v>21</v>
      </c>
      <c r="D20" s="249"/>
      <c r="E20" s="250" t="s">
        <v>160</v>
      </c>
      <c r="F20" s="250"/>
      <c r="G20" s="250"/>
      <c r="H20" s="250"/>
      <c r="I20" s="251"/>
    </row>
    <row r="21" spans="2:9" ht="218.25" customHeight="1" x14ac:dyDescent="0.2">
      <c r="B21" s="252" t="s">
        <v>22</v>
      </c>
      <c r="C21" s="253"/>
      <c r="D21" s="254"/>
      <c r="E21" s="255" t="s">
        <v>161</v>
      </c>
      <c r="F21" s="255"/>
      <c r="G21" s="255"/>
      <c r="H21" s="255"/>
      <c r="I21" s="256"/>
    </row>
    <row r="22" spans="2:9" ht="218.25" customHeight="1" x14ac:dyDescent="0.2">
      <c r="B22" s="239" t="s">
        <v>135</v>
      </c>
      <c r="C22" s="240"/>
      <c r="D22" s="241"/>
      <c r="E22" s="242" t="s">
        <v>145</v>
      </c>
      <c r="F22" s="242"/>
      <c r="G22" s="242"/>
      <c r="H22" s="242"/>
      <c r="I22" s="243"/>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NH/NK-STAFF 髙倉瑶</cp:lastModifiedBy>
  <cp:lastPrinted>2024-02-19T08:20:00Z</cp:lastPrinted>
  <dcterms:created xsi:type="dcterms:W3CDTF">2011-06-14T05:32:50Z</dcterms:created>
  <dcterms:modified xsi:type="dcterms:W3CDTF">2024-06-13T04:25:56Z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