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G:\札幌国際大学\"/>
    </mc:Choice>
  </mc:AlternateContent>
  <xr:revisionPtr revIDLastSave="0" documentId="13_ncr:1_{A11B0A2E-6C3D-4BE6-86E3-4DF1B18B989C}" xr6:coauthVersionLast="47" xr6:coauthVersionMax="47" xr10:uidLastSave="{00000000-0000-0000-0000-000000000000}"/>
  <bookViews>
    <workbookView xWindow="877" yWindow="138" windowWidth="15840" windowHeight="12346" tabRatio="885" activeTab="1" xr2:uid="{00000000-000D-0000-FFFF-FFFF00000000}"/>
  </bookViews>
  <sheets>
    <sheet name="様式１　プログラムを構成する授業科目" sheetId="44" r:id="rId1"/>
    <sheet name="様式２ 履修者等数の実績" sheetId="40" r:id="rId2"/>
    <sheet name="様式３ 教育の質・履修者数を向上させるための体制・計画" sheetId="41" r:id="rId3"/>
    <sheet name="様式４　自己点検・評価" sheetId="43"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40" l="1"/>
  <c r="D15" i="40"/>
  <c r="E13" i="40"/>
  <c r="D13" i="40"/>
  <c r="M7" i="40" l="1"/>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<sst xmlns="http://schemas.openxmlformats.org/spreadsheetml/2006/main" count="313" uniqueCount="187">
  <si>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</si>
  <si>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</si>
  <si>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</si>
  <si>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</si>
  <si>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</si>
  <si>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</si>
  <si>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</si>
  <si>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</si>
  <si>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</si>
  <si>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</si>
  <si>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</si>
  <si>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</si>
  <si>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</si>
  <si>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</si>
  <si>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</si>
  <si>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</si>
  <si>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</si>
  <si>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</si>
  <si>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</si>
  <si>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</si>
  <si>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</si>
  <si>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</si>
  <si>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</si>
  <si>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</si>
  <si>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</si>
  <si>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</si>
  <si>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</si>
  <si>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</si>
  <si>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</si>
  <si>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</si>
  <si>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</si>
  <si>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</si>
  <si>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</si>
  <si>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</si>
  <si>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</si>
  <si>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</si>
  <si>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</si>
  <si>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</si>
  <si>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</si>
  <si>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</si>
  <si>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</si>
  <si>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</si>
  <si>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</si>
  <si>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</si>
  <si>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</si>
  <si>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</si>
  <si>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</si>
  <si>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</si>
  <si>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</si>
  <si>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</si>
  <si>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</si>
  <si>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</si>
  <si>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</si>
  <si>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</si>
  <si>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</si>
  <si>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</si>
  <si>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</si>
  <si>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</si>
  <si>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</si>
  <si>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</si>
  <si>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</si>
  <si>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</si>
  <si>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</si>
  <si>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</si>
  <si>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</si>
  <si>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</si>
  <si>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</si>
  <si>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</si>
  <si>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</si>
  <si>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</si>
  <si>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</si>
  <si>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</si>
  <si>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</si>
  <si>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</si>
  <si>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</si>
  <si>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</si>
  <si>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</si>
  <si>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</si>
  <si>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</si>
  <si>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</si>
  <si>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</si>
  <si>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</si>
  <si>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</si>
  <si>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</si>
  <si>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</si>
  <si>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</si>
  <si>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</si>
  <si>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</si>
  <si>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</si>
  <si>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</si>
  <si>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</si>
  <si>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</si>
  <si>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</si>
  <si>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</si>
  <si>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</si>
  <si>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</si>
  <si>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</si>
  <si>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</si>
  <si>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</si>
  <si>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</si>
  <si>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</si>
  <si>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</si>
  <si>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</si>
  <si>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</si>
  <si>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</si>
  <si>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</si>
  <si>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</si>
  <si>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</si>
  <si>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</si>
  <si>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</si>
  <si>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</si>
  <si>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</si>
  <si>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</si>
  <si>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</si>
  <si>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</si>
  <si>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</si>
  <si>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</si>
  <si>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</si>
  <si>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</si>
  <si>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</si>
  <si>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</si>
  <si>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</si>
  <si>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</si>
  <si>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</si>
  <si>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</si>
  <si>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</si>
  <si>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</si>
  <si>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</si>
  <si>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</si>
  <si>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</si>
  <si>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</si>
  <si>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</si>
  <si>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</si>
  <si>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</si>
  <si>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</si>
  <si>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</si>
  <si>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札幌国際大学</t>
    <rPh sb="0" eb="4">
      <t xml:space="preserve">サッポロコクサイダイガイク </t>
    </rPh>
    <rPh sb="4" eb="6">
      <t xml:space="preserve">ダイガク </t>
    </rPh>
    <phoneticPr fontId="1"/>
  </si>
  <si>
    <t>AI・データサイエンス</t>
    <phoneticPr fontId="1"/>
  </si>
  <si>
    <t>情報機器操作</t>
    <rPh sb="0" eb="6">
      <t xml:space="preserve">ジョウホウキキソウサ </t>
    </rPh>
    <phoneticPr fontId="1"/>
  </si>
  <si>
    <t>○</t>
  </si>
  <si>
    <t>表計算</t>
    <rPh sb="0" eb="3">
      <t xml:space="preserve">ヒョウケイサン </t>
    </rPh>
    <phoneticPr fontId="1"/>
  </si>
  <si>
    <t>文理を問わず、デジタル社会の基礎的なリテラシーについての理解を深めることができる。また、AIを活用したり、身近なデータを活用しながら自分で見出した課題について根拠のある説明をつくる学習を通して、課題解決能力を身につけることができる。合わせて、それらの能力に関連するテクノロジースキルを習得する。</t>
    <rPh sb="0" eb="2">
      <t xml:space="preserve">ブンリ </t>
    </rPh>
    <rPh sb="14" eb="17">
      <t xml:space="preserve">キソテキナリテラシーヲ </t>
    </rPh>
    <rPh sb="31" eb="32">
      <t xml:space="preserve">フカメルコトガデキル。 </t>
    </rPh>
    <rPh sb="53" eb="55">
      <t xml:space="preserve">ミヂカナ </t>
    </rPh>
    <rPh sb="60" eb="62">
      <t xml:space="preserve">カツヨウシナガラ </t>
    </rPh>
    <rPh sb="66" eb="68">
      <t xml:space="preserve">ジブンノ </t>
    </rPh>
    <rPh sb="69" eb="71">
      <t xml:space="preserve">ミイダシタカダイニツイテ </t>
    </rPh>
    <rPh sb="79" eb="81">
      <t xml:space="preserve">コンキョヲソエテ </t>
    </rPh>
    <rPh sb="84" eb="86">
      <t xml:space="preserve">セツメイヲ </t>
    </rPh>
    <rPh sb="97" eb="103">
      <t xml:space="preserve">カダイカイケツノウリョク </t>
    </rPh>
    <rPh sb="116" eb="117">
      <t xml:space="preserve">アワセテ、 </t>
    </rPh>
    <rPh sb="128" eb="130">
      <t xml:space="preserve">カンレンスル </t>
    </rPh>
    <phoneticPr fontId="1"/>
  </si>
  <si>
    <t>人文学部</t>
    <rPh sb="0" eb="4">
      <t>ジン</t>
    </rPh>
    <phoneticPr fontId="1"/>
  </si>
  <si>
    <t>観光学部</t>
    <rPh sb="0" eb="4">
      <t>カン</t>
    </rPh>
    <phoneticPr fontId="1"/>
  </si>
  <si>
    <t>スポーツ人間学部</t>
    <phoneticPr fontId="1"/>
  </si>
  <si>
    <t>令和4</t>
    <phoneticPr fontId="1"/>
  </si>
  <si>
    <t>品川　ひろみ</t>
    <rPh sb="0" eb="2">
      <t>シナガワ</t>
    </rPh>
    <phoneticPr fontId="1"/>
  </si>
  <si>
    <t>蔵満　保幸</t>
    <rPh sb="0" eb="2">
      <t>クラマン</t>
    </rPh>
    <rPh sb="3" eb="5">
      <t>ヤスユキ</t>
    </rPh>
    <phoneticPr fontId="1"/>
  </si>
  <si>
    <t>学長</t>
    <rPh sb="0" eb="2">
      <t>ガクチョウ</t>
    </rPh>
    <phoneticPr fontId="1"/>
  </si>
  <si>
    <t>教務部</t>
    <rPh sb="0" eb="3">
      <t>キョウムブ</t>
    </rPh>
    <phoneticPr fontId="1"/>
  </si>
  <si>
    <t>教務部長</t>
    <rPh sb="0" eb="4">
      <t>キョウムブチョウ</t>
    </rPh>
    <phoneticPr fontId="1"/>
  </si>
  <si>
    <t>教学マネジメント推進委員会規程</t>
    <rPh sb="0" eb="2">
      <t>キョウガク</t>
    </rPh>
    <rPh sb="8" eb="13">
      <t>スイシンイインカイ</t>
    </rPh>
    <rPh sb="13" eb="15">
      <t>キテイ</t>
    </rPh>
    <phoneticPr fontId="1"/>
  </si>
  <si>
    <t>　教務部は教育課程の編成等、教務に関することを全般を所管している。教務部の中には初年次教育及び情報教育等を担当する基盤教育部門を置き、この部門を中心に社会人の基礎能力として必須である数理・データサイエンス・AI教育を推進している。
　教学マネジメント推進委員会は、本学の教育研究水準を向上させるため、本学のディプロマ・ポリシー、カリキュラム・ポリシー及びアドミッション・ポリシーを踏まえて、教育課程の編成に係る全学的な方針の策定、検証、評価等を行っている。数理・データサイエンス・AI教育は全学部対象の教育プログラムとして開講されていることから、本プログラムに関連する事項についても教学マネジメント推進委員会が定期的に点検：評価を行い、改善・進化を図る。</t>
    <rPh sb="23" eb="25">
      <t>ゼンパン</t>
    </rPh>
    <rPh sb="26" eb="28">
      <t>ショカン</t>
    </rPh>
    <rPh sb="33" eb="36">
      <t>キョウムブ</t>
    </rPh>
    <rPh sb="37" eb="38">
      <t>ナカ</t>
    </rPh>
    <rPh sb="40" eb="45">
      <t>ショネンジキョウイク</t>
    </rPh>
    <rPh sb="45" eb="46">
      <t>オヨ</t>
    </rPh>
    <rPh sb="47" eb="51">
      <t>ジョウホウキョウイク</t>
    </rPh>
    <rPh sb="51" eb="52">
      <t>ナド</t>
    </rPh>
    <rPh sb="53" eb="55">
      <t>タントウ</t>
    </rPh>
    <rPh sb="57" eb="63">
      <t>キバンキョウイクブモン</t>
    </rPh>
    <rPh sb="64" eb="65">
      <t>オ</t>
    </rPh>
    <rPh sb="69" eb="71">
      <t>ブモン</t>
    </rPh>
    <rPh sb="72" eb="74">
      <t>チュウシン</t>
    </rPh>
    <rPh sb="75" eb="78">
      <t>シャカイジン</t>
    </rPh>
    <rPh sb="117" eb="119">
      <t>キョウガク</t>
    </rPh>
    <rPh sb="125" eb="130">
      <t>スイシンイインカイ</t>
    </rPh>
    <rPh sb="132" eb="134">
      <t>ホンガク</t>
    </rPh>
    <rPh sb="150" eb="152">
      <t>ホンガク</t>
    </rPh>
    <rPh sb="215" eb="217">
      <t>ケンショウ</t>
    </rPh>
    <rPh sb="218" eb="220">
      <t>ヒョウカ</t>
    </rPh>
    <rPh sb="220" eb="221">
      <t>ナド</t>
    </rPh>
    <rPh sb="222" eb="223">
      <t>オコナ</t>
    </rPh>
    <rPh sb="228" eb="230">
      <t>スウリ</t>
    </rPh>
    <rPh sb="242" eb="244">
      <t>キョウイク</t>
    </rPh>
    <rPh sb="245" eb="248">
      <t>ゼンガクブ</t>
    </rPh>
    <rPh sb="248" eb="250">
      <t>タイショウ</t>
    </rPh>
    <rPh sb="251" eb="253">
      <t>キョウイク</t>
    </rPh>
    <rPh sb="261" eb="263">
      <t>カイコウ</t>
    </rPh>
    <rPh sb="273" eb="274">
      <t>ホン</t>
    </rPh>
    <rPh sb="280" eb="282">
      <t>カンレン</t>
    </rPh>
    <rPh sb="284" eb="286">
      <t>ジコウ</t>
    </rPh>
    <rPh sb="291" eb="293">
      <t>キョウガク</t>
    </rPh>
    <rPh sb="299" eb="304">
      <t>スイシンイインカイ</t>
    </rPh>
    <rPh sb="305" eb="308">
      <t>テイキテキ</t>
    </rPh>
    <rPh sb="309" eb="311">
      <t>テンケン</t>
    </rPh>
    <rPh sb="312" eb="314">
      <t>ヒョウカ</t>
    </rPh>
    <rPh sb="315" eb="316">
      <t>オコナ</t>
    </rPh>
    <rPh sb="318" eb="320">
      <t>カイゼン</t>
    </rPh>
    <rPh sb="321" eb="323">
      <t>シンカ</t>
    </rPh>
    <rPh sb="324" eb="325">
      <t>ハカ</t>
    </rPh>
    <phoneticPr fontId="1"/>
  </si>
  <si>
    <t>　委員長　　蔵満　保幸　（学長）
　委 　員　　椿　明美　（人文学部長　教授）
　委 　員　　齋藤　修　（観光学部長　准教授）
　委 　員　　阿井　英二郎　（スポーツ人間学部長　教授）
　委 　員　　品川　ひろみ　（教務部長　教授）
　委　 員　　岩﨑　有朋　（教務部　基盤教育部門長　教授）</t>
    <rPh sb="1" eb="4">
      <t>イインチョウ</t>
    </rPh>
    <rPh sb="6" eb="8">
      <t>クラマン</t>
    </rPh>
    <rPh sb="9" eb="11">
      <t>ヤスユキ</t>
    </rPh>
    <rPh sb="13" eb="15">
      <t>ガクチョウ</t>
    </rPh>
    <rPh sb="18" eb="19">
      <t>イ</t>
    </rPh>
    <rPh sb="21" eb="22">
      <t>イン</t>
    </rPh>
    <rPh sb="24" eb="25">
      <t>ツバキ</t>
    </rPh>
    <rPh sb="26" eb="28">
      <t>アケミ</t>
    </rPh>
    <rPh sb="30" eb="32">
      <t>ジンブン</t>
    </rPh>
    <rPh sb="32" eb="35">
      <t>ガクブチョウ</t>
    </rPh>
    <rPh sb="36" eb="38">
      <t>キョウジュ</t>
    </rPh>
    <rPh sb="47" eb="49">
      <t>サイトウ</t>
    </rPh>
    <rPh sb="50" eb="51">
      <t>オサム</t>
    </rPh>
    <rPh sb="53" eb="55">
      <t>カンコウ</t>
    </rPh>
    <rPh sb="55" eb="58">
      <t>ガクブチョウ</t>
    </rPh>
    <rPh sb="59" eb="62">
      <t>ジュンキョウジュ</t>
    </rPh>
    <rPh sb="71" eb="73">
      <t>アイ</t>
    </rPh>
    <rPh sb="74" eb="77">
      <t>エイジロウ</t>
    </rPh>
    <rPh sb="83" eb="85">
      <t>ニンゲン</t>
    </rPh>
    <rPh sb="85" eb="88">
      <t>ガクブチョウ</t>
    </rPh>
    <rPh sb="89" eb="91">
      <t>キョウジュ</t>
    </rPh>
    <rPh sb="100" eb="102">
      <t>シナガワ</t>
    </rPh>
    <rPh sb="108" eb="112">
      <t>キョウムブチョウ</t>
    </rPh>
    <rPh sb="113" eb="115">
      <t>キョウジュ</t>
    </rPh>
    <rPh sb="143" eb="145">
      <t>キョウジュ</t>
    </rPh>
    <phoneticPr fontId="1"/>
  </si>
  <si>
    <t>教学マネジメント推進委員会</t>
    <rPh sb="0" eb="2">
      <t>キョウガク</t>
    </rPh>
    <rPh sb="8" eb="10">
      <t>スイシン</t>
    </rPh>
    <rPh sb="10" eb="13">
      <t>イインカイ</t>
    </rPh>
    <phoneticPr fontId="1"/>
  </si>
  <si>
    <t>蔵満　保幸</t>
    <rPh sb="0" eb="1">
      <t>クラ</t>
    </rPh>
    <rPh sb="1" eb="2">
      <t>マン</t>
    </rPh>
    <rPh sb="3" eb="5">
      <t>ヤスユキ</t>
    </rPh>
    <phoneticPr fontId="1"/>
  </si>
  <si>
    <t>　本プログラムは全学共通教育科目の3科目（「情報機器操作（1年・必修）」「表計算（1年・選択）」「AI・データサイエンス（2年・選択）」で構成されている。「AI・データサイエンス」は「表計算」を受講した学生が選択できることとし、初年次から1年半で積み上げて学ぶプログラムとなっている。
　また、本学では令和6年度入学生からは全員に対してBYODを推進しており、様々な科目の中で自分の端末を使って学ぶ環境が整備されたため、授業で必要となる情報スキルとしてニーズは高まると考える。
　さらに、令和8年度からは本プログラムを構成する科目を全学共通科目の必修化を検討しており、さらに多くの学生が学べるように教育課程の再編を計画している。</t>
    <rPh sb="92" eb="95">
      <t>ヒョウケイサン</t>
    </rPh>
    <rPh sb="97" eb="99">
      <t>ジュコウ</t>
    </rPh>
    <rPh sb="101" eb="103">
      <t>ガクセイ</t>
    </rPh>
    <rPh sb="104" eb="106">
      <t>センタク</t>
    </rPh>
    <rPh sb="114" eb="117">
      <t>ショネンジ</t>
    </rPh>
    <rPh sb="120" eb="122">
      <t>ネンハン</t>
    </rPh>
    <rPh sb="123" eb="124">
      <t>ツ</t>
    </rPh>
    <rPh sb="125" eb="126">
      <t>ア</t>
    </rPh>
    <rPh sb="128" eb="129">
      <t>マナ</t>
    </rPh>
    <rPh sb="147" eb="149">
      <t>ホンガク</t>
    </rPh>
    <rPh sb="199" eb="201">
      <t>カンキョウ</t>
    </rPh>
    <rPh sb="202" eb="204">
      <t>セイビ</t>
    </rPh>
    <rPh sb="210" eb="212">
      <t>ジュギョウ</t>
    </rPh>
    <rPh sb="213" eb="215">
      <t>ヒツヨウ</t>
    </rPh>
    <rPh sb="218" eb="220">
      <t>ジョウホウ</t>
    </rPh>
    <rPh sb="230" eb="231">
      <t>タカ</t>
    </rPh>
    <rPh sb="234" eb="235">
      <t>カンガ</t>
    </rPh>
    <rPh sb="252" eb="253">
      <t>ホン</t>
    </rPh>
    <rPh sb="259" eb="261">
      <t>コウセイ</t>
    </rPh>
    <rPh sb="263" eb="265">
      <t>カモク</t>
    </rPh>
    <rPh sb="266" eb="268">
      <t>ゼンガク</t>
    </rPh>
    <rPh sb="268" eb="270">
      <t>キョウツウ</t>
    </rPh>
    <rPh sb="270" eb="272">
      <t>カモク</t>
    </rPh>
    <rPh sb="273" eb="275">
      <t>ヒッシュウ</t>
    </rPh>
    <rPh sb="275" eb="276">
      <t>カ</t>
    </rPh>
    <rPh sb="277" eb="279">
      <t>ケントウ</t>
    </rPh>
    <rPh sb="293" eb="294">
      <t>マナ</t>
    </rPh>
    <phoneticPr fontId="1"/>
  </si>
  <si>
    <t>　LMSの授業コース内に授業担当教員への連絡方法を開示しており、履修学生はいつでも質問や問い合わせが可能になっている。
　このプログラムを構成する科目では、大学の授業で必須となるスキルを身に着けることを目標としているため、授業時間外であっても基盤教育部門の担当教員が教務課と連携して学生に連絡をするなど、可能な限りフォローする体制を整備している。</t>
    <rPh sb="5" eb="7">
      <t>ジュギョウ</t>
    </rPh>
    <rPh sb="10" eb="11">
      <t>ナイ</t>
    </rPh>
    <rPh sb="12" eb="14">
      <t>ジュギョウ</t>
    </rPh>
    <rPh sb="14" eb="18">
      <t>タントウキョウイン</t>
    </rPh>
    <rPh sb="20" eb="24">
      <t>レンラクホウホウ</t>
    </rPh>
    <rPh sb="25" eb="27">
      <t>カイジ</t>
    </rPh>
    <rPh sb="32" eb="34">
      <t>リシュウ</t>
    </rPh>
    <rPh sb="34" eb="36">
      <t>ガクセイ</t>
    </rPh>
    <rPh sb="41" eb="43">
      <t>シツモン</t>
    </rPh>
    <rPh sb="44" eb="45">
      <t>ト</t>
    </rPh>
    <rPh sb="46" eb="47">
      <t>ア</t>
    </rPh>
    <rPh sb="50" eb="52">
      <t>カノウ</t>
    </rPh>
    <rPh sb="69" eb="71">
      <t>コウセイ</t>
    </rPh>
    <rPh sb="73" eb="75">
      <t>カモク</t>
    </rPh>
    <rPh sb="78" eb="80">
      <t>ダイガク</t>
    </rPh>
    <rPh sb="81" eb="83">
      <t>ジュギョウ</t>
    </rPh>
    <rPh sb="84" eb="86">
      <t>ヒッス</t>
    </rPh>
    <rPh sb="93" eb="94">
      <t>ミ</t>
    </rPh>
    <rPh sb="95" eb="96">
      <t>ツ</t>
    </rPh>
    <rPh sb="101" eb="103">
      <t>モクヒョウ</t>
    </rPh>
    <rPh sb="111" eb="113">
      <t>ジュギョウ</t>
    </rPh>
    <rPh sb="113" eb="115">
      <t>ジカン</t>
    </rPh>
    <rPh sb="115" eb="116">
      <t>ガイ</t>
    </rPh>
    <rPh sb="121" eb="123">
      <t>キバン</t>
    </rPh>
    <rPh sb="123" eb="125">
      <t>キョウイク</t>
    </rPh>
    <rPh sb="125" eb="127">
      <t>ブモン</t>
    </rPh>
    <rPh sb="128" eb="130">
      <t>タントウ</t>
    </rPh>
    <rPh sb="130" eb="132">
      <t>キョウイン</t>
    </rPh>
    <rPh sb="133" eb="135">
      <t>キョウム</t>
    </rPh>
    <rPh sb="135" eb="136">
      <t>カ</t>
    </rPh>
    <rPh sb="137" eb="139">
      <t>レンケイ</t>
    </rPh>
    <rPh sb="141" eb="143">
      <t>ガクセイ</t>
    </rPh>
    <rPh sb="144" eb="146">
      <t>レンラク</t>
    </rPh>
    <rPh sb="152" eb="154">
      <t>カノウ</t>
    </rPh>
    <rPh sb="155" eb="156">
      <t>カギ</t>
    </rPh>
    <rPh sb="163" eb="165">
      <t>タイセイ</t>
    </rPh>
    <rPh sb="166" eb="168">
      <t>セイビ</t>
    </rPh>
    <phoneticPr fontId="1"/>
  </si>
  <si>
    <t>　本プログラムを構成する科目はすべて全学共通教育科目で構成されており、全学部・学科の学生が履修できるように設計されている。
　「情報機器操作」は全学部・学科の必修科目として設置しており、学科毎にクラス展開している。また、オンデマンド型授業を併用して展開することで、学生にとってはより受講しやすい科目となっている。</t>
    <rPh sb="1" eb="2">
      <t>ホン</t>
    </rPh>
    <rPh sb="8" eb="10">
      <t>コウセイ</t>
    </rPh>
    <rPh sb="12" eb="14">
      <t>カモク</t>
    </rPh>
    <rPh sb="18" eb="20">
      <t>ゼンガク</t>
    </rPh>
    <rPh sb="20" eb="22">
      <t>キョウツウ</t>
    </rPh>
    <rPh sb="22" eb="24">
      <t>キョウイク</t>
    </rPh>
    <rPh sb="24" eb="26">
      <t>カモク</t>
    </rPh>
    <rPh sb="27" eb="29">
      <t>コウセイ</t>
    </rPh>
    <rPh sb="35" eb="38">
      <t>ゼンガクブ</t>
    </rPh>
    <rPh sb="39" eb="41">
      <t>ガッカ</t>
    </rPh>
    <rPh sb="42" eb="44">
      <t>ガクセイ</t>
    </rPh>
    <rPh sb="45" eb="47">
      <t>リシュウ</t>
    </rPh>
    <rPh sb="53" eb="55">
      <t>セッケイ</t>
    </rPh>
    <rPh sb="64" eb="66">
      <t>ジョウホウ</t>
    </rPh>
    <rPh sb="66" eb="68">
      <t>キキ</t>
    </rPh>
    <rPh sb="68" eb="70">
      <t>ソウサ</t>
    </rPh>
    <rPh sb="72" eb="73">
      <t>ゼン</t>
    </rPh>
    <rPh sb="73" eb="75">
      <t>ガクブ</t>
    </rPh>
    <rPh sb="76" eb="78">
      <t>ガッカ</t>
    </rPh>
    <rPh sb="79" eb="81">
      <t>ヒッシュウ</t>
    </rPh>
    <rPh sb="81" eb="83">
      <t>カモク</t>
    </rPh>
    <rPh sb="86" eb="88">
      <t>セッチ</t>
    </rPh>
    <rPh sb="93" eb="95">
      <t>ガッカ</t>
    </rPh>
    <rPh sb="95" eb="96">
      <t>ゴト</t>
    </rPh>
    <rPh sb="100" eb="102">
      <t>テンカイ</t>
    </rPh>
    <rPh sb="116" eb="117">
      <t>ガタ</t>
    </rPh>
    <rPh sb="117" eb="119">
      <t>ジュギョウ</t>
    </rPh>
    <rPh sb="120" eb="122">
      <t>ヘイヨウ</t>
    </rPh>
    <rPh sb="124" eb="126">
      <t>テンカイ</t>
    </rPh>
    <rPh sb="132" eb="134">
      <t>ガクセイ</t>
    </rPh>
    <rPh sb="141" eb="143">
      <t>ジュコウ</t>
    </rPh>
    <rPh sb="147" eb="149">
      <t>カモク</t>
    </rPh>
    <phoneticPr fontId="1"/>
  </si>
  <si>
    <t>　本プログラムは令和4年度からスタートしたため、まだ本プログラムを修了した卒業生は出ていない。
　今後は本プログラムを修了した学生の進路状況やその後の動向などの評価を実施する。</t>
    <rPh sb="1" eb="2">
      <t>ホン</t>
    </rPh>
    <rPh sb="8" eb="10">
      <t>レイワ</t>
    </rPh>
    <rPh sb="11" eb="12">
      <t>ネン</t>
    </rPh>
    <rPh sb="12" eb="13">
      <t>ド</t>
    </rPh>
    <rPh sb="26" eb="27">
      <t>ホン</t>
    </rPh>
    <rPh sb="33" eb="35">
      <t>シュウリョウ</t>
    </rPh>
    <rPh sb="37" eb="40">
      <t>ソツギョウセイ</t>
    </rPh>
    <rPh sb="41" eb="42">
      <t>デ</t>
    </rPh>
    <rPh sb="49" eb="51">
      <t>コンゴ</t>
    </rPh>
    <rPh sb="52" eb="53">
      <t>ホン</t>
    </rPh>
    <rPh sb="59" eb="61">
      <t>シュウリョウ</t>
    </rPh>
    <rPh sb="63" eb="65">
      <t>ガクセイ</t>
    </rPh>
    <rPh sb="66" eb="68">
      <t>シンロ</t>
    </rPh>
    <rPh sb="68" eb="70">
      <t>ジョウキョウ</t>
    </rPh>
    <rPh sb="73" eb="74">
      <t>ゴ</t>
    </rPh>
    <rPh sb="75" eb="77">
      <t>ドウコウ</t>
    </rPh>
    <rPh sb="80" eb="82">
      <t>ヒョウカ</t>
    </rPh>
    <rPh sb="83" eb="85">
      <t>ジッシ</t>
    </rPh>
    <phoneticPr fontId="1"/>
  </si>
  <si>
    <t>　自分の端末を利用する学生が増えていることから、学内のWi-Fi環境を整備すると同時に、PCの貸出体制を強化している。
　「情報機器操作」はアクティブラーニングを重視した演習形式で行っており、複数の教員とSAによるティームティーチングで学生一人一人にきめ細やかなサポートができる体制が整備されている。
　また、オンデマンド型授業を取り入れ、LMSのコース内には各授業回の教育コンテンツがいつでも閲覧可能となっているため、学生のレベルに合わせて自宅で何度も説明動画を見返して復習できる体制が整備されている。</t>
    <rPh sb="1" eb="3">
      <t>ジブン</t>
    </rPh>
    <rPh sb="4" eb="6">
      <t>タンマツ</t>
    </rPh>
    <rPh sb="7" eb="9">
      <t>リヨウ</t>
    </rPh>
    <rPh sb="11" eb="13">
      <t>ガクセイ</t>
    </rPh>
    <rPh sb="14" eb="15">
      <t>フ</t>
    </rPh>
    <rPh sb="24" eb="26">
      <t>ガクナイ</t>
    </rPh>
    <rPh sb="32" eb="34">
      <t>カンキョウ</t>
    </rPh>
    <rPh sb="35" eb="37">
      <t>セイビ</t>
    </rPh>
    <rPh sb="40" eb="42">
      <t>ドウジ</t>
    </rPh>
    <rPh sb="47" eb="49">
      <t>カシダシ</t>
    </rPh>
    <rPh sb="49" eb="51">
      <t>タイセイ</t>
    </rPh>
    <rPh sb="52" eb="54">
      <t>キョウカ</t>
    </rPh>
    <rPh sb="62" eb="64">
      <t>ジョウホウ</t>
    </rPh>
    <rPh sb="64" eb="66">
      <t>キキ</t>
    </rPh>
    <rPh sb="66" eb="68">
      <t>ソウサ</t>
    </rPh>
    <rPh sb="81" eb="83">
      <t>ジュウシ</t>
    </rPh>
    <rPh sb="85" eb="87">
      <t>エンシュウ</t>
    </rPh>
    <rPh sb="87" eb="89">
      <t>ケイシキ</t>
    </rPh>
    <rPh sb="90" eb="91">
      <t>オコナ</t>
    </rPh>
    <rPh sb="96" eb="98">
      <t>フクスウ</t>
    </rPh>
    <rPh sb="99" eb="101">
      <t>キョウイン</t>
    </rPh>
    <rPh sb="118" eb="120">
      <t>ガクセイ</t>
    </rPh>
    <rPh sb="120" eb="122">
      <t>ヒトリ</t>
    </rPh>
    <rPh sb="122" eb="124">
      <t>ヒトリ</t>
    </rPh>
    <rPh sb="127" eb="128">
      <t>コマ</t>
    </rPh>
    <rPh sb="139" eb="141">
      <t>タイセイ</t>
    </rPh>
    <rPh sb="142" eb="144">
      <t>セイビ</t>
    </rPh>
    <rPh sb="180" eb="183">
      <t>カクジュギョウ</t>
    </rPh>
    <rPh sb="183" eb="184">
      <t>カイ</t>
    </rPh>
    <rPh sb="185" eb="187">
      <t>キョウイク</t>
    </rPh>
    <rPh sb="197" eb="199">
      <t>エツラン</t>
    </rPh>
    <rPh sb="199" eb="201">
      <t>カノウ</t>
    </rPh>
    <rPh sb="210" eb="212">
      <t>ガクセイ</t>
    </rPh>
    <rPh sb="217" eb="218">
      <t>ア</t>
    </rPh>
    <rPh sb="221" eb="223">
      <t>ジタク</t>
    </rPh>
    <rPh sb="224" eb="226">
      <t>ナンド</t>
    </rPh>
    <rPh sb="227" eb="231">
      <t>セツメイドウガ</t>
    </rPh>
    <rPh sb="232" eb="234">
      <t>ミカエ</t>
    </rPh>
    <rPh sb="236" eb="238">
      <t>フクシュウ</t>
    </rPh>
    <rPh sb="241" eb="243">
      <t>タイセイ</t>
    </rPh>
    <rPh sb="244" eb="246">
      <t>セイビ</t>
    </rPh>
    <phoneticPr fontId="1"/>
  </si>
  <si>
    <t>　初年次の情報機器操作では、幅広い内容で操作スキル以外の、AIの活用や様々なツールを使った実データに基づく表現などを経験していることからも、大学卒業後の自分の働く姿をイメージしたうえで、必要感を持って選択しようとする姿が見られる。
現在の本プログラムに関する説明資料に、更にわかりやすい図式を入れるなど、プログラムの流れと具体的な成果や学生のコメントを掲載し、より多くの学生が主体的に本プログラムの単位取得に向かうように工夫していく。</t>
    <rPh sb="1" eb="2">
      <t xml:space="preserve">ホンプログラムニカンスル </t>
    </rPh>
    <rPh sb="10" eb="12">
      <t xml:space="preserve">ジュギョウノ </t>
    </rPh>
    <rPh sb="13" eb="16">
      <t xml:space="preserve">リシュウシャハ </t>
    </rPh>
    <rPh sb="17" eb="19">
      <t xml:space="preserve">イチブ </t>
    </rPh>
    <rPh sb="19" eb="21">
      <t xml:space="preserve">ソウテイヲコエル </t>
    </rPh>
    <rPh sb="25" eb="29">
      <t xml:space="preserve">リシュウキボウガアルホド、 </t>
    </rPh>
    <rPh sb="35" eb="37">
      <t xml:space="preserve">ガクセイニトッテ </t>
    </rPh>
    <rPh sb="77" eb="80">
      <t xml:space="preserve">ショネンジノ </t>
    </rPh>
    <rPh sb="81" eb="87">
      <t xml:space="preserve">ジョウホウキキソウサデノ </t>
    </rPh>
    <rPh sb="90" eb="92">
      <t xml:space="preserve">ハバヒロイ </t>
    </rPh>
    <rPh sb="93" eb="95">
      <t xml:space="preserve">ナイヨウデ </t>
    </rPh>
    <rPh sb="96" eb="98">
      <t xml:space="preserve">ソウサスキルイガイノ </t>
    </rPh>
    <rPh sb="108" eb="110">
      <t xml:space="preserve">カツヨウヤ </t>
    </rPh>
    <rPh sb="111" eb="112">
      <t xml:space="preserve">サマザマナツールヲツカッタ </t>
    </rPh>
    <rPh sb="123" eb="124">
      <t xml:space="preserve">ジツデータニモトヅク </t>
    </rPh>
    <rPh sb="131" eb="133">
      <t xml:space="preserve">ヒョウゲンナド、 </t>
    </rPh>
    <rPh sb="148" eb="153">
      <t xml:space="preserve">ダイガクソツギョウゴノ </t>
    </rPh>
    <rPh sb="154" eb="156">
      <t xml:space="preserve">ジブンノハタラクスガタ </t>
    </rPh>
    <rPh sb="171" eb="174">
      <t xml:space="preserve">ヒツヨウカンヲモッテ </t>
    </rPh>
    <rPh sb="178" eb="180">
      <t xml:space="preserve">センタクシヨウトスルスガタガミラレル。 </t>
    </rPh>
    <rPh sb="193" eb="195">
      <t xml:space="preserve">ゲンザイハ、 </t>
    </rPh>
    <rPh sb="196" eb="197">
      <t xml:space="preserve">ホンプログラムニカンスル </t>
    </rPh>
    <rPh sb="206" eb="208">
      <t xml:space="preserve">セツメイ </t>
    </rPh>
    <rPh sb="208" eb="210">
      <t xml:space="preserve">シリョウニ、 </t>
    </rPh>
    <rPh sb="212" eb="213">
      <t xml:space="preserve">サラニワカリヤスイ ズシキヲイレルナド、 ナガレトセイカ グタイテキナセイカヤ ガクセイノコメントヲ ケイサイシ、 シュタイテキニ ホンプログラムニ タンイシュトクニムカウヨウニ クフウシテイク。 </t>
    </rPh>
    <phoneticPr fontId="1"/>
  </si>
  <si>
    <t>　初年次の最初の学期で行う「情報機器操作」ではその後の展開で取得可能となる「表計算」「AI・データサイエンス」の授業とのつながりやそれら一連の科目をまとめた本プログラムについての説明を繰り返すことで、学生の中には少し先の単位取得も考えた意識付けが十分にできていたと思われる。
　結果として、本プログラムに関する授業では、想定を超える履修希望があり、教室の収容人数を超えてしまったがゆえに他の教室を準備する科目もある状態である。
　また、BYODを推奨し、自分のPCでいつでも学べること、オンデマンド教材も充実させて、授業以外の時間での復習等に活用できることなど、丁寧な環境整備をすることなどが、履修に向かってもなんとか授業についていけるという意識につながっているのではないかと思われる。
　今後も、どの学修がどのように繋がり、それがキャリア形成にどのようにつながるのかといったビジョンを学生が持つことができるように本プログラムの教科間の内容の接続などの改善を図りながら、履修の数を増やしていく。</t>
    <phoneticPr fontId="1"/>
  </si>
  <si>
    <t>　上記の内容にも重なる部分もあるが、「学ぶ楽しさ」＝自分ごと、「学ぶことの意義」＝キャリアの視点であると考える。
　学生の身近なテーマや関心の深い分野の実データを活用した学修を展開することで、学生の学びに向かう姿勢はかなり主体的になっている。また、授業中の指示事項では、今の学修に関することだけではなく、つねに卒業後のキャリアを意識した活用場面の話題に触れるなど、今を意識させつつ、これから先のことへも視点を向けさせることを繰り返し行っている。
　また、それぞれのテーマでこだわりを持ってデータを収集し、それをわかりやすくグラフにしたりスライドにまとめたりしするだけにとどまらず、プレゼン等により発表しあう機会を設けるように授業を設計している。自分以外の視点に触れる機会が学生にとっては大きな刺激となっている。情報の送り手と情報の受け手の両方の立場を繰り返し経験することで、相手を納得させることの難しさやデータの価値、生成AI活用の方法など、学生同士の関わりの中で感じることがとても価値ある学びとなっている。</t>
    <rPh sb="1" eb="3">
      <t xml:space="preserve">ジョウキノ </t>
    </rPh>
    <rPh sb="4" eb="6">
      <t xml:space="preserve">ナイヨウニモカサナルガ、 </t>
    </rPh>
    <rPh sb="11" eb="13">
      <t xml:space="preserve">ブブンモアルガ、 </t>
    </rPh>
    <rPh sb="19" eb="20">
      <t xml:space="preserve">マナブタノシサ </t>
    </rPh>
    <rPh sb="26" eb="28">
      <t xml:space="preserve">ジブンゴト </t>
    </rPh>
    <rPh sb="32" eb="33">
      <t xml:space="preserve">マナブコトノイギ </t>
    </rPh>
    <rPh sb="58" eb="60">
      <t xml:space="preserve">ガクセイ </t>
    </rPh>
    <rPh sb="68" eb="70">
      <t xml:space="preserve">カンシンノフカイ </t>
    </rPh>
    <rPh sb="73" eb="75">
      <t xml:space="preserve">ブンヤノ </t>
    </rPh>
    <rPh sb="76" eb="77">
      <t xml:space="preserve">ジツデータヲカツヨウサセルコトハ、 </t>
    </rPh>
    <rPh sb="85" eb="87">
      <t xml:space="preserve">ガクシュウヲテンカイスルコト </t>
    </rPh>
    <rPh sb="96" eb="98">
      <t xml:space="preserve">ガクセイノシセイハ </t>
    </rPh>
    <rPh sb="99" eb="100">
      <t xml:space="preserve">マナビニムカウシセイハ </t>
    </rPh>
    <rPh sb="124" eb="127">
      <t xml:space="preserve">ジュギョウチュウノ </t>
    </rPh>
    <rPh sb="128" eb="132">
      <t xml:space="preserve">シジジコウ </t>
    </rPh>
    <rPh sb="135" eb="136">
      <t xml:space="preserve">イマノガクシュウ </t>
    </rPh>
    <rPh sb="155" eb="158">
      <t xml:space="preserve">ソツギョウゴノキャリアヲイシキシタカツヨウバメン </t>
    </rPh>
    <rPh sb="182" eb="183">
      <t xml:space="preserve">イマヲイシキサセツツ、 </t>
    </rPh>
    <rPh sb="201" eb="203">
      <t xml:space="preserve">シテンヲ </t>
    </rPh>
    <rPh sb="204" eb="205">
      <t xml:space="preserve">ムケサセルコトヲクリカエシ </t>
    </rPh>
    <rPh sb="216" eb="217">
      <t xml:space="preserve">オコナッテイル。 </t>
    </rPh>
    <rPh sb="248" eb="250">
      <t xml:space="preserve">シュウシュウシ </t>
    </rPh>
    <rPh sb="294" eb="295">
      <t>トウ</t>
    </rPh>
    <rPh sb="306" eb="307">
      <t xml:space="preserve">モウケルコトデ、 </t>
    </rPh>
    <rPh sb="312" eb="314">
      <t>ジュギョウ</t>
    </rPh>
    <rPh sb="315" eb="317">
      <t>セッケイ</t>
    </rPh>
    <rPh sb="322" eb="326">
      <t xml:space="preserve">ジブンイガイノシテンニフレルキカイガ </t>
    </rPh>
    <rPh sb="336" eb="338">
      <t xml:space="preserve">ガクセイニトッテハ </t>
    </rPh>
    <rPh sb="343" eb="344">
      <t xml:space="preserve">オオキナシゲキトナッテイル。 </t>
    </rPh>
    <rPh sb="355" eb="357">
      <t xml:space="preserve">ジョウホウノオクリテトシテノ </t>
    </rPh>
    <rPh sb="362" eb="364">
      <t xml:space="preserve">ジョウホウノウケテ </t>
    </rPh>
    <rPh sb="369" eb="371">
      <t xml:space="preserve">リョウホウノタチバヲケイケンスルコトデ </t>
    </rPh>
    <rPh sb="375" eb="376">
      <t xml:space="preserve">クリカエシケイケンスルコトデ、 </t>
    </rPh>
    <rPh sb="387" eb="389">
      <t xml:space="preserve">アイテヲナットクサセルコトノムズカシサヤ </t>
    </rPh>
    <rPh sb="406" eb="408">
      <t xml:space="preserve">カチナド </t>
    </rPh>
    <rPh sb="409" eb="411">
      <t>セイセイ</t>
    </rPh>
    <rPh sb="413" eb="415">
      <t>カツヨウ</t>
    </rPh>
    <rPh sb="416" eb="418">
      <t>ホウホウ</t>
    </rPh>
    <rPh sb="421" eb="425">
      <t xml:space="preserve">ガクセイドウシノカカワリノナカデノ </t>
    </rPh>
    <rPh sb="432" eb="433">
      <t xml:space="preserve">カンジルコトガ </t>
    </rPh>
    <rPh sb="445" eb="446">
      <t>マナ</t>
    </rPh>
    <phoneticPr fontId="1"/>
  </si>
  <si>
    <t>　できるだけ授業ごとの学習教材や映像資料などはWebページに集約したり、クラウドで提供するなどして、年度が変わっても新しい担当が参照できるようにしている。また学生自身も過去の学習履歴として保存したデータを引き出せることにより、履修後に必要になったときにいつでも活用できる環境を整え、学んだからこそ、振り返って活用できる環境整備を進めている。
　履修の様子から、オンデマンドの教材があることで、授業中に質問しきれなかった学生が映像資料を見ながら学んだり、一度聞いただけではわかりにくい内容を、その部分だけ何度も見直してスキルを身に付けようとする学生の姿がある。これらのことから、今後もオンデマンド教材の整備を進める。
　さらに、今後入学してくる世代は高校において「情報Ⅰ」を履修してくる。さらに小学校からGIGAスクールとして一人一台端末でクラウドベースの学習経験がある世代でもある。彼らがどのようなことを初等・中等教育で学習してくるのかをリサーチしたうえで、その履修内容の土台の上にさらなるリテラシーを培うためのカリキュラム内容の充実を年次的に整備していく計画である。</t>
    <rPh sb="6" eb="8">
      <t xml:space="preserve">ジュギョウ </t>
    </rPh>
    <rPh sb="11" eb="15">
      <t xml:space="preserve">ガクシュウキョウザイ </t>
    </rPh>
    <rPh sb="16" eb="20">
      <t xml:space="preserve">エイゾウシリョウナドハ </t>
    </rPh>
    <rPh sb="50" eb="52">
      <t xml:space="preserve">ネンドガカワッテモ </t>
    </rPh>
    <rPh sb="58" eb="59">
      <t xml:space="preserve">アタラシイタントウガ </t>
    </rPh>
    <rPh sb="64" eb="66">
      <t xml:space="preserve">サンショウデキルヨウニシテイル。 </t>
    </rPh>
    <rPh sb="79" eb="83">
      <t xml:space="preserve">ガクセイジシンモ </t>
    </rPh>
    <rPh sb="84" eb="86">
      <t xml:space="preserve">カコノガクシュウリレキトシテホゾンシタデータヲ </t>
    </rPh>
    <rPh sb="102" eb="103">
      <t xml:space="preserve">ヒキダセルコトニヨリ、 </t>
    </rPh>
    <rPh sb="113" eb="116">
      <t xml:space="preserve">リシュウゴノ </t>
    </rPh>
    <rPh sb="117" eb="119">
      <t xml:space="preserve">ヒツヨウニナッタトキニイツデモ </t>
    </rPh>
    <rPh sb="130" eb="132">
      <t xml:space="preserve">カツヨウデキルカンキョウヲトトノエ、 </t>
    </rPh>
    <rPh sb="141" eb="142">
      <t xml:space="preserve">マナンダカラコソ、 </t>
    </rPh>
    <rPh sb="149" eb="150">
      <t xml:space="preserve">フリカエッテカツヨウデキル </t>
    </rPh>
    <rPh sb="159" eb="161">
      <t xml:space="preserve">カンキョウヲ </t>
    </rPh>
    <rPh sb="161" eb="163">
      <t xml:space="preserve">セイビヲススメテイル。 </t>
    </rPh>
    <rPh sb="172" eb="174">
      <t xml:space="preserve">リシュウノヨウスカラ、 </t>
    </rPh>
    <rPh sb="187" eb="189">
      <t xml:space="preserve">キョウザイガ </t>
    </rPh>
    <rPh sb="196" eb="199">
      <t xml:space="preserve">ジュギョウチュウニシツモンシキレナカッタガクセイガ </t>
    </rPh>
    <rPh sb="212" eb="216">
      <t xml:space="preserve">エイゾウシリョウヲミナガラ </t>
    </rPh>
    <rPh sb="221" eb="222">
      <t xml:space="preserve">マナンダリ、 </t>
    </rPh>
    <rPh sb="226" eb="229">
      <t xml:space="preserve">イチドキイタダケデハ </t>
    </rPh>
    <rPh sb="264" eb="265">
      <t xml:space="preserve">ツケヨウトスル </t>
    </rPh>
    <rPh sb="271" eb="273">
      <t xml:space="preserve">ガクセイノスガタガアル。 </t>
    </rPh>
    <rPh sb="288" eb="290">
      <t xml:space="preserve">コンゴモ </t>
    </rPh>
    <rPh sb="297" eb="299">
      <t xml:space="preserve">キョウザイ </t>
    </rPh>
    <rPh sb="300" eb="302">
      <t xml:space="preserve">セイビ </t>
    </rPh>
    <rPh sb="313" eb="315">
      <t xml:space="preserve">コンゴ </t>
    </rPh>
    <rPh sb="315" eb="317">
      <t xml:space="preserve">ニュウガクシテクル </t>
    </rPh>
    <rPh sb="321" eb="323">
      <t xml:space="preserve">セダイハ </t>
    </rPh>
    <rPh sb="324" eb="326">
      <t xml:space="preserve">コウコウ </t>
    </rPh>
    <rPh sb="336" eb="338">
      <t xml:space="preserve">リシュウシテクル </t>
    </rPh>
    <rPh sb="346" eb="349">
      <t xml:space="preserve">ショウガッコウ </t>
    </rPh>
    <rPh sb="362" eb="368">
      <t xml:space="preserve">ヒトリイチダイタンマツデ </t>
    </rPh>
    <rPh sb="377" eb="381">
      <t xml:space="preserve">ガクシュウケイケンガアル </t>
    </rPh>
    <rPh sb="384" eb="386">
      <t xml:space="preserve">セダイデモアル。 </t>
    </rPh>
    <rPh sb="391" eb="392">
      <t xml:space="preserve">カレラガ </t>
    </rPh>
    <rPh sb="402" eb="404">
      <t xml:space="preserve">ショトウ </t>
    </rPh>
    <rPh sb="407" eb="409">
      <t xml:space="preserve">キョウイクデ </t>
    </rPh>
    <rPh sb="410" eb="412">
      <t xml:space="preserve">ガクシュウシテクルノカヲ </t>
    </rPh>
    <rPh sb="451" eb="452">
      <t xml:space="preserve">ツチカウタメノ </t>
    </rPh>
    <rPh sb="468" eb="471">
      <t xml:space="preserve">ネンジテキニ </t>
    </rPh>
    <rPh sb="472" eb="474">
      <t xml:space="preserve">セイビシテイク。 </t>
    </rPh>
    <rPh sb="478" eb="480">
      <t>ケイカク</t>
    </rPh>
    <phoneticPr fontId="1"/>
  </si>
  <si>
    <t>科目「情報機器操作」の必須授業2単位を取得する
次に、科目「表計算」で2単位取得後、科目「AI・データサイエンス」の2単位を取得する</t>
    <rPh sb="0" eb="2">
      <t xml:space="preserve">カモクノ </t>
    </rPh>
    <rPh sb="3" eb="9">
      <t xml:space="preserve">ジョウホウキキソウサ </t>
    </rPh>
    <rPh sb="11" eb="13">
      <t xml:space="preserve">ヒッス </t>
    </rPh>
    <rPh sb="13" eb="15">
      <t xml:space="preserve">ジュギョウ </t>
    </rPh>
    <rPh sb="24" eb="25">
      <t xml:space="preserve">ツギニ、 </t>
    </rPh>
    <rPh sb="27" eb="29">
      <t xml:space="preserve">カモク </t>
    </rPh>
    <rPh sb="30" eb="33">
      <t xml:space="preserve">ヒョウケイサン </t>
    </rPh>
    <rPh sb="38" eb="41">
      <t xml:space="preserve">シュトクゴ、 </t>
    </rPh>
    <rPh sb="42" eb="43">
      <t xml:space="preserve">カモク </t>
    </rPh>
    <rPh sb="61" eb="63">
      <t xml:space="preserve">シュトクスル </t>
    </rPh>
    <phoneticPr fontId="1"/>
  </si>
  <si>
    <t>・オリエンテーション・AI時代と私たち・フィルターバブル「情報機器操作」（1回目）Society5.0、第４次産業革命、生成AI
・デジタル社会の「読み・書き・そろばん」的要素とは「AI・データサイエンス」（2回目）第4次産業革命、Society 5.0、データ駆動型社会、ビッグデータ
・Excelで表の作成（表と簡単な関数）「表計算」（3回目）生成AI</t>
    <rPh sb="52" eb="53">
      <t xml:space="preserve">ダイ４ジ </t>
    </rPh>
    <rPh sb="54" eb="55">
      <t xml:space="preserve">ジ </t>
    </rPh>
    <rPh sb="55" eb="59">
      <t xml:space="preserve">サンギョウカクメイ </t>
    </rPh>
    <rPh sb="60" eb="62">
      <t xml:space="preserve">セイセイ </t>
    </rPh>
    <phoneticPr fontId="1"/>
  </si>
  <si>
    <t>・オリエンテーション・AI時代と私たち・フィルターバブル「情報機器操作」（1回目）AI最新技術の活用例、AI等を活用した新しいビジネスモデル
・デジタル社会の「読み・書き・そろばん」的要素とは「AI・データサイエンス」（2回目）AI最新技術の活用例
・Excelで表の作成（表と簡単な関数）「表計算」（3回目）生成AI活用</t>
    <rPh sb="60" eb="61">
      <t xml:space="preserve">アタラシイ </t>
    </rPh>
    <phoneticPr fontId="1"/>
  </si>
  <si>
    <t>・実データを用いた分析（１）情報整理の仕方「情報機器操作」（12回目）調査データ、実験データ、オープンデータ
・実データを用いた分析（課題６）プレゼンづくり「情報機器操作」（13回目）調査データ、実験データ、オープンデータ
・Excelでデータ活用「表計算」（6回目〜7回目）調査データ、実験データ、人の行動ログデータ
・データを通して見出す事象の関係「AI・データサイエンス」（4回目）調査データ、実験データ、人の行動ログデータ、1次データ</t>
    <phoneticPr fontId="1"/>
  </si>
  <si>
    <t>・オリエンテーション・AI時代と私たち・フィルターバブル「情報機器操作」（1回目）マルチモーダル(言語、画像 )、生成AIの活用
・いろいろなネット検索・CANVA「情報機器操作」（4回目）マルチモーダル（言語、画像）、生成AIの活用
・Excelでデータ活用「表計算」（9回目・10回目）データ解析、グルーピング、パターン発見
・データの可視化「AI・データサイエンス」（5回目）データ可視化
・データから見出す法則「AI・データサイエンス」（10回目・11回目）グルーピング、パターン発見
・データに基づく予測「AI・データサイエンス」（12回目・13回目）予測</t>
    <rPh sb="132" eb="134">
      <t xml:space="preserve">カイメ </t>
    </rPh>
    <rPh sb="158" eb="160">
      <t xml:space="preserve">ゲンゴ </t>
    </rPh>
    <rPh sb="161" eb="163">
      <t xml:space="preserve">ガゾウ </t>
    </rPh>
    <rPh sb="242" eb="244">
      <t xml:space="preserve">ヨソク </t>
    </rPh>
    <rPh sb="268" eb="270">
      <t xml:space="preserve">ヨソク </t>
    </rPh>
    <phoneticPr fontId="1"/>
  </si>
  <si>
    <t xml:space="preserve">
・実データを用いた分析（１）情報整理の仕方「情報機器操作」（12回目）相関と因果、データの分布(ヒストグラム)と代表値(平均値）
・Excelで表の作成（表と簡単な関数）「表計算」（3回目）平均値、中央値、最頻値、ヒストグラム
・データを通して捉える事象の全体「AI・データサイエンス」（3回目）データの分布、代表値の性質の違い、データのばらつき
・データを通して見出す事象の関係「AI・データサイエンス」（4回目）相関と因果</t>
    <rPh sb="36" eb="38">
      <t xml:space="preserve">ソウカントインガ </t>
    </rPh>
    <rPh sb="39" eb="41">
      <t xml:space="preserve">インガ </t>
    </rPh>
    <rPh sb="106" eb="107">
      <t xml:space="preserve">トラエル </t>
    </rPh>
    <rPh sb="112" eb="114">
      <t xml:space="preserve">ゼンタイ </t>
    </rPh>
    <rPh sb="114" eb="115">
      <t xml:space="preserve">カンケイ </t>
    </rPh>
    <rPh sb="136" eb="138">
      <t xml:space="preserve">ブンプ、 </t>
    </rPh>
    <rPh sb="139" eb="142">
      <t xml:space="preserve">ダイヒョウチ </t>
    </rPh>
    <rPh sb="157" eb="158">
      <t xml:space="preserve">インガ </t>
    </rPh>
    <phoneticPr fontId="1"/>
  </si>
  <si>
    <t>科目「情報機器操作」では授業の中で、生成AIの仕組みの説明やメリットデメリットの理解と合わせて、情報倫理と関連させて生成AI活用についての指導を行っている。また、実際にテーマ探索の場面や必要なイメージを生成するなど、学生のサポート役として生成AIを活用する。
科目「表計算」では、課題解決場面で数式の生成をしたり、解決に向けてのヒントを得るために生成AIを活用する。
科目「AI・データサイエンス」では、小規模なデータから傾向を見出すときに活用したり、関数の質問、課題解決に向けた視野の拡大のヒントを得るためなど、学生には積極的に活用させつつ、盲目的な活用にならないように、自分自身の判断や他社との交流も含めて生成AIから返された反応について判断させる。</t>
    <rPh sb="0" eb="2">
      <t xml:space="preserve">カモク </t>
    </rPh>
    <rPh sb="3" eb="9">
      <t xml:space="preserve">ジョウホウキキソウサ </t>
    </rPh>
    <rPh sb="12" eb="14">
      <t xml:space="preserve">ジュギョウノナカデ、 </t>
    </rPh>
    <rPh sb="18" eb="20">
      <t xml:space="preserve">セイセイ </t>
    </rPh>
    <rPh sb="23" eb="25">
      <t>シク</t>
    </rPh>
    <rPh sb="27" eb="29">
      <t xml:space="preserve">セツメイトアワセテ、 </t>
    </rPh>
    <rPh sb="40" eb="42">
      <t>リカイ</t>
    </rPh>
    <rPh sb="48" eb="50">
      <t>ジョウホウ</t>
    </rPh>
    <rPh sb="50" eb="52">
      <t>リンリ</t>
    </rPh>
    <rPh sb="53" eb="55">
      <t>カンレン</t>
    </rPh>
    <rPh sb="58" eb="60">
      <t>セイセイ</t>
    </rPh>
    <rPh sb="62" eb="64">
      <t>カツヨウ</t>
    </rPh>
    <rPh sb="69" eb="71">
      <t>シドウ</t>
    </rPh>
    <rPh sb="72" eb="73">
      <t>オコナ</t>
    </rPh>
    <rPh sb="81" eb="83">
      <t xml:space="preserve">ジッサイニ </t>
    </rPh>
    <rPh sb="93" eb="95">
      <t xml:space="preserve">ヒツヨウナ </t>
    </rPh>
    <rPh sb="108" eb="110">
      <t xml:space="preserve">ガクセイノ </t>
    </rPh>
    <rPh sb="119" eb="121">
      <t xml:space="preserve">セイセイ </t>
    </rPh>
    <rPh sb="124" eb="126">
      <t xml:space="preserve">カツヨウスル </t>
    </rPh>
    <rPh sb="130" eb="132">
      <t xml:space="preserve">カモク </t>
    </rPh>
    <rPh sb="133" eb="136">
      <t xml:space="preserve">ヒョウケイサン </t>
    </rPh>
    <rPh sb="140" eb="142">
      <t xml:space="preserve">カダイカイケｔバメンデ </t>
    </rPh>
    <rPh sb="142" eb="146">
      <t xml:space="preserve">カイケツバメンデ </t>
    </rPh>
    <rPh sb="147" eb="149">
      <t xml:space="preserve">スウシキノセイセイ </t>
    </rPh>
    <rPh sb="157" eb="159">
      <t xml:space="preserve">カイケツニムケテノ </t>
    </rPh>
    <rPh sb="173" eb="175">
      <t>セイセイ</t>
    </rPh>
    <rPh sb="178" eb="180">
      <t xml:space="preserve">カツヨウスル。 </t>
    </rPh>
    <rPh sb="184" eb="186">
      <t xml:space="preserve">カモク </t>
    </rPh>
    <rPh sb="202" eb="205">
      <t xml:space="preserve">ショウキボナ </t>
    </rPh>
    <rPh sb="211" eb="213">
      <t xml:space="preserve">ケイコウヲミイダストキニ </t>
    </rPh>
    <rPh sb="220" eb="222">
      <t xml:space="preserve">カツヨウシタリ、 </t>
    </rPh>
    <rPh sb="226" eb="228">
      <t xml:space="preserve">カンスウノシツモン、 </t>
    </rPh>
    <rPh sb="232" eb="236">
      <t xml:space="preserve">カダイカイケツニムケタ </t>
    </rPh>
    <rPh sb="240" eb="242">
      <t xml:space="preserve">シヤノカクダイノヒント </t>
    </rPh>
    <rPh sb="257" eb="259">
      <t xml:space="preserve">ガクセイニ </t>
    </rPh>
    <rPh sb="261" eb="264">
      <t xml:space="preserve">セッキョクテキニカツヨウサセツツ、 </t>
    </rPh>
    <rPh sb="272" eb="275">
      <t xml:space="preserve">モウモクテキナカツヨウニナラナイヨウニ、 </t>
    </rPh>
    <rPh sb="287" eb="291">
      <t xml:space="preserve">ジブンジシンノハンダン </t>
    </rPh>
    <rPh sb="295" eb="297">
      <t xml:space="preserve">タシャトノコウリュウモフクメテ </t>
    </rPh>
    <rPh sb="305" eb="307">
      <t xml:space="preserve">セイセイ </t>
    </rPh>
    <rPh sb="311" eb="312">
      <t xml:space="preserve">カエサレタ </t>
    </rPh>
    <rPh sb="315" eb="317">
      <t xml:space="preserve">ハンノウニツイテ </t>
    </rPh>
    <rPh sb="321" eb="323">
      <t xml:space="preserve">ハンダンサセル。 </t>
    </rPh>
    <phoneticPr fontId="1"/>
  </si>
  <si>
    <t>SIU　未来創造AI・データリテラシープログラム</t>
    <rPh sb="4" eb="6">
      <t>ミライ</t>
    </rPh>
    <rPh sb="6" eb="8">
      <t>ソウゾウ</t>
    </rPh>
    <phoneticPr fontId="1"/>
  </si>
  <si>
    <r>
      <t>　本プログラムは全学生に配布するスタディガイドに記載し、各学期のオリエンテーションでの周知を行っている。また、プログラム構成科目である1年次必修科目の「情報機器操作」においても担当教員から本プログラムの体系を説明して、履修を促す努力をしている。
　また</t>
    </r>
    <r>
      <rPr>
        <sz val="12"/>
        <rFont val="ＭＳ Ｐゴシック"/>
        <family val="3"/>
        <charset val="128"/>
        <scheme val="minor"/>
      </rPr>
      <t>、WEBサイト上ではプログラムの詳細を公開している。さらに、令和５年度は学内向けのセミナーを開催し、本プログラムのカリキュラムへの理解を深めることができた。
　プログラムを構成する3科目全ての成績が「優+」の学生に対しては「SIU　未来創造AI・データリテラシープログラム修了証＋」を授与し、学内で広報している。</t>
    </r>
    <rPh sb="60" eb="62">
      <t>コウセイ</t>
    </rPh>
    <rPh sb="62" eb="64">
      <t>カモク</t>
    </rPh>
    <rPh sb="133" eb="134">
      <t>ジョウ</t>
    </rPh>
    <rPh sb="142" eb="144">
      <t>ショウサイ</t>
    </rPh>
    <rPh sb="145" eb="147">
      <t>コウカイ</t>
    </rPh>
    <rPh sb="156" eb="158">
      <t>レイワ</t>
    </rPh>
    <rPh sb="159" eb="161">
      <t>ネンド</t>
    </rPh>
    <rPh sb="162" eb="165">
      <t>ガクナイム</t>
    </rPh>
    <rPh sb="172" eb="174">
      <t>カイサイ</t>
    </rPh>
    <rPh sb="176" eb="177">
      <t>ホン</t>
    </rPh>
    <rPh sb="191" eb="193">
      <t>リカイ</t>
    </rPh>
    <rPh sb="194" eb="195">
      <t>フカ</t>
    </rPh>
    <rPh sb="212" eb="214">
      <t>コウセイ</t>
    </rPh>
    <rPh sb="217" eb="219">
      <t>カモク</t>
    </rPh>
    <rPh sb="219" eb="220">
      <t>スベ</t>
    </rPh>
    <rPh sb="222" eb="224">
      <t>セイセキ</t>
    </rPh>
    <rPh sb="226" eb="227">
      <t>ユウ</t>
    </rPh>
    <rPh sb="230" eb="232">
      <t>ガクセイ</t>
    </rPh>
    <rPh sb="233" eb="234">
      <t>タイ</t>
    </rPh>
    <rPh sb="242" eb="246">
      <t>ミライソウゾウ</t>
    </rPh>
    <rPh sb="262" eb="265">
      <t>シュウリョウショウ</t>
    </rPh>
    <rPh sb="268" eb="270">
      <t>ジュヨ</t>
    </rPh>
    <rPh sb="272" eb="274">
      <t>ガクナイ</t>
    </rPh>
    <rPh sb="275" eb="277">
      <t>コウホウ</t>
    </rPh>
    <phoneticPr fontId="1"/>
  </si>
  <si>
    <t>　本プログラムに関係するそれぞれの授業の内容には、いずれも実データを扱った課題発見・課題解決につながる学習過程を組み込むことができた。
　市販のテキストは使用するが、一方で、そのテキストの内容をなぞるだけの学修では学生は自分事として学修に向かわない。そこで、学生の出身地域の人口問題、学部・学科のゼミに関する内容についてのデータを活用した課題解決など、それぞれの学生の関心に近いテーマを選択させることで、自分事として継続した探究の姿勢が見られた。その姿勢は、授業だけではなく、授業以外の学修でも学ぶ姿につながっており、振り返りの学生の記述等からも確認することができた。</t>
    <rPh sb="1" eb="2">
      <t xml:space="preserve">ホンプログラム </t>
    </rPh>
    <rPh sb="8" eb="10">
      <t xml:space="preserve">カンケイスル </t>
    </rPh>
    <rPh sb="29" eb="30">
      <t xml:space="preserve">ジツデータヲカツヨウシタ </t>
    </rPh>
    <rPh sb="34" eb="35">
      <t xml:space="preserve">アツカッタ </t>
    </rPh>
    <rPh sb="37" eb="41">
      <t xml:space="preserve">カダイハッケン </t>
    </rPh>
    <rPh sb="51" eb="55">
      <t xml:space="preserve">ガクシュウカテイガ </t>
    </rPh>
    <rPh sb="69" eb="71">
      <t xml:space="preserve">シハンノテキストハ </t>
    </rPh>
    <rPh sb="77" eb="79">
      <t xml:space="preserve">シヨウスルガ、 </t>
    </rPh>
    <rPh sb="83" eb="85">
      <t xml:space="preserve">イッポウデ、 </t>
    </rPh>
    <rPh sb="103" eb="105">
      <t xml:space="preserve">ガクシュウデハ </t>
    </rPh>
    <rPh sb="107" eb="109">
      <t xml:space="preserve">ガクセイハ </t>
    </rPh>
    <rPh sb="110" eb="113">
      <t xml:space="preserve">ジブンゴトトシテ </t>
    </rPh>
    <rPh sb="116" eb="118">
      <t xml:space="preserve">ガクシュウニムカワナイ。 </t>
    </rPh>
    <rPh sb="129" eb="131">
      <t xml:space="preserve">ガクセイノ </t>
    </rPh>
    <rPh sb="132" eb="136">
      <t xml:space="preserve">シュッシンチイキノ </t>
    </rPh>
    <rPh sb="137" eb="141">
      <t xml:space="preserve">ジンコウモンダイ、 </t>
    </rPh>
    <rPh sb="142" eb="144">
      <t xml:space="preserve">ガクブ・ </t>
    </rPh>
    <rPh sb="145" eb="147">
      <t xml:space="preserve">ガッカ </t>
    </rPh>
    <rPh sb="154" eb="156">
      <t xml:space="preserve">ナイヨウニツイテノ </t>
    </rPh>
    <rPh sb="169" eb="173">
      <t xml:space="preserve">カダイカイケツナド、 </t>
    </rPh>
    <rPh sb="184" eb="186">
      <t xml:space="preserve">カンシン </t>
    </rPh>
    <rPh sb="187" eb="188">
      <t xml:space="preserve">チカイ </t>
    </rPh>
    <rPh sb="193" eb="195">
      <t xml:space="preserve">センタクサセルコトデ、 </t>
    </rPh>
    <rPh sb="202" eb="205">
      <t xml:space="preserve">ジブンゴトトシテ </t>
    </rPh>
    <rPh sb="208" eb="210">
      <t xml:space="preserve">ケイゾクシタ </t>
    </rPh>
    <rPh sb="212" eb="214">
      <t xml:space="preserve">タンキュウノシセイガミラレタ。 </t>
    </rPh>
    <rPh sb="229" eb="231">
      <t xml:space="preserve">ジュギョウダケデハナク、 </t>
    </rPh>
    <rPh sb="238" eb="242">
      <t xml:space="preserve">ジュギョウイガイノ </t>
    </rPh>
    <rPh sb="243" eb="245">
      <t xml:space="preserve">ガクシュウデモ </t>
    </rPh>
    <rPh sb="247" eb="248">
      <t xml:space="preserve">マナブスガタニツナガッテオリ、 </t>
    </rPh>
    <rPh sb="259" eb="260">
      <t xml:space="preserve">フリカエリノ </t>
    </rPh>
    <rPh sb="264" eb="266">
      <t xml:space="preserve">ガクセイノキジュツトウカラモ </t>
    </rPh>
    <rPh sb="273" eb="275">
      <t xml:space="preserve">カクニンスルコトガデキタ。 </t>
    </rPh>
    <phoneticPr fontId="1"/>
  </si>
  <si>
    <t>次は該当科目１５回が終了した時点での学生アンケートの一部である。
＜参考：AI・データサイエンス＞
　・予習・復習のための具体的な指示を出していた。（９２％）
　・授業の準備を十分にしていた。（９４％）
　・学生の理解度を確かめながら授業を進めていた。（８５％）
＜参考：表計算＞
　・予習・復習のための具体的な指示を出していた。（９９％）
　・授業の準備を十分にしていた。（９９％）
　・学生の理解度を確かめながら授業を進めていた。（１００％）
　これ以外に、授業の前に目標を記述したルーブリックを確認し、授業後には毎回ルーブリックによる自己評価、さらに振り返りとして一定量の記述を学生に求め、それを分析することで、次の回でフォローしたり、学生の疑問に答えるように努めた。
授業中に学生同士が教え合い、支援し合う関係を築くことで、わからない状態で次に進むことがかなり解消されるとともに、教える側の学生もかなり理解が深まると行った効果も得られた。</t>
    <rPh sb="0" eb="1">
      <t xml:space="preserve">ツギハ </t>
    </rPh>
    <rPh sb="2" eb="6">
      <t xml:space="preserve">ガイトウカモク１５カイガ </t>
    </rPh>
    <rPh sb="10" eb="12">
      <t xml:space="preserve">シュウリョウシタ </t>
    </rPh>
    <rPh sb="14" eb="16">
      <t xml:space="preserve">ジテンデノ </t>
    </rPh>
    <rPh sb="18" eb="20">
      <t xml:space="preserve">ガクセイアンケートノイチブデアル。 </t>
    </rPh>
    <rPh sb="231" eb="233">
      <t xml:space="preserve">ジュギョウノフリカエリ </t>
    </rPh>
    <rPh sb="234" eb="235">
      <t xml:space="preserve">マエニ </t>
    </rPh>
    <rPh sb="236" eb="238">
      <t xml:space="preserve">モクヒョウヲキジュツシタ </t>
    </rPh>
    <rPh sb="254" eb="257">
      <t xml:space="preserve">ジュギョウゴニハ </t>
    </rPh>
    <rPh sb="259" eb="261">
      <t xml:space="preserve">マイカイ </t>
    </rPh>
    <rPh sb="278" eb="279">
      <t xml:space="preserve">フリカエリトシテイッテイリョウノ </t>
    </rPh>
    <rPh sb="289" eb="291">
      <t xml:space="preserve">キジュツヲ </t>
    </rPh>
    <rPh sb="292" eb="294">
      <t xml:space="preserve">ガクセイニモトメ </t>
    </rPh>
    <rPh sb="309" eb="310">
      <t xml:space="preserve">ツギノカイデ </t>
    </rPh>
    <rPh sb="321" eb="323">
      <t xml:space="preserve">ガクセイノギモンニコタエルヨウニツトメタ。 </t>
    </rPh>
    <rPh sb="333" eb="334">
      <t xml:space="preserve">ツトメタ。 </t>
    </rPh>
    <rPh sb="338" eb="341">
      <t xml:space="preserve">ジュギョウチュウニ </t>
    </rPh>
    <rPh sb="342" eb="346">
      <t xml:space="preserve">ガクセイドウシガ </t>
    </rPh>
    <rPh sb="347" eb="348">
      <t xml:space="preserve">オシエアイ、シエンシアウ </t>
    </rPh>
    <rPh sb="357" eb="359">
      <t xml:space="preserve">カンケイヲ </t>
    </rPh>
    <rPh sb="360" eb="361">
      <t xml:space="preserve">キズクコトデ、 </t>
    </rPh>
    <rPh sb="394" eb="395">
      <t xml:space="preserve">オシエルガワノガクセイモ </t>
    </rPh>
    <rPh sb="415" eb="417">
      <t xml:space="preserve">コウカモエラレタ。 </t>
    </rPh>
    <phoneticPr fontId="1"/>
  </si>
  <si>
    <t xml:space="preserve">　当該プログラムは2022年度から開始している。2023年度までの履修状況は以下の通りとなっている。
　情報機器操作（1年次 春学期 必修）　377名（修得者数）/388名（履修者数）
　表計算（1年次 秋学期 選択）　100名（修得者数）/113名（履修者数）
　AI・データサイエンス（2年次 春学期 選択）　33名（修得者数）/38名（履修者数）
　「SIU　未来創造AI・データリテラシープログラム修了証＋」授与者数
　（３科目の成績がすべて「優+」で、特に成績が優秀だったもの）
　2023年度春学期：7名
</t>
    <rPh sb="1" eb="3">
      <t>トウガイ</t>
    </rPh>
    <rPh sb="13" eb="15">
      <t>ネンド</t>
    </rPh>
    <rPh sb="17" eb="19">
      <t>カイシ</t>
    </rPh>
    <rPh sb="28" eb="30">
      <t>ネンド</t>
    </rPh>
    <rPh sb="33" eb="37">
      <t>リシュウジョウキョウ</t>
    </rPh>
    <rPh sb="38" eb="40">
      <t>イカ</t>
    </rPh>
    <rPh sb="41" eb="42">
      <t>トオ</t>
    </rPh>
    <rPh sb="53" eb="59">
      <t>ジョウホウキキソウサ</t>
    </rPh>
    <rPh sb="61" eb="63">
      <t>ネンジ</t>
    </rPh>
    <rPh sb="64" eb="67">
      <t>ハルガッキ</t>
    </rPh>
    <rPh sb="68" eb="70">
      <t>ヒッシュウ</t>
    </rPh>
    <rPh sb="75" eb="76">
      <t>メイ</t>
    </rPh>
    <rPh sb="77" eb="81">
      <t>シュウトクシャスウ</t>
    </rPh>
    <rPh sb="86" eb="87">
      <t>メイ</t>
    </rPh>
    <rPh sb="88" eb="91">
      <t>リシュウシャ</t>
    </rPh>
    <rPh sb="91" eb="92">
      <t>スウ</t>
    </rPh>
    <rPh sb="95" eb="98">
      <t>ヒョウケイサン</t>
    </rPh>
    <rPh sb="100" eb="102">
      <t>ネンジ</t>
    </rPh>
    <rPh sb="103" eb="106">
      <t>アキガッキ</t>
    </rPh>
    <rPh sb="107" eb="109">
      <t>センタク</t>
    </rPh>
    <rPh sb="114" eb="115">
      <t>メイ</t>
    </rPh>
    <rPh sb="125" eb="126">
      <t>メイ</t>
    </rPh>
    <rPh sb="147" eb="149">
      <t>ネンジ</t>
    </rPh>
    <rPh sb="150" eb="153">
      <t>ハルガッキ</t>
    </rPh>
    <rPh sb="154" eb="156">
      <t>センタク</t>
    </rPh>
    <rPh sb="160" eb="161">
      <t>メイ</t>
    </rPh>
    <rPh sb="167" eb="171">
      <t>･38メイ</t>
    </rPh>
    <rPh sb="185" eb="189">
      <t>ミライソウゾウ</t>
    </rPh>
    <rPh sb="210" eb="214">
      <t>ジュヨシャスウ</t>
    </rPh>
    <rPh sb="218" eb="220">
      <t>カモク</t>
    </rPh>
    <rPh sb="221" eb="223">
      <t>セイセキ</t>
    </rPh>
    <rPh sb="228" eb="229">
      <t>ユウ</t>
    </rPh>
    <rPh sb="252" eb="254">
      <t>ネンド</t>
    </rPh>
    <rPh sb="254" eb="257">
      <t>ハルガッキ</t>
    </rPh>
    <phoneticPr fontId="1"/>
  </si>
  <si>
    <t>　AI・データサイエンスとDX推進に係るセミナーを本学で開催した。その際には企業や教育委員会の参加者もあった。企業側からは、教育現場の声としてデータを学習者に返していく必要があると認識し、それに関する商品開発の必要性に触れる場面があった。このことから、本プログラムの学生から得られているデータも、できるだけ早いタイミングで学生に返すことにより、自分の学修の立ち位置を知ることにつながる。本プログラムのカリキュラム内容の改善も必要だが、履修している学生の今の学びの姿を学生も授業者も効率よく確認していくような仕組みも検討していく必要がある。</t>
    <phoneticPr fontId="1"/>
  </si>
  <si>
    <t>札幌国際大学</t>
    <rPh sb="0" eb="6">
      <t>サッポロコクサイダイガク</t>
    </rPh>
    <phoneticPr fontId="1"/>
  </si>
  <si>
    <t>札幌</t>
  </si>
  <si>
    <t>・いろいろなネット検索・CANVA「情報機器操作」（4回目）コンテンツ生成など生成AIの応用
・実データを用いた分析（課題６）プレゼンづくり「情報機器操作」（13回目）AIを活用した文化活動、コンテンツ生成など生成AIの応用
・Excelでデータ活用「表計算」（6回目〜7回目）仮説検証、原因究明
・データの可視化「AI・データサイエンス」（5回目）仮説検証、知識発見、原因究明
・効果的なグラフ表現「AI・データサイエンス」（6回目）仮説検証、知識発見、原因究明</t>
    <rPh sb="91" eb="95">
      <t xml:space="preserve">ブンカカツドウ </t>
    </rPh>
    <rPh sb="105" eb="107">
      <t xml:space="preserve">セイセイ </t>
    </rPh>
    <rPh sb="139" eb="143">
      <t xml:space="preserve">カセツケンショウ </t>
    </rPh>
    <rPh sb="144" eb="148">
      <t xml:space="preserve">ゲンインキュウメイ </t>
    </rPh>
    <phoneticPr fontId="1"/>
  </si>
  <si>
    <t>・オリエンテーション・AI時代と私たち・フィルターバブル「情報機器操作」（1回目）データ・AI利活用事例紹介
・いろいろなネット検索・CANVA「情報機器操作」（4回目）データの取得・管理・加工
・Excelでデータ活用「表計算」（6回目）データサイエンスのサイクル（データの取得・管理・加工）
・データの分類「AI・データサイエンス」（8回目・9回目）データサイエンスのサイクル（課題抽出、データの取得）
・データから見出す法則「AI・データサイエンス」（10回目・11回目）データサイエンスのサイクル（（データの取得・管理・加工、データ解析と推論）</t>
    <rPh sb="95" eb="97">
      <t xml:space="preserve">セイカツノナカノ </t>
    </rPh>
    <rPh sb="100" eb="101">
      <t xml:space="preserve">サマザマナ </t>
    </rPh>
    <rPh sb="115" eb="117">
      <t xml:space="preserve">カツヨウ </t>
    </rPh>
    <rPh sb="138" eb="140">
      <t>シュトク</t>
    </rPh>
    <rPh sb="141" eb="143">
      <t>カンリ</t>
    </rPh>
    <rPh sb="144" eb="146">
      <t>カコウ</t>
    </rPh>
    <rPh sb="149" eb="151">
      <t xml:space="preserve">カイメ </t>
    </rPh>
    <phoneticPr fontId="1"/>
  </si>
  <si>
    <t>・情報セキュリティ・情報モラルと関係法規・Word「情報機器操作」（2回目）個人情報保護、データ倫理、盗用、プライバシー保護
・AIとどう付き合うのか・powerPoint「情報機器操作」（6回目）生成AIの留意事項、AI社会原則
・効果的なグラフ表現「AI・データサイエンス」（5回目）データのねつ造、改ざん</t>
    <rPh sb="38" eb="42">
      <t xml:space="preserve">コジンジョウホウホウゴ </t>
    </rPh>
    <rPh sb="42" eb="44">
      <t xml:space="preserve">ホゴ </t>
    </rPh>
    <rPh sb="51" eb="53">
      <t>トウヨウ</t>
    </rPh>
    <rPh sb="101" eb="104">
      <t xml:space="preserve">コウカテキナグラフヒョウゲン </t>
    </rPh>
    <rPh sb="111" eb="113">
      <t xml:space="preserve">シャカイ </t>
    </rPh>
    <rPh sb="113" eb="115">
      <t xml:space="preserve">ゲンソク </t>
    </rPh>
    <rPh sb="141" eb="142">
      <t xml:space="preserve">ゾウ </t>
    </rPh>
    <rPh sb="143" eb="144">
      <t xml:space="preserve">カイザン </t>
    </rPh>
    <phoneticPr fontId="1"/>
  </si>
  <si>
    <t>・情報セキュリティ・情報モラルと関係法規・Word「情報機器操作」（2回目）情報セキュリティの3要素（機密性、完全性、可用性）、
情報漏洩等によるセキュリティ事故の事例紹介
・AIとどう付き合うのか・powerPoint「情報機器操作」（6回目）匿名加工情報、サイバーセキュリティ、悪意ある情報搾取
・Excelでデータ活用「表計算」（12回目）パスワード、アクセス制御</t>
    <rPh sb="38" eb="40">
      <t xml:space="preserve">ジョウホウセキュリティ </t>
    </rPh>
    <rPh sb="51" eb="53">
      <t>キミツ</t>
    </rPh>
    <rPh sb="53" eb="54">
      <t>セイ</t>
    </rPh>
    <rPh sb="55" eb="58">
      <t>カンゼンセイ</t>
    </rPh>
    <rPh sb="59" eb="62">
      <t>カヨウセイ</t>
    </rPh>
    <rPh sb="65" eb="70">
      <t xml:space="preserve">ジョウホウロウエイトウニヨル </t>
    </rPh>
    <rPh sb="79" eb="81">
      <t xml:space="preserve">ジコノジレイショウカイ </t>
    </rPh>
    <rPh sb="123" eb="129">
      <t xml:space="preserve">トクメイカコウジョウホウ </t>
    </rPh>
    <rPh sb="141" eb="143">
      <t xml:space="preserve">アクイアル </t>
    </rPh>
    <rPh sb="145" eb="149">
      <t xml:space="preserve">ジョウホウサクシュ </t>
    </rPh>
    <phoneticPr fontId="1"/>
  </si>
  <si>
    <t>・実データを用いた分析（課題６）プレゼンづくり「情報機器操作」（13回目）データ表現（棒グラフ、折線グラフ、散布図）
・実データを用いた分析（３）発表会「情報機器操作」（14回目）相手に的確かつ正確に情報を伝える技術や考え方
・Excel操作（簡単なグラフ作成）「表計算」（4回目）データ表現（棒グラフ、折線グラフ、散布図、ヒートマップ）
・まとめ・canvaで応用：表やグラフ作成「表計算」（15回目）相手に的確かつ正確に情報を伝える技術や考え方
・データの可視化「AI・データサイエンス」（4回目）データ表現（棒グラフ、折線グラフ、散布図）
・効果的なグラフ表現「AI・データサイエンス」（5回目）不適切なグラフ表現、優れた可視化事例の紹介</t>
    <rPh sb="43" eb="44">
      <t xml:space="preserve">ボウグラフ </t>
    </rPh>
    <rPh sb="48" eb="49">
      <t xml:space="preserve">オレセングラフ </t>
    </rPh>
    <rPh sb="49" eb="50">
      <t xml:space="preserve">セン </t>
    </rPh>
    <rPh sb="54" eb="57">
      <t xml:space="preserve">サンプズ </t>
    </rPh>
    <rPh sb="144" eb="146">
      <t>ヒョウゲン</t>
    </rPh>
    <phoneticPr fontId="1"/>
  </si>
  <si>
    <t>・実データを用いた分析（１）情報整理の仕方「情報機器操作」（12回目）データの取得、データの集計（和、平均）、データの並び替え
・実データを用いた分析（課題６）プレゼンづくり「情報機器操作」（13回目）データの取得、データの集計（和、平均）、データの並び替え
・Excelで表の作成（表と簡単な関数）「表計算」（3回目）データの集計(和、平均)
・データを通して捉える事象の全体「AI・データサイエンス」（3回目）データの集計</t>
    <rPh sb="49" eb="50">
      <t xml:space="preserve">ワ </t>
    </rPh>
    <rPh sb="51" eb="53">
      <t xml:space="preserve">ヘイキン </t>
    </rPh>
    <rPh sb="59" eb="60">
      <t xml:space="preserve">ナラビカエ </t>
    </rPh>
    <phoneticPr fontId="1"/>
  </si>
  <si>
    <t>学部・学科によって、修了要件は相違しない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</si>
</sst>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b/>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12" fillId="0" borderId="0" xfId="0" applyFont="1" applyAlignment="1">
      <alignment horizontal="lef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15" fillId="0" borderId="32" xfId="0" applyNumberFormat="1" applyFont="1" applyBorder="1" applyAlignment="1">
      <alignment horizontal="left" vertical="center" wrapText="1"/>
    </xf>
    <xf numFmtId="49" fontId="15" fillId="0" borderId="33" xfId="0" applyNumberFormat="1" applyFont="1" applyBorder="1" applyAlignment="1">
      <alignment horizontal="left" vertical="center"/>
    </xf>
    <xf numFmtId="49" fontId="15" fillId="0" borderId="34" xfId="0" applyNumberFormat="1" applyFont="1" applyBorder="1" applyAlignment="1">
      <alignment horizontal="left"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0" xfId="0" applyFont="1" applyAlignment="1">
      <alignment vertical="center" wrapText="1"/>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6" fillId="0" borderId="0" xfId="0" applyFont="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13"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A0A7E-A681-4522-A56E-1E56F247BC65}">
  <sheetPr>
    <pageSetUpPr fitToPage="1"/>
  </sheetPr>
  <dimension ref="A1:AG114"/>
  <sheetViews>
    <sheetView showZeros="0" view="pageBreakPreview" zoomScaleNormal="100" zoomScaleSheetLayoutView="100" workbookViewId="0">
      <selection activeCell="H22" sqref="H22"/>
    </sheetView>
  </sheetViews>
  <sheetFormatPr defaultColWidth="9" defaultRowHeight="18.8"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49999999999999" customHeight="1" x14ac:dyDescent="0.2">
      <c r="A1" s="76"/>
      <c r="B1" s="76"/>
      <c r="C1" s="76"/>
      <c r="D1" s="76"/>
      <c r="E1" s="76"/>
      <c r="F1" s="76"/>
      <c r="G1" s="76"/>
      <c r="H1" s="76"/>
      <c r="I1" s="76"/>
      <c r="J1" s="76"/>
      <c r="K1" s="76"/>
      <c r="L1" s="76"/>
      <c r="M1" s="76"/>
      <c r="N1" s="76"/>
      <c r="O1" s="76"/>
      <c r="P1" s="76"/>
      <c r="Q1" s="76"/>
      <c r="R1" s="76"/>
      <c r="S1" s="76"/>
      <c r="T1" s="152" t="s">
        <v>12</v>
      </c>
      <c r="U1" s="152"/>
      <c r="V1" s="2" t="s">
        <v>100</v>
      </c>
    </row>
    <row r="2" spans="1:24" ht="18.8" customHeight="1" x14ac:dyDescent="0.2">
      <c r="A2" s="76"/>
      <c r="B2" s="78" t="s">
        <v>99</v>
      </c>
      <c r="C2" s="153" t="s">
        <v>136</v>
      </c>
      <c r="D2" s="154"/>
      <c r="E2" s="154"/>
      <c r="F2" s="154"/>
      <c r="G2" s="154"/>
      <c r="H2" s="154"/>
      <c r="I2" s="154"/>
      <c r="J2" s="155"/>
      <c r="K2" s="77"/>
      <c r="L2" s="79"/>
      <c r="M2" s="79"/>
      <c r="N2" s="79"/>
      <c r="O2" s="79"/>
      <c r="P2" s="79"/>
      <c r="Q2" s="79"/>
      <c r="R2" s="79"/>
      <c r="S2" s="79"/>
      <c r="T2" s="79"/>
      <c r="U2" s="79"/>
    </row>
    <row r="3" spans="1:24" ht="18.8" customHeight="1" x14ac:dyDescent="0.2">
      <c r="A3" s="76"/>
      <c r="B3" s="78" t="s">
        <v>94</v>
      </c>
      <c r="C3" s="156" t="s">
        <v>172</v>
      </c>
      <c r="D3" s="157"/>
      <c r="E3" s="157"/>
      <c r="F3" s="157"/>
      <c r="G3" s="157"/>
      <c r="H3" s="157"/>
      <c r="I3" s="157"/>
      <c r="J3" s="158"/>
      <c r="K3" s="77"/>
      <c r="L3" s="79"/>
      <c r="M3" s="79"/>
      <c r="N3" s="79"/>
      <c r="O3" s="79"/>
      <c r="P3" s="79"/>
      <c r="Q3" s="79"/>
      <c r="R3" s="79"/>
      <c r="S3" s="79"/>
      <c r="T3" s="79"/>
      <c r="U3" s="79"/>
    </row>
    <row r="4" spans="1:24" ht="15.05" customHeight="1" x14ac:dyDescent="0.2">
      <c r="A4" s="76"/>
      <c r="B4" s="76"/>
      <c r="C4" s="76"/>
      <c r="D4" s="76"/>
      <c r="E4" s="76"/>
      <c r="F4" s="76"/>
      <c r="G4" s="76"/>
      <c r="H4" s="76"/>
      <c r="I4" s="76"/>
      <c r="J4" s="76"/>
      <c r="K4" s="76"/>
      <c r="L4" s="77"/>
      <c r="M4" s="80"/>
      <c r="N4" s="80"/>
      <c r="O4" s="80"/>
      <c r="P4" s="80"/>
      <c r="Q4" s="80"/>
      <c r="R4" s="80"/>
      <c r="S4" s="80"/>
      <c r="T4" s="80"/>
      <c r="U4" s="80"/>
    </row>
    <row r="5" spans="1:24" ht="18" customHeight="1" x14ac:dyDescent="0.2">
      <c r="A5" s="159" t="s">
        <v>38</v>
      </c>
      <c r="B5" s="159"/>
      <c r="C5" s="159"/>
      <c r="D5" s="159"/>
      <c r="E5" s="159"/>
      <c r="F5" s="159"/>
      <c r="G5" s="159"/>
      <c r="H5" s="159"/>
      <c r="I5" s="159"/>
      <c r="J5" s="159"/>
      <c r="K5" s="159"/>
      <c r="L5" s="159"/>
      <c r="M5" s="159"/>
      <c r="N5" s="159"/>
      <c r="O5" s="159"/>
      <c r="P5" s="159"/>
      <c r="Q5" s="159"/>
      <c r="R5" s="159"/>
      <c r="S5" s="159"/>
      <c r="T5" s="159"/>
      <c r="U5" s="159"/>
    </row>
    <row r="6" spans="1:24" ht="15.05" customHeight="1" x14ac:dyDescent="0.2">
      <c r="A6" s="76"/>
      <c r="B6" s="81"/>
      <c r="C6" s="81"/>
      <c r="D6" s="81"/>
      <c r="E6" s="81"/>
      <c r="F6" s="81"/>
      <c r="G6" s="81"/>
      <c r="H6" s="81"/>
      <c r="I6" s="81"/>
      <c r="J6" s="81"/>
      <c r="K6" s="81"/>
      <c r="L6" s="81"/>
      <c r="M6" s="81"/>
      <c r="N6" s="81"/>
      <c r="O6" s="81"/>
      <c r="P6" s="81"/>
      <c r="Q6" s="81"/>
      <c r="R6" s="81"/>
      <c r="S6" s="81"/>
      <c r="T6" s="81"/>
      <c r="U6" s="81"/>
    </row>
    <row r="7" spans="1:24" ht="15.05" customHeight="1" x14ac:dyDescent="0.2">
      <c r="A7" s="76" t="s">
        <v>131</v>
      </c>
      <c r="B7" s="81"/>
      <c r="C7" s="81"/>
      <c r="D7" s="81"/>
      <c r="E7" s="81"/>
      <c r="F7" s="75"/>
      <c r="G7" s="75"/>
      <c r="H7" s="75"/>
      <c r="I7" s="75"/>
      <c r="J7" s="75"/>
      <c r="K7" s="75"/>
      <c r="L7" s="160" t="s">
        <v>186</v>
      </c>
      <c r="M7" s="161"/>
      <c r="N7" s="161"/>
      <c r="O7" s="161"/>
      <c r="P7" s="161"/>
      <c r="Q7" s="161"/>
      <c r="R7" s="161"/>
      <c r="S7" s="161"/>
      <c r="T7" s="161"/>
      <c r="U7" s="162"/>
    </row>
    <row r="8" spans="1:24" ht="5.95" customHeight="1" x14ac:dyDescent="0.2">
      <c r="A8" s="76"/>
      <c r="B8" s="81"/>
      <c r="C8" s="81"/>
      <c r="D8" s="81"/>
      <c r="E8" s="81"/>
      <c r="F8" s="81"/>
      <c r="G8" s="81"/>
      <c r="H8" s="81"/>
      <c r="I8" s="81"/>
      <c r="J8" s="81"/>
      <c r="K8" s="81"/>
      <c r="L8" s="81"/>
      <c r="M8" s="81"/>
      <c r="N8" s="81"/>
      <c r="O8" s="81"/>
      <c r="P8" s="81"/>
      <c r="Q8" s="81"/>
      <c r="R8" s="81"/>
      <c r="S8" s="81"/>
      <c r="T8" s="81"/>
      <c r="U8" s="81"/>
    </row>
    <row r="9" spans="1:24" ht="18" customHeight="1" x14ac:dyDescent="0.2">
      <c r="A9" s="76" t="s">
        <v>132</v>
      </c>
      <c r="B9" s="76"/>
      <c r="C9" s="81"/>
      <c r="D9" s="81"/>
      <c r="E9" s="76"/>
      <c r="F9" s="76"/>
      <c r="G9" s="76"/>
      <c r="H9" s="76"/>
      <c r="I9" s="76"/>
      <c r="J9" s="76"/>
      <c r="K9" s="77"/>
      <c r="L9" s="75"/>
      <c r="M9" s="75"/>
      <c r="N9" s="75"/>
      <c r="O9" s="75"/>
      <c r="P9" s="75"/>
      <c r="Q9" s="75"/>
      <c r="R9" s="75"/>
      <c r="S9" s="75"/>
      <c r="T9" s="75"/>
      <c r="U9" s="75"/>
    </row>
    <row r="10" spans="1:24" ht="5.95" customHeight="1" x14ac:dyDescent="0.2">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2">
      <c r="A11" s="76"/>
      <c r="B11" s="163"/>
      <c r="C11" s="164"/>
      <c r="D11" s="164"/>
      <c r="E11" s="164"/>
      <c r="F11" s="164"/>
      <c r="G11" s="164"/>
      <c r="H11" s="164"/>
      <c r="I11" s="164"/>
      <c r="J11" s="164"/>
      <c r="K11" s="164"/>
      <c r="L11" s="164"/>
      <c r="M11" s="164"/>
      <c r="N11" s="164"/>
      <c r="O11" s="164"/>
      <c r="P11" s="164"/>
      <c r="Q11" s="164"/>
      <c r="R11" s="164"/>
      <c r="S11" s="164"/>
      <c r="T11" s="164"/>
      <c r="U11" s="165"/>
    </row>
    <row r="12" spans="1:24" ht="18" customHeight="1" x14ac:dyDescent="0.2">
      <c r="A12" s="76"/>
      <c r="B12" s="166"/>
      <c r="C12" s="167"/>
      <c r="D12" s="167"/>
      <c r="E12" s="167"/>
      <c r="F12" s="167"/>
      <c r="G12" s="167"/>
      <c r="H12" s="167"/>
      <c r="I12" s="167"/>
      <c r="J12" s="167"/>
      <c r="K12" s="167"/>
      <c r="L12" s="167"/>
      <c r="M12" s="167"/>
      <c r="N12" s="167"/>
      <c r="O12" s="167"/>
      <c r="P12" s="167"/>
      <c r="Q12" s="167"/>
      <c r="R12" s="167"/>
      <c r="S12" s="167"/>
      <c r="T12" s="167"/>
      <c r="U12" s="168"/>
    </row>
    <row r="13" spans="1:24" ht="5.95" customHeight="1" x14ac:dyDescent="0.2">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2">
      <c r="A14" s="76" t="s">
        <v>101</v>
      </c>
      <c r="B14" s="81"/>
      <c r="C14" s="81"/>
      <c r="D14" s="81"/>
      <c r="E14" s="77"/>
      <c r="F14" s="77"/>
      <c r="G14" s="77"/>
      <c r="H14" s="77"/>
      <c r="I14" s="77"/>
      <c r="J14" s="77"/>
      <c r="K14" s="77"/>
      <c r="L14" s="83"/>
      <c r="M14" s="83"/>
      <c r="N14" s="83"/>
      <c r="O14" s="83"/>
      <c r="P14" s="83"/>
      <c r="Q14" s="83"/>
      <c r="R14" s="83"/>
      <c r="S14" s="83"/>
      <c r="T14" s="83"/>
      <c r="U14" s="83"/>
    </row>
    <row r="15" spans="1:24" ht="18" customHeight="1" x14ac:dyDescent="0.2">
      <c r="A15" s="76"/>
      <c r="B15" s="139" t="s">
        <v>165</v>
      </c>
      <c r="C15" s="140"/>
      <c r="D15" s="140"/>
      <c r="E15" s="140"/>
      <c r="F15" s="140"/>
      <c r="G15" s="140"/>
      <c r="H15" s="140"/>
      <c r="I15" s="140"/>
      <c r="J15" s="140"/>
      <c r="K15" s="140"/>
      <c r="L15" s="140"/>
      <c r="M15" s="140"/>
      <c r="N15" s="140"/>
      <c r="O15" s="140"/>
      <c r="P15" s="140"/>
      <c r="Q15" s="140"/>
      <c r="R15" s="140"/>
      <c r="S15" s="140"/>
      <c r="T15" s="140"/>
      <c r="U15" s="141"/>
      <c r="X15" s="1" t="s">
        <v>95</v>
      </c>
    </row>
    <row r="16" spans="1:24" ht="18" customHeight="1" x14ac:dyDescent="0.2">
      <c r="A16" s="76"/>
      <c r="B16" s="142"/>
      <c r="C16" s="143"/>
      <c r="D16" s="143"/>
      <c r="E16" s="143"/>
      <c r="F16" s="143"/>
      <c r="G16" s="143"/>
      <c r="H16" s="143"/>
      <c r="I16" s="143"/>
      <c r="J16" s="143"/>
      <c r="K16" s="143"/>
      <c r="L16" s="143"/>
      <c r="M16" s="143"/>
      <c r="N16" s="143"/>
      <c r="O16" s="143"/>
      <c r="P16" s="143"/>
      <c r="Q16" s="143"/>
      <c r="R16" s="143"/>
      <c r="S16" s="143"/>
      <c r="T16" s="143"/>
      <c r="U16" s="144"/>
      <c r="X16" s="1" t="s">
        <v>115</v>
      </c>
    </row>
    <row r="17" spans="1:24" ht="18" customHeight="1" x14ac:dyDescent="0.2">
      <c r="A17" s="76"/>
      <c r="B17" s="142"/>
      <c r="C17" s="143"/>
      <c r="D17" s="143"/>
      <c r="E17" s="143"/>
      <c r="F17" s="143"/>
      <c r="G17" s="143"/>
      <c r="H17" s="143"/>
      <c r="I17" s="143"/>
      <c r="J17" s="143"/>
      <c r="K17" s="143"/>
      <c r="L17" s="143"/>
      <c r="M17" s="143"/>
      <c r="N17" s="143"/>
      <c r="O17" s="143"/>
      <c r="P17" s="143"/>
      <c r="Q17" s="143"/>
      <c r="R17" s="143"/>
      <c r="S17" s="143"/>
      <c r="T17" s="143"/>
      <c r="U17" s="144"/>
      <c r="X17" s="1" t="s">
        <v>116</v>
      </c>
    </row>
    <row r="18" spans="1:24" ht="18" customHeight="1" x14ac:dyDescent="0.2">
      <c r="A18" s="76"/>
      <c r="B18" s="142"/>
      <c r="C18" s="143"/>
      <c r="D18" s="143"/>
      <c r="E18" s="143"/>
      <c r="F18" s="143"/>
      <c r="G18" s="143"/>
      <c r="H18" s="143"/>
      <c r="I18" s="143"/>
      <c r="J18" s="143"/>
      <c r="K18" s="143"/>
      <c r="L18" s="143"/>
      <c r="M18" s="143"/>
      <c r="N18" s="143"/>
      <c r="O18" s="143"/>
      <c r="P18" s="143"/>
      <c r="Q18" s="143"/>
      <c r="R18" s="143"/>
      <c r="S18" s="143"/>
      <c r="T18" s="143"/>
      <c r="U18" s="144"/>
      <c r="X18" s="1" t="s">
        <v>117</v>
      </c>
    </row>
    <row r="19" spans="1:24" ht="18" customHeight="1" x14ac:dyDescent="0.2">
      <c r="A19" s="76"/>
      <c r="B19" s="142"/>
      <c r="C19" s="143"/>
      <c r="D19" s="143"/>
      <c r="E19" s="143"/>
      <c r="F19" s="143"/>
      <c r="G19" s="143"/>
      <c r="H19" s="143"/>
      <c r="I19" s="143"/>
      <c r="J19" s="143"/>
      <c r="K19" s="143"/>
      <c r="L19" s="143"/>
      <c r="M19" s="143"/>
      <c r="N19" s="143"/>
      <c r="O19" s="143"/>
      <c r="P19" s="143"/>
      <c r="Q19" s="143"/>
      <c r="R19" s="143"/>
      <c r="S19" s="143"/>
      <c r="T19" s="143"/>
      <c r="U19" s="144"/>
    </row>
    <row r="20" spans="1:24" ht="18" customHeight="1" x14ac:dyDescent="0.2">
      <c r="A20" s="76"/>
      <c r="B20" s="145"/>
      <c r="C20" s="146"/>
      <c r="D20" s="146"/>
      <c r="E20" s="146"/>
      <c r="F20" s="146"/>
      <c r="G20" s="146"/>
      <c r="H20" s="146"/>
      <c r="I20" s="146"/>
      <c r="J20" s="146"/>
      <c r="K20" s="146"/>
      <c r="L20" s="146"/>
      <c r="M20" s="146"/>
      <c r="N20" s="146"/>
      <c r="O20" s="146"/>
      <c r="P20" s="146"/>
      <c r="Q20" s="146"/>
      <c r="R20" s="146"/>
      <c r="S20" s="146"/>
      <c r="T20" s="146"/>
      <c r="U20" s="147"/>
    </row>
    <row r="21" spans="1:24" ht="7.55" customHeight="1" x14ac:dyDescent="0.2">
      <c r="A21" s="76"/>
      <c r="B21" s="81"/>
      <c r="C21" s="81"/>
      <c r="D21" s="81"/>
      <c r="E21" s="81"/>
      <c r="F21" s="81"/>
      <c r="G21" s="81"/>
      <c r="H21" s="81"/>
      <c r="I21" s="81"/>
      <c r="J21" s="81"/>
      <c r="K21" s="81"/>
      <c r="L21" s="81"/>
      <c r="M21" s="81"/>
      <c r="N21" s="81"/>
      <c r="O21" s="81"/>
      <c r="P21" s="81"/>
      <c r="Q21" s="81"/>
      <c r="R21" s="81"/>
      <c r="S21" s="81"/>
      <c r="T21" s="81"/>
      <c r="U21" s="81"/>
    </row>
    <row r="22" spans="1:24" ht="20.05" customHeight="1" x14ac:dyDescent="0.2">
      <c r="A22" s="76"/>
      <c r="B22" s="76" t="s">
        <v>133</v>
      </c>
      <c r="C22" s="76"/>
      <c r="D22" s="76"/>
      <c r="E22" s="84">
        <v>3</v>
      </c>
      <c r="F22" s="76" t="s">
        <v>113</v>
      </c>
      <c r="G22" s="76"/>
      <c r="H22" s="85">
        <v>6</v>
      </c>
      <c r="I22" s="81" t="s">
        <v>114</v>
      </c>
      <c r="J22" s="81"/>
      <c r="K22" s="77"/>
      <c r="L22" s="76"/>
      <c r="M22" s="77" t="s">
        <v>110</v>
      </c>
      <c r="N22" s="148" t="s">
        <v>116</v>
      </c>
      <c r="O22" s="149"/>
      <c r="P22" s="149"/>
      <c r="Q22" s="149"/>
      <c r="R22" s="149"/>
      <c r="S22" s="149"/>
      <c r="T22" s="149"/>
      <c r="U22" s="150"/>
    </row>
    <row r="23" spans="1:24" ht="7.55" customHeight="1" x14ac:dyDescent="0.2">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2">
      <c r="A24" s="151" t="s">
        <v>102</v>
      </c>
      <c r="B24" s="151"/>
      <c r="C24" s="151"/>
      <c r="D24" s="151"/>
      <c r="E24" s="151"/>
      <c r="F24" s="151"/>
      <c r="G24" s="151"/>
      <c r="H24" s="151"/>
      <c r="I24" s="151"/>
      <c r="J24" s="151"/>
      <c r="K24" s="151"/>
      <c r="L24" s="151"/>
      <c r="M24" s="151"/>
      <c r="N24" s="151"/>
      <c r="O24" s="151"/>
      <c r="P24" s="151"/>
      <c r="Q24" s="151"/>
      <c r="R24" s="151"/>
      <c r="S24" s="151"/>
      <c r="T24" s="151"/>
      <c r="U24" s="151"/>
    </row>
    <row r="25" spans="1:24" ht="18" customHeight="1" x14ac:dyDescent="0.2">
      <c r="A25" s="151"/>
      <c r="B25" s="151"/>
      <c r="C25" s="151"/>
      <c r="D25" s="151"/>
      <c r="E25" s="151"/>
      <c r="F25" s="151"/>
      <c r="G25" s="151"/>
      <c r="H25" s="151"/>
      <c r="I25" s="151"/>
      <c r="J25" s="151"/>
      <c r="K25" s="151"/>
      <c r="L25" s="151"/>
      <c r="M25" s="151"/>
      <c r="N25" s="151"/>
      <c r="O25" s="151"/>
      <c r="P25" s="151"/>
      <c r="Q25" s="151"/>
      <c r="R25" s="151"/>
      <c r="S25" s="151"/>
      <c r="T25" s="151"/>
      <c r="U25" s="151"/>
    </row>
    <row r="26" spans="1:24" ht="18" customHeight="1" x14ac:dyDescent="0.2">
      <c r="B26" s="111" t="s">
        <v>52</v>
      </c>
      <c r="C26" s="112"/>
      <c r="D26" s="112"/>
      <c r="E26" s="112"/>
      <c r="F26" s="113"/>
      <c r="G26" s="51" t="s">
        <v>78</v>
      </c>
      <c r="H26" s="50" t="s">
        <v>81</v>
      </c>
      <c r="I26" s="17" t="s">
        <v>55</v>
      </c>
      <c r="J26" s="17" t="s">
        <v>58</v>
      </c>
      <c r="K26" s="111" t="s">
        <v>52</v>
      </c>
      <c r="L26" s="112"/>
      <c r="M26" s="112"/>
      <c r="N26" s="112"/>
      <c r="O26" s="112"/>
      <c r="P26" s="112"/>
      <c r="Q26" s="113"/>
      <c r="R26" s="51" t="s">
        <v>78</v>
      </c>
      <c r="S26" s="50" t="s">
        <v>81</v>
      </c>
      <c r="T26" s="17" t="s">
        <v>55</v>
      </c>
      <c r="U26" s="17" t="s">
        <v>58</v>
      </c>
    </row>
    <row r="27" spans="1:24" ht="18" customHeight="1" x14ac:dyDescent="0.2">
      <c r="B27" s="87" t="s">
        <v>138</v>
      </c>
      <c r="C27" s="88"/>
      <c r="D27" s="88"/>
      <c r="E27" s="88"/>
      <c r="F27" s="89"/>
      <c r="G27" s="19">
        <v>2</v>
      </c>
      <c r="H27" s="19" t="s">
        <v>139</v>
      </c>
      <c r="I27" s="19" t="s">
        <v>139</v>
      </c>
      <c r="J27" s="19" t="s">
        <v>139</v>
      </c>
      <c r="K27" s="132"/>
      <c r="L27" s="133"/>
      <c r="M27" s="133"/>
      <c r="N27" s="133"/>
      <c r="O27" s="133"/>
      <c r="P27" s="133"/>
      <c r="Q27" s="134"/>
      <c r="R27" s="18"/>
      <c r="S27" s="18"/>
      <c r="T27" s="18"/>
      <c r="U27" s="18"/>
    </row>
    <row r="28" spans="1:24" ht="18" customHeight="1" x14ac:dyDescent="0.2">
      <c r="B28" s="87" t="s">
        <v>140</v>
      </c>
      <c r="C28" s="88"/>
      <c r="D28" s="88"/>
      <c r="E28" s="88"/>
      <c r="F28" s="89"/>
      <c r="G28" s="19">
        <v>2</v>
      </c>
      <c r="H28" s="19"/>
      <c r="I28" s="19" t="s">
        <v>139</v>
      </c>
      <c r="J28" s="19" t="s">
        <v>139</v>
      </c>
      <c r="K28" s="117"/>
      <c r="L28" s="118"/>
      <c r="M28" s="118"/>
      <c r="N28" s="118"/>
      <c r="O28" s="118"/>
      <c r="P28" s="118"/>
      <c r="Q28" s="119"/>
      <c r="R28" s="19"/>
      <c r="S28" s="19"/>
      <c r="T28" s="19"/>
      <c r="U28" s="19"/>
    </row>
    <row r="29" spans="1:24" ht="18" customHeight="1" x14ac:dyDescent="0.2">
      <c r="B29" s="117" t="s">
        <v>137</v>
      </c>
      <c r="C29" s="118"/>
      <c r="D29" s="118"/>
      <c r="E29" s="118"/>
      <c r="F29" s="119"/>
      <c r="G29" s="19">
        <v>2</v>
      </c>
      <c r="H29" s="19"/>
      <c r="I29" s="19" t="s">
        <v>139</v>
      </c>
      <c r="J29" s="19" t="s">
        <v>139</v>
      </c>
      <c r="K29" s="117"/>
      <c r="L29" s="118"/>
      <c r="M29" s="118"/>
      <c r="N29" s="118"/>
      <c r="O29" s="118"/>
      <c r="P29" s="118"/>
      <c r="Q29" s="119"/>
      <c r="R29" s="19"/>
      <c r="S29" s="19"/>
      <c r="T29" s="19"/>
      <c r="U29" s="19"/>
    </row>
    <row r="30" spans="1:24" ht="18" customHeight="1" x14ac:dyDescent="0.2">
      <c r="B30" s="117"/>
      <c r="C30" s="118"/>
      <c r="D30" s="118"/>
      <c r="E30" s="118"/>
      <c r="F30" s="119"/>
      <c r="G30" s="19"/>
      <c r="H30" s="19"/>
      <c r="I30" s="19"/>
      <c r="J30" s="19"/>
      <c r="K30" s="117"/>
      <c r="L30" s="118"/>
      <c r="M30" s="118"/>
      <c r="N30" s="118"/>
      <c r="O30" s="118"/>
      <c r="P30" s="118"/>
      <c r="Q30" s="119"/>
      <c r="R30" s="19"/>
      <c r="S30" s="19"/>
      <c r="T30" s="19"/>
      <c r="U30" s="19"/>
    </row>
    <row r="31" spans="1:24" ht="18" customHeight="1" x14ac:dyDescent="0.2">
      <c r="B31" s="117"/>
      <c r="C31" s="118"/>
      <c r="D31" s="118"/>
      <c r="E31" s="118"/>
      <c r="F31" s="119"/>
      <c r="G31" s="19"/>
      <c r="H31" s="19"/>
      <c r="I31" s="19"/>
      <c r="J31" s="19"/>
      <c r="K31" s="117"/>
      <c r="L31" s="118"/>
      <c r="M31" s="118"/>
      <c r="N31" s="118"/>
      <c r="O31" s="118"/>
      <c r="P31" s="118"/>
      <c r="Q31" s="119"/>
      <c r="R31" s="19"/>
      <c r="S31" s="19"/>
      <c r="T31" s="19"/>
      <c r="U31" s="19"/>
    </row>
    <row r="32" spans="1:24" ht="18" customHeight="1" x14ac:dyDescent="0.2">
      <c r="A32" s="3"/>
      <c r="B32" s="117"/>
      <c r="C32" s="118"/>
      <c r="D32" s="118"/>
      <c r="E32" s="118"/>
      <c r="F32" s="119"/>
      <c r="G32" s="19"/>
      <c r="H32" s="19"/>
      <c r="I32" s="19"/>
      <c r="J32" s="19"/>
      <c r="K32" s="117"/>
      <c r="L32" s="118"/>
      <c r="M32" s="118"/>
      <c r="N32" s="118"/>
      <c r="O32" s="118"/>
      <c r="P32" s="118"/>
      <c r="Q32" s="119"/>
      <c r="R32" s="19"/>
      <c r="S32" s="19"/>
      <c r="T32" s="19"/>
      <c r="U32" s="19"/>
    </row>
    <row r="33" spans="1:21" ht="18" customHeight="1" x14ac:dyDescent="0.2">
      <c r="A33" s="3"/>
      <c r="B33" s="123"/>
      <c r="C33" s="124"/>
      <c r="D33" s="124"/>
      <c r="E33" s="124"/>
      <c r="F33" s="125"/>
      <c r="G33" s="20"/>
      <c r="H33" s="20"/>
      <c r="I33" s="21"/>
      <c r="J33" s="21"/>
      <c r="K33" s="123"/>
      <c r="L33" s="124"/>
      <c r="M33" s="124"/>
      <c r="N33" s="124"/>
      <c r="O33" s="124"/>
      <c r="P33" s="124"/>
      <c r="Q33" s="125"/>
      <c r="R33" s="20"/>
      <c r="S33" s="20"/>
      <c r="T33" s="21"/>
      <c r="U33" s="21"/>
    </row>
    <row r="34" spans="1:21" ht="7.5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38" t="s">
        <v>103</v>
      </c>
      <c r="B35" s="138"/>
      <c r="C35" s="138"/>
      <c r="D35" s="138"/>
      <c r="E35" s="138"/>
      <c r="F35" s="138"/>
      <c r="G35" s="138"/>
      <c r="H35" s="138"/>
      <c r="I35" s="138"/>
      <c r="J35" s="138"/>
      <c r="K35" s="138"/>
      <c r="L35" s="138"/>
      <c r="M35" s="138"/>
      <c r="N35" s="138"/>
      <c r="O35" s="138"/>
      <c r="P35" s="138"/>
      <c r="Q35" s="138"/>
      <c r="R35" s="138"/>
      <c r="S35" s="138"/>
      <c r="T35" s="138"/>
      <c r="U35" s="138"/>
    </row>
    <row r="36" spans="1:21" ht="18" customHeight="1" x14ac:dyDescent="0.2">
      <c r="A36" s="138"/>
      <c r="B36" s="138"/>
      <c r="C36" s="138"/>
      <c r="D36" s="138"/>
      <c r="E36" s="138"/>
      <c r="F36" s="138"/>
      <c r="G36" s="138"/>
      <c r="H36" s="138"/>
      <c r="I36" s="138"/>
      <c r="J36" s="138"/>
      <c r="K36" s="138"/>
      <c r="L36" s="138"/>
      <c r="M36" s="138"/>
      <c r="N36" s="138"/>
      <c r="O36" s="138"/>
      <c r="P36" s="138"/>
      <c r="Q36" s="138"/>
      <c r="R36" s="138"/>
      <c r="S36" s="138"/>
      <c r="T36" s="138"/>
      <c r="U36" s="138"/>
    </row>
    <row r="37" spans="1:21" ht="18" customHeight="1" x14ac:dyDescent="0.2">
      <c r="B37" s="111" t="s">
        <v>52</v>
      </c>
      <c r="C37" s="112"/>
      <c r="D37" s="112"/>
      <c r="E37" s="112"/>
      <c r="F37" s="113"/>
      <c r="G37" s="51" t="s">
        <v>78</v>
      </c>
      <c r="H37" s="50" t="s">
        <v>81</v>
      </c>
      <c r="I37" s="17" t="s">
        <v>69</v>
      </c>
      <c r="J37" s="17" t="s">
        <v>70</v>
      </c>
      <c r="K37" s="111" t="s">
        <v>52</v>
      </c>
      <c r="L37" s="112"/>
      <c r="M37" s="112"/>
      <c r="N37" s="112"/>
      <c r="O37" s="112"/>
      <c r="P37" s="112"/>
      <c r="Q37" s="113"/>
      <c r="R37" s="51" t="s">
        <v>78</v>
      </c>
      <c r="S37" s="50" t="s">
        <v>81</v>
      </c>
      <c r="T37" s="17" t="s">
        <v>69</v>
      </c>
      <c r="U37" s="17" t="s">
        <v>70</v>
      </c>
    </row>
    <row r="38" spans="1:21" ht="18" customHeight="1" x14ac:dyDescent="0.2">
      <c r="B38" s="87" t="s">
        <v>138</v>
      </c>
      <c r="C38" s="88"/>
      <c r="D38" s="88"/>
      <c r="E38" s="88"/>
      <c r="F38" s="89"/>
      <c r="G38" s="19">
        <v>2</v>
      </c>
      <c r="H38" s="19" t="s">
        <v>139</v>
      </c>
      <c r="I38" s="19" t="s">
        <v>139</v>
      </c>
      <c r="J38" s="19" t="s">
        <v>139</v>
      </c>
      <c r="K38" s="132"/>
      <c r="L38" s="133"/>
      <c r="M38" s="133"/>
      <c r="N38" s="133"/>
      <c r="O38" s="133"/>
      <c r="P38" s="133"/>
      <c r="Q38" s="134"/>
      <c r="R38" s="18"/>
      <c r="S38" s="18"/>
      <c r="T38" s="18"/>
      <c r="U38" s="18"/>
    </row>
    <row r="39" spans="1:21" ht="18" customHeight="1" x14ac:dyDescent="0.2">
      <c r="B39" s="87" t="s">
        <v>140</v>
      </c>
      <c r="C39" s="88"/>
      <c r="D39" s="88"/>
      <c r="E39" s="88"/>
      <c r="F39" s="89"/>
      <c r="G39" s="19">
        <v>2</v>
      </c>
      <c r="H39" s="19"/>
      <c r="I39" s="19" t="s">
        <v>139</v>
      </c>
      <c r="J39" s="19" t="s">
        <v>139</v>
      </c>
      <c r="K39" s="117"/>
      <c r="L39" s="118"/>
      <c r="M39" s="118"/>
      <c r="N39" s="118"/>
      <c r="O39" s="118"/>
      <c r="P39" s="118"/>
      <c r="Q39" s="119"/>
      <c r="R39" s="19"/>
      <c r="S39" s="19"/>
      <c r="T39" s="19"/>
      <c r="U39" s="19"/>
    </row>
    <row r="40" spans="1:21" ht="18" customHeight="1" x14ac:dyDescent="0.2">
      <c r="B40" s="117" t="s">
        <v>137</v>
      </c>
      <c r="C40" s="118"/>
      <c r="D40" s="118"/>
      <c r="E40" s="118"/>
      <c r="F40" s="119"/>
      <c r="G40" s="19">
        <v>2</v>
      </c>
      <c r="H40" s="19"/>
      <c r="I40" s="19" t="s">
        <v>139</v>
      </c>
      <c r="J40" s="19" t="s">
        <v>139</v>
      </c>
      <c r="K40" s="117"/>
      <c r="L40" s="118"/>
      <c r="M40" s="118"/>
      <c r="N40" s="118"/>
      <c r="O40" s="118"/>
      <c r="P40" s="118"/>
      <c r="Q40" s="119"/>
      <c r="R40" s="19"/>
      <c r="S40" s="19"/>
      <c r="T40" s="19"/>
      <c r="U40" s="19"/>
    </row>
    <row r="41" spans="1:21" ht="18" customHeight="1" x14ac:dyDescent="0.2">
      <c r="B41" s="117"/>
      <c r="C41" s="118"/>
      <c r="D41" s="118"/>
      <c r="E41" s="118"/>
      <c r="F41" s="119"/>
      <c r="G41" s="19"/>
      <c r="H41" s="19"/>
      <c r="I41" s="19"/>
      <c r="J41" s="19"/>
      <c r="K41" s="117"/>
      <c r="L41" s="118"/>
      <c r="M41" s="118"/>
      <c r="N41" s="118"/>
      <c r="O41" s="118"/>
      <c r="P41" s="118"/>
      <c r="Q41" s="119"/>
      <c r="R41" s="19"/>
      <c r="S41" s="19"/>
      <c r="T41" s="19"/>
      <c r="U41" s="19"/>
    </row>
    <row r="42" spans="1:21" ht="18" customHeight="1" x14ac:dyDescent="0.2">
      <c r="B42" s="117"/>
      <c r="C42" s="118"/>
      <c r="D42" s="118"/>
      <c r="E42" s="118"/>
      <c r="F42" s="119"/>
      <c r="G42" s="19"/>
      <c r="H42" s="19"/>
      <c r="I42" s="19"/>
      <c r="J42" s="19"/>
      <c r="K42" s="117"/>
      <c r="L42" s="118"/>
      <c r="M42" s="118"/>
      <c r="N42" s="118"/>
      <c r="O42" s="118"/>
      <c r="P42" s="118"/>
      <c r="Q42" s="119"/>
      <c r="R42" s="19"/>
      <c r="S42" s="19"/>
      <c r="T42" s="19"/>
      <c r="U42" s="19"/>
    </row>
    <row r="43" spans="1:21" ht="18" customHeight="1" x14ac:dyDescent="0.2">
      <c r="B43" s="117"/>
      <c r="C43" s="118"/>
      <c r="D43" s="118"/>
      <c r="E43" s="118"/>
      <c r="F43" s="119"/>
      <c r="G43" s="19"/>
      <c r="H43" s="19"/>
      <c r="I43" s="19"/>
      <c r="J43" s="19"/>
      <c r="K43" s="117"/>
      <c r="L43" s="118"/>
      <c r="M43" s="118"/>
      <c r="N43" s="118"/>
      <c r="O43" s="118"/>
      <c r="P43" s="118"/>
      <c r="Q43" s="119"/>
      <c r="R43" s="19"/>
      <c r="S43" s="19"/>
      <c r="T43" s="19"/>
      <c r="U43" s="19"/>
    </row>
    <row r="44" spans="1:21" ht="18" customHeight="1" x14ac:dyDescent="0.2">
      <c r="B44" s="123"/>
      <c r="C44" s="124"/>
      <c r="D44" s="124"/>
      <c r="E44" s="124"/>
      <c r="F44" s="125"/>
      <c r="G44" s="20"/>
      <c r="H44" s="20"/>
      <c r="I44" s="21"/>
      <c r="J44" s="21"/>
      <c r="K44" s="123"/>
      <c r="L44" s="124"/>
      <c r="M44" s="124"/>
      <c r="N44" s="124"/>
      <c r="O44" s="124"/>
      <c r="P44" s="124"/>
      <c r="Q44" s="125"/>
      <c r="R44" s="20"/>
      <c r="S44" s="20"/>
      <c r="T44" s="21"/>
      <c r="U44" s="21"/>
    </row>
    <row r="45" spans="1:21" ht="7.5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38" t="s">
        <v>104</v>
      </c>
      <c r="B46" s="138"/>
      <c r="C46" s="138"/>
      <c r="D46" s="138"/>
      <c r="E46" s="138"/>
      <c r="F46" s="138"/>
      <c r="G46" s="138"/>
      <c r="H46" s="138"/>
      <c r="I46" s="138"/>
      <c r="J46" s="138"/>
      <c r="K46" s="138"/>
      <c r="L46" s="138"/>
      <c r="M46" s="138"/>
      <c r="N46" s="138"/>
      <c r="O46" s="138"/>
      <c r="P46" s="138"/>
      <c r="Q46" s="138"/>
      <c r="R46" s="138"/>
      <c r="S46" s="138"/>
      <c r="T46" s="138"/>
      <c r="U46" s="138"/>
    </row>
    <row r="47" spans="1:21" ht="18" customHeight="1" x14ac:dyDescent="0.2">
      <c r="A47" s="138"/>
      <c r="B47" s="138"/>
      <c r="C47" s="138"/>
      <c r="D47" s="138"/>
      <c r="E47" s="138"/>
      <c r="F47" s="138"/>
      <c r="G47" s="138"/>
      <c r="H47" s="138"/>
      <c r="I47" s="138"/>
      <c r="J47" s="138"/>
      <c r="K47" s="138"/>
      <c r="L47" s="138"/>
      <c r="M47" s="138"/>
      <c r="N47" s="138"/>
      <c r="O47" s="138"/>
      <c r="P47" s="138"/>
      <c r="Q47" s="138"/>
      <c r="R47" s="138"/>
      <c r="S47" s="138"/>
      <c r="T47" s="138"/>
      <c r="U47" s="138"/>
    </row>
    <row r="48" spans="1:21" ht="18" customHeight="1" x14ac:dyDescent="0.2">
      <c r="B48" s="111" t="s">
        <v>52</v>
      </c>
      <c r="C48" s="112"/>
      <c r="D48" s="112"/>
      <c r="E48" s="112"/>
      <c r="F48" s="113"/>
      <c r="G48" s="51" t="s">
        <v>78</v>
      </c>
      <c r="H48" s="50" t="s">
        <v>81</v>
      </c>
      <c r="I48" s="17" t="s">
        <v>71</v>
      </c>
      <c r="J48" s="17" t="s">
        <v>72</v>
      </c>
      <c r="K48" s="111" t="s">
        <v>52</v>
      </c>
      <c r="L48" s="112"/>
      <c r="M48" s="112"/>
      <c r="N48" s="112"/>
      <c r="O48" s="112"/>
      <c r="P48" s="112"/>
      <c r="Q48" s="113"/>
      <c r="R48" s="51" t="s">
        <v>78</v>
      </c>
      <c r="S48" s="50" t="s">
        <v>81</v>
      </c>
      <c r="T48" s="17" t="s">
        <v>71</v>
      </c>
      <c r="U48" s="17" t="s">
        <v>72</v>
      </c>
    </row>
    <row r="49" spans="1:21" ht="18" customHeight="1" x14ac:dyDescent="0.2">
      <c r="A49" s="3"/>
      <c r="B49" s="87" t="s">
        <v>138</v>
      </c>
      <c r="C49" s="88"/>
      <c r="D49" s="88"/>
      <c r="E49" s="88"/>
      <c r="F49" s="89"/>
      <c r="G49" s="19">
        <v>2</v>
      </c>
      <c r="H49" s="19" t="s">
        <v>139</v>
      </c>
      <c r="I49" s="19" t="s">
        <v>139</v>
      </c>
      <c r="J49" s="19" t="s">
        <v>139</v>
      </c>
      <c r="K49" s="132"/>
      <c r="L49" s="133"/>
      <c r="M49" s="133"/>
      <c r="N49" s="133"/>
      <c r="O49" s="133"/>
      <c r="P49" s="133"/>
      <c r="Q49" s="134"/>
      <c r="R49" s="18"/>
      <c r="S49" s="18"/>
      <c r="T49" s="18"/>
      <c r="U49" s="18"/>
    </row>
    <row r="50" spans="1:21" ht="18" customHeight="1" x14ac:dyDescent="0.2">
      <c r="A50" s="3"/>
      <c r="B50" s="87" t="s">
        <v>140</v>
      </c>
      <c r="C50" s="88"/>
      <c r="D50" s="88"/>
      <c r="E50" s="88"/>
      <c r="F50" s="89"/>
      <c r="G50" s="19">
        <v>2</v>
      </c>
      <c r="H50" s="19"/>
      <c r="I50" s="19" t="s">
        <v>139</v>
      </c>
      <c r="J50" s="19" t="s">
        <v>139</v>
      </c>
      <c r="K50" s="117"/>
      <c r="L50" s="118"/>
      <c r="M50" s="118"/>
      <c r="N50" s="118"/>
      <c r="O50" s="118"/>
      <c r="P50" s="118"/>
      <c r="Q50" s="119"/>
      <c r="R50" s="19"/>
      <c r="S50" s="19"/>
      <c r="T50" s="19"/>
      <c r="U50" s="19"/>
    </row>
    <row r="51" spans="1:21" ht="18" customHeight="1" x14ac:dyDescent="0.2">
      <c r="A51" s="3"/>
      <c r="B51" s="87" t="s">
        <v>137</v>
      </c>
      <c r="C51" s="88"/>
      <c r="D51" s="88"/>
      <c r="E51" s="88"/>
      <c r="F51" s="89"/>
      <c r="G51" s="19">
        <v>2</v>
      </c>
      <c r="H51" s="19"/>
      <c r="I51" s="19" t="s">
        <v>139</v>
      </c>
      <c r="J51" s="19" t="s">
        <v>139</v>
      </c>
      <c r="K51" s="117"/>
      <c r="L51" s="118"/>
      <c r="M51" s="118"/>
      <c r="N51" s="118"/>
      <c r="O51" s="118"/>
      <c r="P51" s="118"/>
      <c r="Q51" s="119"/>
      <c r="R51" s="19"/>
      <c r="S51" s="19"/>
      <c r="T51" s="19"/>
      <c r="U51" s="19"/>
    </row>
    <row r="52" spans="1:21" ht="18" customHeight="1" x14ac:dyDescent="0.2">
      <c r="A52" s="3"/>
      <c r="B52" s="117"/>
      <c r="C52" s="118"/>
      <c r="D52" s="118"/>
      <c r="E52" s="118"/>
      <c r="F52" s="119"/>
      <c r="G52" s="19"/>
      <c r="H52" s="19"/>
      <c r="I52" s="19"/>
      <c r="J52" s="19"/>
      <c r="K52" s="117"/>
      <c r="L52" s="118"/>
      <c r="M52" s="118"/>
      <c r="N52" s="118"/>
      <c r="O52" s="118"/>
      <c r="P52" s="118"/>
      <c r="Q52" s="119"/>
      <c r="R52" s="19"/>
      <c r="S52" s="19"/>
      <c r="T52" s="19"/>
      <c r="U52" s="19"/>
    </row>
    <row r="53" spans="1:21" ht="18" customHeight="1" x14ac:dyDescent="0.2">
      <c r="A53" s="3"/>
      <c r="B53" s="117"/>
      <c r="C53" s="118"/>
      <c r="D53" s="118"/>
      <c r="E53" s="118"/>
      <c r="F53" s="119"/>
      <c r="G53" s="19"/>
      <c r="H53" s="19"/>
      <c r="I53" s="19"/>
      <c r="J53" s="19"/>
      <c r="K53" s="117"/>
      <c r="L53" s="118"/>
      <c r="M53" s="118"/>
      <c r="N53" s="118"/>
      <c r="O53" s="118"/>
      <c r="P53" s="118"/>
      <c r="Q53" s="119"/>
      <c r="R53" s="19"/>
      <c r="S53" s="19"/>
      <c r="T53" s="19"/>
      <c r="U53" s="19"/>
    </row>
    <row r="54" spans="1:21" ht="18" customHeight="1" x14ac:dyDescent="0.2">
      <c r="A54" s="3"/>
      <c r="B54" s="117"/>
      <c r="C54" s="118"/>
      <c r="D54" s="118"/>
      <c r="E54" s="118"/>
      <c r="F54" s="119"/>
      <c r="G54" s="19"/>
      <c r="H54" s="19"/>
      <c r="I54" s="19"/>
      <c r="J54" s="19"/>
      <c r="K54" s="117"/>
      <c r="L54" s="118"/>
      <c r="M54" s="118"/>
      <c r="N54" s="118"/>
      <c r="O54" s="118"/>
      <c r="P54" s="118"/>
      <c r="Q54" s="119"/>
      <c r="R54" s="19"/>
      <c r="S54" s="19"/>
      <c r="T54" s="19"/>
      <c r="U54" s="19"/>
    </row>
    <row r="55" spans="1:21" ht="18" customHeight="1" x14ac:dyDescent="0.2">
      <c r="A55" s="3"/>
      <c r="B55" s="123"/>
      <c r="C55" s="124"/>
      <c r="D55" s="124"/>
      <c r="E55" s="124"/>
      <c r="F55" s="125"/>
      <c r="G55" s="20"/>
      <c r="H55" s="20"/>
      <c r="I55" s="21"/>
      <c r="J55" s="21"/>
      <c r="K55" s="123"/>
      <c r="L55" s="124"/>
      <c r="M55" s="124"/>
      <c r="N55" s="124"/>
      <c r="O55" s="124"/>
      <c r="P55" s="124"/>
      <c r="Q55" s="125"/>
      <c r="R55" s="20"/>
      <c r="S55" s="20"/>
      <c r="T55" s="21"/>
      <c r="U55" s="21"/>
    </row>
    <row r="56" spans="1:21" ht="7.5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38" t="s">
        <v>105</v>
      </c>
      <c r="B57" s="138"/>
      <c r="C57" s="138"/>
      <c r="D57" s="138"/>
      <c r="E57" s="138"/>
      <c r="F57" s="138"/>
      <c r="G57" s="138"/>
      <c r="H57" s="138"/>
      <c r="I57" s="138"/>
      <c r="J57" s="138"/>
      <c r="K57" s="138"/>
      <c r="L57" s="138"/>
      <c r="M57" s="138"/>
      <c r="N57" s="138"/>
      <c r="O57" s="138"/>
      <c r="P57" s="138"/>
      <c r="Q57" s="138"/>
      <c r="R57" s="138"/>
      <c r="S57" s="138"/>
      <c r="T57" s="138"/>
      <c r="U57" s="138"/>
    </row>
    <row r="58" spans="1:21" ht="18" customHeight="1" x14ac:dyDescent="0.2">
      <c r="A58" s="138"/>
      <c r="B58" s="138"/>
      <c r="C58" s="138"/>
      <c r="D58" s="138"/>
      <c r="E58" s="138"/>
      <c r="F58" s="138"/>
      <c r="G58" s="138"/>
      <c r="H58" s="138"/>
      <c r="I58" s="138"/>
      <c r="J58" s="138"/>
      <c r="K58" s="138"/>
      <c r="L58" s="138"/>
      <c r="M58" s="138"/>
      <c r="N58" s="138"/>
      <c r="O58" s="138"/>
      <c r="P58" s="138"/>
      <c r="Q58" s="138"/>
      <c r="R58" s="138"/>
      <c r="S58" s="138"/>
      <c r="T58" s="138"/>
      <c r="U58" s="138"/>
    </row>
    <row r="59" spans="1:21" ht="18" customHeight="1" x14ac:dyDescent="0.2">
      <c r="B59" s="111" t="s">
        <v>52</v>
      </c>
      <c r="C59" s="112"/>
      <c r="D59" s="112"/>
      <c r="E59" s="112"/>
      <c r="F59" s="113"/>
      <c r="G59" s="51" t="s">
        <v>78</v>
      </c>
      <c r="H59" s="50" t="s">
        <v>81</v>
      </c>
      <c r="I59" s="17" t="s">
        <v>57</v>
      </c>
      <c r="J59" s="17" t="s">
        <v>59</v>
      </c>
      <c r="K59" s="111" t="s">
        <v>52</v>
      </c>
      <c r="L59" s="112"/>
      <c r="M59" s="112"/>
      <c r="N59" s="112"/>
      <c r="O59" s="112"/>
      <c r="P59" s="112"/>
      <c r="Q59" s="113"/>
      <c r="R59" s="51" t="s">
        <v>78</v>
      </c>
      <c r="S59" s="50" t="s">
        <v>81</v>
      </c>
      <c r="T59" s="17" t="s">
        <v>57</v>
      </c>
      <c r="U59" s="17" t="s">
        <v>59</v>
      </c>
    </row>
    <row r="60" spans="1:21" ht="18" customHeight="1" x14ac:dyDescent="0.2">
      <c r="A60" s="3"/>
      <c r="B60" s="87" t="s">
        <v>138</v>
      </c>
      <c r="C60" s="88"/>
      <c r="D60" s="88"/>
      <c r="E60" s="88"/>
      <c r="F60" s="89"/>
      <c r="G60" s="19">
        <v>2</v>
      </c>
      <c r="H60" s="19" t="s">
        <v>139</v>
      </c>
      <c r="I60" s="19" t="s">
        <v>139</v>
      </c>
      <c r="J60" s="19" t="s">
        <v>139</v>
      </c>
      <c r="K60" s="132"/>
      <c r="L60" s="133"/>
      <c r="M60" s="133"/>
      <c r="N60" s="133"/>
      <c r="O60" s="133"/>
      <c r="P60" s="133"/>
      <c r="Q60" s="134"/>
      <c r="R60" s="18"/>
      <c r="S60" s="18"/>
      <c r="T60" s="18"/>
      <c r="U60" s="18"/>
    </row>
    <row r="61" spans="1:21" ht="18" customHeight="1" x14ac:dyDescent="0.2">
      <c r="A61" s="3"/>
      <c r="B61" s="87" t="s">
        <v>140</v>
      </c>
      <c r="C61" s="88"/>
      <c r="D61" s="88"/>
      <c r="E61" s="88"/>
      <c r="F61" s="89"/>
      <c r="G61" s="19">
        <v>2</v>
      </c>
      <c r="H61" s="19"/>
      <c r="I61" s="19" t="s">
        <v>139</v>
      </c>
      <c r="J61" s="19" t="s">
        <v>139</v>
      </c>
      <c r="K61" s="117"/>
      <c r="L61" s="118"/>
      <c r="M61" s="118"/>
      <c r="N61" s="118"/>
      <c r="O61" s="118"/>
      <c r="P61" s="118"/>
      <c r="Q61" s="119"/>
      <c r="R61" s="19"/>
      <c r="S61" s="19"/>
      <c r="T61" s="19"/>
      <c r="U61" s="19"/>
    </row>
    <row r="62" spans="1:21" ht="18" customHeight="1" x14ac:dyDescent="0.2">
      <c r="A62" s="3"/>
      <c r="B62" s="117" t="s">
        <v>137</v>
      </c>
      <c r="C62" s="118"/>
      <c r="D62" s="118"/>
      <c r="E62" s="118"/>
      <c r="F62" s="119"/>
      <c r="G62" s="19">
        <v>2</v>
      </c>
      <c r="H62" s="19"/>
      <c r="I62" s="19" t="s">
        <v>139</v>
      </c>
      <c r="J62" s="19" t="s">
        <v>139</v>
      </c>
      <c r="K62" s="117"/>
      <c r="L62" s="118"/>
      <c r="M62" s="118"/>
      <c r="N62" s="118"/>
      <c r="O62" s="118"/>
      <c r="P62" s="118"/>
      <c r="Q62" s="119"/>
      <c r="R62" s="19"/>
      <c r="S62" s="19"/>
      <c r="T62" s="19"/>
      <c r="U62" s="19"/>
    </row>
    <row r="63" spans="1:21" ht="18" customHeight="1" x14ac:dyDescent="0.2">
      <c r="A63" s="3"/>
      <c r="B63" s="117"/>
      <c r="C63" s="118"/>
      <c r="D63" s="118"/>
      <c r="E63" s="118"/>
      <c r="F63" s="119"/>
      <c r="G63" s="19"/>
      <c r="H63" s="19"/>
      <c r="I63" s="19"/>
      <c r="J63" s="19"/>
      <c r="K63" s="117"/>
      <c r="L63" s="118"/>
      <c r="M63" s="118"/>
      <c r="N63" s="118"/>
      <c r="O63" s="118"/>
      <c r="P63" s="118"/>
      <c r="Q63" s="119"/>
      <c r="R63" s="19"/>
      <c r="S63" s="19"/>
      <c r="T63" s="19"/>
      <c r="U63" s="19"/>
    </row>
    <row r="64" spans="1:21" ht="18" customHeight="1" x14ac:dyDescent="0.2">
      <c r="A64" s="3"/>
      <c r="B64" s="117"/>
      <c r="C64" s="118"/>
      <c r="D64" s="118"/>
      <c r="E64" s="118"/>
      <c r="F64" s="119"/>
      <c r="G64" s="19"/>
      <c r="H64" s="19"/>
      <c r="I64" s="19"/>
      <c r="J64" s="19"/>
      <c r="K64" s="117"/>
      <c r="L64" s="118"/>
      <c r="M64" s="118"/>
      <c r="N64" s="118"/>
      <c r="O64" s="118"/>
      <c r="P64" s="118"/>
      <c r="Q64" s="119"/>
      <c r="R64" s="19"/>
      <c r="S64" s="19"/>
      <c r="T64" s="19"/>
      <c r="U64" s="19"/>
    </row>
    <row r="65" spans="1:21" ht="18" customHeight="1" x14ac:dyDescent="0.2">
      <c r="A65" s="3"/>
      <c r="B65" s="117"/>
      <c r="C65" s="118"/>
      <c r="D65" s="118"/>
      <c r="E65" s="118"/>
      <c r="F65" s="119"/>
      <c r="G65" s="19"/>
      <c r="H65" s="19"/>
      <c r="I65" s="19"/>
      <c r="J65" s="19"/>
      <c r="K65" s="117"/>
      <c r="L65" s="118"/>
      <c r="M65" s="118"/>
      <c r="N65" s="118"/>
      <c r="O65" s="118"/>
      <c r="P65" s="118"/>
      <c r="Q65" s="119"/>
      <c r="R65" s="19"/>
      <c r="S65" s="19"/>
      <c r="T65" s="19"/>
      <c r="U65" s="19"/>
    </row>
    <row r="66" spans="1:21" ht="18" customHeight="1" x14ac:dyDescent="0.2">
      <c r="A66" s="3"/>
      <c r="B66" s="123"/>
      <c r="C66" s="124"/>
      <c r="D66" s="124"/>
      <c r="E66" s="124"/>
      <c r="F66" s="125"/>
      <c r="G66" s="20"/>
      <c r="H66" s="20"/>
      <c r="I66" s="21"/>
      <c r="J66" s="21"/>
      <c r="K66" s="123"/>
      <c r="L66" s="124"/>
      <c r="M66" s="124"/>
      <c r="N66" s="124"/>
      <c r="O66" s="124"/>
      <c r="P66" s="124"/>
      <c r="Q66" s="125"/>
      <c r="R66" s="20"/>
      <c r="S66" s="20"/>
      <c r="T66" s="21"/>
      <c r="U66" s="21"/>
    </row>
    <row r="67" spans="1:21" ht="7.5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38" t="s">
        <v>106</v>
      </c>
      <c r="B68" s="138"/>
      <c r="C68" s="138"/>
      <c r="D68" s="138"/>
      <c r="E68" s="138"/>
      <c r="F68" s="138"/>
      <c r="G68" s="138"/>
      <c r="H68" s="138"/>
      <c r="I68" s="138"/>
      <c r="J68" s="138"/>
      <c r="K68" s="138"/>
      <c r="L68" s="138"/>
      <c r="M68" s="138"/>
      <c r="N68" s="138"/>
      <c r="O68" s="138"/>
      <c r="P68" s="138"/>
      <c r="Q68" s="138"/>
      <c r="R68" s="138"/>
      <c r="S68" s="138"/>
      <c r="T68" s="138"/>
      <c r="U68" s="138"/>
    </row>
    <row r="69" spans="1:21" ht="18" customHeight="1" x14ac:dyDescent="0.2">
      <c r="A69" s="138"/>
      <c r="B69" s="138"/>
      <c r="C69" s="138"/>
      <c r="D69" s="138"/>
      <c r="E69" s="138"/>
      <c r="F69" s="138"/>
      <c r="G69" s="138"/>
      <c r="H69" s="138"/>
      <c r="I69" s="138"/>
      <c r="J69" s="138"/>
      <c r="K69" s="138"/>
      <c r="L69" s="138"/>
      <c r="M69" s="138"/>
      <c r="N69" s="138"/>
      <c r="O69" s="138"/>
      <c r="P69" s="138"/>
      <c r="Q69" s="138"/>
      <c r="R69" s="138"/>
      <c r="S69" s="138"/>
      <c r="T69" s="138"/>
      <c r="U69" s="138"/>
    </row>
    <row r="70" spans="1:21" ht="18" customHeight="1" x14ac:dyDescent="0.2">
      <c r="B70" s="111" t="s">
        <v>52</v>
      </c>
      <c r="C70" s="112"/>
      <c r="D70" s="112"/>
      <c r="E70" s="112"/>
      <c r="F70" s="51" t="s">
        <v>78</v>
      </c>
      <c r="G70" s="50" t="s">
        <v>81</v>
      </c>
      <c r="H70" s="17" t="s">
        <v>93</v>
      </c>
      <c r="I70" s="17" t="s">
        <v>73</v>
      </c>
      <c r="J70" s="17" t="s">
        <v>74</v>
      </c>
      <c r="K70" s="111" t="s">
        <v>52</v>
      </c>
      <c r="L70" s="112"/>
      <c r="M70" s="112"/>
      <c r="N70" s="112"/>
      <c r="O70" s="112"/>
      <c r="P70" s="113"/>
      <c r="Q70" s="51" t="s">
        <v>78</v>
      </c>
      <c r="R70" s="50" t="s">
        <v>81</v>
      </c>
      <c r="S70" s="17" t="s">
        <v>93</v>
      </c>
      <c r="T70" s="17" t="s">
        <v>73</v>
      </c>
      <c r="U70" s="17" t="s">
        <v>74</v>
      </c>
    </row>
    <row r="71" spans="1:21" ht="18" customHeight="1" x14ac:dyDescent="0.2">
      <c r="A71" s="3"/>
      <c r="B71" s="87" t="s">
        <v>138</v>
      </c>
      <c r="C71" s="88"/>
      <c r="D71" s="88"/>
      <c r="E71" s="89"/>
      <c r="F71" s="19">
        <v>2</v>
      </c>
      <c r="G71" s="19" t="s">
        <v>139</v>
      </c>
      <c r="H71" s="19" t="s">
        <v>139</v>
      </c>
      <c r="I71" s="19" t="s">
        <v>139</v>
      </c>
      <c r="J71" s="19" t="s">
        <v>139</v>
      </c>
      <c r="K71" s="132"/>
      <c r="L71" s="133"/>
      <c r="M71" s="133"/>
      <c r="N71" s="133"/>
      <c r="O71" s="133"/>
      <c r="P71" s="134"/>
      <c r="Q71" s="18"/>
      <c r="R71" s="18"/>
      <c r="S71" s="18"/>
      <c r="T71" s="18"/>
      <c r="U71" s="18"/>
    </row>
    <row r="72" spans="1:21" ht="18" customHeight="1" x14ac:dyDescent="0.2">
      <c r="A72" s="3"/>
      <c r="B72" s="87" t="s">
        <v>140</v>
      </c>
      <c r="C72" s="88"/>
      <c r="D72" s="88"/>
      <c r="E72" s="89"/>
      <c r="F72" s="19">
        <v>2</v>
      </c>
      <c r="G72" s="19"/>
      <c r="H72" s="19" t="s">
        <v>139</v>
      </c>
      <c r="I72" s="19" t="s">
        <v>139</v>
      </c>
      <c r="J72" s="19" t="s">
        <v>139</v>
      </c>
      <c r="K72" s="117"/>
      <c r="L72" s="118"/>
      <c r="M72" s="118"/>
      <c r="N72" s="118"/>
      <c r="O72" s="118"/>
      <c r="P72" s="119"/>
      <c r="Q72" s="19"/>
      <c r="R72" s="19"/>
      <c r="S72" s="19"/>
      <c r="T72" s="19"/>
      <c r="U72" s="19"/>
    </row>
    <row r="73" spans="1:21" ht="18" customHeight="1" x14ac:dyDescent="0.2">
      <c r="A73" s="3"/>
      <c r="B73" s="117" t="s">
        <v>137</v>
      </c>
      <c r="C73" s="118"/>
      <c r="D73" s="118"/>
      <c r="E73" s="119"/>
      <c r="F73" s="19">
        <v>2</v>
      </c>
      <c r="G73" s="19"/>
      <c r="H73" s="19" t="s">
        <v>139</v>
      </c>
      <c r="I73" s="19" t="s">
        <v>139</v>
      </c>
      <c r="J73" s="19" t="s">
        <v>139</v>
      </c>
      <c r="K73" s="117"/>
      <c r="L73" s="118"/>
      <c r="M73" s="118"/>
      <c r="N73" s="118"/>
      <c r="O73" s="118"/>
      <c r="P73" s="119"/>
      <c r="Q73" s="19"/>
      <c r="R73" s="19"/>
      <c r="S73" s="19"/>
      <c r="T73" s="19"/>
      <c r="U73" s="19"/>
    </row>
    <row r="74" spans="1:21" ht="18" customHeight="1" x14ac:dyDescent="0.2">
      <c r="A74" s="3"/>
      <c r="B74" s="117"/>
      <c r="C74" s="118"/>
      <c r="D74" s="118"/>
      <c r="E74" s="119"/>
      <c r="F74" s="19"/>
      <c r="G74" s="19"/>
      <c r="H74" s="19"/>
      <c r="I74" s="19"/>
      <c r="J74" s="19"/>
      <c r="K74" s="117"/>
      <c r="L74" s="118"/>
      <c r="M74" s="118"/>
      <c r="N74" s="118"/>
      <c r="O74" s="118"/>
      <c r="P74" s="119"/>
      <c r="Q74" s="19"/>
      <c r="R74" s="19"/>
      <c r="S74" s="19"/>
      <c r="T74" s="19"/>
      <c r="U74" s="19"/>
    </row>
    <row r="75" spans="1:21" ht="18" customHeight="1" x14ac:dyDescent="0.2">
      <c r="A75" s="3"/>
      <c r="B75" s="117"/>
      <c r="C75" s="118"/>
      <c r="D75" s="118"/>
      <c r="E75" s="118"/>
      <c r="F75" s="19"/>
      <c r="G75" s="19"/>
      <c r="H75" s="19"/>
      <c r="I75" s="19"/>
      <c r="J75" s="19"/>
      <c r="K75" s="117"/>
      <c r="L75" s="118"/>
      <c r="M75" s="118"/>
      <c r="N75" s="118"/>
      <c r="O75" s="118"/>
      <c r="P75" s="119"/>
      <c r="Q75" s="19"/>
      <c r="R75" s="19"/>
      <c r="S75" s="19"/>
      <c r="T75" s="19"/>
      <c r="U75" s="19"/>
    </row>
    <row r="76" spans="1:21" ht="18" customHeight="1" x14ac:dyDescent="0.2">
      <c r="A76" s="3"/>
      <c r="B76" s="117"/>
      <c r="C76" s="118"/>
      <c r="D76" s="118"/>
      <c r="E76" s="118"/>
      <c r="F76" s="19"/>
      <c r="G76" s="19"/>
      <c r="H76" s="19"/>
      <c r="I76" s="19"/>
      <c r="J76" s="19"/>
      <c r="K76" s="117"/>
      <c r="L76" s="118"/>
      <c r="M76" s="118"/>
      <c r="N76" s="118"/>
      <c r="O76" s="118"/>
      <c r="P76" s="119"/>
      <c r="Q76" s="19"/>
      <c r="R76" s="19"/>
      <c r="S76" s="19"/>
      <c r="T76" s="19"/>
      <c r="U76" s="19"/>
    </row>
    <row r="77" spans="1:21" ht="18" customHeight="1" x14ac:dyDescent="0.2">
      <c r="A77" s="3"/>
      <c r="B77" s="123"/>
      <c r="C77" s="124"/>
      <c r="D77" s="124"/>
      <c r="E77" s="124"/>
      <c r="F77" s="20"/>
      <c r="G77" s="20"/>
      <c r="H77" s="21"/>
      <c r="I77" s="21"/>
      <c r="J77" s="21"/>
      <c r="K77" s="123"/>
      <c r="L77" s="124"/>
      <c r="M77" s="124"/>
      <c r="N77" s="124"/>
      <c r="O77" s="124"/>
      <c r="P77" s="125"/>
      <c r="Q77" s="20"/>
      <c r="R77" s="20"/>
      <c r="S77" s="21"/>
      <c r="T77" s="21"/>
      <c r="U77" s="21"/>
    </row>
    <row r="78" spans="1:21" ht="7.5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111" t="s">
        <v>52</v>
      </c>
      <c r="C80" s="112"/>
      <c r="D80" s="112"/>
      <c r="E80" s="112"/>
      <c r="F80" s="113"/>
      <c r="G80" s="111" t="s">
        <v>79</v>
      </c>
      <c r="H80" s="112"/>
      <c r="I80" s="112"/>
      <c r="J80" s="113"/>
      <c r="K80" s="129" t="s">
        <v>52</v>
      </c>
      <c r="L80" s="130"/>
      <c r="M80" s="130"/>
      <c r="N80" s="130"/>
      <c r="O80" s="130"/>
      <c r="P80" s="130"/>
      <c r="Q80" s="131"/>
      <c r="R80" s="111" t="s">
        <v>79</v>
      </c>
      <c r="S80" s="112"/>
      <c r="T80" s="112"/>
      <c r="U80" s="113"/>
    </row>
    <row r="81" spans="1:21" ht="18" customHeight="1" x14ac:dyDescent="0.2">
      <c r="A81" s="3"/>
      <c r="B81" s="132"/>
      <c r="C81" s="133"/>
      <c r="D81" s="133"/>
      <c r="E81" s="133"/>
      <c r="F81" s="134"/>
      <c r="G81" s="135"/>
      <c r="H81" s="136"/>
      <c r="I81" s="136"/>
      <c r="J81" s="137"/>
      <c r="K81" s="132"/>
      <c r="L81" s="133"/>
      <c r="M81" s="133"/>
      <c r="N81" s="133"/>
      <c r="O81" s="133"/>
      <c r="P81" s="133"/>
      <c r="Q81" s="134"/>
      <c r="R81" s="135"/>
      <c r="S81" s="136"/>
      <c r="T81" s="136"/>
      <c r="U81" s="137"/>
    </row>
    <row r="82" spans="1:21" ht="18" customHeight="1" x14ac:dyDescent="0.2">
      <c r="A82" s="3"/>
      <c r="B82" s="117"/>
      <c r="C82" s="118"/>
      <c r="D82" s="118"/>
      <c r="E82" s="118"/>
      <c r="F82" s="119"/>
      <c r="G82" s="120"/>
      <c r="H82" s="121"/>
      <c r="I82" s="121"/>
      <c r="J82" s="122"/>
      <c r="K82" s="117"/>
      <c r="L82" s="118"/>
      <c r="M82" s="118"/>
      <c r="N82" s="118"/>
      <c r="O82" s="118"/>
      <c r="P82" s="118"/>
      <c r="Q82" s="119"/>
      <c r="R82" s="120"/>
      <c r="S82" s="121"/>
      <c r="T82" s="121"/>
      <c r="U82" s="122"/>
    </row>
    <row r="83" spans="1:21" ht="18" customHeight="1" x14ac:dyDescent="0.2">
      <c r="A83" s="3"/>
      <c r="B83" s="117"/>
      <c r="C83" s="118"/>
      <c r="D83" s="118"/>
      <c r="E83" s="118"/>
      <c r="F83" s="119"/>
      <c r="G83" s="120"/>
      <c r="H83" s="121"/>
      <c r="I83" s="121"/>
      <c r="J83" s="122"/>
      <c r="K83" s="117"/>
      <c r="L83" s="118"/>
      <c r="M83" s="118"/>
      <c r="N83" s="118"/>
      <c r="O83" s="118"/>
      <c r="P83" s="118"/>
      <c r="Q83" s="119"/>
      <c r="R83" s="120"/>
      <c r="S83" s="121"/>
      <c r="T83" s="121"/>
      <c r="U83" s="122"/>
    </row>
    <row r="84" spans="1:21" ht="18" customHeight="1" x14ac:dyDescent="0.2">
      <c r="A84" s="3"/>
      <c r="B84" s="117"/>
      <c r="C84" s="118"/>
      <c r="D84" s="118"/>
      <c r="E84" s="118"/>
      <c r="F84" s="119"/>
      <c r="G84" s="120"/>
      <c r="H84" s="121"/>
      <c r="I84" s="121"/>
      <c r="J84" s="122"/>
      <c r="K84" s="117"/>
      <c r="L84" s="118"/>
      <c r="M84" s="118"/>
      <c r="N84" s="118"/>
      <c r="O84" s="118"/>
      <c r="P84" s="118"/>
      <c r="Q84" s="119"/>
      <c r="R84" s="120"/>
      <c r="S84" s="121"/>
      <c r="T84" s="121"/>
      <c r="U84" s="122"/>
    </row>
    <row r="85" spans="1:21" ht="18" customHeight="1" x14ac:dyDescent="0.2">
      <c r="A85" s="3"/>
      <c r="B85" s="117"/>
      <c r="C85" s="118"/>
      <c r="D85" s="118"/>
      <c r="E85" s="118"/>
      <c r="F85" s="119"/>
      <c r="G85" s="120"/>
      <c r="H85" s="121"/>
      <c r="I85" s="121"/>
      <c r="J85" s="122"/>
      <c r="K85" s="117"/>
      <c r="L85" s="118"/>
      <c r="M85" s="118"/>
      <c r="N85" s="118"/>
      <c r="O85" s="118"/>
      <c r="P85" s="118"/>
      <c r="Q85" s="119"/>
      <c r="R85" s="120"/>
      <c r="S85" s="121"/>
      <c r="T85" s="121"/>
      <c r="U85" s="122"/>
    </row>
    <row r="86" spans="1:21" ht="18" customHeight="1" x14ac:dyDescent="0.2">
      <c r="A86" s="3"/>
      <c r="B86" s="117"/>
      <c r="C86" s="118"/>
      <c r="D86" s="118"/>
      <c r="E86" s="118"/>
      <c r="F86" s="119"/>
      <c r="G86" s="120"/>
      <c r="H86" s="121"/>
      <c r="I86" s="121"/>
      <c r="J86" s="122"/>
      <c r="K86" s="117"/>
      <c r="L86" s="118"/>
      <c r="M86" s="118"/>
      <c r="N86" s="118"/>
      <c r="O86" s="118"/>
      <c r="P86" s="118"/>
      <c r="Q86" s="119"/>
      <c r="R86" s="120"/>
      <c r="S86" s="121"/>
      <c r="T86" s="121"/>
      <c r="U86" s="122"/>
    </row>
    <row r="87" spans="1:21" ht="18" customHeight="1" x14ac:dyDescent="0.2">
      <c r="A87" s="3"/>
      <c r="B87" s="123"/>
      <c r="C87" s="124"/>
      <c r="D87" s="124"/>
      <c r="E87" s="124"/>
      <c r="F87" s="125"/>
      <c r="G87" s="126"/>
      <c r="H87" s="127"/>
      <c r="I87" s="127"/>
      <c r="J87" s="128"/>
      <c r="K87" s="123"/>
      <c r="L87" s="124"/>
      <c r="M87" s="124"/>
      <c r="N87" s="124"/>
      <c r="O87" s="124"/>
      <c r="P87" s="124"/>
      <c r="Q87" s="125"/>
      <c r="R87" s="126"/>
      <c r="S87" s="127"/>
      <c r="T87" s="127"/>
      <c r="U87" s="128"/>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8" customHeight="1" x14ac:dyDescent="0.2">
      <c r="A89" s="1" t="s">
        <v>108</v>
      </c>
    </row>
    <row r="90" spans="1:21" ht="18.8" customHeight="1" x14ac:dyDescent="0.2">
      <c r="B90" s="109" t="s">
        <v>53</v>
      </c>
      <c r="C90" s="110"/>
      <c r="D90" s="111" t="s">
        <v>54</v>
      </c>
      <c r="E90" s="112"/>
      <c r="F90" s="112"/>
      <c r="G90" s="112"/>
      <c r="H90" s="112"/>
      <c r="I90" s="112"/>
      <c r="J90" s="112"/>
      <c r="K90" s="112"/>
      <c r="L90" s="112"/>
      <c r="M90" s="112"/>
      <c r="N90" s="112"/>
      <c r="O90" s="112"/>
      <c r="P90" s="112"/>
      <c r="Q90" s="112"/>
      <c r="R90" s="112"/>
      <c r="S90" s="112"/>
      <c r="T90" s="112"/>
      <c r="U90" s="113"/>
    </row>
    <row r="91" spans="1:21" ht="89.1" customHeight="1" x14ac:dyDescent="0.2">
      <c r="B91" s="93" t="s">
        <v>60</v>
      </c>
      <c r="C91" s="23" t="s">
        <v>55</v>
      </c>
      <c r="D91" s="96" t="s">
        <v>166</v>
      </c>
      <c r="E91" s="97"/>
      <c r="F91" s="97"/>
      <c r="G91" s="97"/>
      <c r="H91" s="97"/>
      <c r="I91" s="97"/>
      <c r="J91" s="97"/>
      <c r="K91" s="97"/>
      <c r="L91" s="97"/>
      <c r="M91" s="97"/>
      <c r="N91" s="97"/>
      <c r="O91" s="97"/>
      <c r="P91" s="97"/>
      <c r="Q91" s="97"/>
      <c r="R91" s="97"/>
      <c r="S91" s="97"/>
      <c r="T91" s="97"/>
      <c r="U91" s="98"/>
    </row>
    <row r="92" spans="1:21" ht="89.1" customHeight="1" x14ac:dyDescent="0.2">
      <c r="B92" s="94"/>
      <c r="C92" s="24" t="s">
        <v>75</v>
      </c>
      <c r="D92" s="102" t="s">
        <v>167</v>
      </c>
      <c r="E92" s="103"/>
      <c r="F92" s="103"/>
      <c r="G92" s="103"/>
      <c r="H92" s="103"/>
      <c r="I92" s="103"/>
      <c r="J92" s="103"/>
      <c r="K92" s="103"/>
      <c r="L92" s="103"/>
      <c r="M92" s="103"/>
      <c r="N92" s="103"/>
      <c r="O92" s="103"/>
      <c r="P92" s="103"/>
      <c r="Q92" s="103"/>
      <c r="R92" s="103"/>
      <c r="S92" s="103"/>
      <c r="T92" s="103"/>
      <c r="U92" s="104"/>
    </row>
    <row r="93" spans="1:21" ht="120.05" customHeight="1" x14ac:dyDescent="0.2">
      <c r="B93" s="93" t="s">
        <v>61</v>
      </c>
      <c r="C93" s="25" t="s">
        <v>69</v>
      </c>
      <c r="D93" s="96" t="s">
        <v>168</v>
      </c>
      <c r="E93" s="97"/>
      <c r="F93" s="97"/>
      <c r="G93" s="97"/>
      <c r="H93" s="97"/>
      <c r="I93" s="97"/>
      <c r="J93" s="97"/>
      <c r="K93" s="97"/>
      <c r="L93" s="97"/>
      <c r="M93" s="97"/>
      <c r="N93" s="97"/>
      <c r="O93" s="97"/>
      <c r="P93" s="97"/>
      <c r="Q93" s="97"/>
      <c r="R93" s="97"/>
      <c r="S93" s="97"/>
      <c r="T93" s="97"/>
      <c r="U93" s="98"/>
    </row>
    <row r="94" spans="1:21" ht="128.05000000000001" customHeight="1" x14ac:dyDescent="0.2">
      <c r="B94" s="95"/>
      <c r="C94" s="26" t="s">
        <v>70</v>
      </c>
      <c r="D94" s="114" t="s">
        <v>180</v>
      </c>
      <c r="E94" s="115"/>
      <c r="F94" s="115"/>
      <c r="G94" s="115"/>
      <c r="H94" s="115"/>
      <c r="I94" s="115"/>
      <c r="J94" s="115"/>
      <c r="K94" s="115"/>
      <c r="L94" s="115"/>
      <c r="M94" s="115"/>
      <c r="N94" s="115"/>
      <c r="O94" s="115"/>
      <c r="P94" s="115"/>
      <c r="Q94" s="115"/>
      <c r="R94" s="115"/>
      <c r="S94" s="115"/>
      <c r="T94" s="115"/>
      <c r="U94" s="116"/>
    </row>
    <row r="95" spans="1:21" ht="117.9" customHeight="1" x14ac:dyDescent="0.2">
      <c r="B95" s="93" t="s">
        <v>62</v>
      </c>
      <c r="C95" s="25" t="s">
        <v>71</v>
      </c>
      <c r="D95" s="96" t="s">
        <v>169</v>
      </c>
      <c r="E95" s="97"/>
      <c r="F95" s="97"/>
      <c r="G95" s="97"/>
      <c r="H95" s="97"/>
      <c r="I95" s="97"/>
      <c r="J95" s="97"/>
      <c r="K95" s="97"/>
      <c r="L95" s="97"/>
      <c r="M95" s="97"/>
      <c r="N95" s="97"/>
      <c r="O95" s="97"/>
      <c r="P95" s="97"/>
      <c r="Q95" s="97"/>
      <c r="R95" s="97"/>
      <c r="S95" s="97"/>
      <c r="T95" s="97"/>
      <c r="U95" s="98"/>
    </row>
    <row r="96" spans="1:21" ht="117.9" customHeight="1" x14ac:dyDescent="0.2">
      <c r="B96" s="95"/>
      <c r="C96" s="27" t="s">
        <v>72</v>
      </c>
      <c r="D96" s="102" t="s">
        <v>181</v>
      </c>
      <c r="E96" s="103"/>
      <c r="F96" s="103"/>
      <c r="G96" s="103"/>
      <c r="H96" s="103"/>
      <c r="I96" s="103"/>
      <c r="J96" s="103"/>
      <c r="K96" s="103"/>
      <c r="L96" s="103"/>
      <c r="M96" s="103"/>
      <c r="N96" s="103"/>
      <c r="O96" s="103"/>
      <c r="P96" s="103"/>
      <c r="Q96" s="103"/>
      <c r="R96" s="103"/>
      <c r="S96" s="103"/>
      <c r="T96" s="103"/>
      <c r="U96" s="104"/>
    </row>
    <row r="97" spans="1:33" ht="128.05000000000001" customHeight="1" x14ac:dyDescent="0.2">
      <c r="B97" s="93" t="s">
        <v>76</v>
      </c>
      <c r="C97" s="23" t="s">
        <v>57</v>
      </c>
      <c r="D97" s="96" t="s">
        <v>182</v>
      </c>
      <c r="E97" s="97"/>
      <c r="F97" s="97"/>
      <c r="G97" s="97"/>
      <c r="H97" s="97"/>
      <c r="I97" s="97"/>
      <c r="J97" s="97"/>
      <c r="K97" s="97"/>
      <c r="L97" s="97"/>
      <c r="M97" s="97"/>
      <c r="N97" s="97"/>
      <c r="O97" s="97"/>
      <c r="P97" s="97"/>
      <c r="Q97" s="97"/>
      <c r="R97" s="97"/>
      <c r="S97" s="97"/>
      <c r="T97" s="97"/>
      <c r="U97" s="98"/>
    </row>
    <row r="98" spans="1:33" ht="111.95" customHeight="1" x14ac:dyDescent="0.2">
      <c r="B98" s="95"/>
      <c r="C98" s="26" t="s">
        <v>59</v>
      </c>
      <c r="D98" s="102" t="s">
        <v>183</v>
      </c>
      <c r="E98" s="103"/>
      <c r="F98" s="103"/>
      <c r="G98" s="103"/>
      <c r="H98" s="103"/>
      <c r="I98" s="103"/>
      <c r="J98" s="103"/>
      <c r="K98" s="103"/>
      <c r="L98" s="103"/>
      <c r="M98" s="103"/>
      <c r="N98" s="103"/>
      <c r="O98" s="103"/>
      <c r="P98" s="103"/>
      <c r="Q98" s="103"/>
      <c r="R98" s="103"/>
      <c r="S98" s="103"/>
      <c r="T98" s="103"/>
      <c r="U98" s="104"/>
    </row>
    <row r="99" spans="1:33" ht="129" customHeight="1" x14ac:dyDescent="0.2">
      <c r="B99" s="93" t="s">
        <v>77</v>
      </c>
      <c r="C99" s="25" t="s">
        <v>56</v>
      </c>
      <c r="D99" s="96" t="s">
        <v>170</v>
      </c>
      <c r="E99" s="97"/>
      <c r="F99" s="97"/>
      <c r="G99" s="97"/>
      <c r="H99" s="97"/>
      <c r="I99" s="97"/>
      <c r="J99" s="97"/>
      <c r="K99" s="97"/>
      <c r="L99" s="97"/>
      <c r="M99" s="97"/>
      <c r="N99" s="97"/>
      <c r="O99" s="97"/>
      <c r="P99" s="97"/>
      <c r="Q99" s="97"/>
      <c r="R99" s="97"/>
      <c r="S99" s="97"/>
      <c r="T99" s="97"/>
      <c r="U99" s="98"/>
    </row>
    <row r="100" spans="1:33" ht="126.95" customHeight="1" x14ac:dyDescent="0.2">
      <c r="B100" s="94"/>
      <c r="C100" s="28" t="s">
        <v>73</v>
      </c>
      <c r="D100" s="99" t="s">
        <v>184</v>
      </c>
      <c r="E100" s="100"/>
      <c r="F100" s="100"/>
      <c r="G100" s="100"/>
      <c r="H100" s="100"/>
      <c r="I100" s="100"/>
      <c r="J100" s="100"/>
      <c r="K100" s="100"/>
      <c r="L100" s="100"/>
      <c r="M100" s="100"/>
      <c r="N100" s="100"/>
      <c r="O100" s="100"/>
      <c r="P100" s="100"/>
      <c r="Q100" s="100"/>
      <c r="R100" s="100"/>
      <c r="S100" s="100"/>
      <c r="T100" s="100"/>
      <c r="U100" s="101"/>
    </row>
    <row r="101" spans="1:33" ht="126" customHeight="1" x14ac:dyDescent="0.2">
      <c r="B101" s="95"/>
      <c r="C101" s="27" t="s">
        <v>74</v>
      </c>
      <c r="D101" s="102" t="s">
        <v>185</v>
      </c>
      <c r="E101" s="103"/>
      <c r="F101" s="103"/>
      <c r="G101" s="103"/>
      <c r="H101" s="103"/>
      <c r="I101" s="103"/>
      <c r="J101" s="103"/>
      <c r="K101" s="103"/>
      <c r="L101" s="103"/>
      <c r="M101" s="103"/>
      <c r="N101" s="103"/>
      <c r="O101" s="103"/>
      <c r="P101" s="103"/>
      <c r="Q101" s="103"/>
      <c r="R101" s="103"/>
      <c r="S101" s="103"/>
      <c r="T101" s="103"/>
      <c r="U101" s="104"/>
    </row>
    <row r="102" spans="1:33" ht="5.95" customHeight="1" x14ac:dyDescent="0.2"/>
    <row r="103" spans="1:33" ht="18.8" customHeight="1" x14ac:dyDescent="0.2">
      <c r="A103" s="1" t="s">
        <v>109</v>
      </c>
    </row>
    <row r="104" spans="1:33" ht="81.7" customHeight="1" x14ac:dyDescent="0.2">
      <c r="B104" s="105" t="s">
        <v>141</v>
      </c>
      <c r="C104" s="106"/>
      <c r="D104" s="106"/>
      <c r="E104" s="106"/>
      <c r="F104" s="106"/>
      <c r="G104" s="106"/>
      <c r="H104" s="106"/>
      <c r="I104" s="106"/>
      <c r="J104" s="106"/>
      <c r="K104" s="106"/>
      <c r="L104" s="106"/>
      <c r="M104" s="106"/>
      <c r="N104" s="106"/>
      <c r="O104" s="106"/>
      <c r="P104" s="106"/>
      <c r="Q104" s="106"/>
      <c r="R104" s="106"/>
      <c r="S104" s="106"/>
      <c r="T104" s="106"/>
      <c r="U104" s="107"/>
    </row>
    <row r="106" spans="1:33" ht="18.8" customHeight="1" x14ac:dyDescent="0.2">
      <c r="A106" s="75" t="s">
        <v>125</v>
      </c>
      <c r="B106" s="76"/>
      <c r="C106" s="76"/>
      <c r="D106" s="76"/>
      <c r="E106" s="76"/>
      <c r="F106" s="76"/>
      <c r="G106" s="76"/>
      <c r="H106" s="76"/>
      <c r="I106" s="76"/>
      <c r="J106" s="76"/>
      <c r="K106" s="76"/>
      <c r="L106" s="76"/>
      <c r="M106" s="76"/>
      <c r="N106" s="76"/>
      <c r="O106" s="76"/>
      <c r="P106" s="76"/>
      <c r="Q106" s="76"/>
      <c r="R106" s="76"/>
      <c r="S106" s="76"/>
      <c r="T106" s="76"/>
      <c r="U106" s="76"/>
    </row>
    <row r="107" spans="1:33" ht="18.8" customHeight="1" x14ac:dyDescent="0.2">
      <c r="A107" s="75" t="s">
        <v>127</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8" customHeight="1" x14ac:dyDescent="0.2">
      <c r="A108" s="75"/>
      <c r="B108" s="108" t="s">
        <v>130</v>
      </c>
      <c r="C108" s="108"/>
      <c r="D108" s="108"/>
      <c r="E108" s="108"/>
      <c r="F108" s="108"/>
      <c r="G108" s="108"/>
      <c r="H108" s="108"/>
      <c r="I108" s="108"/>
      <c r="J108" s="108"/>
      <c r="K108" s="108"/>
      <c r="L108" s="108"/>
      <c r="M108" s="108"/>
      <c r="N108" s="108"/>
      <c r="O108" s="108"/>
      <c r="P108" s="108"/>
      <c r="Q108" s="108"/>
      <c r="R108" s="108"/>
      <c r="S108" s="108"/>
      <c r="T108" s="108"/>
      <c r="U108" s="108"/>
      <c r="V108" s="71"/>
      <c r="W108" s="71"/>
      <c r="X108" s="71"/>
      <c r="Y108" s="71"/>
      <c r="Z108" s="71"/>
      <c r="AA108" s="71"/>
      <c r="AB108" s="71"/>
      <c r="AC108" s="71"/>
      <c r="AD108" s="71"/>
      <c r="AE108" s="71"/>
      <c r="AF108" s="71"/>
      <c r="AG108" s="71"/>
    </row>
    <row r="109" spans="1:33" ht="37.450000000000003" customHeight="1" x14ac:dyDescent="0.2">
      <c r="A109" s="75"/>
      <c r="B109" s="108"/>
      <c r="C109" s="108"/>
      <c r="D109" s="108"/>
      <c r="E109" s="108"/>
      <c r="F109" s="108"/>
      <c r="G109" s="108"/>
      <c r="H109" s="108"/>
      <c r="I109" s="108"/>
      <c r="J109" s="108"/>
      <c r="K109" s="108"/>
      <c r="L109" s="108"/>
      <c r="M109" s="108"/>
      <c r="N109" s="108"/>
      <c r="O109" s="108"/>
      <c r="P109" s="108"/>
      <c r="Q109" s="108"/>
      <c r="R109" s="108"/>
      <c r="S109" s="108"/>
      <c r="T109" s="108"/>
      <c r="U109" s="108"/>
      <c r="V109" s="71"/>
      <c r="W109" s="71"/>
      <c r="X109" s="71"/>
      <c r="Y109" s="71"/>
      <c r="Z109" s="71"/>
      <c r="AA109" s="71"/>
      <c r="AB109" s="71"/>
      <c r="AC109" s="71"/>
      <c r="AD109" s="71"/>
      <c r="AE109" s="71"/>
      <c r="AF109" s="71"/>
      <c r="AG109" s="71"/>
    </row>
    <row r="110" spans="1:33" ht="18.8" customHeight="1" x14ac:dyDescent="0.2">
      <c r="A110" s="75"/>
      <c r="B110" s="90" t="s">
        <v>126</v>
      </c>
      <c r="C110" s="90"/>
      <c r="D110" s="90"/>
      <c r="E110" s="90"/>
      <c r="F110" s="90"/>
      <c r="G110" s="90"/>
      <c r="H110" s="90"/>
      <c r="I110" s="90"/>
      <c r="J110" s="90"/>
      <c r="K110" s="90"/>
      <c r="L110" s="90"/>
      <c r="M110" s="90"/>
      <c r="N110" s="90"/>
      <c r="O110" s="90"/>
      <c r="P110" s="90"/>
      <c r="Q110" s="90"/>
      <c r="R110" s="90"/>
      <c r="S110" s="90"/>
      <c r="T110" s="90"/>
      <c r="U110" s="90"/>
      <c r="V110" s="71"/>
      <c r="W110" s="71"/>
      <c r="X110" s="71"/>
      <c r="Y110" s="71"/>
      <c r="Z110" s="71"/>
      <c r="AA110" s="71"/>
      <c r="AB110" s="71"/>
      <c r="AC110" s="71"/>
      <c r="AD110" s="71"/>
      <c r="AE110" s="71"/>
      <c r="AF110" s="71"/>
      <c r="AG110" s="71"/>
    </row>
    <row r="111" spans="1:33" ht="18.8" customHeight="1" x14ac:dyDescent="0.2">
      <c r="A111" s="75"/>
      <c r="B111" s="91" t="s">
        <v>54</v>
      </c>
      <c r="C111" s="91"/>
      <c r="D111" s="91"/>
      <c r="E111" s="91"/>
      <c r="F111" s="91"/>
      <c r="G111" s="91"/>
      <c r="H111" s="91"/>
      <c r="I111" s="91"/>
      <c r="J111" s="91"/>
      <c r="K111" s="91"/>
      <c r="L111" s="91"/>
      <c r="M111" s="91"/>
      <c r="N111" s="91"/>
      <c r="O111" s="91"/>
      <c r="P111" s="91"/>
      <c r="Q111" s="91"/>
      <c r="R111" s="91"/>
      <c r="S111" s="91"/>
      <c r="T111" s="91"/>
      <c r="U111" s="91"/>
      <c r="V111" s="70"/>
      <c r="W111" s="70"/>
      <c r="X111" s="70"/>
      <c r="Y111" s="70"/>
      <c r="Z111" s="70"/>
      <c r="AA111" s="70"/>
      <c r="AB111" s="70"/>
      <c r="AC111" s="70"/>
      <c r="AD111" s="70"/>
      <c r="AE111" s="70"/>
      <c r="AF111" s="70"/>
      <c r="AG111" s="70"/>
    </row>
    <row r="112" spans="1:33" ht="131.94999999999999" customHeight="1" x14ac:dyDescent="0.2">
      <c r="A112" s="75"/>
      <c r="B112" s="92" t="s">
        <v>171</v>
      </c>
      <c r="C112" s="92"/>
      <c r="D112" s="92"/>
      <c r="E112" s="92"/>
      <c r="F112" s="92"/>
      <c r="G112" s="92"/>
      <c r="H112" s="92"/>
      <c r="I112" s="92"/>
      <c r="J112" s="92"/>
      <c r="K112" s="92"/>
      <c r="L112" s="92"/>
      <c r="M112" s="92"/>
      <c r="N112" s="92"/>
      <c r="O112" s="92"/>
      <c r="P112" s="92"/>
      <c r="Q112" s="92"/>
      <c r="R112" s="92"/>
      <c r="S112" s="92"/>
      <c r="T112" s="92"/>
      <c r="U112" s="92"/>
      <c r="V112" s="72"/>
      <c r="W112" s="72"/>
      <c r="X112" s="72"/>
      <c r="Y112" s="72"/>
      <c r="Z112" s="72"/>
      <c r="AA112" s="72"/>
      <c r="AB112" s="72"/>
      <c r="AC112" s="72"/>
      <c r="AD112" s="72"/>
      <c r="AE112" s="72"/>
      <c r="AF112" s="72"/>
      <c r="AG112" s="72"/>
    </row>
    <row r="114" ht="18" customHeight="1" x14ac:dyDescent="0.2"/>
  </sheetData>
  <mergeCells count="137">
    <mergeCell ref="T1:U1"/>
    <mergeCell ref="C2:J2"/>
    <mergeCell ref="C3:J3"/>
    <mergeCell ref="A5:U5"/>
    <mergeCell ref="L7:U7"/>
    <mergeCell ref="B11:U12"/>
    <mergeCell ref="K28:Q28"/>
    <mergeCell ref="B29:F29"/>
    <mergeCell ref="K29:Q29"/>
    <mergeCell ref="B30:F30"/>
    <mergeCell ref="K30:Q30"/>
    <mergeCell ref="B31:F31"/>
    <mergeCell ref="K31:Q31"/>
    <mergeCell ref="B15:U20"/>
    <mergeCell ref="N22:U22"/>
    <mergeCell ref="A24:U25"/>
    <mergeCell ref="B26:F26"/>
    <mergeCell ref="K26:Q26"/>
    <mergeCell ref="K27:Q27"/>
    <mergeCell ref="K38:Q38"/>
    <mergeCell ref="K39:Q39"/>
    <mergeCell ref="B40:F40"/>
    <mergeCell ref="K40:Q40"/>
    <mergeCell ref="B41:F41"/>
    <mergeCell ref="K41:Q41"/>
    <mergeCell ref="B32:F32"/>
    <mergeCell ref="K32:Q32"/>
    <mergeCell ref="B33:F33"/>
    <mergeCell ref="K33:Q33"/>
    <mergeCell ref="A35:U36"/>
    <mergeCell ref="B37:F37"/>
    <mergeCell ref="K37:Q37"/>
    <mergeCell ref="A46:U47"/>
    <mergeCell ref="B48:F48"/>
    <mergeCell ref="K48:Q48"/>
    <mergeCell ref="K49:Q49"/>
    <mergeCell ref="K50:Q50"/>
    <mergeCell ref="K51:Q51"/>
    <mergeCell ref="B42:F42"/>
    <mergeCell ref="K42:Q42"/>
    <mergeCell ref="B43:F43"/>
    <mergeCell ref="K43:Q43"/>
    <mergeCell ref="B44:F44"/>
    <mergeCell ref="K44:Q44"/>
    <mergeCell ref="B55:F55"/>
    <mergeCell ref="K55:Q55"/>
    <mergeCell ref="A57:U58"/>
    <mergeCell ref="B59:F59"/>
    <mergeCell ref="K59:Q59"/>
    <mergeCell ref="K60:Q60"/>
    <mergeCell ref="B52:F52"/>
    <mergeCell ref="K52:Q52"/>
    <mergeCell ref="B53:F53"/>
    <mergeCell ref="K53:Q53"/>
    <mergeCell ref="B54:F54"/>
    <mergeCell ref="K54:Q54"/>
    <mergeCell ref="B65:F65"/>
    <mergeCell ref="K65:Q65"/>
    <mergeCell ref="B66:F66"/>
    <mergeCell ref="K66:Q66"/>
    <mergeCell ref="A68:U69"/>
    <mergeCell ref="B70:E70"/>
    <mergeCell ref="K70:P70"/>
    <mergeCell ref="K61:Q61"/>
    <mergeCell ref="B62:F62"/>
    <mergeCell ref="K62:Q62"/>
    <mergeCell ref="B63:F63"/>
    <mergeCell ref="K63:Q63"/>
    <mergeCell ref="B64:F64"/>
    <mergeCell ref="K64:Q64"/>
    <mergeCell ref="B75:E75"/>
    <mergeCell ref="K75:P75"/>
    <mergeCell ref="B76:E76"/>
    <mergeCell ref="K76:P76"/>
    <mergeCell ref="B77:E77"/>
    <mergeCell ref="K77:P77"/>
    <mergeCell ref="K71:P71"/>
    <mergeCell ref="K72:P72"/>
    <mergeCell ref="B73:E73"/>
    <mergeCell ref="K73:P73"/>
    <mergeCell ref="B74:E74"/>
    <mergeCell ref="K74:P74"/>
    <mergeCell ref="B82:F82"/>
    <mergeCell ref="G82:J82"/>
    <mergeCell ref="K82:Q82"/>
    <mergeCell ref="R82:U82"/>
    <mergeCell ref="B83:F83"/>
    <mergeCell ref="G83:J83"/>
    <mergeCell ref="K83:Q83"/>
    <mergeCell ref="R83:U83"/>
    <mergeCell ref="B80:F80"/>
    <mergeCell ref="G80:J80"/>
    <mergeCell ref="K80:Q80"/>
    <mergeCell ref="R80:U80"/>
    <mergeCell ref="B81:F81"/>
    <mergeCell ref="G81:J81"/>
    <mergeCell ref="K81:Q81"/>
    <mergeCell ref="R81:U81"/>
    <mergeCell ref="B86:F86"/>
    <mergeCell ref="G86:J86"/>
    <mergeCell ref="K86:Q86"/>
    <mergeCell ref="R86:U86"/>
    <mergeCell ref="B87:F87"/>
    <mergeCell ref="G87:J87"/>
    <mergeCell ref="K87:Q87"/>
    <mergeCell ref="R87:U87"/>
    <mergeCell ref="B84:F84"/>
    <mergeCell ref="G84:J84"/>
    <mergeCell ref="K84:Q84"/>
    <mergeCell ref="R84:U84"/>
    <mergeCell ref="B85:F85"/>
    <mergeCell ref="G85:J85"/>
    <mergeCell ref="K85:Q85"/>
    <mergeCell ref="R85:U85"/>
    <mergeCell ref="B95:B96"/>
    <mergeCell ref="D95:U95"/>
    <mergeCell ref="D96:U96"/>
    <mergeCell ref="B97:B98"/>
    <mergeCell ref="D97:U97"/>
    <mergeCell ref="D98:U98"/>
    <mergeCell ref="B90:C90"/>
    <mergeCell ref="D90:U90"/>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xr:uid="{FE9B897D-B853-4646-A58A-8B7C75E5B6AE}">
      <formula1>$X$16:$X$18</formula1>
    </dataValidation>
    <dataValidation type="list" allowBlank="1" showInputMessage="1" showErrorMessage="1" sqref="G81:G88 R81:R88 H81:J82 H85:J88 S85:U88 S81:U82" xr:uid="{661DA27F-1EE7-4F3B-9522-0D9AED31F24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6EA6900A-3648-4C65-95FC-906BD30F0A06}">
      <formula1>"学部・学科によって、修了要件は相違する,学部・学科によって、修了要件は相違しない"</formula1>
    </dataValidation>
    <dataValidation type="list" allowBlank="1" showInputMessage="1" showErrorMessage="1" sqref="U34 U45 E34:H34 E45:H45" xr:uid="{8AA0710B-D7BE-43D1-BE3B-55211D6AC78A}">
      <formula1>"全学開講,一部開講"</formula1>
    </dataValidation>
    <dataValidation type="list" allowBlank="1" showInputMessage="1" showErrorMessage="1" sqref="H38:J44 S27:U33 R71:U77 S38:U44 H49:J55 S49:U55 H27:J33 S60:U66 H60:J66 G71:J77" xr:uid="{A10B3AFC-CAF8-4B94-B56A-01DDF0828214}">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zoomScaleNormal="100" zoomScaleSheetLayoutView="100" workbookViewId="0">
      <selection activeCell="B16" sqref="B16"/>
    </sheetView>
  </sheetViews>
  <sheetFormatPr defaultColWidth="9" defaultRowHeight="18.8" customHeight="1" x14ac:dyDescent="0.2"/>
  <cols>
    <col min="1" max="1" width="2.88671875" style="1" customWidth="1"/>
    <col min="2" max="2" width="20.88671875" style="1" customWidth="1"/>
    <col min="3" max="18" width="6.109375" style="1" customWidth="1"/>
    <col min="19" max="19" width="6.6640625" style="1" customWidth="1"/>
    <col min="20" max="16384" width="9" style="1"/>
  </cols>
  <sheetData>
    <row r="1" spans="1:21" ht="18" customHeight="1" x14ac:dyDescent="0.2">
      <c r="A1" s="76"/>
      <c r="B1" s="76"/>
      <c r="C1" s="76"/>
      <c r="D1" s="76"/>
      <c r="E1" s="76"/>
      <c r="F1" s="76"/>
      <c r="G1" s="76"/>
      <c r="H1" s="76"/>
      <c r="I1" s="76"/>
      <c r="J1" s="76"/>
      <c r="K1" s="76"/>
      <c r="L1" s="76"/>
      <c r="M1" s="76"/>
      <c r="N1" s="76"/>
      <c r="O1" s="76"/>
      <c r="P1" s="76"/>
      <c r="Q1" s="76"/>
      <c r="R1" s="76"/>
      <c r="S1" s="76" t="s">
        <v>98</v>
      </c>
    </row>
    <row r="2" spans="1:21" ht="18" customHeight="1" x14ac:dyDescent="0.2">
      <c r="A2" s="76"/>
      <c r="B2" s="76"/>
      <c r="C2" s="76"/>
      <c r="D2" s="76"/>
      <c r="E2" s="76"/>
      <c r="F2" s="76"/>
      <c r="G2" s="76"/>
      <c r="H2" s="76"/>
      <c r="I2" s="76"/>
      <c r="J2" s="76"/>
      <c r="K2" s="76"/>
      <c r="L2" s="76"/>
      <c r="M2" s="76"/>
      <c r="N2" s="76"/>
      <c r="O2" s="76"/>
      <c r="P2" s="76"/>
      <c r="Q2" s="170" t="s">
        <v>178</v>
      </c>
      <c r="R2" s="170"/>
      <c r="S2" s="170"/>
    </row>
    <row r="3" spans="1:21" ht="18" customHeight="1" x14ac:dyDescent="0.2">
      <c r="A3" s="159" t="s">
        <v>47</v>
      </c>
      <c r="B3" s="159"/>
      <c r="C3" s="159"/>
      <c r="D3" s="159"/>
      <c r="E3" s="159"/>
      <c r="F3" s="159"/>
      <c r="G3" s="159"/>
      <c r="H3" s="159"/>
      <c r="I3" s="159"/>
      <c r="J3" s="159"/>
      <c r="K3" s="159"/>
      <c r="L3" s="159"/>
      <c r="M3" s="159"/>
      <c r="N3" s="159"/>
      <c r="O3" s="159"/>
      <c r="P3" s="159"/>
      <c r="Q3" s="159"/>
      <c r="R3" s="159"/>
      <c r="S3" s="159"/>
    </row>
    <row r="4" spans="1:21" ht="7.55" customHeight="1" x14ac:dyDescent="0.2">
      <c r="A4" s="81"/>
      <c r="B4" s="81"/>
      <c r="C4" s="81"/>
      <c r="D4" s="81"/>
      <c r="E4" s="81"/>
      <c r="F4" s="81"/>
      <c r="G4" s="81"/>
      <c r="H4" s="81"/>
      <c r="I4" s="81"/>
      <c r="J4" s="81"/>
      <c r="K4" s="81"/>
      <c r="L4" s="81"/>
      <c r="M4" s="81"/>
      <c r="N4" s="81"/>
      <c r="O4" s="81"/>
      <c r="P4" s="81"/>
      <c r="Q4" s="81"/>
      <c r="R4" s="81"/>
      <c r="S4" s="81"/>
    </row>
    <row r="5" spans="1:21" ht="18" customHeight="1" x14ac:dyDescent="0.2">
      <c r="A5" s="76" t="s">
        <v>80</v>
      </c>
      <c r="B5" s="76"/>
      <c r="C5" s="171" t="s">
        <v>145</v>
      </c>
      <c r="D5" s="172"/>
      <c r="E5" s="81" t="s">
        <v>51</v>
      </c>
      <c r="F5" s="81"/>
      <c r="G5" s="81"/>
      <c r="H5" s="81"/>
      <c r="I5" s="81"/>
      <c r="J5" s="81"/>
      <c r="K5" s="81"/>
      <c r="L5" s="81"/>
      <c r="M5" s="81"/>
      <c r="N5" s="81"/>
      <c r="O5" s="81"/>
      <c r="P5" s="81"/>
      <c r="Q5" s="81"/>
      <c r="R5" s="79"/>
      <c r="S5" s="79"/>
    </row>
    <row r="6" spans="1:21" ht="7.4" customHeight="1" x14ac:dyDescent="0.2">
      <c r="A6" s="76"/>
      <c r="B6" s="76"/>
      <c r="C6" s="86"/>
      <c r="D6" s="86"/>
      <c r="E6" s="81"/>
      <c r="F6" s="81"/>
      <c r="G6" s="81"/>
      <c r="H6" s="81"/>
      <c r="I6" s="81"/>
      <c r="J6" s="81"/>
      <c r="K6" s="81"/>
      <c r="L6" s="81"/>
      <c r="M6" s="81"/>
      <c r="N6" s="81"/>
      <c r="O6" s="81"/>
      <c r="P6" s="81"/>
      <c r="Q6" s="81"/>
      <c r="R6" s="79"/>
      <c r="S6" s="79"/>
    </row>
    <row r="7" spans="1:21" ht="18" customHeight="1" x14ac:dyDescent="0.2">
      <c r="A7" s="76" t="s">
        <v>118</v>
      </c>
      <c r="B7" s="76"/>
      <c r="C7" s="86"/>
      <c r="D7" s="86"/>
      <c r="E7" s="81" t="s">
        <v>119</v>
      </c>
      <c r="F7" s="84">
        <v>913</v>
      </c>
      <c r="G7" s="82" t="s">
        <v>120</v>
      </c>
      <c r="H7" s="81" t="s">
        <v>121</v>
      </c>
      <c r="I7" s="84">
        <v>689</v>
      </c>
      <c r="J7" s="82" t="s">
        <v>120</v>
      </c>
      <c r="K7" s="77" t="s">
        <v>122</v>
      </c>
      <c r="L7" s="81" t="s">
        <v>123</v>
      </c>
      <c r="M7" s="84">
        <f>F7+I7</f>
        <v>1602</v>
      </c>
      <c r="N7" s="81" t="s">
        <v>1</v>
      </c>
      <c r="O7" s="82" t="s">
        <v>124</v>
      </c>
      <c r="P7" s="81"/>
      <c r="Q7" s="81"/>
      <c r="R7" s="79"/>
      <c r="S7" s="79"/>
    </row>
    <row r="8" spans="1:21" ht="5.95" customHeight="1" x14ac:dyDescent="0.2">
      <c r="A8" s="81"/>
      <c r="B8" s="81"/>
      <c r="C8" s="81"/>
      <c r="D8" s="81"/>
      <c r="E8" s="81"/>
      <c r="F8" s="81"/>
      <c r="G8" s="81"/>
      <c r="H8" s="81"/>
      <c r="I8" s="81"/>
      <c r="J8" s="81"/>
      <c r="K8" s="81"/>
      <c r="L8" s="81"/>
      <c r="M8" s="81"/>
      <c r="N8" s="81"/>
      <c r="O8" s="81"/>
      <c r="P8" s="81"/>
      <c r="Q8" s="81"/>
      <c r="R8" s="81"/>
      <c r="S8" s="81"/>
    </row>
    <row r="9" spans="1:21" ht="18" customHeight="1" x14ac:dyDescent="0.2">
      <c r="A9" s="76" t="s">
        <v>134</v>
      </c>
      <c r="B9" s="81"/>
      <c r="C9" s="81"/>
      <c r="D9" s="81"/>
      <c r="E9" s="81"/>
      <c r="F9" s="81"/>
      <c r="G9" s="81"/>
      <c r="H9" s="81"/>
      <c r="I9" s="81"/>
      <c r="J9" s="81"/>
      <c r="K9" s="81"/>
      <c r="L9" s="81"/>
      <c r="M9" s="81"/>
      <c r="N9" s="81"/>
      <c r="O9" s="81"/>
      <c r="P9" s="81"/>
      <c r="Q9" s="81"/>
      <c r="R9" s="81"/>
      <c r="S9" s="81"/>
    </row>
    <row r="10" spans="1:21" ht="5.95" customHeight="1" x14ac:dyDescent="0.2">
      <c r="B10" s="3"/>
      <c r="C10" s="3"/>
      <c r="D10" s="3"/>
      <c r="E10" s="3"/>
      <c r="F10" s="3"/>
      <c r="G10" s="3"/>
      <c r="H10" s="3"/>
      <c r="I10" s="3"/>
      <c r="J10" s="3"/>
      <c r="K10" s="3"/>
      <c r="L10" s="3"/>
      <c r="M10" s="3"/>
      <c r="N10" s="3"/>
      <c r="O10" s="3"/>
      <c r="P10" s="3"/>
      <c r="Q10" s="3"/>
      <c r="R10" s="3"/>
      <c r="S10" s="3"/>
    </row>
    <row r="11" spans="1:21" ht="18" customHeight="1" x14ac:dyDescent="0.2">
      <c r="B11" s="173" t="s">
        <v>44</v>
      </c>
      <c r="C11" s="183" t="s">
        <v>83</v>
      </c>
      <c r="D11" s="175" t="s">
        <v>46</v>
      </c>
      <c r="E11" s="177" t="s">
        <v>39</v>
      </c>
      <c r="F11" s="169" t="s">
        <v>112</v>
      </c>
      <c r="G11" s="169"/>
      <c r="H11" s="169" t="s">
        <v>82</v>
      </c>
      <c r="I11" s="169"/>
      <c r="J11" s="169" t="s">
        <v>48</v>
      </c>
      <c r="K11" s="169"/>
      <c r="L11" s="169" t="s">
        <v>49</v>
      </c>
      <c r="M11" s="169"/>
      <c r="N11" s="169" t="s">
        <v>92</v>
      </c>
      <c r="O11" s="169"/>
      <c r="P11" s="169" t="s">
        <v>50</v>
      </c>
      <c r="Q11" s="169"/>
      <c r="R11" s="179" t="s">
        <v>35</v>
      </c>
      <c r="S11" s="181" t="s">
        <v>32</v>
      </c>
      <c r="U11" s="2"/>
    </row>
    <row r="12" spans="1:21" ht="17.100000000000001" customHeight="1" x14ac:dyDescent="0.2">
      <c r="B12" s="174"/>
      <c r="C12" s="184"/>
      <c r="D12" s="176"/>
      <c r="E12" s="178"/>
      <c r="F12" s="64" t="s">
        <v>91</v>
      </c>
      <c r="G12" s="64" t="s">
        <v>29</v>
      </c>
      <c r="H12" s="64" t="s">
        <v>91</v>
      </c>
      <c r="I12" s="64" t="s">
        <v>29</v>
      </c>
      <c r="J12" s="64" t="s">
        <v>91</v>
      </c>
      <c r="K12" s="64" t="s">
        <v>29</v>
      </c>
      <c r="L12" s="64" t="s">
        <v>91</v>
      </c>
      <c r="M12" s="64" t="s">
        <v>29</v>
      </c>
      <c r="N12" s="64" t="s">
        <v>91</v>
      </c>
      <c r="O12" s="64" t="s">
        <v>29</v>
      </c>
      <c r="P12" s="64" t="s">
        <v>91</v>
      </c>
      <c r="Q12" s="65" t="s">
        <v>29</v>
      </c>
      <c r="R12" s="180"/>
      <c r="S12" s="182"/>
      <c r="U12" s="2"/>
    </row>
    <row r="13" spans="1:21" ht="18" customHeight="1" x14ac:dyDescent="0.2">
      <c r="A13" s="6"/>
      <c r="B13" s="66" t="s">
        <v>142</v>
      </c>
      <c r="C13" s="52">
        <v>663</v>
      </c>
      <c r="D13" s="56">
        <f>60+100</f>
        <v>160</v>
      </c>
      <c r="E13" s="57">
        <f>240+400</f>
        <v>640</v>
      </c>
      <c r="F13" s="54">
        <v>39</v>
      </c>
      <c r="G13" s="54">
        <v>11</v>
      </c>
      <c r="H13" s="54">
        <v>15</v>
      </c>
      <c r="I13" s="54">
        <v>0</v>
      </c>
      <c r="J13" s="54"/>
      <c r="K13" s="54"/>
      <c r="L13" s="54"/>
      <c r="M13" s="54"/>
      <c r="N13" s="54"/>
      <c r="O13" s="54"/>
      <c r="P13" s="54"/>
      <c r="Q13" s="67"/>
      <c r="R13" s="53">
        <f>F13+H13+J13+L13+N13+P13</f>
        <v>54</v>
      </c>
      <c r="S13" s="68">
        <f t="shared" ref="S13:S33" si="0">R13/E13</f>
        <v>8.4375000000000006E-2</v>
      </c>
    </row>
    <row r="14" spans="1:21" ht="18" customHeight="1" x14ac:dyDescent="0.2">
      <c r="A14" s="6"/>
      <c r="B14" s="11" t="s">
        <v>143</v>
      </c>
      <c r="C14" s="55">
        <v>395</v>
      </c>
      <c r="D14" s="56">
        <v>140</v>
      </c>
      <c r="E14" s="57">
        <v>560</v>
      </c>
      <c r="F14" s="58">
        <v>14</v>
      </c>
      <c r="G14" s="58">
        <v>0</v>
      </c>
      <c r="H14" s="58">
        <v>0</v>
      </c>
      <c r="I14" s="58">
        <v>0</v>
      </c>
      <c r="J14" s="58"/>
      <c r="K14" s="58"/>
      <c r="L14" s="58"/>
      <c r="M14" s="58"/>
      <c r="N14" s="58"/>
      <c r="O14" s="58"/>
      <c r="P14" s="58"/>
      <c r="Q14" s="55"/>
      <c r="R14" s="56">
        <f>F14+H14+J14+L14+N14+P14</f>
        <v>14</v>
      </c>
      <c r="S14" s="16">
        <f t="shared" si="0"/>
        <v>2.5000000000000001E-2</v>
      </c>
    </row>
    <row r="15" spans="1:21" ht="18" customHeight="1" x14ac:dyDescent="0.2">
      <c r="A15" s="6"/>
      <c r="B15" s="11" t="s">
        <v>144</v>
      </c>
      <c r="C15" s="55">
        <v>544</v>
      </c>
      <c r="D15" s="56">
        <f>60+80</f>
        <v>140</v>
      </c>
      <c r="E15" s="57">
        <f>240+320</f>
        <v>560</v>
      </c>
      <c r="F15" s="58">
        <v>35</v>
      </c>
      <c r="G15" s="58">
        <v>22</v>
      </c>
      <c r="H15" s="58">
        <v>23</v>
      </c>
      <c r="I15" s="58">
        <v>0</v>
      </c>
      <c r="J15" s="58"/>
      <c r="K15" s="58"/>
      <c r="L15" s="58"/>
      <c r="M15" s="58"/>
      <c r="N15" s="58"/>
      <c r="O15" s="58"/>
      <c r="P15" s="58"/>
      <c r="Q15" s="55"/>
      <c r="R15" s="56">
        <f>F15+H15+J15+L15+N15+P15</f>
        <v>58</v>
      </c>
      <c r="S15" s="8">
        <f t="shared" si="0"/>
        <v>0.10357142857142858</v>
      </c>
    </row>
    <row r="16" spans="1:21" ht="18" customHeight="1" x14ac:dyDescent="0.2">
      <c r="A16" s="6"/>
      <c r="B16" s="11"/>
      <c r="C16" s="55"/>
      <c r="D16" s="56"/>
      <c r="E16" s="57"/>
      <c r="F16" s="58"/>
      <c r="G16" s="58"/>
      <c r="H16" s="58"/>
      <c r="I16" s="58"/>
      <c r="J16" s="58"/>
      <c r="K16" s="58"/>
      <c r="L16" s="58"/>
      <c r="M16" s="58"/>
      <c r="N16" s="58"/>
      <c r="O16" s="58"/>
      <c r="P16" s="58"/>
      <c r="Q16" s="55"/>
      <c r="R16" s="56">
        <f t="shared" ref="R16:R32" si="1">F16+H16+J16+L16+N16+P16</f>
        <v>0</v>
      </c>
      <c r="S16" s="8" t="e">
        <f t="shared" si="0"/>
        <v>#DIV/0!</v>
      </c>
    </row>
    <row r="17" spans="1:19" ht="18" customHeight="1" x14ac:dyDescent="0.2">
      <c r="A17" s="6"/>
      <c r="B17" s="11"/>
      <c r="C17" s="55"/>
      <c r="D17" s="56"/>
      <c r="E17" s="57"/>
      <c r="F17" s="58"/>
      <c r="G17" s="58"/>
      <c r="H17" s="58"/>
      <c r="I17" s="58"/>
      <c r="J17" s="58"/>
      <c r="K17" s="58"/>
      <c r="L17" s="58"/>
      <c r="M17" s="58"/>
      <c r="N17" s="58"/>
      <c r="O17" s="58"/>
      <c r="P17" s="58"/>
      <c r="Q17" s="55"/>
      <c r="R17" s="56">
        <f t="shared" si="1"/>
        <v>0</v>
      </c>
      <c r="S17" s="8" t="e">
        <f t="shared" si="0"/>
        <v>#DIV/0!</v>
      </c>
    </row>
    <row r="18" spans="1:19" ht="18" customHeight="1" x14ac:dyDescent="0.2">
      <c r="A18" s="6"/>
      <c r="B18" s="11"/>
      <c r="C18" s="55"/>
      <c r="D18" s="56"/>
      <c r="E18" s="57"/>
      <c r="F18" s="58"/>
      <c r="G18" s="58"/>
      <c r="H18" s="58"/>
      <c r="I18" s="58"/>
      <c r="J18" s="58"/>
      <c r="K18" s="58"/>
      <c r="L18" s="58"/>
      <c r="M18" s="58"/>
      <c r="N18" s="58"/>
      <c r="O18" s="58"/>
      <c r="P18" s="58"/>
      <c r="Q18" s="55"/>
      <c r="R18" s="56">
        <f t="shared" si="1"/>
        <v>0</v>
      </c>
      <c r="S18" s="8" t="e">
        <f t="shared" si="0"/>
        <v>#DIV/0!</v>
      </c>
    </row>
    <row r="19" spans="1:19" ht="18" customHeight="1" x14ac:dyDescent="0.2">
      <c r="A19" s="6"/>
      <c r="B19" s="11"/>
      <c r="C19" s="55"/>
      <c r="D19" s="56"/>
      <c r="E19" s="57"/>
      <c r="F19" s="58"/>
      <c r="G19" s="58"/>
      <c r="H19" s="58"/>
      <c r="I19" s="58"/>
      <c r="J19" s="58"/>
      <c r="K19" s="58"/>
      <c r="L19" s="58"/>
      <c r="M19" s="58"/>
      <c r="N19" s="58"/>
      <c r="O19" s="58"/>
      <c r="P19" s="58"/>
      <c r="Q19" s="55"/>
      <c r="R19" s="56">
        <f t="shared" si="1"/>
        <v>0</v>
      </c>
      <c r="S19" s="8" t="e">
        <f t="shared" si="0"/>
        <v>#DIV/0!</v>
      </c>
    </row>
    <row r="20" spans="1:19" ht="18" customHeight="1" x14ac:dyDescent="0.2">
      <c r="A20" s="6"/>
      <c r="B20" s="11"/>
      <c r="C20" s="55"/>
      <c r="D20" s="56"/>
      <c r="E20" s="57"/>
      <c r="F20" s="58"/>
      <c r="G20" s="58"/>
      <c r="H20" s="58"/>
      <c r="I20" s="58"/>
      <c r="J20" s="58"/>
      <c r="K20" s="58"/>
      <c r="L20" s="58"/>
      <c r="M20" s="58"/>
      <c r="N20" s="58"/>
      <c r="O20" s="58"/>
      <c r="P20" s="58"/>
      <c r="Q20" s="55"/>
      <c r="R20" s="56">
        <f t="shared" si="1"/>
        <v>0</v>
      </c>
      <c r="S20" s="8" t="e">
        <f t="shared" si="0"/>
        <v>#DIV/0!</v>
      </c>
    </row>
    <row r="21" spans="1:19" ht="18" customHeight="1" x14ac:dyDescent="0.2">
      <c r="A21" s="6"/>
      <c r="B21" s="11"/>
      <c r="C21" s="55"/>
      <c r="D21" s="56"/>
      <c r="E21" s="57"/>
      <c r="F21" s="58"/>
      <c r="G21" s="58"/>
      <c r="H21" s="58"/>
      <c r="I21" s="58"/>
      <c r="J21" s="58"/>
      <c r="K21" s="58"/>
      <c r="L21" s="58"/>
      <c r="M21" s="58"/>
      <c r="N21" s="58"/>
      <c r="O21" s="58"/>
      <c r="P21" s="58"/>
      <c r="Q21" s="55"/>
      <c r="R21" s="56">
        <f t="shared" si="1"/>
        <v>0</v>
      </c>
      <c r="S21" s="8" t="e">
        <f t="shared" si="0"/>
        <v>#DIV/0!</v>
      </c>
    </row>
    <row r="22" spans="1:19" ht="18" customHeight="1" x14ac:dyDescent="0.2">
      <c r="A22" s="6"/>
      <c r="B22" s="11"/>
      <c r="C22" s="55"/>
      <c r="D22" s="56"/>
      <c r="E22" s="57"/>
      <c r="F22" s="58"/>
      <c r="G22" s="58"/>
      <c r="H22" s="58"/>
      <c r="I22" s="58"/>
      <c r="J22" s="58"/>
      <c r="K22" s="58"/>
      <c r="L22" s="58"/>
      <c r="M22" s="58"/>
      <c r="N22" s="58"/>
      <c r="O22" s="58"/>
      <c r="P22" s="58"/>
      <c r="Q22" s="55"/>
      <c r="R22" s="56">
        <f t="shared" si="1"/>
        <v>0</v>
      </c>
      <c r="S22" s="8" t="e">
        <f t="shared" si="0"/>
        <v>#DIV/0!</v>
      </c>
    </row>
    <row r="23" spans="1:19" ht="18" customHeight="1" x14ac:dyDescent="0.2">
      <c r="A23" s="6"/>
      <c r="B23" s="11"/>
      <c r="C23" s="55"/>
      <c r="D23" s="56"/>
      <c r="E23" s="57"/>
      <c r="F23" s="58"/>
      <c r="G23" s="58"/>
      <c r="H23" s="58"/>
      <c r="I23" s="58"/>
      <c r="J23" s="58"/>
      <c r="K23" s="58"/>
      <c r="L23" s="58"/>
      <c r="M23" s="58"/>
      <c r="N23" s="58"/>
      <c r="O23" s="58"/>
      <c r="P23" s="58"/>
      <c r="Q23" s="55"/>
      <c r="R23" s="56">
        <f t="shared" si="1"/>
        <v>0</v>
      </c>
      <c r="S23" s="8" t="e">
        <f t="shared" si="0"/>
        <v>#DIV/0!</v>
      </c>
    </row>
    <row r="24" spans="1:19" ht="18" customHeight="1" x14ac:dyDescent="0.2">
      <c r="A24" s="6"/>
      <c r="B24" s="11"/>
      <c r="C24" s="55"/>
      <c r="D24" s="56"/>
      <c r="E24" s="57"/>
      <c r="F24" s="58"/>
      <c r="G24" s="58"/>
      <c r="H24" s="58"/>
      <c r="I24" s="58"/>
      <c r="J24" s="58"/>
      <c r="K24" s="58"/>
      <c r="L24" s="58"/>
      <c r="M24" s="58"/>
      <c r="N24" s="58"/>
      <c r="O24" s="58"/>
      <c r="P24" s="58"/>
      <c r="Q24" s="55"/>
      <c r="R24" s="56">
        <f t="shared" si="1"/>
        <v>0</v>
      </c>
      <c r="S24" s="8" t="e">
        <f t="shared" si="0"/>
        <v>#DIV/0!</v>
      </c>
    </row>
    <row r="25" spans="1:19" ht="18" customHeight="1" x14ac:dyDescent="0.2">
      <c r="A25" s="6"/>
      <c r="B25" s="11"/>
      <c r="C25" s="55"/>
      <c r="D25" s="56"/>
      <c r="E25" s="57"/>
      <c r="F25" s="58"/>
      <c r="G25" s="58"/>
      <c r="H25" s="58"/>
      <c r="I25" s="58"/>
      <c r="J25" s="58"/>
      <c r="K25" s="58"/>
      <c r="L25" s="58"/>
      <c r="M25" s="58"/>
      <c r="N25" s="58"/>
      <c r="O25" s="58"/>
      <c r="P25" s="58"/>
      <c r="Q25" s="55"/>
      <c r="R25" s="56">
        <f t="shared" si="1"/>
        <v>0</v>
      </c>
      <c r="S25" s="8" t="e">
        <f t="shared" si="0"/>
        <v>#DIV/0!</v>
      </c>
    </row>
    <row r="26" spans="1:19" ht="18" customHeight="1" x14ac:dyDescent="0.2">
      <c r="A26" s="6"/>
      <c r="B26" s="11"/>
      <c r="C26" s="55"/>
      <c r="D26" s="56"/>
      <c r="E26" s="57"/>
      <c r="F26" s="58"/>
      <c r="G26" s="58"/>
      <c r="H26" s="58"/>
      <c r="I26" s="58"/>
      <c r="J26" s="58"/>
      <c r="K26" s="58"/>
      <c r="L26" s="58"/>
      <c r="M26" s="58"/>
      <c r="N26" s="58"/>
      <c r="O26" s="58"/>
      <c r="P26" s="58"/>
      <c r="Q26" s="55"/>
      <c r="R26" s="56">
        <f t="shared" si="1"/>
        <v>0</v>
      </c>
      <c r="S26" s="8" t="e">
        <f t="shared" si="0"/>
        <v>#DIV/0!</v>
      </c>
    </row>
    <row r="27" spans="1:19" ht="18" customHeight="1" x14ac:dyDescent="0.2">
      <c r="A27" s="6"/>
      <c r="B27" s="11"/>
      <c r="C27" s="55"/>
      <c r="D27" s="56"/>
      <c r="E27" s="57"/>
      <c r="F27" s="58"/>
      <c r="G27" s="58"/>
      <c r="H27" s="58"/>
      <c r="I27" s="58"/>
      <c r="J27" s="58"/>
      <c r="K27" s="58"/>
      <c r="L27" s="58"/>
      <c r="M27" s="58"/>
      <c r="N27" s="58"/>
      <c r="O27" s="58"/>
      <c r="P27" s="58"/>
      <c r="Q27" s="55"/>
      <c r="R27" s="56">
        <f t="shared" si="1"/>
        <v>0</v>
      </c>
      <c r="S27" s="8" t="e">
        <f t="shared" si="0"/>
        <v>#DIV/0!</v>
      </c>
    </row>
    <row r="28" spans="1:19" ht="18" customHeight="1" x14ac:dyDescent="0.2">
      <c r="A28" s="6"/>
      <c r="B28" s="11"/>
      <c r="C28" s="55"/>
      <c r="D28" s="56"/>
      <c r="E28" s="57"/>
      <c r="F28" s="58"/>
      <c r="G28" s="58"/>
      <c r="H28" s="58"/>
      <c r="I28" s="58"/>
      <c r="J28" s="58"/>
      <c r="K28" s="58"/>
      <c r="L28" s="58"/>
      <c r="M28" s="58"/>
      <c r="N28" s="58"/>
      <c r="O28" s="58"/>
      <c r="P28" s="58"/>
      <c r="Q28" s="55"/>
      <c r="R28" s="56">
        <f t="shared" si="1"/>
        <v>0</v>
      </c>
      <c r="S28" s="8" t="e">
        <f t="shared" si="0"/>
        <v>#DIV/0!</v>
      </c>
    </row>
    <row r="29" spans="1:19" ht="18" customHeight="1" x14ac:dyDescent="0.2">
      <c r="A29" s="6"/>
      <c r="B29" s="11"/>
      <c r="C29" s="55"/>
      <c r="D29" s="56"/>
      <c r="E29" s="57"/>
      <c r="F29" s="58"/>
      <c r="G29" s="58"/>
      <c r="H29" s="58"/>
      <c r="I29" s="58"/>
      <c r="J29" s="58"/>
      <c r="K29" s="58"/>
      <c r="L29" s="58"/>
      <c r="M29" s="58"/>
      <c r="N29" s="58"/>
      <c r="O29" s="58"/>
      <c r="P29" s="58"/>
      <c r="Q29" s="55"/>
      <c r="R29" s="56">
        <f t="shared" si="1"/>
        <v>0</v>
      </c>
      <c r="S29" s="8" t="e">
        <f t="shared" si="0"/>
        <v>#DIV/0!</v>
      </c>
    </row>
    <row r="30" spans="1:19" ht="18" customHeight="1" x14ac:dyDescent="0.2">
      <c r="A30" s="6"/>
      <c r="B30" s="11"/>
      <c r="C30" s="55"/>
      <c r="D30" s="59"/>
      <c r="E30" s="57"/>
      <c r="F30" s="58"/>
      <c r="G30" s="58"/>
      <c r="H30" s="58"/>
      <c r="I30" s="58"/>
      <c r="J30" s="58"/>
      <c r="K30" s="58"/>
      <c r="L30" s="58"/>
      <c r="M30" s="58"/>
      <c r="N30" s="58"/>
      <c r="O30" s="58"/>
      <c r="P30" s="58"/>
      <c r="Q30" s="55"/>
      <c r="R30" s="59">
        <f t="shared" si="1"/>
        <v>0</v>
      </c>
      <c r="S30" s="8" t="e">
        <f t="shared" si="0"/>
        <v>#DIV/0!</v>
      </c>
    </row>
    <row r="31" spans="1:19" ht="18" customHeight="1" x14ac:dyDescent="0.2">
      <c r="A31" s="6"/>
      <c r="B31" s="11"/>
      <c r="C31" s="55"/>
      <c r="D31" s="59"/>
      <c r="E31" s="57"/>
      <c r="F31" s="58"/>
      <c r="G31" s="58"/>
      <c r="H31" s="58"/>
      <c r="I31" s="58"/>
      <c r="J31" s="58"/>
      <c r="K31" s="58"/>
      <c r="L31" s="58"/>
      <c r="M31" s="58"/>
      <c r="N31" s="58"/>
      <c r="O31" s="58"/>
      <c r="P31" s="58"/>
      <c r="Q31" s="55"/>
      <c r="R31" s="59">
        <f t="shared" si="1"/>
        <v>0</v>
      </c>
      <c r="S31" s="8" t="e">
        <f t="shared" si="0"/>
        <v>#DIV/0!</v>
      </c>
    </row>
    <row r="32" spans="1:19" ht="18" customHeight="1" thickBot="1" x14ac:dyDescent="0.25">
      <c r="A32" s="6"/>
      <c r="B32" s="12"/>
      <c r="C32" s="52"/>
      <c r="D32" s="60"/>
      <c r="E32" s="54"/>
      <c r="F32" s="54"/>
      <c r="G32" s="54"/>
      <c r="H32" s="54"/>
      <c r="I32" s="54"/>
      <c r="J32" s="54"/>
      <c r="K32" s="54"/>
      <c r="L32" s="54"/>
      <c r="M32" s="54"/>
      <c r="N32" s="54"/>
      <c r="O32" s="54"/>
      <c r="P32" s="54"/>
      <c r="Q32" s="55"/>
      <c r="R32" s="60">
        <f t="shared" si="1"/>
        <v>0</v>
      </c>
      <c r="S32" s="7" t="e">
        <f t="shared" si="0"/>
        <v>#DIV/0!</v>
      </c>
    </row>
    <row r="33" spans="2:19" ht="18" customHeight="1" thickTop="1" x14ac:dyDescent="0.2">
      <c r="B33" s="13" t="s">
        <v>33</v>
      </c>
      <c r="C33" s="61">
        <f t="shared" ref="C33:R33" si="2">SUM(C13:C32)</f>
        <v>1602</v>
      </c>
      <c r="D33" s="62">
        <f t="shared" si="2"/>
        <v>440</v>
      </c>
      <c r="E33" s="63">
        <f t="shared" si="2"/>
        <v>1760</v>
      </c>
      <c r="F33" s="63">
        <f t="shared" si="2"/>
        <v>88</v>
      </c>
      <c r="G33" s="63">
        <f t="shared" si="2"/>
        <v>33</v>
      </c>
      <c r="H33" s="63">
        <f>SUM(H13:H32)</f>
        <v>38</v>
      </c>
      <c r="I33" s="63">
        <f>SUM(I13:I32)</f>
        <v>0</v>
      </c>
      <c r="J33" s="63">
        <f t="shared" si="2"/>
        <v>0</v>
      </c>
      <c r="K33" s="63">
        <f t="shared" si="2"/>
        <v>0</v>
      </c>
      <c r="L33" s="63">
        <f t="shared" si="2"/>
        <v>0</v>
      </c>
      <c r="M33" s="63">
        <f t="shared" si="2"/>
        <v>0</v>
      </c>
      <c r="N33" s="63">
        <f t="shared" si="2"/>
        <v>0</v>
      </c>
      <c r="O33" s="63">
        <f t="shared" si="2"/>
        <v>0</v>
      </c>
      <c r="P33" s="63">
        <f t="shared" si="2"/>
        <v>0</v>
      </c>
      <c r="Q33" s="61">
        <f t="shared" si="2"/>
        <v>0</v>
      </c>
      <c r="R33" s="62">
        <f t="shared" si="2"/>
        <v>126</v>
      </c>
      <c r="S33" s="9">
        <f t="shared" si="0"/>
        <v>7.1590909090909094E-2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H2" sqref="H2:I2"/>
    </sheetView>
  </sheetViews>
  <sheetFormatPr defaultColWidth="11.33203125" defaultRowHeight="18.8" customHeight="1" x14ac:dyDescent="0.2"/>
  <cols>
    <col min="1" max="1" width="2.88671875" style="32" customWidth="1"/>
    <col min="2" max="2" width="16.6640625" style="1" customWidth="1"/>
    <col min="3" max="3" width="8.88671875" style="1" customWidth="1"/>
    <col min="4" max="4" width="2.1093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8" customHeight="1" x14ac:dyDescent="0.2">
      <c r="A1" s="32" t="s">
        <v>63</v>
      </c>
      <c r="I1" s="30" t="s">
        <v>97</v>
      </c>
    </row>
    <row r="2" spans="1:9" ht="18.8" customHeight="1" x14ac:dyDescent="0.2">
      <c r="G2" s="30" t="s">
        <v>99</v>
      </c>
      <c r="H2" s="111" t="s">
        <v>178</v>
      </c>
      <c r="I2" s="113"/>
    </row>
    <row r="3" spans="1:9" ht="18.8" customHeight="1" x14ac:dyDescent="0.2">
      <c r="G3" s="30"/>
      <c r="H3" s="10"/>
      <c r="I3" s="10"/>
    </row>
    <row r="4" spans="1:9" ht="18.649999999999999" customHeight="1" x14ac:dyDescent="0.2">
      <c r="A4" s="186" t="s">
        <v>36</v>
      </c>
      <c r="B4" s="186"/>
      <c r="C4" s="186"/>
      <c r="D4" s="186"/>
      <c r="E4" s="186"/>
      <c r="F4" s="186"/>
      <c r="G4" s="186"/>
      <c r="H4" s="186"/>
      <c r="I4" s="186"/>
    </row>
    <row r="5" spans="1:9" ht="13.3" customHeight="1" x14ac:dyDescent="0.2">
      <c r="B5" s="3"/>
      <c r="C5" s="3"/>
      <c r="D5" s="3"/>
      <c r="E5" s="3"/>
      <c r="F5" s="3"/>
      <c r="G5" s="3"/>
      <c r="H5" s="3"/>
      <c r="I5" s="3"/>
    </row>
    <row r="6" spans="1:9" ht="18" customHeight="1" x14ac:dyDescent="0.2">
      <c r="A6" s="1" t="s">
        <v>0</v>
      </c>
      <c r="B6" s="10" t="s">
        <v>86</v>
      </c>
      <c r="C6" s="206" t="s">
        <v>87</v>
      </c>
      <c r="D6" s="206"/>
      <c r="E6" s="29">
        <v>85</v>
      </c>
      <c r="F6" s="3" t="s">
        <v>1</v>
      </c>
      <c r="G6" s="3" t="s">
        <v>2</v>
      </c>
      <c r="H6" s="29">
        <v>120</v>
      </c>
      <c r="I6" s="10" t="s">
        <v>1</v>
      </c>
    </row>
    <row r="7" spans="1:9" ht="12.05" customHeight="1" x14ac:dyDescent="0.2">
      <c r="C7" s="2"/>
      <c r="D7" s="2"/>
      <c r="E7" s="2"/>
      <c r="F7" s="2"/>
      <c r="G7" s="2"/>
      <c r="H7" s="2"/>
      <c r="I7" s="33"/>
    </row>
    <row r="8" spans="1:9" ht="18" customHeight="1" x14ac:dyDescent="0.2">
      <c r="A8" s="1" t="s">
        <v>3</v>
      </c>
      <c r="B8" s="10" t="s">
        <v>88</v>
      </c>
      <c r="E8" s="3"/>
      <c r="F8" s="3"/>
      <c r="G8" s="3"/>
      <c r="H8" s="29">
        <v>5</v>
      </c>
      <c r="I8" s="10" t="s">
        <v>1</v>
      </c>
    </row>
    <row r="9" spans="1:9" ht="9.1"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30" t="s">
        <v>42</v>
      </c>
      <c r="C11" s="201" t="s">
        <v>147</v>
      </c>
      <c r="D11" s="204"/>
      <c r="E11" s="205"/>
      <c r="F11" s="33"/>
      <c r="G11" s="30" t="s">
        <v>10</v>
      </c>
      <c r="H11" s="201" t="s">
        <v>148</v>
      </c>
      <c r="I11" s="205"/>
    </row>
    <row r="12" spans="1:9" ht="10.35" customHeight="1" x14ac:dyDescent="0.2">
      <c r="B12" s="30"/>
      <c r="C12" s="10"/>
      <c r="D12" s="33"/>
      <c r="E12" s="33"/>
      <c r="F12" s="33"/>
      <c r="G12" s="30"/>
      <c r="H12" s="10"/>
      <c r="I12" s="33"/>
    </row>
    <row r="13" spans="1:9" ht="18" customHeight="1" x14ac:dyDescent="0.2">
      <c r="A13" s="1" t="s">
        <v>7</v>
      </c>
      <c r="B13" s="10" t="s">
        <v>84</v>
      </c>
      <c r="C13" s="3"/>
      <c r="D13" s="3"/>
      <c r="E13" s="3"/>
      <c r="F13" s="3"/>
      <c r="G13" s="3"/>
      <c r="H13" s="3"/>
      <c r="I13" s="3"/>
    </row>
    <row r="14" spans="1:9" ht="18" customHeight="1" x14ac:dyDescent="0.2">
      <c r="B14" s="201" t="s">
        <v>149</v>
      </c>
      <c r="C14" s="202"/>
      <c r="D14" s="202"/>
      <c r="E14" s="202"/>
      <c r="F14" s="202"/>
      <c r="G14" s="202"/>
      <c r="H14" s="202"/>
      <c r="I14" s="203"/>
    </row>
    <row r="15" spans="1:9" ht="9.1" customHeight="1" x14ac:dyDescent="0.2">
      <c r="B15" s="3"/>
      <c r="C15" s="3"/>
      <c r="D15" s="3"/>
      <c r="E15" s="3"/>
      <c r="F15" s="3"/>
      <c r="G15" s="3"/>
      <c r="H15" s="3"/>
      <c r="I15" s="3"/>
    </row>
    <row r="16" spans="1:9" ht="18" customHeight="1" x14ac:dyDescent="0.2">
      <c r="B16" s="30" t="s">
        <v>42</v>
      </c>
      <c r="C16" s="201" t="s">
        <v>146</v>
      </c>
      <c r="D16" s="204"/>
      <c r="E16" s="205"/>
      <c r="F16" s="33"/>
      <c r="G16" s="30" t="s">
        <v>10</v>
      </c>
      <c r="H16" s="201" t="s">
        <v>150</v>
      </c>
      <c r="I16" s="205"/>
    </row>
    <row r="17" spans="1:9" ht="18" customHeight="1" x14ac:dyDescent="0.2">
      <c r="B17" s="3"/>
      <c r="C17" s="3"/>
      <c r="D17" s="3"/>
      <c r="E17" s="3"/>
      <c r="F17" s="3"/>
      <c r="G17" s="3"/>
      <c r="H17" s="3"/>
      <c r="I17" s="3"/>
    </row>
    <row r="18" spans="1:9" ht="18.8" customHeight="1" x14ac:dyDescent="0.2">
      <c r="A18" s="1" t="s">
        <v>5</v>
      </c>
      <c r="B18" s="1" t="s">
        <v>41</v>
      </c>
      <c r="I18" s="3"/>
    </row>
    <row r="19" spans="1:9" ht="18.8" customHeight="1" x14ac:dyDescent="0.2">
      <c r="A19" s="1"/>
      <c r="B19" s="187" t="s">
        <v>151</v>
      </c>
      <c r="C19" s="188"/>
      <c r="D19" s="188"/>
      <c r="E19" s="188"/>
      <c r="F19" s="188"/>
      <c r="G19" s="188"/>
      <c r="H19" s="188"/>
      <c r="I19" s="189"/>
    </row>
    <row r="20" spans="1:9" ht="7.55" customHeight="1" x14ac:dyDescent="0.2">
      <c r="B20" s="3"/>
      <c r="C20" s="3"/>
      <c r="D20" s="3"/>
      <c r="E20" s="3"/>
      <c r="F20" s="3"/>
      <c r="G20" s="3"/>
      <c r="H20" s="3"/>
      <c r="I20" s="3"/>
    </row>
    <row r="21" spans="1:9" ht="18.8" customHeight="1" x14ac:dyDescent="0.2">
      <c r="A21" s="1" t="s">
        <v>8</v>
      </c>
      <c r="B21" s="1" t="s">
        <v>25</v>
      </c>
    </row>
    <row r="22" spans="1:9" ht="18.8" customHeight="1" x14ac:dyDescent="0.2">
      <c r="A22" s="14"/>
      <c r="B22" s="190" t="s">
        <v>152</v>
      </c>
      <c r="C22" s="191"/>
      <c r="D22" s="191"/>
      <c r="E22" s="191"/>
      <c r="F22" s="191"/>
      <c r="G22" s="191"/>
      <c r="H22" s="191"/>
      <c r="I22" s="192"/>
    </row>
    <row r="23" spans="1:9" ht="18.8" customHeight="1" x14ac:dyDescent="0.2">
      <c r="A23" s="14"/>
      <c r="B23" s="193"/>
      <c r="C23" s="194"/>
      <c r="D23" s="194"/>
      <c r="E23" s="194"/>
      <c r="F23" s="194"/>
      <c r="G23" s="194"/>
      <c r="H23" s="194"/>
      <c r="I23" s="195"/>
    </row>
    <row r="24" spans="1:9" ht="18.8" customHeight="1" x14ac:dyDescent="0.2">
      <c r="A24" s="14"/>
      <c r="B24" s="193"/>
      <c r="C24" s="194"/>
      <c r="D24" s="194"/>
      <c r="E24" s="194"/>
      <c r="F24" s="194"/>
      <c r="G24" s="194"/>
      <c r="H24" s="194"/>
      <c r="I24" s="195"/>
    </row>
    <row r="25" spans="1:9" ht="18.8" customHeight="1" x14ac:dyDescent="0.2">
      <c r="A25" s="14"/>
      <c r="B25" s="193"/>
      <c r="C25" s="194"/>
      <c r="D25" s="194"/>
      <c r="E25" s="194"/>
      <c r="F25" s="194"/>
      <c r="G25" s="194"/>
      <c r="H25" s="194"/>
      <c r="I25" s="195"/>
    </row>
    <row r="26" spans="1:9" ht="18.8" customHeight="1" x14ac:dyDescent="0.2">
      <c r="A26" s="14"/>
      <c r="B26" s="193"/>
      <c r="C26" s="194"/>
      <c r="D26" s="194"/>
      <c r="E26" s="194"/>
      <c r="F26" s="194"/>
      <c r="G26" s="194"/>
      <c r="H26" s="194"/>
      <c r="I26" s="195"/>
    </row>
    <row r="27" spans="1:9" ht="18.8" customHeight="1" x14ac:dyDescent="0.2">
      <c r="A27" s="14"/>
      <c r="B27" s="193"/>
      <c r="C27" s="194"/>
      <c r="D27" s="194"/>
      <c r="E27" s="194"/>
      <c r="F27" s="194"/>
      <c r="G27" s="194"/>
      <c r="H27" s="194"/>
      <c r="I27" s="195"/>
    </row>
    <row r="28" spans="1:9" ht="18.8" customHeight="1" x14ac:dyDescent="0.2">
      <c r="A28" s="14"/>
      <c r="B28" s="193"/>
      <c r="C28" s="194"/>
      <c r="D28" s="194"/>
      <c r="E28" s="194"/>
      <c r="F28" s="194"/>
      <c r="G28" s="194"/>
      <c r="H28" s="194"/>
      <c r="I28" s="195"/>
    </row>
    <row r="29" spans="1:9" ht="18.8" customHeight="1" x14ac:dyDescent="0.2">
      <c r="A29" s="14"/>
      <c r="B29" s="193"/>
      <c r="C29" s="194"/>
      <c r="D29" s="194"/>
      <c r="E29" s="194"/>
      <c r="F29" s="194"/>
      <c r="G29" s="194"/>
      <c r="H29" s="194"/>
      <c r="I29" s="195"/>
    </row>
    <row r="30" spans="1:9" ht="18.8" customHeight="1" x14ac:dyDescent="0.2">
      <c r="A30" s="14"/>
      <c r="B30" s="196"/>
      <c r="C30" s="197"/>
      <c r="D30" s="197"/>
      <c r="E30" s="197"/>
      <c r="F30" s="197"/>
      <c r="G30" s="197"/>
      <c r="H30" s="197"/>
      <c r="I30" s="195"/>
    </row>
    <row r="31" spans="1:9" ht="18.8" customHeight="1" x14ac:dyDescent="0.2">
      <c r="A31" s="14"/>
      <c r="B31" s="196"/>
      <c r="C31" s="197"/>
      <c r="D31" s="197"/>
      <c r="E31" s="197"/>
      <c r="F31" s="197"/>
      <c r="G31" s="197"/>
      <c r="H31" s="197"/>
      <c r="I31" s="195"/>
    </row>
    <row r="32" spans="1:9" ht="18.8" customHeight="1" x14ac:dyDescent="0.2">
      <c r="A32" s="14"/>
      <c r="B32" s="198"/>
      <c r="C32" s="199"/>
      <c r="D32" s="199"/>
      <c r="E32" s="199"/>
      <c r="F32" s="199"/>
      <c r="G32" s="199"/>
      <c r="H32" s="199"/>
      <c r="I32" s="200"/>
    </row>
    <row r="33" spans="1:9" ht="7.55" customHeight="1" x14ac:dyDescent="0.2">
      <c r="A33" s="14"/>
      <c r="B33" s="14"/>
      <c r="C33" s="14"/>
      <c r="D33" s="14"/>
      <c r="E33" s="14"/>
      <c r="F33" s="14"/>
      <c r="G33" s="14"/>
      <c r="H33" s="14"/>
      <c r="I33" s="14"/>
    </row>
    <row r="34" spans="1:9" ht="18.8" customHeight="1" x14ac:dyDescent="0.2">
      <c r="A34" s="15" t="s">
        <v>6</v>
      </c>
      <c r="B34" s="15" t="s">
        <v>9</v>
      </c>
      <c r="C34" s="10"/>
      <c r="D34" s="15"/>
      <c r="E34" s="15"/>
      <c r="F34" s="15"/>
      <c r="G34" s="15"/>
      <c r="H34" s="15"/>
      <c r="I34" s="15"/>
    </row>
    <row r="35" spans="1:9" ht="18.8" customHeight="1" x14ac:dyDescent="0.2">
      <c r="A35" s="14"/>
      <c r="B35" s="190" t="s">
        <v>153</v>
      </c>
      <c r="C35" s="191"/>
      <c r="D35" s="191"/>
      <c r="E35" s="191"/>
      <c r="F35" s="191"/>
      <c r="G35" s="191"/>
      <c r="H35" s="191"/>
      <c r="I35" s="192"/>
    </row>
    <row r="36" spans="1:9" ht="18.8" customHeight="1" x14ac:dyDescent="0.2">
      <c r="A36" s="14"/>
      <c r="B36" s="196"/>
      <c r="C36" s="197"/>
      <c r="D36" s="197"/>
      <c r="E36" s="197"/>
      <c r="F36" s="197"/>
      <c r="G36" s="197"/>
      <c r="H36" s="197"/>
      <c r="I36" s="195"/>
    </row>
    <row r="37" spans="1:9" ht="18.8" customHeight="1" x14ac:dyDescent="0.2">
      <c r="A37" s="14"/>
      <c r="B37" s="196"/>
      <c r="C37" s="197"/>
      <c r="D37" s="197"/>
      <c r="E37" s="197"/>
      <c r="F37" s="197"/>
      <c r="G37" s="197"/>
      <c r="H37" s="197"/>
      <c r="I37" s="195"/>
    </row>
    <row r="38" spans="1:9" ht="18.8" customHeight="1" x14ac:dyDescent="0.2">
      <c r="A38" s="14"/>
      <c r="B38" s="196"/>
      <c r="C38" s="197"/>
      <c r="D38" s="197"/>
      <c r="E38" s="197"/>
      <c r="F38" s="197"/>
      <c r="G38" s="197"/>
      <c r="H38" s="197"/>
      <c r="I38" s="195"/>
    </row>
    <row r="39" spans="1:9" ht="18.8" customHeight="1" x14ac:dyDescent="0.2">
      <c r="A39" s="14"/>
      <c r="B39" s="196"/>
      <c r="C39" s="197"/>
      <c r="D39" s="197"/>
      <c r="E39" s="197"/>
      <c r="F39" s="197"/>
      <c r="G39" s="197"/>
      <c r="H39" s="197"/>
      <c r="I39" s="195"/>
    </row>
    <row r="40" spans="1:9" ht="18.8" customHeight="1" x14ac:dyDescent="0.2">
      <c r="A40" s="14"/>
      <c r="B40" s="196"/>
      <c r="C40" s="197"/>
      <c r="D40" s="197"/>
      <c r="E40" s="197"/>
      <c r="F40" s="197"/>
      <c r="G40" s="197"/>
      <c r="H40" s="197"/>
      <c r="I40" s="195"/>
    </row>
    <row r="41" spans="1:9" ht="18.8" customHeight="1" x14ac:dyDescent="0.2">
      <c r="A41" s="14"/>
      <c r="B41" s="196"/>
      <c r="C41" s="197"/>
      <c r="D41" s="197"/>
      <c r="E41" s="197"/>
      <c r="F41" s="197"/>
      <c r="G41" s="197"/>
      <c r="H41" s="197"/>
      <c r="I41" s="195"/>
    </row>
    <row r="42" spans="1:9" ht="18.8" customHeight="1" x14ac:dyDescent="0.2">
      <c r="A42" s="14"/>
      <c r="B42" s="196"/>
      <c r="C42" s="197"/>
      <c r="D42" s="197"/>
      <c r="E42" s="197"/>
      <c r="F42" s="197"/>
      <c r="G42" s="197"/>
      <c r="H42" s="197"/>
      <c r="I42" s="195"/>
    </row>
    <row r="43" spans="1:9" ht="18.8" customHeight="1" x14ac:dyDescent="0.2">
      <c r="A43" s="14"/>
      <c r="B43" s="196"/>
      <c r="C43" s="197"/>
      <c r="D43" s="197"/>
      <c r="E43" s="197"/>
      <c r="F43" s="197"/>
      <c r="G43" s="197"/>
      <c r="H43" s="197"/>
      <c r="I43" s="195"/>
    </row>
    <row r="44" spans="1:9" ht="18.8" customHeight="1" x14ac:dyDescent="0.2">
      <c r="A44" s="14"/>
      <c r="B44" s="196"/>
      <c r="C44" s="197"/>
      <c r="D44" s="197"/>
      <c r="E44" s="197"/>
      <c r="F44" s="197"/>
      <c r="G44" s="197"/>
      <c r="H44" s="197"/>
      <c r="I44" s="195"/>
    </row>
    <row r="45" spans="1:9" ht="18.8" customHeight="1" x14ac:dyDescent="0.2">
      <c r="A45" s="14"/>
      <c r="B45" s="196"/>
      <c r="C45" s="197"/>
      <c r="D45" s="197"/>
      <c r="E45" s="197"/>
      <c r="F45" s="197"/>
      <c r="G45" s="197"/>
      <c r="H45" s="197"/>
      <c r="I45" s="195"/>
    </row>
    <row r="46" spans="1:9" ht="18.8" customHeight="1" x14ac:dyDescent="0.2">
      <c r="A46" s="14"/>
      <c r="B46" s="198"/>
      <c r="C46" s="199"/>
      <c r="D46" s="199"/>
      <c r="E46" s="199"/>
      <c r="F46" s="199"/>
      <c r="G46" s="199"/>
      <c r="H46" s="199"/>
      <c r="I46" s="200"/>
    </row>
    <row r="47" spans="1:9" ht="7.55" customHeight="1" x14ac:dyDescent="0.2">
      <c r="A47" s="4"/>
      <c r="B47" s="4"/>
      <c r="C47" s="4"/>
      <c r="D47" s="4"/>
      <c r="E47" s="4"/>
      <c r="F47" s="4"/>
      <c r="G47" s="4"/>
      <c r="H47" s="4"/>
      <c r="I47" s="4"/>
    </row>
    <row r="48" spans="1:9" ht="18.8" customHeight="1" x14ac:dyDescent="0.2">
      <c r="A48" s="1" t="s">
        <v>31</v>
      </c>
      <c r="B48" s="1" t="s">
        <v>111</v>
      </c>
    </row>
    <row r="49" spans="1:15" s="3" customFormat="1" ht="18.8" customHeight="1" x14ac:dyDescent="0.2">
      <c r="B49" s="34" t="s">
        <v>128</v>
      </c>
      <c r="C49" s="230">
        <v>7.0000000000000007E-2</v>
      </c>
      <c r="D49" s="230"/>
      <c r="E49" s="34" t="s">
        <v>64</v>
      </c>
      <c r="F49" s="230">
        <v>0.15</v>
      </c>
      <c r="G49" s="230"/>
      <c r="H49" s="34" t="s">
        <v>65</v>
      </c>
      <c r="I49" s="35">
        <v>0.25</v>
      </c>
      <c r="J49" s="1"/>
      <c r="M49" s="1"/>
      <c r="N49" s="36"/>
    </row>
    <row r="50" spans="1:15" s="3" customFormat="1" ht="18.8" customHeight="1" x14ac:dyDescent="0.2">
      <c r="B50" s="37" t="s">
        <v>85</v>
      </c>
      <c r="C50" s="211">
        <v>0.5</v>
      </c>
      <c r="D50" s="211"/>
      <c r="E50" s="37" t="s">
        <v>129</v>
      </c>
      <c r="F50" s="211">
        <v>0.75</v>
      </c>
      <c r="G50" s="211"/>
      <c r="H50" s="37" t="s">
        <v>66</v>
      </c>
      <c r="I50" s="38">
        <f>'様式２ 履修者等数の実績'!E33</f>
        <v>1760</v>
      </c>
      <c r="J50" s="1"/>
      <c r="M50" s="1"/>
      <c r="N50" s="36"/>
    </row>
    <row r="51" spans="1:15" ht="18.8" customHeight="1" x14ac:dyDescent="0.2">
      <c r="A51" s="1"/>
      <c r="B51" s="208" t="s">
        <v>67</v>
      </c>
      <c r="C51" s="209"/>
      <c r="D51" s="209"/>
      <c r="E51" s="209"/>
      <c r="F51" s="209"/>
      <c r="G51" s="209"/>
      <c r="H51" s="209"/>
      <c r="I51" s="210"/>
      <c r="N51" s="36"/>
      <c r="O51" s="3"/>
    </row>
    <row r="52" spans="1:15" ht="18.8" customHeight="1" x14ac:dyDescent="0.2">
      <c r="A52" s="1"/>
      <c r="B52" s="231" t="s">
        <v>156</v>
      </c>
      <c r="C52" s="232"/>
      <c r="D52" s="232"/>
      <c r="E52" s="232"/>
      <c r="F52" s="232"/>
      <c r="G52" s="232"/>
      <c r="H52" s="232"/>
      <c r="I52" s="233"/>
      <c r="N52" s="36"/>
      <c r="O52" s="3"/>
    </row>
    <row r="53" spans="1:15" ht="18.8" customHeight="1" x14ac:dyDescent="0.2">
      <c r="A53" s="1"/>
      <c r="B53" s="234"/>
      <c r="C53" s="235"/>
      <c r="D53" s="235"/>
      <c r="E53" s="235"/>
      <c r="F53" s="235"/>
      <c r="G53" s="235"/>
      <c r="H53" s="235"/>
      <c r="I53" s="236"/>
      <c r="N53" s="36"/>
      <c r="O53" s="3"/>
    </row>
    <row r="54" spans="1:15" ht="18.8" customHeight="1" x14ac:dyDescent="0.2">
      <c r="A54" s="1"/>
      <c r="B54" s="234"/>
      <c r="C54" s="235"/>
      <c r="D54" s="235"/>
      <c r="E54" s="235"/>
      <c r="F54" s="235"/>
      <c r="G54" s="235"/>
      <c r="H54" s="235"/>
      <c r="I54" s="236"/>
    </row>
    <row r="55" spans="1:15" ht="18.8" customHeight="1" x14ac:dyDescent="0.2">
      <c r="A55" s="1"/>
      <c r="B55" s="234"/>
      <c r="C55" s="235"/>
      <c r="D55" s="235"/>
      <c r="E55" s="235"/>
      <c r="F55" s="235"/>
      <c r="G55" s="235"/>
      <c r="H55" s="235"/>
      <c r="I55" s="236"/>
    </row>
    <row r="56" spans="1:15" ht="18.8" customHeight="1" x14ac:dyDescent="0.2">
      <c r="A56" s="1"/>
      <c r="B56" s="234"/>
      <c r="C56" s="235"/>
      <c r="D56" s="235"/>
      <c r="E56" s="235"/>
      <c r="F56" s="235"/>
      <c r="G56" s="235"/>
      <c r="H56" s="235"/>
      <c r="I56" s="236"/>
    </row>
    <row r="57" spans="1:15" ht="18.8" customHeight="1" x14ac:dyDescent="0.2">
      <c r="A57" s="1"/>
      <c r="B57" s="234"/>
      <c r="C57" s="235"/>
      <c r="D57" s="235"/>
      <c r="E57" s="235"/>
      <c r="F57" s="235"/>
      <c r="G57" s="235"/>
      <c r="H57" s="235"/>
      <c r="I57" s="236"/>
    </row>
    <row r="58" spans="1:15" ht="18.8" customHeight="1" x14ac:dyDescent="0.2">
      <c r="A58" s="1"/>
      <c r="B58" s="234"/>
      <c r="C58" s="235"/>
      <c r="D58" s="235"/>
      <c r="E58" s="235"/>
      <c r="F58" s="235"/>
      <c r="G58" s="235"/>
      <c r="H58" s="235"/>
      <c r="I58" s="236"/>
    </row>
    <row r="59" spans="1:15" ht="18.8" customHeight="1" x14ac:dyDescent="0.2">
      <c r="A59" s="1"/>
      <c r="B59" s="234"/>
      <c r="C59" s="235"/>
      <c r="D59" s="235"/>
      <c r="E59" s="235"/>
      <c r="F59" s="235"/>
      <c r="G59" s="235"/>
      <c r="H59" s="235"/>
      <c r="I59" s="236"/>
    </row>
    <row r="60" spans="1:15" ht="18.8" customHeight="1" x14ac:dyDescent="0.2">
      <c r="A60" s="1"/>
      <c r="B60" s="234"/>
      <c r="C60" s="235"/>
      <c r="D60" s="235"/>
      <c r="E60" s="235"/>
      <c r="F60" s="235"/>
      <c r="G60" s="235"/>
      <c r="H60" s="235"/>
      <c r="I60" s="236"/>
    </row>
    <row r="61" spans="1:15" ht="18.8" customHeight="1" x14ac:dyDescent="0.2">
      <c r="A61" s="1"/>
      <c r="B61" s="234"/>
      <c r="C61" s="235"/>
      <c r="D61" s="235"/>
      <c r="E61" s="235"/>
      <c r="F61" s="235"/>
      <c r="G61" s="235"/>
      <c r="H61" s="235"/>
      <c r="I61" s="236"/>
    </row>
    <row r="62" spans="1:15" ht="18.8" customHeight="1" x14ac:dyDescent="0.2">
      <c r="A62" s="1"/>
      <c r="B62" s="234"/>
      <c r="C62" s="235"/>
      <c r="D62" s="235"/>
      <c r="E62" s="235"/>
      <c r="F62" s="235"/>
      <c r="G62" s="235"/>
      <c r="H62" s="235"/>
      <c r="I62" s="236"/>
    </row>
    <row r="63" spans="1:15" ht="18.8" customHeight="1" x14ac:dyDescent="0.2">
      <c r="A63" s="1"/>
      <c r="B63" s="237"/>
      <c r="C63" s="238"/>
      <c r="D63" s="238"/>
      <c r="E63" s="238"/>
      <c r="F63" s="238"/>
      <c r="G63" s="238"/>
      <c r="H63" s="238"/>
      <c r="I63" s="239"/>
    </row>
    <row r="64" spans="1:15" ht="7.55" customHeight="1" x14ac:dyDescent="0.2">
      <c r="A64" s="14"/>
      <c r="B64" s="14"/>
      <c r="C64" s="14"/>
      <c r="D64" s="14"/>
      <c r="E64" s="14"/>
      <c r="F64" s="14"/>
      <c r="G64" s="14"/>
      <c r="H64" s="14"/>
      <c r="I64" s="14"/>
    </row>
    <row r="65" spans="1:9" ht="18.8" customHeight="1" x14ac:dyDescent="0.2">
      <c r="A65" s="15" t="s">
        <v>34</v>
      </c>
      <c r="B65" s="1" t="s">
        <v>37</v>
      </c>
      <c r="I65" s="15"/>
    </row>
    <row r="66" spans="1:9" ht="18.8" customHeight="1" x14ac:dyDescent="0.2">
      <c r="A66" s="4"/>
      <c r="B66" s="212" t="s">
        <v>158</v>
      </c>
      <c r="C66" s="213"/>
      <c r="D66" s="213"/>
      <c r="E66" s="213"/>
      <c r="F66" s="213"/>
      <c r="G66" s="213"/>
      <c r="H66" s="213"/>
      <c r="I66" s="214"/>
    </row>
    <row r="67" spans="1:9" ht="18.8" customHeight="1" x14ac:dyDescent="0.2">
      <c r="A67" s="4"/>
      <c r="B67" s="215"/>
      <c r="C67" s="216"/>
      <c r="D67" s="216"/>
      <c r="E67" s="216"/>
      <c r="F67" s="216"/>
      <c r="G67" s="216"/>
      <c r="H67" s="216"/>
      <c r="I67" s="217"/>
    </row>
    <row r="68" spans="1:9" ht="18.8" customHeight="1" x14ac:dyDescent="0.2">
      <c r="A68" s="4"/>
      <c r="B68" s="215"/>
      <c r="C68" s="216"/>
      <c r="D68" s="216"/>
      <c r="E68" s="216"/>
      <c r="F68" s="216"/>
      <c r="G68" s="216"/>
      <c r="H68" s="216"/>
      <c r="I68" s="217"/>
    </row>
    <row r="69" spans="1:9" ht="18.8" customHeight="1" x14ac:dyDescent="0.2">
      <c r="A69" s="4"/>
      <c r="B69" s="215"/>
      <c r="C69" s="216"/>
      <c r="D69" s="216"/>
      <c r="E69" s="216"/>
      <c r="F69" s="216"/>
      <c r="G69" s="216"/>
      <c r="H69" s="216"/>
      <c r="I69" s="217"/>
    </row>
    <row r="70" spans="1:9" ht="18.8" customHeight="1" x14ac:dyDescent="0.2">
      <c r="A70" s="4"/>
      <c r="B70" s="215"/>
      <c r="C70" s="216"/>
      <c r="D70" s="216"/>
      <c r="E70" s="216"/>
      <c r="F70" s="216"/>
      <c r="G70" s="216"/>
      <c r="H70" s="216"/>
      <c r="I70" s="217"/>
    </row>
    <row r="71" spans="1:9" ht="18.8" customHeight="1" x14ac:dyDescent="0.2">
      <c r="A71" s="4"/>
      <c r="B71" s="215"/>
      <c r="C71" s="216"/>
      <c r="D71" s="216"/>
      <c r="E71" s="216"/>
      <c r="F71" s="216"/>
      <c r="G71" s="216"/>
      <c r="H71" s="216"/>
      <c r="I71" s="217"/>
    </row>
    <row r="72" spans="1:9" ht="18.8" customHeight="1" x14ac:dyDescent="0.2">
      <c r="A72" s="4"/>
      <c r="B72" s="215"/>
      <c r="C72" s="216"/>
      <c r="D72" s="216"/>
      <c r="E72" s="216"/>
      <c r="F72" s="216"/>
      <c r="G72" s="216"/>
      <c r="H72" s="216"/>
      <c r="I72" s="217"/>
    </row>
    <row r="73" spans="1:9" ht="18.8" customHeight="1" x14ac:dyDescent="0.2">
      <c r="A73" s="4"/>
      <c r="B73" s="215"/>
      <c r="C73" s="216"/>
      <c r="D73" s="216"/>
      <c r="E73" s="216"/>
      <c r="F73" s="216"/>
      <c r="G73" s="216"/>
      <c r="H73" s="216"/>
      <c r="I73" s="217"/>
    </row>
    <row r="74" spans="1:9" ht="18.8" customHeight="1" x14ac:dyDescent="0.2">
      <c r="A74" s="4"/>
      <c r="B74" s="215"/>
      <c r="C74" s="216"/>
      <c r="D74" s="216"/>
      <c r="E74" s="216"/>
      <c r="F74" s="216"/>
      <c r="G74" s="216"/>
      <c r="H74" s="216"/>
      <c r="I74" s="217"/>
    </row>
    <row r="75" spans="1:9" ht="18.8" customHeight="1" x14ac:dyDescent="0.2">
      <c r="A75" s="4"/>
      <c r="B75" s="215"/>
      <c r="C75" s="216"/>
      <c r="D75" s="216"/>
      <c r="E75" s="216"/>
      <c r="F75" s="216"/>
      <c r="G75" s="216"/>
      <c r="H75" s="216"/>
      <c r="I75" s="217"/>
    </row>
    <row r="76" spans="1:9" ht="18.8" customHeight="1" x14ac:dyDescent="0.2">
      <c r="A76" s="4"/>
      <c r="B76" s="215"/>
      <c r="C76" s="216"/>
      <c r="D76" s="216"/>
      <c r="E76" s="216"/>
      <c r="F76" s="216"/>
      <c r="G76" s="216"/>
      <c r="H76" s="216"/>
      <c r="I76" s="217"/>
    </row>
    <row r="77" spans="1:9" ht="18.8" customHeight="1" x14ac:dyDescent="0.2">
      <c r="A77" s="4"/>
      <c r="B77" s="218"/>
      <c r="C77" s="219"/>
      <c r="D77" s="219"/>
      <c r="E77" s="219"/>
      <c r="F77" s="219"/>
      <c r="G77" s="219"/>
      <c r="H77" s="219"/>
      <c r="I77" s="220"/>
    </row>
    <row r="78" spans="1:9" ht="7.55" customHeight="1" x14ac:dyDescent="0.2">
      <c r="A78" s="4"/>
      <c r="B78" s="4"/>
      <c r="C78" s="4"/>
      <c r="D78" s="4"/>
      <c r="E78" s="4"/>
      <c r="F78" s="4"/>
      <c r="G78" s="4"/>
      <c r="H78" s="4"/>
      <c r="I78" s="4"/>
    </row>
    <row r="79" spans="1:9" ht="18.8" customHeight="1" x14ac:dyDescent="0.2">
      <c r="A79" s="1" t="s">
        <v>11</v>
      </c>
      <c r="B79" s="1" t="s">
        <v>40</v>
      </c>
    </row>
    <row r="80" spans="1:9" ht="18.8" customHeight="1" x14ac:dyDescent="0.2">
      <c r="A80" s="1"/>
      <c r="B80" s="221" t="s">
        <v>173</v>
      </c>
      <c r="C80" s="222"/>
      <c r="D80" s="222"/>
      <c r="E80" s="222"/>
      <c r="F80" s="222"/>
      <c r="G80" s="222"/>
      <c r="H80" s="222"/>
      <c r="I80" s="223"/>
    </row>
    <row r="81" spans="1:9" ht="18.8" customHeight="1" x14ac:dyDescent="0.2">
      <c r="A81" s="1"/>
      <c r="B81" s="224"/>
      <c r="C81" s="225"/>
      <c r="D81" s="225"/>
      <c r="E81" s="225"/>
      <c r="F81" s="225"/>
      <c r="G81" s="225"/>
      <c r="H81" s="225"/>
      <c r="I81" s="226"/>
    </row>
    <row r="82" spans="1:9" ht="18.8" customHeight="1" x14ac:dyDescent="0.2">
      <c r="A82" s="1"/>
      <c r="B82" s="224"/>
      <c r="C82" s="225"/>
      <c r="D82" s="225"/>
      <c r="E82" s="225"/>
      <c r="F82" s="225"/>
      <c r="G82" s="225"/>
      <c r="H82" s="225"/>
      <c r="I82" s="226"/>
    </row>
    <row r="83" spans="1:9" ht="18.8" customHeight="1" x14ac:dyDescent="0.2">
      <c r="A83" s="1"/>
      <c r="B83" s="224"/>
      <c r="C83" s="225"/>
      <c r="D83" s="225"/>
      <c r="E83" s="225"/>
      <c r="F83" s="225"/>
      <c r="G83" s="225"/>
      <c r="H83" s="225"/>
      <c r="I83" s="226"/>
    </row>
    <row r="84" spans="1:9" ht="18.8" customHeight="1" x14ac:dyDescent="0.2">
      <c r="A84" s="1"/>
      <c r="B84" s="224"/>
      <c r="C84" s="225"/>
      <c r="D84" s="225"/>
      <c r="E84" s="225"/>
      <c r="F84" s="225"/>
      <c r="G84" s="225"/>
      <c r="H84" s="225"/>
      <c r="I84" s="226"/>
    </row>
    <row r="85" spans="1:9" ht="18.8" customHeight="1" x14ac:dyDescent="0.2">
      <c r="A85" s="1"/>
      <c r="B85" s="224"/>
      <c r="C85" s="225"/>
      <c r="D85" s="225"/>
      <c r="E85" s="225"/>
      <c r="F85" s="225"/>
      <c r="G85" s="225"/>
      <c r="H85" s="225"/>
      <c r="I85" s="226"/>
    </row>
    <row r="86" spans="1:9" ht="18.8" customHeight="1" x14ac:dyDescent="0.2">
      <c r="A86" s="1"/>
      <c r="B86" s="224"/>
      <c r="C86" s="225"/>
      <c r="D86" s="225"/>
      <c r="E86" s="225"/>
      <c r="F86" s="225"/>
      <c r="G86" s="225"/>
      <c r="H86" s="225"/>
      <c r="I86" s="226"/>
    </row>
    <row r="87" spans="1:9" ht="18.8" customHeight="1" x14ac:dyDescent="0.2">
      <c r="A87" s="1"/>
      <c r="B87" s="224"/>
      <c r="C87" s="225"/>
      <c r="D87" s="225"/>
      <c r="E87" s="225"/>
      <c r="F87" s="225"/>
      <c r="G87" s="225"/>
      <c r="H87" s="225"/>
      <c r="I87" s="226"/>
    </row>
    <row r="88" spans="1:9" ht="18.8" customHeight="1" x14ac:dyDescent="0.2">
      <c r="A88" s="1"/>
      <c r="B88" s="224"/>
      <c r="C88" s="225"/>
      <c r="D88" s="225"/>
      <c r="E88" s="225"/>
      <c r="F88" s="225"/>
      <c r="G88" s="225"/>
      <c r="H88" s="225"/>
      <c r="I88" s="226"/>
    </row>
    <row r="89" spans="1:9" ht="18.8" customHeight="1" x14ac:dyDescent="0.2">
      <c r="A89" s="1"/>
      <c r="B89" s="224"/>
      <c r="C89" s="225"/>
      <c r="D89" s="225"/>
      <c r="E89" s="225"/>
      <c r="F89" s="225"/>
      <c r="G89" s="225"/>
      <c r="H89" s="225"/>
      <c r="I89" s="226"/>
    </row>
    <row r="90" spans="1:9" ht="18.8" customHeight="1" x14ac:dyDescent="0.2">
      <c r="A90" s="4"/>
      <c r="B90" s="224"/>
      <c r="C90" s="225"/>
      <c r="D90" s="225"/>
      <c r="E90" s="225"/>
      <c r="F90" s="225"/>
      <c r="G90" s="225"/>
      <c r="H90" s="225"/>
      <c r="I90" s="226"/>
    </row>
    <row r="91" spans="1:9" ht="18.8" customHeight="1" x14ac:dyDescent="0.2">
      <c r="A91" s="4"/>
      <c r="B91" s="227"/>
      <c r="C91" s="228"/>
      <c r="D91" s="228"/>
      <c r="E91" s="228"/>
      <c r="F91" s="228"/>
      <c r="G91" s="228"/>
      <c r="H91" s="228"/>
      <c r="I91" s="229"/>
    </row>
    <row r="92" spans="1:9" ht="7.55" customHeight="1" x14ac:dyDescent="0.2">
      <c r="A92" s="4"/>
      <c r="B92" s="4"/>
      <c r="C92" s="4"/>
      <c r="D92" s="4"/>
      <c r="E92" s="4"/>
      <c r="F92" s="4"/>
      <c r="G92" s="4"/>
      <c r="H92" s="4"/>
      <c r="I92" s="4"/>
    </row>
    <row r="93" spans="1:9" ht="18.8" customHeight="1" x14ac:dyDescent="0.2">
      <c r="A93" s="1" t="s">
        <v>43</v>
      </c>
      <c r="B93" s="1" t="s">
        <v>13</v>
      </c>
    </row>
    <row r="94" spans="1:9" ht="18.8" customHeight="1" x14ac:dyDescent="0.2">
      <c r="A94" s="1"/>
      <c r="B94" s="190" t="s">
        <v>160</v>
      </c>
      <c r="C94" s="191"/>
      <c r="D94" s="191"/>
      <c r="E94" s="191"/>
      <c r="F94" s="191"/>
      <c r="G94" s="191"/>
      <c r="H94" s="191"/>
      <c r="I94" s="192"/>
    </row>
    <row r="95" spans="1:9" ht="18.8" customHeight="1" x14ac:dyDescent="0.2">
      <c r="A95" s="1"/>
      <c r="B95" s="196"/>
      <c r="C95" s="197"/>
      <c r="D95" s="197"/>
      <c r="E95" s="197"/>
      <c r="F95" s="197"/>
      <c r="G95" s="197"/>
      <c r="H95" s="197"/>
      <c r="I95" s="195"/>
    </row>
    <row r="96" spans="1:9" ht="18.8" customHeight="1" x14ac:dyDescent="0.2">
      <c r="A96" s="1"/>
      <c r="B96" s="196"/>
      <c r="C96" s="197"/>
      <c r="D96" s="197"/>
      <c r="E96" s="197"/>
      <c r="F96" s="197"/>
      <c r="G96" s="197"/>
      <c r="H96" s="197"/>
      <c r="I96" s="195"/>
    </row>
    <row r="97" spans="1:9" ht="18.8" customHeight="1" x14ac:dyDescent="0.2">
      <c r="A97" s="1"/>
      <c r="B97" s="196"/>
      <c r="C97" s="197"/>
      <c r="D97" s="197"/>
      <c r="E97" s="197"/>
      <c r="F97" s="197"/>
      <c r="G97" s="197"/>
      <c r="H97" s="197"/>
      <c r="I97" s="195"/>
    </row>
    <row r="98" spans="1:9" ht="18.8" customHeight="1" x14ac:dyDescent="0.2">
      <c r="A98" s="1"/>
      <c r="B98" s="196"/>
      <c r="C98" s="197"/>
      <c r="D98" s="197"/>
      <c r="E98" s="197"/>
      <c r="F98" s="197"/>
      <c r="G98" s="197"/>
      <c r="H98" s="197"/>
      <c r="I98" s="195"/>
    </row>
    <row r="99" spans="1:9" ht="18.8" customHeight="1" x14ac:dyDescent="0.2">
      <c r="A99" s="1"/>
      <c r="B99" s="196"/>
      <c r="C99" s="197"/>
      <c r="D99" s="197"/>
      <c r="E99" s="197"/>
      <c r="F99" s="197"/>
      <c r="G99" s="197"/>
      <c r="H99" s="197"/>
      <c r="I99" s="195"/>
    </row>
    <row r="100" spans="1:9" ht="18.8" customHeight="1" x14ac:dyDescent="0.2">
      <c r="A100" s="1"/>
      <c r="B100" s="196"/>
      <c r="C100" s="197"/>
      <c r="D100" s="197"/>
      <c r="E100" s="197"/>
      <c r="F100" s="197"/>
      <c r="G100" s="197"/>
      <c r="H100" s="197"/>
      <c r="I100" s="195"/>
    </row>
    <row r="101" spans="1:9" ht="18.8" customHeight="1" x14ac:dyDescent="0.2">
      <c r="A101" s="1"/>
      <c r="B101" s="196"/>
      <c r="C101" s="197"/>
      <c r="D101" s="197"/>
      <c r="E101" s="197"/>
      <c r="F101" s="197"/>
      <c r="G101" s="197"/>
      <c r="H101" s="197"/>
      <c r="I101" s="195"/>
    </row>
    <row r="102" spans="1:9" ht="18.8" customHeight="1" x14ac:dyDescent="0.2">
      <c r="A102" s="1"/>
      <c r="B102" s="196"/>
      <c r="C102" s="197"/>
      <c r="D102" s="197"/>
      <c r="E102" s="197"/>
      <c r="F102" s="197"/>
      <c r="G102" s="197"/>
      <c r="H102" s="197"/>
      <c r="I102" s="195"/>
    </row>
    <row r="103" spans="1:9" ht="18.8" customHeight="1" x14ac:dyDescent="0.2">
      <c r="A103" s="1"/>
      <c r="B103" s="196"/>
      <c r="C103" s="197"/>
      <c r="D103" s="197"/>
      <c r="E103" s="197"/>
      <c r="F103" s="197"/>
      <c r="G103" s="197"/>
      <c r="H103" s="197"/>
      <c r="I103" s="195"/>
    </row>
    <row r="104" spans="1:9" ht="18.8" customHeight="1" x14ac:dyDescent="0.2">
      <c r="A104" s="1"/>
      <c r="B104" s="196"/>
      <c r="C104" s="197"/>
      <c r="D104" s="197"/>
      <c r="E104" s="197"/>
      <c r="F104" s="197"/>
      <c r="G104" s="197"/>
      <c r="H104" s="197"/>
      <c r="I104" s="195"/>
    </row>
    <row r="105" spans="1:9" ht="18.8" customHeight="1" x14ac:dyDescent="0.2">
      <c r="A105" s="4"/>
      <c r="B105" s="198"/>
      <c r="C105" s="199"/>
      <c r="D105" s="199"/>
      <c r="E105" s="199"/>
      <c r="F105" s="199"/>
      <c r="G105" s="199"/>
      <c r="H105" s="199"/>
      <c r="I105" s="200"/>
    </row>
    <row r="106" spans="1:9" ht="7.55" customHeight="1" x14ac:dyDescent="0.2">
      <c r="A106" s="4"/>
      <c r="B106" s="4"/>
      <c r="C106" s="4"/>
      <c r="D106" s="4"/>
      <c r="E106" s="4"/>
      <c r="F106" s="4"/>
      <c r="G106" s="4"/>
      <c r="H106" s="4"/>
      <c r="I106" s="4"/>
    </row>
    <row r="107" spans="1:9" ht="18.8" customHeight="1" x14ac:dyDescent="0.2">
      <c r="A107" s="1" t="s">
        <v>30</v>
      </c>
      <c r="B107" s="207" t="s">
        <v>45</v>
      </c>
      <c r="C107" s="207"/>
      <c r="D107" s="207"/>
      <c r="E107" s="207"/>
      <c r="F107" s="207"/>
      <c r="G107" s="207"/>
      <c r="H107" s="207"/>
      <c r="I107" s="207"/>
    </row>
    <row r="108" spans="1:9" ht="18.8" customHeight="1" x14ac:dyDescent="0.2">
      <c r="A108" s="4"/>
      <c r="B108" s="190" t="s">
        <v>157</v>
      </c>
      <c r="C108" s="191"/>
      <c r="D108" s="191"/>
      <c r="E108" s="191"/>
      <c r="F108" s="191"/>
      <c r="G108" s="191"/>
      <c r="H108" s="191"/>
      <c r="I108" s="192"/>
    </row>
    <row r="109" spans="1:9" ht="18.8" customHeight="1" x14ac:dyDescent="0.2">
      <c r="A109" s="4"/>
      <c r="B109" s="196"/>
      <c r="C109" s="197"/>
      <c r="D109" s="197"/>
      <c r="E109" s="197"/>
      <c r="F109" s="197"/>
      <c r="G109" s="197"/>
      <c r="H109" s="197"/>
      <c r="I109" s="195"/>
    </row>
    <row r="110" spans="1:9" ht="18.8" customHeight="1" x14ac:dyDescent="0.2">
      <c r="A110" s="4"/>
      <c r="B110" s="196"/>
      <c r="C110" s="197"/>
      <c r="D110" s="197"/>
      <c r="E110" s="197"/>
      <c r="F110" s="197"/>
      <c r="G110" s="197"/>
      <c r="H110" s="197"/>
      <c r="I110" s="195"/>
    </row>
    <row r="111" spans="1:9" ht="18.8" customHeight="1" x14ac:dyDescent="0.2">
      <c r="A111" s="4"/>
      <c r="B111" s="196"/>
      <c r="C111" s="197"/>
      <c r="D111" s="197"/>
      <c r="E111" s="197"/>
      <c r="F111" s="197"/>
      <c r="G111" s="197"/>
      <c r="H111" s="197"/>
      <c r="I111" s="195"/>
    </row>
    <row r="112" spans="1:9" ht="18.8" customHeight="1" x14ac:dyDescent="0.2">
      <c r="A112" s="4"/>
      <c r="B112" s="196"/>
      <c r="C112" s="197"/>
      <c r="D112" s="197"/>
      <c r="E112" s="197"/>
      <c r="F112" s="197"/>
      <c r="G112" s="197"/>
      <c r="H112" s="197"/>
      <c r="I112" s="195"/>
    </row>
    <row r="113" spans="1:9" ht="18.8" customHeight="1" x14ac:dyDescent="0.2">
      <c r="A113" s="4"/>
      <c r="B113" s="196"/>
      <c r="C113" s="197"/>
      <c r="D113" s="197"/>
      <c r="E113" s="197"/>
      <c r="F113" s="197"/>
      <c r="G113" s="197"/>
      <c r="H113" s="197"/>
      <c r="I113" s="195"/>
    </row>
    <row r="114" spans="1:9" ht="18.8" customHeight="1" x14ac:dyDescent="0.2">
      <c r="A114" s="4"/>
      <c r="B114" s="196"/>
      <c r="C114" s="197"/>
      <c r="D114" s="197"/>
      <c r="E114" s="197"/>
      <c r="F114" s="197"/>
      <c r="G114" s="197"/>
      <c r="H114" s="197"/>
      <c r="I114" s="195"/>
    </row>
    <row r="115" spans="1:9" ht="18.8" customHeight="1" x14ac:dyDescent="0.2">
      <c r="A115" s="4"/>
      <c r="B115" s="196"/>
      <c r="C115" s="197"/>
      <c r="D115" s="197"/>
      <c r="E115" s="197"/>
      <c r="F115" s="197"/>
      <c r="G115" s="197"/>
      <c r="H115" s="197"/>
      <c r="I115" s="195"/>
    </row>
    <row r="116" spans="1:9" ht="18.8" customHeight="1" x14ac:dyDescent="0.2">
      <c r="A116" s="4"/>
      <c r="B116" s="196"/>
      <c r="C116" s="197"/>
      <c r="D116" s="197"/>
      <c r="E116" s="197"/>
      <c r="F116" s="197"/>
      <c r="G116" s="197"/>
      <c r="H116" s="197"/>
      <c r="I116" s="195"/>
    </row>
    <row r="117" spans="1:9" ht="18.8" customHeight="1" x14ac:dyDescent="0.2">
      <c r="A117" s="4"/>
      <c r="B117" s="196"/>
      <c r="C117" s="197"/>
      <c r="D117" s="197"/>
      <c r="E117" s="197"/>
      <c r="F117" s="197"/>
      <c r="G117" s="197"/>
      <c r="H117" s="197"/>
      <c r="I117" s="195"/>
    </row>
    <row r="118" spans="1:9" ht="18.8" customHeight="1" x14ac:dyDescent="0.2">
      <c r="A118" s="4"/>
      <c r="B118" s="196"/>
      <c r="C118" s="197"/>
      <c r="D118" s="197"/>
      <c r="E118" s="197"/>
      <c r="F118" s="197"/>
      <c r="G118" s="197"/>
      <c r="H118" s="197"/>
      <c r="I118" s="195"/>
    </row>
    <row r="119" spans="1:9" ht="18.8" customHeight="1" x14ac:dyDescent="0.2">
      <c r="A119" s="4"/>
      <c r="B119" s="198"/>
      <c r="C119" s="199"/>
      <c r="D119" s="199"/>
      <c r="E119" s="199"/>
      <c r="F119" s="199"/>
      <c r="G119" s="199"/>
      <c r="H119" s="199"/>
      <c r="I119" s="200"/>
    </row>
    <row r="120" spans="1:9" ht="7.55" customHeight="1" x14ac:dyDescent="0.2">
      <c r="A120" s="4"/>
      <c r="B120" s="39"/>
      <c r="C120" s="39"/>
      <c r="D120" s="39"/>
      <c r="E120" s="39"/>
      <c r="F120" s="39"/>
      <c r="G120" s="39"/>
      <c r="H120" s="39"/>
      <c r="I120" s="39"/>
    </row>
    <row r="121" spans="1:9" ht="18.8" customHeight="1" x14ac:dyDescent="0.2">
      <c r="A121" s="69"/>
      <c r="B121" s="185"/>
      <c r="C121" s="185"/>
      <c r="D121" s="185"/>
      <c r="E121" s="185"/>
      <c r="F121" s="185"/>
      <c r="G121" s="185"/>
      <c r="H121" s="185"/>
      <c r="I121" s="185"/>
    </row>
    <row r="122" spans="1:9" ht="18.8" customHeight="1" x14ac:dyDescent="0.2">
      <c r="A122" s="69"/>
      <c r="B122" s="185"/>
      <c r="C122" s="185"/>
      <c r="D122" s="185"/>
      <c r="E122" s="185"/>
      <c r="F122" s="185"/>
      <c r="G122" s="185"/>
      <c r="H122" s="185"/>
      <c r="I122" s="185"/>
    </row>
    <row r="123" spans="1:9" ht="18.8" customHeight="1" x14ac:dyDescent="0.2">
      <c r="A123" s="4"/>
      <c r="B123" s="73"/>
      <c r="C123" s="73"/>
      <c r="D123" s="73"/>
      <c r="E123" s="73"/>
      <c r="F123" s="73"/>
      <c r="G123" s="73"/>
      <c r="H123" s="73"/>
      <c r="I123" s="74"/>
    </row>
    <row r="124" spans="1:9" ht="18.8" customHeight="1" x14ac:dyDescent="0.2">
      <c r="A124" s="4"/>
      <c r="B124" s="74"/>
      <c r="C124" s="74"/>
      <c r="D124" s="74"/>
      <c r="E124" s="74"/>
      <c r="F124" s="74"/>
      <c r="G124" s="74"/>
      <c r="H124" s="74"/>
      <c r="I124" s="74"/>
    </row>
    <row r="125" spans="1:9" ht="18.8" customHeight="1" x14ac:dyDescent="0.2">
      <c r="A125" s="4"/>
      <c r="B125" s="74"/>
      <c r="C125" s="74"/>
      <c r="D125" s="74"/>
      <c r="E125" s="74"/>
      <c r="F125" s="74"/>
      <c r="G125" s="74"/>
      <c r="H125" s="74"/>
      <c r="I125" s="74"/>
    </row>
    <row r="126" spans="1:9" ht="18.8" customHeight="1" x14ac:dyDescent="0.2">
      <c r="A126" s="4"/>
      <c r="B126" s="74"/>
      <c r="C126" s="74"/>
      <c r="D126" s="74"/>
      <c r="E126" s="74"/>
      <c r="F126" s="74"/>
      <c r="G126" s="74"/>
      <c r="H126" s="74"/>
      <c r="I126" s="74"/>
    </row>
    <row r="127" spans="1:9" ht="18.8" customHeight="1" x14ac:dyDescent="0.2">
      <c r="A127" s="4"/>
      <c r="B127" s="74"/>
      <c r="C127" s="74"/>
      <c r="D127" s="74"/>
      <c r="E127" s="74"/>
      <c r="F127" s="74"/>
      <c r="G127" s="74"/>
      <c r="H127" s="74"/>
      <c r="I127" s="74"/>
    </row>
    <row r="128" spans="1:9" ht="18.8" customHeight="1" x14ac:dyDescent="0.2">
      <c r="A128" s="4"/>
      <c r="B128" s="74"/>
      <c r="C128" s="74"/>
      <c r="D128" s="74"/>
      <c r="E128" s="74"/>
      <c r="F128" s="74"/>
      <c r="G128" s="74"/>
      <c r="H128" s="74"/>
      <c r="I128" s="74"/>
    </row>
    <row r="129" spans="1:9" ht="18.8" customHeight="1" x14ac:dyDescent="0.2">
      <c r="A129" s="4"/>
      <c r="B129" s="74"/>
      <c r="C129" s="74"/>
      <c r="D129" s="74"/>
      <c r="E129" s="74"/>
      <c r="F129" s="74"/>
      <c r="G129" s="74"/>
      <c r="H129" s="74"/>
      <c r="I129" s="74"/>
    </row>
    <row r="130" spans="1:9" ht="18.8" customHeight="1" x14ac:dyDescent="0.2">
      <c r="A130" s="4"/>
      <c r="B130" s="74"/>
      <c r="C130" s="74"/>
      <c r="D130" s="74"/>
      <c r="E130" s="74"/>
      <c r="F130" s="74"/>
      <c r="G130" s="74"/>
      <c r="H130" s="74"/>
      <c r="I130" s="74"/>
    </row>
    <row r="131" spans="1:9" ht="18.8" customHeight="1" x14ac:dyDescent="0.2">
      <c r="A131" s="4"/>
      <c r="B131" s="74"/>
      <c r="C131" s="74"/>
      <c r="D131" s="74"/>
      <c r="E131" s="74"/>
      <c r="F131" s="74"/>
      <c r="G131" s="74"/>
      <c r="H131" s="74"/>
      <c r="I131" s="74"/>
    </row>
    <row r="132" spans="1:9" ht="18.8" customHeight="1" x14ac:dyDescent="0.2">
      <c r="A132" s="4"/>
      <c r="B132" s="74"/>
      <c r="C132" s="74"/>
      <c r="D132" s="74"/>
      <c r="E132" s="74"/>
      <c r="F132" s="74"/>
      <c r="G132" s="74"/>
      <c r="H132" s="74"/>
      <c r="I132" s="74"/>
    </row>
    <row r="133" spans="1:9" ht="14.4" x14ac:dyDescent="0.2">
      <c r="A133" s="4"/>
      <c r="B133" s="74"/>
      <c r="C133" s="74"/>
      <c r="D133" s="74"/>
      <c r="E133" s="74"/>
      <c r="F133" s="74"/>
      <c r="G133" s="74"/>
      <c r="H133" s="74"/>
      <c r="I133" s="74"/>
    </row>
    <row r="134" spans="1:9" ht="7.55" customHeight="1" x14ac:dyDescent="0.2">
      <c r="A134" s="4"/>
      <c r="B134" s="74"/>
      <c r="C134" s="74"/>
      <c r="D134" s="74"/>
      <c r="E134" s="74"/>
      <c r="F134" s="74"/>
      <c r="G134" s="74"/>
      <c r="H134" s="74"/>
      <c r="I134" s="74"/>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16" top="0.78740157480314965" bottom="0.16"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C9298-D35D-4F9D-B22D-8CF8FEADF914}">
  <sheetPr>
    <pageSetUpPr fitToPage="1"/>
  </sheetPr>
  <dimension ref="A1:I30"/>
  <sheetViews>
    <sheetView showZeros="0" view="pageBreakPreview" topLeftCell="A21" zoomScaleNormal="100" zoomScaleSheetLayoutView="100" workbookViewId="0">
      <selection activeCell="E11" sqref="E11:I11"/>
    </sheetView>
  </sheetViews>
  <sheetFormatPr defaultColWidth="11.33203125" defaultRowHeight="22.55" customHeight="1" x14ac:dyDescent="0.2"/>
  <cols>
    <col min="1" max="3" width="2.88671875" style="1" customWidth="1"/>
    <col min="4" max="4" width="22.109375" style="1" customWidth="1"/>
    <col min="5" max="5" width="30.88671875" style="1" customWidth="1"/>
    <col min="6" max="7" width="7.88671875" style="1" customWidth="1"/>
    <col min="8" max="9" width="30.88671875" style="1" customWidth="1"/>
    <col min="10" max="10" width="4.109375" style="1" customWidth="1"/>
    <col min="11" max="16384" width="11.33203125" style="1"/>
  </cols>
  <sheetData>
    <row r="1" spans="1:9" ht="18.8" customHeight="1" x14ac:dyDescent="0.2">
      <c r="A1" s="1" t="s">
        <v>68</v>
      </c>
      <c r="I1" s="30" t="s">
        <v>96</v>
      </c>
    </row>
    <row r="2" spans="1:9" ht="18.8" customHeight="1" x14ac:dyDescent="0.2">
      <c r="H2" s="30" t="s">
        <v>99</v>
      </c>
      <c r="I2" s="29" t="s">
        <v>178</v>
      </c>
    </row>
    <row r="3" spans="1:9" ht="18.8" customHeight="1" x14ac:dyDescent="0.2">
      <c r="A3" s="186" t="s">
        <v>28</v>
      </c>
      <c r="B3" s="186"/>
      <c r="C3" s="186"/>
      <c r="D3" s="186"/>
      <c r="E3" s="186"/>
      <c r="F3" s="186"/>
      <c r="G3" s="186"/>
      <c r="H3" s="186"/>
      <c r="I3" s="186"/>
    </row>
    <row r="4" spans="1:9" ht="18.8" customHeight="1" x14ac:dyDescent="0.2">
      <c r="A4" s="5"/>
      <c r="B4" s="5"/>
      <c r="C4" s="5"/>
      <c r="D4" s="5"/>
      <c r="E4" s="5"/>
      <c r="F4" s="5"/>
      <c r="G4" s="5"/>
      <c r="H4" s="5"/>
      <c r="I4" s="5"/>
    </row>
    <row r="5" spans="1:9" ht="18.8" customHeight="1" x14ac:dyDescent="0.2">
      <c r="A5" s="1" t="s">
        <v>0</v>
      </c>
      <c r="B5" s="10" t="s">
        <v>90</v>
      </c>
      <c r="C5" s="5"/>
      <c r="D5" s="5"/>
      <c r="E5" s="5"/>
      <c r="F5" s="5"/>
      <c r="G5" s="5"/>
      <c r="H5" s="5"/>
      <c r="I5" s="5"/>
    </row>
    <row r="6" spans="1:9" ht="26.3" customHeight="1" x14ac:dyDescent="0.2">
      <c r="A6" s="5"/>
      <c r="B6" s="201" t="s">
        <v>154</v>
      </c>
      <c r="C6" s="262"/>
      <c r="D6" s="262"/>
      <c r="E6" s="262"/>
      <c r="F6" s="262"/>
      <c r="G6" s="262"/>
      <c r="H6" s="263"/>
      <c r="I6" s="3"/>
    </row>
    <row r="7" spans="1:9" ht="9.1" customHeight="1" x14ac:dyDescent="0.2">
      <c r="A7" s="5"/>
      <c r="B7" s="10"/>
      <c r="C7" s="10"/>
      <c r="D7" s="10"/>
      <c r="E7" s="10"/>
      <c r="F7" s="10"/>
      <c r="G7" s="10"/>
      <c r="H7" s="10"/>
      <c r="I7" s="3"/>
    </row>
    <row r="8" spans="1:9" ht="18.8" customHeight="1" x14ac:dyDescent="0.2">
      <c r="A8" s="5"/>
      <c r="B8" s="3"/>
      <c r="C8" s="3"/>
      <c r="D8" s="30" t="s">
        <v>42</v>
      </c>
      <c r="E8" s="31" t="s">
        <v>155</v>
      </c>
      <c r="F8" s="3"/>
      <c r="G8" s="30" t="s">
        <v>10</v>
      </c>
      <c r="H8" s="31" t="s">
        <v>148</v>
      </c>
      <c r="I8" s="3"/>
    </row>
    <row r="9" spans="1:9" ht="7.55" customHeight="1" x14ac:dyDescent="0.2">
      <c r="A9" s="5"/>
      <c r="B9" s="5"/>
      <c r="C9" s="5"/>
      <c r="D9" s="5"/>
      <c r="E9" s="5"/>
      <c r="F9" s="5"/>
      <c r="G9" s="5"/>
      <c r="H9" s="5"/>
      <c r="I9" s="5"/>
    </row>
    <row r="10" spans="1:9" ht="18.8" customHeight="1" x14ac:dyDescent="0.2">
      <c r="A10" s="1" t="s">
        <v>3</v>
      </c>
      <c r="B10" s="1" t="s">
        <v>27</v>
      </c>
      <c r="C10" s="4"/>
      <c r="D10" s="4"/>
      <c r="E10" s="4"/>
      <c r="F10" s="4"/>
      <c r="G10" s="4"/>
      <c r="H10" s="4"/>
      <c r="I10" s="4"/>
    </row>
    <row r="11" spans="1:9" ht="18.8" customHeight="1" x14ac:dyDescent="0.2">
      <c r="B11" s="111" t="s">
        <v>24</v>
      </c>
      <c r="C11" s="112"/>
      <c r="D11" s="113"/>
      <c r="E11" s="112" t="s">
        <v>26</v>
      </c>
      <c r="F11" s="112"/>
      <c r="G11" s="112"/>
      <c r="H11" s="112"/>
      <c r="I11" s="113"/>
    </row>
    <row r="12" spans="1:9" ht="26.3" customHeight="1" x14ac:dyDescent="0.2">
      <c r="B12" s="40" t="s">
        <v>14</v>
      </c>
      <c r="C12" s="47"/>
      <c r="D12" s="41"/>
      <c r="E12" s="48"/>
      <c r="F12" s="48"/>
      <c r="G12" s="48"/>
      <c r="H12" s="48"/>
      <c r="I12" s="41"/>
    </row>
    <row r="13" spans="1:9" ht="210.7" customHeight="1" x14ac:dyDescent="0.2">
      <c r="B13" s="42"/>
      <c r="C13" s="255" t="s">
        <v>15</v>
      </c>
      <c r="D13" s="256"/>
      <c r="E13" s="261" t="s">
        <v>176</v>
      </c>
      <c r="F13" s="257"/>
      <c r="G13" s="257"/>
      <c r="H13" s="257"/>
      <c r="I13" s="258"/>
    </row>
    <row r="14" spans="1:9" ht="195.05" customHeight="1" x14ac:dyDescent="0.2">
      <c r="B14" s="42"/>
      <c r="C14" s="259" t="s">
        <v>16</v>
      </c>
      <c r="D14" s="260"/>
      <c r="E14" s="261" t="s">
        <v>174</v>
      </c>
      <c r="F14" s="257"/>
      <c r="G14" s="257"/>
      <c r="H14" s="257"/>
      <c r="I14" s="258"/>
    </row>
    <row r="15" spans="1:9" ht="210.7" customHeight="1" x14ac:dyDescent="0.2">
      <c r="B15" s="42"/>
      <c r="C15" s="255" t="s">
        <v>17</v>
      </c>
      <c r="D15" s="256"/>
      <c r="E15" s="261" t="s">
        <v>175</v>
      </c>
      <c r="F15" s="257"/>
      <c r="G15" s="257"/>
      <c r="H15" s="257"/>
      <c r="I15" s="258"/>
    </row>
    <row r="16" spans="1:9" ht="210.7" customHeight="1" x14ac:dyDescent="0.2">
      <c r="B16" s="42"/>
      <c r="C16" s="255" t="s">
        <v>18</v>
      </c>
      <c r="D16" s="256"/>
      <c r="E16" s="261" t="s">
        <v>161</v>
      </c>
      <c r="F16" s="257"/>
      <c r="G16" s="257"/>
      <c r="H16" s="257"/>
      <c r="I16" s="258"/>
    </row>
    <row r="17" spans="2:9" ht="210.7" customHeight="1" x14ac:dyDescent="0.2">
      <c r="B17" s="43"/>
      <c r="C17" s="250" t="s">
        <v>19</v>
      </c>
      <c r="D17" s="251"/>
      <c r="E17" s="252" t="s">
        <v>162</v>
      </c>
      <c r="F17" s="253"/>
      <c r="G17" s="253"/>
      <c r="H17" s="253"/>
      <c r="I17" s="254"/>
    </row>
    <row r="18" spans="2:9" ht="23.95" customHeight="1" x14ac:dyDescent="0.2">
      <c r="B18" s="40" t="s">
        <v>20</v>
      </c>
      <c r="C18" s="44"/>
      <c r="D18" s="45" t="s">
        <v>179</v>
      </c>
      <c r="E18" s="46"/>
      <c r="F18" s="46"/>
      <c r="G18" s="46"/>
      <c r="H18" s="46"/>
      <c r="I18" s="49"/>
    </row>
    <row r="19" spans="2:9" ht="218.2" customHeight="1" x14ac:dyDescent="0.2">
      <c r="B19" s="42"/>
      <c r="C19" s="255" t="s">
        <v>21</v>
      </c>
      <c r="D19" s="256"/>
      <c r="E19" s="257" t="s">
        <v>159</v>
      </c>
      <c r="F19" s="257"/>
      <c r="G19" s="257"/>
      <c r="H19" s="257"/>
      <c r="I19" s="258"/>
    </row>
    <row r="20" spans="2:9" ht="218.2" customHeight="1" x14ac:dyDescent="0.2">
      <c r="B20" s="43"/>
      <c r="C20" s="250" t="s">
        <v>22</v>
      </c>
      <c r="D20" s="251"/>
      <c r="E20" s="253" t="s">
        <v>177</v>
      </c>
      <c r="F20" s="253"/>
      <c r="G20" s="253"/>
      <c r="H20" s="253"/>
      <c r="I20" s="254"/>
    </row>
    <row r="21" spans="2:9" ht="218.2" customHeight="1" x14ac:dyDescent="0.2">
      <c r="B21" s="240" t="s">
        <v>23</v>
      </c>
      <c r="C21" s="241"/>
      <c r="D21" s="242"/>
      <c r="E21" s="243" t="s">
        <v>163</v>
      </c>
      <c r="F21" s="243"/>
      <c r="G21" s="243"/>
      <c r="H21" s="243"/>
      <c r="I21" s="244"/>
    </row>
    <row r="22" spans="2:9" ht="218.2" customHeight="1" x14ac:dyDescent="0.2">
      <c r="B22" s="245" t="s">
        <v>135</v>
      </c>
      <c r="C22" s="246"/>
      <c r="D22" s="247"/>
      <c r="E22" s="248" t="s">
        <v>164</v>
      </c>
      <c r="F22" s="248"/>
      <c r="G22" s="248"/>
      <c r="H22" s="248"/>
      <c r="I22" s="249"/>
    </row>
    <row r="23" spans="2:9" ht="22.55" customHeight="1" x14ac:dyDescent="0.2">
      <c r="B23" s="4"/>
      <c r="C23" s="4"/>
      <c r="D23" s="4"/>
      <c r="E23" s="4"/>
      <c r="F23" s="4"/>
      <c r="G23" s="4"/>
      <c r="H23" s="4"/>
      <c r="I23" s="4"/>
    </row>
    <row r="24" spans="2:9" ht="22.55" customHeight="1" x14ac:dyDescent="0.2">
      <c r="B24" s="4"/>
      <c r="C24" s="4"/>
      <c r="D24" s="4"/>
      <c r="E24" s="4"/>
      <c r="F24" s="4"/>
      <c r="G24" s="4"/>
      <c r="H24" s="4"/>
      <c r="I24" s="4"/>
    </row>
    <row r="25" spans="2:9" ht="22.55" customHeight="1" x14ac:dyDescent="0.2">
      <c r="B25" s="4"/>
      <c r="C25" s="4"/>
      <c r="D25" s="4"/>
      <c r="E25" s="4"/>
      <c r="F25" s="4"/>
      <c r="G25" s="4"/>
      <c r="H25" s="4"/>
      <c r="I25" s="4"/>
    </row>
    <row r="26" spans="2:9" ht="22.55" customHeight="1" x14ac:dyDescent="0.2">
      <c r="B26" s="4"/>
      <c r="C26" s="4"/>
      <c r="D26" s="4"/>
      <c r="E26" s="4"/>
      <c r="F26" s="4"/>
      <c r="G26" s="4"/>
      <c r="H26" s="4"/>
      <c r="I26" s="4"/>
    </row>
    <row r="27" spans="2:9" ht="22.55" customHeight="1" x14ac:dyDescent="0.2">
      <c r="B27" s="4"/>
      <c r="C27" s="4"/>
      <c r="D27" s="4"/>
      <c r="E27" s="4"/>
      <c r="F27" s="4"/>
      <c r="G27" s="4"/>
      <c r="H27" s="4"/>
      <c r="I27" s="4"/>
    </row>
    <row r="28" spans="2:9" ht="22.55" customHeight="1" x14ac:dyDescent="0.2">
      <c r="B28" s="14"/>
      <c r="C28" s="14"/>
      <c r="D28" s="14"/>
      <c r="E28" s="14"/>
      <c r="F28" s="14"/>
      <c r="G28" s="14"/>
      <c r="H28" s="14"/>
      <c r="I28" s="14"/>
    </row>
    <row r="29" spans="2:9" ht="22.55" customHeight="1" x14ac:dyDescent="0.2">
      <c r="B29" s="14"/>
      <c r="C29" s="14"/>
      <c r="D29" s="14"/>
      <c r="E29" s="14"/>
      <c r="F29" s="14"/>
      <c r="G29" s="14"/>
      <c r="H29" s="14"/>
      <c r="I29" s="14"/>
    </row>
    <row r="30" spans="2:9" ht="22.55" customHeight="1" x14ac:dyDescent="0.2">
      <c r="B30" s="14"/>
      <c r="C30" s="14"/>
      <c r="D30" s="14"/>
      <c r="E30" s="14"/>
      <c r="F30" s="14"/>
      <c r="G30" s="14"/>
      <c r="H30" s="14"/>
      <c r="I30" s="14"/>
    </row>
  </sheetData>
  <mergeCells count="22">
    <mergeCell ref="A3:I3"/>
    <mergeCell ref="B6:H6"/>
    <mergeCell ref="B11:D11"/>
    <mergeCell ref="E11:I11"/>
    <mergeCell ref="C13:D13"/>
    <mergeCell ref="E13:I13"/>
    <mergeCell ref="C14:D14"/>
    <mergeCell ref="E14:I14"/>
    <mergeCell ref="C15:D15"/>
    <mergeCell ref="E15:I15"/>
    <mergeCell ref="C16:D16"/>
    <mergeCell ref="E16:I16"/>
    <mergeCell ref="B21:D21"/>
    <mergeCell ref="E21:I21"/>
    <mergeCell ref="B22:D22"/>
    <mergeCell ref="E22:I22"/>
    <mergeCell ref="C17:D17"/>
    <mergeCell ref="E17:I17"/>
    <mergeCell ref="C19:D19"/>
    <mergeCell ref="E19:I19"/>
    <mergeCell ref="C20:D20"/>
    <mergeCell ref="E20:I20"/>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加藤　美帆</cp:lastModifiedBy>
  <cp:lastPrinted>2024-06-13T06:24:50Z</cp:lastPrinted>
  <dcterms:created xsi:type="dcterms:W3CDTF">2011-06-14T05:32:50Z</dcterms:created>
  <dcterms:modified xsi:type="dcterms:W3CDTF">2024-06-17T01:47:06Z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