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hosokayo\OneDrive - 国際基督教大学\712 数理・データサイエンス・AI教育プログラム（担当細野）\文科省への申請\提出書類\（再）国際基督教大学\01_国際基督教大学_リテラシー\"/>
    </mc:Choice>
  </mc:AlternateContent>
  <bookViews>
    <workbookView xWindow="28680" yWindow="-120" windowWidth="29040" windowHeight="15840"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<sst xmlns="http://schemas.openxmlformats.org/spreadsheetml/2006/main" count="330" uniqueCount="203">
  <si>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</si>
  <si>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</si>
  <si>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</si>
  <si>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</si>
  <si>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</si>
  <si>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</si>
  <si>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</si>
  <si>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</si>
  <si>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</si>
  <si>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</si>
  <si>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</si>
  <si>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</si>
  <si>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</si>
  <si>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</si>
  <si>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</si>
  <si>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</si>
  <si>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</si>
  <si>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</si>
  <si>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</si>
  <si>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</si>
  <si>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</si>
  <si>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</si>
  <si>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</si>
  <si>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</si>
  <si>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</si>
  <si>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</si>
  <si>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</si>
  <si>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</si>
  <si>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</si>
  <si>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</si>
  <si>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</si>
  <si>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</si>
  <si>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</si>
  <si>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</si>
  <si>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</si>
  <si>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</si>
  <si>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</si>
  <si>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</si>
  <si>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</si>
  <si>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</si>
  <si>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</si>
  <si>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</si>
  <si>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</si>
  <si>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</si>
  <si>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</si>
  <si>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</si>
  <si>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</si>
  <si>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</si>
  <si>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</si>
  <si>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</si>
  <si>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</si>
  <si>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</si>
  <si>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</si>
  <si>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</si>
  <si>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</si>
  <si>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</si>
  <si>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</si>
  <si>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</si>
  <si>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</si>
  <si>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</si>
  <si>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</si>
  <si>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</si>
  <si>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</si>
  <si>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</si>
  <si>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</si>
  <si>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</si>
  <si>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</si>
  <si>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</si>
  <si>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</si>
  <si>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</si>
  <si>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</si>
  <si>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</si>
  <si>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</si>
  <si>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</si>
  <si>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</si>
  <si>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</si>
  <si>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</si>
  <si>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</si>
  <si>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</si>
  <si>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</si>
  <si>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</si>
  <si>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</si>
  <si>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</si>
  <si>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</si>
  <si>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</si>
  <si>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</si>
  <si>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</si>
  <si>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</si>
  <si>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</si>
  <si>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</si>
  <si>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</si>
  <si>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</si>
  <si>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</si>
  <si>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</si>
  <si>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</si>
  <si>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</si>
  <si>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</si>
  <si>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</si>
  <si>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</si>
  <si>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</si>
  <si>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</si>
  <si>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</si>
  <si>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</si>
  <si>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</si>
  <si>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</si>
  <si>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</si>
  <si>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</si>
  <si>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</si>
  <si>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</si>
  <si>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</si>
  <si>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</si>
  <si>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</si>
  <si>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</si>
  <si>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</si>
  <si>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</si>
  <si>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</si>
  <si>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</si>
  <si>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</si>
  <si>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</si>
  <si>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</si>
  <si>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</si>
  <si>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</si>
  <si>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</si>
  <si>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</si>
  <si>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</si>
  <si>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</si>
  <si>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</si>
  <si>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</si>
  <si>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</si>
  <si>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</si>
  <si>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</si>
  <si>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</si>
  <si>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</si>
  <si>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</si>
  <si>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</si>
  <si>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 xml:space="preserve">国際基督教大学      </t>
    <phoneticPr fontId="1"/>
  </si>
  <si>
    <t xml:space="preserve">リベラルアーツにおける数理・データサイエンス・AI教育プログラム      </t>
    <phoneticPr fontId="1"/>
  </si>
  <si>
    <t>学部・学科によって、修了要件は相違しない</t>
  </si>
  <si>
    <t xml:space="preserve">GEN026 Ｎ２：データサイエンスの考え方        </t>
    <phoneticPr fontId="1"/>
  </si>
  <si>
    <t xml:space="preserve">GES039 Ｓ２：統計情報リテラシー </t>
    <phoneticPr fontId="1"/>
  </si>
  <si>
    <t xml:space="preserve">GEN063 Ｎ２：理解のためのマルチメディア  </t>
    <phoneticPr fontId="1"/>
  </si>
  <si>
    <t xml:space="preserve">GEN028 Ｎ２： 社会における統計分析     </t>
    <phoneticPr fontId="1"/>
  </si>
  <si>
    <t>○</t>
  </si>
  <si>
    <t xml:space="preserve">GEN026 Ｎ２：データサイエンスの考え方  </t>
    <phoneticPr fontId="1"/>
  </si>
  <si>
    <t xml:space="preserve">GES039 Ｓ２：統計情報リテラシー                        </t>
    <phoneticPr fontId="1"/>
  </si>
  <si>
    <t xml:space="preserve">GEN063 Ｎ２：理解のためのマルチメディア    </t>
    <phoneticPr fontId="1"/>
  </si>
  <si>
    <t xml:space="preserve">GEN028 Ｎ２： 社会における統計分析    </t>
    <phoneticPr fontId="1"/>
  </si>
  <si>
    <t xml:space="preserve">GEN026 Ｎ２：データサイエンスの考え方      </t>
    <phoneticPr fontId="1"/>
  </si>
  <si>
    <t xml:space="preserve">GES039 Ｓ２：統計情報リテラシー    </t>
    <phoneticPr fontId="1"/>
  </si>
  <si>
    <t xml:space="preserve">GEN063 Ｎ２：理解のためのマルチメディア </t>
    <phoneticPr fontId="1"/>
  </si>
  <si>
    <t xml:space="preserve">GEN028 Ｎ２： 社会における統計分析   </t>
    <phoneticPr fontId="1"/>
  </si>
  <si>
    <t xml:space="preserve">GES039 Ｓ２：統計情報リテラシー  </t>
    <phoneticPr fontId="1"/>
  </si>
  <si>
    <t xml:space="preserve">GEN063 Ｎ２：理解のためのマルチメディア   </t>
    <phoneticPr fontId="1"/>
  </si>
  <si>
    <t>GEN028 Ｎ２： 社会における統計分析</t>
    <phoneticPr fontId="1"/>
  </si>
  <si>
    <t>GEN026 Ｎ２：データサイエンスの考え方</t>
    <phoneticPr fontId="1"/>
  </si>
  <si>
    <t>GEN063 Ｎ２：理解のためのマルチメディア</t>
    <phoneticPr fontId="1"/>
  </si>
  <si>
    <t>4-1統計および数理基礎</t>
  </si>
  <si>
    <t>4‐9データ活用実践（教師なし学習）</t>
  </si>
  <si>
    <t>4‐8データ活用実践（教師あり学習）</t>
  </si>
  <si>
    <t>4‐5テキスト解析</t>
  </si>
  <si>
    <t>4‐6画像解析</t>
    <phoneticPr fontId="1"/>
  </si>
  <si>
    <t xml:space="preserve">・データ量の増加、計算機の処理性能の向上、AIの非連続的進化　「GEN026 Ｎ２：データサイエンスの考え方」　（1回目）、「GES039 Ｓ２：統計情報リテラシー （日）」（1回目）、「GES039 Ｓ２：統計情報リテラシー （英）」（1回目、4回目） 
・ 第4次産業革命、Society 5.0、データ駆動型社会   「GEN063 Ｎ２：理解のためのマルチメディア」（4回目、6回目）
・ ビッグデータ、IoT、AI　「GEN028 Ｎ２： 社会における統計分析」　（8回目）     </t>
    <phoneticPr fontId="1"/>
  </si>
  <si>
    <t xml:space="preserve">・AI最新技術の活用例　「GEN026 Ｎ２：データサイエンスの考え方」　（1回目）、「GEN028 Ｎ２： 社会における統計分析」　（8回目、9回目）
・AI等を活用した新しいビジネスモデル・AI最新技術の活用例　 「GEN063 Ｎ２：理解のためのマルチメディア」（6回目、7回目、8回目）
・AI等を活用した新しいビジネスモデル　「GES039 Ｓ２：統計情報リテラシー （日）」（1回目）、「GES039 Ｓ２：統計情報リテラシー （英）」（1回目）         </t>
    <phoneticPr fontId="1"/>
  </si>
  <si>
    <t xml:space="preserve">・データのオープン化(オープンデータ)　　「GEN026 Ｎ２：データサイエンスの考え方」　（1回目、2回目）、「GES039 Ｓ２：統計情報リテラシー （日）」（1回目）、 「GEN063 Ｎ２：理解のためのマルチメディア」（2回目、3回目）
・調査データ、一次データ、二次データ、データのオープン化　　「GEN028 Ｎ２： 社会における統計分析」　（2回目、3回目）、「GES039 Ｓ２：統計情報リテラシー （英）」（1回目、6回目）       </t>
    <phoneticPr fontId="1"/>
  </si>
  <si>
    <t xml:space="preserve">・仮説検証、知識発見、原因究明、計画策定、判断支援、活動代替、新規生成など　　「GEN026 Ｎ２：データサイエンスの考え方」　（1回目）
・仮説検証、知識発見、原因究明、計画策定、判断支援　「GES039 Ｓ２：統計情報リテラシー （日）」（10回）目）、「GES039 Ｓ２：統計情報リテラシー （英）」（5回目、7回目）
・研究開発、調達、製造、物流、販売、マーケティング、サービスなど「GEN063 Ｎ２：理解のためのマルチメディア」（4回目）
・仮説検証、知識発見、原因究明、計画策定　「GEN028 Ｎ２： 社会における統計分析」　（6回目、7回目）   </t>
    <phoneticPr fontId="1"/>
  </si>
  <si>
    <t xml:space="preserve">・データ可視化:複合グラフ、2軸グラフ、多次元の可視化、関係性の可視化、地図上の可視化　「GEN026 Ｎ２：データサイエンスの考え方」　（2回目、3回目）
・データ可視化:複合グラフ、2軸グラフ、関係性の可視化　「GES039 Ｓ２：統計情報リテラシー （日）」（10回）目）、「GEN063 Ｎ２：理解のためのマルチメディア」（5回目）、「GEN028 Ｎ２： 社会における統計分析」　（2回目、3回目）、「GES039 Ｓ２：統計情報リテラシー （英）」（3回目、4回目）      </t>
    <phoneticPr fontId="1"/>
  </si>
  <si>
    <t xml:space="preserve">・データサイエンスのサイクル　　「GEN026 Ｎ２：データサイエンスの考え方」　（6回目）、「GES039 Ｓ２：統計情報リテラシー （英）」（6回目）
・金融におけるデータ・AI利活用事例　「GES039 Ｓ２：統計情報リテラシー （日）」（9回目）
・ヘルスケアにおけるデータ・AI利活用事例紹介　「GEN063 Ｎ２：理解のためのマルチメディア」（4回目）
･公共におけるデータ活用紹介事例紹介 「GEN028 Ｎ２： 社会における統計分析」　（8回目、9回目）  </t>
    <phoneticPr fontId="1"/>
  </si>
  <si>
    <t xml:space="preserve">・ELSI(Ethical, Legal and Social Issues)　「GEN026 Ｎ２：データサイエンスの考え方」　（6回目）
・データ倫理:　データのねつ造、改ざん、盗用　　「GES039 Ｓ２：統計情報リテラシー （日）」（8回目）、「GEN028 Ｎ２： 社会における統計分析」　（8回目、9回目）、「GES039 Ｓ２：統計情報リテラシー （英）」（8回目）
・AIサービスの責任論　「GEN063 Ｎ２：理解のためのマルチメディア」（9回目）  </t>
    <phoneticPr fontId="1"/>
  </si>
  <si>
    <t xml:space="preserve">・情報セキュリティ　「GEN026 Ｎ２：データサイエンスの考え方」　（6回目）、「GES039 Ｓ２：統計情報リテラシー （日）」（7回目）、「GES039 Ｓ２：統計情報リテラシー （英）」（7回目）、「GEN063 Ｎ２：理解のためのマルチメディア」（1回目）、「GEN028 Ｎ２： 社会における統計分析」　（8回目、9回目）        </t>
    <phoneticPr fontId="1"/>
  </si>
  <si>
    <t xml:space="preserve">・データの分布(ヒストグラム)と代表値(平均値、中央値、最頻値)「GEN026 Ｎ２：データサイエンスの考え方」　（2回目）　「GES039 Ｓ２：統計情報リテラシー （日）」（2回目）、「GEN063 Ｎ２：理解のためのマルチメディア」（3回目）
・データの種類(量的変数、質的変数)、代表値(平均値、中央値、最頻値)、データのばらつき(分散、標準偏差、偏差値)・相関と因果(相関係数、擬似相関)
母集団と標本抽出(国勢調査、アンケート調査、全数調査、単純無作為抽出)、相関係数行列　「GEN028 Ｎ２： 社会における統計分析」　（2回目、3回目、4回目）
・データの種類(量的変数、質的変数)、代表値(平均値、中央値、最頻値)、データのばらつき(分散、標準偏差、偏差値)・相関と因果　「GES039 Ｓ２：統計情報リテラシー （英）」（3回目、4回目、5回目）                                                                                                                              </t>
    <phoneticPr fontId="1"/>
  </si>
  <si>
    <t xml:space="preserve">・データ表現(棒グラフ、折線グラフ、散布図、ヒートマップ)「GEN026 Ｎ２：データサイエンスの考え方」　（2回目、3回目）、「GES039 Ｓ２：統計情報リテラシー （日）」（2回目）、「GES039 Ｓ２：統計情報リテラシー （英）」（3回目）、「GEN063 Ｎ２：理解のためのマルチメディア」（4回目）
・データ表現(棒グラフ、折線グラフ、散布図、ヒートマップ)、データの比較(条件をそろえた比較、処理の前後での比較)　「GEN028 Ｎ２： 社会における統計分析」　（2回目、4回目、6回目、7回目）  </t>
    <phoneticPr fontId="1"/>
  </si>
  <si>
    <t xml:space="preserve">・表形式のデータ(csv)　「GEN026 Ｎ２：データサイエンスの考え方」　（3回目）、「GES039 Ｓ２：統計情報リテラシー （日）」（3回目）、「GES039 Ｓ２：統計情報リテラシー （英）」（3回目）
・データ解析ツール(スプレッドシート)「GEN063 Ｎ２：理解のためのマルチメディア」（4回目）
・データの集計(和、平均)、データの並び替え、ランキング、データ解析ツール(スプレッドシート)
表形式のデータ(csv)　「GEN028 Ｎ２： 社会における統計分析」　（5回目、6回目、7回目）  </t>
    <phoneticPr fontId="1"/>
  </si>
  <si>
    <t>現象を数量的にとらえる、データサイエンス・数理統計・ＡＩ技術に関する基礎的な知識やスキルを習得し、また社会での利活用の可能性について学び、利活用に際して直面する倫理的・法的・社会的課題を理解する。さらに、それら技術がどのように自ら発掘した課題の解決に役立つかを演習やグループワーク等を通じて体感する。</t>
    <phoneticPr fontId="1"/>
  </si>
  <si>
    <t xml:space="preserve">「GEN063 N2: 理解のためのマルチメディア」では自然言語処理技術を応用したチャットボットを作成することにより、AI利活用による課題解決の可能性を体感している。                   </t>
    <phoneticPr fontId="1"/>
  </si>
  <si>
    <t>令和5</t>
    <rPh sb="0" eb="2">
      <t>レイワ</t>
    </rPh>
    <phoneticPr fontId="1"/>
  </si>
  <si>
    <t>教養学部・アーツサイエンス学科</t>
    <phoneticPr fontId="1"/>
  </si>
  <si>
    <t>生駒　夏美</t>
    <phoneticPr fontId="1"/>
  </si>
  <si>
    <t>教養学部長</t>
    <phoneticPr fontId="1"/>
  </si>
  <si>
    <t xml:space="preserve">リベラルアーツにおける数理・データサイエンス・AI教育プログラム委員会                                                               </t>
    <phoneticPr fontId="1"/>
  </si>
  <si>
    <t xml:space="preserve">石橋　圭介    </t>
    <phoneticPr fontId="1"/>
  </si>
  <si>
    <t xml:space="preserve">委員長 </t>
    <phoneticPr fontId="1"/>
  </si>
  <si>
    <t xml:space="preserve">国際基督教大学リベラルアーツにおける数理・データサイエンス・AI教育プログラム規程                                                               </t>
    <phoneticPr fontId="1"/>
  </si>
  <si>
    <t>上記の通り、本学では全科目を全学生が履修可能であるが、本プログラムはその中でも学生の関心に応じて４年間を通して学ぶことが出来る科目群である「一般教育科目」によって構成することにより、幅広い学生が履修できるようにした。また学生の多様な背景・指向に合わせて、ある程度高度な統計的学修や統計プログラミング言語Rによる演習を主とするものから、統計的スキル習得は最小限としグループワークによる課題設定／統計手法の適用を主とするものまで多様な科目を開講した。それら科目の開講言語も日本語以外に英語の科目も準備し、さらに開講学期を分散させ、交換留学生などの学生も履修しやすいようにした。全学生には学内のポータルサイトを通じプログラムを周知し、履修を呼び掛けている。</t>
    <phoneticPr fontId="1"/>
  </si>
  <si>
    <t>数理的な学修に不安がある学生も含めすべての学生に対して、数理・情報科学・統計にかかわる一般教育科目や基礎科目の履修に必要な前提知識や基礎知識の習得をサポートする数量的スキルサポートを令和5（2023）年度からパイロット運用し、令和6（2024）年度から正式発足させた。学部生ラーニングサポーターが単に問題の答えや解き方を教えるのではなく、前提知識の理解を確認したり、他の問題・学習にも応用可能な「学ぶチカラ」を育むことを心がけ「一緒に勉強する。学び方を一緒に考える。」という姿勢で対応している。</t>
    <phoneticPr fontId="1"/>
  </si>
  <si>
    <t>上記「数量的スキルサポート」は、本学2021〜2025年度中期計画に挙げられている文理融合、総合的な知を涵養するための学修支援の一環として、文理を問わず、すべての学生に対して、数理・情報科学・統計に関わる一般教育科目や基礎科目の履修に必要な、前提知識や基礎知識の習得をサポートする学修支援体制である。学期期間中は毎日13時から17時まで、図書館に併設されたコーナーにおいて、予約不要で、学部生ラーニングサポーターに相談可能な体制としている。その他、授業の担当教員は週1日２時間のオフィスアワーを設けており、学生は自由に研究室を訪れ、相談や質問を行うことができる。</t>
    <phoneticPr fontId="1"/>
  </si>
  <si>
    <t xml:space="preserve">リベラルアーツにおける数理・データサイエンス・AI教育プログラム委員会                      </t>
    <phoneticPr fontId="1"/>
  </si>
  <si>
    <t>石橋　圭介</t>
    <phoneticPr fontId="1"/>
  </si>
  <si>
    <t>委員長</t>
    <phoneticPr fontId="1"/>
  </si>
  <si>
    <t xml:space="preserve">令和５（２０２３）年プログラムを開始し、初年度は247名が履修、230名が修了した。メジャー（専修）選択後の学生の分布はおおよそ社会科学系が5割／人文科学系が3割／自然科学系が2割と、おおよそ全体の学生分布と同等であり、本プログラムが幅広い専修から万遍なく履修されていると推定される。    </t>
    <phoneticPr fontId="1"/>
  </si>
  <si>
    <t xml:space="preserve">各科目で実施した授業効果評価のアンケートでは、アンケート項目「この授業で扱った数理、統計、データサイエンス、A Iなどの考え方が身についた」に対して、ポジティブな回答が90%にのぼっており、高い学修効果が得られているものと思われる。また授業コメントでは「今まで文系の授業しか取っていなかった私にとってデータを使って数値で分析するという事は、一つの事象を考える際の視点を広げるきっかけとなりました。今回の授業で教わったRでの分析やその他の統計学の考え方をその他の授業でも生かしていきたいと思います。 」といったコメントが得られるなど、プログラムの学修目標が達成できているものと考える。
</t>
    <phoneticPr fontId="1"/>
  </si>
  <si>
    <t xml:space="preserve">各科目で実施した授業効果評価のアンケートでは、アンケート項目「この授業で扱った数理、統計、データサイエンス、A Iなどの実社会における応用や価値が理解できた 」に対して、回答「強くそう思う」が平均37%、回答「そう思う」が平均55%、アンケート項目「この授業で扱った数理、統計、データサイエンス、A Iなどの留意点・問題点が理解できた」に対して、回答「強くそう思う」が平均33%、回答「そう思う」が平均57%とほぼポジティブな回答が得られており、モデルカリキュラムの「導入」「心得」に対して高い理解が得られていると判断できる。    </t>
    <phoneticPr fontId="1"/>
  </si>
  <si>
    <t xml:space="preserve">本プログラムの主要科目の一部は、プログラム開始前から開講されていた。それらの科目の履修者数はプログラム開始後に増加しており、また授業効果調査において良好な評価を得ている事実と併せて考えると、学生の間でデータサイエンスプログラム指定科目の履修に関して、後輩等への推奨など好意的な情報交換が行われているものと考える。    </t>
    <phoneticPr fontId="1"/>
  </si>
  <si>
    <t xml:space="preserve">本プログラムは、全学生を対象として開講されている科目群である一般教育科目により構成することで全学的に学生が履修できるように企図したが、上記の通りほぼ各専修の学生から全学的に履修されており、プログラム企画意図が達成できていると考える。2023年度開始プログラムであり、履修率については実績の数字のみとなるが、実績10％の履修率からは、今後3年間で履修率20%が達成可能な状況と考える。
</t>
    <phoneticPr fontId="1"/>
  </si>
  <si>
    <t xml:space="preserve">修了者の進路調査等は未実施だが、外部評価委員　理化学研究所革新知能統合研究センター上田副センター長から「統計学・機械学習、プログラミングなどの専門的な能力の習得は言うまでもなく、それらの能力を実問題で活かす問題解決能力が企業等ではより重要である。当大学での数理・データサイエンスAI教育プログラム教育では、グループワークによる分析課題設定、分析、プレゼンもカリキュラムも含まれている。 本教育プログラム修了者が、将来企業で活躍するためには知識のみならず、それを運用する能力が必須である。修了者がプログラムを通して上記スキルを習得し、企業等で活躍することを期待する。」とコメントを得ている。    </t>
    <phoneticPr fontId="1"/>
  </si>
  <si>
    <t xml:space="preserve">当大学は、リベラルアーツの強みを活かし、数理統計の基礎理論、データ処理技術の習得、さらに実践的なプロジェクトまでをカバーした、学生の将来キャリアの基礎となる教育プログラムを提供している。産業界では、価値創造とそれをシステムとして実現するためのプログラミングスキルを持つ人材が求めれらている。その観点で、解が未知な実問題に対して問題分析、解決のためのアプローチ、結果の考察などを、グループワークを通して、コミュニケーション能力、プレゼン能力向上も含めたより実践的な教育を積極的に取り入れている点は高く評価できる。一方、AI技術に欠かせないPythonや深層学習についても、早い段階での習得も提言する。    </t>
    <phoneticPr fontId="1"/>
  </si>
  <si>
    <t xml:space="preserve">各科目で学生自らが手を動かすことにより、学ぶ意義を理解するように留意している。 「社会における統計分析」「データサイエンスの考え方」では、学生が自ら分析テーマを立案、データを探索して分析・考察することにより、データ分析課題設定や結果考察の重要性を体感している。また、「理解のためのマルチメディア」では自然言語処理技術を応用したチャットボットを作成することにより、AI利活用による課題解決の可能性を体感している。各科目で実施した学修効果評価のアンケートでは、今後さらに深く学びたい、実践したいという設問に対してに対して約85%がポジティブな回答となっており、意義を体感できていると判断できる。    </t>
    <phoneticPr fontId="1"/>
  </si>
  <si>
    <t xml:space="preserve">全科目でリテラシー的内容はカバーしつつ、各科目で発展的内容も扱っている（「データサイエンスの考え方」でのベイズ統計、「統計情報リテラシー」でのサンプリング法等）。また、本リテラシーレベル教育の修了後、発展的・実践的内容を習得可能なPythonプログラミング、深層学習の実践などの科目群も開講している。さらに、変化が早い最先端の技術については産業界からの外部講師によるゲスト講義を実施している（ソニーグループ株式会社副社長CTO 北野宏明本学Othmer記念科学教授による「生成系AIのインパクト」、NTTデータグループ 技術革新統括本部 安部裕之氏による「生成AI時代のチャンスとリスク」等）。
    </t>
    <phoneticPr fontId="1"/>
  </si>
  <si>
    <r>
      <t>教育プログラムを構成する科目に、</t>
    </r>
    <r>
      <rPr>
        <b/>
        <sz val="11"/>
        <color theme="1"/>
        <rFont val="ＭＳ Ｐゴシック"/>
        <family val="3"/>
        <charset val="128"/>
        <scheme val="minor"/>
      </rPr>
      <t>「数理・データサイエンス・ＡＩ（リテラシーレベル）モデルカリキュラム改訂版」</t>
    </r>
    <r>
      <rPr>
        <sz val="11"/>
        <color theme="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</si>
  <si>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 xml:space="preserve">本学の文理融合・リベラルアーツの強みを活かし、学生の数理・データリテラシーの能力の涵養を目的とし、本学に「リベラルアーツにおける数理・データサイエンス・AI教育プログラム」を設置する。リベラルアーツにおける数理・データサイエンス・AI教育プログラム委員会を置き、委員会は、目的を達成するため、次に掲げる事項を行う。
(1) 本プログラムの企画・立案・検討・実施に関する事項
(2) 本プログラムの自己点検・評価および改善に関する事項
(3) 本プログラムの広報および情報公開に関する事項
(4) 本プログラムの履修・修了に関する事項
(5) 数理・データサイエンス・AI 教育プログラム認定制度への届出に関する事項
(6) その他,本プログラムに関し,委員長が必要と認める事項        
       </t>
    <phoneticPr fontId="1"/>
  </si>
  <si>
    <t xml:space="preserve">委員長　石橋　圭介　教授
委員　生駒　夏美　教授　（教養学部長）
　　　　山口　富子　教授　（教養学部副部長（カリキュラム担当））
　　　　大森　佐和　教授　（大学院部長）
　　　　海蔵寺　大成　教授
　　　　森木　美恵　教授
　　　　金澤　雄一郎　特任教授
　　　　清水　勇二　特任教授
　　　　金子　拓也　上級准教授
　　　　鏑木　崇史　准教授
　　　　マルシャレツ， ダニエル　ヤヌシュ　准教授         
       </t>
    <phoneticPr fontId="1"/>
  </si>
  <si>
    <t>本学は一学部・一学科であり、全学生がすべての科目を受講可能である（語学必修科目を除く）。中でも一般教育科目は、専門科目を教える専任教員が担当する人文科学系列・社会科学系列・自然科学系列の３領域にまたがる科目群で、卒業までに３領域から21単位の履修が必修である。リベラルアーツカレッジならではの学際的科目群において数理・データサイエンス・AI教育プログラムを日英両語で展開しているのは、全学生に共通する科目群であること、そして学修目標を、学生の第一言語や専攻に拘らず、実問題で活かす問題解決能力の涵養としているためである。</t>
    <phoneticPr fontId="1"/>
  </si>
  <si>
    <t>下記のうち1科目の単位取得によって修了。
・GEN026 Ｎ２：データサイエンスの考え方 　3単位
・GES039 Ｓ２：統計情報リテラシー（日／英）　3単位
・GEN063 Ｎ２：理解のためのマルチメディア　2単位
・GEN028 Ｎ２： 社会における統計分析  3単位</t>
    <rPh sb="47" eb="49">
      <t>タンイ</t>
    </rPh>
    <rPh sb="77" eb="79">
      <t>タンイ</t>
    </rPh>
    <rPh sb="106" eb="108">
      <t>タンイ</t>
    </rPh>
    <rPh sb="134" eb="136">
      <t>タンイ</t>
    </rPh>
    <phoneticPr fontId="1"/>
  </si>
  <si>
    <t>令和5年度はプログラム開始初年度であり、収容定員に占める履修者数の割合は10%となっているが、当プログラムを構成する科目は、一般教育科目であり、これは学生の関心に応じて4年間を通して学べる科目である。その為、年度経過と共に収容定員に占める履修者数割合は増加し、40％まで増加する予測である。また、さらなる増加を目指し、学内広報に努める。学内広報の際は、2023年度に学内に発足した、学部生によるピアサポートデスク「数量的スキルサポート」と連携する。「数量的スキルサポート」は、総合的な知を涵養するための学修支援の一環として、文理を問わず、すべての学生に対して、数理・情報科学・統計にかかわる一般教育科目や基礎科目の履修に必要な前提知識や基礎知識の学習をサポートすることを目的としている。
各年度の具体的な方策
令和6年度：プログラム認定制度に認定された折には、その旨を学生に周知し、さらなる履修を呼び掛ける
令和7年度：引き続き学内ポータルサイト等で履修を呼び掛ける。
令和8年度、9年度：引き続き学内ポータルサイト等で履修を呼び掛ける。毎年の広報により、プログラムの学生への認知度を向上させる。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</si>
</sst>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b/>
      <sz val="11"/>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4">
    <xf numFmtId="0" fontId="0" fillId="0" borderId="0" xfId="0">
      <alignment vertical="center"/>
    </xf>
    <xf numFmtId="0" fontId="5" fillId="0" borderId="0" xfId="0" applyFont="1">
      <alignment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5" fillId="0" borderId="0" xfId="0" applyFont="1" applyFill="1">
      <alignment vertical="center"/>
    </xf>
    <xf numFmtId="0" fontId="2" fillId="0" borderId="0" xfId="0" applyFont="1" applyFill="1">
      <alignment vertical="center"/>
    </xf>
    <xf numFmtId="0" fontId="5" fillId="0" borderId="0" xfId="0" applyFont="1" applyAlignment="1">
      <alignment vertical="center" wrapText="1"/>
    </xf>
    <xf numFmtId="49" fontId="5" fillId="0" borderId="0" xfId="0" applyNumberFormat="1" applyFont="1" applyAlignment="1">
      <alignment vertical="center" shrinkToFit="1"/>
    </xf>
    <xf numFmtId="0" fontId="5" fillId="0" borderId="0" xfId="0" applyFont="1" applyFill="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0" xfId="0" applyFont="1" applyAlignment="1">
      <alignment horizontal="right"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5" fillId="0" borderId="6" xfId="0" applyFont="1" applyFill="1" applyBorder="1" applyAlignment="1">
      <alignment horizontal="left" vertical="center" wrapText="1"/>
    </xf>
    <xf numFmtId="0" fontId="5" fillId="0" borderId="1" xfId="0" applyFont="1" applyFill="1" applyBorder="1" applyAlignment="1">
      <alignment horizontal="center" vertical="center"/>
    </xf>
    <xf numFmtId="0" fontId="3" fillId="0" borderId="1" xfId="0" applyFont="1" applyFill="1" applyBorder="1" applyAlignment="1">
      <alignment vertical="center" wrapText="1"/>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4"/>
  <sheetViews>
    <sheetView showZeros="0" tabSelected="1" view="pageBreakPreview" topLeftCell="A31" zoomScaleNormal="100" zoomScaleSheetLayoutView="100" workbookViewId="0">
      <selection activeCell="K66" sqref="K66:Q66"/>
    </sheetView>
  </sheetViews>
  <sheetFormatPr defaultColWidth="9" defaultRowHeight="18.75" customHeight="1" x14ac:dyDescent="0.15"/>
  <cols>
    <col min="1" max="1" width="2.5" style="56" customWidth="1"/>
    <col min="2" max="2" width="16.5" style="56" customWidth="1"/>
    <col min="3" max="21" width="5.625" style="56" customWidth="1"/>
    <col min="22" max="22" width="9" style="56"/>
    <col min="23" max="23" width="3.625" style="56" customWidth="1"/>
    <col min="24" max="24" width="48.625" style="56" hidden="1" customWidth="1"/>
    <col min="25" max="16384" width="9" style="56"/>
  </cols>
  <sheetData>
    <row r="1" spans="1:24" ht="18.600000000000001" customHeight="1" x14ac:dyDescent="0.15">
      <c r="T1" s="115" t="s">
        <v>12</v>
      </c>
      <c r="U1" s="115"/>
      <c r="V1" s="1" t="s">
        <v>100</v>
      </c>
    </row>
    <row r="2" spans="1:24" ht="18.75" customHeight="1" x14ac:dyDescent="0.15">
      <c r="B2" s="13" t="s">
        <v>99</v>
      </c>
      <c r="C2" s="96" t="s">
        <v>135</v>
      </c>
      <c r="D2" s="97"/>
      <c r="E2" s="97"/>
      <c r="F2" s="97"/>
      <c r="G2" s="97"/>
      <c r="H2" s="97"/>
      <c r="I2" s="97"/>
      <c r="J2" s="98"/>
      <c r="K2" s="14"/>
      <c r="L2" s="3"/>
      <c r="M2" s="3"/>
      <c r="N2" s="3"/>
      <c r="O2" s="3"/>
      <c r="P2" s="3"/>
      <c r="Q2" s="3"/>
      <c r="R2" s="3"/>
      <c r="S2" s="3"/>
      <c r="T2" s="3"/>
      <c r="U2" s="3"/>
    </row>
    <row r="3" spans="1:24" ht="18.75" customHeight="1" x14ac:dyDescent="0.15">
      <c r="B3" s="13" t="s">
        <v>94</v>
      </c>
      <c r="C3" s="116" t="s">
        <v>136</v>
      </c>
      <c r="D3" s="117"/>
      <c r="E3" s="117"/>
      <c r="F3" s="117"/>
      <c r="G3" s="117"/>
      <c r="H3" s="117"/>
      <c r="I3" s="117"/>
      <c r="J3" s="118"/>
      <c r="K3" s="14"/>
      <c r="L3" s="3"/>
      <c r="M3" s="3"/>
      <c r="N3" s="3"/>
      <c r="O3" s="3"/>
      <c r="P3" s="3"/>
      <c r="Q3" s="3"/>
      <c r="R3" s="3"/>
      <c r="S3" s="3"/>
      <c r="T3" s="3"/>
      <c r="U3" s="3"/>
    </row>
    <row r="4" spans="1:24" ht="15" customHeight="1" x14ac:dyDescent="0.15">
      <c r="L4" s="14"/>
      <c r="M4" s="57"/>
      <c r="N4" s="57"/>
      <c r="O4" s="57"/>
      <c r="P4" s="57"/>
      <c r="Q4" s="57"/>
      <c r="R4" s="57"/>
      <c r="S4" s="57"/>
      <c r="T4" s="57"/>
      <c r="U4" s="57"/>
    </row>
    <row r="5" spans="1:24" ht="18" customHeight="1" x14ac:dyDescent="0.15">
      <c r="A5" s="119" t="s">
        <v>38</v>
      </c>
      <c r="B5" s="119"/>
      <c r="C5" s="119"/>
      <c r="D5" s="119"/>
      <c r="E5" s="119"/>
      <c r="F5" s="119"/>
      <c r="G5" s="119"/>
      <c r="H5" s="119"/>
      <c r="I5" s="119"/>
      <c r="J5" s="119"/>
      <c r="K5" s="119"/>
      <c r="L5" s="119"/>
      <c r="M5" s="119"/>
      <c r="N5" s="119"/>
      <c r="O5" s="119"/>
      <c r="P5" s="119"/>
      <c r="Q5" s="119"/>
      <c r="R5" s="119"/>
      <c r="S5" s="119"/>
      <c r="T5" s="119"/>
      <c r="U5" s="119"/>
    </row>
    <row r="6" spans="1:24" ht="15" customHeight="1" x14ac:dyDescent="0.15">
      <c r="B6" s="55"/>
      <c r="C6" s="55"/>
      <c r="D6" s="55"/>
      <c r="E6" s="55"/>
      <c r="F6" s="55"/>
      <c r="G6" s="55"/>
      <c r="H6" s="55"/>
      <c r="I6" s="55"/>
      <c r="J6" s="55"/>
      <c r="K6" s="55"/>
      <c r="L6" s="55"/>
      <c r="M6" s="55"/>
      <c r="N6" s="55"/>
      <c r="O6" s="55"/>
      <c r="P6" s="55"/>
      <c r="Q6" s="55"/>
      <c r="R6" s="55"/>
      <c r="S6" s="55"/>
      <c r="T6" s="55"/>
      <c r="U6" s="55"/>
    </row>
    <row r="7" spans="1:24" ht="15" customHeight="1" x14ac:dyDescent="0.15">
      <c r="A7" s="56" t="s">
        <v>130</v>
      </c>
      <c r="B7" s="55"/>
      <c r="C7" s="55"/>
      <c r="D7" s="55"/>
      <c r="E7" s="55"/>
      <c r="F7" s="1"/>
      <c r="G7" s="1"/>
      <c r="H7" s="1"/>
      <c r="I7" s="1"/>
      <c r="J7" s="1"/>
      <c r="K7" s="1"/>
      <c r="L7" s="93" t="s">
        <v>137</v>
      </c>
      <c r="M7" s="94"/>
      <c r="N7" s="94"/>
      <c r="O7" s="94"/>
      <c r="P7" s="94"/>
      <c r="Q7" s="94"/>
      <c r="R7" s="94"/>
      <c r="S7" s="94"/>
      <c r="T7" s="94"/>
      <c r="U7" s="95"/>
    </row>
    <row r="8" spans="1:24" ht="6" customHeight="1" x14ac:dyDescent="0.15">
      <c r="B8" s="55"/>
      <c r="C8" s="55"/>
      <c r="D8" s="55"/>
      <c r="E8" s="55"/>
      <c r="F8" s="55"/>
      <c r="G8" s="55"/>
      <c r="H8" s="55"/>
      <c r="I8" s="55"/>
      <c r="J8" s="55"/>
      <c r="K8" s="55"/>
      <c r="L8" s="55"/>
      <c r="M8" s="55"/>
      <c r="N8" s="55"/>
      <c r="O8" s="55"/>
      <c r="P8" s="55"/>
      <c r="Q8" s="55"/>
      <c r="R8" s="55"/>
      <c r="S8" s="55"/>
      <c r="T8" s="55"/>
      <c r="U8" s="55"/>
    </row>
    <row r="9" spans="1:24" ht="18" customHeight="1" x14ac:dyDescent="0.15">
      <c r="A9" s="56" t="s">
        <v>131</v>
      </c>
      <c r="C9" s="55"/>
      <c r="D9" s="55"/>
      <c r="K9" s="14"/>
      <c r="L9" s="1"/>
      <c r="M9" s="1"/>
      <c r="N9" s="1"/>
      <c r="O9" s="1"/>
      <c r="P9" s="1"/>
      <c r="Q9" s="1"/>
      <c r="R9" s="1"/>
      <c r="S9" s="1"/>
      <c r="T9" s="1"/>
      <c r="U9" s="1"/>
    </row>
    <row r="10" spans="1:24" ht="6" customHeight="1" x14ac:dyDescent="0.15">
      <c r="B10" s="55"/>
      <c r="C10" s="55"/>
      <c r="D10" s="55"/>
      <c r="E10" s="55"/>
      <c r="F10" s="55"/>
      <c r="G10" s="55"/>
      <c r="H10" s="55"/>
      <c r="I10" s="55"/>
      <c r="J10" s="55"/>
      <c r="K10" s="55"/>
      <c r="L10" s="7"/>
      <c r="M10" s="55"/>
      <c r="N10" s="55"/>
      <c r="O10" s="55"/>
      <c r="P10" s="55"/>
      <c r="Q10" s="55"/>
      <c r="R10" s="55"/>
      <c r="S10" s="55"/>
      <c r="T10" s="55"/>
      <c r="U10" s="55"/>
    </row>
    <row r="11" spans="1:24" ht="18" customHeight="1" x14ac:dyDescent="0.15">
      <c r="B11" s="99"/>
      <c r="C11" s="100"/>
      <c r="D11" s="100"/>
      <c r="E11" s="100"/>
      <c r="F11" s="100"/>
      <c r="G11" s="100"/>
      <c r="H11" s="100"/>
      <c r="I11" s="100"/>
      <c r="J11" s="100"/>
      <c r="K11" s="100"/>
      <c r="L11" s="100"/>
      <c r="M11" s="100"/>
      <c r="N11" s="100"/>
      <c r="O11" s="100"/>
      <c r="P11" s="100"/>
      <c r="Q11" s="100"/>
      <c r="R11" s="100"/>
      <c r="S11" s="100"/>
      <c r="T11" s="100"/>
      <c r="U11" s="101"/>
    </row>
    <row r="12" spans="1:24" ht="18" customHeight="1" x14ac:dyDescent="0.15">
      <c r="B12" s="102"/>
      <c r="C12" s="103"/>
      <c r="D12" s="103"/>
      <c r="E12" s="103"/>
      <c r="F12" s="103"/>
      <c r="G12" s="103"/>
      <c r="H12" s="103"/>
      <c r="I12" s="103"/>
      <c r="J12" s="103"/>
      <c r="K12" s="103"/>
      <c r="L12" s="103"/>
      <c r="M12" s="103"/>
      <c r="N12" s="103"/>
      <c r="O12" s="103"/>
      <c r="P12" s="103"/>
      <c r="Q12" s="103"/>
      <c r="R12" s="103"/>
      <c r="S12" s="103"/>
      <c r="T12" s="103"/>
      <c r="U12" s="104"/>
    </row>
    <row r="13" spans="1:24" ht="6" customHeight="1" x14ac:dyDescent="0.15">
      <c r="B13" s="55"/>
      <c r="C13" s="55"/>
      <c r="D13" s="55"/>
      <c r="E13" s="55"/>
      <c r="F13" s="55"/>
      <c r="G13" s="55"/>
      <c r="H13" s="55"/>
      <c r="I13" s="55"/>
      <c r="J13" s="55"/>
      <c r="K13" s="55"/>
      <c r="L13" s="7"/>
      <c r="M13" s="55"/>
      <c r="N13" s="55"/>
      <c r="O13" s="55"/>
      <c r="P13" s="55"/>
      <c r="Q13" s="55"/>
      <c r="R13" s="55"/>
      <c r="S13" s="55"/>
      <c r="T13" s="55"/>
      <c r="U13" s="55"/>
    </row>
    <row r="14" spans="1:24" ht="18" customHeight="1" x14ac:dyDescent="0.15">
      <c r="A14" s="56" t="s">
        <v>101</v>
      </c>
      <c r="B14" s="55"/>
      <c r="C14" s="55"/>
      <c r="D14" s="55"/>
      <c r="E14" s="14"/>
      <c r="F14" s="14"/>
      <c r="G14" s="14"/>
      <c r="H14" s="14"/>
      <c r="I14" s="14"/>
      <c r="J14" s="14"/>
      <c r="K14" s="14"/>
      <c r="L14" s="58"/>
      <c r="M14" s="58"/>
      <c r="N14" s="58"/>
      <c r="O14" s="58"/>
      <c r="P14" s="58"/>
      <c r="Q14" s="58"/>
      <c r="R14" s="58"/>
      <c r="S14" s="58"/>
      <c r="T14" s="58"/>
      <c r="U14" s="58"/>
    </row>
    <row r="15" spans="1:24" ht="18" customHeight="1" x14ac:dyDescent="0.15">
      <c r="B15" s="120" t="s">
        <v>201</v>
      </c>
      <c r="C15" s="121"/>
      <c r="D15" s="121"/>
      <c r="E15" s="121"/>
      <c r="F15" s="121"/>
      <c r="G15" s="121"/>
      <c r="H15" s="121"/>
      <c r="I15" s="121"/>
      <c r="J15" s="121"/>
      <c r="K15" s="121"/>
      <c r="L15" s="121"/>
      <c r="M15" s="121"/>
      <c r="N15" s="121"/>
      <c r="O15" s="121"/>
      <c r="P15" s="121"/>
      <c r="Q15" s="121"/>
      <c r="R15" s="121"/>
      <c r="S15" s="121"/>
      <c r="T15" s="121"/>
      <c r="U15" s="122"/>
      <c r="X15" s="56" t="s">
        <v>95</v>
      </c>
    </row>
    <row r="16" spans="1:24" ht="18" customHeight="1" x14ac:dyDescent="0.15">
      <c r="B16" s="123"/>
      <c r="C16" s="124"/>
      <c r="D16" s="124"/>
      <c r="E16" s="124"/>
      <c r="F16" s="124"/>
      <c r="G16" s="124"/>
      <c r="H16" s="124"/>
      <c r="I16" s="124"/>
      <c r="J16" s="124"/>
      <c r="K16" s="124"/>
      <c r="L16" s="124"/>
      <c r="M16" s="124"/>
      <c r="N16" s="124"/>
      <c r="O16" s="124"/>
      <c r="P16" s="124"/>
      <c r="Q16" s="124"/>
      <c r="R16" s="124"/>
      <c r="S16" s="124"/>
      <c r="T16" s="124"/>
      <c r="U16" s="125"/>
      <c r="X16" s="56" t="s">
        <v>115</v>
      </c>
    </row>
    <row r="17" spans="1:24" ht="18" customHeight="1" x14ac:dyDescent="0.15">
      <c r="B17" s="123"/>
      <c r="C17" s="124"/>
      <c r="D17" s="124"/>
      <c r="E17" s="124"/>
      <c r="F17" s="124"/>
      <c r="G17" s="124"/>
      <c r="H17" s="124"/>
      <c r="I17" s="124"/>
      <c r="J17" s="124"/>
      <c r="K17" s="124"/>
      <c r="L17" s="124"/>
      <c r="M17" s="124"/>
      <c r="N17" s="124"/>
      <c r="O17" s="124"/>
      <c r="P17" s="124"/>
      <c r="Q17" s="124"/>
      <c r="R17" s="124"/>
      <c r="S17" s="124"/>
      <c r="T17" s="124"/>
      <c r="U17" s="125"/>
      <c r="X17" s="56" t="s">
        <v>116</v>
      </c>
    </row>
    <row r="18" spans="1:24" ht="18" customHeight="1" x14ac:dyDescent="0.15">
      <c r="B18" s="123"/>
      <c r="C18" s="124"/>
      <c r="D18" s="124"/>
      <c r="E18" s="124"/>
      <c r="F18" s="124"/>
      <c r="G18" s="124"/>
      <c r="H18" s="124"/>
      <c r="I18" s="124"/>
      <c r="J18" s="124"/>
      <c r="K18" s="124"/>
      <c r="L18" s="124"/>
      <c r="M18" s="124"/>
      <c r="N18" s="124"/>
      <c r="O18" s="124"/>
      <c r="P18" s="124"/>
      <c r="Q18" s="124"/>
      <c r="R18" s="124"/>
      <c r="S18" s="124"/>
      <c r="T18" s="124"/>
      <c r="U18" s="125"/>
      <c r="X18" s="56" t="s">
        <v>117</v>
      </c>
    </row>
    <row r="19" spans="1:24" ht="18" customHeight="1" x14ac:dyDescent="0.15">
      <c r="B19" s="123"/>
      <c r="C19" s="124"/>
      <c r="D19" s="124"/>
      <c r="E19" s="124"/>
      <c r="F19" s="124"/>
      <c r="G19" s="124"/>
      <c r="H19" s="124"/>
      <c r="I19" s="124"/>
      <c r="J19" s="124"/>
      <c r="K19" s="124"/>
      <c r="L19" s="124"/>
      <c r="M19" s="124"/>
      <c r="N19" s="124"/>
      <c r="O19" s="124"/>
      <c r="P19" s="124"/>
      <c r="Q19" s="124"/>
      <c r="R19" s="124"/>
      <c r="S19" s="124"/>
      <c r="T19" s="124"/>
      <c r="U19" s="125"/>
    </row>
    <row r="20" spans="1:24" ht="18" customHeight="1" x14ac:dyDescent="0.15">
      <c r="B20" s="126"/>
      <c r="C20" s="127"/>
      <c r="D20" s="127"/>
      <c r="E20" s="127"/>
      <c r="F20" s="127"/>
      <c r="G20" s="127"/>
      <c r="H20" s="127"/>
      <c r="I20" s="127"/>
      <c r="J20" s="127"/>
      <c r="K20" s="127"/>
      <c r="L20" s="127"/>
      <c r="M20" s="127"/>
      <c r="N20" s="127"/>
      <c r="O20" s="127"/>
      <c r="P20" s="127"/>
      <c r="Q20" s="127"/>
      <c r="R20" s="127"/>
      <c r="S20" s="127"/>
      <c r="T20" s="127"/>
      <c r="U20" s="128"/>
    </row>
    <row r="21" spans="1:24" ht="7.5" customHeight="1" x14ac:dyDescent="0.15">
      <c r="B21" s="55"/>
      <c r="C21" s="55"/>
      <c r="D21" s="55"/>
      <c r="E21" s="55"/>
      <c r="F21" s="55"/>
      <c r="G21" s="55"/>
      <c r="H21" s="55"/>
      <c r="I21" s="55"/>
      <c r="J21" s="55"/>
      <c r="K21" s="55"/>
      <c r="L21" s="55"/>
      <c r="M21" s="55"/>
      <c r="N21" s="55"/>
      <c r="O21" s="55"/>
      <c r="P21" s="55"/>
      <c r="Q21" s="55"/>
      <c r="R21" s="55"/>
      <c r="S21" s="55"/>
      <c r="T21" s="55"/>
      <c r="U21" s="55"/>
    </row>
    <row r="22" spans="1:24" ht="19.899999999999999" customHeight="1" x14ac:dyDescent="0.15">
      <c r="B22" s="56" t="s">
        <v>132</v>
      </c>
      <c r="E22" s="59">
        <v>1</v>
      </c>
      <c r="F22" s="56" t="s">
        <v>113</v>
      </c>
      <c r="H22" s="15">
        <v>2</v>
      </c>
      <c r="I22" s="55" t="s">
        <v>114</v>
      </c>
      <c r="J22" s="55"/>
      <c r="K22" s="14"/>
      <c r="M22" s="14" t="s">
        <v>110</v>
      </c>
      <c r="N22" s="90" t="s">
        <v>117</v>
      </c>
      <c r="O22" s="91"/>
      <c r="P22" s="91"/>
      <c r="Q22" s="91"/>
      <c r="R22" s="91"/>
      <c r="S22" s="91"/>
      <c r="T22" s="91"/>
      <c r="U22" s="92"/>
    </row>
    <row r="23" spans="1:24" ht="7.5" customHeight="1" x14ac:dyDescent="0.15">
      <c r="B23" s="55"/>
      <c r="C23" s="55"/>
      <c r="D23" s="55"/>
      <c r="E23" s="55"/>
      <c r="F23" s="55"/>
      <c r="G23" s="55"/>
      <c r="H23" s="55"/>
      <c r="I23" s="55"/>
      <c r="J23" s="55"/>
      <c r="K23" s="55"/>
      <c r="L23" s="55"/>
      <c r="M23" s="55"/>
      <c r="N23" s="55"/>
      <c r="O23" s="55"/>
      <c r="P23" s="55"/>
      <c r="Q23" s="55"/>
      <c r="R23" s="55"/>
      <c r="S23" s="55"/>
      <c r="T23" s="55"/>
      <c r="U23" s="55"/>
    </row>
    <row r="24" spans="1:24" ht="18" customHeight="1" x14ac:dyDescent="0.15">
      <c r="A24" s="114" t="s">
        <v>102</v>
      </c>
      <c r="B24" s="114"/>
      <c r="C24" s="114"/>
      <c r="D24" s="114"/>
      <c r="E24" s="114"/>
      <c r="F24" s="114"/>
      <c r="G24" s="114"/>
      <c r="H24" s="114"/>
      <c r="I24" s="114"/>
      <c r="J24" s="114"/>
      <c r="K24" s="114"/>
      <c r="L24" s="114"/>
      <c r="M24" s="114"/>
      <c r="N24" s="114"/>
      <c r="O24" s="114"/>
      <c r="P24" s="114"/>
      <c r="Q24" s="114"/>
      <c r="R24" s="114"/>
      <c r="S24" s="114"/>
      <c r="T24" s="114"/>
      <c r="U24" s="114"/>
    </row>
    <row r="25" spans="1:24" ht="18" customHeight="1" x14ac:dyDescent="0.15">
      <c r="A25" s="114"/>
      <c r="B25" s="114"/>
      <c r="C25" s="114"/>
      <c r="D25" s="114"/>
      <c r="E25" s="114"/>
      <c r="F25" s="114"/>
      <c r="G25" s="114"/>
      <c r="H25" s="114"/>
      <c r="I25" s="114"/>
      <c r="J25" s="114"/>
      <c r="K25" s="114"/>
      <c r="L25" s="114"/>
      <c r="M25" s="114"/>
      <c r="N25" s="114"/>
      <c r="O25" s="114"/>
      <c r="P25" s="114"/>
      <c r="Q25" s="114"/>
      <c r="R25" s="114"/>
      <c r="S25" s="114"/>
      <c r="T25" s="114"/>
      <c r="U25" s="114"/>
    </row>
    <row r="26" spans="1:24" ht="18" customHeight="1" x14ac:dyDescent="0.15">
      <c r="B26" s="96" t="s">
        <v>52</v>
      </c>
      <c r="C26" s="97"/>
      <c r="D26" s="97"/>
      <c r="E26" s="97"/>
      <c r="F26" s="98"/>
      <c r="G26" s="60" t="s">
        <v>78</v>
      </c>
      <c r="H26" s="61" t="s">
        <v>81</v>
      </c>
      <c r="I26" s="62" t="s">
        <v>55</v>
      </c>
      <c r="J26" s="62" t="s">
        <v>58</v>
      </c>
      <c r="K26" s="96" t="s">
        <v>52</v>
      </c>
      <c r="L26" s="97"/>
      <c r="M26" s="97"/>
      <c r="N26" s="97"/>
      <c r="O26" s="97"/>
      <c r="P26" s="97"/>
      <c r="Q26" s="98"/>
      <c r="R26" s="60" t="s">
        <v>78</v>
      </c>
      <c r="S26" s="61" t="s">
        <v>81</v>
      </c>
      <c r="T26" s="62" t="s">
        <v>55</v>
      </c>
      <c r="U26" s="62" t="s">
        <v>58</v>
      </c>
    </row>
    <row r="27" spans="1:24" ht="18" customHeight="1" x14ac:dyDescent="0.15">
      <c r="B27" s="111" t="s">
        <v>138</v>
      </c>
      <c r="C27" s="112"/>
      <c r="D27" s="112"/>
      <c r="E27" s="112"/>
      <c r="F27" s="113"/>
      <c r="G27" s="63">
        <v>3</v>
      </c>
      <c r="H27" s="63"/>
      <c r="I27" s="63" t="s">
        <v>142</v>
      </c>
      <c r="J27" s="63" t="s">
        <v>142</v>
      </c>
      <c r="K27" s="111"/>
      <c r="L27" s="112"/>
      <c r="M27" s="112"/>
      <c r="N27" s="112"/>
      <c r="O27" s="112"/>
      <c r="P27" s="112"/>
      <c r="Q27" s="113"/>
      <c r="R27" s="63"/>
      <c r="S27" s="63"/>
      <c r="T27" s="63"/>
      <c r="U27" s="63"/>
    </row>
    <row r="28" spans="1:24" ht="18" customHeight="1" x14ac:dyDescent="0.15">
      <c r="B28" s="105" t="s">
        <v>139</v>
      </c>
      <c r="C28" s="106"/>
      <c r="D28" s="106"/>
      <c r="E28" s="106"/>
      <c r="F28" s="107"/>
      <c r="G28" s="64">
        <v>3</v>
      </c>
      <c r="H28" s="64"/>
      <c r="I28" s="64" t="s">
        <v>142</v>
      </c>
      <c r="J28" s="64" t="s">
        <v>142</v>
      </c>
      <c r="K28" s="105"/>
      <c r="L28" s="106"/>
      <c r="M28" s="106"/>
      <c r="N28" s="106"/>
      <c r="O28" s="106"/>
      <c r="P28" s="106"/>
      <c r="Q28" s="107"/>
      <c r="R28" s="64"/>
      <c r="S28" s="64"/>
      <c r="T28" s="64"/>
      <c r="U28" s="64"/>
    </row>
    <row r="29" spans="1:24" ht="18" customHeight="1" x14ac:dyDescent="0.15">
      <c r="B29" s="105" t="s">
        <v>140</v>
      </c>
      <c r="C29" s="106"/>
      <c r="D29" s="106"/>
      <c r="E29" s="106"/>
      <c r="F29" s="107"/>
      <c r="G29" s="64">
        <v>2</v>
      </c>
      <c r="H29" s="64"/>
      <c r="I29" s="64" t="s">
        <v>142</v>
      </c>
      <c r="J29" s="64" t="s">
        <v>142</v>
      </c>
      <c r="K29" s="105"/>
      <c r="L29" s="106"/>
      <c r="M29" s="106"/>
      <c r="N29" s="106"/>
      <c r="O29" s="106"/>
      <c r="P29" s="106"/>
      <c r="Q29" s="107"/>
      <c r="R29" s="64"/>
      <c r="S29" s="64"/>
      <c r="T29" s="64"/>
      <c r="U29" s="64"/>
    </row>
    <row r="30" spans="1:24" ht="18" customHeight="1" x14ac:dyDescent="0.15">
      <c r="B30" s="105" t="s">
        <v>141</v>
      </c>
      <c r="C30" s="106"/>
      <c r="D30" s="106"/>
      <c r="E30" s="106"/>
      <c r="F30" s="107"/>
      <c r="G30" s="64">
        <v>3</v>
      </c>
      <c r="H30" s="64"/>
      <c r="I30" s="64" t="s">
        <v>142</v>
      </c>
      <c r="J30" s="64" t="s">
        <v>142</v>
      </c>
      <c r="K30" s="105"/>
      <c r="L30" s="106"/>
      <c r="M30" s="106"/>
      <c r="N30" s="106"/>
      <c r="O30" s="106"/>
      <c r="P30" s="106"/>
      <c r="Q30" s="107"/>
      <c r="R30" s="64"/>
      <c r="S30" s="64"/>
      <c r="T30" s="64"/>
      <c r="U30" s="64"/>
    </row>
    <row r="31" spans="1:24" ht="18" customHeight="1" x14ac:dyDescent="0.15">
      <c r="B31" s="105"/>
      <c r="C31" s="106"/>
      <c r="D31" s="106"/>
      <c r="E31" s="106"/>
      <c r="F31" s="107"/>
      <c r="G31" s="64"/>
      <c r="H31" s="64"/>
      <c r="I31" s="64"/>
      <c r="J31" s="64"/>
      <c r="K31" s="105"/>
      <c r="L31" s="106"/>
      <c r="M31" s="106"/>
      <c r="N31" s="106"/>
      <c r="O31" s="106"/>
      <c r="P31" s="106"/>
      <c r="Q31" s="107"/>
      <c r="R31" s="64"/>
      <c r="S31" s="64"/>
      <c r="T31" s="64"/>
      <c r="U31" s="64"/>
    </row>
    <row r="32" spans="1:24" ht="18" customHeight="1" x14ac:dyDescent="0.15">
      <c r="A32" s="55"/>
      <c r="B32" s="105"/>
      <c r="C32" s="106"/>
      <c r="D32" s="106"/>
      <c r="E32" s="106"/>
      <c r="F32" s="107"/>
      <c r="G32" s="64"/>
      <c r="H32" s="64"/>
      <c r="I32" s="64"/>
      <c r="J32" s="64"/>
      <c r="K32" s="105"/>
      <c r="L32" s="106"/>
      <c r="M32" s="106"/>
      <c r="N32" s="106"/>
      <c r="O32" s="106"/>
      <c r="P32" s="106"/>
      <c r="Q32" s="107"/>
      <c r="R32" s="64"/>
      <c r="S32" s="64"/>
      <c r="T32" s="64"/>
      <c r="U32" s="64"/>
    </row>
    <row r="33" spans="1:21" ht="18" customHeight="1" x14ac:dyDescent="0.15">
      <c r="A33" s="55"/>
      <c r="B33" s="108"/>
      <c r="C33" s="109"/>
      <c r="D33" s="109"/>
      <c r="E33" s="109"/>
      <c r="F33" s="110"/>
      <c r="G33" s="65"/>
      <c r="H33" s="65"/>
      <c r="I33" s="66"/>
      <c r="J33" s="66"/>
      <c r="K33" s="108"/>
      <c r="L33" s="109"/>
      <c r="M33" s="109"/>
      <c r="N33" s="109"/>
      <c r="O33" s="109"/>
      <c r="P33" s="109"/>
      <c r="Q33" s="110"/>
      <c r="R33" s="65"/>
      <c r="S33" s="65"/>
      <c r="T33" s="66"/>
      <c r="U33" s="66"/>
    </row>
    <row r="34" spans="1:21" ht="7.5" customHeight="1" x14ac:dyDescent="0.15">
      <c r="A34" s="55"/>
      <c r="B34" s="3"/>
      <c r="C34" s="3"/>
      <c r="D34" s="3"/>
      <c r="E34" s="55"/>
      <c r="F34" s="55"/>
      <c r="G34" s="55"/>
      <c r="H34" s="55"/>
      <c r="I34" s="3"/>
      <c r="J34" s="3"/>
      <c r="K34" s="3"/>
      <c r="L34" s="3"/>
      <c r="M34" s="3"/>
      <c r="N34" s="3"/>
      <c r="O34" s="3"/>
      <c r="P34" s="3"/>
      <c r="Q34" s="3"/>
      <c r="R34" s="3"/>
      <c r="S34" s="3"/>
      <c r="T34" s="3"/>
      <c r="U34" s="55"/>
    </row>
    <row r="35" spans="1:21" ht="18" customHeight="1" x14ac:dyDescent="0.15">
      <c r="A35" s="114" t="s">
        <v>103</v>
      </c>
      <c r="B35" s="114"/>
      <c r="C35" s="114"/>
      <c r="D35" s="114"/>
      <c r="E35" s="114"/>
      <c r="F35" s="114"/>
      <c r="G35" s="114"/>
      <c r="H35" s="114"/>
      <c r="I35" s="114"/>
      <c r="J35" s="114"/>
      <c r="K35" s="114"/>
      <c r="L35" s="114"/>
      <c r="M35" s="114"/>
      <c r="N35" s="114"/>
      <c r="O35" s="114"/>
      <c r="P35" s="114"/>
      <c r="Q35" s="114"/>
      <c r="R35" s="114"/>
      <c r="S35" s="114"/>
      <c r="T35" s="114"/>
      <c r="U35" s="114"/>
    </row>
    <row r="36" spans="1:21" ht="18" customHeight="1" x14ac:dyDescent="0.15">
      <c r="A36" s="114"/>
      <c r="B36" s="114"/>
      <c r="C36" s="114"/>
      <c r="D36" s="114"/>
      <c r="E36" s="114"/>
      <c r="F36" s="114"/>
      <c r="G36" s="114"/>
      <c r="H36" s="114"/>
      <c r="I36" s="114"/>
      <c r="J36" s="114"/>
      <c r="K36" s="114"/>
      <c r="L36" s="114"/>
      <c r="M36" s="114"/>
      <c r="N36" s="114"/>
      <c r="O36" s="114"/>
      <c r="P36" s="114"/>
      <c r="Q36" s="114"/>
      <c r="R36" s="114"/>
      <c r="S36" s="114"/>
      <c r="T36" s="114"/>
      <c r="U36" s="114"/>
    </row>
    <row r="37" spans="1:21" ht="18" customHeight="1" x14ac:dyDescent="0.15">
      <c r="B37" s="96" t="s">
        <v>52</v>
      </c>
      <c r="C37" s="97"/>
      <c r="D37" s="97"/>
      <c r="E37" s="97"/>
      <c r="F37" s="98"/>
      <c r="G37" s="60" t="s">
        <v>78</v>
      </c>
      <c r="H37" s="61" t="s">
        <v>81</v>
      </c>
      <c r="I37" s="62" t="s">
        <v>69</v>
      </c>
      <c r="J37" s="62" t="s">
        <v>70</v>
      </c>
      <c r="K37" s="96" t="s">
        <v>52</v>
      </c>
      <c r="L37" s="97"/>
      <c r="M37" s="97"/>
      <c r="N37" s="97"/>
      <c r="O37" s="97"/>
      <c r="P37" s="97"/>
      <c r="Q37" s="98"/>
      <c r="R37" s="60" t="s">
        <v>78</v>
      </c>
      <c r="S37" s="61" t="s">
        <v>81</v>
      </c>
      <c r="T37" s="62" t="s">
        <v>69</v>
      </c>
      <c r="U37" s="62" t="s">
        <v>70</v>
      </c>
    </row>
    <row r="38" spans="1:21" ht="18" customHeight="1" x14ac:dyDescent="0.15">
      <c r="B38" s="111" t="s">
        <v>143</v>
      </c>
      <c r="C38" s="112"/>
      <c r="D38" s="112"/>
      <c r="E38" s="112"/>
      <c r="F38" s="113"/>
      <c r="G38" s="63">
        <v>3</v>
      </c>
      <c r="H38" s="63"/>
      <c r="I38" s="63" t="s">
        <v>142</v>
      </c>
      <c r="J38" s="63" t="s">
        <v>142</v>
      </c>
      <c r="K38" s="111"/>
      <c r="L38" s="112"/>
      <c r="M38" s="112"/>
      <c r="N38" s="112"/>
      <c r="O38" s="112"/>
      <c r="P38" s="112"/>
      <c r="Q38" s="113"/>
      <c r="R38" s="63"/>
      <c r="S38" s="63"/>
      <c r="T38" s="63"/>
      <c r="U38" s="63"/>
    </row>
    <row r="39" spans="1:21" ht="18" customHeight="1" x14ac:dyDescent="0.15">
      <c r="B39" s="105" t="s">
        <v>144</v>
      </c>
      <c r="C39" s="106"/>
      <c r="D39" s="106"/>
      <c r="E39" s="106"/>
      <c r="F39" s="107"/>
      <c r="G39" s="64">
        <v>3</v>
      </c>
      <c r="H39" s="64"/>
      <c r="I39" s="64" t="s">
        <v>142</v>
      </c>
      <c r="J39" s="64" t="s">
        <v>142</v>
      </c>
      <c r="K39" s="105"/>
      <c r="L39" s="106"/>
      <c r="M39" s="106"/>
      <c r="N39" s="106"/>
      <c r="O39" s="106"/>
      <c r="P39" s="106"/>
      <c r="Q39" s="107"/>
      <c r="R39" s="64"/>
      <c r="S39" s="64"/>
      <c r="T39" s="64"/>
      <c r="U39" s="64"/>
    </row>
    <row r="40" spans="1:21" ht="18" customHeight="1" x14ac:dyDescent="0.15">
      <c r="B40" s="105" t="s">
        <v>145</v>
      </c>
      <c r="C40" s="106"/>
      <c r="D40" s="106"/>
      <c r="E40" s="106"/>
      <c r="F40" s="107"/>
      <c r="G40" s="64">
        <v>2</v>
      </c>
      <c r="H40" s="64"/>
      <c r="I40" s="64" t="s">
        <v>142</v>
      </c>
      <c r="J40" s="64" t="s">
        <v>142</v>
      </c>
      <c r="K40" s="105"/>
      <c r="L40" s="106"/>
      <c r="M40" s="106"/>
      <c r="N40" s="106"/>
      <c r="O40" s="106"/>
      <c r="P40" s="106"/>
      <c r="Q40" s="107"/>
      <c r="R40" s="64"/>
      <c r="S40" s="64"/>
      <c r="T40" s="64"/>
      <c r="U40" s="64"/>
    </row>
    <row r="41" spans="1:21" ht="18" customHeight="1" x14ac:dyDescent="0.15">
      <c r="B41" s="105" t="s">
        <v>146</v>
      </c>
      <c r="C41" s="106"/>
      <c r="D41" s="106"/>
      <c r="E41" s="106"/>
      <c r="F41" s="107"/>
      <c r="G41" s="64">
        <v>3</v>
      </c>
      <c r="H41" s="64"/>
      <c r="I41" s="64" t="s">
        <v>142</v>
      </c>
      <c r="J41" s="64" t="s">
        <v>142</v>
      </c>
      <c r="K41" s="105"/>
      <c r="L41" s="106"/>
      <c r="M41" s="106"/>
      <c r="N41" s="106"/>
      <c r="O41" s="106"/>
      <c r="P41" s="106"/>
      <c r="Q41" s="107"/>
      <c r="R41" s="64"/>
      <c r="S41" s="64"/>
      <c r="T41" s="64"/>
      <c r="U41" s="64"/>
    </row>
    <row r="42" spans="1:21" ht="18" customHeight="1" x14ac:dyDescent="0.15">
      <c r="B42" s="105"/>
      <c r="C42" s="106"/>
      <c r="D42" s="106"/>
      <c r="E42" s="106"/>
      <c r="F42" s="107"/>
      <c r="G42" s="64"/>
      <c r="H42" s="64"/>
      <c r="I42" s="64"/>
      <c r="J42" s="64"/>
      <c r="K42" s="105"/>
      <c r="L42" s="106"/>
      <c r="M42" s="106"/>
      <c r="N42" s="106"/>
      <c r="O42" s="106"/>
      <c r="P42" s="106"/>
      <c r="Q42" s="107"/>
      <c r="R42" s="64"/>
      <c r="S42" s="64"/>
      <c r="T42" s="64"/>
      <c r="U42" s="64"/>
    </row>
    <row r="43" spans="1:21" ht="18" customHeight="1" x14ac:dyDescent="0.15">
      <c r="B43" s="105"/>
      <c r="C43" s="106"/>
      <c r="D43" s="106"/>
      <c r="E43" s="106"/>
      <c r="F43" s="107"/>
      <c r="G43" s="64"/>
      <c r="H43" s="64"/>
      <c r="I43" s="64"/>
      <c r="J43" s="64"/>
      <c r="K43" s="105"/>
      <c r="L43" s="106"/>
      <c r="M43" s="106"/>
      <c r="N43" s="106"/>
      <c r="O43" s="106"/>
      <c r="P43" s="106"/>
      <c r="Q43" s="107"/>
      <c r="R43" s="64"/>
      <c r="S43" s="64"/>
      <c r="T43" s="64"/>
      <c r="U43" s="64"/>
    </row>
    <row r="44" spans="1:21" ht="18" customHeight="1" x14ac:dyDescent="0.15">
      <c r="B44" s="108"/>
      <c r="C44" s="109"/>
      <c r="D44" s="109"/>
      <c r="E44" s="109"/>
      <c r="F44" s="110"/>
      <c r="G44" s="65"/>
      <c r="H44" s="65"/>
      <c r="I44" s="66"/>
      <c r="J44" s="66"/>
      <c r="K44" s="108"/>
      <c r="L44" s="109"/>
      <c r="M44" s="109"/>
      <c r="N44" s="109"/>
      <c r="O44" s="109"/>
      <c r="P44" s="109"/>
      <c r="Q44" s="110"/>
      <c r="R44" s="65"/>
      <c r="S44" s="65"/>
      <c r="T44" s="66"/>
      <c r="U44" s="66"/>
    </row>
    <row r="45" spans="1:21" ht="7.5" customHeight="1" x14ac:dyDescent="0.15">
      <c r="A45" s="55"/>
      <c r="B45" s="3"/>
      <c r="C45" s="3"/>
      <c r="D45" s="3"/>
      <c r="E45" s="55"/>
      <c r="F45" s="55"/>
      <c r="G45" s="55"/>
      <c r="H45" s="55"/>
      <c r="I45" s="3"/>
      <c r="J45" s="3"/>
      <c r="K45" s="3"/>
      <c r="L45" s="3"/>
      <c r="M45" s="3"/>
      <c r="N45" s="3"/>
      <c r="O45" s="3"/>
      <c r="P45" s="3"/>
      <c r="Q45" s="3"/>
      <c r="R45" s="3"/>
      <c r="S45" s="3"/>
      <c r="T45" s="3"/>
      <c r="U45" s="55"/>
    </row>
    <row r="46" spans="1:21" ht="18" customHeight="1" x14ac:dyDescent="0.15">
      <c r="A46" s="114" t="s">
        <v>104</v>
      </c>
      <c r="B46" s="114"/>
      <c r="C46" s="114"/>
      <c r="D46" s="114"/>
      <c r="E46" s="114"/>
      <c r="F46" s="114"/>
      <c r="G46" s="114"/>
      <c r="H46" s="114"/>
      <c r="I46" s="114"/>
      <c r="J46" s="114"/>
      <c r="K46" s="114"/>
      <c r="L46" s="114"/>
      <c r="M46" s="114"/>
      <c r="N46" s="114"/>
      <c r="O46" s="114"/>
      <c r="P46" s="114"/>
      <c r="Q46" s="114"/>
      <c r="R46" s="114"/>
      <c r="S46" s="114"/>
      <c r="T46" s="114"/>
      <c r="U46" s="114"/>
    </row>
    <row r="47" spans="1:21" ht="18" customHeight="1" x14ac:dyDescent="0.15">
      <c r="A47" s="114"/>
      <c r="B47" s="114"/>
      <c r="C47" s="114"/>
      <c r="D47" s="114"/>
      <c r="E47" s="114"/>
      <c r="F47" s="114"/>
      <c r="G47" s="114"/>
      <c r="H47" s="114"/>
      <c r="I47" s="114"/>
      <c r="J47" s="114"/>
      <c r="K47" s="114"/>
      <c r="L47" s="114"/>
      <c r="M47" s="114"/>
      <c r="N47" s="114"/>
      <c r="O47" s="114"/>
      <c r="P47" s="114"/>
      <c r="Q47" s="114"/>
      <c r="R47" s="114"/>
      <c r="S47" s="114"/>
      <c r="T47" s="114"/>
      <c r="U47" s="114"/>
    </row>
    <row r="48" spans="1:21" ht="18" customHeight="1" x14ac:dyDescent="0.15">
      <c r="B48" s="96" t="s">
        <v>52</v>
      </c>
      <c r="C48" s="97"/>
      <c r="D48" s="97"/>
      <c r="E48" s="97"/>
      <c r="F48" s="98"/>
      <c r="G48" s="60" t="s">
        <v>78</v>
      </c>
      <c r="H48" s="61" t="s">
        <v>81</v>
      </c>
      <c r="I48" s="62" t="s">
        <v>71</v>
      </c>
      <c r="J48" s="62" t="s">
        <v>72</v>
      </c>
      <c r="K48" s="96" t="s">
        <v>52</v>
      </c>
      <c r="L48" s="97"/>
      <c r="M48" s="97"/>
      <c r="N48" s="97"/>
      <c r="O48" s="97"/>
      <c r="P48" s="97"/>
      <c r="Q48" s="98"/>
      <c r="R48" s="60" t="s">
        <v>78</v>
      </c>
      <c r="S48" s="61" t="s">
        <v>81</v>
      </c>
      <c r="T48" s="62" t="s">
        <v>71</v>
      </c>
      <c r="U48" s="62" t="s">
        <v>72</v>
      </c>
    </row>
    <row r="49" spans="1:21" ht="18" customHeight="1" x14ac:dyDescent="0.15">
      <c r="A49" s="55"/>
      <c r="B49" s="111" t="s">
        <v>147</v>
      </c>
      <c r="C49" s="112"/>
      <c r="D49" s="112"/>
      <c r="E49" s="112"/>
      <c r="F49" s="113"/>
      <c r="G49" s="63">
        <v>3</v>
      </c>
      <c r="H49" s="63"/>
      <c r="I49" s="63" t="s">
        <v>142</v>
      </c>
      <c r="J49" s="63" t="s">
        <v>142</v>
      </c>
      <c r="K49" s="111"/>
      <c r="L49" s="112"/>
      <c r="M49" s="112"/>
      <c r="N49" s="112"/>
      <c r="O49" s="112"/>
      <c r="P49" s="112"/>
      <c r="Q49" s="113"/>
      <c r="R49" s="63"/>
      <c r="S49" s="63"/>
      <c r="T49" s="63"/>
      <c r="U49" s="63"/>
    </row>
    <row r="50" spans="1:21" ht="18" customHeight="1" x14ac:dyDescent="0.15">
      <c r="A50" s="55"/>
      <c r="B50" s="105" t="s">
        <v>148</v>
      </c>
      <c r="C50" s="106"/>
      <c r="D50" s="106"/>
      <c r="E50" s="106"/>
      <c r="F50" s="107"/>
      <c r="G50" s="64">
        <v>3</v>
      </c>
      <c r="H50" s="64"/>
      <c r="I50" s="64" t="s">
        <v>142</v>
      </c>
      <c r="J50" s="64" t="s">
        <v>142</v>
      </c>
      <c r="K50" s="105"/>
      <c r="L50" s="106"/>
      <c r="M50" s="106"/>
      <c r="N50" s="106"/>
      <c r="O50" s="106"/>
      <c r="P50" s="106"/>
      <c r="Q50" s="107"/>
      <c r="R50" s="64"/>
      <c r="S50" s="64"/>
      <c r="T50" s="64"/>
      <c r="U50" s="64"/>
    </row>
    <row r="51" spans="1:21" ht="18" customHeight="1" x14ac:dyDescent="0.15">
      <c r="A51" s="55"/>
      <c r="B51" s="105" t="s">
        <v>149</v>
      </c>
      <c r="C51" s="106"/>
      <c r="D51" s="106"/>
      <c r="E51" s="106"/>
      <c r="F51" s="107"/>
      <c r="G51" s="64">
        <v>2</v>
      </c>
      <c r="H51" s="64"/>
      <c r="I51" s="64" t="s">
        <v>142</v>
      </c>
      <c r="J51" s="64" t="s">
        <v>142</v>
      </c>
      <c r="K51" s="105"/>
      <c r="L51" s="106"/>
      <c r="M51" s="106"/>
      <c r="N51" s="106"/>
      <c r="O51" s="106"/>
      <c r="P51" s="106"/>
      <c r="Q51" s="107"/>
      <c r="R51" s="64"/>
      <c r="S51" s="64"/>
      <c r="T51" s="64"/>
      <c r="U51" s="64"/>
    </row>
    <row r="52" spans="1:21" ht="18" customHeight="1" x14ac:dyDescent="0.15">
      <c r="A52" s="55"/>
      <c r="B52" s="105" t="s">
        <v>150</v>
      </c>
      <c r="C52" s="106"/>
      <c r="D52" s="106"/>
      <c r="E52" s="106"/>
      <c r="F52" s="107"/>
      <c r="G52" s="64">
        <v>3</v>
      </c>
      <c r="H52" s="64"/>
      <c r="I52" s="64" t="s">
        <v>142</v>
      </c>
      <c r="J52" s="64" t="s">
        <v>142</v>
      </c>
      <c r="K52" s="105"/>
      <c r="L52" s="106"/>
      <c r="M52" s="106"/>
      <c r="N52" s="106"/>
      <c r="O52" s="106"/>
      <c r="P52" s="106"/>
      <c r="Q52" s="107"/>
      <c r="R52" s="64"/>
      <c r="S52" s="64"/>
      <c r="T52" s="64"/>
      <c r="U52" s="64"/>
    </row>
    <row r="53" spans="1:21" ht="18" customHeight="1" x14ac:dyDescent="0.15">
      <c r="A53" s="55"/>
      <c r="B53" s="105"/>
      <c r="C53" s="106"/>
      <c r="D53" s="106"/>
      <c r="E53" s="106"/>
      <c r="F53" s="107"/>
      <c r="G53" s="64"/>
      <c r="H53" s="64"/>
      <c r="I53" s="64"/>
      <c r="J53" s="64"/>
      <c r="K53" s="105"/>
      <c r="L53" s="106"/>
      <c r="M53" s="106"/>
      <c r="N53" s="106"/>
      <c r="O53" s="106"/>
      <c r="P53" s="106"/>
      <c r="Q53" s="107"/>
      <c r="R53" s="64"/>
      <c r="S53" s="64"/>
      <c r="T53" s="64"/>
      <c r="U53" s="64"/>
    </row>
    <row r="54" spans="1:21" ht="18" customHeight="1" x14ac:dyDescent="0.15">
      <c r="A54" s="55"/>
      <c r="B54" s="105"/>
      <c r="C54" s="106"/>
      <c r="D54" s="106"/>
      <c r="E54" s="106"/>
      <c r="F54" s="107"/>
      <c r="G54" s="64"/>
      <c r="H54" s="64"/>
      <c r="I54" s="64"/>
      <c r="J54" s="64"/>
      <c r="K54" s="105"/>
      <c r="L54" s="106"/>
      <c r="M54" s="106"/>
      <c r="N54" s="106"/>
      <c r="O54" s="106"/>
      <c r="P54" s="106"/>
      <c r="Q54" s="107"/>
      <c r="R54" s="64"/>
      <c r="S54" s="64"/>
      <c r="T54" s="64"/>
      <c r="U54" s="64"/>
    </row>
    <row r="55" spans="1:21" ht="18" customHeight="1" x14ac:dyDescent="0.15">
      <c r="A55" s="55"/>
      <c r="B55" s="108"/>
      <c r="C55" s="109"/>
      <c r="D55" s="109"/>
      <c r="E55" s="109"/>
      <c r="F55" s="110"/>
      <c r="G55" s="65"/>
      <c r="H55" s="65"/>
      <c r="I55" s="66"/>
      <c r="J55" s="66"/>
      <c r="K55" s="108"/>
      <c r="L55" s="109"/>
      <c r="M55" s="109"/>
      <c r="N55" s="109"/>
      <c r="O55" s="109"/>
      <c r="P55" s="109"/>
      <c r="Q55" s="110"/>
      <c r="R55" s="65"/>
      <c r="S55" s="65"/>
      <c r="T55" s="66"/>
      <c r="U55" s="66"/>
    </row>
    <row r="56" spans="1:21" ht="7.5" customHeight="1" x14ac:dyDescent="0.15">
      <c r="B56" s="51"/>
      <c r="C56" s="51"/>
      <c r="D56" s="51"/>
      <c r="E56" s="51"/>
      <c r="F56" s="51"/>
      <c r="G56" s="51"/>
      <c r="H56" s="51"/>
      <c r="I56" s="51"/>
      <c r="J56" s="51"/>
      <c r="K56" s="51"/>
      <c r="L56" s="51"/>
      <c r="M56" s="51"/>
      <c r="N56" s="51"/>
      <c r="O56" s="51"/>
      <c r="P56" s="51"/>
      <c r="Q56" s="51"/>
      <c r="R56" s="51"/>
      <c r="S56" s="51"/>
      <c r="T56" s="51"/>
    </row>
    <row r="57" spans="1:21" ht="18" customHeight="1" x14ac:dyDescent="0.15">
      <c r="A57" s="114" t="s">
        <v>105</v>
      </c>
      <c r="B57" s="114"/>
      <c r="C57" s="114"/>
      <c r="D57" s="114"/>
      <c r="E57" s="114"/>
      <c r="F57" s="114"/>
      <c r="G57" s="114"/>
      <c r="H57" s="114"/>
      <c r="I57" s="114"/>
      <c r="J57" s="114"/>
      <c r="K57" s="114"/>
      <c r="L57" s="114"/>
      <c r="M57" s="114"/>
      <c r="N57" s="114"/>
      <c r="O57" s="114"/>
      <c r="P57" s="114"/>
      <c r="Q57" s="114"/>
      <c r="R57" s="114"/>
      <c r="S57" s="114"/>
      <c r="T57" s="114"/>
      <c r="U57" s="114"/>
    </row>
    <row r="58" spans="1:21" ht="18" customHeight="1" x14ac:dyDescent="0.15">
      <c r="A58" s="114"/>
      <c r="B58" s="114"/>
      <c r="C58" s="114"/>
      <c r="D58" s="114"/>
      <c r="E58" s="114"/>
      <c r="F58" s="114"/>
      <c r="G58" s="114"/>
      <c r="H58" s="114"/>
      <c r="I58" s="114"/>
      <c r="J58" s="114"/>
      <c r="K58" s="114"/>
      <c r="L58" s="114"/>
      <c r="M58" s="114"/>
      <c r="N58" s="114"/>
      <c r="O58" s="114"/>
      <c r="P58" s="114"/>
      <c r="Q58" s="114"/>
      <c r="R58" s="114"/>
      <c r="S58" s="114"/>
      <c r="T58" s="114"/>
      <c r="U58" s="114"/>
    </row>
    <row r="59" spans="1:21" ht="18" customHeight="1" x14ac:dyDescent="0.15">
      <c r="B59" s="96" t="s">
        <v>52</v>
      </c>
      <c r="C59" s="97"/>
      <c r="D59" s="97"/>
      <c r="E59" s="97"/>
      <c r="F59" s="98"/>
      <c r="G59" s="60" t="s">
        <v>78</v>
      </c>
      <c r="H59" s="61" t="s">
        <v>81</v>
      </c>
      <c r="I59" s="62" t="s">
        <v>57</v>
      </c>
      <c r="J59" s="62" t="s">
        <v>59</v>
      </c>
      <c r="K59" s="96" t="s">
        <v>52</v>
      </c>
      <c r="L59" s="97"/>
      <c r="M59" s="97"/>
      <c r="N59" s="97"/>
      <c r="O59" s="97"/>
      <c r="P59" s="97"/>
      <c r="Q59" s="98"/>
      <c r="R59" s="60" t="s">
        <v>78</v>
      </c>
      <c r="S59" s="61" t="s">
        <v>81</v>
      </c>
      <c r="T59" s="62" t="s">
        <v>57</v>
      </c>
      <c r="U59" s="62" t="s">
        <v>59</v>
      </c>
    </row>
    <row r="60" spans="1:21" ht="18" customHeight="1" x14ac:dyDescent="0.15">
      <c r="A60" s="55"/>
      <c r="B60" s="111" t="s">
        <v>147</v>
      </c>
      <c r="C60" s="112"/>
      <c r="D60" s="112"/>
      <c r="E60" s="112"/>
      <c r="F60" s="113"/>
      <c r="G60" s="63">
        <v>3</v>
      </c>
      <c r="H60" s="63"/>
      <c r="I60" s="63" t="s">
        <v>142</v>
      </c>
      <c r="J60" s="63" t="s">
        <v>142</v>
      </c>
      <c r="K60" s="111"/>
      <c r="L60" s="112"/>
      <c r="M60" s="112"/>
      <c r="N60" s="112"/>
      <c r="O60" s="112"/>
      <c r="P60" s="112"/>
      <c r="Q60" s="113"/>
      <c r="R60" s="63"/>
      <c r="S60" s="63"/>
      <c r="T60" s="63"/>
      <c r="U60" s="63"/>
    </row>
    <row r="61" spans="1:21" ht="18" customHeight="1" x14ac:dyDescent="0.15">
      <c r="A61" s="55"/>
      <c r="B61" s="105" t="s">
        <v>151</v>
      </c>
      <c r="C61" s="106"/>
      <c r="D61" s="106"/>
      <c r="E61" s="106"/>
      <c r="F61" s="107"/>
      <c r="G61" s="64">
        <v>3</v>
      </c>
      <c r="H61" s="64"/>
      <c r="I61" s="64" t="s">
        <v>142</v>
      </c>
      <c r="J61" s="64" t="s">
        <v>142</v>
      </c>
      <c r="K61" s="105"/>
      <c r="L61" s="106"/>
      <c r="M61" s="106"/>
      <c r="N61" s="106"/>
      <c r="O61" s="106"/>
      <c r="P61" s="106"/>
      <c r="Q61" s="107"/>
      <c r="R61" s="64"/>
      <c r="S61" s="64"/>
      <c r="T61" s="64"/>
      <c r="U61" s="64"/>
    </row>
    <row r="62" spans="1:21" ht="18" customHeight="1" x14ac:dyDescent="0.15">
      <c r="A62" s="55"/>
      <c r="B62" s="105" t="s">
        <v>152</v>
      </c>
      <c r="C62" s="106"/>
      <c r="D62" s="106"/>
      <c r="E62" s="106"/>
      <c r="F62" s="107"/>
      <c r="G62" s="64">
        <v>2</v>
      </c>
      <c r="H62" s="64"/>
      <c r="I62" s="64" t="s">
        <v>142</v>
      </c>
      <c r="J62" s="64" t="s">
        <v>142</v>
      </c>
      <c r="K62" s="105"/>
      <c r="L62" s="106"/>
      <c r="M62" s="106"/>
      <c r="N62" s="106"/>
      <c r="O62" s="106"/>
      <c r="P62" s="106"/>
      <c r="Q62" s="107"/>
      <c r="R62" s="64"/>
      <c r="S62" s="64"/>
      <c r="T62" s="64"/>
      <c r="U62" s="64"/>
    </row>
    <row r="63" spans="1:21" ht="18" customHeight="1" x14ac:dyDescent="0.15">
      <c r="A63" s="55"/>
      <c r="B63" s="105" t="s">
        <v>153</v>
      </c>
      <c r="C63" s="106"/>
      <c r="D63" s="106"/>
      <c r="E63" s="106"/>
      <c r="F63" s="107"/>
      <c r="G63" s="64">
        <v>3</v>
      </c>
      <c r="H63" s="64"/>
      <c r="I63" s="64" t="s">
        <v>142</v>
      </c>
      <c r="J63" s="64" t="s">
        <v>142</v>
      </c>
      <c r="K63" s="105"/>
      <c r="L63" s="106"/>
      <c r="M63" s="106"/>
      <c r="N63" s="106"/>
      <c r="O63" s="106"/>
      <c r="P63" s="106"/>
      <c r="Q63" s="107"/>
      <c r="R63" s="64"/>
      <c r="S63" s="64"/>
      <c r="T63" s="64"/>
      <c r="U63" s="64"/>
    </row>
    <row r="64" spans="1:21" ht="18" customHeight="1" x14ac:dyDescent="0.15">
      <c r="A64" s="55"/>
      <c r="B64" s="105"/>
      <c r="C64" s="106"/>
      <c r="D64" s="106"/>
      <c r="E64" s="106"/>
      <c r="F64" s="107"/>
      <c r="G64" s="64"/>
      <c r="H64" s="64"/>
      <c r="I64" s="64"/>
      <c r="J64" s="64"/>
      <c r="K64" s="105"/>
      <c r="L64" s="106"/>
      <c r="M64" s="106"/>
      <c r="N64" s="106"/>
      <c r="O64" s="106"/>
      <c r="P64" s="106"/>
      <c r="Q64" s="107"/>
      <c r="R64" s="64"/>
      <c r="S64" s="64"/>
      <c r="T64" s="64"/>
      <c r="U64" s="64"/>
    </row>
    <row r="65" spans="1:21" ht="18" customHeight="1" x14ac:dyDescent="0.15">
      <c r="A65" s="55"/>
      <c r="B65" s="105"/>
      <c r="C65" s="106"/>
      <c r="D65" s="106"/>
      <c r="E65" s="106"/>
      <c r="F65" s="107"/>
      <c r="G65" s="64"/>
      <c r="H65" s="64"/>
      <c r="I65" s="64"/>
      <c r="J65" s="64"/>
      <c r="K65" s="105"/>
      <c r="L65" s="106"/>
      <c r="M65" s="106"/>
      <c r="N65" s="106"/>
      <c r="O65" s="106"/>
      <c r="P65" s="106"/>
      <c r="Q65" s="107"/>
      <c r="R65" s="64"/>
      <c r="S65" s="64"/>
      <c r="T65" s="64"/>
      <c r="U65" s="64"/>
    </row>
    <row r="66" spans="1:21" ht="18" customHeight="1" x14ac:dyDescent="0.15">
      <c r="A66" s="55"/>
      <c r="B66" s="108"/>
      <c r="C66" s="109"/>
      <c r="D66" s="109"/>
      <c r="E66" s="109"/>
      <c r="F66" s="110"/>
      <c r="G66" s="65"/>
      <c r="H66" s="65"/>
      <c r="I66" s="66"/>
      <c r="J66" s="66"/>
      <c r="K66" s="108"/>
      <c r="L66" s="109"/>
      <c r="M66" s="109"/>
      <c r="N66" s="109"/>
      <c r="O66" s="109"/>
      <c r="P66" s="109"/>
      <c r="Q66" s="110"/>
      <c r="R66" s="65"/>
      <c r="S66" s="65"/>
      <c r="T66" s="66"/>
      <c r="U66" s="66"/>
    </row>
    <row r="67" spans="1:21" ht="7.5" customHeight="1" x14ac:dyDescent="0.15">
      <c r="B67" s="51"/>
      <c r="C67" s="51"/>
      <c r="D67" s="51"/>
      <c r="E67" s="51"/>
      <c r="F67" s="51"/>
      <c r="G67" s="51"/>
      <c r="H67" s="51"/>
      <c r="I67" s="51"/>
      <c r="J67" s="51"/>
      <c r="K67" s="51"/>
      <c r="L67" s="51"/>
      <c r="M67" s="51"/>
      <c r="N67" s="51"/>
      <c r="O67" s="51"/>
      <c r="P67" s="51"/>
      <c r="Q67" s="51"/>
      <c r="R67" s="51"/>
      <c r="S67" s="51"/>
      <c r="T67" s="51"/>
    </row>
    <row r="68" spans="1:21" ht="18" customHeight="1" x14ac:dyDescent="0.15">
      <c r="A68" s="114" t="s">
        <v>106</v>
      </c>
      <c r="B68" s="114"/>
      <c r="C68" s="114"/>
      <c r="D68" s="114"/>
      <c r="E68" s="114"/>
      <c r="F68" s="114"/>
      <c r="G68" s="114"/>
      <c r="H68" s="114"/>
      <c r="I68" s="114"/>
      <c r="J68" s="114"/>
      <c r="K68" s="114"/>
      <c r="L68" s="114"/>
      <c r="M68" s="114"/>
      <c r="N68" s="114"/>
      <c r="O68" s="114"/>
      <c r="P68" s="114"/>
      <c r="Q68" s="114"/>
      <c r="R68" s="114"/>
      <c r="S68" s="114"/>
      <c r="T68" s="114"/>
      <c r="U68" s="114"/>
    </row>
    <row r="69" spans="1:21" ht="18" customHeight="1" x14ac:dyDescent="0.15">
      <c r="A69" s="114"/>
      <c r="B69" s="114"/>
      <c r="C69" s="114"/>
      <c r="D69" s="114"/>
      <c r="E69" s="114"/>
      <c r="F69" s="114"/>
      <c r="G69" s="114"/>
      <c r="H69" s="114"/>
      <c r="I69" s="114"/>
      <c r="J69" s="114"/>
      <c r="K69" s="114"/>
      <c r="L69" s="114"/>
      <c r="M69" s="114"/>
      <c r="N69" s="114"/>
      <c r="O69" s="114"/>
      <c r="P69" s="114"/>
      <c r="Q69" s="114"/>
      <c r="R69" s="114"/>
      <c r="S69" s="114"/>
      <c r="T69" s="114"/>
      <c r="U69" s="114"/>
    </row>
    <row r="70" spans="1:21" ht="18" customHeight="1" x14ac:dyDescent="0.15">
      <c r="B70" s="96" t="s">
        <v>52</v>
      </c>
      <c r="C70" s="97"/>
      <c r="D70" s="97"/>
      <c r="E70" s="97"/>
      <c r="F70" s="60" t="s">
        <v>78</v>
      </c>
      <c r="G70" s="61" t="s">
        <v>81</v>
      </c>
      <c r="H70" s="62" t="s">
        <v>93</v>
      </c>
      <c r="I70" s="62" t="s">
        <v>73</v>
      </c>
      <c r="J70" s="62" t="s">
        <v>74</v>
      </c>
      <c r="K70" s="96" t="s">
        <v>52</v>
      </c>
      <c r="L70" s="97"/>
      <c r="M70" s="97"/>
      <c r="N70" s="97"/>
      <c r="O70" s="97"/>
      <c r="P70" s="98"/>
      <c r="Q70" s="60" t="s">
        <v>78</v>
      </c>
      <c r="R70" s="61" t="s">
        <v>81</v>
      </c>
      <c r="S70" s="62" t="s">
        <v>93</v>
      </c>
      <c r="T70" s="62" t="s">
        <v>73</v>
      </c>
      <c r="U70" s="62" t="s">
        <v>74</v>
      </c>
    </row>
    <row r="71" spans="1:21" ht="18" customHeight="1" x14ac:dyDescent="0.15">
      <c r="A71" s="55"/>
      <c r="B71" s="111" t="s">
        <v>154</v>
      </c>
      <c r="C71" s="112"/>
      <c r="D71" s="112"/>
      <c r="E71" s="112"/>
      <c r="F71" s="63">
        <v>3</v>
      </c>
      <c r="G71" s="63"/>
      <c r="H71" s="63" t="s">
        <v>142</v>
      </c>
      <c r="I71" s="63" t="s">
        <v>142</v>
      </c>
      <c r="J71" s="63" t="s">
        <v>142</v>
      </c>
      <c r="K71" s="111"/>
      <c r="L71" s="112"/>
      <c r="M71" s="112"/>
      <c r="N71" s="112"/>
      <c r="O71" s="112"/>
      <c r="P71" s="113"/>
      <c r="Q71" s="63"/>
      <c r="R71" s="63"/>
      <c r="S71" s="63"/>
      <c r="T71" s="63"/>
      <c r="U71" s="63"/>
    </row>
    <row r="72" spans="1:21" ht="18" customHeight="1" x14ac:dyDescent="0.15">
      <c r="A72" s="55"/>
      <c r="B72" s="105" t="s">
        <v>151</v>
      </c>
      <c r="C72" s="106"/>
      <c r="D72" s="106"/>
      <c r="E72" s="106"/>
      <c r="F72" s="64">
        <v>3</v>
      </c>
      <c r="G72" s="64"/>
      <c r="H72" s="64" t="s">
        <v>142</v>
      </c>
      <c r="I72" s="64" t="s">
        <v>142</v>
      </c>
      <c r="J72" s="64" t="s">
        <v>142</v>
      </c>
      <c r="K72" s="105"/>
      <c r="L72" s="106"/>
      <c r="M72" s="106"/>
      <c r="N72" s="106"/>
      <c r="O72" s="106"/>
      <c r="P72" s="107"/>
      <c r="Q72" s="64"/>
      <c r="R72" s="64"/>
      <c r="S72" s="64"/>
      <c r="T72" s="64"/>
      <c r="U72" s="64"/>
    </row>
    <row r="73" spans="1:21" ht="18" customHeight="1" x14ac:dyDescent="0.15">
      <c r="A73" s="55"/>
      <c r="B73" s="105" t="s">
        <v>152</v>
      </c>
      <c r="C73" s="106"/>
      <c r="D73" s="106"/>
      <c r="E73" s="106"/>
      <c r="F73" s="64">
        <v>2</v>
      </c>
      <c r="G73" s="64"/>
      <c r="H73" s="64" t="s">
        <v>142</v>
      </c>
      <c r="I73" s="64" t="s">
        <v>142</v>
      </c>
      <c r="J73" s="64" t="s">
        <v>142</v>
      </c>
      <c r="K73" s="105"/>
      <c r="L73" s="106"/>
      <c r="M73" s="106"/>
      <c r="N73" s="106"/>
      <c r="O73" s="106"/>
      <c r="P73" s="107"/>
      <c r="Q73" s="64"/>
      <c r="R73" s="64"/>
      <c r="S73" s="64"/>
      <c r="T73" s="64"/>
      <c r="U73" s="64"/>
    </row>
    <row r="74" spans="1:21" ht="18" customHeight="1" x14ac:dyDescent="0.15">
      <c r="A74" s="55"/>
      <c r="B74" s="105" t="s">
        <v>150</v>
      </c>
      <c r="C74" s="106"/>
      <c r="D74" s="106"/>
      <c r="E74" s="106"/>
      <c r="F74" s="64">
        <v>3</v>
      </c>
      <c r="G74" s="64"/>
      <c r="H74" s="64" t="s">
        <v>142</v>
      </c>
      <c r="I74" s="64" t="s">
        <v>142</v>
      </c>
      <c r="J74" s="64" t="s">
        <v>142</v>
      </c>
      <c r="K74" s="105"/>
      <c r="L74" s="106"/>
      <c r="M74" s="106"/>
      <c r="N74" s="106"/>
      <c r="O74" s="106"/>
      <c r="P74" s="107"/>
      <c r="Q74" s="64"/>
      <c r="R74" s="64"/>
      <c r="S74" s="64"/>
      <c r="T74" s="64"/>
      <c r="U74" s="64"/>
    </row>
    <row r="75" spans="1:21" ht="18" customHeight="1" x14ac:dyDescent="0.15">
      <c r="A75" s="55"/>
      <c r="B75" s="105"/>
      <c r="C75" s="106"/>
      <c r="D75" s="106"/>
      <c r="E75" s="106"/>
      <c r="F75" s="64"/>
      <c r="G75" s="64"/>
      <c r="H75" s="64"/>
      <c r="I75" s="64"/>
      <c r="J75" s="64"/>
      <c r="K75" s="105"/>
      <c r="L75" s="106"/>
      <c r="M75" s="106"/>
      <c r="N75" s="106"/>
      <c r="O75" s="106"/>
      <c r="P75" s="107"/>
      <c r="Q75" s="64"/>
      <c r="R75" s="64"/>
      <c r="S75" s="64"/>
      <c r="T75" s="64"/>
      <c r="U75" s="64"/>
    </row>
    <row r="76" spans="1:21" ht="18" customHeight="1" x14ac:dyDescent="0.15">
      <c r="A76" s="55"/>
      <c r="B76" s="105"/>
      <c r="C76" s="106"/>
      <c r="D76" s="106"/>
      <c r="E76" s="106"/>
      <c r="F76" s="64"/>
      <c r="G76" s="64"/>
      <c r="H76" s="64"/>
      <c r="I76" s="64"/>
      <c r="J76" s="64"/>
      <c r="K76" s="105"/>
      <c r="L76" s="106"/>
      <c r="M76" s="106"/>
      <c r="N76" s="106"/>
      <c r="O76" s="106"/>
      <c r="P76" s="107"/>
      <c r="Q76" s="64"/>
      <c r="R76" s="64"/>
      <c r="S76" s="64"/>
      <c r="T76" s="64"/>
      <c r="U76" s="64"/>
    </row>
    <row r="77" spans="1:21" ht="18" customHeight="1" x14ac:dyDescent="0.15">
      <c r="A77" s="55"/>
      <c r="B77" s="108"/>
      <c r="C77" s="109"/>
      <c r="D77" s="109"/>
      <c r="E77" s="109"/>
      <c r="F77" s="65"/>
      <c r="G77" s="65"/>
      <c r="H77" s="66"/>
      <c r="I77" s="66"/>
      <c r="J77" s="66"/>
      <c r="K77" s="108"/>
      <c r="L77" s="109"/>
      <c r="M77" s="109"/>
      <c r="N77" s="109"/>
      <c r="O77" s="109"/>
      <c r="P77" s="110"/>
      <c r="Q77" s="65"/>
      <c r="R77" s="65"/>
      <c r="S77" s="66"/>
      <c r="T77" s="66"/>
      <c r="U77" s="66"/>
    </row>
    <row r="78" spans="1:21" ht="7.5" customHeight="1" x14ac:dyDescent="0.15">
      <c r="B78" s="51"/>
      <c r="C78" s="51"/>
      <c r="D78" s="51"/>
      <c r="E78" s="51"/>
      <c r="F78" s="51"/>
      <c r="G78" s="51"/>
      <c r="H78" s="51"/>
      <c r="I78" s="51"/>
      <c r="J78" s="51"/>
      <c r="K78" s="51"/>
      <c r="L78" s="51"/>
      <c r="M78" s="51"/>
      <c r="N78" s="51"/>
      <c r="O78" s="51"/>
      <c r="P78" s="51"/>
      <c r="Q78" s="51"/>
      <c r="R78" s="51"/>
      <c r="S78" s="51"/>
      <c r="T78" s="51"/>
    </row>
    <row r="79" spans="1:21" ht="18" customHeight="1" x14ac:dyDescent="0.15">
      <c r="A79" s="56" t="s">
        <v>107</v>
      </c>
      <c r="I79" s="55"/>
      <c r="J79" s="55"/>
      <c r="K79" s="55"/>
      <c r="L79" s="55"/>
      <c r="M79" s="55"/>
      <c r="N79" s="55"/>
      <c r="O79" s="55"/>
      <c r="P79" s="55"/>
      <c r="Q79" s="55"/>
      <c r="R79" s="55"/>
      <c r="S79" s="55"/>
      <c r="T79" s="55"/>
      <c r="U79" s="55"/>
    </row>
    <row r="80" spans="1:21" ht="18" customHeight="1" x14ac:dyDescent="0.15">
      <c r="B80" s="96" t="s">
        <v>52</v>
      </c>
      <c r="C80" s="97"/>
      <c r="D80" s="97"/>
      <c r="E80" s="97"/>
      <c r="F80" s="98"/>
      <c r="G80" s="96" t="s">
        <v>79</v>
      </c>
      <c r="H80" s="97"/>
      <c r="I80" s="97"/>
      <c r="J80" s="98"/>
      <c r="K80" s="143" t="s">
        <v>52</v>
      </c>
      <c r="L80" s="144"/>
      <c r="M80" s="144"/>
      <c r="N80" s="144"/>
      <c r="O80" s="144"/>
      <c r="P80" s="144"/>
      <c r="Q80" s="145"/>
      <c r="R80" s="96" t="s">
        <v>79</v>
      </c>
      <c r="S80" s="97"/>
      <c r="T80" s="97"/>
      <c r="U80" s="98"/>
    </row>
    <row r="81" spans="1:21" ht="18" customHeight="1" x14ac:dyDescent="0.15">
      <c r="A81" s="55"/>
      <c r="B81" s="111" t="s">
        <v>154</v>
      </c>
      <c r="C81" s="112"/>
      <c r="D81" s="112"/>
      <c r="E81" s="112"/>
      <c r="F81" s="113"/>
      <c r="G81" s="146" t="s">
        <v>156</v>
      </c>
      <c r="H81" s="147"/>
      <c r="I81" s="147"/>
      <c r="J81" s="148"/>
      <c r="K81" s="111"/>
      <c r="L81" s="112"/>
      <c r="M81" s="112"/>
      <c r="N81" s="112"/>
      <c r="O81" s="112"/>
      <c r="P81" s="112"/>
      <c r="Q81" s="113"/>
      <c r="R81" s="146"/>
      <c r="S81" s="147"/>
      <c r="T81" s="147"/>
      <c r="U81" s="148"/>
    </row>
    <row r="82" spans="1:21" ht="18" customHeight="1" x14ac:dyDescent="0.15">
      <c r="A82" s="55"/>
      <c r="B82" s="105" t="s">
        <v>154</v>
      </c>
      <c r="C82" s="106"/>
      <c r="D82" s="106"/>
      <c r="E82" s="106"/>
      <c r="F82" s="107"/>
      <c r="G82" s="135" t="s">
        <v>157</v>
      </c>
      <c r="H82" s="136"/>
      <c r="I82" s="136"/>
      <c r="J82" s="137"/>
      <c r="K82" s="105"/>
      <c r="L82" s="106"/>
      <c r="M82" s="106"/>
      <c r="N82" s="106"/>
      <c r="O82" s="106"/>
      <c r="P82" s="106"/>
      <c r="Q82" s="107"/>
      <c r="R82" s="135"/>
      <c r="S82" s="136"/>
      <c r="T82" s="136"/>
      <c r="U82" s="137"/>
    </row>
    <row r="83" spans="1:21" ht="18" customHeight="1" x14ac:dyDescent="0.15">
      <c r="A83" s="55"/>
      <c r="B83" s="105" t="s">
        <v>153</v>
      </c>
      <c r="C83" s="106"/>
      <c r="D83" s="106"/>
      <c r="E83" s="106"/>
      <c r="F83" s="107"/>
      <c r="G83" s="135" t="s">
        <v>156</v>
      </c>
      <c r="H83" s="136"/>
      <c r="I83" s="136"/>
      <c r="J83" s="137"/>
      <c r="K83" s="105"/>
      <c r="L83" s="106"/>
      <c r="M83" s="106"/>
      <c r="N83" s="106"/>
      <c r="O83" s="106"/>
      <c r="P83" s="106"/>
      <c r="Q83" s="107"/>
      <c r="R83" s="135"/>
      <c r="S83" s="136"/>
      <c r="T83" s="136"/>
      <c r="U83" s="137"/>
    </row>
    <row r="84" spans="1:21" ht="18" customHeight="1" x14ac:dyDescent="0.15">
      <c r="A84" s="55"/>
      <c r="B84" s="105" t="s">
        <v>153</v>
      </c>
      <c r="C84" s="106"/>
      <c r="D84" s="106"/>
      <c r="E84" s="106"/>
      <c r="F84" s="107"/>
      <c r="G84" s="135" t="s">
        <v>158</v>
      </c>
      <c r="H84" s="136"/>
      <c r="I84" s="136"/>
      <c r="J84" s="137"/>
      <c r="K84" s="105"/>
      <c r="L84" s="106"/>
      <c r="M84" s="106"/>
      <c r="N84" s="106"/>
      <c r="O84" s="106"/>
      <c r="P84" s="106"/>
      <c r="Q84" s="107"/>
      <c r="R84" s="135"/>
      <c r="S84" s="136"/>
      <c r="T84" s="136"/>
      <c r="U84" s="137"/>
    </row>
    <row r="85" spans="1:21" ht="18" customHeight="1" x14ac:dyDescent="0.15">
      <c r="A85" s="55"/>
      <c r="B85" s="105" t="s">
        <v>155</v>
      </c>
      <c r="C85" s="106"/>
      <c r="D85" s="106"/>
      <c r="E85" s="106"/>
      <c r="F85" s="107"/>
      <c r="G85" s="135" t="s">
        <v>159</v>
      </c>
      <c r="H85" s="136"/>
      <c r="I85" s="136"/>
      <c r="J85" s="137"/>
      <c r="K85" s="105"/>
      <c r="L85" s="106"/>
      <c r="M85" s="106"/>
      <c r="N85" s="106"/>
      <c r="O85" s="106"/>
      <c r="P85" s="106"/>
      <c r="Q85" s="107"/>
      <c r="R85" s="135"/>
      <c r="S85" s="136"/>
      <c r="T85" s="136"/>
      <c r="U85" s="137"/>
    </row>
    <row r="86" spans="1:21" ht="18" customHeight="1" x14ac:dyDescent="0.15">
      <c r="A86" s="55"/>
      <c r="B86" s="105" t="s">
        <v>155</v>
      </c>
      <c r="C86" s="106"/>
      <c r="D86" s="106"/>
      <c r="E86" s="106"/>
      <c r="F86" s="107"/>
      <c r="G86" s="135" t="s">
        <v>160</v>
      </c>
      <c r="H86" s="136"/>
      <c r="I86" s="136"/>
      <c r="J86" s="137"/>
      <c r="K86" s="105"/>
      <c r="L86" s="106"/>
      <c r="M86" s="106"/>
      <c r="N86" s="106"/>
      <c r="O86" s="106"/>
      <c r="P86" s="106"/>
      <c r="Q86" s="107"/>
      <c r="R86" s="135"/>
      <c r="S86" s="136"/>
      <c r="T86" s="136"/>
      <c r="U86" s="137"/>
    </row>
    <row r="87" spans="1:21" ht="18" customHeight="1" x14ac:dyDescent="0.15">
      <c r="A87" s="55"/>
      <c r="B87" s="108"/>
      <c r="C87" s="109"/>
      <c r="D87" s="109"/>
      <c r="E87" s="109"/>
      <c r="F87" s="110"/>
      <c r="G87" s="132"/>
      <c r="H87" s="133"/>
      <c r="I87" s="133"/>
      <c r="J87" s="134"/>
      <c r="K87" s="108"/>
      <c r="L87" s="109"/>
      <c r="M87" s="109"/>
      <c r="N87" s="109"/>
      <c r="O87" s="109"/>
      <c r="P87" s="109"/>
      <c r="Q87" s="110"/>
      <c r="R87" s="132"/>
      <c r="S87" s="133"/>
      <c r="T87" s="133"/>
      <c r="U87" s="134"/>
    </row>
    <row r="88" spans="1:21" ht="18" customHeight="1" x14ac:dyDescent="0.15">
      <c r="A88" s="55"/>
      <c r="B88" s="3"/>
      <c r="C88" s="3"/>
      <c r="D88" s="3"/>
      <c r="E88" s="3"/>
      <c r="F88" s="3"/>
      <c r="G88" s="67"/>
      <c r="H88" s="67"/>
      <c r="I88" s="67"/>
      <c r="J88" s="67"/>
      <c r="K88" s="3"/>
      <c r="L88" s="3"/>
      <c r="M88" s="3"/>
      <c r="N88" s="3"/>
      <c r="O88" s="3"/>
      <c r="P88" s="3"/>
      <c r="Q88" s="3"/>
      <c r="R88" s="67"/>
      <c r="S88" s="67"/>
      <c r="T88" s="67"/>
      <c r="U88" s="67"/>
    </row>
    <row r="89" spans="1:21" ht="18.75" customHeight="1" x14ac:dyDescent="0.15">
      <c r="A89" s="56" t="s">
        <v>108</v>
      </c>
    </row>
    <row r="90" spans="1:21" ht="18.75" customHeight="1" x14ac:dyDescent="0.15">
      <c r="B90" s="141" t="s">
        <v>53</v>
      </c>
      <c r="C90" s="142"/>
      <c r="D90" s="96" t="s">
        <v>54</v>
      </c>
      <c r="E90" s="97"/>
      <c r="F90" s="97"/>
      <c r="G90" s="97"/>
      <c r="H90" s="97"/>
      <c r="I90" s="97"/>
      <c r="J90" s="97"/>
      <c r="K90" s="97"/>
      <c r="L90" s="97"/>
      <c r="M90" s="97"/>
      <c r="N90" s="97"/>
      <c r="O90" s="97"/>
      <c r="P90" s="97"/>
      <c r="Q90" s="97"/>
      <c r="R90" s="97"/>
      <c r="S90" s="97"/>
      <c r="T90" s="97"/>
      <c r="U90" s="98"/>
    </row>
    <row r="91" spans="1:21" ht="97.5" customHeight="1" x14ac:dyDescent="0.15">
      <c r="B91" s="138" t="s">
        <v>60</v>
      </c>
      <c r="C91" s="68" t="s">
        <v>55</v>
      </c>
      <c r="D91" s="82" t="s">
        <v>161</v>
      </c>
      <c r="E91" s="83"/>
      <c r="F91" s="83"/>
      <c r="G91" s="83"/>
      <c r="H91" s="83"/>
      <c r="I91" s="83"/>
      <c r="J91" s="83"/>
      <c r="K91" s="83"/>
      <c r="L91" s="83"/>
      <c r="M91" s="83"/>
      <c r="N91" s="83"/>
      <c r="O91" s="83"/>
      <c r="P91" s="83"/>
      <c r="Q91" s="83"/>
      <c r="R91" s="83"/>
      <c r="S91" s="83"/>
      <c r="T91" s="83"/>
      <c r="U91" s="84"/>
    </row>
    <row r="92" spans="1:21" ht="97.5" customHeight="1" x14ac:dyDescent="0.15">
      <c r="B92" s="139"/>
      <c r="C92" s="69" t="s">
        <v>75</v>
      </c>
      <c r="D92" s="79" t="s">
        <v>162</v>
      </c>
      <c r="E92" s="88"/>
      <c r="F92" s="88"/>
      <c r="G92" s="88"/>
      <c r="H92" s="88"/>
      <c r="I92" s="88"/>
      <c r="J92" s="88"/>
      <c r="K92" s="88"/>
      <c r="L92" s="88"/>
      <c r="M92" s="88"/>
      <c r="N92" s="88"/>
      <c r="O92" s="88"/>
      <c r="P92" s="88"/>
      <c r="Q92" s="88"/>
      <c r="R92" s="88"/>
      <c r="S92" s="88"/>
      <c r="T92" s="88"/>
      <c r="U92" s="89"/>
    </row>
    <row r="93" spans="1:21" ht="97.5" customHeight="1" x14ac:dyDescent="0.15">
      <c r="B93" s="138" t="s">
        <v>61</v>
      </c>
      <c r="C93" s="70" t="s">
        <v>69</v>
      </c>
      <c r="D93" s="82" t="s">
        <v>163</v>
      </c>
      <c r="E93" s="83"/>
      <c r="F93" s="83"/>
      <c r="G93" s="83"/>
      <c r="H93" s="83"/>
      <c r="I93" s="83"/>
      <c r="J93" s="83"/>
      <c r="K93" s="83"/>
      <c r="L93" s="83"/>
      <c r="M93" s="83"/>
      <c r="N93" s="83"/>
      <c r="O93" s="83"/>
      <c r="P93" s="83"/>
      <c r="Q93" s="83"/>
      <c r="R93" s="83"/>
      <c r="S93" s="83"/>
      <c r="T93" s="83"/>
      <c r="U93" s="84"/>
    </row>
    <row r="94" spans="1:21" ht="97.5" customHeight="1" x14ac:dyDescent="0.15">
      <c r="B94" s="140"/>
      <c r="C94" s="71" t="s">
        <v>70</v>
      </c>
      <c r="D94" s="79" t="s">
        <v>164</v>
      </c>
      <c r="E94" s="88"/>
      <c r="F94" s="88"/>
      <c r="G94" s="88"/>
      <c r="H94" s="88"/>
      <c r="I94" s="88"/>
      <c r="J94" s="88"/>
      <c r="K94" s="88"/>
      <c r="L94" s="88"/>
      <c r="M94" s="88"/>
      <c r="N94" s="88"/>
      <c r="O94" s="88"/>
      <c r="P94" s="88"/>
      <c r="Q94" s="88"/>
      <c r="R94" s="88"/>
      <c r="S94" s="88"/>
      <c r="T94" s="88"/>
      <c r="U94" s="89"/>
    </row>
    <row r="95" spans="1:21" ht="97.5" customHeight="1" x14ac:dyDescent="0.15">
      <c r="B95" s="138" t="s">
        <v>62</v>
      </c>
      <c r="C95" s="70" t="s">
        <v>71</v>
      </c>
      <c r="D95" s="82" t="s">
        <v>165</v>
      </c>
      <c r="E95" s="83"/>
      <c r="F95" s="83"/>
      <c r="G95" s="83"/>
      <c r="H95" s="83"/>
      <c r="I95" s="83"/>
      <c r="J95" s="83"/>
      <c r="K95" s="83"/>
      <c r="L95" s="83"/>
      <c r="M95" s="83"/>
      <c r="N95" s="83"/>
      <c r="O95" s="83"/>
      <c r="P95" s="83"/>
      <c r="Q95" s="83"/>
      <c r="R95" s="83"/>
      <c r="S95" s="83"/>
      <c r="T95" s="83"/>
      <c r="U95" s="84"/>
    </row>
    <row r="96" spans="1:21" ht="97.5" customHeight="1" x14ac:dyDescent="0.15">
      <c r="B96" s="140"/>
      <c r="C96" s="72" t="s">
        <v>72</v>
      </c>
      <c r="D96" s="79" t="s">
        <v>166</v>
      </c>
      <c r="E96" s="88"/>
      <c r="F96" s="88"/>
      <c r="G96" s="88"/>
      <c r="H96" s="88"/>
      <c r="I96" s="88"/>
      <c r="J96" s="88"/>
      <c r="K96" s="88"/>
      <c r="L96" s="88"/>
      <c r="M96" s="88"/>
      <c r="N96" s="88"/>
      <c r="O96" s="88"/>
      <c r="P96" s="88"/>
      <c r="Q96" s="88"/>
      <c r="R96" s="88"/>
      <c r="S96" s="88"/>
      <c r="T96" s="88"/>
      <c r="U96" s="89"/>
    </row>
    <row r="97" spans="1:33" ht="97.5" customHeight="1" x14ac:dyDescent="0.15">
      <c r="B97" s="138" t="s">
        <v>76</v>
      </c>
      <c r="C97" s="68" t="s">
        <v>57</v>
      </c>
      <c r="D97" s="82" t="s">
        <v>167</v>
      </c>
      <c r="E97" s="83"/>
      <c r="F97" s="83"/>
      <c r="G97" s="83"/>
      <c r="H97" s="83"/>
      <c r="I97" s="83"/>
      <c r="J97" s="83"/>
      <c r="K97" s="83"/>
      <c r="L97" s="83"/>
      <c r="M97" s="83"/>
      <c r="N97" s="83"/>
      <c r="O97" s="83"/>
      <c r="P97" s="83"/>
      <c r="Q97" s="83"/>
      <c r="R97" s="83"/>
      <c r="S97" s="83"/>
      <c r="T97" s="83"/>
      <c r="U97" s="84"/>
    </row>
    <row r="98" spans="1:33" ht="97.5" customHeight="1" x14ac:dyDescent="0.15">
      <c r="B98" s="140"/>
      <c r="C98" s="71" t="s">
        <v>59</v>
      </c>
      <c r="D98" s="79" t="s">
        <v>168</v>
      </c>
      <c r="E98" s="80"/>
      <c r="F98" s="80"/>
      <c r="G98" s="80"/>
      <c r="H98" s="80"/>
      <c r="I98" s="80"/>
      <c r="J98" s="80"/>
      <c r="K98" s="80"/>
      <c r="L98" s="80"/>
      <c r="M98" s="80"/>
      <c r="N98" s="80"/>
      <c r="O98" s="80"/>
      <c r="P98" s="80"/>
      <c r="Q98" s="80"/>
      <c r="R98" s="80"/>
      <c r="S98" s="80"/>
      <c r="T98" s="80"/>
      <c r="U98" s="81"/>
    </row>
    <row r="99" spans="1:33" ht="97.5" customHeight="1" x14ac:dyDescent="0.15">
      <c r="B99" s="138" t="s">
        <v>77</v>
      </c>
      <c r="C99" s="70" t="s">
        <v>56</v>
      </c>
      <c r="D99" s="82" t="s">
        <v>169</v>
      </c>
      <c r="E99" s="83"/>
      <c r="F99" s="83"/>
      <c r="G99" s="83"/>
      <c r="H99" s="83"/>
      <c r="I99" s="83"/>
      <c r="J99" s="83"/>
      <c r="K99" s="83"/>
      <c r="L99" s="83"/>
      <c r="M99" s="83"/>
      <c r="N99" s="83"/>
      <c r="O99" s="83"/>
      <c r="P99" s="83"/>
      <c r="Q99" s="83"/>
      <c r="R99" s="83"/>
      <c r="S99" s="83"/>
      <c r="T99" s="83"/>
      <c r="U99" s="84"/>
    </row>
    <row r="100" spans="1:33" ht="97.5" customHeight="1" x14ac:dyDescent="0.15">
      <c r="B100" s="139"/>
      <c r="C100" s="73" t="s">
        <v>73</v>
      </c>
      <c r="D100" s="85" t="s">
        <v>170</v>
      </c>
      <c r="E100" s="86"/>
      <c r="F100" s="86"/>
      <c r="G100" s="86"/>
      <c r="H100" s="86"/>
      <c r="I100" s="86"/>
      <c r="J100" s="86"/>
      <c r="K100" s="86"/>
      <c r="L100" s="86"/>
      <c r="M100" s="86"/>
      <c r="N100" s="86"/>
      <c r="O100" s="86"/>
      <c r="P100" s="86"/>
      <c r="Q100" s="86"/>
      <c r="R100" s="86"/>
      <c r="S100" s="86"/>
      <c r="T100" s="86"/>
      <c r="U100" s="87"/>
    </row>
    <row r="101" spans="1:33" ht="97.5" customHeight="1" x14ac:dyDescent="0.15">
      <c r="B101" s="140"/>
      <c r="C101" s="72" t="s">
        <v>74</v>
      </c>
      <c r="D101" s="79" t="s">
        <v>171</v>
      </c>
      <c r="E101" s="88"/>
      <c r="F101" s="88"/>
      <c r="G101" s="88"/>
      <c r="H101" s="88"/>
      <c r="I101" s="88"/>
      <c r="J101" s="88"/>
      <c r="K101" s="88"/>
      <c r="L101" s="88"/>
      <c r="M101" s="88"/>
      <c r="N101" s="88"/>
      <c r="O101" s="88"/>
      <c r="P101" s="88"/>
      <c r="Q101" s="88"/>
      <c r="R101" s="88"/>
      <c r="S101" s="88"/>
      <c r="T101" s="88"/>
      <c r="U101" s="89"/>
    </row>
    <row r="102" spans="1:33" ht="6" customHeight="1" x14ac:dyDescent="0.15"/>
    <row r="103" spans="1:33" ht="18.75" customHeight="1" x14ac:dyDescent="0.15">
      <c r="A103" s="56" t="s">
        <v>109</v>
      </c>
    </row>
    <row r="104" spans="1:33" ht="81.75" customHeight="1" x14ac:dyDescent="0.15">
      <c r="B104" s="129" t="s">
        <v>172</v>
      </c>
      <c r="C104" s="130"/>
      <c r="D104" s="130"/>
      <c r="E104" s="130"/>
      <c r="F104" s="130"/>
      <c r="G104" s="130"/>
      <c r="H104" s="130"/>
      <c r="I104" s="130"/>
      <c r="J104" s="130"/>
      <c r="K104" s="130"/>
      <c r="L104" s="130"/>
      <c r="M104" s="130"/>
      <c r="N104" s="130"/>
      <c r="O104" s="130"/>
      <c r="P104" s="130"/>
      <c r="Q104" s="130"/>
      <c r="R104" s="130"/>
      <c r="S104" s="130"/>
      <c r="T104" s="130"/>
      <c r="U104" s="131"/>
    </row>
    <row r="106" spans="1:33" ht="18.75" customHeight="1" x14ac:dyDescent="0.15">
      <c r="A106" s="74" t="s">
        <v>125</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15">
      <c r="A107" s="74" t="s">
        <v>127</v>
      </c>
      <c r="B107" s="74"/>
      <c r="C107" s="74"/>
      <c r="D107" s="74"/>
      <c r="E107" s="74"/>
      <c r="F107" s="74"/>
      <c r="G107" s="74"/>
      <c r="H107" s="74"/>
      <c r="I107" s="74"/>
      <c r="J107" s="74"/>
      <c r="K107" s="74"/>
      <c r="L107" s="74"/>
      <c r="M107" s="74"/>
      <c r="N107" s="74"/>
      <c r="O107" s="74"/>
      <c r="P107" s="74"/>
      <c r="Q107" s="74"/>
      <c r="R107" s="74"/>
      <c r="S107" s="74"/>
      <c r="T107" s="74"/>
      <c r="U107" s="74"/>
      <c r="V107" s="1"/>
      <c r="W107" s="1"/>
      <c r="X107" s="1"/>
      <c r="Y107" s="1"/>
      <c r="Z107" s="1"/>
      <c r="AA107" s="1"/>
      <c r="AB107" s="1"/>
      <c r="AC107" s="1"/>
      <c r="AD107" s="1"/>
      <c r="AE107" s="1"/>
      <c r="AF107" s="1"/>
      <c r="AG107" s="1"/>
    </row>
    <row r="108" spans="1:33" ht="18.75" customHeight="1" x14ac:dyDescent="0.15">
      <c r="A108" s="74"/>
      <c r="B108" s="78" t="s">
        <v>197</v>
      </c>
      <c r="C108" s="78"/>
      <c r="D108" s="78"/>
      <c r="E108" s="78"/>
      <c r="F108" s="78"/>
      <c r="G108" s="78"/>
      <c r="H108" s="78"/>
      <c r="I108" s="78"/>
      <c r="J108" s="78"/>
      <c r="K108" s="78"/>
      <c r="L108" s="78"/>
      <c r="M108" s="78"/>
      <c r="N108" s="78"/>
      <c r="O108" s="78"/>
      <c r="P108" s="78"/>
      <c r="Q108" s="78"/>
      <c r="R108" s="78"/>
      <c r="S108" s="78"/>
      <c r="T108" s="78"/>
      <c r="U108" s="78"/>
      <c r="V108" s="76"/>
      <c r="W108" s="76"/>
      <c r="X108" s="76"/>
      <c r="Y108" s="76"/>
      <c r="Z108" s="76"/>
      <c r="AA108" s="76"/>
      <c r="AB108" s="76"/>
      <c r="AC108" s="76"/>
      <c r="AD108" s="76"/>
      <c r="AE108" s="76"/>
      <c r="AF108" s="76"/>
      <c r="AG108" s="76"/>
    </row>
    <row r="109" spans="1:33" ht="37.15" customHeight="1" x14ac:dyDescent="0.15">
      <c r="A109" s="74"/>
      <c r="B109" s="78"/>
      <c r="C109" s="78"/>
      <c r="D109" s="78"/>
      <c r="E109" s="78"/>
      <c r="F109" s="78"/>
      <c r="G109" s="78"/>
      <c r="H109" s="78"/>
      <c r="I109" s="78"/>
      <c r="J109" s="78"/>
      <c r="K109" s="78"/>
      <c r="L109" s="78"/>
      <c r="M109" s="78"/>
      <c r="N109" s="78"/>
      <c r="O109" s="78"/>
      <c r="P109" s="78"/>
      <c r="Q109" s="78"/>
      <c r="R109" s="78"/>
      <c r="S109" s="78"/>
      <c r="T109" s="78"/>
      <c r="U109" s="78"/>
      <c r="V109" s="76"/>
      <c r="W109" s="76"/>
      <c r="X109" s="76"/>
      <c r="Y109" s="76"/>
      <c r="Z109" s="76"/>
      <c r="AA109" s="76"/>
      <c r="AB109" s="76"/>
      <c r="AC109" s="76"/>
      <c r="AD109" s="76"/>
      <c r="AE109" s="76"/>
      <c r="AF109" s="76"/>
      <c r="AG109" s="76"/>
    </row>
    <row r="110" spans="1:33" ht="18.75" customHeight="1" x14ac:dyDescent="0.15">
      <c r="A110" s="74"/>
      <c r="B110" s="149" t="s">
        <v>126</v>
      </c>
      <c r="C110" s="149"/>
      <c r="D110" s="149"/>
      <c r="E110" s="149"/>
      <c r="F110" s="149"/>
      <c r="G110" s="149"/>
      <c r="H110" s="149"/>
      <c r="I110" s="149"/>
      <c r="J110" s="149"/>
      <c r="K110" s="149"/>
      <c r="L110" s="149"/>
      <c r="M110" s="149"/>
      <c r="N110" s="149"/>
      <c r="O110" s="149"/>
      <c r="P110" s="149"/>
      <c r="Q110" s="149"/>
      <c r="R110" s="149"/>
      <c r="S110" s="149"/>
      <c r="T110" s="149"/>
      <c r="U110" s="149"/>
      <c r="V110" s="76"/>
      <c r="W110" s="76"/>
      <c r="X110" s="76"/>
      <c r="Y110" s="76"/>
      <c r="Z110" s="76"/>
      <c r="AA110" s="76"/>
      <c r="AB110" s="76"/>
      <c r="AC110" s="76"/>
      <c r="AD110" s="76"/>
      <c r="AE110" s="76"/>
      <c r="AF110" s="76"/>
      <c r="AG110" s="76"/>
    </row>
    <row r="111" spans="1:33" ht="18.75" customHeight="1" x14ac:dyDescent="0.15">
      <c r="A111" s="74"/>
      <c r="B111" s="150" t="s">
        <v>54</v>
      </c>
      <c r="C111" s="150"/>
      <c r="D111" s="150"/>
      <c r="E111" s="150"/>
      <c r="F111" s="150"/>
      <c r="G111" s="150"/>
      <c r="H111" s="150"/>
      <c r="I111" s="150"/>
      <c r="J111" s="150"/>
      <c r="K111" s="150"/>
      <c r="L111" s="150"/>
      <c r="M111" s="150"/>
      <c r="N111" s="150"/>
      <c r="O111" s="150"/>
      <c r="P111" s="150"/>
      <c r="Q111" s="150"/>
      <c r="R111" s="150"/>
      <c r="S111" s="150"/>
      <c r="T111" s="150"/>
      <c r="U111" s="150"/>
      <c r="V111" s="1"/>
      <c r="W111" s="1"/>
      <c r="X111" s="1"/>
      <c r="Y111" s="1"/>
      <c r="Z111" s="1"/>
      <c r="AA111" s="1"/>
      <c r="AB111" s="1"/>
      <c r="AC111" s="1"/>
      <c r="AD111" s="1"/>
      <c r="AE111" s="1"/>
      <c r="AF111" s="1"/>
      <c r="AG111" s="1"/>
    </row>
    <row r="112" spans="1:33" ht="132" customHeight="1" x14ac:dyDescent="0.15">
      <c r="A112" s="74"/>
      <c r="B112" s="151" t="s">
        <v>173</v>
      </c>
      <c r="C112" s="151"/>
      <c r="D112" s="151"/>
      <c r="E112" s="151"/>
      <c r="F112" s="151"/>
      <c r="G112" s="151"/>
      <c r="H112" s="151"/>
      <c r="I112" s="151"/>
      <c r="J112" s="151"/>
      <c r="K112" s="151"/>
      <c r="L112" s="151"/>
      <c r="M112" s="151"/>
      <c r="N112" s="151"/>
      <c r="O112" s="151"/>
      <c r="P112" s="151"/>
      <c r="Q112" s="151"/>
      <c r="R112" s="151"/>
      <c r="S112" s="151"/>
      <c r="T112" s="151"/>
      <c r="U112" s="151"/>
      <c r="V112" s="77"/>
      <c r="W112" s="77"/>
      <c r="X112" s="77"/>
      <c r="Y112" s="77"/>
      <c r="Z112" s="77"/>
      <c r="AA112" s="77"/>
      <c r="AB112" s="77"/>
      <c r="AC112" s="77"/>
      <c r="AD112" s="77"/>
      <c r="AE112" s="77"/>
      <c r="AF112" s="77"/>
      <c r="AG112" s="77"/>
    </row>
    <row r="114" ht="18" customHeight="1" x14ac:dyDescent="0.15"/>
  </sheetData>
  <mergeCells count="148">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K77:P77"/>
    <mergeCell ref="A68:U69"/>
    <mergeCell ref="K81:Q81"/>
    <mergeCell ref="R81:U81"/>
    <mergeCell ref="R80:U80"/>
    <mergeCell ref="B81:F81"/>
    <mergeCell ref="K61:Q61"/>
    <mergeCell ref="B80:F80"/>
    <mergeCell ref="G81:J81"/>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G81:G88 R81:R88 H81:J82 H85:J88 S85:U88 S81:U8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view="pageBreakPreview" zoomScaleNormal="100" zoomScaleSheetLayoutView="100" workbookViewId="0">
      <selection activeCell="B52" sqref="A52:U63"/>
    </sheetView>
  </sheetViews>
  <sheetFormatPr defaultColWidth="9" defaultRowHeight="18.75" customHeight="1" x14ac:dyDescent="0.15"/>
  <cols>
    <col min="1" max="1" width="2.75" style="56" customWidth="1"/>
    <col min="2" max="2" width="20.75" style="56" customWidth="1"/>
    <col min="3" max="18" width="6.125" style="56" customWidth="1"/>
    <col min="19" max="19" width="6.625" style="56" customWidth="1"/>
    <col min="20" max="16384" width="9" style="56"/>
  </cols>
  <sheetData>
    <row r="1" spans="1:21" ht="18" customHeight="1" x14ac:dyDescent="0.15">
      <c r="S1" s="56" t="s">
        <v>98</v>
      </c>
    </row>
    <row r="2" spans="1:21" ht="18" customHeight="1" x14ac:dyDescent="0.15">
      <c r="Q2" s="153" t="str">
        <f>'様式１　プログラムを構成する授業科目'!C2</f>
        <v xml:space="preserve">国際基督教大学      </v>
      </c>
      <c r="R2" s="153"/>
      <c r="S2" s="153"/>
    </row>
    <row r="3" spans="1:21" ht="18" customHeight="1" x14ac:dyDescent="0.15">
      <c r="A3" s="119" t="s">
        <v>47</v>
      </c>
      <c r="B3" s="119"/>
      <c r="C3" s="119"/>
      <c r="D3" s="119"/>
      <c r="E3" s="119"/>
      <c r="F3" s="119"/>
      <c r="G3" s="119"/>
      <c r="H3" s="119"/>
      <c r="I3" s="119"/>
      <c r="J3" s="119"/>
      <c r="K3" s="119"/>
      <c r="L3" s="119"/>
      <c r="M3" s="119"/>
      <c r="N3" s="119"/>
      <c r="O3" s="119"/>
      <c r="P3" s="119"/>
      <c r="Q3" s="119"/>
      <c r="R3" s="119"/>
      <c r="S3" s="119"/>
    </row>
    <row r="4" spans="1:21" ht="7.5" customHeight="1" x14ac:dyDescent="0.15">
      <c r="A4" s="55"/>
      <c r="B4" s="55"/>
      <c r="C4" s="55"/>
      <c r="D4" s="55"/>
      <c r="E4" s="55"/>
      <c r="F4" s="55"/>
      <c r="G4" s="55"/>
      <c r="H4" s="55"/>
      <c r="I4" s="55"/>
      <c r="J4" s="55"/>
      <c r="K4" s="55"/>
      <c r="L4" s="55"/>
      <c r="M4" s="55"/>
      <c r="N4" s="55"/>
      <c r="O4" s="55"/>
      <c r="P4" s="55"/>
      <c r="Q4" s="55"/>
      <c r="R4" s="55"/>
      <c r="S4" s="55"/>
    </row>
    <row r="5" spans="1:21" ht="18" customHeight="1" x14ac:dyDescent="0.15">
      <c r="A5" s="56" t="s">
        <v>80</v>
      </c>
      <c r="C5" s="154" t="s">
        <v>174</v>
      </c>
      <c r="D5" s="155"/>
      <c r="E5" s="55" t="s">
        <v>51</v>
      </c>
      <c r="F5" s="55"/>
      <c r="G5" s="55"/>
      <c r="H5" s="55"/>
      <c r="I5" s="55"/>
      <c r="J5" s="55"/>
      <c r="K5" s="55"/>
      <c r="L5" s="55"/>
      <c r="M5" s="55"/>
      <c r="N5" s="55"/>
      <c r="O5" s="55"/>
      <c r="P5" s="55"/>
      <c r="Q5" s="55"/>
      <c r="R5" s="3"/>
      <c r="S5" s="3"/>
    </row>
    <row r="6" spans="1:21" ht="7.15" customHeight="1" x14ac:dyDescent="0.15">
      <c r="C6" s="67"/>
      <c r="D6" s="67"/>
      <c r="E6" s="55"/>
      <c r="F6" s="55"/>
      <c r="G6" s="55"/>
      <c r="H6" s="55"/>
      <c r="I6" s="55"/>
      <c r="J6" s="55"/>
      <c r="K6" s="55"/>
      <c r="L6" s="55"/>
      <c r="M6" s="55"/>
      <c r="N6" s="55"/>
      <c r="O6" s="55"/>
      <c r="P6" s="55"/>
      <c r="Q6" s="55"/>
      <c r="R6" s="3"/>
      <c r="S6" s="3"/>
    </row>
    <row r="7" spans="1:21" ht="18" customHeight="1" x14ac:dyDescent="0.15">
      <c r="A7" s="56" t="s">
        <v>118</v>
      </c>
      <c r="C7" s="67"/>
      <c r="D7" s="67"/>
      <c r="E7" s="55" t="s">
        <v>119</v>
      </c>
      <c r="F7" s="59">
        <v>922</v>
      </c>
      <c r="G7" s="7" t="s">
        <v>120</v>
      </c>
      <c r="H7" s="55" t="s">
        <v>121</v>
      </c>
      <c r="I7" s="59">
        <v>1925</v>
      </c>
      <c r="J7" s="7" t="s">
        <v>120</v>
      </c>
      <c r="K7" s="14" t="s">
        <v>122</v>
      </c>
      <c r="L7" s="55" t="s">
        <v>123</v>
      </c>
      <c r="M7" s="59">
        <f>F7+I7</f>
        <v>2847</v>
      </c>
      <c r="N7" s="55" t="s">
        <v>1</v>
      </c>
      <c r="O7" s="7" t="s">
        <v>124</v>
      </c>
      <c r="P7" s="55"/>
      <c r="Q7" s="55"/>
      <c r="R7" s="3"/>
      <c r="S7" s="3"/>
    </row>
    <row r="8" spans="1:21" ht="6" customHeight="1" x14ac:dyDescent="0.15">
      <c r="A8" s="55"/>
      <c r="B8" s="55"/>
      <c r="C8" s="55"/>
      <c r="D8" s="55"/>
      <c r="E8" s="55"/>
      <c r="F8" s="55"/>
      <c r="G8" s="55"/>
      <c r="H8" s="55"/>
      <c r="I8" s="55"/>
      <c r="J8" s="55"/>
      <c r="K8" s="55"/>
      <c r="L8" s="55"/>
      <c r="M8" s="55"/>
      <c r="N8" s="55"/>
      <c r="O8" s="55"/>
      <c r="P8" s="55"/>
      <c r="Q8" s="55"/>
      <c r="R8" s="55"/>
      <c r="S8" s="55"/>
    </row>
    <row r="9" spans="1:21" ht="18" customHeight="1" x14ac:dyDescent="0.15">
      <c r="A9" s="56" t="s">
        <v>133</v>
      </c>
      <c r="B9" s="55"/>
      <c r="C9" s="55"/>
      <c r="D9" s="55"/>
      <c r="E9" s="55"/>
      <c r="F9" s="55"/>
      <c r="G9" s="55"/>
      <c r="H9" s="55"/>
      <c r="I9" s="55"/>
      <c r="J9" s="55"/>
      <c r="K9" s="55"/>
      <c r="L9" s="55"/>
      <c r="M9" s="55"/>
      <c r="N9" s="55"/>
      <c r="O9" s="55"/>
      <c r="P9" s="55"/>
      <c r="Q9" s="55"/>
      <c r="R9" s="55"/>
      <c r="S9" s="55"/>
    </row>
    <row r="10" spans="1:21" ht="6" customHeight="1" x14ac:dyDescent="0.15">
      <c r="B10" s="55"/>
      <c r="C10" s="55"/>
      <c r="D10" s="55"/>
      <c r="E10" s="55"/>
      <c r="F10" s="55"/>
      <c r="G10" s="55"/>
      <c r="H10" s="55"/>
      <c r="I10" s="55"/>
      <c r="J10" s="55"/>
      <c r="K10" s="55"/>
      <c r="L10" s="55"/>
      <c r="M10" s="55"/>
      <c r="N10" s="55"/>
      <c r="O10" s="55"/>
      <c r="P10" s="55"/>
      <c r="Q10" s="55"/>
      <c r="R10" s="55"/>
      <c r="S10" s="55"/>
    </row>
    <row r="11" spans="1:21" ht="18" customHeight="1" x14ac:dyDescent="0.15">
      <c r="B11" s="156" t="s">
        <v>44</v>
      </c>
      <c r="C11" s="166" t="s">
        <v>83</v>
      </c>
      <c r="D11" s="158" t="s">
        <v>46</v>
      </c>
      <c r="E11" s="160" t="s">
        <v>39</v>
      </c>
      <c r="F11" s="152" t="s">
        <v>112</v>
      </c>
      <c r="G11" s="152"/>
      <c r="H11" s="152" t="s">
        <v>82</v>
      </c>
      <c r="I11" s="152"/>
      <c r="J11" s="152" t="s">
        <v>48</v>
      </c>
      <c r="K11" s="152"/>
      <c r="L11" s="152" t="s">
        <v>49</v>
      </c>
      <c r="M11" s="152"/>
      <c r="N11" s="152" t="s">
        <v>92</v>
      </c>
      <c r="O11" s="152"/>
      <c r="P11" s="152" t="s">
        <v>50</v>
      </c>
      <c r="Q11" s="152"/>
      <c r="R11" s="162" t="s">
        <v>35</v>
      </c>
      <c r="S11" s="164" t="s">
        <v>32</v>
      </c>
      <c r="U11" s="1"/>
    </row>
    <row r="12" spans="1:21" ht="16.899999999999999" customHeight="1" x14ac:dyDescent="0.15">
      <c r="B12" s="157"/>
      <c r="C12" s="167"/>
      <c r="D12" s="159"/>
      <c r="E12" s="161"/>
      <c r="F12" s="45" t="s">
        <v>91</v>
      </c>
      <c r="G12" s="45" t="s">
        <v>29</v>
      </c>
      <c r="H12" s="45" t="s">
        <v>91</v>
      </c>
      <c r="I12" s="45" t="s">
        <v>29</v>
      </c>
      <c r="J12" s="45" t="s">
        <v>91</v>
      </c>
      <c r="K12" s="45" t="s">
        <v>29</v>
      </c>
      <c r="L12" s="45" t="s">
        <v>91</v>
      </c>
      <c r="M12" s="45" t="s">
        <v>29</v>
      </c>
      <c r="N12" s="45" t="s">
        <v>91</v>
      </c>
      <c r="O12" s="45" t="s">
        <v>29</v>
      </c>
      <c r="P12" s="45" t="s">
        <v>91</v>
      </c>
      <c r="Q12" s="46" t="s">
        <v>29</v>
      </c>
      <c r="R12" s="163"/>
      <c r="S12" s="165"/>
      <c r="U12" s="1"/>
    </row>
    <row r="13" spans="1:21" ht="18" customHeight="1" x14ac:dyDescent="0.15">
      <c r="A13" s="3"/>
      <c r="B13" s="47" t="s">
        <v>175</v>
      </c>
      <c r="C13" s="33">
        <v>2847</v>
      </c>
      <c r="D13" s="34">
        <v>620</v>
      </c>
      <c r="E13" s="35">
        <v>2480</v>
      </c>
      <c r="F13" s="35">
        <v>247</v>
      </c>
      <c r="G13" s="35">
        <v>230</v>
      </c>
      <c r="H13" s="35"/>
      <c r="I13" s="35"/>
      <c r="J13" s="35"/>
      <c r="K13" s="35"/>
      <c r="L13" s="35"/>
      <c r="M13" s="35"/>
      <c r="N13" s="35"/>
      <c r="O13" s="35"/>
      <c r="P13" s="35"/>
      <c r="Q13" s="48"/>
      <c r="R13" s="34">
        <f t="shared" ref="R13:R32" si="0">F13+H13+J13+L13+N13+P13</f>
        <v>247</v>
      </c>
      <c r="S13" s="49">
        <f t="shared" ref="S13:S33" si="1">R13/E13</f>
        <v>9.9596774193548385E-2</v>
      </c>
    </row>
    <row r="14" spans="1:21" ht="18" customHeight="1" x14ac:dyDescent="0.15">
      <c r="A14" s="3"/>
      <c r="B14" s="8"/>
      <c r="C14" s="36"/>
      <c r="D14" s="37"/>
      <c r="E14" s="38"/>
      <c r="F14" s="39"/>
      <c r="G14" s="39"/>
      <c r="H14" s="39"/>
      <c r="I14" s="39"/>
      <c r="J14" s="39"/>
      <c r="K14" s="39"/>
      <c r="L14" s="39"/>
      <c r="M14" s="39"/>
      <c r="N14" s="39"/>
      <c r="O14" s="39"/>
      <c r="P14" s="39"/>
      <c r="Q14" s="36"/>
      <c r="R14" s="37">
        <f t="shared" si="0"/>
        <v>0</v>
      </c>
      <c r="S14" s="12" t="e">
        <f t="shared" si="1"/>
        <v>#DIV/0!</v>
      </c>
    </row>
    <row r="15" spans="1:21" ht="18" customHeight="1" x14ac:dyDescent="0.15">
      <c r="A15" s="3"/>
      <c r="B15" s="8"/>
      <c r="C15" s="36"/>
      <c r="D15" s="37"/>
      <c r="E15" s="38"/>
      <c r="F15" s="39"/>
      <c r="G15" s="39"/>
      <c r="H15" s="39"/>
      <c r="I15" s="39"/>
      <c r="J15" s="39"/>
      <c r="K15" s="39"/>
      <c r="L15" s="39"/>
      <c r="M15" s="39"/>
      <c r="N15" s="39"/>
      <c r="O15" s="39"/>
      <c r="P15" s="39"/>
      <c r="Q15" s="36"/>
      <c r="R15" s="37">
        <f t="shared" si="0"/>
        <v>0</v>
      </c>
      <c r="S15" s="5" t="e">
        <f t="shared" si="1"/>
        <v>#DIV/0!</v>
      </c>
    </row>
    <row r="16" spans="1:21" ht="18" customHeight="1" x14ac:dyDescent="0.15">
      <c r="A16" s="3"/>
      <c r="B16" s="8"/>
      <c r="C16" s="36"/>
      <c r="D16" s="37"/>
      <c r="E16" s="38"/>
      <c r="F16" s="39"/>
      <c r="G16" s="39"/>
      <c r="H16" s="39"/>
      <c r="I16" s="39"/>
      <c r="J16" s="39"/>
      <c r="K16" s="39"/>
      <c r="L16" s="39"/>
      <c r="M16" s="39"/>
      <c r="N16" s="39"/>
      <c r="O16" s="39"/>
      <c r="P16" s="39"/>
      <c r="Q16" s="36"/>
      <c r="R16" s="37">
        <f t="shared" si="0"/>
        <v>0</v>
      </c>
      <c r="S16" s="5" t="e">
        <f t="shared" si="1"/>
        <v>#DIV/0!</v>
      </c>
    </row>
    <row r="17" spans="1:19" ht="18" customHeight="1" x14ac:dyDescent="0.15">
      <c r="A17" s="3"/>
      <c r="B17" s="8"/>
      <c r="C17" s="36"/>
      <c r="D17" s="37"/>
      <c r="E17" s="38"/>
      <c r="F17" s="39"/>
      <c r="G17" s="39"/>
      <c r="H17" s="39"/>
      <c r="I17" s="39"/>
      <c r="J17" s="39"/>
      <c r="K17" s="39"/>
      <c r="L17" s="39"/>
      <c r="M17" s="39"/>
      <c r="N17" s="39"/>
      <c r="O17" s="39"/>
      <c r="P17" s="39"/>
      <c r="Q17" s="36"/>
      <c r="R17" s="37">
        <f t="shared" si="0"/>
        <v>0</v>
      </c>
      <c r="S17" s="5" t="e">
        <f t="shared" si="1"/>
        <v>#DIV/0!</v>
      </c>
    </row>
    <row r="18" spans="1:19" ht="18" customHeight="1" x14ac:dyDescent="0.15">
      <c r="A18" s="3"/>
      <c r="B18" s="8"/>
      <c r="C18" s="36"/>
      <c r="D18" s="37"/>
      <c r="E18" s="38"/>
      <c r="F18" s="39"/>
      <c r="G18" s="39"/>
      <c r="H18" s="39"/>
      <c r="I18" s="39"/>
      <c r="J18" s="39"/>
      <c r="K18" s="39"/>
      <c r="L18" s="39"/>
      <c r="M18" s="39"/>
      <c r="N18" s="39"/>
      <c r="O18" s="39"/>
      <c r="P18" s="39"/>
      <c r="Q18" s="36"/>
      <c r="R18" s="37">
        <f t="shared" si="0"/>
        <v>0</v>
      </c>
      <c r="S18" s="5" t="e">
        <f t="shared" si="1"/>
        <v>#DIV/0!</v>
      </c>
    </row>
    <row r="19" spans="1:19" ht="18" customHeight="1" x14ac:dyDescent="0.15">
      <c r="A19" s="3"/>
      <c r="B19" s="8"/>
      <c r="C19" s="36"/>
      <c r="D19" s="37"/>
      <c r="E19" s="38"/>
      <c r="F19" s="39"/>
      <c r="G19" s="39"/>
      <c r="H19" s="39"/>
      <c r="I19" s="39"/>
      <c r="J19" s="39"/>
      <c r="K19" s="39"/>
      <c r="L19" s="39"/>
      <c r="M19" s="39"/>
      <c r="N19" s="39"/>
      <c r="O19" s="39"/>
      <c r="P19" s="39"/>
      <c r="Q19" s="36"/>
      <c r="R19" s="37">
        <f t="shared" si="0"/>
        <v>0</v>
      </c>
      <c r="S19" s="5" t="e">
        <f t="shared" si="1"/>
        <v>#DIV/0!</v>
      </c>
    </row>
    <row r="20" spans="1:19" ht="18" customHeight="1" x14ac:dyDescent="0.15">
      <c r="A20" s="3"/>
      <c r="B20" s="8"/>
      <c r="C20" s="36"/>
      <c r="D20" s="37"/>
      <c r="E20" s="38"/>
      <c r="F20" s="39"/>
      <c r="G20" s="39"/>
      <c r="H20" s="39"/>
      <c r="I20" s="39"/>
      <c r="J20" s="39"/>
      <c r="K20" s="39"/>
      <c r="L20" s="39"/>
      <c r="M20" s="39"/>
      <c r="N20" s="39"/>
      <c r="O20" s="39"/>
      <c r="P20" s="39"/>
      <c r="Q20" s="36"/>
      <c r="R20" s="37">
        <f t="shared" si="0"/>
        <v>0</v>
      </c>
      <c r="S20" s="5" t="e">
        <f t="shared" si="1"/>
        <v>#DIV/0!</v>
      </c>
    </row>
    <row r="21" spans="1:19" ht="18" customHeight="1" x14ac:dyDescent="0.15">
      <c r="A21" s="3"/>
      <c r="B21" s="8"/>
      <c r="C21" s="36"/>
      <c r="D21" s="37"/>
      <c r="E21" s="38"/>
      <c r="F21" s="39"/>
      <c r="G21" s="39"/>
      <c r="H21" s="39"/>
      <c r="I21" s="39"/>
      <c r="J21" s="39"/>
      <c r="K21" s="39"/>
      <c r="L21" s="39"/>
      <c r="M21" s="39"/>
      <c r="N21" s="39"/>
      <c r="O21" s="39"/>
      <c r="P21" s="39"/>
      <c r="Q21" s="36"/>
      <c r="R21" s="37">
        <f t="shared" si="0"/>
        <v>0</v>
      </c>
      <c r="S21" s="5" t="e">
        <f t="shared" si="1"/>
        <v>#DIV/0!</v>
      </c>
    </row>
    <row r="22" spans="1:19" ht="18" customHeight="1" x14ac:dyDescent="0.15">
      <c r="A22" s="3"/>
      <c r="B22" s="8"/>
      <c r="C22" s="36"/>
      <c r="D22" s="37"/>
      <c r="E22" s="38"/>
      <c r="F22" s="39"/>
      <c r="G22" s="39"/>
      <c r="H22" s="39"/>
      <c r="I22" s="39"/>
      <c r="J22" s="39"/>
      <c r="K22" s="39"/>
      <c r="L22" s="39"/>
      <c r="M22" s="39"/>
      <c r="N22" s="39"/>
      <c r="O22" s="39"/>
      <c r="P22" s="39"/>
      <c r="Q22" s="36"/>
      <c r="R22" s="37">
        <f t="shared" si="0"/>
        <v>0</v>
      </c>
      <c r="S22" s="5" t="e">
        <f t="shared" si="1"/>
        <v>#DIV/0!</v>
      </c>
    </row>
    <row r="23" spans="1:19" ht="18" customHeight="1" x14ac:dyDescent="0.15">
      <c r="A23" s="3"/>
      <c r="B23" s="8"/>
      <c r="C23" s="36"/>
      <c r="D23" s="37"/>
      <c r="E23" s="38"/>
      <c r="F23" s="39"/>
      <c r="G23" s="39"/>
      <c r="H23" s="39"/>
      <c r="I23" s="39"/>
      <c r="J23" s="39"/>
      <c r="K23" s="39"/>
      <c r="L23" s="39"/>
      <c r="M23" s="39"/>
      <c r="N23" s="39"/>
      <c r="O23" s="39"/>
      <c r="P23" s="39"/>
      <c r="Q23" s="36"/>
      <c r="R23" s="37">
        <f t="shared" si="0"/>
        <v>0</v>
      </c>
      <c r="S23" s="5" t="e">
        <f t="shared" si="1"/>
        <v>#DIV/0!</v>
      </c>
    </row>
    <row r="24" spans="1:19" ht="18" customHeight="1" x14ac:dyDescent="0.15">
      <c r="A24" s="3"/>
      <c r="B24" s="8"/>
      <c r="C24" s="36"/>
      <c r="D24" s="37"/>
      <c r="E24" s="38"/>
      <c r="F24" s="39"/>
      <c r="G24" s="39"/>
      <c r="H24" s="39"/>
      <c r="I24" s="39"/>
      <c r="J24" s="39"/>
      <c r="K24" s="39"/>
      <c r="L24" s="39"/>
      <c r="M24" s="39"/>
      <c r="N24" s="39"/>
      <c r="O24" s="39"/>
      <c r="P24" s="39"/>
      <c r="Q24" s="36"/>
      <c r="R24" s="37">
        <f t="shared" si="0"/>
        <v>0</v>
      </c>
      <c r="S24" s="5" t="e">
        <f t="shared" si="1"/>
        <v>#DIV/0!</v>
      </c>
    </row>
    <row r="25" spans="1:19" ht="18" customHeight="1" x14ac:dyDescent="0.15">
      <c r="A25" s="3"/>
      <c r="B25" s="8"/>
      <c r="C25" s="36"/>
      <c r="D25" s="37"/>
      <c r="E25" s="38"/>
      <c r="F25" s="39"/>
      <c r="G25" s="39"/>
      <c r="H25" s="39"/>
      <c r="I25" s="39"/>
      <c r="J25" s="39"/>
      <c r="K25" s="39"/>
      <c r="L25" s="39"/>
      <c r="M25" s="39"/>
      <c r="N25" s="39"/>
      <c r="O25" s="39"/>
      <c r="P25" s="39"/>
      <c r="Q25" s="36"/>
      <c r="R25" s="37">
        <f t="shared" si="0"/>
        <v>0</v>
      </c>
      <c r="S25" s="5" t="e">
        <f t="shared" si="1"/>
        <v>#DIV/0!</v>
      </c>
    </row>
    <row r="26" spans="1:19" ht="18" customHeight="1" x14ac:dyDescent="0.15">
      <c r="A26" s="3"/>
      <c r="B26" s="8"/>
      <c r="C26" s="36"/>
      <c r="D26" s="37"/>
      <c r="E26" s="38"/>
      <c r="F26" s="39"/>
      <c r="G26" s="39"/>
      <c r="H26" s="39"/>
      <c r="I26" s="39"/>
      <c r="J26" s="39"/>
      <c r="K26" s="39"/>
      <c r="L26" s="39"/>
      <c r="M26" s="39"/>
      <c r="N26" s="39"/>
      <c r="O26" s="39"/>
      <c r="P26" s="39"/>
      <c r="Q26" s="36"/>
      <c r="R26" s="37">
        <f t="shared" si="0"/>
        <v>0</v>
      </c>
      <c r="S26" s="5" t="e">
        <f t="shared" si="1"/>
        <v>#DIV/0!</v>
      </c>
    </row>
    <row r="27" spans="1:19" ht="18" customHeight="1" x14ac:dyDescent="0.15">
      <c r="A27" s="3"/>
      <c r="B27" s="8"/>
      <c r="C27" s="36"/>
      <c r="D27" s="37"/>
      <c r="E27" s="38"/>
      <c r="F27" s="39"/>
      <c r="G27" s="39"/>
      <c r="H27" s="39"/>
      <c r="I27" s="39"/>
      <c r="J27" s="39"/>
      <c r="K27" s="39"/>
      <c r="L27" s="39"/>
      <c r="M27" s="39"/>
      <c r="N27" s="39"/>
      <c r="O27" s="39"/>
      <c r="P27" s="39"/>
      <c r="Q27" s="36"/>
      <c r="R27" s="37">
        <f t="shared" si="0"/>
        <v>0</v>
      </c>
      <c r="S27" s="5" t="e">
        <f t="shared" si="1"/>
        <v>#DIV/0!</v>
      </c>
    </row>
    <row r="28" spans="1:19" ht="18" customHeight="1" x14ac:dyDescent="0.15">
      <c r="A28" s="3"/>
      <c r="B28" s="8"/>
      <c r="C28" s="36"/>
      <c r="D28" s="37"/>
      <c r="E28" s="38"/>
      <c r="F28" s="39"/>
      <c r="G28" s="39"/>
      <c r="H28" s="39"/>
      <c r="I28" s="39"/>
      <c r="J28" s="39"/>
      <c r="K28" s="39"/>
      <c r="L28" s="39"/>
      <c r="M28" s="39"/>
      <c r="N28" s="39"/>
      <c r="O28" s="39"/>
      <c r="P28" s="39"/>
      <c r="Q28" s="36"/>
      <c r="R28" s="37">
        <f t="shared" si="0"/>
        <v>0</v>
      </c>
      <c r="S28" s="5" t="e">
        <f t="shared" si="1"/>
        <v>#DIV/0!</v>
      </c>
    </row>
    <row r="29" spans="1:19" ht="18" customHeight="1" x14ac:dyDescent="0.15">
      <c r="A29" s="3"/>
      <c r="B29" s="8"/>
      <c r="C29" s="36"/>
      <c r="D29" s="37"/>
      <c r="E29" s="38"/>
      <c r="F29" s="39"/>
      <c r="G29" s="39"/>
      <c r="H29" s="39"/>
      <c r="I29" s="39"/>
      <c r="J29" s="39"/>
      <c r="K29" s="39"/>
      <c r="L29" s="39"/>
      <c r="M29" s="39"/>
      <c r="N29" s="39"/>
      <c r="O29" s="39"/>
      <c r="P29" s="39"/>
      <c r="Q29" s="36"/>
      <c r="R29" s="37">
        <f t="shared" si="0"/>
        <v>0</v>
      </c>
      <c r="S29" s="5" t="e">
        <f t="shared" si="1"/>
        <v>#DIV/0!</v>
      </c>
    </row>
    <row r="30" spans="1:19" ht="18" customHeight="1" x14ac:dyDescent="0.15">
      <c r="A30" s="3"/>
      <c r="B30" s="8"/>
      <c r="C30" s="36"/>
      <c r="D30" s="40"/>
      <c r="E30" s="38"/>
      <c r="F30" s="39"/>
      <c r="G30" s="39"/>
      <c r="H30" s="39"/>
      <c r="I30" s="39"/>
      <c r="J30" s="39"/>
      <c r="K30" s="39"/>
      <c r="L30" s="39"/>
      <c r="M30" s="39"/>
      <c r="N30" s="39"/>
      <c r="O30" s="39"/>
      <c r="P30" s="39"/>
      <c r="Q30" s="36"/>
      <c r="R30" s="40">
        <f t="shared" si="0"/>
        <v>0</v>
      </c>
      <c r="S30" s="5" t="e">
        <f t="shared" si="1"/>
        <v>#DIV/0!</v>
      </c>
    </row>
    <row r="31" spans="1:19" ht="18" customHeight="1" x14ac:dyDescent="0.15">
      <c r="A31" s="3"/>
      <c r="B31" s="8"/>
      <c r="C31" s="36"/>
      <c r="D31" s="40"/>
      <c r="E31" s="38"/>
      <c r="F31" s="39"/>
      <c r="G31" s="39"/>
      <c r="H31" s="39"/>
      <c r="I31" s="39"/>
      <c r="J31" s="39"/>
      <c r="K31" s="39"/>
      <c r="L31" s="39"/>
      <c r="M31" s="39"/>
      <c r="N31" s="39"/>
      <c r="O31" s="39"/>
      <c r="P31" s="39"/>
      <c r="Q31" s="36"/>
      <c r="R31" s="40">
        <f t="shared" si="0"/>
        <v>0</v>
      </c>
      <c r="S31" s="5" t="e">
        <f t="shared" si="1"/>
        <v>#DIV/0!</v>
      </c>
    </row>
    <row r="32" spans="1:19" ht="18" customHeight="1" thickBot="1" x14ac:dyDescent="0.2">
      <c r="A32" s="3"/>
      <c r="B32" s="9"/>
      <c r="C32" s="33"/>
      <c r="D32" s="41"/>
      <c r="E32" s="35"/>
      <c r="F32" s="35"/>
      <c r="G32" s="35"/>
      <c r="H32" s="35"/>
      <c r="I32" s="35"/>
      <c r="J32" s="35"/>
      <c r="K32" s="35"/>
      <c r="L32" s="35"/>
      <c r="M32" s="35"/>
      <c r="N32" s="35"/>
      <c r="O32" s="35"/>
      <c r="P32" s="35"/>
      <c r="Q32" s="36"/>
      <c r="R32" s="41">
        <f t="shared" si="0"/>
        <v>0</v>
      </c>
      <c r="S32" s="4" t="e">
        <f t="shared" si="1"/>
        <v>#DIV/0!</v>
      </c>
    </row>
    <row r="33" spans="2:19" ht="18" customHeight="1" thickTop="1" x14ac:dyDescent="0.15">
      <c r="B33" s="10" t="s">
        <v>33</v>
      </c>
      <c r="C33" s="42">
        <f t="shared" ref="C33" si="2">SUM(C13:C32)</f>
        <v>2847</v>
      </c>
      <c r="D33" s="43">
        <f t="shared" ref="D33:R33" si="3">SUM(D13:D32)</f>
        <v>620</v>
      </c>
      <c r="E33" s="44">
        <f t="shared" si="3"/>
        <v>2480</v>
      </c>
      <c r="F33" s="44">
        <f t="shared" si="3"/>
        <v>247</v>
      </c>
      <c r="G33" s="44">
        <f t="shared" ref="G33:H33" si="4">SUM(G13:G32)</f>
        <v>230</v>
      </c>
      <c r="H33" s="44">
        <f t="shared" si="4"/>
        <v>0</v>
      </c>
      <c r="I33" s="44">
        <f t="shared" ref="I33:J33" si="5">SUM(I13:I32)</f>
        <v>0</v>
      </c>
      <c r="J33" s="44">
        <f t="shared" si="5"/>
        <v>0</v>
      </c>
      <c r="K33" s="44">
        <f t="shared" ref="K33:O33" si="6">SUM(K13:K32)</f>
        <v>0</v>
      </c>
      <c r="L33" s="44">
        <f t="shared" si="6"/>
        <v>0</v>
      </c>
      <c r="M33" s="44">
        <f t="shared" si="6"/>
        <v>0</v>
      </c>
      <c r="N33" s="44">
        <f t="shared" si="6"/>
        <v>0</v>
      </c>
      <c r="O33" s="44">
        <f t="shared" si="6"/>
        <v>0</v>
      </c>
      <c r="P33" s="44">
        <f t="shared" ref="P33:Q33" si="7">SUM(P13:P32)</f>
        <v>0</v>
      </c>
      <c r="Q33" s="42">
        <f t="shared" si="7"/>
        <v>0</v>
      </c>
      <c r="R33" s="43">
        <f t="shared" si="3"/>
        <v>247</v>
      </c>
      <c r="S33" s="6">
        <f t="shared" si="1"/>
        <v>9.9596774193548385E-2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22" zoomScaleNormal="100" zoomScaleSheetLayoutView="100" workbookViewId="0">
      <selection activeCell="B52" sqref="B52:I63"/>
    </sheetView>
  </sheetViews>
  <sheetFormatPr defaultColWidth="11.375" defaultRowHeight="18.75" customHeight="1" x14ac:dyDescent="0.15"/>
  <cols>
    <col min="1" max="1" width="2.75" style="16" customWidth="1"/>
    <col min="2" max="2" width="16.625" style="56" customWidth="1"/>
    <col min="3" max="3" width="8.875" style="56" customWidth="1"/>
    <col min="4" max="4" width="2.25" style="56" customWidth="1"/>
    <col min="5" max="5" width="16.625" style="56" customWidth="1"/>
    <col min="6" max="6" width="4.375" style="56" customWidth="1"/>
    <col min="7" max="7" width="9" style="56" customWidth="1"/>
    <col min="8" max="8" width="16.625" style="56" customWidth="1"/>
    <col min="9" max="9" width="12.125" style="56" customWidth="1"/>
    <col min="10" max="16384" width="11.375" style="56"/>
  </cols>
  <sheetData>
    <row r="1" spans="1:9" ht="18.75" customHeight="1" x14ac:dyDescent="0.15">
      <c r="A1" s="16" t="s">
        <v>63</v>
      </c>
      <c r="I1" s="14" t="s">
        <v>97</v>
      </c>
    </row>
    <row r="2" spans="1:9" ht="18.75" customHeight="1" x14ac:dyDescent="0.15">
      <c r="G2" s="14" t="s">
        <v>99</v>
      </c>
      <c r="H2" s="96" t="str">
        <f>'様式１　プログラムを構成する授業科目'!C2</f>
        <v xml:space="preserve">国際基督教大学      </v>
      </c>
      <c r="I2" s="98"/>
    </row>
    <row r="3" spans="1:9" ht="18.75" customHeight="1" x14ac:dyDescent="0.15">
      <c r="G3" s="14"/>
      <c r="H3" s="7"/>
      <c r="I3" s="7"/>
    </row>
    <row r="4" spans="1:9" ht="18.600000000000001" customHeight="1" x14ac:dyDescent="0.15">
      <c r="A4" s="119" t="s">
        <v>36</v>
      </c>
      <c r="B4" s="119"/>
      <c r="C4" s="119"/>
      <c r="D4" s="119"/>
      <c r="E4" s="119"/>
      <c r="F4" s="119"/>
      <c r="G4" s="119"/>
      <c r="H4" s="119"/>
      <c r="I4" s="119"/>
    </row>
    <row r="5" spans="1:9" ht="13.15" customHeight="1" x14ac:dyDescent="0.15">
      <c r="B5" s="55"/>
      <c r="C5" s="55"/>
      <c r="D5" s="55"/>
      <c r="E5" s="55"/>
      <c r="F5" s="55"/>
      <c r="G5" s="55"/>
      <c r="H5" s="55"/>
      <c r="I5" s="55"/>
    </row>
    <row r="6" spans="1:9" ht="18" customHeight="1" x14ac:dyDescent="0.15">
      <c r="A6" s="56" t="s">
        <v>0</v>
      </c>
      <c r="B6" s="7" t="s">
        <v>86</v>
      </c>
      <c r="C6" s="215" t="s">
        <v>87</v>
      </c>
      <c r="D6" s="215"/>
      <c r="E6" s="13">
        <v>150</v>
      </c>
      <c r="F6" s="55" t="s">
        <v>1</v>
      </c>
      <c r="G6" s="55" t="s">
        <v>2</v>
      </c>
      <c r="H6" s="13">
        <v>142</v>
      </c>
      <c r="I6" s="7" t="s">
        <v>1</v>
      </c>
    </row>
    <row r="7" spans="1:9" ht="12" customHeight="1" x14ac:dyDescent="0.15">
      <c r="C7" s="1"/>
      <c r="D7" s="1"/>
      <c r="E7" s="1"/>
      <c r="F7" s="1"/>
      <c r="G7" s="1"/>
      <c r="H7" s="1"/>
      <c r="I7" s="17"/>
    </row>
    <row r="8" spans="1:9" ht="18" customHeight="1" x14ac:dyDescent="0.15">
      <c r="A8" s="56" t="s">
        <v>3</v>
      </c>
      <c r="B8" s="7" t="s">
        <v>88</v>
      </c>
      <c r="E8" s="55"/>
      <c r="F8" s="55"/>
      <c r="G8" s="55"/>
      <c r="H8" s="13">
        <v>8</v>
      </c>
      <c r="I8" s="7" t="s">
        <v>1</v>
      </c>
    </row>
    <row r="9" spans="1:9" ht="9" customHeight="1" x14ac:dyDescent="0.15">
      <c r="B9" s="55"/>
      <c r="C9" s="55"/>
      <c r="D9" s="55"/>
      <c r="E9" s="55"/>
      <c r="F9" s="55"/>
      <c r="G9" s="55"/>
      <c r="H9" s="55"/>
      <c r="I9" s="55"/>
    </row>
    <row r="10" spans="1:9" ht="18" customHeight="1" x14ac:dyDescent="0.15">
      <c r="A10" s="56" t="s">
        <v>4</v>
      </c>
      <c r="B10" s="7" t="s">
        <v>89</v>
      </c>
      <c r="C10" s="55"/>
      <c r="D10" s="55"/>
      <c r="E10" s="55"/>
      <c r="F10" s="55"/>
      <c r="G10" s="55"/>
      <c r="H10" s="55"/>
      <c r="I10" s="55"/>
    </row>
    <row r="11" spans="1:9" ht="18" customHeight="1" x14ac:dyDescent="0.15">
      <c r="B11" s="14" t="s">
        <v>42</v>
      </c>
      <c r="C11" s="210" t="s">
        <v>176</v>
      </c>
      <c r="D11" s="213"/>
      <c r="E11" s="214"/>
      <c r="F11" s="17"/>
      <c r="G11" s="14" t="s">
        <v>10</v>
      </c>
      <c r="H11" s="210" t="s">
        <v>177</v>
      </c>
      <c r="I11" s="214"/>
    </row>
    <row r="12" spans="1:9" ht="10.15" customHeight="1" x14ac:dyDescent="0.15">
      <c r="B12" s="14"/>
      <c r="C12" s="7"/>
      <c r="D12" s="17"/>
      <c r="E12" s="17"/>
      <c r="F12" s="17"/>
      <c r="G12" s="14"/>
      <c r="H12" s="7"/>
      <c r="I12" s="17"/>
    </row>
    <row r="13" spans="1:9" ht="18" customHeight="1" x14ac:dyDescent="0.15">
      <c r="A13" s="56" t="s">
        <v>7</v>
      </c>
      <c r="B13" s="7" t="s">
        <v>84</v>
      </c>
      <c r="C13" s="55"/>
      <c r="D13" s="55"/>
      <c r="E13" s="55"/>
      <c r="F13" s="55"/>
      <c r="G13" s="55"/>
      <c r="H13" s="55"/>
      <c r="I13" s="55"/>
    </row>
    <row r="14" spans="1:9" ht="18" customHeight="1" x14ac:dyDescent="0.15">
      <c r="B14" s="210" t="s">
        <v>178</v>
      </c>
      <c r="C14" s="211"/>
      <c r="D14" s="211"/>
      <c r="E14" s="211"/>
      <c r="F14" s="211"/>
      <c r="G14" s="211"/>
      <c r="H14" s="211"/>
      <c r="I14" s="212"/>
    </row>
    <row r="15" spans="1:9" ht="9" customHeight="1" x14ac:dyDescent="0.15">
      <c r="B15" s="55"/>
      <c r="C15" s="55"/>
      <c r="D15" s="55"/>
      <c r="E15" s="55"/>
      <c r="F15" s="55"/>
      <c r="G15" s="55"/>
      <c r="H15" s="55"/>
      <c r="I15" s="55"/>
    </row>
    <row r="16" spans="1:9" ht="18" customHeight="1" x14ac:dyDescent="0.15">
      <c r="B16" s="14" t="s">
        <v>42</v>
      </c>
      <c r="C16" s="210" t="s">
        <v>179</v>
      </c>
      <c r="D16" s="213"/>
      <c r="E16" s="214"/>
      <c r="F16" s="17"/>
      <c r="G16" s="14" t="s">
        <v>10</v>
      </c>
      <c r="H16" s="210" t="s">
        <v>180</v>
      </c>
      <c r="I16" s="214"/>
    </row>
    <row r="17" spans="1:9" ht="18" customHeight="1" x14ac:dyDescent="0.15">
      <c r="B17" s="55"/>
      <c r="C17" s="55"/>
      <c r="D17" s="55"/>
      <c r="E17" s="55"/>
      <c r="F17" s="55"/>
      <c r="G17" s="55"/>
      <c r="H17" s="55"/>
      <c r="I17" s="55"/>
    </row>
    <row r="18" spans="1:9" ht="18.75" customHeight="1" x14ac:dyDescent="0.15">
      <c r="A18" s="56" t="s">
        <v>5</v>
      </c>
      <c r="B18" s="56" t="s">
        <v>41</v>
      </c>
      <c r="I18" s="55"/>
    </row>
    <row r="19" spans="1:9" ht="18.75" customHeight="1" x14ac:dyDescent="0.15">
      <c r="A19" s="56"/>
      <c r="B19" s="196" t="s">
        <v>181</v>
      </c>
      <c r="C19" s="197"/>
      <c r="D19" s="197"/>
      <c r="E19" s="197"/>
      <c r="F19" s="197"/>
      <c r="G19" s="197"/>
      <c r="H19" s="197"/>
      <c r="I19" s="198"/>
    </row>
    <row r="20" spans="1:9" ht="7.5" customHeight="1" x14ac:dyDescent="0.15">
      <c r="B20" s="55"/>
      <c r="C20" s="55"/>
      <c r="D20" s="55"/>
      <c r="E20" s="55"/>
      <c r="F20" s="55"/>
      <c r="G20" s="55"/>
      <c r="H20" s="55"/>
      <c r="I20" s="55"/>
    </row>
    <row r="21" spans="1:9" ht="18.75" customHeight="1" x14ac:dyDescent="0.15">
      <c r="A21" s="56" t="s">
        <v>8</v>
      </c>
      <c r="B21" s="56" t="s">
        <v>25</v>
      </c>
    </row>
    <row r="22" spans="1:9" ht="18.75" customHeight="1" x14ac:dyDescent="0.15">
      <c r="A22" s="51"/>
      <c r="B22" s="199" t="s">
        <v>198</v>
      </c>
      <c r="C22" s="200"/>
      <c r="D22" s="200"/>
      <c r="E22" s="200"/>
      <c r="F22" s="200"/>
      <c r="G22" s="200"/>
      <c r="H22" s="200"/>
      <c r="I22" s="201"/>
    </row>
    <row r="23" spans="1:9" ht="18.75" customHeight="1" x14ac:dyDescent="0.15">
      <c r="A23" s="51"/>
      <c r="B23" s="202"/>
      <c r="C23" s="203"/>
      <c r="D23" s="203"/>
      <c r="E23" s="203"/>
      <c r="F23" s="203"/>
      <c r="G23" s="203"/>
      <c r="H23" s="203"/>
      <c r="I23" s="204"/>
    </row>
    <row r="24" spans="1:9" ht="18.75" customHeight="1" x14ac:dyDescent="0.15">
      <c r="A24" s="51"/>
      <c r="B24" s="202"/>
      <c r="C24" s="203"/>
      <c r="D24" s="203"/>
      <c r="E24" s="203"/>
      <c r="F24" s="203"/>
      <c r="G24" s="203"/>
      <c r="H24" s="203"/>
      <c r="I24" s="204"/>
    </row>
    <row r="25" spans="1:9" ht="18.75" customHeight="1" x14ac:dyDescent="0.15">
      <c r="A25" s="51"/>
      <c r="B25" s="202"/>
      <c r="C25" s="203"/>
      <c r="D25" s="203"/>
      <c r="E25" s="203"/>
      <c r="F25" s="203"/>
      <c r="G25" s="203"/>
      <c r="H25" s="203"/>
      <c r="I25" s="204"/>
    </row>
    <row r="26" spans="1:9" ht="18.75" customHeight="1" x14ac:dyDescent="0.15">
      <c r="A26" s="51"/>
      <c r="B26" s="202"/>
      <c r="C26" s="203"/>
      <c r="D26" s="203"/>
      <c r="E26" s="203"/>
      <c r="F26" s="203"/>
      <c r="G26" s="203"/>
      <c r="H26" s="203"/>
      <c r="I26" s="204"/>
    </row>
    <row r="27" spans="1:9" ht="18.75" customHeight="1" x14ac:dyDescent="0.15">
      <c r="A27" s="51"/>
      <c r="B27" s="202"/>
      <c r="C27" s="203"/>
      <c r="D27" s="203"/>
      <c r="E27" s="203"/>
      <c r="F27" s="203"/>
      <c r="G27" s="203"/>
      <c r="H27" s="203"/>
      <c r="I27" s="204"/>
    </row>
    <row r="28" spans="1:9" ht="18.75" customHeight="1" x14ac:dyDescent="0.15">
      <c r="A28" s="51"/>
      <c r="B28" s="202"/>
      <c r="C28" s="203"/>
      <c r="D28" s="203"/>
      <c r="E28" s="203"/>
      <c r="F28" s="203"/>
      <c r="G28" s="203"/>
      <c r="H28" s="203"/>
      <c r="I28" s="204"/>
    </row>
    <row r="29" spans="1:9" ht="18.75" customHeight="1" x14ac:dyDescent="0.15">
      <c r="A29" s="51"/>
      <c r="B29" s="202"/>
      <c r="C29" s="203"/>
      <c r="D29" s="203"/>
      <c r="E29" s="203"/>
      <c r="F29" s="203"/>
      <c r="G29" s="203"/>
      <c r="H29" s="203"/>
      <c r="I29" s="204"/>
    </row>
    <row r="30" spans="1:9" ht="18.75" customHeight="1" x14ac:dyDescent="0.15">
      <c r="A30" s="51"/>
      <c r="B30" s="205"/>
      <c r="C30" s="206"/>
      <c r="D30" s="206"/>
      <c r="E30" s="206"/>
      <c r="F30" s="206"/>
      <c r="G30" s="206"/>
      <c r="H30" s="206"/>
      <c r="I30" s="204"/>
    </row>
    <row r="31" spans="1:9" ht="18.75" customHeight="1" x14ac:dyDescent="0.15">
      <c r="A31" s="51"/>
      <c r="B31" s="205"/>
      <c r="C31" s="206"/>
      <c r="D31" s="206"/>
      <c r="E31" s="206"/>
      <c r="F31" s="206"/>
      <c r="G31" s="206"/>
      <c r="H31" s="206"/>
      <c r="I31" s="204"/>
    </row>
    <row r="32" spans="1:9" ht="18.75" customHeight="1" x14ac:dyDescent="0.15">
      <c r="A32" s="51"/>
      <c r="B32" s="207"/>
      <c r="C32" s="208"/>
      <c r="D32" s="208"/>
      <c r="E32" s="208"/>
      <c r="F32" s="208"/>
      <c r="G32" s="208"/>
      <c r="H32" s="208"/>
      <c r="I32" s="209"/>
    </row>
    <row r="33" spans="1:9" ht="7.5" customHeight="1" x14ac:dyDescent="0.15">
      <c r="A33" s="51"/>
      <c r="B33" s="51"/>
      <c r="C33" s="51"/>
      <c r="D33" s="51"/>
      <c r="E33" s="51"/>
      <c r="F33" s="51"/>
      <c r="G33" s="51"/>
      <c r="H33" s="51"/>
      <c r="I33" s="51"/>
    </row>
    <row r="34" spans="1:9" ht="18.75" customHeight="1" x14ac:dyDescent="0.15">
      <c r="A34" s="11" t="s">
        <v>6</v>
      </c>
      <c r="B34" s="11" t="s">
        <v>9</v>
      </c>
      <c r="C34" s="7"/>
      <c r="D34" s="11"/>
      <c r="E34" s="11"/>
      <c r="F34" s="11"/>
      <c r="G34" s="11"/>
      <c r="H34" s="11"/>
      <c r="I34" s="11"/>
    </row>
    <row r="35" spans="1:9" ht="18.75" customHeight="1" x14ac:dyDescent="0.15">
      <c r="A35" s="51"/>
      <c r="B35" s="199" t="s">
        <v>199</v>
      </c>
      <c r="C35" s="200"/>
      <c r="D35" s="200"/>
      <c r="E35" s="200"/>
      <c r="F35" s="200"/>
      <c r="G35" s="200"/>
      <c r="H35" s="200"/>
      <c r="I35" s="201"/>
    </row>
    <row r="36" spans="1:9" ht="18.75" customHeight="1" x14ac:dyDescent="0.15">
      <c r="A36" s="51"/>
      <c r="B36" s="205"/>
      <c r="C36" s="206"/>
      <c r="D36" s="206"/>
      <c r="E36" s="206"/>
      <c r="F36" s="206"/>
      <c r="G36" s="206"/>
      <c r="H36" s="206"/>
      <c r="I36" s="204"/>
    </row>
    <row r="37" spans="1:9" ht="18.75" customHeight="1" x14ac:dyDescent="0.15">
      <c r="A37" s="51"/>
      <c r="B37" s="205"/>
      <c r="C37" s="206"/>
      <c r="D37" s="206"/>
      <c r="E37" s="206"/>
      <c r="F37" s="206"/>
      <c r="G37" s="206"/>
      <c r="H37" s="206"/>
      <c r="I37" s="204"/>
    </row>
    <row r="38" spans="1:9" ht="18.75" customHeight="1" x14ac:dyDescent="0.15">
      <c r="A38" s="51"/>
      <c r="B38" s="205"/>
      <c r="C38" s="206"/>
      <c r="D38" s="206"/>
      <c r="E38" s="206"/>
      <c r="F38" s="206"/>
      <c r="G38" s="206"/>
      <c r="H38" s="206"/>
      <c r="I38" s="204"/>
    </row>
    <row r="39" spans="1:9" ht="18.75" customHeight="1" x14ac:dyDescent="0.15">
      <c r="A39" s="51"/>
      <c r="B39" s="205"/>
      <c r="C39" s="206"/>
      <c r="D39" s="206"/>
      <c r="E39" s="206"/>
      <c r="F39" s="206"/>
      <c r="G39" s="206"/>
      <c r="H39" s="206"/>
      <c r="I39" s="204"/>
    </row>
    <row r="40" spans="1:9" ht="18.75" customHeight="1" x14ac:dyDescent="0.15">
      <c r="A40" s="51"/>
      <c r="B40" s="205"/>
      <c r="C40" s="206"/>
      <c r="D40" s="206"/>
      <c r="E40" s="206"/>
      <c r="F40" s="206"/>
      <c r="G40" s="206"/>
      <c r="H40" s="206"/>
      <c r="I40" s="204"/>
    </row>
    <row r="41" spans="1:9" ht="18.75" customHeight="1" x14ac:dyDescent="0.15">
      <c r="A41" s="51"/>
      <c r="B41" s="205"/>
      <c r="C41" s="206"/>
      <c r="D41" s="206"/>
      <c r="E41" s="206"/>
      <c r="F41" s="206"/>
      <c r="G41" s="206"/>
      <c r="H41" s="206"/>
      <c r="I41" s="204"/>
    </row>
    <row r="42" spans="1:9" ht="18.75" customHeight="1" x14ac:dyDescent="0.15">
      <c r="A42" s="51"/>
      <c r="B42" s="205"/>
      <c r="C42" s="206"/>
      <c r="D42" s="206"/>
      <c r="E42" s="206"/>
      <c r="F42" s="206"/>
      <c r="G42" s="206"/>
      <c r="H42" s="206"/>
      <c r="I42" s="204"/>
    </row>
    <row r="43" spans="1:9" ht="18.75" customHeight="1" x14ac:dyDescent="0.15">
      <c r="A43" s="51"/>
      <c r="B43" s="205"/>
      <c r="C43" s="206"/>
      <c r="D43" s="206"/>
      <c r="E43" s="206"/>
      <c r="F43" s="206"/>
      <c r="G43" s="206"/>
      <c r="H43" s="206"/>
      <c r="I43" s="204"/>
    </row>
    <row r="44" spans="1:9" ht="18.75" customHeight="1" x14ac:dyDescent="0.15">
      <c r="A44" s="51"/>
      <c r="B44" s="205"/>
      <c r="C44" s="206"/>
      <c r="D44" s="206"/>
      <c r="E44" s="206"/>
      <c r="F44" s="206"/>
      <c r="G44" s="206"/>
      <c r="H44" s="206"/>
      <c r="I44" s="204"/>
    </row>
    <row r="45" spans="1:9" ht="18.75" customHeight="1" x14ac:dyDescent="0.15">
      <c r="A45" s="51"/>
      <c r="B45" s="205"/>
      <c r="C45" s="206"/>
      <c r="D45" s="206"/>
      <c r="E45" s="206"/>
      <c r="F45" s="206"/>
      <c r="G45" s="206"/>
      <c r="H45" s="206"/>
      <c r="I45" s="204"/>
    </row>
    <row r="46" spans="1:9" ht="18.75" customHeight="1" x14ac:dyDescent="0.15">
      <c r="A46" s="51"/>
      <c r="B46" s="207"/>
      <c r="C46" s="208"/>
      <c r="D46" s="208"/>
      <c r="E46" s="208"/>
      <c r="F46" s="208"/>
      <c r="G46" s="208"/>
      <c r="H46" s="208"/>
      <c r="I46" s="209"/>
    </row>
    <row r="47" spans="1:9" ht="7.5" customHeight="1" x14ac:dyDescent="0.15">
      <c r="A47" s="2"/>
      <c r="B47" s="2"/>
      <c r="C47" s="2"/>
      <c r="D47" s="2"/>
      <c r="E47" s="2"/>
      <c r="F47" s="2"/>
      <c r="G47" s="2"/>
      <c r="H47" s="2"/>
      <c r="I47" s="2"/>
    </row>
    <row r="48" spans="1:9" ht="18.75" customHeight="1" x14ac:dyDescent="0.15">
      <c r="A48" s="56" t="s">
        <v>31</v>
      </c>
      <c r="B48" s="56" t="s">
        <v>111</v>
      </c>
    </row>
    <row r="49" spans="1:15" s="55" customFormat="1" ht="18.75" customHeight="1" x14ac:dyDescent="0.15">
      <c r="B49" s="18" t="s">
        <v>128</v>
      </c>
      <c r="C49" s="185">
        <f>'様式２ 履修者等数の実績'!S33</f>
        <v>9.9596774193548385E-2</v>
      </c>
      <c r="D49" s="185"/>
      <c r="E49" s="18" t="s">
        <v>64</v>
      </c>
      <c r="F49" s="185">
        <v>0.18</v>
      </c>
      <c r="G49" s="185"/>
      <c r="H49" s="18" t="s">
        <v>65</v>
      </c>
      <c r="I49" s="50">
        <v>0.26</v>
      </c>
      <c r="J49" s="56"/>
      <c r="M49" s="56"/>
      <c r="N49" s="19"/>
    </row>
    <row r="50" spans="1:15" s="55" customFormat="1" ht="18.75" customHeight="1" x14ac:dyDescent="0.15">
      <c r="B50" s="20" t="s">
        <v>85</v>
      </c>
      <c r="C50" s="168">
        <v>0.34</v>
      </c>
      <c r="D50" s="168"/>
      <c r="E50" s="20" t="s">
        <v>129</v>
      </c>
      <c r="F50" s="168">
        <v>0.4</v>
      </c>
      <c r="G50" s="168"/>
      <c r="H50" s="20" t="s">
        <v>66</v>
      </c>
      <c r="I50" s="21">
        <f>'様式２ 履修者等数の実績'!E33</f>
        <v>2480</v>
      </c>
      <c r="J50" s="56"/>
      <c r="M50" s="56"/>
      <c r="N50" s="19"/>
    </row>
    <row r="51" spans="1:15" ht="18.75" customHeight="1" x14ac:dyDescent="0.15">
      <c r="A51" s="56"/>
      <c r="B51" s="217" t="s">
        <v>67</v>
      </c>
      <c r="C51" s="218"/>
      <c r="D51" s="218"/>
      <c r="E51" s="218"/>
      <c r="F51" s="218"/>
      <c r="G51" s="218"/>
      <c r="H51" s="218"/>
      <c r="I51" s="219"/>
      <c r="N51" s="19"/>
      <c r="O51" s="55"/>
    </row>
    <row r="52" spans="1:15" ht="18.75" customHeight="1" x14ac:dyDescent="0.15">
      <c r="A52" s="56"/>
      <c r="B52" s="186" t="s">
        <v>202</v>
      </c>
      <c r="C52" s="187"/>
      <c r="D52" s="187"/>
      <c r="E52" s="187"/>
      <c r="F52" s="187"/>
      <c r="G52" s="187"/>
      <c r="H52" s="187"/>
      <c r="I52" s="188"/>
      <c r="N52" s="19"/>
      <c r="O52" s="55"/>
    </row>
    <row r="53" spans="1:15" ht="18.75" customHeight="1" x14ac:dyDescent="0.15">
      <c r="A53" s="56"/>
      <c r="B53" s="189"/>
      <c r="C53" s="190"/>
      <c r="D53" s="190"/>
      <c r="E53" s="190"/>
      <c r="F53" s="190"/>
      <c r="G53" s="190"/>
      <c r="H53" s="190"/>
      <c r="I53" s="191"/>
      <c r="N53" s="19"/>
      <c r="O53" s="55"/>
    </row>
    <row r="54" spans="1:15" ht="18.75" customHeight="1" x14ac:dyDescent="0.15">
      <c r="A54" s="56"/>
      <c r="B54" s="189"/>
      <c r="C54" s="190"/>
      <c r="D54" s="190"/>
      <c r="E54" s="190"/>
      <c r="F54" s="190"/>
      <c r="G54" s="190"/>
      <c r="H54" s="190"/>
      <c r="I54" s="191"/>
    </row>
    <row r="55" spans="1:15" ht="18.75" customHeight="1" x14ac:dyDescent="0.15">
      <c r="A55" s="56"/>
      <c r="B55" s="189"/>
      <c r="C55" s="190"/>
      <c r="D55" s="190"/>
      <c r="E55" s="190"/>
      <c r="F55" s="190"/>
      <c r="G55" s="190"/>
      <c r="H55" s="190"/>
      <c r="I55" s="191"/>
    </row>
    <row r="56" spans="1:15" ht="18.75" customHeight="1" x14ac:dyDescent="0.15">
      <c r="A56" s="56"/>
      <c r="B56" s="189"/>
      <c r="C56" s="190"/>
      <c r="D56" s="190"/>
      <c r="E56" s="190"/>
      <c r="F56" s="190"/>
      <c r="G56" s="190"/>
      <c r="H56" s="190"/>
      <c r="I56" s="191"/>
    </row>
    <row r="57" spans="1:15" ht="18.75" customHeight="1" x14ac:dyDescent="0.15">
      <c r="A57" s="56"/>
      <c r="B57" s="189"/>
      <c r="C57" s="190"/>
      <c r="D57" s="190"/>
      <c r="E57" s="190"/>
      <c r="F57" s="190"/>
      <c r="G57" s="190"/>
      <c r="H57" s="190"/>
      <c r="I57" s="191"/>
    </row>
    <row r="58" spans="1:15" ht="18.75" customHeight="1" x14ac:dyDescent="0.15">
      <c r="A58" s="56"/>
      <c r="B58" s="189"/>
      <c r="C58" s="190"/>
      <c r="D58" s="190"/>
      <c r="E58" s="190"/>
      <c r="F58" s="190"/>
      <c r="G58" s="190"/>
      <c r="H58" s="190"/>
      <c r="I58" s="191"/>
    </row>
    <row r="59" spans="1:15" ht="18.75" customHeight="1" x14ac:dyDescent="0.15">
      <c r="A59" s="56"/>
      <c r="B59" s="189"/>
      <c r="C59" s="190"/>
      <c r="D59" s="190"/>
      <c r="E59" s="190"/>
      <c r="F59" s="190"/>
      <c r="G59" s="190"/>
      <c r="H59" s="190"/>
      <c r="I59" s="191"/>
    </row>
    <row r="60" spans="1:15" ht="18.75" customHeight="1" x14ac:dyDescent="0.15">
      <c r="A60" s="56"/>
      <c r="B60" s="189"/>
      <c r="C60" s="190"/>
      <c r="D60" s="190"/>
      <c r="E60" s="190"/>
      <c r="F60" s="190"/>
      <c r="G60" s="190"/>
      <c r="H60" s="190"/>
      <c r="I60" s="191"/>
    </row>
    <row r="61" spans="1:15" ht="18.75" customHeight="1" x14ac:dyDescent="0.15">
      <c r="A61" s="56"/>
      <c r="B61" s="189"/>
      <c r="C61" s="190"/>
      <c r="D61" s="190"/>
      <c r="E61" s="190"/>
      <c r="F61" s="190"/>
      <c r="G61" s="190"/>
      <c r="H61" s="190"/>
      <c r="I61" s="191"/>
    </row>
    <row r="62" spans="1:15" ht="18.75" customHeight="1" x14ac:dyDescent="0.15">
      <c r="A62" s="56"/>
      <c r="B62" s="189"/>
      <c r="C62" s="190"/>
      <c r="D62" s="190"/>
      <c r="E62" s="190"/>
      <c r="F62" s="190"/>
      <c r="G62" s="190"/>
      <c r="H62" s="190"/>
      <c r="I62" s="191"/>
    </row>
    <row r="63" spans="1:15" ht="30" customHeight="1" x14ac:dyDescent="0.15">
      <c r="A63" s="56"/>
      <c r="B63" s="192"/>
      <c r="C63" s="193"/>
      <c r="D63" s="193"/>
      <c r="E63" s="193"/>
      <c r="F63" s="193"/>
      <c r="G63" s="193"/>
      <c r="H63" s="193"/>
      <c r="I63" s="194"/>
    </row>
    <row r="64" spans="1:15" ht="7.5" customHeight="1" x14ac:dyDescent="0.15">
      <c r="A64" s="51"/>
      <c r="B64" s="51"/>
      <c r="C64" s="51"/>
      <c r="D64" s="51"/>
      <c r="E64" s="51"/>
      <c r="F64" s="51"/>
      <c r="G64" s="51"/>
      <c r="H64" s="51"/>
      <c r="I64" s="51"/>
    </row>
    <row r="65" spans="1:9" ht="18.75" customHeight="1" x14ac:dyDescent="0.15">
      <c r="A65" s="11" t="s">
        <v>34</v>
      </c>
      <c r="B65" s="56" t="s">
        <v>37</v>
      </c>
      <c r="I65" s="11"/>
    </row>
    <row r="66" spans="1:9" ht="18.75" customHeight="1" x14ac:dyDescent="0.15">
      <c r="A66" s="2"/>
      <c r="B66" s="169" t="s">
        <v>200</v>
      </c>
      <c r="C66" s="170"/>
      <c r="D66" s="170"/>
      <c r="E66" s="170"/>
      <c r="F66" s="170"/>
      <c r="G66" s="170"/>
      <c r="H66" s="170"/>
      <c r="I66" s="171"/>
    </row>
    <row r="67" spans="1:9" ht="18.75" customHeight="1" x14ac:dyDescent="0.15">
      <c r="A67" s="2"/>
      <c r="B67" s="172"/>
      <c r="C67" s="173"/>
      <c r="D67" s="173"/>
      <c r="E67" s="173"/>
      <c r="F67" s="173"/>
      <c r="G67" s="173"/>
      <c r="H67" s="173"/>
      <c r="I67" s="174"/>
    </row>
    <row r="68" spans="1:9" ht="18.75" customHeight="1" x14ac:dyDescent="0.15">
      <c r="A68" s="2"/>
      <c r="B68" s="172"/>
      <c r="C68" s="173"/>
      <c r="D68" s="173"/>
      <c r="E68" s="173"/>
      <c r="F68" s="173"/>
      <c r="G68" s="173"/>
      <c r="H68" s="173"/>
      <c r="I68" s="174"/>
    </row>
    <row r="69" spans="1:9" ht="18.75" customHeight="1" x14ac:dyDescent="0.15">
      <c r="A69" s="2"/>
      <c r="B69" s="172"/>
      <c r="C69" s="173"/>
      <c r="D69" s="173"/>
      <c r="E69" s="173"/>
      <c r="F69" s="173"/>
      <c r="G69" s="173"/>
      <c r="H69" s="173"/>
      <c r="I69" s="174"/>
    </row>
    <row r="70" spans="1:9" ht="18.75" customHeight="1" x14ac:dyDescent="0.15">
      <c r="A70" s="2"/>
      <c r="B70" s="172"/>
      <c r="C70" s="173"/>
      <c r="D70" s="173"/>
      <c r="E70" s="173"/>
      <c r="F70" s="173"/>
      <c r="G70" s="173"/>
      <c r="H70" s="173"/>
      <c r="I70" s="174"/>
    </row>
    <row r="71" spans="1:9" ht="18.75" customHeight="1" x14ac:dyDescent="0.15">
      <c r="A71" s="2"/>
      <c r="B71" s="172"/>
      <c r="C71" s="173"/>
      <c r="D71" s="173"/>
      <c r="E71" s="173"/>
      <c r="F71" s="173"/>
      <c r="G71" s="173"/>
      <c r="H71" s="173"/>
      <c r="I71" s="174"/>
    </row>
    <row r="72" spans="1:9" ht="18.75" customHeight="1" x14ac:dyDescent="0.15">
      <c r="A72" s="2"/>
      <c r="B72" s="172"/>
      <c r="C72" s="173"/>
      <c r="D72" s="173"/>
      <c r="E72" s="173"/>
      <c r="F72" s="173"/>
      <c r="G72" s="173"/>
      <c r="H72" s="173"/>
      <c r="I72" s="174"/>
    </row>
    <row r="73" spans="1:9" ht="18.75" customHeight="1" x14ac:dyDescent="0.15">
      <c r="A73" s="2"/>
      <c r="B73" s="172"/>
      <c r="C73" s="173"/>
      <c r="D73" s="173"/>
      <c r="E73" s="173"/>
      <c r="F73" s="173"/>
      <c r="G73" s="173"/>
      <c r="H73" s="173"/>
      <c r="I73" s="174"/>
    </row>
    <row r="74" spans="1:9" ht="18.75" customHeight="1" x14ac:dyDescent="0.15">
      <c r="A74" s="2"/>
      <c r="B74" s="172"/>
      <c r="C74" s="173"/>
      <c r="D74" s="173"/>
      <c r="E74" s="173"/>
      <c r="F74" s="173"/>
      <c r="G74" s="173"/>
      <c r="H74" s="173"/>
      <c r="I74" s="174"/>
    </row>
    <row r="75" spans="1:9" ht="18.75" customHeight="1" x14ac:dyDescent="0.15">
      <c r="A75" s="2"/>
      <c r="B75" s="172"/>
      <c r="C75" s="173"/>
      <c r="D75" s="173"/>
      <c r="E75" s="173"/>
      <c r="F75" s="173"/>
      <c r="G75" s="173"/>
      <c r="H75" s="173"/>
      <c r="I75" s="174"/>
    </row>
    <row r="76" spans="1:9" ht="18.75" customHeight="1" x14ac:dyDescent="0.15">
      <c r="A76" s="2"/>
      <c r="B76" s="172"/>
      <c r="C76" s="173"/>
      <c r="D76" s="173"/>
      <c r="E76" s="173"/>
      <c r="F76" s="173"/>
      <c r="G76" s="173"/>
      <c r="H76" s="173"/>
      <c r="I76" s="174"/>
    </row>
    <row r="77" spans="1:9" ht="18.75" customHeight="1" x14ac:dyDescent="0.15">
      <c r="A77" s="2"/>
      <c r="B77" s="175"/>
      <c r="C77" s="176"/>
      <c r="D77" s="176"/>
      <c r="E77" s="176"/>
      <c r="F77" s="176"/>
      <c r="G77" s="176"/>
      <c r="H77" s="176"/>
      <c r="I77" s="177"/>
    </row>
    <row r="78" spans="1:9" ht="7.5" customHeight="1" x14ac:dyDescent="0.15">
      <c r="A78" s="2"/>
      <c r="B78" s="2"/>
      <c r="C78" s="2"/>
      <c r="D78" s="2"/>
      <c r="E78" s="2"/>
      <c r="F78" s="2"/>
      <c r="G78" s="2"/>
      <c r="H78" s="2"/>
      <c r="I78" s="2"/>
    </row>
    <row r="79" spans="1:9" ht="18.75" customHeight="1" x14ac:dyDescent="0.15">
      <c r="A79" s="56" t="s">
        <v>11</v>
      </c>
      <c r="B79" s="56" t="s">
        <v>40</v>
      </c>
    </row>
    <row r="80" spans="1:9" ht="18.75" customHeight="1" x14ac:dyDescent="0.15">
      <c r="A80" s="56"/>
      <c r="B80" s="169" t="s">
        <v>182</v>
      </c>
      <c r="C80" s="170"/>
      <c r="D80" s="170"/>
      <c r="E80" s="170"/>
      <c r="F80" s="170"/>
      <c r="G80" s="170"/>
      <c r="H80" s="170"/>
      <c r="I80" s="178"/>
    </row>
    <row r="81" spans="1:9" ht="18.75" customHeight="1" x14ac:dyDescent="0.15">
      <c r="A81" s="56"/>
      <c r="B81" s="179"/>
      <c r="C81" s="180"/>
      <c r="D81" s="180"/>
      <c r="E81" s="180"/>
      <c r="F81" s="180"/>
      <c r="G81" s="180"/>
      <c r="H81" s="180"/>
      <c r="I81" s="181"/>
    </row>
    <row r="82" spans="1:9" ht="18.75" customHeight="1" x14ac:dyDescent="0.15">
      <c r="A82" s="56"/>
      <c r="B82" s="179"/>
      <c r="C82" s="180"/>
      <c r="D82" s="180"/>
      <c r="E82" s="180"/>
      <c r="F82" s="180"/>
      <c r="G82" s="180"/>
      <c r="H82" s="180"/>
      <c r="I82" s="181"/>
    </row>
    <row r="83" spans="1:9" ht="18.75" customHeight="1" x14ac:dyDescent="0.15">
      <c r="A83" s="56"/>
      <c r="B83" s="179"/>
      <c r="C83" s="180"/>
      <c r="D83" s="180"/>
      <c r="E83" s="180"/>
      <c r="F83" s="180"/>
      <c r="G83" s="180"/>
      <c r="H83" s="180"/>
      <c r="I83" s="181"/>
    </row>
    <row r="84" spans="1:9" ht="18.75" customHeight="1" x14ac:dyDescent="0.15">
      <c r="A84" s="56"/>
      <c r="B84" s="179"/>
      <c r="C84" s="180"/>
      <c r="D84" s="180"/>
      <c r="E84" s="180"/>
      <c r="F84" s="180"/>
      <c r="G84" s="180"/>
      <c r="H84" s="180"/>
      <c r="I84" s="181"/>
    </row>
    <row r="85" spans="1:9" ht="18.75" customHeight="1" x14ac:dyDescent="0.15">
      <c r="A85" s="56"/>
      <c r="B85" s="179"/>
      <c r="C85" s="180"/>
      <c r="D85" s="180"/>
      <c r="E85" s="180"/>
      <c r="F85" s="180"/>
      <c r="G85" s="180"/>
      <c r="H85" s="180"/>
      <c r="I85" s="181"/>
    </row>
    <row r="86" spans="1:9" ht="18.75" customHeight="1" x14ac:dyDescent="0.15">
      <c r="A86" s="56"/>
      <c r="B86" s="179"/>
      <c r="C86" s="180"/>
      <c r="D86" s="180"/>
      <c r="E86" s="180"/>
      <c r="F86" s="180"/>
      <c r="G86" s="180"/>
      <c r="H86" s="180"/>
      <c r="I86" s="181"/>
    </row>
    <row r="87" spans="1:9" ht="18.75" customHeight="1" x14ac:dyDescent="0.15">
      <c r="A87" s="56"/>
      <c r="B87" s="179"/>
      <c r="C87" s="180"/>
      <c r="D87" s="180"/>
      <c r="E87" s="180"/>
      <c r="F87" s="180"/>
      <c r="G87" s="180"/>
      <c r="H87" s="180"/>
      <c r="I87" s="181"/>
    </row>
    <row r="88" spans="1:9" ht="18.75" customHeight="1" x14ac:dyDescent="0.15">
      <c r="A88" s="56"/>
      <c r="B88" s="179"/>
      <c r="C88" s="180"/>
      <c r="D88" s="180"/>
      <c r="E88" s="180"/>
      <c r="F88" s="180"/>
      <c r="G88" s="180"/>
      <c r="H88" s="180"/>
      <c r="I88" s="181"/>
    </row>
    <row r="89" spans="1:9" ht="18.75" customHeight="1" x14ac:dyDescent="0.15">
      <c r="A89" s="56"/>
      <c r="B89" s="179"/>
      <c r="C89" s="180"/>
      <c r="D89" s="180"/>
      <c r="E89" s="180"/>
      <c r="F89" s="180"/>
      <c r="G89" s="180"/>
      <c r="H89" s="180"/>
      <c r="I89" s="181"/>
    </row>
    <row r="90" spans="1:9" ht="18.75" customHeight="1" x14ac:dyDescent="0.15">
      <c r="A90" s="2"/>
      <c r="B90" s="179"/>
      <c r="C90" s="180"/>
      <c r="D90" s="180"/>
      <c r="E90" s="180"/>
      <c r="F90" s="180"/>
      <c r="G90" s="180"/>
      <c r="H90" s="180"/>
      <c r="I90" s="181"/>
    </row>
    <row r="91" spans="1:9" ht="18.75" customHeight="1" x14ac:dyDescent="0.15">
      <c r="A91" s="2"/>
      <c r="B91" s="182"/>
      <c r="C91" s="183"/>
      <c r="D91" s="183"/>
      <c r="E91" s="183"/>
      <c r="F91" s="183"/>
      <c r="G91" s="183"/>
      <c r="H91" s="183"/>
      <c r="I91" s="184"/>
    </row>
    <row r="92" spans="1:9" ht="7.5" customHeight="1" x14ac:dyDescent="0.15">
      <c r="A92" s="2"/>
      <c r="B92" s="2"/>
      <c r="C92" s="2"/>
      <c r="D92" s="2"/>
      <c r="E92" s="2"/>
      <c r="F92" s="2"/>
      <c r="G92" s="2"/>
      <c r="H92" s="2"/>
      <c r="I92" s="2"/>
    </row>
    <row r="93" spans="1:9" ht="18.75" customHeight="1" x14ac:dyDescent="0.15">
      <c r="A93" s="56" t="s">
        <v>43</v>
      </c>
      <c r="B93" s="56" t="s">
        <v>13</v>
      </c>
    </row>
    <row r="94" spans="1:9" ht="18.75" customHeight="1" x14ac:dyDescent="0.15">
      <c r="A94" s="56"/>
      <c r="B94" s="199" t="s">
        <v>183</v>
      </c>
      <c r="C94" s="200"/>
      <c r="D94" s="200"/>
      <c r="E94" s="200"/>
      <c r="F94" s="200"/>
      <c r="G94" s="200"/>
      <c r="H94" s="200"/>
      <c r="I94" s="201"/>
    </row>
    <row r="95" spans="1:9" ht="18.75" customHeight="1" x14ac:dyDescent="0.15">
      <c r="A95" s="56"/>
      <c r="B95" s="205"/>
      <c r="C95" s="206"/>
      <c r="D95" s="206"/>
      <c r="E95" s="206"/>
      <c r="F95" s="206"/>
      <c r="G95" s="206"/>
      <c r="H95" s="206"/>
      <c r="I95" s="204"/>
    </row>
    <row r="96" spans="1:9" ht="18.75" customHeight="1" x14ac:dyDescent="0.15">
      <c r="A96" s="56"/>
      <c r="B96" s="205"/>
      <c r="C96" s="206"/>
      <c r="D96" s="206"/>
      <c r="E96" s="206"/>
      <c r="F96" s="206"/>
      <c r="G96" s="206"/>
      <c r="H96" s="206"/>
      <c r="I96" s="204"/>
    </row>
    <row r="97" spans="1:9" ht="18.75" customHeight="1" x14ac:dyDescent="0.15">
      <c r="A97" s="56"/>
      <c r="B97" s="205"/>
      <c r="C97" s="206"/>
      <c r="D97" s="206"/>
      <c r="E97" s="206"/>
      <c r="F97" s="206"/>
      <c r="G97" s="206"/>
      <c r="H97" s="206"/>
      <c r="I97" s="204"/>
    </row>
    <row r="98" spans="1:9" ht="18.75" customHeight="1" x14ac:dyDescent="0.15">
      <c r="A98" s="56"/>
      <c r="B98" s="205"/>
      <c r="C98" s="206"/>
      <c r="D98" s="206"/>
      <c r="E98" s="206"/>
      <c r="F98" s="206"/>
      <c r="G98" s="206"/>
      <c r="H98" s="206"/>
      <c r="I98" s="204"/>
    </row>
    <row r="99" spans="1:9" ht="18.75" customHeight="1" x14ac:dyDescent="0.15">
      <c r="A99" s="56"/>
      <c r="B99" s="205"/>
      <c r="C99" s="206"/>
      <c r="D99" s="206"/>
      <c r="E99" s="206"/>
      <c r="F99" s="206"/>
      <c r="G99" s="206"/>
      <c r="H99" s="206"/>
      <c r="I99" s="204"/>
    </row>
    <row r="100" spans="1:9" ht="18.75" customHeight="1" x14ac:dyDescent="0.15">
      <c r="A100" s="56"/>
      <c r="B100" s="205"/>
      <c r="C100" s="206"/>
      <c r="D100" s="206"/>
      <c r="E100" s="206"/>
      <c r="F100" s="206"/>
      <c r="G100" s="206"/>
      <c r="H100" s="206"/>
      <c r="I100" s="204"/>
    </row>
    <row r="101" spans="1:9" ht="18.75" customHeight="1" x14ac:dyDescent="0.15">
      <c r="A101" s="56"/>
      <c r="B101" s="205"/>
      <c r="C101" s="206"/>
      <c r="D101" s="206"/>
      <c r="E101" s="206"/>
      <c r="F101" s="206"/>
      <c r="G101" s="206"/>
      <c r="H101" s="206"/>
      <c r="I101" s="204"/>
    </row>
    <row r="102" spans="1:9" ht="18.75" customHeight="1" x14ac:dyDescent="0.15">
      <c r="A102" s="56"/>
      <c r="B102" s="205"/>
      <c r="C102" s="206"/>
      <c r="D102" s="206"/>
      <c r="E102" s="206"/>
      <c r="F102" s="206"/>
      <c r="G102" s="206"/>
      <c r="H102" s="206"/>
      <c r="I102" s="204"/>
    </row>
    <row r="103" spans="1:9" ht="18.75" customHeight="1" x14ac:dyDescent="0.15">
      <c r="A103" s="56"/>
      <c r="B103" s="205"/>
      <c r="C103" s="206"/>
      <c r="D103" s="206"/>
      <c r="E103" s="206"/>
      <c r="F103" s="206"/>
      <c r="G103" s="206"/>
      <c r="H103" s="206"/>
      <c r="I103" s="204"/>
    </row>
    <row r="104" spans="1:9" ht="18.75" customHeight="1" x14ac:dyDescent="0.15">
      <c r="A104" s="56"/>
      <c r="B104" s="205"/>
      <c r="C104" s="206"/>
      <c r="D104" s="206"/>
      <c r="E104" s="206"/>
      <c r="F104" s="206"/>
      <c r="G104" s="206"/>
      <c r="H104" s="206"/>
      <c r="I104" s="204"/>
    </row>
    <row r="105" spans="1:9" ht="18.75" customHeight="1" x14ac:dyDescent="0.15">
      <c r="A105" s="2"/>
      <c r="B105" s="207"/>
      <c r="C105" s="208"/>
      <c r="D105" s="208"/>
      <c r="E105" s="208"/>
      <c r="F105" s="208"/>
      <c r="G105" s="208"/>
      <c r="H105" s="208"/>
      <c r="I105" s="209"/>
    </row>
    <row r="106" spans="1:9" ht="7.5" customHeight="1" x14ac:dyDescent="0.15">
      <c r="A106" s="2"/>
      <c r="B106" s="2"/>
      <c r="C106" s="2"/>
      <c r="D106" s="2"/>
      <c r="E106" s="2"/>
      <c r="F106" s="2"/>
      <c r="G106" s="2"/>
      <c r="H106" s="2"/>
      <c r="I106" s="2"/>
    </row>
    <row r="107" spans="1:9" ht="18.75" customHeight="1" x14ac:dyDescent="0.15">
      <c r="A107" s="56" t="s">
        <v>30</v>
      </c>
      <c r="B107" s="216" t="s">
        <v>45</v>
      </c>
      <c r="C107" s="216"/>
      <c r="D107" s="216"/>
      <c r="E107" s="216"/>
      <c r="F107" s="216"/>
      <c r="G107" s="216"/>
      <c r="H107" s="216"/>
      <c r="I107" s="216"/>
    </row>
    <row r="108" spans="1:9" ht="18.75" customHeight="1" x14ac:dyDescent="0.15">
      <c r="A108" s="2"/>
      <c r="B108" s="199" t="s">
        <v>184</v>
      </c>
      <c r="C108" s="200"/>
      <c r="D108" s="200"/>
      <c r="E108" s="200"/>
      <c r="F108" s="200"/>
      <c r="G108" s="200"/>
      <c r="H108" s="200"/>
      <c r="I108" s="201"/>
    </row>
    <row r="109" spans="1:9" ht="18.75" customHeight="1" x14ac:dyDescent="0.15">
      <c r="A109" s="2"/>
      <c r="B109" s="205"/>
      <c r="C109" s="206"/>
      <c r="D109" s="206"/>
      <c r="E109" s="206"/>
      <c r="F109" s="206"/>
      <c r="G109" s="206"/>
      <c r="H109" s="206"/>
      <c r="I109" s="204"/>
    </row>
    <row r="110" spans="1:9" ht="18.75" customHeight="1" x14ac:dyDescent="0.15">
      <c r="A110" s="2"/>
      <c r="B110" s="205"/>
      <c r="C110" s="206"/>
      <c r="D110" s="206"/>
      <c r="E110" s="206"/>
      <c r="F110" s="206"/>
      <c r="G110" s="206"/>
      <c r="H110" s="206"/>
      <c r="I110" s="204"/>
    </row>
    <row r="111" spans="1:9" ht="18.75" customHeight="1" x14ac:dyDescent="0.15">
      <c r="A111" s="2"/>
      <c r="B111" s="205"/>
      <c r="C111" s="206"/>
      <c r="D111" s="206"/>
      <c r="E111" s="206"/>
      <c r="F111" s="206"/>
      <c r="G111" s="206"/>
      <c r="H111" s="206"/>
      <c r="I111" s="204"/>
    </row>
    <row r="112" spans="1:9" ht="18.75" customHeight="1" x14ac:dyDescent="0.15">
      <c r="A112" s="2"/>
      <c r="B112" s="205"/>
      <c r="C112" s="206"/>
      <c r="D112" s="206"/>
      <c r="E112" s="206"/>
      <c r="F112" s="206"/>
      <c r="G112" s="206"/>
      <c r="H112" s="206"/>
      <c r="I112" s="204"/>
    </row>
    <row r="113" spans="1:9" ht="18.75" customHeight="1" x14ac:dyDescent="0.15">
      <c r="A113" s="2"/>
      <c r="B113" s="205"/>
      <c r="C113" s="206"/>
      <c r="D113" s="206"/>
      <c r="E113" s="206"/>
      <c r="F113" s="206"/>
      <c r="G113" s="206"/>
      <c r="H113" s="206"/>
      <c r="I113" s="204"/>
    </row>
    <row r="114" spans="1:9" ht="18.75" customHeight="1" x14ac:dyDescent="0.15">
      <c r="A114" s="2"/>
      <c r="B114" s="205"/>
      <c r="C114" s="206"/>
      <c r="D114" s="206"/>
      <c r="E114" s="206"/>
      <c r="F114" s="206"/>
      <c r="G114" s="206"/>
      <c r="H114" s="206"/>
      <c r="I114" s="204"/>
    </row>
    <row r="115" spans="1:9" ht="18.75" customHeight="1" x14ac:dyDescent="0.15">
      <c r="A115" s="2"/>
      <c r="B115" s="205"/>
      <c r="C115" s="206"/>
      <c r="D115" s="206"/>
      <c r="E115" s="206"/>
      <c r="F115" s="206"/>
      <c r="G115" s="206"/>
      <c r="H115" s="206"/>
      <c r="I115" s="204"/>
    </row>
    <row r="116" spans="1:9" ht="18.75" customHeight="1" x14ac:dyDescent="0.15">
      <c r="A116" s="2"/>
      <c r="B116" s="205"/>
      <c r="C116" s="206"/>
      <c r="D116" s="206"/>
      <c r="E116" s="206"/>
      <c r="F116" s="206"/>
      <c r="G116" s="206"/>
      <c r="H116" s="206"/>
      <c r="I116" s="204"/>
    </row>
    <row r="117" spans="1:9" ht="18.75" customHeight="1" x14ac:dyDescent="0.15">
      <c r="A117" s="2"/>
      <c r="B117" s="205"/>
      <c r="C117" s="206"/>
      <c r="D117" s="206"/>
      <c r="E117" s="206"/>
      <c r="F117" s="206"/>
      <c r="G117" s="206"/>
      <c r="H117" s="206"/>
      <c r="I117" s="204"/>
    </row>
    <row r="118" spans="1:9" ht="18.75" customHeight="1" x14ac:dyDescent="0.15">
      <c r="A118" s="2"/>
      <c r="B118" s="205"/>
      <c r="C118" s="206"/>
      <c r="D118" s="206"/>
      <c r="E118" s="206"/>
      <c r="F118" s="206"/>
      <c r="G118" s="206"/>
      <c r="H118" s="206"/>
      <c r="I118" s="204"/>
    </row>
    <row r="119" spans="1:9" ht="18.75" customHeight="1" x14ac:dyDescent="0.15">
      <c r="A119" s="2"/>
      <c r="B119" s="207"/>
      <c r="C119" s="208"/>
      <c r="D119" s="208"/>
      <c r="E119" s="208"/>
      <c r="F119" s="208"/>
      <c r="G119" s="208"/>
      <c r="H119" s="208"/>
      <c r="I119" s="209"/>
    </row>
    <row r="120" spans="1:9" ht="7.5" customHeight="1" x14ac:dyDescent="0.15">
      <c r="A120" s="2"/>
      <c r="B120" s="22"/>
      <c r="C120" s="22"/>
      <c r="D120" s="22"/>
      <c r="E120" s="22"/>
      <c r="F120" s="22"/>
      <c r="G120" s="22"/>
      <c r="H120" s="22"/>
      <c r="I120" s="22"/>
    </row>
    <row r="121" spans="1:9" ht="18.75" customHeight="1" x14ac:dyDescent="0.15">
      <c r="A121" s="56"/>
      <c r="B121" s="195"/>
      <c r="C121" s="195"/>
      <c r="D121" s="195"/>
      <c r="E121" s="195"/>
      <c r="F121" s="195"/>
      <c r="G121" s="195"/>
      <c r="H121" s="195"/>
      <c r="I121" s="195"/>
    </row>
    <row r="122" spans="1:9" ht="18.75" customHeight="1" x14ac:dyDescent="0.15">
      <c r="A122" s="56"/>
      <c r="B122" s="195"/>
      <c r="C122" s="195"/>
      <c r="D122" s="195"/>
      <c r="E122" s="195"/>
      <c r="F122" s="195"/>
      <c r="G122" s="195"/>
      <c r="H122" s="195"/>
      <c r="I122" s="195"/>
    </row>
    <row r="123" spans="1:9" ht="18.75" customHeight="1" x14ac:dyDescent="0.15">
      <c r="A123" s="2"/>
      <c r="B123" s="53"/>
      <c r="C123" s="53"/>
      <c r="D123" s="53"/>
      <c r="E123" s="53"/>
      <c r="F123" s="53"/>
      <c r="G123" s="53"/>
      <c r="H123" s="53"/>
      <c r="I123" s="54"/>
    </row>
    <row r="124" spans="1:9" ht="18.75" customHeight="1" x14ac:dyDescent="0.15">
      <c r="A124" s="2"/>
      <c r="B124" s="54"/>
      <c r="C124" s="54"/>
      <c r="D124" s="54"/>
      <c r="E124" s="54"/>
      <c r="F124" s="54"/>
      <c r="G124" s="54"/>
      <c r="H124" s="54"/>
      <c r="I124" s="54"/>
    </row>
    <row r="125" spans="1:9" ht="18.75" customHeight="1" x14ac:dyDescent="0.15">
      <c r="A125" s="2"/>
      <c r="B125" s="54"/>
      <c r="C125" s="54"/>
      <c r="D125" s="54"/>
      <c r="E125" s="54"/>
      <c r="F125" s="54"/>
      <c r="G125" s="54"/>
      <c r="H125" s="54"/>
      <c r="I125" s="54"/>
    </row>
    <row r="126" spans="1:9" ht="18.75" customHeight="1" x14ac:dyDescent="0.15">
      <c r="A126" s="2"/>
      <c r="B126" s="54"/>
      <c r="C126" s="54"/>
      <c r="D126" s="54"/>
      <c r="E126" s="54"/>
      <c r="F126" s="54"/>
      <c r="G126" s="54"/>
      <c r="H126" s="54"/>
      <c r="I126" s="54"/>
    </row>
    <row r="127" spans="1:9" ht="18.75" customHeight="1" x14ac:dyDescent="0.15">
      <c r="A127" s="2"/>
      <c r="B127" s="54"/>
      <c r="C127" s="54"/>
      <c r="D127" s="54"/>
      <c r="E127" s="54"/>
      <c r="F127" s="54"/>
      <c r="G127" s="54"/>
      <c r="H127" s="54"/>
      <c r="I127" s="54"/>
    </row>
    <row r="128" spans="1:9" ht="18.75" customHeight="1" x14ac:dyDescent="0.15">
      <c r="A128" s="2"/>
      <c r="B128" s="54"/>
      <c r="C128" s="54"/>
      <c r="D128" s="54"/>
      <c r="E128" s="54"/>
      <c r="F128" s="54"/>
      <c r="G128" s="54"/>
      <c r="H128" s="54"/>
      <c r="I128" s="54"/>
    </row>
    <row r="129" spans="1:9" ht="18.75" customHeight="1" x14ac:dyDescent="0.15">
      <c r="A129" s="2"/>
      <c r="B129" s="54"/>
      <c r="C129" s="54"/>
      <c r="D129" s="54"/>
      <c r="E129" s="54"/>
      <c r="F129" s="54"/>
      <c r="G129" s="54"/>
      <c r="H129" s="54"/>
      <c r="I129" s="54"/>
    </row>
    <row r="130" spans="1:9" ht="18.75" customHeight="1" x14ac:dyDescent="0.15">
      <c r="A130" s="2"/>
      <c r="B130" s="54"/>
      <c r="C130" s="54"/>
      <c r="D130" s="54"/>
      <c r="E130" s="54"/>
      <c r="F130" s="54"/>
      <c r="G130" s="54"/>
      <c r="H130" s="54"/>
      <c r="I130" s="54"/>
    </row>
    <row r="131" spans="1:9" ht="18.75" customHeight="1" x14ac:dyDescent="0.15">
      <c r="A131" s="2"/>
      <c r="B131" s="54"/>
      <c r="C131" s="54"/>
      <c r="D131" s="54"/>
      <c r="E131" s="54"/>
      <c r="F131" s="54"/>
      <c r="G131" s="54"/>
      <c r="H131" s="54"/>
      <c r="I131" s="54"/>
    </row>
    <row r="132" spans="1:9" ht="18.75" customHeight="1" x14ac:dyDescent="0.15">
      <c r="A132" s="2"/>
      <c r="B132" s="54"/>
      <c r="C132" s="54"/>
      <c r="D132" s="54"/>
      <c r="E132" s="54"/>
      <c r="F132" s="54"/>
      <c r="G132" s="54"/>
      <c r="H132" s="54"/>
      <c r="I132" s="54"/>
    </row>
    <row r="133" spans="1:9" ht="14.25" x14ac:dyDescent="0.15">
      <c r="A133" s="2"/>
      <c r="B133" s="54"/>
      <c r="C133" s="54"/>
      <c r="D133" s="54"/>
      <c r="E133" s="54"/>
      <c r="F133" s="54"/>
      <c r="G133" s="54"/>
      <c r="H133" s="54"/>
      <c r="I133" s="54"/>
    </row>
    <row r="134" spans="1:9" ht="7.5" customHeight="1" x14ac:dyDescent="0.15">
      <c r="A134" s="2"/>
      <c r="B134" s="54"/>
      <c r="C134" s="54"/>
      <c r="D134" s="54"/>
      <c r="E134" s="54"/>
      <c r="F134" s="54"/>
      <c r="G134" s="54"/>
      <c r="H134" s="54"/>
      <c r="I134" s="54"/>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B52" sqref="A52:U63"/>
    </sheetView>
  </sheetViews>
  <sheetFormatPr defaultColWidth="11.375" defaultRowHeight="22.5" customHeight="1" x14ac:dyDescent="0.15"/>
  <cols>
    <col min="1" max="3" width="2.75" style="56" customWidth="1"/>
    <col min="4" max="4" width="22.25" style="56" customWidth="1"/>
    <col min="5" max="5" width="30.75" style="56" customWidth="1"/>
    <col min="6" max="7" width="7.75" style="56" customWidth="1"/>
    <col min="8" max="9" width="30.75" style="56" customWidth="1"/>
    <col min="10" max="10" width="4.125" style="56" customWidth="1"/>
    <col min="11" max="16384" width="11.375" style="56"/>
  </cols>
  <sheetData>
    <row r="1" spans="1:9" ht="18.75" customHeight="1" x14ac:dyDescent="0.15">
      <c r="A1" s="56" t="s">
        <v>68</v>
      </c>
      <c r="I1" s="14" t="s">
        <v>96</v>
      </c>
    </row>
    <row r="2" spans="1:9" ht="18.75" customHeight="1" x14ac:dyDescent="0.15">
      <c r="H2" s="14" t="s">
        <v>99</v>
      </c>
      <c r="I2" s="13" t="str">
        <f>'様式１　プログラムを構成する授業科目'!C2</f>
        <v xml:space="preserve">国際基督教大学      </v>
      </c>
    </row>
    <row r="3" spans="1:9" ht="18.75" customHeight="1" x14ac:dyDescent="0.15">
      <c r="A3" s="119" t="s">
        <v>28</v>
      </c>
      <c r="B3" s="119"/>
      <c r="C3" s="119"/>
      <c r="D3" s="119"/>
      <c r="E3" s="119"/>
      <c r="F3" s="119"/>
      <c r="G3" s="119"/>
      <c r="H3" s="119"/>
      <c r="I3" s="119"/>
    </row>
    <row r="4" spans="1:9" ht="18.75" customHeight="1" x14ac:dyDescent="0.15">
      <c r="A4" s="52"/>
      <c r="B4" s="52"/>
      <c r="C4" s="52"/>
      <c r="D4" s="52"/>
      <c r="E4" s="52"/>
      <c r="F4" s="52"/>
      <c r="G4" s="52"/>
      <c r="H4" s="52"/>
      <c r="I4" s="52"/>
    </row>
    <row r="5" spans="1:9" ht="18.75" customHeight="1" x14ac:dyDescent="0.15">
      <c r="A5" s="56" t="s">
        <v>0</v>
      </c>
      <c r="B5" s="7" t="s">
        <v>90</v>
      </c>
      <c r="C5" s="52"/>
      <c r="D5" s="52"/>
      <c r="E5" s="52"/>
      <c r="F5" s="52"/>
      <c r="G5" s="52"/>
      <c r="H5" s="52"/>
      <c r="I5" s="52"/>
    </row>
    <row r="6" spans="1:9" ht="26.25" customHeight="1" x14ac:dyDescent="0.15">
      <c r="A6" s="52"/>
      <c r="B6" s="210" t="s">
        <v>185</v>
      </c>
      <c r="C6" s="242"/>
      <c r="D6" s="242"/>
      <c r="E6" s="242"/>
      <c r="F6" s="242"/>
      <c r="G6" s="242"/>
      <c r="H6" s="243"/>
      <c r="I6" s="55"/>
    </row>
    <row r="7" spans="1:9" ht="9" customHeight="1" x14ac:dyDescent="0.15">
      <c r="A7" s="52"/>
      <c r="B7" s="7"/>
      <c r="C7" s="7"/>
      <c r="D7" s="7"/>
      <c r="E7" s="7"/>
      <c r="F7" s="7"/>
      <c r="G7" s="7"/>
      <c r="H7" s="7"/>
      <c r="I7" s="55"/>
    </row>
    <row r="8" spans="1:9" ht="18.75" customHeight="1" x14ac:dyDescent="0.15">
      <c r="A8" s="52"/>
      <c r="B8" s="55"/>
      <c r="C8" s="55"/>
      <c r="D8" s="14" t="s">
        <v>42</v>
      </c>
      <c r="E8" s="15" t="s">
        <v>186</v>
      </c>
      <c r="F8" s="55"/>
      <c r="G8" s="14" t="s">
        <v>10</v>
      </c>
      <c r="H8" s="15" t="s">
        <v>187</v>
      </c>
      <c r="I8" s="55"/>
    </row>
    <row r="9" spans="1:9" ht="7.5" customHeight="1" x14ac:dyDescent="0.15">
      <c r="A9" s="52"/>
      <c r="B9" s="52"/>
      <c r="C9" s="52"/>
      <c r="D9" s="52"/>
      <c r="E9" s="52"/>
      <c r="F9" s="52"/>
      <c r="G9" s="52"/>
      <c r="H9" s="52"/>
      <c r="I9" s="52"/>
    </row>
    <row r="10" spans="1:9" ht="18.75" customHeight="1" x14ac:dyDescent="0.15">
      <c r="A10" s="56" t="s">
        <v>3</v>
      </c>
      <c r="B10" s="56" t="s">
        <v>27</v>
      </c>
      <c r="C10" s="2"/>
      <c r="D10" s="2"/>
      <c r="E10" s="2"/>
      <c r="F10" s="2"/>
      <c r="G10" s="2"/>
      <c r="H10" s="2"/>
      <c r="I10" s="2"/>
    </row>
    <row r="11" spans="1:9" ht="18.75" customHeight="1" x14ac:dyDescent="0.15">
      <c r="B11" s="96" t="s">
        <v>24</v>
      </c>
      <c r="C11" s="97"/>
      <c r="D11" s="98"/>
      <c r="E11" s="97" t="s">
        <v>26</v>
      </c>
      <c r="F11" s="97"/>
      <c r="G11" s="97"/>
      <c r="H11" s="97"/>
      <c r="I11" s="98"/>
    </row>
    <row r="12" spans="1:9" ht="26.25" customHeight="1" x14ac:dyDescent="0.15">
      <c r="B12" s="23" t="s">
        <v>14</v>
      </c>
      <c r="C12" s="30"/>
      <c r="D12" s="24"/>
      <c r="E12" s="31"/>
      <c r="F12" s="31"/>
      <c r="G12" s="31"/>
      <c r="H12" s="31"/>
      <c r="I12" s="24"/>
    </row>
    <row r="13" spans="1:9" ht="210.75" customHeight="1" x14ac:dyDescent="0.15">
      <c r="B13" s="25"/>
      <c r="C13" s="225" t="s">
        <v>15</v>
      </c>
      <c r="D13" s="226"/>
      <c r="E13" s="238" t="s">
        <v>188</v>
      </c>
      <c r="F13" s="227"/>
      <c r="G13" s="227"/>
      <c r="H13" s="227"/>
      <c r="I13" s="228"/>
    </row>
    <row r="14" spans="1:9" ht="210.75" customHeight="1" x14ac:dyDescent="0.15">
      <c r="B14" s="25"/>
      <c r="C14" s="240" t="s">
        <v>16</v>
      </c>
      <c r="D14" s="241"/>
      <c r="E14" s="238" t="s">
        <v>189</v>
      </c>
      <c r="F14" s="227"/>
      <c r="G14" s="227"/>
      <c r="H14" s="227"/>
      <c r="I14" s="228"/>
    </row>
    <row r="15" spans="1:9" ht="210.75" customHeight="1" x14ac:dyDescent="0.15">
      <c r="B15" s="25"/>
      <c r="C15" s="225" t="s">
        <v>17</v>
      </c>
      <c r="D15" s="226"/>
      <c r="E15" s="238" t="s">
        <v>190</v>
      </c>
      <c r="F15" s="227"/>
      <c r="G15" s="227"/>
      <c r="H15" s="227"/>
      <c r="I15" s="228"/>
    </row>
    <row r="16" spans="1:9" ht="210.75" customHeight="1" x14ac:dyDescent="0.15">
      <c r="B16" s="25"/>
      <c r="C16" s="225" t="s">
        <v>18</v>
      </c>
      <c r="D16" s="226"/>
      <c r="E16" s="238" t="s">
        <v>191</v>
      </c>
      <c r="F16" s="227"/>
      <c r="G16" s="227"/>
      <c r="H16" s="227"/>
      <c r="I16" s="228"/>
    </row>
    <row r="17" spans="2:9" ht="210.75" customHeight="1" x14ac:dyDescent="0.15">
      <c r="B17" s="26"/>
      <c r="C17" s="229" t="s">
        <v>19</v>
      </c>
      <c r="D17" s="230"/>
      <c r="E17" s="239" t="s">
        <v>192</v>
      </c>
      <c r="F17" s="231"/>
      <c r="G17" s="231"/>
      <c r="H17" s="231"/>
      <c r="I17" s="232"/>
    </row>
    <row r="18" spans="2:9" ht="24" customHeight="1" x14ac:dyDescent="0.15">
      <c r="B18" s="23" t="s">
        <v>20</v>
      </c>
      <c r="C18" s="27"/>
      <c r="D18" s="28"/>
      <c r="E18" s="29"/>
      <c r="F18" s="29"/>
      <c r="G18" s="29"/>
      <c r="H18" s="29"/>
      <c r="I18" s="32"/>
    </row>
    <row r="19" spans="2:9" ht="218.25" customHeight="1" x14ac:dyDescent="0.15">
      <c r="B19" s="25"/>
      <c r="C19" s="225" t="s">
        <v>21</v>
      </c>
      <c r="D19" s="226"/>
      <c r="E19" s="227" t="s">
        <v>193</v>
      </c>
      <c r="F19" s="227"/>
      <c r="G19" s="227"/>
      <c r="H19" s="227"/>
      <c r="I19" s="228"/>
    </row>
    <row r="20" spans="2:9" ht="218.25" customHeight="1" x14ac:dyDescent="0.15">
      <c r="B20" s="26"/>
      <c r="C20" s="229" t="s">
        <v>22</v>
      </c>
      <c r="D20" s="230"/>
      <c r="E20" s="231" t="s">
        <v>194</v>
      </c>
      <c r="F20" s="231"/>
      <c r="G20" s="231"/>
      <c r="H20" s="231"/>
      <c r="I20" s="232"/>
    </row>
    <row r="21" spans="2:9" ht="218.25" customHeight="1" x14ac:dyDescent="0.15">
      <c r="B21" s="233" t="s">
        <v>23</v>
      </c>
      <c r="C21" s="234"/>
      <c r="D21" s="235"/>
      <c r="E21" s="236" t="s">
        <v>195</v>
      </c>
      <c r="F21" s="236"/>
      <c r="G21" s="236"/>
      <c r="H21" s="236"/>
      <c r="I21" s="237"/>
    </row>
    <row r="22" spans="2:9" ht="218.25" customHeight="1" x14ac:dyDescent="0.15">
      <c r="B22" s="220" t="s">
        <v>134</v>
      </c>
      <c r="C22" s="221"/>
      <c r="D22" s="222"/>
      <c r="E22" s="223" t="s">
        <v>196</v>
      </c>
      <c r="F22" s="223"/>
      <c r="G22" s="223"/>
      <c r="H22" s="223"/>
      <c r="I22" s="224"/>
    </row>
    <row r="23" spans="2:9" ht="22.5" customHeight="1" x14ac:dyDescent="0.15">
      <c r="B23" s="2"/>
      <c r="C23" s="2"/>
      <c r="D23" s="2"/>
      <c r="E23" s="2"/>
      <c r="F23" s="2"/>
      <c r="G23" s="2"/>
      <c r="H23" s="2"/>
      <c r="I23" s="2"/>
    </row>
    <row r="24" spans="2:9" ht="22.5" customHeight="1" x14ac:dyDescent="0.15">
      <c r="B24" s="2"/>
      <c r="C24" s="2"/>
      <c r="D24" s="2"/>
      <c r="E24" s="2"/>
      <c r="F24" s="2"/>
      <c r="G24" s="2"/>
      <c r="H24" s="2"/>
      <c r="I24" s="2"/>
    </row>
    <row r="25" spans="2:9" ht="22.5" customHeight="1" x14ac:dyDescent="0.15">
      <c r="B25" s="2"/>
      <c r="C25" s="2"/>
      <c r="D25" s="2"/>
      <c r="E25" s="2"/>
      <c r="F25" s="2"/>
      <c r="G25" s="2"/>
      <c r="H25" s="2"/>
      <c r="I25" s="2"/>
    </row>
    <row r="26" spans="2:9" ht="22.5" customHeight="1" x14ac:dyDescent="0.15">
      <c r="B26" s="2"/>
      <c r="C26" s="2"/>
      <c r="D26" s="2"/>
      <c r="E26" s="2"/>
      <c r="F26" s="2"/>
      <c r="G26" s="2"/>
      <c r="H26" s="2"/>
      <c r="I26" s="2"/>
    </row>
    <row r="27" spans="2:9" ht="22.5" customHeight="1" x14ac:dyDescent="0.15">
      <c r="B27" s="2"/>
      <c r="C27" s="2"/>
      <c r="D27" s="2"/>
      <c r="E27" s="2"/>
      <c r="F27" s="2"/>
      <c r="G27" s="2"/>
      <c r="H27" s="2"/>
      <c r="I27" s="2"/>
    </row>
    <row r="28" spans="2:9" ht="22.5" customHeight="1" x14ac:dyDescent="0.15">
      <c r="B28" s="51"/>
      <c r="C28" s="51"/>
      <c r="D28" s="51"/>
      <c r="E28" s="51"/>
      <c r="F28" s="51"/>
      <c r="G28" s="51"/>
      <c r="H28" s="51"/>
      <c r="I28" s="51"/>
    </row>
    <row r="29" spans="2:9" ht="22.5" customHeight="1" x14ac:dyDescent="0.15">
      <c r="B29" s="51"/>
      <c r="C29" s="51"/>
      <c r="D29" s="51"/>
      <c r="E29" s="51"/>
      <c r="F29" s="51"/>
      <c r="G29" s="51"/>
      <c r="H29" s="51"/>
      <c r="I29" s="51"/>
    </row>
    <row r="30" spans="2:9" ht="22.5" customHeight="1" x14ac:dyDescent="0.15">
      <c r="B30" s="51"/>
      <c r="C30" s="51"/>
      <c r="D30" s="51"/>
      <c r="E30" s="51"/>
      <c r="F30" s="51"/>
      <c r="G30" s="51"/>
      <c r="H30" s="51"/>
      <c r="I30" s="51"/>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81B6FB5125D4E4F8E8E1120E5C9FB0C" ma:contentTypeVersion="" ma:contentTypeDescription="新しいドキュメントを作成します。" ma:contentTypeScope="" ma:versionID="497ff86bc4806bb5aced9a41b28d4c32">
  <xsd:schema xmlns:xsd="http://www.w3.org/2001/XMLSchema" xmlns:xs="http://www.w3.org/2001/XMLSchema" xmlns:p="http://schemas.microsoft.com/office/2006/metadata/properties" xmlns:ns2="6b153d05-a295-4a38-9cb5-bd5ea1c54d50" xmlns:ns3="75c78a89-0a79-4844-8282-ba92653851ec" targetNamespace="http://schemas.microsoft.com/office/2006/metadata/properties" ma:root="true" ma:fieldsID="c27bc3c46da789174075f849963632d2" ns2:_="" ns3:_="">
    <xsd:import namespace="6b153d05-a295-4a38-9cb5-bd5ea1c54d50"/>
    <xsd:import namespace="75c78a89-0a79-4844-8282-ba92653851ec"/>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153d05-a295-4a38-9cb5-bd5ea1c54d50"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description="" ma:internalName="SharedWithDetails" ma:readOnly="true">
      <xsd:simpleType>
        <xsd:restriction base="dms:Note">
          <xsd:maxLength value="255"/>
        </xsd:restriction>
      </xsd:simpleType>
    </xsd:element>
    <xsd:element name="TaxCatchAll" ma:index="23" nillable="true" ma:displayName="Taxonomy Catch All Column" ma:hidden="true" ma:list="{27d8c8b9-62da-4595-87a6-489b5b4d349c}" ma:internalName="TaxCatchAll" ma:showField="CatchAllData" ma:web="6b153d05-a295-4a38-9cb5-bd5ea1c54d5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5c78a89-0a79-4844-8282-ba92653851ec"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画像タグ" ma:readOnly="false" ma:fieldId="{5cf76f15-5ced-4ddc-b409-7134ff3c332f}" ma:taxonomyMulti="true" ma:sspId="d58a34b9-337c-4616-8f44-148ca0a385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AE1B0B-6871-4750-9A03-6C3364397FB0}">
  <ds:schemaRefs>
    <ds:schemaRef ds:uri="http://schemas.microsoft.com/sharepoint/v3/contenttype/forms"/>
  </ds:schemaRefs>
</ds:datastoreItem>
</file>

<file path=customXml/itemProps2.xml><?xml version="1.0" encoding="utf-8"?>
<ds:datastoreItem xmlns:ds="http://schemas.openxmlformats.org/officeDocument/2006/customXml" ds:itemID="{E4F8B5D3-17ED-49D6-9027-A6B1591254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153d05-a295-4a38-9cb5-bd5ea1c54d50"/>
    <ds:schemaRef ds:uri="75c78a89-0a79-4844-8282-ba92653851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HOSONO KAYO</cp:lastModifiedBy>
  <cp:lastPrinted>2024-06-17T05:49:32Z</cp:lastPrinted>
  <dcterms:created xsi:type="dcterms:W3CDTF">2011-06-14T05:32:50Z</dcterms:created>
  <dcterms:modified xsi:type="dcterms:W3CDTF">2024-06-19T01:18:54Z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