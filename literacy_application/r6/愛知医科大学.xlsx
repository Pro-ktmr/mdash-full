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C:\Users\a13243\Desktop\新しいフォルダー (6)\"/>
    </mc:Choice>
  </mc:AlternateContent>
  <xr:revisionPtr revIDLastSave="0" documentId="13_ncr:1_{002058AA-2CF0-4720-93E3-34D3558B6532}" xr6:coauthVersionLast="47" xr6:coauthVersionMax="47" xr10:uidLastSave="{00000000-0000-0000-0000-000000000000}"/>
  <bookViews>
    <workbookView xWindow="-108" yWindow="-108" windowWidth="23256" windowHeight="12456" tabRatio="885" firstSheet="1" activeTab="2" xr2:uid="{00000000-000D-0000-FFFF-FFFF00000000}"/>
  </bookViews>
  <sheets>
    <sheet name="様式１ー１　プログラムを構成する授業科目" sheetId="44" r:id="rId1"/>
    <sheet name="様式１ー２　プログラムを構成する授業科目" sheetId="39"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'様式１ー１　プログラムを構成する授業科目'!$X$16:$X$18</definedName>
    <definedName name="_xlnm._FilterDatabase" localSheetId="1" hidden="1">'様式１ー２　プログラムを構成する授業科目'!$X$16:$X$18</definedName>
    <definedName name="_xlnm._FilterDatabase" localSheetId="2" hidden="1">'様式２ 履修者等数の実績'!#REF!</definedName>
    <definedName name="_xlnm.Print_Area" localSheetId="0">'様式１ー１　プログラムを構成する授業科目'!$A$1:$U$112</definedName>
    <definedName name="_xlnm.Print_Area" localSheetId="1">'様式１ー２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14" i="40"/>
  <c r="R33" i="40" l="1"/>
  <c r="S33" i="40" s="1"/>
  <c r="C49" i="41" s="1"/>
</calcChain>
</file>

<file path=xl/sharedStrings.xml><?xml version="1.0" encoding="utf-8"?>
<sst xmlns="http://schemas.openxmlformats.org/spreadsheetml/2006/main" count="449" uniqueCount="210">
  <si>
    <t>①</t>
    <phoneticPr fontId="2"/>
  </si>
  <si>
    <t>人</t>
    <rPh sb="0" eb="1">
      <t>ニン</t>
    </rPh>
    <phoneticPr fontId="2"/>
  </si>
  <si>
    <t>（非常勤）</t>
    <rPh sb="1" eb="4">
      <t>ヒジョウキン</t>
    </rPh>
    <phoneticPr fontId="2"/>
  </si>
  <si>
    <t>②</t>
    <phoneticPr fontId="2"/>
  </si>
  <si>
    <t>③</t>
    <phoneticPr fontId="2"/>
  </si>
  <si>
    <t>⑤</t>
    <phoneticPr fontId="2"/>
  </si>
  <si>
    <t>⑦</t>
    <phoneticPr fontId="2"/>
  </si>
  <si>
    <t>④</t>
    <phoneticPr fontId="2"/>
  </si>
  <si>
    <t>⑥</t>
    <phoneticPr fontId="2"/>
  </si>
  <si>
    <t>具体的な構成員</t>
    <rPh sb="0" eb="3">
      <t>グタイテキ</t>
    </rPh>
    <rPh sb="4" eb="7">
      <t>コウセイイン</t>
    </rPh>
    <phoneticPr fontId="2"/>
  </si>
  <si>
    <t>（役職名）</t>
    <rPh sb="1" eb="4">
      <t>ヤクショクメイ</t>
    </rPh>
    <phoneticPr fontId="2"/>
  </si>
  <si>
    <t>⑩</t>
    <phoneticPr fontId="2"/>
  </si>
  <si>
    <t>できる限り多くの学生が履修・修得できるようなサポート体制</t>
    <rPh sb="26" eb="28">
      <t>タイセイ</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</si>
  <si>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</si>
  <si>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</si>
  <si>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</si>
  <si>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</si>
  <si>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</si>
  <si>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</si>
  <si>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</si>
  <si>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</si>
  <si>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</si>
  <si>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</si>
  <si>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自己点検・評価の視点</t>
    <rPh sb="0" eb="2">
      <t>ジコ</t>
    </rPh>
    <rPh sb="2" eb="4">
      <t>テンケン</t>
    </rPh>
    <rPh sb="5" eb="7">
      <t>ヒョウカ</t>
    </rPh>
    <rPh sb="8" eb="10">
      <t>シテン</t>
    </rPh>
    <phoneticPr fontId="2"/>
  </si>
  <si>
    <t>体制の目的</t>
    <rPh sb="0" eb="2">
      <t>タイセイ</t>
    </rPh>
    <rPh sb="3" eb="5">
      <t>モクテキ</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</si>
  <si>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</si>
  <si>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自己点検・評価体制における意見等</t>
    <rPh sb="15" eb="16">
      <t>トウ</t>
    </rPh>
    <phoneticPr fontId="2"/>
  </si>
  <si>
    <t>自己点検・評価について</t>
    <rPh sb="0" eb="2">
      <t>ジコ</t>
    </rPh>
    <rPh sb="2" eb="4">
      <t>テンケン</t>
    </rPh>
    <rPh sb="5" eb="7">
      <t>ヒョウカ</t>
    </rPh>
    <phoneticPr fontId="2"/>
  </si>
  <si>
    <t>修了者数</t>
    <rPh sb="0" eb="3">
      <t>シュウリョウシャ</t>
    </rPh>
    <rPh sb="3" eb="4">
      <t>スウ</t>
    </rPh>
    <phoneticPr fontId="2"/>
  </si>
  <si>
    <t>⑫</t>
    <phoneticPr fontId="2"/>
  </si>
  <si>
    <t>⑧</t>
    <phoneticPr fontId="2"/>
  </si>
  <si>
    <t>履修率</t>
    <rPh sb="0" eb="2">
      <t>リシュウ</t>
    </rPh>
    <rPh sb="2" eb="3">
      <t>リツ</t>
    </rPh>
    <phoneticPr fontId="2"/>
  </si>
  <si>
    <t>合　計</t>
    <phoneticPr fontId="2"/>
  </si>
  <si>
    <t>⑨</t>
    <phoneticPr fontId="2"/>
  </si>
  <si>
    <t>履修者数
合計</t>
    <rPh sb="0" eb="2">
      <t>リシュウ</t>
    </rPh>
    <rPh sb="2" eb="3">
      <t>シャ</t>
    </rPh>
    <rPh sb="3" eb="4">
      <t>スウ</t>
    </rPh>
    <rPh sb="5" eb="7">
      <t>ゴウケイ</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</si>
  <si>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</si>
  <si>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</si>
  <si>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プログラムを構成する授業科目について</t>
    <phoneticPr fontId="2"/>
  </si>
  <si>
    <t>収容
定員</t>
    <rPh sb="0" eb="2">
      <t>シュウヨウ</t>
    </rPh>
    <rPh sb="3" eb="5">
      <t>テイイン</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</si>
  <si>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</si>
  <si>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プログラムを改善・進化させるための体制を定める規則名称</t>
    <phoneticPr fontId="2"/>
  </si>
  <si>
    <t>（責任者名）</t>
    <rPh sb="1" eb="4">
      <t>セキニンシャ</t>
    </rPh>
    <rPh sb="4" eb="5">
      <t>メイ</t>
    </rPh>
    <phoneticPr fontId="2"/>
  </si>
  <si>
    <t>⑪</t>
    <phoneticPr fontId="2"/>
  </si>
  <si>
    <t>学部・学科名称</t>
    <rPh sb="0" eb="2">
      <t>ガクブ</t>
    </rPh>
    <rPh sb="3" eb="5">
      <t>ガッカ</t>
    </rPh>
    <rPh sb="5" eb="7">
      <t>メイショウ</t>
    </rPh>
    <phoneticPr fontId="2"/>
  </si>
  <si>
    <t>授業時間内外で学習指導、質問を受け付ける具体的な仕組み</t>
    <rPh sb="20" eb="23">
      <t>グタイテキ</t>
    </rPh>
    <phoneticPr fontId="2"/>
  </si>
  <si>
    <t>入学
定員</t>
    <rPh sb="0" eb="2">
      <t>ニュウガク</t>
    </rPh>
    <rPh sb="3" eb="5">
      <t>テイイン</t>
    </rPh>
    <phoneticPr fontId="2"/>
  </si>
  <si>
    <t>プログラムの履修者数等の実績について</t>
    <phoneticPr fontId="2"/>
  </si>
  <si>
    <t>令和3年度</t>
    <rPh sb="0" eb="2">
      <t>レイワ</t>
    </rPh>
    <rPh sb="3" eb="5">
      <t>ネンド</t>
    </rPh>
    <phoneticPr fontId="2"/>
  </si>
  <si>
    <t>令和2年度</t>
    <rPh sb="0" eb="2">
      <t>レイワ</t>
    </rPh>
    <rPh sb="3" eb="5">
      <t>ネンド</t>
    </rPh>
    <phoneticPr fontId="2"/>
  </si>
  <si>
    <t>平成30年度</t>
    <rPh sb="0" eb="2">
      <t>ヘイセイ</t>
    </rPh>
    <rPh sb="4" eb="6">
      <t>ネンド</t>
    </rPh>
    <phoneticPr fontId="2"/>
  </si>
  <si>
    <t>年度</t>
    <rPh sb="0" eb="2">
      <t>ネンド</t>
    </rPh>
    <phoneticPr fontId="2"/>
  </si>
  <si>
    <t>授業科目</t>
    <rPh sb="0" eb="2">
      <t>ジュギョウ</t>
    </rPh>
    <rPh sb="2" eb="4">
      <t>カモク</t>
    </rPh>
    <phoneticPr fontId="2"/>
  </si>
  <si>
    <t>授業に含まれている内容・要素</t>
    <phoneticPr fontId="2"/>
  </si>
  <si>
    <t>講義内容</t>
    <rPh sb="0" eb="2">
      <t>コウギ</t>
    </rPh>
    <rPh sb="2" eb="4">
      <t>ナイヨウ</t>
    </rPh>
    <phoneticPr fontId="2"/>
  </si>
  <si>
    <t>1-1</t>
    <phoneticPr fontId="2"/>
  </si>
  <si>
    <t>2-1</t>
    <phoneticPr fontId="2"/>
  </si>
  <si>
    <t>3-1</t>
    <phoneticPr fontId="2"/>
  </si>
  <si>
    <t>1-6</t>
  </si>
  <si>
    <t>3-2</t>
    <phoneticPr fontId="2"/>
  </si>
  <si>
    <t>（１）現在進行中の社会変化（第４次産業革命、Society 5.0、データ駆動型社会等）に深く寄与しているものであり、それが自らの生活と密接に結びついている</t>
    <phoneticPr fontId="2"/>
  </si>
  <si>
    <t>（２）「社会で活用されているデータ」や「データの活用領域」は非常に広範囲であって、日常生活や社会の課題を解決する有用なツールになり得るもの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</si>
  <si>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</si>
  <si>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　　　　　　　　　　　　　　　　　　　　　　　　　　　　　　　　　　　　　　　　　　　　　　　　　　　　　　　　　　　　　　　　　　　　　　　　　　　　　　　　　　　　　　　　　　　　　　　　　　　　　　　　　　　　　　　　　　　　　　　　　　　　　　　　　　　　　　　　　　　　　　　　　　　　　　　　　　　　　　　　　　　　　　　　　　　　　　　　　　　　　　　　　　　　　　　　　　　　　　　　　　　　　　　　　　　　　　　　　　　　　　　　　　　　　　　　　　　　　　　　　　　　　　　　　　　　　　　　　　　　　　　　　　　　　　　　　　　　　　　　　　　　　　　　　　　　　　　　　　　　　　　　　　　　　　　　　　　　　　　　　　　　　　　　　　　　　　　　　　　　　　　　　　　　　　　　　　　　　　　　　　　　　　　　　　　　　　　　　　　　　　　　　　　　　　　　　　　　　　　　　　　　　　　　　　　　　　　　　　　　　　　　　　　　　　　　　　　　　　　　　　　　　　　　　　　　　　　　　　　　　　　　　　　　　　　　　　　　　　　　　　　　　　　　　　　　　　　　　　　　　　　　　　　　　　　　　　　　　　　　　　　　　　　　　　　　　　　　　　　　　　　　　　　　　　　　　　　　　　　　　　　　　　　　　　　　　　　　　　　　　　　　　　　　　　　　　　　　　　　　　　　　　　　　　　　　　　　　　　　　　　　　　　　　　　　　　　　　　　　　　　　　　　　　　　　　　　　　　　　　　　　　　　　　　　　　　　　　　　　　　　　　　　　　　　　　　　　　　　　　　　　　　　　　　　　　　　　　　　　　　　　　　　　　　　　　　　</t>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</si>
  <si>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</si>
  <si>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</si>
  <si>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</si>
  <si>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</si>
  <si>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　　　　　　　　　　　　　　　　　　　　　　　　　　　　　　　　　　　　　　　　　　　　　　　　　　　　　　　　　　　　　　　　　　　　　　　　　</t>
    <phoneticPr fontId="2"/>
  </si>
  <si>
    <t>1-2</t>
    <phoneticPr fontId="2"/>
  </si>
  <si>
    <t>1-3</t>
    <phoneticPr fontId="2"/>
  </si>
  <si>
    <t>1-4</t>
    <phoneticPr fontId="2"/>
  </si>
  <si>
    <t>1-5</t>
    <phoneticPr fontId="2"/>
  </si>
  <si>
    <t>2-2</t>
    <phoneticPr fontId="2"/>
  </si>
  <si>
    <t>2-3</t>
    <phoneticPr fontId="2"/>
  </si>
  <si>
    <t>1-6</t>
    <phoneticPr fontId="2"/>
  </si>
  <si>
    <t>（４）活用に当たっての様々な留意事項（ELSI、個人情報、データ倫理、ＡＩ社会原則等）を考慮し、情報セキュリティや情報漏洩等、データを守る上での留意事項への理解をする</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</si>
  <si>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</si>
  <si>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単位数</t>
    <rPh sb="0" eb="3">
      <t>タンイスウ</t>
    </rPh>
    <phoneticPr fontId="2"/>
  </si>
  <si>
    <t>選択項目</t>
    <rPh sb="0" eb="2">
      <t>センタク</t>
    </rPh>
    <rPh sb="2" eb="4">
      <t>コウモク</t>
    </rPh>
    <phoneticPr fontId="2"/>
  </si>
  <si>
    <t>①プログラム開設年度</t>
    <rPh sb="6" eb="8">
      <t>カイセツ</t>
    </rPh>
    <rPh sb="8" eb="10">
      <t>ネンド</t>
    </rPh>
    <phoneticPr fontId="2"/>
  </si>
  <si>
    <t>必須</t>
    <rPh sb="0" eb="2">
      <t>ヒッス</t>
    </rPh>
    <phoneticPr fontId="2"/>
  </si>
  <si>
    <t>令和4年度</t>
    <rPh sb="0" eb="2">
      <t>レイワ</t>
    </rPh>
    <rPh sb="3" eb="5">
      <t>ネンド</t>
    </rPh>
    <phoneticPr fontId="2"/>
  </si>
  <si>
    <t>学生数</t>
    <rPh sb="0" eb="3">
      <t>ガクセイスウ</t>
    </rPh>
    <phoneticPr fontId="2"/>
  </si>
  <si>
    <t>プログラムを改善・進化させるための体制（委員会・組織等）</t>
    <phoneticPr fontId="2"/>
  </si>
  <si>
    <t>令和８年度予定</t>
    <rPh sb="0" eb="2">
      <t>レイワ</t>
    </rPh>
    <rPh sb="3" eb="5">
      <t>ネンド</t>
    </rPh>
    <rPh sb="5" eb="7">
      <t>ヨテイ</t>
    </rPh>
    <phoneticPr fontId="2"/>
  </si>
  <si>
    <t>全学の教員数</t>
    <rPh sb="0" eb="2">
      <t>ゼンガク</t>
    </rPh>
    <rPh sb="3" eb="6">
      <t>キョウインスウ</t>
    </rPh>
    <phoneticPr fontId="2"/>
  </si>
  <si>
    <t>(常勤）</t>
    <rPh sb="1" eb="3">
      <t>ジョウキン</t>
    </rPh>
    <phoneticPr fontId="2"/>
  </si>
  <si>
    <t>プログラムの授業を教えている教員数</t>
    <rPh sb="6" eb="8">
      <t>ジュギョウ</t>
    </rPh>
    <rPh sb="9" eb="10">
      <t>オシ</t>
    </rPh>
    <rPh sb="14" eb="17">
      <t>キョウインスウ</t>
    </rPh>
    <phoneticPr fontId="2"/>
  </si>
  <si>
    <t>プログラムの運営責任者</t>
    <rPh sb="6" eb="8">
      <t>ウンエイ</t>
    </rPh>
    <rPh sb="8" eb="11">
      <t>セキニンシャ</t>
    </rPh>
    <phoneticPr fontId="2"/>
  </si>
  <si>
    <t>プログラムの自己点検・評価を行う体制（委員会・組織等）</t>
    <phoneticPr fontId="2"/>
  </si>
  <si>
    <t>履修者数</t>
    <rPh sb="0" eb="3">
      <t>リシュウシャ</t>
    </rPh>
    <rPh sb="3" eb="4">
      <t>スウ</t>
    </rPh>
    <phoneticPr fontId="2"/>
  </si>
  <si>
    <t>令和元年度</t>
    <rPh sb="0" eb="2">
      <t>レイワ</t>
    </rPh>
    <rPh sb="2" eb="3">
      <t>モト</t>
    </rPh>
    <rPh sb="3" eb="5">
      <t>ネンド</t>
    </rPh>
    <phoneticPr fontId="2"/>
  </si>
  <si>
    <t>2-1</t>
  </si>
  <si>
    <t>プログラム名</t>
    <rPh sb="5" eb="6">
      <t>メイ</t>
    </rPh>
    <phoneticPr fontId="2"/>
  </si>
  <si>
    <t>【プルダウンリスト】</t>
    <phoneticPr fontId="2"/>
  </si>
  <si>
    <t>様式４</t>
    <phoneticPr fontId="2"/>
  </si>
  <si>
    <t>様式３</t>
    <phoneticPr fontId="2"/>
  </si>
  <si>
    <t>様式２</t>
    <phoneticPr fontId="2"/>
  </si>
  <si>
    <t>大学等名</t>
    <rPh sb="0" eb="2">
      <t>ダイガク</t>
    </rPh>
    <rPh sb="2" eb="3">
      <t>トウ</t>
    </rPh>
    <rPh sb="3" eb="4">
      <t>メイ</t>
    </rPh>
    <phoneticPr fontId="2"/>
  </si>
  <si>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2"/>
  </si>
  <si>
    <t>③ 修了要件</t>
    <phoneticPr fontId="2"/>
  </si>
  <si>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2"/>
  </si>
  <si>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2"/>
  </si>
  <si>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2"/>
  </si>
  <si>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2"/>
  </si>
  <si>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</si>
  <si>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⑨ 選択「４．オプション」の内容を含む授業科目</t>
    <rPh sb="14" eb="16">
      <t>ナイヨウ</t>
    </rPh>
    <rPh sb="17" eb="18">
      <t>フク</t>
    </rPh>
    <rPh sb="19" eb="21">
      <t>ジュギョウ</t>
    </rPh>
    <rPh sb="21" eb="23">
      <t>カモク</t>
    </rPh>
    <phoneticPr fontId="2"/>
  </si>
  <si>
    <t>⑩ プログラムを構成する授業の内容</t>
    <phoneticPr fontId="2"/>
  </si>
  <si>
    <t>⑪ プログラムの学修成果（学生等が身に付けられる能力等）</t>
    <phoneticPr fontId="2"/>
  </si>
  <si>
    <t>履修必須の有無</t>
    <rPh sb="0" eb="2">
      <t>リシュウ</t>
    </rPh>
    <rPh sb="2" eb="4">
      <t>ヒッス</t>
    </rPh>
    <rPh sb="5" eb="7">
      <t>ウム</t>
    </rPh>
    <phoneticPr fontId="2"/>
  </si>
  <si>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2"/>
  </si>
  <si>
    <t>令和5年度</t>
    <rPh sb="0" eb="2">
      <t>レイワ</t>
    </rPh>
    <rPh sb="3" eb="5">
      <t>ネンド</t>
    </rPh>
    <phoneticPr fontId="2"/>
  </si>
  <si>
    <t>科目</t>
    <rPh sb="0" eb="2">
      <t>カモク</t>
    </rPh>
    <phoneticPr fontId="2"/>
  </si>
  <si>
    <t>単位</t>
    <rPh sb="0" eb="2">
      <t>タンイ</t>
    </rPh>
    <phoneticPr fontId="2"/>
  </si>
  <si>
    <t>令和５年度以前より、履修することが必須のプログラムとして実施</t>
    <rPh sb="0" eb="2">
      <t>レイワ</t>
    </rPh>
    <rPh sb="3" eb="5">
      <t>ネンド</t>
    </rPh>
    <rPh sb="5" eb="7">
      <t>イゼン</t>
    </rPh>
    <phoneticPr fontId="2"/>
  </si>
  <si>
    <t>令和８年度までに履修必須とする計画</t>
    <rPh sb="3" eb="4">
      <t>ネン</t>
    </rPh>
    <phoneticPr fontId="2"/>
  </si>
  <si>
    <t>令和９年度以降に履修必須とする計画、又は未定</t>
    <rPh sb="18" eb="19">
      <t>マタ</t>
    </rPh>
    <rPh sb="20" eb="22">
      <t>ミテイ</t>
    </rPh>
    <phoneticPr fontId="2"/>
  </si>
  <si>
    <t>②大学等全体の男女別学生数</t>
    <rPh sb="1" eb="3">
      <t>ダイガク</t>
    </rPh>
    <rPh sb="3" eb="4">
      <t>トウ</t>
    </rPh>
    <rPh sb="4" eb="6">
      <t>ゼンタイ</t>
    </rPh>
    <rPh sb="7" eb="10">
      <t>ダンジョベツ</t>
    </rPh>
    <rPh sb="10" eb="13">
      <t>ガクセイスウ</t>
    </rPh>
    <phoneticPr fontId="2"/>
  </si>
  <si>
    <t>男性</t>
    <rPh sb="0" eb="2">
      <t>ダンセイ</t>
    </rPh>
    <phoneticPr fontId="2"/>
  </si>
  <si>
    <t>人</t>
    <rPh sb="0" eb="1">
      <t>ヒト</t>
    </rPh>
    <phoneticPr fontId="2"/>
  </si>
  <si>
    <t>女性</t>
    <rPh sb="0" eb="2">
      <t>ジョセイ</t>
    </rPh>
    <phoneticPr fontId="2"/>
  </si>
  <si>
    <t>（</t>
    <phoneticPr fontId="2"/>
  </si>
  <si>
    <t>合計</t>
    <rPh sb="0" eb="2">
      <t>ゴウケイ</t>
    </rPh>
    <phoneticPr fontId="2"/>
  </si>
  <si>
    <t>）</t>
    <phoneticPr fontId="2"/>
  </si>
  <si>
    <t>【参考】</t>
    <rPh sb="1" eb="3">
      <t>サンコウ</t>
    </rPh>
    <phoneticPr fontId="2"/>
  </si>
  <si>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2"/>
  </si>
  <si>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2"/>
  </si>
  <si>
    <t>令和５年度実績</t>
    <rPh sb="0" eb="2">
      <t>レイワ</t>
    </rPh>
    <rPh sb="3" eb="5">
      <t>ネンド</t>
    </rPh>
    <rPh sb="5" eb="7">
      <t>ジッセキ</t>
    </rPh>
    <phoneticPr fontId="2"/>
  </si>
  <si>
    <t>令和９年度予定</t>
    <rPh sb="0" eb="2">
      <t>レイワ</t>
    </rPh>
    <rPh sb="3" eb="5">
      <t>ネンド</t>
    </rPh>
    <rPh sb="5" eb="7">
      <t>ヨテイ</t>
    </rPh>
    <phoneticPr fontId="2"/>
  </si>
  <si>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</si>
  <si>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2"/>
  </si>
  <si>
    <t>① 教育プログラムの修了要件</t>
    <rPh sb="2" eb="4">
      <t>キョウイク</t>
    </rPh>
    <rPh sb="10" eb="14">
      <t>シュウリョウヨウケン</t>
    </rPh>
    <phoneticPr fontId="2"/>
  </si>
  <si>
    <t>② 対象となる学部・学科名称</t>
    <phoneticPr fontId="2"/>
  </si>
  <si>
    <t>必要最低科目数・単位数</t>
    <rPh sb="4" eb="7">
      <t>カモクスウ</t>
    </rPh>
    <phoneticPr fontId="2"/>
  </si>
  <si>
    <t>③履修者・修了者の実績</t>
    <rPh sb="1" eb="3">
      <t>リシュウ</t>
    </rPh>
    <rPh sb="3" eb="4">
      <t>シャ</t>
    </rPh>
    <rPh sb="5" eb="8">
      <t>シュウリョウシャ</t>
    </rPh>
    <rPh sb="9" eb="11">
      <t>ジッセキ</t>
    </rPh>
    <phoneticPr fontId="2"/>
  </si>
  <si>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2"/>
  </si>
  <si>
    <t>愛知医科大学</t>
    <phoneticPr fontId="2"/>
  </si>
  <si>
    <t>愛知医科大学メディカルデータサイエンス教育プログラム</t>
    <phoneticPr fontId="2"/>
  </si>
  <si>
    <t>プログラムを構成する「情報科学I」１単位、「情報科学II」１単位、「統計学」２単位の計4単位を取得すること。</t>
    <phoneticPr fontId="2"/>
  </si>
  <si>
    <t>看護学部</t>
    <phoneticPr fontId="2"/>
  </si>
  <si>
    <t>○</t>
  </si>
  <si>
    <t>情報科学I</t>
    <phoneticPr fontId="2"/>
  </si>
  <si>
    <t>統計学</t>
    <rPh sb="0" eb="3">
      <t>トウケイガク</t>
    </rPh>
    <phoneticPr fontId="2"/>
  </si>
  <si>
    <t>情報科学II</t>
    <phoneticPr fontId="2"/>
  </si>
  <si>
    <t>4-1統計および数理基礎</t>
  </si>
  <si>
    <t>令和5</t>
    <rPh sb="0" eb="2">
      <t>レイワ</t>
    </rPh>
    <phoneticPr fontId="2"/>
  </si>
  <si>
    <t>愛知医科大学メディカルデータサイエンス教育プログラム委員会</t>
    <phoneticPr fontId="2"/>
  </si>
  <si>
    <t>愛知医科大学メディカルデータサイエンス教育プログラム委員会規程</t>
    <phoneticPr fontId="2"/>
  </si>
  <si>
    <t>愛知医科大学メディカルデータサイエンス教育プログラム評価委員会</t>
    <phoneticPr fontId="2"/>
  </si>
  <si>
    <t>医学部</t>
    <rPh sb="0" eb="1">
      <t xml:space="preserve">イ </t>
    </rPh>
    <phoneticPr fontId="2"/>
  </si>
  <si>
    <t>医療のための情報学</t>
    <phoneticPr fontId="2"/>
  </si>
  <si>
    <t>行動科学1a</t>
  </si>
  <si>
    <t>行動科学1a</t>
    <phoneticPr fontId="2"/>
  </si>
  <si>
    <t>選択講座１（AIリテラシー入門）</t>
  </si>
  <si>
    <t>選択講座１（AIリテラシー入門）</t>
    <phoneticPr fontId="2"/>
  </si>
  <si>
    <t>アカデミックリテラシー</t>
    <phoneticPr fontId="2"/>
  </si>
  <si>
    <t>医療のための数学</t>
    <phoneticPr fontId="2"/>
  </si>
  <si>
    <t>医療のための数学</t>
    <rPh sb="0" eb="3">
      <t>トウケイガク</t>
    </rPh>
    <phoneticPr fontId="2"/>
  </si>
  <si>
    <t>・ビッグデータ、IoT、AI、ロボット「行動科学1a」（12回目）
・第4次産業革命、Society 5.0、データ駆動型社会「医療のための情報学」（1回目）</t>
    <rPh sb="20" eb="24">
      <t xml:space="preserve">コウドウカガク </t>
    </rPh>
    <rPh sb="64" eb="66">
      <t xml:space="preserve">イリョウノタメノ </t>
    </rPh>
    <rPh sb="70" eb="73">
      <t xml:space="preserve">ジョウホウガク </t>
    </rPh>
    <rPh sb="76" eb="78">
      <t xml:space="preserve">カイメ </t>
    </rPh>
    <phoneticPr fontId="2"/>
  </si>
  <si>
    <t>・調査データ、実験データ、人の行動ログデータ、機械の稼働ログデータ「行動科学1a」（11回目）
・1次データ、2次データ、データのメタ化「医療のための情報学」（1回目）</t>
    <phoneticPr fontId="2"/>
  </si>
  <si>
    <t>・情報セキュリティ：機密性、完全性、可用性、匿名加工情報、暗号化「アカデミックリテラシー」（３回目）
・パスワード、情報漏洩等によるセキュリティ事故の事例紹介、悪意ある情報搾取「医療のための情報学」（14回目）</t>
    <rPh sb="65" eb="69">
      <t>チュウイカンキ</t>
    </rPh>
    <rPh sb="70" eb="72">
      <t>アクイ</t>
    </rPh>
    <rPh sb="89" eb="91">
      <t>イリョウ</t>
    </rPh>
    <rPh sb="95" eb="98">
      <t>ジョウホウガク</t>
    </rPh>
    <phoneticPr fontId="2"/>
  </si>
  <si>
    <t>・ELSI、GDPR、個人情報保護、忘れられる権利、オプトアウト、データ倫理、データバイアス、アルゴリズムバイアス「アカデミックリテラシー」（３回目）
・パスワード、情報漏洩等によるセキュリティ事故の事例紹介、悪意ある情報搾取「医療のための情報学」（14回目）</t>
    <rPh sb="36" eb="38">
      <t>リンリ</t>
    </rPh>
    <rPh sb="73" eb="74">
      <t>メ</t>
    </rPh>
    <phoneticPr fontId="2"/>
  </si>
  <si>
    <t>・データの集計「医療のための数学」（14回目）
・データ解析ツール「医療のための情報学」（９回目）
・表形式のデータ（csv）「AIリテラシー入門」（２回目）</t>
    <rPh sb="14" eb="15">
      <t>スウ</t>
    </rPh>
    <rPh sb="71" eb="73">
      <t>ニュウモン</t>
    </rPh>
    <phoneticPr fontId="2"/>
  </si>
  <si>
    <t>学習支援システム (Moodle) により各授業ごとの課題提出・フィードバックがなされており、定期的に学習成果の把握ができている。各学部ごとに授業アンケートが実施されている。医学部では「シラバス」「講義内容」「教員の態度」「講義資料」などが評価され、看護学部では「シラバス」「講義の構成・内容」「教材」「評価」などが評価された。両学部とも、アンケート結果は教員へフィードバックされ、授業改善に活用されている。今後は、その結果を教育プログラム委員会と共有することにより、本教育プログラムの改善にも活用していきたい。</t>
    <phoneticPr fontId="2"/>
  </si>
  <si>
    <t>理解度について検証するために、上の科目別のアンケートとは別に、必須項目の「導入」「基礎」「心得」の３つの項目についてアンケート調査を行った。「理解できた」「概ね理解できた」と回答したのは以下のとおりである。医学部については、導入：87%、基礎：87%、心得：89% となった。看護学部については、導入：70%、基礎：77%、心得：83% となった。自由記述のコメントにも、医学部は「理解できた」看護学部は「難しかった」という記載があった。</t>
    <phoneticPr fontId="2"/>
  </si>
  <si>
    <t>本教育プログラムはほぼ必修科目で構成されており、履修に関する推奨については考慮されていない。唯一存在する「選択講座」は年度ごとに公募され開講する講座であるため、こちらも後輩への推奨などは行われていないが、今後データサイエンス系の（選択）講座が充実されれば、後輩への推奨も行われるようになると期待される。</t>
    <phoneticPr fontId="2"/>
  </si>
  <si>
    <t>現在は、必修科目のみで教育プログラムの課程を修得できるようになっている。将来、科目が拡充されて選択科目が増えてきた時にこの問題を検討していきたい。</t>
    <phoneticPr fontId="2"/>
  </si>
  <si>
    <t>初年度の1学年次のプログラムが終了したところである。3年後（看護学部）もしくは5年後（医学部）に就職先（研修先）と共同で卒業生の状況を調査していく。</t>
    <phoneticPr fontId="2"/>
  </si>
  <si>
    <t>医学部では、「生成AI」についてグループディスカッションを行い、学生たちにAIを扱うことについての関心を深めることに効果があった。また、地元の企業でデータサイエンスを活用している研究者を招き、講義を行った（行動科学1a）。学生たちはいろいろな事例について興味を持っているようであった。看護学部では、AIを用いた病理診断を示し、学ぶことの意義を理解させている。</t>
    <phoneticPr fontId="2"/>
  </si>
  <si>
    <t>モデルカリキュラムに準拠した教科書を選定し、それを使用することによって、一定水準を維持している。学生アンケートによると、医学部では「理解できた」「概ね理解できた」との回答が85%を超え、看護学部では「理解できた」「概ね理解できた」との回答が75%程度であった。これより「分かりやすさ」についてはある程度満たされているといえる。</t>
    <phoneticPr fontId="2"/>
  </si>
  <si>
    <t>教育プログラム評価委員会において、学外委員の方々より産業界の視点を含めた形でご意見をいただいた。「学生が卒業する頃には電子カルテ情報が共有化，標準化されると思われるので，今のうちに情報やAIに関する教育が行われているのはありがたい」「高校で情報を学ぶ授業が必須になっている。データサイエンスに関する基礎を身に付けて入学してくると考えられるが，医療におけるデータサイエンスをどのように教えていくのかが課題となるため，接続性が良くなるとよいのではないか」などの意見があった。次年度以降のプログラムの改善に活用していきたい。</t>
    <rPh sb="0" eb="2">
      <t>キョウイク</t>
    </rPh>
    <rPh sb="7" eb="12">
      <t>ヒョウカイインカイ</t>
    </rPh>
    <rPh sb="17" eb="21">
      <t>ガクガイイイン</t>
    </rPh>
    <rPh sb="22" eb="24">
      <t>カタガタ</t>
    </rPh>
    <rPh sb="26" eb="29">
      <t>サンギョウカイ</t>
    </rPh>
    <rPh sb="30" eb="32">
      <t>シテン</t>
    </rPh>
    <rPh sb="33" eb="34">
      <t>フク</t>
    </rPh>
    <rPh sb="36" eb="37">
      <t>カタチ</t>
    </rPh>
    <rPh sb="39" eb="41">
      <t>イケン</t>
    </rPh>
    <rPh sb="228" eb="230">
      <t>イケン</t>
    </rPh>
    <rPh sb="235" eb="238">
      <t>ジネンド</t>
    </rPh>
    <rPh sb="238" eb="240">
      <t>イコウ</t>
    </rPh>
    <rPh sb="247" eb="249">
      <t>カイゼン</t>
    </rPh>
    <rPh sb="250" eb="252">
      <t>カツヨウ</t>
    </rPh>
    <phoneticPr fontId="2"/>
  </si>
  <si>
    <t xml:space="preserve">総合学術情報センターICT支援部門長　橋本貴宏教授
医学部教務部長　鈴木耕次郎教授
看護学部教務学生部長　若杉里実教授
医学部公衆衛生学講座　菱田朝陽教授
医学教育センター長　早稲田勝久教授　
看護学部基礎看護学講座　山中真教授
看護学部母子看護学講座　山本弘江准教授
学生委員　４名
</t>
    <rPh sb="0" eb="6">
      <t>ソウゴウガクジュツジョウホウ</t>
    </rPh>
    <rPh sb="13" eb="18">
      <t>シエンブモンチョウ</t>
    </rPh>
    <rPh sb="19" eb="23">
      <t>ハシモトタカヒロ</t>
    </rPh>
    <rPh sb="23" eb="25">
      <t>キョウジュ</t>
    </rPh>
    <rPh sb="26" eb="28">
      <t>イガク</t>
    </rPh>
    <rPh sb="28" eb="29">
      <t>ブ</t>
    </rPh>
    <rPh sb="29" eb="33">
      <t>キョウムブチョウ</t>
    </rPh>
    <rPh sb="34" eb="39">
      <t>スズキコウジロウ</t>
    </rPh>
    <rPh sb="39" eb="41">
      <t>キョウジュ</t>
    </rPh>
    <rPh sb="42" eb="46">
      <t>カンゴガクブ</t>
    </rPh>
    <rPh sb="46" eb="52">
      <t>キョウムガクセイブチョウ</t>
    </rPh>
    <rPh sb="57" eb="59">
      <t>キョウジュ</t>
    </rPh>
    <rPh sb="60" eb="63">
      <t>イガクブ</t>
    </rPh>
    <rPh sb="63" eb="68">
      <t>コウシュウエイセイガク</t>
    </rPh>
    <rPh sb="68" eb="70">
      <t>コウザ</t>
    </rPh>
    <rPh sb="75" eb="77">
      <t>キョウジュ</t>
    </rPh>
    <rPh sb="78" eb="82">
      <t>イガクキョウイク</t>
    </rPh>
    <rPh sb="86" eb="87">
      <t>チョウ</t>
    </rPh>
    <rPh sb="93" eb="95">
      <t>キョウジュ</t>
    </rPh>
    <rPh sb="97" eb="101">
      <t>カンゴガクブ</t>
    </rPh>
    <rPh sb="101" eb="106">
      <t>キソカンゴガク</t>
    </rPh>
    <rPh sb="106" eb="108">
      <t>コウザ</t>
    </rPh>
    <rPh sb="112" eb="114">
      <t>キョウジュ</t>
    </rPh>
    <rPh sb="115" eb="119">
      <t>カンゴガクブ</t>
    </rPh>
    <rPh sb="119" eb="124">
      <t>ボシカンゴガク</t>
    </rPh>
    <rPh sb="124" eb="126">
      <t>コウザ</t>
    </rPh>
    <rPh sb="131" eb="132">
      <t>ジュン</t>
    </rPh>
    <rPh sb="132" eb="134">
      <t>キョウジュ</t>
    </rPh>
    <rPh sb="135" eb="139">
      <t>ガクセイイイン</t>
    </rPh>
    <rPh sb="141" eb="142">
      <t>メイ</t>
    </rPh>
    <phoneticPr fontId="2"/>
  </si>
  <si>
    <t>授業時間内においては、特にPCを使った授業では実習的な要素もあり、各教員の学習指導が行き届いているといえる。授業時間外においては、プログラムを構成する授業科目のシラバスにオフィスアワーが記載されており、学生が教員に質問に行くことができる。また、それ以外の時間にも本学設置の授業支援システム及びメールシステムを通じて疑問点について質問ができる仕組みは構築されている。</t>
    <rPh sb="0" eb="5">
      <t>ジュギョウジカンナイ</t>
    </rPh>
    <rPh sb="11" eb="12">
      <t>トク</t>
    </rPh>
    <rPh sb="16" eb="17">
      <t>ツカ</t>
    </rPh>
    <rPh sb="19" eb="21">
      <t>ジュギョウ</t>
    </rPh>
    <rPh sb="23" eb="25">
      <t>ジッシュウ</t>
    </rPh>
    <rPh sb="25" eb="26">
      <t>テキ</t>
    </rPh>
    <rPh sb="27" eb="29">
      <t>ヨウソ</t>
    </rPh>
    <rPh sb="33" eb="36">
      <t>カクキョウイン</t>
    </rPh>
    <rPh sb="37" eb="41">
      <t>ガクシュウシドウ</t>
    </rPh>
    <rPh sb="42" eb="43">
      <t>イ</t>
    </rPh>
    <rPh sb="44" eb="45">
      <t>トド</t>
    </rPh>
    <rPh sb="54" eb="59">
      <t>ジュギョウジカンガイ</t>
    </rPh>
    <rPh sb="71" eb="73">
      <t>コウセイ</t>
    </rPh>
    <rPh sb="75" eb="79">
      <t>ジュギョウカモク</t>
    </rPh>
    <rPh sb="93" eb="95">
      <t>キサイ</t>
    </rPh>
    <rPh sb="101" eb="103">
      <t>ガクセイ</t>
    </rPh>
    <rPh sb="104" eb="106">
      <t>キョウイン</t>
    </rPh>
    <rPh sb="107" eb="109">
      <t>シツモン</t>
    </rPh>
    <rPh sb="110" eb="111">
      <t>イ</t>
    </rPh>
    <rPh sb="124" eb="126">
      <t>イガイ</t>
    </rPh>
    <phoneticPr fontId="2"/>
  </si>
  <si>
    <t>本学では医学部、看護学部両学部の教務委員会が学部教育全般を担当している。数理・データサイエンス・AI教育を実施するため、全学的な組織として「愛知医科大学メディカルデータサイエンス教育プログラム委員会」を令和５年度に設置した。</t>
    <rPh sb="0" eb="2">
      <t>ホンガク</t>
    </rPh>
    <rPh sb="4" eb="7">
      <t>イガクブ</t>
    </rPh>
    <rPh sb="8" eb="12">
      <t>カンゴガクブ</t>
    </rPh>
    <rPh sb="12" eb="15">
      <t>リョウガクブ</t>
    </rPh>
    <rPh sb="16" eb="21">
      <t>キョウムイインカイ</t>
    </rPh>
    <rPh sb="22" eb="24">
      <t>ガクブ</t>
    </rPh>
    <rPh sb="24" eb="26">
      <t>キョウイク</t>
    </rPh>
    <rPh sb="26" eb="28">
      <t>ゼンパン</t>
    </rPh>
    <rPh sb="29" eb="31">
      <t>タントウ</t>
    </rPh>
    <rPh sb="36" eb="38">
      <t>スウリ</t>
    </rPh>
    <rPh sb="50" eb="52">
      <t>キョウイク</t>
    </rPh>
    <rPh sb="53" eb="55">
      <t>ジッシ</t>
    </rPh>
    <rPh sb="60" eb="63">
      <t>ゼンガクテキ</t>
    </rPh>
    <rPh sb="64" eb="66">
      <t>ソシキ</t>
    </rPh>
    <rPh sb="101" eb="103">
      <t>レイワ</t>
    </rPh>
    <rPh sb="104" eb="106">
      <t>ネンド</t>
    </rPh>
    <rPh sb="107" eb="109">
      <t>セッチ</t>
    </rPh>
    <phoneticPr fontId="2"/>
  </si>
  <si>
    <t>令和５年度は医学部の１部科目が選択科目であったが、希望者は全員受講可能であった。今後はすべての科目が必修科目となるようにカリキュラムが変更される予定である。</t>
    <rPh sb="0" eb="2">
      <t>レイワ</t>
    </rPh>
    <rPh sb="3" eb="5">
      <t>ネンド</t>
    </rPh>
    <rPh sb="6" eb="9">
      <t>イガクブ</t>
    </rPh>
    <rPh sb="11" eb="14">
      <t>ブカモク</t>
    </rPh>
    <rPh sb="15" eb="19">
      <t>センタクカモク</t>
    </rPh>
    <rPh sb="25" eb="28">
      <t>キボウシャ</t>
    </rPh>
    <rPh sb="29" eb="33">
      <t>ゼンインジュコウ</t>
    </rPh>
    <rPh sb="33" eb="35">
      <t>カノウ</t>
    </rPh>
    <rPh sb="40" eb="42">
      <t>コンゴ</t>
    </rPh>
    <rPh sb="47" eb="49">
      <t>カモク</t>
    </rPh>
    <rPh sb="50" eb="54">
      <t>ヒッシュウカモク</t>
    </rPh>
    <rPh sb="72" eb="74">
      <t>ヨテイ</t>
    </rPh>
    <phoneticPr fontId="2"/>
  </si>
  <si>
    <t>必修科目であるので、全ての学生が履修できることになっている。取り組みについては大学ホームページにて公開している。新入生のガイダンスでも教育プログラムを周知していく。</t>
    <rPh sb="0" eb="4">
      <t>ヒッシュウカモク</t>
    </rPh>
    <rPh sb="10" eb="11">
      <t>スベ</t>
    </rPh>
    <rPh sb="13" eb="15">
      <t>ガクセイ</t>
    </rPh>
    <rPh sb="16" eb="18">
      <t>リシュウ</t>
    </rPh>
    <rPh sb="30" eb="31">
      <t>ト</t>
    </rPh>
    <rPh sb="32" eb="33">
      <t>ク</t>
    </rPh>
    <rPh sb="39" eb="41">
      <t>ダイガク</t>
    </rPh>
    <rPh sb="49" eb="51">
      <t>コウカイ</t>
    </rPh>
    <rPh sb="56" eb="59">
      <t>シンニュウセイ</t>
    </rPh>
    <rPh sb="67" eb="69">
      <t>キョウイク</t>
    </rPh>
    <rPh sb="75" eb="77">
      <t>シュウチ</t>
    </rPh>
    <phoneticPr fontId="2"/>
  </si>
  <si>
    <t>・ビッグデータ、IoT、第４次産業革命、Society5.0、データ駆動型社会「情報科学Ⅰ」(１回目)</t>
    <phoneticPr fontId="2"/>
  </si>
  <si>
    <t>・AI最新技術の活用例(強化学習など)「情報科学Ⅰ」(７回目)</t>
    <phoneticPr fontId="2"/>
  </si>
  <si>
    <t>・研究開発、調達、製造、物流、マーケティング、販売、サービス「情報科学Ⅰ」(１回目)</t>
    <phoneticPr fontId="2"/>
  </si>
  <si>
    <t>・データ解析(予測、発見)、データの可視化(グラフ、地図)、非構造化データの処理(自然言語処理、画像/動画処理、音声/音楽処理)「情報科学Ⅰ」(７回目)</t>
    <phoneticPr fontId="2"/>
  </si>
  <si>
    <t>・データサイエンスのサイクル、ヘルスケアにおけるデータ利活用事例「情報科学Ⅰ」(３回目)</t>
    <phoneticPr fontId="2"/>
  </si>
  <si>
    <t>・個人情報保護「情報科学Ⅰ」(４回目)</t>
    <phoneticPr fontId="2"/>
  </si>
  <si>
    <t>・暗号化、パスワード「情報科学Ⅰ」(６回目)</t>
    <phoneticPr fontId="2"/>
  </si>
  <si>
    <t>・データの集計、データの並べ替え「情報科学Ⅱ」(10回目、11回目)</t>
    <phoneticPr fontId="2"/>
  </si>
  <si>
    <t>・データ表現（棒グラフ、折線グラフ）「統計学」（２回目)
・データ表現（散布図）「統計学」（14回目)</t>
    <phoneticPr fontId="2"/>
  </si>
  <si>
    <t xml:space="preserve">・データの種類「統計学」（１回目)
・データの分布と代表値、データのばらつき「統計学」（２回目)
・母集団と標本抽出（国勢調査、全数調査、単純無作為抽出）、観測データに含まれる誤差の扱い「統計学」（６回目)
・クロス集計表、分割表「統計学」（13回目)
・相関と因果（相関係数）「統計学」（14回目)
</t>
    <rPh sb="8" eb="10">
      <t>トウケイ</t>
    </rPh>
    <rPh sb="94" eb="96">
      <t>トウケイ</t>
    </rPh>
    <phoneticPr fontId="2"/>
  </si>
  <si>
    <t>・データ表現（棒グラフ）「医療のための情報学」（９回目）
・データ表現（散布図）「医療のための情報学」（11回目）
・データの比較（A/Bテスト)「医療のための数学」（22回目）</t>
    <rPh sb="26" eb="27">
      <t>メ</t>
    </rPh>
    <rPh sb="36" eb="39">
      <t>サンプズ</t>
    </rPh>
    <rPh sb="87" eb="88">
      <t>メ</t>
    </rPh>
    <phoneticPr fontId="2"/>
  </si>
  <si>
    <t>・データの種類、データの分布と代表値、データのばらつき「医療のための数学」（14回目)
・母集団と標本抽出（国勢調査、全数調査、単純無作為抽出）、観測データに含まれる誤差の扱い「医療のための数学」（15回目)
・データの分布(ヒストグラム)「医療のための情報学」（17回目）
・クロス集計表、分割表「医療のための情報学」（21回目）
・相関と因果（相関係数）「医療のための数学」（24回目）</t>
    <rPh sb="28" eb="30">
      <t>イリョウ</t>
    </rPh>
    <rPh sb="34" eb="36">
      <t>スウガク</t>
    </rPh>
    <rPh sb="40" eb="42">
      <t>カイメ</t>
    </rPh>
    <phoneticPr fontId="2"/>
  </si>
  <si>
    <t>・仮説検証「行動科学1a」（11回目）
・サービス「行動科学1a」（12回目）
・仮説検証、知識発見、原因究明、計画策定、判断支援、活動代替、新規生成「AIリテラシー入門」（２回目）</t>
    <rPh sb="83" eb="85">
      <t>ニュウモン</t>
    </rPh>
    <phoneticPr fontId="2"/>
  </si>
  <si>
    <t>・データ解析：パターン発見「行動科学1a」（11回目）
・データ可視化：複合グラフ、2軸グラフ「行動科学1a」（11回目）
・非構造化データ処理：言語処理、画像/動画処理、認識技術、自動化技術「行動科学1a」（12回目）
・特化型AIと汎用AI、AIとビッグデータ「AIリテラシー入門」（２回目）</t>
    <phoneticPr fontId="2"/>
  </si>
  <si>
    <t>・ヘルスケアにおけるデータ・AI利活用事例紹介「行動科学1a」（11回目）
・サービス、ヘルスケアにおけるデータ・AI利活用事例紹介「AIリテラシー入門」（２回目）</t>
    <phoneticPr fontId="2"/>
  </si>
  <si>
    <t>・AI最新技術の活用例（深層生成モデル、敵対的生成ネットワーク、強化学習）「行動科学1a」（12回目）
・AI等を活用した新しいビジネスモデル(商品のレコメンデーション)「AIリテラシー入門」（２回目）</t>
    <phoneticPr fontId="2"/>
  </si>
  <si>
    <t>橋本貴宏</t>
    <rPh sb="0" eb="2">
      <t>ハシモト</t>
    </rPh>
    <rPh sb="2" eb="4">
      <t>タカヒロ</t>
    </rPh>
    <phoneticPr fontId="2"/>
  </si>
  <si>
    <t>春日井邦夫</t>
    <rPh sb="0" eb="5">
      <t>カスガイクニオ</t>
    </rPh>
    <phoneticPr fontId="2"/>
  </si>
  <si>
    <t>祖父江元</t>
    <rPh sb="0" eb="3">
      <t>ソブエ</t>
    </rPh>
    <rPh sb="3" eb="4">
      <t>ゲン</t>
    </rPh>
    <phoneticPr fontId="2"/>
  </si>
  <si>
    <t>学長</t>
    <rPh sb="0" eb="2">
      <t>ガクチョウ</t>
    </rPh>
    <phoneticPr fontId="2"/>
  </si>
  <si>
    <t>PC端末室に情報基盤部門・ICT支援部門が隣接しており、実習においてハード・ソフト両面でのサポート体制が整っている。また、両学部ともに講義は収録されており、学生がオンデマンドで振り返りを行うことができる。</t>
    <rPh sb="2" eb="5">
      <t>タンマツシツ</t>
    </rPh>
    <rPh sb="6" eb="12">
      <t>ジョウホウキバンブモン</t>
    </rPh>
    <rPh sb="16" eb="20">
      <t>シエンブモン</t>
    </rPh>
    <rPh sb="21" eb="23">
      <t>リンセツ</t>
    </rPh>
    <rPh sb="28" eb="30">
      <t>ジッシュウ</t>
    </rPh>
    <rPh sb="41" eb="43">
      <t>リョウメン</t>
    </rPh>
    <rPh sb="49" eb="51">
      <t>タイセイ</t>
    </rPh>
    <rPh sb="52" eb="53">
      <t>トトノ</t>
    </rPh>
    <rPh sb="61" eb="64">
      <t>リョウガクブ</t>
    </rPh>
    <rPh sb="67" eb="69">
      <t>コウギ</t>
    </rPh>
    <rPh sb="70" eb="72">
      <t>シュウロク</t>
    </rPh>
    <rPh sb="78" eb="80">
      <t>ガクセイ</t>
    </rPh>
    <rPh sb="88" eb="89">
      <t>フ</t>
    </rPh>
    <rPh sb="90" eb="91">
      <t>カエ</t>
    </rPh>
    <rPh sb="93" eb="94">
      <t>オコナ</t>
    </rPh>
    <phoneticPr fontId="2"/>
  </si>
  <si>
    <t>愛知医科大学メディカルデータサイエンス教育プログラム委員会委員長・教授</t>
    <rPh sb="0" eb="2">
      <t>アイチ</t>
    </rPh>
    <rPh sb="2" eb="4">
      <t>イカ</t>
    </rPh>
    <rPh sb="4" eb="6">
      <t>ダイガク</t>
    </rPh>
    <rPh sb="19" eb="21">
      <t>キョウイク</t>
    </rPh>
    <rPh sb="26" eb="29">
      <t>イインカイ</t>
    </rPh>
    <rPh sb="29" eb="32">
      <t>イインチョウ</t>
    </rPh>
    <rPh sb="33" eb="35">
      <t>キョウジュ</t>
    </rPh>
    <phoneticPr fontId="2"/>
  </si>
  <si>
    <t>愛知医科大学メディカルデータサイエンス教育プログラム評価委員会委員長・教授</t>
  </si>
  <si>
    <t>・「行動科学1a」では、講師がChatGPT の概要を説明した後、文章作成の実演をした。
・「アカデミックリテラシー」では、文章生成AIが大学での学びにどのような影響を与えるかについて、グループディスカッションを行った。</t>
    <rPh sb="0" eb="1">
      <t xml:space="preserve">テｎ </t>
    </rPh>
    <rPh sb="45" eb="46">
      <t>_x0000__x0000__x0001__x0003_-_x0001__x0006_-_x0001_	-_x0001__x000C_-_x0001__x000F_-_x0001__x0012_&gt;_x0004__x001C_E_x0002_#I_x0001_(Q_x0002_/T_x0001_9j_x0001_ꎣꎣꎣꎣꎣꎣꎣꎣꎣꎣꎣꎣꎣꎣꎣꎣꎣꎣ</t>
    </rPh>
    <phoneticPr fontId="2"/>
  </si>
  <si>
    <t>統計学</t>
    <phoneticPr fontId="2"/>
  </si>
  <si>
    <t>様式１－１</t>
    <rPh sb="0" eb="2">
      <t>ヨウシキ</t>
    </rPh>
    <phoneticPr fontId="2"/>
  </si>
  <si>
    <t>様式１ー２</t>
    <rPh sb="0" eb="2">
      <t>ヨウシキ</t>
    </rPh>
    <phoneticPr fontId="2"/>
  </si>
  <si>
    <t>医学部、看護学部ともに必修科目のみでプログラムの修了要件を満たすことができるため、看護学部は令和８年度、医学部は令和１０年度には履修率が100%になる予定である。</t>
    <rPh sb="0" eb="3">
      <t>イガクブ</t>
    </rPh>
    <rPh sb="4" eb="8">
      <t>カンゴガクブ</t>
    </rPh>
    <rPh sb="11" eb="15">
      <t>ヒッシュウカモク</t>
    </rPh>
    <rPh sb="24" eb="26">
      <t>シュウリョウ</t>
    </rPh>
    <rPh sb="26" eb="28">
      <t>ヨウケン</t>
    </rPh>
    <rPh sb="29" eb="30">
      <t>ミ</t>
    </rPh>
    <rPh sb="41" eb="45">
      <t>カンゴガクブ</t>
    </rPh>
    <rPh sb="46" eb="48">
      <t>レイワ</t>
    </rPh>
    <rPh sb="49" eb="51">
      <t>ネンド</t>
    </rPh>
    <rPh sb="52" eb="55">
      <t>イガクブ</t>
    </rPh>
    <rPh sb="56" eb="58">
      <t>レイワ</t>
    </rPh>
    <rPh sb="60" eb="62">
      <t>ネンド</t>
    </rPh>
    <rPh sb="64" eb="67">
      <t>リシュウリツ</t>
    </rPh>
    <rPh sb="75" eb="77">
      <t>ヨテイ</t>
    </rPh>
    <phoneticPr fontId="2"/>
  </si>
  <si>
    <t>プログラムを構成する「医療のための情報学」２単位、「アカデミックリテラシー」１単位、「行動科学１ａ」１単位、「医療のための数学」２単位の計6単位を取得すること。
（選択講座1は選択科目につき、履修を必須としない。）</t>
    <phoneticPr fontId="2"/>
  </si>
  <si>
    <t>・データ・AIの知識や利活用はデジタル社会において重要な素養であることを理解し，説明することができる。
・データを読み，説明し，正しく扱うことができる。
・ねつ造・改ざん・盗用（剽窃）が不正行為である事を理解し，著作権や情報の信憑性に留意して適切に引用することができる。
・上の３つの事項を踏まえ、医療現場において数理的・倫理的に適切にデータを扱うことができる。</t>
    <rPh sb="137" eb="138">
      <t>ウエ</t>
    </rPh>
    <rPh sb="142" eb="144">
      <t>ジコウ</t>
    </rPh>
    <rPh sb="145" eb="146">
      <t>フ</t>
    </rPh>
    <rPh sb="149" eb="153">
      <t>イリョウゲンバ</t>
    </rPh>
    <rPh sb="157" eb="160">
      <t>スウリテキ</t>
    </rPh>
    <rPh sb="161" eb="164">
      <t>リンリテキ</t>
    </rPh>
    <rPh sb="165" eb="167">
      <t>テキセツ</t>
    </rPh>
    <rPh sb="172" eb="173">
      <t>アツカ</t>
    </rPh>
    <phoneticPr fontId="2"/>
  </si>
  <si>
    <t>・データサイエンス・ＡＩを理解し、活用できる。
・データを適切に読み、説明し、扱うことができる。
・セキュリティ確保・個人情報保護・著作権を理解し、適切に対処・行動できる。
・上の３つの事項を踏まえ、医療現場において数理的・倫理的に適切にデータを扱うことができる。</t>
    <phoneticPr fontId="2"/>
  </si>
  <si>
    <t>令和5年度においては、医学部は「医療のための情報学」「アカデミックリテラシー」「行動科学１a」「医療のための数学」「選択講座（AIリテラシー入門）」の5科目、看護学部は「情報科学I」「情報科学II」「統計学」の3科目によりプログラムは構成されている。それらは全て1学年次開講の科目である。そのうち「選択講座」は履修を必須としない科目であり、それ以外は全ての科目が必修科目である。ゆえに全ての学生が履修することとなっている。
プログラムの修得状況は、医学部の修了者数は 111名、看護学部の修了者数は 100名であり、医学部と看護学部の修得率はそれぞれ 96% と 97% であった。</t>
    <rPh sb="0" eb="2">
      <t xml:space="preserve">レイワ </t>
    </rPh>
    <rPh sb="224" eb="227">
      <t>イガクブ</t>
    </rPh>
    <rPh sb="228" eb="232">
      <t>シュウリョウシャスウ</t>
    </rPh>
    <rPh sb="237" eb="238">
      <t>メイ</t>
    </rPh>
    <rPh sb="239" eb="243">
      <t>カンゴガクブ</t>
    </rPh>
    <rPh sb="244" eb="248">
      <t>シュウリョウシャスウ</t>
    </rPh>
    <rPh sb="253" eb="254">
      <t>メイ</t>
    </rPh>
    <rPh sb="258" eb="261">
      <t>イガクブ</t>
    </rPh>
    <rPh sb="262" eb="266">
      <t>カンゴガクブ</t>
    </rPh>
    <phoneticPr fontId="2"/>
  </si>
  <si>
    <t>医学部</t>
    <rPh sb="0" eb="3">
      <t xml:space="preserve">イガクブ </t>
    </rPh>
    <phoneticPr fontId="2"/>
  </si>
  <si>
    <t>看護学部</t>
    <rPh sb="0" eb="4">
      <t xml:space="preserve">カンゴガクブ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</si>
</sst>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x14ac:knownFonts="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0"/>
      <name val="ＭＳ Ｐゴシック"/>
      <family val="3"/>
      <charset val="128"/>
      <scheme val="minor"/>
    </font>
    <font>
      <sz val="10"/>
      <color theme="1"/>
      <name val="ＭＳ Ｐゴシック"/>
      <family val="3"/>
      <charset val="128"/>
    </font>
    <font>
      <sz val="8"/>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5" fillId="0" borderId="0" applyFont="0" applyFill="0" applyBorder="0" applyAlignment="0" applyProtection="0">
      <alignment vertical="center"/>
    </xf>
    <xf numFmtId="38" fontId="5" fillId="0" borderId="0" applyFont="0" applyFill="0" applyBorder="0" applyAlignment="0" applyProtection="0">
      <alignment vertical="center"/>
    </xf>
  </cellStyleXfs>
  <cellXfs count="270">
    <xf numFmtId="0" fontId="0" fillId="0" borderId="0" xfId="0">
      <alignment vertical="center"/>
    </xf>
    <xf numFmtId="0" fontId="3" fillId="0" borderId="0" xfId="0" applyFont="1">
      <alignment vertical="center"/>
    </xf>
    <xf numFmtId="0" fontId="6"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7" fillId="0" borderId="0" xfId="0" applyFont="1" applyAlignment="1">
      <alignment horizontal="center" vertical="center"/>
    </xf>
    <xf numFmtId="0" fontId="3" fillId="0" borderId="0" xfId="0" applyFont="1" applyAlignment="1">
      <alignment vertical="center" shrinkToFit="1"/>
    </xf>
    <xf numFmtId="9" fontId="3" fillId="0" borderId="10" xfId="0" applyNumberFormat="1" applyFont="1" applyBorder="1" applyAlignment="1">
      <alignment vertical="center" shrinkToFit="1"/>
    </xf>
    <xf numFmtId="9" fontId="3" fillId="0" borderId="20" xfId="0" applyNumberFormat="1" applyFont="1" applyBorder="1" applyAlignment="1">
      <alignment vertical="center" shrinkToFit="1"/>
    </xf>
    <xf numFmtId="9" fontId="3" fillId="0" borderId="24" xfId="0" applyNumberFormat="1" applyFont="1" applyBorder="1" applyAlignment="1">
      <alignment vertical="center" shrinkToFit="1"/>
    </xf>
    <xf numFmtId="0" fontId="3" fillId="0" borderId="0" xfId="0" applyFont="1" applyAlignment="1">
      <alignment horizontal="left" vertical="center"/>
    </xf>
    <xf numFmtId="0" fontId="3" fillId="0" borderId="20" xfId="0" applyFont="1" applyBorder="1" applyAlignment="1">
      <alignment horizontal="left" vertical="center" shrinkToFit="1"/>
    </xf>
    <xf numFmtId="0" fontId="3" fillId="0" borderId="21" xfId="0" applyFont="1" applyBorder="1" applyAlignment="1">
      <alignment horizontal="left" vertical="center" shrinkToFit="1"/>
    </xf>
    <xf numFmtId="0" fontId="3" fillId="0" borderId="25" xfId="0" applyFont="1" applyBorder="1" applyAlignment="1">
      <alignment horizontal="center" vertical="center" shrinkToFit="1"/>
    </xf>
    <xf numFmtId="0" fontId="3" fillId="0" borderId="0" xfId="0" applyFont="1" applyAlignment="1">
      <alignment vertical="top" wrapText="1"/>
    </xf>
    <xf numFmtId="0" fontId="3" fillId="0" borderId="0" xfId="0" applyFont="1" applyAlignment="1">
      <alignment vertical="center" wrapText="1"/>
    </xf>
    <xf numFmtId="49" fontId="4"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0" xfId="0" applyFont="1" applyAlignment="1">
      <alignment horizontal="center" vertical="center" shrinkToFit="1"/>
    </xf>
    <xf numFmtId="49" fontId="4" fillId="0" borderId="43" xfId="0" applyNumberFormat="1" applyFont="1" applyBorder="1" applyAlignment="1">
      <alignment horizontal="center" vertical="center"/>
    </xf>
    <xf numFmtId="49" fontId="4" fillId="0" borderId="44" xfId="0" applyNumberFormat="1" applyFont="1" applyBorder="1" applyAlignment="1">
      <alignment horizontal="center" vertical="center"/>
    </xf>
    <xf numFmtId="49" fontId="4" fillId="0" borderId="39"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42" xfId="0" applyNumberFormat="1" applyFont="1" applyBorder="1" applyAlignment="1">
      <alignment horizontal="center" vertical="center"/>
    </xf>
    <xf numFmtId="49" fontId="4" fillId="0" borderId="28" xfId="0" applyNumberFormat="1"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right" vertical="center"/>
    </xf>
    <xf numFmtId="0" fontId="3" fillId="0" borderId="1" xfId="0" applyFont="1" applyBorder="1" applyAlignment="1">
      <alignment horizontal="left" vertical="center"/>
    </xf>
    <xf numFmtId="0" fontId="4" fillId="0" borderId="0" xfId="0" applyFont="1">
      <alignment vertical="center"/>
    </xf>
    <xf numFmtId="0" fontId="6" fillId="0" borderId="0" xfId="0" applyFont="1" applyAlignment="1">
      <alignment horizontal="left" vertical="center"/>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4" fillId="0" borderId="0" xfId="0" applyFont="1" applyAlignment="1">
      <alignment vertical="top" shrinkToFit="1"/>
    </xf>
    <xf numFmtId="0" fontId="3" fillId="2" borderId="5" xfId="0" applyFont="1" applyFill="1" applyBorder="1">
      <alignment vertical="center"/>
    </xf>
    <xf numFmtId="0" fontId="4" fillId="2" borderId="10" xfId="0" applyFont="1" applyFill="1" applyBorder="1" applyAlignment="1">
      <alignment vertical="top" wrapText="1"/>
    </xf>
    <xf numFmtId="0" fontId="4" fillId="2" borderId="5" xfId="0" applyFont="1" applyFill="1" applyBorder="1" applyAlignment="1">
      <alignment vertical="top" wrapText="1"/>
    </xf>
    <xf numFmtId="0" fontId="4" fillId="2" borderId="11" xfId="0" applyFont="1" applyFill="1" applyBorder="1" applyAlignment="1">
      <alignment vertical="top" wrapText="1"/>
    </xf>
    <xf numFmtId="0" fontId="4" fillId="2" borderId="37" xfId="0" applyFont="1" applyFill="1" applyBorder="1" applyAlignment="1">
      <alignment vertical="top" wrapText="1"/>
    </xf>
    <xf numFmtId="0" fontId="4" fillId="2" borderId="38" xfId="0" applyFont="1" applyFill="1" applyBorder="1" applyAlignment="1">
      <alignment vertical="top" wrapText="1"/>
    </xf>
    <xf numFmtId="0" fontId="4" fillId="2" borderId="37" xfId="0" applyFont="1" applyFill="1" applyBorder="1" applyAlignment="1">
      <alignment vertical="top" shrinkToFit="1"/>
    </xf>
    <xf numFmtId="0" fontId="4" fillId="2" borderId="0" xfId="0" applyFont="1" applyFill="1" applyAlignment="1">
      <alignment vertical="top" wrapText="1"/>
    </xf>
    <xf numFmtId="0" fontId="3" fillId="2" borderId="0" xfId="0" applyFont="1" applyFill="1">
      <alignment vertical="center"/>
    </xf>
    <xf numFmtId="0" fontId="4" fillId="2" borderId="38" xfId="0" applyFont="1" applyFill="1" applyBorder="1" applyAlignment="1">
      <alignment vertical="top" shrinkToFit="1"/>
    </xf>
    <xf numFmtId="0" fontId="4" fillId="0" borderId="4" xfId="0" applyFont="1" applyBorder="1" applyAlignment="1">
      <alignment horizontal="center" vertical="center" shrinkToFit="1"/>
    </xf>
    <xf numFmtId="0" fontId="4" fillId="0" borderId="1" xfId="0" applyFont="1" applyBorder="1" applyAlignment="1">
      <alignment horizontal="center" vertical="center" shrinkToFit="1"/>
    </xf>
    <xf numFmtId="38" fontId="3" fillId="0" borderId="45"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18" xfId="2" applyFont="1" applyBorder="1" applyAlignment="1">
      <alignment vertical="center" shrinkToFit="1"/>
    </xf>
    <xf numFmtId="38" fontId="3" fillId="0" borderId="46" xfId="2" applyFont="1" applyBorder="1" applyAlignment="1">
      <alignment vertical="center" shrinkToFit="1"/>
    </xf>
    <xf numFmtId="38" fontId="3" fillId="0" borderId="17" xfId="2" applyFont="1" applyBorder="1" applyAlignment="1">
      <alignment vertical="center" shrinkToFit="1"/>
    </xf>
    <xf numFmtId="38" fontId="3" fillId="0" borderId="10" xfId="2" applyFont="1" applyBorder="1" applyAlignment="1">
      <alignment vertical="center" shrinkToFit="1"/>
    </xf>
    <xf numFmtId="38" fontId="3" fillId="0" borderId="25" xfId="2" applyFont="1" applyBorder="1" applyAlignment="1">
      <alignment vertical="center" shrinkToFit="1"/>
    </xf>
    <xf numFmtId="38" fontId="3" fillId="0" borderId="23" xfId="2" applyFont="1" applyBorder="1" applyAlignment="1">
      <alignment vertical="center" shrinkToFit="1"/>
    </xf>
    <xf numFmtId="38" fontId="3" fillId="0" borderId="22" xfId="2" applyFont="1" applyBorder="1" applyAlignment="1">
      <alignment vertical="center" shrinkToFit="1"/>
    </xf>
    <xf numFmtId="0" fontId="9" fillId="0" borderId="32" xfId="0" applyFont="1" applyBorder="1" applyAlignment="1">
      <alignment horizontal="center" vertical="center"/>
    </xf>
    <xf numFmtId="0" fontId="9" fillId="0" borderId="35" xfId="0" applyFont="1" applyBorder="1" applyAlignment="1">
      <alignment horizontal="center" vertical="center"/>
    </xf>
    <xf numFmtId="38" fontId="3" fillId="0" borderId="48" xfId="2" applyFont="1" applyBorder="1" applyAlignment="1">
      <alignment vertical="center" shrinkToFit="1"/>
    </xf>
    <xf numFmtId="0" fontId="11" fillId="0" borderId="0" xfId="0" applyFont="1">
      <alignment vertical="center"/>
    </xf>
    <xf numFmtId="0" fontId="12" fillId="0" borderId="0" xfId="0" applyFont="1">
      <alignment vertical="center"/>
    </xf>
    <xf numFmtId="0" fontId="12" fillId="0" borderId="0" xfId="0" applyFont="1" applyAlignment="1">
      <alignment vertical="center" wrapText="1"/>
    </xf>
    <xf numFmtId="49" fontId="12" fillId="0" borderId="0" xfId="0" applyNumberFormat="1" applyFont="1" applyAlignment="1">
      <alignment vertical="center" shrinkToFit="1"/>
    </xf>
    <xf numFmtId="0" fontId="3" fillId="0" borderId="0" xfId="0" applyFont="1" applyAlignment="1">
      <alignment vertical="top" wrapText="1" shrinkToFit="1"/>
    </xf>
    <xf numFmtId="0" fontId="3" fillId="0" borderId="0" xfId="0" applyFont="1" applyAlignment="1">
      <alignment vertical="top" shrinkToFit="1"/>
    </xf>
    <xf numFmtId="0" fontId="13" fillId="0" borderId="0" xfId="0" applyFont="1">
      <alignment vertical="center"/>
    </xf>
    <xf numFmtId="0" fontId="14" fillId="0" borderId="0" xfId="0" applyFont="1">
      <alignment vertical="center"/>
    </xf>
    <xf numFmtId="0" fontId="14" fillId="0" borderId="0" xfId="0" applyFont="1" applyAlignment="1">
      <alignment horizontal="right" vertical="center"/>
    </xf>
    <xf numFmtId="0" fontId="14" fillId="0" borderId="1" xfId="0" applyFont="1" applyBorder="1" applyAlignment="1">
      <alignment horizontal="center" vertical="center"/>
    </xf>
    <xf numFmtId="0" fontId="14" fillId="0" borderId="0" xfId="0" applyFont="1" applyAlignment="1">
      <alignment vertical="center" shrinkToFit="1"/>
    </xf>
    <xf numFmtId="0" fontId="14" fillId="0" borderId="0" xfId="0" applyFont="1" applyAlignment="1">
      <alignment horizontal="left" vertical="center" shrinkToFit="1"/>
    </xf>
    <xf numFmtId="0" fontId="14" fillId="0" borderId="0" xfId="0" applyFont="1" applyAlignment="1">
      <alignment horizontal="center" vertical="center"/>
    </xf>
    <xf numFmtId="0" fontId="14" fillId="0" borderId="0" xfId="0" applyFont="1" applyAlignment="1">
      <alignment horizontal="left" vertical="center"/>
    </xf>
    <xf numFmtId="0" fontId="13" fillId="0" borderId="0" xfId="0" applyFont="1" applyAlignment="1">
      <alignment horizontal="center" vertical="center"/>
    </xf>
    <xf numFmtId="0" fontId="14" fillId="0" borderId="1" xfId="0" applyFont="1" applyBorder="1">
      <alignment vertical="center"/>
    </xf>
    <xf numFmtId="0" fontId="14" fillId="0" borderId="1" xfId="0" applyFont="1" applyBorder="1" applyAlignment="1">
      <alignment horizontal="left" vertical="center"/>
    </xf>
    <xf numFmtId="0" fontId="14" fillId="0" borderId="0" xfId="0" applyFont="1" applyAlignment="1">
      <alignment horizontal="center" vertical="center" shrinkToFit="1"/>
    </xf>
    <xf numFmtId="0" fontId="3" fillId="0" borderId="14" xfId="0" applyFont="1" applyBorder="1" applyAlignment="1">
      <alignment horizontal="left" vertical="center" shrinkToFit="1"/>
    </xf>
    <xf numFmtId="0" fontId="20" fillId="0" borderId="1" xfId="0" applyFont="1" applyBorder="1" applyAlignment="1">
      <alignment horizontal="left" vertical="center" wrapText="1"/>
    </xf>
    <xf numFmtId="9" fontId="3" fillId="0" borderId="45" xfId="0" applyNumberFormat="1" applyFont="1" applyBorder="1" applyAlignment="1">
      <alignment vertical="center" shrinkToFit="1"/>
    </xf>
    <xf numFmtId="0" fontId="14" fillId="0" borderId="0" xfId="0" applyFont="1" applyAlignment="1">
      <alignment horizontal="right"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7" fillId="0" borderId="0" xfId="0" applyFont="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1" xfId="0" applyFont="1" applyBorder="1" applyAlignment="1">
      <alignment horizontal="left" vertical="center" wrapText="1"/>
    </xf>
    <xf numFmtId="0" fontId="14" fillId="0" borderId="6" xfId="0" applyFont="1" applyBorder="1" applyAlignment="1">
      <alignment horizontal="left" vertical="center" wrapText="1"/>
    </xf>
    <xf numFmtId="0" fontId="14" fillId="0" borderId="12" xfId="0" applyFont="1" applyBorder="1" applyAlignment="1">
      <alignment horizontal="left" vertical="center" wrapText="1"/>
    </xf>
    <xf numFmtId="0" fontId="3" fillId="0" borderId="18" xfId="0" applyFont="1" applyBorder="1" applyAlignment="1">
      <alignment vertical="center" shrinkToFit="1"/>
    </xf>
    <xf numFmtId="0" fontId="3" fillId="0" borderId="19" xfId="0" applyFont="1" applyBorder="1" applyAlignment="1">
      <alignment vertical="center" shrinkToFit="1"/>
    </xf>
    <xf numFmtId="0" fontId="3" fillId="0" borderId="17" xfId="0" applyFont="1" applyBorder="1" applyAlignment="1">
      <alignment vertical="center" shrinkToFit="1"/>
    </xf>
    <xf numFmtId="0" fontId="14" fillId="0" borderId="7" xfId="0" applyFont="1" applyBorder="1" applyAlignment="1">
      <alignment horizontal="left" vertical="top" wrapText="1" shrinkToFit="1"/>
    </xf>
    <xf numFmtId="0" fontId="14" fillId="0" borderId="8" xfId="0" applyFont="1" applyBorder="1" applyAlignment="1">
      <alignment horizontal="left" vertical="top" wrapText="1" shrinkToFit="1"/>
    </xf>
    <xf numFmtId="0" fontId="14" fillId="0" borderId="9" xfId="0" applyFont="1" applyBorder="1" applyAlignment="1">
      <alignment horizontal="left" vertical="top" wrapText="1" shrinkToFit="1"/>
    </xf>
    <xf numFmtId="0" fontId="14" fillId="0" borderId="5" xfId="0" applyFont="1" applyBorder="1" applyAlignment="1">
      <alignment horizontal="left" vertical="top" wrapText="1" shrinkToFit="1"/>
    </xf>
    <xf numFmtId="0" fontId="14" fillId="0" borderId="0" xfId="0" applyFont="1" applyAlignment="1">
      <alignment horizontal="left" vertical="top" wrapText="1" shrinkToFit="1"/>
    </xf>
    <xf numFmtId="0" fontId="14" fillId="0" borderId="10" xfId="0" applyFont="1" applyBorder="1" applyAlignment="1">
      <alignment horizontal="left" vertical="top" wrapText="1" shrinkToFit="1"/>
    </xf>
    <xf numFmtId="0" fontId="14" fillId="0" borderId="11" xfId="0" applyFont="1" applyBorder="1" applyAlignment="1">
      <alignment horizontal="left" vertical="top" wrapText="1" shrinkToFit="1"/>
    </xf>
    <xf numFmtId="0" fontId="14" fillId="0" borderId="6" xfId="0" applyFont="1" applyBorder="1" applyAlignment="1">
      <alignment horizontal="left" vertical="top" wrapText="1" shrinkToFit="1"/>
    </xf>
    <xf numFmtId="0" fontId="14" fillId="0" borderId="12" xfId="0" applyFont="1" applyBorder="1" applyAlignment="1">
      <alignment horizontal="left" vertical="top" wrapText="1"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4" fillId="0" borderId="0" xfId="0" applyFont="1" applyAlignment="1">
      <alignmen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9" xfId="0" applyFont="1" applyBorder="1" applyAlignment="1">
      <alignment vertical="center" shrinkToFit="1"/>
    </xf>
    <xf numFmtId="0" fontId="3" fillId="0" borderId="31" xfId="0" applyFont="1" applyBorder="1" applyAlignment="1">
      <alignment vertical="center" shrinkToFit="1"/>
    </xf>
    <xf numFmtId="0" fontId="3" fillId="0" borderId="30" xfId="0" applyFont="1" applyBorder="1" applyAlignment="1">
      <alignment vertical="center" shrinkToFit="1"/>
    </xf>
    <xf numFmtId="0" fontId="3" fillId="0" borderId="0" xfId="0" applyFont="1" applyAlignment="1">
      <alignment vertical="center" wrapText="1"/>
    </xf>
    <xf numFmtId="0" fontId="3" fillId="0" borderId="32" xfId="0" applyFont="1" applyBorder="1" applyAlignment="1">
      <alignment vertical="center" shrinkToFit="1"/>
    </xf>
    <xf numFmtId="0" fontId="3" fillId="0" borderId="33" xfId="0" applyFont="1" applyBorder="1" applyAlignment="1">
      <alignment vertical="center" shrinkToFit="1"/>
    </xf>
    <xf numFmtId="0" fontId="3" fillId="0" borderId="34" xfId="0" applyFont="1" applyBorder="1" applyAlignment="1">
      <alignment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8"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17" xfId="0" applyFont="1" applyBorder="1" applyAlignment="1">
      <alignment horizontal="center" vertical="center" shrinkToFit="1"/>
    </xf>
    <xf numFmtId="0" fontId="3" fillId="0" borderId="29" xfId="0" applyFont="1" applyBorder="1" applyAlignment="1">
      <alignment horizontal="center" vertical="center" shrinkToFit="1"/>
    </xf>
    <xf numFmtId="0" fontId="3" fillId="0" borderId="31" xfId="0" applyFont="1" applyBorder="1" applyAlignment="1">
      <alignment horizontal="center" vertical="center" shrinkToFit="1"/>
    </xf>
    <xf numFmtId="0" fontId="3" fillId="0" borderId="30" xfId="0" applyFont="1" applyBorder="1" applyAlignment="1">
      <alignment horizontal="center" vertical="center" shrinkToFit="1"/>
    </xf>
    <xf numFmtId="0" fontId="3" fillId="0" borderId="32" xfId="0" applyFont="1" applyBorder="1" applyAlignment="1">
      <alignment horizontal="center" vertical="center" shrinkToFit="1"/>
    </xf>
    <xf numFmtId="0" fontId="3" fillId="0" borderId="33" xfId="0" applyFont="1" applyBorder="1" applyAlignment="1">
      <alignment horizontal="center" vertical="center" shrinkToFit="1"/>
    </xf>
    <xf numFmtId="0" fontId="3" fillId="0" borderId="34" xfId="0" applyFont="1" applyBorder="1" applyAlignment="1">
      <alignment horizontal="center" vertical="center" shrinkToFit="1"/>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4" fillId="0" borderId="40" xfId="0" applyFont="1" applyBorder="1" applyAlignment="1">
      <alignment vertical="center" wrapText="1"/>
    </xf>
    <xf numFmtId="0" fontId="4" fillId="0" borderId="41" xfId="0" applyFont="1" applyBorder="1" applyAlignment="1">
      <alignment vertical="center" wrapText="1"/>
    </xf>
    <xf numFmtId="49" fontId="8" fillId="0" borderId="29" xfId="0" applyNumberFormat="1" applyFont="1" applyBorder="1" applyAlignment="1">
      <alignment horizontal="left" vertical="center" wrapText="1"/>
    </xf>
    <xf numFmtId="49" fontId="4" fillId="0" borderId="31" xfId="0" applyNumberFormat="1" applyFont="1" applyBorder="1" applyAlignment="1">
      <alignment horizontal="left" vertical="center"/>
    </xf>
    <xf numFmtId="49" fontId="4" fillId="0" borderId="30" xfId="0" applyNumberFormat="1" applyFont="1" applyBorder="1" applyAlignment="1">
      <alignment horizontal="left" vertical="center"/>
    </xf>
    <xf numFmtId="49" fontId="8" fillId="0" borderId="32" xfId="0" applyNumberFormat="1" applyFont="1" applyBorder="1" applyAlignment="1">
      <alignment horizontal="left" vertical="center" wrapText="1"/>
    </xf>
    <xf numFmtId="49" fontId="4" fillId="0" borderId="33" xfId="0" applyNumberFormat="1" applyFont="1" applyBorder="1" applyAlignment="1">
      <alignment horizontal="left" vertical="center"/>
    </xf>
    <xf numFmtId="49" fontId="4" fillId="0" borderId="34" xfId="0" applyNumberFormat="1" applyFont="1" applyBorder="1" applyAlignment="1">
      <alignment horizontal="left" vertical="center"/>
    </xf>
    <xf numFmtId="49" fontId="4" fillId="0" borderId="31" xfId="0" applyNumberFormat="1" applyFont="1" applyBorder="1" applyAlignment="1">
      <alignment horizontal="left" vertical="center" wrapText="1"/>
    </xf>
    <xf numFmtId="49" fontId="4" fillId="0" borderId="30" xfId="0" applyNumberFormat="1" applyFont="1" applyBorder="1" applyAlignment="1">
      <alignment horizontal="left" vertical="center" wrapText="1"/>
    </xf>
    <xf numFmtId="0" fontId="4" fillId="0" borderId="27" xfId="0" applyFont="1" applyBorder="1" applyAlignment="1">
      <alignmen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1" fillId="0" borderId="33" xfId="0" applyNumberFormat="1" applyFont="1" applyBorder="1" applyAlignment="1">
      <alignment horizontal="left" vertical="center"/>
    </xf>
    <xf numFmtId="49" fontId="1" fillId="0" borderId="34" xfId="0" applyNumberFormat="1" applyFont="1" applyBorder="1" applyAlignment="1">
      <alignment horizontal="left" vertical="center"/>
    </xf>
    <xf numFmtId="49" fontId="19" fillId="0" borderId="29" xfId="0" applyNumberFormat="1" applyFont="1" applyBorder="1" applyAlignment="1">
      <alignment horizontal="left" vertical="center" wrapText="1"/>
    </xf>
    <xf numFmtId="0" fontId="13" fillId="0" borderId="6" xfId="0" applyFont="1" applyBorder="1" applyAlignment="1">
      <alignment horizontal="left" vertical="center" wrapText="1"/>
    </xf>
    <xf numFmtId="0" fontId="13" fillId="0" borderId="1" xfId="0" applyFont="1" applyBorder="1" applyAlignment="1">
      <alignment horizontal="center" vertical="center"/>
    </xf>
    <xf numFmtId="0" fontId="16" fillId="0" borderId="1" xfId="0" applyFont="1" applyBorder="1" applyAlignment="1">
      <alignment vertical="center" wrapText="1"/>
    </xf>
    <xf numFmtId="49" fontId="8" fillId="0" borderId="18" xfId="0" applyNumberFormat="1" applyFont="1" applyBorder="1" applyAlignment="1">
      <alignment horizontal="left" vertical="center" wrapText="1"/>
    </xf>
    <xf numFmtId="49" fontId="4" fillId="0" borderId="19" xfId="0" applyNumberFormat="1" applyFont="1" applyBorder="1" applyAlignment="1">
      <alignment horizontal="left" vertical="center"/>
    </xf>
    <xf numFmtId="49" fontId="4" fillId="0" borderId="17" xfId="0" applyNumberFormat="1" applyFont="1" applyBorder="1" applyAlignment="1">
      <alignment horizontal="left" vertical="center"/>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13" fillId="0" borderId="0" xfId="0" applyFont="1" applyAlignment="1">
      <alignment horizontal="left" vertical="center" wrapText="1"/>
    </xf>
    <xf numFmtId="49" fontId="4" fillId="0" borderId="32" xfId="0" applyNumberFormat="1" applyFont="1" applyBorder="1" applyAlignment="1">
      <alignment horizontal="left" vertical="center"/>
    </xf>
    <xf numFmtId="49" fontId="4" fillId="0" borderId="29"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8" fillId="0" borderId="29" xfId="0" applyNumberFormat="1" applyFont="1" applyBorder="1" applyAlignment="1">
      <alignment horizontal="left" vertical="center"/>
    </xf>
    <xf numFmtId="49" fontId="4" fillId="0" borderId="29" xfId="0" applyNumberFormat="1" applyFont="1" applyBorder="1" applyAlignment="1">
      <alignment horizontal="left" vertical="center"/>
    </xf>
    <xf numFmtId="0" fontId="3" fillId="0" borderId="14" xfId="0"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shrinkToFit="1"/>
    </xf>
    <xf numFmtId="0" fontId="14"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2" xfId="0" applyFont="1" applyBorder="1" applyAlignment="1">
      <alignment horizontal="center" vertical="center" wrapText="1"/>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8" fillId="0" borderId="15" xfId="0" applyFont="1" applyBorder="1" applyAlignment="1">
      <alignment horizontal="center" vertical="center" wrapText="1"/>
    </xf>
    <xf numFmtId="0" fontId="8" fillId="0" borderId="13" xfId="0" applyFont="1" applyBorder="1" applyAlignment="1">
      <alignment horizontal="center" vertical="center" wrapText="1"/>
    </xf>
    <xf numFmtId="9" fontId="3" fillId="0" borderId="1" xfId="0" applyNumberFormat="1"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11" fillId="0" borderId="0" xfId="0" applyFont="1" applyAlignment="1">
      <alignment horizontal="left" vertical="center" wrapText="1"/>
    </xf>
    <xf numFmtId="0" fontId="7" fillId="0" borderId="0" xfId="0" applyFont="1" applyAlignment="1">
      <alignment horizontal="center" vertical="center"/>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2" xfId="0" applyFont="1" applyBorder="1" applyAlignment="1">
      <alignment horizontal="left" vertical="center"/>
    </xf>
    <xf numFmtId="0" fontId="6" fillId="0" borderId="3" xfId="0" applyFont="1" applyBorder="1">
      <alignment vertical="center"/>
    </xf>
    <xf numFmtId="0" fontId="6" fillId="0" borderId="4" xfId="0" applyFont="1" applyBorder="1">
      <alignmen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20" fillId="0" borderId="2" xfId="0" applyFont="1" applyBorder="1" applyAlignment="1">
      <alignment horizontal="left" vertical="center" wrapText="1"/>
    </xf>
    <xf numFmtId="0" fontId="20" fillId="0" borderId="4" xfId="0" applyFont="1" applyBorder="1" applyAlignment="1">
      <alignment horizontal="left" vertical="center" wrapText="1"/>
    </xf>
    <xf numFmtId="0" fontId="3" fillId="0" borderId="0" xfId="0" applyFont="1" applyAlignment="1">
      <alignment horizontal="center" vertical="center"/>
    </xf>
    <xf numFmtId="0" fontId="3" fillId="0" borderId="0" xfId="0" applyFont="1">
      <alignment vertical="center"/>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14" fillId="0" borderId="11" xfId="0" applyFont="1" applyBorder="1" applyAlignment="1">
      <alignment vertical="center" wrapText="1"/>
    </xf>
    <xf numFmtId="0" fontId="14" fillId="0" borderId="6" xfId="0" applyFont="1" applyBorder="1" applyAlignment="1">
      <alignment vertical="center" wrapText="1"/>
    </xf>
    <xf numFmtId="0" fontId="14"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16" xfId="0" applyFont="1" applyBorder="1" applyAlignment="1">
      <alignment vertical="center" wrapText="1"/>
    </xf>
    <xf numFmtId="0" fontId="3" fillId="0" borderId="17" xfId="0" applyFont="1" applyBorder="1" applyAlignment="1">
      <alignment vertical="center" wrapText="1"/>
    </xf>
    <xf numFmtId="0" fontId="3" fillId="0" borderId="19" xfId="0" applyFont="1" applyBorder="1" applyAlignment="1">
      <alignment vertical="top" wrapText="1" shrinkToFit="1"/>
    </xf>
    <xf numFmtId="0" fontId="3" fillId="0" borderId="17" xfId="0" applyFont="1" applyBorder="1" applyAlignment="1">
      <alignment vertical="top" wrapText="1" shrinkToFit="1"/>
    </xf>
    <xf numFmtId="0" fontId="3" fillId="0" borderId="47" xfId="0" applyFont="1" applyBorder="1" applyAlignment="1">
      <alignment vertical="center" wrapText="1"/>
    </xf>
    <xf numFmtId="0" fontId="3" fillId="0" borderId="34" xfId="0" applyFont="1" applyBorder="1" applyAlignment="1">
      <alignment vertical="center" wrapText="1"/>
    </xf>
    <xf numFmtId="0" fontId="3" fillId="0" borderId="33" xfId="0" applyFont="1" applyBorder="1" applyAlignment="1">
      <alignment vertical="top" wrapText="1" shrinkToFit="1"/>
    </xf>
    <xf numFmtId="0" fontId="3" fillId="0" borderId="34" xfId="0" applyFont="1" applyBorder="1" applyAlignment="1">
      <alignment vertical="top" wrapText="1" shrinkToFi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8" xfId="0" applyFont="1" applyBorder="1" applyAlignment="1">
      <alignment vertical="center" wrapText="1"/>
    </xf>
    <xf numFmtId="0" fontId="3" fillId="0" borderId="37" xfId="0" applyFont="1" applyBorder="1" applyAlignment="1">
      <alignment vertical="top" wrapText="1" shrinkToFit="1"/>
    </xf>
    <xf numFmtId="0" fontId="3" fillId="0" borderId="38" xfId="0" applyFont="1" applyBorder="1" applyAlignment="1">
      <alignment vertical="top" wrapText="1" shrinkToFit="1"/>
    </xf>
    <xf numFmtId="0" fontId="3" fillId="0" borderId="18" xfId="0" applyFont="1" applyBorder="1" applyAlignment="1">
      <alignment vertical="top" wrapText="1" shrinkToFit="1"/>
    </xf>
    <xf numFmtId="0" fontId="3" fillId="0" borderId="32" xfId="0" applyFont="1" applyBorder="1" applyAlignment="1">
      <alignment vertical="top" wrapText="1" shrinkToFit="1"/>
    </xf>
    <xf numFmtId="0" fontId="3" fillId="0" borderId="16" xfId="0" applyFont="1" applyBorder="1">
      <alignment vertical="center"/>
    </xf>
    <xf numFmtId="0" fontId="6" fillId="0" borderId="17" xfId="0" applyFont="1" applyBorder="1">
      <alignment vertical="center"/>
    </xf>
    <xf numFmtId="0" fontId="3" fillId="0" borderId="3" xfId="0" applyFont="1" applyBorder="1" applyAlignment="1">
      <alignment horizontal="left" vertical="center"/>
    </xf>
    <xf numFmtId="0" fontId="3"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4A7BB-521E-415E-AC6A-652508E94326}">
  <sheetPr>
    <pageSetUpPr fitToPage="1"/>
  </sheetPr>
  <dimension ref="A1:AG114"/>
  <sheetViews>
    <sheetView showZeros="0" view="pageBreakPreview" zoomScale="150" zoomScaleNormal="100" zoomScaleSheetLayoutView="150" workbookViewId="0">
      <selection activeCell="B104" sqref="B104:U104"/>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75" customHeight="1" x14ac:dyDescent="0.2">
      <c r="A1" s="73"/>
      <c r="B1" s="73"/>
      <c r="C1" s="73"/>
      <c r="D1" s="73"/>
      <c r="E1" s="73"/>
      <c r="F1" s="73"/>
      <c r="G1" s="73"/>
      <c r="H1" s="73"/>
      <c r="I1" s="73"/>
      <c r="J1" s="73"/>
      <c r="K1" s="73"/>
      <c r="L1" s="73"/>
      <c r="M1" s="73"/>
      <c r="N1" s="73"/>
      <c r="O1" s="73"/>
      <c r="P1" s="73"/>
      <c r="Q1" s="73"/>
      <c r="R1" s="73"/>
      <c r="S1" s="73"/>
      <c r="T1" s="87" t="s">
        <v>201</v>
      </c>
      <c r="U1" s="87"/>
      <c r="V1" s="2" t="s">
        <v>99</v>
      </c>
    </row>
    <row r="2" spans="1:24" ht="18.75" customHeight="1" x14ac:dyDescent="0.2">
      <c r="A2" s="73"/>
      <c r="B2" s="75" t="s">
        <v>98</v>
      </c>
      <c r="C2" s="88" t="s">
        <v>136</v>
      </c>
      <c r="D2" s="89"/>
      <c r="E2" s="89"/>
      <c r="F2" s="89"/>
      <c r="G2" s="89"/>
      <c r="H2" s="89"/>
      <c r="I2" s="89"/>
      <c r="J2" s="90"/>
      <c r="K2" s="74"/>
      <c r="L2" s="76"/>
      <c r="M2" s="76"/>
      <c r="N2" s="76"/>
      <c r="O2" s="76"/>
      <c r="P2" s="76"/>
      <c r="Q2" s="76"/>
      <c r="R2" s="76"/>
      <c r="S2" s="76"/>
      <c r="T2" s="76"/>
      <c r="U2" s="76"/>
    </row>
    <row r="3" spans="1:24" ht="18.75" customHeight="1" x14ac:dyDescent="0.2">
      <c r="A3" s="73"/>
      <c r="B3" s="75" t="s">
        <v>93</v>
      </c>
      <c r="C3" s="91" t="s">
        <v>137</v>
      </c>
      <c r="D3" s="92"/>
      <c r="E3" s="92"/>
      <c r="F3" s="92"/>
      <c r="G3" s="92"/>
      <c r="H3" s="92"/>
      <c r="I3" s="92"/>
      <c r="J3" s="93"/>
      <c r="K3" s="74"/>
      <c r="L3" s="76"/>
      <c r="M3" s="76"/>
      <c r="N3" s="76"/>
      <c r="O3" s="76"/>
      <c r="P3" s="76"/>
      <c r="Q3" s="76"/>
      <c r="R3" s="76"/>
      <c r="S3" s="76"/>
      <c r="T3" s="76"/>
      <c r="U3" s="76"/>
    </row>
    <row r="4" spans="1:24" ht="15" customHeight="1" x14ac:dyDescent="0.2">
      <c r="A4" s="73"/>
      <c r="B4" s="73"/>
      <c r="C4" s="73"/>
      <c r="D4" s="73"/>
      <c r="E4" s="73"/>
      <c r="F4" s="73"/>
      <c r="G4" s="73"/>
      <c r="H4" s="73"/>
      <c r="I4" s="73"/>
      <c r="J4" s="73"/>
      <c r="K4" s="73"/>
      <c r="L4" s="74"/>
      <c r="M4" s="77"/>
      <c r="N4" s="77"/>
      <c r="O4" s="77"/>
      <c r="P4" s="77"/>
      <c r="Q4" s="77"/>
      <c r="R4" s="77"/>
      <c r="S4" s="77"/>
      <c r="T4" s="77"/>
      <c r="U4" s="77"/>
    </row>
    <row r="5" spans="1:24" ht="18" customHeight="1" x14ac:dyDescent="0.2">
      <c r="A5" s="94" t="s">
        <v>37</v>
      </c>
      <c r="B5" s="94"/>
      <c r="C5" s="94"/>
      <c r="D5" s="94"/>
      <c r="E5" s="94"/>
      <c r="F5" s="94"/>
      <c r="G5" s="94"/>
      <c r="H5" s="94"/>
      <c r="I5" s="94"/>
      <c r="J5" s="94"/>
      <c r="K5" s="94"/>
      <c r="L5" s="94"/>
      <c r="M5" s="94"/>
      <c r="N5" s="94"/>
      <c r="O5" s="94"/>
      <c r="P5" s="94"/>
      <c r="Q5" s="94"/>
      <c r="R5" s="94"/>
      <c r="S5" s="94"/>
      <c r="T5" s="94"/>
      <c r="U5" s="94"/>
    </row>
    <row r="6" spans="1:24" ht="15" customHeight="1" x14ac:dyDescent="0.2">
      <c r="A6" s="73"/>
      <c r="B6" s="78"/>
      <c r="C6" s="78"/>
      <c r="D6" s="78"/>
      <c r="E6" s="78"/>
      <c r="F6" s="78"/>
      <c r="G6" s="78"/>
      <c r="H6" s="78"/>
      <c r="I6" s="78"/>
      <c r="J6" s="78"/>
      <c r="K6" s="78"/>
      <c r="L6" s="78"/>
      <c r="M6" s="78"/>
      <c r="N6" s="78"/>
      <c r="O6" s="78"/>
      <c r="P6" s="78"/>
      <c r="Q6" s="78"/>
      <c r="R6" s="78"/>
      <c r="S6" s="78"/>
      <c r="T6" s="78"/>
      <c r="U6" s="78"/>
    </row>
    <row r="7" spans="1:24" ht="15" customHeight="1" x14ac:dyDescent="0.2">
      <c r="A7" s="73" t="s">
        <v>131</v>
      </c>
      <c r="B7" s="78"/>
      <c r="C7" s="78"/>
      <c r="D7" s="78"/>
      <c r="E7" s="78"/>
      <c r="F7" s="72"/>
      <c r="G7" s="72"/>
      <c r="H7" s="72"/>
      <c r="I7" s="72"/>
      <c r="J7" s="72"/>
      <c r="K7" s="72"/>
      <c r="L7" s="95" t="s">
        <v>129</v>
      </c>
      <c r="M7" s="96"/>
      <c r="N7" s="96"/>
      <c r="O7" s="96"/>
      <c r="P7" s="96"/>
      <c r="Q7" s="96"/>
      <c r="R7" s="96"/>
      <c r="S7" s="96"/>
      <c r="T7" s="96"/>
      <c r="U7" s="97"/>
    </row>
    <row r="8" spans="1:24" ht="6" customHeight="1" x14ac:dyDescent="0.2">
      <c r="A8" s="73"/>
      <c r="B8" s="78"/>
      <c r="C8" s="78"/>
      <c r="D8" s="78"/>
      <c r="E8" s="78"/>
      <c r="F8" s="78"/>
      <c r="G8" s="78"/>
      <c r="H8" s="78"/>
      <c r="I8" s="78"/>
      <c r="J8" s="78"/>
      <c r="K8" s="78"/>
      <c r="L8" s="78"/>
      <c r="M8" s="78"/>
      <c r="N8" s="78"/>
      <c r="O8" s="78"/>
      <c r="P8" s="78"/>
      <c r="Q8" s="78"/>
      <c r="R8" s="78"/>
      <c r="S8" s="78"/>
      <c r="T8" s="78"/>
      <c r="U8" s="78"/>
    </row>
    <row r="9" spans="1:24" ht="18" customHeight="1" x14ac:dyDescent="0.2">
      <c r="A9" s="73" t="s">
        <v>132</v>
      </c>
      <c r="B9" s="73"/>
      <c r="C9" s="78"/>
      <c r="D9" s="78"/>
      <c r="E9" s="73"/>
      <c r="F9" s="73"/>
      <c r="G9" s="73"/>
      <c r="H9" s="73"/>
      <c r="I9" s="73"/>
      <c r="J9" s="73"/>
      <c r="K9" s="74"/>
      <c r="L9" s="72"/>
      <c r="M9" s="72"/>
      <c r="N9" s="72"/>
      <c r="O9" s="72"/>
      <c r="P9" s="72"/>
      <c r="Q9" s="72"/>
      <c r="R9" s="72"/>
      <c r="S9" s="72"/>
      <c r="T9" s="72"/>
      <c r="U9" s="72"/>
    </row>
    <row r="10" spans="1:24" ht="6" customHeight="1" x14ac:dyDescent="0.2">
      <c r="A10" s="73"/>
      <c r="B10" s="78"/>
      <c r="C10" s="78"/>
      <c r="D10" s="78"/>
      <c r="E10" s="78"/>
      <c r="F10" s="78"/>
      <c r="G10" s="78"/>
      <c r="H10" s="78"/>
      <c r="I10" s="78"/>
      <c r="J10" s="78"/>
      <c r="K10" s="78"/>
      <c r="L10" s="79"/>
      <c r="M10" s="78"/>
      <c r="N10" s="78"/>
      <c r="O10" s="78"/>
      <c r="P10" s="78"/>
      <c r="Q10" s="78"/>
      <c r="R10" s="78"/>
      <c r="S10" s="78"/>
      <c r="T10" s="78"/>
      <c r="U10" s="78"/>
    </row>
    <row r="11" spans="1:24" ht="18" customHeight="1" x14ac:dyDescent="0.2">
      <c r="A11" s="73"/>
      <c r="B11" s="98" t="s">
        <v>149</v>
      </c>
      <c r="C11" s="99"/>
      <c r="D11" s="99"/>
      <c r="E11" s="99"/>
      <c r="F11" s="99"/>
      <c r="G11" s="99"/>
      <c r="H11" s="99"/>
      <c r="I11" s="99"/>
      <c r="J11" s="99"/>
      <c r="K11" s="99"/>
      <c r="L11" s="99"/>
      <c r="M11" s="99"/>
      <c r="N11" s="99"/>
      <c r="O11" s="99"/>
      <c r="P11" s="99"/>
      <c r="Q11" s="99"/>
      <c r="R11" s="99"/>
      <c r="S11" s="99"/>
      <c r="T11" s="99"/>
      <c r="U11" s="100"/>
    </row>
    <row r="12" spans="1:24" ht="18" customHeight="1" x14ac:dyDescent="0.2">
      <c r="A12" s="73"/>
      <c r="B12" s="101"/>
      <c r="C12" s="102"/>
      <c r="D12" s="102"/>
      <c r="E12" s="102"/>
      <c r="F12" s="102"/>
      <c r="G12" s="102"/>
      <c r="H12" s="102"/>
      <c r="I12" s="102"/>
      <c r="J12" s="102"/>
      <c r="K12" s="102"/>
      <c r="L12" s="102"/>
      <c r="M12" s="102"/>
      <c r="N12" s="102"/>
      <c r="O12" s="102"/>
      <c r="P12" s="102"/>
      <c r="Q12" s="102"/>
      <c r="R12" s="102"/>
      <c r="S12" s="102"/>
      <c r="T12" s="102"/>
      <c r="U12" s="103"/>
    </row>
    <row r="13" spans="1:24" ht="6" customHeight="1" x14ac:dyDescent="0.2">
      <c r="A13" s="73"/>
      <c r="B13" s="78"/>
      <c r="C13" s="78"/>
      <c r="D13" s="78"/>
      <c r="E13" s="78"/>
      <c r="F13" s="78"/>
      <c r="G13" s="78"/>
      <c r="H13" s="78"/>
      <c r="I13" s="78"/>
      <c r="J13" s="78"/>
      <c r="K13" s="78"/>
      <c r="L13" s="79"/>
      <c r="M13" s="78"/>
      <c r="N13" s="78"/>
      <c r="O13" s="78"/>
      <c r="P13" s="78"/>
      <c r="Q13" s="78"/>
      <c r="R13" s="78"/>
      <c r="S13" s="78"/>
      <c r="T13" s="78"/>
      <c r="U13" s="78"/>
    </row>
    <row r="14" spans="1:24" ht="18" customHeight="1" x14ac:dyDescent="0.2">
      <c r="A14" s="73" t="s">
        <v>100</v>
      </c>
      <c r="B14" s="78"/>
      <c r="C14" s="78"/>
      <c r="D14" s="78"/>
      <c r="E14" s="74"/>
      <c r="F14" s="74"/>
      <c r="G14" s="74"/>
      <c r="H14" s="74"/>
      <c r="I14" s="74"/>
      <c r="J14" s="74"/>
      <c r="K14" s="74"/>
      <c r="L14" s="80"/>
      <c r="M14" s="80"/>
      <c r="N14" s="80"/>
      <c r="O14" s="80"/>
      <c r="P14" s="80"/>
      <c r="Q14" s="80"/>
      <c r="R14" s="80"/>
      <c r="S14" s="80"/>
      <c r="T14" s="80"/>
      <c r="U14" s="80"/>
    </row>
    <row r="15" spans="1:24" ht="18" customHeight="1" x14ac:dyDescent="0.2">
      <c r="A15" s="73"/>
      <c r="B15" s="107" t="s">
        <v>204</v>
      </c>
      <c r="C15" s="108"/>
      <c r="D15" s="108"/>
      <c r="E15" s="108"/>
      <c r="F15" s="108"/>
      <c r="G15" s="108"/>
      <c r="H15" s="108"/>
      <c r="I15" s="108"/>
      <c r="J15" s="108"/>
      <c r="K15" s="108"/>
      <c r="L15" s="108"/>
      <c r="M15" s="108"/>
      <c r="N15" s="108"/>
      <c r="O15" s="108"/>
      <c r="P15" s="108"/>
      <c r="Q15" s="108"/>
      <c r="R15" s="108"/>
      <c r="S15" s="108"/>
      <c r="T15" s="108"/>
      <c r="U15" s="109"/>
      <c r="X15" s="1" t="s">
        <v>94</v>
      </c>
    </row>
    <row r="16" spans="1:24" ht="18" customHeight="1" x14ac:dyDescent="0.2">
      <c r="A16" s="73"/>
      <c r="B16" s="110"/>
      <c r="C16" s="111"/>
      <c r="D16" s="111"/>
      <c r="E16" s="111"/>
      <c r="F16" s="111"/>
      <c r="G16" s="111"/>
      <c r="H16" s="111"/>
      <c r="I16" s="111"/>
      <c r="J16" s="111"/>
      <c r="K16" s="111"/>
      <c r="L16" s="111"/>
      <c r="M16" s="111"/>
      <c r="N16" s="111"/>
      <c r="O16" s="111"/>
      <c r="P16" s="111"/>
      <c r="Q16" s="111"/>
      <c r="R16" s="111"/>
      <c r="S16" s="111"/>
      <c r="T16" s="111"/>
      <c r="U16" s="112"/>
      <c r="X16" s="1" t="s">
        <v>114</v>
      </c>
    </row>
    <row r="17" spans="1:24" ht="18" customHeight="1" x14ac:dyDescent="0.2">
      <c r="A17" s="73"/>
      <c r="B17" s="110"/>
      <c r="C17" s="111"/>
      <c r="D17" s="111"/>
      <c r="E17" s="111"/>
      <c r="F17" s="111"/>
      <c r="G17" s="111"/>
      <c r="H17" s="111"/>
      <c r="I17" s="111"/>
      <c r="J17" s="111"/>
      <c r="K17" s="111"/>
      <c r="L17" s="111"/>
      <c r="M17" s="111"/>
      <c r="N17" s="111"/>
      <c r="O17" s="111"/>
      <c r="P17" s="111"/>
      <c r="Q17" s="111"/>
      <c r="R17" s="111"/>
      <c r="S17" s="111"/>
      <c r="T17" s="111"/>
      <c r="U17" s="112"/>
      <c r="X17" s="1" t="s">
        <v>115</v>
      </c>
    </row>
    <row r="18" spans="1:24" ht="18" customHeight="1" x14ac:dyDescent="0.2">
      <c r="A18" s="73"/>
      <c r="B18" s="110"/>
      <c r="C18" s="111"/>
      <c r="D18" s="111"/>
      <c r="E18" s="111"/>
      <c r="F18" s="111"/>
      <c r="G18" s="111"/>
      <c r="H18" s="111"/>
      <c r="I18" s="111"/>
      <c r="J18" s="111"/>
      <c r="K18" s="111"/>
      <c r="L18" s="111"/>
      <c r="M18" s="111"/>
      <c r="N18" s="111"/>
      <c r="O18" s="111"/>
      <c r="P18" s="111"/>
      <c r="Q18" s="111"/>
      <c r="R18" s="111"/>
      <c r="S18" s="111"/>
      <c r="T18" s="111"/>
      <c r="U18" s="112"/>
      <c r="X18" s="1" t="s">
        <v>116</v>
      </c>
    </row>
    <row r="19" spans="1:24" ht="18" customHeight="1" x14ac:dyDescent="0.2">
      <c r="A19" s="73"/>
      <c r="B19" s="110"/>
      <c r="C19" s="111"/>
      <c r="D19" s="111"/>
      <c r="E19" s="111"/>
      <c r="F19" s="111"/>
      <c r="G19" s="111"/>
      <c r="H19" s="111"/>
      <c r="I19" s="111"/>
      <c r="J19" s="111"/>
      <c r="K19" s="111"/>
      <c r="L19" s="111"/>
      <c r="M19" s="111"/>
      <c r="N19" s="111"/>
      <c r="O19" s="111"/>
      <c r="P19" s="111"/>
      <c r="Q19" s="111"/>
      <c r="R19" s="111"/>
      <c r="S19" s="111"/>
      <c r="T19" s="111"/>
      <c r="U19" s="112"/>
    </row>
    <row r="20" spans="1:24" ht="18" customHeight="1" x14ac:dyDescent="0.2">
      <c r="A20" s="73"/>
      <c r="B20" s="113"/>
      <c r="C20" s="114"/>
      <c r="D20" s="114"/>
      <c r="E20" s="114"/>
      <c r="F20" s="114"/>
      <c r="G20" s="114"/>
      <c r="H20" s="114"/>
      <c r="I20" s="114"/>
      <c r="J20" s="114"/>
      <c r="K20" s="114"/>
      <c r="L20" s="114"/>
      <c r="M20" s="114"/>
      <c r="N20" s="114"/>
      <c r="O20" s="114"/>
      <c r="P20" s="114"/>
      <c r="Q20" s="114"/>
      <c r="R20" s="114"/>
      <c r="S20" s="114"/>
      <c r="T20" s="114"/>
      <c r="U20" s="115"/>
    </row>
    <row r="21" spans="1:24" ht="7.5" customHeight="1" x14ac:dyDescent="0.2">
      <c r="A21" s="73"/>
      <c r="B21" s="78"/>
      <c r="C21" s="78"/>
      <c r="D21" s="78"/>
      <c r="E21" s="78"/>
      <c r="F21" s="78"/>
      <c r="G21" s="78"/>
      <c r="H21" s="78"/>
      <c r="I21" s="78"/>
      <c r="J21" s="78"/>
      <c r="K21" s="78"/>
      <c r="L21" s="78"/>
      <c r="M21" s="78"/>
      <c r="N21" s="78"/>
      <c r="O21" s="78"/>
      <c r="P21" s="78"/>
      <c r="Q21" s="78"/>
      <c r="R21" s="78"/>
      <c r="S21" s="78"/>
      <c r="T21" s="78"/>
      <c r="U21" s="78"/>
    </row>
    <row r="22" spans="1:24" ht="19.95" customHeight="1" x14ac:dyDescent="0.2">
      <c r="A22" s="73"/>
      <c r="B22" s="73" t="s">
        <v>133</v>
      </c>
      <c r="C22" s="73"/>
      <c r="D22" s="73"/>
      <c r="E22" s="81">
        <v>4</v>
      </c>
      <c r="F22" s="73" t="s">
        <v>112</v>
      </c>
      <c r="G22" s="73"/>
      <c r="H22" s="82">
        <v>6</v>
      </c>
      <c r="I22" s="78" t="s">
        <v>113</v>
      </c>
      <c r="J22" s="78"/>
      <c r="K22" s="74"/>
      <c r="L22" s="73"/>
      <c r="M22" s="74" t="s">
        <v>109</v>
      </c>
      <c r="N22" s="116" t="s">
        <v>114</v>
      </c>
      <c r="O22" s="117"/>
      <c r="P22" s="117"/>
      <c r="Q22" s="117"/>
      <c r="R22" s="117"/>
      <c r="S22" s="117"/>
      <c r="T22" s="117"/>
      <c r="U22" s="118"/>
    </row>
    <row r="23" spans="1:24" ht="7.5" customHeight="1" x14ac:dyDescent="0.2">
      <c r="A23" s="73"/>
      <c r="B23" s="78"/>
      <c r="C23" s="78"/>
      <c r="D23" s="78"/>
      <c r="E23" s="78"/>
      <c r="F23" s="78"/>
      <c r="G23" s="78"/>
      <c r="H23" s="78"/>
      <c r="I23" s="78"/>
      <c r="J23" s="78"/>
      <c r="K23" s="78"/>
      <c r="L23" s="78"/>
      <c r="M23" s="78"/>
      <c r="N23" s="78"/>
      <c r="O23" s="78"/>
      <c r="P23" s="78"/>
      <c r="Q23" s="78"/>
      <c r="R23" s="78"/>
      <c r="S23" s="78"/>
      <c r="T23" s="78"/>
      <c r="U23" s="78"/>
    </row>
    <row r="24" spans="1:24" ht="18" customHeight="1" x14ac:dyDescent="0.2">
      <c r="A24" s="119" t="s">
        <v>101</v>
      </c>
      <c r="B24" s="119"/>
      <c r="C24" s="119"/>
      <c r="D24" s="119"/>
      <c r="E24" s="119"/>
      <c r="F24" s="119"/>
      <c r="G24" s="119"/>
      <c r="H24" s="119"/>
      <c r="I24" s="119"/>
      <c r="J24" s="119"/>
      <c r="K24" s="119"/>
      <c r="L24" s="119"/>
      <c r="M24" s="119"/>
      <c r="N24" s="119"/>
      <c r="O24" s="119"/>
      <c r="P24" s="119"/>
      <c r="Q24" s="119"/>
      <c r="R24" s="119"/>
      <c r="S24" s="119"/>
      <c r="T24" s="119"/>
      <c r="U24" s="119"/>
    </row>
    <row r="25" spans="1:24" ht="18" customHeight="1" x14ac:dyDescent="0.2">
      <c r="A25" s="119"/>
      <c r="B25" s="119"/>
      <c r="C25" s="119"/>
      <c r="D25" s="119"/>
      <c r="E25" s="119"/>
      <c r="F25" s="119"/>
      <c r="G25" s="119"/>
      <c r="H25" s="119"/>
      <c r="I25" s="119"/>
      <c r="J25" s="119"/>
      <c r="K25" s="119"/>
      <c r="L25" s="119"/>
      <c r="M25" s="119"/>
      <c r="N25" s="119"/>
      <c r="O25" s="119"/>
      <c r="P25" s="119"/>
      <c r="Q25" s="119"/>
      <c r="R25" s="119"/>
      <c r="S25" s="119"/>
      <c r="T25" s="119"/>
      <c r="U25" s="119"/>
    </row>
    <row r="26" spans="1:24" ht="18" customHeight="1" x14ac:dyDescent="0.2">
      <c r="B26" s="120" t="s">
        <v>51</v>
      </c>
      <c r="C26" s="121"/>
      <c r="D26" s="121"/>
      <c r="E26" s="121"/>
      <c r="F26" s="122"/>
      <c r="G26" s="50" t="s">
        <v>77</v>
      </c>
      <c r="H26" s="49" t="s">
        <v>80</v>
      </c>
      <c r="I26" s="16" t="s">
        <v>54</v>
      </c>
      <c r="J26" s="16" t="s">
        <v>57</v>
      </c>
      <c r="K26" s="120" t="s">
        <v>51</v>
      </c>
      <c r="L26" s="121"/>
      <c r="M26" s="121"/>
      <c r="N26" s="121"/>
      <c r="O26" s="121"/>
      <c r="P26" s="121"/>
      <c r="Q26" s="122"/>
      <c r="R26" s="50" t="s">
        <v>77</v>
      </c>
      <c r="S26" s="49" t="s">
        <v>80</v>
      </c>
      <c r="T26" s="16" t="s">
        <v>54</v>
      </c>
      <c r="U26" s="16" t="s">
        <v>57</v>
      </c>
    </row>
    <row r="27" spans="1:24" ht="18" customHeight="1" x14ac:dyDescent="0.2">
      <c r="B27" s="123" t="s">
        <v>150</v>
      </c>
      <c r="C27" s="124"/>
      <c r="D27" s="124"/>
      <c r="E27" s="124"/>
      <c r="F27" s="125"/>
      <c r="G27" s="17">
        <v>2</v>
      </c>
      <c r="H27" s="17" t="s">
        <v>140</v>
      </c>
      <c r="I27" s="17" t="s">
        <v>140</v>
      </c>
      <c r="J27" s="17"/>
      <c r="K27" s="123"/>
      <c r="L27" s="124"/>
      <c r="M27" s="124"/>
      <c r="N27" s="124"/>
      <c r="O27" s="124"/>
      <c r="P27" s="124"/>
      <c r="Q27" s="125"/>
      <c r="R27" s="17"/>
      <c r="S27" s="17"/>
      <c r="T27" s="17"/>
      <c r="U27" s="17"/>
    </row>
    <row r="28" spans="1:24" ht="18" customHeight="1" x14ac:dyDescent="0.2">
      <c r="B28" s="104" t="s">
        <v>152</v>
      </c>
      <c r="C28" s="105"/>
      <c r="D28" s="105"/>
      <c r="E28" s="105"/>
      <c r="F28" s="106"/>
      <c r="G28" s="18">
        <v>1</v>
      </c>
      <c r="H28" s="18" t="s">
        <v>140</v>
      </c>
      <c r="I28" s="18" t="s">
        <v>140</v>
      </c>
      <c r="J28" s="18" t="s">
        <v>140</v>
      </c>
      <c r="K28" s="104"/>
      <c r="L28" s="105"/>
      <c r="M28" s="105"/>
      <c r="N28" s="105"/>
      <c r="O28" s="105"/>
      <c r="P28" s="105"/>
      <c r="Q28" s="106"/>
      <c r="R28" s="18"/>
      <c r="S28" s="18"/>
      <c r="T28" s="18"/>
      <c r="U28" s="18"/>
    </row>
    <row r="29" spans="1:24" ht="18" customHeight="1" x14ac:dyDescent="0.2">
      <c r="B29" s="104" t="s">
        <v>154</v>
      </c>
      <c r="C29" s="105"/>
      <c r="D29" s="105"/>
      <c r="E29" s="105"/>
      <c r="F29" s="106"/>
      <c r="G29" s="18">
        <v>0.5</v>
      </c>
      <c r="H29" s="18"/>
      <c r="I29" s="18"/>
      <c r="J29" s="18" t="s">
        <v>140</v>
      </c>
      <c r="K29" s="104"/>
      <c r="L29" s="105"/>
      <c r="M29" s="105"/>
      <c r="N29" s="105"/>
      <c r="O29" s="105"/>
      <c r="P29" s="105"/>
      <c r="Q29" s="106"/>
      <c r="R29" s="18"/>
      <c r="S29" s="18"/>
      <c r="T29" s="18"/>
      <c r="U29" s="18"/>
    </row>
    <row r="30" spans="1:24" ht="18" customHeight="1" x14ac:dyDescent="0.2">
      <c r="B30" s="104"/>
      <c r="C30" s="105"/>
      <c r="D30" s="105"/>
      <c r="E30" s="105"/>
      <c r="F30" s="106"/>
      <c r="G30" s="18"/>
      <c r="H30" s="18"/>
      <c r="I30" s="18"/>
      <c r="J30" s="18"/>
      <c r="K30" s="104"/>
      <c r="L30" s="105"/>
      <c r="M30" s="105"/>
      <c r="N30" s="105"/>
      <c r="O30" s="105"/>
      <c r="P30" s="105"/>
      <c r="Q30" s="106"/>
      <c r="R30" s="18"/>
      <c r="S30" s="18"/>
      <c r="T30" s="18"/>
      <c r="U30" s="18"/>
    </row>
    <row r="31" spans="1:24" ht="18" customHeight="1" x14ac:dyDescent="0.2">
      <c r="B31" s="104"/>
      <c r="C31" s="105"/>
      <c r="D31" s="105"/>
      <c r="E31" s="105"/>
      <c r="F31" s="106"/>
      <c r="G31" s="18"/>
      <c r="H31" s="18"/>
      <c r="I31" s="18"/>
      <c r="J31" s="18"/>
      <c r="K31" s="104"/>
      <c r="L31" s="105"/>
      <c r="M31" s="105"/>
      <c r="N31" s="105"/>
      <c r="O31" s="105"/>
      <c r="P31" s="105"/>
      <c r="Q31" s="106"/>
      <c r="R31" s="18"/>
      <c r="S31" s="18"/>
      <c r="T31" s="18"/>
      <c r="U31" s="18"/>
    </row>
    <row r="32" spans="1:24" ht="18" customHeight="1" x14ac:dyDescent="0.2">
      <c r="A32" s="3"/>
      <c r="B32" s="104"/>
      <c r="C32" s="105"/>
      <c r="D32" s="105"/>
      <c r="E32" s="105"/>
      <c r="F32" s="106"/>
      <c r="G32" s="18"/>
      <c r="H32" s="18"/>
      <c r="I32" s="18"/>
      <c r="J32" s="18"/>
      <c r="K32" s="104"/>
      <c r="L32" s="105"/>
      <c r="M32" s="105"/>
      <c r="N32" s="105"/>
      <c r="O32" s="105"/>
      <c r="P32" s="105"/>
      <c r="Q32" s="106"/>
      <c r="R32" s="18"/>
      <c r="S32" s="18"/>
      <c r="T32" s="18"/>
      <c r="U32" s="18"/>
    </row>
    <row r="33" spans="1:21" ht="18" customHeight="1" x14ac:dyDescent="0.2">
      <c r="A33" s="3"/>
      <c r="B33" s="127"/>
      <c r="C33" s="128"/>
      <c r="D33" s="128"/>
      <c r="E33" s="128"/>
      <c r="F33" s="129"/>
      <c r="G33" s="19"/>
      <c r="H33" s="19"/>
      <c r="I33" s="20"/>
      <c r="J33" s="20"/>
      <c r="K33" s="127"/>
      <c r="L33" s="128"/>
      <c r="M33" s="128"/>
      <c r="N33" s="128"/>
      <c r="O33" s="128"/>
      <c r="P33" s="128"/>
      <c r="Q33" s="129"/>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6" t="s">
        <v>102</v>
      </c>
      <c r="B35" s="126"/>
      <c r="C35" s="126"/>
      <c r="D35" s="126"/>
      <c r="E35" s="126"/>
      <c r="F35" s="126"/>
      <c r="G35" s="126"/>
      <c r="H35" s="126"/>
      <c r="I35" s="126"/>
      <c r="J35" s="126"/>
      <c r="K35" s="126"/>
      <c r="L35" s="126"/>
      <c r="M35" s="126"/>
      <c r="N35" s="126"/>
      <c r="O35" s="126"/>
      <c r="P35" s="126"/>
      <c r="Q35" s="126"/>
      <c r="R35" s="126"/>
      <c r="S35" s="126"/>
      <c r="T35" s="126"/>
      <c r="U35" s="126"/>
    </row>
    <row r="36" spans="1:21" ht="18" customHeight="1" x14ac:dyDescent="0.2">
      <c r="A36" s="126"/>
      <c r="B36" s="126"/>
      <c r="C36" s="126"/>
      <c r="D36" s="126"/>
      <c r="E36" s="126"/>
      <c r="F36" s="126"/>
      <c r="G36" s="126"/>
      <c r="H36" s="126"/>
      <c r="I36" s="126"/>
      <c r="J36" s="126"/>
      <c r="K36" s="126"/>
      <c r="L36" s="126"/>
      <c r="M36" s="126"/>
      <c r="N36" s="126"/>
      <c r="O36" s="126"/>
      <c r="P36" s="126"/>
      <c r="Q36" s="126"/>
      <c r="R36" s="126"/>
      <c r="S36" s="126"/>
      <c r="T36" s="126"/>
      <c r="U36" s="126"/>
    </row>
    <row r="37" spans="1:21" ht="18" customHeight="1" x14ac:dyDescent="0.2">
      <c r="B37" s="120" t="s">
        <v>51</v>
      </c>
      <c r="C37" s="121"/>
      <c r="D37" s="121"/>
      <c r="E37" s="121"/>
      <c r="F37" s="122"/>
      <c r="G37" s="50" t="s">
        <v>77</v>
      </c>
      <c r="H37" s="49" t="s">
        <v>80</v>
      </c>
      <c r="I37" s="16" t="s">
        <v>68</v>
      </c>
      <c r="J37" s="16" t="s">
        <v>69</v>
      </c>
      <c r="K37" s="120" t="s">
        <v>51</v>
      </c>
      <c r="L37" s="121"/>
      <c r="M37" s="121"/>
      <c r="N37" s="121"/>
      <c r="O37" s="121"/>
      <c r="P37" s="121"/>
      <c r="Q37" s="122"/>
      <c r="R37" s="50" t="s">
        <v>77</v>
      </c>
      <c r="S37" s="49" t="s">
        <v>80</v>
      </c>
      <c r="T37" s="16" t="s">
        <v>68</v>
      </c>
      <c r="U37" s="16" t="s">
        <v>69</v>
      </c>
    </row>
    <row r="38" spans="1:21" ht="18" customHeight="1" x14ac:dyDescent="0.2">
      <c r="B38" s="123" t="s">
        <v>150</v>
      </c>
      <c r="C38" s="124"/>
      <c r="D38" s="124"/>
      <c r="E38" s="124"/>
      <c r="F38" s="125"/>
      <c r="G38" s="17">
        <v>2</v>
      </c>
      <c r="H38" s="17" t="s">
        <v>140</v>
      </c>
      <c r="I38" s="17" t="s">
        <v>140</v>
      </c>
      <c r="J38" s="17"/>
      <c r="K38" s="123"/>
      <c r="L38" s="124"/>
      <c r="M38" s="124"/>
      <c r="N38" s="124"/>
      <c r="O38" s="124"/>
      <c r="P38" s="124"/>
      <c r="Q38" s="125"/>
      <c r="R38" s="17"/>
      <c r="S38" s="17"/>
      <c r="T38" s="17"/>
      <c r="U38" s="17"/>
    </row>
    <row r="39" spans="1:21" ht="18" customHeight="1" x14ac:dyDescent="0.2">
      <c r="B39" s="104" t="s">
        <v>151</v>
      </c>
      <c r="C39" s="105"/>
      <c r="D39" s="105"/>
      <c r="E39" s="105"/>
      <c r="F39" s="106"/>
      <c r="G39" s="18">
        <v>1</v>
      </c>
      <c r="H39" s="18" t="s">
        <v>140</v>
      </c>
      <c r="I39" s="18" t="s">
        <v>140</v>
      </c>
      <c r="J39" s="18" t="s">
        <v>140</v>
      </c>
      <c r="K39" s="104"/>
      <c r="L39" s="105"/>
      <c r="M39" s="105"/>
      <c r="N39" s="105"/>
      <c r="O39" s="105"/>
      <c r="P39" s="105"/>
      <c r="Q39" s="106"/>
      <c r="R39" s="18"/>
      <c r="S39" s="18"/>
      <c r="T39" s="18"/>
      <c r="U39" s="18"/>
    </row>
    <row r="40" spans="1:21" ht="18" customHeight="1" x14ac:dyDescent="0.2">
      <c r="B40" s="104" t="s">
        <v>153</v>
      </c>
      <c r="C40" s="105"/>
      <c r="D40" s="105"/>
      <c r="E40" s="105"/>
      <c r="F40" s="106"/>
      <c r="G40" s="18">
        <v>0.5</v>
      </c>
      <c r="H40" s="18"/>
      <c r="I40" s="18"/>
      <c r="J40" s="18" t="s">
        <v>140</v>
      </c>
      <c r="K40" s="104"/>
      <c r="L40" s="105"/>
      <c r="M40" s="105"/>
      <c r="N40" s="105"/>
      <c r="O40" s="105"/>
      <c r="P40" s="105"/>
      <c r="Q40" s="106"/>
      <c r="R40" s="18"/>
      <c r="S40" s="18"/>
      <c r="T40" s="18"/>
      <c r="U40" s="18"/>
    </row>
    <row r="41" spans="1:21" ht="18" customHeight="1" x14ac:dyDescent="0.2">
      <c r="B41" s="104"/>
      <c r="C41" s="105"/>
      <c r="D41" s="105"/>
      <c r="E41" s="105"/>
      <c r="F41" s="106"/>
      <c r="G41" s="18"/>
      <c r="H41" s="18"/>
      <c r="I41" s="18"/>
      <c r="J41" s="18"/>
      <c r="K41" s="104"/>
      <c r="L41" s="105"/>
      <c r="M41" s="105"/>
      <c r="N41" s="105"/>
      <c r="O41" s="105"/>
      <c r="P41" s="105"/>
      <c r="Q41" s="106"/>
      <c r="R41" s="18"/>
      <c r="S41" s="18"/>
      <c r="T41" s="18"/>
      <c r="U41" s="18"/>
    </row>
    <row r="42" spans="1:21" ht="18" customHeight="1" x14ac:dyDescent="0.2">
      <c r="B42" s="104"/>
      <c r="C42" s="105"/>
      <c r="D42" s="105"/>
      <c r="E42" s="105"/>
      <c r="F42" s="106"/>
      <c r="G42" s="18"/>
      <c r="H42" s="18"/>
      <c r="I42" s="18"/>
      <c r="J42" s="18"/>
      <c r="K42" s="104"/>
      <c r="L42" s="105"/>
      <c r="M42" s="105"/>
      <c r="N42" s="105"/>
      <c r="O42" s="105"/>
      <c r="P42" s="105"/>
      <c r="Q42" s="106"/>
      <c r="R42" s="18"/>
      <c r="S42" s="18"/>
      <c r="T42" s="18"/>
      <c r="U42" s="18"/>
    </row>
    <row r="43" spans="1:21" ht="18" customHeight="1" x14ac:dyDescent="0.2">
      <c r="B43" s="104"/>
      <c r="C43" s="105"/>
      <c r="D43" s="105"/>
      <c r="E43" s="105"/>
      <c r="F43" s="106"/>
      <c r="G43" s="18"/>
      <c r="H43" s="18"/>
      <c r="I43" s="18"/>
      <c r="J43" s="18"/>
      <c r="K43" s="104"/>
      <c r="L43" s="105"/>
      <c r="M43" s="105"/>
      <c r="N43" s="105"/>
      <c r="O43" s="105"/>
      <c r="P43" s="105"/>
      <c r="Q43" s="106"/>
      <c r="R43" s="18"/>
      <c r="S43" s="18"/>
      <c r="T43" s="18"/>
      <c r="U43" s="18"/>
    </row>
    <row r="44" spans="1:21" ht="18" customHeight="1" x14ac:dyDescent="0.2">
      <c r="B44" s="127"/>
      <c r="C44" s="128"/>
      <c r="D44" s="128"/>
      <c r="E44" s="128"/>
      <c r="F44" s="129"/>
      <c r="G44" s="19"/>
      <c r="H44" s="19"/>
      <c r="I44" s="20"/>
      <c r="J44" s="20"/>
      <c r="K44" s="127"/>
      <c r="L44" s="128"/>
      <c r="M44" s="128"/>
      <c r="N44" s="128"/>
      <c r="O44" s="128"/>
      <c r="P44" s="128"/>
      <c r="Q44" s="129"/>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6" t="s">
        <v>103</v>
      </c>
      <c r="B46" s="126"/>
      <c r="C46" s="126"/>
      <c r="D46" s="126"/>
      <c r="E46" s="126"/>
      <c r="F46" s="126"/>
      <c r="G46" s="126"/>
      <c r="H46" s="126"/>
      <c r="I46" s="126"/>
      <c r="J46" s="126"/>
      <c r="K46" s="126"/>
      <c r="L46" s="126"/>
      <c r="M46" s="126"/>
      <c r="N46" s="126"/>
      <c r="O46" s="126"/>
      <c r="P46" s="126"/>
      <c r="Q46" s="126"/>
      <c r="R46" s="126"/>
      <c r="S46" s="126"/>
      <c r="T46" s="126"/>
      <c r="U46" s="126"/>
    </row>
    <row r="47" spans="1:21" ht="18" customHeight="1" x14ac:dyDescent="0.2">
      <c r="A47" s="126"/>
      <c r="B47" s="126"/>
      <c r="C47" s="126"/>
      <c r="D47" s="126"/>
      <c r="E47" s="126"/>
      <c r="F47" s="126"/>
      <c r="G47" s="126"/>
      <c r="H47" s="126"/>
      <c r="I47" s="126"/>
      <c r="J47" s="126"/>
      <c r="K47" s="126"/>
      <c r="L47" s="126"/>
      <c r="M47" s="126"/>
      <c r="N47" s="126"/>
      <c r="O47" s="126"/>
      <c r="P47" s="126"/>
      <c r="Q47" s="126"/>
      <c r="R47" s="126"/>
      <c r="S47" s="126"/>
      <c r="T47" s="126"/>
      <c r="U47" s="126"/>
    </row>
    <row r="48" spans="1:21" ht="18" customHeight="1" x14ac:dyDescent="0.2">
      <c r="B48" s="120" t="s">
        <v>51</v>
      </c>
      <c r="C48" s="121"/>
      <c r="D48" s="121"/>
      <c r="E48" s="121"/>
      <c r="F48" s="122"/>
      <c r="G48" s="50" t="s">
        <v>77</v>
      </c>
      <c r="H48" s="49" t="s">
        <v>80</v>
      </c>
      <c r="I48" s="16" t="s">
        <v>70</v>
      </c>
      <c r="J48" s="16" t="s">
        <v>71</v>
      </c>
      <c r="K48" s="120" t="s">
        <v>51</v>
      </c>
      <c r="L48" s="121"/>
      <c r="M48" s="121"/>
      <c r="N48" s="121"/>
      <c r="O48" s="121"/>
      <c r="P48" s="121"/>
      <c r="Q48" s="122"/>
      <c r="R48" s="50" t="s">
        <v>77</v>
      </c>
      <c r="S48" s="49" t="s">
        <v>80</v>
      </c>
      <c r="T48" s="16" t="s">
        <v>70</v>
      </c>
      <c r="U48" s="16" t="s">
        <v>71</v>
      </c>
    </row>
    <row r="49" spans="1:21" ht="18" customHeight="1" x14ac:dyDescent="0.2">
      <c r="A49" s="3"/>
      <c r="B49" s="123" t="s">
        <v>151</v>
      </c>
      <c r="C49" s="124"/>
      <c r="D49" s="124"/>
      <c r="E49" s="124"/>
      <c r="F49" s="125"/>
      <c r="G49" s="17">
        <v>1</v>
      </c>
      <c r="H49" s="17" t="s">
        <v>140</v>
      </c>
      <c r="I49" s="17" t="s">
        <v>140</v>
      </c>
      <c r="J49" s="17" t="s">
        <v>140</v>
      </c>
      <c r="K49" s="123"/>
      <c r="L49" s="124"/>
      <c r="M49" s="124"/>
      <c r="N49" s="124"/>
      <c r="O49" s="124"/>
      <c r="P49" s="124"/>
      <c r="Q49" s="125"/>
      <c r="R49" s="17"/>
      <c r="S49" s="17"/>
      <c r="T49" s="17"/>
      <c r="U49" s="17"/>
    </row>
    <row r="50" spans="1:21" ht="18" customHeight="1" x14ac:dyDescent="0.2">
      <c r="A50" s="3"/>
      <c r="B50" s="104" t="s">
        <v>154</v>
      </c>
      <c r="C50" s="105"/>
      <c r="D50" s="105"/>
      <c r="E50" s="105"/>
      <c r="F50" s="106"/>
      <c r="G50" s="18">
        <v>0.5</v>
      </c>
      <c r="H50" s="18"/>
      <c r="I50" s="18" t="s">
        <v>140</v>
      </c>
      <c r="J50" s="18" t="s">
        <v>140</v>
      </c>
      <c r="K50" s="104"/>
      <c r="L50" s="105"/>
      <c r="M50" s="105"/>
      <c r="N50" s="105"/>
      <c r="O50" s="105"/>
      <c r="P50" s="105"/>
      <c r="Q50" s="106"/>
      <c r="R50" s="18"/>
      <c r="S50" s="18"/>
      <c r="T50" s="18"/>
      <c r="U50" s="18"/>
    </row>
    <row r="51" spans="1:21" ht="18" customHeight="1" x14ac:dyDescent="0.2">
      <c r="A51" s="3"/>
      <c r="B51" s="104"/>
      <c r="C51" s="105"/>
      <c r="D51" s="105"/>
      <c r="E51" s="105"/>
      <c r="F51" s="106"/>
      <c r="G51" s="18"/>
      <c r="H51" s="18"/>
      <c r="I51" s="18"/>
      <c r="J51" s="18"/>
      <c r="K51" s="104"/>
      <c r="L51" s="105"/>
      <c r="M51" s="105"/>
      <c r="N51" s="105"/>
      <c r="O51" s="105"/>
      <c r="P51" s="105"/>
      <c r="Q51" s="106"/>
      <c r="R51" s="18"/>
      <c r="S51" s="18"/>
      <c r="T51" s="18"/>
      <c r="U51" s="18"/>
    </row>
    <row r="52" spans="1:21" ht="18" customHeight="1" x14ac:dyDescent="0.2">
      <c r="A52" s="3"/>
      <c r="B52" s="104"/>
      <c r="C52" s="105"/>
      <c r="D52" s="105"/>
      <c r="E52" s="105"/>
      <c r="F52" s="106"/>
      <c r="G52" s="18"/>
      <c r="H52" s="18"/>
      <c r="I52" s="18"/>
      <c r="J52" s="18"/>
      <c r="K52" s="104"/>
      <c r="L52" s="105"/>
      <c r="M52" s="105"/>
      <c r="N52" s="105"/>
      <c r="O52" s="105"/>
      <c r="P52" s="105"/>
      <c r="Q52" s="106"/>
      <c r="R52" s="18"/>
      <c r="S52" s="18"/>
      <c r="T52" s="18"/>
      <c r="U52" s="18"/>
    </row>
    <row r="53" spans="1:21" ht="18" customHeight="1" x14ac:dyDescent="0.2">
      <c r="A53" s="3"/>
      <c r="B53" s="104"/>
      <c r="C53" s="105"/>
      <c r="D53" s="105"/>
      <c r="E53" s="105"/>
      <c r="F53" s="106"/>
      <c r="G53" s="18"/>
      <c r="H53" s="18"/>
      <c r="I53" s="18"/>
      <c r="J53" s="18"/>
      <c r="K53" s="104"/>
      <c r="L53" s="105"/>
      <c r="M53" s="105"/>
      <c r="N53" s="105"/>
      <c r="O53" s="105"/>
      <c r="P53" s="105"/>
      <c r="Q53" s="106"/>
      <c r="R53" s="18"/>
      <c r="S53" s="18"/>
      <c r="T53" s="18"/>
      <c r="U53" s="18"/>
    </row>
    <row r="54" spans="1:21" ht="18" customHeight="1" x14ac:dyDescent="0.2">
      <c r="A54" s="3"/>
      <c r="B54" s="104"/>
      <c r="C54" s="105"/>
      <c r="D54" s="105"/>
      <c r="E54" s="105"/>
      <c r="F54" s="106"/>
      <c r="G54" s="18"/>
      <c r="H54" s="18"/>
      <c r="I54" s="18"/>
      <c r="J54" s="18"/>
      <c r="K54" s="104"/>
      <c r="L54" s="105"/>
      <c r="M54" s="105"/>
      <c r="N54" s="105"/>
      <c r="O54" s="105"/>
      <c r="P54" s="105"/>
      <c r="Q54" s="106"/>
      <c r="R54" s="18"/>
      <c r="S54" s="18"/>
      <c r="T54" s="18"/>
      <c r="U54" s="18"/>
    </row>
    <row r="55" spans="1:21" ht="18" customHeight="1" x14ac:dyDescent="0.2">
      <c r="A55" s="3"/>
      <c r="B55" s="127"/>
      <c r="C55" s="128"/>
      <c r="D55" s="128"/>
      <c r="E55" s="128"/>
      <c r="F55" s="129"/>
      <c r="G55" s="19"/>
      <c r="H55" s="19"/>
      <c r="I55" s="20"/>
      <c r="J55" s="20"/>
      <c r="K55" s="127"/>
      <c r="L55" s="128"/>
      <c r="M55" s="128"/>
      <c r="N55" s="128"/>
      <c r="O55" s="128"/>
      <c r="P55" s="128"/>
      <c r="Q55" s="129"/>
      <c r="R55" s="19"/>
      <c r="S55" s="19"/>
      <c r="T55" s="20"/>
      <c r="U55" s="20"/>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6" t="s">
        <v>104</v>
      </c>
      <c r="B57" s="126"/>
      <c r="C57" s="126"/>
      <c r="D57" s="126"/>
      <c r="E57" s="126"/>
      <c r="F57" s="126"/>
      <c r="G57" s="126"/>
      <c r="H57" s="126"/>
      <c r="I57" s="126"/>
      <c r="J57" s="126"/>
      <c r="K57" s="126"/>
      <c r="L57" s="126"/>
      <c r="M57" s="126"/>
      <c r="N57" s="126"/>
      <c r="O57" s="126"/>
      <c r="P57" s="126"/>
      <c r="Q57" s="126"/>
      <c r="R57" s="126"/>
      <c r="S57" s="126"/>
      <c r="T57" s="126"/>
      <c r="U57" s="126"/>
    </row>
    <row r="58" spans="1:21" ht="18" customHeight="1" x14ac:dyDescent="0.2">
      <c r="A58" s="126"/>
      <c r="B58" s="126"/>
      <c r="C58" s="126"/>
      <c r="D58" s="126"/>
      <c r="E58" s="126"/>
      <c r="F58" s="126"/>
      <c r="G58" s="126"/>
      <c r="H58" s="126"/>
      <c r="I58" s="126"/>
      <c r="J58" s="126"/>
      <c r="K58" s="126"/>
      <c r="L58" s="126"/>
      <c r="M58" s="126"/>
      <c r="N58" s="126"/>
      <c r="O58" s="126"/>
      <c r="P58" s="126"/>
      <c r="Q58" s="126"/>
      <c r="R58" s="126"/>
      <c r="S58" s="126"/>
      <c r="T58" s="126"/>
      <c r="U58" s="126"/>
    </row>
    <row r="59" spans="1:21" ht="18" customHeight="1" x14ac:dyDescent="0.2">
      <c r="B59" s="120" t="s">
        <v>51</v>
      </c>
      <c r="C59" s="121"/>
      <c r="D59" s="121"/>
      <c r="E59" s="121"/>
      <c r="F59" s="122"/>
      <c r="G59" s="50" t="s">
        <v>77</v>
      </c>
      <c r="H59" s="49" t="s">
        <v>80</v>
      </c>
      <c r="I59" s="16" t="s">
        <v>56</v>
      </c>
      <c r="J59" s="16" t="s">
        <v>58</v>
      </c>
      <c r="K59" s="120" t="s">
        <v>51</v>
      </c>
      <c r="L59" s="121"/>
      <c r="M59" s="121"/>
      <c r="N59" s="121"/>
      <c r="O59" s="121"/>
      <c r="P59" s="121"/>
      <c r="Q59" s="122"/>
      <c r="R59" s="50" t="s">
        <v>77</v>
      </c>
      <c r="S59" s="49" t="s">
        <v>80</v>
      </c>
      <c r="T59" s="16" t="s">
        <v>56</v>
      </c>
      <c r="U59" s="16" t="s">
        <v>58</v>
      </c>
    </row>
    <row r="60" spans="1:21" ht="18" customHeight="1" x14ac:dyDescent="0.2">
      <c r="A60" s="3"/>
      <c r="B60" s="123" t="s">
        <v>150</v>
      </c>
      <c r="C60" s="124"/>
      <c r="D60" s="124"/>
      <c r="E60" s="124"/>
      <c r="F60" s="125"/>
      <c r="G60" s="17">
        <v>2</v>
      </c>
      <c r="H60" s="17" t="s">
        <v>140</v>
      </c>
      <c r="I60" s="17" t="s">
        <v>140</v>
      </c>
      <c r="J60" s="17" t="s">
        <v>140</v>
      </c>
      <c r="K60" s="123"/>
      <c r="L60" s="124"/>
      <c r="M60" s="124"/>
      <c r="N60" s="124"/>
      <c r="O60" s="124"/>
      <c r="P60" s="124"/>
      <c r="Q60" s="125"/>
      <c r="R60" s="17"/>
      <c r="S60" s="17"/>
      <c r="T60" s="17"/>
      <c r="U60" s="17"/>
    </row>
    <row r="61" spans="1:21" ht="18" customHeight="1" x14ac:dyDescent="0.2">
      <c r="A61" s="3"/>
      <c r="B61" s="104" t="s">
        <v>155</v>
      </c>
      <c r="C61" s="105"/>
      <c r="D61" s="105"/>
      <c r="E61" s="105"/>
      <c r="F61" s="106"/>
      <c r="G61" s="18">
        <v>1</v>
      </c>
      <c r="H61" s="18" t="s">
        <v>140</v>
      </c>
      <c r="I61" s="18" t="s">
        <v>140</v>
      </c>
      <c r="J61" s="18" t="s">
        <v>140</v>
      </c>
      <c r="K61" s="104"/>
      <c r="L61" s="105"/>
      <c r="M61" s="105"/>
      <c r="N61" s="105"/>
      <c r="O61" s="105"/>
      <c r="P61" s="105"/>
      <c r="Q61" s="106"/>
      <c r="R61" s="18"/>
      <c r="S61" s="18"/>
      <c r="T61" s="18"/>
      <c r="U61" s="18"/>
    </row>
    <row r="62" spans="1:21" ht="18" customHeight="1" x14ac:dyDescent="0.2">
      <c r="A62" s="3"/>
      <c r="B62" s="104"/>
      <c r="C62" s="105"/>
      <c r="D62" s="105"/>
      <c r="E62" s="105"/>
      <c r="F62" s="106"/>
      <c r="G62" s="18"/>
      <c r="H62" s="18"/>
      <c r="I62" s="18"/>
      <c r="J62" s="18"/>
      <c r="K62" s="104"/>
      <c r="L62" s="105"/>
      <c r="M62" s="105"/>
      <c r="N62" s="105"/>
      <c r="O62" s="105"/>
      <c r="P62" s="105"/>
      <c r="Q62" s="106"/>
      <c r="R62" s="18"/>
      <c r="S62" s="18"/>
      <c r="T62" s="18"/>
      <c r="U62" s="18"/>
    </row>
    <row r="63" spans="1:21" ht="18" customHeight="1" x14ac:dyDescent="0.2">
      <c r="A63" s="3"/>
      <c r="B63" s="104"/>
      <c r="C63" s="105"/>
      <c r="D63" s="105"/>
      <c r="E63" s="105"/>
      <c r="F63" s="106"/>
      <c r="G63" s="18"/>
      <c r="H63" s="18"/>
      <c r="I63" s="18"/>
      <c r="J63" s="18"/>
      <c r="K63" s="104"/>
      <c r="L63" s="105"/>
      <c r="M63" s="105"/>
      <c r="N63" s="105"/>
      <c r="O63" s="105"/>
      <c r="P63" s="105"/>
      <c r="Q63" s="106"/>
      <c r="R63" s="18"/>
      <c r="S63" s="18"/>
      <c r="T63" s="18"/>
      <c r="U63" s="18"/>
    </row>
    <row r="64" spans="1:21" ht="18" customHeight="1" x14ac:dyDescent="0.2">
      <c r="A64" s="3"/>
      <c r="B64" s="104"/>
      <c r="C64" s="105"/>
      <c r="D64" s="105"/>
      <c r="E64" s="105"/>
      <c r="F64" s="106"/>
      <c r="G64" s="18"/>
      <c r="H64" s="18"/>
      <c r="I64" s="18"/>
      <c r="J64" s="18"/>
      <c r="K64" s="104"/>
      <c r="L64" s="105"/>
      <c r="M64" s="105"/>
      <c r="N64" s="105"/>
      <c r="O64" s="105"/>
      <c r="P64" s="105"/>
      <c r="Q64" s="106"/>
      <c r="R64" s="18"/>
      <c r="S64" s="18"/>
      <c r="T64" s="18"/>
      <c r="U64" s="18"/>
    </row>
    <row r="65" spans="1:21" ht="18" customHeight="1" x14ac:dyDescent="0.2">
      <c r="A65" s="3"/>
      <c r="B65" s="104"/>
      <c r="C65" s="105"/>
      <c r="D65" s="105"/>
      <c r="E65" s="105"/>
      <c r="F65" s="106"/>
      <c r="G65" s="18"/>
      <c r="H65" s="18"/>
      <c r="I65" s="18"/>
      <c r="J65" s="18"/>
      <c r="K65" s="104"/>
      <c r="L65" s="105"/>
      <c r="M65" s="105"/>
      <c r="N65" s="105"/>
      <c r="O65" s="105"/>
      <c r="P65" s="105"/>
      <c r="Q65" s="106"/>
      <c r="R65" s="18"/>
      <c r="S65" s="18"/>
      <c r="T65" s="18"/>
      <c r="U65" s="18"/>
    </row>
    <row r="66" spans="1:21" ht="18" customHeight="1" x14ac:dyDescent="0.2">
      <c r="A66" s="3"/>
      <c r="B66" s="127"/>
      <c r="C66" s="128"/>
      <c r="D66" s="128"/>
      <c r="E66" s="128"/>
      <c r="F66" s="129"/>
      <c r="G66" s="19"/>
      <c r="H66" s="19"/>
      <c r="I66" s="20"/>
      <c r="J66" s="20"/>
      <c r="K66" s="127"/>
      <c r="L66" s="128"/>
      <c r="M66" s="128"/>
      <c r="N66" s="128"/>
      <c r="O66" s="128"/>
      <c r="P66" s="128"/>
      <c r="Q66" s="129"/>
      <c r="R66" s="19"/>
      <c r="S66" s="19"/>
      <c r="T66" s="20"/>
      <c r="U66" s="20"/>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6" t="s">
        <v>105</v>
      </c>
      <c r="B68" s="126"/>
      <c r="C68" s="126"/>
      <c r="D68" s="126"/>
      <c r="E68" s="126"/>
      <c r="F68" s="126"/>
      <c r="G68" s="126"/>
      <c r="H68" s="126"/>
      <c r="I68" s="126"/>
      <c r="J68" s="126"/>
      <c r="K68" s="126"/>
      <c r="L68" s="126"/>
      <c r="M68" s="126"/>
      <c r="N68" s="126"/>
      <c r="O68" s="126"/>
      <c r="P68" s="126"/>
      <c r="Q68" s="126"/>
      <c r="R68" s="126"/>
      <c r="S68" s="126"/>
      <c r="T68" s="126"/>
      <c r="U68" s="126"/>
    </row>
    <row r="69" spans="1:21" ht="18" customHeight="1" x14ac:dyDescent="0.2">
      <c r="A69" s="126"/>
      <c r="B69" s="126"/>
      <c r="C69" s="126"/>
      <c r="D69" s="126"/>
      <c r="E69" s="126"/>
      <c r="F69" s="126"/>
      <c r="G69" s="126"/>
      <c r="H69" s="126"/>
      <c r="I69" s="126"/>
      <c r="J69" s="126"/>
      <c r="K69" s="126"/>
      <c r="L69" s="126"/>
      <c r="M69" s="126"/>
      <c r="N69" s="126"/>
      <c r="O69" s="126"/>
      <c r="P69" s="126"/>
      <c r="Q69" s="126"/>
      <c r="R69" s="126"/>
      <c r="S69" s="126"/>
      <c r="T69" s="126"/>
      <c r="U69" s="126"/>
    </row>
    <row r="70" spans="1:21" ht="18" customHeight="1" x14ac:dyDescent="0.2">
      <c r="B70" s="120" t="s">
        <v>51</v>
      </c>
      <c r="C70" s="121"/>
      <c r="D70" s="121"/>
      <c r="E70" s="121"/>
      <c r="F70" s="50" t="s">
        <v>77</v>
      </c>
      <c r="G70" s="49" t="s">
        <v>80</v>
      </c>
      <c r="H70" s="16" t="s">
        <v>92</v>
      </c>
      <c r="I70" s="16" t="s">
        <v>72</v>
      </c>
      <c r="J70" s="16" t="s">
        <v>73</v>
      </c>
      <c r="K70" s="120" t="s">
        <v>51</v>
      </c>
      <c r="L70" s="121"/>
      <c r="M70" s="121"/>
      <c r="N70" s="121"/>
      <c r="O70" s="121"/>
      <c r="P70" s="122"/>
      <c r="Q70" s="50" t="s">
        <v>77</v>
      </c>
      <c r="R70" s="49" t="s">
        <v>80</v>
      </c>
      <c r="S70" s="16" t="s">
        <v>92</v>
      </c>
      <c r="T70" s="16" t="s">
        <v>72</v>
      </c>
      <c r="U70" s="16" t="s">
        <v>73</v>
      </c>
    </row>
    <row r="71" spans="1:21" ht="18" customHeight="1" x14ac:dyDescent="0.2">
      <c r="A71" s="3"/>
      <c r="B71" s="123" t="s">
        <v>150</v>
      </c>
      <c r="C71" s="124"/>
      <c r="D71" s="124"/>
      <c r="E71" s="125"/>
      <c r="F71" s="17">
        <v>2</v>
      </c>
      <c r="G71" s="17" t="s">
        <v>140</v>
      </c>
      <c r="H71" s="17" t="s">
        <v>140</v>
      </c>
      <c r="I71" s="17" t="s">
        <v>140</v>
      </c>
      <c r="J71" s="17" t="s">
        <v>140</v>
      </c>
      <c r="K71" s="123"/>
      <c r="L71" s="124"/>
      <c r="M71" s="124"/>
      <c r="N71" s="124"/>
      <c r="O71" s="124"/>
      <c r="P71" s="125"/>
      <c r="Q71" s="17"/>
      <c r="R71" s="17"/>
      <c r="S71" s="17"/>
      <c r="T71" s="17"/>
      <c r="U71" s="17"/>
    </row>
    <row r="72" spans="1:21" ht="18" customHeight="1" x14ac:dyDescent="0.2">
      <c r="A72" s="3"/>
      <c r="B72" s="104" t="s">
        <v>156</v>
      </c>
      <c r="C72" s="105"/>
      <c r="D72" s="105"/>
      <c r="E72" s="106"/>
      <c r="F72" s="18">
        <v>2</v>
      </c>
      <c r="G72" s="18" t="s">
        <v>140</v>
      </c>
      <c r="H72" s="18" t="s">
        <v>140</v>
      </c>
      <c r="I72" s="18" t="s">
        <v>140</v>
      </c>
      <c r="J72" s="18" t="s">
        <v>140</v>
      </c>
      <c r="K72" s="104"/>
      <c r="L72" s="105"/>
      <c r="M72" s="105"/>
      <c r="N72" s="105"/>
      <c r="O72" s="105"/>
      <c r="P72" s="106"/>
      <c r="Q72" s="18"/>
      <c r="R72" s="18"/>
      <c r="S72" s="18"/>
      <c r="T72" s="18"/>
      <c r="U72" s="18"/>
    </row>
    <row r="73" spans="1:21" ht="18" customHeight="1" x14ac:dyDescent="0.2">
      <c r="A73" s="3"/>
      <c r="B73" s="104" t="s">
        <v>154</v>
      </c>
      <c r="C73" s="105"/>
      <c r="D73" s="105"/>
      <c r="E73" s="106"/>
      <c r="F73" s="18">
        <v>0.5</v>
      </c>
      <c r="G73" s="18"/>
      <c r="H73" s="18"/>
      <c r="I73" s="18"/>
      <c r="J73" s="18" t="s">
        <v>140</v>
      </c>
      <c r="K73" s="104"/>
      <c r="L73" s="105"/>
      <c r="M73" s="105"/>
      <c r="N73" s="105"/>
      <c r="O73" s="105"/>
      <c r="P73" s="106"/>
      <c r="Q73" s="18"/>
      <c r="R73" s="18"/>
      <c r="S73" s="18"/>
      <c r="T73" s="18"/>
      <c r="U73" s="18"/>
    </row>
    <row r="74" spans="1:21" ht="18" customHeight="1" x14ac:dyDescent="0.2">
      <c r="A74" s="3"/>
      <c r="B74" s="104"/>
      <c r="C74" s="105"/>
      <c r="D74" s="105"/>
      <c r="E74" s="105"/>
      <c r="F74" s="18"/>
      <c r="G74" s="18"/>
      <c r="H74" s="18"/>
      <c r="I74" s="18"/>
      <c r="J74" s="18"/>
      <c r="K74" s="104"/>
      <c r="L74" s="105"/>
      <c r="M74" s="105"/>
      <c r="N74" s="105"/>
      <c r="O74" s="105"/>
      <c r="P74" s="106"/>
      <c r="Q74" s="18"/>
      <c r="R74" s="18"/>
      <c r="S74" s="18"/>
      <c r="T74" s="18"/>
      <c r="U74" s="18"/>
    </row>
    <row r="75" spans="1:21" ht="18" customHeight="1" x14ac:dyDescent="0.2">
      <c r="A75" s="3"/>
      <c r="B75" s="104"/>
      <c r="C75" s="105"/>
      <c r="D75" s="105"/>
      <c r="E75" s="105"/>
      <c r="F75" s="18"/>
      <c r="G75" s="18"/>
      <c r="H75" s="18"/>
      <c r="I75" s="18"/>
      <c r="J75" s="18"/>
      <c r="K75" s="104"/>
      <c r="L75" s="105"/>
      <c r="M75" s="105"/>
      <c r="N75" s="105"/>
      <c r="O75" s="105"/>
      <c r="P75" s="106"/>
      <c r="Q75" s="18"/>
      <c r="R75" s="18"/>
      <c r="S75" s="18"/>
      <c r="T75" s="18"/>
      <c r="U75" s="18"/>
    </row>
    <row r="76" spans="1:21" ht="18" customHeight="1" x14ac:dyDescent="0.2">
      <c r="A76" s="3"/>
      <c r="B76" s="104"/>
      <c r="C76" s="105"/>
      <c r="D76" s="105"/>
      <c r="E76" s="105"/>
      <c r="F76" s="18"/>
      <c r="G76" s="18"/>
      <c r="H76" s="18"/>
      <c r="I76" s="18"/>
      <c r="J76" s="18"/>
      <c r="K76" s="104"/>
      <c r="L76" s="105"/>
      <c r="M76" s="105"/>
      <c r="N76" s="105"/>
      <c r="O76" s="105"/>
      <c r="P76" s="106"/>
      <c r="Q76" s="18"/>
      <c r="R76" s="18"/>
      <c r="S76" s="18"/>
      <c r="T76" s="18"/>
      <c r="U76" s="18"/>
    </row>
    <row r="77" spans="1:21" ht="18" customHeight="1" x14ac:dyDescent="0.2">
      <c r="A77" s="3"/>
      <c r="B77" s="127"/>
      <c r="C77" s="128"/>
      <c r="D77" s="128"/>
      <c r="E77" s="128"/>
      <c r="F77" s="19"/>
      <c r="G77" s="19"/>
      <c r="H77" s="20"/>
      <c r="I77" s="20"/>
      <c r="J77" s="20"/>
      <c r="K77" s="127"/>
      <c r="L77" s="128"/>
      <c r="M77" s="128"/>
      <c r="N77" s="128"/>
      <c r="O77" s="128"/>
      <c r="P77" s="129"/>
      <c r="Q77" s="19"/>
      <c r="R77" s="19"/>
      <c r="S77" s="20"/>
      <c r="T77" s="20"/>
      <c r="U77" s="20"/>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106</v>
      </c>
      <c r="I79" s="3"/>
      <c r="J79" s="3"/>
      <c r="K79" s="3"/>
      <c r="L79" s="3"/>
      <c r="M79" s="3"/>
      <c r="N79" s="3"/>
      <c r="O79" s="3"/>
      <c r="P79" s="3"/>
      <c r="Q79" s="3"/>
      <c r="R79" s="3"/>
      <c r="S79" s="3"/>
      <c r="T79" s="3"/>
      <c r="U79" s="3"/>
    </row>
    <row r="80" spans="1:21" ht="18" customHeight="1" x14ac:dyDescent="0.2">
      <c r="B80" s="120" t="s">
        <v>51</v>
      </c>
      <c r="C80" s="121"/>
      <c r="D80" s="121"/>
      <c r="E80" s="121"/>
      <c r="F80" s="122"/>
      <c r="G80" s="120" t="s">
        <v>78</v>
      </c>
      <c r="H80" s="121"/>
      <c r="I80" s="121"/>
      <c r="J80" s="122"/>
      <c r="K80" s="130" t="s">
        <v>51</v>
      </c>
      <c r="L80" s="131"/>
      <c r="M80" s="131"/>
      <c r="N80" s="131"/>
      <c r="O80" s="131"/>
      <c r="P80" s="131"/>
      <c r="Q80" s="132"/>
      <c r="R80" s="120" t="s">
        <v>78</v>
      </c>
      <c r="S80" s="121"/>
      <c r="T80" s="121"/>
      <c r="U80" s="122"/>
    </row>
    <row r="81" spans="1:21" ht="18" customHeight="1" x14ac:dyDescent="0.2">
      <c r="A81" s="3"/>
      <c r="B81" s="123" t="s">
        <v>157</v>
      </c>
      <c r="C81" s="124"/>
      <c r="D81" s="124"/>
      <c r="E81" s="124"/>
      <c r="F81" s="125"/>
      <c r="G81" s="136" t="s">
        <v>144</v>
      </c>
      <c r="H81" s="137"/>
      <c r="I81" s="137"/>
      <c r="J81" s="138"/>
      <c r="K81" s="123"/>
      <c r="L81" s="124"/>
      <c r="M81" s="124"/>
      <c r="N81" s="124"/>
      <c r="O81" s="124"/>
      <c r="P81" s="124"/>
      <c r="Q81" s="125"/>
      <c r="R81" s="136"/>
      <c r="S81" s="137"/>
      <c r="T81" s="137"/>
      <c r="U81" s="138"/>
    </row>
    <row r="82" spans="1:21" ht="18" customHeight="1" x14ac:dyDescent="0.2">
      <c r="A82" s="3"/>
      <c r="B82" s="104"/>
      <c r="C82" s="105"/>
      <c r="D82" s="105"/>
      <c r="E82" s="105"/>
      <c r="F82" s="106"/>
      <c r="G82" s="133"/>
      <c r="H82" s="134"/>
      <c r="I82" s="134"/>
      <c r="J82" s="135"/>
      <c r="K82" s="104"/>
      <c r="L82" s="105"/>
      <c r="M82" s="105"/>
      <c r="N82" s="105"/>
      <c r="O82" s="105"/>
      <c r="P82" s="105"/>
      <c r="Q82" s="106"/>
      <c r="R82" s="133"/>
      <c r="S82" s="134"/>
      <c r="T82" s="134"/>
      <c r="U82" s="135"/>
    </row>
    <row r="83" spans="1:21" ht="18" customHeight="1" x14ac:dyDescent="0.2">
      <c r="A83" s="3"/>
      <c r="B83" s="104"/>
      <c r="C83" s="105"/>
      <c r="D83" s="105"/>
      <c r="E83" s="105"/>
      <c r="F83" s="106"/>
      <c r="G83" s="133"/>
      <c r="H83" s="134"/>
      <c r="I83" s="134"/>
      <c r="J83" s="135"/>
      <c r="K83" s="104"/>
      <c r="L83" s="105"/>
      <c r="M83" s="105"/>
      <c r="N83" s="105"/>
      <c r="O83" s="105"/>
      <c r="P83" s="105"/>
      <c r="Q83" s="106"/>
      <c r="R83" s="133"/>
      <c r="S83" s="134"/>
      <c r="T83" s="134"/>
      <c r="U83" s="135"/>
    </row>
    <row r="84" spans="1:21" ht="18" customHeight="1" x14ac:dyDescent="0.2">
      <c r="A84" s="3"/>
      <c r="B84" s="104"/>
      <c r="C84" s="105"/>
      <c r="D84" s="105"/>
      <c r="E84" s="105"/>
      <c r="F84" s="106"/>
      <c r="G84" s="133"/>
      <c r="H84" s="134"/>
      <c r="I84" s="134"/>
      <c r="J84" s="135"/>
      <c r="K84" s="104"/>
      <c r="L84" s="105"/>
      <c r="M84" s="105"/>
      <c r="N84" s="105"/>
      <c r="O84" s="105"/>
      <c r="P84" s="105"/>
      <c r="Q84" s="106"/>
      <c r="R84" s="133"/>
      <c r="S84" s="134"/>
      <c r="T84" s="134"/>
      <c r="U84" s="135"/>
    </row>
    <row r="85" spans="1:21" ht="18" customHeight="1" x14ac:dyDescent="0.2">
      <c r="A85" s="3"/>
      <c r="B85" s="104"/>
      <c r="C85" s="105"/>
      <c r="D85" s="105"/>
      <c r="E85" s="105"/>
      <c r="F85" s="106"/>
      <c r="G85" s="133"/>
      <c r="H85" s="134"/>
      <c r="I85" s="134"/>
      <c r="J85" s="135"/>
      <c r="K85" s="104"/>
      <c r="L85" s="105"/>
      <c r="M85" s="105"/>
      <c r="N85" s="105"/>
      <c r="O85" s="105"/>
      <c r="P85" s="105"/>
      <c r="Q85" s="106"/>
      <c r="R85" s="133"/>
      <c r="S85" s="134"/>
      <c r="T85" s="134"/>
      <c r="U85" s="135"/>
    </row>
    <row r="86" spans="1:21" ht="18" customHeight="1" x14ac:dyDescent="0.2">
      <c r="A86" s="3"/>
      <c r="B86" s="104"/>
      <c r="C86" s="105"/>
      <c r="D86" s="105"/>
      <c r="E86" s="105"/>
      <c r="F86" s="106"/>
      <c r="G86" s="133"/>
      <c r="H86" s="134"/>
      <c r="I86" s="134"/>
      <c r="J86" s="135"/>
      <c r="K86" s="104"/>
      <c r="L86" s="105"/>
      <c r="M86" s="105"/>
      <c r="N86" s="105"/>
      <c r="O86" s="105"/>
      <c r="P86" s="105"/>
      <c r="Q86" s="106"/>
      <c r="R86" s="133"/>
      <c r="S86" s="134"/>
      <c r="T86" s="134"/>
      <c r="U86" s="135"/>
    </row>
    <row r="87" spans="1:21" ht="18" customHeight="1" x14ac:dyDescent="0.2">
      <c r="A87" s="3"/>
      <c r="B87" s="127"/>
      <c r="C87" s="128"/>
      <c r="D87" s="128"/>
      <c r="E87" s="128"/>
      <c r="F87" s="129"/>
      <c r="G87" s="139"/>
      <c r="H87" s="140"/>
      <c r="I87" s="140"/>
      <c r="J87" s="141"/>
      <c r="K87" s="127"/>
      <c r="L87" s="128"/>
      <c r="M87" s="128"/>
      <c r="N87" s="128"/>
      <c r="O87" s="128"/>
      <c r="P87" s="128"/>
      <c r="Q87" s="129"/>
      <c r="R87" s="139"/>
      <c r="S87" s="140"/>
      <c r="T87" s="140"/>
      <c r="U87" s="141"/>
    </row>
    <row r="88" spans="1:21" ht="18" customHeight="1" x14ac:dyDescent="0.2">
      <c r="A88" s="3"/>
      <c r="B88" s="6"/>
      <c r="C88" s="6"/>
      <c r="D88" s="6"/>
      <c r="E88" s="6"/>
      <c r="F88" s="6"/>
      <c r="G88" s="21"/>
      <c r="H88" s="21"/>
      <c r="I88" s="21"/>
      <c r="J88" s="21"/>
      <c r="K88" s="6"/>
      <c r="L88" s="6"/>
      <c r="M88" s="6"/>
      <c r="N88" s="6"/>
      <c r="O88" s="6"/>
      <c r="P88" s="6"/>
      <c r="Q88" s="6"/>
      <c r="R88" s="21"/>
      <c r="S88" s="21"/>
      <c r="T88" s="21"/>
      <c r="U88" s="21"/>
    </row>
    <row r="89" spans="1:21" ht="18.75" customHeight="1" x14ac:dyDescent="0.2">
      <c r="A89" s="1" t="s">
        <v>107</v>
      </c>
    </row>
    <row r="90" spans="1:21" ht="18.75" customHeight="1" x14ac:dyDescent="0.2">
      <c r="B90" s="142" t="s">
        <v>52</v>
      </c>
      <c r="C90" s="143"/>
      <c r="D90" s="120" t="s">
        <v>53</v>
      </c>
      <c r="E90" s="121"/>
      <c r="F90" s="121"/>
      <c r="G90" s="121"/>
      <c r="H90" s="121"/>
      <c r="I90" s="121"/>
      <c r="J90" s="121"/>
      <c r="K90" s="121"/>
      <c r="L90" s="121"/>
      <c r="M90" s="121"/>
      <c r="N90" s="121"/>
      <c r="O90" s="121"/>
      <c r="P90" s="121"/>
      <c r="Q90" s="121"/>
      <c r="R90" s="121"/>
      <c r="S90" s="121"/>
      <c r="T90" s="121"/>
      <c r="U90" s="122"/>
    </row>
    <row r="91" spans="1:21" ht="97.5" customHeight="1" x14ac:dyDescent="0.2">
      <c r="B91" s="144" t="s">
        <v>59</v>
      </c>
      <c r="C91" s="22" t="s">
        <v>54</v>
      </c>
      <c r="D91" s="146" t="s">
        <v>158</v>
      </c>
      <c r="E91" s="155"/>
      <c r="F91" s="155"/>
      <c r="G91" s="155"/>
      <c r="H91" s="155"/>
      <c r="I91" s="155"/>
      <c r="J91" s="155"/>
      <c r="K91" s="155"/>
      <c r="L91" s="155"/>
      <c r="M91" s="155"/>
      <c r="N91" s="155"/>
      <c r="O91" s="155"/>
      <c r="P91" s="155"/>
      <c r="Q91" s="155"/>
      <c r="R91" s="155"/>
      <c r="S91" s="155"/>
      <c r="T91" s="155"/>
      <c r="U91" s="156"/>
    </row>
    <row r="92" spans="1:21" ht="97.5" customHeight="1" x14ac:dyDescent="0.2">
      <c r="B92" s="154"/>
      <c r="C92" s="23" t="s">
        <v>74</v>
      </c>
      <c r="D92" s="149" t="s">
        <v>191</v>
      </c>
      <c r="E92" s="157"/>
      <c r="F92" s="157"/>
      <c r="G92" s="157"/>
      <c r="H92" s="157"/>
      <c r="I92" s="157"/>
      <c r="J92" s="157"/>
      <c r="K92" s="157"/>
      <c r="L92" s="157"/>
      <c r="M92" s="157"/>
      <c r="N92" s="157"/>
      <c r="O92" s="157"/>
      <c r="P92" s="157"/>
      <c r="Q92" s="157"/>
      <c r="R92" s="157"/>
      <c r="S92" s="157"/>
      <c r="T92" s="157"/>
      <c r="U92" s="158"/>
    </row>
    <row r="93" spans="1:21" ht="97.5" customHeight="1" x14ac:dyDescent="0.2">
      <c r="B93" s="144" t="s">
        <v>60</v>
      </c>
      <c r="C93" s="24" t="s">
        <v>68</v>
      </c>
      <c r="D93" s="159" t="s">
        <v>159</v>
      </c>
      <c r="E93" s="147"/>
      <c r="F93" s="147"/>
      <c r="G93" s="147"/>
      <c r="H93" s="147"/>
      <c r="I93" s="147"/>
      <c r="J93" s="147"/>
      <c r="K93" s="147"/>
      <c r="L93" s="147"/>
      <c r="M93" s="147"/>
      <c r="N93" s="147"/>
      <c r="O93" s="147"/>
      <c r="P93" s="147"/>
      <c r="Q93" s="147"/>
      <c r="R93" s="147"/>
      <c r="S93" s="147"/>
      <c r="T93" s="147"/>
      <c r="U93" s="148"/>
    </row>
    <row r="94" spans="1:21" ht="97.5" customHeight="1" x14ac:dyDescent="0.2">
      <c r="B94" s="145"/>
      <c r="C94" s="25" t="s">
        <v>69</v>
      </c>
      <c r="D94" s="149" t="s">
        <v>188</v>
      </c>
      <c r="E94" s="150"/>
      <c r="F94" s="150"/>
      <c r="G94" s="150"/>
      <c r="H94" s="150"/>
      <c r="I94" s="150"/>
      <c r="J94" s="150"/>
      <c r="K94" s="150"/>
      <c r="L94" s="150"/>
      <c r="M94" s="150"/>
      <c r="N94" s="150"/>
      <c r="O94" s="150"/>
      <c r="P94" s="150"/>
      <c r="Q94" s="150"/>
      <c r="R94" s="150"/>
      <c r="S94" s="150"/>
      <c r="T94" s="150"/>
      <c r="U94" s="151"/>
    </row>
    <row r="95" spans="1:21" ht="97.5" customHeight="1" x14ac:dyDescent="0.2">
      <c r="B95" s="144" t="s">
        <v>61</v>
      </c>
      <c r="C95" s="24" t="s">
        <v>70</v>
      </c>
      <c r="D95" s="146" t="s">
        <v>189</v>
      </c>
      <c r="E95" s="147"/>
      <c r="F95" s="147"/>
      <c r="G95" s="147"/>
      <c r="H95" s="147"/>
      <c r="I95" s="147"/>
      <c r="J95" s="147"/>
      <c r="K95" s="147"/>
      <c r="L95" s="147"/>
      <c r="M95" s="147"/>
      <c r="N95" s="147"/>
      <c r="O95" s="147"/>
      <c r="P95" s="147"/>
      <c r="Q95" s="147"/>
      <c r="R95" s="147"/>
      <c r="S95" s="147"/>
      <c r="T95" s="147"/>
      <c r="U95" s="148"/>
    </row>
    <row r="96" spans="1:21" ht="97.5" customHeight="1" x14ac:dyDescent="0.2">
      <c r="B96" s="145"/>
      <c r="C96" s="26" t="s">
        <v>71</v>
      </c>
      <c r="D96" s="149" t="s">
        <v>190</v>
      </c>
      <c r="E96" s="150"/>
      <c r="F96" s="150"/>
      <c r="G96" s="150"/>
      <c r="H96" s="150"/>
      <c r="I96" s="150"/>
      <c r="J96" s="150"/>
      <c r="K96" s="150"/>
      <c r="L96" s="150"/>
      <c r="M96" s="150"/>
      <c r="N96" s="150"/>
      <c r="O96" s="150"/>
      <c r="P96" s="150"/>
      <c r="Q96" s="150"/>
      <c r="R96" s="150"/>
      <c r="S96" s="150"/>
      <c r="T96" s="150"/>
      <c r="U96" s="151"/>
    </row>
    <row r="97" spans="1:33" ht="97.5" customHeight="1" x14ac:dyDescent="0.2">
      <c r="B97" s="144" t="s">
        <v>75</v>
      </c>
      <c r="C97" s="22" t="s">
        <v>56</v>
      </c>
      <c r="D97" s="146" t="s">
        <v>161</v>
      </c>
      <c r="E97" s="152"/>
      <c r="F97" s="152"/>
      <c r="G97" s="152"/>
      <c r="H97" s="152"/>
      <c r="I97" s="152"/>
      <c r="J97" s="152"/>
      <c r="K97" s="152"/>
      <c r="L97" s="152"/>
      <c r="M97" s="152"/>
      <c r="N97" s="152"/>
      <c r="O97" s="152"/>
      <c r="P97" s="152"/>
      <c r="Q97" s="152"/>
      <c r="R97" s="152"/>
      <c r="S97" s="152"/>
      <c r="T97" s="152"/>
      <c r="U97" s="153"/>
    </row>
    <row r="98" spans="1:33" ht="97.5" customHeight="1" x14ac:dyDescent="0.2">
      <c r="B98" s="145"/>
      <c r="C98" s="25" t="s">
        <v>58</v>
      </c>
      <c r="D98" s="149" t="s">
        <v>160</v>
      </c>
      <c r="E98" s="150"/>
      <c r="F98" s="150"/>
      <c r="G98" s="150"/>
      <c r="H98" s="150"/>
      <c r="I98" s="150"/>
      <c r="J98" s="150"/>
      <c r="K98" s="150"/>
      <c r="L98" s="150"/>
      <c r="M98" s="150"/>
      <c r="N98" s="150"/>
      <c r="O98" s="150"/>
      <c r="P98" s="150"/>
      <c r="Q98" s="150"/>
      <c r="R98" s="150"/>
      <c r="S98" s="150"/>
      <c r="T98" s="150"/>
      <c r="U98" s="151"/>
    </row>
    <row r="99" spans="1:33" ht="97.5" customHeight="1" x14ac:dyDescent="0.2">
      <c r="B99" s="144" t="s">
        <v>76</v>
      </c>
      <c r="C99" s="24" t="s">
        <v>55</v>
      </c>
      <c r="D99" s="146" t="s">
        <v>187</v>
      </c>
      <c r="E99" s="147"/>
      <c r="F99" s="147"/>
      <c r="G99" s="147"/>
      <c r="H99" s="147"/>
      <c r="I99" s="147"/>
      <c r="J99" s="147"/>
      <c r="K99" s="147"/>
      <c r="L99" s="147"/>
      <c r="M99" s="147"/>
      <c r="N99" s="147"/>
      <c r="O99" s="147"/>
      <c r="P99" s="147"/>
      <c r="Q99" s="147"/>
      <c r="R99" s="147"/>
      <c r="S99" s="147"/>
      <c r="T99" s="147"/>
      <c r="U99" s="148"/>
    </row>
    <row r="100" spans="1:33" ht="97.5" customHeight="1" x14ac:dyDescent="0.2">
      <c r="B100" s="154"/>
      <c r="C100" s="27" t="s">
        <v>72</v>
      </c>
      <c r="D100" s="163" t="s">
        <v>186</v>
      </c>
      <c r="E100" s="164"/>
      <c r="F100" s="164"/>
      <c r="G100" s="164"/>
      <c r="H100" s="164"/>
      <c r="I100" s="164"/>
      <c r="J100" s="164"/>
      <c r="K100" s="164"/>
      <c r="L100" s="164"/>
      <c r="M100" s="164"/>
      <c r="N100" s="164"/>
      <c r="O100" s="164"/>
      <c r="P100" s="164"/>
      <c r="Q100" s="164"/>
      <c r="R100" s="164"/>
      <c r="S100" s="164"/>
      <c r="T100" s="164"/>
      <c r="U100" s="165"/>
    </row>
    <row r="101" spans="1:33" ht="97.5" customHeight="1" x14ac:dyDescent="0.2">
      <c r="B101" s="145"/>
      <c r="C101" s="26" t="s">
        <v>73</v>
      </c>
      <c r="D101" s="149" t="s">
        <v>162</v>
      </c>
      <c r="E101" s="150"/>
      <c r="F101" s="150"/>
      <c r="G101" s="150"/>
      <c r="H101" s="150"/>
      <c r="I101" s="150"/>
      <c r="J101" s="150"/>
      <c r="K101" s="150"/>
      <c r="L101" s="150"/>
      <c r="M101" s="150"/>
      <c r="N101" s="150"/>
      <c r="O101" s="150"/>
      <c r="P101" s="150"/>
      <c r="Q101" s="150"/>
      <c r="R101" s="150"/>
      <c r="S101" s="150"/>
      <c r="T101" s="150"/>
      <c r="U101" s="151"/>
    </row>
    <row r="102" spans="1:33" ht="6" customHeight="1" x14ac:dyDescent="0.2"/>
    <row r="103" spans="1:33" ht="18.75" customHeight="1" x14ac:dyDescent="0.2">
      <c r="A103" s="1" t="s">
        <v>108</v>
      </c>
    </row>
    <row r="104" spans="1:33" ht="81.75" customHeight="1" x14ac:dyDescent="0.2">
      <c r="B104" s="166" t="s">
        <v>205</v>
      </c>
      <c r="C104" s="167"/>
      <c r="D104" s="167"/>
      <c r="E104" s="167"/>
      <c r="F104" s="167"/>
      <c r="G104" s="167"/>
      <c r="H104" s="167"/>
      <c r="I104" s="167"/>
      <c r="J104" s="167"/>
      <c r="K104" s="167"/>
      <c r="L104" s="167"/>
      <c r="M104" s="167"/>
      <c r="N104" s="167"/>
      <c r="O104" s="167"/>
      <c r="P104" s="167"/>
      <c r="Q104" s="167"/>
      <c r="R104" s="167"/>
      <c r="S104" s="167"/>
      <c r="T104" s="167"/>
      <c r="U104" s="168"/>
    </row>
    <row r="106" spans="1:33" ht="18.75" customHeight="1" x14ac:dyDescent="0.2">
      <c r="A106" s="72" t="s">
        <v>124</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2">
      <c r="A107" s="72" t="s">
        <v>126</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2">
      <c r="A108" s="72"/>
      <c r="B108" s="169" t="s">
        <v>130</v>
      </c>
      <c r="C108" s="169"/>
      <c r="D108" s="169"/>
      <c r="E108" s="169"/>
      <c r="F108" s="169"/>
      <c r="G108" s="169"/>
      <c r="H108" s="169"/>
      <c r="I108" s="169"/>
      <c r="J108" s="169"/>
      <c r="K108" s="169"/>
      <c r="L108" s="169"/>
      <c r="M108" s="169"/>
      <c r="N108" s="169"/>
      <c r="O108" s="169"/>
      <c r="P108" s="169"/>
      <c r="Q108" s="169"/>
      <c r="R108" s="169"/>
      <c r="S108" s="169"/>
      <c r="T108" s="169"/>
      <c r="U108" s="169"/>
      <c r="V108" s="68"/>
      <c r="W108" s="68"/>
      <c r="X108" s="68"/>
      <c r="Y108" s="68"/>
      <c r="Z108" s="68"/>
      <c r="AA108" s="68"/>
      <c r="AB108" s="68"/>
      <c r="AC108" s="68"/>
      <c r="AD108" s="68"/>
      <c r="AE108" s="68"/>
      <c r="AF108" s="68"/>
      <c r="AG108" s="68"/>
    </row>
    <row r="109" spans="1:33" ht="37.200000000000003" customHeight="1" x14ac:dyDescent="0.2">
      <c r="A109" s="72"/>
      <c r="B109" s="169"/>
      <c r="C109" s="169"/>
      <c r="D109" s="169"/>
      <c r="E109" s="169"/>
      <c r="F109" s="169"/>
      <c r="G109" s="169"/>
      <c r="H109" s="169"/>
      <c r="I109" s="169"/>
      <c r="J109" s="169"/>
      <c r="K109" s="169"/>
      <c r="L109" s="169"/>
      <c r="M109" s="169"/>
      <c r="N109" s="169"/>
      <c r="O109" s="169"/>
      <c r="P109" s="169"/>
      <c r="Q109" s="169"/>
      <c r="R109" s="169"/>
      <c r="S109" s="169"/>
      <c r="T109" s="169"/>
      <c r="U109" s="169"/>
      <c r="V109" s="68"/>
      <c r="W109" s="68"/>
      <c r="X109" s="68"/>
      <c r="Y109" s="68"/>
      <c r="Z109" s="68"/>
      <c r="AA109" s="68"/>
      <c r="AB109" s="68"/>
      <c r="AC109" s="68"/>
      <c r="AD109" s="68"/>
      <c r="AE109" s="68"/>
      <c r="AF109" s="68"/>
      <c r="AG109" s="68"/>
    </row>
    <row r="110" spans="1:33" ht="18.75" customHeight="1" x14ac:dyDescent="0.2">
      <c r="A110" s="72"/>
      <c r="B110" s="160" t="s">
        <v>125</v>
      </c>
      <c r="C110" s="160"/>
      <c r="D110" s="160"/>
      <c r="E110" s="160"/>
      <c r="F110" s="160"/>
      <c r="G110" s="160"/>
      <c r="H110" s="160"/>
      <c r="I110" s="160"/>
      <c r="J110" s="160"/>
      <c r="K110" s="160"/>
      <c r="L110" s="160"/>
      <c r="M110" s="160"/>
      <c r="N110" s="160"/>
      <c r="O110" s="160"/>
      <c r="P110" s="160"/>
      <c r="Q110" s="160"/>
      <c r="R110" s="160"/>
      <c r="S110" s="160"/>
      <c r="T110" s="160"/>
      <c r="U110" s="160"/>
      <c r="V110" s="68"/>
      <c r="W110" s="68"/>
      <c r="X110" s="68"/>
      <c r="Y110" s="68"/>
      <c r="Z110" s="68"/>
      <c r="AA110" s="68"/>
      <c r="AB110" s="68"/>
      <c r="AC110" s="68"/>
      <c r="AD110" s="68"/>
      <c r="AE110" s="68"/>
      <c r="AF110" s="68"/>
      <c r="AG110" s="68"/>
    </row>
    <row r="111" spans="1:33" ht="18.75" customHeight="1" x14ac:dyDescent="0.2">
      <c r="A111" s="72"/>
      <c r="B111" s="161" t="s">
        <v>53</v>
      </c>
      <c r="C111" s="161"/>
      <c r="D111" s="161"/>
      <c r="E111" s="161"/>
      <c r="F111" s="161"/>
      <c r="G111" s="161"/>
      <c r="H111" s="161"/>
      <c r="I111" s="161"/>
      <c r="J111" s="161"/>
      <c r="K111" s="161"/>
      <c r="L111" s="161"/>
      <c r="M111" s="161"/>
      <c r="N111" s="161"/>
      <c r="O111" s="161"/>
      <c r="P111" s="161"/>
      <c r="Q111" s="161"/>
      <c r="R111" s="161"/>
      <c r="S111" s="161"/>
      <c r="T111" s="161"/>
      <c r="U111" s="161"/>
      <c r="V111" s="67"/>
      <c r="W111" s="67"/>
      <c r="X111" s="67"/>
      <c r="Y111" s="67"/>
      <c r="Z111" s="67"/>
      <c r="AA111" s="67"/>
      <c r="AB111" s="67"/>
      <c r="AC111" s="67"/>
      <c r="AD111" s="67"/>
      <c r="AE111" s="67"/>
      <c r="AF111" s="67"/>
      <c r="AG111" s="67"/>
    </row>
    <row r="112" spans="1:33" ht="132" customHeight="1" x14ac:dyDescent="0.2">
      <c r="A112" s="72"/>
      <c r="B112" s="162" t="s">
        <v>199</v>
      </c>
      <c r="C112" s="162"/>
      <c r="D112" s="162"/>
      <c r="E112" s="162"/>
      <c r="F112" s="162"/>
      <c r="G112" s="162"/>
      <c r="H112" s="162"/>
      <c r="I112" s="162"/>
      <c r="J112" s="162"/>
      <c r="K112" s="162"/>
      <c r="L112" s="162"/>
      <c r="M112" s="162"/>
      <c r="N112" s="162"/>
      <c r="O112" s="162"/>
      <c r="P112" s="162"/>
      <c r="Q112" s="162"/>
      <c r="R112" s="162"/>
      <c r="S112" s="162"/>
      <c r="T112" s="162"/>
      <c r="U112" s="162"/>
      <c r="V112" s="69"/>
      <c r="W112" s="69"/>
      <c r="X112" s="69"/>
      <c r="Y112" s="69"/>
      <c r="Z112" s="69"/>
      <c r="AA112" s="69"/>
      <c r="AB112" s="69"/>
      <c r="AC112" s="69"/>
      <c r="AD112" s="69"/>
      <c r="AE112" s="69"/>
      <c r="AF112" s="69"/>
      <c r="AG112" s="69"/>
    </row>
    <row r="114" ht="18" customHeight="1" x14ac:dyDescent="0.2"/>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2"/>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xr:uid="{62ECB17C-CBB0-407D-A324-27FC93A1BB2C}">
      <formula1>$X$16:$X$18</formula1>
    </dataValidation>
    <dataValidation type="list" allowBlank="1" showInputMessage="1" showErrorMessage="1" sqref="G81:G88 R81:R88 H81:J82 H85:J88 S85:U88 S81:U82" xr:uid="{3F2ABB4F-BBDA-4081-A14B-F7A78D078E4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F37DF7E0-DC42-439A-B15F-EEBBD16D519D}">
      <formula1>"学部・学科によって、修了要件は相違する,学部・学科によって、修了要件は相違しない"</formula1>
    </dataValidation>
    <dataValidation type="list" allowBlank="1" showInputMessage="1" showErrorMessage="1" sqref="U34 U45 E34:H34 E45:H45" xr:uid="{12C34602-FB3B-4638-AE76-46F23A34AB2A}">
      <formula1>"全学開講,一部開講"</formula1>
    </dataValidation>
    <dataValidation type="list" allowBlank="1" showInputMessage="1" showErrorMessage="1" sqref="H27:J33 S27:U33 R71:U77 S38:U44 H38:J44 S49:U55 H49:J55 S60:U66 H60:J66 G71:J77" xr:uid="{75D838C2-69C6-4ECC-9D47-8D60E060A93A}">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100" zoomScale="140" zoomScaleNormal="100" zoomScaleSheetLayoutView="140" workbookViewId="0">
      <selection activeCell="B104" sqref="B104:U104"/>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75" customHeight="1" x14ac:dyDescent="0.2">
      <c r="A1" s="73"/>
      <c r="B1" s="73"/>
      <c r="C1" s="73"/>
      <c r="D1" s="73"/>
      <c r="E1" s="73"/>
      <c r="F1" s="73"/>
      <c r="G1" s="73"/>
      <c r="H1" s="73"/>
      <c r="I1" s="73"/>
      <c r="J1" s="73"/>
      <c r="K1" s="73"/>
      <c r="L1" s="73"/>
      <c r="M1" s="73"/>
      <c r="N1" s="73"/>
      <c r="O1" s="73"/>
      <c r="P1" s="73"/>
      <c r="Q1" s="73"/>
      <c r="R1" s="73"/>
      <c r="S1" s="73"/>
      <c r="T1" s="87" t="s">
        <v>202</v>
      </c>
      <c r="U1" s="87"/>
      <c r="V1" s="2" t="s">
        <v>99</v>
      </c>
    </row>
    <row r="2" spans="1:24" ht="18.75" customHeight="1" x14ac:dyDescent="0.2">
      <c r="A2" s="73"/>
      <c r="B2" s="75" t="s">
        <v>98</v>
      </c>
      <c r="C2" s="88" t="s">
        <v>136</v>
      </c>
      <c r="D2" s="89"/>
      <c r="E2" s="89"/>
      <c r="F2" s="89"/>
      <c r="G2" s="89"/>
      <c r="H2" s="89"/>
      <c r="I2" s="89"/>
      <c r="J2" s="90"/>
      <c r="K2" s="74"/>
      <c r="L2" s="76"/>
      <c r="M2" s="76"/>
      <c r="N2" s="76"/>
      <c r="O2" s="76"/>
      <c r="P2" s="76"/>
      <c r="Q2" s="76"/>
      <c r="R2" s="76"/>
      <c r="S2" s="76"/>
      <c r="T2" s="76"/>
      <c r="U2" s="76"/>
    </row>
    <row r="3" spans="1:24" ht="18.75" customHeight="1" x14ac:dyDescent="0.2">
      <c r="A3" s="73"/>
      <c r="B3" s="75" t="s">
        <v>93</v>
      </c>
      <c r="C3" s="91" t="s">
        <v>137</v>
      </c>
      <c r="D3" s="92"/>
      <c r="E3" s="92"/>
      <c r="F3" s="92"/>
      <c r="G3" s="92"/>
      <c r="H3" s="92"/>
      <c r="I3" s="92"/>
      <c r="J3" s="93"/>
      <c r="K3" s="74"/>
      <c r="L3" s="76"/>
      <c r="M3" s="76"/>
      <c r="N3" s="76"/>
      <c r="O3" s="76"/>
      <c r="P3" s="76"/>
      <c r="Q3" s="76"/>
      <c r="R3" s="76"/>
      <c r="S3" s="76"/>
      <c r="T3" s="76"/>
      <c r="U3" s="76"/>
    </row>
    <row r="4" spans="1:24" ht="15" customHeight="1" x14ac:dyDescent="0.2">
      <c r="A4" s="73"/>
      <c r="B4" s="73"/>
      <c r="C4" s="73"/>
      <c r="D4" s="73"/>
      <c r="E4" s="73"/>
      <c r="F4" s="73"/>
      <c r="G4" s="73"/>
      <c r="H4" s="73"/>
      <c r="I4" s="73"/>
      <c r="J4" s="73"/>
      <c r="K4" s="73"/>
      <c r="L4" s="74"/>
      <c r="M4" s="77"/>
      <c r="N4" s="77"/>
      <c r="O4" s="77"/>
      <c r="P4" s="77"/>
      <c r="Q4" s="77"/>
      <c r="R4" s="77"/>
      <c r="S4" s="77"/>
      <c r="T4" s="77"/>
      <c r="U4" s="77"/>
    </row>
    <row r="5" spans="1:24" ht="18" customHeight="1" x14ac:dyDescent="0.2">
      <c r="A5" s="94" t="s">
        <v>37</v>
      </c>
      <c r="B5" s="94"/>
      <c r="C5" s="94"/>
      <c r="D5" s="94"/>
      <c r="E5" s="94"/>
      <c r="F5" s="94"/>
      <c r="G5" s="94"/>
      <c r="H5" s="94"/>
      <c r="I5" s="94"/>
      <c r="J5" s="94"/>
      <c r="K5" s="94"/>
      <c r="L5" s="94"/>
      <c r="M5" s="94"/>
      <c r="N5" s="94"/>
      <c r="O5" s="94"/>
      <c r="P5" s="94"/>
      <c r="Q5" s="94"/>
      <c r="R5" s="94"/>
      <c r="S5" s="94"/>
      <c r="T5" s="94"/>
      <c r="U5" s="94"/>
    </row>
    <row r="6" spans="1:24" ht="15" customHeight="1" x14ac:dyDescent="0.2">
      <c r="A6" s="73"/>
      <c r="B6" s="78"/>
      <c r="C6" s="78"/>
      <c r="D6" s="78"/>
      <c r="E6" s="78"/>
      <c r="F6" s="78"/>
      <c r="G6" s="78"/>
      <c r="H6" s="78"/>
      <c r="I6" s="78"/>
      <c r="J6" s="78"/>
      <c r="K6" s="78"/>
      <c r="L6" s="78"/>
      <c r="M6" s="78"/>
      <c r="N6" s="78"/>
      <c r="O6" s="78"/>
      <c r="P6" s="78"/>
      <c r="Q6" s="78"/>
      <c r="R6" s="78"/>
      <c r="S6" s="78"/>
      <c r="T6" s="78"/>
      <c r="U6" s="78"/>
    </row>
    <row r="7" spans="1:24" ht="15" customHeight="1" x14ac:dyDescent="0.2">
      <c r="A7" s="73" t="s">
        <v>131</v>
      </c>
      <c r="B7" s="78"/>
      <c r="C7" s="78"/>
      <c r="D7" s="78"/>
      <c r="E7" s="78"/>
      <c r="F7" s="72"/>
      <c r="G7" s="72"/>
      <c r="H7" s="72"/>
      <c r="I7" s="72"/>
      <c r="J7" s="72"/>
      <c r="K7" s="72"/>
      <c r="L7" s="95" t="s">
        <v>129</v>
      </c>
      <c r="M7" s="96"/>
      <c r="N7" s="96"/>
      <c r="O7" s="96"/>
      <c r="P7" s="96"/>
      <c r="Q7" s="96"/>
      <c r="R7" s="96"/>
      <c r="S7" s="96"/>
      <c r="T7" s="96"/>
      <c r="U7" s="97"/>
    </row>
    <row r="8" spans="1:24" ht="6" customHeight="1" x14ac:dyDescent="0.2">
      <c r="A8" s="73"/>
      <c r="B8" s="78"/>
      <c r="C8" s="78"/>
      <c r="D8" s="78"/>
      <c r="E8" s="78"/>
      <c r="F8" s="78"/>
      <c r="G8" s="78"/>
      <c r="H8" s="78"/>
      <c r="I8" s="78"/>
      <c r="J8" s="78"/>
      <c r="K8" s="78"/>
      <c r="L8" s="78"/>
      <c r="M8" s="78"/>
      <c r="N8" s="78"/>
      <c r="O8" s="78"/>
      <c r="P8" s="78"/>
      <c r="Q8" s="78"/>
      <c r="R8" s="78"/>
      <c r="S8" s="78"/>
      <c r="T8" s="78"/>
      <c r="U8" s="78"/>
    </row>
    <row r="9" spans="1:24" ht="18" customHeight="1" x14ac:dyDescent="0.2">
      <c r="A9" s="73" t="s">
        <v>132</v>
      </c>
      <c r="B9" s="73"/>
      <c r="C9" s="78"/>
      <c r="D9" s="78"/>
      <c r="E9" s="73"/>
      <c r="F9" s="73"/>
      <c r="G9" s="73"/>
      <c r="H9" s="73"/>
      <c r="I9" s="73"/>
      <c r="J9" s="73"/>
      <c r="K9" s="74"/>
      <c r="L9" s="72"/>
      <c r="M9" s="72"/>
      <c r="N9" s="72"/>
      <c r="O9" s="72"/>
      <c r="P9" s="72"/>
      <c r="Q9" s="72"/>
      <c r="R9" s="72"/>
      <c r="S9" s="72"/>
      <c r="T9" s="72"/>
      <c r="U9" s="72"/>
    </row>
    <row r="10" spans="1:24" ht="6" customHeight="1" x14ac:dyDescent="0.2">
      <c r="A10" s="73"/>
      <c r="B10" s="78"/>
      <c r="C10" s="78"/>
      <c r="D10" s="78"/>
      <c r="E10" s="78"/>
      <c r="F10" s="78"/>
      <c r="G10" s="78"/>
      <c r="H10" s="78"/>
      <c r="I10" s="78"/>
      <c r="J10" s="78"/>
      <c r="K10" s="78"/>
      <c r="L10" s="79"/>
      <c r="M10" s="78"/>
      <c r="N10" s="78"/>
      <c r="O10" s="78"/>
      <c r="P10" s="78"/>
      <c r="Q10" s="78"/>
      <c r="R10" s="78"/>
      <c r="S10" s="78"/>
      <c r="T10" s="78"/>
      <c r="U10" s="78"/>
    </row>
    <row r="11" spans="1:24" ht="18" customHeight="1" x14ac:dyDescent="0.2">
      <c r="A11" s="73"/>
      <c r="B11" s="98" t="s">
        <v>139</v>
      </c>
      <c r="C11" s="99"/>
      <c r="D11" s="99"/>
      <c r="E11" s="99"/>
      <c r="F11" s="99"/>
      <c r="G11" s="99"/>
      <c r="H11" s="99"/>
      <c r="I11" s="99"/>
      <c r="J11" s="99"/>
      <c r="K11" s="99"/>
      <c r="L11" s="99"/>
      <c r="M11" s="99"/>
      <c r="N11" s="99"/>
      <c r="O11" s="99"/>
      <c r="P11" s="99"/>
      <c r="Q11" s="99"/>
      <c r="R11" s="99"/>
      <c r="S11" s="99"/>
      <c r="T11" s="99"/>
      <c r="U11" s="100"/>
    </row>
    <row r="12" spans="1:24" ht="18" customHeight="1" x14ac:dyDescent="0.2">
      <c r="A12" s="73"/>
      <c r="B12" s="101"/>
      <c r="C12" s="102"/>
      <c r="D12" s="102"/>
      <c r="E12" s="102"/>
      <c r="F12" s="102"/>
      <c r="G12" s="102"/>
      <c r="H12" s="102"/>
      <c r="I12" s="102"/>
      <c r="J12" s="102"/>
      <c r="K12" s="102"/>
      <c r="L12" s="102"/>
      <c r="M12" s="102"/>
      <c r="N12" s="102"/>
      <c r="O12" s="102"/>
      <c r="P12" s="102"/>
      <c r="Q12" s="102"/>
      <c r="R12" s="102"/>
      <c r="S12" s="102"/>
      <c r="T12" s="102"/>
      <c r="U12" s="103"/>
    </row>
    <row r="13" spans="1:24" ht="6" customHeight="1" x14ac:dyDescent="0.2">
      <c r="A13" s="73"/>
      <c r="B13" s="78"/>
      <c r="C13" s="78"/>
      <c r="D13" s="78"/>
      <c r="E13" s="78"/>
      <c r="F13" s="78"/>
      <c r="G13" s="78"/>
      <c r="H13" s="78"/>
      <c r="I13" s="78"/>
      <c r="J13" s="78"/>
      <c r="K13" s="78"/>
      <c r="L13" s="79"/>
      <c r="M13" s="78"/>
      <c r="N13" s="78"/>
      <c r="O13" s="78"/>
      <c r="P13" s="78"/>
      <c r="Q13" s="78"/>
      <c r="R13" s="78"/>
      <c r="S13" s="78"/>
      <c r="T13" s="78"/>
      <c r="U13" s="78"/>
    </row>
    <row r="14" spans="1:24" ht="18" customHeight="1" x14ac:dyDescent="0.2">
      <c r="A14" s="73" t="s">
        <v>100</v>
      </c>
      <c r="B14" s="78"/>
      <c r="C14" s="78"/>
      <c r="D14" s="78"/>
      <c r="E14" s="74"/>
      <c r="F14" s="74"/>
      <c r="G14" s="74"/>
      <c r="H14" s="74"/>
      <c r="I14" s="74"/>
      <c r="J14" s="74"/>
      <c r="K14" s="74"/>
      <c r="L14" s="80"/>
      <c r="M14" s="80"/>
      <c r="N14" s="80"/>
      <c r="O14" s="80"/>
      <c r="P14" s="80"/>
      <c r="Q14" s="80"/>
      <c r="R14" s="80"/>
      <c r="S14" s="80"/>
      <c r="T14" s="80"/>
      <c r="U14" s="80"/>
    </row>
    <row r="15" spans="1:24" ht="18" customHeight="1" x14ac:dyDescent="0.2">
      <c r="A15" s="73"/>
      <c r="B15" s="107" t="s">
        <v>138</v>
      </c>
      <c r="C15" s="108"/>
      <c r="D15" s="108"/>
      <c r="E15" s="108"/>
      <c r="F15" s="108"/>
      <c r="G15" s="108"/>
      <c r="H15" s="108"/>
      <c r="I15" s="108"/>
      <c r="J15" s="108"/>
      <c r="K15" s="108"/>
      <c r="L15" s="108"/>
      <c r="M15" s="108"/>
      <c r="N15" s="108"/>
      <c r="O15" s="108"/>
      <c r="P15" s="108"/>
      <c r="Q15" s="108"/>
      <c r="R15" s="108"/>
      <c r="S15" s="108"/>
      <c r="T15" s="108"/>
      <c r="U15" s="109"/>
      <c r="X15" s="1" t="s">
        <v>94</v>
      </c>
    </row>
    <row r="16" spans="1:24" ht="18" customHeight="1" x14ac:dyDescent="0.2">
      <c r="A16" s="73"/>
      <c r="B16" s="110"/>
      <c r="C16" s="111"/>
      <c r="D16" s="111"/>
      <c r="E16" s="111"/>
      <c r="F16" s="111"/>
      <c r="G16" s="111"/>
      <c r="H16" s="111"/>
      <c r="I16" s="111"/>
      <c r="J16" s="111"/>
      <c r="K16" s="111"/>
      <c r="L16" s="111"/>
      <c r="M16" s="111"/>
      <c r="N16" s="111"/>
      <c r="O16" s="111"/>
      <c r="P16" s="111"/>
      <c r="Q16" s="111"/>
      <c r="R16" s="111"/>
      <c r="S16" s="111"/>
      <c r="T16" s="111"/>
      <c r="U16" s="112"/>
      <c r="X16" s="1" t="s">
        <v>114</v>
      </c>
    </row>
    <row r="17" spans="1:24" ht="18" customHeight="1" x14ac:dyDescent="0.2">
      <c r="A17" s="73"/>
      <c r="B17" s="110"/>
      <c r="C17" s="111"/>
      <c r="D17" s="111"/>
      <c r="E17" s="111"/>
      <c r="F17" s="111"/>
      <c r="G17" s="111"/>
      <c r="H17" s="111"/>
      <c r="I17" s="111"/>
      <c r="J17" s="111"/>
      <c r="K17" s="111"/>
      <c r="L17" s="111"/>
      <c r="M17" s="111"/>
      <c r="N17" s="111"/>
      <c r="O17" s="111"/>
      <c r="P17" s="111"/>
      <c r="Q17" s="111"/>
      <c r="R17" s="111"/>
      <c r="S17" s="111"/>
      <c r="T17" s="111"/>
      <c r="U17" s="112"/>
      <c r="X17" s="1" t="s">
        <v>115</v>
      </c>
    </row>
    <row r="18" spans="1:24" ht="18" customHeight="1" x14ac:dyDescent="0.2">
      <c r="A18" s="73"/>
      <c r="B18" s="110"/>
      <c r="C18" s="111"/>
      <c r="D18" s="111"/>
      <c r="E18" s="111"/>
      <c r="F18" s="111"/>
      <c r="G18" s="111"/>
      <c r="H18" s="111"/>
      <c r="I18" s="111"/>
      <c r="J18" s="111"/>
      <c r="K18" s="111"/>
      <c r="L18" s="111"/>
      <c r="M18" s="111"/>
      <c r="N18" s="111"/>
      <c r="O18" s="111"/>
      <c r="P18" s="111"/>
      <c r="Q18" s="111"/>
      <c r="R18" s="111"/>
      <c r="S18" s="111"/>
      <c r="T18" s="111"/>
      <c r="U18" s="112"/>
      <c r="X18" s="1" t="s">
        <v>116</v>
      </c>
    </row>
    <row r="19" spans="1:24" ht="18" customHeight="1" x14ac:dyDescent="0.2">
      <c r="A19" s="73"/>
      <c r="B19" s="110"/>
      <c r="C19" s="111"/>
      <c r="D19" s="111"/>
      <c r="E19" s="111"/>
      <c r="F19" s="111"/>
      <c r="G19" s="111"/>
      <c r="H19" s="111"/>
      <c r="I19" s="111"/>
      <c r="J19" s="111"/>
      <c r="K19" s="111"/>
      <c r="L19" s="111"/>
      <c r="M19" s="111"/>
      <c r="N19" s="111"/>
      <c r="O19" s="111"/>
      <c r="P19" s="111"/>
      <c r="Q19" s="111"/>
      <c r="R19" s="111"/>
      <c r="S19" s="111"/>
      <c r="T19" s="111"/>
      <c r="U19" s="112"/>
    </row>
    <row r="20" spans="1:24" ht="18" customHeight="1" x14ac:dyDescent="0.2">
      <c r="A20" s="73"/>
      <c r="B20" s="113"/>
      <c r="C20" s="114"/>
      <c r="D20" s="114"/>
      <c r="E20" s="114"/>
      <c r="F20" s="114"/>
      <c r="G20" s="114"/>
      <c r="H20" s="114"/>
      <c r="I20" s="114"/>
      <c r="J20" s="114"/>
      <c r="K20" s="114"/>
      <c r="L20" s="114"/>
      <c r="M20" s="114"/>
      <c r="N20" s="114"/>
      <c r="O20" s="114"/>
      <c r="P20" s="114"/>
      <c r="Q20" s="114"/>
      <c r="R20" s="114"/>
      <c r="S20" s="114"/>
      <c r="T20" s="114"/>
      <c r="U20" s="115"/>
    </row>
    <row r="21" spans="1:24" ht="7.5" customHeight="1" x14ac:dyDescent="0.2">
      <c r="A21" s="73"/>
      <c r="B21" s="78"/>
      <c r="C21" s="78"/>
      <c r="D21" s="78"/>
      <c r="E21" s="78"/>
      <c r="F21" s="78"/>
      <c r="G21" s="78"/>
      <c r="H21" s="78"/>
      <c r="I21" s="78"/>
      <c r="J21" s="78"/>
      <c r="K21" s="78"/>
      <c r="L21" s="78"/>
      <c r="M21" s="78"/>
      <c r="N21" s="78"/>
      <c r="O21" s="78"/>
      <c r="P21" s="78"/>
      <c r="Q21" s="78"/>
      <c r="R21" s="78"/>
      <c r="S21" s="78"/>
      <c r="T21" s="78"/>
      <c r="U21" s="78"/>
    </row>
    <row r="22" spans="1:24" ht="19.95" customHeight="1" x14ac:dyDescent="0.2">
      <c r="A22" s="73"/>
      <c r="B22" s="73" t="s">
        <v>133</v>
      </c>
      <c r="C22" s="73"/>
      <c r="D22" s="73"/>
      <c r="E22" s="81">
        <v>3</v>
      </c>
      <c r="F22" s="73" t="s">
        <v>112</v>
      </c>
      <c r="G22" s="73"/>
      <c r="H22" s="82">
        <v>4</v>
      </c>
      <c r="I22" s="78" t="s">
        <v>113</v>
      </c>
      <c r="J22" s="78"/>
      <c r="K22" s="74"/>
      <c r="L22" s="73"/>
      <c r="M22" s="74" t="s">
        <v>109</v>
      </c>
      <c r="N22" s="116" t="s">
        <v>114</v>
      </c>
      <c r="O22" s="117"/>
      <c r="P22" s="117"/>
      <c r="Q22" s="117"/>
      <c r="R22" s="117"/>
      <c r="S22" s="117"/>
      <c r="T22" s="117"/>
      <c r="U22" s="118"/>
    </row>
    <row r="23" spans="1:24" ht="7.5" customHeight="1" x14ac:dyDescent="0.2">
      <c r="A23" s="73"/>
      <c r="B23" s="78"/>
      <c r="C23" s="78"/>
      <c r="D23" s="78"/>
      <c r="E23" s="78"/>
      <c r="F23" s="78"/>
      <c r="G23" s="78"/>
      <c r="H23" s="78"/>
      <c r="I23" s="78"/>
      <c r="J23" s="78"/>
      <c r="K23" s="78"/>
      <c r="L23" s="78"/>
      <c r="M23" s="78"/>
      <c r="N23" s="78"/>
      <c r="O23" s="78"/>
      <c r="P23" s="78"/>
      <c r="Q23" s="78"/>
      <c r="R23" s="78"/>
      <c r="S23" s="78"/>
      <c r="T23" s="78"/>
      <c r="U23" s="78"/>
    </row>
    <row r="24" spans="1:24" ht="18" customHeight="1" x14ac:dyDescent="0.2">
      <c r="A24" s="119" t="s">
        <v>101</v>
      </c>
      <c r="B24" s="119"/>
      <c r="C24" s="119"/>
      <c r="D24" s="119"/>
      <c r="E24" s="119"/>
      <c r="F24" s="119"/>
      <c r="G24" s="119"/>
      <c r="H24" s="119"/>
      <c r="I24" s="119"/>
      <c r="J24" s="119"/>
      <c r="K24" s="119"/>
      <c r="L24" s="119"/>
      <c r="M24" s="119"/>
      <c r="N24" s="119"/>
      <c r="O24" s="119"/>
      <c r="P24" s="119"/>
      <c r="Q24" s="119"/>
      <c r="R24" s="119"/>
      <c r="S24" s="119"/>
      <c r="T24" s="119"/>
      <c r="U24" s="119"/>
    </row>
    <row r="25" spans="1:24" ht="18" customHeight="1" x14ac:dyDescent="0.2">
      <c r="A25" s="119"/>
      <c r="B25" s="119"/>
      <c r="C25" s="119"/>
      <c r="D25" s="119"/>
      <c r="E25" s="119"/>
      <c r="F25" s="119"/>
      <c r="G25" s="119"/>
      <c r="H25" s="119"/>
      <c r="I25" s="119"/>
      <c r="J25" s="119"/>
      <c r="K25" s="119"/>
      <c r="L25" s="119"/>
      <c r="M25" s="119"/>
      <c r="N25" s="119"/>
      <c r="O25" s="119"/>
      <c r="P25" s="119"/>
      <c r="Q25" s="119"/>
      <c r="R25" s="119"/>
      <c r="S25" s="119"/>
      <c r="T25" s="119"/>
      <c r="U25" s="119"/>
    </row>
    <row r="26" spans="1:24" ht="18" customHeight="1" x14ac:dyDescent="0.2">
      <c r="B26" s="120" t="s">
        <v>51</v>
      </c>
      <c r="C26" s="121"/>
      <c r="D26" s="121"/>
      <c r="E26" s="121"/>
      <c r="F26" s="122"/>
      <c r="G26" s="50" t="s">
        <v>77</v>
      </c>
      <c r="H26" s="49" t="s">
        <v>80</v>
      </c>
      <c r="I26" s="16" t="s">
        <v>54</v>
      </c>
      <c r="J26" s="16" t="s">
        <v>57</v>
      </c>
      <c r="K26" s="120" t="s">
        <v>51</v>
      </c>
      <c r="L26" s="121"/>
      <c r="M26" s="121"/>
      <c r="N26" s="121"/>
      <c r="O26" s="121"/>
      <c r="P26" s="121"/>
      <c r="Q26" s="122"/>
      <c r="R26" s="50" t="s">
        <v>77</v>
      </c>
      <c r="S26" s="49" t="s">
        <v>80</v>
      </c>
      <c r="T26" s="16" t="s">
        <v>54</v>
      </c>
      <c r="U26" s="16" t="s">
        <v>57</v>
      </c>
    </row>
    <row r="27" spans="1:24" ht="18" customHeight="1" x14ac:dyDescent="0.2">
      <c r="B27" s="123" t="s">
        <v>141</v>
      </c>
      <c r="C27" s="124"/>
      <c r="D27" s="124"/>
      <c r="E27" s="124"/>
      <c r="F27" s="125"/>
      <c r="G27" s="17">
        <v>1</v>
      </c>
      <c r="H27" s="17" t="s">
        <v>140</v>
      </c>
      <c r="I27" s="17" t="s">
        <v>140</v>
      </c>
      <c r="J27" s="17" t="s">
        <v>140</v>
      </c>
      <c r="K27" s="123"/>
      <c r="L27" s="124"/>
      <c r="M27" s="124"/>
      <c r="N27" s="124"/>
      <c r="O27" s="124"/>
      <c r="P27" s="124"/>
      <c r="Q27" s="125"/>
      <c r="R27" s="17"/>
      <c r="S27" s="17"/>
      <c r="T27" s="17"/>
      <c r="U27" s="17"/>
    </row>
    <row r="28" spans="1:24" ht="18" customHeight="1" x14ac:dyDescent="0.2">
      <c r="B28" s="104"/>
      <c r="C28" s="105"/>
      <c r="D28" s="105"/>
      <c r="E28" s="105"/>
      <c r="F28" s="106"/>
      <c r="G28" s="18"/>
      <c r="H28" s="18"/>
      <c r="I28" s="18"/>
      <c r="J28" s="18"/>
      <c r="K28" s="104"/>
      <c r="L28" s="105"/>
      <c r="M28" s="105"/>
      <c r="N28" s="105"/>
      <c r="O28" s="105"/>
      <c r="P28" s="105"/>
      <c r="Q28" s="106"/>
      <c r="R28" s="18"/>
      <c r="S28" s="18"/>
      <c r="T28" s="18"/>
      <c r="U28" s="18"/>
    </row>
    <row r="29" spans="1:24" ht="18" customHeight="1" x14ac:dyDescent="0.2">
      <c r="B29" s="104"/>
      <c r="C29" s="105"/>
      <c r="D29" s="105"/>
      <c r="E29" s="105"/>
      <c r="F29" s="106"/>
      <c r="G29" s="18"/>
      <c r="H29" s="18"/>
      <c r="I29" s="18"/>
      <c r="J29" s="18"/>
      <c r="K29" s="104"/>
      <c r="L29" s="105"/>
      <c r="M29" s="105"/>
      <c r="N29" s="105"/>
      <c r="O29" s="105"/>
      <c r="P29" s="105"/>
      <c r="Q29" s="106"/>
      <c r="R29" s="18"/>
      <c r="S29" s="18"/>
      <c r="T29" s="18"/>
      <c r="U29" s="18"/>
    </row>
    <row r="30" spans="1:24" ht="18" customHeight="1" x14ac:dyDescent="0.2">
      <c r="B30" s="104"/>
      <c r="C30" s="105"/>
      <c r="D30" s="105"/>
      <c r="E30" s="105"/>
      <c r="F30" s="106"/>
      <c r="G30" s="18"/>
      <c r="H30" s="18"/>
      <c r="I30" s="18"/>
      <c r="J30" s="18"/>
      <c r="K30" s="104"/>
      <c r="L30" s="105"/>
      <c r="M30" s="105"/>
      <c r="N30" s="105"/>
      <c r="O30" s="105"/>
      <c r="P30" s="105"/>
      <c r="Q30" s="106"/>
      <c r="R30" s="18"/>
      <c r="S30" s="18"/>
      <c r="T30" s="18"/>
      <c r="U30" s="18"/>
    </row>
    <row r="31" spans="1:24" ht="18" customHeight="1" x14ac:dyDescent="0.2">
      <c r="B31" s="104"/>
      <c r="C31" s="105"/>
      <c r="D31" s="105"/>
      <c r="E31" s="105"/>
      <c r="F31" s="106"/>
      <c r="G31" s="18"/>
      <c r="H31" s="18"/>
      <c r="I31" s="18"/>
      <c r="J31" s="18"/>
      <c r="K31" s="104"/>
      <c r="L31" s="105"/>
      <c r="M31" s="105"/>
      <c r="N31" s="105"/>
      <c r="O31" s="105"/>
      <c r="P31" s="105"/>
      <c r="Q31" s="106"/>
      <c r="R31" s="18"/>
      <c r="S31" s="18"/>
      <c r="T31" s="18"/>
      <c r="U31" s="18"/>
    </row>
    <row r="32" spans="1:24" ht="18" customHeight="1" x14ac:dyDescent="0.2">
      <c r="A32" s="3"/>
      <c r="B32" s="104"/>
      <c r="C32" s="105"/>
      <c r="D32" s="105"/>
      <c r="E32" s="105"/>
      <c r="F32" s="106"/>
      <c r="G32" s="18"/>
      <c r="H32" s="18"/>
      <c r="I32" s="18"/>
      <c r="J32" s="18"/>
      <c r="K32" s="104"/>
      <c r="L32" s="105"/>
      <c r="M32" s="105"/>
      <c r="N32" s="105"/>
      <c r="O32" s="105"/>
      <c r="P32" s="105"/>
      <c r="Q32" s="106"/>
      <c r="R32" s="18"/>
      <c r="S32" s="18"/>
      <c r="T32" s="18"/>
      <c r="U32" s="18"/>
    </row>
    <row r="33" spans="1:21" ht="18" customHeight="1" x14ac:dyDescent="0.2">
      <c r="A33" s="3"/>
      <c r="B33" s="127"/>
      <c r="C33" s="128"/>
      <c r="D33" s="128"/>
      <c r="E33" s="128"/>
      <c r="F33" s="129"/>
      <c r="G33" s="19"/>
      <c r="H33" s="19"/>
      <c r="I33" s="20"/>
      <c r="J33" s="20"/>
      <c r="K33" s="127"/>
      <c r="L33" s="128"/>
      <c r="M33" s="128"/>
      <c r="N33" s="128"/>
      <c r="O33" s="128"/>
      <c r="P33" s="128"/>
      <c r="Q33" s="129"/>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6" t="s">
        <v>102</v>
      </c>
      <c r="B35" s="126"/>
      <c r="C35" s="126"/>
      <c r="D35" s="126"/>
      <c r="E35" s="126"/>
      <c r="F35" s="126"/>
      <c r="G35" s="126"/>
      <c r="H35" s="126"/>
      <c r="I35" s="126"/>
      <c r="J35" s="126"/>
      <c r="K35" s="126"/>
      <c r="L35" s="126"/>
      <c r="M35" s="126"/>
      <c r="N35" s="126"/>
      <c r="O35" s="126"/>
      <c r="P35" s="126"/>
      <c r="Q35" s="126"/>
      <c r="R35" s="126"/>
      <c r="S35" s="126"/>
      <c r="T35" s="126"/>
      <c r="U35" s="126"/>
    </row>
    <row r="36" spans="1:21" ht="18" customHeight="1" x14ac:dyDescent="0.2">
      <c r="A36" s="126"/>
      <c r="B36" s="126"/>
      <c r="C36" s="126"/>
      <c r="D36" s="126"/>
      <c r="E36" s="126"/>
      <c r="F36" s="126"/>
      <c r="G36" s="126"/>
      <c r="H36" s="126"/>
      <c r="I36" s="126"/>
      <c r="J36" s="126"/>
      <c r="K36" s="126"/>
      <c r="L36" s="126"/>
      <c r="M36" s="126"/>
      <c r="N36" s="126"/>
      <c r="O36" s="126"/>
      <c r="P36" s="126"/>
      <c r="Q36" s="126"/>
      <c r="R36" s="126"/>
      <c r="S36" s="126"/>
      <c r="T36" s="126"/>
      <c r="U36" s="126"/>
    </row>
    <row r="37" spans="1:21" ht="18" customHeight="1" x14ac:dyDescent="0.2">
      <c r="B37" s="120" t="s">
        <v>51</v>
      </c>
      <c r="C37" s="121"/>
      <c r="D37" s="121"/>
      <c r="E37" s="121"/>
      <c r="F37" s="122"/>
      <c r="G37" s="50" t="s">
        <v>77</v>
      </c>
      <c r="H37" s="49" t="s">
        <v>80</v>
      </c>
      <c r="I37" s="16" t="s">
        <v>68</v>
      </c>
      <c r="J37" s="16" t="s">
        <v>69</v>
      </c>
      <c r="K37" s="120" t="s">
        <v>51</v>
      </c>
      <c r="L37" s="121"/>
      <c r="M37" s="121"/>
      <c r="N37" s="121"/>
      <c r="O37" s="121"/>
      <c r="P37" s="121"/>
      <c r="Q37" s="122"/>
      <c r="R37" s="50" t="s">
        <v>77</v>
      </c>
      <c r="S37" s="49" t="s">
        <v>80</v>
      </c>
      <c r="T37" s="16" t="s">
        <v>68</v>
      </c>
      <c r="U37" s="16" t="s">
        <v>69</v>
      </c>
    </row>
    <row r="38" spans="1:21" ht="18" customHeight="1" x14ac:dyDescent="0.2">
      <c r="B38" s="123" t="s">
        <v>141</v>
      </c>
      <c r="C38" s="124"/>
      <c r="D38" s="124"/>
      <c r="E38" s="124"/>
      <c r="F38" s="125"/>
      <c r="G38" s="17">
        <v>1</v>
      </c>
      <c r="H38" s="17" t="s">
        <v>140</v>
      </c>
      <c r="I38" s="17" t="s">
        <v>140</v>
      </c>
      <c r="J38" s="17" t="s">
        <v>140</v>
      </c>
      <c r="K38" s="123"/>
      <c r="L38" s="124"/>
      <c r="M38" s="124"/>
      <c r="N38" s="124"/>
      <c r="O38" s="124"/>
      <c r="P38" s="124"/>
      <c r="Q38" s="125"/>
      <c r="R38" s="17"/>
      <c r="S38" s="17"/>
      <c r="T38" s="17"/>
      <c r="U38" s="17"/>
    </row>
    <row r="39" spans="1:21" ht="18" customHeight="1" x14ac:dyDescent="0.2">
      <c r="B39" s="104"/>
      <c r="C39" s="105"/>
      <c r="D39" s="105"/>
      <c r="E39" s="105"/>
      <c r="F39" s="106"/>
      <c r="G39" s="18"/>
      <c r="H39" s="18"/>
      <c r="I39" s="18"/>
      <c r="J39" s="18"/>
      <c r="K39" s="104"/>
      <c r="L39" s="105"/>
      <c r="M39" s="105"/>
      <c r="N39" s="105"/>
      <c r="O39" s="105"/>
      <c r="P39" s="105"/>
      <c r="Q39" s="106"/>
      <c r="R39" s="18"/>
      <c r="S39" s="18"/>
      <c r="T39" s="18"/>
      <c r="U39" s="18"/>
    </row>
    <row r="40" spans="1:21" ht="18" customHeight="1" x14ac:dyDescent="0.2">
      <c r="B40" s="104"/>
      <c r="C40" s="105"/>
      <c r="D40" s="105"/>
      <c r="E40" s="105"/>
      <c r="F40" s="106"/>
      <c r="G40" s="18"/>
      <c r="H40" s="18"/>
      <c r="I40" s="18"/>
      <c r="J40" s="18"/>
      <c r="K40" s="104"/>
      <c r="L40" s="105"/>
      <c r="M40" s="105"/>
      <c r="N40" s="105"/>
      <c r="O40" s="105"/>
      <c r="P40" s="105"/>
      <c r="Q40" s="106"/>
      <c r="R40" s="18"/>
      <c r="S40" s="18"/>
      <c r="T40" s="18"/>
      <c r="U40" s="18"/>
    </row>
    <row r="41" spans="1:21" ht="18" customHeight="1" x14ac:dyDescent="0.2">
      <c r="B41" s="104"/>
      <c r="C41" s="105"/>
      <c r="D41" s="105"/>
      <c r="E41" s="105"/>
      <c r="F41" s="106"/>
      <c r="G41" s="18"/>
      <c r="H41" s="18"/>
      <c r="I41" s="18"/>
      <c r="J41" s="18"/>
      <c r="K41" s="104"/>
      <c r="L41" s="105"/>
      <c r="M41" s="105"/>
      <c r="N41" s="105"/>
      <c r="O41" s="105"/>
      <c r="P41" s="105"/>
      <c r="Q41" s="106"/>
      <c r="R41" s="18"/>
      <c r="S41" s="18"/>
      <c r="T41" s="18"/>
      <c r="U41" s="18"/>
    </row>
    <row r="42" spans="1:21" ht="18" customHeight="1" x14ac:dyDescent="0.2">
      <c r="B42" s="104"/>
      <c r="C42" s="105"/>
      <c r="D42" s="105"/>
      <c r="E42" s="105"/>
      <c r="F42" s="106"/>
      <c r="G42" s="18"/>
      <c r="H42" s="18"/>
      <c r="I42" s="18"/>
      <c r="J42" s="18"/>
      <c r="K42" s="104"/>
      <c r="L42" s="105"/>
      <c r="M42" s="105"/>
      <c r="N42" s="105"/>
      <c r="O42" s="105"/>
      <c r="P42" s="105"/>
      <c r="Q42" s="106"/>
      <c r="R42" s="18"/>
      <c r="S42" s="18"/>
      <c r="T42" s="18"/>
      <c r="U42" s="18"/>
    </row>
    <row r="43" spans="1:21" ht="18" customHeight="1" x14ac:dyDescent="0.2">
      <c r="B43" s="104"/>
      <c r="C43" s="105"/>
      <c r="D43" s="105"/>
      <c r="E43" s="105"/>
      <c r="F43" s="106"/>
      <c r="G43" s="18"/>
      <c r="H43" s="18"/>
      <c r="I43" s="18"/>
      <c r="J43" s="18"/>
      <c r="K43" s="104"/>
      <c r="L43" s="105"/>
      <c r="M43" s="105"/>
      <c r="N43" s="105"/>
      <c r="O43" s="105"/>
      <c r="P43" s="105"/>
      <c r="Q43" s="106"/>
      <c r="R43" s="18"/>
      <c r="S43" s="18"/>
      <c r="T43" s="18"/>
      <c r="U43" s="18"/>
    </row>
    <row r="44" spans="1:21" ht="18" customHeight="1" x14ac:dyDescent="0.2">
      <c r="B44" s="127"/>
      <c r="C44" s="128"/>
      <c r="D44" s="128"/>
      <c r="E44" s="128"/>
      <c r="F44" s="129"/>
      <c r="G44" s="19"/>
      <c r="H44" s="19"/>
      <c r="I44" s="20"/>
      <c r="J44" s="20"/>
      <c r="K44" s="127"/>
      <c r="L44" s="128"/>
      <c r="M44" s="128"/>
      <c r="N44" s="128"/>
      <c r="O44" s="128"/>
      <c r="P44" s="128"/>
      <c r="Q44" s="129"/>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6" t="s">
        <v>103</v>
      </c>
      <c r="B46" s="126"/>
      <c r="C46" s="126"/>
      <c r="D46" s="126"/>
      <c r="E46" s="126"/>
      <c r="F46" s="126"/>
      <c r="G46" s="126"/>
      <c r="H46" s="126"/>
      <c r="I46" s="126"/>
      <c r="J46" s="126"/>
      <c r="K46" s="126"/>
      <c r="L46" s="126"/>
      <c r="M46" s="126"/>
      <c r="N46" s="126"/>
      <c r="O46" s="126"/>
      <c r="P46" s="126"/>
      <c r="Q46" s="126"/>
      <c r="R46" s="126"/>
      <c r="S46" s="126"/>
      <c r="T46" s="126"/>
      <c r="U46" s="126"/>
    </row>
    <row r="47" spans="1:21" ht="18" customHeight="1" x14ac:dyDescent="0.2">
      <c r="A47" s="126"/>
      <c r="B47" s="126"/>
      <c r="C47" s="126"/>
      <c r="D47" s="126"/>
      <c r="E47" s="126"/>
      <c r="F47" s="126"/>
      <c r="G47" s="126"/>
      <c r="H47" s="126"/>
      <c r="I47" s="126"/>
      <c r="J47" s="126"/>
      <c r="K47" s="126"/>
      <c r="L47" s="126"/>
      <c r="M47" s="126"/>
      <c r="N47" s="126"/>
      <c r="O47" s="126"/>
      <c r="P47" s="126"/>
      <c r="Q47" s="126"/>
      <c r="R47" s="126"/>
      <c r="S47" s="126"/>
      <c r="T47" s="126"/>
      <c r="U47" s="126"/>
    </row>
    <row r="48" spans="1:21" ht="18" customHeight="1" x14ac:dyDescent="0.2">
      <c r="B48" s="120" t="s">
        <v>51</v>
      </c>
      <c r="C48" s="121"/>
      <c r="D48" s="121"/>
      <c r="E48" s="121"/>
      <c r="F48" s="122"/>
      <c r="G48" s="50" t="s">
        <v>77</v>
      </c>
      <c r="H48" s="49" t="s">
        <v>80</v>
      </c>
      <c r="I48" s="16" t="s">
        <v>70</v>
      </c>
      <c r="J48" s="16" t="s">
        <v>71</v>
      </c>
      <c r="K48" s="120" t="s">
        <v>51</v>
      </c>
      <c r="L48" s="121"/>
      <c r="M48" s="121"/>
      <c r="N48" s="121"/>
      <c r="O48" s="121"/>
      <c r="P48" s="121"/>
      <c r="Q48" s="122"/>
      <c r="R48" s="50" t="s">
        <v>77</v>
      </c>
      <c r="S48" s="49" t="s">
        <v>80</v>
      </c>
      <c r="T48" s="16" t="s">
        <v>70</v>
      </c>
      <c r="U48" s="16" t="s">
        <v>71</v>
      </c>
    </row>
    <row r="49" spans="1:21" ht="18" customHeight="1" x14ac:dyDescent="0.2">
      <c r="A49" s="3"/>
      <c r="B49" s="123" t="s">
        <v>141</v>
      </c>
      <c r="C49" s="124"/>
      <c r="D49" s="124"/>
      <c r="E49" s="124"/>
      <c r="F49" s="125"/>
      <c r="G49" s="17">
        <v>1</v>
      </c>
      <c r="H49" s="17" t="s">
        <v>140</v>
      </c>
      <c r="I49" s="17" t="s">
        <v>140</v>
      </c>
      <c r="J49" s="17" t="s">
        <v>140</v>
      </c>
      <c r="K49" s="123"/>
      <c r="L49" s="124"/>
      <c r="M49" s="124"/>
      <c r="N49" s="124"/>
      <c r="O49" s="124"/>
      <c r="P49" s="124"/>
      <c r="Q49" s="125"/>
      <c r="R49" s="17"/>
      <c r="S49" s="17"/>
      <c r="T49" s="17"/>
      <c r="U49" s="17"/>
    </row>
    <row r="50" spans="1:21" ht="18" customHeight="1" x14ac:dyDescent="0.2">
      <c r="A50" s="3"/>
      <c r="B50" s="104"/>
      <c r="C50" s="105"/>
      <c r="D50" s="105"/>
      <c r="E50" s="105"/>
      <c r="F50" s="106"/>
      <c r="G50" s="18"/>
      <c r="H50" s="18"/>
      <c r="I50" s="18"/>
      <c r="J50" s="18"/>
      <c r="K50" s="104"/>
      <c r="L50" s="105"/>
      <c r="M50" s="105"/>
      <c r="N50" s="105"/>
      <c r="O50" s="105"/>
      <c r="P50" s="105"/>
      <c r="Q50" s="106"/>
      <c r="R50" s="18"/>
      <c r="S50" s="18"/>
      <c r="T50" s="18"/>
      <c r="U50" s="18"/>
    </row>
    <row r="51" spans="1:21" ht="18" customHeight="1" x14ac:dyDescent="0.2">
      <c r="A51" s="3"/>
      <c r="B51" s="104"/>
      <c r="C51" s="105"/>
      <c r="D51" s="105"/>
      <c r="E51" s="105"/>
      <c r="F51" s="106"/>
      <c r="G51" s="18"/>
      <c r="H51" s="18"/>
      <c r="I51" s="18"/>
      <c r="J51" s="18"/>
      <c r="K51" s="104"/>
      <c r="L51" s="105"/>
      <c r="M51" s="105"/>
      <c r="N51" s="105"/>
      <c r="O51" s="105"/>
      <c r="P51" s="105"/>
      <c r="Q51" s="106"/>
      <c r="R51" s="18"/>
      <c r="S51" s="18"/>
      <c r="T51" s="18"/>
      <c r="U51" s="18"/>
    </row>
    <row r="52" spans="1:21" ht="18" customHeight="1" x14ac:dyDescent="0.2">
      <c r="A52" s="3"/>
      <c r="B52" s="104"/>
      <c r="C52" s="105"/>
      <c r="D52" s="105"/>
      <c r="E52" s="105"/>
      <c r="F52" s="106"/>
      <c r="G52" s="18"/>
      <c r="H52" s="18"/>
      <c r="I52" s="18"/>
      <c r="J52" s="18"/>
      <c r="K52" s="104"/>
      <c r="L52" s="105"/>
      <c r="M52" s="105"/>
      <c r="N52" s="105"/>
      <c r="O52" s="105"/>
      <c r="P52" s="105"/>
      <c r="Q52" s="106"/>
      <c r="R52" s="18"/>
      <c r="S52" s="18"/>
      <c r="T52" s="18"/>
      <c r="U52" s="18"/>
    </row>
    <row r="53" spans="1:21" ht="18" customHeight="1" x14ac:dyDescent="0.2">
      <c r="A53" s="3"/>
      <c r="B53" s="104"/>
      <c r="C53" s="105"/>
      <c r="D53" s="105"/>
      <c r="E53" s="105"/>
      <c r="F53" s="106"/>
      <c r="G53" s="18"/>
      <c r="H53" s="18"/>
      <c r="I53" s="18"/>
      <c r="J53" s="18"/>
      <c r="K53" s="104"/>
      <c r="L53" s="105"/>
      <c r="M53" s="105"/>
      <c r="N53" s="105"/>
      <c r="O53" s="105"/>
      <c r="P53" s="105"/>
      <c r="Q53" s="106"/>
      <c r="R53" s="18"/>
      <c r="S53" s="18"/>
      <c r="T53" s="18"/>
      <c r="U53" s="18"/>
    </row>
    <row r="54" spans="1:21" ht="18" customHeight="1" x14ac:dyDescent="0.2">
      <c r="A54" s="3"/>
      <c r="B54" s="104"/>
      <c r="C54" s="105"/>
      <c r="D54" s="105"/>
      <c r="E54" s="105"/>
      <c r="F54" s="106"/>
      <c r="G54" s="18"/>
      <c r="H54" s="18"/>
      <c r="I54" s="18"/>
      <c r="J54" s="18"/>
      <c r="K54" s="104"/>
      <c r="L54" s="105"/>
      <c r="M54" s="105"/>
      <c r="N54" s="105"/>
      <c r="O54" s="105"/>
      <c r="P54" s="105"/>
      <c r="Q54" s="106"/>
      <c r="R54" s="18"/>
      <c r="S54" s="18"/>
      <c r="T54" s="18"/>
      <c r="U54" s="18"/>
    </row>
    <row r="55" spans="1:21" ht="18" customHeight="1" x14ac:dyDescent="0.2">
      <c r="A55" s="3"/>
      <c r="B55" s="127"/>
      <c r="C55" s="128"/>
      <c r="D55" s="128"/>
      <c r="E55" s="128"/>
      <c r="F55" s="129"/>
      <c r="G55" s="19"/>
      <c r="H55" s="19"/>
      <c r="I55" s="20"/>
      <c r="J55" s="20"/>
      <c r="K55" s="127"/>
      <c r="L55" s="128"/>
      <c r="M55" s="128"/>
      <c r="N55" s="128"/>
      <c r="O55" s="128"/>
      <c r="P55" s="128"/>
      <c r="Q55" s="129"/>
      <c r="R55" s="19"/>
      <c r="S55" s="19"/>
      <c r="T55" s="20"/>
      <c r="U55" s="20"/>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6" t="s">
        <v>104</v>
      </c>
      <c r="B57" s="126"/>
      <c r="C57" s="126"/>
      <c r="D57" s="126"/>
      <c r="E57" s="126"/>
      <c r="F57" s="126"/>
      <c r="G57" s="126"/>
      <c r="H57" s="126"/>
      <c r="I57" s="126"/>
      <c r="J57" s="126"/>
      <c r="K57" s="126"/>
      <c r="L57" s="126"/>
      <c r="M57" s="126"/>
      <c r="N57" s="126"/>
      <c r="O57" s="126"/>
      <c r="P57" s="126"/>
      <c r="Q57" s="126"/>
      <c r="R57" s="126"/>
      <c r="S57" s="126"/>
      <c r="T57" s="126"/>
      <c r="U57" s="126"/>
    </row>
    <row r="58" spans="1:21" ht="18" customHeight="1" x14ac:dyDescent="0.2">
      <c r="A58" s="126"/>
      <c r="B58" s="126"/>
      <c r="C58" s="126"/>
      <c r="D58" s="126"/>
      <c r="E58" s="126"/>
      <c r="F58" s="126"/>
      <c r="G58" s="126"/>
      <c r="H58" s="126"/>
      <c r="I58" s="126"/>
      <c r="J58" s="126"/>
      <c r="K58" s="126"/>
      <c r="L58" s="126"/>
      <c r="M58" s="126"/>
      <c r="N58" s="126"/>
      <c r="O58" s="126"/>
      <c r="P58" s="126"/>
      <c r="Q58" s="126"/>
      <c r="R58" s="126"/>
      <c r="S58" s="126"/>
      <c r="T58" s="126"/>
      <c r="U58" s="126"/>
    </row>
    <row r="59" spans="1:21" ht="18" customHeight="1" x14ac:dyDescent="0.2">
      <c r="B59" s="120" t="s">
        <v>51</v>
      </c>
      <c r="C59" s="121"/>
      <c r="D59" s="121"/>
      <c r="E59" s="121"/>
      <c r="F59" s="122"/>
      <c r="G59" s="50" t="s">
        <v>77</v>
      </c>
      <c r="H59" s="49" t="s">
        <v>80</v>
      </c>
      <c r="I59" s="16" t="s">
        <v>56</v>
      </c>
      <c r="J59" s="16" t="s">
        <v>58</v>
      </c>
      <c r="K59" s="120" t="s">
        <v>51</v>
      </c>
      <c r="L59" s="121"/>
      <c r="M59" s="121"/>
      <c r="N59" s="121"/>
      <c r="O59" s="121"/>
      <c r="P59" s="121"/>
      <c r="Q59" s="122"/>
      <c r="R59" s="50" t="s">
        <v>77</v>
      </c>
      <c r="S59" s="49" t="s">
        <v>80</v>
      </c>
      <c r="T59" s="16" t="s">
        <v>56</v>
      </c>
      <c r="U59" s="16" t="s">
        <v>58</v>
      </c>
    </row>
    <row r="60" spans="1:21" ht="18" customHeight="1" x14ac:dyDescent="0.2">
      <c r="A60" s="3"/>
      <c r="B60" s="123" t="s">
        <v>141</v>
      </c>
      <c r="C60" s="124"/>
      <c r="D60" s="124"/>
      <c r="E60" s="124"/>
      <c r="F60" s="125"/>
      <c r="G60" s="17">
        <v>1</v>
      </c>
      <c r="H60" s="17" t="s">
        <v>140</v>
      </c>
      <c r="I60" s="17" t="s">
        <v>140</v>
      </c>
      <c r="J60" s="17" t="s">
        <v>140</v>
      </c>
      <c r="K60" s="123"/>
      <c r="L60" s="124"/>
      <c r="M60" s="124"/>
      <c r="N60" s="124"/>
      <c r="O60" s="124"/>
      <c r="P60" s="124"/>
      <c r="Q60" s="125"/>
      <c r="R60" s="17"/>
      <c r="S60" s="17"/>
      <c r="T60" s="17"/>
      <c r="U60" s="17"/>
    </row>
    <row r="61" spans="1:21" ht="18" customHeight="1" x14ac:dyDescent="0.2">
      <c r="A61" s="3"/>
      <c r="B61" s="104"/>
      <c r="C61" s="105"/>
      <c r="D61" s="105"/>
      <c r="E61" s="105"/>
      <c r="F61" s="106"/>
      <c r="G61" s="18"/>
      <c r="H61" s="18"/>
      <c r="I61" s="18"/>
      <c r="J61" s="18"/>
      <c r="K61" s="104"/>
      <c r="L61" s="105"/>
      <c r="M61" s="105"/>
      <c r="N61" s="105"/>
      <c r="O61" s="105"/>
      <c r="P61" s="105"/>
      <c r="Q61" s="106"/>
      <c r="R61" s="18"/>
      <c r="S61" s="18"/>
      <c r="T61" s="18"/>
      <c r="U61" s="18"/>
    </row>
    <row r="62" spans="1:21" ht="18" customHeight="1" x14ac:dyDescent="0.2">
      <c r="A62" s="3"/>
      <c r="B62" s="104"/>
      <c r="C62" s="105"/>
      <c r="D62" s="105"/>
      <c r="E62" s="105"/>
      <c r="F62" s="106"/>
      <c r="G62" s="18"/>
      <c r="H62" s="18"/>
      <c r="I62" s="18"/>
      <c r="J62" s="18"/>
      <c r="K62" s="104"/>
      <c r="L62" s="105"/>
      <c r="M62" s="105"/>
      <c r="N62" s="105"/>
      <c r="O62" s="105"/>
      <c r="P62" s="105"/>
      <c r="Q62" s="106"/>
      <c r="R62" s="18"/>
      <c r="S62" s="18"/>
      <c r="T62" s="18"/>
      <c r="U62" s="18"/>
    </row>
    <row r="63" spans="1:21" ht="18" customHeight="1" x14ac:dyDescent="0.2">
      <c r="A63" s="3"/>
      <c r="B63" s="104"/>
      <c r="C63" s="105"/>
      <c r="D63" s="105"/>
      <c r="E63" s="105"/>
      <c r="F63" s="106"/>
      <c r="G63" s="18"/>
      <c r="H63" s="18"/>
      <c r="I63" s="18"/>
      <c r="J63" s="18"/>
      <c r="K63" s="104"/>
      <c r="L63" s="105"/>
      <c r="M63" s="105"/>
      <c r="N63" s="105"/>
      <c r="O63" s="105"/>
      <c r="P63" s="105"/>
      <c r="Q63" s="106"/>
      <c r="R63" s="18"/>
      <c r="S63" s="18"/>
      <c r="T63" s="18"/>
      <c r="U63" s="18"/>
    </row>
    <row r="64" spans="1:21" ht="18" customHeight="1" x14ac:dyDescent="0.2">
      <c r="A64" s="3"/>
      <c r="B64" s="104"/>
      <c r="C64" s="105"/>
      <c r="D64" s="105"/>
      <c r="E64" s="105"/>
      <c r="F64" s="106"/>
      <c r="G64" s="18"/>
      <c r="H64" s="18"/>
      <c r="I64" s="18"/>
      <c r="J64" s="18"/>
      <c r="K64" s="104"/>
      <c r="L64" s="105"/>
      <c r="M64" s="105"/>
      <c r="N64" s="105"/>
      <c r="O64" s="105"/>
      <c r="P64" s="105"/>
      <c r="Q64" s="106"/>
      <c r="R64" s="18"/>
      <c r="S64" s="18"/>
      <c r="T64" s="18"/>
      <c r="U64" s="18"/>
    </row>
    <row r="65" spans="1:21" ht="18" customHeight="1" x14ac:dyDescent="0.2">
      <c r="A65" s="3"/>
      <c r="B65" s="104"/>
      <c r="C65" s="105"/>
      <c r="D65" s="105"/>
      <c r="E65" s="105"/>
      <c r="F65" s="106"/>
      <c r="G65" s="18"/>
      <c r="H65" s="18"/>
      <c r="I65" s="18"/>
      <c r="J65" s="18"/>
      <c r="K65" s="104"/>
      <c r="L65" s="105"/>
      <c r="M65" s="105"/>
      <c r="N65" s="105"/>
      <c r="O65" s="105"/>
      <c r="P65" s="105"/>
      <c r="Q65" s="106"/>
      <c r="R65" s="18"/>
      <c r="S65" s="18"/>
      <c r="T65" s="18"/>
      <c r="U65" s="18"/>
    </row>
    <row r="66" spans="1:21" ht="18" customHeight="1" x14ac:dyDescent="0.2">
      <c r="A66" s="3"/>
      <c r="B66" s="127"/>
      <c r="C66" s="128"/>
      <c r="D66" s="128"/>
      <c r="E66" s="128"/>
      <c r="F66" s="129"/>
      <c r="G66" s="19"/>
      <c r="H66" s="19"/>
      <c r="I66" s="20"/>
      <c r="J66" s="20"/>
      <c r="K66" s="127"/>
      <c r="L66" s="128"/>
      <c r="M66" s="128"/>
      <c r="N66" s="128"/>
      <c r="O66" s="128"/>
      <c r="P66" s="128"/>
      <c r="Q66" s="129"/>
      <c r="R66" s="19"/>
      <c r="S66" s="19"/>
      <c r="T66" s="20"/>
      <c r="U66" s="20"/>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6" t="s">
        <v>105</v>
      </c>
      <c r="B68" s="126"/>
      <c r="C68" s="126"/>
      <c r="D68" s="126"/>
      <c r="E68" s="126"/>
      <c r="F68" s="126"/>
      <c r="G68" s="126"/>
      <c r="H68" s="126"/>
      <c r="I68" s="126"/>
      <c r="J68" s="126"/>
      <c r="K68" s="126"/>
      <c r="L68" s="126"/>
      <c r="M68" s="126"/>
      <c r="N68" s="126"/>
      <c r="O68" s="126"/>
      <c r="P68" s="126"/>
      <c r="Q68" s="126"/>
      <c r="R68" s="126"/>
      <c r="S68" s="126"/>
      <c r="T68" s="126"/>
      <c r="U68" s="126"/>
    </row>
    <row r="69" spans="1:21" ht="18" customHeight="1" x14ac:dyDescent="0.2">
      <c r="A69" s="126"/>
      <c r="B69" s="126"/>
      <c r="C69" s="126"/>
      <c r="D69" s="126"/>
      <c r="E69" s="126"/>
      <c r="F69" s="126"/>
      <c r="G69" s="126"/>
      <c r="H69" s="126"/>
      <c r="I69" s="126"/>
      <c r="J69" s="126"/>
      <c r="K69" s="126"/>
      <c r="L69" s="126"/>
      <c r="M69" s="126"/>
      <c r="N69" s="126"/>
      <c r="O69" s="126"/>
      <c r="P69" s="126"/>
      <c r="Q69" s="126"/>
      <c r="R69" s="126"/>
      <c r="S69" s="126"/>
      <c r="T69" s="126"/>
      <c r="U69" s="126"/>
    </row>
    <row r="70" spans="1:21" ht="18" customHeight="1" x14ac:dyDescent="0.2">
      <c r="B70" s="120" t="s">
        <v>51</v>
      </c>
      <c r="C70" s="121"/>
      <c r="D70" s="121"/>
      <c r="E70" s="121"/>
      <c r="F70" s="50" t="s">
        <v>77</v>
      </c>
      <c r="G70" s="49" t="s">
        <v>80</v>
      </c>
      <c r="H70" s="16" t="s">
        <v>92</v>
      </c>
      <c r="I70" s="16" t="s">
        <v>72</v>
      </c>
      <c r="J70" s="16" t="s">
        <v>73</v>
      </c>
      <c r="K70" s="120" t="s">
        <v>51</v>
      </c>
      <c r="L70" s="121"/>
      <c r="M70" s="121"/>
      <c r="N70" s="121"/>
      <c r="O70" s="121"/>
      <c r="P70" s="122"/>
      <c r="Q70" s="50" t="s">
        <v>77</v>
      </c>
      <c r="R70" s="49" t="s">
        <v>80</v>
      </c>
      <c r="S70" s="16" t="s">
        <v>92</v>
      </c>
      <c r="T70" s="16" t="s">
        <v>72</v>
      </c>
      <c r="U70" s="16" t="s">
        <v>73</v>
      </c>
    </row>
    <row r="71" spans="1:21" ht="18" customHeight="1" x14ac:dyDescent="0.2">
      <c r="A71" s="3"/>
      <c r="B71" s="123" t="s">
        <v>143</v>
      </c>
      <c r="C71" s="124"/>
      <c r="D71" s="124"/>
      <c r="E71" s="125"/>
      <c r="F71" s="17">
        <v>1</v>
      </c>
      <c r="G71" s="17" t="s">
        <v>140</v>
      </c>
      <c r="H71" s="17"/>
      <c r="I71" s="17"/>
      <c r="J71" s="17" t="s">
        <v>140</v>
      </c>
      <c r="K71" s="123"/>
      <c r="L71" s="124"/>
      <c r="M71" s="124"/>
      <c r="N71" s="124"/>
      <c r="O71" s="124"/>
      <c r="P71" s="125"/>
      <c r="Q71" s="17"/>
      <c r="R71" s="17"/>
      <c r="S71" s="17"/>
      <c r="T71" s="17"/>
      <c r="U71" s="17"/>
    </row>
    <row r="72" spans="1:21" ht="18" customHeight="1" x14ac:dyDescent="0.2">
      <c r="A72" s="3"/>
      <c r="B72" s="104" t="s">
        <v>200</v>
      </c>
      <c r="C72" s="105"/>
      <c r="D72" s="105"/>
      <c r="E72" s="106"/>
      <c r="F72" s="18">
        <v>2</v>
      </c>
      <c r="G72" s="18" t="s">
        <v>140</v>
      </c>
      <c r="H72" s="18" t="s">
        <v>140</v>
      </c>
      <c r="I72" s="18" t="s">
        <v>140</v>
      </c>
      <c r="J72" s="18"/>
      <c r="K72" s="104"/>
      <c r="L72" s="105"/>
      <c r="M72" s="105"/>
      <c r="N72" s="105"/>
      <c r="O72" s="105"/>
      <c r="P72" s="106"/>
      <c r="Q72" s="18"/>
      <c r="R72" s="18"/>
      <c r="S72" s="18"/>
      <c r="T72" s="18"/>
      <c r="U72" s="18"/>
    </row>
    <row r="73" spans="1:21" ht="18" customHeight="1" x14ac:dyDescent="0.2">
      <c r="A73" s="3"/>
      <c r="B73" s="104"/>
      <c r="C73" s="105"/>
      <c r="D73" s="105"/>
      <c r="E73" s="106"/>
      <c r="F73" s="18"/>
      <c r="G73" s="18"/>
      <c r="H73" s="18"/>
      <c r="I73" s="18"/>
      <c r="J73" s="18"/>
      <c r="K73" s="104"/>
      <c r="L73" s="105"/>
      <c r="M73" s="105"/>
      <c r="N73" s="105"/>
      <c r="O73" s="105"/>
      <c r="P73" s="106"/>
      <c r="Q73" s="18"/>
      <c r="R73" s="18"/>
      <c r="S73" s="18"/>
      <c r="T73" s="18"/>
      <c r="U73" s="18"/>
    </row>
    <row r="74" spans="1:21" ht="18" customHeight="1" x14ac:dyDescent="0.2">
      <c r="A74" s="3"/>
      <c r="B74" s="104"/>
      <c r="C74" s="105"/>
      <c r="D74" s="105"/>
      <c r="E74" s="105"/>
      <c r="F74" s="18"/>
      <c r="G74" s="18"/>
      <c r="H74" s="18"/>
      <c r="I74" s="18"/>
      <c r="J74" s="18"/>
      <c r="K74" s="104"/>
      <c r="L74" s="105"/>
      <c r="M74" s="105"/>
      <c r="N74" s="105"/>
      <c r="O74" s="105"/>
      <c r="P74" s="106"/>
      <c r="Q74" s="18"/>
      <c r="R74" s="18"/>
      <c r="S74" s="18"/>
      <c r="T74" s="18"/>
      <c r="U74" s="18"/>
    </row>
    <row r="75" spans="1:21" ht="18" customHeight="1" x14ac:dyDescent="0.2">
      <c r="A75" s="3"/>
      <c r="B75" s="104"/>
      <c r="C75" s="105"/>
      <c r="D75" s="105"/>
      <c r="E75" s="105"/>
      <c r="F75" s="18"/>
      <c r="G75" s="18"/>
      <c r="H75" s="18"/>
      <c r="I75" s="18"/>
      <c r="J75" s="18"/>
      <c r="K75" s="104"/>
      <c r="L75" s="105"/>
      <c r="M75" s="105"/>
      <c r="N75" s="105"/>
      <c r="O75" s="105"/>
      <c r="P75" s="106"/>
      <c r="Q75" s="18"/>
      <c r="R75" s="18"/>
      <c r="S75" s="18"/>
      <c r="T75" s="18"/>
      <c r="U75" s="18"/>
    </row>
    <row r="76" spans="1:21" ht="18" customHeight="1" x14ac:dyDescent="0.2">
      <c r="A76" s="3"/>
      <c r="B76" s="104"/>
      <c r="C76" s="105"/>
      <c r="D76" s="105"/>
      <c r="E76" s="105"/>
      <c r="F76" s="18"/>
      <c r="G76" s="18"/>
      <c r="H76" s="18"/>
      <c r="I76" s="18"/>
      <c r="J76" s="18"/>
      <c r="K76" s="104"/>
      <c r="L76" s="105"/>
      <c r="M76" s="105"/>
      <c r="N76" s="105"/>
      <c r="O76" s="105"/>
      <c r="P76" s="106"/>
      <c r="Q76" s="18"/>
      <c r="R76" s="18"/>
      <c r="S76" s="18"/>
      <c r="T76" s="18"/>
      <c r="U76" s="18"/>
    </row>
    <row r="77" spans="1:21" ht="18" customHeight="1" x14ac:dyDescent="0.2">
      <c r="A77" s="3"/>
      <c r="B77" s="127"/>
      <c r="C77" s="128"/>
      <c r="D77" s="128"/>
      <c r="E77" s="128"/>
      <c r="F77" s="19"/>
      <c r="G77" s="19"/>
      <c r="H77" s="20"/>
      <c r="I77" s="20"/>
      <c r="J77" s="20"/>
      <c r="K77" s="127"/>
      <c r="L77" s="128"/>
      <c r="M77" s="128"/>
      <c r="N77" s="128"/>
      <c r="O77" s="128"/>
      <c r="P77" s="129"/>
      <c r="Q77" s="19"/>
      <c r="R77" s="19"/>
      <c r="S77" s="20"/>
      <c r="T77" s="20"/>
      <c r="U77" s="20"/>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106</v>
      </c>
      <c r="I79" s="3"/>
      <c r="J79" s="3"/>
      <c r="K79" s="3"/>
      <c r="L79" s="3"/>
      <c r="M79" s="3"/>
      <c r="N79" s="3"/>
      <c r="O79" s="3"/>
      <c r="P79" s="3"/>
      <c r="Q79" s="3"/>
      <c r="R79" s="3"/>
      <c r="S79" s="3"/>
      <c r="T79" s="3"/>
      <c r="U79" s="3"/>
    </row>
    <row r="80" spans="1:21" ht="18" customHeight="1" x14ac:dyDescent="0.2">
      <c r="B80" s="120" t="s">
        <v>51</v>
      </c>
      <c r="C80" s="121"/>
      <c r="D80" s="121"/>
      <c r="E80" s="121"/>
      <c r="F80" s="122"/>
      <c r="G80" s="120" t="s">
        <v>78</v>
      </c>
      <c r="H80" s="121"/>
      <c r="I80" s="121"/>
      <c r="J80" s="122"/>
      <c r="K80" s="130" t="s">
        <v>51</v>
      </c>
      <c r="L80" s="131"/>
      <c r="M80" s="131"/>
      <c r="N80" s="131"/>
      <c r="O80" s="131"/>
      <c r="P80" s="131"/>
      <c r="Q80" s="132"/>
      <c r="R80" s="120" t="s">
        <v>78</v>
      </c>
      <c r="S80" s="121"/>
      <c r="T80" s="121"/>
      <c r="U80" s="122"/>
    </row>
    <row r="81" spans="1:21" ht="18" customHeight="1" x14ac:dyDescent="0.2">
      <c r="A81" s="3"/>
      <c r="B81" s="123" t="s">
        <v>142</v>
      </c>
      <c r="C81" s="124"/>
      <c r="D81" s="124"/>
      <c r="E81" s="124"/>
      <c r="F81" s="125"/>
      <c r="G81" s="136" t="s">
        <v>144</v>
      </c>
      <c r="H81" s="137"/>
      <c r="I81" s="137"/>
      <c r="J81" s="138"/>
      <c r="K81" s="123"/>
      <c r="L81" s="124"/>
      <c r="M81" s="124"/>
      <c r="N81" s="124"/>
      <c r="O81" s="124"/>
      <c r="P81" s="124"/>
      <c r="Q81" s="125"/>
      <c r="R81" s="136"/>
      <c r="S81" s="137"/>
      <c r="T81" s="137"/>
      <c r="U81" s="138"/>
    </row>
    <row r="82" spans="1:21" ht="18" customHeight="1" x14ac:dyDescent="0.2">
      <c r="A82" s="3"/>
      <c r="B82" s="104"/>
      <c r="C82" s="105"/>
      <c r="D82" s="105"/>
      <c r="E82" s="105"/>
      <c r="F82" s="106"/>
      <c r="G82" s="133"/>
      <c r="H82" s="134"/>
      <c r="I82" s="134"/>
      <c r="J82" s="135"/>
      <c r="K82" s="104"/>
      <c r="L82" s="105"/>
      <c r="M82" s="105"/>
      <c r="N82" s="105"/>
      <c r="O82" s="105"/>
      <c r="P82" s="105"/>
      <c r="Q82" s="106"/>
      <c r="R82" s="133"/>
      <c r="S82" s="134"/>
      <c r="T82" s="134"/>
      <c r="U82" s="135"/>
    </row>
    <row r="83" spans="1:21" ht="18" customHeight="1" x14ac:dyDescent="0.2">
      <c r="A83" s="3"/>
      <c r="B83" s="104"/>
      <c r="C83" s="105"/>
      <c r="D83" s="105"/>
      <c r="E83" s="105"/>
      <c r="F83" s="106"/>
      <c r="G83" s="133"/>
      <c r="H83" s="134"/>
      <c r="I83" s="134"/>
      <c r="J83" s="135"/>
      <c r="K83" s="104"/>
      <c r="L83" s="105"/>
      <c r="M83" s="105"/>
      <c r="N83" s="105"/>
      <c r="O83" s="105"/>
      <c r="P83" s="105"/>
      <c r="Q83" s="106"/>
      <c r="R83" s="133"/>
      <c r="S83" s="134"/>
      <c r="T83" s="134"/>
      <c r="U83" s="135"/>
    </row>
    <row r="84" spans="1:21" ht="18" customHeight="1" x14ac:dyDescent="0.2">
      <c r="A84" s="3"/>
      <c r="B84" s="104"/>
      <c r="C84" s="105"/>
      <c r="D84" s="105"/>
      <c r="E84" s="105"/>
      <c r="F84" s="106"/>
      <c r="G84" s="133"/>
      <c r="H84" s="134"/>
      <c r="I84" s="134"/>
      <c r="J84" s="135"/>
      <c r="K84" s="104"/>
      <c r="L84" s="105"/>
      <c r="M84" s="105"/>
      <c r="N84" s="105"/>
      <c r="O84" s="105"/>
      <c r="P84" s="105"/>
      <c r="Q84" s="106"/>
      <c r="R84" s="133"/>
      <c r="S84" s="134"/>
      <c r="T84" s="134"/>
      <c r="U84" s="135"/>
    </row>
    <row r="85" spans="1:21" ht="18" customHeight="1" x14ac:dyDescent="0.2">
      <c r="A85" s="3"/>
      <c r="B85" s="104"/>
      <c r="C85" s="105"/>
      <c r="D85" s="105"/>
      <c r="E85" s="105"/>
      <c r="F85" s="106"/>
      <c r="G85" s="133"/>
      <c r="H85" s="134"/>
      <c r="I85" s="134"/>
      <c r="J85" s="135"/>
      <c r="K85" s="104"/>
      <c r="L85" s="105"/>
      <c r="M85" s="105"/>
      <c r="N85" s="105"/>
      <c r="O85" s="105"/>
      <c r="P85" s="105"/>
      <c r="Q85" s="106"/>
      <c r="R85" s="133"/>
      <c r="S85" s="134"/>
      <c r="T85" s="134"/>
      <c r="U85" s="135"/>
    </row>
    <row r="86" spans="1:21" ht="18" customHeight="1" x14ac:dyDescent="0.2">
      <c r="A86" s="3"/>
      <c r="B86" s="104"/>
      <c r="C86" s="105"/>
      <c r="D86" s="105"/>
      <c r="E86" s="105"/>
      <c r="F86" s="106"/>
      <c r="G86" s="133"/>
      <c r="H86" s="134"/>
      <c r="I86" s="134"/>
      <c r="J86" s="135"/>
      <c r="K86" s="104"/>
      <c r="L86" s="105"/>
      <c r="M86" s="105"/>
      <c r="N86" s="105"/>
      <c r="O86" s="105"/>
      <c r="P86" s="105"/>
      <c r="Q86" s="106"/>
      <c r="R86" s="133"/>
      <c r="S86" s="134"/>
      <c r="T86" s="134"/>
      <c r="U86" s="135"/>
    </row>
    <row r="87" spans="1:21" ht="18" customHeight="1" x14ac:dyDescent="0.2">
      <c r="A87" s="3"/>
      <c r="B87" s="127"/>
      <c r="C87" s="128"/>
      <c r="D87" s="128"/>
      <c r="E87" s="128"/>
      <c r="F87" s="129"/>
      <c r="G87" s="139"/>
      <c r="H87" s="140"/>
      <c r="I87" s="140"/>
      <c r="J87" s="141"/>
      <c r="K87" s="127"/>
      <c r="L87" s="128"/>
      <c r="M87" s="128"/>
      <c r="N87" s="128"/>
      <c r="O87" s="128"/>
      <c r="P87" s="128"/>
      <c r="Q87" s="129"/>
      <c r="R87" s="139"/>
      <c r="S87" s="140"/>
      <c r="T87" s="140"/>
      <c r="U87" s="141"/>
    </row>
    <row r="88" spans="1:21" ht="18" customHeight="1" x14ac:dyDescent="0.2">
      <c r="A88" s="3"/>
      <c r="B88" s="6"/>
      <c r="C88" s="6"/>
      <c r="D88" s="6"/>
      <c r="E88" s="6"/>
      <c r="F88" s="6"/>
      <c r="G88" s="21"/>
      <c r="H88" s="21"/>
      <c r="I88" s="21"/>
      <c r="J88" s="21"/>
      <c r="K88" s="6"/>
      <c r="L88" s="6"/>
      <c r="M88" s="6"/>
      <c r="N88" s="6"/>
      <c r="O88" s="6"/>
      <c r="P88" s="6"/>
      <c r="Q88" s="6"/>
      <c r="R88" s="21"/>
      <c r="S88" s="21"/>
      <c r="T88" s="21"/>
      <c r="U88" s="21"/>
    </row>
    <row r="89" spans="1:21" ht="18.75" customHeight="1" x14ac:dyDescent="0.2">
      <c r="A89" s="1" t="s">
        <v>107</v>
      </c>
    </row>
    <row r="90" spans="1:21" ht="18.75" customHeight="1" x14ac:dyDescent="0.2">
      <c r="B90" s="142" t="s">
        <v>52</v>
      </c>
      <c r="C90" s="143"/>
      <c r="D90" s="120" t="s">
        <v>53</v>
      </c>
      <c r="E90" s="121"/>
      <c r="F90" s="121"/>
      <c r="G90" s="121"/>
      <c r="H90" s="121"/>
      <c r="I90" s="121"/>
      <c r="J90" s="121"/>
      <c r="K90" s="121"/>
      <c r="L90" s="121"/>
      <c r="M90" s="121"/>
      <c r="N90" s="121"/>
      <c r="O90" s="121"/>
      <c r="P90" s="121"/>
      <c r="Q90" s="121"/>
      <c r="R90" s="121"/>
      <c r="S90" s="121"/>
      <c r="T90" s="121"/>
      <c r="U90" s="122"/>
    </row>
    <row r="91" spans="1:21" ht="97.5" customHeight="1" x14ac:dyDescent="0.2">
      <c r="B91" s="144" t="s">
        <v>59</v>
      </c>
      <c r="C91" s="22" t="s">
        <v>54</v>
      </c>
      <c r="D91" s="173" t="s">
        <v>176</v>
      </c>
      <c r="E91" s="155"/>
      <c r="F91" s="155"/>
      <c r="G91" s="155"/>
      <c r="H91" s="155"/>
      <c r="I91" s="155"/>
      <c r="J91" s="155"/>
      <c r="K91" s="155"/>
      <c r="L91" s="155"/>
      <c r="M91" s="155"/>
      <c r="N91" s="155"/>
      <c r="O91" s="155"/>
      <c r="P91" s="155"/>
      <c r="Q91" s="155"/>
      <c r="R91" s="155"/>
      <c r="S91" s="155"/>
      <c r="T91" s="155"/>
      <c r="U91" s="156"/>
    </row>
    <row r="92" spans="1:21" ht="97.5" customHeight="1" x14ac:dyDescent="0.2">
      <c r="B92" s="154"/>
      <c r="C92" s="23" t="s">
        <v>74</v>
      </c>
      <c r="D92" s="170" t="s">
        <v>177</v>
      </c>
      <c r="E92" s="150"/>
      <c r="F92" s="150"/>
      <c r="G92" s="150"/>
      <c r="H92" s="150"/>
      <c r="I92" s="150"/>
      <c r="J92" s="150"/>
      <c r="K92" s="150"/>
      <c r="L92" s="150"/>
      <c r="M92" s="150"/>
      <c r="N92" s="150"/>
      <c r="O92" s="150"/>
      <c r="P92" s="150"/>
      <c r="Q92" s="150"/>
      <c r="R92" s="150"/>
      <c r="S92" s="150"/>
      <c r="T92" s="150"/>
      <c r="U92" s="151"/>
    </row>
    <row r="93" spans="1:21" ht="97.5" customHeight="1" x14ac:dyDescent="0.2">
      <c r="B93" s="144" t="s">
        <v>60</v>
      </c>
      <c r="C93" s="24" t="s">
        <v>68</v>
      </c>
      <c r="D93" s="174" t="s">
        <v>176</v>
      </c>
      <c r="E93" s="147"/>
      <c r="F93" s="147"/>
      <c r="G93" s="147"/>
      <c r="H93" s="147"/>
      <c r="I93" s="147"/>
      <c r="J93" s="147"/>
      <c r="K93" s="147"/>
      <c r="L93" s="147"/>
      <c r="M93" s="147"/>
      <c r="N93" s="147"/>
      <c r="O93" s="147"/>
      <c r="P93" s="147"/>
      <c r="Q93" s="147"/>
      <c r="R93" s="147"/>
      <c r="S93" s="147"/>
      <c r="T93" s="147"/>
      <c r="U93" s="148"/>
    </row>
    <row r="94" spans="1:21" ht="97.5" customHeight="1" x14ac:dyDescent="0.2">
      <c r="B94" s="145"/>
      <c r="C94" s="25" t="s">
        <v>69</v>
      </c>
      <c r="D94" s="170" t="s">
        <v>178</v>
      </c>
      <c r="E94" s="150"/>
      <c r="F94" s="150"/>
      <c r="G94" s="150"/>
      <c r="H94" s="150"/>
      <c r="I94" s="150"/>
      <c r="J94" s="150"/>
      <c r="K94" s="150"/>
      <c r="L94" s="150"/>
      <c r="M94" s="150"/>
      <c r="N94" s="150"/>
      <c r="O94" s="150"/>
      <c r="P94" s="150"/>
      <c r="Q94" s="150"/>
      <c r="R94" s="150"/>
      <c r="S94" s="150"/>
      <c r="T94" s="150"/>
      <c r="U94" s="151"/>
    </row>
    <row r="95" spans="1:21" ht="97.5" customHeight="1" x14ac:dyDescent="0.2">
      <c r="B95" s="144" t="s">
        <v>61</v>
      </c>
      <c r="C95" s="24" t="s">
        <v>70</v>
      </c>
      <c r="D95" s="174" t="s">
        <v>179</v>
      </c>
      <c r="E95" s="147"/>
      <c r="F95" s="147"/>
      <c r="G95" s="147"/>
      <c r="H95" s="147"/>
      <c r="I95" s="147"/>
      <c r="J95" s="147"/>
      <c r="K95" s="147"/>
      <c r="L95" s="147"/>
      <c r="M95" s="147"/>
      <c r="N95" s="147"/>
      <c r="O95" s="147"/>
      <c r="P95" s="147"/>
      <c r="Q95" s="147"/>
      <c r="R95" s="147"/>
      <c r="S95" s="147"/>
      <c r="T95" s="147"/>
      <c r="U95" s="148"/>
    </row>
    <row r="96" spans="1:21" ht="97.5" customHeight="1" x14ac:dyDescent="0.2">
      <c r="B96" s="145"/>
      <c r="C96" s="26" t="s">
        <v>71</v>
      </c>
      <c r="D96" s="170" t="s">
        <v>180</v>
      </c>
      <c r="E96" s="150"/>
      <c r="F96" s="150"/>
      <c r="G96" s="150"/>
      <c r="H96" s="150"/>
      <c r="I96" s="150"/>
      <c r="J96" s="150"/>
      <c r="K96" s="150"/>
      <c r="L96" s="150"/>
      <c r="M96" s="150"/>
      <c r="N96" s="150"/>
      <c r="O96" s="150"/>
      <c r="P96" s="150"/>
      <c r="Q96" s="150"/>
      <c r="R96" s="150"/>
      <c r="S96" s="150"/>
      <c r="T96" s="150"/>
      <c r="U96" s="151"/>
    </row>
    <row r="97" spans="1:33" ht="97.5" customHeight="1" x14ac:dyDescent="0.2">
      <c r="B97" s="144" t="s">
        <v>75</v>
      </c>
      <c r="C97" s="22" t="s">
        <v>56</v>
      </c>
      <c r="D97" s="174" t="s">
        <v>181</v>
      </c>
      <c r="E97" s="147"/>
      <c r="F97" s="147"/>
      <c r="G97" s="147"/>
      <c r="H97" s="147"/>
      <c r="I97" s="147"/>
      <c r="J97" s="147"/>
      <c r="K97" s="147"/>
      <c r="L97" s="147"/>
      <c r="M97" s="147"/>
      <c r="N97" s="147"/>
      <c r="O97" s="147"/>
      <c r="P97" s="147"/>
      <c r="Q97" s="147"/>
      <c r="R97" s="147"/>
      <c r="S97" s="147"/>
      <c r="T97" s="147"/>
      <c r="U97" s="148"/>
    </row>
    <row r="98" spans="1:33" ht="97.5" customHeight="1" x14ac:dyDescent="0.2">
      <c r="B98" s="145"/>
      <c r="C98" s="25" t="s">
        <v>58</v>
      </c>
      <c r="D98" s="170" t="s">
        <v>182</v>
      </c>
      <c r="E98" s="150"/>
      <c r="F98" s="150"/>
      <c r="G98" s="150"/>
      <c r="H98" s="150"/>
      <c r="I98" s="150"/>
      <c r="J98" s="150"/>
      <c r="K98" s="150"/>
      <c r="L98" s="150"/>
      <c r="M98" s="150"/>
      <c r="N98" s="150"/>
      <c r="O98" s="150"/>
      <c r="P98" s="150"/>
      <c r="Q98" s="150"/>
      <c r="R98" s="150"/>
      <c r="S98" s="150"/>
      <c r="T98" s="150"/>
      <c r="U98" s="151"/>
    </row>
    <row r="99" spans="1:33" ht="97.5" customHeight="1" x14ac:dyDescent="0.2">
      <c r="B99" s="144" t="s">
        <v>76</v>
      </c>
      <c r="C99" s="24" t="s">
        <v>55</v>
      </c>
      <c r="D99" s="171" t="s">
        <v>185</v>
      </c>
      <c r="E99" s="147"/>
      <c r="F99" s="147"/>
      <c r="G99" s="147"/>
      <c r="H99" s="147"/>
      <c r="I99" s="147"/>
      <c r="J99" s="147"/>
      <c r="K99" s="147"/>
      <c r="L99" s="147"/>
      <c r="M99" s="147"/>
      <c r="N99" s="147"/>
      <c r="O99" s="147"/>
      <c r="P99" s="147"/>
      <c r="Q99" s="147"/>
      <c r="R99" s="147"/>
      <c r="S99" s="147"/>
      <c r="T99" s="147"/>
      <c r="U99" s="148"/>
    </row>
    <row r="100" spans="1:33" ht="97.5" customHeight="1" x14ac:dyDescent="0.2">
      <c r="B100" s="154"/>
      <c r="C100" s="27" t="s">
        <v>72</v>
      </c>
      <c r="D100" s="172" t="s">
        <v>184</v>
      </c>
      <c r="E100" s="164"/>
      <c r="F100" s="164"/>
      <c r="G100" s="164"/>
      <c r="H100" s="164"/>
      <c r="I100" s="164"/>
      <c r="J100" s="164"/>
      <c r="K100" s="164"/>
      <c r="L100" s="164"/>
      <c r="M100" s="164"/>
      <c r="N100" s="164"/>
      <c r="O100" s="164"/>
      <c r="P100" s="164"/>
      <c r="Q100" s="164"/>
      <c r="R100" s="164"/>
      <c r="S100" s="164"/>
      <c r="T100" s="164"/>
      <c r="U100" s="165"/>
    </row>
    <row r="101" spans="1:33" ht="97.5" customHeight="1" x14ac:dyDescent="0.2">
      <c r="B101" s="145"/>
      <c r="C101" s="26" t="s">
        <v>73</v>
      </c>
      <c r="D101" s="170" t="s">
        <v>183</v>
      </c>
      <c r="E101" s="150"/>
      <c r="F101" s="150"/>
      <c r="G101" s="150"/>
      <c r="H101" s="150"/>
      <c r="I101" s="150"/>
      <c r="J101" s="150"/>
      <c r="K101" s="150"/>
      <c r="L101" s="150"/>
      <c r="M101" s="150"/>
      <c r="N101" s="150"/>
      <c r="O101" s="150"/>
      <c r="P101" s="150"/>
      <c r="Q101" s="150"/>
      <c r="R101" s="150"/>
      <c r="S101" s="150"/>
      <c r="T101" s="150"/>
      <c r="U101" s="151"/>
    </row>
    <row r="102" spans="1:33" ht="6" customHeight="1" x14ac:dyDescent="0.2"/>
    <row r="103" spans="1:33" ht="18.75" customHeight="1" x14ac:dyDescent="0.2">
      <c r="A103" s="1" t="s">
        <v>108</v>
      </c>
    </row>
    <row r="104" spans="1:33" ht="81.75" customHeight="1" x14ac:dyDescent="0.2">
      <c r="B104" s="166" t="s">
        <v>206</v>
      </c>
      <c r="C104" s="167"/>
      <c r="D104" s="167"/>
      <c r="E104" s="167"/>
      <c r="F104" s="167"/>
      <c r="G104" s="167"/>
      <c r="H104" s="167"/>
      <c r="I104" s="167"/>
      <c r="J104" s="167"/>
      <c r="K104" s="167"/>
      <c r="L104" s="167"/>
      <c r="M104" s="167"/>
      <c r="N104" s="167"/>
      <c r="O104" s="167"/>
      <c r="P104" s="167"/>
      <c r="Q104" s="167"/>
      <c r="R104" s="167"/>
      <c r="S104" s="167"/>
      <c r="T104" s="167"/>
      <c r="U104" s="168"/>
    </row>
    <row r="106" spans="1:33" ht="18.75" customHeight="1" x14ac:dyDescent="0.2">
      <c r="A106" s="72" t="s">
        <v>124</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2">
      <c r="A107" s="72" t="s">
        <v>126</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2">
      <c r="A108" s="72"/>
      <c r="B108" s="169" t="s">
        <v>130</v>
      </c>
      <c r="C108" s="169"/>
      <c r="D108" s="169"/>
      <c r="E108" s="169"/>
      <c r="F108" s="169"/>
      <c r="G108" s="169"/>
      <c r="H108" s="169"/>
      <c r="I108" s="169"/>
      <c r="J108" s="169"/>
      <c r="K108" s="169"/>
      <c r="L108" s="169"/>
      <c r="M108" s="169"/>
      <c r="N108" s="169"/>
      <c r="O108" s="169"/>
      <c r="P108" s="169"/>
      <c r="Q108" s="169"/>
      <c r="R108" s="169"/>
      <c r="S108" s="169"/>
      <c r="T108" s="169"/>
      <c r="U108" s="169"/>
      <c r="V108" s="68"/>
      <c r="W108" s="68"/>
      <c r="X108" s="68"/>
      <c r="Y108" s="68"/>
      <c r="Z108" s="68"/>
      <c r="AA108" s="68"/>
      <c r="AB108" s="68"/>
      <c r="AC108" s="68"/>
      <c r="AD108" s="68"/>
      <c r="AE108" s="68"/>
      <c r="AF108" s="68"/>
      <c r="AG108" s="68"/>
    </row>
    <row r="109" spans="1:33" ht="37.200000000000003" customHeight="1" x14ac:dyDescent="0.2">
      <c r="A109" s="72"/>
      <c r="B109" s="169"/>
      <c r="C109" s="169"/>
      <c r="D109" s="169"/>
      <c r="E109" s="169"/>
      <c r="F109" s="169"/>
      <c r="G109" s="169"/>
      <c r="H109" s="169"/>
      <c r="I109" s="169"/>
      <c r="J109" s="169"/>
      <c r="K109" s="169"/>
      <c r="L109" s="169"/>
      <c r="M109" s="169"/>
      <c r="N109" s="169"/>
      <c r="O109" s="169"/>
      <c r="P109" s="169"/>
      <c r="Q109" s="169"/>
      <c r="R109" s="169"/>
      <c r="S109" s="169"/>
      <c r="T109" s="169"/>
      <c r="U109" s="169"/>
      <c r="V109" s="68"/>
      <c r="W109" s="68"/>
      <c r="X109" s="68"/>
      <c r="Y109" s="68"/>
      <c r="Z109" s="68"/>
      <c r="AA109" s="68"/>
      <c r="AB109" s="68"/>
      <c r="AC109" s="68"/>
      <c r="AD109" s="68"/>
      <c r="AE109" s="68"/>
      <c r="AF109" s="68"/>
      <c r="AG109" s="68"/>
    </row>
    <row r="110" spans="1:33" ht="18.75" customHeight="1" x14ac:dyDescent="0.2">
      <c r="A110" s="72"/>
      <c r="B110" s="160" t="s">
        <v>125</v>
      </c>
      <c r="C110" s="160"/>
      <c r="D110" s="160"/>
      <c r="E110" s="160"/>
      <c r="F110" s="160"/>
      <c r="G110" s="160"/>
      <c r="H110" s="160"/>
      <c r="I110" s="160"/>
      <c r="J110" s="160"/>
      <c r="K110" s="160"/>
      <c r="L110" s="160"/>
      <c r="M110" s="160"/>
      <c r="N110" s="160"/>
      <c r="O110" s="160"/>
      <c r="P110" s="160"/>
      <c r="Q110" s="160"/>
      <c r="R110" s="160"/>
      <c r="S110" s="160"/>
      <c r="T110" s="160"/>
      <c r="U110" s="160"/>
      <c r="V110" s="68"/>
      <c r="W110" s="68"/>
      <c r="X110" s="68"/>
      <c r="Y110" s="68"/>
      <c r="Z110" s="68"/>
      <c r="AA110" s="68"/>
      <c r="AB110" s="68"/>
      <c r="AC110" s="68"/>
      <c r="AD110" s="68"/>
      <c r="AE110" s="68"/>
      <c r="AF110" s="68"/>
      <c r="AG110" s="68"/>
    </row>
    <row r="111" spans="1:33" ht="18.75" customHeight="1" x14ac:dyDescent="0.2">
      <c r="A111" s="72"/>
      <c r="B111" s="161" t="s">
        <v>53</v>
      </c>
      <c r="C111" s="161"/>
      <c r="D111" s="161"/>
      <c r="E111" s="161"/>
      <c r="F111" s="161"/>
      <c r="G111" s="161"/>
      <c r="H111" s="161"/>
      <c r="I111" s="161"/>
      <c r="J111" s="161"/>
      <c r="K111" s="161"/>
      <c r="L111" s="161"/>
      <c r="M111" s="161"/>
      <c r="N111" s="161"/>
      <c r="O111" s="161"/>
      <c r="P111" s="161"/>
      <c r="Q111" s="161"/>
      <c r="R111" s="161"/>
      <c r="S111" s="161"/>
      <c r="T111" s="161"/>
      <c r="U111" s="161"/>
      <c r="V111" s="67"/>
      <c r="W111" s="67"/>
      <c r="X111" s="67"/>
      <c r="Y111" s="67"/>
      <c r="Z111" s="67"/>
      <c r="AA111" s="67"/>
      <c r="AB111" s="67"/>
      <c r="AC111" s="67"/>
      <c r="AD111" s="67"/>
      <c r="AE111" s="67"/>
      <c r="AF111" s="67"/>
      <c r="AG111" s="67"/>
    </row>
    <row r="112" spans="1:33" ht="132" customHeight="1" x14ac:dyDescent="0.2">
      <c r="A112" s="72"/>
      <c r="B112" s="162"/>
      <c r="C112" s="162"/>
      <c r="D112" s="162"/>
      <c r="E112" s="162"/>
      <c r="F112" s="162"/>
      <c r="G112" s="162"/>
      <c r="H112" s="162"/>
      <c r="I112" s="162"/>
      <c r="J112" s="162"/>
      <c r="K112" s="162"/>
      <c r="L112" s="162"/>
      <c r="M112" s="162"/>
      <c r="N112" s="162"/>
      <c r="O112" s="162"/>
      <c r="P112" s="162"/>
      <c r="Q112" s="162"/>
      <c r="R112" s="162"/>
      <c r="S112" s="162"/>
      <c r="T112" s="162"/>
      <c r="U112" s="162"/>
      <c r="V112" s="69"/>
      <c r="W112" s="69"/>
      <c r="X112" s="69"/>
      <c r="Y112" s="69"/>
      <c r="Z112" s="69"/>
      <c r="AA112" s="69"/>
      <c r="AB112" s="69"/>
      <c r="AC112" s="69"/>
      <c r="AD112" s="69"/>
      <c r="AE112" s="69"/>
      <c r="AF112" s="69"/>
      <c r="AG112" s="69"/>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2"/>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topLeftCell="A4" zoomScale="130" zoomScaleNormal="100" zoomScaleSheetLayoutView="130" workbookViewId="0">
      <selection activeCell="B15" sqref="B15"/>
    </sheetView>
  </sheetViews>
  <sheetFormatPr defaultColWidth="9" defaultRowHeight="18.75" customHeight="1" x14ac:dyDescent="0.2"/>
  <cols>
    <col min="1" max="1" width="2.77734375" style="1" customWidth="1"/>
    <col min="2" max="2" width="20.77734375" style="1" customWidth="1"/>
    <col min="3" max="18" width="6.21875" style="1" customWidth="1"/>
    <col min="19" max="19" width="6.6640625" style="1" customWidth="1"/>
    <col min="20" max="16384" width="9" style="1"/>
  </cols>
  <sheetData>
    <row r="1" spans="1:21" ht="18" customHeight="1" x14ac:dyDescent="0.2">
      <c r="A1" s="73"/>
      <c r="B1" s="73"/>
      <c r="C1" s="73"/>
      <c r="D1" s="73"/>
      <c r="E1" s="73"/>
      <c r="F1" s="73"/>
      <c r="G1" s="73"/>
      <c r="H1" s="73"/>
      <c r="I1" s="73"/>
      <c r="J1" s="73"/>
      <c r="K1" s="73"/>
      <c r="L1" s="73"/>
      <c r="M1" s="73"/>
      <c r="N1" s="73"/>
      <c r="O1" s="73"/>
      <c r="P1" s="73"/>
      <c r="Q1" s="73"/>
      <c r="R1" s="73"/>
      <c r="S1" s="73" t="s">
        <v>97</v>
      </c>
    </row>
    <row r="2" spans="1:21" ht="18" customHeight="1" x14ac:dyDescent="0.2">
      <c r="A2" s="73"/>
      <c r="B2" s="73"/>
      <c r="C2" s="73"/>
      <c r="D2" s="73"/>
      <c r="E2" s="73"/>
      <c r="F2" s="73"/>
      <c r="G2" s="73"/>
      <c r="H2" s="73"/>
      <c r="I2" s="73"/>
      <c r="J2" s="73"/>
      <c r="K2" s="73"/>
      <c r="L2" s="73"/>
      <c r="M2" s="73"/>
      <c r="N2" s="73"/>
      <c r="O2" s="73"/>
      <c r="P2" s="73"/>
      <c r="Q2" s="176" t="str">
        <f>'様式１ー２　プログラムを構成する授業科目'!C2</f>
        <v>愛知医科大学</v>
      </c>
      <c r="R2" s="176"/>
      <c r="S2" s="176"/>
    </row>
    <row r="3" spans="1:21" ht="18" customHeight="1" x14ac:dyDescent="0.2">
      <c r="A3" s="94" t="s">
        <v>46</v>
      </c>
      <c r="B3" s="94"/>
      <c r="C3" s="94"/>
      <c r="D3" s="94"/>
      <c r="E3" s="94"/>
      <c r="F3" s="94"/>
      <c r="G3" s="94"/>
      <c r="H3" s="94"/>
      <c r="I3" s="94"/>
      <c r="J3" s="94"/>
      <c r="K3" s="94"/>
      <c r="L3" s="94"/>
      <c r="M3" s="94"/>
      <c r="N3" s="94"/>
      <c r="O3" s="94"/>
      <c r="P3" s="94"/>
      <c r="Q3" s="94"/>
      <c r="R3" s="94"/>
      <c r="S3" s="94"/>
    </row>
    <row r="4" spans="1:21" ht="7.5" customHeight="1" x14ac:dyDescent="0.2">
      <c r="A4" s="78"/>
      <c r="B4" s="78"/>
      <c r="C4" s="78"/>
      <c r="D4" s="78"/>
      <c r="E4" s="78"/>
      <c r="F4" s="78"/>
      <c r="G4" s="78"/>
      <c r="H4" s="78"/>
      <c r="I4" s="78"/>
      <c r="J4" s="78"/>
      <c r="K4" s="78"/>
      <c r="L4" s="78"/>
      <c r="M4" s="78"/>
      <c r="N4" s="78"/>
      <c r="O4" s="78"/>
      <c r="P4" s="78"/>
      <c r="Q4" s="78"/>
      <c r="R4" s="78"/>
      <c r="S4" s="78"/>
    </row>
    <row r="5" spans="1:21" ht="18" customHeight="1" x14ac:dyDescent="0.2">
      <c r="A5" s="73" t="s">
        <v>79</v>
      </c>
      <c r="B5" s="73"/>
      <c r="C5" s="177" t="s">
        <v>145</v>
      </c>
      <c r="D5" s="178"/>
      <c r="E5" s="78" t="s">
        <v>50</v>
      </c>
      <c r="F5" s="78"/>
      <c r="G5" s="78"/>
      <c r="H5" s="78"/>
      <c r="I5" s="78"/>
      <c r="J5" s="78"/>
      <c r="K5" s="78"/>
      <c r="L5" s="78"/>
      <c r="M5" s="78"/>
      <c r="N5" s="78"/>
      <c r="O5" s="78"/>
      <c r="P5" s="78"/>
      <c r="Q5" s="78"/>
      <c r="R5" s="76"/>
      <c r="S5" s="76"/>
    </row>
    <row r="6" spans="1:21" ht="7.2" customHeight="1" x14ac:dyDescent="0.2">
      <c r="A6" s="73"/>
      <c r="B6" s="73"/>
      <c r="C6" s="83"/>
      <c r="D6" s="83"/>
      <c r="E6" s="78"/>
      <c r="F6" s="78"/>
      <c r="G6" s="78"/>
      <c r="H6" s="78"/>
      <c r="I6" s="78"/>
      <c r="J6" s="78"/>
      <c r="K6" s="78"/>
      <c r="L6" s="78"/>
      <c r="M6" s="78"/>
      <c r="N6" s="78"/>
      <c r="O6" s="78"/>
      <c r="P6" s="78"/>
      <c r="Q6" s="78"/>
      <c r="R6" s="76"/>
      <c r="S6" s="76"/>
    </row>
    <row r="7" spans="1:21" ht="18" customHeight="1" x14ac:dyDescent="0.2">
      <c r="A7" s="73" t="s">
        <v>117</v>
      </c>
      <c r="B7" s="73"/>
      <c r="C7" s="83"/>
      <c r="D7" s="83"/>
      <c r="E7" s="78" t="s">
        <v>118</v>
      </c>
      <c r="F7" s="81">
        <v>448</v>
      </c>
      <c r="G7" s="79" t="s">
        <v>119</v>
      </c>
      <c r="H7" s="78" t="s">
        <v>120</v>
      </c>
      <c r="I7" s="81">
        <v>685</v>
      </c>
      <c r="J7" s="79" t="s">
        <v>119</v>
      </c>
      <c r="K7" s="74" t="s">
        <v>121</v>
      </c>
      <c r="L7" s="78" t="s">
        <v>122</v>
      </c>
      <c r="M7" s="81">
        <f>F7+I7</f>
        <v>1133</v>
      </c>
      <c r="N7" s="78" t="s">
        <v>1</v>
      </c>
      <c r="O7" s="79" t="s">
        <v>123</v>
      </c>
      <c r="P7" s="78"/>
      <c r="Q7" s="78"/>
      <c r="R7" s="76"/>
      <c r="S7" s="76"/>
    </row>
    <row r="8" spans="1:21" ht="6" customHeight="1" x14ac:dyDescent="0.2">
      <c r="A8" s="78"/>
      <c r="B8" s="78"/>
      <c r="C8" s="78"/>
      <c r="D8" s="78"/>
      <c r="E8" s="78"/>
      <c r="F8" s="78"/>
      <c r="G8" s="78"/>
      <c r="H8" s="78"/>
      <c r="I8" s="78"/>
      <c r="J8" s="78"/>
      <c r="K8" s="78"/>
      <c r="L8" s="78"/>
      <c r="M8" s="78"/>
      <c r="N8" s="78"/>
      <c r="O8" s="78"/>
      <c r="P8" s="78"/>
      <c r="Q8" s="78"/>
      <c r="R8" s="78"/>
      <c r="S8" s="78"/>
    </row>
    <row r="9" spans="1:21" ht="18" customHeight="1" x14ac:dyDescent="0.2">
      <c r="A9" s="73" t="s">
        <v>134</v>
      </c>
      <c r="B9" s="78"/>
      <c r="C9" s="78"/>
      <c r="D9" s="78"/>
      <c r="E9" s="78"/>
      <c r="F9" s="78"/>
      <c r="G9" s="78"/>
      <c r="H9" s="78"/>
      <c r="I9" s="78"/>
      <c r="J9" s="78"/>
      <c r="K9" s="78"/>
      <c r="L9" s="78"/>
      <c r="M9" s="78"/>
      <c r="N9" s="78"/>
      <c r="O9" s="78"/>
      <c r="P9" s="78"/>
      <c r="Q9" s="78"/>
      <c r="R9" s="78"/>
      <c r="S9" s="78"/>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9" t="s">
        <v>43</v>
      </c>
      <c r="C11" s="189" t="s">
        <v>82</v>
      </c>
      <c r="D11" s="181" t="s">
        <v>45</v>
      </c>
      <c r="E11" s="183" t="s">
        <v>38</v>
      </c>
      <c r="F11" s="175" t="s">
        <v>111</v>
      </c>
      <c r="G11" s="175"/>
      <c r="H11" s="175" t="s">
        <v>81</v>
      </c>
      <c r="I11" s="175"/>
      <c r="J11" s="175" t="s">
        <v>47</v>
      </c>
      <c r="K11" s="175"/>
      <c r="L11" s="175" t="s">
        <v>48</v>
      </c>
      <c r="M11" s="175"/>
      <c r="N11" s="175" t="s">
        <v>91</v>
      </c>
      <c r="O11" s="175"/>
      <c r="P11" s="175" t="s">
        <v>49</v>
      </c>
      <c r="Q11" s="175"/>
      <c r="R11" s="185" t="s">
        <v>34</v>
      </c>
      <c r="S11" s="187" t="s">
        <v>31</v>
      </c>
      <c r="U11" s="2"/>
    </row>
    <row r="12" spans="1:21" ht="16.95" customHeight="1" x14ac:dyDescent="0.2">
      <c r="B12" s="180"/>
      <c r="C12" s="190"/>
      <c r="D12" s="182"/>
      <c r="E12" s="184"/>
      <c r="F12" s="63" t="s">
        <v>90</v>
      </c>
      <c r="G12" s="63" t="s">
        <v>28</v>
      </c>
      <c r="H12" s="63" t="s">
        <v>90</v>
      </c>
      <c r="I12" s="63" t="s">
        <v>28</v>
      </c>
      <c r="J12" s="63" t="s">
        <v>90</v>
      </c>
      <c r="K12" s="63" t="s">
        <v>28</v>
      </c>
      <c r="L12" s="63" t="s">
        <v>90</v>
      </c>
      <c r="M12" s="63" t="s">
        <v>28</v>
      </c>
      <c r="N12" s="63" t="s">
        <v>90</v>
      </c>
      <c r="O12" s="63" t="s">
        <v>28</v>
      </c>
      <c r="P12" s="63" t="s">
        <v>90</v>
      </c>
      <c r="Q12" s="64" t="s">
        <v>28</v>
      </c>
      <c r="R12" s="186"/>
      <c r="S12" s="188"/>
      <c r="U12" s="2"/>
    </row>
    <row r="13" spans="1:21" ht="18" customHeight="1" x14ac:dyDescent="0.2">
      <c r="A13" s="6"/>
      <c r="B13" s="84" t="s">
        <v>208</v>
      </c>
      <c r="C13" s="51">
        <v>721</v>
      </c>
      <c r="D13" s="52">
        <v>115</v>
      </c>
      <c r="E13" s="53">
        <v>690</v>
      </c>
      <c r="F13" s="53">
        <v>116</v>
      </c>
      <c r="G13" s="53">
        <v>111</v>
      </c>
      <c r="H13" s="53"/>
      <c r="I13" s="53"/>
      <c r="J13" s="53"/>
      <c r="K13" s="53"/>
      <c r="L13" s="53"/>
      <c r="M13" s="53"/>
      <c r="N13" s="53"/>
      <c r="O13" s="53"/>
      <c r="P13" s="53"/>
      <c r="Q13" s="65"/>
      <c r="R13" s="52">
        <f t="shared" ref="R13:R32" si="0">F13+H13+J13+L13+N13+P13</f>
        <v>116</v>
      </c>
      <c r="S13" s="86">
        <f t="shared" ref="S13:S33" si="1">R13/E13</f>
        <v>0.1681159420289855</v>
      </c>
    </row>
    <row r="14" spans="1:21" ht="18" customHeight="1" x14ac:dyDescent="0.2">
      <c r="A14" s="6"/>
      <c r="B14" s="11" t="s">
        <v>209</v>
      </c>
      <c r="C14" s="54">
        <v>412</v>
      </c>
      <c r="D14" s="55">
        <v>100</v>
      </c>
      <c r="E14" s="56">
        <v>400</v>
      </c>
      <c r="F14" s="57">
        <v>103</v>
      </c>
      <c r="G14" s="57">
        <v>100</v>
      </c>
      <c r="H14" s="57"/>
      <c r="I14" s="57"/>
      <c r="J14" s="57"/>
      <c r="K14" s="57"/>
      <c r="L14" s="57"/>
      <c r="M14" s="57"/>
      <c r="N14" s="57"/>
      <c r="O14" s="57"/>
      <c r="P14" s="57"/>
      <c r="Q14" s="54"/>
      <c r="R14" s="55">
        <f t="shared" si="0"/>
        <v>103</v>
      </c>
      <c r="S14" s="8">
        <f t="shared" si="1"/>
        <v>0.25750000000000001</v>
      </c>
    </row>
    <row r="15" spans="1:21" ht="18" customHeight="1" x14ac:dyDescent="0.2">
      <c r="A15" s="6"/>
      <c r="B15" s="11"/>
      <c r="C15" s="54"/>
      <c r="D15" s="55"/>
      <c r="E15" s="56"/>
      <c r="F15" s="57"/>
      <c r="G15" s="57"/>
      <c r="H15" s="57"/>
      <c r="I15" s="57"/>
      <c r="J15" s="57"/>
      <c r="K15" s="57"/>
      <c r="L15" s="57"/>
      <c r="M15" s="57"/>
      <c r="N15" s="57"/>
      <c r="O15" s="57"/>
      <c r="P15" s="57"/>
      <c r="Q15" s="54"/>
      <c r="R15" s="55">
        <f t="shared" si="0"/>
        <v>0</v>
      </c>
      <c r="S15" s="8"/>
    </row>
    <row r="16" spans="1:21" ht="18" customHeight="1" x14ac:dyDescent="0.2">
      <c r="A16" s="6"/>
      <c r="B16" s="11"/>
      <c r="C16" s="54"/>
      <c r="D16" s="55"/>
      <c r="E16" s="56"/>
      <c r="F16" s="57"/>
      <c r="G16" s="57"/>
      <c r="H16" s="57"/>
      <c r="I16" s="57"/>
      <c r="J16" s="57"/>
      <c r="K16" s="57"/>
      <c r="L16" s="57"/>
      <c r="M16" s="57"/>
      <c r="N16" s="57"/>
      <c r="O16" s="57"/>
      <c r="P16" s="57"/>
      <c r="Q16" s="54"/>
      <c r="R16" s="55">
        <f t="shared" si="0"/>
        <v>0</v>
      </c>
      <c r="S16" s="8"/>
    </row>
    <row r="17" spans="1:19" ht="18" customHeight="1" x14ac:dyDescent="0.2">
      <c r="A17" s="6"/>
      <c r="B17" s="11"/>
      <c r="C17" s="54"/>
      <c r="D17" s="55"/>
      <c r="E17" s="56"/>
      <c r="F17" s="57"/>
      <c r="G17" s="57"/>
      <c r="H17" s="57"/>
      <c r="I17" s="57"/>
      <c r="J17" s="57"/>
      <c r="K17" s="57"/>
      <c r="L17" s="57"/>
      <c r="M17" s="57"/>
      <c r="N17" s="57"/>
      <c r="O17" s="57"/>
      <c r="P17" s="57"/>
      <c r="Q17" s="54"/>
      <c r="R17" s="55">
        <f t="shared" si="0"/>
        <v>0</v>
      </c>
      <c r="S17" s="8"/>
    </row>
    <row r="18" spans="1:19" ht="18" customHeight="1" x14ac:dyDescent="0.2">
      <c r="A18" s="6"/>
      <c r="B18" s="11"/>
      <c r="C18" s="54"/>
      <c r="D18" s="55"/>
      <c r="E18" s="56"/>
      <c r="F18" s="57"/>
      <c r="G18" s="57"/>
      <c r="H18" s="57"/>
      <c r="I18" s="57"/>
      <c r="J18" s="57"/>
      <c r="K18" s="57"/>
      <c r="L18" s="57"/>
      <c r="M18" s="57"/>
      <c r="N18" s="57"/>
      <c r="O18" s="57"/>
      <c r="P18" s="57"/>
      <c r="Q18" s="54"/>
      <c r="R18" s="55">
        <f t="shared" si="0"/>
        <v>0</v>
      </c>
      <c r="S18" s="8"/>
    </row>
    <row r="19" spans="1:19" ht="18" customHeight="1" x14ac:dyDescent="0.2">
      <c r="A19" s="6"/>
      <c r="B19" s="11"/>
      <c r="C19" s="54"/>
      <c r="D19" s="55"/>
      <c r="E19" s="56"/>
      <c r="F19" s="57"/>
      <c r="G19" s="57"/>
      <c r="H19" s="57"/>
      <c r="I19" s="57"/>
      <c r="J19" s="57"/>
      <c r="K19" s="57"/>
      <c r="L19" s="57"/>
      <c r="M19" s="57"/>
      <c r="N19" s="57"/>
      <c r="O19" s="57"/>
      <c r="P19" s="57"/>
      <c r="Q19" s="54"/>
      <c r="R19" s="55">
        <f t="shared" si="0"/>
        <v>0</v>
      </c>
      <c r="S19" s="8"/>
    </row>
    <row r="20" spans="1:19" ht="18" customHeight="1" x14ac:dyDescent="0.2">
      <c r="A20" s="6"/>
      <c r="B20" s="11"/>
      <c r="C20" s="54"/>
      <c r="D20" s="55"/>
      <c r="E20" s="56"/>
      <c r="F20" s="57"/>
      <c r="G20" s="57"/>
      <c r="H20" s="57"/>
      <c r="I20" s="57"/>
      <c r="J20" s="57"/>
      <c r="K20" s="57"/>
      <c r="L20" s="57"/>
      <c r="M20" s="57"/>
      <c r="N20" s="57"/>
      <c r="O20" s="57"/>
      <c r="P20" s="57"/>
      <c r="Q20" s="54"/>
      <c r="R20" s="55">
        <f t="shared" si="0"/>
        <v>0</v>
      </c>
      <c r="S20" s="8"/>
    </row>
    <row r="21" spans="1:19" ht="18" customHeight="1" x14ac:dyDescent="0.2">
      <c r="A21" s="6"/>
      <c r="B21" s="11"/>
      <c r="C21" s="54"/>
      <c r="D21" s="55"/>
      <c r="E21" s="56"/>
      <c r="F21" s="57"/>
      <c r="G21" s="57"/>
      <c r="H21" s="57"/>
      <c r="I21" s="57"/>
      <c r="J21" s="57"/>
      <c r="K21" s="57"/>
      <c r="L21" s="57"/>
      <c r="M21" s="57"/>
      <c r="N21" s="57"/>
      <c r="O21" s="57"/>
      <c r="P21" s="57"/>
      <c r="Q21" s="54"/>
      <c r="R21" s="55">
        <f t="shared" si="0"/>
        <v>0</v>
      </c>
      <c r="S21" s="8"/>
    </row>
    <row r="22" spans="1:19" ht="18" customHeight="1" x14ac:dyDescent="0.2">
      <c r="A22" s="6"/>
      <c r="B22" s="11"/>
      <c r="C22" s="54"/>
      <c r="D22" s="55"/>
      <c r="E22" s="56"/>
      <c r="F22" s="57"/>
      <c r="G22" s="57"/>
      <c r="H22" s="57"/>
      <c r="I22" s="57"/>
      <c r="J22" s="57"/>
      <c r="K22" s="57"/>
      <c r="L22" s="57"/>
      <c r="M22" s="57"/>
      <c r="N22" s="57"/>
      <c r="O22" s="57"/>
      <c r="P22" s="57"/>
      <c r="Q22" s="54"/>
      <c r="R22" s="55">
        <f t="shared" si="0"/>
        <v>0</v>
      </c>
      <c r="S22" s="8"/>
    </row>
    <row r="23" spans="1:19" ht="18" customHeight="1" x14ac:dyDescent="0.2">
      <c r="A23" s="6"/>
      <c r="B23" s="11"/>
      <c r="C23" s="54"/>
      <c r="D23" s="55"/>
      <c r="E23" s="56"/>
      <c r="F23" s="57"/>
      <c r="G23" s="57"/>
      <c r="H23" s="57"/>
      <c r="I23" s="57"/>
      <c r="J23" s="57"/>
      <c r="K23" s="57"/>
      <c r="L23" s="57"/>
      <c r="M23" s="57"/>
      <c r="N23" s="57"/>
      <c r="O23" s="57"/>
      <c r="P23" s="57"/>
      <c r="Q23" s="54"/>
      <c r="R23" s="55">
        <f t="shared" si="0"/>
        <v>0</v>
      </c>
      <c r="S23" s="8"/>
    </row>
    <row r="24" spans="1:19" ht="18" customHeight="1" x14ac:dyDescent="0.2">
      <c r="A24" s="6"/>
      <c r="B24" s="11"/>
      <c r="C24" s="54"/>
      <c r="D24" s="55"/>
      <c r="E24" s="56"/>
      <c r="F24" s="57"/>
      <c r="G24" s="57"/>
      <c r="H24" s="57"/>
      <c r="I24" s="57"/>
      <c r="J24" s="57"/>
      <c r="K24" s="57"/>
      <c r="L24" s="57"/>
      <c r="M24" s="57"/>
      <c r="N24" s="57"/>
      <c r="O24" s="57"/>
      <c r="P24" s="57"/>
      <c r="Q24" s="54"/>
      <c r="R24" s="55">
        <f t="shared" si="0"/>
        <v>0</v>
      </c>
      <c r="S24" s="8"/>
    </row>
    <row r="25" spans="1:19" ht="18" customHeight="1" x14ac:dyDescent="0.2">
      <c r="A25" s="6"/>
      <c r="B25" s="11"/>
      <c r="C25" s="54"/>
      <c r="D25" s="55"/>
      <c r="E25" s="56"/>
      <c r="F25" s="57"/>
      <c r="G25" s="57"/>
      <c r="H25" s="57"/>
      <c r="I25" s="57"/>
      <c r="J25" s="57"/>
      <c r="K25" s="57"/>
      <c r="L25" s="57"/>
      <c r="M25" s="57"/>
      <c r="N25" s="57"/>
      <c r="O25" s="57"/>
      <c r="P25" s="57"/>
      <c r="Q25" s="54"/>
      <c r="R25" s="55">
        <f t="shared" si="0"/>
        <v>0</v>
      </c>
      <c r="S25" s="8"/>
    </row>
    <row r="26" spans="1:19" ht="18" customHeight="1" x14ac:dyDescent="0.2">
      <c r="A26" s="6"/>
      <c r="B26" s="11"/>
      <c r="C26" s="54"/>
      <c r="D26" s="55"/>
      <c r="E26" s="56"/>
      <c r="F26" s="57"/>
      <c r="G26" s="57"/>
      <c r="H26" s="57"/>
      <c r="I26" s="57"/>
      <c r="J26" s="57"/>
      <c r="K26" s="57"/>
      <c r="L26" s="57"/>
      <c r="M26" s="57"/>
      <c r="N26" s="57"/>
      <c r="O26" s="57"/>
      <c r="P26" s="57"/>
      <c r="Q26" s="54"/>
      <c r="R26" s="55">
        <f t="shared" si="0"/>
        <v>0</v>
      </c>
      <c r="S26" s="8"/>
    </row>
    <row r="27" spans="1:19" ht="18" customHeight="1" x14ac:dyDescent="0.2">
      <c r="A27" s="6"/>
      <c r="B27" s="11"/>
      <c r="C27" s="54"/>
      <c r="D27" s="55"/>
      <c r="E27" s="56"/>
      <c r="F27" s="57"/>
      <c r="G27" s="57"/>
      <c r="H27" s="57"/>
      <c r="I27" s="57"/>
      <c r="J27" s="57"/>
      <c r="K27" s="57"/>
      <c r="L27" s="57"/>
      <c r="M27" s="57"/>
      <c r="N27" s="57"/>
      <c r="O27" s="57"/>
      <c r="P27" s="57"/>
      <c r="Q27" s="54"/>
      <c r="R27" s="55">
        <f t="shared" si="0"/>
        <v>0</v>
      </c>
      <c r="S27" s="8"/>
    </row>
    <row r="28" spans="1:19" ht="18" customHeight="1" x14ac:dyDescent="0.2">
      <c r="A28" s="6"/>
      <c r="B28" s="11"/>
      <c r="C28" s="54"/>
      <c r="D28" s="55"/>
      <c r="E28" s="56"/>
      <c r="F28" s="57"/>
      <c r="G28" s="57"/>
      <c r="H28" s="57"/>
      <c r="I28" s="57"/>
      <c r="J28" s="57"/>
      <c r="K28" s="57"/>
      <c r="L28" s="57"/>
      <c r="M28" s="57"/>
      <c r="N28" s="57"/>
      <c r="O28" s="57"/>
      <c r="P28" s="57"/>
      <c r="Q28" s="54"/>
      <c r="R28" s="55">
        <f t="shared" si="0"/>
        <v>0</v>
      </c>
      <c r="S28" s="8"/>
    </row>
    <row r="29" spans="1:19" ht="18" customHeight="1" x14ac:dyDescent="0.2">
      <c r="A29" s="6"/>
      <c r="B29" s="11"/>
      <c r="C29" s="54"/>
      <c r="D29" s="55"/>
      <c r="E29" s="56"/>
      <c r="F29" s="57"/>
      <c r="G29" s="57"/>
      <c r="H29" s="57"/>
      <c r="I29" s="57"/>
      <c r="J29" s="57"/>
      <c r="K29" s="57"/>
      <c r="L29" s="57"/>
      <c r="M29" s="57"/>
      <c r="N29" s="57"/>
      <c r="O29" s="57"/>
      <c r="P29" s="57"/>
      <c r="Q29" s="54"/>
      <c r="R29" s="55">
        <f t="shared" si="0"/>
        <v>0</v>
      </c>
      <c r="S29" s="8"/>
    </row>
    <row r="30" spans="1:19" ht="18" customHeight="1" x14ac:dyDescent="0.2">
      <c r="A30" s="6"/>
      <c r="B30" s="11"/>
      <c r="C30" s="54"/>
      <c r="D30" s="58"/>
      <c r="E30" s="56"/>
      <c r="F30" s="57"/>
      <c r="G30" s="57"/>
      <c r="H30" s="57"/>
      <c r="I30" s="57"/>
      <c r="J30" s="57"/>
      <c r="K30" s="57"/>
      <c r="L30" s="57"/>
      <c r="M30" s="57"/>
      <c r="N30" s="57"/>
      <c r="O30" s="57"/>
      <c r="P30" s="57"/>
      <c r="Q30" s="54"/>
      <c r="R30" s="58">
        <f t="shared" si="0"/>
        <v>0</v>
      </c>
      <c r="S30" s="8"/>
    </row>
    <row r="31" spans="1:19" ht="18" customHeight="1" x14ac:dyDescent="0.2">
      <c r="A31" s="6"/>
      <c r="B31" s="11"/>
      <c r="C31" s="54"/>
      <c r="D31" s="58"/>
      <c r="E31" s="56"/>
      <c r="F31" s="57"/>
      <c r="G31" s="57"/>
      <c r="H31" s="57"/>
      <c r="I31" s="57"/>
      <c r="J31" s="57"/>
      <c r="K31" s="57"/>
      <c r="L31" s="57"/>
      <c r="M31" s="57"/>
      <c r="N31" s="57"/>
      <c r="O31" s="57"/>
      <c r="P31" s="57"/>
      <c r="Q31" s="54"/>
      <c r="R31" s="58">
        <f t="shared" si="0"/>
        <v>0</v>
      </c>
      <c r="S31" s="8"/>
    </row>
    <row r="32" spans="1:19" ht="18" customHeight="1" thickBot="1" x14ac:dyDescent="0.25">
      <c r="A32" s="6"/>
      <c r="B32" s="12"/>
      <c r="C32" s="51"/>
      <c r="D32" s="59"/>
      <c r="E32" s="53"/>
      <c r="F32" s="53"/>
      <c r="G32" s="53"/>
      <c r="H32" s="53"/>
      <c r="I32" s="53"/>
      <c r="J32" s="53"/>
      <c r="K32" s="53"/>
      <c r="L32" s="53"/>
      <c r="M32" s="53"/>
      <c r="N32" s="53"/>
      <c r="O32" s="53"/>
      <c r="P32" s="53"/>
      <c r="Q32" s="54"/>
      <c r="R32" s="59">
        <f t="shared" si="0"/>
        <v>0</v>
      </c>
      <c r="S32" s="7"/>
    </row>
    <row r="33" spans="2:19" ht="18" customHeight="1" thickTop="1" x14ac:dyDescent="0.2">
      <c r="B33" s="13" t="s">
        <v>32</v>
      </c>
      <c r="C33" s="60">
        <f t="shared" ref="C33" si="2">SUM(C13:C32)</f>
        <v>1133</v>
      </c>
      <c r="D33" s="61">
        <f t="shared" ref="D33:R33" si="3">SUM(D13:D32)</f>
        <v>215</v>
      </c>
      <c r="E33" s="62">
        <f t="shared" si="3"/>
        <v>1090</v>
      </c>
      <c r="F33" s="62">
        <f t="shared" si="3"/>
        <v>219</v>
      </c>
      <c r="G33" s="62">
        <f t="shared" ref="G33:H33" si="4">SUM(G13:G32)</f>
        <v>211</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219</v>
      </c>
      <c r="S33" s="9">
        <f t="shared" si="1"/>
        <v>0.20091743119266056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2"/>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170" zoomScaleNormal="100" zoomScaleSheetLayoutView="170" workbookViewId="0">
      <selection activeCell="B52" sqref="B52:I63"/>
    </sheetView>
  </sheetViews>
  <sheetFormatPr defaultColWidth="11.33203125" defaultRowHeight="18.75" customHeight="1" x14ac:dyDescent="0.2"/>
  <cols>
    <col min="1" max="1" width="2.77734375" style="31" customWidth="1"/>
    <col min="2" max="2" width="16.6640625" style="1" customWidth="1"/>
    <col min="3" max="3" width="8.77734375" style="1" customWidth="1"/>
    <col min="4" max="4" width="2.21875" style="1" customWidth="1"/>
    <col min="5" max="5" width="16.6640625" style="1" customWidth="1"/>
    <col min="6" max="6" width="4.33203125" style="1" customWidth="1"/>
    <col min="7" max="7" width="9" style="1" customWidth="1"/>
    <col min="8" max="8" width="16.6640625" style="1" customWidth="1"/>
    <col min="9" max="9" width="12.21875" style="1" customWidth="1"/>
    <col min="10" max="16384" width="11.33203125" style="1"/>
  </cols>
  <sheetData>
    <row r="1" spans="1:9" ht="18.75" customHeight="1" x14ac:dyDescent="0.2">
      <c r="A1" s="31" t="s">
        <v>62</v>
      </c>
      <c r="I1" s="29" t="s">
        <v>96</v>
      </c>
    </row>
    <row r="2" spans="1:9" ht="18.75" customHeight="1" x14ac:dyDescent="0.2">
      <c r="G2" s="29" t="s">
        <v>98</v>
      </c>
      <c r="H2" s="120" t="str">
        <f>'様式１ー２　プログラムを構成する授業科目'!C2</f>
        <v>愛知医科大学</v>
      </c>
      <c r="I2" s="122"/>
    </row>
    <row r="3" spans="1:9" ht="18.75" customHeight="1" x14ac:dyDescent="0.2">
      <c r="G3" s="29"/>
      <c r="H3" s="10"/>
      <c r="I3" s="10"/>
    </row>
    <row r="4" spans="1:9" ht="18.75" customHeight="1" x14ac:dyDescent="0.2">
      <c r="A4" s="219" t="s">
        <v>35</v>
      </c>
      <c r="B4" s="219"/>
      <c r="C4" s="219"/>
      <c r="D4" s="219"/>
      <c r="E4" s="219"/>
      <c r="F4" s="219"/>
      <c r="G4" s="219"/>
      <c r="H4" s="219"/>
      <c r="I4" s="219"/>
    </row>
    <row r="5" spans="1:9" ht="13.2" customHeight="1" x14ac:dyDescent="0.2">
      <c r="B5" s="3"/>
      <c r="C5" s="3"/>
      <c r="D5" s="3"/>
      <c r="E5" s="3"/>
      <c r="F5" s="3"/>
      <c r="G5" s="3"/>
      <c r="H5" s="3"/>
      <c r="I5" s="3"/>
    </row>
    <row r="6" spans="1:9" ht="18" customHeight="1" x14ac:dyDescent="0.2">
      <c r="A6" s="1" t="s">
        <v>0</v>
      </c>
      <c r="B6" s="10" t="s">
        <v>85</v>
      </c>
      <c r="C6" s="241" t="s">
        <v>86</v>
      </c>
      <c r="D6" s="241"/>
      <c r="E6" s="28">
        <v>663</v>
      </c>
      <c r="F6" s="3" t="s">
        <v>1</v>
      </c>
      <c r="G6" s="3" t="s">
        <v>2</v>
      </c>
      <c r="H6" s="28">
        <v>342</v>
      </c>
      <c r="I6" s="10" t="s">
        <v>1</v>
      </c>
    </row>
    <row r="7" spans="1:9" ht="12" customHeight="1" x14ac:dyDescent="0.2">
      <c r="C7" s="2"/>
      <c r="D7" s="2"/>
      <c r="E7" s="2"/>
      <c r="F7" s="2"/>
      <c r="G7" s="2"/>
      <c r="H7" s="2"/>
      <c r="I7" s="32"/>
    </row>
    <row r="8" spans="1:9" ht="18" customHeight="1" x14ac:dyDescent="0.2">
      <c r="A8" s="1" t="s">
        <v>3</v>
      </c>
      <c r="B8" s="10" t="s">
        <v>87</v>
      </c>
      <c r="E8" s="3"/>
      <c r="F8" s="3"/>
      <c r="G8" s="3"/>
      <c r="H8" s="28">
        <v>5</v>
      </c>
      <c r="I8" s="10" t="s">
        <v>1</v>
      </c>
    </row>
    <row r="9" spans="1:9" ht="9" customHeight="1" x14ac:dyDescent="0.2">
      <c r="B9" s="3"/>
      <c r="C9" s="3"/>
      <c r="D9" s="3"/>
      <c r="E9" s="3"/>
      <c r="F9" s="3"/>
      <c r="G9" s="3"/>
      <c r="H9" s="3"/>
      <c r="I9" s="3"/>
    </row>
    <row r="10" spans="1:9" ht="18" customHeight="1" x14ac:dyDescent="0.2">
      <c r="A10" s="1" t="s">
        <v>4</v>
      </c>
      <c r="B10" s="10" t="s">
        <v>88</v>
      </c>
      <c r="C10" s="3"/>
      <c r="D10" s="3"/>
      <c r="E10" s="3"/>
      <c r="F10" s="3"/>
      <c r="G10" s="3"/>
      <c r="H10" s="3"/>
      <c r="I10" s="3"/>
    </row>
    <row r="11" spans="1:9" ht="18" customHeight="1" x14ac:dyDescent="0.2">
      <c r="B11" s="29" t="s">
        <v>41</v>
      </c>
      <c r="C11" s="234" t="s">
        <v>194</v>
      </c>
      <c r="D11" s="237"/>
      <c r="E11" s="238"/>
      <c r="F11" s="32"/>
      <c r="G11" s="29" t="s">
        <v>10</v>
      </c>
      <c r="H11" s="234" t="s">
        <v>195</v>
      </c>
      <c r="I11" s="238"/>
    </row>
    <row r="12" spans="1:9" ht="10.199999999999999" customHeight="1" x14ac:dyDescent="0.2">
      <c r="B12" s="29"/>
      <c r="C12" s="10"/>
      <c r="D12" s="32"/>
      <c r="E12" s="32"/>
      <c r="F12" s="32"/>
      <c r="G12" s="29"/>
      <c r="H12" s="10"/>
      <c r="I12" s="32"/>
    </row>
    <row r="13" spans="1:9" ht="18" customHeight="1" x14ac:dyDescent="0.2">
      <c r="A13" s="1" t="s">
        <v>7</v>
      </c>
      <c r="B13" s="10" t="s">
        <v>83</v>
      </c>
      <c r="C13" s="3"/>
      <c r="D13" s="3"/>
      <c r="E13" s="3"/>
      <c r="F13" s="3"/>
      <c r="G13" s="3"/>
      <c r="H13" s="3"/>
      <c r="I13" s="3"/>
    </row>
    <row r="14" spans="1:9" ht="18" customHeight="1" x14ac:dyDescent="0.2">
      <c r="B14" s="234" t="s">
        <v>146</v>
      </c>
      <c r="C14" s="235"/>
      <c r="D14" s="235"/>
      <c r="E14" s="235"/>
      <c r="F14" s="235"/>
      <c r="G14" s="235"/>
      <c r="H14" s="235"/>
      <c r="I14" s="236"/>
    </row>
    <row r="15" spans="1:9" ht="9" customHeight="1" x14ac:dyDescent="0.2">
      <c r="B15" s="3"/>
      <c r="C15" s="3"/>
      <c r="D15" s="3"/>
      <c r="E15" s="3"/>
      <c r="F15" s="3"/>
      <c r="G15" s="3"/>
      <c r="H15" s="3"/>
      <c r="I15" s="3"/>
    </row>
    <row r="16" spans="1:9" ht="18" customHeight="1" x14ac:dyDescent="0.2">
      <c r="B16" s="29" t="s">
        <v>41</v>
      </c>
      <c r="C16" s="234" t="s">
        <v>192</v>
      </c>
      <c r="D16" s="237"/>
      <c r="E16" s="238"/>
      <c r="F16" s="32"/>
      <c r="G16" s="29" t="s">
        <v>10</v>
      </c>
      <c r="H16" s="239" t="s">
        <v>197</v>
      </c>
      <c r="I16" s="240"/>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220" t="s">
        <v>147</v>
      </c>
      <c r="C19" s="221"/>
      <c r="D19" s="221"/>
      <c r="E19" s="221"/>
      <c r="F19" s="221"/>
      <c r="G19" s="221"/>
      <c r="H19" s="221"/>
      <c r="I19" s="222"/>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4"/>
      <c r="B22" s="223" t="s">
        <v>173</v>
      </c>
      <c r="C22" s="224"/>
      <c r="D22" s="224"/>
      <c r="E22" s="224"/>
      <c r="F22" s="224"/>
      <c r="G22" s="224"/>
      <c r="H22" s="224"/>
      <c r="I22" s="225"/>
    </row>
    <row r="23" spans="1:9" ht="18.75" customHeight="1" x14ac:dyDescent="0.2">
      <c r="A23" s="14"/>
      <c r="B23" s="226"/>
      <c r="C23" s="227"/>
      <c r="D23" s="227"/>
      <c r="E23" s="227"/>
      <c r="F23" s="227"/>
      <c r="G23" s="227"/>
      <c r="H23" s="227"/>
      <c r="I23" s="228"/>
    </row>
    <row r="24" spans="1:9" ht="18.75" customHeight="1" x14ac:dyDescent="0.2">
      <c r="A24" s="14"/>
      <c r="B24" s="226"/>
      <c r="C24" s="227"/>
      <c r="D24" s="227"/>
      <c r="E24" s="227"/>
      <c r="F24" s="227"/>
      <c r="G24" s="227"/>
      <c r="H24" s="227"/>
      <c r="I24" s="228"/>
    </row>
    <row r="25" spans="1:9" ht="18.75" customHeight="1" x14ac:dyDescent="0.2">
      <c r="A25" s="14"/>
      <c r="B25" s="226"/>
      <c r="C25" s="227"/>
      <c r="D25" s="227"/>
      <c r="E25" s="227"/>
      <c r="F25" s="227"/>
      <c r="G25" s="227"/>
      <c r="H25" s="227"/>
      <c r="I25" s="228"/>
    </row>
    <row r="26" spans="1:9" ht="18.75" customHeight="1" x14ac:dyDescent="0.2">
      <c r="A26" s="14"/>
      <c r="B26" s="226"/>
      <c r="C26" s="227"/>
      <c r="D26" s="227"/>
      <c r="E26" s="227"/>
      <c r="F26" s="227"/>
      <c r="G26" s="227"/>
      <c r="H26" s="227"/>
      <c r="I26" s="228"/>
    </row>
    <row r="27" spans="1:9" ht="18.75" customHeight="1" x14ac:dyDescent="0.2">
      <c r="A27" s="14"/>
      <c r="B27" s="226"/>
      <c r="C27" s="227"/>
      <c r="D27" s="227"/>
      <c r="E27" s="227"/>
      <c r="F27" s="227"/>
      <c r="G27" s="227"/>
      <c r="H27" s="227"/>
      <c r="I27" s="228"/>
    </row>
    <row r="28" spans="1:9" ht="18.75" customHeight="1" x14ac:dyDescent="0.2">
      <c r="A28" s="14"/>
      <c r="B28" s="226"/>
      <c r="C28" s="227"/>
      <c r="D28" s="227"/>
      <c r="E28" s="227"/>
      <c r="F28" s="227"/>
      <c r="G28" s="227"/>
      <c r="H28" s="227"/>
      <c r="I28" s="228"/>
    </row>
    <row r="29" spans="1:9" ht="18.75" customHeight="1" x14ac:dyDescent="0.2">
      <c r="A29" s="14"/>
      <c r="B29" s="226"/>
      <c r="C29" s="227"/>
      <c r="D29" s="227"/>
      <c r="E29" s="227"/>
      <c r="F29" s="227"/>
      <c r="G29" s="227"/>
      <c r="H29" s="227"/>
      <c r="I29" s="228"/>
    </row>
    <row r="30" spans="1:9" ht="18.75" customHeight="1" x14ac:dyDescent="0.2">
      <c r="A30" s="14"/>
      <c r="B30" s="229"/>
      <c r="C30" s="230"/>
      <c r="D30" s="230"/>
      <c r="E30" s="230"/>
      <c r="F30" s="230"/>
      <c r="G30" s="230"/>
      <c r="H30" s="230"/>
      <c r="I30" s="228"/>
    </row>
    <row r="31" spans="1:9" ht="18.75" customHeight="1" x14ac:dyDescent="0.2">
      <c r="A31" s="14"/>
      <c r="B31" s="229"/>
      <c r="C31" s="230"/>
      <c r="D31" s="230"/>
      <c r="E31" s="230"/>
      <c r="F31" s="230"/>
      <c r="G31" s="230"/>
      <c r="H31" s="230"/>
      <c r="I31" s="228"/>
    </row>
    <row r="32" spans="1:9" ht="18.75" customHeight="1" x14ac:dyDescent="0.2">
      <c r="A32" s="14"/>
      <c r="B32" s="231"/>
      <c r="C32" s="232"/>
      <c r="D32" s="232"/>
      <c r="E32" s="232"/>
      <c r="F32" s="232"/>
      <c r="G32" s="232"/>
      <c r="H32" s="232"/>
      <c r="I32" s="233"/>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23" t="s">
        <v>171</v>
      </c>
      <c r="C35" s="224"/>
      <c r="D35" s="224"/>
      <c r="E35" s="224"/>
      <c r="F35" s="224"/>
      <c r="G35" s="224"/>
      <c r="H35" s="224"/>
      <c r="I35" s="225"/>
    </row>
    <row r="36" spans="1:9" ht="18.75" customHeight="1" x14ac:dyDescent="0.2">
      <c r="A36" s="14"/>
      <c r="B36" s="229"/>
      <c r="C36" s="230"/>
      <c r="D36" s="230"/>
      <c r="E36" s="230"/>
      <c r="F36" s="230"/>
      <c r="G36" s="230"/>
      <c r="H36" s="230"/>
      <c r="I36" s="228"/>
    </row>
    <row r="37" spans="1:9" ht="18.75" customHeight="1" x14ac:dyDescent="0.2">
      <c r="A37" s="14"/>
      <c r="B37" s="229"/>
      <c r="C37" s="230"/>
      <c r="D37" s="230"/>
      <c r="E37" s="230"/>
      <c r="F37" s="230"/>
      <c r="G37" s="230"/>
      <c r="H37" s="230"/>
      <c r="I37" s="228"/>
    </row>
    <row r="38" spans="1:9" ht="18.75" customHeight="1" x14ac:dyDescent="0.2">
      <c r="A38" s="14"/>
      <c r="B38" s="229"/>
      <c r="C38" s="230"/>
      <c r="D38" s="230"/>
      <c r="E38" s="230"/>
      <c r="F38" s="230"/>
      <c r="G38" s="230"/>
      <c r="H38" s="230"/>
      <c r="I38" s="228"/>
    </row>
    <row r="39" spans="1:9" ht="18.75" customHeight="1" x14ac:dyDescent="0.2">
      <c r="A39" s="14"/>
      <c r="B39" s="229"/>
      <c r="C39" s="230"/>
      <c r="D39" s="230"/>
      <c r="E39" s="230"/>
      <c r="F39" s="230"/>
      <c r="G39" s="230"/>
      <c r="H39" s="230"/>
      <c r="I39" s="228"/>
    </row>
    <row r="40" spans="1:9" ht="18.75" customHeight="1" x14ac:dyDescent="0.2">
      <c r="A40" s="14"/>
      <c r="B40" s="229"/>
      <c r="C40" s="230"/>
      <c r="D40" s="230"/>
      <c r="E40" s="230"/>
      <c r="F40" s="230"/>
      <c r="G40" s="230"/>
      <c r="H40" s="230"/>
      <c r="I40" s="228"/>
    </row>
    <row r="41" spans="1:9" ht="18.75" customHeight="1" x14ac:dyDescent="0.2">
      <c r="A41" s="14"/>
      <c r="B41" s="229"/>
      <c r="C41" s="230"/>
      <c r="D41" s="230"/>
      <c r="E41" s="230"/>
      <c r="F41" s="230"/>
      <c r="G41" s="230"/>
      <c r="H41" s="230"/>
      <c r="I41" s="228"/>
    </row>
    <row r="42" spans="1:9" ht="18.75" customHeight="1" x14ac:dyDescent="0.2">
      <c r="A42" s="14"/>
      <c r="B42" s="229"/>
      <c r="C42" s="230"/>
      <c r="D42" s="230"/>
      <c r="E42" s="230"/>
      <c r="F42" s="230"/>
      <c r="G42" s="230"/>
      <c r="H42" s="230"/>
      <c r="I42" s="228"/>
    </row>
    <row r="43" spans="1:9" ht="18.75" customHeight="1" x14ac:dyDescent="0.2">
      <c r="A43" s="14"/>
      <c r="B43" s="229"/>
      <c r="C43" s="230"/>
      <c r="D43" s="230"/>
      <c r="E43" s="230"/>
      <c r="F43" s="230"/>
      <c r="G43" s="230"/>
      <c r="H43" s="230"/>
      <c r="I43" s="228"/>
    </row>
    <row r="44" spans="1:9" ht="18.75" customHeight="1" x14ac:dyDescent="0.2">
      <c r="A44" s="14"/>
      <c r="B44" s="229"/>
      <c r="C44" s="230"/>
      <c r="D44" s="230"/>
      <c r="E44" s="230"/>
      <c r="F44" s="230"/>
      <c r="G44" s="230"/>
      <c r="H44" s="230"/>
      <c r="I44" s="228"/>
    </row>
    <row r="45" spans="1:9" ht="18.75" customHeight="1" x14ac:dyDescent="0.2">
      <c r="A45" s="14"/>
      <c r="B45" s="229"/>
      <c r="C45" s="230"/>
      <c r="D45" s="230"/>
      <c r="E45" s="230"/>
      <c r="F45" s="230"/>
      <c r="G45" s="230"/>
      <c r="H45" s="230"/>
      <c r="I45" s="228"/>
    </row>
    <row r="46" spans="1:9" ht="18.75" customHeight="1" x14ac:dyDescent="0.2">
      <c r="A46" s="14"/>
      <c r="B46" s="231"/>
      <c r="C46" s="232"/>
      <c r="D46" s="232"/>
      <c r="E46" s="232"/>
      <c r="F46" s="232"/>
      <c r="G46" s="232"/>
      <c r="H46" s="232"/>
      <c r="I46" s="233"/>
    </row>
    <row r="47" spans="1:9" ht="7.5" customHeight="1" x14ac:dyDescent="0.2">
      <c r="A47" s="4"/>
      <c r="B47" s="4"/>
      <c r="C47" s="4"/>
      <c r="D47" s="4"/>
      <c r="E47" s="4"/>
      <c r="F47" s="4"/>
      <c r="G47" s="4"/>
      <c r="H47" s="4"/>
      <c r="I47" s="4"/>
    </row>
    <row r="48" spans="1:9" ht="18.75" customHeight="1" x14ac:dyDescent="0.2">
      <c r="A48" s="1" t="s">
        <v>30</v>
      </c>
      <c r="B48" s="1" t="s">
        <v>110</v>
      </c>
    </row>
    <row r="49" spans="1:15" s="3" customFormat="1" ht="18.75" customHeight="1" x14ac:dyDescent="0.2">
      <c r="B49" s="33" t="s">
        <v>127</v>
      </c>
      <c r="C49" s="208">
        <f>'様式２ 履修者等数の実績'!S33</f>
        <v>0.20091743119266056</v>
      </c>
      <c r="D49" s="208"/>
      <c r="E49" s="33" t="s">
        <v>63</v>
      </c>
      <c r="F49" s="208">
        <v>0.4</v>
      </c>
      <c r="G49" s="208"/>
      <c r="H49" s="33" t="s">
        <v>64</v>
      </c>
      <c r="I49" s="34">
        <v>0.6</v>
      </c>
      <c r="J49" s="1"/>
      <c r="M49" s="1"/>
      <c r="N49" s="35"/>
    </row>
    <row r="50" spans="1:15" s="3" customFormat="1" ht="18.75" customHeight="1" x14ac:dyDescent="0.2">
      <c r="B50" s="36" t="s">
        <v>84</v>
      </c>
      <c r="C50" s="191">
        <v>0.8</v>
      </c>
      <c r="D50" s="191"/>
      <c r="E50" s="36" t="s">
        <v>128</v>
      </c>
      <c r="F50" s="191">
        <v>0.9</v>
      </c>
      <c r="G50" s="191"/>
      <c r="H50" s="36" t="s">
        <v>65</v>
      </c>
      <c r="I50" s="37">
        <f>'様式２ 履修者等数の実績'!E33</f>
        <v>1090</v>
      </c>
      <c r="J50" s="1"/>
      <c r="M50" s="1"/>
      <c r="N50" s="35"/>
    </row>
    <row r="51" spans="1:15" ht="18.75" customHeight="1" x14ac:dyDescent="0.2">
      <c r="A51" s="1"/>
      <c r="B51" s="243" t="s">
        <v>66</v>
      </c>
      <c r="C51" s="244"/>
      <c r="D51" s="244"/>
      <c r="E51" s="244"/>
      <c r="F51" s="244"/>
      <c r="G51" s="244"/>
      <c r="H51" s="244"/>
      <c r="I51" s="245"/>
      <c r="N51" s="35"/>
      <c r="O51" s="3"/>
    </row>
    <row r="52" spans="1:15" ht="18.75" customHeight="1" x14ac:dyDescent="0.2">
      <c r="A52" s="1"/>
      <c r="B52" s="209" t="s">
        <v>203</v>
      </c>
      <c r="C52" s="210"/>
      <c r="D52" s="210"/>
      <c r="E52" s="210"/>
      <c r="F52" s="210"/>
      <c r="G52" s="210"/>
      <c r="H52" s="210"/>
      <c r="I52" s="211"/>
      <c r="N52" s="35"/>
      <c r="O52" s="3"/>
    </row>
    <row r="53" spans="1:15" ht="18.75" customHeight="1" x14ac:dyDescent="0.2">
      <c r="A53" s="1"/>
      <c r="B53" s="212"/>
      <c r="C53" s="213"/>
      <c r="D53" s="213"/>
      <c r="E53" s="213"/>
      <c r="F53" s="213"/>
      <c r="G53" s="213"/>
      <c r="H53" s="213"/>
      <c r="I53" s="214"/>
      <c r="N53" s="35"/>
      <c r="O53" s="3"/>
    </row>
    <row r="54" spans="1:15" ht="18.75" customHeight="1" x14ac:dyDescent="0.2">
      <c r="A54" s="1"/>
      <c r="B54" s="212"/>
      <c r="C54" s="213"/>
      <c r="D54" s="213"/>
      <c r="E54" s="213"/>
      <c r="F54" s="213"/>
      <c r="G54" s="213"/>
      <c r="H54" s="213"/>
      <c r="I54" s="214"/>
    </row>
    <row r="55" spans="1:15" ht="18.75" customHeight="1" x14ac:dyDescent="0.2">
      <c r="A55" s="1"/>
      <c r="B55" s="212"/>
      <c r="C55" s="213"/>
      <c r="D55" s="213"/>
      <c r="E55" s="213"/>
      <c r="F55" s="213"/>
      <c r="G55" s="213"/>
      <c r="H55" s="213"/>
      <c r="I55" s="214"/>
    </row>
    <row r="56" spans="1:15" ht="18.75" customHeight="1" x14ac:dyDescent="0.2">
      <c r="A56" s="1"/>
      <c r="B56" s="212"/>
      <c r="C56" s="213"/>
      <c r="D56" s="213"/>
      <c r="E56" s="213"/>
      <c r="F56" s="213"/>
      <c r="G56" s="213"/>
      <c r="H56" s="213"/>
      <c r="I56" s="214"/>
    </row>
    <row r="57" spans="1:15" ht="18.75" customHeight="1" x14ac:dyDescent="0.2">
      <c r="A57" s="1"/>
      <c r="B57" s="212"/>
      <c r="C57" s="213"/>
      <c r="D57" s="213"/>
      <c r="E57" s="213"/>
      <c r="F57" s="213"/>
      <c r="G57" s="213"/>
      <c r="H57" s="213"/>
      <c r="I57" s="214"/>
    </row>
    <row r="58" spans="1:15" ht="18.75" customHeight="1" x14ac:dyDescent="0.2">
      <c r="A58" s="1"/>
      <c r="B58" s="212"/>
      <c r="C58" s="213"/>
      <c r="D58" s="213"/>
      <c r="E58" s="213"/>
      <c r="F58" s="213"/>
      <c r="G58" s="213"/>
      <c r="H58" s="213"/>
      <c r="I58" s="214"/>
    </row>
    <row r="59" spans="1:15" ht="18.75" customHeight="1" x14ac:dyDescent="0.2">
      <c r="A59" s="1"/>
      <c r="B59" s="212"/>
      <c r="C59" s="213"/>
      <c r="D59" s="213"/>
      <c r="E59" s="213"/>
      <c r="F59" s="213"/>
      <c r="G59" s="213"/>
      <c r="H59" s="213"/>
      <c r="I59" s="214"/>
    </row>
    <row r="60" spans="1:15" ht="18.75" customHeight="1" x14ac:dyDescent="0.2">
      <c r="A60" s="1"/>
      <c r="B60" s="212"/>
      <c r="C60" s="213"/>
      <c r="D60" s="213"/>
      <c r="E60" s="213"/>
      <c r="F60" s="213"/>
      <c r="G60" s="213"/>
      <c r="H60" s="213"/>
      <c r="I60" s="214"/>
    </row>
    <row r="61" spans="1:15" ht="18.75" customHeight="1" x14ac:dyDescent="0.2">
      <c r="A61" s="1"/>
      <c r="B61" s="212"/>
      <c r="C61" s="213"/>
      <c r="D61" s="213"/>
      <c r="E61" s="213"/>
      <c r="F61" s="213"/>
      <c r="G61" s="213"/>
      <c r="H61" s="213"/>
      <c r="I61" s="214"/>
    </row>
    <row r="62" spans="1:15" ht="18.75" customHeight="1" x14ac:dyDescent="0.2">
      <c r="A62" s="1"/>
      <c r="B62" s="212"/>
      <c r="C62" s="213"/>
      <c r="D62" s="213"/>
      <c r="E62" s="213"/>
      <c r="F62" s="213"/>
      <c r="G62" s="213"/>
      <c r="H62" s="213"/>
      <c r="I62" s="214"/>
    </row>
    <row r="63" spans="1:15" ht="18.75" customHeight="1" x14ac:dyDescent="0.2">
      <c r="A63" s="1"/>
      <c r="B63" s="215"/>
      <c r="C63" s="216"/>
      <c r="D63" s="216"/>
      <c r="E63" s="216"/>
      <c r="F63" s="216"/>
      <c r="G63" s="216"/>
      <c r="H63" s="216"/>
      <c r="I63" s="217"/>
    </row>
    <row r="64" spans="1:15" ht="7.5" customHeight="1" x14ac:dyDescent="0.2">
      <c r="A64" s="14"/>
      <c r="B64" s="14"/>
      <c r="C64" s="14"/>
      <c r="D64" s="14"/>
      <c r="E64" s="14"/>
      <c r="F64" s="14"/>
      <c r="G64" s="14"/>
      <c r="H64" s="14"/>
      <c r="I64" s="14"/>
    </row>
    <row r="65" spans="1:9" ht="18.75" customHeight="1" x14ac:dyDescent="0.2">
      <c r="A65" s="15" t="s">
        <v>33</v>
      </c>
      <c r="B65" s="1" t="s">
        <v>36</v>
      </c>
      <c r="I65" s="15"/>
    </row>
    <row r="66" spans="1:9" ht="18.75" customHeight="1" x14ac:dyDescent="0.2">
      <c r="A66" s="4"/>
      <c r="B66" s="192" t="s">
        <v>174</v>
      </c>
      <c r="C66" s="193"/>
      <c r="D66" s="193"/>
      <c r="E66" s="193"/>
      <c r="F66" s="193"/>
      <c r="G66" s="193"/>
      <c r="H66" s="193"/>
      <c r="I66" s="194"/>
    </row>
    <row r="67" spans="1:9" ht="18.75" customHeight="1" x14ac:dyDescent="0.2">
      <c r="A67" s="4"/>
      <c r="B67" s="195"/>
      <c r="C67" s="196"/>
      <c r="D67" s="196"/>
      <c r="E67" s="196"/>
      <c r="F67" s="196"/>
      <c r="G67" s="196"/>
      <c r="H67" s="196"/>
      <c r="I67" s="197"/>
    </row>
    <row r="68" spans="1:9" ht="18.75" customHeight="1" x14ac:dyDescent="0.2">
      <c r="A68" s="4"/>
      <c r="B68" s="195"/>
      <c r="C68" s="196"/>
      <c r="D68" s="196"/>
      <c r="E68" s="196"/>
      <c r="F68" s="196"/>
      <c r="G68" s="196"/>
      <c r="H68" s="196"/>
      <c r="I68" s="197"/>
    </row>
    <row r="69" spans="1:9" ht="18.75" customHeight="1" x14ac:dyDescent="0.2">
      <c r="A69" s="4"/>
      <c r="B69" s="195"/>
      <c r="C69" s="196"/>
      <c r="D69" s="196"/>
      <c r="E69" s="196"/>
      <c r="F69" s="196"/>
      <c r="G69" s="196"/>
      <c r="H69" s="196"/>
      <c r="I69" s="197"/>
    </row>
    <row r="70" spans="1:9" ht="18.75" customHeight="1" x14ac:dyDescent="0.2">
      <c r="A70" s="4"/>
      <c r="B70" s="195"/>
      <c r="C70" s="196"/>
      <c r="D70" s="196"/>
      <c r="E70" s="196"/>
      <c r="F70" s="196"/>
      <c r="G70" s="196"/>
      <c r="H70" s="196"/>
      <c r="I70" s="197"/>
    </row>
    <row r="71" spans="1:9" ht="18.75" customHeight="1" x14ac:dyDescent="0.2">
      <c r="A71" s="4"/>
      <c r="B71" s="195"/>
      <c r="C71" s="196"/>
      <c r="D71" s="196"/>
      <c r="E71" s="196"/>
      <c r="F71" s="196"/>
      <c r="G71" s="196"/>
      <c r="H71" s="196"/>
      <c r="I71" s="197"/>
    </row>
    <row r="72" spans="1:9" ht="18.75" customHeight="1" x14ac:dyDescent="0.2">
      <c r="A72" s="4"/>
      <c r="B72" s="195"/>
      <c r="C72" s="196"/>
      <c r="D72" s="196"/>
      <c r="E72" s="196"/>
      <c r="F72" s="196"/>
      <c r="G72" s="196"/>
      <c r="H72" s="196"/>
      <c r="I72" s="197"/>
    </row>
    <row r="73" spans="1:9" ht="18.75" customHeight="1" x14ac:dyDescent="0.2">
      <c r="A73" s="4"/>
      <c r="B73" s="195"/>
      <c r="C73" s="196"/>
      <c r="D73" s="196"/>
      <c r="E73" s="196"/>
      <c r="F73" s="196"/>
      <c r="G73" s="196"/>
      <c r="H73" s="196"/>
      <c r="I73" s="197"/>
    </row>
    <row r="74" spans="1:9" ht="18.75" customHeight="1" x14ac:dyDescent="0.2">
      <c r="A74" s="4"/>
      <c r="B74" s="195"/>
      <c r="C74" s="196"/>
      <c r="D74" s="196"/>
      <c r="E74" s="196"/>
      <c r="F74" s="196"/>
      <c r="G74" s="196"/>
      <c r="H74" s="196"/>
      <c r="I74" s="197"/>
    </row>
    <row r="75" spans="1:9" ht="18.75" customHeight="1" x14ac:dyDescent="0.2">
      <c r="A75" s="4"/>
      <c r="B75" s="195"/>
      <c r="C75" s="196"/>
      <c r="D75" s="196"/>
      <c r="E75" s="196"/>
      <c r="F75" s="196"/>
      <c r="G75" s="196"/>
      <c r="H75" s="196"/>
      <c r="I75" s="197"/>
    </row>
    <row r="76" spans="1:9" ht="18.75" customHeight="1" x14ac:dyDescent="0.2">
      <c r="A76" s="4"/>
      <c r="B76" s="195"/>
      <c r="C76" s="196"/>
      <c r="D76" s="196"/>
      <c r="E76" s="196"/>
      <c r="F76" s="196"/>
      <c r="G76" s="196"/>
      <c r="H76" s="196"/>
      <c r="I76" s="197"/>
    </row>
    <row r="77" spans="1:9" ht="18.75" customHeight="1" x14ac:dyDescent="0.2">
      <c r="A77" s="4"/>
      <c r="B77" s="198"/>
      <c r="C77" s="199"/>
      <c r="D77" s="199"/>
      <c r="E77" s="199"/>
      <c r="F77" s="199"/>
      <c r="G77" s="199"/>
      <c r="H77" s="199"/>
      <c r="I77" s="200"/>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192" t="s">
        <v>175</v>
      </c>
      <c r="C80" s="193"/>
      <c r="D80" s="193"/>
      <c r="E80" s="193"/>
      <c r="F80" s="193"/>
      <c r="G80" s="193"/>
      <c r="H80" s="193"/>
      <c r="I80" s="201"/>
    </row>
    <row r="81" spans="1:9" ht="18.75" customHeight="1" x14ac:dyDescent="0.2">
      <c r="A81" s="1"/>
      <c r="B81" s="202"/>
      <c r="C81" s="203"/>
      <c r="D81" s="203"/>
      <c r="E81" s="203"/>
      <c r="F81" s="203"/>
      <c r="G81" s="203"/>
      <c r="H81" s="203"/>
      <c r="I81" s="204"/>
    </row>
    <row r="82" spans="1:9" ht="18.75" customHeight="1" x14ac:dyDescent="0.2">
      <c r="A82" s="1"/>
      <c r="B82" s="202"/>
      <c r="C82" s="203"/>
      <c r="D82" s="203"/>
      <c r="E82" s="203"/>
      <c r="F82" s="203"/>
      <c r="G82" s="203"/>
      <c r="H82" s="203"/>
      <c r="I82" s="204"/>
    </row>
    <row r="83" spans="1:9" ht="18.75" customHeight="1" x14ac:dyDescent="0.2">
      <c r="A83" s="1"/>
      <c r="B83" s="202"/>
      <c r="C83" s="203"/>
      <c r="D83" s="203"/>
      <c r="E83" s="203"/>
      <c r="F83" s="203"/>
      <c r="G83" s="203"/>
      <c r="H83" s="203"/>
      <c r="I83" s="204"/>
    </row>
    <row r="84" spans="1:9" ht="18.75" customHeight="1" x14ac:dyDescent="0.2">
      <c r="A84" s="1"/>
      <c r="B84" s="202"/>
      <c r="C84" s="203"/>
      <c r="D84" s="203"/>
      <c r="E84" s="203"/>
      <c r="F84" s="203"/>
      <c r="G84" s="203"/>
      <c r="H84" s="203"/>
      <c r="I84" s="204"/>
    </row>
    <row r="85" spans="1:9" ht="18.75" customHeight="1" x14ac:dyDescent="0.2">
      <c r="A85" s="1"/>
      <c r="B85" s="202"/>
      <c r="C85" s="203"/>
      <c r="D85" s="203"/>
      <c r="E85" s="203"/>
      <c r="F85" s="203"/>
      <c r="G85" s="203"/>
      <c r="H85" s="203"/>
      <c r="I85" s="204"/>
    </row>
    <row r="86" spans="1:9" ht="18.75" customHeight="1" x14ac:dyDescent="0.2">
      <c r="A86" s="1"/>
      <c r="B86" s="202"/>
      <c r="C86" s="203"/>
      <c r="D86" s="203"/>
      <c r="E86" s="203"/>
      <c r="F86" s="203"/>
      <c r="G86" s="203"/>
      <c r="H86" s="203"/>
      <c r="I86" s="204"/>
    </row>
    <row r="87" spans="1:9" ht="18.75" customHeight="1" x14ac:dyDescent="0.2">
      <c r="A87" s="1"/>
      <c r="B87" s="202"/>
      <c r="C87" s="203"/>
      <c r="D87" s="203"/>
      <c r="E87" s="203"/>
      <c r="F87" s="203"/>
      <c r="G87" s="203"/>
      <c r="H87" s="203"/>
      <c r="I87" s="204"/>
    </row>
    <row r="88" spans="1:9" ht="18.75" customHeight="1" x14ac:dyDescent="0.2">
      <c r="A88" s="1"/>
      <c r="B88" s="202"/>
      <c r="C88" s="203"/>
      <c r="D88" s="203"/>
      <c r="E88" s="203"/>
      <c r="F88" s="203"/>
      <c r="G88" s="203"/>
      <c r="H88" s="203"/>
      <c r="I88" s="204"/>
    </row>
    <row r="89" spans="1:9" ht="18.75" customHeight="1" x14ac:dyDescent="0.2">
      <c r="A89" s="1"/>
      <c r="B89" s="202"/>
      <c r="C89" s="203"/>
      <c r="D89" s="203"/>
      <c r="E89" s="203"/>
      <c r="F89" s="203"/>
      <c r="G89" s="203"/>
      <c r="H89" s="203"/>
      <c r="I89" s="204"/>
    </row>
    <row r="90" spans="1:9" ht="18.75" customHeight="1" x14ac:dyDescent="0.2">
      <c r="A90" s="4"/>
      <c r="B90" s="202"/>
      <c r="C90" s="203"/>
      <c r="D90" s="203"/>
      <c r="E90" s="203"/>
      <c r="F90" s="203"/>
      <c r="G90" s="203"/>
      <c r="H90" s="203"/>
      <c r="I90" s="204"/>
    </row>
    <row r="91" spans="1:9" ht="18.75" customHeight="1" x14ac:dyDescent="0.2">
      <c r="A91" s="4"/>
      <c r="B91" s="205"/>
      <c r="C91" s="206"/>
      <c r="D91" s="206"/>
      <c r="E91" s="206"/>
      <c r="F91" s="206"/>
      <c r="G91" s="206"/>
      <c r="H91" s="206"/>
      <c r="I91" s="207"/>
    </row>
    <row r="92" spans="1:9" ht="7.5" customHeight="1" x14ac:dyDescent="0.2">
      <c r="A92" s="4"/>
      <c r="B92" s="4"/>
      <c r="C92" s="4"/>
      <c r="D92" s="4"/>
      <c r="E92" s="4"/>
      <c r="F92" s="4"/>
      <c r="G92" s="4"/>
      <c r="H92" s="4"/>
      <c r="I92" s="4"/>
    </row>
    <row r="93" spans="1:9" ht="18.75" customHeight="1" x14ac:dyDescent="0.2">
      <c r="A93" s="1" t="s">
        <v>42</v>
      </c>
      <c r="B93" s="1" t="s">
        <v>12</v>
      </c>
    </row>
    <row r="94" spans="1:9" ht="18.75" customHeight="1" x14ac:dyDescent="0.2">
      <c r="A94" s="1"/>
      <c r="B94" s="223" t="s">
        <v>196</v>
      </c>
      <c r="C94" s="224"/>
      <c r="D94" s="224"/>
      <c r="E94" s="224"/>
      <c r="F94" s="224"/>
      <c r="G94" s="224"/>
      <c r="H94" s="224"/>
      <c r="I94" s="225"/>
    </row>
    <row r="95" spans="1:9" ht="18.75" customHeight="1" x14ac:dyDescent="0.2">
      <c r="A95" s="1"/>
      <c r="B95" s="229"/>
      <c r="C95" s="230"/>
      <c r="D95" s="230"/>
      <c r="E95" s="230"/>
      <c r="F95" s="230"/>
      <c r="G95" s="230"/>
      <c r="H95" s="230"/>
      <c r="I95" s="228"/>
    </row>
    <row r="96" spans="1:9" ht="18.75" customHeight="1" x14ac:dyDescent="0.2">
      <c r="A96" s="1"/>
      <c r="B96" s="229"/>
      <c r="C96" s="230"/>
      <c r="D96" s="230"/>
      <c r="E96" s="230"/>
      <c r="F96" s="230"/>
      <c r="G96" s="230"/>
      <c r="H96" s="230"/>
      <c r="I96" s="228"/>
    </row>
    <row r="97" spans="1:9" ht="18.75" customHeight="1" x14ac:dyDescent="0.2">
      <c r="A97" s="1"/>
      <c r="B97" s="229"/>
      <c r="C97" s="230"/>
      <c r="D97" s="230"/>
      <c r="E97" s="230"/>
      <c r="F97" s="230"/>
      <c r="G97" s="230"/>
      <c r="H97" s="230"/>
      <c r="I97" s="228"/>
    </row>
    <row r="98" spans="1:9" ht="18.75" customHeight="1" x14ac:dyDescent="0.2">
      <c r="A98" s="1"/>
      <c r="B98" s="229"/>
      <c r="C98" s="230"/>
      <c r="D98" s="230"/>
      <c r="E98" s="230"/>
      <c r="F98" s="230"/>
      <c r="G98" s="230"/>
      <c r="H98" s="230"/>
      <c r="I98" s="228"/>
    </row>
    <row r="99" spans="1:9" ht="18.75" customHeight="1" x14ac:dyDescent="0.2">
      <c r="A99" s="1"/>
      <c r="B99" s="229"/>
      <c r="C99" s="230"/>
      <c r="D99" s="230"/>
      <c r="E99" s="230"/>
      <c r="F99" s="230"/>
      <c r="G99" s="230"/>
      <c r="H99" s="230"/>
      <c r="I99" s="228"/>
    </row>
    <row r="100" spans="1:9" ht="18.75" customHeight="1" x14ac:dyDescent="0.2">
      <c r="A100" s="1"/>
      <c r="B100" s="229"/>
      <c r="C100" s="230"/>
      <c r="D100" s="230"/>
      <c r="E100" s="230"/>
      <c r="F100" s="230"/>
      <c r="G100" s="230"/>
      <c r="H100" s="230"/>
      <c r="I100" s="228"/>
    </row>
    <row r="101" spans="1:9" ht="18.75" customHeight="1" x14ac:dyDescent="0.2">
      <c r="A101" s="1"/>
      <c r="B101" s="229"/>
      <c r="C101" s="230"/>
      <c r="D101" s="230"/>
      <c r="E101" s="230"/>
      <c r="F101" s="230"/>
      <c r="G101" s="230"/>
      <c r="H101" s="230"/>
      <c r="I101" s="228"/>
    </row>
    <row r="102" spans="1:9" ht="18.75" customHeight="1" x14ac:dyDescent="0.2">
      <c r="A102" s="1"/>
      <c r="B102" s="229"/>
      <c r="C102" s="230"/>
      <c r="D102" s="230"/>
      <c r="E102" s="230"/>
      <c r="F102" s="230"/>
      <c r="G102" s="230"/>
      <c r="H102" s="230"/>
      <c r="I102" s="228"/>
    </row>
    <row r="103" spans="1:9" ht="18.75" customHeight="1" x14ac:dyDescent="0.2">
      <c r="A103" s="1"/>
      <c r="B103" s="229"/>
      <c r="C103" s="230"/>
      <c r="D103" s="230"/>
      <c r="E103" s="230"/>
      <c r="F103" s="230"/>
      <c r="G103" s="230"/>
      <c r="H103" s="230"/>
      <c r="I103" s="228"/>
    </row>
    <row r="104" spans="1:9" ht="18.75" customHeight="1" x14ac:dyDescent="0.2">
      <c r="A104" s="1"/>
      <c r="B104" s="229"/>
      <c r="C104" s="230"/>
      <c r="D104" s="230"/>
      <c r="E104" s="230"/>
      <c r="F104" s="230"/>
      <c r="G104" s="230"/>
      <c r="H104" s="230"/>
      <c r="I104" s="228"/>
    </row>
    <row r="105" spans="1:9" ht="18.75" customHeight="1" x14ac:dyDescent="0.2">
      <c r="A105" s="4"/>
      <c r="B105" s="231"/>
      <c r="C105" s="232"/>
      <c r="D105" s="232"/>
      <c r="E105" s="232"/>
      <c r="F105" s="232"/>
      <c r="G105" s="232"/>
      <c r="H105" s="232"/>
      <c r="I105" s="233"/>
    </row>
    <row r="106" spans="1:9" ht="7.5" customHeight="1" x14ac:dyDescent="0.2">
      <c r="A106" s="4"/>
      <c r="B106" s="4"/>
      <c r="C106" s="4"/>
      <c r="D106" s="4"/>
      <c r="E106" s="4"/>
      <c r="F106" s="4"/>
      <c r="G106" s="4"/>
      <c r="H106" s="4"/>
      <c r="I106" s="4"/>
    </row>
    <row r="107" spans="1:9" ht="18.75" customHeight="1" x14ac:dyDescent="0.2">
      <c r="A107" s="1" t="s">
        <v>29</v>
      </c>
      <c r="B107" s="242" t="s">
        <v>44</v>
      </c>
      <c r="C107" s="242"/>
      <c r="D107" s="242"/>
      <c r="E107" s="242"/>
      <c r="F107" s="242"/>
      <c r="G107" s="242"/>
      <c r="H107" s="242"/>
      <c r="I107" s="242"/>
    </row>
    <row r="108" spans="1:9" ht="18.75" customHeight="1" x14ac:dyDescent="0.2">
      <c r="A108" s="4"/>
      <c r="B108" s="223" t="s">
        <v>172</v>
      </c>
      <c r="C108" s="224"/>
      <c r="D108" s="224"/>
      <c r="E108" s="224"/>
      <c r="F108" s="224"/>
      <c r="G108" s="224"/>
      <c r="H108" s="224"/>
      <c r="I108" s="225"/>
    </row>
    <row r="109" spans="1:9" ht="18.75" customHeight="1" x14ac:dyDescent="0.2">
      <c r="A109" s="4"/>
      <c r="B109" s="229"/>
      <c r="C109" s="230"/>
      <c r="D109" s="230"/>
      <c r="E109" s="230"/>
      <c r="F109" s="230"/>
      <c r="G109" s="230"/>
      <c r="H109" s="230"/>
      <c r="I109" s="228"/>
    </row>
    <row r="110" spans="1:9" ht="18.75" customHeight="1" x14ac:dyDescent="0.2">
      <c r="A110" s="4"/>
      <c r="B110" s="229"/>
      <c r="C110" s="230"/>
      <c r="D110" s="230"/>
      <c r="E110" s="230"/>
      <c r="F110" s="230"/>
      <c r="G110" s="230"/>
      <c r="H110" s="230"/>
      <c r="I110" s="228"/>
    </row>
    <row r="111" spans="1:9" ht="18.75" customHeight="1" x14ac:dyDescent="0.2">
      <c r="A111" s="4"/>
      <c r="B111" s="229"/>
      <c r="C111" s="230"/>
      <c r="D111" s="230"/>
      <c r="E111" s="230"/>
      <c r="F111" s="230"/>
      <c r="G111" s="230"/>
      <c r="H111" s="230"/>
      <c r="I111" s="228"/>
    </row>
    <row r="112" spans="1:9" ht="18.75" customHeight="1" x14ac:dyDescent="0.2">
      <c r="A112" s="4"/>
      <c r="B112" s="229"/>
      <c r="C112" s="230"/>
      <c r="D112" s="230"/>
      <c r="E112" s="230"/>
      <c r="F112" s="230"/>
      <c r="G112" s="230"/>
      <c r="H112" s="230"/>
      <c r="I112" s="228"/>
    </row>
    <row r="113" spans="1:9" ht="18.75" customHeight="1" x14ac:dyDescent="0.2">
      <c r="A113" s="4"/>
      <c r="B113" s="229"/>
      <c r="C113" s="230"/>
      <c r="D113" s="230"/>
      <c r="E113" s="230"/>
      <c r="F113" s="230"/>
      <c r="G113" s="230"/>
      <c r="H113" s="230"/>
      <c r="I113" s="228"/>
    </row>
    <row r="114" spans="1:9" ht="18.75" customHeight="1" x14ac:dyDescent="0.2">
      <c r="A114" s="4"/>
      <c r="B114" s="229"/>
      <c r="C114" s="230"/>
      <c r="D114" s="230"/>
      <c r="E114" s="230"/>
      <c r="F114" s="230"/>
      <c r="G114" s="230"/>
      <c r="H114" s="230"/>
      <c r="I114" s="228"/>
    </row>
    <row r="115" spans="1:9" ht="18.75" customHeight="1" x14ac:dyDescent="0.2">
      <c r="A115" s="4"/>
      <c r="B115" s="229"/>
      <c r="C115" s="230"/>
      <c r="D115" s="230"/>
      <c r="E115" s="230"/>
      <c r="F115" s="230"/>
      <c r="G115" s="230"/>
      <c r="H115" s="230"/>
      <c r="I115" s="228"/>
    </row>
    <row r="116" spans="1:9" ht="18.75" customHeight="1" x14ac:dyDescent="0.2">
      <c r="A116" s="4"/>
      <c r="B116" s="229"/>
      <c r="C116" s="230"/>
      <c r="D116" s="230"/>
      <c r="E116" s="230"/>
      <c r="F116" s="230"/>
      <c r="G116" s="230"/>
      <c r="H116" s="230"/>
      <c r="I116" s="228"/>
    </row>
    <row r="117" spans="1:9" ht="18.75" customHeight="1" x14ac:dyDescent="0.2">
      <c r="A117" s="4"/>
      <c r="B117" s="229"/>
      <c r="C117" s="230"/>
      <c r="D117" s="230"/>
      <c r="E117" s="230"/>
      <c r="F117" s="230"/>
      <c r="G117" s="230"/>
      <c r="H117" s="230"/>
      <c r="I117" s="228"/>
    </row>
    <row r="118" spans="1:9" ht="18.75" customHeight="1" x14ac:dyDescent="0.2">
      <c r="A118" s="4"/>
      <c r="B118" s="229"/>
      <c r="C118" s="230"/>
      <c r="D118" s="230"/>
      <c r="E118" s="230"/>
      <c r="F118" s="230"/>
      <c r="G118" s="230"/>
      <c r="H118" s="230"/>
      <c r="I118" s="228"/>
    </row>
    <row r="119" spans="1:9" ht="18.75" customHeight="1" x14ac:dyDescent="0.2">
      <c r="A119" s="4"/>
      <c r="B119" s="231"/>
      <c r="C119" s="232"/>
      <c r="D119" s="232"/>
      <c r="E119" s="232"/>
      <c r="F119" s="232"/>
      <c r="G119" s="232"/>
      <c r="H119" s="232"/>
      <c r="I119" s="233"/>
    </row>
    <row r="120" spans="1:9" ht="7.5" customHeight="1" x14ac:dyDescent="0.2">
      <c r="A120" s="4"/>
      <c r="B120" s="38"/>
      <c r="C120" s="38"/>
      <c r="D120" s="38"/>
      <c r="E120" s="38"/>
      <c r="F120" s="38"/>
      <c r="G120" s="38"/>
      <c r="H120" s="38"/>
      <c r="I120" s="38"/>
    </row>
    <row r="121" spans="1:9" ht="18.75" customHeight="1" x14ac:dyDescent="0.2">
      <c r="A121" s="66"/>
      <c r="B121" s="218"/>
      <c r="C121" s="218"/>
      <c r="D121" s="218"/>
      <c r="E121" s="218"/>
      <c r="F121" s="218"/>
      <c r="G121" s="218"/>
      <c r="H121" s="218"/>
      <c r="I121" s="218"/>
    </row>
    <row r="122" spans="1:9" ht="18.75" customHeight="1" x14ac:dyDescent="0.2">
      <c r="A122" s="66"/>
      <c r="B122" s="218"/>
      <c r="C122" s="218"/>
      <c r="D122" s="218"/>
      <c r="E122" s="218"/>
      <c r="F122" s="218"/>
      <c r="G122" s="218"/>
      <c r="H122" s="218"/>
      <c r="I122" s="218"/>
    </row>
    <row r="123" spans="1:9" ht="18.75" customHeight="1" x14ac:dyDescent="0.2">
      <c r="A123" s="4"/>
      <c r="B123" s="70"/>
      <c r="C123" s="70"/>
      <c r="D123" s="70"/>
      <c r="E123" s="70"/>
      <c r="F123" s="70"/>
      <c r="G123" s="70"/>
      <c r="H123" s="70"/>
      <c r="I123" s="71"/>
    </row>
    <row r="124" spans="1:9" ht="18.75" customHeight="1" x14ac:dyDescent="0.2">
      <c r="A124" s="4"/>
      <c r="B124" s="71"/>
      <c r="C124" s="71"/>
      <c r="D124" s="71"/>
      <c r="E124" s="71"/>
      <c r="F124" s="71"/>
      <c r="G124" s="71"/>
      <c r="H124" s="71"/>
      <c r="I124" s="71"/>
    </row>
    <row r="125" spans="1:9" ht="18.75" customHeight="1" x14ac:dyDescent="0.2">
      <c r="A125" s="4"/>
      <c r="B125" s="71"/>
      <c r="C125" s="71"/>
      <c r="D125" s="71"/>
      <c r="E125" s="71"/>
      <c r="F125" s="71"/>
      <c r="G125" s="71"/>
      <c r="H125" s="71"/>
      <c r="I125" s="71"/>
    </row>
    <row r="126" spans="1:9" ht="18.75" customHeight="1" x14ac:dyDescent="0.2">
      <c r="A126" s="4"/>
      <c r="B126" s="71"/>
      <c r="C126" s="71"/>
      <c r="D126" s="71"/>
      <c r="E126" s="71"/>
      <c r="F126" s="71"/>
      <c r="G126" s="71"/>
      <c r="H126" s="71"/>
      <c r="I126" s="71"/>
    </row>
    <row r="127" spans="1:9" ht="18.75" customHeight="1" x14ac:dyDescent="0.2">
      <c r="A127" s="4"/>
      <c r="B127" s="71"/>
      <c r="C127" s="71"/>
      <c r="D127" s="71"/>
      <c r="E127" s="71"/>
      <c r="F127" s="71"/>
      <c r="G127" s="71"/>
      <c r="H127" s="71"/>
      <c r="I127" s="71"/>
    </row>
    <row r="128" spans="1:9" ht="18.75" customHeight="1" x14ac:dyDescent="0.2">
      <c r="A128" s="4"/>
      <c r="B128" s="71"/>
      <c r="C128" s="71"/>
      <c r="D128" s="71"/>
      <c r="E128" s="71"/>
      <c r="F128" s="71"/>
      <c r="G128" s="71"/>
      <c r="H128" s="71"/>
      <c r="I128" s="71"/>
    </row>
    <row r="129" spans="1:9" ht="18.75" customHeight="1" x14ac:dyDescent="0.2">
      <c r="A129" s="4"/>
      <c r="B129" s="71"/>
      <c r="C129" s="71"/>
      <c r="D129" s="71"/>
      <c r="E129" s="71"/>
      <c r="F129" s="71"/>
      <c r="G129" s="71"/>
      <c r="H129" s="71"/>
      <c r="I129" s="71"/>
    </row>
    <row r="130" spans="1:9" ht="18.75" customHeight="1" x14ac:dyDescent="0.2">
      <c r="A130" s="4"/>
      <c r="B130" s="71"/>
      <c r="C130" s="71"/>
      <c r="D130" s="71"/>
      <c r="E130" s="71"/>
      <c r="F130" s="71"/>
      <c r="G130" s="71"/>
      <c r="H130" s="71"/>
      <c r="I130" s="71"/>
    </row>
    <row r="131" spans="1:9" ht="18.75" customHeight="1" x14ac:dyDescent="0.2">
      <c r="A131" s="4"/>
      <c r="B131" s="71"/>
      <c r="C131" s="71"/>
      <c r="D131" s="71"/>
      <c r="E131" s="71"/>
      <c r="F131" s="71"/>
      <c r="G131" s="71"/>
      <c r="H131" s="71"/>
      <c r="I131" s="71"/>
    </row>
    <row r="132" spans="1:9" ht="18.75" customHeight="1" x14ac:dyDescent="0.2">
      <c r="A132" s="4"/>
      <c r="B132" s="71"/>
      <c r="C132" s="71"/>
      <c r="D132" s="71"/>
      <c r="E132" s="71"/>
      <c r="F132" s="71"/>
      <c r="G132" s="71"/>
      <c r="H132" s="71"/>
      <c r="I132" s="71"/>
    </row>
    <row r="133" spans="1:9" ht="14.4" x14ac:dyDescent="0.2">
      <c r="A133" s="4"/>
      <c r="B133" s="71"/>
      <c r="C133" s="71"/>
      <c r="D133" s="71"/>
      <c r="E133" s="71"/>
      <c r="F133" s="71"/>
      <c r="G133" s="71"/>
      <c r="H133" s="71"/>
      <c r="I133" s="71"/>
    </row>
    <row r="134" spans="1:9" ht="7.5" customHeight="1" x14ac:dyDescent="0.2">
      <c r="A134" s="4"/>
      <c r="B134" s="71"/>
      <c r="C134" s="71"/>
      <c r="D134" s="71"/>
      <c r="E134" s="71"/>
      <c r="F134" s="71"/>
      <c r="G134" s="71"/>
      <c r="H134" s="71"/>
      <c r="I134" s="7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2"/>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120" zoomScaleNormal="100" zoomScaleSheetLayoutView="120" workbookViewId="0">
      <selection activeCell="E13" sqref="E13:I13"/>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21875" style="1" customWidth="1"/>
    <col min="11" max="16384" width="11.33203125" style="1"/>
  </cols>
  <sheetData>
    <row r="1" spans="1:9" ht="18.75" customHeight="1" x14ac:dyDescent="0.2">
      <c r="A1" s="1" t="s">
        <v>67</v>
      </c>
      <c r="I1" s="29" t="s">
        <v>95</v>
      </c>
    </row>
    <row r="2" spans="1:9" ht="18.75" customHeight="1" x14ac:dyDescent="0.2">
      <c r="H2" s="29" t="s">
        <v>98</v>
      </c>
      <c r="I2" s="28" t="str">
        <f>'様式１ー２　プログラムを構成する授業科目'!C2</f>
        <v>愛知医科大学</v>
      </c>
    </row>
    <row r="3" spans="1:9" ht="18.75" customHeight="1" x14ac:dyDescent="0.2">
      <c r="A3" s="219" t="s">
        <v>27</v>
      </c>
      <c r="B3" s="219"/>
      <c r="C3" s="219"/>
      <c r="D3" s="219"/>
      <c r="E3" s="219"/>
      <c r="F3" s="219"/>
      <c r="G3" s="219"/>
      <c r="H3" s="219"/>
      <c r="I3" s="219"/>
    </row>
    <row r="4" spans="1:9" ht="18.75" customHeight="1" x14ac:dyDescent="0.2">
      <c r="A4" s="5"/>
      <c r="B4" s="5"/>
      <c r="C4" s="5"/>
      <c r="D4" s="5"/>
      <c r="E4" s="5"/>
      <c r="F4" s="5"/>
      <c r="G4" s="5"/>
      <c r="H4" s="5"/>
      <c r="I4" s="5"/>
    </row>
    <row r="5" spans="1:9" ht="18.75" customHeight="1" x14ac:dyDescent="0.2">
      <c r="A5" s="1" t="s">
        <v>0</v>
      </c>
      <c r="B5" s="10" t="s">
        <v>89</v>
      </c>
      <c r="C5" s="5"/>
      <c r="D5" s="5"/>
      <c r="E5" s="5"/>
      <c r="F5" s="5"/>
      <c r="G5" s="5"/>
      <c r="H5" s="5"/>
      <c r="I5" s="5"/>
    </row>
    <row r="6" spans="1:9" ht="26.25" customHeight="1" x14ac:dyDescent="0.2">
      <c r="A6" s="5"/>
      <c r="B6" s="234" t="s">
        <v>148</v>
      </c>
      <c r="C6" s="268"/>
      <c r="D6" s="268"/>
      <c r="E6" s="268"/>
      <c r="F6" s="268"/>
      <c r="G6" s="268"/>
      <c r="H6" s="269"/>
      <c r="I6" s="3"/>
    </row>
    <row r="7" spans="1:9" ht="9" customHeight="1" x14ac:dyDescent="0.2">
      <c r="A7" s="5"/>
      <c r="B7" s="10"/>
      <c r="C7" s="10"/>
      <c r="D7" s="10"/>
      <c r="E7" s="10"/>
      <c r="F7" s="10"/>
      <c r="G7" s="10"/>
      <c r="H7" s="10"/>
      <c r="I7" s="3"/>
    </row>
    <row r="8" spans="1:9" ht="18.75" customHeight="1" x14ac:dyDescent="0.2">
      <c r="A8" s="5"/>
      <c r="B8" s="3"/>
      <c r="C8" s="3"/>
      <c r="D8" s="29" t="s">
        <v>41</v>
      </c>
      <c r="E8" s="30" t="s">
        <v>193</v>
      </c>
      <c r="F8" s="3"/>
      <c r="G8" s="29" t="s">
        <v>10</v>
      </c>
      <c r="H8" s="85" t="s">
        <v>198</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120" t="s">
        <v>23</v>
      </c>
      <c r="C11" s="121"/>
      <c r="D11" s="122"/>
      <c r="E11" s="121" t="s">
        <v>25</v>
      </c>
      <c r="F11" s="121"/>
      <c r="G11" s="121"/>
      <c r="H11" s="121"/>
      <c r="I11" s="122"/>
    </row>
    <row r="12" spans="1:9" ht="26.25" customHeight="1" x14ac:dyDescent="0.2">
      <c r="B12" s="39" t="s">
        <v>13</v>
      </c>
      <c r="C12" s="46"/>
      <c r="D12" s="40"/>
      <c r="E12" s="47"/>
      <c r="F12" s="47"/>
      <c r="G12" s="47"/>
      <c r="H12" s="47"/>
      <c r="I12" s="40"/>
    </row>
    <row r="13" spans="1:9" ht="210.75" customHeight="1" x14ac:dyDescent="0.2">
      <c r="B13" s="41"/>
      <c r="C13" s="251" t="s">
        <v>14</v>
      </c>
      <c r="D13" s="252"/>
      <c r="E13" s="264" t="s">
        <v>207</v>
      </c>
      <c r="F13" s="253"/>
      <c r="G13" s="253"/>
      <c r="H13" s="253"/>
      <c r="I13" s="254"/>
    </row>
    <row r="14" spans="1:9" ht="210.75" customHeight="1" x14ac:dyDescent="0.2">
      <c r="B14" s="41"/>
      <c r="C14" s="266" t="s">
        <v>15</v>
      </c>
      <c r="D14" s="267"/>
      <c r="E14" s="264" t="s">
        <v>163</v>
      </c>
      <c r="F14" s="253"/>
      <c r="G14" s="253"/>
      <c r="H14" s="253"/>
      <c r="I14" s="254"/>
    </row>
    <row r="15" spans="1:9" ht="210.75" customHeight="1" x14ac:dyDescent="0.2">
      <c r="B15" s="41"/>
      <c r="C15" s="251" t="s">
        <v>16</v>
      </c>
      <c r="D15" s="252"/>
      <c r="E15" s="264" t="s">
        <v>164</v>
      </c>
      <c r="F15" s="253"/>
      <c r="G15" s="253"/>
      <c r="H15" s="253"/>
      <c r="I15" s="254"/>
    </row>
    <row r="16" spans="1:9" ht="210.75" customHeight="1" x14ac:dyDescent="0.2">
      <c r="B16" s="41"/>
      <c r="C16" s="251" t="s">
        <v>17</v>
      </c>
      <c r="D16" s="252"/>
      <c r="E16" s="264" t="s">
        <v>165</v>
      </c>
      <c r="F16" s="253"/>
      <c r="G16" s="253"/>
      <c r="H16" s="253"/>
      <c r="I16" s="254"/>
    </row>
    <row r="17" spans="2:9" ht="210.75" customHeight="1" x14ac:dyDescent="0.2">
      <c r="B17" s="42"/>
      <c r="C17" s="255" t="s">
        <v>18</v>
      </c>
      <c r="D17" s="256"/>
      <c r="E17" s="265" t="s">
        <v>166</v>
      </c>
      <c r="F17" s="257"/>
      <c r="G17" s="257"/>
      <c r="H17" s="257"/>
      <c r="I17" s="258"/>
    </row>
    <row r="18" spans="2:9" ht="24" customHeight="1" x14ac:dyDescent="0.2">
      <c r="B18" s="39" t="s">
        <v>19</v>
      </c>
      <c r="C18" s="43"/>
      <c r="D18" s="44"/>
      <c r="E18" s="45"/>
      <c r="F18" s="45"/>
      <c r="G18" s="45"/>
      <c r="H18" s="45"/>
      <c r="I18" s="48"/>
    </row>
    <row r="19" spans="2:9" ht="218.25" customHeight="1" x14ac:dyDescent="0.2">
      <c r="B19" s="41"/>
      <c r="C19" s="251" t="s">
        <v>20</v>
      </c>
      <c r="D19" s="252"/>
      <c r="E19" s="253" t="s">
        <v>167</v>
      </c>
      <c r="F19" s="253"/>
      <c r="G19" s="253"/>
      <c r="H19" s="253"/>
      <c r="I19" s="254"/>
    </row>
    <row r="20" spans="2:9" ht="218.25" customHeight="1" x14ac:dyDescent="0.2">
      <c r="B20" s="42"/>
      <c r="C20" s="255" t="s">
        <v>21</v>
      </c>
      <c r="D20" s="256"/>
      <c r="E20" s="257" t="s">
        <v>170</v>
      </c>
      <c r="F20" s="257"/>
      <c r="G20" s="257"/>
      <c r="H20" s="257"/>
      <c r="I20" s="258"/>
    </row>
    <row r="21" spans="2:9" ht="218.25" customHeight="1" x14ac:dyDescent="0.2">
      <c r="B21" s="259" t="s">
        <v>22</v>
      </c>
      <c r="C21" s="260"/>
      <c r="D21" s="261"/>
      <c r="E21" s="262" t="s">
        <v>168</v>
      </c>
      <c r="F21" s="262"/>
      <c r="G21" s="262"/>
      <c r="H21" s="262"/>
      <c r="I21" s="263"/>
    </row>
    <row r="22" spans="2:9" ht="218.25" customHeight="1" x14ac:dyDescent="0.2">
      <c r="B22" s="246" t="s">
        <v>135</v>
      </c>
      <c r="C22" s="247"/>
      <c r="D22" s="248"/>
      <c r="E22" s="249" t="s">
        <v>169</v>
      </c>
      <c r="F22" s="249"/>
      <c r="G22" s="249"/>
      <c r="H22" s="249"/>
      <c r="I22" s="250"/>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2"/>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DA5F6F902D36F4FA2290850CF9C0C60" ma:contentTypeVersion="18" ma:contentTypeDescription="新しいドキュメントを作成します。" ma:contentTypeScope="" ma:versionID="6e7fc38bb6dfeb46fbd62f4f4b4e7294">
  <xsd:schema xmlns:xsd="http://www.w3.org/2001/XMLSchema" xmlns:xs="http://www.w3.org/2001/XMLSchema" xmlns:p="http://schemas.microsoft.com/office/2006/metadata/properties" xmlns:ns3="41557ee7-495e-493c-991d-2a57ebadc784" xmlns:ns4="243b95fc-a25d-4ac9-94b8-504053303c44" targetNamespace="http://schemas.microsoft.com/office/2006/metadata/properties" ma:root="true" ma:fieldsID="bb15497d0b9c720c09db6294c79f8917" ns3:_="" ns4:_="">
    <xsd:import namespace="41557ee7-495e-493c-991d-2a57ebadc784"/>
    <xsd:import namespace="243b95fc-a25d-4ac9-94b8-504053303c44"/>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Locatio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557ee7-495e-493c-991d-2a57ebadc784"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共有のヒントのハッシュ" ma:internalName="SharingHintHash" ma:readOnly="true">
      <xsd:simpleType>
        <xsd:restriction base="dms:Text"/>
      </xsd:simpleType>
    </xsd:element>
    <xsd:element name="SharedWithDetails" ma:index="10" nillable="true" ma:displayName="共有相手の詳細情報"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3b95fc-a25d-4ac9-94b8-504053303c44"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43b95fc-a25d-4ac9-94b8-504053303c44" xsi:nil="true"/>
  </documentManagement>
</p:properties>
</file>

<file path=customXml/itemProps1.xml><?xml version="1.0" encoding="utf-8"?>
<ds:datastoreItem xmlns:ds="http://schemas.openxmlformats.org/officeDocument/2006/customXml" ds:itemID="{9A2C6F4C-DB70-4CF4-A389-19C55F7FAA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557ee7-495e-493c-991d-2a57ebadc784"/>
    <ds:schemaRef ds:uri="243b95fc-a25d-4ac9-94b8-504053303c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0331AC-2AA5-41A4-A201-0636612D7727}">
  <ds:schemaRefs>
    <ds:schemaRef ds:uri="http://schemas.microsoft.com/sharepoint/v3/contenttype/forms"/>
  </ds:schemaRefs>
</ds:datastoreItem>
</file>

<file path=customXml/itemProps3.xml><?xml version="1.0" encoding="utf-8"?>
<ds:datastoreItem xmlns:ds="http://schemas.openxmlformats.org/officeDocument/2006/customXml" ds:itemID="{AF0F2012-A9B5-49C1-9C75-A2310CF1A31E}">
  <ds:schemaRefs>
    <ds:schemaRef ds:uri="41557ee7-495e-493c-991d-2a57ebadc784"/>
    <ds:schemaRef ds:uri="http://schemas.microsoft.com/office/2006/metadata/properties"/>
    <ds:schemaRef ds:uri="http://www.w3.org/XML/1998/namespace"/>
    <ds:schemaRef ds:uri="http://schemas.openxmlformats.org/package/2006/metadata/core-properties"/>
    <ds:schemaRef ds:uri="http://purl.org/dc/dcmitype/"/>
    <ds:schemaRef ds:uri="243b95fc-a25d-4ac9-94b8-504053303c44"/>
    <ds:schemaRef ds:uri="http://schemas.microsoft.com/office/2006/documentManagement/types"/>
    <ds:schemaRef ds:uri="http://schemas.microsoft.com/office/infopath/2007/PartnerControls"/>
    <ds:schemaRef ds:uri="http://purl.org/dc/elements/1.1/"/>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様式１ー１　プログラムを構成する授業科目</vt:lpstr>
      <vt:lpstr>様式１ー２　プログラムを構成する授業科目</vt:lpstr>
      <vt:lpstr>様式２ 履修者等数の実績</vt:lpstr>
      <vt:lpstr>様式３ 教育の質・履修者数を向上させるための体制・計画</vt:lpstr>
      <vt:lpstr>様式４　自己点検・評価</vt:lpstr>
      <vt:lpstr>'様式１ー１　プログラムを構成する授業科目'!Print_Area</vt:lpstr>
      <vt:lpstr>'様式１ー２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伊藤圭一</cp:lastModifiedBy>
  <cp:lastPrinted>2024-02-19T08:20:00Z</cp:lastPrinted>
  <dcterms:created xsi:type="dcterms:W3CDTF">2011-06-14T05:32:50Z</dcterms:created>
  <dcterms:modified xsi:type="dcterms:W3CDTF">2024-06-12T23:48:52Z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0x010100ADA5F6F902D36F4FA2290850CF9C0C60</vt:lpwstr>
  </property>
</Properties>
</file>