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H:\Kyoumu\資格関係\09_数理・データサイエンスＡＩ\R6短大\再提出\"/>
    </mc:Choice>
  </mc:AlternateContent>
  <xr:revisionPtr revIDLastSave="0" documentId="13_ncr:1_{6EB6815D-0701-4F88-882F-ED81B2C1444C}" xr6:coauthVersionLast="47" xr6:coauthVersionMax="47" xr10:uidLastSave="{00000000-0000-0000-0000-000000000000}"/>
  <bookViews>
    <workbookView xWindow="-120" yWindow="-120" windowWidth="29040" windowHeight="1584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教育の質・履修者数を向上させるための体制・計画'!$A$1:$I$112</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43" i="41" s="1"/>
  <c r="D33" i="40"/>
  <c r="S32" i="40"/>
  <c r="S31" i="40"/>
  <c r="S30" i="40"/>
  <c r="S29" i="40"/>
  <c r="S28" i="40"/>
  <c r="S27" i="40"/>
  <c r="S26" i="40"/>
  <c r="S25" i="40"/>
  <c r="S24" i="40"/>
  <c r="S23" i="40"/>
  <c r="S22" i="40"/>
  <c r="S21" i="40"/>
  <c r="S20" i="40"/>
  <c r="S19" i="40"/>
  <c r="S18" i="40"/>
  <c r="S17" i="40"/>
  <c r="S16" i="40"/>
  <c r="S15" i="40"/>
  <c r="S14" i="40"/>
  <c r="R33" i="40" l="1"/>
  <c r="S33" i="40" s="1"/>
  <c r="C42" i="41" s="1"/>
</calcChain>
</file>

<file path=xl/sharedStrings.xml><?xml version="1.0" encoding="utf-8"?>
<sst xmlns="http://schemas.openxmlformats.org/spreadsheetml/2006/main" count="304" uniqueCount="189">
  <si>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</si>
  <si>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</si>
  <si>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</si>
  <si>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</si>
  <si>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</si>
  <si>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</si>
  <si>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</si>
  <si>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</si>
  <si>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</si>
  <si>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</si>
  <si>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</si>
  <si>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</si>
  <si>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</si>
  <si>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</si>
  <si>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</si>
  <si>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</si>
  <si>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</si>
  <si>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</si>
  <si>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</si>
  <si>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</si>
  <si>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</si>
  <si>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</si>
  <si>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</si>
  <si>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</si>
  <si>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</si>
  <si>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</si>
  <si>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</si>
  <si>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</si>
  <si>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</si>
  <si>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</si>
  <si>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</si>
  <si>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</si>
  <si>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</si>
  <si>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</si>
  <si>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</si>
  <si>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</si>
  <si>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</si>
  <si>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</si>
  <si>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</si>
  <si>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</si>
  <si>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</si>
  <si>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</si>
  <si>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</si>
  <si>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</si>
  <si>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</si>
  <si>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</si>
  <si>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</si>
  <si>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</si>
  <si>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</si>
  <si>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</si>
  <si>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</si>
  <si>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</si>
  <si>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</si>
  <si>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</si>
  <si>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</si>
  <si>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</si>
  <si>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</si>
  <si>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</si>
  <si>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</si>
  <si>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</si>
  <si>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</si>
  <si>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</si>
  <si>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</si>
  <si>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</si>
  <si>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</si>
  <si>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</si>
  <si>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</si>
  <si>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</si>
  <si>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</si>
  <si>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</si>
  <si>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</si>
  <si>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</si>
  <si>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</si>
  <si>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</si>
  <si>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</si>
  <si>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</si>
  <si>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</si>
  <si>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</si>
  <si>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</si>
  <si>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</si>
  <si>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</si>
  <si>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</si>
  <si>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</si>
  <si>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</si>
  <si>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</si>
  <si>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</si>
  <si>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</si>
  <si>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</si>
  <si>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</si>
  <si>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</si>
  <si>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</si>
  <si>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</si>
  <si>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</si>
  <si>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</si>
  <si>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</si>
  <si>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</si>
  <si>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</si>
  <si>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</si>
  <si>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</si>
  <si>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</si>
  <si>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</si>
  <si>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</si>
  <si>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</si>
  <si>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</si>
  <si>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</si>
  <si>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</si>
  <si>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</si>
  <si>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</si>
  <si>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</si>
  <si>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</si>
  <si>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</si>
  <si>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</si>
  <si>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</si>
  <si>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</si>
  <si>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</si>
  <si>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</si>
  <si>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</si>
  <si>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</si>
  <si>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</si>
  <si>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</si>
  <si>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</si>
  <si>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</si>
  <si>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</si>
  <si>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</si>
  <si>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</si>
  <si>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</si>
  <si>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</si>
  <si>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</si>
  <si>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</si>
  <si>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</si>
  <si>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</si>
  <si>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</si>
  <si>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</si>
  <si>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</si>
  <si>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</si>
  <si>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</si>
  <si>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高松短期大学</t>
    <rPh sb="0" eb="6">
      <t>タカマツタンキダイガク</t>
    </rPh>
    <phoneticPr fontId="1"/>
  </si>
  <si>
    <t>数理・データサイエンス・ＡＩ教育プログラム（リテラシーレベル）</t>
    <rPh sb="0" eb="2">
      <t>スウリ</t>
    </rPh>
    <rPh sb="14" eb="16">
      <t>キョウイク</t>
    </rPh>
    <phoneticPr fontId="1"/>
  </si>
  <si>
    <t>学部・学科によって、修了要件は相違しない</t>
  </si>
  <si>
    <t>数理データサイエンスと未来</t>
  </si>
  <si>
    <t>数理データサイエンスと未来</t>
    <phoneticPr fontId="1"/>
  </si>
  <si>
    <t>情報基礎</t>
  </si>
  <si>
    <t>情報基礎</t>
    <phoneticPr fontId="1"/>
  </si>
  <si>
    <t>○</t>
  </si>
  <si>
    <t>情報応用演習</t>
    <phoneticPr fontId="1"/>
  </si>
  <si>
    <t>情報基礎演習</t>
    <phoneticPr fontId="1"/>
  </si>
  <si>
    <t>データ分析活用法</t>
    <phoneticPr fontId="1"/>
  </si>
  <si>
    <t>数理データサイエンス基礎</t>
    <phoneticPr fontId="1"/>
  </si>
  <si>
    <t>　未来社会「Society5.0」のなかで必要不可欠だと考えられる、数理・データサイエンス・AIに関する基礎学力について、学生が身につける学修成果を次の(A)-(E)の5項目に分類している。
(A)技術概要の把握：未来社会の基盤になると考えられている、数理・データサイエンス・AI技術の概要を理解し、利点・欠点を説明できる。
(B)社会課題の検討：未来社会の実現までに解決すべき課題を把握し、様々な観点から数理・データサイエンス・AIの技術の活用を検討できる。
(C)データ活用の流れ：データを活用するために必要な、問題分析と目的設定（なぜデータ分析したいのか、データ分析により何を知りたいのか）、データ収集、データ分析と可視化、分析結果の意味の解釈、報告について理解し、実践できる。
(D)考察対象の理解とアプローチ：考察対象を理解し説明するために有用な数式や図式を用いたモデル化や、多量のデータを取扱い分析するために必要な基礎知識と方法論を身に付け、実践できる。
(E)セキュリティと情報倫理：情報セキュリティや情報倫理の観点から、数理・データサイエンス・AI技術のあるべき活用のあり方を理解し、不適切な利用を防止できる。</t>
    <phoneticPr fontId="1"/>
  </si>
  <si>
    <t>令和５</t>
    <rPh sb="0" eb="2">
      <t>レイワ</t>
    </rPh>
    <phoneticPr fontId="1"/>
  </si>
  <si>
    <t>保育学科</t>
    <rPh sb="0" eb="2">
      <t>ホイク</t>
    </rPh>
    <rPh sb="2" eb="4">
      <t>ガッカ</t>
    </rPh>
    <phoneticPr fontId="1"/>
  </si>
  <si>
    <t>秘書科</t>
    <rPh sb="0" eb="2">
      <t>ヒショ</t>
    </rPh>
    <rPh sb="2" eb="3">
      <t>カ</t>
    </rPh>
    <phoneticPr fontId="1"/>
  </si>
  <si>
    <t>佃　昌道</t>
    <rPh sb="0" eb="1">
      <t>ツクダ</t>
    </rPh>
    <rPh sb="2" eb="4">
      <t>マサミチ</t>
    </rPh>
    <phoneticPr fontId="1"/>
  </si>
  <si>
    <t>学長</t>
    <rPh sb="0" eb="2">
      <t>ガクチョウ</t>
    </rPh>
    <phoneticPr fontId="1"/>
  </si>
  <si>
    <t>教務委員会</t>
    <phoneticPr fontId="1"/>
  </si>
  <si>
    <t>学生支援部次長(教務担当)</t>
    <rPh sb="0" eb="2">
      <t>ガクセイ</t>
    </rPh>
    <rPh sb="2" eb="4">
      <t>シエン</t>
    </rPh>
    <rPh sb="4" eb="5">
      <t>ブ</t>
    </rPh>
    <rPh sb="5" eb="7">
      <t>ジチョウ</t>
    </rPh>
    <rPh sb="8" eb="10">
      <t>キョウム</t>
    </rPh>
    <rPh sb="10" eb="12">
      <t>タントウ</t>
    </rPh>
    <phoneticPr fontId="1"/>
  </si>
  <si>
    <t>田中　弓子</t>
    <rPh sb="0" eb="2">
      <t>タナカ</t>
    </rPh>
    <rPh sb="3" eb="5">
      <t>ユミコ</t>
    </rPh>
    <phoneticPr fontId="1"/>
  </si>
  <si>
    <t>高松大学・高松短期大学教務委員会規程</t>
    <phoneticPr fontId="1"/>
  </si>
  <si>
    <t>　高松大学・高松短期大学教務委員会は、教育課程に関する事項をはじめとして教務に関する事項を審議し、決定された事項を円滑に実施することを目的とする。本プログラムの改善・進化にあたっては、学長直属の諮問部会であるSociety5.0ワーキンググループとの連携・協力のもとで実施している。Society5.0ワーキンググループは、その時々の課題に対して迅速な対応を行うことを目的としており、アジャイル型の考え方に基づき問題意識を共有する人員を随時招集して開催している。</t>
    <phoneticPr fontId="1"/>
  </si>
  <si>
    <t>　令和5年度において、教務委員会を構成する人員は次のとおりであった。
高松大学・高松短期大学　学生支援部長　正岡利朗
委員長　高松大学・高松短期大学　学生支援部次長（教務担当）　浮穴学慈
高松大学経営学部委員　岡本丈彦
高松大学経営学部委員　石田裕明
高松大学発達科学部委員　田中美季
高松大学発達科学部委員　竹田忠弘
高松短期大学保育学科委員　田中弓子
高松短期大学保育学科委員　相馬宗胤
高松短期大学秘書科委員　関　由佳利
高松短期大学秘書科委員　西岡達哉
高松大学・高松短期大学　学生支援部教務課課長　武本隆治
　令和5年度において、Society5.0ワーキンググループに参加した人員は次のとおりであった。なお、本教育プログラムに関する事項に係るスクワッド構成員には○印を付している。
高松大学学長　佃昌道　○
高松短期大学副学長　出木浦孝
高松大学経営学部　神部順子　○
高松大学経営学部　山口直木　○
高松大学経営学部　浮穴学慈　○
高松大学発達科学部　川口めぐみ
高松大学発達科学部　藤本駿
高松短期大学秘書科学科長　森靖之
高松短期大学秘書科　松田圭司
高松短期大学秘書科　佐藤麻衣
高松短期大学保育学科　相馬宗胤</t>
    <rPh sb="173" eb="175">
      <t>タナカ</t>
    </rPh>
    <rPh sb="175" eb="177">
      <t>ユミコ</t>
    </rPh>
    <phoneticPr fontId="1"/>
  </si>
  <si>
    <t>自己点検・評価委員会</t>
    <phoneticPr fontId="1"/>
  </si>
  <si>
    <t>副学長</t>
    <phoneticPr fontId="1"/>
  </si>
  <si>
    <t>出木浦　孝</t>
    <rPh sb="0" eb="3">
      <t>デキウラ</t>
    </rPh>
    <rPh sb="4" eb="5">
      <t>タカシ</t>
    </rPh>
    <phoneticPr fontId="1"/>
  </si>
  <si>
    <t>　各授業科目においては、身近で具体的な事例を題材とすることや近未来の社会像を具体的に提示することで、学生にとって分かりやすく学ぶ意義を理解できるよう工夫をしている。また、学生には授業内で小さなタスクを課し、それができるようになるまで個々の学生に対し粘り強く向き合う授業展開を行うことで、学生が達成感を積み重ねることができるよう配慮をしている。学生同士が相互にコミュニケーションを図りながらタスクに取り組むことを奨励し、躓きがちな学生に対応しながら学修を進めている。</t>
    <phoneticPr fontId="1"/>
  </si>
  <si>
    <t>　本教育プログラム修了要件を構成する科目群のうち、「情報基礎演習」「情報応用演習」を卒業必修科目とし、1年次配当科目として設定している。「数理データサイエンスと未来」「情報基礎」については高松大学との連携開設科目である。本教育プログラムの履修率は、「様式2 履修者等数の実績」における定義に基づき、分母として収容定員、分子として前述の4科目いずれかを履修した学生数を用いて算出している。本教育プログラム開始後の年度の進行に加え、収容定員及び充足率の推移を考慮すると、履修率は計画通りの進捗であるといえる。
　本教育プログラムは、「数理データサイエンスと未来」を核としており、２クラスの開講を異なる時間帯とすることで、高松短期大学の学生が履修するにあたっての自由度を高めている。修了者数については、「情報基礎演習」「情報応用演習」が卒業必修科目であることから、卒業者数の80％が本教育プログラムを修了することを目標としている。入学当初のオリエンテーションにおいて、本プログラムの科目群の履修推奨指導に力を入れていく。</t>
    <rPh sb="18" eb="20">
      <t>カモク</t>
    </rPh>
    <rPh sb="20" eb="21">
      <t>ム</t>
    </rPh>
    <rPh sb="42" eb="44">
      <t>ソツギョウ</t>
    </rPh>
    <rPh sb="44" eb="46">
      <t>ヒッシュウ</t>
    </rPh>
    <rPh sb="46" eb="48">
      <t>カモク</t>
    </rPh>
    <rPh sb="292" eb="294">
      <t>カイコウ</t>
    </rPh>
    <rPh sb="295" eb="296">
      <t>コト</t>
    </rPh>
    <rPh sb="298" eb="301">
      <t>ジカンタイ</t>
    </rPh>
    <rPh sb="412" eb="414">
      <t>ニュウガク</t>
    </rPh>
    <rPh sb="414" eb="416">
      <t>トウショ</t>
    </rPh>
    <rPh sb="431" eb="432">
      <t>ホン</t>
    </rPh>
    <rPh sb="438" eb="440">
      <t>カモク</t>
    </rPh>
    <rPh sb="440" eb="441">
      <t>ム</t>
    </rPh>
    <rPh sb="442" eb="444">
      <t>リシュウ</t>
    </rPh>
    <rPh sb="446" eb="448">
      <t>シドウ</t>
    </rPh>
    <rPh sb="449" eb="450">
      <t>チカラ</t>
    </rPh>
    <rPh sb="451" eb="452">
      <t>イ</t>
    </rPh>
    <phoneticPr fontId="1"/>
  </si>
  <si>
    <t>　本教育プログラムを構成する科目については、全学共通科目及び高松大学との連携開設科目において、科目区分「数理データサイエンス科目」に属する科目として履修ガイドに明示している。また、履修指導において早期履修を強く推奨し、受講に向けた働きかけを行っている。</t>
    <rPh sb="28" eb="29">
      <t>オヨ</t>
    </rPh>
    <rPh sb="30" eb="32">
      <t>タカマツ</t>
    </rPh>
    <rPh sb="32" eb="34">
      <t>ダイガク</t>
    </rPh>
    <rPh sb="36" eb="38">
      <t>レンケイ</t>
    </rPh>
    <rPh sb="38" eb="40">
      <t>カイセツ</t>
    </rPh>
    <rPh sb="40" eb="42">
      <t>カモク</t>
    </rPh>
    <phoneticPr fontId="1"/>
  </si>
  <si>
    <t>　授業時間外における学習指導及び質問受付の取組みとして、オフィスアワーの実施及び Google Classroomの活用が挙げられる。
　授業担当教員はオフィスアワーとして週1回以上の時間枠を設定し、対面による相談に応じている。また、Google Classroomのコメント機能を活用することで、学生は時間を選ばすに質問を投稿することができ、授業担当教員や同じ授業を受講する他の学生とのコミュニケーションを通じて疑問点の解消を図ったうえで、自主的に学習をすすめることができる。また、授業時間外における課題等の取組みにあたっては、授業担当教員のほか、研究室担当教員のアドバイスを受けることも可能である。</t>
    <rPh sb="275" eb="278">
      <t>ケンキュウシツ</t>
    </rPh>
    <phoneticPr fontId="1"/>
  </si>
  <si>
    <t>　Google Classroomを活用することで、学生は随時反復学習を行うことができるようになっている。また、授業改善の取組みとして、学生による授業評価アンケート調査の結果に対して、授業担当教員がフィードバックコメントを回答するとともに、次の5項目の観点をもとに次年度の授業の改善を図っている。1. 具体例やアナロジーを用いる、2. タスク指向の学習を採用する、3. グラフや図、動画などの視覚的補助を用いる、4. フィードバックを積極的に行い、学生が正確に理解しているかどうかを確認できるようにする、5. シミュレーションなどで実験的・試行錯誤的な要素を用いる。これらの改善の取組みに加え、令和5年度入学生からはBYOD(持込PC)の活用を図っている。</t>
    <phoneticPr fontId="1"/>
  </si>
  <si>
    <t>　現時点において本教育プログラム履修者は在学中であり、修了者も0名であることから、本項目の評価は得られていない。今後の予定として、定期的に開催される本学同窓会において実施している卒業生対象のアンケート調査において、本教育プログラム修了者の状況を把握する見込みである。また、企業の採用担当者を対象としての聞き取り調査の一環として、本教育プログラム修了者の評価等の調査を行っていく。</t>
    <rPh sb="16" eb="18">
      <t>リシュウ</t>
    </rPh>
    <rPh sb="18" eb="19">
      <t>シャ</t>
    </rPh>
    <rPh sb="27" eb="30">
      <t>シュウリョウシャ</t>
    </rPh>
    <rPh sb="32" eb="33">
      <t>メイ</t>
    </rPh>
    <phoneticPr fontId="1"/>
  </si>
  <si>
    <t>　本教育プログラムの「情報基礎演習」「情報応用演習」については、令和５年度は各学科２クラス計４クラスの構成とし、令和６年度は各学科１クラス計２クラスの構成とした。各学科の学生が必ず受講できるように時間割編成上の配慮を行っている。「数理データサイエンスと未来」においても２クラスの構成とし、どのクラスであっても高松短期大学の学生が希望すれば履修できるよう配慮している。また、本教育プログラム修了要件の必修である「情報基礎」について、履修指導において早期履修を強く推奨している。</t>
    <rPh sb="32" eb="34">
      <t>レイワ</t>
    </rPh>
    <rPh sb="35" eb="37">
      <t>ネンド</t>
    </rPh>
    <rPh sb="38" eb="41">
      <t>カクガッカ</t>
    </rPh>
    <rPh sb="45" eb="46">
      <t>ケイ</t>
    </rPh>
    <rPh sb="51" eb="53">
      <t>コウセイ</t>
    </rPh>
    <rPh sb="56" eb="58">
      <t>レイワ</t>
    </rPh>
    <rPh sb="59" eb="61">
      <t>ネンド</t>
    </rPh>
    <rPh sb="62" eb="63">
      <t>カク</t>
    </rPh>
    <rPh sb="63" eb="65">
      <t>ガッカ</t>
    </rPh>
    <rPh sb="69" eb="70">
      <t>ケイ</t>
    </rPh>
    <rPh sb="82" eb="84">
      <t>ガッカ</t>
    </rPh>
    <rPh sb="88" eb="89">
      <t>カナラ</t>
    </rPh>
    <rPh sb="139" eb="141">
      <t>コウセイ</t>
    </rPh>
    <rPh sb="169" eb="171">
      <t>リシュウ</t>
    </rPh>
    <rPh sb="176" eb="178">
      <t>ハイリョ</t>
    </rPh>
    <phoneticPr fontId="1"/>
  </si>
  <si>
    <t>　学生による授業評価アンケート調査の結果、「数理データサイエンスと未来」について、設問「授業内容は分かりやすかったですか」に対して、「非常にそうである」「そうである」と回答した学生は、秘書科（現ビジネスデザイン学科）では55.6%であった。卒業必修科目「情報基礎演習」については、保育学科では100.0％、秘書科（現ビジネスデザイン学科）では81.3%に達しており、卒業必修科目「情報応用演習」についても、保育学科では90.9％、秘書科（現ビジネスデザイン学科）では79.2%に達していた。理解度の状況は良好である。
　今後の授業改善にあたって、内容の精選や教授法及び教材の工夫により、新規性のあるトピックを取り入れつつ、学生にとって分かりやすく意義の感じられる授業を目指している。本教育プログラムを構成する他の科目についても、同様の授業改善により、優れた教育プログラムとなるよう取組む。</t>
    <rPh sb="22" eb="24">
      <t>スウリ</t>
    </rPh>
    <rPh sb="33" eb="35">
      <t>ミライ</t>
    </rPh>
    <rPh sb="127" eb="129">
      <t>ジョウホウ</t>
    </rPh>
    <rPh sb="129" eb="131">
      <t>キソ</t>
    </rPh>
    <rPh sb="131" eb="133">
      <t>エンシュウ</t>
    </rPh>
    <rPh sb="140" eb="142">
      <t>ホイク</t>
    </rPh>
    <rPh sb="142" eb="144">
      <t>ガッカ</t>
    </rPh>
    <rPh sb="153" eb="155">
      <t>ヒショ</t>
    </rPh>
    <rPh sb="155" eb="156">
      <t>カ</t>
    </rPh>
    <rPh sb="157" eb="158">
      <t>ゲン</t>
    </rPh>
    <rPh sb="166" eb="168">
      <t>ガッカ</t>
    </rPh>
    <rPh sb="192" eb="194">
      <t>オウヨウ</t>
    </rPh>
    <rPh sb="293" eb="296">
      <t>シンキセイ</t>
    </rPh>
    <rPh sb="304" eb="305">
      <t>ト</t>
    </rPh>
    <rPh sb="306" eb="307">
      <t>イ</t>
    </rPh>
    <phoneticPr fontId="1"/>
  </si>
  <si>
    <t>　「数理データサイエンスと未来」について、設問「授業を通して学問や勉強に対する意欲・興味が増しましたか」に対して「非常にそうである」「そうである」と回答した学生は63.9%であった。また、設問「総合的に判断して、この授業に満足していますか」に対して「非常にそうである」「そうである」と回答した学生は63.9%であった。
　また、卒業必修科目「情報基礎演習」においては、意欲・興味が増した旨の回答は、保育学科では97.1％、秘書科（現ビジネスデザイン学科）では87.5%に達しており、授業に満足している旨の回答は、保育学科では97.1％、秘書科（現ビジネスデザイン学科）では87.5%に達している。卒業必修科目「情報応用演習」においても、意欲・興味が増した旨の回答は、保育学科では90.9％、秘書科（現ビジネスデザイン学科）では75.0%に達し、授業に満足している旨の回答は、保育学科では90.9％、秘書科（現ビジネスデザイン学科）では87.5%に達している。これらから、後輩学生に対する推奨度については、否定的な考えを有する学生は少ないものと推測できる。
　今後の授業改善にあたって、内容の精選や教授法及び教材の工夫により、学生にとって、より分かりやすく意義の感じられる授業を目指している。本教育プログラムを構成する他の科目についても、同様の授業改善により、優れた教育プログラムとなるよう取組む。</t>
    <rPh sb="193" eb="194">
      <t>ムネ</t>
    </rPh>
    <rPh sb="195" eb="197">
      <t>カイトウ</t>
    </rPh>
    <rPh sb="250" eb="251">
      <t>ムネ</t>
    </rPh>
    <rPh sb="252" eb="254">
      <t>カイトウ</t>
    </rPh>
    <rPh sb="307" eb="309">
      <t>オウヨウ</t>
    </rPh>
    <phoneticPr fontId="1"/>
  </si>
  <si>
    <t>　本教育プログラムを構成する各授業科目について、成績データを分析している。現時点では、本教育プログラムの修了者は3名であるが、途中段階における学修成果は達成しているという認識を得ている。また、学生による授業評価アンケート調査の結果も、これを裏付けているといえる。これらをもとに個々の授業内容や本教育プログラムの構成について、改善に向けた取組みを行う。</t>
    <rPh sb="37" eb="40">
      <t>ゲンジテン</t>
    </rPh>
    <rPh sb="57" eb="58">
      <t>メイ</t>
    </rPh>
    <rPh sb="63" eb="65">
      <t>トチュウ</t>
    </rPh>
    <rPh sb="65" eb="67">
      <t>ダンカイ</t>
    </rPh>
    <phoneticPr fontId="1"/>
  </si>
  <si>
    <t>　本教育プログラムは、高松大学との連携開設科目「数理データサイエンスと未来」を核とし、卒業必修の「情報基礎演習」「情報応用演習」を通じて数理データサイエンスのリテラシーの涵養を行う。また、本教育プログラム修了要件の必修である「情報基礎」についても早期履修を推奨している。修了者数については、「情報基礎演習」「情報応用演習」が卒業必修科目であることから、卒業者数の90％が本教育プログラムを修了することを目標としている。
　令和5年度の実績として履修者は高松短期大学全学で79名に留まり、修了者は3名であった。「数理データサイエンスと未来」及び「情報基礎」の受講者は、秘書科（現ビジネスデザイン学科）に限られ、保育学科の受講者は0名であった。保育学科においては、２年間で免許・資格を取得しなければならないため、カリキュラムが過密であり、時間割の制約を大きく受けている。特に「情報基礎」については、秘書科（現ビジネスデザイン学科）4名の受講に留まった。２クラス化やオンデマンド学習を含む多様な受講方法など、時間割の制約を受けることなく希望者が履修できるよう、検討を続けている。</t>
    <rPh sb="11" eb="13">
      <t>タカマツ</t>
    </rPh>
    <rPh sb="13" eb="15">
      <t>ダイガク</t>
    </rPh>
    <rPh sb="17" eb="19">
      <t>レンケイ</t>
    </rPh>
    <rPh sb="19" eb="21">
      <t>カイセツ</t>
    </rPh>
    <rPh sb="21" eb="23">
      <t>カモク</t>
    </rPh>
    <rPh sb="43" eb="45">
      <t>ソツギョウ</t>
    </rPh>
    <rPh sb="45" eb="47">
      <t>ヒッシュウ</t>
    </rPh>
    <rPh sb="65" eb="66">
      <t>ツウ</t>
    </rPh>
    <rPh sb="68" eb="70">
      <t>スウリ</t>
    </rPh>
    <rPh sb="85" eb="87">
      <t>カンヨウ</t>
    </rPh>
    <rPh sb="88" eb="89">
      <t>オコナ</t>
    </rPh>
    <rPh sb="222" eb="224">
      <t>リシュウ</t>
    </rPh>
    <rPh sb="226" eb="228">
      <t>タカマツ</t>
    </rPh>
    <rPh sb="228" eb="230">
      <t>タンキ</t>
    </rPh>
    <rPh sb="230" eb="232">
      <t>ダイガク</t>
    </rPh>
    <rPh sb="232" eb="234">
      <t>ゼンガク</t>
    </rPh>
    <rPh sb="243" eb="246">
      <t>シュウリョウシャ</t>
    </rPh>
    <rPh sb="248" eb="249">
      <t>メイ</t>
    </rPh>
    <rPh sb="255" eb="257">
      <t>スウリ</t>
    </rPh>
    <rPh sb="266" eb="268">
      <t>ミライ</t>
    </rPh>
    <rPh sb="269" eb="270">
      <t>オヨ</t>
    </rPh>
    <rPh sb="278" eb="281">
      <t>ジュコウシャ</t>
    </rPh>
    <rPh sb="320" eb="322">
      <t>ホイク</t>
    </rPh>
    <rPh sb="322" eb="324">
      <t>ガッカ</t>
    </rPh>
    <rPh sb="331" eb="333">
      <t>ネンカン</t>
    </rPh>
    <rPh sb="334" eb="336">
      <t>メンキョ</t>
    </rPh>
    <rPh sb="337" eb="339">
      <t>シカク</t>
    </rPh>
    <rPh sb="340" eb="342">
      <t>シュトク</t>
    </rPh>
    <rPh sb="361" eb="363">
      <t>カミツ</t>
    </rPh>
    <rPh sb="367" eb="370">
      <t>ジカンワリ</t>
    </rPh>
    <rPh sb="371" eb="373">
      <t>セイヤク</t>
    </rPh>
    <rPh sb="374" eb="375">
      <t>オオ</t>
    </rPh>
    <rPh sb="377" eb="378">
      <t>ウ</t>
    </rPh>
    <rPh sb="383" eb="384">
      <t>トク</t>
    </rPh>
    <rPh sb="386" eb="388">
      <t>ジョウホウ</t>
    </rPh>
    <rPh sb="388" eb="390">
      <t>キソ</t>
    </rPh>
    <rPh sb="414" eb="415">
      <t>メイ</t>
    </rPh>
    <rPh sb="416" eb="418">
      <t>ジュコウ</t>
    </rPh>
    <rPh sb="419" eb="420">
      <t>トド</t>
    </rPh>
    <rPh sb="428" eb="429">
      <t>カ</t>
    </rPh>
    <rPh sb="436" eb="438">
      <t>ガクシュウ</t>
    </rPh>
    <rPh sb="439" eb="440">
      <t>フク</t>
    </rPh>
    <rPh sb="441" eb="443">
      <t>タヨウ</t>
    </rPh>
    <rPh sb="444" eb="446">
      <t>ジュコウ</t>
    </rPh>
    <rPh sb="446" eb="448">
      <t>ホウホウ</t>
    </rPh>
    <rPh sb="458" eb="459">
      <t>ウ</t>
    </rPh>
    <rPh sb="465" eb="468">
      <t>キボウシャ</t>
    </rPh>
    <rPh sb="469" eb="471">
      <t>リシュウ</t>
    </rPh>
    <rPh sb="477" eb="479">
      <t>ケントウ</t>
    </rPh>
    <rPh sb="480" eb="481">
      <t>ツヅ</t>
    </rPh>
    <phoneticPr fontId="1"/>
  </si>
  <si>
    <t>・調査データ、実験データ、人の行動ログデータ、機械の稼働ログデータなど「数理データサイエンスと未来（高松大学との連携開設科目）」（４回目、６回目）
・データのオープン化（オープンデータ）「数理データサイエンスと未来（高松大学との連携開設科目）」（４回目、７回目）
・データのオープン化（オープンデータ）「情報応用演習（保育クラス）」（９回目）
・データのオープン化（オープンデータ）「情報応用演習（秘書クラス）」（８回目）
※秘書クラスは、令和6年度よりビジネスデザインクラスへ名称変更（以下、同様）</t>
    <phoneticPr fontId="1"/>
  </si>
  <si>
    <t>・ビッグデータ、IoT、生成AI、ロボット「数理データサイエンスと未来（高松大学との連携開設科目）」（１回目）
・データ量の増加、計算機の処理性能の向上、AIの非連続的進化「数理データサイエンスと未来（高松大学との連携開設科目）」（１回目）
・第4次産業革命、Society 5.0、データ駆動型社会「数理データサイエンスと未来（高松大学との連携開設科目）」（３回目）</t>
    <rPh sb="12" eb="14">
      <t>セイセイ</t>
    </rPh>
    <phoneticPr fontId="1"/>
  </si>
  <si>
    <t>・AI最新技術の活用例（深層生成モデル、強化学習、転移学習、生成AIなど）「数理データサイエンスと未来（高松大学との連携開設科目）」（２回目）
・AI等を活用した新しいビジネスモデル(シェアリングエコノミー、商品のレコメンデーションなど)「情報基礎（高松大学との連携開設科目）」（１回目）</t>
    <rPh sb="30" eb="32">
      <t>セイセイ</t>
    </rPh>
    <phoneticPr fontId="1"/>
  </si>
  <si>
    <t>・教育、芸術、流通、製造、金融、サービス、インフラ、公共、ヘルスケア等におけるデータ・AI利活用事例紹介「数理データサイエンスと未来（高松大学との連携開設科目）」（12、13、14回目）</t>
    <rPh sb="1" eb="3">
      <t>キョウイク</t>
    </rPh>
    <rPh sb="4" eb="6">
      <t>ゲイジュツ</t>
    </rPh>
    <phoneticPr fontId="1"/>
  </si>
  <si>
    <r>
      <rPr>
        <sz val="9"/>
        <color theme="1"/>
        <rFont val="ＭＳ Ｐゴシック"/>
        <family val="3"/>
        <charset val="128"/>
        <scheme val="minor"/>
      </rPr>
      <t>・情報セキュリティの3要素（機密性、完全性、可用性）「情報基礎（高松大学との連携開設科目）」（11回目)</t>
    </r>
    <r>
      <rPr>
        <sz val="9"/>
        <color rgb="FFFF0000"/>
        <rFont val="ＭＳ Ｐゴシック"/>
        <family val="3"/>
        <charset val="128"/>
        <scheme val="minor"/>
      </rPr>
      <t xml:space="preserve">
</t>
    </r>
    <r>
      <rPr>
        <sz val="9"/>
        <rFont val="ＭＳ Ｐゴシック"/>
        <family val="3"/>
        <charset val="128"/>
        <scheme val="minor"/>
      </rPr>
      <t>・匿名加工情報、暗号化と復号、ユーザ認証とパスワード、悪意ある情報搾取「情報基礎（高松大学との連携開設科目）」（11回目)</t>
    </r>
    <r>
      <rPr>
        <sz val="9"/>
        <color rgb="FFFF0000"/>
        <rFont val="ＭＳ Ｐゴシック"/>
        <family val="3"/>
        <charset val="128"/>
        <scheme val="minor"/>
      </rPr>
      <t xml:space="preserve">
</t>
    </r>
    <r>
      <rPr>
        <sz val="9"/>
        <rFont val="ＭＳ Ｐゴシック"/>
        <family val="3"/>
        <charset val="128"/>
        <scheme val="minor"/>
      </rPr>
      <t>・匿名加工情報、暗号化と復号、ユーザ認証とパスワード、悪意ある情報搾取「情報基礎演習（保育クラス）」(14回目)</t>
    </r>
    <r>
      <rPr>
        <sz val="9"/>
        <color rgb="FFFF0000"/>
        <rFont val="ＭＳ Ｐゴシック"/>
        <family val="3"/>
        <charset val="128"/>
        <scheme val="minor"/>
      </rPr>
      <t xml:space="preserve">
</t>
    </r>
    <r>
      <rPr>
        <sz val="9"/>
        <rFont val="ＭＳ Ｐゴシック"/>
        <family val="3"/>
        <charset val="128"/>
        <scheme val="minor"/>
      </rPr>
      <t>・匿名加工情報、暗号化と復号、ユーザ認証とパスワード、悪意ある情報搾取「情報基礎演習（秘書クラス）」(６回目)
・情報漏洩等によるセキュリティ事故の事例紹介「数理データサイエンスと未来（高松大学との連携開設科目）」（12、13、14回目）</t>
    </r>
    <r>
      <rPr>
        <sz val="9"/>
        <color rgb="FFFF0000"/>
        <rFont val="ＭＳ Ｐゴシック"/>
        <family val="3"/>
        <charset val="128"/>
        <scheme val="minor"/>
      </rPr>
      <t xml:space="preserve">
</t>
    </r>
    <r>
      <rPr>
        <sz val="9"/>
        <rFont val="ＭＳ Ｐゴシック"/>
        <family val="3"/>
        <charset val="128"/>
        <scheme val="minor"/>
      </rPr>
      <t>・情報漏洩等によるセキュリティ事故の事例紹介「情報基礎（高松大学との連携開設科目）」（11回目)
・情報漏洩等によるセキュリティ事故の事例紹介「情報基礎（高松大学との連携開設科目）」（15回目）</t>
    </r>
    <rPh sb="11" eb="13">
      <t>ヨウソ</t>
    </rPh>
    <rPh sb="65" eb="67">
      <t>フクゴウ</t>
    </rPh>
    <rPh sb="71" eb="73">
      <t>ニンショウ</t>
    </rPh>
    <phoneticPr fontId="1"/>
  </si>
  <si>
    <r>
      <rPr>
        <sz val="9"/>
        <rFont val="ＭＳ Ｐゴシック"/>
        <family val="3"/>
        <charset val="128"/>
        <scheme val="minor"/>
      </rPr>
      <t>・データの種類（量的変数、質的変数）「数理データサイエンス基礎（高松大学との連携開設科目）」（２回目）</t>
    </r>
    <r>
      <rPr>
        <sz val="9"/>
        <color rgb="FFFF0000"/>
        <rFont val="ＭＳ Ｐゴシック"/>
        <family val="3"/>
        <charset val="128"/>
        <scheme val="minor"/>
      </rPr>
      <t xml:space="preserve">
</t>
    </r>
    <r>
      <rPr>
        <sz val="9"/>
        <rFont val="ＭＳ Ｐゴシック"/>
        <family val="3"/>
        <charset val="128"/>
        <scheme val="minor"/>
      </rPr>
      <t>・データの種類（量的変数、質的変数）「データ分析活用法（高松大学との連携開設科目）」（４、９、10回目）</t>
    </r>
    <r>
      <rPr>
        <sz val="9"/>
        <color rgb="FFFF0000"/>
        <rFont val="ＭＳ Ｐゴシック"/>
        <family val="3"/>
        <charset val="128"/>
        <scheme val="minor"/>
      </rPr>
      <t xml:space="preserve">
</t>
    </r>
    <r>
      <rPr>
        <sz val="9"/>
        <rFont val="ＭＳ Ｐゴシック"/>
        <family val="3"/>
        <charset val="128"/>
        <scheme val="minor"/>
      </rPr>
      <t>・データの分布(ヒストグラム)と代表値（平均値、中央値、最頻値）「数理データサイエンス基礎（高松大学との連携開設科目）」（３回目）
・データの分布(ヒストグラム)と代表値（平均値、中央値、最頻値）「データ分析活用法（高松大学との連携開設科目）」（４、９、10回目）</t>
    </r>
    <r>
      <rPr>
        <sz val="9"/>
        <color rgb="FFFF0000"/>
        <rFont val="ＭＳ Ｐゴシック"/>
        <family val="3"/>
        <charset val="128"/>
        <scheme val="minor"/>
      </rPr>
      <t xml:space="preserve">
</t>
    </r>
    <r>
      <rPr>
        <sz val="9"/>
        <rFont val="ＭＳ Ｐゴシック"/>
        <family val="3"/>
        <charset val="128"/>
        <scheme val="minor"/>
      </rPr>
      <t>・代表値の性質の違い（実社会では平均値＝最頻値でないことが多い）「数理データサイエンス基礎（高松大学との連携開設科目）」（３回目）</t>
    </r>
    <r>
      <rPr>
        <sz val="9"/>
        <color rgb="FFFF0000"/>
        <rFont val="ＭＳ Ｐゴシック"/>
        <family val="3"/>
        <charset val="128"/>
        <scheme val="minor"/>
      </rPr>
      <t xml:space="preserve">
</t>
    </r>
    <r>
      <rPr>
        <sz val="9"/>
        <rFont val="ＭＳ Ｐゴシック"/>
        <family val="3"/>
        <charset val="128"/>
        <scheme val="minor"/>
      </rPr>
      <t>・代表値の性質の違い（実社会では平均値＝最頻値でないことが多い）「データ分析活用法（高松大学との連携開設科目）」（４、９、10回目）</t>
    </r>
    <r>
      <rPr>
        <sz val="9"/>
        <color rgb="FFFF0000"/>
        <rFont val="ＭＳ Ｐゴシック"/>
        <family val="3"/>
        <charset val="128"/>
        <scheme val="minor"/>
      </rPr>
      <t xml:space="preserve">
</t>
    </r>
    <r>
      <rPr>
        <sz val="9"/>
        <rFont val="ＭＳ Ｐゴシック"/>
        <family val="3"/>
        <charset val="128"/>
        <scheme val="minor"/>
      </rPr>
      <t>・データのばらつき（分散、標準偏差、偏差値）、外れ値「数理データサイエンス基礎（高松大学との連携開設科目）」（３回目）</t>
    </r>
    <r>
      <rPr>
        <sz val="9"/>
        <color rgb="FFFF0000"/>
        <rFont val="ＭＳ Ｐゴシック"/>
        <family val="3"/>
        <charset val="128"/>
        <scheme val="minor"/>
      </rPr>
      <t xml:space="preserve">
</t>
    </r>
    <r>
      <rPr>
        <sz val="9"/>
        <rFont val="ＭＳ Ｐゴシック"/>
        <family val="3"/>
        <charset val="128"/>
        <scheme val="minor"/>
      </rPr>
      <t>・データのばらつき（分散、標準偏差、偏差値）、外れ値「データ分析活用法（高松大学との連携開設科目）」（４、９、10回目）</t>
    </r>
    <r>
      <rPr>
        <sz val="9"/>
        <color rgb="FFFF0000"/>
        <rFont val="ＭＳ Ｐゴシック"/>
        <family val="3"/>
        <charset val="128"/>
        <scheme val="minor"/>
      </rPr>
      <t xml:space="preserve">
</t>
    </r>
    <r>
      <rPr>
        <sz val="9"/>
        <rFont val="ＭＳ Ｐゴシック"/>
        <family val="3"/>
        <charset val="128"/>
        <scheme val="minor"/>
      </rPr>
      <t>・観測データに含まれる誤差の扱い「データ分析活用法」（４、９、10回目）</t>
    </r>
    <r>
      <rPr>
        <sz val="9"/>
        <color rgb="FFFF0000"/>
        <rFont val="ＭＳ Ｐゴシック"/>
        <family val="3"/>
        <charset val="128"/>
        <scheme val="minor"/>
      </rPr>
      <t xml:space="preserve">
</t>
    </r>
    <r>
      <rPr>
        <sz val="9"/>
        <rFont val="ＭＳ Ｐゴシック"/>
        <family val="3"/>
        <charset val="128"/>
        <scheme val="minor"/>
      </rPr>
      <t>・打ち切りや欠測を含むデータ、層別の必要なデータ「データ分析活用法（高松大学との連携開設科目）」（４、９、10回目）</t>
    </r>
    <r>
      <rPr>
        <sz val="9"/>
        <color rgb="FFFF0000"/>
        <rFont val="ＭＳ Ｐゴシック"/>
        <family val="3"/>
        <charset val="128"/>
        <scheme val="minor"/>
      </rPr>
      <t xml:space="preserve">
</t>
    </r>
    <r>
      <rPr>
        <sz val="9"/>
        <rFont val="ＭＳ Ｐゴシック"/>
        <family val="3"/>
        <charset val="128"/>
        <scheme val="minor"/>
      </rPr>
      <t>・打ち切りや欠測を含むデータ、層別の必要なデータ「情報応用演習（保育クラス）」（６、７回目）</t>
    </r>
    <r>
      <rPr>
        <sz val="9"/>
        <color rgb="FFFF0000"/>
        <rFont val="ＭＳ Ｐゴシック"/>
        <family val="3"/>
        <charset val="128"/>
        <scheme val="minor"/>
      </rPr>
      <t xml:space="preserve">
</t>
    </r>
    <r>
      <rPr>
        <sz val="9"/>
        <rFont val="ＭＳ Ｐゴシック"/>
        <family val="3"/>
        <charset val="128"/>
        <scheme val="minor"/>
      </rPr>
      <t>・打ち切りや欠測を含むデータ、層別の必要なデータ「情報応用演習（秘書クラス）」（９回目）</t>
    </r>
    <r>
      <rPr>
        <sz val="9"/>
        <color rgb="FFFF0000"/>
        <rFont val="ＭＳ Ｐゴシック"/>
        <family val="3"/>
        <charset val="128"/>
        <scheme val="minor"/>
      </rPr>
      <t xml:space="preserve">
</t>
    </r>
    <r>
      <rPr>
        <sz val="9"/>
        <rFont val="ＭＳ Ｐゴシック"/>
        <family val="3"/>
        <charset val="128"/>
        <scheme val="minor"/>
      </rPr>
      <t>・相関と因果（相関係数、擬似相関、交絡）「データ分析活用法（高松大学との連携開設科目）」（４、９、10回目）</t>
    </r>
    <r>
      <rPr>
        <sz val="9"/>
        <color rgb="FFFF0000"/>
        <rFont val="ＭＳ Ｐゴシック"/>
        <family val="3"/>
        <charset val="128"/>
        <scheme val="minor"/>
      </rPr>
      <t xml:space="preserve">
</t>
    </r>
    <r>
      <rPr>
        <sz val="9"/>
        <rFont val="ＭＳ Ｐゴシック"/>
        <family val="3"/>
        <charset val="128"/>
        <scheme val="minor"/>
      </rPr>
      <t>・母集団と標本抽出（国勢調査、アンケート調査、全数調査、単純無作為抽出、層別抽出、多段抽出）「データ分析活用法（高松大学との連携開設科目）」（４、９、10回目）
・クロス集計表「情報応用演習（保育クラス）」（９回目）</t>
    </r>
    <r>
      <rPr>
        <sz val="9"/>
        <color rgb="FFFF0000"/>
        <rFont val="ＭＳ Ｐゴシック"/>
        <family val="3"/>
        <charset val="128"/>
        <scheme val="minor"/>
      </rPr>
      <t xml:space="preserve">
</t>
    </r>
    <r>
      <rPr>
        <sz val="9"/>
        <rFont val="ＭＳ Ｐゴシック"/>
        <family val="3"/>
        <charset val="128"/>
        <scheme val="minor"/>
      </rPr>
      <t>・クロス集計表「情報応用演習（秘書クラス）」（８、14回目）</t>
    </r>
    <r>
      <rPr>
        <sz val="9"/>
        <color rgb="FFFF0000"/>
        <rFont val="ＭＳ Ｐゴシック"/>
        <family val="3"/>
        <charset val="128"/>
        <scheme val="minor"/>
      </rPr>
      <t xml:space="preserve">
</t>
    </r>
    <r>
      <rPr>
        <sz val="9"/>
        <rFont val="ＭＳ Ｐゴシック"/>
        <family val="3"/>
        <charset val="128"/>
        <scheme val="minor"/>
      </rPr>
      <t>・クロス集計表「データ分析活用法（高松大学との連携開設科目）」（９、10回目）</t>
    </r>
    <rPh sb="394" eb="395">
      <t>ハズ</t>
    </rPh>
    <rPh sb="396" eb="397">
      <t>チ</t>
    </rPh>
    <rPh sb="535" eb="537">
      <t>ケッソク</t>
    </rPh>
    <rPh sb="620" eb="622">
      <t>ホイク</t>
    </rPh>
    <rPh sb="667" eb="669">
      <t>ヒショ</t>
    </rPh>
    <rPh sb="831" eb="833">
      <t>ホイク</t>
    </rPh>
    <rPh sb="859" eb="861">
      <t>ヒショ</t>
    </rPh>
    <phoneticPr fontId="1"/>
  </si>
  <si>
    <r>
      <rPr>
        <sz val="9"/>
        <rFont val="ＭＳ Ｐゴシック"/>
        <family val="3"/>
        <charset val="128"/>
        <scheme val="minor"/>
      </rPr>
      <t>・データ表現（棒グラフ、折線グラフ、散布図、ヒートマップ、箱ひげ図）「情報応用演習（保育クラス）」（８、12回目）</t>
    </r>
    <r>
      <rPr>
        <sz val="9"/>
        <color rgb="FFFF0000"/>
        <rFont val="ＭＳ Ｐゴシック"/>
        <family val="3"/>
        <charset val="128"/>
        <scheme val="minor"/>
      </rPr>
      <t xml:space="preserve">
</t>
    </r>
    <r>
      <rPr>
        <sz val="9"/>
        <rFont val="ＭＳ Ｐゴシック"/>
        <family val="3"/>
        <charset val="128"/>
        <scheme val="minor"/>
      </rPr>
      <t>・データ表現（棒グラフ、折線グラフ、散布図、ヒートマップ、箱ひげ図）「情報応用演習（秘書クラス）」（６、11回目）</t>
    </r>
    <r>
      <rPr>
        <sz val="9"/>
        <color rgb="FFFF0000"/>
        <rFont val="ＭＳ Ｐゴシック"/>
        <family val="3"/>
        <charset val="128"/>
        <scheme val="minor"/>
      </rPr>
      <t xml:space="preserve">
</t>
    </r>
    <r>
      <rPr>
        <sz val="9"/>
        <rFont val="ＭＳ Ｐゴシック"/>
        <family val="3"/>
        <charset val="128"/>
        <scheme val="minor"/>
      </rPr>
      <t>・データ表現（棒グラフ、折線グラフ、散布図、ヒートマップ、箱ひげ図）「データ分析活用法（高松大学との連携開設科目）」（12回目）</t>
    </r>
    <r>
      <rPr>
        <sz val="9"/>
        <color rgb="FFFF0000"/>
        <rFont val="ＭＳ Ｐゴシック"/>
        <family val="3"/>
        <charset val="128"/>
        <scheme val="minor"/>
      </rPr>
      <t xml:space="preserve">
</t>
    </r>
    <r>
      <rPr>
        <sz val="9"/>
        <rFont val="ＭＳ Ｐゴシック"/>
        <family val="3"/>
        <charset val="128"/>
        <scheme val="minor"/>
      </rPr>
      <t>・データの比較（条件をそろえた比較、処理の前後での比較、A/Bテスト)「データ分析活用法（高松大学との連携開設科目）」（13回目）</t>
    </r>
    <r>
      <rPr>
        <sz val="9"/>
        <color rgb="FFFF0000"/>
        <rFont val="ＭＳ Ｐゴシック"/>
        <family val="3"/>
        <charset val="128"/>
        <scheme val="minor"/>
      </rPr>
      <t xml:space="preserve">
</t>
    </r>
    <r>
      <rPr>
        <sz val="9"/>
        <rFont val="ＭＳ Ｐゴシック"/>
        <family val="3"/>
        <charset val="128"/>
        <scheme val="minor"/>
      </rPr>
      <t>・不適切なグラフ表現（チャートジャンク、不必要な視覚的要素）「情報応用演習（保育クラス）」（15回目）
・不適切なグラフ表現（チャートジャンク、不必要な視覚的要素）「情報応用演習（秘書クラス）」（15回目）
・不適切なグラフ表現（チャートジャンク、不必要な視覚的要素）「数理データサイエンス基礎（高松大学との連携開設科目）」（３回目）
・不適切なグラフ表現（チャートジャンク、不必要な視覚的要素）「データ分析活用法（高松大学との連携開設科目）」（13回目）
・優れた可視化事例の紹介（可視化することによって新たな気づきがあった事例など）「数理データサイエンス基礎（高松大学との連携開設科目）」（３回目）
・優れた可視化事例の紹介（可視化することによって新たな気づきがあった事例など）「データ分析活用法（高松大学との連携開設科目）」（13回目）</t>
    </r>
    <rPh sb="29" eb="30">
      <t>ハコ</t>
    </rPh>
    <rPh sb="32" eb="33">
      <t>ズ</t>
    </rPh>
    <rPh sb="42" eb="44">
      <t>ホイク</t>
    </rPh>
    <rPh sb="100" eb="102">
      <t>ヒショ</t>
    </rPh>
    <rPh sb="285" eb="287">
      <t>ホイク</t>
    </rPh>
    <rPh sb="337" eb="339">
      <t>ヒショ</t>
    </rPh>
    <phoneticPr fontId="1"/>
  </si>
  <si>
    <r>
      <rPr>
        <sz val="9"/>
        <rFont val="ＭＳ Ｐゴシック"/>
        <family val="3"/>
        <charset val="128"/>
        <scheme val="minor"/>
      </rPr>
      <t>・データの集計（和、平均）「情報応用演習（保育クラス）」（４回目）
・データの集計（和、平均）「情報応用演習（秘書クラス）」（２回目）
・データの並び替え、ランキング「情報応用演習（保育クラス）」（５回目）
・データの並び替え、ランキング「情報応用演習（秘書クラス）」（９回目）
・データ解析ツール（スプレッドシート、BIツール）「情報応用演習（保育クラス）」（１～10回目）</t>
    </r>
    <r>
      <rPr>
        <sz val="9"/>
        <color rgb="FFFF0000"/>
        <rFont val="ＭＳ Ｐゴシック"/>
        <family val="3"/>
        <charset val="128"/>
        <scheme val="minor"/>
      </rPr>
      <t xml:space="preserve">
</t>
    </r>
    <r>
      <rPr>
        <sz val="9"/>
        <rFont val="ＭＳ Ｐゴシック"/>
        <family val="3"/>
        <charset val="128"/>
        <scheme val="minor"/>
      </rPr>
      <t>・データ解析ツール（スプレッドシート、BIツール）「情報応用演習（秘書クラス）」（１～15回目）
・データ解析ツール（スプレッドシート、BIツール）「データ分析活用法」（９、10回目）</t>
    </r>
    <r>
      <rPr>
        <sz val="9"/>
        <color rgb="FFFF0000"/>
        <rFont val="ＭＳ Ｐゴシック"/>
        <family val="3"/>
        <charset val="128"/>
        <scheme val="minor"/>
      </rPr>
      <t xml:space="preserve">
</t>
    </r>
    <r>
      <rPr>
        <sz val="9"/>
        <rFont val="ＭＳ Ｐゴシック"/>
        <family val="3"/>
        <charset val="128"/>
        <scheme val="minor"/>
      </rPr>
      <t>・データ解析ツール（スプレッドシート、BIツール）「数理データサイエンス基礎」（５、６回目）</t>
    </r>
    <rPh sb="21" eb="23">
      <t>ホイク</t>
    </rPh>
    <rPh sb="55" eb="57">
      <t>ヒショ</t>
    </rPh>
    <rPh sb="91" eb="93">
      <t>ホイク</t>
    </rPh>
    <rPh sb="131" eb="133">
      <t>ホイク</t>
    </rPh>
    <rPh sb="180" eb="182">
      <t>ヒショ</t>
    </rPh>
    <phoneticPr fontId="1"/>
  </si>
  <si>
    <t>・データ解析：予測、グルーピング、パターン発見、最適化、モデル化とシミュレーション・データ同化「数理データサイエンスと未来（高松大学との連携開設科目）」（10回目）
・データ解析：予測、グルーピング、パターン発見、最適化、モデル化とシミュレーション・データ同化「情報基礎（高松大学との連携開設科目）」（１回目）
・データ可視化：複合グラフ、2軸グラフ、多次元の可視化、関係性の可視化、地図上の可視化「数理データサイエンスと未来（高松大学との連携開設科目）」（11回目）
・データ可視化：複合グラフ、2軸グラフ、多次元の可視化、関係性の可視化、地図上の可視化「情報基礎（高松大学との連携開設科目）」（１回目）</t>
    <rPh sb="31" eb="32">
      <t>カ</t>
    </rPh>
    <phoneticPr fontId="1"/>
  </si>
  <si>
    <t>・データ・AI活用領域の広がり(生産、消費、文化活動など)「数理データサイエンスと未来（高松大学との連携開設科目）」（８回目）
・研究開発、調達、製造、物流、販売、マーケティング、サービスなど「数理データサイエンスと未来（高松大学との連携開設科目）」（９回目）
・対話、コンテンツ生成、翻訳・要約・執筆支援、コーディング支援など生成AIの応用「数理データサイエンスと未来（高松大学との連携開設科目）」（３回目）</t>
    <phoneticPr fontId="1"/>
  </si>
  <si>
    <r>
      <rPr>
        <sz val="9"/>
        <color theme="1"/>
        <rFont val="ＭＳ Ｐゴシック"/>
        <family val="3"/>
        <charset val="128"/>
        <scheme val="minor"/>
      </rPr>
      <t>・倫理的・法的・社会的課題（ELSI： Ethical, Legal and Social Issues）「数理データサイエンスと未来（高松大学との連携開設科目）」（12、13、14回目）
・倫理的・法的・社会的課題（ELSI： Ethical, Legal and Social Issues）「情報応用演習（保育クラス）」（15回目）
・倫理的・法的・社会的課題（ELSI： Ethical, Legal and Social Issues）「情報応用演習（秘書クラス）」（15回目）
・個人情報保護「数理データサイエンスと未来（高松大学との連携開設科目）」（12、13、14回目）
・個人情報保護、忘れられる権利、オプトアウト「情報基礎（高松大学との連携開設科目）」（14回目）
・個人情報保護、忘れられる権利、オプトアウト「情報基礎演習（保育クラス）」(６回目)
・個人情報保護、忘れられる権利、オプトアウト「情報基礎演習（秘書クラス）」(６回目)
・データ倫理：データのねつ造、改ざん、盗用、プライバシー保護「情報基礎演習（保育クラス）」(10回目)
・データ倫理：データのねつ造、改ざん、盗用、プライバシー保護「情報基礎演習（秘書クラス）」(６回目)
・データ倫理：データのねつ造、改ざん、盗用、プライバシー保護「情報基礎（高松大学との連携開設科目）」（14回目）
・データ倫理：データのねつ造、改ざん、盗用、プライバシー保護「データ分析活用法（高松大学との連携開設科目）」（11回目）
・AI社会原則（公平性、説明責任、透明性、人間中心の判断）「情報基礎（高松大学との連携開設科目）」（15回目）</t>
    </r>
    <r>
      <rPr>
        <sz val="9"/>
        <color rgb="FFFF0000"/>
        <rFont val="ＭＳ Ｐゴシック"/>
        <family val="3"/>
        <charset val="128"/>
        <scheme val="minor"/>
      </rPr>
      <t xml:space="preserve">
</t>
    </r>
    <r>
      <rPr>
        <sz val="9"/>
        <color theme="1"/>
        <rFont val="ＭＳ Ｐゴシック"/>
        <family val="3"/>
        <charset val="128"/>
        <scheme val="minor"/>
      </rPr>
      <t>・データバイアス、アルゴリズムバイアス「データ分析活用法（高松大学との連携開設科目）」（11回目）</t>
    </r>
    <r>
      <rPr>
        <sz val="9"/>
        <color rgb="FFFF0000"/>
        <rFont val="ＭＳ Ｐゴシック"/>
        <family val="3"/>
        <charset val="128"/>
        <scheme val="minor"/>
      </rPr>
      <t xml:space="preserve">
</t>
    </r>
    <r>
      <rPr>
        <sz val="9"/>
        <color theme="1"/>
        <rFont val="ＭＳ Ｐゴシック"/>
        <family val="3"/>
        <charset val="128"/>
        <scheme val="minor"/>
      </rPr>
      <t xml:space="preserve">・データ・AI活用における負の事例紹介「情報基礎（高松大学との連携開設科目）」（15回目）
</t>
    </r>
    <r>
      <rPr>
        <sz val="9"/>
        <rFont val="ＭＳ Ｐゴシック"/>
        <family val="3"/>
        <charset val="128"/>
        <scheme val="minor"/>
      </rPr>
      <t>・データ・AI活用における負の事例紹介「数理データサイエンスと未来（高松大学との連携開設科目）」（12、13、14回目）
・生成AIの留意事項（ハルシネーションによる誤情報の生成、偽情報や有害コンテンツの生成・氾濫 など）「情報基礎（高松大学との連携開設科目）」（15回目）</t>
    </r>
    <rPh sb="1" eb="4">
      <t>リンリテキ</t>
    </rPh>
    <rPh sb="5" eb="7">
      <t>ホウテキ</t>
    </rPh>
    <rPh sb="8" eb="11">
      <t>シャカイテキ</t>
    </rPh>
    <rPh sb="11" eb="13">
      <t>カダイ</t>
    </rPh>
    <rPh sb="78" eb="80">
      <t>カモク</t>
    </rPh>
    <rPh sb="156" eb="158">
      <t>ホイク</t>
    </rPh>
    <rPh sb="231" eb="233">
      <t>ヒショ</t>
    </rPh>
    <rPh sb="373" eb="375">
      <t>ホイク</t>
    </rPh>
    <rPh sb="416" eb="418">
      <t>ヒショ</t>
    </rPh>
    <rPh sb="467" eb="469">
      <t>ホイク</t>
    </rPh>
    <rPh sb="519" eb="521">
      <t>ヒショ</t>
    </rPh>
    <phoneticPr fontId="1"/>
  </si>
  <si>
    <t>　　本教育プログラムは、高松大学との連携開設科目「数理データサイエンスと未来」を核とし、卒業必修の「情報基礎演習」「情報応用演習」を通じて数理データサイエンスのリテラシーの涵養を行う。また、本教育プログラム修了要件の必修である「情報基礎」についても早期履修を推奨している。修了者数については、「情報基礎演習」「情報応用演習」が卒業必修科目であることから、卒業者数の90％が本教育プログラムを修了することを目標としている。
　令和5年度の実績として履修者は高松短期大学全学で79名に留まり、修了者は3名であった。「数理データサイエンスと未来」及び「情報基礎」の受講者は、秘書科（現ビジネスデザイン学科）に限られ、保育学科の受講者は0名であった。保育学科においては、２年間で免許・資格を取得しなければならないため、カリキュラムが過密であり、時間割の制約を大きく受けている。特に「情報基礎」については、秘書科（現ビジネスデザイン学科）4名の受講に留まった。時間割の制約を受けることなく希望者が履修できるよう、２クラス化やオンデマンド学習を含む多様な受講方法が望まれている。</t>
    <rPh sb="476" eb="477">
      <t>ノゾ</t>
    </rPh>
    <phoneticPr fontId="1"/>
  </si>
  <si>
    <t>　本教育プログラムでは、未来社会Society5.0において活躍できる人材にとって必要不可欠だと考えられる、数理・データサイエンス・AIについての基礎学力を身につけ、価値創造や課題解決に向けた実践的能力を身に付け、また、情報セキュリティや情報倫理の観点から、数理・データサイエンス・AI技術のあるべき活用のあり方を理解し、不適切な利用を防止できることを目的としている。これらの能力を備えた人材が、社会において相応しい評価・処遇を受けることができるよう、本学では地域社会に対して本教育プログラムの意義について周知を図っていく。</t>
    <phoneticPr fontId="1"/>
  </si>
  <si>
    <t>　卒業必修科目の「情報基礎演習」「情報応用演習」については、教務課において履修登録期間中に登録状況のモニタリングを行い、未登録の学生及びその学生が所属する研究室担当教員に対して注意喚起を行っている。
　また修得に向けたサポートとして、各授業科目においてはGoogle Classroomを活用している。常時、学生は配布資料の閲覧及び取得が可能であり、個々の学生に応じた適切な場所及びデバイスからの課題提出が可能である。授業担当教員は受講する学生の課題提出状況を把握し、小テストなどにより理解及び習熟の状況を随時把握することで、学生の単位修得に向けて適切な指導を行うことができる。</t>
    <rPh sb="77" eb="80">
      <t>ケンキュウシツ</t>
    </rPh>
    <rPh sb="117" eb="118">
      <t>カク</t>
    </rPh>
    <rPh sb="118" eb="120">
      <t>ジュギョウ</t>
    </rPh>
    <rPh sb="120" eb="122">
      <t>カモク</t>
    </rPh>
    <phoneticPr fontId="1"/>
  </si>
  <si>
    <t>授業科目「情報基礎演習」「情報応用演習」と高松大学との連携開設科目「数理データサイエンスと未来」「情報基礎」の単位修得をもって、本教育プログラムを修了したものする。なお、高松大学との連携開設科目「数理データサイエンス基礎」「データ分析活用法」は、履修推奨科目である。</t>
    <rPh sb="21" eb="23">
      <t>タカマツ</t>
    </rPh>
    <rPh sb="23" eb="25">
      <t>ダイガク</t>
    </rPh>
    <rPh sb="27" eb="29">
      <t>レンケイ</t>
    </rPh>
    <rPh sb="29" eb="31">
      <t>カイセツ</t>
    </rPh>
    <rPh sb="31" eb="33">
      <t>カモク</t>
    </rPh>
    <rPh sb="108" eb="110">
      <t>キソ</t>
    </rPh>
    <rPh sb="115" eb="117">
      <t>ブンセキ</t>
    </rPh>
    <rPh sb="117" eb="120">
      <t>カツヨウホウ</t>
    </rPh>
    <rPh sb="123" eb="125">
      <t>リシュウ</t>
    </rPh>
    <rPh sb="125" eb="127">
      <t>スイショウ</t>
    </rPh>
    <rPh sb="127" eb="129">
      <t>カモク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</si>
</sst>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9"/>
      <color rgb="FFFF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9" fontId="2" fillId="0" borderId="14" xfId="0" applyNumberFormat="1" applyFont="1" applyBorder="1" applyAlignment="1">
      <alignment vertical="center" shrinkToFit="1"/>
    </xf>
    <xf numFmtId="0" fontId="12" fillId="0" borderId="0" xfId="0" applyFont="1" applyAlignment="1">
      <alignment horizontal="left" vertical="center" wrapText="1"/>
    </xf>
    <xf numFmtId="49" fontId="17" fillId="0" borderId="32" xfId="0" applyNumberFormat="1" applyFont="1" applyBorder="1" applyAlignment="1">
      <alignment horizontal="left" vertical="center" wrapText="1"/>
    </xf>
    <xf numFmtId="49" fontId="17" fillId="0" borderId="33" xfId="0" applyNumberFormat="1" applyFont="1" applyBorder="1" applyAlignment="1">
      <alignment horizontal="left" vertical="center"/>
    </xf>
    <xf numFmtId="49" fontId="17" fillId="0" borderId="34" xfId="0" applyNumberFormat="1" applyFont="1" applyBorder="1" applyAlignment="1">
      <alignment horizontal="left" vertical="center"/>
    </xf>
    <xf numFmtId="49" fontId="17" fillId="0" borderId="29" xfId="0" applyNumberFormat="1" applyFont="1" applyBorder="1" applyAlignment="1">
      <alignment horizontal="left" vertical="center" wrapText="1"/>
    </xf>
    <xf numFmtId="49" fontId="17" fillId="0" borderId="31" xfId="0" applyNumberFormat="1" applyFont="1" applyBorder="1" applyAlignment="1">
      <alignment horizontal="left" vertical="center"/>
    </xf>
    <xf numFmtId="49" fontId="17" fillId="0" borderId="30" xfId="0" applyNumberFormat="1" applyFont="1" applyBorder="1" applyAlignment="1">
      <alignment horizontal="left" vertical="center"/>
    </xf>
    <xf numFmtId="49" fontId="17" fillId="0" borderId="18" xfId="0" applyNumberFormat="1" applyFont="1" applyBorder="1" applyAlignment="1">
      <alignment horizontal="left" vertical="center" wrapText="1"/>
    </xf>
    <xf numFmtId="49" fontId="17" fillId="0" borderId="19" xfId="0" applyNumberFormat="1" applyFont="1" applyBorder="1" applyAlignment="1">
      <alignment horizontal="left" vertical="center"/>
    </xf>
    <xf numFmtId="49" fontId="17"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2"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13" fillId="0" borderId="2" xfId="0" applyFont="1" applyBorder="1" applyAlignment="1">
      <alignment vertical="center" wrapText="1" shrinkToFit="1"/>
    </xf>
    <xf numFmtId="0" fontId="10" fillId="0" borderId="3" xfId="0" applyFont="1" applyBorder="1" applyAlignment="1">
      <alignment vertical="center" wrapText="1" shrinkToFit="1"/>
    </xf>
    <xf numFmtId="0" fontId="10"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13"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13" fillId="0" borderId="9" xfId="0" applyFont="1" applyBorder="1" applyAlignment="1">
      <alignment vertical="top"/>
    </xf>
    <xf numFmtId="0" fontId="13" fillId="0" borderId="5" xfId="0" applyFont="1" applyBorder="1" applyAlignment="1">
      <alignment vertical="top"/>
    </xf>
    <xf numFmtId="0" fontId="13" fillId="0" borderId="0" xfId="0" applyFont="1" applyAlignment="1">
      <alignment vertical="top"/>
    </xf>
    <xf numFmtId="0" fontId="13" fillId="0" borderId="10" xfId="0" applyFont="1" applyBorder="1" applyAlignment="1">
      <alignment vertical="top"/>
    </xf>
    <xf numFmtId="0" fontId="13" fillId="0" borderId="11" xfId="0" applyFont="1" applyBorder="1" applyAlignment="1">
      <alignment vertical="top"/>
    </xf>
    <xf numFmtId="0" fontId="13" fillId="0" borderId="6" xfId="0" applyFont="1" applyBorder="1" applyAlignment="1">
      <alignment vertical="top"/>
    </xf>
    <xf numFmtId="0" fontId="13"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3"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5" xfId="0" applyFont="1" applyBorder="1" applyAlignment="1">
      <alignment horizontal="left" vertical="top" wrapText="1"/>
    </xf>
    <xf numFmtId="0" fontId="10" fillId="0" borderId="0" xfId="0" applyFont="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wrapText="1" shrinkToFit="1"/>
    </xf>
    <xf numFmtId="0" fontId="13" fillId="0" borderId="0" xfId="0" applyFont="1" applyAlignment="1">
      <alignment vertical="top" wrapText="1" shrinkToFit="1"/>
    </xf>
    <xf numFmtId="0" fontId="13" fillId="0" borderId="10" xfId="0" applyFont="1" applyBorder="1" applyAlignment="1">
      <alignment vertical="top"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0" fillId="0" borderId="8" xfId="0" applyFont="1" applyBorder="1" applyAlignment="1">
      <alignment vertical="top" wrapText="1"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2" fillId="0" borderId="0" xfId="0" applyFont="1">
      <alignment vertical="center"/>
    </xf>
    <xf numFmtId="0" fontId="13" fillId="0" borderId="5" xfId="0" applyFont="1" applyBorder="1" applyAlignment="1">
      <alignment vertical="top" shrinkToFit="1"/>
    </xf>
    <xf numFmtId="0" fontId="13" fillId="0" borderId="0" xfId="0" applyFont="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13"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3" fillId="0" borderId="33" xfId="0" applyFont="1" applyBorder="1" applyAlignment="1">
      <alignment vertical="top" wrapText="1" shrinkToFit="1"/>
    </xf>
    <xf numFmtId="0" fontId="13"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3" fillId="0" borderId="37" xfId="0" applyFont="1" applyBorder="1" applyAlignment="1">
      <alignment vertical="top" wrapText="1" shrinkToFit="1"/>
    </xf>
    <xf numFmtId="0" fontId="13" fillId="0" borderId="38" xfId="0" applyFont="1" applyBorder="1" applyAlignment="1">
      <alignment vertical="top" wrapText="1" shrinkToFit="1"/>
    </xf>
    <xf numFmtId="0" fontId="13" fillId="0" borderId="18" xfId="0" applyFont="1" applyBorder="1" applyAlignment="1">
      <alignment vertical="top" wrapText="1" shrinkToFit="1"/>
    </xf>
    <xf numFmtId="0" fontId="13" fillId="0" borderId="32" xfId="0" applyFont="1" applyBorder="1" applyAlignment="1">
      <alignment vertical="top" wrapText="1" shrinkToFit="1"/>
    </xf>
    <xf numFmtId="0" fontId="10" fillId="0" borderId="33" xfId="0" applyFont="1" applyBorder="1" applyAlignment="1">
      <alignment vertical="top" wrapText="1" shrinkToFit="1"/>
    </xf>
    <xf numFmtId="0" fontId="10" fillId="0" borderId="34"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B15" sqref="B15:U20"/>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4"/>
      <c r="B1" s="74"/>
      <c r="C1" s="74"/>
      <c r="D1" s="74"/>
      <c r="E1" s="74"/>
      <c r="F1" s="74"/>
      <c r="G1" s="74"/>
      <c r="H1" s="74"/>
      <c r="I1" s="74"/>
      <c r="J1" s="74"/>
      <c r="K1" s="74"/>
      <c r="L1" s="74"/>
      <c r="M1" s="74"/>
      <c r="N1" s="74"/>
      <c r="O1" s="74"/>
      <c r="P1" s="74"/>
      <c r="Q1" s="74"/>
      <c r="R1" s="74"/>
      <c r="S1" s="74"/>
      <c r="T1" s="127" t="s">
        <v>12</v>
      </c>
      <c r="U1" s="127"/>
      <c r="V1" s="2" t="s">
        <v>100</v>
      </c>
    </row>
    <row r="2" spans="1:24" ht="18.75" customHeight="1" x14ac:dyDescent="0.15">
      <c r="A2" s="74"/>
      <c r="B2" s="76" t="s">
        <v>99</v>
      </c>
      <c r="C2" s="128" t="s">
        <v>136</v>
      </c>
      <c r="D2" s="129"/>
      <c r="E2" s="129"/>
      <c r="F2" s="129"/>
      <c r="G2" s="129"/>
      <c r="H2" s="129"/>
      <c r="I2" s="129"/>
      <c r="J2" s="130"/>
      <c r="K2" s="75"/>
      <c r="L2" s="77"/>
      <c r="M2" s="77"/>
      <c r="N2" s="77"/>
      <c r="O2" s="77"/>
      <c r="P2" s="77"/>
      <c r="Q2" s="77"/>
      <c r="R2" s="77"/>
      <c r="S2" s="77"/>
      <c r="T2" s="77"/>
      <c r="U2" s="77"/>
    </row>
    <row r="3" spans="1:24" ht="18.75" customHeight="1" x14ac:dyDescent="0.15">
      <c r="A3" s="74"/>
      <c r="B3" s="76" t="s">
        <v>94</v>
      </c>
      <c r="C3" s="131" t="s">
        <v>137</v>
      </c>
      <c r="D3" s="132"/>
      <c r="E3" s="132"/>
      <c r="F3" s="132"/>
      <c r="G3" s="132"/>
      <c r="H3" s="132"/>
      <c r="I3" s="132"/>
      <c r="J3" s="133"/>
      <c r="K3" s="75"/>
      <c r="L3" s="77"/>
      <c r="M3" s="77"/>
      <c r="N3" s="77"/>
      <c r="O3" s="77"/>
      <c r="P3" s="77"/>
      <c r="Q3" s="77"/>
      <c r="R3" s="77"/>
      <c r="S3" s="77"/>
      <c r="T3" s="77"/>
      <c r="U3" s="77"/>
    </row>
    <row r="4" spans="1:24" ht="15" customHeight="1" x14ac:dyDescent="0.15">
      <c r="A4" s="74"/>
      <c r="B4" s="74"/>
      <c r="C4" s="74"/>
      <c r="D4" s="74"/>
      <c r="E4" s="74"/>
      <c r="F4" s="74"/>
      <c r="G4" s="74"/>
      <c r="H4" s="74"/>
      <c r="I4" s="74"/>
      <c r="J4" s="74"/>
      <c r="K4" s="74"/>
      <c r="L4" s="75"/>
      <c r="M4" s="78"/>
      <c r="N4" s="78"/>
      <c r="O4" s="78"/>
      <c r="P4" s="78"/>
      <c r="Q4" s="78"/>
      <c r="R4" s="78"/>
      <c r="S4" s="78"/>
      <c r="T4" s="78"/>
      <c r="U4" s="78"/>
    </row>
    <row r="5" spans="1:24" ht="18" customHeight="1" x14ac:dyDescent="0.15">
      <c r="A5" s="134" t="s">
        <v>38</v>
      </c>
      <c r="B5" s="134"/>
      <c r="C5" s="134"/>
      <c r="D5" s="134"/>
      <c r="E5" s="134"/>
      <c r="F5" s="134"/>
      <c r="G5" s="134"/>
      <c r="H5" s="134"/>
      <c r="I5" s="134"/>
      <c r="J5" s="134"/>
      <c r="K5" s="134"/>
      <c r="L5" s="134"/>
      <c r="M5" s="134"/>
      <c r="N5" s="134"/>
      <c r="O5" s="134"/>
      <c r="P5" s="134"/>
      <c r="Q5" s="134"/>
      <c r="R5" s="134"/>
      <c r="S5" s="134"/>
      <c r="T5" s="134"/>
      <c r="U5" s="134"/>
    </row>
    <row r="6" spans="1:24" ht="15" customHeight="1" x14ac:dyDescent="0.15">
      <c r="A6" s="74"/>
      <c r="B6" s="79"/>
      <c r="C6" s="79"/>
      <c r="D6" s="79"/>
      <c r="E6" s="79"/>
      <c r="F6" s="79"/>
      <c r="G6" s="79"/>
      <c r="H6" s="79"/>
      <c r="I6" s="79"/>
      <c r="J6" s="79"/>
      <c r="K6" s="79"/>
      <c r="L6" s="79"/>
      <c r="M6" s="79"/>
      <c r="N6" s="79"/>
      <c r="O6" s="79"/>
      <c r="P6" s="79"/>
      <c r="Q6" s="79"/>
      <c r="R6" s="79"/>
      <c r="S6" s="79"/>
      <c r="T6" s="79"/>
      <c r="U6" s="79"/>
    </row>
    <row r="7" spans="1:24" ht="15" customHeight="1" x14ac:dyDescent="0.15">
      <c r="A7" s="74" t="s">
        <v>131</v>
      </c>
      <c r="B7" s="79"/>
      <c r="C7" s="79"/>
      <c r="D7" s="79"/>
      <c r="E7" s="79"/>
      <c r="F7" s="73"/>
      <c r="G7" s="73"/>
      <c r="H7" s="73"/>
      <c r="I7" s="73"/>
      <c r="J7" s="73"/>
      <c r="K7" s="73"/>
      <c r="L7" s="99" t="s">
        <v>138</v>
      </c>
      <c r="M7" s="100"/>
      <c r="N7" s="100"/>
      <c r="O7" s="100"/>
      <c r="P7" s="100"/>
      <c r="Q7" s="100"/>
      <c r="R7" s="100"/>
      <c r="S7" s="100"/>
      <c r="T7" s="100"/>
      <c r="U7" s="101"/>
    </row>
    <row r="8" spans="1:24" ht="6" customHeight="1" x14ac:dyDescent="0.15">
      <c r="A8" s="74"/>
      <c r="B8" s="79"/>
      <c r="C8" s="79"/>
      <c r="D8" s="79"/>
      <c r="E8" s="79"/>
      <c r="F8" s="79"/>
      <c r="G8" s="79"/>
      <c r="H8" s="79"/>
      <c r="I8" s="79"/>
      <c r="J8" s="79"/>
      <c r="K8" s="79"/>
      <c r="L8" s="79"/>
      <c r="M8" s="79"/>
      <c r="N8" s="79"/>
      <c r="O8" s="79"/>
      <c r="P8" s="79"/>
      <c r="Q8" s="79"/>
      <c r="R8" s="79"/>
      <c r="S8" s="79"/>
      <c r="T8" s="79"/>
      <c r="U8" s="79"/>
    </row>
    <row r="9" spans="1:24" ht="18" customHeight="1" x14ac:dyDescent="0.15">
      <c r="A9" s="74" t="s">
        <v>132</v>
      </c>
      <c r="B9" s="74"/>
      <c r="C9" s="79"/>
      <c r="D9" s="79"/>
      <c r="E9" s="74"/>
      <c r="F9" s="74"/>
      <c r="G9" s="74"/>
      <c r="H9" s="74"/>
      <c r="I9" s="74"/>
      <c r="J9" s="74"/>
      <c r="K9" s="75"/>
      <c r="L9" s="73"/>
      <c r="M9" s="73"/>
      <c r="N9" s="73"/>
      <c r="O9" s="73"/>
      <c r="P9" s="73"/>
      <c r="Q9" s="73"/>
      <c r="R9" s="73"/>
      <c r="S9" s="73"/>
      <c r="T9" s="73"/>
      <c r="U9" s="73"/>
    </row>
    <row r="10" spans="1:24" ht="6" customHeight="1" x14ac:dyDescent="0.15">
      <c r="A10" s="74"/>
      <c r="B10" s="79"/>
      <c r="C10" s="79"/>
      <c r="D10" s="79"/>
      <c r="E10" s="79"/>
      <c r="F10" s="79"/>
      <c r="G10" s="79"/>
      <c r="H10" s="79"/>
      <c r="I10" s="79"/>
      <c r="J10" s="79"/>
      <c r="K10" s="79"/>
      <c r="L10" s="80"/>
      <c r="M10" s="79"/>
      <c r="N10" s="79"/>
      <c r="O10" s="79"/>
      <c r="P10" s="79"/>
      <c r="Q10" s="79"/>
      <c r="R10" s="79"/>
      <c r="S10" s="79"/>
      <c r="T10" s="79"/>
      <c r="U10" s="79"/>
    </row>
    <row r="11" spans="1:24" ht="18" customHeight="1" x14ac:dyDescent="0.15">
      <c r="A11" s="74"/>
      <c r="B11" s="111"/>
      <c r="C11" s="112"/>
      <c r="D11" s="112"/>
      <c r="E11" s="112"/>
      <c r="F11" s="112"/>
      <c r="G11" s="112"/>
      <c r="H11" s="112"/>
      <c r="I11" s="112"/>
      <c r="J11" s="112"/>
      <c r="K11" s="112"/>
      <c r="L11" s="112"/>
      <c r="M11" s="112"/>
      <c r="N11" s="112"/>
      <c r="O11" s="112"/>
      <c r="P11" s="112"/>
      <c r="Q11" s="112"/>
      <c r="R11" s="112"/>
      <c r="S11" s="112"/>
      <c r="T11" s="112"/>
      <c r="U11" s="113"/>
    </row>
    <row r="12" spans="1:24" ht="18" customHeight="1" x14ac:dyDescent="0.15">
      <c r="A12" s="74"/>
      <c r="B12" s="114"/>
      <c r="C12" s="115"/>
      <c r="D12" s="115"/>
      <c r="E12" s="115"/>
      <c r="F12" s="115"/>
      <c r="G12" s="115"/>
      <c r="H12" s="115"/>
      <c r="I12" s="115"/>
      <c r="J12" s="115"/>
      <c r="K12" s="115"/>
      <c r="L12" s="115"/>
      <c r="M12" s="115"/>
      <c r="N12" s="115"/>
      <c r="O12" s="115"/>
      <c r="P12" s="115"/>
      <c r="Q12" s="115"/>
      <c r="R12" s="115"/>
      <c r="S12" s="115"/>
      <c r="T12" s="115"/>
      <c r="U12" s="116"/>
    </row>
    <row r="13" spans="1:24" ht="6" customHeight="1" x14ac:dyDescent="0.15">
      <c r="A13" s="74"/>
      <c r="B13" s="79"/>
      <c r="C13" s="79"/>
      <c r="D13" s="79"/>
      <c r="E13" s="79"/>
      <c r="F13" s="79"/>
      <c r="G13" s="79"/>
      <c r="H13" s="79"/>
      <c r="I13" s="79"/>
      <c r="J13" s="79"/>
      <c r="K13" s="79"/>
      <c r="L13" s="80"/>
      <c r="M13" s="79"/>
      <c r="N13" s="79"/>
      <c r="O13" s="79"/>
      <c r="P13" s="79"/>
      <c r="Q13" s="79"/>
      <c r="R13" s="79"/>
      <c r="S13" s="79"/>
      <c r="T13" s="79"/>
      <c r="U13" s="79"/>
    </row>
    <row r="14" spans="1:24" ht="18" customHeight="1" x14ac:dyDescent="0.15">
      <c r="A14" s="74" t="s">
        <v>101</v>
      </c>
      <c r="B14" s="79"/>
      <c r="C14" s="79"/>
      <c r="D14" s="79"/>
      <c r="E14" s="75"/>
      <c r="F14" s="75"/>
      <c r="G14" s="75"/>
      <c r="H14" s="75"/>
      <c r="I14" s="75"/>
      <c r="J14" s="75"/>
      <c r="K14" s="75"/>
      <c r="L14" s="81"/>
      <c r="M14" s="81"/>
      <c r="N14" s="81"/>
      <c r="O14" s="81"/>
      <c r="P14" s="81"/>
      <c r="Q14" s="81"/>
      <c r="R14" s="81"/>
      <c r="S14" s="81"/>
      <c r="T14" s="81"/>
      <c r="U14" s="81"/>
    </row>
    <row r="15" spans="1:24" ht="18" customHeight="1" x14ac:dyDescent="0.15">
      <c r="A15" s="74"/>
      <c r="B15" s="135" t="s">
        <v>188</v>
      </c>
      <c r="C15" s="136"/>
      <c r="D15" s="136"/>
      <c r="E15" s="136"/>
      <c r="F15" s="136"/>
      <c r="G15" s="136"/>
      <c r="H15" s="136"/>
      <c r="I15" s="136"/>
      <c r="J15" s="136"/>
      <c r="K15" s="136"/>
      <c r="L15" s="136"/>
      <c r="M15" s="136"/>
      <c r="N15" s="136"/>
      <c r="O15" s="136"/>
      <c r="P15" s="136"/>
      <c r="Q15" s="136"/>
      <c r="R15" s="136"/>
      <c r="S15" s="136"/>
      <c r="T15" s="136"/>
      <c r="U15" s="137"/>
      <c r="X15" s="1" t="s">
        <v>95</v>
      </c>
    </row>
    <row r="16" spans="1:24" ht="18" customHeight="1" x14ac:dyDescent="0.15">
      <c r="A16" s="74"/>
      <c r="B16" s="138"/>
      <c r="C16" s="139"/>
      <c r="D16" s="139"/>
      <c r="E16" s="139"/>
      <c r="F16" s="139"/>
      <c r="G16" s="139"/>
      <c r="H16" s="139"/>
      <c r="I16" s="139"/>
      <c r="J16" s="139"/>
      <c r="K16" s="139"/>
      <c r="L16" s="139"/>
      <c r="M16" s="139"/>
      <c r="N16" s="139"/>
      <c r="O16" s="139"/>
      <c r="P16" s="139"/>
      <c r="Q16" s="139"/>
      <c r="R16" s="139"/>
      <c r="S16" s="139"/>
      <c r="T16" s="139"/>
      <c r="U16" s="140"/>
      <c r="X16" s="1" t="s">
        <v>115</v>
      </c>
    </row>
    <row r="17" spans="1:24" ht="18" customHeight="1" x14ac:dyDescent="0.15">
      <c r="A17" s="74"/>
      <c r="B17" s="138"/>
      <c r="C17" s="139"/>
      <c r="D17" s="139"/>
      <c r="E17" s="139"/>
      <c r="F17" s="139"/>
      <c r="G17" s="139"/>
      <c r="H17" s="139"/>
      <c r="I17" s="139"/>
      <c r="J17" s="139"/>
      <c r="K17" s="139"/>
      <c r="L17" s="139"/>
      <c r="M17" s="139"/>
      <c r="N17" s="139"/>
      <c r="O17" s="139"/>
      <c r="P17" s="139"/>
      <c r="Q17" s="139"/>
      <c r="R17" s="139"/>
      <c r="S17" s="139"/>
      <c r="T17" s="139"/>
      <c r="U17" s="140"/>
      <c r="X17" s="1" t="s">
        <v>116</v>
      </c>
    </row>
    <row r="18" spans="1:24" ht="18" customHeight="1" x14ac:dyDescent="0.15">
      <c r="A18" s="74"/>
      <c r="B18" s="138"/>
      <c r="C18" s="139"/>
      <c r="D18" s="139"/>
      <c r="E18" s="139"/>
      <c r="F18" s="139"/>
      <c r="G18" s="139"/>
      <c r="H18" s="139"/>
      <c r="I18" s="139"/>
      <c r="J18" s="139"/>
      <c r="K18" s="139"/>
      <c r="L18" s="139"/>
      <c r="M18" s="139"/>
      <c r="N18" s="139"/>
      <c r="O18" s="139"/>
      <c r="P18" s="139"/>
      <c r="Q18" s="139"/>
      <c r="R18" s="139"/>
      <c r="S18" s="139"/>
      <c r="T18" s="139"/>
      <c r="U18" s="140"/>
      <c r="X18" s="1" t="s">
        <v>117</v>
      </c>
    </row>
    <row r="19" spans="1:24" ht="18" customHeight="1" x14ac:dyDescent="0.15">
      <c r="A19" s="74"/>
      <c r="B19" s="138"/>
      <c r="C19" s="139"/>
      <c r="D19" s="139"/>
      <c r="E19" s="139"/>
      <c r="F19" s="139"/>
      <c r="G19" s="139"/>
      <c r="H19" s="139"/>
      <c r="I19" s="139"/>
      <c r="J19" s="139"/>
      <c r="K19" s="139"/>
      <c r="L19" s="139"/>
      <c r="M19" s="139"/>
      <c r="N19" s="139"/>
      <c r="O19" s="139"/>
      <c r="P19" s="139"/>
      <c r="Q19" s="139"/>
      <c r="R19" s="139"/>
      <c r="S19" s="139"/>
      <c r="T19" s="139"/>
      <c r="U19" s="140"/>
    </row>
    <row r="20" spans="1:24" ht="18" customHeight="1" x14ac:dyDescent="0.15">
      <c r="A20" s="74"/>
      <c r="B20" s="141"/>
      <c r="C20" s="142"/>
      <c r="D20" s="142"/>
      <c r="E20" s="142"/>
      <c r="F20" s="142"/>
      <c r="G20" s="142"/>
      <c r="H20" s="142"/>
      <c r="I20" s="142"/>
      <c r="J20" s="142"/>
      <c r="K20" s="142"/>
      <c r="L20" s="142"/>
      <c r="M20" s="142"/>
      <c r="N20" s="142"/>
      <c r="O20" s="142"/>
      <c r="P20" s="142"/>
      <c r="Q20" s="142"/>
      <c r="R20" s="142"/>
      <c r="S20" s="142"/>
      <c r="T20" s="142"/>
      <c r="U20" s="143"/>
    </row>
    <row r="21" spans="1:24" ht="7.5" customHeight="1" x14ac:dyDescent="0.15">
      <c r="A21" s="74"/>
      <c r="B21" s="79"/>
      <c r="C21" s="79"/>
      <c r="D21" s="79"/>
      <c r="E21" s="79"/>
      <c r="F21" s="79"/>
      <c r="G21" s="79"/>
      <c r="H21" s="79"/>
      <c r="I21" s="79"/>
      <c r="J21" s="79"/>
      <c r="K21" s="79"/>
      <c r="L21" s="79"/>
      <c r="M21" s="79"/>
      <c r="N21" s="79"/>
      <c r="O21" s="79"/>
      <c r="P21" s="79"/>
      <c r="Q21" s="79"/>
      <c r="R21" s="79"/>
      <c r="S21" s="79"/>
      <c r="T21" s="79"/>
      <c r="U21" s="79"/>
    </row>
    <row r="22" spans="1:24" ht="19.899999999999999" customHeight="1" x14ac:dyDescent="0.15">
      <c r="A22" s="74"/>
      <c r="B22" s="74" t="s">
        <v>133</v>
      </c>
      <c r="C22" s="74"/>
      <c r="D22" s="74"/>
      <c r="E22" s="82">
        <v>4</v>
      </c>
      <c r="F22" s="74" t="s">
        <v>113</v>
      </c>
      <c r="G22" s="74"/>
      <c r="H22" s="83">
        <v>6</v>
      </c>
      <c r="I22" s="79" t="s">
        <v>114</v>
      </c>
      <c r="J22" s="79"/>
      <c r="K22" s="75"/>
      <c r="L22" s="74"/>
      <c r="M22" s="75" t="s">
        <v>110</v>
      </c>
      <c r="N22" s="96" t="s">
        <v>117</v>
      </c>
      <c r="O22" s="97"/>
      <c r="P22" s="97"/>
      <c r="Q22" s="97"/>
      <c r="R22" s="97"/>
      <c r="S22" s="97"/>
      <c r="T22" s="97"/>
      <c r="U22" s="98"/>
    </row>
    <row r="23" spans="1:24" ht="7.5" customHeight="1" x14ac:dyDescent="0.15">
      <c r="A23" s="74"/>
      <c r="B23" s="79"/>
      <c r="C23" s="79"/>
      <c r="D23" s="79"/>
      <c r="E23" s="79"/>
      <c r="F23" s="79"/>
      <c r="G23" s="79"/>
      <c r="H23" s="79"/>
      <c r="I23" s="79"/>
      <c r="J23" s="79"/>
      <c r="K23" s="79"/>
      <c r="L23" s="79"/>
      <c r="M23" s="79"/>
      <c r="N23" s="79"/>
      <c r="O23" s="79"/>
      <c r="P23" s="79"/>
      <c r="Q23" s="79"/>
      <c r="R23" s="79"/>
      <c r="S23" s="79"/>
      <c r="T23" s="79"/>
      <c r="U23" s="79"/>
    </row>
    <row r="24" spans="1:24" ht="18" customHeight="1" x14ac:dyDescent="0.15">
      <c r="A24" s="144" t="s">
        <v>102</v>
      </c>
      <c r="B24" s="144"/>
      <c r="C24" s="144"/>
      <c r="D24" s="144"/>
      <c r="E24" s="144"/>
      <c r="F24" s="144"/>
      <c r="G24" s="144"/>
      <c r="H24" s="144"/>
      <c r="I24" s="144"/>
      <c r="J24" s="144"/>
      <c r="K24" s="144"/>
      <c r="L24" s="144"/>
      <c r="M24" s="144"/>
      <c r="N24" s="144"/>
      <c r="O24" s="144"/>
      <c r="P24" s="144"/>
      <c r="Q24" s="144"/>
      <c r="R24" s="144"/>
      <c r="S24" s="144"/>
      <c r="T24" s="144"/>
      <c r="U24" s="144"/>
    </row>
    <row r="25" spans="1:24" ht="18" customHeight="1" x14ac:dyDescent="0.15">
      <c r="A25" s="144"/>
      <c r="B25" s="144"/>
      <c r="C25" s="144"/>
      <c r="D25" s="144"/>
      <c r="E25" s="144"/>
      <c r="F25" s="144"/>
      <c r="G25" s="144"/>
      <c r="H25" s="144"/>
      <c r="I25" s="144"/>
      <c r="J25" s="144"/>
      <c r="K25" s="144"/>
      <c r="L25" s="144"/>
      <c r="M25" s="144"/>
      <c r="N25" s="144"/>
      <c r="O25" s="144"/>
      <c r="P25" s="144"/>
      <c r="Q25" s="144"/>
      <c r="R25" s="144"/>
      <c r="S25" s="144"/>
      <c r="T25" s="144"/>
      <c r="U25" s="144"/>
    </row>
    <row r="26" spans="1:24" ht="18" customHeight="1" x14ac:dyDescent="0.15">
      <c r="B26" s="102" t="s">
        <v>52</v>
      </c>
      <c r="C26" s="103"/>
      <c r="D26" s="103"/>
      <c r="E26" s="103"/>
      <c r="F26" s="104"/>
      <c r="G26" s="50" t="s">
        <v>78</v>
      </c>
      <c r="H26" s="49" t="s">
        <v>81</v>
      </c>
      <c r="I26" s="16" t="s">
        <v>55</v>
      </c>
      <c r="J26" s="16" t="s">
        <v>58</v>
      </c>
      <c r="K26" s="102" t="s">
        <v>52</v>
      </c>
      <c r="L26" s="103"/>
      <c r="M26" s="103"/>
      <c r="N26" s="103"/>
      <c r="O26" s="103"/>
      <c r="P26" s="103"/>
      <c r="Q26" s="104"/>
      <c r="R26" s="50" t="s">
        <v>78</v>
      </c>
      <c r="S26" s="49" t="s">
        <v>81</v>
      </c>
      <c r="T26" s="16" t="s">
        <v>55</v>
      </c>
      <c r="U26" s="16" t="s">
        <v>58</v>
      </c>
    </row>
    <row r="27" spans="1:24" ht="18" customHeight="1" x14ac:dyDescent="0.15">
      <c r="B27" s="123" t="s">
        <v>140</v>
      </c>
      <c r="C27" s="124"/>
      <c r="D27" s="124"/>
      <c r="E27" s="124"/>
      <c r="F27" s="125"/>
      <c r="G27" s="17">
        <v>2</v>
      </c>
      <c r="H27" s="17" t="s">
        <v>143</v>
      </c>
      <c r="I27" s="17" t="s">
        <v>143</v>
      </c>
      <c r="J27" s="17" t="s">
        <v>143</v>
      </c>
      <c r="K27" s="123"/>
      <c r="L27" s="124"/>
      <c r="M27" s="124"/>
      <c r="N27" s="124"/>
      <c r="O27" s="124"/>
      <c r="P27" s="124"/>
      <c r="Q27" s="125"/>
      <c r="R27" s="17"/>
      <c r="S27" s="17"/>
      <c r="T27" s="17"/>
      <c r="U27" s="17"/>
    </row>
    <row r="28" spans="1:24" ht="18" customHeight="1" x14ac:dyDescent="0.15">
      <c r="B28" s="117" t="s">
        <v>142</v>
      </c>
      <c r="C28" s="118"/>
      <c r="D28" s="118"/>
      <c r="E28" s="118"/>
      <c r="F28" s="119"/>
      <c r="G28" s="18">
        <v>2</v>
      </c>
      <c r="H28" s="18" t="s">
        <v>143</v>
      </c>
      <c r="I28" s="18"/>
      <c r="J28" s="18" t="s">
        <v>143</v>
      </c>
      <c r="K28" s="117"/>
      <c r="L28" s="118"/>
      <c r="M28" s="118"/>
      <c r="N28" s="118"/>
      <c r="O28" s="118"/>
      <c r="P28" s="118"/>
      <c r="Q28" s="119"/>
      <c r="R28" s="18"/>
      <c r="S28" s="18"/>
      <c r="T28" s="18"/>
      <c r="U28" s="18"/>
    </row>
    <row r="29" spans="1:24" ht="18" customHeight="1" x14ac:dyDescent="0.15">
      <c r="B29" s="117"/>
      <c r="C29" s="118"/>
      <c r="D29" s="118"/>
      <c r="E29" s="118"/>
      <c r="F29" s="119"/>
      <c r="G29" s="18"/>
      <c r="H29" s="18"/>
      <c r="I29" s="18"/>
      <c r="J29" s="18"/>
      <c r="K29" s="117"/>
      <c r="L29" s="118"/>
      <c r="M29" s="118"/>
      <c r="N29" s="118"/>
      <c r="O29" s="118"/>
      <c r="P29" s="118"/>
      <c r="Q29" s="119"/>
      <c r="R29" s="18"/>
      <c r="S29" s="18"/>
      <c r="T29" s="18"/>
      <c r="U29" s="18"/>
    </row>
    <row r="30" spans="1:24" ht="18" customHeight="1" x14ac:dyDescent="0.15">
      <c r="B30" s="117"/>
      <c r="C30" s="118"/>
      <c r="D30" s="118"/>
      <c r="E30" s="118"/>
      <c r="F30" s="119"/>
      <c r="G30" s="18"/>
      <c r="H30" s="18"/>
      <c r="I30" s="18"/>
      <c r="J30" s="18"/>
      <c r="K30" s="117"/>
      <c r="L30" s="118"/>
      <c r="M30" s="118"/>
      <c r="N30" s="118"/>
      <c r="O30" s="118"/>
      <c r="P30" s="118"/>
      <c r="Q30" s="119"/>
      <c r="R30" s="18"/>
      <c r="S30" s="18"/>
      <c r="T30" s="18"/>
      <c r="U30" s="18"/>
    </row>
    <row r="31" spans="1:24" ht="18" customHeight="1" x14ac:dyDescent="0.15">
      <c r="B31" s="117"/>
      <c r="C31" s="118"/>
      <c r="D31" s="118"/>
      <c r="E31" s="118"/>
      <c r="F31" s="119"/>
      <c r="G31" s="18"/>
      <c r="H31" s="18"/>
      <c r="I31" s="18"/>
      <c r="J31" s="18"/>
      <c r="K31" s="117"/>
      <c r="L31" s="118"/>
      <c r="M31" s="118"/>
      <c r="N31" s="118"/>
      <c r="O31" s="118"/>
      <c r="P31" s="118"/>
      <c r="Q31" s="119"/>
      <c r="R31" s="18"/>
      <c r="S31" s="18"/>
      <c r="T31" s="18"/>
      <c r="U31" s="18"/>
    </row>
    <row r="32" spans="1:24" ht="18" customHeight="1" x14ac:dyDescent="0.15">
      <c r="A32" s="3"/>
      <c r="B32" s="117"/>
      <c r="C32" s="118"/>
      <c r="D32" s="118"/>
      <c r="E32" s="118"/>
      <c r="F32" s="119"/>
      <c r="G32" s="18"/>
      <c r="H32" s="18"/>
      <c r="I32" s="18"/>
      <c r="J32" s="18"/>
      <c r="K32" s="117"/>
      <c r="L32" s="118"/>
      <c r="M32" s="118"/>
      <c r="N32" s="118"/>
      <c r="O32" s="118"/>
      <c r="P32" s="118"/>
      <c r="Q32" s="119"/>
      <c r="R32" s="18"/>
      <c r="S32" s="18"/>
      <c r="T32" s="18"/>
      <c r="U32" s="18"/>
    </row>
    <row r="33" spans="1:21" ht="18" customHeight="1" x14ac:dyDescent="0.15">
      <c r="A33" s="3"/>
      <c r="B33" s="120"/>
      <c r="C33" s="121"/>
      <c r="D33" s="121"/>
      <c r="E33" s="121"/>
      <c r="F33" s="122"/>
      <c r="G33" s="19"/>
      <c r="H33" s="19"/>
      <c r="I33" s="20"/>
      <c r="J33" s="20"/>
      <c r="K33" s="120"/>
      <c r="L33" s="121"/>
      <c r="M33" s="121"/>
      <c r="N33" s="121"/>
      <c r="O33" s="121"/>
      <c r="P33" s="121"/>
      <c r="Q33" s="122"/>
      <c r="R33" s="19"/>
      <c r="S33" s="19"/>
      <c r="T33" s="20"/>
      <c r="U33" s="2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6" t="s">
        <v>103</v>
      </c>
      <c r="B35" s="126"/>
      <c r="C35" s="126"/>
      <c r="D35" s="126"/>
      <c r="E35" s="126"/>
      <c r="F35" s="126"/>
      <c r="G35" s="126"/>
      <c r="H35" s="126"/>
      <c r="I35" s="126"/>
      <c r="J35" s="126"/>
      <c r="K35" s="126"/>
      <c r="L35" s="126"/>
      <c r="M35" s="126"/>
      <c r="N35" s="126"/>
      <c r="O35" s="126"/>
      <c r="P35" s="126"/>
      <c r="Q35" s="126"/>
      <c r="R35" s="126"/>
      <c r="S35" s="126"/>
      <c r="T35" s="126"/>
      <c r="U35" s="126"/>
    </row>
    <row r="36" spans="1:21" ht="18" customHeight="1" x14ac:dyDescent="0.15">
      <c r="A36" s="126"/>
      <c r="B36" s="126"/>
      <c r="C36" s="126"/>
      <c r="D36" s="126"/>
      <c r="E36" s="126"/>
      <c r="F36" s="126"/>
      <c r="G36" s="126"/>
      <c r="H36" s="126"/>
      <c r="I36" s="126"/>
      <c r="J36" s="126"/>
      <c r="K36" s="126"/>
      <c r="L36" s="126"/>
      <c r="M36" s="126"/>
      <c r="N36" s="126"/>
      <c r="O36" s="126"/>
      <c r="P36" s="126"/>
      <c r="Q36" s="126"/>
      <c r="R36" s="126"/>
      <c r="S36" s="126"/>
      <c r="T36" s="126"/>
      <c r="U36" s="126"/>
    </row>
    <row r="37" spans="1:21" ht="18" customHeight="1" x14ac:dyDescent="0.15">
      <c r="B37" s="102" t="s">
        <v>52</v>
      </c>
      <c r="C37" s="103"/>
      <c r="D37" s="103"/>
      <c r="E37" s="103"/>
      <c r="F37" s="104"/>
      <c r="G37" s="50" t="s">
        <v>78</v>
      </c>
      <c r="H37" s="49" t="s">
        <v>81</v>
      </c>
      <c r="I37" s="16" t="s">
        <v>69</v>
      </c>
      <c r="J37" s="16" t="s">
        <v>70</v>
      </c>
      <c r="K37" s="102" t="s">
        <v>52</v>
      </c>
      <c r="L37" s="103"/>
      <c r="M37" s="103"/>
      <c r="N37" s="103"/>
      <c r="O37" s="103"/>
      <c r="P37" s="103"/>
      <c r="Q37" s="104"/>
      <c r="R37" s="50" t="s">
        <v>78</v>
      </c>
      <c r="S37" s="49" t="s">
        <v>81</v>
      </c>
      <c r="T37" s="16" t="s">
        <v>69</v>
      </c>
      <c r="U37" s="16" t="s">
        <v>70</v>
      </c>
    </row>
    <row r="38" spans="1:21" ht="18" customHeight="1" x14ac:dyDescent="0.15">
      <c r="B38" s="123" t="s">
        <v>140</v>
      </c>
      <c r="C38" s="124"/>
      <c r="D38" s="124"/>
      <c r="E38" s="124"/>
      <c r="F38" s="125"/>
      <c r="G38" s="17">
        <v>2</v>
      </c>
      <c r="H38" s="17" t="s">
        <v>143</v>
      </c>
      <c r="I38" s="17" t="s">
        <v>143</v>
      </c>
      <c r="J38" s="17" t="s">
        <v>143</v>
      </c>
      <c r="K38" s="123"/>
      <c r="L38" s="124"/>
      <c r="M38" s="124"/>
      <c r="N38" s="124"/>
      <c r="O38" s="124"/>
      <c r="P38" s="124"/>
      <c r="Q38" s="125"/>
      <c r="R38" s="17"/>
      <c r="S38" s="17"/>
      <c r="T38" s="17"/>
      <c r="U38" s="17"/>
    </row>
    <row r="39" spans="1:21" ht="18" customHeight="1" x14ac:dyDescent="0.15">
      <c r="B39" s="117" t="s">
        <v>144</v>
      </c>
      <c r="C39" s="118"/>
      <c r="D39" s="118"/>
      <c r="E39" s="118"/>
      <c r="F39" s="119"/>
      <c r="G39" s="18">
        <v>1</v>
      </c>
      <c r="H39" s="18" t="s">
        <v>143</v>
      </c>
      <c r="I39" s="18" t="s">
        <v>143</v>
      </c>
      <c r="J39" s="18"/>
      <c r="K39" s="117"/>
      <c r="L39" s="118"/>
      <c r="M39" s="118"/>
      <c r="N39" s="118"/>
      <c r="O39" s="118"/>
      <c r="P39" s="118"/>
      <c r="Q39" s="119"/>
      <c r="R39" s="18"/>
      <c r="S39" s="18"/>
      <c r="T39" s="18"/>
      <c r="U39" s="18"/>
    </row>
    <row r="40" spans="1:21" ht="18" customHeight="1" x14ac:dyDescent="0.15">
      <c r="B40" s="117"/>
      <c r="C40" s="118"/>
      <c r="D40" s="118"/>
      <c r="E40" s="118"/>
      <c r="F40" s="119"/>
      <c r="G40" s="18"/>
      <c r="H40" s="18"/>
      <c r="I40" s="18"/>
      <c r="J40" s="18"/>
      <c r="K40" s="117"/>
      <c r="L40" s="118"/>
      <c r="M40" s="118"/>
      <c r="N40" s="118"/>
      <c r="O40" s="118"/>
      <c r="P40" s="118"/>
      <c r="Q40" s="119"/>
      <c r="R40" s="18"/>
      <c r="S40" s="18"/>
      <c r="T40" s="18"/>
      <c r="U40" s="18"/>
    </row>
    <row r="41" spans="1:21" ht="18" customHeight="1" x14ac:dyDescent="0.15">
      <c r="B41" s="117"/>
      <c r="C41" s="118"/>
      <c r="D41" s="118"/>
      <c r="E41" s="118"/>
      <c r="F41" s="119"/>
      <c r="G41" s="18"/>
      <c r="H41" s="18"/>
      <c r="I41" s="18"/>
      <c r="J41" s="18"/>
      <c r="K41" s="117"/>
      <c r="L41" s="118"/>
      <c r="M41" s="118"/>
      <c r="N41" s="118"/>
      <c r="O41" s="118"/>
      <c r="P41" s="118"/>
      <c r="Q41" s="119"/>
      <c r="R41" s="18"/>
      <c r="S41" s="18"/>
      <c r="T41" s="18"/>
      <c r="U41" s="18"/>
    </row>
    <row r="42" spans="1:21" ht="18" customHeight="1" x14ac:dyDescent="0.15">
      <c r="B42" s="117"/>
      <c r="C42" s="118"/>
      <c r="D42" s="118"/>
      <c r="E42" s="118"/>
      <c r="F42" s="119"/>
      <c r="G42" s="18"/>
      <c r="H42" s="18"/>
      <c r="I42" s="18"/>
      <c r="J42" s="18"/>
      <c r="K42" s="117"/>
      <c r="L42" s="118"/>
      <c r="M42" s="118"/>
      <c r="N42" s="118"/>
      <c r="O42" s="118"/>
      <c r="P42" s="118"/>
      <c r="Q42" s="119"/>
      <c r="R42" s="18"/>
      <c r="S42" s="18"/>
      <c r="T42" s="18"/>
      <c r="U42" s="18"/>
    </row>
    <row r="43" spans="1:21" ht="18" customHeight="1" x14ac:dyDescent="0.15">
      <c r="B43" s="117"/>
      <c r="C43" s="118"/>
      <c r="D43" s="118"/>
      <c r="E43" s="118"/>
      <c r="F43" s="119"/>
      <c r="G43" s="18"/>
      <c r="H43" s="18"/>
      <c r="I43" s="18"/>
      <c r="J43" s="18"/>
      <c r="K43" s="117"/>
      <c r="L43" s="118"/>
      <c r="M43" s="118"/>
      <c r="N43" s="118"/>
      <c r="O43" s="118"/>
      <c r="P43" s="118"/>
      <c r="Q43" s="119"/>
      <c r="R43" s="18"/>
      <c r="S43" s="18"/>
      <c r="T43" s="18"/>
      <c r="U43" s="18"/>
    </row>
    <row r="44" spans="1:21" ht="18" customHeight="1" x14ac:dyDescent="0.15">
      <c r="B44" s="120"/>
      <c r="C44" s="121"/>
      <c r="D44" s="121"/>
      <c r="E44" s="121"/>
      <c r="F44" s="122"/>
      <c r="G44" s="19"/>
      <c r="H44" s="19"/>
      <c r="I44" s="20"/>
      <c r="J44" s="20"/>
      <c r="K44" s="120"/>
      <c r="L44" s="121"/>
      <c r="M44" s="121"/>
      <c r="N44" s="121"/>
      <c r="O44" s="121"/>
      <c r="P44" s="121"/>
      <c r="Q44" s="122"/>
      <c r="R44" s="19"/>
      <c r="S44" s="19"/>
      <c r="T44" s="20"/>
      <c r="U44" s="2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6" t="s">
        <v>104</v>
      </c>
      <c r="B46" s="126"/>
      <c r="C46" s="126"/>
      <c r="D46" s="126"/>
      <c r="E46" s="126"/>
      <c r="F46" s="126"/>
      <c r="G46" s="126"/>
      <c r="H46" s="126"/>
      <c r="I46" s="126"/>
      <c r="J46" s="126"/>
      <c r="K46" s="126"/>
      <c r="L46" s="126"/>
      <c r="M46" s="126"/>
      <c r="N46" s="126"/>
      <c r="O46" s="126"/>
      <c r="P46" s="126"/>
      <c r="Q46" s="126"/>
      <c r="R46" s="126"/>
      <c r="S46" s="126"/>
      <c r="T46" s="126"/>
      <c r="U46" s="126"/>
    </row>
    <row r="47" spans="1:21" ht="18" customHeight="1" x14ac:dyDescent="0.15">
      <c r="A47" s="126"/>
      <c r="B47" s="126"/>
      <c r="C47" s="126"/>
      <c r="D47" s="126"/>
      <c r="E47" s="126"/>
      <c r="F47" s="126"/>
      <c r="G47" s="126"/>
      <c r="H47" s="126"/>
      <c r="I47" s="126"/>
      <c r="J47" s="126"/>
      <c r="K47" s="126"/>
      <c r="L47" s="126"/>
      <c r="M47" s="126"/>
      <c r="N47" s="126"/>
      <c r="O47" s="126"/>
      <c r="P47" s="126"/>
      <c r="Q47" s="126"/>
      <c r="R47" s="126"/>
      <c r="S47" s="126"/>
      <c r="T47" s="126"/>
      <c r="U47" s="126"/>
    </row>
    <row r="48" spans="1:21" ht="18" customHeight="1" x14ac:dyDescent="0.15">
      <c r="B48" s="102" t="s">
        <v>52</v>
      </c>
      <c r="C48" s="103"/>
      <c r="D48" s="103"/>
      <c r="E48" s="103"/>
      <c r="F48" s="104"/>
      <c r="G48" s="50" t="s">
        <v>78</v>
      </c>
      <c r="H48" s="49" t="s">
        <v>81</v>
      </c>
      <c r="I48" s="16" t="s">
        <v>71</v>
      </c>
      <c r="J48" s="16" t="s">
        <v>72</v>
      </c>
      <c r="K48" s="102" t="s">
        <v>52</v>
      </c>
      <c r="L48" s="103"/>
      <c r="M48" s="103"/>
      <c r="N48" s="103"/>
      <c r="O48" s="103"/>
      <c r="P48" s="103"/>
      <c r="Q48" s="104"/>
      <c r="R48" s="50" t="s">
        <v>78</v>
      </c>
      <c r="S48" s="49" t="s">
        <v>81</v>
      </c>
      <c r="T48" s="16" t="s">
        <v>71</v>
      </c>
      <c r="U48" s="16" t="s">
        <v>72</v>
      </c>
    </row>
    <row r="49" spans="1:21" ht="18" customHeight="1" x14ac:dyDescent="0.15">
      <c r="A49" s="3"/>
      <c r="B49" s="123" t="s">
        <v>139</v>
      </c>
      <c r="C49" s="124"/>
      <c r="D49" s="124"/>
      <c r="E49" s="124"/>
      <c r="F49" s="125"/>
      <c r="G49" s="17">
        <v>2</v>
      </c>
      <c r="H49" s="17" t="s">
        <v>143</v>
      </c>
      <c r="I49" s="17" t="s">
        <v>143</v>
      </c>
      <c r="J49" s="17" t="s">
        <v>143</v>
      </c>
      <c r="K49" s="123"/>
      <c r="L49" s="124"/>
      <c r="M49" s="124"/>
      <c r="N49" s="124"/>
      <c r="O49" s="124"/>
      <c r="P49" s="124"/>
      <c r="Q49" s="125"/>
      <c r="R49" s="17"/>
      <c r="S49" s="17"/>
      <c r="T49" s="17"/>
      <c r="U49" s="17"/>
    </row>
    <row r="50" spans="1:21" ht="18" customHeight="1" x14ac:dyDescent="0.15">
      <c r="A50" s="3"/>
      <c r="B50" s="117" t="s">
        <v>141</v>
      </c>
      <c r="C50" s="118"/>
      <c r="D50" s="118"/>
      <c r="E50" s="118"/>
      <c r="F50" s="119"/>
      <c r="G50" s="18">
        <v>2</v>
      </c>
      <c r="H50" s="18" t="s">
        <v>143</v>
      </c>
      <c r="I50" s="18" t="s">
        <v>143</v>
      </c>
      <c r="J50" s="18"/>
      <c r="K50" s="117"/>
      <c r="L50" s="118"/>
      <c r="M50" s="118"/>
      <c r="N50" s="118"/>
      <c r="O50" s="118"/>
      <c r="P50" s="118"/>
      <c r="Q50" s="119"/>
      <c r="R50" s="18"/>
      <c r="S50" s="18"/>
      <c r="T50" s="18"/>
      <c r="U50" s="18"/>
    </row>
    <row r="51" spans="1:21" ht="18" customHeight="1" x14ac:dyDescent="0.15">
      <c r="A51" s="3"/>
      <c r="B51" s="117"/>
      <c r="C51" s="118"/>
      <c r="D51" s="118"/>
      <c r="E51" s="118"/>
      <c r="F51" s="119"/>
      <c r="G51" s="18"/>
      <c r="H51" s="18"/>
      <c r="I51" s="18"/>
      <c r="J51" s="18"/>
      <c r="K51" s="117"/>
      <c r="L51" s="118"/>
      <c r="M51" s="118"/>
      <c r="N51" s="118"/>
      <c r="O51" s="118"/>
      <c r="P51" s="118"/>
      <c r="Q51" s="119"/>
      <c r="R51" s="18"/>
      <c r="S51" s="18"/>
      <c r="T51" s="18"/>
      <c r="U51" s="18"/>
    </row>
    <row r="52" spans="1:21" ht="18" customHeight="1" x14ac:dyDescent="0.15">
      <c r="A52" s="3"/>
      <c r="B52" s="117"/>
      <c r="C52" s="118"/>
      <c r="D52" s="118"/>
      <c r="E52" s="118"/>
      <c r="F52" s="119"/>
      <c r="G52" s="18"/>
      <c r="H52" s="18"/>
      <c r="I52" s="18"/>
      <c r="J52" s="18"/>
      <c r="K52" s="117"/>
      <c r="L52" s="118"/>
      <c r="M52" s="118"/>
      <c r="N52" s="118"/>
      <c r="O52" s="118"/>
      <c r="P52" s="118"/>
      <c r="Q52" s="119"/>
      <c r="R52" s="18"/>
      <c r="S52" s="18"/>
      <c r="T52" s="18"/>
      <c r="U52" s="18"/>
    </row>
    <row r="53" spans="1:21" ht="18" customHeight="1" x14ac:dyDescent="0.15">
      <c r="A53" s="3"/>
      <c r="B53" s="117"/>
      <c r="C53" s="118"/>
      <c r="D53" s="118"/>
      <c r="E53" s="118"/>
      <c r="F53" s="119"/>
      <c r="G53" s="18"/>
      <c r="H53" s="18"/>
      <c r="I53" s="18"/>
      <c r="J53" s="18"/>
      <c r="K53" s="117"/>
      <c r="L53" s="118"/>
      <c r="M53" s="118"/>
      <c r="N53" s="118"/>
      <c r="O53" s="118"/>
      <c r="P53" s="118"/>
      <c r="Q53" s="119"/>
      <c r="R53" s="18"/>
      <c r="S53" s="18"/>
      <c r="T53" s="18"/>
      <c r="U53" s="18"/>
    </row>
    <row r="54" spans="1:21" ht="18" customHeight="1" x14ac:dyDescent="0.15">
      <c r="A54" s="3"/>
      <c r="B54" s="117"/>
      <c r="C54" s="118"/>
      <c r="D54" s="118"/>
      <c r="E54" s="118"/>
      <c r="F54" s="119"/>
      <c r="G54" s="18"/>
      <c r="H54" s="18"/>
      <c r="I54" s="18"/>
      <c r="J54" s="18"/>
      <c r="K54" s="117"/>
      <c r="L54" s="118"/>
      <c r="M54" s="118"/>
      <c r="N54" s="118"/>
      <c r="O54" s="118"/>
      <c r="P54" s="118"/>
      <c r="Q54" s="119"/>
      <c r="R54" s="18"/>
      <c r="S54" s="18"/>
      <c r="T54" s="18"/>
      <c r="U54" s="18"/>
    </row>
    <row r="55" spans="1:21" ht="18" customHeight="1" x14ac:dyDescent="0.15">
      <c r="A55" s="3"/>
      <c r="B55" s="120"/>
      <c r="C55" s="121"/>
      <c r="D55" s="121"/>
      <c r="E55" s="121"/>
      <c r="F55" s="122"/>
      <c r="G55" s="19"/>
      <c r="H55" s="19"/>
      <c r="I55" s="20"/>
      <c r="J55" s="20"/>
      <c r="K55" s="120"/>
      <c r="L55" s="121"/>
      <c r="M55" s="121"/>
      <c r="N55" s="121"/>
      <c r="O55" s="121"/>
      <c r="P55" s="121"/>
      <c r="Q55" s="122"/>
      <c r="R55" s="19"/>
      <c r="S55" s="19"/>
      <c r="T55" s="20"/>
      <c r="U55" s="20"/>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6" t="s">
        <v>105</v>
      </c>
      <c r="B57" s="126"/>
      <c r="C57" s="126"/>
      <c r="D57" s="126"/>
      <c r="E57" s="126"/>
      <c r="F57" s="126"/>
      <c r="G57" s="126"/>
      <c r="H57" s="126"/>
      <c r="I57" s="126"/>
      <c r="J57" s="126"/>
      <c r="K57" s="126"/>
      <c r="L57" s="126"/>
      <c r="M57" s="126"/>
      <c r="N57" s="126"/>
      <c r="O57" s="126"/>
      <c r="P57" s="126"/>
      <c r="Q57" s="126"/>
      <c r="R57" s="126"/>
      <c r="S57" s="126"/>
      <c r="T57" s="126"/>
      <c r="U57" s="126"/>
    </row>
    <row r="58" spans="1:21" ht="18" customHeight="1" x14ac:dyDescent="0.15">
      <c r="A58" s="126"/>
      <c r="B58" s="126"/>
      <c r="C58" s="126"/>
      <c r="D58" s="126"/>
      <c r="E58" s="126"/>
      <c r="F58" s="126"/>
      <c r="G58" s="126"/>
      <c r="H58" s="126"/>
      <c r="I58" s="126"/>
      <c r="J58" s="126"/>
      <c r="K58" s="126"/>
      <c r="L58" s="126"/>
      <c r="M58" s="126"/>
      <c r="N58" s="126"/>
      <c r="O58" s="126"/>
      <c r="P58" s="126"/>
      <c r="Q58" s="126"/>
      <c r="R58" s="126"/>
      <c r="S58" s="126"/>
      <c r="T58" s="126"/>
      <c r="U58" s="126"/>
    </row>
    <row r="59" spans="1:21" ht="18" customHeight="1" x14ac:dyDescent="0.15">
      <c r="B59" s="102" t="s">
        <v>52</v>
      </c>
      <c r="C59" s="103"/>
      <c r="D59" s="103"/>
      <c r="E59" s="103"/>
      <c r="F59" s="104"/>
      <c r="G59" s="50" t="s">
        <v>78</v>
      </c>
      <c r="H59" s="49" t="s">
        <v>81</v>
      </c>
      <c r="I59" s="16" t="s">
        <v>57</v>
      </c>
      <c r="J59" s="16" t="s">
        <v>59</v>
      </c>
      <c r="K59" s="102" t="s">
        <v>52</v>
      </c>
      <c r="L59" s="103"/>
      <c r="M59" s="103"/>
      <c r="N59" s="103"/>
      <c r="O59" s="103"/>
      <c r="P59" s="103"/>
      <c r="Q59" s="104"/>
      <c r="R59" s="50" t="s">
        <v>78</v>
      </c>
      <c r="S59" s="49" t="s">
        <v>81</v>
      </c>
      <c r="T59" s="16" t="s">
        <v>57</v>
      </c>
      <c r="U59" s="16" t="s">
        <v>59</v>
      </c>
    </row>
    <row r="60" spans="1:21" ht="18" customHeight="1" x14ac:dyDescent="0.15">
      <c r="A60" s="3"/>
      <c r="B60" s="123" t="s">
        <v>139</v>
      </c>
      <c r="C60" s="124"/>
      <c r="D60" s="124"/>
      <c r="E60" s="124"/>
      <c r="F60" s="125"/>
      <c r="G60" s="17">
        <v>2</v>
      </c>
      <c r="H60" s="17" t="s">
        <v>143</v>
      </c>
      <c r="I60" s="17" t="s">
        <v>143</v>
      </c>
      <c r="J60" s="17" t="s">
        <v>143</v>
      </c>
      <c r="K60" s="123"/>
      <c r="L60" s="124"/>
      <c r="M60" s="124"/>
      <c r="N60" s="124"/>
      <c r="O60" s="124"/>
      <c r="P60" s="124"/>
      <c r="Q60" s="125"/>
      <c r="R60" s="17"/>
      <c r="S60" s="17"/>
      <c r="T60" s="17"/>
      <c r="U60" s="17"/>
    </row>
    <row r="61" spans="1:21" ht="18" customHeight="1" x14ac:dyDescent="0.15">
      <c r="A61" s="3"/>
      <c r="B61" s="117" t="s">
        <v>141</v>
      </c>
      <c r="C61" s="118"/>
      <c r="D61" s="118"/>
      <c r="E61" s="118"/>
      <c r="F61" s="119"/>
      <c r="G61" s="18">
        <v>2</v>
      </c>
      <c r="H61" s="18" t="s">
        <v>143</v>
      </c>
      <c r="I61" s="18" t="s">
        <v>143</v>
      </c>
      <c r="J61" s="18" t="s">
        <v>143</v>
      </c>
      <c r="K61" s="117"/>
      <c r="L61" s="118"/>
      <c r="M61" s="118"/>
      <c r="N61" s="118"/>
      <c r="O61" s="118"/>
      <c r="P61" s="118"/>
      <c r="Q61" s="119"/>
      <c r="R61" s="18"/>
      <c r="S61" s="18"/>
      <c r="T61" s="18"/>
      <c r="U61" s="18"/>
    </row>
    <row r="62" spans="1:21" ht="18" customHeight="1" x14ac:dyDescent="0.15">
      <c r="A62" s="3"/>
      <c r="B62" s="117" t="s">
        <v>145</v>
      </c>
      <c r="C62" s="118"/>
      <c r="D62" s="118"/>
      <c r="E62" s="118"/>
      <c r="F62" s="119"/>
      <c r="G62" s="18">
        <v>1</v>
      </c>
      <c r="H62" s="18" t="s">
        <v>143</v>
      </c>
      <c r="I62" s="18" t="s">
        <v>143</v>
      </c>
      <c r="J62" s="18"/>
      <c r="K62" s="117"/>
      <c r="L62" s="118"/>
      <c r="M62" s="118"/>
      <c r="N62" s="118"/>
      <c r="O62" s="118"/>
      <c r="P62" s="118"/>
      <c r="Q62" s="119"/>
      <c r="R62" s="18"/>
      <c r="S62" s="18"/>
      <c r="T62" s="18"/>
      <c r="U62" s="18"/>
    </row>
    <row r="63" spans="1:21" ht="18" customHeight="1" x14ac:dyDescent="0.15">
      <c r="A63" s="3"/>
      <c r="B63" s="117" t="s">
        <v>144</v>
      </c>
      <c r="C63" s="118"/>
      <c r="D63" s="118"/>
      <c r="E63" s="118"/>
      <c r="F63" s="119"/>
      <c r="G63" s="18">
        <v>1</v>
      </c>
      <c r="H63" s="18" t="s">
        <v>143</v>
      </c>
      <c r="I63" s="18" t="s">
        <v>143</v>
      </c>
      <c r="J63" s="18"/>
      <c r="K63" s="117"/>
      <c r="L63" s="118"/>
      <c r="M63" s="118"/>
      <c r="N63" s="118"/>
      <c r="O63" s="118"/>
      <c r="P63" s="118"/>
      <c r="Q63" s="119"/>
      <c r="R63" s="18"/>
      <c r="S63" s="18"/>
      <c r="T63" s="18"/>
      <c r="U63" s="18"/>
    </row>
    <row r="64" spans="1:21" ht="18" customHeight="1" x14ac:dyDescent="0.15">
      <c r="A64" s="3"/>
      <c r="B64" s="117" t="s">
        <v>146</v>
      </c>
      <c r="C64" s="118"/>
      <c r="D64" s="118"/>
      <c r="E64" s="118"/>
      <c r="F64" s="119"/>
      <c r="G64" s="18">
        <v>2</v>
      </c>
      <c r="H64" s="18"/>
      <c r="I64" s="18" t="s">
        <v>143</v>
      </c>
      <c r="J64" s="18"/>
      <c r="K64" s="117"/>
      <c r="L64" s="118"/>
      <c r="M64" s="118"/>
      <c r="N64" s="118"/>
      <c r="O64" s="118"/>
      <c r="P64" s="118"/>
      <c r="Q64" s="119"/>
      <c r="R64" s="18"/>
      <c r="S64" s="18"/>
      <c r="T64" s="18"/>
      <c r="U64" s="18"/>
    </row>
    <row r="65" spans="1:21" ht="18" customHeight="1" x14ac:dyDescent="0.15">
      <c r="A65" s="3"/>
      <c r="B65" s="117"/>
      <c r="C65" s="118"/>
      <c r="D65" s="118"/>
      <c r="E65" s="118"/>
      <c r="F65" s="119"/>
      <c r="G65" s="18"/>
      <c r="H65" s="18"/>
      <c r="I65" s="18"/>
      <c r="J65" s="18"/>
      <c r="K65" s="117"/>
      <c r="L65" s="118"/>
      <c r="M65" s="118"/>
      <c r="N65" s="118"/>
      <c r="O65" s="118"/>
      <c r="P65" s="118"/>
      <c r="Q65" s="119"/>
      <c r="R65" s="18"/>
      <c r="S65" s="18"/>
      <c r="T65" s="18"/>
      <c r="U65" s="18"/>
    </row>
    <row r="66" spans="1:21" ht="18" customHeight="1" x14ac:dyDescent="0.15">
      <c r="A66" s="3"/>
      <c r="B66" s="120"/>
      <c r="C66" s="121"/>
      <c r="D66" s="121"/>
      <c r="E66" s="121"/>
      <c r="F66" s="122"/>
      <c r="G66" s="19"/>
      <c r="H66" s="19"/>
      <c r="I66" s="20"/>
      <c r="J66" s="20"/>
      <c r="K66" s="120"/>
      <c r="L66" s="121"/>
      <c r="M66" s="121"/>
      <c r="N66" s="121"/>
      <c r="O66" s="121"/>
      <c r="P66" s="121"/>
      <c r="Q66" s="122"/>
      <c r="R66" s="19"/>
      <c r="S66" s="19"/>
      <c r="T66" s="20"/>
      <c r="U66" s="20"/>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6" t="s">
        <v>106</v>
      </c>
      <c r="B68" s="126"/>
      <c r="C68" s="126"/>
      <c r="D68" s="126"/>
      <c r="E68" s="126"/>
      <c r="F68" s="126"/>
      <c r="G68" s="126"/>
      <c r="H68" s="126"/>
      <c r="I68" s="126"/>
      <c r="J68" s="126"/>
      <c r="K68" s="126"/>
      <c r="L68" s="126"/>
      <c r="M68" s="126"/>
      <c r="N68" s="126"/>
      <c r="O68" s="126"/>
      <c r="P68" s="126"/>
      <c r="Q68" s="126"/>
      <c r="R68" s="126"/>
      <c r="S68" s="126"/>
      <c r="T68" s="126"/>
      <c r="U68" s="126"/>
    </row>
    <row r="69" spans="1:21" ht="18" customHeight="1" x14ac:dyDescent="0.15">
      <c r="A69" s="126"/>
      <c r="B69" s="126"/>
      <c r="C69" s="126"/>
      <c r="D69" s="126"/>
      <c r="E69" s="126"/>
      <c r="F69" s="126"/>
      <c r="G69" s="126"/>
      <c r="H69" s="126"/>
      <c r="I69" s="126"/>
      <c r="J69" s="126"/>
      <c r="K69" s="126"/>
      <c r="L69" s="126"/>
      <c r="M69" s="126"/>
      <c r="N69" s="126"/>
      <c r="O69" s="126"/>
      <c r="P69" s="126"/>
      <c r="Q69" s="126"/>
      <c r="R69" s="126"/>
      <c r="S69" s="126"/>
      <c r="T69" s="126"/>
      <c r="U69" s="126"/>
    </row>
    <row r="70" spans="1:21" ht="18" customHeight="1" x14ac:dyDescent="0.15">
      <c r="B70" s="102" t="s">
        <v>52</v>
      </c>
      <c r="C70" s="103"/>
      <c r="D70" s="103"/>
      <c r="E70" s="103"/>
      <c r="F70" s="50" t="s">
        <v>78</v>
      </c>
      <c r="G70" s="49" t="s">
        <v>81</v>
      </c>
      <c r="H70" s="16" t="s">
        <v>93</v>
      </c>
      <c r="I70" s="16" t="s">
        <v>73</v>
      </c>
      <c r="J70" s="16" t="s">
        <v>74</v>
      </c>
      <c r="K70" s="102" t="s">
        <v>52</v>
      </c>
      <c r="L70" s="103"/>
      <c r="M70" s="103"/>
      <c r="N70" s="103"/>
      <c r="O70" s="103"/>
      <c r="P70" s="104"/>
      <c r="Q70" s="50" t="s">
        <v>78</v>
      </c>
      <c r="R70" s="49" t="s">
        <v>81</v>
      </c>
      <c r="S70" s="16" t="s">
        <v>93</v>
      </c>
      <c r="T70" s="16" t="s">
        <v>73</v>
      </c>
      <c r="U70" s="16" t="s">
        <v>74</v>
      </c>
    </row>
    <row r="71" spans="1:21" ht="18" customHeight="1" x14ac:dyDescent="0.15">
      <c r="A71" s="3"/>
      <c r="B71" s="123" t="s">
        <v>144</v>
      </c>
      <c r="C71" s="124"/>
      <c r="D71" s="124"/>
      <c r="E71" s="124"/>
      <c r="F71" s="17">
        <v>1</v>
      </c>
      <c r="G71" s="17" t="s">
        <v>143</v>
      </c>
      <c r="H71" s="17" t="s">
        <v>143</v>
      </c>
      <c r="I71" s="17" t="s">
        <v>143</v>
      </c>
      <c r="J71" s="17" t="s">
        <v>143</v>
      </c>
      <c r="K71" s="123"/>
      <c r="L71" s="124"/>
      <c r="M71" s="124"/>
      <c r="N71" s="124"/>
      <c r="O71" s="124"/>
      <c r="P71" s="125"/>
      <c r="Q71" s="17"/>
      <c r="R71" s="17"/>
      <c r="S71" s="17"/>
      <c r="T71" s="17"/>
      <c r="U71" s="17"/>
    </row>
    <row r="72" spans="1:21" ht="18" customHeight="1" x14ac:dyDescent="0.15">
      <c r="A72" s="3"/>
      <c r="B72" s="117" t="s">
        <v>147</v>
      </c>
      <c r="C72" s="118"/>
      <c r="D72" s="118"/>
      <c r="E72" s="118"/>
      <c r="F72" s="18">
        <v>2</v>
      </c>
      <c r="G72" s="18"/>
      <c r="H72" s="18" t="s">
        <v>143</v>
      </c>
      <c r="I72" s="18" t="s">
        <v>143</v>
      </c>
      <c r="J72" s="18" t="s">
        <v>143</v>
      </c>
      <c r="K72" s="117"/>
      <c r="L72" s="118"/>
      <c r="M72" s="118"/>
      <c r="N72" s="118"/>
      <c r="O72" s="118"/>
      <c r="P72" s="119"/>
      <c r="Q72" s="18"/>
      <c r="R72" s="18"/>
      <c r="S72" s="18"/>
      <c r="T72" s="18"/>
      <c r="U72" s="18"/>
    </row>
    <row r="73" spans="1:21" ht="18" customHeight="1" x14ac:dyDescent="0.15">
      <c r="A73" s="3"/>
      <c r="B73" s="117" t="s">
        <v>146</v>
      </c>
      <c r="C73" s="118"/>
      <c r="D73" s="118"/>
      <c r="E73" s="118"/>
      <c r="F73" s="18">
        <v>2</v>
      </c>
      <c r="G73" s="18"/>
      <c r="H73" s="18" t="s">
        <v>143</v>
      </c>
      <c r="I73" s="18" t="s">
        <v>143</v>
      </c>
      <c r="J73" s="18" t="s">
        <v>143</v>
      </c>
      <c r="K73" s="117"/>
      <c r="L73" s="118"/>
      <c r="M73" s="118"/>
      <c r="N73" s="118"/>
      <c r="O73" s="118"/>
      <c r="P73" s="119"/>
      <c r="Q73" s="18"/>
      <c r="R73" s="18"/>
      <c r="S73" s="18"/>
      <c r="T73" s="18"/>
      <c r="U73" s="18"/>
    </row>
    <row r="74" spans="1:21" ht="18" customHeight="1" x14ac:dyDescent="0.15">
      <c r="A74" s="3"/>
      <c r="B74" s="117"/>
      <c r="C74" s="118"/>
      <c r="D74" s="118"/>
      <c r="E74" s="118"/>
      <c r="F74" s="18"/>
      <c r="G74" s="18"/>
      <c r="H74" s="18"/>
      <c r="I74" s="18"/>
      <c r="J74" s="18"/>
      <c r="K74" s="117"/>
      <c r="L74" s="118"/>
      <c r="M74" s="118"/>
      <c r="N74" s="118"/>
      <c r="O74" s="118"/>
      <c r="P74" s="119"/>
      <c r="Q74" s="18"/>
      <c r="R74" s="18"/>
      <c r="S74" s="18"/>
      <c r="T74" s="18"/>
      <c r="U74" s="18"/>
    </row>
    <row r="75" spans="1:21" ht="18" customHeight="1" x14ac:dyDescent="0.15">
      <c r="A75" s="3"/>
      <c r="B75" s="117"/>
      <c r="C75" s="118"/>
      <c r="D75" s="118"/>
      <c r="E75" s="118"/>
      <c r="F75" s="18"/>
      <c r="G75" s="18"/>
      <c r="H75" s="18"/>
      <c r="I75" s="18"/>
      <c r="J75" s="18"/>
      <c r="K75" s="117"/>
      <c r="L75" s="118"/>
      <c r="M75" s="118"/>
      <c r="N75" s="118"/>
      <c r="O75" s="118"/>
      <c r="P75" s="119"/>
      <c r="Q75" s="18"/>
      <c r="R75" s="18"/>
      <c r="S75" s="18"/>
      <c r="T75" s="18"/>
      <c r="U75" s="18"/>
    </row>
    <row r="76" spans="1:21" ht="18" customHeight="1" x14ac:dyDescent="0.15">
      <c r="A76" s="3"/>
      <c r="B76" s="117"/>
      <c r="C76" s="118"/>
      <c r="D76" s="118"/>
      <c r="E76" s="118"/>
      <c r="F76" s="18"/>
      <c r="G76" s="18"/>
      <c r="H76" s="18"/>
      <c r="I76" s="18"/>
      <c r="J76" s="18"/>
      <c r="K76" s="117"/>
      <c r="L76" s="118"/>
      <c r="M76" s="118"/>
      <c r="N76" s="118"/>
      <c r="O76" s="118"/>
      <c r="P76" s="119"/>
      <c r="Q76" s="18"/>
      <c r="R76" s="18"/>
      <c r="S76" s="18"/>
      <c r="T76" s="18"/>
      <c r="U76" s="18"/>
    </row>
    <row r="77" spans="1:21" ht="18" customHeight="1" x14ac:dyDescent="0.15">
      <c r="A77" s="3"/>
      <c r="B77" s="120"/>
      <c r="C77" s="121"/>
      <c r="D77" s="121"/>
      <c r="E77" s="121"/>
      <c r="F77" s="19"/>
      <c r="G77" s="19"/>
      <c r="H77" s="20"/>
      <c r="I77" s="20"/>
      <c r="J77" s="20"/>
      <c r="K77" s="120"/>
      <c r="L77" s="121"/>
      <c r="M77" s="121"/>
      <c r="N77" s="121"/>
      <c r="O77" s="121"/>
      <c r="P77" s="122"/>
      <c r="Q77" s="19"/>
      <c r="R77" s="19"/>
      <c r="S77" s="20"/>
      <c r="T77" s="20"/>
      <c r="U77" s="20"/>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102" t="s">
        <v>52</v>
      </c>
      <c r="C80" s="103"/>
      <c r="D80" s="103"/>
      <c r="E80" s="103"/>
      <c r="F80" s="104"/>
      <c r="G80" s="102" t="s">
        <v>79</v>
      </c>
      <c r="H80" s="103"/>
      <c r="I80" s="103"/>
      <c r="J80" s="104"/>
      <c r="K80" s="159" t="s">
        <v>52</v>
      </c>
      <c r="L80" s="160"/>
      <c r="M80" s="160"/>
      <c r="N80" s="160"/>
      <c r="O80" s="160"/>
      <c r="P80" s="160"/>
      <c r="Q80" s="161"/>
      <c r="R80" s="102" t="s">
        <v>79</v>
      </c>
      <c r="S80" s="103"/>
      <c r="T80" s="103"/>
      <c r="U80" s="104"/>
    </row>
    <row r="81" spans="1:21" ht="18" customHeight="1" x14ac:dyDescent="0.15">
      <c r="A81" s="3"/>
      <c r="B81" s="123"/>
      <c r="C81" s="124"/>
      <c r="D81" s="124"/>
      <c r="E81" s="124"/>
      <c r="F81" s="125"/>
      <c r="G81" s="162"/>
      <c r="H81" s="163"/>
      <c r="I81" s="163"/>
      <c r="J81" s="164"/>
      <c r="K81" s="123"/>
      <c r="L81" s="124"/>
      <c r="M81" s="124"/>
      <c r="N81" s="124"/>
      <c r="O81" s="124"/>
      <c r="P81" s="124"/>
      <c r="Q81" s="125"/>
      <c r="R81" s="162"/>
      <c r="S81" s="163"/>
      <c r="T81" s="163"/>
      <c r="U81" s="164"/>
    </row>
    <row r="82" spans="1:21" ht="18" customHeight="1" x14ac:dyDescent="0.15">
      <c r="A82" s="3"/>
      <c r="B82" s="117"/>
      <c r="C82" s="118"/>
      <c r="D82" s="118"/>
      <c r="E82" s="118"/>
      <c r="F82" s="119"/>
      <c r="G82" s="151"/>
      <c r="H82" s="152"/>
      <c r="I82" s="152"/>
      <c r="J82" s="153"/>
      <c r="K82" s="117"/>
      <c r="L82" s="118"/>
      <c r="M82" s="118"/>
      <c r="N82" s="118"/>
      <c r="O82" s="118"/>
      <c r="P82" s="118"/>
      <c r="Q82" s="119"/>
      <c r="R82" s="151"/>
      <c r="S82" s="152"/>
      <c r="T82" s="152"/>
      <c r="U82" s="153"/>
    </row>
    <row r="83" spans="1:21" ht="18" customHeight="1" x14ac:dyDescent="0.15">
      <c r="A83" s="3"/>
      <c r="B83" s="117"/>
      <c r="C83" s="118"/>
      <c r="D83" s="118"/>
      <c r="E83" s="118"/>
      <c r="F83" s="119"/>
      <c r="G83" s="151"/>
      <c r="H83" s="152"/>
      <c r="I83" s="152"/>
      <c r="J83" s="153"/>
      <c r="K83" s="117"/>
      <c r="L83" s="118"/>
      <c r="M83" s="118"/>
      <c r="N83" s="118"/>
      <c r="O83" s="118"/>
      <c r="P83" s="118"/>
      <c r="Q83" s="119"/>
      <c r="R83" s="151"/>
      <c r="S83" s="152"/>
      <c r="T83" s="152"/>
      <c r="U83" s="153"/>
    </row>
    <row r="84" spans="1:21" ht="18" customHeight="1" x14ac:dyDescent="0.15">
      <c r="A84" s="3"/>
      <c r="B84" s="117"/>
      <c r="C84" s="118"/>
      <c r="D84" s="118"/>
      <c r="E84" s="118"/>
      <c r="F84" s="119"/>
      <c r="G84" s="151"/>
      <c r="H84" s="152"/>
      <c r="I84" s="152"/>
      <c r="J84" s="153"/>
      <c r="K84" s="117"/>
      <c r="L84" s="118"/>
      <c r="M84" s="118"/>
      <c r="N84" s="118"/>
      <c r="O84" s="118"/>
      <c r="P84" s="118"/>
      <c r="Q84" s="119"/>
      <c r="R84" s="151"/>
      <c r="S84" s="152"/>
      <c r="T84" s="152"/>
      <c r="U84" s="153"/>
    </row>
    <row r="85" spans="1:21" ht="18" customHeight="1" x14ac:dyDescent="0.15">
      <c r="A85" s="3"/>
      <c r="B85" s="117"/>
      <c r="C85" s="118"/>
      <c r="D85" s="118"/>
      <c r="E85" s="118"/>
      <c r="F85" s="119"/>
      <c r="G85" s="151"/>
      <c r="H85" s="152"/>
      <c r="I85" s="152"/>
      <c r="J85" s="153"/>
      <c r="K85" s="117"/>
      <c r="L85" s="118"/>
      <c r="M85" s="118"/>
      <c r="N85" s="118"/>
      <c r="O85" s="118"/>
      <c r="P85" s="118"/>
      <c r="Q85" s="119"/>
      <c r="R85" s="151"/>
      <c r="S85" s="152"/>
      <c r="T85" s="152"/>
      <c r="U85" s="153"/>
    </row>
    <row r="86" spans="1:21" ht="18" customHeight="1" x14ac:dyDescent="0.15">
      <c r="A86" s="3"/>
      <c r="B86" s="117"/>
      <c r="C86" s="118"/>
      <c r="D86" s="118"/>
      <c r="E86" s="118"/>
      <c r="F86" s="119"/>
      <c r="G86" s="151"/>
      <c r="H86" s="152"/>
      <c r="I86" s="152"/>
      <c r="J86" s="153"/>
      <c r="K86" s="117"/>
      <c r="L86" s="118"/>
      <c r="M86" s="118"/>
      <c r="N86" s="118"/>
      <c r="O86" s="118"/>
      <c r="P86" s="118"/>
      <c r="Q86" s="119"/>
      <c r="R86" s="151"/>
      <c r="S86" s="152"/>
      <c r="T86" s="152"/>
      <c r="U86" s="153"/>
    </row>
    <row r="87" spans="1:21" ht="18" customHeight="1" x14ac:dyDescent="0.15">
      <c r="A87" s="3"/>
      <c r="B87" s="120"/>
      <c r="C87" s="121"/>
      <c r="D87" s="121"/>
      <c r="E87" s="121"/>
      <c r="F87" s="122"/>
      <c r="G87" s="148"/>
      <c r="H87" s="149"/>
      <c r="I87" s="149"/>
      <c r="J87" s="150"/>
      <c r="K87" s="120"/>
      <c r="L87" s="121"/>
      <c r="M87" s="121"/>
      <c r="N87" s="121"/>
      <c r="O87" s="121"/>
      <c r="P87" s="121"/>
      <c r="Q87" s="122"/>
      <c r="R87" s="148"/>
      <c r="S87" s="149"/>
      <c r="T87" s="149"/>
      <c r="U87" s="150"/>
    </row>
    <row r="88" spans="1:21" ht="18" customHeight="1" x14ac:dyDescent="0.15">
      <c r="A88" s="3"/>
      <c r="B88" s="6"/>
      <c r="C88" s="6"/>
      <c r="D88" s="6"/>
      <c r="E88" s="6"/>
      <c r="F88" s="6"/>
      <c r="G88" s="21"/>
      <c r="H88" s="21"/>
      <c r="I88" s="21"/>
      <c r="J88" s="21"/>
      <c r="K88" s="6"/>
      <c r="L88" s="6"/>
      <c r="M88" s="6"/>
      <c r="N88" s="6"/>
      <c r="O88" s="6"/>
      <c r="P88" s="6"/>
      <c r="Q88" s="6"/>
      <c r="R88" s="21"/>
      <c r="S88" s="21"/>
      <c r="T88" s="21"/>
      <c r="U88" s="21"/>
    </row>
    <row r="89" spans="1:21" ht="18.75" customHeight="1" x14ac:dyDescent="0.15">
      <c r="A89" s="1" t="s">
        <v>108</v>
      </c>
    </row>
    <row r="90" spans="1:21" ht="18.75" customHeight="1" x14ac:dyDescent="0.15">
      <c r="B90" s="157" t="s">
        <v>53</v>
      </c>
      <c r="C90" s="158"/>
      <c r="D90" s="102" t="s">
        <v>54</v>
      </c>
      <c r="E90" s="103"/>
      <c r="F90" s="103"/>
      <c r="G90" s="103"/>
      <c r="H90" s="103"/>
      <c r="I90" s="103"/>
      <c r="J90" s="103"/>
      <c r="K90" s="103"/>
      <c r="L90" s="103"/>
      <c r="M90" s="103"/>
      <c r="N90" s="103"/>
      <c r="O90" s="103"/>
      <c r="P90" s="103"/>
      <c r="Q90" s="103"/>
      <c r="R90" s="103"/>
      <c r="S90" s="103"/>
      <c r="T90" s="103"/>
      <c r="U90" s="104"/>
    </row>
    <row r="91" spans="1:21" ht="97.5" customHeight="1" x14ac:dyDescent="0.15">
      <c r="B91" s="154" t="s">
        <v>60</v>
      </c>
      <c r="C91" s="22" t="s">
        <v>55</v>
      </c>
      <c r="D91" s="105" t="s">
        <v>175</v>
      </c>
      <c r="E91" s="91"/>
      <c r="F91" s="91"/>
      <c r="G91" s="91"/>
      <c r="H91" s="91"/>
      <c r="I91" s="91"/>
      <c r="J91" s="91"/>
      <c r="K91" s="91"/>
      <c r="L91" s="91"/>
      <c r="M91" s="91"/>
      <c r="N91" s="91"/>
      <c r="O91" s="91"/>
      <c r="P91" s="91"/>
      <c r="Q91" s="91"/>
      <c r="R91" s="91"/>
      <c r="S91" s="91"/>
      <c r="T91" s="91"/>
      <c r="U91" s="92"/>
    </row>
    <row r="92" spans="1:21" ht="97.5" customHeight="1" x14ac:dyDescent="0.15">
      <c r="B92" s="155"/>
      <c r="C92" s="23" t="s">
        <v>75</v>
      </c>
      <c r="D92" s="106" t="s">
        <v>176</v>
      </c>
      <c r="E92" s="88"/>
      <c r="F92" s="88"/>
      <c r="G92" s="88"/>
      <c r="H92" s="88"/>
      <c r="I92" s="88"/>
      <c r="J92" s="88"/>
      <c r="K92" s="88"/>
      <c r="L92" s="88"/>
      <c r="M92" s="88"/>
      <c r="N92" s="88"/>
      <c r="O92" s="88"/>
      <c r="P92" s="88"/>
      <c r="Q92" s="88"/>
      <c r="R92" s="88"/>
      <c r="S92" s="88"/>
      <c r="T92" s="88"/>
      <c r="U92" s="89"/>
    </row>
    <row r="93" spans="1:21" ht="97.5" customHeight="1" x14ac:dyDescent="0.15">
      <c r="B93" s="154" t="s">
        <v>61</v>
      </c>
      <c r="C93" s="24" t="s">
        <v>69</v>
      </c>
      <c r="D93" s="105" t="s">
        <v>174</v>
      </c>
      <c r="E93" s="107"/>
      <c r="F93" s="107"/>
      <c r="G93" s="107"/>
      <c r="H93" s="107"/>
      <c r="I93" s="107"/>
      <c r="J93" s="107"/>
      <c r="K93" s="107"/>
      <c r="L93" s="107"/>
      <c r="M93" s="107"/>
      <c r="N93" s="107"/>
      <c r="O93" s="107"/>
      <c r="P93" s="107"/>
      <c r="Q93" s="107"/>
      <c r="R93" s="107"/>
      <c r="S93" s="107"/>
      <c r="T93" s="107"/>
      <c r="U93" s="108"/>
    </row>
    <row r="94" spans="1:21" ht="97.5" customHeight="1" x14ac:dyDescent="0.15">
      <c r="B94" s="156"/>
      <c r="C94" s="25" t="s">
        <v>70</v>
      </c>
      <c r="D94" s="106" t="s">
        <v>183</v>
      </c>
      <c r="E94" s="109"/>
      <c r="F94" s="109"/>
      <c r="G94" s="109"/>
      <c r="H94" s="109"/>
      <c r="I94" s="109"/>
      <c r="J94" s="109"/>
      <c r="K94" s="109"/>
      <c r="L94" s="109"/>
      <c r="M94" s="109"/>
      <c r="N94" s="109"/>
      <c r="O94" s="109"/>
      <c r="P94" s="109"/>
      <c r="Q94" s="109"/>
      <c r="R94" s="109"/>
      <c r="S94" s="109"/>
      <c r="T94" s="109"/>
      <c r="U94" s="110"/>
    </row>
    <row r="95" spans="1:21" ht="97.5" customHeight="1" x14ac:dyDescent="0.15">
      <c r="B95" s="154" t="s">
        <v>62</v>
      </c>
      <c r="C95" s="24" t="s">
        <v>71</v>
      </c>
      <c r="D95" s="105" t="s">
        <v>182</v>
      </c>
      <c r="E95" s="91"/>
      <c r="F95" s="91"/>
      <c r="G95" s="91"/>
      <c r="H95" s="91"/>
      <c r="I95" s="91"/>
      <c r="J95" s="91"/>
      <c r="K95" s="91"/>
      <c r="L95" s="91"/>
      <c r="M95" s="91"/>
      <c r="N95" s="91"/>
      <c r="O95" s="91"/>
      <c r="P95" s="91"/>
      <c r="Q95" s="91"/>
      <c r="R95" s="91"/>
      <c r="S95" s="91"/>
      <c r="T95" s="91"/>
      <c r="U95" s="92"/>
    </row>
    <row r="96" spans="1:21" ht="97.5" customHeight="1" x14ac:dyDescent="0.15">
      <c r="B96" s="156"/>
      <c r="C96" s="26" t="s">
        <v>72</v>
      </c>
      <c r="D96" s="106" t="s">
        <v>177</v>
      </c>
      <c r="E96" s="109"/>
      <c r="F96" s="109"/>
      <c r="G96" s="109"/>
      <c r="H96" s="109"/>
      <c r="I96" s="109"/>
      <c r="J96" s="109"/>
      <c r="K96" s="109"/>
      <c r="L96" s="109"/>
      <c r="M96" s="109"/>
      <c r="N96" s="109"/>
      <c r="O96" s="109"/>
      <c r="P96" s="109"/>
      <c r="Q96" s="109"/>
      <c r="R96" s="109"/>
      <c r="S96" s="109"/>
      <c r="T96" s="109"/>
      <c r="U96" s="110"/>
    </row>
    <row r="97" spans="1:33" ht="242.25" customHeight="1" x14ac:dyDescent="0.15">
      <c r="B97" s="154" t="s">
        <v>76</v>
      </c>
      <c r="C97" s="22" t="s">
        <v>57</v>
      </c>
      <c r="D97" s="90" t="s">
        <v>184</v>
      </c>
      <c r="E97" s="91"/>
      <c r="F97" s="91"/>
      <c r="G97" s="91"/>
      <c r="H97" s="91"/>
      <c r="I97" s="91"/>
      <c r="J97" s="91"/>
      <c r="K97" s="91"/>
      <c r="L97" s="91"/>
      <c r="M97" s="91"/>
      <c r="N97" s="91"/>
      <c r="O97" s="91"/>
      <c r="P97" s="91"/>
      <c r="Q97" s="91"/>
      <c r="R97" s="91"/>
      <c r="S97" s="91"/>
      <c r="T97" s="91"/>
      <c r="U97" s="92"/>
    </row>
    <row r="98" spans="1:33" ht="173.25" customHeight="1" x14ac:dyDescent="0.15">
      <c r="B98" s="156"/>
      <c r="C98" s="25" t="s">
        <v>59</v>
      </c>
      <c r="D98" s="87" t="s">
        <v>178</v>
      </c>
      <c r="E98" s="88"/>
      <c r="F98" s="88"/>
      <c r="G98" s="88"/>
      <c r="H98" s="88"/>
      <c r="I98" s="88"/>
      <c r="J98" s="88"/>
      <c r="K98" s="88"/>
      <c r="L98" s="88"/>
      <c r="M98" s="88"/>
      <c r="N98" s="88"/>
      <c r="O98" s="88"/>
      <c r="P98" s="88"/>
      <c r="Q98" s="88"/>
      <c r="R98" s="88"/>
      <c r="S98" s="88"/>
      <c r="T98" s="88"/>
      <c r="U98" s="89"/>
    </row>
    <row r="99" spans="1:33" ht="218.25" customHeight="1" x14ac:dyDescent="0.15">
      <c r="B99" s="154" t="s">
        <v>77</v>
      </c>
      <c r="C99" s="24" t="s">
        <v>56</v>
      </c>
      <c r="D99" s="90" t="s">
        <v>179</v>
      </c>
      <c r="E99" s="91"/>
      <c r="F99" s="91"/>
      <c r="G99" s="91"/>
      <c r="H99" s="91"/>
      <c r="I99" s="91"/>
      <c r="J99" s="91"/>
      <c r="K99" s="91"/>
      <c r="L99" s="91"/>
      <c r="M99" s="91"/>
      <c r="N99" s="91"/>
      <c r="O99" s="91"/>
      <c r="P99" s="91"/>
      <c r="Q99" s="91"/>
      <c r="R99" s="91"/>
      <c r="S99" s="91"/>
      <c r="T99" s="91"/>
      <c r="U99" s="92"/>
    </row>
    <row r="100" spans="1:33" ht="140.25" customHeight="1" x14ac:dyDescent="0.15">
      <c r="B100" s="155"/>
      <c r="C100" s="27" t="s">
        <v>73</v>
      </c>
      <c r="D100" s="93" t="s">
        <v>180</v>
      </c>
      <c r="E100" s="94"/>
      <c r="F100" s="94"/>
      <c r="G100" s="94"/>
      <c r="H100" s="94"/>
      <c r="I100" s="94"/>
      <c r="J100" s="94"/>
      <c r="K100" s="94"/>
      <c r="L100" s="94"/>
      <c r="M100" s="94"/>
      <c r="N100" s="94"/>
      <c r="O100" s="94"/>
      <c r="P100" s="94"/>
      <c r="Q100" s="94"/>
      <c r="R100" s="94"/>
      <c r="S100" s="94"/>
      <c r="T100" s="94"/>
      <c r="U100" s="95"/>
    </row>
    <row r="101" spans="1:33" ht="104.25" customHeight="1" x14ac:dyDescent="0.15">
      <c r="B101" s="156"/>
      <c r="C101" s="26" t="s">
        <v>74</v>
      </c>
      <c r="D101" s="87" t="s">
        <v>181</v>
      </c>
      <c r="E101" s="88"/>
      <c r="F101" s="88"/>
      <c r="G101" s="88"/>
      <c r="H101" s="88"/>
      <c r="I101" s="88"/>
      <c r="J101" s="88"/>
      <c r="K101" s="88"/>
      <c r="L101" s="88"/>
      <c r="M101" s="88"/>
      <c r="N101" s="88"/>
      <c r="O101" s="88"/>
      <c r="P101" s="88"/>
      <c r="Q101" s="88"/>
      <c r="R101" s="88"/>
      <c r="S101" s="88"/>
      <c r="T101" s="88"/>
      <c r="U101" s="89"/>
    </row>
    <row r="102" spans="1:33" ht="6" customHeight="1" x14ac:dyDescent="0.15"/>
    <row r="103" spans="1:33" ht="18.75" customHeight="1" x14ac:dyDescent="0.15">
      <c r="A103" s="1" t="s">
        <v>109</v>
      </c>
    </row>
    <row r="104" spans="1:33" ht="188.25" customHeight="1" x14ac:dyDescent="0.15">
      <c r="B104" s="145" t="s">
        <v>148</v>
      </c>
      <c r="C104" s="146"/>
      <c r="D104" s="146"/>
      <c r="E104" s="146"/>
      <c r="F104" s="146"/>
      <c r="G104" s="146"/>
      <c r="H104" s="146"/>
      <c r="I104" s="146"/>
      <c r="J104" s="146"/>
      <c r="K104" s="146"/>
      <c r="L104" s="146"/>
      <c r="M104" s="146"/>
      <c r="N104" s="146"/>
      <c r="O104" s="146"/>
      <c r="P104" s="146"/>
      <c r="Q104" s="146"/>
      <c r="R104" s="146"/>
      <c r="S104" s="146"/>
      <c r="T104" s="146"/>
      <c r="U104" s="147"/>
    </row>
    <row r="106" spans="1:33" ht="18.75" customHeight="1" x14ac:dyDescent="0.15">
      <c r="A106" s="73" t="s">
        <v>125</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15">
      <c r="A107" s="73" t="s">
        <v>127</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15">
      <c r="A108" s="73"/>
      <c r="B108" s="86" t="s">
        <v>130</v>
      </c>
      <c r="C108" s="86"/>
      <c r="D108" s="86"/>
      <c r="E108" s="86"/>
      <c r="F108" s="86"/>
      <c r="G108" s="86"/>
      <c r="H108" s="86"/>
      <c r="I108" s="86"/>
      <c r="J108" s="86"/>
      <c r="K108" s="86"/>
      <c r="L108" s="86"/>
      <c r="M108" s="86"/>
      <c r="N108" s="86"/>
      <c r="O108" s="86"/>
      <c r="P108" s="86"/>
      <c r="Q108" s="86"/>
      <c r="R108" s="86"/>
      <c r="S108" s="86"/>
      <c r="T108" s="86"/>
      <c r="U108" s="86"/>
      <c r="V108" s="69"/>
      <c r="W108" s="69"/>
      <c r="X108" s="69"/>
      <c r="Y108" s="69"/>
      <c r="Z108" s="69"/>
      <c r="AA108" s="69"/>
      <c r="AB108" s="69"/>
      <c r="AC108" s="69"/>
      <c r="AD108" s="69"/>
      <c r="AE108" s="69"/>
      <c r="AF108" s="69"/>
      <c r="AG108" s="69"/>
    </row>
    <row r="109" spans="1:33" ht="37.15" customHeight="1" x14ac:dyDescent="0.15">
      <c r="A109" s="73"/>
      <c r="B109" s="86"/>
      <c r="C109" s="86"/>
      <c r="D109" s="86"/>
      <c r="E109" s="86"/>
      <c r="F109" s="86"/>
      <c r="G109" s="86"/>
      <c r="H109" s="86"/>
      <c r="I109" s="86"/>
      <c r="J109" s="86"/>
      <c r="K109" s="86"/>
      <c r="L109" s="86"/>
      <c r="M109" s="86"/>
      <c r="N109" s="86"/>
      <c r="O109" s="86"/>
      <c r="P109" s="86"/>
      <c r="Q109" s="86"/>
      <c r="R109" s="86"/>
      <c r="S109" s="86"/>
      <c r="T109" s="86"/>
      <c r="U109" s="86"/>
      <c r="V109" s="69"/>
      <c r="W109" s="69"/>
      <c r="X109" s="69"/>
      <c r="Y109" s="69"/>
      <c r="Z109" s="69"/>
      <c r="AA109" s="69"/>
      <c r="AB109" s="69"/>
      <c r="AC109" s="69"/>
      <c r="AD109" s="69"/>
      <c r="AE109" s="69"/>
      <c r="AF109" s="69"/>
      <c r="AG109" s="69"/>
    </row>
    <row r="110" spans="1:33" ht="18.75" customHeight="1" x14ac:dyDescent="0.15">
      <c r="A110" s="73"/>
      <c r="B110" s="165" t="s">
        <v>126</v>
      </c>
      <c r="C110" s="165"/>
      <c r="D110" s="165"/>
      <c r="E110" s="165"/>
      <c r="F110" s="165"/>
      <c r="G110" s="165"/>
      <c r="H110" s="165"/>
      <c r="I110" s="165"/>
      <c r="J110" s="165"/>
      <c r="K110" s="165"/>
      <c r="L110" s="165"/>
      <c r="M110" s="165"/>
      <c r="N110" s="165"/>
      <c r="O110" s="165"/>
      <c r="P110" s="165"/>
      <c r="Q110" s="165"/>
      <c r="R110" s="165"/>
      <c r="S110" s="165"/>
      <c r="T110" s="165"/>
      <c r="U110" s="165"/>
      <c r="V110" s="69"/>
      <c r="W110" s="69"/>
      <c r="X110" s="69"/>
      <c r="Y110" s="69"/>
      <c r="Z110" s="69"/>
      <c r="AA110" s="69"/>
      <c r="AB110" s="69"/>
      <c r="AC110" s="69"/>
      <c r="AD110" s="69"/>
      <c r="AE110" s="69"/>
      <c r="AF110" s="69"/>
      <c r="AG110" s="69"/>
    </row>
    <row r="111" spans="1:33" ht="18.75" customHeight="1" x14ac:dyDescent="0.15">
      <c r="A111" s="73"/>
      <c r="B111" s="166" t="s">
        <v>54</v>
      </c>
      <c r="C111" s="166"/>
      <c r="D111" s="166"/>
      <c r="E111" s="166"/>
      <c r="F111" s="166"/>
      <c r="G111" s="166"/>
      <c r="H111" s="166"/>
      <c r="I111" s="166"/>
      <c r="J111" s="166"/>
      <c r="K111" s="166"/>
      <c r="L111" s="166"/>
      <c r="M111" s="166"/>
      <c r="N111" s="166"/>
      <c r="O111" s="166"/>
      <c r="P111" s="166"/>
      <c r="Q111" s="166"/>
      <c r="R111" s="166"/>
      <c r="S111" s="166"/>
      <c r="T111" s="166"/>
      <c r="U111" s="166"/>
      <c r="V111" s="68"/>
      <c r="W111" s="68"/>
      <c r="X111" s="68"/>
      <c r="Y111" s="68"/>
      <c r="Z111" s="68"/>
      <c r="AA111" s="68"/>
      <c r="AB111" s="68"/>
      <c r="AC111" s="68"/>
      <c r="AD111" s="68"/>
      <c r="AE111" s="68"/>
      <c r="AF111" s="68"/>
      <c r="AG111" s="68"/>
    </row>
    <row r="112" spans="1:33" ht="132" customHeight="1" x14ac:dyDescent="0.15">
      <c r="A112" s="73"/>
      <c r="B112" s="167"/>
      <c r="C112" s="167"/>
      <c r="D112" s="167"/>
      <c r="E112" s="167"/>
      <c r="F112" s="167"/>
      <c r="G112" s="167"/>
      <c r="H112" s="167"/>
      <c r="I112" s="167"/>
      <c r="J112" s="167"/>
      <c r="K112" s="167"/>
      <c r="L112" s="167"/>
      <c r="M112" s="167"/>
      <c r="N112" s="167"/>
      <c r="O112" s="167"/>
      <c r="P112" s="167"/>
      <c r="Q112" s="167"/>
      <c r="R112" s="167"/>
      <c r="S112" s="167"/>
      <c r="T112" s="167"/>
      <c r="U112" s="167"/>
      <c r="V112" s="70"/>
      <c r="W112" s="70"/>
      <c r="X112" s="70"/>
      <c r="Y112" s="70"/>
      <c r="Z112" s="70"/>
      <c r="AA112" s="70"/>
      <c r="AB112" s="70"/>
      <c r="AC112" s="70"/>
      <c r="AD112" s="70"/>
      <c r="AE112" s="70"/>
      <c r="AF112" s="70"/>
      <c r="AG112" s="70"/>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3" manualBreakCount="3">
    <brk id="67" max="20" man="1"/>
    <brk id="96" max="20" man="1"/>
    <brk id="105"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B15" sqref="B15:U20"/>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4"/>
      <c r="B1" s="74"/>
      <c r="C1" s="74"/>
      <c r="D1" s="74"/>
      <c r="E1" s="74"/>
      <c r="F1" s="74"/>
      <c r="G1" s="74"/>
      <c r="H1" s="74"/>
      <c r="I1" s="74"/>
      <c r="J1" s="74"/>
      <c r="K1" s="74"/>
      <c r="L1" s="74"/>
      <c r="M1" s="74"/>
      <c r="N1" s="74"/>
      <c r="O1" s="74"/>
      <c r="P1" s="74"/>
      <c r="Q1" s="74"/>
      <c r="R1" s="74"/>
      <c r="S1" s="74" t="s">
        <v>98</v>
      </c>
    </row>
    <row r="2" spans="1:21" ht="18" customHeight="1" x14ac:dyDescent="0.15">
      <c r="A2" s="74"/>
      <c r="B2" s="74"/>
      <c r="C2" s="74"/>
      <c r="D2" s="74"/>
      <c r="E2" s="74"/>
      <c r="F2" s="74"/>
      <c r="G2" s="74"/>
      <c r="H2" s="74"/>
      <c r="I2" s="74"/>
      <c r="J2" s="74"/>
      <c r="K2" s="74"/>
      <c r="L2" s="74"/>
      <c r="M2" s="74"/>
      <c r="N2" s="74"/>
      <c r="O2" s="74"/>
      <c r="P2" s="74"/>
      <c r="Q2" s="169" t="str">
        <f>'様式１　プログラムを構成する授業科目'!C2</f>
        <v>高松短期大学</v>
      </c>
      <c r="R2" s="169"/>
      <c r="S2" s="169"/>
    </row>
    <row r="3" spans="1:21" ht="18" customHeight="1" x14ac:dyDescent="0.15">
      <c r="A3" s="134" t="s">
        <v>47</v>
      </c>
      <c r="B3" s="134"/>
      <c r="C3" s="134"/>
      <c r="D3" s="134"/>
      <c r="E3" s="134"/>
      <c r="F3" s="134"/>
      <c r="G3" s="134"/>
      <c r="H3" s="134"/>
      <c r="I3" s="134"/>
      <c r="J3" s="134"/>
      <c r="K3" s="134"/>
      <c r="L3" s="134"/>
      <c r="M3" s="134"/>
      <c r="N3" s="134"/>
      <c r="O3" s="134"/>
      <c r="P3" s="134"/>
      <c r="Q3" s="134"/>
      <c r="R3" s="134"/>
      <c r="S3" s="134"/>
    </row>
    <row r="4" spans="1:21" ht="7.5" customHeight="1" x14ac:dyDescent="0.15">
      <c r="A4" s="79"/>
      <c r="B4" s="79"/>
      <c r="C4" s="79"/>
      <c r="D4" s="79"/>
      <c r="E4" s="79"/>
      <c r="F4" s="79"/>
      <c r="G4" s="79"/>
      <c r="H4" s="79"/>
      <c r="I4" s="79"/>
      <c r="J4" s="79"/>
      <c r="K4" s="79"/>
      <c r="L4" s="79"/>
      <c r="M4" s="79"/>
      <c r="N4" s="79"/>
      <c r="O4" s="79"/>
      <c r="P4" s="79"/>
      <c r="Q4" s="79"/>
      <c r="R4" s="79"/>
      <c r="S4" s="79"/>
    </row>
    <row r="5" spans="1:21" ht="18" customHeight="1" x14ac:dyDescent="0.15">
      <c r="A5" s="74" t="s">
        <v>80</v>
      </c>
      <c r="B5" s="74"/>
      <c r="C5" s="131" t="s">
        <v>149</v>
      </c>
      <c r="D5" s="133"/>
      <c r="E5" s="79" t="s">
        <v>51</v>
      </c>
      <c r="F5" s="79"/>
      <c r="G5" s="79"/>
      <c r="H5" s="79"/>
      <c r="I5" s="79"/>
      <c r="J5" s="79"/>
      <c r="K5" s="79"/>
      <c r="L5" s="79"/>
      <c r="M5" s="79"/>
      <c r="N5" s="79"/>
      <c r="O5" s="79"/>
      <c r="P5" s="79"/>
      <c r="Q5" s="79"/>
      <c r="R5" s="77"/>
      <c r="S5" s="77"/>
    </row>
    <row r="6" spans="1:21" ht="7.15" customHeight="1" x14ac:dyDescent="0.15">
      <c r="A6" s="74"/>
      <c r="B6" s="74"/>
      <c r="C6" s="84"/>
      <c r="D6" s="84"/>
      <c r="E6" s="79"/>
      <c r="F6" s="79"/>
      <c r="G6" s="79"/>
      <c r="H6" s="79"/>
      <c r="I6" s="79"/>
      <c r="J6" s="79"/>
      <c r="K6" s="79"/>
      <c r="L6" s="79"/>
      <c r="M6" s="79"/>
      <c r="N6" s="79"/>
      <c r="O6" s="79"/>
      <c r="P6" s="79"/>
      <c r="Q6" s="79"/>
      <c r="R6" s="77"/>
      <c r="S6" s="77"/>
    </row>
    <row r="7" spans="1:21" ht="18" customHeight="1" x14ac:dyDescent="0.15">
      <c r="A7" s="74" t="s">
        <v>118</v>
      </c>
      <c r="B7" s="74"/>
      <c r="C7" s="84"/>
      <c r="D7" s="84"/>
      <c r="E7" s="79" t="s">
        <v>119</v>
      </c>
      <c r="F7" s="82">
        <v>5</v>
      </c>
      <c r="G7" s="80" t="s">
        <v>120</v>
      </c>
      <c r="H7" s="79" t="s">
        <v>121</v>
      </c>
      <c r="I7" s="82">
        <v>168</v>
      </c>
      <c r="J7" s="80" t="s">
        <v>120</v>
      </c>
      <c r="K7" s="75" t="s">
        <v>122</v>
      </c>
      <c r="L7" s="79" t="s">
        <v>123</v>
      </c>
      <c r="M7" s="82">
        <f>F7+I7</f>
        <v>173</v>
      </c>
      <c r="N7" s="79" t="s">
        <v>1</v>
      </c>
      <c r="O7" s="80" t="s">
        <v>124</v>
      </c>
      <c r="P7" s="79"/>
      <c r="Q7" s="79"/>
      <c r="R7" s="77"/>
      <c r="S7" s="77"/>
    </row>
    <row r="8" spans="1:21" ht="6" customHeight="1" x14ac:dyDescent="0.15">
      <c r="A8" s="79"/>
      <c r="B8" s="79"/>
      <c r="C8" s="79"/>
      <c r="D8" s="79"/>
      <c r="E8" s="79"/>
      <c r="F8" s="79"/>
      <c r="G8" s="79"/>
      <c r="H8" s="79"/>
      <c r="I8" s="79"/>
      <c r="J8" s="79"/>
      <c r="K8" s="79"/>
      <c r="L8" s="79"/>
      <c r="M8" s="79"/>
      <c r="N8" s="79"/>
      <c r="O8" s="79"/>
      <c r="P8" s="79"/>
      <c r="Q8" s="79"/>
      <c r="R8" s="79"/>
      <c r="S8" s="79"/>
    </row>
    <row r="9" spans="1:21" ht="18" customHeight="1" x14ac:dyDescent="0.15">
      <c r="A9" s="74" t="s">
        <v>134</v>
      </c>
      <c r="B9" s="79"/>
      <c r="C9" s="79"/>
      <c r="D9" s="79"/>
      <c r="E9" s="79"/>
      <c r="F9" s="79"/>
      <c r="G9" s="79"/>
      <c r="H9" s="79"/>
      <c r="I9" s="79"/>
      <c r="J9" s="79"/>
      <c r="K9" s="79"/>
      <c r="L9" s="79"/>
      <c r="M9" s="79"/>
      <c r="N9" s="79"/>
      <c r="O9" s="79"/>
      <c r="P9" s="79"/>
      <c r="Q9" s="79"/>
      <c r="R9" s="79"/>
      <c r="S9" s="79"/>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0" t="s">
        <v>44</v>
      </c>
      <c r="C11" s="180" t="s">
        <v>83</v>
      </c>
      <c r="D11" s="172" t="s">
        <v>46</v>
      </c>
      <c r="E11" s="174" t="s">
        <v>39</v>
      </c>
      <c r="F11" s="168" t="s">
        <v>112</v>
      </c>
      <c r="G11" s="168"/>
      <c r="H11" s="168" t="s">
        <v>82</v>
      </c>
      <c r="I11" s="168"/>
      <c r="J11" s="168" t="s">
        <v>48</v>
      </c>
      <c r="K11" s="168"/>
      <c r="L11" s="168" t="s">
        <v>49</v>
      </c>
      <c r="M11" s="168"/>
      <c r="N11" s="168" t="s">
        <v>92</v>
      </c>
      <c r="O11" s="168"/>
      <c r="P11" s="168" t="s">
        <v>50</v>
      </c>
      <c r="Q11" s="168"/>
      <c r="R11" s="176" t="s">
        <v>35</v>
      </c>
      <c r="S11" s="178" t="s">
        <v>32</v>
      </c>
      <c r="U11" s="2"/>
    </row>
    <row r="12" spans="1:21" ht="16.899999999999999" customHeight="1" x14ac:dyDescent="0.15">
      <c r="B12" s="171"/>
      <c r="C12" s="181"/>
      <c r="D12" s="173"/>
      <c r="E12" s="175"/>
      <c r="F12" s="63" t="s">
        <v>91</v>
      </c>
      <c r="G12" s="63" t="s">
        <v>29</v>
      </c>
      <c r="H12" s="63" t="s">
        <v>91</v>
      </c>
      <c r="I12" s="63" t="s">
        <v>29</v>
      </c>
      <c r="J12" s="63" t="s">
        <v>91</v>
      </c>
      <c r="K12" s="63" t="s">
        <v>29</v>
      </c>
      <c r="L12" s="63" t="s">
        <v>91</v>
      </c>
      <c r="M12" s="63" t="s">
        <v>29</v>
      </c>
      <c r="N12" s="63" t="s">
        <v>91</v>
      </c>
      <c r="O12" s="63" t="s">
        <v>29</v>
      </c>
      <c r="P12" s="63" t="s">
        <v>91</v>
      </c>
      <c r="Q12" s="64" t="s">
        <v>29</v>
      </c>
      <c r="R12" s="177"/>
      <c r="S12" s="179"/>
      <c r="U12" s="2"/>
    </row>
    <row r="13" spans="1:21" ht="18" customHeight="1" x14ac:dyDescent="0.15">
      <c r="A13" s="6"/>
      <c r="B13" s="65" t="s">
        <v>150</v>
      </c>
      <c r="C13" s="51">
        <v>91</v>
      </c>
      <c r="D13" s="52">
        <v>80</v>
      </c>
      <c r="E13" s="53">
        <v>160</v>
      </c>
      <c r="F13" s="53">
        <v>40</v>
      </c>
      <c r="G13" s="53">
        <v>0</v>
      </c>
      <c r="H13" s="53"/>
      <c r="I13" s="53"/>
      <c r="J13" s="53"/>
      <c r="K13" s="53"/>
      <c r="L13" s="53"/>
      <c r="M13" s="53"/>
      <c r="N13" s="53"/>
      <c r="O13" s="53"/>
      <c r="P13" s="53"/>
      <c r="Q13" s="66"/>
      <c r="R13" s="52">
        <f t="shared" ref="R13:R32" si="0">F13+H13+J13+L13+N13+P13</f>
        <v>40</v>
      </c>
      <c r="S13" s="85">
        <f t="shared" ref="S13:S33" si="1">R13/E13</f>
        <v>0.25</v>
      </c>
    </row>
    <row r="14" spans="1:21" ht="18" customHeight="1" x14ac:dyDescent="0.15">
      <c r="A14" s="6"/>
      <c r="B14" s="11" t="s">
        <v>151</v>
      </c>
      <c r="C14" s="54">
        <v>82</v>
      </c>
      <c r="D14" s="55">
        <v>70</v>
      </c>
      <c r="E14" s="56">
        <v>140</v>
      </c>
      <c r="F14" s="57">
        <v>39</v>
      </c>
      <c r="G14" s="57">
        <v>3</v>
      </c>
      <c r="H14" s="57"/>
      <c r="I14" s="57"/>
      <c r="J14" s="57"/>
      <c r="K14" s="57"/>
      <c r="L14" s="57"/>
      <c r="M14" s="57"/>
      <c r="N14" s="57"/>
      <c r="O14" s="57"/>
      <c r="P14" s="57"/>
      <c r="Q14" s="54"/>
      <c r="R14" s="55">
        <f t="shared" si="0"/>
        <v>39</v>
      </c>
      <c r="S14" s="8">
        <f t="shared" si="1"/>
        <v>0.27857142857142858</v>
      </c>
    </row>
    <row r="15" spans="1:21" ht="18" customHeight="1" x14ac:dyDescent="0.15">
      <c r="A15" s="6"/>
      <c r="B15" s="11"/>
      <c r="C15" s="54"/>
      <c r="D15" s="55"/>
      <c r="E15" s="56"/>
      <c r="F15" s="57"/>
      <c r="G15" s="57"/>
      <c r="H15" s="57"/>
      <c r="I15" s="57"/>
      <c r="J15" s="57"/>
      <c r="K15" s="57"/>
      <c r="L15" s="57"/>
      <c r="M15" s="57"/>
      <c r="N15" s="57"/>
      <c r="O15" s="57"/>
      <c r="P15" s="57"/>
      <c r="Q15" s="54"/>
      <c r="R15" s="55">
        <f t="shared" si="0"/>
        <v>0</v>
      </c>
      <c r="S15" s="8" t="e">
        <f t="shared" si="1"/>
        <v>#DIV/0!</v>
      </c>
    </row>
    <row r="16" spans="1:21" ht="18" customHeight="1" x14ac:dyDescent="0.15">
      <c r="A16" s="6"/>
      <c r="B16" s="11"/>
      <c r="C16" s="54"/>
      <c r="D16" s="55"/>
      <c r="E16" s="56"/>
      <c r="F16" s="57"/>
      <c r="G16" s="57"/>
      <c r="H16" s="57"/>
      <c r="I16" s="57"/>
      <c r="J16" s="57"/>
      <c r="K16" s="57"/>
      <c r="L16" s="57"/>
      <c r="M16" s="57"/>
      <c r="N16" s="57"/>
      <c r="O16" s="57"/>
      <c r="P16" s="57"/>
      <c r="Q16" s="54"/>
      <c r="R16" s="55">
        <f t="shared" si="0"/>
        <v>0</v>
      </c>
      <c r="S16" s="8" t="e">
        <f t="shared" si="1"/>
        <v>#DIV/0!</v>
      </c>
    </row>
    <row r="17" spans="1:19" ht="18" customHeight="1" x14ac:dyDescent="0.15">
      <c r="A17" s="6"/>
      <c r="B17" s="11"/>
      <c r="C17" s="54"/>
      <c r="D17" s="55"/>
      <c r="E17" s="56"/>
      <c r="F17" s="57"/>
      <c r="G17" s="57"/>
      <c r="H17" s="57"/>
      <c r="I17" s="57"/>
      <c r="J17" s="57"/>
      <c r="K17" s="57"/>
      <c r="L17" s="57"/>
      <c r="M17" s="57"/>
      <c r="N17" s="57"/>
      <c r="O17" s="57"/>
      <c r="P17" s="57"/>
      <c r="Q17" s="54"/>
      <c r="R17" s="55">
        <f t="shared" si="0"/>
        <v>0</v>
      </c>
      <c r="S17" s="8" t="e">
        <f t="shared" si="1"/>
        <v>#DIV/0!</v>
      </c>
    </row>
    <row r="18" spans="1:19" ht="18" customHeight="1" x14ac:dyDescent="0.15">
      <c r="A18" s="6"/>
      <c r="B18" s="11"/>
      <c r="C18" s="54"/>
      <c r="D18" s="55"/>
      <c r="E18" s="56"/>
      <c r="F18" s="57"/>
      <c r="G18" s="57"/>
      <c r="H18" s="57"/>
      <c r="I18" s="57"/>
      <c r="J18" s="57"/>
      <c r="K18" s="57"/>
      <c r="L18" s="57"/>
      <c r="M18" s="57"/>
      <c r="N18" s="57"/>
      <c r="O18" s="57"/>
      <c r="P18" s="57"/>
      <c r="Q18" s="54"/>
      <c r="R18" s="55">
        <f t="shared" si="0"/>
        <v>0</v>
      </c>
      <c r="S18" s="8" t="e">
        <f t="shared" si="1"/>
        <v>#DIV/0!</v>
      </c>
    </row>
    <row r="19" spans="1:19" ht="18" customHeight="1" x14ac:dyDescent="0.15">
      <c r="A19" s="6"/>
      <c r="B19" s="11"/>
      <c r="C19" s="54"/>
      <c r="D19" s="55"/>
      <c r="E19" s="56"/>
      <c r="F19" s="57"/>
      <c r="G19" s="57"/>
      <c r="H19" s="57"/>
      <c r="I19" s="57"/>
      <c r="J19" s="57"/>
      <c r="K19" s="57"/>
      <c r="L19" s="57"/>
      <c r="M19" s="57"/>
      <c r="N19" s="57"/>
      <c r="O19" s="57"/>
      <c r="P19" s="57"/>
      <c r="Q19" s="54"/>
      <c r="R19" s="55">
        <f t="shared" si="0"/>
        <v>0</v>
      </c>
      <c r="S19" s="8" t="e">
        <f t="shared" si="1"/>
        <v>#DIV/0!</v>
      </c>
    </row>
    <row r="20" spans="1:19" ht="18" customHeight="1" x14ac:dyDescent="0.15">
      <c r="A20" s="6"/>
      <c r="B20" s="11"/>
      <c r="C20" s="54"/>
      <c r="D20" s="55"/>
      <c r="E20" s="56"/>
      <c r="F20" s="57"/>
      <c r="G20" s="57"/>
      <c r="H20" s="57"/>
      <c r="I20" s="57"/>
      <c r="J20" s="57"/>
      <c r="K20" s="57"/>
      <c r="L20" s="57"/>
      <c r="M20" s="57"/>
      <c r="N20" s="57"/>
      <c r="O20" s="57"/>
      <c r="P20" s="57"/>
      <c r="Q20" s="54"/>
      <c r="R20" s="55">
        <f t="shared" si="0"/>
        <v>0</v>
      </c>
      <c r="S20" s="8" t="e">
        <f t="shared" si="1"/>
        <v>#DIV/0!</v>
      </c>
    </row>
    <row r="21" spans="1:19" ht="18" customHeight="1" x14ac:dyDescent="0.15">
      <c r="A21" s="6"/>
      <c r="B21" s="11"/>
      <c r="C21" s="54"/>
      <c r="D21" s="55"/>
      <c r="E21" s="56"/>
      <c r="F21" s="57"/>
      <c r="G21" s="57"/>
      <c r="H21" s="57"/>
      <c r="I21" s="57"/>
      <c r="J21" s="57"/>
      <c r="K21" s="57"/>
      <c r="L21" s="57"/>
      <c r="M21" s="57"/>
      <c r="N21" s="57"/>
      <c r="O21" s="57"/>
      <c r="P21" s="57"/>
      <c r="Q21" s="54"/>
      <c r="R21" s="55">
        <f t="shared" si="0"/>
        <v>0</v>
      </c>
      <c r="S21" s="8" t="e">
        <f t="shared" si="1"/>
        <v>#DIV/0!</v>
      </c>
    </row>
    <row r="22" spans="1:19" ht="18" customHeight="1" x14ac:dyDescent="0.15">
      <c r="A22" s="6"/>
      <c r="B22" s="11"/>
      <c r="C22" s="54"/>
      <c r="D22" s="55"/>
      <c r="E22" s="56"/>
      <c r="F22" s="57"/>
      <c r="G22" s="57"/>
      <c r="H22" s="57"/>
      <c r="I22" s="57"/>
      <c r="J22" s="57"/>
      <c r="K22" s="57"/>
      <c r="L22" s="57"/>
      <c r="M22" s="57"/>
      <c r="N22" s="57"/>
      <c r="O22" s="57"/>
      <c r="P22" s="57"/>
      <c r="Q22" s="54"/>
      <c r="R22" s="55">
        <f t="shared" si="0"/>
        <v>0</v>
      </c>
      <c r="S22" s="8" t="e">
        <f t="shared" si="1"/>
        <v>#DIV/0!</v>
      </c>
    </row>
    <row r="23" spans="1:19" ht="18" customHeight="1" x14ac:dyDescent="0.15">
      <c r="A23" s="6"/>
      <c r="B23" s="11"/>
      <c r="C23" s="54"/>
      <c r="D23" s="55"/>
      <c r="E23" s="56"/>
      <c r="F23" s="57"/>
      <c r="G23" s="57"/>
      <c r="H23" s="57"/>
      <c r="I23" s="57"/>
      <c r="J23" s="57"/>
      <c r="K23" s="57"/>
      <c r="L23" s="57"/>
      <c r="M23" s="57"/>
      <c r="N23" s="57"/>
      <c r="O23" s="57"/>
      <c r="P23" s="57"/>
      <c r="Q23" s="54"/>
      <c r="R23" s="55">
        <f t="shared" si="0"/>
        <v>0</v>
      </c>
      <c r="S23" s="8" t="e">
        <f t="shared" si="1"/>
        <v>#DIV/0!</v>
      </c>
    </row>
    <row r="24" spans="1:19" ht="18" customHeight="1" x14ac:dyDescent="0.15">
      <c r="A24" s="6"/>
      <c r="B24" s="11"/>
      <c r="C24" s="54"/>
      <c r="D24" s="55"/>
      <c r="E24" s="56"/>
      <c r="F24" s="57"/>
      <c r="G24" s="57"/>
      <c r="H24" s="57"/>
      <c r="I24" s="57"/>
      <c r="J24" s="57"/>
      <c r="K24" s="57"/>
      <c r="L24" s="57"/>
      <c r="M24" s="57"/>
      <c r="N24" s="57"/>
      <c r="O24" s="57"/>
      <c r="P24" s="57"/>
      <c r="Q24" s="54"/>
      <c r="R24" s="55">
        <f t="shared" si="0"/>
        <v>0</v>
      </c>
      <c r="S24" s="8" t="e">
        <f t="shared" si="1"/>
        <v>#DIV/0!</v>
      </c>
    </row>
    <row r="25" spans="1:19" ht="18" customHeight="1" x14ac:dyDescent="0.15">
      <c r="A25" s="6"/>
      <c r="B25" s="11"/>
      <c r="C25" s="54"/>
      <c r="D25" s="55"/>
      <c r="E25" s="56"/>
      <c r="F25" s="57"/>
      <c r="G25" s="57"/>
      <c r="H25" s="57"/>
      <c r="I25" s="57"/>
      <c r="J25" s="57"/>
      <c r="K25" s="57"/>
      <c r="L25" s="57"/>
      <c r="M25" s="57"/>
      <c r="N25" s="57"/>
      <c r="O25" s="57"/>
      <c r="P25" s="57"/>
      <c r="Q25" s="54"/>
      <c r="R25" s="55">
        <f t="shared" si="0"/>
        <v>0</v>
      </c>
      <c r="S25" s="8" t="e">
        <f t="shared" si="1"/>
        <v>#DIV/0!</v>
      </c>
    </row>
    <row r="26" spans="1:19" ht="18" customHeight="1" x14ac:dyDescent="0.15">
      <c r="A26" s="6"/>
      <c r="B26" s="11"/>
      <c r="C26" s="54"/>
      <c r="D26" s="55"/>
      <c r="E26" s="56"/>
      <c r="F26" s="57"/>
      <c r="G26" s="57"/>
      <c r="H26" s="57"/>
      <c r="I26" s="57"/>
      <c r="J26" s="57"/>
      <c r="K26" s="57"/>
      <c r="L26" s="57"/>
      <c r="M26" s="57"/>
      <c r="N26" s="57"/>
      <c r="O26" s="57"/>
      <c r="P26" s="57"/>
      <c r="Q26" s="54"/>
      <c r="R26" s="55">
        <f t="shared" si="0"/>
        <v>0</v>
      </c>
      <c r="S26" s="8" t="e">
        <f t="shared" si="1"/>
        <v>#DIV/0!</v>
      </c>
    </row>
    <row r="27" spans="1:19" ht="18" customHeight="1" x14ac:dyDescent="0.15">
      <c r="A27" s="6"/>
      <c r="B27" s="11"/>
      <c r="C27" s="54"/>
      <c r="D27" s="55"/>
      <c r="E27" s="56"/>
      <c r="F27" s="57"/>
      <c r="G27" s="57"/>
      <c r="H27" s="57"/>
      <c r="I27" s="57"/>
      <c r="J27" s="57"/>
      <c r="K27" s="57"/>
      <c r="L27" s="57"/>
      <c r="M27" s="57"/>
      <c r="N27" s="57"/>
      <c r="O27" s="57"/>
      <c r="P27" s="57"/>
      <c r="Q27" s="54"/>
      <c r="R27" s="55">
        <f t="shared" si="0"/>
        <v>0</v>
      </c>
      <c r="S27" s="8" t="e">
        <f t="shared" si="1"/>
        <v>#DIV/0!</v>
      </c>
    </row>
    <row r="28" spans="1:19" ht="18" customHeight="1" x14ac:dyDescent="0.15">
      <c r="A28" s="6"/>
      <c r="B28" s="11"/>
      <c r="C28" s="54"/>
      <c r="D28" s="55"/>
      <c r="E28" s="56"/>
      <c r="F28" s="57"/>
      <c r="G28" s="57"/>
      <c r="H28" s="57"/>
      <c r="I28" s="57"/>
      <c r="J28" s="57"/>
      <c r="K28" s="57"/>
      <c r="L28" s="57"/>
      <c r="M28" s="57"/>
      <c r="N28" s="57"/>
      <c r="O28" s="57"/>
      <c r="P28" s="57"/>
      <c r="Q28" s="54"/>
      <c r="R28" s="55">
        <f t="shared" si="0"/>
        <v>0</v>
      </c>
      <c r="S28" s="8" t="e">
        <f t="shared" si="1"/>
        <v>#DIV/0!</v>
      </c>
    </row>
    <row r="29" spans="1:19" ht="18" customHeight="1" x14ac:dyDescent="0.15">
      <c r="A29" s="6"/>
      <c r="B29" s="11"/>
      <c r="C29" s="54"/>
      <c r="D29" s="55"/>
      <c r="E29" s="56"/>
      <c r="F29" s="57"/>
      <c r="G29" s="57"/>
      <c r="H29" s="57"/>
      <c r="I29" s="57"/>
      <c r="J29" s="57"/>
      <c r="K29" s="57"/>
      <c r="L29" s="57"/>
      <c r="M29" s="57"/>
      <c r="N29" s="57"/>
      <c r="O29" s="57"/>
      <c r="P29" s="57"/>
      <c r="Q29" s="54"/>
      <c r="R29" s="55">
        <f t="shared" si="0"/>
        <v>0</v>
      </c>
      <c r="S29" s="8" t="e">
        <f t="shared" si="1"/>
        <v>#DIV/0!</v>
      </c>
    </row>
    <row r="30" spans="1:19" ht="18" customHeight="1" x14ac:dyDescent="0.15">
      <c r="A30" s="6"/>
      <c r="B30" s="11"/>
      <c r="C30" s="54"/>
      <c r="D30" s="58"/>
      <c r="E30" s="56"/>
      <c r="F30" s="57"/>
      <c r="G30" s="57"/>
      <c r="H30" s="57"/>
      <c r="I30" s="57"/>
      <c r="J30" s="57"/>
      <c r="K30" s="57"/>
      <c r="L30" s="57"/>
      <c r="M30" s="57"/>
      <c r="N30" s="57"/>
      <c r="O30" s="57"/>
      <c r="P30" s="57"/>
      <c r="Q30" s="54"/>
      <c r="R30" s="58">
        <f t="shared" si="0"/>
        <v>0</v>
      </c>
      <c r="S30" s="8" t="e">
        <f t="shared" si="1"/>
        <v>#DIV/0!</v>
      </c>
    </row>
    <row r="31" spans="1:19" ht="18" customHeight="1" x14ac:dyDescent="0.15">
      <c r="A31" s="6"/>
      <c r="B31" s="11"/>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x14ac:dyDescent="0.2">
      <c r="A32" s="6"/>
      <c r="B32" s="12"/>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x14ac:dyDescent="0.15">
      <c r="B33" s="13" t="s">
        <v>33</v>
      </c>
      <c r="C33" s="60">
        <f t="shared" ref="C33" si="2">SUM(C13:C32)</f>
        <v>173</v>
      </c>
      <c r="D33" s="61">
        <f t="shared" ref="D33:R33" si="3">SUM(D13:D32)</f>
        <v>150</v>
      </c>
      <c r="E33" s="62">
        <f t="shared" si="3"/>
        <v>300</v>
      </c>
      <c r="F33" s="62">
        <f t="shared" si="3"/>
        <v>79</v>
      </c>
      <c r="G33" s="62">
        <f t="shared" ref="G33:H33" si="4">SUM(G13:G32)</f>
        <v>3</v>
      </c>
      <c r="H33" s="62">
        <f t="shared" si="4"/>
        <v>0</v>
      </c>
      <c r="I33" s="62">
        <f t="shared" ref="I33:J33" si="5">SUM(I13:I32)</f>
        <v>0</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1">
        <f t="shared" si="3"/>
        <v>79</v>
      </c>
      <c r="S33" s="9">
        <f t="shared" si="1"/>
        <v>0.26333333333333331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27"/>
  <sheetViews>
    <sheetView showZeros="0" view="pageBreakPreview" zoomScaleNormal="100" zoomScaleSheetLayoutView="100" workbookViewId="0">
      <selection activeCell="B15" sqref="B15:U20"/>
    </sheetView>
  </sheetViews>
  <sheetFormatPr defaultColWidth="11.375" defaultRowHeight="18.75" customHeight="1" x14ac:dyDescent="0.15"/>
  <cols>
    <col min="1" max="1" width="2.75" style="3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1" t="s">
        <v>63</v>
      </c>
      <c r="I1" s="29" t="s">
        <v>97</v>
      </c>
    </row>
    <row r="2" spans="1:9" ht="18.75" customHeight="1" x14ac:dyDescent="0.15">
      <c r="G2" s="29" t="s">
        <v>99</v>
      </c>
      <c r="H2" s="102" t="str">
        <f>'様式１　プログラムを構成する授業科目'!C2</f>
        <v>高松短期大学</v>
      </c>
      <c r="I2" s="104"/>
    </row>
    <row r="3" spans="1:9" ht="18.75" customHeight="1" x14ac:dyDescent="0.15">
      <c r="G3" s="29"/>
      <c r="H3" s="10"/>
      <c r="I3" s="10"/>
    </row>
    <row r="4" spans="1:9" ht="18.600000000000001" customHeight="1" x14ac:dyDescent="0.15">
      <c r="A4" s="210" t="s">
        <v>36</v>
      </c>
      <c r="B4" s="210"/>
      <c r="C4" s="210"/>
      <c r="D4" s="210"/>
      <c r="E4" s="210"/>
      <c r="F4" s="210"/>
      <c r="G4" s="210"/>
      <c r="H4" s="210"/>
      <c r="I4" s="210"/>
    </row>
    <row r="5" spans="1:9" ht="13.15" customHeight="1" x14ac:dyDescent="0.15">
      <c r="B5" s="3"/>
      <c r="C5" s="3"/>
      <c r="D5" s="3"/>
      <c r="E5" s="3"/>
      <c r="F5" s="3"/>
      <c r="G5" s="3"/>
      <c r="H5" s="3"/>
      <c r="I5" s="3"/>
    </row>
    <row r="6" spans="1:9" ht="18" customHeight="1" x14ac:dyDescent="0.15">
      <c r="A6" s="1" t="s">
        <v>0</v>
      </c>
      <c r="B6" s="10" t="s">
        <v>86</v>
      </c>
      <c r="C6" s="237" t="s">
        <v>87</v>
      </c>
      <c r="D6" s="237"/>
      <c r="E6" s="28">
        <v>18</v>
      </c>
      <c r="F6" s="3" t="s">
        <v>1</v>
      </c>
      <c r="G6" s="3" t="s">
        <v>2</v>
      </c>
      <c r="H6" s="28">
        <v>46</v>
      </c>
      <c r="I6" s="10" t="s">
        <v>1</v>
      </c>
    </row>
    <row r="7" spans="1:9" ht="12" customHeight="1" x14ac:dyDescent="0.15">
      <c r="C7" s="2"/>
      <c r="D7" s="2"/>
      <c r="E7" s="2"/>
      <c r="F7" s="2"/>
      <c r="G7" s="2"/>
      <c r="H7" s="2"/>
      <c r="I7" s="32"/>
    </row>
    <row r="8" spans="1:9" ht="18" customHeight="1" x14ac:dyDescent="0.15">
      <c r="A8" s="1" t="s">
        <v>3</v>
      </c>
      <c r="B8" s="10" t="s">
        <v>88</v>
      </c>
      <c r="E8" s="3"/>
      <c r="F8" s="3"/>
      <c r="G8" s="3"/>
      <c r="H8" s="28">
        <v>8</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29" t="s">
        <v>42</v>
      </c>
      <c r="C11" s="232" t="s">
        <v>152</v>
      </c>
      <c r="D11" s="235"/>
      <c r="E11" s="236"/>
      <c r="F11" s="32"/>
      <c r="G11" s="29" t="s">
        <v>10</v>
      </c>
      <c r="H11" s="232" t="s">
        <v>153</v>
      </c>
      <c r="I11" s="236"/>
    </row>
    <row r="12" spans="1:9" ht="10.15" customHeight="1" x14ac:dyDescent="0.15">
      <c r="B12" s="29"/>
      <c r="C12" s="10"/>
      <c r="D12" s="32"/>
      <c r="E12" s="32"/>
      <c r="F12" s="32"/>
      <c r="G12" s="29"/>
      <c r="H12" s="10"/>
      <c r="I12" s="32"/>
    </row>
    <row r="13" spans="1:9" ht="18" customHeight="1" x14ac:dyDescent="0.15">
      <c r="A13" s="1" t="s">
        <v>7</v>
      </c>
      <c r="B13" s="10" t="s">
        <v>84</v>
      </c>
      <c r="C13" s="3"/>
      <c r="D13" s="3"/>
      <c r="E13" s="3"/>
      <c r="F13" s="3"/>
      <c r="G13" s="3"/>
      <c r="H13" s="3"/>
      <c r="I13" s="3"/>
    </row>
    <row r="14" spans="1:9" ht="18" customHeight="1" x14ac:dyDescent="0.15">
      <c r="B14" s="232" t="s">
        <v>154</v>
      </c>
      <c r="C14" s="233"/>
      <c r="D14" s="233"/>
      <c r="E14" s="233"/>
      <c r="F14" s="233"/>
      <c r="G14" s="233"/>
      <c r="H14" s="233"/>
      <c r="I14" s="234"/>
    </row>
    <row r="15" spans="1:9" ht="9" customHeight="1" x14ac:dyDescent="0.15">
      <c r="B15" s="3"/>
      <c r="C15" s="3"/>
      <c r="D15" s="3"/>
      <c r="E15" s="3"/>
      <c r="F15" s="3"/>
      <c r="G15" s="3"/>
      <c r="H15" s="3"/>
      <c r="I15" s="3"/>
    </row>
    <row r="16" spans="1:9" ht="18" customHeight="1" x14ac:dyDescent="0.15">
      <c r="B16" s="29" t="s">
        <v>42</v>
      </c>
      <c r="C16" s="232" t="s">
        <v>156</v>
      </c>
      <c r="D16" s="235"/>
      <c r="E16" s="236"/>
      <c r="F16" s="32"/>
      <c r="G16" s="29" t="s">
        <v>10</v>
      </c>
      <c r="H16" s="232" t="s">
        <v>155</v>
      </c>
      <c r="I16" s="236"/>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11" t="s">
        <v>157</v>
      </c>
      <c r="C19" s="212"/>
      <c r="D19" s="212"/>
      <c r="E19" s="212"/>
      <c r="F19" s="212"/>
      <c r="G19" s="212"/>
      <c r="H19" s="212"/>
      <c r="I19" s="213"/>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14" t="s">
        <v>158</v>
      </c>
      <c r="C22" s="215"/>
      <c r="D22" s="215"/>
      <c r="E22" s="215"/>
      <c r="F22" s="215"/>
      <c r="G22" s="215"/>
      <c r="H22" s="215"/>
      <c r="I22" s="216"/>
    </row>
    <row r="23" spans="1:9" ht="18.75" customHeight="1" x14ac:dyDescent="0.15">
      <c r="A23" s="14"/>
      <c r="B23" s="217"/>
      <c r="C23" s="218"/>
      <c r="D23" s="218"/>
      <c r="E23" s="218"/>
      <c r="F23" s="218"/>
      <c r="G23" s="218"/>
      <c r="H23" s="218"/>
      <c r="I23" s="219"/>
    </row>
    <row r="24" spans="1:9" ht="18.75" customHeight="1" x14ac:dyDescent="0.15">
      <c r="A24" s="14"/>
      <c r="B24" s="217"/>
      <c r="C24" s="218"/>
      <c r="D24" s="218"/>
      <c r="E24" s="218"/>
      <c r="F24" s="218"/>
      <c r="G24" s="218"/>
      <c r="H24" s="218"/>
      <c r="I24" s="219"/>
    </row>
    <row r="25" spans="1:9" ht="18.75" customHeight="1" x14ac:dyDescent="0.15">
      <c r="A25" s="14"/>
      <c r="B25" s="217"/>
      <c r="C25" s="218"/>
      <c r="D25" s="218"/>
      <c r="E25" s="218"/>
      <c r="F25" s="218"/>
      <c r="G25" s="218"/>
      <c r="H25" s="218"/>
      <c r="I25" s="219"/>
    </row>
    <row r="26" spans="1:9" ht="18.75" customHeight="1" x14ac:dyDescent="0.15">
      <c r="A26" s="14"/>
      <c r="B26" s="220"/>
      <c r="C26" s="221"/>
      <c r="D26" s="221"/>
      <c r="E26" s="221"/>
      <c r="F26" s="221"/>
      <c r="G26" s="221"/>
      <c r="H26" s="221"/>
      <c r="I26" s="222"/>
    </row>
    <row r="27" spans="1:9" ht="7.5" customHeight="1" x14ac:dyDescent="0.15">
      <c r="A27" s="14"/>
      <c r="B27" s="14"/>
      <c r="C27" s="14"/>
      <c r="D27" s="14"/>
      <c r="E27" s="14"/>
      <c r="F27" s="14"/>
      <c r="G27" s="14"/>
      <c r="H27" s="14"/>
      <c r="I27" s="14"/>
    </row>
    <row r="28" spans="1:9" ht="18.75" customHeight="1" x14ac:dyDescent="0.15">
      <c r="A28" s="15" t="s">
        <v>6</v>
      </c>
      <c r="B28" s="15" t="s">
        <v>9</v>
      </c>
      <c r="C28" s="10"/>
      <c r="D28" s="15"/>
      <c r="E28" s="15"/>
      <c r="F28" s="15"/>
      <c r="G28" s="15"/>
      <c r="H28" s="15"/>
      <c r="I28" s="15"/>
    </row>
    <row r="29" spans="1:9" ht="18.75" customHeight="1" x14ac:dyDescent="0.15">
      <c r="A29" s="14"/>
      <c r="B29" s="223" t="s">
        <v>159</v>
      </c>
      <c r="C29" s="224"/>
      <c r="D29" s="224"/>
      <c r="E29" s="224"/>
      <c r="F29" s="224"/>
      <c r="G29" s="224"/>
      <c r="H29" s="224"/>
      <c r="I29" s="225"/>
    </row>
    <row r="30" spans="1:9" ht="18.75" customHeight="1" x14ac:dyDescent="0.15">
      <c r="A30" s="14"/>
      <c r="B30" s="226"/>
      <c r="C30" s="227"/>
      <c r="D30" s="227"/>
      <c r="E30" s="227"/>
      <c r="F30" s="227"/>
      <c r="G30" s="227"/>
      <c r="H30" s="227"/>
      <c r="I30" s="228"/>
    </row>
    <row r="31" spans="1:9" ht="18.75" customHeight="1" x14ac:dyDescent="0.15">
      <c r="A31" s="14"/>
      <c r="B31" s="226"/>
      <c r="C31" s="227"/>
      <c r="D31" s="227"/>
      <c r="E31" s="227"/>
      <c r="F31" s="227"/>
      <c r="G31" s="227"/>
      <c r="H31" s="227"/>
      <c r="I31" s="228"/>
    </row>
    <row r="32" spans="1:9" ht="18.75" customHeight="1" x14ac:dyDescent="0.15">
      <c r="A32" s="14"/>
      <c r="B32" s="226"/>
      <c r="C32" s="227"/>
      <c r="D32" s="227"/>
      <c r="E32" s="227"/>
      <c r="F32" s="227"/>
      <c r="G32" s="227"/>
      <c r="H32" s="227"/>
      <c r="I32" s="228"/>
    </row>
    <row r="33" spans="1:15" ht="18.75" customHeight="1" x14ac:dyDescent="0.15">
      <c r="A33" s="14"/>
      <c r="B33" s="226"/>
      <c r="C33" s="227"/>
      <c r="D33" s="227"/>
      <c r="E33" s="227"/>
      <c r="F33" s="227"/>
      <c r="G33" s="227"/>
      <c r="H33" s="227"/>
      <c r="I33" s="228"/>
    </row>
    <row r="34" spans="1:15" ht="18.75" customHeight="1" x14ac:dyDescent="0.15">
      <c r="A34" s="14"/>
      <c r="B34" s="226"/>
      <c r="C34" s="227"/>
      <c r="D34" s="227"/>
      <c r="E34" s="227"/>
      <c r="F34" s="227"/>
      <c r="G34" s="227"/>
      <c r="H34" s="227"/>
      <c r="I34" s="228"/>
    </row>
    <row r="35" spans="1:15" ht="18.75" customHeight="1" x14ac:dyDescent="0.15">
      <c r="A35" s="14"/>
      <c r="B35" s="226"/>
      <c r="C35" s="227"/>
      <c r="D35" s="227"/>
      <c r="E35" s="227"/>
      <c r="F35" s="227"/>
      <c r="G35" s="227"/>
      <c r="H35" s="227"/>
      <c r="I35" s="228"/>
    </row>
    <row r="36" spans="1:15" ht="18.75" customHeight="1" x14ac:dyDescent="0.15">
      <c r="A36" s="14"/>
      <c r="B36" s="226"/>
      <c r="C36" s="227"/>
      <c r="D36" s="227"/>
      <c r="E36" s="227"/>
      <c r="F36" s="227"/>
      <c r="G36" s="227"/>
      <c r="H36" s="227"/>
      <c r="I36" s="228"/>
    </row>
    <row r="37" spans="1:15" ht="18.75" customHeight="1" x14ac:dyDescent="0.15">
      <c r="A37" s="14"/>
      <c r="B37" s="226"/>
      <c r="C37" s="227"/>
      <c r="D37" s="227"/>
      <c r="E37" s="227"/>
      <c r="F37" s="227"/>
      <c r="G37" s="227"/>
      <c r="H37" s="227"/>
      <c r="I37" s="228"/>
    </row>
    <row r="38" spans="1:15" ht="18.75" customHeight="1" x14ac:dyDescent="0.15">
      <c r="A38" s="14"/>
      <c r="B38" s="226"/>
      <c r="C38" s="227"/>
      <c r="D38" s="227"/>
      <c r="E38" s="227"/>
      <c r="F38" s="227"/>
      <c r="G38" s="227"/>
      <c r="H38" s="227"/>
      <c r="I38" s="228"/>
    </row>
    <row r="39" spans="1:15" ht="18.75" customHeight="1" x14ac:dyDescent="0.15">
      <c r="A39" s="14"/>
      <c r="B39" s="226"/>
      <c r="C39" s="227"/>
      <c r="D39" s="227"/>
      <c r="E39" s="227"/>
      <c r="F39" s="227"/>
      <c r="G39" s="227"/>
      <c r="H39" s="227"/>
      <c r="I39" s="228"/>
    </row>
    <row r="40" spans="1:15" ht="178.5" customHeight="1" x14ac:dyDescent="0.15">
      <c r="A40" s="14"/>
      <c r="B40" s="229"/>
      <c r="C40" s="230"/>
      <c r="D40" s="230"/>
      <c r="E40" s="230"/>
      <c r="F40" s="230"/>
      <c r="G40" s="230"/>
      <c r="H40" s="230"/>
      <c r="I40" s="231"/>
    </row>
    <row r="41" spans="1:15" ht="18.75" customHeight="1" x14ac:dyDescent="0.15">
      <c r="A41" s="1" t="s">
        <v>31</v>
      </c>
      <c r="B41" s="1" t="s">
        <v>111</v>
      </c>
    </row>
    <row r="42" spans="1:15" s="3" customFormat="1" ht="18.75" customHeight="1" x14ac:dyDescent="0.15">
      <c r="B42" s="33" t="s">
        <v>128</v>
      </c>
      <c r="C42" s="199">
        <f>'様式２ 履修者等数の実績'!S33</f>
        <v>0.26333333333333331</v>
      </c>
      <c r="D42" s="199"/>
      <c r="E42" s="33" t="s">
        <v>64</v>
      </c>
      <c r="F42" s="199">
        <v>0.5</v>
      </c>
      <c r="G42" s="199"/>
      <c r="H42" s="33" t="s">
        <v>65</v>
      </c>
      <c r="I42" s="34">
        <v>0.6</v>
      </c>
      <c r="J42" s="1"/>
      <c r="M42" s="1"/>
      <c r="N42" s="35"/>
    </row>
    <row r="43" spans="1:15" s="3" customFormat="1" ht="18.75" customHeight="1" x14ac:dyDescent="0.15">
      <c r="B43" s="36" t="s">
        <v>85</v>
      </c>
      <c r="C43" s="182">
        <v>0.7</v>
      </c>
      <c r="D43" s="182"/>
      <c r="E43" s="36" t="s">
        <v>129</v>
      </c>
      <c r="F43" s="182">
        <v>0.8</v>
      </c>
      <c r="G43" s="182"/>
      <c r="H43" s="36" t="s">
        <v>66</v>
      </c>
      <c r="I43" s="37">
        <f>'様式２ 履修者等数の実績'!E33</f>
        <v>300</v>
      </c>
      <c r="J43" s="1"/>
      <c r="M43" s="1"/>
      <c r="N43" s="35"/>
    </row>
    <row r="44" spans="1:15" ht="18.75" customHeight="1" x14ac:dyDescent="0.15">
      <c r="A44" s="1"/>
      <c r="B44" s="251" t="s">
        <v>67</v>
      </c>
      <c r="C44" s="252"/>
      <c r="D44" s="252"/>
      <c r="E44" s="252"/>
      <c r="F44" s="252"/>
      <c r="G44" s="252"/>
      <c r="H44" s="252"/>
      <c r="I44" s="253"/>
      <c r="N44" s="35"/>
      <c r="O44" s="3"/>
    </row>
    <row r="45" spans="1:15" ht="18.75" customHeight="1" x14ac:dyDescent="0.15">
      <c r="A45" s="1"/>
      <c r="B45" s="200" t="s">
        <v>164</v>
      </c>
      <c r="C45" s="201"/>
      <c r="D45" s="201"/>
      <c r="E45" s="201"/>
      <c r="F45" s="201"/>
      <c r="G45" s="201"/>
      <c r="H45" s="201"/>
      <c r="I45" s="202"/>
      <c r="N45" s="35"/>
      <c r="O45" s="3"/>
    </row>
    <row r="46" spans="1:15" ht="18.75" customHeight="1" x14ac:dyDescent="0.15">
      <c r="A46" s="1"/>
      <c r="B46" s="203"/>
      <c r="C46" s="204"/>
      <c r="D46" s="204"/>
      <c r="E46" s="204"/>
      <c r="F46" s="204"/>
      <c r="G46" s="204"/>
      <c r="H46" s="204"/>
      <c r="I46" s="205"/>
      <c r="N46" s="35"/>
      <c r="O46" s="3"/>
    </row>
    <row r="47" spans="1:15" ht="18.75" customHeight="1" x14ac:dyDescent="0.15">
      <c r="A47" s="1"/>
      <c r="B47" s="203"/>
      <c r="C47" s="204"/>
      <c r="D47" s="204"/>
      <c r="E47" s="204"/>
      <c r="F47" s="204"/>
      <c r="G47" s="204"/>
      <c r="H47" s="204"/>
      <c r="I47" s="205"/>
    </row>
    <row r="48" spans="1:15" ht="18.75" customHeight="1" x14ac:dyDescent="0.15">
      <c r="A48" s="1"/>
      <c r="B48" s="203"/>
      <c r="C48" s="204"/>
      <c r="D48" s="204"/>
      <c r="E48" s="204"/>
      <c r="F48" s="204"/>
      <c r="G48" s="204"/>
      <c r="H48" s="204"/>
      <c r="I48" s="205"/>
    </row>
    <row r="49" spans="1:9" ht="18.75" customHeight="1" x14ac:dyDescent="0.15">
      <c r="A49" s="1"/>
      <c r="B49" s="203"/>
      <c r="C49" s="204"/>
      <c r="D49" s="204"/>
      <c r="E49" s="204"/>
      <c r="F49" s="204"/>
      <c r="G49" s="204"/>
      <c r="H49" s="204"/>
      <c r="I49" s="205"/>
    </row>
    <row r="50" spans="1:9" ht="18.75" customHeight="1" x14ac:dyDescent="0.15">
      <c r="A50" s="1"/>
      <c r="B50" s="203"/>
      <c r="C50" s="204"/>
      <c r="D50" s="204"/>
      <c r="E50" s="204"/>
      <c r="F50" s="204"/>
      <c r="G50" s="204"/>
      <c r="H50" s="204"/>
      <c r="I50" s="205"/>
    </row>
    <row r="51" spans="1:9" ht="18.75" customHeight="1" x14ac:dyDescent="0.15">
      <c r="A51" s="1"/>
      <c r="B51" s="203"/>
      <c r="C51" s="204"/>
      <c r="D51" s="204"/>
      <c r="E51" s="204"/>
      <c r="F51" s="204"/>
      <c r="G51" s="204"/>
      <c r="H51" s="204"/>
      <c r="I51" s="205"/>
    </row>
    <row r="52" spans="1:9" ht="18.75" customHeight="1" x14ac:dyDescent="0.15">
      <c r="A52" s="1"/>
      <c r="B52" s="203"/>
      <c r="C52" s="204"/>
      <c r="D52" s="204"/>
      <c r="E52" s="204"/>
      <c r="F52" s="204"/>
      <c r="G52" s="204"/>
      <c r="H52" s="204"/>
      <c r="I52" s="205"/>
    </row>
    <row r="53" spans="1:9" ht="18.75" customHeight="1" x14ac:dyDescent="0.15">
      <c r="A53" s="1"/>
      <c r="B53" s="203"/>
      <c r="C53" s="204"/>
      <c r="D53" s="204"/>
      <c r="E53" s="204"/>
      <c r="F53" s="204"/>
      <c r="G53" s="204"/>
      <c r="H53" s="204"/>
      <c r="I53" s="205"/>
    </row>
    <row r="54" spans="1:9" ht="18.75" customHeight="1" x14ac:dyDescent="0.15">
      <c r="A54" s="1"/>
      <c r="B54" s="203"/>
      <c r="C54" s="204"/>
      <c r="D54" s="204"/>
      <c r="E54" s="204"/>
      <c r="F54" s="204"/>
      <c r="G54" s="204"/>
      <c r="H54" s="204"/>
      <c r="I54" s="205"/>
    </row>
    <row r="55" spans="1:9" ht="18.75" customHeight="1" x14ac:dyDescent="0.15">
      <c r="A55" s="1"/>
      <c r="B55" s="203"/>
      <c r="C55" s="204"/>
      <c r="D55" s="204"/>
      <c r="E55" s="204"/>
      <c r="F55" s="204"/>
      <c r="G55" s="204"/>
      <c r="H55" s="204"/>
      <c r="I55" s="205"/>
    </row>
    <row r="56" spans="1:9" ht="18.75" customHeight="1" x14ac:dyDescent="0.15">
      <c r="A56" s="1"/>
      <c r="B56" s="206"/>
      <c r="C56" s="207"/>
      <c r="D56" s="207"/>
      <c r="E56" s="207"/>
      <c r="F56" s="207"/>
      <c r="G56" s="207"/>
      <c r="H56" s="207"/>
      <c r="I56" s="208"/>
    </row>
    <row r="57" spans="1:9" ht="7.5" customHeight="1" x14ac:dyDescent="0.15">
      <c r="A57" s="14"/>
      <c r="B57" s="14"/>
      <c r="C57" s="14"/>
      <c r="D57" s="14"/>
      <c r="E57" s="14"/>
      <c r="F57" s="14"/>
      <c r="G57" s="14"/>
      <c r="H57" s="14"/>
      <c r="I57" s="14"/>
    </row>
    <row r="58" spans="1:9" ht="18.75" customHeight="1" x14ac:dyDescent="0.15">
      <c r="A58" s="15" t="s">
        <v>34</v>
      </c>
      <c r="B58" s="1" t="s">
        <v>37</v>
      </c>
      <c r="I58" s="15"/>
    </row>
    <row r="59" spans="1:9" ht="18.75" customHeight="1" x14ac:dyDescent="0.15">
      <c r="A59" s="4"/>
      <c r="B59" s="183" t="s">
        <v>169</v>
      </c>
      <c r="C59" s="184"/>
      <c r="D59" s="184"/>
      <c r="E59" s="184"/>
      <c r="F59" s="184"/>
      <c r="G59" s="184"/>
      <c r="H59" s="184"/>
      <c r="I59" s="185"/>
    </row>
    <row r="60" spans="1:9" ht="18.75" customHeight="1" x14ac:dyDescent="0.15">
      <c r="A60" s="4"/>
      <c r="B60" s="186"/>
      <c r="C60" s="187"/>
      <c r="D60" s="187"/>
      <c r="E60" s="187"/>
      <c r="F60" s="187"/>
      <c r="G60" s="187"/>
      <c r="H60" s="187"/>
      <c r="I60" s="188"/>
    </row>
    <row r="61" spans="1:9" ht="18.75" customHeight="1" x14ac:dyDescent="0.15">
      <c r="A61" s="4"/>
      <c r="B61" s="186"/>
      <c r="C61" s="187"/>
      <c r="D61" s="187"/>
      <c r="E61" s="187"/>
      <c r="F61" s="187"/>
      <c r="G61" s="187"/>
      <c r="H61" s="187"/>
      <c r="I61" s="188"/>
    </row>
    <row r="62" spans="1:9" ht="18.75" customHeight="1" x14ac:dyDescent="0.15">
      <c r="A62" s="4"/>
      <c r="B62" s="186"/>
      <c r="C62" s="187"/>
      <c r="D62" s="187"/>
      <c r="E62" s="187"/>
      <c r="F62" s="187"/>
      <c r="G62" s="187"/>
      <c r="H62" s="187"/>
      <c r="I62" s="188"/>
    </row>
    <row r="63" spans="1:9" ht="18.75" customHeight="1" x14ac:dyDescent="0.15">
      <c r="A63" s="4"/>
      <c r="B63" s="186"/>
      <c r="C63" s="187"/>
      <c r="D63" s="187"/>
      <c r="E63" s="187"/>
      <c r="F63" s="187"/>
      <c r="G63" s="187"/>
      <c r="H63" s="187"/>
      <c r="I63" s="188"/>
    </row>
    <row r="64" spans="1:9" ht="18.75" customHeight="1" x14ac:dyDescent="0.15">
      <c r="A64" s="4"/>
      <c r="B64" s="186"/>
      <c r="C64" s="187"/>
      <c r="D64" s="187"/>
      <c r="E64" s="187"/>
      <c r="F64" s="187"/>
      <c r="G64" s="187"/>
      <c r="H64" s="187"/>
      <c r="I64" s="188"/>
    </row>
    <row r="65" spans="1:9" ht="18.75" customHeight="1" x14ac:dyDescent="0.15">
      <c r="A65" s="4"/>
      <c r="B65" s="186"/>
      <c r="C65" s="187"/>
      <c r="D65" s="187"/>
      <c r="E65" s="187"/>
      <c r="F65" s="187"/>
      <c r="G65" s="187"/>
      <c r="H65" s="187"/>
      <c r="I65" s="188"/>
    </row>
    <row r="66" spans="1:9" ht="18.75" customHeight="1" x14ac:dyDescent="0.15">
      <c r="A66" s="4"/>
      <c r="B66" s="186"/>
      <c r="C66" s="187"/>
      <c r="D66" s="187"/>
      <c r="E66" s="187"/>
      <c r="F66" s="187"/>
      <c r="G66" s="187"/>
      <c r="H66" s="187"/>
      <c r="I66" s="188"/>
    </row>
    <row r="67" spans="1:9" ht="18.75" customHeight="1" x14ac:dyDescent="0.15">
      <c r="A67" s="4"/>
      <c r="B67" s="186"/>
      <c r="C67" s="187"/>
      <c r="D67" s="187"/>
      <c r="E67" s="187"/>
      <c r="F67" s="187"/>
      <c r="G67" s="187"/>
      <c r="H67" s="187"/>
      <c r="I67" s="188"/>
    </row>
    <row r="68" spans="1:9" ht="18.75" customHeight="1" x14ac:dyDescent="0.15">
      <c r="A68" s="4"/>
      <c r="B68" s="186"/>
      <c r="C68" s="187"/>
      <c r="D68" s="187"/>
      <c r="E68" s="187"/>
      <c r="F68" s="187"/>
      <c r="G68" s="187"/>
      <c r="H68" s="187"/>
      <c r="I68" s="188"/>
    </row>
    <row r="69" spans="1:9" ht="18.75" customHeight="1" x14ac:dyDescent="0.15">
      <c r="A69" s="4"/>
      <c r="B69" s="186"/>
      <c r="C69" s="187"/>
      <c r="D69" s="187"/>
      <c r="E69" s="187"/>
      <c r="F69" s="187"/>
      <c r="G69" s="187"/>
      <c r="H69" s="187"/>
      <c r="I69" s="188"/>
    </row>
    <row r="70" spans="1:9" ht="18.75" customHeight="1" x14ac:dyDescent="0.15">
      <c r="A70" s="4"/>
      <c r="B70" s="189"/>
      <c r="C70" s="190"/>
      <c r="D70" s="190"/>
      <c r="E70" s="190"/>
      <c r="F70" s="190"/>
      <c r="G70" s="190"/>
      <c r="H70" s="190"/>
      <c r="I70" s="191"/>
    </row>
    <row r="71" spans="1:9" ht="7.5" customHeight="1" x14ac:dyDescent="0.15">
      <c r="A71" s="4"/>
      <c r="B71" s="4"/>
      <c r="C71" s="4"/>
      <c r="D71" s="4"/>
      <c r="E71" s="4"/>
      <c r="F71" s="4"/>
      <c r="G71" s="4"/>
      <c r="H71" s="4"/>
      <c r="I71" s="4"/>
    </row>
    <row r="72" spans="1:9" ht="18.75" customHeight="1" x14ac:dyDescent="0.15">
      <c r="A72" s="1" t="s">
        <v>11</v>
      </c>
      <c r="B72" s="1" t="s">
        <v>40</v>
      </c>
    </row>
    <row r="73" spans="1:9" ht="18.75" customHeight="1" x14ac:dyDescent="0.15">
      <c r="A73" s="1"/>
      <c r="B73" s="183" t="s">
        <v>165</v>
      </c>
      <c r="C73" s="184"/>
      <c r="D73" s="184"/>
      <c r="E73" s="184"/>
      <c r="F73" s="184"/>
      <c r="G73" s="184"/>
      <c r="H73" s="184"/>
      <c r="I73" s="192"/>
    </row>
    <row r="74" spans="1:9" ht="18.75" customHeight="1" x14ac:dyDescent="0.15">
      <c r="A74" s="1"/>
      <c r="B74" s="193"/>
      <c r="C74" s="194"/>
      <c r="D74" s="194"/>
      <c r="E74" s="194"/>
      <c r="F74" s="194"/>
      <c r="G74" s="194"/>
      <c r="H74" s="194"/>
      <c r="I74" s="195"/>
    </row>
    <row r="75" spans="1:9" ht="18.75" customHeight="1" x14ac:dyDescent="0.15">
      <c r="A75" s="1"/>
      <c r="B75" s="193"/>
      <c r="C75" s="194"/>
      <c r="D75" s="194"/>
      <c r="E75" s="194"/>
      <c r="F75" s="194"/>
      <c r="G75" s="194"/>
      <c r="H75" s="194"/>
      <c r="I75" s="195"/>
    </row>
    <row r="76" spans="1:9" ht="18.75" customHeight="1" x14ac:dyDescent="0.15">
      <c r="A76" s="1"/>
      <c r="B76" s="193"/>
      <c r="C76" s="194"/>
      <c r="D76" s="194"/>
      <c r="E76" s="194"/>
      <c r="F76" s="194"/>
      <c r="G76" s="194"/>
      <c r="H76" s="194"/>
      <c r="I76" s="195"/>
    </row>
    <row r="77" spans="1:9" ht="18.75" customHeight="1" x14ac:dyDescent="0.15">
      <c r="A77" s="1"/>
      <c r="B77" s="193"/>
      <c r="C77" s="194"/>
      <c r="D77" s="194"/>
      <c r="E77" s="194"/>
      <c r="F77" s="194"/>
      <c r="G77" s="194"/>
      <c r="H77" s="194"/>
      <c r="I77" s="195"/>
    </row>
    <row r="78" spans="1:9" ht="18.75" customHeight="1" x14ac:dyDescent="0.15">
      <c r="A78" s="1"/>
      <c r="B78" s="193"/>
      <c r="C78" s="194"/>
      <c r="D78" s="194"/>
      <c r="E78" s="194"/>
      <c r="F78" s="194"/>
      <c r="G78" s="194"/>
      <c r="H78" s="194"/>
      <c r="I78" s="195"/>
    </row>
    <row r="79" spans="1:9" ht="18.75" customHeight="1" x14ac:dyDescent="0.15">
      <c r="A79" s="1"/>
      <c r="B79" s="193"/>
      <c r="C79" s="194"/>
      <c r="D79" s="194"/>
      <c r="E79" s="194"/>
      <c r="F79" s="194"/>
      <c r="G79" s="194"/>
      <c r="H79" s="194"/>
      <c r="I79" s="195"/>
    </row>
    <row r="80" spans="1:9" ht="18.75" customHeight="1" x14ac:dyDescent="0.15">
      <c r="A80" s="1"/>
      <c r="B80" s="193"/>
      <c r="C80" s="194"/>
      <c r="D80" s="194"/>
      <c r="E80" s="194"/>
      <c r="F80" s="194"/>
      <c r="G80" s="194"/>
      <c r="H80" s="194"/>
      <c r="I80" s="195"/>
    </row>
    <row r="81" spans="1:9" ht="18.75" customHeight="1" x14ac:dyDescent="0.15">
      <c r="A81" s="1"/>
      <c r="B81" s="193"/>
      <c r="C81" s="194"/>
      <c r="D81" s="194"/>
      <c r="E81" s="194"/>
      <c r="F81" s="194"/>
      <c r="G81" s="194"/>
      <c r="H81" s="194"/>
      <c r="I81" s="195"/>
    </row>
    <row r="82" spans="1:9" ht="18.75" customHeight="1" x14ac:dyDescent="0.15">
      <c r="A82" s="1"/>
      <c r="B82" s="193"/>
      <c r="C82" s="194"/>
      <c r="D82" s="194"/>
      <c r="E82" s="194"/>
      <c r="F82" s="194"/>
      <c r="G82" s="194"/>
      <c r="H82" s="194"/>
      <c r="I82" s="195"/>
    </row>
    <row r="83" spans="1:9" ht="18.75" customHeight="1" x14ac:dyDescent="0.15">
      <c r="A83" s="4"/>
      <c r="B83" s="193"/>
      <c r="C83" s="194"/>
      <c r="D83" s="194"/>
      <c r="E83" s="194"/>
      <c r="F83" s="194"/>
      <c r="G83" s="194"/>
      <c r="H83" s="194"/>
      <c r="I83" s="195"/>
    </row>
    <row r="84" spans="1:9" ht="18.75" customHeight="1" x14ac:dyDescent="0.15">
      <c r="A84" s="4"/>
      <c r="B84" s="196"/>
      <c r="C84" s="197"/>
      <c r="D84" s="197"/>
      <c r="E84" s="197"/>
      <c r="F84" s="197"/>
      <c r="G84" s="197"/>
      <c r="H84" s="197"/>
      <c r="I84" s="198"/>
    </row>
    <row r="85" spans="1:9" ht="7.5" customHeight="1" x14ac:dyDescent="0.15">
      <c r="A85" s="4"/>
      <c r="B85" s="4"/>
      <c r="C85" s="4"/>
      <c r="D85" s="4"/>
      <c r="E85" s="4"/>
      <c r="F85" s="4"/>
      <c r="G85" s="4"/>
      <c r="H85" s="4"/>
      <c r="I85" s="4"/>
    </row>
    <row r="86" spans="1:9" ht="18.75" customHeight="1" x14ac:dyDescent="0.15">
      <c r="A86" s="1" t="s">
        <v>43</v>
      </c>
      <c r="B86" s="1" t="s">
        <v>13</v>
      </c>
    </row>
    <row r="87" spans="1:9" ht="18.75" customHeight="1" x14ac:dyDescent="0.15">
      <c r="A87" s="1"/>
      <c r="B87" s="214" t="s">
        <v>187</v>
      </c>
      <c r="C87" s="238"/>
      <c r="D87" s="238"/>
      <c r="E87" s="238"/>
      <c r="F87" s="238"/>
      <c r="G87" s="238"/>
      <c r="H87" s="238"/>
      <c r="I87" s="239"/>
    </row>
    <row r="88" spans="1:9" ht="18.75" customHeight="1" x14ac:dyDescent="0.15">
      <c r="A88" s="1"/>
      <c r="B88" s="240"/>
      <c r="C88" s="241"/>
      <c r="D88" s="241"/>
      <c r="E88" s="241"/>
      <c r="F88" s="241"/>
      <c r="G88" s="241"/>
      <c r="H88" s="241"/>
      <c r="I88" s="242"/>
    </row>
    <row r="89" spans="1:9" ht="18.75" customHeight="1" x14ac:dyDescent="0.15">
      <c r="A89" s="1"/>
      <c r="B89" s="240"/>
      <c r="C89" s="241"/>
      <c r="D89" s="241"/>
      <c r="E89" s="241"/>
      <c r="F89" s="241"/>
      <c r="G89" s="241"/>
      <c r="H89" s="241"/>
      <c r="I89" s="242"/>
    </row>
    <row r="90" spans="1:9" ht="18.75" customHeight="1" x14ac:dyDescent="0.15">
      <c r="A90" s="1"/>
      <c r="B90" s="240"/>
      <c r="C90" s="241"/>
      <c r="D90" s="241"/>
      <c r="E90" s="241"/>
      <c r="F90" s="241"/>
      <c r="G90" s="241"/>
      <c r="H90" s="241"/>
      <c r="I90" s="242"/>
    </row>
    <row r="91" spans="1:9" ht="18.75" customHeight="1" x14ac:dyDescent="0.15">
      <c r="A91" s="1"/>
      <c r="B91" s="240"/>
      <c r="C91" s="241"/>
      <c r="D91" s="241"/>
      <c r="E91" s="241"/>
      <c r="F91" s="241"/>
      <c r="G91" s="241"/>
      <c r="H91" s="241"/>
      <c r="I91" s="242"/>
    </row>
    <row r="92" spans="1:9" ht="18.75" customHeight="1" x14ac:dyDescent="0.15">
      <c r="A92" s="1"/>
      <c r="B92" s="240"/>
      <c r="C92" s="241"/>
      <c r="D92" s="241"/>
      <c r="E92" s="241"/>
      <c r="F92" s="241"/>
      <c r="G92" s="241"/>
      <c r="H92" s="241"/>
      <c r="I92" s="242"/>
    </row>
    <row r="93" spans="1:9" ht="18.75" customHeight="1" x14ac:dyDescent="0.15">
      <c r="A93" s="1"/>
      <c r="B93" s="240"/>
      <c r="C93" s="241"/>
      <c r="D93" s="241"/>
      <c r="E93" s="241"/>
      <c r="F93" s="241"/>
      <c r="G93" s="241"/>
      <c r="H93" s="241"/>
      <c r="I93" s="242"/>
    </row>
    <row r="94" spans="1:9" ht="18.75" customHeight="1" x14ac:dyDescent="0.15">
      <c r="A94" s="1"/>
      <c r="B94" s="240"/>
      <c r="C94" s="241"/>
      <c r="D94" s="241"/>
      <c r="E94" s="241"/>
      <c r="F94" s="241"/>
      <c r="G94" s="241"/>
      <c r="H94" s="241"/>
      <c r="I94" s="242"/>
    </row>
    <row r="95" spans="1:9" ht="18.75" customHeight="1" x14ac:dyDescent="0.15">
      <c r="A95" s="1"/>
      <c r="B95" s="240"/>
      <c r="C95" s="241"/>
      <c r="D95" s="241"/>
      <c r="E95" s="241"/>
      <c r="F95" s="241"/>
      <c r="G95" s="241"/>
      <c r="H95" s="241"/>
      <c r="I95" s="242"/>
    </row>
    <row r="96" spans="1:9" ht="18.75" customHeight="1" x14ac:dyDescent="0.15">
      <c r="A96" s="1"/>
      <c r="B96" s="240"/>
      <c r="C96" s="241"/>
      <c r="D96" s="241"/>
      <c r="E96" s="241"/>
      <c r="F96" s="241"/>
      <c r="G96" s="241"/>
      <c r="H96" s="241"/>
      <c r="I96" s="242"/>
    </row>
    <row r="97" spans="1:9" ht="18.75" customHeight="1" x14ac:dyDescent="0.15">
      <c r="A97" s="1"/>
      <c r="B97" s="240"/>
      <c r="C97" s="241"/>
      <c r="D97" s="241"/>
      <c r="E97" s="241"/>
      <c r="F97" s="241"/>
      <c r="G97" s="241"/>
      <c r="H97" s="241"/>
      <c r="I97" s="242"/>
    </row>
    <row r="98" spans="1:9" ht="18.75" customHeight="1" x14ac:dyDescent="0.15">
      <c r="A98" s="4"/>
      <c r="B98" s="243"/>
      <c r="C98" s="244"/>
      <c r="D98" s="244"/>
      <c r="E98" s="244"/>
      <c r="F98" s="244"/>
      <c r="G98" s="244"/>
      <c r="H98" s="244"/>
      <c r="I98" s="245"/>
    </row>
    <row r="99" spans="1:9" ht="7.5" customHeight="1" x14ac:dyDescent="0.15">
      <c r="A99" s="4"/>
      <c r="B99" s="4"/>
      <c r="C99" s="4"/>
      <c r="D99" s="4"/>
      <c r="E99" s="4"/>
      <c r="F99" s="4"/>
      <c r="G99" s="4"/>
      <c r="H99" s="4"/>
      <c r="I99" s="4"/>
    </row>
    <row r="100" spans="1:9" ht="18.75" customHeight="1" x14ac:dyDescent="0.15">
      <c r="A100" s="1" t="s">
        <v>30</v>
      </c>
      <c r="B100" s="246" t="s">
        <v>45</v>
      </c>
      <c r="C100" s="246"/>
      <c r="D100" s="246"/>
      <c r="E100" s="246"/>
      <c r="F100" s="246"/>
      <c r="G100" s="246"/>
      <c r="H100" s="246"/>
      <c r="I100" s="246"/>
    </row>
    <row r="101" spans="1:9" ht="18.75" customHeight="1" x14ac:dyDescent="0.15">
      <c r="A101" s="4"/>
      <c r="B101" s="214" t="s">
        <v>166</v>
      </c>
      <c r="C101" s="215"/>
      <c r="D101" s="215"/>
      <c r="E101" s="215"/>
      <c r="F101" s="215"/>
      <c r="G101" s="215"/>
      <c r="H101" s="215"/>
      <c r="I101" s="216"/>
    </row>
    <row r="102" spans="1:9" ht="18.75" customHeight="1" x14ac:dyDescent="0.15">
      <c r="A102" s="4"/>
      <c r="B102" s="247"/>
      <c r="C102" s="248"/>
      <c r="D102" s="248"/>
      <c r="E102" s="248"/>
      <c r="F102" s="248"/>
      <c r="G102" s="248"/>
      <c r="H102" s="248"/>
      <c r="I102" s="219"/>
    </row>
    <row r="103" spans="1:9" ht="18.75" customHeight="1" x14ac:dyDescent="0.15">
      <c r="A103" s="4"/>
      <c r="B103" s="247"/>
      <c r="C103" s="248"/>
      <c r="D103" s="248"/>
      <c r="E103" s="248"/>
      <c r="F103" s="248"/>
      <c r="G103" s="248"/>
      <c r="H103" s="248"/>
      <c r="I103" s="219"/>
    </row>
    <row r="104" spans="1:9" ht="18.75" customHeight="1" x14ac:dyDescent="0.15">
      <c r="A104" s="4"/>
      <c r="B104" s="247"/>
      <c r="C104" s="248"/>
      <c r="D104" s="248"/>
      <c r="E104" s="248"/>
      <c r="F104" s="248"/>
      <c r="G104" s="248"/>
      <c r="H104" s="248"/>
      <c r="I104" s="219"/>
    </row>
    <row r="105" spans="1:9" ht="18.75" customHeight="1" x14ac:dyDescent="0.15">
      <c r="A105" s="4"/>
      <c r="B105" s="247"/>
      <c r="C105" s="248"/>
      <c r="D105" s="248"/>
      <c r="E105" s="248"/>
      <c r="F105" s="248"/>
      <c r="G105" s="248"/>
      <c r="H105" s="248"/>
      <c r="I105" s="219"/>
    </row>
    <row r="106" spans="1:9" ht="18.75" customHeight="1" x14ac:dyDescent="0.15">
      <c r="A106" s="4"/>
      <c r="B106" s="247"/>
      <c r="C106" s="248"/>
      <c r="D106" s="248"/>
      <c r="E106" s="248"/>
      <c r="F106" s="248"/>
      <c r="G106" s="248"/>
      <c r="H106" s="248"/>
      <c r="I106" s="219"/>
    </row>
    <row r="107" spans="1:9" ht="18.75" customHeight="1" x14ac:dyDescent="0.15">
      <c r="A107" s="4"/>
      <c r="B107" s="247"/>
      <c r="C107" s="248"/>
      <c r="D107" s="248"/>
      <c r="E107" s="248"/>
      <c r="F107" s="248"/>
      <c r="G107" s="248"/>
      <c r="H107" s="248"/>
      <c r="I107" s="219"/>
    </row>
    <row r="108" spans="1:9" ht="18.75" customHeight="1" x14ac:dyDescent="0.15">
      <c r="A108" s="4"/>
      <c r="B108" s="247"/>
      <c r="C108" s="248"/>
      <c r="D108" s="248"/>
      <c r="E108" s="248"/>
      <c r="F108" s="248"/>
      <c r="G108" s="248"/>
      <c r="H108" s="248"/>
      <c r="I108" s="219"/>
    </row>
    <row r="109" spans="1:9" ht="18.75" customHeight="1" x14ac:dyDescent="0.15">
      <c r="A109" s="4"/>
      <c r="B109" s="247"/>
      <c r="C109" s="248"/>
      <c r="D109" s="248"/>
      <c r="E109" s="248"/>
      <c r="F109" s="248"/>
      <c r="G109" s="248"/>
      <c r="H109" s="248"/>
      <c r="I109" s="219"/>
    </row>
    <row r="110" spans="1:9" ht="18.75" customHeight="1" x14ac:dyDescent="0.15">
      <c r="A110" s="4"/>
      <c r="B110" s="247"/>
      <c r="C110" s="248"/>
      <c r="D110" s="248"/>
      <c r="E110" s="248"/>
      <c r="F110" s="248"/>
      <c r="G110" s="248"/>
      <c r="H110" s="248"/>
      <c r="I110" s="219"/>
    </row>
    <row r="111" spans="1:9" ht="18.75" customHeight="1" x14ac:dyDescent="0.15">
      <c r="A111" s="4"/>
      <c r="B111" s="247"/>
      <c r="C111" s="248"/>
      <c r="D111" s="248"/>
      <c r="E111" s="248"/>
      <c r="F111" s="248"/>
      <c r="G111" s="248"/>
      <c r="H111" s="248"/>
      <c r="I111" s="219"/>
    </row>
    <row r="112" spans="1:9" ht="18.75" customHeight="1" x14ac:dyDescent="0.15">
      <c r="A112" s="4"/>
      <c r="B112" s="249"/>
      <c r="C112" s="250"/>
      <c r="D112" s="250"/>
      <c r="E112" s="250"/>
      <c r="F112" s="250"/>
      <c r="G112" s="250"/>
      <c r="H112" s="250"/>
      <c r="I112" s="222"/>
    </row>
    <row r="113" spans="1:9" ht="7.5" customHeight="1" x14ac:dyDescent="0.15">
      <c r="A113" s="4"/>
      <c r="B113" s="38"/>
      <c r="C113" s="38"/>
      <c r="D113" s="38"/>
      <c r="E113" s="38"/>
      <c r="F113" s="38"/>
      <c r="G113" s="38"/>
      <c r="H113" s="38"/>
      <c r="I113" s="38"/>
    </row>
    <row r="114" spans="1:9" ht="18.75" customHeight="1" x14ac:dyDescent="0.15">
      <c r="A114" s="67"/>
      <c r="B114" s="209"/>
      <c r="C114" s="209"/>
      <c r="D114" s="209"/>
      <c r="E114" s="209"/>
      <c r="F114" s="209"/>
      <c r="G114" s="209"/>
      <c r="H114" s="209"/>
      <c r="I114" s="209"/>
    </row>
    <row r="115" spans="1:9" ht="18.75" customHeight="1" x14ac:dyDescent="0.15">
      <c r="A115" s="67"/>
      <c r="B115" s="209"/>
      <c r="C115" s="209"/>
      <c r="D115" s="209"/>
      <c r="E115" s="209"/>
      <c r="F115" s="209"/>
      <c r="G115" s="209"/>
      <c r="H115" s="209"/>
      <c r="I115" s="209"/>
    </row>
    <row r="116" spans="1:9" ht="18.75" customHeight="1" x14ac:dyDescent="0.15">
      <c r="A116" s="4"/>
      <c r="B116" s="71"/>
      <c r="C116" s="71"/>
      <c r="D116" s="71"/>
      <c r="E116" s="71"/>
      <c r="F116" s="71"/>
      <c r="G116" s="71"/>
      <c r="H116" s="71"/>
      <c r="I116" s="72"/>
    </row>
    <row r="117" spans="1:9" ht="18.75" customHeight="1" x14ac:dyDescent="0.15">
      <c r="A117" s="4"/>
      <c r="B117" s="72"/>
      <c r="C117" s="72"/>
      <c r="D117" s="72"/>
      <c r="E117" s="72"/>
      <c r="F117" s="72"/>
      <c r="G117" s="72"/>
      <c r="H117" s="72"/>
      <c r="I117" s="72"/>
    </row>
    <row r="118" spans="1:9" ht="18.75" customHeight="1" x14ac:dyDescent="0.15">
      <c r="A118" s="4"/>
      <c r="B118" s="72"/>
      <c r="C118" s="72"/>
      <c r="D118" s="72"/>
      <c r="E118" s="72"/>
      <c r="F118" s="72"/>
      <c r="G118" s="72"/>
      <c r="H118" s="72"/>
      <c r="I118" s="72"/>
    </row>
    <row r="119" spans="1:9" ht="18.75" customHeight="1" x14ac:dyDescent="0.15">
      <c r="A119" s="4"/>
      <c r="B119" s="72"/>
      <c r="C119" s="72"/>
      <c r="D119" s="72"/>
      <c r="E119" s="72"/>
      <c r="F119" s="72"/>
      <c r="G119" s="72"/>
      <c r="H119" s="72"/>
      <c r="I119" s="72"/>
    </row>
    <row r="120" spans="1:9" ht="18.75" customHeight="1" x14ac:dyDescent="0.15">
      <c r="A120" s="4"/>
      <c r="B120" s="72"/>
      <c r="C120" s="72"/>
      <c r="D120" s="72"/>
      <c r="E120" s="72"/>
      <c r="F120" s="72"/>
      <c r="G120" s="72"/>
      <c r="H120" s="72"/>
      <c r="I120" s="72"/>
    </row>
    <row r="121" spans="1:9" ht="18.75" customHeight="1" x14ac:dyDescent="0.15">
      <c r="A121" s="4"/>
      <c r="B121" s="72"/>
      <c r="C121" s="72"/>
      <c r="D121" s="72"/>
      <c r="E121" s="72"/>
      <c r="F121" s="72"/>
      <c r="G121" s="72"/>
      <c r="H121" s="72"/>
      <c r="I121" s="72"/>
    </row>
    <row r="122" spans="1:9" ht="18.75" customHeight="1" x14ac:dyDescent="0.15">
      <c r="A122" s="4"/>
      <c r="B122" s="72"/>
      <c r="C122" s="72"/>
      <c r="D122" s="72"/>
      <c r="E122" s="72"/>
      <c r="F122" s="72"/>
      <c r="G122" s="72"/>
      <c r="H122" s="72"/>
      <c r="I122" s="72"/>
    </row>
    <row r="123" spans="1:9" ht="18.75" customHeight="1" x14ac:dyDescent="0.15">
      <c r="A123" s="4"/>
      <c r="B123" s="72"/>
      <c r="C123" s="72"/>
      <c r="D123" s="72"/>
      <c r="E123" s="72"/>
      <c r="F123" s="72"/>
      <c r="G123" s="72"/>
      <c r="H123" s="72"/>
      <c r="I123" s="72"/>
    </row>
    <row r="124" spans="1:9" ht="18.75" customHeight="1" x14ac:dyDescent="0.15">
      <c r="A124" s="4"/>
      <c r="B124" s="72"/>
      <c r="C124" s="72"/>
      <c r="D124" s="72"/>
      <c r="E124" s="72"/>
      <c r="F124" s="72"/>
      <c r="G124" s="72"/>
      <c r="H124" s="72"/>
      <c r="I124" s="72"/>
    </row>
    <row r="125" spans="1:9" ht="18.75" customHeight="1" x14ac:dyDescent="0.15">
      <c r="A125" s="4"/>
      <c r="B125" s="72"/>
      <c r="C125" s="72"/>
      <c r="D125" s="72"/>
      <c r="E125" s="72"/>
      <c r="F125" s="72"/>
      <c r="G125" s="72"/>
      <c r="H125" s="72"/>
      <c r="I125" s="72"/>
    </row>
    <row r="126" spans="1:9" ht="14.25" x14ac:dyDescent="0.15">
      <c r="A126" s="4"/>
      <c r="B126" s="72"/>
      <c r="C126" s="72"/>
      <c r="D126" s="72"/>
      <c r="E126" s="72"/>
      <c r="F126" s="72"/>
      <c r="G126" s="72"/>
      <c r="H126" s="72"/>
      <c r="I126" s="72"/>
    </row>
    <row r="127" spans="1:9" ht="7.5" customHeight="1" x14ac:dyDescent="0.15">
      <c r="A127" s="4"/>
      <c r="B127" s="72"/>
      <c r="C127" s="72"/>
      <c r="D127" s="72"/>
      <c r="E127" s="72"/>
      <c r="F127" s="72"/>
      <c r="G127" s="72"/>
      <c r="H127" s="72"/>
      <c r="I127" s="72"/>
    </row>
  </sheetData>
  <mergeCells count="23">
    <mergeCell ref="B114:I115"/>
    <mergeCell ref="H2:I2"/>
    <mergeCell ref="A4:I4"/>
    <mergeCell ref="B19:I19"/>
    <mergeCell ref="B22:I26"/>
    <mergeCell ref="B29:I40"/>
    <mergeCell ref="B14:I14"/>
    <mergeCell ref="C16:E16"/>
    <mergeCell ref="H16:I16"/>
    <mergeCell ref="C11:E11"/>
    <mergeCell ref="H11:I11"/>
    <mergeCell ref="C6:D6"/>
    <mergeCell ref="B87:I98"/>
    <mergeCell ref="B100:I100"/>
    <mergeCell ref="B101:I112"/>
    <mergeCell ref="B44:I44"/>
    <mergeCell ref="F43:G43"/>
    <mergeCell ref="B59:I70"/>
    <mergeCell ref="B73:I84"/>
    <mergeCell ref="C42:D42"/>
    <mergeCell ref="C43:D43"/>
    <mergeCell ref="F42:G42"/>
    <mergeCell ref="B45:I56"/>
  </mergeCells>
  <phoneticPr fontId="1"/>
  <printOptions horizontalCentered="1"/>
  <pageMargins left="0.59055118110236227" right="0.59055118110236227" top="0.78740157480314965" bottom="0.3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0" max="8" man="1"/>
    <brk id="85"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B15" sqref="B15:U2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29" t="s">
        <v>96</v>
      </c>
    </row>
    <row r="2" spans="1:9" ht="18.75" customHeight="1" x14ac:dyDescent="0.15">
      <c r="H2" s="29" t="s">
        <v>99</v>
      </c>
      <c r="I2" s="28" t="str">
        <f>'様式１　プログラムを構成する授業科目'!C2</f>
        <v>高松短期大学</v>
      </c>
    </row>
    <row r="3" spans="1:9" ht="18.75" customHeight="1" x14ac:dyDescent="0.15">
      <c r="A3" s="210" t="s">
        <v>28</v>
      </c>
      <c r="B3" s="210"/>
      <c r="C3" s="210"/>
      <c r="D3" s="210"/>
      <c r="E3" s="210"/>
      <c r="F3" s="210"/>
      <c r="G3" s="210"/>
      <c r="H3" s="210"/>
      <c r="I3" s="210"/>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232" t="s">
        <v>160</v>
      </c>
      <c r="C6" s="277"/>
      <c r="D6" s="277"/>
      <c r="E6" s="277"/>
      <c r="F6" s="277"/>
      <c r="G6" s="277"/>
      <c r="H6" s="278"/>
      <c r="I6" s="3"/>
    </row>
    <row r="7" spans="1:9" ht="9" customHeight="1" x14ac:dyDescent="0.15">
      <c r="A7" s="5"/>
      <c r="B7" s="10"/>
      <c r="C7" s="10"/>
      <c r="D7" s="10"/>
      <c r="E7" s="10"/>
      <c r="F7" s="10"/>
      <c r="G7" s="10"/>
      <c r="H7" s="10"/>
      <c r="I7" s="3"/>
    </row>
    <row r="8" spans="1:9" ht="18.75" customHeight="1" x14ac:dyDescent="0.15">
      <c r="A8" s="5"/>
      <c r="B8" s="3"/>
      <c r="C8" s="3"/>
      <c r="D8" s="29" t="s">
        <v>42</v>
      </c>
      <c r="E8" s="30" t="s">
        <v>162</v>
      </c>
      <c r="F8" s="3"/>
      <c r="G8" s="29" t="s">
        <v>10</v>
      </c>
      <c r="H8" s="30" t="s">
        <v>161</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2" t="s">
        <v>24</v>
      </c>
      <c r="C11" s="103"/>
      <c r="D11" s="104"/>
      <c r="E11" s="103" t="s">
        <v>26</v>
      </c>
      <c r="F11" s="103"/>
      <c r="G11" s="103"/>
      <c r="H11" s="103"/>
      <c r="I11" s="104"/>
    </row>
    <row r="12" spans="1:9" ht="26.25" customHeight="1" x14ac:dyDescent="0.15">
      <c r="B12" s="39" t="s">
        <v>14</v>
      </c>
      <c r="C12" s="46"/>
      <c r="D12" s="40"/>
      <c r="E12" s="47"/>
      <c r="F12" s="47"/>
      <c r="G12" s="47"/>
      <c r="H12" s="47"/>
      <c r="I12" s="40"/>
    </row>
    <row r="13" spans="1:9" ht="171" customHeight="1" x14ac:dyDescent="0.15">
      <c r="B13" s="41"/>
      <c r="C13" s="258" t="s">
        <v>15</v>
      </c>
      <c r="D13" s="259"/>
      <c r="E13" s="271" t="s">
        <v>173</v>
      </c>
      <c r="F13" s="260"/>
      <c r="G13" s="260"/>
      <c r="H13" s="260"/>
      <c r="I13" s="261"/>
    </row>
    <row r="14" spans="1:9" ht="81" customHeight="1" x14ac:dyDescent="0.15">
      <c r="B14" s="41"/>
      <c r="C14" s="275" t="s">
        <v>16</v>
      </c>
      <c r="D14" s="276"/>
      <c r="E14" s="271" t="s">
        <v>172</v>
      </c>
      <c r="F14" s="260"/>
      <c r="G14" s="260"/>
      <c r="H14" s="260"/>
      <c r="I14" s="261"/>
    </row>
    <row r="15" spans="1:9" ht="141" customHeight="1" x14ac:dyDescent="0.15">
      <c r="B15" s="41"/>
      <c r="C15" s="258" t="s">
        <v>17</v>
      </c>
      <c r="D15" s="259"/>
      <c r="E15" s="271" t="s">
        <v>170</v>
      </c>
      <c r="F15" s="260"/>
      <c r="G15" s="260"/>
      <c r="H15" s="260"/>
      <c r="I15" s="261"/>
    </row>
    <row r="16" spans="1:9" ht="186.75" customHeight="1" x14ac:dyDescent="0.15">
      <c r="B16" s="41"/>
      <c r="C16" s="258" t="s">
        <v>18</v>
      </c>
      <c r="D16" s="259"/>
      <c r="E16" s="271" t="s">
        <v>171</v>
      </c>
      <c r="F16" s="260"/>
      <c r="G16" s="260"/>
      <c r="H16" s="260"/>
      <c r="I16" s="261"/>
    </row>
    <row r="17" spans="2:9" ht="192.75" customHeight="1" x14ac:dyDescent="0.15">
      <c r="B17" s="42"/>
      <c r="C17" s="262" t="s">
        <v>19</v>
      </c>
      <c r="D17" s="263"/>
      <c r="E17" s="272" t="s">
        <v>185</v>
      </c>
      <c r="F17" s="273"/>
      <c r="G17" s="273"/>
      <c r="H17" s="273"/>
      <c r="I17" s="274"/>
    </row>
    <row r="18" spans="2:9" ht="24" customHeight="1" x14ac:dyDescent="0.15">
      <c r="B18" s="39" t="s">
        <v>20</v>
      </c>
      <c r="C18" s="43"/>
      <c r="D18" s="44"/>
      <c r="E18" s="45"/>
      <c r="F18" s="45"/>
      <c r="G18" s="45"/>
      <c r="H18" s="45"/>
      <c r="I18" s="48"/>
    </row>
    <row r="19" spans="2:9" ht="106.5" customHeight="1" x14ac:dyDescent="0.15">
      <c r="B19" s="41"/>
      <c r="C19" s="258" t="s">
        <v>21</v>
      </c>
      <c r="D19" s="259"/>
      <c r="E19" s="260" t="s">
        <v>168</v>
      </c>
      <c r="F19" s="260"/>
      <c r="G19" s="260"/>
      <c r="H19" s="260"/>
      <c r="I19" s="261"/>
    </row>
    <row r="20" spans="2:9" ht="119.25" customHeight="1" x14ac:dyDescent="0.15">
      <c r="B20" s="42"/>
      <c r="C20" s="262" t="s">
        <v>22</v>
      </c>
      <c r="D20" s="263"/>
      <c r="E20" s="264" t="s">
        <v>186</v>
      </c>
      <c r="F20" s="264"/>
      <c r="G20" s="264"/>
      <c r="H20" s="264"/>
      <c r="I20" s="265"/>
    </row>
    <row r="21" spans="2:9" ht="114.75" customHeight="1" x14ac:dyDescent="0.15">
      <c r="B21" s="266" t="s">
        <v>23</v>
      </c>
      <c r="C21" s="267"/>
      <c r="D21" s="268"/>
      <c r="E21" s="269" t="s">
        <v>163</v>
      </c>
      <c r="F21" s="269"/>
      <c r="G21" s="269"/>
      <c r="H21" s="269"/>
      <c r="I21" s="270"/>
    </row>
    <row r="22" spans="2:9" ht="198" customHeight="1" x14ac:dyDescent="0.15">
      <c r="B22" s="254" t="s">
        <v>135</v>
      </c>
      <c r="C22" s="255"/>
      <c r="D22" s="256"/>
      <c r="E22" s="221" t="s">
        <v>167</v>
      </c>
      <c r="F22" s="221"/>
      <c r="G22" s="221"/>
      <c r="H22" s="221"/>
      <c r="I22" s="25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武本 隆治</cp:lastModifiedBy>
  <cp:lastPrinted>2024-06-11T01:30:10Z</cp:lastPrinted>
  <dcterms:created xsi:type="dcterms:W3CDTF">2011-06-14T05:32:50Z</dcterms:created>
  <dcterms:modified xsi:type="dcterms:W3CDTF">2024-06-11T02:21:40Z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