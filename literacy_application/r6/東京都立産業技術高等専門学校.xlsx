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defaultThemeVersion="124226"/>
  <mc:AlternateContent xmlns:mc="http://schemas.openxmlformats.org/markup-compatibility/2006">
    <mc:Choice Requires="x15">
      <x15ac:absPath xmlns:x15ac="http://schemas.microsoft.com/office/spreadsheetml/2010/11/ac" url="C:\Users\10000566\Desktop\東京都立産業技術高等専門学校\"/>
    </mc:Choice>
  </mc:AlternateContent>
  <xr:revisionPtr revIDLastSave="0" documentId="13_ncr:1_{1755E0C0-5C8A-46F3-9157-9A6ECB18C1C1}" xr6:coauthVersionLast="47" xr6:coauthVersionMax="47" xr10:uidLastSave="{00000000-0000-0000-0000-000000000000}"/>
  <bookViews>
    <workbookView xWindow="-110" yWindow="-110" windowWidth="19420" windowHeight="10420" tabRatio="885" xr2:uid="{00000000-000D-0000-FFFF-FFFF00000000}"/>
  </bookViews>
  <sheets>
    <sheet name="様式１-1　プログラムを構成する授業科目" sheetId="49" r:id="rId1"/>
    <sheet name="様式１-2　プログラムを構成する授業科目" sheetId="50" r:id="rId2"/>
    <sheet name="様式２ 履修者等数の実績" sheetId="44" r:id="rId3"/>
    <sheet name="様式３ 教育の質・履修者数を向上させるための体制・計画" sheetId="45" r:id="rId4"/>
    <sheet name="様式４　自己点検・評価" sheetId="47" r:id="rId5"/>
  </sheets>
  <definedNames>
    <definedName name="_xlnm._FilterDatabase" localSheetId="0" hidden="1">'様式１-1　プログラムを構成する授業科目'!$X$16:$X$18</definedName>
    <definedName name="_xlnm._FilterDatabase" localSheetId="1" hidden="1">'様式１-2　プログラムを構成する授業科目'!$X$16:$X$18</definedName>
    <definedName name="_xlnm._FilterDatabase" localSheetId="2" hidden="1">'様式２ 履修者等数の実績'!#REF!</definedName>
    <definedName name="_xlnm.Print_Area" localSheetId="0">'様式１-1　プログラムを構成する授業科目'!$A$1:$U$112</definedName>
    <definedName name="_xlnm.Print_Area" localSheetId="1">'様式１-2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7" l="1"/>
  <c r="H2" i="45"/>
  <c r="Q2" i="44"/>
  <c r="Q33" i="44" l="1"/>
  <c r="P33" i="44"/>
  <c r="O33" i="44"/>
  <c r="M33" i="44"/>
  <c r="K33" i="44"/>
  <c r="I33" i="44"/>
  <c r="G33" i="44"/>
  <c r="D33" i="44"/>
  <c r="N32" i="44"/>
  <c r="L32" i="44"/>
  <c r="J32" i="44"/>
  <c r="H32" i="44" s="1"/>
  <c r="F32" i="44" s="1"/>
  <c r="R32" i="44" s="1"/>
  <c r="S32" i="44" s="1"/>
  <c r="N31" i="44"/>
  <c r="L31" i="44"/>
  <c r="J31" i="44"/>
  <c r="H31" i="44"/>
  <c r="F31" i="44" s="1"/>
  <c r="R31" i="44" s="1"/>
  <c r="S31" i="44" s="1"/>
  <c r="N30" i="44"/>
  <c r="L30" i="44"/>
  <c r="J30" i="44"/>
  <c r="H30" i="44"/>
  <c r="F30" i="44"/>
  <c r="R30" i="44" s="1"/>
  <c r="S30" i="44" s="1"/>
  <c r="N29" i="44"/>
  <c r="L29" i="44"/>
  <c r="J29" i="44"/>
  <c r="H29" i="44"/>
  <c r="F29" i="44"/>
  <c r="R29" i="44" s="1"/>
  <c r="S29" i="44" s="1"/>
  <c r="N28" i="44"/>
  <c r="L28" i="44" s="1"/>
  <c r="J28" i="44" s="1"/>
  <c r="H28" i="44" s="1"/>
  <c r="F28" i="44" s="1"/>
  <c r="R28" i="44" s="1"/>
  <c r="S28" i="44" s="1"/>
  <c r="N27" i="44"/>
  <c r="L27" i="44"/>
  <c r="J27" i="44" s="1"/>
  <c r="H27" i="44" s="1"/>
  <c r="F27" i="44" s="1"/>
  <c r="R27" i="44" s="1"/>
  <c r="S27" i="44" s="1"/>
  <c r="N26" i="44"/>
  <c r="L26" i="44" s="1"/>
  <c r="J26" i="44" s="1"/>
  <c r="H26" i="44" s="1"/>
  <c r="F26" i="44" s="1"/>
  <c r="R26" i="44" s="1"/>
  <c r="S26" i="44" s="1"/>
  <c r="N25" i="44"/>
  <c r="L25" i="44"/>
  <c r="J25" i="44" s="1"/>
  <c r="H25" i="44" s="1"/>
  <c r="F25" i="44" s="1"/>
  <c r="R25" i="44" s="1"/>
  <c r="S25" i="44" s="1"/>
  <c r="N24" i="44"/>
  <c r="L24" i="44"/>
  <c r="J24" i="44"/>
  <c r="H24" i="44" s="1"/>
  <c r="F24" i="44" s="1"/>
  <c r="R24" i="44" s="1"/>
  <c r="S24" i="44" s="1"/>
  <c r="N23" i="44"/>
  <c r="L23" i="44"/>
  <c r="J23" i="44"/>
  <c r="H23" i="44"/>
  <c r="F23" i="44" s="1"/>
  <c r="R23" i="44" s="1"/>
  <c r="S23" i="44" s="1"/>
  <c r="N22" i="44"/>
  <c r="L22" i="44"/>
  <c r="J22" i="44"/>
  <c r="H22" i="44"/>
  <c r="F22" i="44"/>
  <c r="R22" i="44" s="1"/>
  <c r="S22" i="44" s="1"/>
  <c r="N21" i="44"/>
  <c r="L21" i="44"/>
  <c r="J21" i="44"/>
  <c r="H21" i="44"/>
  <c r="F21" i="44"/>
  <c r="R21" i="44" s="1"/>
  <c r="S21" i="44" s="1"/>
  <c r="N20" i="44"/>
  <c r="L20" i="44" s="1"/>
  <c r="J20" i="44" s="1"/>
  <c r="H20" i="44" s="1"/>
  <c r="F20" i="44" s="1"/>
  <c r="R20" i="44" s="1"/>
  <c r="S20" i="44" s="1"/>
  <c r="N19" i="44"/>
  <c r="L19" i="44"/>
  <c r="J19" i="44" s="1"/>
  <c r="H19" i="44" s="1"/>
  <c r="F19" i="44" s="1"/>
  <c r="R19" i="44" s="1"/>
  <c r="S19" i="44" s="1"/>
  <c r="N18" i="44"/>
  <c r="N33" i="44" s="1"/>
  <c r="N17" i="44"/>
  <c r="L17" i="44"/>
  <c r="J17" i="44" s="1"/>
  <c r="H17" i="44" s="1"/>
  <c r="F17" i="44" s="1"/>
  <c r="R17" i="44" s="1"/>
  <c r="S17" i="44" s="1"/>
  <c r="N16" i="44"/>
  <c r="L16" i="44"/>
  <c r="J16" i="44"/>
  <c r="H16" i="44" s="1"/>
  <c r="F16" i="44" s="1"/>
  <c r="R16" i="44" s="1"/>
  <c r="S16" i="44" s="1"/>
  <c r="N15" i="44"/>
  <c r="L15" i="44"/>
  <c r="J15" i="44"/>
  <c r="H15" i="44"/>
  <c r="S14" i="44"/>
  <c r="R14" i="44"/>
  <c r="R13" i="44"/>
  <c r="S13" i="44" s="1"/>
  <c r="E13" i="44"/>
  <c r="E33" i="44" s="1"/>
  <c r="C13" i="44"/>
  <c r="C33" i="44" s="1"/>
  <c r="M7" i="44"/>
  <c r="F15" i="44" l="1"/>
  <c r="L18" i="44"/>
  <c r="R15" i="44" l="1"/>
  <c r="J18" i="44"/>
  <c r="L33" i="44"/>
  <c r="H18" i="44" l="1"/>
  <c r="J33" i="44"/>
  <c r="S15" i="44"/>
  <c r="F18" i="44" l="1"/>
  <c r="H33" i="44"/>
  <c r="R18" i="44" l="1"/>
  <c r="F33" i="44"/>
  <c r="S18" i="44" l="1"/>
  <c r="R33" i="44"/>
  <c r="S33" i="44" s="1"/>
</calcChain>
</file>

<file path=xl/sharedStrings.xml><?xml version="1.0" encoding="utf-8"?>
<sst xmlns="http://schemas.openxmlformats.org/spreadsheetml/2006/main" count="438" uniqueCount="199">
  <si>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</si>
  <si>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</si>
  <si>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東京都立産業技術高等専門学校</t>
    <phoneticPr fontId="1"/>
  </si>
  <si>
    <t>プログラム名</t>
    <rPh sb="5" eb="6">
      <t>メイ</t>
    </rPh>
    <phoneticPr fontId="1"/>
  </si>
  <si>
    <t>東京都立産業技術高等専門学校 数理・データサイエンス・AI教育プログラム</t>
    <phoneticPr fontId="1"/>
  </si>
  <si>
    <t>プログラムを構成する授業科目について</t>
    <phoneticPr fontId="1"/>
  </si>
  <si>
    <t>学部・学科によって、修了要件は相違する</t>
  </si>
  <si>
    <t>ものづくり工学科（荒川）</t>
    <phoneticPr fontId="1"/>
  </si>
  <si>
    <t>③ 修了要件</t>
    <phoneticPr fontId="1"/>
  </si>
  <si>
    <t>【プルダウンリスト】</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</si>
  <si>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</si>
  <si>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</si>
  <si>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</si>
  <si>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</si>
  <si>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</si>
  <si>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</si>
  <si>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</si>
  <si>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</si>
  <si>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データサイエンス概論</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</si>
  <si>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</si>
  <si>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</si>
  <si>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</si>
  <si>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</si>
  <si>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プログラミング基礎</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</si>
  <si>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</si>
  <si>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</si>
  <si>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</si>
  <si>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</si>
  <si>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</si>
  <si>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</si>
  <si>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</si>
  <si>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</si>
  <si>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</si>
  <si>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</si>
  <si>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</si>
  <si>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</si>
  <si>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</si>
  <si>
    <t>4‐2アルゴリズム基礎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</si>
  <si>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</si>
  <si>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</si>
  <si>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</si>
  <si>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</si>
  <si>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</si>
  <si>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</si>
  <si>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</si>
  <si>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</si>
  <si>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</si>
  <si>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</si>
  <si>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</si>
  <si>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ものづくり工学科（品川）</t>
    <phoneticPr fontId="1"/>
  </si>
  <si>
    <t>情報リテラシー【第11～12回目】
情報セキュリティの基礎と対策 
情報セキュリティの基礎を知り、データや情報を取り扱う際のルールや注意事項について学ぶ。また、個人が施さなければならない情報セキュリティ対策方法を知る。</t>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</si>
  <si>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</si>
  <si>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</si>
  <si>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</si>
  <si>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</si>
  <si>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</si>
  <si>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</si>
  <si>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</si>
  <si>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</si>
  <si>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</si>
  <si>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</si>
  <si>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</si>
  <si>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</si>
  <si>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</si>
  <si>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</si>
  <si>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</si>
  <si>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</si>
  <si>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</si>
  <si>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</si>
  <si>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</si>
  <si>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</si>
  <si>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</si>
  <si>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</si>
  <si>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</si>
  <si>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</si>
  <si>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</si>
  <si>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</si>
  <si>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</si>
  <si>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ものづくり工学科（荒川）</t>
    <rPh sb="5" eb="8">
      <t>コウガクカ</t>
    </rPh>
    <rPh sb="9" eb="11">
      <t>アラカワ</t>
    </rPh>
    <phoneticPr fontId="1"/>
  </si>
  <si>
    <t>ものづくり工学科（品川）</t>
    <rPh sb="5" eb="8">
      <t>コウガクカ</t>
    </rPh>
    <rPh sb="9" eb="11">
      <t>シナガワ</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</si>
  <si>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</si>
  <si>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</si>
  <si>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</si>
  <si>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</si>
  <si>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</si>
  <si>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</si>
  <si>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</si>
  <si>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</si>
  <si>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</si>
  <si>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</si>
  <si>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</si>
  <si>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</si>
  <si>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</si>
  <si>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吉澤 昌純</t>
    <phoneticPr fontId="1"/>
  </si>
  <si>
    <t>（役職名）</t>
    <rPh sb="1" eb="4">
      <t>ヤクショクメイ</t>
    </rPh>
    <phoneticPr fontId="1"/>
  </si>
  <si>
    <t>校長</t>
    <phoneticPr fontId="1"/>
  </si>
  <si>
    <t>④</t>
    <phoneticPr fontId="1"/>
  </si>
  <si>
    <t>プログラムを改善・進化させるための体制（委員会・組織等）</t>
    <phoneticPr fontId="1"/>
  </si>
  <si>
    <t>教務委員会</t>
    <phoneticPr fontId="1"/>
  </si>
  <si>
    <t>篠原知子、田村恵万</t>
  </si>
  <si>
    <t>教務主事（各キャンパス）</t>
    <phoneticPr fontId="1"/>
  </si>
  <si>
    <t>⑤</t>
    <phoneticPr fontId="1"/>
  </si>
  <si>
    <t>プログラムを改善・進化させるための体制を定める規則名称</t>
    <phoneticPr fontId="1"/>
  </si>
  <si>
    <t>東京都立産業技術高等専門学校　教務委員会設置要綱</t>
    <phoneticPr fontId="1"/>
  </si>
  <si>
    <t>⑥</t>
    <phoneticPr fontId="1"/>
  </si>
  <si>
    <t>体制の目的</t>
    <rPh sb="0" eb="2">
      <t>タイセイ</t>
    </rPh>
    <rPh sb="3" eb="5">
      <t>モクテキ</t>
    </rPh>
    <phoneticPr fontId="1"/>
  </si>
  <si>
    <t>教育改革推進会議では、東京都立産業技術高等専門学校において、教育計画の立案に関する事項を審議する。また、教務委員会は本校学生に数理・データサイエンス・AIに係る関心を高め、かつ適切に理解し、それらを活用する基礎的な能力を育成するための授業内容を改善・進化させることを協議する。</t>
    <phoneticPr fontId="1"/>
  </si>
  <si>
    <t>⑦</t>
    <phoneticPr fontId="1"/>
  </si>
  <si>
    <t>具体的な構成員</t>
    <rPh sb="0" eb="3">
      <t>グタイテキ</t>
    </rPh>
    <rPh sb="4" eb="7">
      <t>コウセイイン</t>
    </rPh>
    <phoneticPr fontId="1"/>
  </si>
  <si>
    <t>⑧</t>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</si>
  <si>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</si>
  <si>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</si>
  <si>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</si>
  <si>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</si>
  <si>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</si>
  <si>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</si>
  <si>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</si>
  <si>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</si>
  <si>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</si>
  <si>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本教育プログラムを構成する科目のほとんどは必修科目であり、唯一の選択科目であるデータサイエンス概論も教育的指導に基づき、全員の履修が実現できている。そのため、キャンパスに関係なく希望する学生全員が受講可能となる体制は十分機能している。</t>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</si>
  <si>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</si>
  <si>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</si>
  <si>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本校では必修科目については履修しないと進級できない規則となっており、その旨は入学ガイダンス等で学生だけでなく、保護者への説明・周知を徹底している。また選択科目：データサイエンス概論については本シート末尾の添付資料1のように、学生が授業を履修する上で必携となる学生ハンドブックに履修の重要性を記すとともに、各種ガイダンス時に説明をしている。</t>
    <phoneticPr fontId="1"/>
  </si>
  <si>
    <t>⑪</t>
    <phoneticPr fontId="1"/>
  </si>
  <si>
    <t>できる限り多くの学生が履修・修得できるようなサポート体制</t>
    <rPh sb="26" eb="28">
      <t>タイセイ</t>
    </rPh>
    <phoneticPr fontId="1"/>
  </si>
  <si>
    <t>　学生の履修状況については各クラス担任が校内教務システムを通じて把握できるようになっており、履修状況だけでなく、成績や学習意欲の低下については、教科担当とクラス担任が共通認識できるようなサポート体制となっている。また、学校全体では、年4回、成績会議を開催して、学生個人の状況を教員全体が把握・サポートできる体制を引いている。</t>
    <phoneticPr fontId="1"/>
  </si>
  <si>
    <t>⑫</t>
    <phoneticPr fontId="1"/>
  </si>
  <si>
    <t>授業時間内外で学習指導、質問を受け付ける具体的な仕組み</t>
    <rPh sb="20" eb="23">
      <t>グタイテキ</t>
    </rPh>
    <phoneticPr fontId="1"/>
  </si>
  <si>
    <t>　本科目の多くはGoogleのClassroomをツールとして活用しており、事業時間内外問わず、教員は学生からの連絡・質問を受付けられる仕組みを構築している。また、就学時間内では各教員がオフィスアワーを公開しており、日中や放課後、学生は担当教員に直接指導を受けることができる体制も実現し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</si>
  <si>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</si>
  <si>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</si>
  <si>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</si>
  <si>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</si>
  <si>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教育改革推進会議</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</si>
  <si>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</si>
  <si>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</si>
  <si>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</si>
  <si>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</si>
  <si>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</si>
  <si>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教育プログラムを構成する科目は、荒川・品川キャンパスともに第一学年に配当されているものづくり工学科目として位置付けられている。またそのほとんどの科目は必修科目であり、2年次への進級には履修だけでなく修得が義務付けられている。また、荒川キャンパスで新設したデータサイエンス概論は必修科目との兼ね合いから、現状、選択科目となっている。しかしながら本シート末尾の添付資料1のように、全員が履修を行うような指導をするとともに、常用カリキュラムに並列開講無しで設定しているため、本年度まで全員が履修している。
この結果、年度が経過するごとに履修者数は増加していき、令和９年度には100％の履修率が達成できる見込みである。</t>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</si>
  <si>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</si>
  <si>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</si>
  <si>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</si>
  <si>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データサイエンスに関する知識の獲得が必要不可欠であることは学生自身が最も感じていることであり、このことは本科目群を確実に実施することで、学年を超えて意識の向上に向かっていくものと考える。また、授業の様子や内容をWebページにて公開していくことで、より深く、本教育プログラムにに対する理解度を向上していく。</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</si>
  <si>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</si>
  <si>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を構成する科目は全て第一学年で配当されていて、そのほとんどは必修科目であり、唯一の選択科目であるデータサイエンス概論も教育的指導に基づき、全員の履修が実現できている。そのため、キャンパスに関係なく希望する学生全員が受講可能となる体制は十分機能している。その結果、年度が経過するごとに履修者数は増加していき、令和９年度には100％の履修率が達成できる見込みであ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</si>
  <si>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</si>
  <si>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</si>
  <si>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令和5年度3月時点で本教育プログラムを修了して卒業した学生はいないため、今後の評価とする。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</si>
  <si>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</si>
  <si>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校の運営協力者会議において、既に当校の数理・データサイエンス・AI教育プログラムの内容は説明済みであり、産業界からも期待している旨の御意見を賜っている。今後、卒業生が排出された後、その評価などを参考として教育の改革につなげていく。</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</si>
  <si>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</si>
  <si>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教育プログラムを構成する科目において、座学だけではなく、ビデオ視聴、プログラミング演習、アクティブラーニングなど、学生自身が興味を持って取り組むことができる授業内容となっている。今後も実践的な教育を取り入れ、学ぶことの楽しさを感じながらその意義を理解できるように教育を実施していく。</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</si>
  <si>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</si>
  <si>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社会でオープンにされているデータを用いて、実際に分析調査や仮説のプレゼンなどを実施する工夫を模索している。わかりやすい授業に努めるとともに、日頃から使える技術を学ぶ授業にまで発展させることを今後の目標としている。</t>
    <phoneticPr fontId="1"/>
  </si>
  <si>
    <r>
      <rPr>
        <sz val="12"/>
        <rFont val="ＭＳ Ｐゴシック"/>
        <family val="3"/>
        <charset val="128"/>
      </rPr>
      <t>令和</t>
    </r>
    <r>
      <rPr>
        <sz val="12"/>
        <rFont val="ＭＳ Ｐゴシック"/>
        <family val="3"/>
        <charset val="128"/>
        <scheme val="minor"/>
      </rPr>
      <t>4</t>
    </r>
    <rPh sb="0" eb="2">
      <t>レイ</t>
    </rPh>
    <phoneticPr fontId="1"/>
  </si>
  <si>
    <r>
      <t>＜教務委員会（各キャンパスごとに設置）＞</t>
    </r>
    <r>
      <rPr>
        <sz val="12"/>
        <rFont val="ＭＳ Ｐゴシック"/>
        <family val="3"/>
        <charset val="128"/>
      </rPr>
      <t>以下は令和６年度の体制</t>
    </r>
    <r>
      <rPr>
        <sz val="12"/>
        <rFont val="ＭＳ Ｐゴシック"/>
        <family val="3"/>
        <charset val="128"/>
        <scheme val="minor"/>
      </rPr>
      <t xml:space="preserve">
(1) 各キャンパス教務主事：篠原知子、田村恵万
(2) 各キャンパス教務室長：齋藤博史、鈴木拓雄
(3) 各キャンパスの各教育コース及び一般科の代表
</t>
    </r>
    <r>
      <rPr>
        <sz val="12"/>
        <rFont val="ＭＳ Ｐゴシック"/>
        <family val="3"/>
        <charset val="128"/>
      </rPr>
      <t xml:space="preserve">　荒川キャンパス: 門多嘉人、若林良二、大貫貴久、山田裕一、冨田宏貴
　品川キャンパス: 田村健治、稲村栄次郎、富永一利、山本哲也、岩田満
</t>
    </r>
    <r>
      <rPr>
        <sz val="12"/>
        <rFont val="ＭＳ Ｐゴシック"/>
        <family val="3"/>
        <charset val="128"/>
        <scheme val="minor"/>
      </rPr>
      <t>(4) 各キャンパス教務学生係長：板橋翔、田代真裕</t>
    </r>
    <rPh sb="20" eb="22">
      <t>イ</t>
    </rPh>
    <rPh sb="23" eb="25">
      <t xml:space="preserve">レイワ </t>
    </rPh>
    <rPh sb="26" eb="28">
      <t>ネ</t>
    </rPh>
    <rPh sb="29" eb="31">
      <t>タイセ</t>
    </rPh>
    <rPh sb="109" eb="111">
      <t>アラカ</t>
    </rPh>
    <rPh sb="120" eb="121">
      <t>シナガ</t>
    </rPh>
    <rPh sb="142" eb="144">
      <t>タシロ</t>
    </rPh>
    <rPh sb="144" eb="146">
      <t>マサヒロ</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</si>
  <si>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</si>
  <si>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様式１-1</t>
  </si>
  <si>
    <t>① 教育プログラムの修了要件</t>
    <rPh sb="2" eb="4">
      <t>キョウイク</t>
    </rPh>
    <rPh sb="10" eb="14">
      <t>シュウリョウヨウケン</t>
    </rPh>
    <phoneticPr fontId="1"/>
  </si>
  <si>
    <t>② 対象となる学部・学科名称</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</si>
  <si>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</si>
  <si>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</si>
  <si>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</si>
  <si>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</si>
  <si>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</si>
  <si>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情報リテラシー</t>
    <phoneticPr fontId="1"/>
  </si>
  <si>
    <t>社会におけるデータ・AIの利活用に関する知識や、実データを適切に処理して読み解く能力を培う</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</si>
  <si>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</si>
  <si>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</si>
  <si>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</si>
  <si>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</si>
  <si>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生成AIについては1-5, 1-6項目において、現在の動向として説明するとともに、その利用方法や注意点を教育する計画を検討中。</t>
  </si>
  <si>
    <t>様式１-2</t>
  </si>
  <si>
    <t>基礎数学Ⅰ</t>
    <phoneticPr fontId="1"/>
  </si>
  <si>
    <t>データサイエンス概論【第1回目】
Society5.0やAIの発展を理解し、本教科で学ぶデータサイエンスやAIを活用可能な分野(IoT、ロボット、自動運転、ヘルスケア)を説明する。</t>
    <phoneticPr fontId="1"/>
  </si>
  <si>
    <t>プログラミング基礎【第1回目】
社会で活用されている調査、実験、人間の行動、機械のログなどのデータの種類などについて知り、それらを処理するコンピュータの基礎構造を学ぶと共に、コンピュータプログラミングが行う様々なデータ（構造化、非構造化）の分析が日常生活の課題解決に貢献することを教授する。</t>
    <phoneticPr fontId="1"/>
  </si>
  <si>
    <t>プログラミング基礎【第2～7回目】
変数の利用や四則演算など、基本的なプログラムを学ぶことでPython言語を扱うことができ、データ処理やAI活用領域の具体的な事例の読み解き方を教える。さらにはそれらが利用されている研究開発や課題解決のための処理を具体的に紹介する。</t>
    <phoneticPr fontId="1"/>
  </si>
  <si>
    <t>情報リテラシー【第12～15回目】
課題抽出と定式化のサイクルを学ぶために、実際のデータを活用した定量的な調査を行い、製造、サービス業、公共事業、ヘルスケアなど様々な分野におけるAI・データサイエンスの有効性を議論させる。</t>
    <phoneticPr fontId="1"/>
  </si>
  <si>
    <t>データサイエンス概論【第1回目】
ビックデータの処理に対して問題点を提起して、AI適用（画像認識、言語処理など）の有効性を理解させる。　
データサイエンス概論【第8回目】
データの解析や可視化の重要性を具体事例や演習を通じて理解させる。</t>
    <phoneticPr fontId="1"/>
  </si>
  <si>
    <t>情報リテラシー【第8～9回目】
個人情報管理の大切さや法令厳守の規範に基づく情報セキュリティの基本を理解する。</t>
    <phoneticPr fontId="1"/>
  </si>
  <si>
    <t>データサイエンス概論【第3回目】
統計の基本（代表値やヒストグラム）を教授して、データの集団による扱い方やばらつきの評価方法などを学ぶ。
データサイエンス概論【第9～10回目】
実データの種類について学ぶと共に、欠損や無効データに対する前処理を理解し、基本統計量や相関・回帰直線などの評価方法をソフトウェアを用いて検証することを学ぶ。</t>
    <phoneticPr fontId="1"/>
  </si>
  <si>
    <t>データサイエンス概論【第11～12回目】
散布図、ヒストグラム、箱ひげ図などのデータサイエンスに必要な基本データ表現法を学び、優れた可視化手法を理解するとともに、不適切なグラフ表現などについても学ぶ。</t>
    <phoneticPr fontId="1"/>
  </si>
  <si>
    <t>情報リテラシー【第5～7回目】
表計算ソフトの操作方法を知り、表計算ソフトによる集計や並び替えなどの基本操作を理解させる。
データサイエンス概論【第13～14回目】
Python等のプログラム言語を用いて表形式のデータの読み込み及び保存方法などを学ぶとともに、読み込んだデータを集計できる能力を培う。</t>
    <phoneticPr fontId="1"/>
  </si>
  <si>
    <t>ものづくり工学科（品川キャンパス）では、プログラムを構成する以下科目をすべて取得すること。
授業科目名：情報リテラシー、プログラミング基礎、基礎数学Ⅰ</t>
    <phoneticPr fontId="1"/>
  </si>
  <si>
    <t>情報リテラシー【第13回目】
情報社会におけるAIとデータサイエンス
e-learning コンテンツ「AI for Everyone」にて反転学習を行う。学んだ情報社会における AI の役割を報告する。（AI for Everyone 1週目：AIの基礎　4週目：AIと社会）特に、ビッグデータを用いた複数技術を組み合わせたAIサービスについて知る。</t>
    <phoneticPr fontId="1"/>
  </si>
  <si>
    <t>情報リテラシー【第14回目】
情報社会におけるAIとデータサイエンス
e-learning コンテンツ「AI for Everyone」にて反転学習を行う。学んだ情報社会における AI の役割を報告する。（AI for Everyone 1週目：AIの基礎）特に、AI等を活用した新しいビジネスモデル（商品のレコメンデーションなど）についてその現状と問題点を理解する。</t>
    <phoneticPr fontId="1"/>
  </si>
  <si>
    <t>情報リテラシー【第４～5回目】
情報社会におけるコミュニケーション手段の多様化
メディアやコミュニケーションの手段を調査し、身近な情報社会を考える。また、そのためのデータ情報の知識や種類、そしてオーブンデータの特性を理解させる。</t>
    <phoneticPr fontId="1"/>
  </si>
  <si>
    <t>情報リテラシー【第14回目】
情報社会におけるAIとデータサイエンス
e-learning コンテンツ「AI for Everyone」にて反転学習を行う。特に、AI活用領域の広がりについて学び、それぞれの活用領域におけるAI の役割を報告する。（AI for Everyone 5週目：日本におけるAI活用）
プログラミング基礎【第2～3回目】
プログラミングにおける、「変数と演算」と「データの入出力」の基本について学ぶ。そして、それらを土台とする各種データ処理が、社会の問題解決に使用される例を示すことで、活用領域を知る。</t>
    <phoneticPr fontId="1"/>
  </si>
  <si>
    <t>情報リテラシー【第1～2回目】
アカウントリテラシー 
個人アカウント（メール、Microsoft365、校務支援システム等）の設定、e-learning コンテンツ「AI for Everyone」の登録をする。その上で、AI for Everyone 1週目：AIの基礎を学ぶことで、一般的なAIに関する専門用語とその意味を理解させ、実際にAIができること、できないことなどを学習する。</t>
    <phoneticPr fontId="1"/>
  </si>
  <si>
    <t>情報リテラシー【第15回目】
情報社会におけるAIとデータサイエンス
e-learning コンテンツ「AI for Everyone」にて反転学習を行う。学んだ情報社会における AI の役割を報告する。（AI for Everyone 2週目：AIプロジェクトの推進　3週目：AIの社内導入と産業活用）特に、様々な産業分野におけるデータ・AI利活用事例を知る。</t>
    <phoneticPr fontId="1"/>
  </si>
  <si>
    <t>情報リテラシー【第10回目】
法と倫理
法令遵守の観点にて、個人情報保護、誹謗中傷、名誉毀損、著作権保護、業務妨害罪、不正アクセス行為の禁止などに関する法を知る。（AI for Everyone 4週目：AIと社会）また、忘れられる権利などについても理解を深める。</t>
    <phoneticPr fontId="1"/>
  </si>
  <si>
    <t>プログラミング基礎【第10回目】
統計処理
数値データを分析するための統計処理を学び、データの分布と代表値（平均値、中央値、最頻値）を表示するプログラムを作成する。</t>
    <phoneticPr fontId="1"/>
  </si>
  <si>
    <t>プログラミング基礎【第11回目】
数値データの可視化
データのパターンや傾向、関連性を表現するために、グラフや散布図などを用いる可視化プログラムを作成する。</t>
    <phoneticPr fontId="1"/>
  </si>
  <si>
    <t>プログラミング基礎【第12～15回目】
オープンデータの活用
オープンデータの概要を学び、対象となるCSV形式のオープンデータの中身を確認し、その内容を説明する。そして、そのオープンデータをデータ解析モジュールで解析し、可視化する応用プログラムを作成する。</t>
    <phoneticPr fontId="1"/>
  </si>
  <si>
    <t>　当校では本プログラムの重要性を鑑みて、全学統一の第一学年にて履修することを目指し、カリキュラム改訂を行った。荒川キャンパスでは新設のデータサイエンス概論を科目として設置して、本申請に先立ち、令和4年度から教育を実施している。そのため、既に第二学年に進んだ学生も含めた履修数状況となっている。一方、品川キャンパスでは、既存の科目改修による実現を目指して科目の設定を行ったため、令和5年度から第一学年で実施を開始した。
　この結果、年度が経過するごとに履修者数は増加していき、令和９年度には100％の履修率が達成できる見込みである。
　また、荒川キャンパスで新設したデータサイエンス概論は必修科目との兼ね合いから、現状、選択科目となっている。しかしながら07_東京都立産業技術高等専門学校_その他補足資料２のように、全員が履修を行うような指導をするとともに、常用カリキュラムに並列開講無しで設定しているため、本年度まで全員が履修している。今後も同様の指導を行いながら、両キャンパスで100％履修を目指していく。</t>
    <rPh sb="96" eb="98">
      <t>レイワ</t>
    </rPh>
    <phoneticPr fontId="1"/>
  </si>
  <si>
    <t>本教育プログラムを構成する科目についてはルーブリックによる理解度チェックを収集する仕組みが構築されている。このため、教育内容に対して学生自身がどの程度の学習成果を得られたかを評価することができる。参考までに07_東京都立産業技術高等専門学校_その他補足資料３には荒川キャンパスで新設したデータサイエンス概論の結果例を示している。このルーブリック評価によると、受講した学生の95％が設定した目標に到達できたことがわかる。</t>
    <phoneticPr fontId="1"/>
  </si>
  <si>
    <t>本教育プログラムを構成する科目については学生からの授業アンケートを収集する仕組みが構築されている。これにより学生自身が授業の内容について、どのように感じて理解しているかを知ることができる。参考までに07_東京都立産業技術高等専門学校_その他補足資料３には荒川キャンパスで新設したデータサイエンス概論の結果例を示している。この授業アンケートによると、設定した評価項目に対して当てはまる(3)との回答が平均的であり、授業自体の内容については問題なく教育できていることがわかる。一方で自学自習の習慣や科目履修の達成感が若干低く、事例紹介や具体的な演習なども盛り込んで、より実践的な教育へと改定していく必要がある。</t>
    <phoneticPr fontId="1"/>
  </si>
  <si>
    <t>ものづくり工学科（荒川キャンパス）では、プログラムを構成する以下科目をすべて取得すること。
授業科目名：情報リテラシー、プログラミング基礎、データサイエンス概論
（なお現在、データサイエンス概論は選択科目であるが、学生ハンドブックに記載することで、全員が履修するように指導している）
（令和4年実績：全員履修/修得、令和5年実績：全員履修/修得予定）</t>
    <rPh sb="143" eb="145">
      <t>レイワ</t>
    </rPh>
    <rPh sb="158" eb="160">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</si>
</sst>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3"/>
      <charset val="128"/>
      <scheme val="minor"/>
    </font>
    <font>
      <sz val="14"/>
      <color theme="1"/>
      <name val="ＭＳ Ｐゴシック"/>
      <family val="3"/>
      <charset val="128"/>
      <scheme val="minor"/>
    </font>
    <font>
      <sz val="11"/>
      <color theme="1"/>
      <name val="ＭＳ Ｐゴシック"/>
      <family val="2"/>
      <charset val="128"/>
      <scheme val="minor"/>
    </font>
    <font>
      <sz val="12"/>
      <name val="ＭＳ Ｐゴシック"/>
      <family val="3"/>
      <charset val="128"/>
      <scheme val="minor"/>
    </font>
    <font>
      <sz val="14"/>
      <name val="ＭＳ Ｐゴシック"/>
      <family val="3"/>
      <charset val="128"/>
      <scheme val="minor"/>
    </font>
    <font>
      <sz val="11"/>
      <name val="ＭＳ Ｐゴシック"/>
      <family val="3"/>
      <charset val="128"/>
      <scheme val="minor"/>
    </font>
    <font>
      <sz val="9"/>
      <name val="ＭＳ Ｐゴシック"/>
      <family val="3"/>
      <charset val="128"/>
      <scheme val="minor"/>
    </font>
    <font>
      <sz val="10"/>
      <name val="ＭＳ Ｐゴシック"/>
      <family val="3"/>
      <charset val="128"/>
      <scheme val="minor"/>
    </font>
    <font>
      <sz val="12"/>
      <name val="ＭＳ Ｐゴシック"/>
      <family val="3"/>
      <charset val="128"/>
    </font>
    <font>
      <sz val="7"/>
      <name val="ＭＳ Ｐゴシック"/>
      <family val="3"/>
      <charset val="128"/>
      <scheme val="minor"/>
    </font>
    <font>
      <sz val="6"/>
      <name val="ＭＳ Ｐゴシック"/>
      <family val="3"/>
      <charset val="128"/>
      <scheme val="minor"/>
    </font>
    <font>
      <sz val="10"/>
      <color theme="1"/>
      <name val="ＭＳ Ｐゴシック"/>
      <family val="3"/>
      <charset val="128"/>
      <scheme val="minor"/>
    </font>
    <font>
      <b/>
      <sz val="11"/>
      <name val="ＭＳ Ｐゴシック"/>
      <family val="3"/>
      <charset val="128"/>
      <scheme val="minor"/>
    </font>
    <font>
      <sz val="11"/>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hair">
        <color auto="1"/>
      </bottom>
      <diagonal/>
    </border>
    <border>
      <left style="thin">
        <color auto="1"/>
      </left>
      <right style="dotted">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style="thin">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hair">
        <color auto="1"/>
      </bottom>
      <diagonal/>
    </border>
    <border>
      <left/>
      <right/>
      <top/>
      <bottom style="hair">
        <color auto="1"/>
      </bottom>
      <diagonal/>
    </border>
    <border>
      <left style="thin">
        <color auto="1"/>
      </left>
      <right/>
      <top/>
      <bottom style="hair">
        <color auto="1"/>
      </bottom>
      <diagonal/>
    </border>
    <border>
      <left style="hair">
        <color auto="1"/>
      </left>
      <right/>
      <top style="hair">
        <color auto="1"/>
      </top>
      <bottom style="thin">
        <color indexed="64"/>
      </bottom>
      <diagonal/>
    </border>
    <border>
      <left style="hair">
        <color auto="1"/>
      </left>
      <right/>
      <top style="hair">
        <color auto="1"/>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9" fontId="6" fillId="0" borderId="0" applyFont="0" applyFill="0" applyBorder="0" applyAlignment="0" applyProtection="0">
      <alignment vertical="center"/>
    </xf>
  </cellStyleXfs>
  <cellXfs count="25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0" fontId="2" fillId="0" borderId="0" xfId="0" applyFont="1" applyAlignment="1">
      <alignment horizontal="left" vertical="center"/>
    </xf>
    <xf numFmtId="0" fontId="2" fillId="0" borderId="0" xfId="0" applyFont="1" applyAlignment="1">
      <alignment vertical="top"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28"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0" fontId="5" fillId="0" borderId="0" xfId="0" applyFont="1" applyAlignment="1">
      <alignment horizontal="center" vertical="center"/>
    </xf>
    <xf numFmtId="0" fontId="7" fillId="0" borderId="0" xfId="0" applyFont="1">
      <alignment vertical="center"/>
    </xf>
    <xf numFmtId="0" fontId="7" fillId="0" borderId="0" xfId="0" applyFont="1" applyAlignment="1">
      <alignment horizontal="center" vertical="center"/>
    </xf>
    <xf numFmtId="0" fontId="7" fillId="0" borderId="0" xfId="0" applyFont="1" applyAlignment="1">
      <alignment vertical="center" shrinkToFit="1"/>
    </xf>
    <xf numFmtId="0" fontId="7" fillId="0" borderId="0" xfId="0" applyFont="1" applyAlignment="1">
      <alignment horizontal="center" vertical="center" shrinkToFit="1"/>
    </xf>
    <xf numFmtId="0" fontId="7" fillId="0" borderId="1" xfId="0" applyFont="1" applyBorder="1">
      <alignment vertical="center"/>
    </xf>
    <xf numFmtId="0" fontId="7" fillId="0" borderId="0" xfId="0" applyFont="1" applyAlignment="1">
      <alignment horizontal="left" vertical="center"/>
    </xf>
    <xf numFmtId="0" fontId="7" fillId="0" borderId="0" xfId="0" applyFont="1" applyAlignment="1">
      <alignment horizontal="right" vertical="center"/>
    </xf>
    <xf numFmtId="0" fontId="3" fillId="0" borderId="0" xfId="0" applyFont="1" applyAlignment="1">
      <alignment vertical="top" wrapText="1"/>
    </xf>
    <xf numFmtId="0" fontId="2" fillId="0" borderId="1" xfId="0" applyFont="1" applyBorder="1" applyAlignment="1">
      <alignment horizontal="center" vertical="center" shrinkToFit="1"/>
    </xf>
    <xf numFmtId="0" fontId="3" fillId="2" borderId="11" xfId="0" applyFont="1" applyFill="1" applyBorder="1" applyAlignment="1">
      <alignment vertical="top" wrapText="1"/>
    </xf>
    <xf numFmtId="0" fontId="3" fillId="2" borderId="5" xfId="0" applyFont="1" applyFill="1" applyBorder="1" applyAlignment="1">
      <alignment vertical="top" wrapText="1"/>
    </xf>
    <xf numFmtId="0" fontId="3" fillId="2" borderId="44" xfId="0" applyFont="1" applyFill="1" applyBorder="1" applyAlignment="1">
      <alignment vertical="top" shrinkToFit="1"/>
    </xf>
    <xf numFmtId="0" fontId="3" fillId="2" borderId="45" xfId="0" applyFont="1" applyFill="1" applyBorder="1" applyAlignment="1">
      <alignment vertical="top" shrinkToFit="1"/>
    </xf>
    <xf numFmtId="0" fontId="3" fillId="2" borderId="44" xfId="0" applyFont="1" applyFill="1" applyBorder="1" applyAlignment="1">
      <alignment vertical="top" wrapText="1"/>
    </xf>
    <xf numFmtId="0" fontId="3" fillId="2" borderId="45" xfId="0" applyFont="1" applyFill="1" applyBorder="1" applyAlignment="1">
      <alignment vertical="top" wrapText="1"/>
    </xf>
    <xf numFmtId="0" fontId="2" fillId="2" borderId="5" xfId="0" applyFont="1" applyFill="1" applyBorder="1">
      <alignment vertical="center"/>
    </xf>
    <xf numFmtId="0" fontId="3" fillId="2" borderId="10" xfId="0" applyFont="1" applyFill="1" applyBorder="1" applyAlignment="1">
      <alignment vertical="top" wrapText="1"/>
    </xf>
    <xf numFmtId="0" fontId="2" fillId="2" borderId="0" xfId="0" applyFont="1" applyFill="1">
      <alignment vertical="center"/>
    </xf>
    <xf numFmtId="0" fontId="3" fillId="2" borderId="0" xfId="0" applyFont="1" applyFill="1" applyAlignment="1">
      <alignment vertical="top" wrapText="1"/>
    </xf>
    <xf numFmtId="0" fontId="7" fillId="0" borderId="1" xfId="0" applyFont="1" applyBorder="1" applyAlignment="1">
      <alignment horizontal="center" vertical="center" shrinkToFit="1"/>
    </xf>
    <xf numFmtId="0" fontId="9" fillId="0" borderId="0" xfId="0" applyFont="1">
      <alignment vertical="center"/>
    </xf>
    <xf numFmtId="0" fontId="7" fillId="0" borderId="1" xfId="0" applyFont="1" applyBorder="1" applyAlignment="1">
      <alignment horizontal="center" vertical="center"/>
    </xf>
    <xf numFmtId="0" fontId="7" fillId="0" borderId="0" xfId="0" applyFont="1" applyAlignment="1">
      <alignment horizontal="left" vertical="center" shrinkToFit="1"/>
    </xf>
    <xf numFmtId="0" fontId="9" fillId="0" borderId="0" xfId="0" applyFont="1" applyAlignment="1">
      <alignment horizontal="center" vertical="center"/>
    </xf>
    <xf numFmtId="0" fontId="7" fillId="0" borderId="0" xfId="0" applyFont="1" applyAlignment="1">
      <alignment vertical="center" wrapText="1"/>
    </xf>
    <xf numFmtId="0" fontId="7" fillId="0" borderId="0" xfId="0" applyFont="1" applyAlignment="1">
      <alignment vertical="top" wrapText="1"/>
    </xf>
    <xf numFmtId="0" fontId="13" fillId="0" borderId="25" xfId="0" applyFont="1" applyBorder="1" applyAlignment="1">
      <alignment horizontal="center" vertical="center"/>
    </xf>
    <xf numFmtId="0" fontId="13" fillId="0" borderId="28" xfId="0" applyFont="1" applyBorder="1" applyAlignment="1">
      <alignment horizontal="center" vertical="center"/>
    </xf>
    <xf numFmtId="0" fontId="7" fillId="0" borderId="14" xfId="0" applyFont="1" applyBorder="1" applyAlignment="1">
      <alignment horizontal="left" vertical="center" shrinkToFit="1"/>
    </xf>
    <xf numFmtId="38" fontId="7" fillId="0" borderId="36" xfId="1" applyFont="1" applyBorder="1" applyAlignment="1">
      <alignment vertical="center" shrinkToFit="1"/>
    </xf>
    <xf numFmtId="38" fontId="7" fillId="0" borderId="0" xfId="1" applyFont="1" applyAlignment="1">
      <alignment vertical="center" shrinkToFit="1"/>
    </xf>
    <xf numFmtId="38" fontId="7" fillId="0" borderId="5" xfId="1" applyFont="1" applyBorder="1" applyAlignment="1">
      <alignment vertical="center" shrinkToFit="1"/>
    </xf>
    <xf numFmtId="38" fontId="7" fillId="0" borderId="37" xfId="1" applyFont="1" applyBorder="1" applyAlignment="1">
      <alignment vertical="center" shrinkToFit="1"/>
    </xf>
    <xf numFmtId="9" fontId="7" fillId="0" borderId="13" xfId="0" applyNumberFormat="1" applyFont="1" applyBorder="1" applyAlignment="1">
      <alignment vertical="center" shrinkToFit="1"/>
    </xf>
    <xf numFmtId="0" fontId="7" fillId="0" borderId="18" xfId="0" applyFont="1" applyBorder="1" applyAlignment="1">
      <alignment horizontal="left" vertical="center" shrinkToFit="1"/>
    </xf>
    <xf numFmtId="38" fontId="7" fillId="0" borderId="18" xfId="1" applyFont="1" applyBorder="1" applyAlignment="1">
      <alignment vertical="center" shrinkToFit="1"/>
    </xf>
    <xf numFmtId="38" fontId="7" fillId="0" borderId="17" xfId="1" applyFont="1" applyBorder="1" applyAlignment="1">
      <alignment vertical="center" shrinkToFit="1"/>
    </xf>
    <xf numFmtId="38" fontId="7" fillId="0" borderId="16" xfId="1" applyFont="1" applyBorder="1" applyAlignment="1">
      <alignment vertical="center" shrinkToFit="1"/>
    </xf>
    <xf numFmtId="38" fontId="7" fillId="0" borderId="38" xfId="1" applyFont="1" applyBorder="1" applyAlignment="1">
      <alignment vertical="center" shrinkToFit="1"/>
    </xf>
    <xf numFmtId="9" fontId="7" fillId="0" borderId="37" xfId="0" applyNumberFormat="1" applyFont="1" applyBorder="1" applyAlignment="1">
      <alignment vertical="center" shrinkToFit="1"/>
    </xf>
    <xf numFmtId="9" fontId="7" fillId="0" borderId="18" xfId="0" applyNumberFormat="1" applyFont="1" applyBorder="1" applyAlignment="1">
      <alignment vertical="center" shrinkToFit="1"/>
    </xf>
    <xf numFmtId="38" fontId="7" fillId="0" borderId="15" xfId="1" applyFont="1" applyBorder="1" applyAlignment="1">
      <alignment vertical="center" shrinkToFit="1"/>
    </xf>
    <xf numFmtId="0" fontId="7" fillId="0" borderId="39" xfId="0" applyFont="1" applyBorder="1" applyAlignment="1">
      <alignment horizontal="left" vertical="center" shrinkToFit="1"/>
    </xf>
    <xf numFmtId="38" fontId="7" fillId="0" borderId="10" xfId="1" applyFont="1" applyBorder="1" applyAlignment="1">
      <alignment vertical="center" shrinkToFit="1"/>
    </xf>
    <xf numFmtId="9" fontId="7" fillId="0" borderId="10" xfId="0" applyNumberFormat="1" applyFont="1" applyBorder="1" applyAlignment="1">
      <alignment vertical="center" shrinkToFit="1"/>
    </xf>
    <xf numFmtId="0" fontId="7" fillId="0" borderId="40" xfId="0" applyFont="1" applyBorder="1" applyAlignment="1">
      <alignment horizontal="center" vertical="center" shrinkToFit="1"/>
    </xf>
    <xf numFmtId="38" fontId="7" fillId="0" borderId="40" xfId="1" applyFont="1" applyBorder="1" applyAlignment="1">
      <alignment vertical="center" shrinkToFit="1"/>
    </xf>
    <xf numFmtId="38" fontId="7" fillId="0" borderId="41" xfId="1" applyFont="1" applyBorder="1" applyAlignment="1">
      <alignment vertical="center" shrinkToFit="1"/>
    </xf>
    <xf numFmtId="38" fontId="7" fillId="0" borderId="42" xfId="1" applyFont="1" applyBorder="1" applyAlignment="1">
      <alignment vertical="center" shrinkToFit="1"/>
    </xf>
    <xf numFmtId="9" fontId="7" fillId="0" borderId="43" xfId="0" applyNumberFormat="1" applyFont="1" applyBorder="1" applyAlignment="1">
      <alignment vertical="center" shrinkToFit="1"/>
    </xf>
    <xf numFmtId="0" fontId="10" fillId="0" borderId="0" xfId="0" applyFont="1">
      <alignment vertical="center"/>
    </xf>
    <xf numFmtId="0" fontId="9" fillId="0" borderId="0" xfId="0" applyFont="1" applyAlignment="1">
      <alignment horizontal="left" vertical="center"/>
    </xf>
    <xf numFmtId="0" fontId="7" fillId="0" borderId="0" xfId="0" applyFont="1" applyAlignment="1">
      <alignment vertical="top" wrapText="1" shrinkToFit="1"/>
    </xf>
    <xf numFmtId="0" fontId="7" fillId="0" borderId="0" xfId="0" applyFont="1" applyAlignment="1">
      <alignment vertical="top" shrinkToFit="1"/>
    </xf>
    <xf numFmtId="0" fontId="10" fillId="0" borderId="0" xfId="0" applyFont="1" applyAlignment="1">
      <alignment vertical="top" wrapText="1"/>
    </xf>
    <xf numFmtId="0" fontId="7" fillId="0" borderId="1" xfId="0" applyFont="1" applyBorder="1" applyAlignment="1">
      <alignment horizontal="center" vertical="center" wrapText="1" shrinkToFit="1"/>
    </xf>
    <xf numFmtId="9" fontId="7" fillId="0" borderId="1" xfId="0" applyNumberFormat="1" applyFont="1" applyBorder="1" applyAlignment="1">
      <alignment horizontal="center" vertical="center" shrinkToFit="1"/>
    </xf>
    <xf numFmtId="9" fontId="7" fillId="0" borderId="0" xfId="2" applyFont="1" applyAlignment="1">
      <alignment horizontal="center" vertical="center"/>
    </xf>
    <xf numFmtId="176" fontId="7" fillId="0" borderId="1" xfId="0" applyNumberFormat="1" applyFont="1" applyBorder="1" applyAlignment="1">
      <alignment horizontal="center" vertical="center" shrinkToFit="1"/>
    </xf>
    <xf numFmtId="0" fontId="10" fillId="0" borderId="0" xfId="0" applyFont="1" applyAlignment="1">
      <alignment vertical="top" shrinkToFit="1"/>
    </xf>
    <xf numFmtId="0" fontId="7" fillId="0" borderId="1" xfId="0" applyFont="1" applyBorder="1" applyAlignment="1">
      <alignment horizontal="right" vertical="center"/>
    </xf>
    <xf numFmtId="49" fontId="3" fillId="0" borderId="33" xfId="0" applyNumberFormat="1" applyFont="1" applyBorder="1" applyAlignment="1">
      <alignment horizontal="center" vertical="center"/>
    </xf>
    <xf numFmtId="49" fontId="3" fillId="0" borderId="3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19" xfId="0" applyNumberFormat="1" applyFont="1" applyBorder="1" applyAlignment="1">
      <alignment horizontal="center" vertical="center"/>
    </xf>
    <xf numFmtId="49" fontId="3" fillId="0" borderId="32" xfId="0" applyNumberFormat="1" applyFont="1" applyBorder="1" applyAlignment="1">
      <alignment horizontal="center" vertical="center"/>
    </xf>
    <xf numFmtId="49" fontId="3" fillId="0" borderId="21" xfId="0" applyNumberFormat="1" applyFont="1" applyBorder="1" applyAlignment="1">
      <alignment horizontal="center" vertical="center"/>
    </xf>
    <xf numFmtId="0" fontId="17" fillId="0" borderId="0" xfId="0" applyFont="1" applyAlignment="1">
      <alignment vertical="center" wrapText="1"/>
    </xf>
    <xf numFmtId="0" fontId="17" fillId="0" borderId="0" xfId="0" applyFont="1">
      <alignment vertical="center"/>
    </xf>
    <xf numFmtId="49" fontId="17" fillId="0" borderId="0" xfId="0" applyNumberFormat="1" applyFont="1" applyAlignment="1">
      <alignment vertical="center" shrinkToFit="1"/>
    </xf>
    <xf numFmtId="0" fontId="7" fillId="0" borderId="0" xfId="0" applyFont="1" applyAlignment="1">
      <alignment horizontal="righ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0" fontId="8" fillId="0" borderId="0" xfId="0" applyFont="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11" xfId="0" applyFont="1" applyBorder="1" applyAlignment="1">
      <alignment horizontal="left" vertical="center" wrapText="1"/>
    </xf>
    <xf numFmtId="0" fontId="7" fillId="0" borderId="6" xfId="0" applyFont="1" applyBorder="1" applyAlignment="1">
      <alignment horizontal="left" vertical="center" wrapText="1"/>
    </xf>
    <xf numFmtId="0" fontId="7" fillId="0" borderId="12" xfId="0" applyFont="1" applyBorder="1" applyAlignment="1">
      <alignment horizontal="left" vertical="center" wrapText="1"/>
    </xf>
    <xf numFmtId="0" fontId="2" fillId="0" borderId="16" xfId="0" applyFont="1" applyBorder="1" applyAlignment="1">
      <alignment vertical="center" shrinkToFit="1"/>
    </xf>
    <xf numFmtId="0" fontId="2" fillId="0" borderId="17" xfId="0" applyFont="1" applyBorder="1" applyAlignment="1">
      <alignment vertical="center" shrinkToFit="1"/>
    </xf>
    <xf numFmtId="0" fontId="2" fillId="0" borderId="15" xfId="0" applyFont="1" applyBorder="1" applyAlignment="1">
      <alignment vertical="center" shrinkToFit="1"/>
    </xf>
    <xf numFmtId="0" fontId="7" fillId="0" borderId="7" xfId="0" applyFont="1" applyBorder="1" applyAlignment="1">
      <alignment horizontal="left" vertical="top" wrapText="1" shrinkToFit="1"/>
    </xf>
    <xf numFmtId="0" fontId="7" fillId="0" borderId="8" xfId="0" applyFont="1" applyBorder="1" applyAlignment="1">
      <alignment horizontal="left" vertical="top" wrapText="1" shrinkToFit="1"/>
    </xf>
    <xf numFmtId="0" fontId="7" fillId="0" borderId="9" xfId="0" applyFont="1" applyBorder="1" applyAlignment="1">
      <alignment horizontal="left" vertical="top" wrapText="1" shrinkToFit="1"/>
    </xf>
    <xf numFmtId="0" fontId="7" fillId="0" borderId="5" xfId="0" applyFont="1" applyBorder="1" applyAlignment="1">
      <alignment horizontal="left" vertical="top" wrapText="1" shrinkToFit="1"/>
    </xf>
    <xf numFmtId="0" fontId="7" fillId="0" borderId="0" xfId="0" applyFont="1" applyAlignment="1">
      <alignment horizontal="left" vertical="top" wrapText="1" shrinkToFit="1"/>
    </xf>
    <xf numFmtId="0" fontId="7" fillId="0" borderId="10" xfId="0" applyFont="1" applyBorder="1" applyAlignment="1">
      <alignment horizontal="left" vertical="top" wrapText="1" shrinkToFit="1"/>
    </xf>
    <xf numFmtId="0" fontId="7" fillId="0" borderId="11" xfId="0" applyFont="1" applyBorder="1" applyAlignment="1">
      <alignment horizontal="left" vertical="top" wrapText="1" shrinkToFit="1"/>
    </xf>
    <xf numFmtId="0" fontId="7" fillId="0" borderId="6" xfId="0" applyFont="1" applyBorder="1" applyAlignment="1">
      <alignment horizontal="left" vertical="top" wrapText="1" shrinkToFit="1"/>
    </xf>
    <xf numFmtId="0" fontId="7" fillId="0" borderId="12" xfId="0" applyFont="1" applyBorder="1" applyAlignment="1">
      <alignment horizontal="left" vertical="top" wrapText="1"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7"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2" xfId="0" applyFont="1" applyBorder="1" applyAlignment="1">
      <alignment vertical="center" shrinkToFit="1"/>
    </xf>
    <xf numFmtId="0" fontId="2" fillId="0" borderId="24" xfId="0" applyFont="1" applyBorder="1" applyAlignment="1">
      <alignment vertical="center" shrinkToFit="1"/>
    </xf>
    <xf numFmtId="0" fontId="2" fillId="0" borderId="23" xfId="0" applyFont="1" applyBorder="1" applyAlignment="1">
      <alignment vertical="center" shrinkToFit="1"/>
    </xf>
    <xf numFmtId="0" fontId="2" fillId="0" borderId="0" xfId="0" applyFont="1" applyAlignment="1">
      <alignment vertical="center" wrapText="1"/>
    </xf>
    <xf numFmtId="0" fontId="2" fillId="0" borderId="25" xfId="0" applyFont="1" applyBorder="1" applyAlignment="1">
      <alignment vertical="center" shrinkToFit="1"/>
    </xf>
    <xf numFmtId="0" fontId="2" fillId="0" borderId="26" xfId="0" applyFont="1" applyBorder="1" applyAlignment="1">
      <alignment vertical="center" shrinkToFit="1"/>
    </xf>
    <xf numFmtId="0" fontId="2" fillId="0" borderId="27"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6"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15"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2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25" xfId="0" applyFont="1" applyBorder="1" applyAlignment="1">
      <alignment horizontal="center" vertical="center" shrinkToFit="1"/>
    </xf>
    <xf numFmtId="0" fontId="2" fillId="0" borderId="26" xfId="0" applyFont="1" applyBorder="1" applyAlignment="1">
      <alignment horizontal="center" vertical="center" shrinkToFit="1"/>
    </xf>
    <xf numFmtId="0" fontId="2" fillId="0" borderId="27" xfId="0" applyFont="1" applyBorder="1" applyAlignment="1">
      <alignment horizontal="center" vertical="center"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3" fillId="0" borderId="30" xfId="0" applyFont="1" applyBorder="1" applyAlignment="1">
      <alignment vertical="center" wrapText="1"/>
    </xf>
    <xf numFmtId="0" fontId="3" fillId="0" borderId="31" xfId="0" applyFont="1" applyBorder="1" applyAlignment="1">
      <alignment vertical="center" wrapText="1"/>
    </xf>
    <xf numFmtId="49" fontId="3" fillId="0" borderId="22" xfId="0" applyNumberFormat="1" applyFont="1" applyBorder="1" applyAlignment="1">
      <alignment horizontal="left" vertical="center" wrapText="1"/>
    </xf>
    <xf numFmtId="49" fontId="3" fillId="0" borderId="24" xfId="0" applyNumberFormat="1" applyFont="1" applyBorder="1" applyAlignment="1">
      <alignment horizontal="left" vertical="center"/>
    </xf>
    <xf numFmtId="49" fontId="3" fillId="0" borderId="23" xfId="0" applyNumberFormat="1" applyFont="1" applyBorder="1" applyAlignment="1">
      <alignment horizontal="left" vertical="center"/>
    </xf>
    <xf numFmtId="49" fontId="3" fillId="0" borderId="25" xfId="0" applyNumberFormat="1" applyFont="1" applyBorder="1" applyAlignment="1">
      <alignment horizontal="left" vertical="center" wrapText="1"/>
    </xf>
    <xf numFmtId="49" fontId="3" fillId="0" borderId="26" xfId="0" applyNumberFormat="1" applyFont="1" applyBorder="1" applyAlignment="1">
      <alignment horizontal="left" vertical="center"/>
    </xf>
    <xf numFmtId="49" fontId="3" fillId="0" borderId="27" xfId="0" applyNumberFormat="1" applyFont="1" applyBorder="1" applyAlignment="1">
      <alignment horizontal="left" vertical="center"/>
    </xf>
    <xf numFmtId="0" fontId="3" fillId="0" borderId="20" xfId="0" applyFont="1" applyBorder="1" applyAlignment="1">
      <alignment vertical="center" wrapText="1"/>
    </xf>
    <xf numFmtId="0" fontId="9" fillId="0" borderId="6" xfId="0" applyFont="1" applyBorder="1" applyAlignment="1">
      <alignment horizontal="left" vertical="center" wrapText="1"/>
    </xf>
    <xf numFmtId="0" fontId="9" fillId="0" borderId="1" xfId="0" applyFont="1" applyBorder="1" applyAlignment="1">
      <alignment horizontal="center" vertical="center"/>
    </xf>
    <xf numFmtId="0" fontId="10" fillId="0" borderId="1" xfId="0" applyFont="1" applyBorder="1" applyAlignment="1">
      <alignment vertical="center" wrapText="1"/>
    </xf>
    <xf numFmtId="49" fontId="3" fillId="0" borderId="16" xfId="0" applyNumberFormat="1" applyFont="1" applyBorder="1" applyAlignment="1">
      <alignment horizontal="left" vertical="center" wrapText="1"/>
    </xf>
    <xf numFmtId="49" fontId="3" fillId="0" borderId="17" xfId="0" applyNumberFormat="1" applyFont="1" applyBorder="1" applyAlignment="1">
      <alignment horizontal="left" vertical="center"/>
    </xf>
    <xf numFmtId="49" fontId="3" fillId="0" borderId="15"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9" fillId="0" borderId="0" xfId="0" applyFont="1" applyAlignment="1">
      <alignment horizontal="left" vertical="center" wrapText="1"/>
    </xf>
    <xf numFmtId="0" fontId="7" fillId="0" borderId="1" xfId="0" applyFont="1" applyBorder="1" applyAlignment="1">
      <alignment horizontal="center" vertical="center" shrinkToFit="1"/>
    </xf>
    <xf numFmtId="0" fontId="7" fillId="0" borderId="35" xfId="0" applyFont="1" applyBorder="1" applyAlignment="1">
      <alignment horizontal="center" vertical="center"/>
    </xf>
    <xf numFmtId="0" fontId="7" fillId="0" borderId="13" xfId="0" applyFont="1" applyBorder="1" applyAlignment="1">
      <alignment horizontal="center" vertical="center"/>
    </xf>
    <xf numFmtId="0" fontId="11" fillId="0" borderId="35"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11" xfId="0" applyFont="1" applyBorder="1" applyAlignment="1">
      <alignment horizontal="center" vertical="center" wrapText="1"/>
    </xf>
    <xf numFmtId="0" fontId="7" fillId="0" borderId="14" xfId="0" applyFont="1" applyBorder="1" applyAlignment="1">
      <alignment horizontal="center" vertical="center"/>
    </xf>
    <xf numFmtId="0" fontId="13" fillId="0" borderId="9" xfId="0" applyFont="1" applyBorder="1" applyAlignment="1">
      <alignment horizontal="center" vertical="center" wrapText="1"/>
    </xf>
    <xf numFmtId="0" fontId="13" fillId="0" borderId="12" xfId="0" applyFont="1" applyBorder="1" applyAlignment="1">
      <alignment horizontal="center" vertical="center" wrapText="1"/>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7" fillId="0" borderId="0" xfId="0" applyFont="1" applyAlignment="1">
      <alignment horizontal="left" vertical="center" wrapTex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4" xfId="0" applyFont="1" applyBorder="1" applyAlignment="1">
      <alignment vertical="center"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shrinkToFit="1"/>
    </xf>
    <xf numFmtId="0" fontId="7" fillId="0" borderId="5" xfId="0" applyFont="1" applyBorder="1" applyAlignment="1">
      <alignment vertical="top" wrapText="1" shrinkToFit="1"/>
    </xf>
    <xf numFmtId="0" fontId="7" fillId="0" borderId="0" xfId="0" applyFont="1" applyAlignment="1">
      <alignment vertical="top" wrapText="1" shrinkToFit="1"/>
    </xf>
    <xf numFmtId="0" fontId="7" fillId="0" borderId="10"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7" fillId="0" borderId="2" xfId="0" applyFont="1" applyBorder="1" applyAlignment="1">
      <alignment horizontal="left" vertical="center"/>
    </xf>
    <xf numFmtId="0" fontId="9" fillId="0" borderId="3" xfId="0" applyFont="1" applyBorder="1">
      <alignment vertical="center"/>
    </xf>
    <xf numFmtId="0" fontId="9" fillId="0" borderId="4" xfId="0" applyFont="1" applyBorder="1">
      <alignment vertical="center"/>
    </xf>
    <xf numFmtId="9" fontId="7" fillId="0" borderId="1" xfId="0" applyNumberFormat="1" applyFont="1" applyBorder="1" applyAlignment="1">
      <alignment horizontal="center" vertical="center" shrinkToFi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9" xfId="0" applyFont="1" applyBorder="1" applyAlignment="1">
      <alignment vertical="top" wrapText="1"/>
    </xf>
    <xf numFmtId="0" fontId="7" fillId="0" borderId="5" xfId="0" applyFont="1" applyBorder="1" applyAlignment="1">
      <alignment vertical="top" wrapText="1"/>
    </xf>
    <xf numFmtId="0" fontId="7" fillId="0" borderId="0" xfId="0" applyFont="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7" fillId="0" borderId="6" xfId="0" applyFont="1" applyBorder="1" applyAlignment="1">
      <alignment vertical="top" wrapText="1"/>
    </xf>
    <xf numFmtId="0" fontId="7" fillId="0" borderId="12" xfId="0" applyFont="1" applyBorder="1" applyAlignment="1">
      <alignment vertical="top" wrapText="1"/>
    </xf>
    <xf numFmtId="0" fontId="7" fillId="0" borderId="9" xfId="0" applyFont="1" applyBorder="1" applyAlignment="1">
      <alignment vertical="top"/>
    </xf>
    <xf numFmtId="0" fontId="7" fillId="0" borderId="5" xfId="0" applyFont="1" applyBorder="1" applyAlignment="1">
      <alignment vertical="top"/>
    </xf>
    <xf numFmtId="0" fontId="7" fillId="0" borderId="0" xfId="0" applyFont="1" applyAlignment="1">
      <alignment vertical="top"/>
    </xf>
    <xf numFmtId="0" fontId="7" fillId="0" borderId="10" xfId="0" applyFont="1" applyBorder="1" applyAlignment="1">
      <alignment vertical="top"/>
    </xf>
    <xf numFmtId="0" fontId="7" fillId="0" borderId="11" xfId="0" applyFont="1" applyBorder="1" applyAlignment="1">
      <alignment vertical="top"/>
    </xf>
    <xf numFmtId="0" fontId="7" fillId="0" borderId="6" xfId="0" applyFont="1" applyBorder="1" applyAlignment="1">
      <alignment vertical="top"/>
    </xf>
    <xf numFmtId="0" fontId="7" fillId="0" borderId="12" xfId="0" applyFont="1" applyBorder="1" applyAlignment="1">
      <alignment vertical="top"/>
    </xf>
    <xf numFmtId="9" fontId="7" fillId="0" borderId="1" xfId="0" applyNumberFormat="1" applyFont="1" applyBorder="1" applyAlignment="1">
      <alignment horizontal="center" vertical="center" wrapText="1" shrinkToFit="1"/>
    </xf>
    <xf numFmtId="0" fontId="7" fillId="0" borderId="0" xfId="0" applyFont="1" applyAlignment="1">
      <alignment horizontal="center" vertical="center"/>
    </xf>
    <xf numFmtId="0" fontId="7" fillId="0" borderId="0" xfId="0" applyFont="1">
      <alignment vertical="center"/>
    </xf>
    <xf numFmtId="0" fontId="7" fillId="2" borderId="5" xfId="0" applyFont="1" applyFill="1" applyBorder="1" applyAlignment="1">
      <alignment horizontal="center" vertical="center" shrinkToFit="1"/>
    </xf>
    <xf numFmtId="0" fontId="7" fillId="2" borderId="0" xfId="0" applyFont="1" applyFill="1" applyAlignment="1">
      <alignment horizontal="center" vertical="center" shrinkToFit="1"/>
    </xf>
    <xf numFmtId="0" fontId="7" fillId="2" borderId="10" xfId="0" applyFont="1" applyFill="1" applyBorder="1" applyAlignment="1">
      <alignment horizontal="center" vertical="center" shrinkToFi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6" xfId="0" applyFont="1" applyBorder="1" applyAlignment="1">
      <alignment horizontal="left" vertical="top" wrapText="1"/>
    </xf>
    <xf numFmtId="0" fontId="7" fillId="0" borderId="12" xfId="0" applyFont="1" applyBorder="1" applyAlignment="1">
      <alignment horizontal="left" vertical="top" wrapText="1"/>
    </xf>
    <xf numFmtId="0" fontId="7" fillId="0" borderId="11" xfId="0" applyFont="1" applyBorder="1" applyAlignment="1">
      <alignment vertical="center" wrapText="1"/>
    </xf>
    <xf numFmtId="0" fontId="7" fillId="0" borderId="6" xfId="0" applyFont="1" applyBorder="1" applyAlignment="1">
      <alignment vertical="center" wrapText="1"/>
    </xf>
    <xf numFmtId="0" fontId="7"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8" xfId="0" applyFont="1" applyBorder="1" applyAlignment="1">
      <alignment vertical="center" wrapText="1"/>
    </xf>
    <xf numFmtId="0" fontId="2" fillId="0" borderId="15" xfId="0" applyFont="1" applyBorder="1" applyAlignment="1">
      <alignment vertical="center" wrapText="1"/>
    </xf>
    <xf numFmtId="0" fontId="2" fillId="0" borderId="17" xfId="0" applyFont="1" applyBorder="1" applyAlignment="1">
      <alignment vertical="top" wrapText="1" shrinkToFit="1"/>
    </xf>
    <xf numFmtId="0" fontId="2" fillId="0" borderId="15" xfId="0" applyFont="1" applyBorder="1" applyAlignment="1">
      <alignment vertical="top" wrapText="1" shrinkToFit="1"/>
    </xf>
    <xf numFmtId="0" fontId="2" fillId="0" borderId="47" xfId="0" applyFont="1" applyBorder="1" applyAlignment="1">
      <alignment vertical="center" wrapText="1"/>
    </xf>
    <xf numFmtId="0" fontId="2" fillId="0" borderId="27" xfId="0" applyFont="1" applyBorder="1" applyAlignment="1">
      <alignment vertical="center" wrapText="1"/>
    </xf>
    <xf numFmtId="0" fontId="2" fillId="0" borderId="26" xfId="0" applyFont="1" applyBorder="1" applyAlignment="1">
      <alignment vertical="top" wrapText="1" shrinkToFit="1"/>
    </xf>
    <xf numFmtId="0" fontId="2" fillId="0" borderId="27" xfId="0" applyFont="1" applyBorder="1" applyAlignment="1">
      <alignment vertical="top" wrapText="1" shrinkToFit="1"/>
    </xf>
    <xf numFmtId="0" fontId="2" fillId="0" borderId="46" xfId="0" applyFont="1" applyBorder="1" applyAlignment="1">
      <alignment vertical="center" wrapText="1"/>
    </xf>
    <xf numFmtId="0" fontId="2" fillId="0" borderId="45" xfId="0" applyFont="1" applyBorder="1" applyAlignment="1">
      <alignment vertical="center" wrapText="1"/>
    </xf>
    <xf numFmtId="0" fontId="2" fillId="0" borderId="44" xfId="0" applyFont="1" applyBorder="1" applyAlignment="1">
      <alignment vertical="center" wrapText="1"/>
    </xf>
    <xf numFmtId="0" fontId="2" fillId="0" borderId="45" xfId="0" applyFont="1" applyBorder="1" applyAlignment="1">
      <alignment vertical="top" wrapText="1" shrinkToFit="1"/>
    </xf>
    <xf numFmtId="0" fontId="2" fillId="0" borderId="44" xfId="0" applyFont="1" applyBorder="1" applyAlignment="1">
      <alignment vertical="top" wrapText="1" shrinkToFit="1"/>
    </xf>
    <xf numFmtId="0" fontId="2" fillId="0" borderId="16" xfId="0" applyFont="1" applyBorder="1" applyAlignment="1">
      <alignment vertical="top" wrapText="1" shrinkToFit="1"/>
    </xf>
    <xf numFmtId="0" fontId="2" fillId="0" borderId="25" xfId="0" applyFont="1" applyBorder="1" applyAlignment="1">
      <alignment vertical="top" wrapText="1" shrinkToFit="1"/>
    </xf>
    <xf numFmtId="0" fontId="2" fillId="0" borderId="48" xfId="0" applyFont="1" applyBorder="1">
      <alignment vertical="center"/>
    </xf>
    <xf numFmtId="0" fontId="4" fillId="0" borderId="15" xfId="0" applyFont="1" applyBorder="1">
      <alignment vertical="center"/>
    </xf>
    <xf numFmtId="0" fontId="5" fillId="0" borderId="0" xfId="0" applyFont="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2" builtinId="5"/>
    <cellStyle name="桁区切り" xfId="1"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BCCA-7AB2-4E3F-A646-99A1E24E9AA0}">
  <sheetPr>
    <pageSetUpPr fitToPage="1"/>
  </sheetPr>
  <dimension ref="A1:AG114"/>
  <sheetViews>
    <sheetView showZeros="0" tabSelected="1" view="pageBreakPreview" zoomScaleNormal="100" zoomScaleSheetLayoutView="100" workbookViewId="0">
      <selection activeCell="G71" sqref="G71"/>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18"/>
      <c r="B1" s="18"/>
      <c r="C1" s="18"/>
      <c r="D1" s="18"/>
      <c r="E1" s="18"/>
      <c r="F1" s="18"/>
      <c r="G1" s="18"/>
      <c r="H1" s="18"/>
      <c r="I1" s="18"/>
      <c r="J1" s="18"/>
      <c r="K1" s="18"/>
      <c r="L1" s="18"/>
      <c r="M1" s="18"/>
      <c r="N1" s="18"/>
      <c r="O1" s="18"/>
      <c r="P1" s="18"/>
      <c r="Q1" s="18"/>
      <c r="R1" s="18"/>
      <c r="S1" s="18"/>
      <c r="T1" s="88" t="s">
        <v>158</v>
      </c>
      <c r="U1" s="88"/>
      <c r="V1" s="2" t="s">
        <v>0</v>
      </c>
    </row>
    <row r="2" spans="1:24" ht="18.75" customHeight="1" x14ac:dyDescent="0.2">
      <c r="A2" s="18"/>
      <c r="B2" s="39" t="s">
        <v>1</v>
      </c>
      <c r="C2" s="89" t="s">
        <v>2</v>
      </c>
      <c r="D2" s="90"/>
      <c r="E2" s="90"/>
      <c r="F2" s="90"/>
      <c r="G2" s="90"/>
      <c r="H2" s="90"/>
      <c r="I2" s="90"/>
      <c r="J2" s="91"/>
      <c r="K2" s="24"/>
      <c r="L2" s="20"/>
      <c r="M2" s="20"/>
      <c r="N2" s="20"/>
      <c r="O2" s="20"/>
      <c r="P2" s="20"/>
      <c r="Q2" s="20"/>
      <c r="R2" s="20"/>
      <c r="S2" s="20"/>
      <c r="T2" s="20"/>
      <c r="U2" s="20"/>
    </row>
    <row r="3" spans="1:24" ht="18.75" customHeight="1" x14ac:dyDescent="0.2">
      <c r="A3" s="18"/>
      <c r="B3" s="39" t="s">
        <v>3</v>
      </c>
      <c r="C3" s="92" t="s">
        <v>4</v>
      </c>
      <c r="D3" s="93"/>
      <c r="E3" s="93"/>
      <c r="F3" s="93"/>
      <c r="G3" s="93"/>
      <c r="H3" s="93"/>
      <c r="I3" s="93"/>
      <c r="J3" s="94"/>
      <c r="K3" s="24"/>
      <c r="L3" s="20"/>
      <c r="M3" s="20"/>
      <c r="N3" s="20"/>
      <c r="O3" s="20"/>
      <c r="P3" s="20"/>
      <c r="Q3" s="20"/>
      <c r="R3" s="20"/>
      <c r="S3" s="20"/>
      <c r="T3" s="20"/>
      <c r="U3" s="20"/>
    </row>
    <row r="4" spans="1:24" ht="15" customHeight="1" x14ac:dyDescent="0.2">
      <c r="A4" s="18"/>
      <c r="B4" s="18"/>
      <c r="C4" s="18"/>
      <c r="D4" s="18"/>
      <c r="E4" s="18"/>
      <c r="F4" s="18"/>
      <c r="G4" s="18"/>
      <c r="H4" s="18"/>
      <c r="I4" s="18"/>
      <c r="J4" s="18"/>
      <c r="K4" s="18"/>
      <c r="L4" s="24"/>
      <c r="M4" s="40"/>
      <c r="N4" s="40"/>
      <c r="O4" s="40"/>
      <c r="P4" s="40"/>
      <c r="Q4" s="40"/>
      <c r="R4" s="40"/>
      <c r="S4" s="40"/>
      <c r="T4" s="40"/>
      <c r="U4" s="40"/>
    </row>
    <row r="5" spans="1:24" ht="18" customHeight="1" x14ac:dyDescent="0.2">
      <c r="A5" s="95" t="s">
        <v>5</v>
      </c>
      <c r="B5" s="95"/>
      <c r="C5" s="95"/>
      <c r="D5" s="95"/>
      <c r="E5" s="95"/>
      <c r="F5" s="95"/>
      <c r="G5" s="95"/>
      <c r="H5" s="95"/>
      <c r="I5" s="95"/>
      <c r="J5" s="95"/>
      <c r="K5" s="95"/>
      <c r="L5" s="95"/>
      <c r="M5" s="95"/>
      <c r="N5" s="95"/>
      <c r="O5" s="95"/>
      <c r="P5" s="95"/>
      <c r="Q5" s="95"/>
      <c r="R5" s="95"/>
      <c r="S5" s="95"/>
      <c r="T5" s="95"/>
      <c r="U5" s="95"/>
    </row>
    <row r="6" spans="1:24" ht="15" customHeight="1" x14ac:dyDescent="0.2">
      <c r="A6" s="18"/>
      <c r="B6" s="19"/>
      <c r="C6" s="19"/>
      <c r="D6" s="19"/>
      <c r="E6" s="19"/>
      <c r="F6" s="19"/>
      <c r="G6" s="19"/>
      <c r="H6" s="19"/>
      <c r="I6" s="19"/>
      <c r="J6" s="19"/>
      <c r="K6" s="19"/>
      <c r="L6" s="19"/>
      <c r="M6" s="19"/>
      <c r="N6" s="19"/>
      <c r="O6" s="19"/>
      <c r="P6" s="19"/>
      <c r="Q6" s="19"/>
      <c r="R6" s="19"/>
      <c r="S6" s="19"/>
      <c r="T6" s="19"/>
      <c r="U6" s="19"/>
    </row>
    <row r="7" spans="1:24" ht="15" customHeight="1" x14ac:dyDescent="0.2">
      <c r="A7" s="18" t="s">
        <v>159</v>
      </c>
      <c r="B7" s="19"/>
      <c r="C7" s="19"/>
      <c r="D7" s="19"/>
      <c r="E7" s="19"/>
      <c r="F7" s="38"/>
      <c r="G7" s="38"/>
      <c r="H7" s="38"/>
      <c r="I7" s="38"/>
      <c r="J7" s="38"/>
      <c r="K7" s="38"/>
      <c r="L7" s="96" t="s">
        <v>6</v>
      </c>
      <c r="M7" s="97"/>
      <c r="N7" s="97"/>
      <c r="O7" s="97"/>
      <c r="P7" s="97"/>
      <c r="Q7" s="97"/>
      <c r="R7" s="97"/>
      <c r="S7" s="97"/>
      <c r="T7" s="97"/>
      <c r="U7" s="98"/>
    </row>
    <row r="8" spans="1:24" ht="6" customHeight="1" x14ac:dyDescent="0.2">
      <c r="A8" s="18"/>
      <c r="B8" s="19"/>
      <c r="C8" s="19"/>
      <c r="D8" s="19"/>
      <c r="E8" s="19"/>
      <c r="F8" s="19"/>
      <c r="G8" s="19"/>
      <c r="H8" s="19"/>
      <c r="I8" s="19"/>
      <c r="J8" s="19"/>
      <c r="K8" s="19"/>
      <c r="L8" s="19"/>
      <c r="M8" s="19"/>
      <c r="N8" s="19"/>
      <c r="O8" s="19"/>
      <c r="P8" s="19"/>
      <c r="Q8" s="19"/>
      <c r="R8" s="19"/>
      <c r="S8" s="19"/>
      <c r="T8" s="19"/>
      <c r="U8" s="19"/>
    </row>
    <row r="9" spans="1:24" ht="18" customHeight="1" x14ac:dyDescent="0.2">
      <c r="A9" s="18" t="s">
        <v>160</v>
      </c>
      <c r="B9" s="18"/>
      <c r="C9" s="19"/>
      <c r="D9" s="19"/>
      <c r="E9" s="18"/>
      <c r="F9" s="18"/>
      <c r="G9" s="18"/>
      <c r="H9" s="18"/>
      <c r="I9" s="18"/>
      <c r="J9" s="18"/>
      <c r="K9" s="24"/>
      <c r="L9" s="38"/>
      <c r="M9" s="38"/>
      <c r="N9" s="38"/>
      <c r="O9" s="38"/>
      <c r="P9" s="38"/>
      <c r="Q9" s="38"/>
      <c r="R9" s="38"/>
      <c r="S9" s="38"/>
      <c r="T9" s="38"/>
      <c r="U9" s="38"/>
    </row>
    <row r="10" spans="1:24" ht="6" customHeight="1" x14ac:dyDescent="0.2">
      <c r="A10" s="18"/>
      <c r="B10" s="19"/>
      <c r="C10" s="19"/>
      <c r="D10" s="19"/>
      <c r="E10" s="19"/>
      <c r="F10" s="19"/>
      <c r="G10" s="19"/>
      <c r="H10" s="19"/>
      <c r="I10" s="19"/>
      <c r="J10" s="19"/>
      <c r="K10" s="19"/>
      <c r="L10" s="23"/>
      <c r="M10" s="19"/>
      <c r="N10" s="19"/>
      <c r="O10" s="19"/>
      <c r="P10" s="19"/>
      <c r="Q10" s="19"/>
      <c r="R10" s="19"/>
      <c r="S10" s="19"/>
      <c r="T10" s="19"/>
      <c r="U10" s="19"/>
    </row>
    <row r="11" spans="1:24" ht="18" customHeight="1" x14ac:dyDescent="0.2">
      <c r="A11" s="18"/>
      <c r="B11" s="99" t="s">
        <v>7</v>
      </c>
      <c r="C11" s="100"/>
      <c r="D11" s="100"/>
      <c r="E11" s="100"/>
      <c r="F11" s="100"/>
      <c r="G11" s="100"/>
      <c r="H11" s="100"/>
      <c r="I11" s="100"/>
      <c r="J11" s="100"/>
      <c r="K11" s="100"/>
      <c r="L11" s="100"/>
      <c r="M11" s="100"/>
      <c r="N11" s="100"/>
      <c r="O11" s="100"/>
      <c r="P11" s="100"/>
      <c r="Q11" s="100"/>
      <c r="R11" s="100"/>
      <c r="S11" s="100"/>
      <c r="T11" s="100"/>
      <c r="U11" s="101"/>
    </row>
    <row r="12" spans="1:24" ht="18" customHeight="1" x14ac:dyDescent="0.2">
      <c r="A12" s="18"/>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x14ac:dyDescent="0.2">
      <c r="A13" s="18"/>
      <c r="B13" s="19"/>
      <c r="C13" s="19"/>
      <c r="D13" s="19"/>
      <c r="E13" s="19"/>
      <c r="F13" s="19"/>
      <c r="G13" s="19"/>
      <c r="H13" s="19"/>
      <c r="I13" s="19"/>
      <c r="J13" s="19"/>
      <c r="K13" s="19"/>
      <c r="L13" s="23"/>
      <c r="M13" s="19"/>
      <c r="N13" s="19"/>
      <c r="O13" s="19"/>
      <c r="P13" s="19"/>
      <c r="Q13" s="19"/>
      <c r="R13" s="19"/>
      <c r="S13" s="19"/>
      <c r="T13" s="19"/>
      <c r="U13" s="19"/>
    </row>
    <row r="14" spans="1:24" ht="18" customHeight="1" x14ac:dyDescent="0.2">
      <c r="A14" s="18" t="s">
        <v>8</v>
      </c>
      <c r="B14" s="19"/>
      <c r="C14" s="19"/>
      <c r="D14" s="19"/>
      <c r="E14" s="24"/>
      <c r="F14" s="24"/>
      <c r="G14" s="24"/>
      <c r="H14" s="24"/>
      <c r="I14" s="24"/>
      <c r="J14" s="24"/>
      <c r="K14" s="24"/>
      <c r="L14" s="41"/>
      <c r="M14" s="41"/>
      <c r="N14" s="41"/>
      <c r="O14" s="41"/>
      <c r="P14" s="41"/>
      <c r="Q14" s="41"/>
      <c r="R14" s="41"/>
      <c r="S14" s="41"/>
      <c r="T14" s="41"/>
      <c r="U14" s="41"/>
    </row>
    <row r="15" spans="1:24" ht="18" customHeight="1" x14ac:dyDescent="0.2">
      <c r="A15" s="18"/>
      <c r="B15" s="108" t="s">
        <v>198</v>
      </c>
      <c r="C15" s="109"/>
      <c r="D15" s="109"/>
      <c r="E15" s="109"/>
      <c r="F15" s="109"/>
      <c r="G15" s="109"/>
      <c r="H15" s="109"/>
      <c r="I15" s="109"/>
      <c r="J15" s="109"/>
      <c r="K15" s="109"/>
      <c r="L15" s="109"/>
      <c r="M15" s="109"/>
      <c r="N15" s="109"/>
      <c r="O15" s="109"/>
      <c r="P15" s="109"/>
      <c r="Q15" s="109"/>
      <c r="R15" s="109"/>
      <c r="S15" s="109"/>
      <c r="T15" s="109"/>
      <c r="U15" s="110"/>
      <c r="X15" s="1" t="s">
        <v>9</v>
      </c>
    </row>
    <row r="16" spans="1:24" ht="18" customHeight="1" x14ac:dyDescent="0.2">
      <c r="A16" s="18"/>
      <c r="B16" s="111"/>
      <c r="C16" s="112"/>
      <c r="D16" s="112"/>
      <c r="E16" s="112"/>
      <c r="F16" s="112"/>
      <c r="G16" s="112"/>
      <c r="H16" s="112"/>
      <c r="I16" s="112"/>
      <c r="J16" s="112"/>
      <c r="K16" s="112"/>
      <c r="L16" s="112"/>
      <c r="M16" s="112"/>
      <c r="N16" s="112"/>
      <c r="O16" s="112"/>
      <c r="P16" s="112"/>
      <c r="Q16" s="112"/>
      <c r="R16" s="112"/>
      <c r="S16" s="112"/>
      <c r="T16" s="112"/>
      <c r="U16" s="113"/>
      <c r="X16" s="1" t="s">
        <v>161</v>
      </c>
    </row>
    <row r="17" spans="1:24" ht="18" customHeight="1" x14ac:dyDescent="0.2">
      <c r="A17" s="18"/>
      <c r="B17" s="111"/>
      <c r="C17" s="112"/>
      <c r="D17" s="112"/>
      <c r="E17" s="112"/>
      <c r="F17" s="112"/>
      <c r="G17" s="112"/>
      <c r="H17" s="112"/>
      <c r="I17" s="112"/>
      <c r="J17" s="112"/>
      <c r="K17" s="112"/>
      <c r="L17" s="112"/>
      <c r="M17" s="112"/>
      <c r="N17" s="112"/>
      <c r="O17" s="112"/>
      <c r="P17" s="112"/>
      <c r="Q17" s="112"/>
      <c r="R17" s="112"/>
      <c r="S17" s="112"/>
      <c r="T17" s="112"/>
      <c r="U17" s="113"/>
      <c r="X17" s="1" t="s">
        <v>162</v>
      </c>
    </row>
    <row r="18" spans="1:24" ht="18" customHeight="1" x14ac:dyDescent="0.2">
      <c r="A18" s="18"/>
      <c r="B18" s="111"/>
      <c r="C18" s="112"/>
      <c r="D18" s="112"/>
      <c r="E18" s="112"/>
      <c r="F18" s="112"/>
      <c r="G18" s="112"/>
      <c r="H18" s="112"/>
      <c r="I18" s="112"/>
      <c r="J18" s="112"/>
      <c r="K18" s="112"/>
      <c r="L18" s="112"/>
      <c r="M18" s="112"/>
      <c r="N18" s="112"/>
      <c r="O18" s="112"/>
      <c r="P18" s="112"/>
      <c r="Q18" s="112"/>
      <c r="R18" s="112"/>
      <c r="S18" s="112"/>
      <c r="T18" s="112"/>
      <c r="U18" s="113"/>
      <c r="X18" s="1" t="s">
        <v>163</v>
      </c>
    </row>
    <row r="19" spans="1:24" ht="18" customHeight="1" x14ac:dyDescent="0.2">
      <c r="A19" s="18"/>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2">
      <c r="A20" s="18"/>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2">
      <c r="A21" s="18"/>
      <c r="B21" s="19"/>
      <c r="C21" s="19"/>
      <c r="D21" s="19"/>
      <c r="E21" s="19"/>
      <c r="F21" s="19"/>
      <c r="G21" s="19"/>
      <c r="H21" s="19"/>
      <c r="I21" s="19"/>
      <c r="J21" s="19"/>
      <c r="K21" s="19"/>
      <c r="L21" s="19"/>
      <c r="M21" s="19"/>
      <c r="N21" s="19"/>
      <c r="O21" s="19"/>
      <c r="P21" s="19"/>
      <c r="Q21" s="19"/>
      <c r="R21" s="19"/>
      <c r="S21" s="19"/>
      <c r="T21" s="19"/>
      <c r="U21" s="19"/>
    </row>
    <row r="22" spans="1:24" ht="19.899999999999999" customHeight="1" x14ac:dyDescent="0.2">
      <c r="A22" s="18"/>
      <c r="B22" s="18" t="s">
        <v>164</v>
      </c>
      <c r="C22" s="18"/>
      <c r="D22" s="18"/>
      <c r="E22" s="22">
        <v>3</v>
      </c>
      <c r="F22" s="18" t="s">
        <v>165</v>
      </c>
      <c r="G22" s="18"/>
      <c r="H22" s="78">
        <v>3</v>
      </c>
      <c r="I22" s="19" t="s">
        <v>10</v>
      </c>
      <c r="J22" s="19"/>
      <c r="K22" s="24"/>
      <c r="L22" s="18"/>
      <c r="M22" s="24" t="s">
        <v>11</v>
      </c>
      <c r="N22" s="117" t="s">
        <v>163</v>
      </c>
      <c r="O22" s="118"/>
      <c r="P22" s="118"/>
      <c r="Q22" s="118"/>
      <c r="R22" s="118"/>
      <c r="S22" s="118"/>
      <c r="T22" s="118"/>
      <c r="U22" s="119"/>
    </row>
    <row r="23" spans="1:24" ht="7.5" customHeight="1" x14ac:dyDescent="0.2">
      <c r="A23" s="18"/>
      <c r="B23" s="19"/>
      <c r="C23" s="19"/>
      <c r="D23" s="19"/>
      <c r="E23" s="19"/>
      <c r="F23" s="19"/>
      <c r="G23" s="19"/>
      <c r="H23" s="19"/>
      <c r="I23" s="19"/>
      <c r="J23" s="19"/>
      <c r="K23" s="19"/>
      <c r="L23" s="19"/>
      <c r="M23" s="19"/>
      <c r="N23" s="19"/>
      <c r="O23" s="19"/>
      <c r="P23" s="19"/>
      <c r="Q23" s="19"/>
      <c r="R23" s="19"/>
      <c r="S23" s="19"/>
      <c r="T23" s="19"/>
      <c r="U23" s="19"/>
    </row>
    <row r="24" spans="1:24" ht="18" customHeight="1" x14ac:dyDescent="0.2">
      <c r="A24" s="120" t="s">
        <v>12</v>
      </c>
      <c r="B24" s="120"/>
      <c r="C24" s="120"/>
      <c r="D24" s="120"/>
      <c r="E24" s="120"/>
      <c r="F24" s="120"/>
      <c r="G24" s="120"/>
      <c r="H24" s="120"/>
      <c r="I24" s="120"/>
      <c r="J24" s="120"/>
      <c r="K24" s="120"/>
      <c r="L24" s="120"/>
      <c r="M24" s="120"/>
      <c r="N24" s="120"/>
      <c r="O24" s="120"/>
      <c r="P24" s="120"/>
      <c r="Q24" s="120"/>
      <c r="R24" s="120"/>
      <c r="S24" s="120"/>
      <c r="T24" s="120"/>
      <c r="U24" s="120"/>
    </row>
    <row r="25" spans="1:24" ht="18" customHeight="1" x14ac:dyDescent="0.2">
      <c r="A25" s="120"/>
      <c r="B25" s="120"/>
      <c r="C25" s="120"/>
      <c r="D25" s="120"/>
      <c r="E25" s="120"/>
      <c r="F25" s="120"/>
      <c r="G25" s="120"/>
      <c r="H25" s="120"/>
      <c r="I25" s="120"/>
      <c r="J25" s="120"/>
      <c r="K25" s="120"/>
      <c r="L25" s="120"/>
      <c r="M25" s="120"/>
      <c r="N25" s="120"/>
      <c r="O25" s="120"/>
      <c r="P25" s="120"/>
      <c r="Q25" s="120"/>
      <c r="R25" s="120"/>
      <c r="S25" s="120"/>
      <c r="T25" s="120"/>
      <c r="U25" s="120"/>
    </row>
    <row r="26" spans="1:24" ht="18" customHeight="1" x14ac:dyDescent="0.2">
      <c r="B26" s="121" t="s">
        <v>13</v>
      </c>
      <c r="C26" s="122"/>
      <c r="D26" s="122"/>
      <c r="E26" s="122"/>
      <c r="F26" s="123"/>
      <c r="G26" s="16" t="s">
        <v>14</v>
      </c>
      <c r="H26" s="15" t="s">
        <v>15</v>
      </c>
      <c r="I26" s="7" t="s">
        <v>16</v>
      </c>
      <c r="J26" s="7" t="s">
        <v>17</v>
      </c>
      <c r="K26" s="121" t="s">
        <v>13</v>
      </c>
      <c r="L26" s="122"/>
      <c r="M26" s="122"/>
      <c r="N26" s="122"/>
      <c r="O26" s="122"/>
      <c r="P26" s="122"/>
      <c r="Q26" s="123"/>
      <c r="R26" s="16" t="s">
        <v>14</v>
      </c>
      <c r="S26" s="15" t="s">
        <v>15</v>
      </c>
      <c r="T26" s="7" t="s">
        <v>16</v>
      </c>
      <c r="U26" s="7" t="s">
        <v>17</v>
      </c>
    </row>
    <row r="27" spans="1:24" ht="18" customHeight="1" x14ac:dyDescent="0.2">
      <c r="B27" s="124" t="s">
        <v>18</v>
      </c>
      <c r="C27" s="125"/>
      <c r="D27" s="125"/>
      <c r="E27" s="125"/>
      <c r="F27" s="126"/>
      <c r="G27" s="8">
        <v>1</v>
      </c>
      <c r="H27" s="8" t="s">
        <v>19</v>
      </c>
      <c r="I27" s="8" t="s">
        <v>19</v>
      </c>
      <c r="J27" s="8" t="s">
        <v>19</v>
      </c>
      <c r="K27" s="124"/>
      <c r="L27" s="125"/>
      <c r="M27" s="125"/>
      <c r="N27" s="125"/>
      <c r="O27" s="125"/>
      <c r="P27" s="125"/>
      <c r="Q27" s="126"/>
      <c r="R27" s="8"/>
      <c r="S27" s="8"/>
      <c r="T27" s="8"/>
      <c r="U27" s="8"/>
    </row>
    <row r="28" spans="1:24" ht="18" customHeight="1" x14ac:dyDescent="0.2">
      <c r="B28" s="105"/>
      <c r="C28" s="106"/>
      <c r="D28" s="106"/>
      <c r="E28" s="106"/>
      <c r="F28" s="107"/>
      <c r="G28" s="9"/>
      <c r="H28" s="9"/>
      <c r="I28" s="9"/>
      <c r="J28" s="9"/>
      <c r="K28" s="105"/>
      <c r="L28" s="106"/>
      <c r="M28" s="106"/>
      <c r="N28" s="106"/>
      <c r="O28" s="106"/>
      <c r="P28" s="106"/>
      <c r="Q28" s="107"/>
      <c r="R28" s="9"/>
      <c r="S28" s="9"/>
      <c r="T28" s="9"/>
      <c r="U28" s="9"/>
    </row>
    <row r="29" spans="1:24" ht="18" customHeight="1" x14ac:dyDescent="0.2">
      <c r="B29" s="105"/>
      <c r="C29" s="106"/>
      <c r="D29" s="106"/>
      <c r="E29" s="106"/>
      <c r="F29" s="107"/>
      <c r="G29" s="9"/>
      <c r="H29" s="9"/>
      <c r="I29" s="9"/>
      <c r="J29" s="9"/>
      <c r="K29" s="105"/>
      <c r="L29" s="106"/>
      <c r="M29" s="106"/>
      <c r="N29" s="106"/>
      <c r="O29" s="106"/>
      <c r="P29" s="106"/>
      <c r="Q29" s="107"/>
      <c r="R29" s="9"/>
      <c r="S29" s="9"/>
      <c r="T29" s="9"/>
      <c r="U29" s="9"/>
    </row>
    <row r="30" spans="1:24" ht="18" customHeight="1" x14ac:dyDescent="0.2">
      <c r="B30" s="105"/>
      <c r="C30" s="106"/>
      <c r="D30" s="106"/>
      <c r="E30" s="106"/>
      <c r="F30" s="107"/>
      <c r="G30" s="9"/>
      <c r="H30" s="9"/>
      <c r="I30" s="9"/>
      <c r="J30" s="9"/>
      <c r="K30" s="105"/>
      <c r="L30" s="106"/>
      <c r="M30" s="106"/>
      <c r="N30" s="106"/>
      <c r="O30" s="106"/>
      <c r="P30" s="106"/>
      <c r="Q30" s="107"/>
      <c r="R30" s="9"/>
      <c r="S30" s="9"/>
      <c r="T30" s="9"/>
      <c r="U30" s="9"/>
    </row>
    <row r="31" spans="1:24" ht="18" customHeight="1" x14ac:dyDescent="0.2">
      <c r="B31" s="105"/>
      <c r="C31" s="106"/>
      <c r="D31" s="106"/>
      <c r="E31" s="106"/>
      <c r="F31" s="107"/>
      <c r="G31" s="9"/>
      <c r="H31" s="9"/>
      <c r="I31" s="9"/>
      <c r="J31" s="9"/>
      <c r="K31" s="105"/>
      <c r="L31" s="106"/>
      <c r="M31" s="106"/>
      <c r="N31" s="106"/>
      <c r="O31" s="106"/>
      <c r="P31" s="106"/>
      <c r="Q31" s="107"/>
      <c r="R31" s="9"/>
      <c r="S31" s="9"/>
      <c r="T31" s="9"/>
      <c r="U31" s="9"/>
    </row>
    <row r="32" spans="1:24" ht="18" customHeight="1" x14ac:dyDescent="0.2">
      <c r="A32" s="3"/>
      <c r="B32" s="105"/>
      <c r="C32" s="106"/>
      <c r="D32" s="106"/>
      <c r="E32" s="106"/>
      <c r="F32" s="107"/>
      <c r="G32" s="9"/>
      <c r="H32" s="9"/>
      <c r="I32" s="9"/>
      <c r="J32" s="9"/>
      <c r="K32" s="105"/>
      <c r="L32" s="106"/>
      <c r="M32" s="106"/>
      <c r="N32" s="106"/>
      <c r="O32" s="106"/>
      <c r="P32" s="106"/>
      <c r="Q32" s="107"/>
      <c r="R32" s="9"/>
      <c r="S32" s="9"/>
      <c r="T32" s="9"/>
      <c r="U32" s="9"/>
    </row>
    <row r="33" spans="1:21" ht="18" customHeight="1" x14ac:dyDescent="0.2">
      <c r="A33" s="3"/>
      <c r="B33" s="128"/>
      <c r="C33" s="129"/>
      <c r="D33" s="129"/>
      <c r="E33" s="129"/>
      <c r="F33" s="130"/>
      <c r="G33" s="10"/>
      <c r="H33" s="10"/>
      <c r="I33" s="11"/>
      <c r="J33" s="11"/>
      <c r="K33" s="128"/>
      <c r="L33" s="129"/>
      <c r="M33" s="129"/>
      <c r="N33" s="129"/>
      <c r="O33" s="129"/>
      <c r="P33" s="129"/>
      <c r="Q33" s="130"/>
      <c r="R33" s="10"/>
      <c r="S33" s="10"/>
      <c r="T33" s="11"/>
      <c r="U33" s="11"/>
    </row>
    <row r="34" spans="1:21" ht="7.5" customHeight="1" x14ac:dyDescent="0.2">
      <c r="A34" s="3"/>
      <c r="B34" s="4"/>
      <c r="C34" s="4"/>
      <c r="D34" s="4"/>
      <c r="E34" s="3"/>
      <c r="F34" s="3"/>
      <c r="G34" s="3"/>
      <c r="H34" s="3"/>
      <c r="I34" s="4"/>
      <c r="J34" s="4"/>
      <c r="K34" s="4"/>
      <c r="L34" s="4"/>
      <c r="M34" s="4"/>
      <c r="N34" s="4"/>
      <c r="O34" s="4"/>
      <c r="P34" s="4"/>
      <c r="Q34" s="4"/>
      <c r="R34" s="4"/>
      <c r="S34" s="4"/>
      <c r="T34" s="4"/>
      <c r="U34" s="3"/>
    </row>
    <row r="35" spans="1:21" ht="18" customHeight="1" x14ac:dyDescent="0.2">
      <c r="A35" s="127" t="s">
        <v>20</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2">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2">
      <c r="B37" s="121" t="s">
        <v>13</v>
      </c>
      <c r="C37" s="122"/>
      <c r="D37" s="122"/>
      <c r="E37" s="122"/>
      <c r="F37" s="123"/>
      <c r="G37" s="16" t="s">
        <v>14</v>
      </c>
      <c r="H37" s="15" t="s">
        <v>15</v>
      </c>
      <c r="I37" s="7" t="s">
        <v>21</v>
      </c>
      <c r="J37" s="7" t="s">
        <v>22</v>
      </c>
      <c r="K37" s="121" t="s">
        <v>13</v>
      </c>
      <c r="L37" s="122"/>
      <c r="M37" s="122"/>
      <c r="N37" s="122"/>
      <c r="O37" s="122"/>
      <c r="P37" s="122"/>
      <c r="Q37" s="123"/>
      <c r="R37" s="16" t="s">
        <v>14</v>
      </c>
      <c r="S37" s="15" t="s">
        <v>15</v>
      </c>
      <c r="T37" s="7" t="s">
        <v>21</v>
      </c>
      <c r="U37" s="7" t="s">
        <v>22</v>
      </c>
    </row>
    <row r="38" spans="1:21" ht="18" customHeight="1" x14ac:dyDescent="0.2">
      <c r="B38" s="124" t="s">
        <v>23</v>
      </c>
      <c r="C38" s="125"/>
      <c r="D38" s="125"/>
      <c r="E38" s="125"/>
      <c r="F38" s="126"/>
      <c r="G38" s="8">
        <v>1</v>
      </c>
      <c r="H38" s="8" t="s">
        <v>19</v>
      </c>
      <c r="I38" s="8" t="s">
        <v>19</v>
      </c>
      <c r="J38" s="8" t="s">
        <v>19</v>
      </c>
      <c r="K38" s="124"/>
      <c r="L38" s="125"/>
      <c r="M38" s="125"/>
      <c r="N38" s="125"/>
      <c r="O38" s="125"/>
      <c r="P38" s="125"/>
      <c r="Q38" s="126"/>
      <c r="R38" s="8"/>
      <c r="S38" s="8"/>
      <c r="T38" s="8"/>
      <c r="U38" s="8"/>
    </row>
    <row r="39" spans="1:21" ht="18" customHeight="1" x14ac:dyDescent="0.2">
      <c r="B39" s="105"/>
      <c r="C39" s="106"/>
      <c r="D39" s="106"/>
      <c r="E39" s="106"/>
      <c r="F39" s="107"/>
      <c r="G39" s="9"/>
      <c r="H39" s="9"/>
      <c r="I39" s="9"/>
      <c r="J39" s="9"/>
      <c r="K39" s="105"/>
      <c r="L39" s="106"/>
      <c r="M39" s="106"/>
      <c r="N39" s="106"/>
      <c r="O39" s="106"/>
      <c r="P39" s="106"/>
      <c r="Q39" s="107"/>
      <c r="R39" s="9"/>
      <c r="S39" s="9"/>
      <c r="T39" s="9"/>
      <c r="U39" s="9"/>
    </row>
    <row r="40" spans="1:21" ht="18" customHeight="1" x14ac:dyDescent="0.2">
      <c r="B40" s="105"/>
      <c r="C40" s="106"/>
      <c r="D40" s="106"/>
      <c r="E40" s="106"/>
      <c r="F40" s="107"/>
      <c r="G40" s="9"/>
      <c r="H40" s="9"/>
      <c r="I40" s="9"/>
      <c r="J40" s="9"/>
      <c r="K40" s="105"/>
      <c r="L40" s="106"/>
      <c r="M40" s="106"/>
      <c r="N40" s="106"/>
      <c r="O40" s="106"/>
      <c r="P40" s="106"/>
      <c r="Q40" s="107"/>
      <c r="R40" s="9"/>
      <c r="S40" s="9"/>
      <c r="T40" s="9"/>
      <c r="U40" s="9"/>
    </row>
    <row r="41" spans="1:21" ht="18" customHeight="1" x14ac:dyDescent="0.2">
      <c r="B41" s="105"/>
      <c r="C41" s="106"/>
      <c r="D41" s="106"/>
      <c r="E41" s="106"/>
      <c r="F41" s="107"/>
      <c r="G41" s="9"/>
      <c r="H41" s="9"/>
      <c r="I41" s="9"/>
      <c r="J41" s="9"/>
      <c r="K41" s="105"/>
      <c r="L41" s="106"/>
      <c r="M41" s="106"/>
      <c r="N41" s="106"/>
      <c r="O41" s="106"/>
      <c r="P41" s="106"/>
      <c r="Q41" s="107"/>
      <c r="R41" s="9"/>
      <c r="S41" s="9"/>
      <c r="T41" s="9"/>
      <c r="U41" s="9"/>
    </row>
    <row r="42" spans="1:21" ht="18" customHeight="1" x14ac:dyDescent="0.2">
      <c r="B42" s="105"/>
      <c r="C42" s="106"/>
      <c r="D42" s="106"/>
      <c r="E42" s="106"/>
      <c r="F42" s="107"/>
      <c r="G42" s="9"/>
      <c r="H42" s="9"/>
      <c r="I42" s="9"/>
      <c r="J42" s="9"/>
      <c r="K42" s="105"/>
      <c r="L42" s="106"/>
      <c r="M42" s="106"/>
      <c r="N42" s="106"/>
      <c r="O42" s="106"/>
      <c r="P42" s="106"/>
      <c r="Q42" s="107"/>
      <c r="R42" s="9"/>
      <c r="S42" s="9"/>
      <c r="T42" s="9"/>
      <c r="U42" s="9"/>
    </row>
    <row r="43" spans="1:21" ht="18" customHeight="1" x14ac:dyDescent="0.2">
      <c r="B43" s="105"/>
      <c r="C43" s="106"/>
      <c r="D43" s="106"/>
      <c r="E43" s="106"/>
      <c r="F43" s="107"/>
      <c r="G43" s="9"/>
      <c r="H43" s="9"/>
      <c r="I43" s="9"/>
      <c r="J43" s="9"/>
      <c r="K43" s="105"/>
      <c r="L43" s="106"/>
      <c r="M43" s="106"/>
      <c r="N43" s="106"/>
      <c r="O43" s="106"/>
      <c r="P43" s="106"/>
      <c r="Q43" s="107"/>
      <c r="R43" s="9"/>
      <c r="S43" s="9"/>
      <c r="T43" s="9"/>
      <c r="U43" s="9"/>
    </row>
    <row r="44" spans="1:21" ht="18" customHeight="1" x14ac:dyDescent="0.2">
      <c r="B44" s="128"/>
      <c r="C44" s="129"/>
      <c r="D44" s="129"/>
      <c r="E44" s="129"/>
      <c r="F44" s="130"/>
      <c r="G44" s="10"/>
      <c r="H44" s="10"/>
      <c r="I44" s="11"/>
      <c r="J44" s="11"/>
      <c r="K44" s="128"/>
      <c r="L44" s="129"/>
      <c r="M44" s="129"/>
      <c r="N44" s="129"/>
      <c r="O44" s="129"/>
      <c r="P44" s="129"/>
      <c r="Q44" s="130"/>
      <c r="R44" s="10"/>
      <c r="S44" s="10"/>
      <c r="T44" s="11"/>
      <c r="U44" s="11"/>
    </row>
    <row r="45" spans="1:21" ht="7.5" customHeight="1" x14ac:dyDescent="0.2">
      <c r="A45" s="3"/>
      <c r="B45" s="4"/>
      <c r="C45" s="4"/>
      <c r="D45" s="4"/>
      <c r="E45" s="3"/>
      <c r="F45" s="3"/>
      <c r="G45" s="3"/>
      <c r="H45" s="3"/>
      <c r="I45" s="4"/>
      <c r="J45" s="4"/>
      <c r="K45" s="4"/>
      <c r="L45" s="4"/>
      <c r="M45" s="4"/>
      <c r="N45" s="4"/>
      <c r="O45" s="4"/>
      <c r="P45" s="4"/>
      <c r="Q45" s="4"/>
      <c r="R45" s="4"/>
      <c r="S45" s="4"/>
      <c r="T45" s="4"/>
      <c r="U45" s="3"/>
    </row>
    <row r="46" spans="1:21" ht="18" customHeight="1" x14ac:dyDescent="0.2">
      <c r="A46" s="127" t="s">
        <v>24</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2">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2">
      <c r="B48" s="121" t="s">
        <v>13</v>
      </c>
      <c r="C48" s="122"/>
      <c r="D48" s="122"/>
      <c r="E48" s="122"/>
      <c r="F48" s="123"/>
      <c r="G48" s="16" t="s">
        <v>14</v>
      </c>
      <c r="H48" s="15" t="s">
        <v>15</v>
      </c>
      <c r="I48" s="7" t="s">
        <v>25</v>
      </c>
      <c r="J48" s="7" t="s">
        <v>26</v>
      </c>
      <c r="K48" s="121" t="s">
        <v>13</v>
      </c>
      <c r="L48" s="122"/>
      <c r="M48" s="122"/>
      <c r="N48" s="122"/>
      <c r="O48" s="122"/>
      <c r="P48" s="122"/>
      <c r="Q48" s="123"/>
      <c r="R48" s="16" t="s">
        <v>14</v>
      </c>
      <c r="S48" s="15" t="s">
        <v>15</v>
      </c>
      <c r="T48" s="7" t="s">
        <v>25</v>
      </c>
      <c r="U48" s="7" t="s">
        <v>26</v>
      </c>
    </row>
    <row r="49" spans="1:21" ht="18" customHeight="1" x14ac:dyDescent="0.2">
      <c r="A49" s="3"/>
      <c r="B49" s="124" t="s">
        <v>166</v>
      </c>
      <c r="C49" s="125"/>
      <c r="D49" s="125"/>
      <c r="E49" s="125"/>
      <c r="F49" s="126"/>
      <c r="G49" s="8">
        <v>1</v>
      </c>
      <c r="H49" s="8" t="s">
        <v>19</v>
      </c>
      <c r="I49" s="8" t="s">
        <v>19</v>
      </c>
      <c r="J49" s="8" t="s">
        <v>19</v>
      </c>
      <c r="K49" s="124"/>
      <c r="L49" s="125"/>
      <c r="M49" s="125"/>
      <c r="N49" s="125"/>
      <c r="O49" s="125"/>
      <c r="P49" s="125"/>
      <c r="Q49" s="126"/>
      <c r="R49" s="8"/>
      <c r="S49" s="8"/>
      <c r="T49" s="8"/>
      <c r="U49" s="8"/>
    </row>
    <row r="50" spans="1:21" ht="18" customHeight="1" x14ac:dyDescent="0.2">
      <c r="A50" s="3"/>
      <c r="B50" s="105"/>
      <c r="C50" s="106"/>
      <c r="D50" s="106"/>
      <c r="E50" s="106"/>
      <c r="F50" s="107"/>
      <c r="G50" s="9"/>
      <c r="H50" s="9"/>
      <c r="I50" s="9"/>
      <c r="J50" s="9"/>
      <c r="K50" s="105"/>
      <c r="L50" s="106"/>
      <c r="M50" s="106"/>
      <c r="N50" s="106"/>
      <c r="O50" s="106"/>
      <c r="P50" s="106"/>
      <c r="Q50" s="107"/>
      <c r="R50" s="9"/>
      <c r="S50" s="9"/>
      <c r="T50" s="9"/>
      <c r="U50" s="9"/>
    </row>
    <row r="51" spans="1:21" ht="18" customHeight="1" x14ac:dyDescent="0.2">
      <c r="A51" s="3"/>
      <c r="B51" s="105"/>
      <c r="C51" s="106"/>
      <c r="D51" s="106"/>
      <c r="E51" s="106"/>
      <c r="F51" s="107"/>
      <c r="G51" s="9"/>
      <c r="H51" s="9"/>
      <c r="I51" s="9"/>
      <c r="J51" s="9"/>
      <c r="K51" s="105"/>
      <c r="L51" s="106"/>
      <c r="M51" s="106"/>
      <c r="N51" s="106"/>
      <c r="O51" s="106"/>
      <c r="P51" s="106"/>
      <c r="Q51" s="107"/>
      <c r="R51" s="9"/>
      <c r="S51" s="9"/>
      <c r="T51" s="9"/>
      <c r="U51" s="9"/>
    </row>
    <row r="52" spans="1:21" ht="18" customHeight="1" x14ac:dyDescent="0.2">
      <c r="A52" s="3"/>
      <c r="B52" s="105"/>
      <c r="C52" s="106"/>
      <c r="D52" s="106"/>
      <c r="E52" s="106"/>
      <c r="F52" s="107"/>
      <c r="G52" s="9"/>
      <c r="H52" s="9"/>
      <c r="I52" s="9"/>
      <c r="J52" s="9"/>
      <c r="K52" s="105"/>
      <c r="L52" s="106"/>
      <c r="M52" s="106"/>
      <c r="N52" s="106"/>
      <c r="O52" s="106"/>
      <c r="P52" s="106"/>
      <c r="Q52" s="107"/>
      <c r="R52" s="9"/>
      <c r="S52" s="9"/>
      <c r="T52" s="9"/>
      <c r="U52" s="9"/>
    </row>
    <row r="53" spans="1:21" ht="18" customHeight="1" x14ac:dyDescent="0.2">
      <c r="A53" s="3"/>
      <c r="B53" s="105"/>
      <c r="C53" s="106"/>
      <c r="D53" s="106"/>
      <c r="E53" s="106"/>
      <c r="F53" s="107"/>
      <c r="G53" s="9"/>
      <c r="H53" s="9"/>
      <c r="I53" s="9"/>
      <c r="J53" s="9"/>
      <c r="K53" s="105"/>
      <c r="L53" s="106"/>
      <c r="M53" s="106"/>
      <c r="N53" s="106"/>
      <c r="O53" s="106"/>
      <c r="P53" s="106"/>
      <c r="Q53" s="107"/>
      <c r="R53" s="9"/>
      <c r="S53" s="9"/>
      <c r="T53" s="9"/>
      <c r="U53" s="9"/>
    </row>
    <row r="54" spans="1:21" ht="18" customHeight="1" x14ac:dyDescent="0.2">
      <c r="A54" s="3"/>
      <c r="B54" s="105"/>
      <c r="C54" s="106"/>
      <c r="D54" s="106"/>
      <c r="E54" s="106"/>
      <c r="F54" s="107"/>
      <c r="G54" s="9"/>
      <c r="H54" s="9"/>
      <c r="I54" s="9"/>
      <c r="J54" s="9"/>
      <c r="K54" s="105"/>
      <c r="L54" s="106"/>
      <c r="M54" s="106"/>
      <c r="N54" s="106"/>
      <c r="O54" s="106"/>
      <c r="P54" s="106"/>
      <c r="Q54" s="107"/>
      <c r="R54" s="9"/>
      <c r="S54" s="9"/>
      <c r="T54" s="9"/>
      <c r="U54" s="9"/>
    </row>
    <row r="55" spans="1:21" ht="18" customHeight="1" x14ac:dyDescent="0.2">
      <c r="A55" s="3"/>
      <c r="B55" s="128"/>
      <c r="C55" s="129"/>
      <c r="D55" s="129"/>
      <c r="E55" s="129"/>
      <c r="F55" s="130"/>
      <c r="G55" s="10"/>
      <c r="H55" s="10"/>
      <c r="I55" s="11"/>
      <c r="J55" s="11"/>
      <c r="K55" s="128"/>
      <c r="L55" s="129"/>
      <c r="M55" s="129"/>
      <c r="N55" s="129"/>
      <c r="O55" s="129"/>
      <c r="P55" s="129"/>
      <c r="Q55" s="130"/>
      <c r="R55" s="10"/>
      <c r="S55" s="10"/>
      <c r="T55" s="11"/>
      <c r="U55" s="11"/>
    </row>
    <row r="56" spans="1:21" ht="7.5" customHeight="1" x14ac:dyDescent="0.2">
      <c r="B56" s="6"/>
      <c r="C56" s="6"/>
      <c r="D56" s="6"/>
      <c r="E56" s="6"/>
      <c r="F56" s="6"/>
      <c r="G56" s="6"/>
      <c r="H56" s="6"/>
      <c r="I56" s="6"/>
      <c r="J56" s="6"/>
      <c r="K56" s="6"/>
      <c r="L56" s="6"/>
      <c r="M56" s="6"/>
      <c r="N56" s="6"/>
      <c r="O56" s="6"/>
      <c r="P56" s="6"/>
      <c r="Q56" s="6"/>
      <c r="R56" s="6"/>
      <c r="S56" s="6"/>
      <c r="T56" s="6"/>
    </row>
    <row r="57" spans="1:21" ht="18" customHeight="1" x14ac:dyDescent="0.2">
      <c r="A57" s="127" t="s">
        <v>27</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2">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2">
      <c r="B59" s="121" t="s">
        <v>13</v>
      </c>
      <c r="C59" s="122"/>
      <c r="D59" s="122"/>
      <c r="E59" s="122"/>
      <c r="F59" s="123"/>
      <c r="G59" s="16" t="s">
        <v>14</v>
      </c>
      <c r="H59" s="15" t="s">
        <v>15</v>
      </c>
      <c r="I59" s="7" t="s">
        <v>28</v>
      </c>
      <c r="J59" s="7" t="s">
        <v>29</v>
      </c>
      <c r="K59" s="121" t="s">
        <v>13</v>
      </c>
      <c r="L59" s="122"/>
      <c r="M59" s="122"/>
      <c r="N59" s="122"/>
      <c r="O59" s="122"/>
      <c r="P59" s="122"/>
      <c r="Q59" s="123"/>
      <c r="R59" s="16" t="s">
        <v>14</v>
      </c>
      <c r="S59" s="15" t="s">
        <v>15</v>
      </c>
      <c r="T59" s="7" t="s">
        <v>28</v>
      </c>
      <c r="U59" s="7" t="s">
        <v>29</v>
      </c>
    </row>
    <row r="60" spans="1:21" ht="18" customHeight="1" x14ac:dyDescent="0.2">
      <c r="A60" s="3"/>
      <c r="B60" s="124" t="s">
        <v>18</v>
      </c>
      <c r="C60" s="125"/>
      <c r="D60" s="125"/>
      <c r="E60" s="125"/>
      <c r="F60" s="126"/>
      <c r="G60" s="8">
        <v>1</v>
      </c>
      <c r="H60" s="8" t="s">
        <v>19</v>
      </c>
      <c r="I60" s="8" t="s">
        <v>19</v>
      </c>
      <c r="J60" s="8"/>
      <c r="K60" s="124"/>
      <c r="L60" s="125"/>
      <c r="M60" s="125"/>
      <c r="N60" s="125"/>
      <c r="O60" s="125"/>
      <c r="P60" s="125"/>
      <c r="Q60" s="126"/>
      <c r="R60" s="8"/>
      <c r="S60" s="8"/>
      <c r="T60" s="8"/>
      <c r="U60" s="8"/>
    </row>
    <row r="61" spans="1:21" ht="18" customHeight="1" x14ac:dyDescent="0.2">
      <c r="A61" s="3"/>
      <c r="B61" s="105" t="s">
        <v>166</v>
      </c>
      <c r="C61" s="106"/>
      <c r="D61" s="106"/>
      <c r="E61" s="106"/>
      <c r="F61" s="107"/>
      <c r="G61" s="9">
        <v>1</v>
      </c>
      <c r="H61" s="9" t="s">
        <v>19</v>
      </c>
      <c r="I61" s="9"/>
      <c r="J61" s="9" t="s">
        <v>19</v>
      </c>
      <c r="K61" s="105"/>
      <c r="L61" s="106"/>
      <c r="M61" s="106"/>
      <c r="N61" s="106"/>
      <c r="O61" s="106"/>
      <c r="P61" s="106"/>
      <c r="Q61" s="107"/>
      <c r="R61" s="9"/>
      <c r="S61" s="9"/>
      <c r="T61" s="9"/>
      <c r="U61" s="9"/>
    </row>
    <row r="62" spans="1:21" ht="18" customHeight="1" x14ac:dyDescent="0.2">
      <c r="A62" s="3"/>
      <c r="B62" s="105"/>
      <c r="C62" s="106"/>
      <c r="D62" s="106"/>
      <c r="E62" s="106"/>
      <c r="F62" s="107"/>
      <c r="G62" s="9"/>
      <c r="H62" s="9"/>
      <c r="I62" s="9"/>
      <c r="J62" s="9"/>
      <c r="K62" s="105"/>
      <c r="L62" s="106"/>
      <c r="M62" s="106"/>
      <c r="N62" s="106"/>
      <c r="O62" s="106"/>
      <c r="P62" s="106"/>
      <c r="Q62" s="107"/>
      <c r="R62" s="9"/>
      <c r="S62" s="9"/>
      <c r="T62" s="9"/>
      <c r="U62" s="9"/>
    </row>
    <row r="63" spans="1:21" ht="18" customHeight="1" x14ac:dyDescent="0.2">
      <c r="A63" s="3"/>
      <c r="B63" s="105"/>
      <c r="C63" s="106"/>
      <c r="D63" s="106"/>
      <c r="E63" s="106"/>
      <c r="F63" s="107"/>
      <c r="G63" s="9"/>
      <c r="H63" s="9"/>
      <c r="I63" s="9"/>
      <c r="J63" s="9"/>
      <c r="K63" s="105"/>
      <c r="L63" s="106"/>
      <c r="M63" s="106"/>
      <c r="N63" s="106"/>
      <c r="O63" s="106"/>
      <c r="P63" s="106"/>
      <c r="Q63" s="107"/>
      <c r="R63" s="9"/>
      <c r="S63" s="9"/>
      <c r="T63" s="9"/>
      <c r="U63" s="9"/>
    </row>
    <row r="64" spans="1:21" ht="18" customHeight="1" x14ac:dyDescent="0.2">
      <c r="A64" s="3"/>
      <c r="B64" s="105"/>
      <c r="C64" s="106"/>
      <c r="D64" s="106"/>
      <c r="E64" s="106"/>
      <c r="F64" s="107"/>
      <c r="G64" s="9"/>
      <c r="H64" s="9"/>
      <c r="I64" s="9"/>
      <c r="J64" s="9"/>
      <c r="K64" s="105"/>
      <c r="L64" s="106"/>
      <c r="M64" s="106"/>
      <c r="N64" s="106"/>
      <c r="O64" s="106"/>
      <c r="P64" s="106"/>
      <c r="Q64" s="107"/>
      <c r="R64" s="9"/>
      <c r="S64" s="9"/>
      <c r="T64" s="9"/>
      <c r="U64" s="9"/>
    </row>
    <row r="65" spans="1:21" ht="18" customHeight="1" x14ac:dyDescent="0.2">
      <c r="A65" s="3"/>
      <c r="B65" s="105"/>
      <c r="C65" s="106"/>
      <c r="D65" s="106"/>
      <c r="E65" s="106"/>
      <c r="F65" s="107"/>
      <c r="G65" s="9"/>
      <c r="H65" s="9"/>
      <c r="I65" s="9"/>
      <c r="J65" s="9"/>
      <c r="K65" s="105"/>
      <c r="L65" s="106"/>
      <c r="M65" s="106"/>
      <c r="N65" s="106"/>
      <c r="O65" s="106"/>
      <c r="P65" s="106"/>
      <c r="Q65" s="107"/>
      <c r="R65" s="9"/>
      <c r="S65" s="9"/>
      <c r="T65" s="9"/>
      <c r="U65" s="9"/>
    </row>
    <row r="66" spans="1:21" ht="18" customHeight="1" x14ac:dyDescent="0.2">
      <c r="A66" s="3"/>
      <c r="B66" s="128"/>
      <c r="C66" s="129"/>
      <c r="D66" s="129"/>
      <c r="E66" s="129"/>
      <c r="F66" s="130"/>
      <c r="G66" s="10"/>
      <c r="H66" s="10"/>
      <c r="I66" s="11"/>
      <c r="J66" s="11"/>
      <c r="K66" s="128"/>
      <c r="L66" s="129"/>
      <c r="M66" s="129"/>
      <c r="N66" s="129"/>
      <c r="O66" s="129"/>
      <c r="P66" s="129"/>
      <c r="Q66" s="130"/>
      <c r="R66" s="10"/>
      <c r="S66" s="10"/>
      <c r="T66" s="11"/>
      <c r="U66" s="11"/>
    </row>
    <row r="67" spans="1:21" ht="7.5" customHeight="1" x14ac:dyDescent="0.2">
      <c r="B67" s="6"/>
      <c r="C67" s="6"/>
      <c r="D67" s="6"/>
      <c r="E67" s="6"/>
      <c r="F67" s="6"/>
      <c r="G67" s="6"/>
      <c r="H67" s="6"/>
      <c r="I67" s="6"/>
      <c r="J67" s="6"/>
      <c r="K67" s="6"/>
      <c r="L67" s="6"/>
      <c r="M67" s="6"/>
      <c r="N67" s="6"/>
      <c r="O67" s="6"/>
      <c r="P67" s="6"/>
      <c r="Q67" s="6"/>
      <c r="R67" s="6"/>
      <c r="S67" s="6"/>
      <c r="T67" s="6"/>
    </row>
    <row r="68" spans="1:21" ht="18" customHeight="1" x14ac:dyDescent="0.2">
      <c r="A68" s="127" t="s">
        <v>30</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2">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2">
      <c r="B70" s="121" t="s">
        <v>13</v>
      </c>
      <c r="C70" s="122"/>
      <c r="D70" s="122"/>
      <c r="E70" s="122"/>
      <c r="F70" s="16" t="s">
        <v>14</v>
      </c>
      <c r="G70" s="15" t="s">
        <v>15</v>
      </c>
      <c r="H70" s="7" t="s">
        <v>31</v>
      </c>
      <c r="I70" s="7" t="s">
        <v>32</v>
      </c>
      <c r="J70" s="7" t="s">
        <v>33</v>
      </c>
      <c r="K70" s="121" t="s">
        <v>13</v>
      </c>
      <c r="L70" s="122"/>
      <c r="M70" s="122"/>
      <c r="N70" s="122"/>
      <c r="O70" s="122"/>
      <c r="P70" s="123"/>
      <c r="Q70" s="16" t="s">
        <v>14</v>
      </c>
      <c r="R70" s="15" t="s">
        <v>15</v>
      </c>
      <c r="S70" s="7" t="s">
        <v>31</v>
      </c>
      <c r="T70" s="7" t="s">
        <v>32</v>
      </c>
      <c r="U70" s="7" t="s">
        <v>33</v>
      </c>
    </row>
    <row r="71" spans="1:21" ht="18" customHeight="1" x14ac:dyDescent="0.2">
      <c r="A71" s="3"/>
      <c r="B71" s="124" t="s">
        <v>18</v>
      </c>
      <c r="C71" s="125"/>
      <c r="D71" s="125"/>
      <c r="E71" s="125"/>
      <c r="F71" s="8">
        <v>1</v>
      </c>
      <c r="G71" s="8" t="s">
        <v>19</v>
      </c>
      <c r="H71" s="8" t="s">
        <v>19</v>
      </c>
      <c r="I71" s="8" t="s">
        <v>19</v>
      </c>
      <c r="J71" s="8" t="s">
        <v>19</v>
      </c>
      <c r="K71" s="124"/>
      <c r="L71" s="125"/>
      <c r="M71" s="125"/>
      <c r="N71" s="125"/>
      <c r="O71" s="125"/>
      <c r="P71" s="126"/>
      <c r="Q71" s="8"/>
      <c r="R71" s="8"/>
      <c r="S71" s="8"/>
      <c r="T71" s="8"/>
      <c r="U71" s="8"/>
    </row>
    <row r="72" spans="1:21" ht="18" customHeight="1" x14ac:dyDescent="0.2">
      <c r="A72" s="3"/>
      <c r="B72" s="105" t="s">
        <v>166</v>
      </c>
      <c r="C72" s="106"/>
      <c r="D72" s="106"/>
      <c r="E72" s="106"/>
      <c r="F72" s="9">
        <v>1</v>
      </c>
      <c r="G72" s="9" t="s">
        <v>19</v>
      </c>
      <c r="H72" s="9"/>
      <c r="I72" s="9"/>
      <c r="J72" s="9" t="s">
        <v>19</v>
      </c>
      <c r="K72" s="105"/>
      <c r="L72" s="106"/>
      <c r="M72" s="106"/>
      <c r="N72" s="106"/>
      <c r="O72" s="106"/>
      <c r="P72" s="107"/>
      <c r="Q72" s="9"/>
      <c r="R72" s="9"/>
      <c r="S72" s="9"/>
      <c r="T72" s="9"/>
      <c r="U72" s="9"/>
    </row>
    <row r="73" spans="1:21" ht="18" customHeight="1" x14ac:dyDescent="0.2">
      <c r="A73" s="3"/>
      <c r="B73" s="105"/>
      <c r="C73" s="106"/>
      <c r="D73" s="106"/>
      <c r="E73" s="106"/>
      <c r="F73" s="9"/>
      <c r="G73" s="9"/>
      <c r="H73" s="9"/>
      <c r="I73" s="9"/>
      <c r="J73" s="9"/>
      <c r="K73" s="105"/>
      <c r="L73" s="106"/>
      <c r="M73" s="106"/>
      <c r="N73" s="106"/>
      <c r="O73" s="106"/>
      <c r="P73" s="107"/>
      <c r="Q73" s="9"/>
      <c r="R73" s="9"/>
      <c r="S73" s="9"/>
      <c r="T73" s="9"/>
      <c r="U73" s="9"/>
    </row>
    <row r="74" spans="1:21" ht="18" customHeight="1" x14ac:dyDescent="0.2">
      <c r="A74" s="3"/>
      <c r="B74" s="105"/>
      <c r="C74" s="106"/>
      <c r="D74" s="106"/>
      <c r="E74" s="106"/>
      <c r="F74" s="9"/>
      <c r="G74" s="9"/>
      <c r="H74" s="9"/>
      <c r="I74" s="9"/>
      <c r="J74" s="9"/>
      <c r="K74" s="105"/>
      <c r="L74" s="106"/>
      <c r="M74" s="106"/>
      <c r="N74" s="106"/>
      <c r="O74" s="106"/>
      <c r="P74" s="107"/>
      <c r="Q74" s="9"/>
      <c r="R74" s="9"/>
      <c r="S74" s="9"/>
      <c r="T74" s="9"/>
      <c r="U74" s="9"/>
    </row>
    <row r="75" spans="1:21" ht="18" customHeight="1" x14ac:dyDescent="0.2">
      <c r="A75" s="3"/>
      <c r="B75" s="105"/>
      <c r="C75" s="106"/>
      <c r="D75" s="106"/>
      <c r="E75" s="106"/>
      <c r="F75" s="9"/>
      <c r="G75" s="9"/>
      <c r="H75" s="9"/>
      <c r="I75" s="9"/>
      <c r="J75" s="9"/>
      <c r="K75" s="105"/>
      <c r="L75" s="106"/>
      <c r="M75" s="106"/>
      <c r="N75" s="106"/>
      <c r="O75" s="106"/>
      <c r="P75" s="107"/>
      <c r="Q75" s="9"/>
      <c r="R75" s="9"/>
      <c r="S75" s="9"/>
      <c r="T75" s="9"/>
      <c r="U75" s="9"/>
    </row>
    <row r="76" spans="1:21" ht="18" customHeight="1" x14ac:dyDescent="0.2">
      <c r="A76" s="3"/>
      <c r="B76" s="105"/>
      <c r="C76" s="106"/>
      <c r="D76" s="106"/>
      <c r="E76" s="106"/>
      <c r="F76" s="9"/>
      <c r="G76" s="9"/>
      <c r="H76" s="9"/>
      <c r="I76" s="9"/>
      <c r="J76" s="9"/>
      <c r="K76" s="105"/>
      <c r="L76" s="106"/>
      <c r="M76" s="106"/>
      <c r="N76" s="106"/>
      <c r="O76" s="106"/>
      <c r="P76" s="107"/>
      <c r="Q76" s="9"/>
      <c r="R76" s="9"/>
      <c r="S76" s="9"/>
      <c r="T76" s="9"/>
      <c r="U76" s="9"/>
    </row>
    <row r="77" spans="1:21" ht="18" customHeight="1" x14ac:dyDescent="0.2">
      <c r="A77" s="3"/>
      <c r="B77" s="128"/>
      <c r="C77" s="129"/>
      <c r="D77" s="129"/>
      <c r="E77" s="129"/>
      <c r="F77" s="10"/>
      <c r="G77" s="10"/>
      <c r="H77" s="11"/>
      <c r="I77" s="11"/>
      <c r="J77" s="11"/>
      <c r="K77" s="128"/>
      <c r="L77" s="129"/>
      <c r="M77" s="129"/>
      <c r="N77" s="129"/>
      <c r="O77" s="129"/>
      <c r="P77" s="130"/>
      <c r="Q77" s="10"/>
      <c r="R77" s="10"/>
      <c r="S77" s="11"/>
      <c r="T77" s="11"/>
      <c r="U77" s="11"/>
    </row>
    <row r="78" spans="1:21" ht="7.5" customHeight="1" x14ac:dyDescent="0.2">
      <c r="B78" s="6"/>
      <c r="C78" s="6"/>
      <c r="D78" s="6"/>
      <c r="E78" s="6"/>
      <c r="F78" s="6"/>
      <c r="G78" s="6"/>
      <c r="H78" s="6"/>
      <c r="I78" s="6"/>
      <c r="J78" s="6"/>
      <c r="K78" s="6"/>
      <c r="L78" s="6"/>
      <c r="M78" s="6"/>
      <c r="N78" s="6"/>
      <c r="O78" s="6"/>
      <c r="P78" s="6"/>
      <c r="Q78" s="6"/>
      <c r="R78" s="6"/>
      <c r="S78" s="6"/>
      <c r="T78" s="6"/>
    </row>
    <row r="79" spans="1:21" ht="18" customHeight="1" x14ac:dyDescent="0.2">
      <c r="A79" s="1" t="s">
        <v>34</v>
      </c>
      <c r="I79" s="3"/>
      <c r="J79" s="3"/>
      <c r="K79" s="3"/>
      <c r="L79" s="3"/>
      <c r="M79" s="3"/>
      <c r="N79" s="3"/>
      <c r="O79" s="3"/>
      <c r="P79" s="3"/>
      <c r="Q79" s="3"/>
      <c r="R79" s="3"/>
      <c r="S79" s="3"/>
      <c r="T79" s="3"/>
      <c r="U79" s="3"/>
    </row>
    <row r="80" spans="1:21" ht="18" customHeight="1" x14ac:dyDescent="0.2">
      <c r="B80" s="121" t="s">
        <v>13</v>
      </c>
      <c r="C80" s="122"/>
      <c r="D80" s="122"/>
      <c r="E80" s="122"/>
      <c r="F80" s="123"/>
      <c r="G80" s="121" t="s">
        <v>35</v>
      </c>
      <c r="H80" s="122"/>
      <c r="I80" s="122"/>
      <c r="J80" s="123"/>
      <c r="K80" s="131" t="s">
        <v>13</v>
      </c>
      <c r="L80" s="132"/>
      <c r="M80" s="132"/>
      <c r="N80" s="132"/>
      <c r="O80" s="132"/>
      <c r="P80" s="132"/>
      <c r="Q80" s="133"/>
      <c r="R80" s="121" t="s">
        <v>35</v>
      </c>
      <c r="S80" s="122"/>
      <c r="T80" s="122"/>
      <c r="U80" s="123"/>
    </row>
    <row r="81" spans="1:21" ht="18" customHeight="1" x14ac:dyDescent="0.2">
      <c r="A81" s="3"/>
      <c r="B81" s="124" t="s">
        <v>18</v>
      </c>
      <c r="C81" s="125"/>
      <c r="D81" s="125"/>
      <c r="E81" s="125"/>
      <c r="F81" s="126"/>
      <c r="G81" s="137" t="s">
        <v>36</v>
      </c>
      <c r="H81" s="138"/>
      <c r="I81" s="138"/>
      <c r="J81" s="139"/>
      <c r="K81" s="124"/>
      <c r="L81" s="125"/>
      <c r="M81" s="125"/>
      <c r="N81" s="125"/>
      <c r="O81" s="125"/>
      <c r="P81" s="125"/>
      <c r="Q81" s="126"/>
      <c r="R81" s="137"/>
      <c r="S81" s="138"/>
      <c r="T81" s="138"/>
      <c r="U81" s="139"/>
    </row>
    <row r="82" spans="1:21" ht="18" customHeight="1" x14ac:dyDescent="0.2">
      <c r="A82" s="3"/>
      <c r="B82" s="105" t="s">
        <v>23</v>
      </c>
      <c r="C82" s="106"/>
      <c r="D82" s="106"/>
      <c r="E82" s="106"/>
      <c r="F82" s="107"/>
      <c r="G82" s="134" t="s">
        <v>37</v>
      </c>
      <c r="H82" s="135"/>
      <c r="I82" s="135"/>
      <c r="J82" s="136"/>
      <c r="K82" s="105"/>
      <c r="L82" s="106"/>
      <c r="M82" s="106"/>
      <c r="N82" s="106"/>
      <c r="O82" s="106"/>
      <c r="P82" s="106"/>
      <c r="Q82" s="107"/>
      <c r="R82" s="134"/>
      <c r="S82" s="135"/>
      <c r="T82" s="135"/>
      <c r="U82" s="136"/>
    </row>
    <row r="83" spans="1:21" ht="18" customHeight="1" x14ac:dyDescent="0.2">
      <c r="A83" s="3"/>
      <c r="B83" s="105"/>
      <c r="C83" s="106"/>
      <c r="D83" s="106"/>
      <c r="E83" s="106"/>
      <c r="F83" s="107"/>
      <c r="G83" s="134"/>
      <c r="H83" s="135"/>
      <c r="I83" s="135"/>
      <c r="J83" s="136"/>
      <c r="K83" s="105"/>
      <c r="L83" s="106"/>
      <c r="M83" s="106"/>
      <c r="N83" s="106"/>
      <c r="O83" s="106"/>
      <c r="P83" s="106"/>
      <c r="Q83" s="107"/>
      <c r="R83" s="134"/>
      <c r="S83" s="135"/>
      <c r="T83" s="135"/>
      <c r="U83" s="136"/>
    </row>
    <row r="84" spans="1:21" ht="18" customHeight="1" x14ac:dyDescent="0.2">
      <c r="A84" s="3"/>
      <c r="B84" s="105"/>
      <c r="C84" s="106"/>
      <c r="D84" s="106"/>
      <c r="E84" s="106"/>
      <c r="F84" s="107"/>
      <c r="G84" s="134"/>
      <c r="H84" s="135"/>
      <c r="I84" s="135"/>
      <c r="J84" s="136"/>
      <c r="K84" s="105"/>
      <c r="L84" s="106"/>
      <c r="M84" s="106"/>
      <c r="N84" s="106"/>
      <c r="O84" s="106"/>
      <c r="P84" s="106"/>
      <c r="Q84" s="107"/>
      <c r="R84" s="134"/>
      <c r="S84" s="135"/>
      <c r="T84" s="135"/>
      <c r="U84" s="136"/>
    </row>
    <row r="85" spans="1:21" ht="18" customHeight="1" x14ac:dyDescent="0.2">
      <c r="A85" s="3"/>
      <c r="B85" s="105"/>
      <c r="C85" s="106"/>
      <c r="D85" s="106"/>
      <c r="E85" s="106"/>
      <c r="F85" s="107"/>
      <c r="G85" s="134"/>
      <c r="H85" s="135"/>
      <c r="I85" s="135"/>
      <c r="J85" s="136"/>
      <c r="K85" s="105"/>
      <c r="L85" s="106"/>
      <c r="M85" s="106"/>
      <c r="N85" s="106"/>
      <c r="O85" s="106"/>
      <c r="P85" s="106"/>
      <c r="Q85" s="107"/>
      <c r="R85" s="134"/>
      <c r="S85" s="135"/>
      <c r="T85" s="135"/>
      <c r="U85" s="136"/>
    </row>
    <row r="86" spans="1:21" ht="18" customHeight="1" x14ac:dyDescent="0.2">
      <c r="A86" s="3"/>
      <c r="B86" s="105"/>
      <c r="C86" s="106"/>
      <c r="D86" s="106"/>
      <c r="E86" s="106"/>
      <c r="F86" s="107"/>
      <c r="G86" s="134"/>
      <c r="H86" s="135"/>
      <c r="I86" s="135"/>
      <c r="J86" s="136"/>
      <c r="K86" s="105"/>
      <c r="L86" s="106"/>
      <c r="M86" s="106"/>
      <c r="N86" s="106"/>
      <c r="O86" s="106"/>
      <c r="P86" s="106"/>
      <c r="Q86" s="107"/>
      <c r="R86" s="134"/>
      <c r="S86" s="135"/>
      <c r="T86" s="135"/>
      <c r="U86" s="136"/>
    </row>
    <row r="87" spans="1:21" ht="18" customHeight="1" x14ac:dyDescent="0.2">
      <c r="A87" s="3"/>
      <c r="B87" s="128"/>
      <c r="C87" s="129"/>
      <c r="D87" s="129"/>
      <c r="E87" s="129"/>
      <c r="F87" s="130"/>
      <c r="G87" s="140"/>
      <c r="H87" s="141"/>
      <c r="I87" s="141"/>
      <c r="J87" s="142"/>
      <c r="K87" s="128"/>
      <c r="L87" s="129"/>
      <c r="M87" s="129"/>
      <c r="N87" s="129"/>
      <c r="O87" s="129"/>
      <c r="P87" s="129"/>
      <c r="Q87" s="130"/>
      <c r="R87" s="140"/>
      <c r="S87" s="141"/>
      <c r="T87" s="141"/>
      <c r="U87" s="142"/>
    </row>
    <row r="88" spans="1:21" ht="18" customHeight="1" x14ac:dyDescent="0.2">
      <c r="A88" s="3"/>
      <c r="B88" s="4"/>
      <c r="C88" s="4"/>
      <c r="D88" s="4"/>
      <c r="E88" s="4"/>
      <c r="F88" s="4"/>
      <c r="G88" s="12"/>
      <c r="H88" s="12"/>
      <c r="I88" s="12"/>
      <c r="J88" s="12"/>
      <c r="K88" s="4"/>
      <c r="L88" s="4"/>
      <c r="M88" s="4"/>
      <c r="N88" s="4"/>
      <c r="O88" s="4"/>
      <c r="P88" s="4"/>
      <c r="Q88" s="4"/>
      <c r="R88" s="12"/>
      <c r="S88" s="12"/>
      <c r="T88" s="12"/>
      <c r="U88" s="12"/>
    </row>
    <row r="89" spans="1:21" ht="18.75" customHeight="1" x14ac:dyDescent="0.2">
      <c r="A89" s="1" t="s">
        <v>38</v>
      </c>
    </row>
    <row r="90" spans="1:21" ht="18.75" customHeight="1" x14ac:dyDescent="0.2">
      <c r="B90" s="143" t="s">
        <v>39</v>
      </c>
      <c r="C90" s="144"/>
      <c r="D90" s="121" t="s">
        <v>40</v>
      </c>
      <c r="E90" s="122"/>
      <c r="F90" s="122"/>
      <c r="G90" s="122"/>
      <c r="H90" s="122"/>
      <c r="I90" s="122"/>
      <c r="J90" s="122"/>
      <c r="K90" s="122"/>
      <c r="L90" s="122"/>
      <c r="M90" s="122"/>
      <c r="N90" s="122"/>
      <c r="O90" s="122"/>
      <c r="P90" s="122"/>
      <c r="Q90" s="122"/>
      <c r="R90" s="122"/>
      <c r="S90" s="122"/>
      <c r="T90" s="122"/>
      <c r="U90" s="123"/>
    </row>
    <row r="91" spans="1:21" ht="97.5" customHeight="1" x14ac:dyDescent="0.2">
      <c r="B91" s="145" t="s">
        <v>41</v>
      </c>
      <c r="C91" s="79" t="s">
        <v>16</v>
      </c>
      <c r="D91" s="147" t="s">
        <v>175</v>
      </c>
      <c r="E91" s="148"/>
      <c r="F91" s="148"/>
      <c r="G91" s="148"/>
      <c r="H91" s="148"/>
      <c r="I91" s="148"/>
      <c r="J91" s="148"/>
      <c r="K91" s="148"/>
      <c r="L91" s="148"/>
      <c r="M91" s="148"/>
      <c r="N91" s="148"/>
      <c r="O91" s="148"/>
      <c r="P91" s="148"/>
      <c r="Q91" s="148"/>
      <c r="R91" s="148"/>
      <c r="S91" s="148"/>
      <c r="T91" s="148"/>
      <c r="U91" s="149"/>
    </row>
    <row r="92" spans="1:21" ht="97.5" customHeight="1" x14ac:dyDescent="0.2">
      <c r="B92" s="153"/>
      <c r="C92" s="80" t="s">
        <v>42</v>
      </c>
      <c r="D92" s="150" t="s">
        <v>175</v>
      </c>
      <c r="E92" s="151"/>
      <c r="F92" s="151"/>
      <c r="G92" s="151"/>
      <c r="H92" s="151"/>
      <c r="I92" s="151"/>
      <c r="J92" s="151"/>
      <c r="K92" s="151"/>
      <c r="L92" s="151"/>
      <c r="M92" s="151"/>
      <c r="N92" s="151"/>
      <c r="O92" s="151"/>
      <c r="P92" s="151"/>
      <c r="Q92" s="151"/>
      <c r="R92" s="151"/>
      <c r="S92" s="151"/>
      <c r="T92" s="151"/>
      <c r="U92" s="152"/>
    </row>
    <row r="93" spans="1:21" ht="97.5" customHeight="1" x14ac:dyDescent="0.2">
      <c r="B93" s="145" t="s">
        <v>43</v>
      </c>
      <c r="C93" s="81" t="s">
        <v>21</v>
      </c>
      <c r="D93" s="147" t="s">
        <v>176</v>
      </c>
      <c r="E93" s="148"/>
      <c r="F93" s="148"/>
      <c r="G93" s="148"/>
      <c r="H93" s="148"/>
      <c r="I93" s="148"/>
      <c r="J93" s="148"/>
      <c r="K93" s="148"/>
      <c r="L93" s="148"/>
      <c r="M93" s="148"/>
      <c r="N93" s="148"/>
      <c r="O93" s="148"/>
      <c r="P93" s="148"/>
      <c r="Q93" s="148"/>
      <c r="R93" s="148"/>
      <c r="S93" s="148"/>
      <c r="T93" s="148"/>
      <c r="U93" s="149"/>
    </row>
    <row r="94" spans="1:21" ht="97.5" customHeight="1" x14ac:dyDescent="0.2">
      <c r="B94" s="146"/>
      <c r="C94" s="82" t="s">
        <v>22</v>
      </c>
      <c r="D94" s="150" t="s">
        <v>177</v>
      </c>
      <c r="E94" s="151"/>
      <c r="F94" s="151"/>
      <c r="G94" s="151"/>
      <c r="H94" s="151"/>
      <c r="I94" s="151"/>
      <c r="J94" s="151"/>
      <c r="K94" s="151"/>
      <c r="L94" s="151"/>
      <c r="M94" s="151"/>
      <c r="N94" s="151"/>
      <c r="O94" s="151"/>
      <c r="P94" s="151"/>
      <c r="Q94" s="151"/>
      <c r="R94" s="151"/>
      <c r="S94" s="151"/>
      <c r="T94" s="151"/>
      <c r="U94" s="152"/>
    </row>
    <row r="95" spans="1:21" ht="97.5" customHeight="1" x14ac:dyDescent="0.2">
      <c r="B95" s="145" t="s">
        <v>44</v>
      </c>
      <c r="C95" s="81" t="s">
        <v>25</v>
      </c>
      <c r="D95" s="147" t="s">
        <v>179</v>
      </c>
      <c r="E95" s="148"/>
      <c r="F95" s="148"/>
      <c r="G95" s="148"/>
      <c r="H95" s="148"/>
      <c r="I95" s="148"/>
      <c r="J95" s="148"/>
      <c r="K95" s="148"/>
      <c r="L95" s="148"/>
      <c r="M95" s="148"/>
      <c r="N95" s="148"/>
      <c r="O95" s="148"/>
      <c r="P95" s="148"/>
      <c r="Q95" s="148"/>
      <c r="R95" s="148"/>
      <c r="S95" s="148"/>
      <c r="T95" s="148"/>
      <c r="U95" s="149"/>
    </row>
    <row r="96" spans="1:21" ht="97.5" customHeight="1" x14ac:dyDescent="0.2">
      <c r="B96" s="146"/>
      <c r="C96" s="83" t="s">
        <v>26</v>
      </c>
      <c r="D96" s="150" t="s">
        <v>178</v>
      </c>
      <c r="E96" s="151"/>
      <c r="F96" s="151"/>
      <c r="G96" s="151"/>
      <c r="H96" s="151"/>
      <c r="I96" s="151"/>
      <c r="J96" s="151"/>
      <c r="K96" s="151"/>
      <c r="L96" s="151"/>
      <c r="M96" s="151"/>
      <c r="N96" s="151"/>
      <c r="O96" s="151"/>
      <c r="P96" s="151"/>
      <c r="Q96" s="151"/>
      <c r="R96" s="151"/>
      <c r="S96" s="151"/>
      <c r="T96" s="151"/>
      <c r="U96" s="152"/>
    </row>
    <row r="97" spans="1:33" ht="97.5" customHeight="1" x14ac:dyDescent="0.2">
      <c r="B97" s="145" t="s">
        <v>45</v>
      </c>
      <c r="C97" s="79" t="s">
        <v>28</v>
      </c>
      <c r="D97" s="147" t="s">
        <v>178</v>
      </c>
      <c r="E97" s="148"/>
      <c r="F97" s="148"/>
      <c r="G97" s="148"/>
      <c r="H97" s="148"/>
      <c r="I97" s="148"/>
      <c r="J97" s="148"/>
      <c r="K97" s="148"/>
      <c r="L97" s="148"/>
      <c r="M97" s="148"/>
      <c r="N97" s="148"/>
      <c r="O97" s="148"/>
      <c r="P97" s="148"/>
      <c r="Q97" s="148"/>
      <c r="R97" s="148"/>
      <c r="S97" s="148"/>
      <c r="T97" s="148"/>
      <c r="U97" s="149"/>
    </row>
    <row r="98" spans="1:33" ht="97.5" customHeight="1" x14ac:dyDescent="0.2">
      <c r="B98" s="146"/>
      <c r="C98" s="82" t="s">
        <v>29</v>
      </c>
      <c r="D98" s="150" t="s">
        <v>180</v>
      </c>
      <c r="E98" s="151"/>
      <c r="F98" s="151"/>
      <c r="G98" s="151"/>
      <c r="H98" s="151"/>
      <c r="I98" s="151"/>
      <c r="J98" s="151"/>
      <c r="K98" s="151"/>
      <c r="L98" s="151"/>
      <c r="M98" s="151"/>
      <c r="N98" s="151"/>
      <c r="O98" s="151"/>
      <c r="P98" s="151"/>
      <c r="Q98" s="151"/>
      <c r="R98" s="151"/>
      <c r="S98" s="151"/>
      <c r="T98" s="151"/>
      <c r="U98" s="152"/>
    </row>
    <row r="99" spans="1:33" ht="97.5" customHeight="1" x14ac:dyDescent="0.2">
      <c r="B99" s="145" t="s">
        <v>46</v>
      </c>
      <c r="C99" s="81" t="s">
        <v>47</v>
      </c>
      <c r="D99" s="147" t="s">
        <v>181</v>
      </c>
      <c r="E99" s="148"/>
      <c r="F99" s="148"/>
      <c r="G99" s="148"/>
      <c r="H99" s="148"/>
      <c r="I99" s="148"/>
      <c r="J99" s="148"/>
      <c r="K99" s="148"/>
      <c r="L99" s="148"/>
      <c r="M99" s="148"/>
      <c r="N99" s="148"/>
      <c r="O99" s="148"/>
      <c r="P99" s="148"/>
      <c r="Q99" s="148"/>
      <c r="R99" s="148"/>
      <c r="S99" s="148"/>
      <c r="T99" s="148"/>
      <c r="U99" s="149"/>
    </row>
    <row r="100" spans="1:33" ht="97.5" customHeight="1" x14ac:dyDescent="0.2">
      <c r="B100" s="153"/>
      <c r="C100" s="84" t="s">
        <v>32</v>
      </c>
      <c r="D100" s="157" t="s">
        <v>182</v>
      </c>
      <c r="E100" s="158"/>
      <c r="F100" s="158"/>
      <c r="G100" s="158"/>
      <c r="H100" s="158"/>
      <c r="I100" s="158"/>
      <c r="J100" s="158"/>
      <c r="K100" s="158"/>
      <c r="L100" s="158"/>
      <c r="M100" s="158"/>
      <c r="N100" s="158"/>
      <c r="O100" s="158"/>
      <c r="P100" s="158"/>
      <c r="Q100" s="158"/>
      <c r="R100" s="158"/>
      <c r="S100" s="158"/>
      <c r="T100" s="158"/>
      <c r="U100" s="159"/>
    </row>
    <row r="101" spans="1:33" ht="97.5" customHeight="1" x14ac:dyDescent="0.2">
      <c r="B101" s="146"/>
      <c r="C101" s="83" t="s">
        <v>33</v>
      </c>
      <c r="D101" s="150" t="s">
        <v>183</v>
      </c>
      <c r="E101" s="151"/>
      <c r="F101" s="151"/>
      <c r="G101" s="151"/>
      <c r="H101" s="151"/>
      <c r="I101" s="151"/>
      <c r="J101" s="151"/>
      <c r="K101" s="151"/>
      <c r="L101" s="151"/>
      <c r="M101" s="151"/>
      <c r="N101" s="151"/>
      <c r="O101" s="151"/>
      <c r="P101" s="151"/>
      <c r="Q101" s="151"/>
      <c r="R101" s="151"/>
      <c r="S101" s="151"/>
      <c r="T101" s="151"/>
      <c r="U101" s="152"/>
    </row>
    <row r="102" spans="1:33" ht="6" customHeight="1" x14ac:dyDescent="0.2"/>
    <row r="103" spans="1:33" ht="18.75" customHeight="1" x14ac:dyDescent="0.2">
      <c r="A103" s="1" t="s">
        <v>48</v>
      </c>
    </row>
    <row r="104" spans="1:33" ht="81.75" customHeight="1" x14ac:dyDescent="0.2">
      <c r="B104" s="160" t="s">
        <v>167</v>
      </c>
      <c r="C104" s="161"/>
      <c r="D104" s="161"/>
      <c r="E104" s="161"/>
      <c r="F104" s="161"/>
      <c r="G104" s="161"/>
      <c r="H104" s="161"/>
      <c r="I104" s="161"/>
      <c r="J104" s="161"/>
      <c r="K104" s="161"/>
      <c r="L104" s="161"/>
      <c r="M104" s="161"/>
      <c r="N104" s="161"/>
      <c r="O104" s="161"/>
      <c r="P104" s="161"/>
      <c r="Q104" s="161"/>
      <c r="R104" s="161"/>
      <c r="S104" s="161"/>
      <c r="T104" s="161"/>
      <c r="U104" s="162"/>
    </row>
    <row r="106" spans="1:33" ht="18.75" customHeight="1" x14ac:dyDescent="0.2">
      <c r="A106" s="38" t="s">
        <v>168</v>
      </c>
      <c r="B106" s="18"/>
      <c r="C106" s="18"/>
      <c r="D106" s="18"/>
      <c r="E106" s="18"/>
      <c r="F106" s="18"/>
      <c r="G106" s="18"/>
      <c r="H106" s="18"/>
      <c r="I106" s="18"/>
      <c r="J106" s="18"/>
      <c r="K106" s="18"/>
      <c r="L106" s="18"/>
      <c r="M106" s="18"/>
      <c r="N106" s="18"/>
      <c r="O106" s="18"/>
      <c r="P106" s="18"/>
      <c r="Q106" s="18"/>
      <c r="R106" s="18"/>
      <c r="S106" s="18"/>
      <c r="T106" s="18"/>
      <c r="U106" s="18"/>
    </row>
    <row r="107" spans="1:33" ht="18.75" customHeight="1" x14ac:dyDescent="0.2">
      <c r="A107" s="38" t="s">
        <v>169</v>
      </c>
      <c r="B107" s="38"/>
      <c r="C107" s="38"/>
      <c r="D107" s="38"/>
      <c r="E107" s="38"/>
      <c r="F107" s="38"/>
      <c r="G107" s="38"/>
      <c r="H107" s="38"/>
      <c r="I107" s="38"/>
      <c r="J107" s="38"/>
      <c r="K107" s="38"/>
      <c r="L107" s="38"/>
      <c r="M107" s="38"/>
      <c r="N107" s="38"/>
      <c r="O107" s="38"/>
      <c r="P107" s="38"/>
      <c r="Q107" s="38"/>
      <c r="R107" s="38"/>
      <c r="S107" s="38"/>
      <c r="T107" s="38"/>
      <c r="U107" s="38"/>
      <c r="V107" s="2"/>
      <c r="W107" s="2"/>
      <c r="X107" s="2"/>
      <c r="Y107" s="2"/>
      <c r="Z107" s="2"/>
      <c r="AA107" s="2"/>
      <c r="AB107" s="2"/>
      <c r="AC107" s="2"/>
      <c r="AD107" s="2"/>
      <c r="AE107" s="2"/>
      <c r="AF107" s="2"/>
      <c r="AG107" s="2"/>
    </row>
    <row r="108" spans="1:33" ht="18.75" customHeight="1" x14ac:dyDescent="0.2">
      <c r="A108" s="38"/>
      <c r="B108" s="163" t="s">
        <v>170</v>
      </c>
      <c r="C108" s="163"/>
      <c r="D108" s="163"/>
      <c r="E108" s="163"/>
      <c r="F108" s="163"/>
      <c r="G108" s="163"/>
      <c r="H108" s="163"/>
      <c r="I108" s="163"/>
      <c r="J108" s="163"/>
      <c r="K108" s="163"/>
      <c r="L108" s="163"/>
      <c r="M108" s="163"/>
      <c r="N108" s="163"/>
      <c r="O108" s="163"/>
      <c r="P108" s="163"/>
      <c r="Q108" s="163"/>
      <c r="R108" s="163"/>
      <c r="S108" s="163"/>
      <c r="T108" s="163"/>
      <c r="U108" s="163"/>
      <c r="V108" s="85"/>
      <c r="W108" s="85"/>
      <c r="X108" s="85"/>
      <c r="Y108" s="85"/>
      <c r="Z108" s="85"/>
      <c r="AA108" s="85"/>
      <c r="AB108" s="85"/>
      <c r="AC108" s="85"/>
      <c r="AD108" s="85"/>
      <c r="AE108" s="85"/>
      <c r="AF108" s="85"/>
      <c r="AG108" s="85"/>
    </row>
    <row r="109" spans="1:33" ht="37.15" customHeight="1" x14ac:dyDescent="0.2">
      <c r="A109" s="38"/>
      <c r="B109" s="163"/>
      <c r="C109" s="163"/>
      <c r="D109" s="163"/>
      <c r="E109" s="163"/>
      <c r="F109" s="163"/>
      <c r="G109" s="163"/>
      <c r="H109" s="163"/>
      <c r="I109" s="163"/>
      <c r="J109" s="163"/>
      <c r="K109" s="163"/>
      <c r="L109" s="163"/>
      <c r="M109" s="163"/>
      <c r="N109" s="163"/>
      <c r="O109" s="163"/>
      <c r="P109" s="163"/>
      <c r="Q109" s="163"/>
      <c r="R109" s="163"/>
      <c r="S109" s="163"/>
      <c r="T109" s="163"/>
      <c r="U109" s="163"/>
      <c r="V109" s="85"/>
      <c r="W109" s="85"/>
      <c r="X109" s="85"/>
      <c r="Y109" s="85"/>
      <c r="Z109" s="85"/>
      <c r="AA109" s="85"/>
      <c r="AB109" s="85"/>
      <c r="AC109" s="85"/>
      <c r="AD109" s="85"/>
      <c r="AE109" s="85"/>
      <c r="AF109" s="85"/>
      <c r="AG109" s="85"/>
    </row>
    <row r="110" spans="1:33" ht="18.75" customHeight="1" x14ac:dyDescent="0.2">
      <c r="A110" s="38"/>
      <c r="B110" s="154" t="s">
        <v>171</v>
      </c>
      <c r="C110" s="154"/>
      <c r="D110" s="154"/>
      <c r="E110" s="154"/>
      <c r="F110" s="154"/>
      <c r="G110" s="154"/>
      <c r="H110" s="154"/>
      <c r="I110" s="154"/>
      <c r="J110" s="154"/>
      <c r="K110" s="154"/>
      <c r="L110" s="154"/>
      <c r="M110" s="154"/>
      <c r="N110" s="154"/>
      <c r="O110" s="154"/>
      <c r="P110" s="154"/>
      <c r="Q110" s="154"/>
      <c r="R110" s="154"/>
      <c r="S110" s="154"/>
      <c r="T110" s="154"/>
      <c r="U110" s="154"/>
      <c r="V110" s="85"/>
      <c r="W110" s="85"/>
      <c r="X110" s="85"/>
      <c r="Y110" s="85"/>
      <c r="Z110" s="85"/>
      <c r="AA110" s="85"/>
      <c r="AB110" s="85"/>
      <c r="AC110" s="85"/>
      <c r="AD110" s="85"/>
      <c r="AE110" s="85"/>
      <c r="AF110" s="85"/>
      <c r="AG110" s="85"/>
    </row>
    <row r="111" spans="1:33" ht="18.75" customHeight="1" x14ac:dyDescent="0.2">
      <c r="A111" s="38"/>
      <c r="B111" s="155" t="s">
        <v>40</v>
      </c>
      <c r="C111" s="155"/>
      <c r="D111" s="155"/>
      <c r="E111" s="155"/>
      <c r="F111" s="155"/>
      <c r="G111" s="155"/>
      <c r="H111" s="155"/>
      <c r="I111" s="155"/>
      <c r="J111" s="155"/>
      <c r="K111" s="155"/>
      <c r="L111" s="155"/>
      <c r="M111" s="155"/>
      <c r="N111" s="155"/>
      <c r="O111" s="155"/>
      <c r="P111" s="155"/>
      <c r="Q111" s="155"/>
      <c r="R111" s="155"/>
      <c r="S111" s="155"/>
      <c r="T111" s="155"/>
      <c r="U111" s="155"/>
      <c r="V111" s="86"/>
      <c r="W111" s="86"/>
      <c r="X111" s="86"/>
      <c r="Y111" s="86"/>
      <c r="Z111" s="86"/>
      <c r="AA111" s="86"/>
      <c r="AB111" s="86"/>
      <c r="AC111" s="86"/>
      <c r="AD111" s="86"/>
      <c r="AE111" s="86"/>
      <c r="AF111" s="86"/>
      <c r="AG111" s="86"/>
    </row>
    <row r="112" spans="1:33" ht="132" customHeight="1" x14ac:dyDescent="0.2">
      <c r="A112" s="38"/>
      <c r="B112" s="156" t="s">
        <v>172</v>
      </c>
      <c r="C112" s="156"/>
      <c r="D112" s="156"/>
      <c r="E112" s="156"/>
      <c r="F112" s="156"/>
      <c r="G112" s="156"/>
      <c r="H112" s="156"/>
      <c r="I112" s="156"/>
      <c r="J112" s="156"/>
      <c r="K112" s="156"/>
      <c r="L112" s="156"/>
      <c r="M112" s="156"/>
      <c r="N112" s="156"/>
      <c r="O112" s="156"/>
      <c r="P112" s="156"/>
      <c r="Q112" s="156"/>
      <c r="R112" s="156"/>
      <c r="S112" s="156"/>
      <c r="T112" s="156"/>
      <c r="U112" s="156"/>
      <c r="V112" s="87"/>
      <c r="W112" s="87"/>
      <c r="X112" s="87"/>
      <c r="Y112" s="87"/>
      <c r="Z112" s="87"/>
      <c r="AA112" s="87"/>
      <c r="AB112" s="87"/>
      <c r="AC112" s="87"/>
      <c r="AD112" s="87"/>
      <c r="AE112" s="87"/>
      <c r="AF112" s="87"/>
      <c r="AG112" s="87"/>
    </row>
    <row r="114" ht="18" customHeight="1" x14ac:dyDescent="0.2"/>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xr:uid="{9E1D9F80-F752-4FCA-9C61-404B76C4DEBB}">
      <formula1>$X$16:$X$18</formula1>
    </dataValidation>
    <dataValidation type="list" allowBlank="1" showInputMessage="1" showErrorMessage="1" sqref="G81:G88 R81:R88 H81:J82 H85:J88 S85:U88 S81:U82" xr:uid="{97AA07A6-3F3B-4E7C-AC36-4F39EDFAB20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5BE77242-D022-4D17-8611-E7179EBBAFDA}">
      <formula1>"学部・学科によって、修了要件は相違する,学部・学科によって、修了要件は相違しない"</formula1>
    </dataValidation>
    <dataValidation type="list" allowBlank="1" showInputMessage="1" showErrorMessage="1" sqref="U34 U45 E34:H34 E45:H45" xr:uid="{96F30A08-032E-4F8F-A52D-B762612F90FC}">
      <formula1>"全学開講,一部開講"</formula1>
    </dataValidation>
    <dataValidation type="list" allowBlank="1" showInputMessage="1" showErrorMessage="1" sqref="R71:U77 S27:U33 G71:J77 S38:U44 H38:J44 S49:U55 H49:J55 S60:U66 H27:J33 H60:J66" xr:uid="{09DE22E9-B39E-40BE-93FF-218156D43CE9}">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7E017-BE76-4CA4-9FC8-C6F4B22A0DDB}">
  <sheetPr>
    <pageSetUpPr fitToPage="1"/>
  </sheetPr>
  <dimension ref="A1:AG114"/>
  <sheetViews>
    <sheetView showZeros="0" view="pageBreakPreview" zoomScaleNormal="100" zoomScaleSheetLayoutView="100" workbookViewId="0">
      <selection activeCell="B112" sqref="B112:U112"/>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18"/>
      <c r="B1" s="18"/>
      <c r="C1" s="18"/>
      <c r="D1" s="18"/>
      <c r="E1" s="18"/>
      <c r="F1" s="18"/>
      <c r="G1" s="18"/>
      <c r="H1" s="18"/>
      <c r="I1" s="18"/>
      <c r="J1" s="18"/>
      <c r="K1" s="18"/>
      <c r="L1" s="18"/>
      <c r="M1" s="18"/>
      <c r="N1" s="18"/>
      <c r="O1" s="18"/>
      <c r="P1" s="18"/>
      <c r="Q1" s="18"/>
      <c r="R1" s="18"/>
      <c r="S1" s="18"/>
      <c r="T1" s="88" t="s">
        <v>173</v>
      </c>
      <c r="U1" s="88"/>
      <c r="V1" s="2" t="s">
        <v>0</v>
      </c>
    </row>
    <row r="2" spans="1:24" ht="18.75" customHeight="1" x14ac:dyDescent="0.2">
      <c r="A2" s="18"/>
      <c r="B2" s="39" t="s">
        <v>1</v>
      </c>
      <c r="C2" s="89" t="s">
        <v>2</v>
      </c>
      <c r="D2" s="90"/>
      <c r="E2" s="90"/>
      <c r="F2" s="90"/>
      <c r="G2" s="90"/>
      <c r="H2" s="90"/>
      <c r="I2" s="90"/>
      <c r="J2" s="91"/>
      <c r="K2" s="24"/>
      <c r="L2" s="20"/>
      <c r="M2" s="20"/>
      <c r="N2" s="20"/>
      <c r="O2" s="20"/>
      <c r="P2" s="20"/>
      <c r="Q2" s="20"/>
      <c r="R2" s="20"/>
      <c r="S2" s="20"/>
      <c r="T2" s="20"/>
      <c r="U2" s="20"/>
    </row>
    <row r="3" spans="1:24" ht="18.75" customHeight="1" x14ac:dyDescent="0.2">
      <c r="A3" s="18"/>
      <c r="B3" s="39" t="s">
        <v>3</v>
      </c>
      <c r="C3" s="92" t="s">
        <v>4</v>
      </c>
      <c r="D3" s="93"/>
      <c r="E3" s="93"/>
      <c r="F3" s="93"/>
      <c r="G3" s="93"/>
      <c r="H3" s="93"/>
      <c r="I3" s="93"/>
      <c r="J3" s="94"/>
      <c r="K3" s="24"/>
      <c r="L3" s="20"/>
      <c r="M3" s="20"/>
      <c r="N3" s="20"/>
      <c r="O3" s="20"/>
      <c r="P3" s="20"/>
      <c r="Q3" s="20"/>
      <c r="R3" s="20"/>
      <c r="S3" s="20"/>
      <c r="T3" s="20"/>
      <c r="U3" s="20"/>
    </row>
    <row r="4" spans="1:24" ht="15" customHeight="1" x14ac:dyDescent="0.2">
      <c r="A4" s="18"/>
      <c r="B4" s="18"/>
      <c r="C4" s="18"/>
      <c r="D4" s="18"/>
      <c r="E4" s="18"/>
      <c r="F4" s="18"/>
      <c r="G4" s="18"/>
      <c r="H4" s="18"/>
      <c r="I4" s="18"/>
      <c r="J4" s="18"/>
      <c r="K4" s="18"/>
      <c r="L4" s="24"/>
      <c r="M4" s="40"/>
      <c r="N4" s="40"/>
      <c r="O4" s="40"/>
      <c r="P4" s="40"/>
      <c r="Q4" s="40"/>
      <c r="R4" s="40"/>
      <c r="S4" s="40"/>
      <c r="T4" s="40"/>
      <c r="U4" s="40"/>
    </row>
    <row r="5" spans="1:24" ht="18" customHeight="1" x14ac:dyDescent="0.2">
      <c r="A5" s="95" t="s">
        <v>5</v>
      </c>
      <c r="B5" s="95"/>
      <c r="C5" s="95"/>
      <c r="D5" s="95"/>
      <c r="E5" s="95"/>
      <c r="F5" s="95"/>
      <c r="G5" s="95"/>
      <c r="H5" s="95"/>
      <c r="I5" s="95"/>
      <c r="J5" s="95"/>
      <c r="K5" s="95"/>
      <c r="L5" s="95"/>
      <c r="M5" s="95"/>
      <c r="N5" s="95"/>
      <c r="O5" s="95"/>
      <c r="P5" s="95"/>
      <c r="Q5" s="95"/>
      <c r="R5" s="95"/>
      <c r="S5" s="95"/>
      <c r="T5" s="95"/>
      <c r="U5" s="95"/>
    </row>
    <row r="6" spans="1:24" ht="15" customHeight="1" x14ac:dyDescent="0.2">
      <c r="A6" s="18"/>
      <c r="B6" s="19"/>
      <c r="C6" s="19"/>
      <c r="D6" s="19"/>
      <c r="E6" s="19"/>
      <c r="F6" s="19"/>
      <c r="G6" s="19"/>
      <c r="H6" s="19"/>
      <c r="I6" s="19"/>
      <c r="J6" s="19"/>
      <c r="K6" s="19"/>
      <c r="L6" s="19"/>
      <c r="M6" s="19"/>
      <c r="N6" s="19"/>
      <c r="O6" s="19"/>
      <c r="P6" s="19"/>
      <c r="Q6" s="19"/>
      <c r="R6" s="19"/>
      <c r="S6" s="19"/>
      <c r="T6" s="19"/>
      <c r="U6" s="19"/>
    </row>
    <row r="7" spans="1:24" ht="15" customHeight="1" x14ac:dyDescent="0.2">
      <c r="A7" s="18" t="s">
        <v>159</v>
      </c>
      <c r="B7" s="19"/>
      <c r="C7" s="19"/>
      <c r="D7" s="19"/>
      <c r="E7" s="19"/>
      <c r="F7" s="38"/>
      <c r="G7" s="38"/>
      <c r="H7" s="38"/>
      <c r="I7" s="38"/>
      <c r="J7" s="38"/>
      <c r="K7" s="38"/>
      <c r="L7" s="96" t="s">
        <v>6</v>
      </c>
      <c r="M7" s="97"/>
      <c r="N7" s="97"/>
      <c r="O7" s="97"/>
      <c r="P7" s="97"/>
      <c r="Q7" s="97"/>
      <c r="R7" s="97"/>
      <c r="S7" s="97"/>
      <c r="T7" s="97"/>
      <c r="U7" s="98"/>
    </row>
    <row r="8" spans="1:24" ht="6" customHeight="1" x14ac:dyDescent="0.2">
      <c r="A8" s="18"/>
      <c r="B8" s="19"/>
      <c r="C8" s="19"/>
      <c r="D8" s="19"/>
      <c r="E8" s="19"/>
      <c r="F8" s="19"/>
      <c r="G8" s="19"/>
      <c r="H8" s="19"/>
      <c r="I8" s="19"/>
      <c r="J8" s="19"/>
      <c r="K8" s="19"/>
      <c r="L8" s="19"/>
      <c r="M8" s="19"/>
      <c r="N8" s="19"/>
      <c r="O8" s="19"/>
      <c r="P8" s="19"/>
      <c r="Q8" s="19"/>
      <c r="R8" s="19"/>
      <c r="S8" s="19"/>
      <c r="T8" s="19"/>
      <c r="U8" s="19"/>
    </row>
    <row r="9" spans="1:24" ht="18" customHeight="1" x14ac:dyDescent="0.2">
      <c r="A9" s="18" t="s">
        <v>160</v>
      </c>
      <c r="B9" s="18"/>
      <c r="C9" s="19"/>
      <c r="D9" s="19"/>
      <c r="E9" s="18"/>
      <c r="F9" s="18"/>
      <c r="G9" s="18"/>
      <c r="H9" s="18"/>
      <c r="I9" s="18"/>
      <c r="J9" s="18"/>
      <c r="K9" s="24"/>
      <c r="L9" s="38"/>
      <c r="M9" s="38"/>
      <c r="N9" s="38"/>
      <c r="O9" s="38"/>
      <c r="P9" s="38"/>
      <c r="Q9" s="38"/>
      <c r="R9" s="38"/>
      <c r="S9" s="38"/>
      <c r="T9" s="38"/>
      <c r="U9" s="38"/>
    </row>
    <row r="10" spans="1:24" ht="6" customHeight="1" x14ac:dyDescent="0.2">
      <c r="A10" s="18"/>
      <c r="B10" s="19"/>
      <c r="C10" s="19"/>
      <c r="D10" s="19"/>
      <c r="E10" s="19"/>
      <c r="F10" s="19"/>
      <c r="G10" s="19"/>
      <c r="H10" s="19"/>
      <c r="I10" s="19"/>
      <c r="J10" s="19"/>
      <c r="K10" s="19"/>
      <c r="L10" s="23"/>
      <c r="M10" s="19"/>
      <c r="N10" s="19"/>
      <c r="O10" s="19"/>
      <c r="P10" s="19"/>
      <c r="Q10" s="19"/>
      <c r="R10" s="19"/>
      <c r="S10" s="19"/>
      <c r="T10" s="19"/>
      <c r="U10" s="19"/>
    </row>
    <row r="11" spans="1:24" ht="18" customHeight="1" x14ac:dyDescent="0.2">
      <c r="A11" s="18"/>
      <c r="B11" s="99" t="s">
        <v>49</v>
      </c>
      <c r="C11" s="100"/>
      <c r="D11" s="100"/>
      <c r="E11" s="100"/>
      <c r="F11" s="100"/>
      <c r="G11" s="100"/>
      <c r="H11" s="100"/>
      <c r="I11" s="100"/>
      <c r="J11" s="100"/>
      <c r="K11" s="100"/>
      <c r="L11" s="100"/>
      <c r="M11" s="100"/>
      <c r="N11" s="100"/>
      <c r="O11" s="100"/>
      <c r="P11" s="100"/>
      <c r="Q11" s="100"/>
      <c r="R11" s="100"/>
      <c r="S11" s="100"/>
      <c r="T11" s="100"/>
      <c r="U11" s="101"/>
    </row>
    <row r="12" spans="1:24" ht="18" customHeight="1" x14ac:dyDescent="0.2">
      <c r="A12" s="18"/>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x14ac:dyDescent="0.2">
      <c r="A13" s="18"/>
      <c r="B13" s="19"/>
      <c r="C13" s="19"/>
      <c r="D13" s="19"/>
      <c r="E13" s="19"/>
      <c r="F13" s="19"/>
      <c r="G13" s="19"/>
      <c r="H13" s="19"/>
      <c r="I13" s="19"/>
      <c r="J13" s="19"/>
      <c r="K13" s="19"/>
      <c r="L13" s="23"/>
      <c r="M13" s="19"/>
      <c r="N13" s="19"/>
      <c r="O13" s="19"/>
      <c r="P13" s="19"/>
      <c r="Q13" s="19"/>
      <c r="R13" s="19"/>
      <c r="S13" s="19"/>
      <c r="T13" s="19"/>
      <c r="U13" s="19"/>
    </row>
    <row r="14" spans="1:24" ht="18" customHeight="1" x14ac:dyDescent="0.2">
      <c r="A14" s="18" t="s">
        <v>8</v>
      </c>
      <c r="B14" s="19"/>
      <c r="C14" s="19"/>
      <c r="D14" s="19"/>
      <c r="E14" s="24"/>
      <c r="F14" s="24"/>
      <c r="G14" s="24"/>
      <c r="H14" s="24"/>
      <c r="I14" s="24"/>
      <c r="J14" s="24"/>
      <c r="K14" s="24"/>
      <c r="L14" s="41"/>
      <c r="M14" s="41"/>
      <c r="N14" s="41"/>
      <c r="O14" s="41"/>
      <c r="P14" s="41"/>
      <c r="Q14" s="41"/>
      <c r="R14" s="41"/>
      <c r="S14" s="41"/>
      <c r="T14" s="41"/>
      <c r="U14" s="41"/>
    </row>
    <row r="15" spans="1:24" ht="18" customHeight="1" x14ac:dyDescent="0.2">
      <c r="A15" s="18"/>
      <c r="B15" s="108" t="s">
        <v>184</v>
      </c>
      <c r="C15" s="109"/>
      <c r="D15" s="109"/>
      <c r="E15" s="109"/>
      <c r="F15" s="109"/>
      <c r="G15" s="109"/>
      <c r="H15" s="109"/>
      <c r="I15" s="109"/>
      <c r="J15" s="109"/>
      <c r="K15" s="109"/>
      <c r="L15" s="109"/>
      <c r="M15" s="109"/>
      <c r="N15" s="109"/>
      <c r="O15" s="109"/>
      <c r="P15" s="109"/>
      <c r="Q15" s="109"/>
      <c r="R15" s="109"/>
      <c r="S15" s="109"/>
      <c r="T15" s="109"/>
      <c r="U15" s="110"/>
      <c r="X15" s="1" t="s">
        <v>9</v>
      </c>
    </row>
    <row r="16" spans="1:24" ht="18" customHeight="1" x14ac:dyDescent="0.2">
      <c r="A16" s="18"/>
      <c r="B16" s="111"/>
      <c r="C16" s="112"/>
      <c r="D16" s="112"/>
      <c r="E16" s="112"/>
      <c r="F16" s="112"/>
      <c r="G16" s="112"/>
      <c r="H16" s="112"/>
      <c r="I16" s="112"/>
      <c r="J16" s="112"/>
      <c r="K16" s="112"/>
      <c r="L16" s="112"/>
      <c r="M16" s="112"/>
      <c r="N16" s="112"/>
      <c r="O16" s="112"/>
      <c r="P16" s="112"/>
      <c r="Q16" s="112"/>
      <c r="R16" s="112"/>
      <c r="S16" s="112"/>
      <c r="T16" s="112"/>
      <c r="U16" s="113"/>
      <c r="X16" s="1" t="s">
        <v>161</v>
      </c>
    </row>
    <row r="17" spans="1:24" ht="18" customHeight="1" x14ac:dyDescent="0.2">
      <c r="A17" s="18"/>
      <c r="B17" s="111"/>
      <c r="C17" s="112"/>
      <c r="D17" s="112"/>
      <c r="E17" s="112"/>
      <c r="F17" s="112"/>
      <c r="G17" s="112"/>
      <c r="H17" s="112"/>
      <c r="I17" s="112"/>
      <c r="J17" s="112"/>
      <c r="K17" s="112"/>
      <c r="L17" s="112"/>
      <c r="M17" s="112"/>
      <c r="N17" s="112"/>
      <c r="O17" s="112"/>
      <c r="P17" s="112"/>
      <c r="Q17" s="112"/>
      <c r="R17" s="112"/>
      <c r="S17" s="112"/>
      <c r="T17" s="112"/>
      <c r="U17" s="113"/>
      <c r="X17" s="1" t="s">
        <v>162</v>
      </c>
    </row>
    <row r="18" spans="1:24" ht="18" customHeight="1" x14ac:dyDescent="0.2">
      <c r="A18" s="18"/>
      <c r="B18" s="111"/>
      <c r="C18" s="112"/>
      <c r="D18" s="112"/>
      <c r="E18" s="112"/>
      <c r="F18" s="112"/>
      <c r="G18" s="112"/>
      <c r="H18" s="112"/>
      <c r="I18" s="112"/>
      <c r="J18" s="112"/>
      <c r="K18" s="112"/>
      <c r="L18" s="112"/>
      <c r="M18" s="112"/>
      <c r="N18" s="112"/>
      <c r="O18" s="112"/>
      <c r="P18" s="112"/>
      <c r="Q18" s="112"/>
      <c r="R18" s="112"/>
      <c r="S18" s="112"/>
      <c r="T18" s="112"/>
      <c r="U18" s="113"/>
      <c r="X18" s="1" t="s">
        <v>163</v>
      </c>
    </row>
    <row r="19" spans="1:24" ht="18" customHeight="1" x14ac:dyDescent="0.2">
      <c r="A19" s="18"/>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2">
      <c r="A20" s="18"/>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2">
      <c r="A21" s="18"/>
      <c r="B21" s="19"/>
      <c r="C21" s="19"/>
      <c r="D21" s="19"/>
      <c r="E21" s="19"/>
      <c r="F21" s="19"/>
      <c r="G21" s="19"/>
      <c r="H21" s="19"/>
      <c r="I21" s="19"/>
      <c r="J21" s="19"/>
      <c r="K21" s="19"/>
      <c r="L21" s="19"/>
      <c r="M21" s="19"/>
      <c r="N21" s="19"/>
      <c r="O21" s="19"/>
      <c r="P21" s="19"/>
      <c r="Q21" s="19"/>
      <c r="R21" s="19"/>
      <c r="S21" s="19"/>
      <c r="T21" s="19"/>
      <c r="U21" s="19"/>
    </row>
    <row r="22" spans="1:24" ht="19.899999999999999" customHeight="1" x14ac:dyDescent="0.2">
      <c r="A22" s="18"/>
      <c r="B22" s="18" t="s">
        <v>164</v>
      </c>
      <c r="C22" s="18"/>
      <c r="D22" s="18"/>
      <c r="E22" s="22">
        <v>3</v>
      </c>
      <c r="F22" s="18" t="s">
        <v>165</v>
      </c>
      <c r="G22" s="18"/>
      <c r="H22" s="78">
        <v>6</v>
      </c>
      <c r="I22" s="19" t="s">
        <v>10</v>
      </c>
      <c r="J22" s="19"/>
      <c r="K22" s="24"/>
      <c r="L22" s="18"/>
      <c r="M22" s="24" t="s">
        <v>11</v>
      </c>
      <c r="N22" s="117" t="s">
        <v>161</v>
      </c>
      <c r="O22" s="118"/>
      <c r="P22" s="118"/>
      <c r="Q22" s="118"/>
      <c r="R22" s="118"/>
      <c r="S22" s="118"/>
      <c r="T22" s="118"/>
      <c r="U22" s="119"/>
    </row>
    <row r="23" spans="1:24" ht="7.5" customHeight="1" x14ac:dyDescent="0.2">
      <c r="A23" s="18"/>
      <c r="B23" s="19"/>
      <c r="C23" s="19"/>
      <c r="D23" s="19"/>
      <c r="E23" s="19"/>
      <c r="F23" s="19"/>
      <c r="G23" s="19"/>
      <c r="H23" s="19"/>
      <c r="I23" s="19"/>
      <c r="J23" s="19"/>
      <c r="K23" s="19"/>
      <c r="L23" s="19"/>
      <c r="M23" s="19"/>
      <c r="N23" s="19"/>
      <c r="O23" s="19"/>
      <c r="P23" s="19"/>
      <c r="Q23" s="19"/>
      <c r="R23" s="19"/>
      <c r="S23" s="19"/>
      <c r="T23" s="19"/>
      <c r="U23" s="19"/>
    </row>
    <row r="24" spans="1:24" ht="18" customHeight="1" x14ac:dyDescent="0.2">
      <c r="A24" s="120" t="s">
        <v>12</v>
      </c>
      <c r="B24" s="120"/>
      <c r="C24" s="120"/>
      <c r="D24" s="120"/>
      <c r="E24" s="120"/>
      <c r="F24" s="120"/>
      <c r="G24" s="120"/>
      <c r="H24" s="120"/>
      <c r="I24" s="120"/>
      <c r="J24" s="120"/>
      <c r="K24" s="120"/>
      <c r="L24" s="120"/>
      <c r="M24" s="120"/>
      <c r="N24" s="120"/>
      <c r="O24" s="120"/>
      <c r="P24" s="120"/>
      <c r="Q24" s="120"/>
      <c r="R24" s="120"/>
      <c r="S24" s="120"/>
      <c r="T24" s="120"/>
      <c r="U24" s="120"/>
    </row>
    <row r="25" spans="1:24" ht="18" customHeight="1" x14ac:dyDescent="0.2">
      <c r="A25" s="120"/>
      <c r="B25" s="120"/>
      <c r="C25" s="120"/>
      <c r="D25" s="120"/>
      <c r="E25" s="120"/>
      <c r="F25" s="120"/>
      <c r="G25" s="120"/>
      <c r="H25" s="120"/>
      <c r="I25" s="120"/>
      <c r="J25" s="120"/>
      <c r="K25" s="120"/>
      <c r="L25" s="120"/>
      <c r="M25" s="120"/>
      <c r="N25" s="120"/>
      <c r="O25" s="120"/>
      <c r="P25" s="120"/>
      <c r="Q25" s="120"/>
      <c r="R25" s="120"/>
      <c r="S25" s="120"/>
      <c r="T25" s="120"/>
      <c r="U25" s="120"/>
    </row>
    <row r="26" spans="1:24" ht="18" customHeight="1" x14ac:dyDescent="0.2">
      <c r="B26" s="121" t="s">
        <v>13</v>
      </c>
      <c r="C26" s="122"/>
      <c r="D26" s="122"/>
      <c r="E26" s="122"/>
      <c r="F26" s="123"/>
      <c r="G26" s="16" t="s">
        <v>14</v>
      </c>
      <c r="H26" s="15" t="s">
        <v>15</v>
      </c>
      <c r="I26" s="7" t="s">
        <v>16</v>
      </c>
      <c r="J26" s="7" t="s">
        <v>17</v>
      </c>
      <c r="K26" s="121" t="s">
        <v>13</v>
      </c>
      <c r="L26" s="122"/>
      <c r="M26" s="122"/>
      <c r="N26" s="122"/>
      <c r="O26" s="122"/>
      <c r="P26" s="122"/>
      <c r="Q26" s="123"/>
      <c r="R26" s="16" t="s">
        <v>14</v>
      </c>
      <c r="S26" s="15" t="s">
        <v>15</v>
      </c>
      <c r="T26" s="7" t="s">
        <v>16</v>
      </c>
      <c r="U26" s="7" t="s">
        <v>17</v>
      </c>
    </row>
    <row r="27" spans="1:24" ht="18" customHeight="1" x14ac:dyDescent="0.2">
      <c r="B27" s="124" t="s">
        <v>166</v>
      </c>
      <c r="C27" s="125"/>
      <c r="D27" s="125"/>
      <c r="E27" s="125"/>
      <c r="F27" s="126"/>
      <c r="G27" s="8">
        <v>1</v>
      </c>
      <c r="H27" s="8" t="s">
        <v>19</v>
      </c>
      <c r="I27" s="8" t="s">
        <v>19</v>
      </c>
      <c r="J27" s="8" t="s">
        <v>19</v>
      </c>
      <c r="K27" s="124"/>
      <c r="L27" s="125"/>
      <c r="M27" s="125"/>
      <c r="N27" s="125"/>
      <c r="O27" s="125"/>
      <c r="P27" s="125"/>
      <c r="Q27" s="126"/>
      <c r="R27" s="8"/>
      <c r="S27" s="8"/>
      <c r="T27" s="8"/>
      <c r="U27" s="8"/>
    </row>
    <row r="28" spans="1:24" ht="18" customHeight="1" x14ac:dyDescent="0.2">
      <c r="B28" s="105"/>
      <c r="C28" s="106"/>
      <c r="D28" s="106"/>
      <c r="E28" s="106"/>
      <c r="F28" s="107"/>
      <c r="G28" s="9"/>
      <c r="H28" s="9"/>
      <c r="I28" s="9"/>
      <c r="J28" s="9"/>
      <c r="K28" s="105"/>
      <c r="L28" s="106"/>
      <c r="M28" s="106"/>
      <c r="N28" s="106"/>
      <c r="O28" s="106"/>
      <c r="P28" s="106"/>
      <c r="Q28" s="107"/>
      <c r="R28" s="9"/>
      <c r="S28" s="9"/>
      <c r="T28" s="9"/>
      <c r="U28" s="9"/>
    </row>
    <row r="29" spans="1:24" ht="18" customHeight="1" x14ac:dyDescent="0.2">
      <c r="B29" s="105"/>
      <c r="C29" s="106"/>
      <c r="D29" s="106"/>
      <c r="E29" s="106"/>
      <c r="F29" s="107"/>
      <c r="G29" s="9"/>
      <c r="H29" s="9"/>
      <c r="I29" s="9"/>
      <c r="J29" s="9"/>
      <c r="K29" s="105"/>
      <c r="L29" s="106"/>
      <c r="M29" s="106"/>
      <c r="N29" s="106"/>
      <c r="O29" s="106"/>
      <c r="P29" s="106"/>
      <c r="Q29" s="107"/>
      <c r="R29" s="9"/>
      <c r="S29" s="9"/>
      <c r="T29" s="9"/>
      <c r="U29" s="9"/>
    </row>
    <row r="30" spans="1:24" ht="18" customHeight="1" x14ac:dyDescent="0.2">
      <c r="B30" s="105"/>
      <c r="C30" s="106"/>
      <c r="D30" s="106"/>
      <c r="E30" s="106"/>
      <c r="F30" s="107"/>
      <c r="G30" s="9"/>
      <c r="H30" s="9"/>
      <c r="I30" s="9"/>
      <c r="J30" s="9"/>
      <c r="K30" s="105"/>
      <c r="L30" s="106"/>
      <c r="M30" s="106"/>
      <c r="N30" s="106"/>
      <c r="O30" s="106"/>
      <c r="P30" s="106"/>
      <c r="Q30" s="107"/>
      <c r="R30" s="9"/>
      <c r="S30" s="9"/>
      <c r="T30" s="9"/>
      <c r="U30" s="9"/>
    </row>
    <row r="31" spans="1:24" ht="18" customHeight="1" x14ac:dyDescent="0.2">
      <c r="B31" s="105"/>
      <c r="C31" s="106"/>
      <c r="D31" s="106"/>
      <c r="E31" s="106"/>
      <c r="F31" s="107"/>
      <c r="G31" s="9"/>
      <c r="H31" s="9"/>
      <c r="I31" s="9"/>
      <c r="J31" s="9"/>
      <c r="K31" s="105"/>
      <c r="L31" s="106"/>
      <c r="M31" s="106"/>
      <c r="N31" s="106"/>
      <c r="O31" s="106"/>
      <c r="P31" s="106"/>
      <c r="Q31" s="107"/>
      <c r="R31" s="9"/>
      <c r="S31" s="9"/>
      <c r="T31" s="9"/>
      <c r="U31" s="9"/>
    </row>
    <row r="32" spans="1:24" ht="18" customHeight="1" x14ac:dyDescent="0.2">
      <c r="A32" s="3"/>
      <c r="B32" s="105"/>
      <c r="C32" s="106"/>
      <c r="D32" s="106"/>
      <c r="E32" s="106"/>
      <c r="F32" s="107"/>
      <c r="G32" s="9"/>
      <c r="H32" s="9"/>
      <c r="I32" s="9"/>
      <c r="J32" s="9"/>
      <c r="K32" s="105"/>
      <c r="L32" s="106"/>
      <c r="M32" s="106"/>
      <c r="N32" s="106"/>
      <c r="O32" s="106"/>
      <c r="P32" s="106"/>
      <c r="Q32" s="107"/>
      <c r="R32" s="9"/>
      <c r="S32" s="9"/>
      <c r="T32" s="9"/>
      <c r="U32" s="9"/>
    </row>
    <row r="33" spans="1:21" ht="18" customHeight="1" x14ac:dyDescent="0.2">
      <c r="A33" s="3"/>
      <c r="B33" s="128"/>
      <c r="C33" s="129"/>
      <c r="D33" s="129"/>
      <c r="E33" s="129"/>
      <c r="F33" s="130"/>
      <c r="G33" s="10"/>
      <c r="H33" s="10"/>
      <c r="I33" s="11"/>
      <c r="J33" s="11"/>
      <c r="K33" s="128"/>
      <c r="L33" s="129"/>
      <c r="M33" s="129"/>
      <c r="N33" s="129"/>
      <c r="O33" s="129"/>
      <c r="P33" s="129"/>
      <c r="Q33" s="130"/>
      <c r="R33" s="10"/>
      <c r="S33" s="10"/>
      <c r="T33" s="11"/>
      <c r="U33" s="11"/>
    </row>
    <row r="34" spans="1:21" ht="7.5" customHeight="1" x14ac:dyDescent="0.2">
      <c r="A34" s="3"/>
      <c r="B34" s="4"/>
      <c r="C34" s="4"/>
      <c r="D34" s="4"/>
      <c r="E34" s="3"/>
      <c r="F34" s="3"/>
      <c r="G34" s="3"/>
      <c r="H34" s="3"/>
      <c r="I34" s="4"/>
      <c r="J34" s="4"/>
      <c r="K34" s="4"/>
      <c r="L34" s="4"/>
      <c r="M34" s="4"/>
      <c r="N34" s="4"/>
      <c r="O34" s="4"/>
      <c r="P34" s="4"/>
      <c r="Q34" s="4"/>
      <c r="R34" s="4"/>
      <c r="S34" s="4"/>
      <c r="T34" s="4"/>
      <c r="U34" s="3"/>
    </row>
    <row r="35" spans="1:21" ht="18" customHeight="1" x14ac:dyDescent="0.2">
      <c r="A35" s="127" t="s">
        <v>20</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2">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2">
      <c r="B37" s="121" t="s">
        <v>13</v>
      </c>
      <c r="C37" s="122"/>
      <c r="D37" s="122"/>
      <c r="E37" s="122"/>
      <c r="F37" s="123"/>
      <c r="G37" s="16" t="s">
        <v>14</v>
      </c>
      <c r="H37" s="15" t="s">
        <v>15</v>
      </c>
      <c r="I37" s="7" t="s">
        <v>21</v>
      </c>
      <c r="J37" s="7" t="s">
        <v>22</v>
      </c>
      <c r="K37" s="121" t="s">
        <v>13</v>
      </c>
      <c r="L37" s="122"/>
      <c r="M37" s="122"/>
      <c r="N37" s="122"/>
      <c r="O37" s="122"/>
      <c r="P37" s="122"/>
      <c r="Q37" s="123"/>
      <c r="R37" s="16" t="s">
        <v>14</v>
      </c>
      <c r="S37" s="15" t="s">
        <v>15</v>
      </c>
      <c r="T37" s="7" t="s">
        <v>21</v>
      </c>
      <c r="U37" s="7" t="s">
        <v>22</v>
      </c>
    </row>
    <row r="38" spans="1:21" ht="18" customHeight="1" x14ac:dyDescent="0.2">
      <c r="B38" s="124" t="s">
        <v>166</v>
      </c>
      <c r="C38" s="125"/>
      <c r="D38" s="125"/>
      <c r="E38" s="125"/>
      <c r="F38" s="126"/>
      <c r="G38" s="8">
        <v>1</v>
      </c>
      <c r="H38" s="8" t="s">
        <v>19</v>
      </c>
      <c r="I38" s="8" t="s">
        <v>19</v>
      </c>
      <c r="J38" s="8" t="s">
        <v>19</v>
      </c>
      <c r="K38" s="124"/>
      <c r="L38" s="125"/>
      <c r="M38" s="125"/>
      <c r="N38" s="125"/>
      <c r="O38" s="125"/>
      <c r="P38" s="125"/>
      <c r="Q38" s="126"/>
      <c r="R38" s="8"/>
      <c r="S38" s="8"/>
      <c r="T38" s="8"/>
      <c r="U38" s="8"/>
    </row>
    <row r="39" spans="1:21" ht="18" customHeight="1" x14ac:dyDescent="0.2">
      <c r="B39" s="105" t="s">
        <v>23</v>
      </c>
      <c r="C39" s="106"/>
      <c r="D39" s="106"/>
      <c r="E39" s="106"/>
      <c r="F39" s="107"/>
      <c r="G39" s="9">
        <v>1</v>
      </c>
      <c r="H39" s="9" t="s">
        <v>19</v>
      </c>
      <c r="I39" s="9"/>
      <c r="J39" s="9" t="s">
        <v>19</v>
      </c>
      <c r="K39" s="105"/>
      <c r="L39" s="106"/>
      <c r="M39" s="106"/>
      <c r="N39" s="106"/>
      <c r="O39" s="106"/>
      <c r="P39" s="106"/>
      <c r="Q39" s="107"/>
      <c r="R39" s="9"/>
      <c r="S39" s="9"/>
      <c r="T39" s="9"/>
      <c r="U39" s="9"/>
    </row>
    <row r="40" spans="1:21" ht="18" customHeight="1" x14ac:dyDescent="0.2">
      <c r="B40" s="105"/>
      <c r="C40" s="106"/>
      <c r="D40" s="106"/>
      <c r="E40" s="106"/>
      <c r="F40" s="107"/>
      <c r="G40" s="9"/>
      <c r="H40" s="9"/>
      <c r="I40" s="9"/>
      <c r="J40" s="9"/>
      <c r="K40" s="105"/>
      <c r="L40" s="106"/>
      <c r="M40" s="106"/>
      <c r="N40" s="106"/>
      <c r="O40" s="106"/>
      <c r="P40" s="106"/>
      <c r="Q40" s="107"/>
      <c r="R40" s="9"/>
      <c r="S40" s="9"/>
      <c r="T40" s="9"/>
      <c r="U40" s="9"/>
    </row>
    <row r="41" spans="1:21" ht="18" customHeight="1" x14ac:dyDescent="0.2">
      <c r="B41" s="105"/>
      <c r="C41" s="106"/>
      <c r="D41" s="106"/>
      <c r="E41" s="106"/>
      <c r="F41" s="107"/>
      <c r="G41" s="9"/>
      <c r="H41" s="9"/>
      <c r="I41" s="9"/>
      <c r="J41" s="9"/>
      <c r="K41" s="105"/>
      <c r="L41" s="106"/>
      <c r="M41" s="106"/>
      <c r="N41" s="106"/>
      <c r="O41" s="106"/>
      <c r="P41" s="106"/>
      <c r="Q41" s="107"/>
      <c r="R41" s="9"/>
      <c r="S41" s="9"/>
      <c r="T41" s="9"/>
      <c r="U41" s="9"/>
    </row>
    <row r="42" spans="1:21" ht="18" customHeight="1" x14ac:dyDescent="0.2">
      <c r="B42" s="105"/>
      <c r="C42" s="106"/>
      <c r="D42" s="106"/>
      <c r="E42" s="106"/>
      <c r="F42" s="107"/>
      <c r="G42" s="9"/>
      <c r="H42" s="9"/>
      <c r="I42" s="9"/>
      <c r="J42" s="9"/>
      <c r="K42" s="105"/>
      <c r="L42" s="106"/>
      <c r="M42" s="106"/>
      <c r="N42" s="106"/>
      <c r="O42" s="106"/>
      <c r="P42" s="106"/>
      <c r="Q42" s="107"/>
      <c r="R42" s="9"/>
      <c r="S42" s="9"/>
      <c r="T42" s="9"/>
      <c r="U42" s="9"/>
    </row>
    <row r="43" spans="1:21" ht="18" customHeight="1" x14ac:dyDescent="0.2">
      <c r="B43" s="105"/>
      <c r="C43" s="106"/>
      <c r="D43" s="106"/>
      <c r="E43" s="106"/>
      <c r="F43" s="107"/>
      <c r="G43" s="9"/>
      <c r="H43" s="9"/>
      <c r="I43" s="9"/>
      <c r="J43" s="9"/>
      <c r="K43" s="105"/>
      <c r="L43" s="106"/>
      <c r="M43" s="106"/>
      <c r="N43" s="106"/>
      <c r="O43" s="106"/>
      <c r="P43" s="106"/>
      <c r="Q43" s="107"/>
      <c r="R43" s="9"/>
      <c r="S43" s="9"/>
      <c r="T43" s="9"/>
      <c r="U43" s="9"/>
    </row>
    <row r="44" spans="1:21" ht="18" customHeight="1" x14ac:dyDescent="0.2">
      <c r="B44" s="128"/>
      <c r="C44" s="129"/>
      <c r="D44" s="129"/>
      <c r="E44" s="129"/>
      <c r="F44" s="130"/>
      <c r="G44" s="10"/>
      <c r="H44" s="10"/>
      <c r="I44" s="11"/>
      <c r="J44" s="11"/>
      <c r="K44" s="128"/>
      <c r="L44" s="129"/>
      <c r="M44" s="129"/>
      <c r="N44" s="129"/>
      <c r="O44" s="129"/>
      <c r="P44" s="129"/>
      <c r="Q44" s="130"/>
      <c r="R44" s="10"/>
      <c r="S44" s="10"/>
      <c r="T44" s="11"/>
      <c r="U44" s="11"/>
    </row>
    <row r="45" spans="1:21" ht="7.5" customHeight="1" x14ac:dyDescent="0.2">
      <c r="A45" s="3"/>
      <c r="B45" s="4"/>
      <c r="C45" s="4"/>
      <c r="D45" s="4"/>
      <c r="E45" s="3"/>
      <c r="F45" s="3"/>
      <c r="G45" s="3"/>
      <c r="H45" s="3"/>
      <c r="I45" s="4"/>
      <c r="J45" s="4"/>
      <c r="K45" s="4"/>
      <c r="L45" s="4"/>
      <c r="M45" s="4"/>
      <c r="N45" s="4"/>
      <c r="O45" s="4"/>
      <c r="P45" s="4"/>
      <c r="Q45" s="4"/>
      <c r="R45" s="4"/>
      <c r="S45" s="4"/>
      <c r="T45" s="4"/>
      <c r="U45" s="3"/>
    </row>
    <row r="46" spans="1:21" ht="18" customHeight="1" x14ac:dyDescent="0.2">
      <c r="A46" s="127" t="s">
        <v>24</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2">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2">
      <c r="B48" s="121" t="s">
        <v>13</v>
      </c>
      <c r="C48" s="122"/>
      <c r="D48" s="122"/>
      <c r="E48" s="122"/>
      <c r="F48" s="123"/>
      <c r="G48" s="16" t="s">
        <v>14</v>
      </c>
      <c r="H48" s="15" t="s">
        <v>15</v>
      </c>
      <c r="I48" s="7" t="s">
        <v>25</v>
      </c>
      <c r="J48" s="7" t="s">
        <v>26</v>
      </c>
      <c r="K48" s="121" t="s">
        <v>13</v>
      </c>
      <c r="L48" s="122"/>
      <c r="M48" s="122"/>
      <c r="N48" s="122"/>
      <c r="O48" s="122"/>
      <c r="P48" s="122"/>
      <c r="Q48" s="123"/>
      <c r="R48" s="16" t="s">
        <v>14</v>
      </c>
      <c r="S48" s="15" t="s">
        <v>15</v>
      </c>
      <c r="T48" s="7" t="s">
        <v>25</v>
      </c>
      <c r="U48" s="7" t="s">
        <v>26</v>
      </c>
    </row>
    <row r="49" spans="1:21" ht="18" customHeight="1" x14ac:dyDescent="0.2">
      <c r="A49" s="3"/>
      <c r="B49" s="124" t="s">
        <v>166</v>
      </c>
      <c r="C49" s="125"/>
      <c r="D49" s="125"/>
      <c r="E49" s="125"/>
      <c r="F49" s="126"/>
      <c r="G49" s="8">
        <v>1</v>
      </c>
      <c r="H49" s="8" t="s">
        <v>19</v>
      </c>
      <c r="I49" s="8" t="s">
        <v>19</v>
      </c>
      <c r="J49" s="8" t="s">
        <v>19</v>
      </c>
      <c r="K49" s="124"/>
      <c r="L49" s="125"/>
      <c r="M49" s="125"/>
      <c r="N49" s="125"/>
      <c r="O49" s="125"/>
      <c r="P49" s="125"/>
      <c r="Q49" s="126"/>
      <c r="R49" s="8"/>
      <c r="S49" s="8"/>
      <c r="T49" s="8"/>
      <c r="U49" s="8"/>
    </row>
    <row r="50" spans="1:21" ht="18" customHeight="1" x14ac:dyDescent="0.2">
      <c r="A50" s="3"/>
      <c r="B50" s="105"/>
      <c r="C50" s="106"/>
      <c r="D50" s="106"/>
      <c r="E50" s="106"/>
      <c r="F50" s="107"/>
      <c r="G50" s="9"/>
      <c r="H50" s="9"/>
      <c r="I50" s="9"/>
      <c r="J50" s="9"/>
      <c r="K50" s="105"/>
      <c r="L50" s="106"/>
      <c r="M50" s="106"/>
      <c r="N50" s="106"/>
      <c r="O50" s="106"/>
      <c r="P50" s="106"/>
      <c r="Q50" s="107"/>
      <c r="R50" s="9"/>
      <c r="S50" s="9"/>
      <c r="T50" s="9"/>
      <c r="U50" s="9"/>
    </row>
    <row r="51" spans="1:21" ht="18" customHeight="1" x14ac:dyDescent="0.2">
      <c r="A51" s="3"/>
      <c r="B51" s="105"/>
      <c r="C51" s="106"/>
      <c r="D51" s="106"/>
      <c r="E51" s="106"/>
      <c r="F51" s="107"/>
      <c r="G51" s="9"/>
      <c r="H51" s="9"/>
      <c r="I51" s="9"/>
      <c r="J51" s="9"/>
      <c r="K51" s="105"/>
      <c r="L51" s="106"/>
      <c r="M51" s="106"/>
      <c r="N51" s="106"/>
      <c r="O51" s="106"/>
      <c r="P51" s="106"/>
      <c r="Q51" s="107"/>
      <c r="R51" s="9"/>
      <c r="S51" s="9"/>
      <c r="T51" s="9"/>
      <c r="U51" s="9"/>
    </row>
    <row r="52" spans="1:21" ht="18" customHeight="1" x14ac:dyDescent="0.2">
      <c r="A52" s="3"/>
      <c r="B52" s="105"/>
      <c r="C52" s="106"/>
      <c r="D52" s="106"/>
      <c r="E52" s="106"/>
      <c r="F52" s="107"/>
      <c r="G52" s="9"/>
      <c r="H52" s="9"/>
      <c r="I52" s="9"/>
      <c r="J52" s="9"/>
      <c r="K52" s="105"/>
      <c r="L52" s="106"/>
      <c r="M52" s="106"/>
      <c r="N52" s="106"/>
      <c r="O52" s="106"/>
      <c r="P52" s="106"/>
      <c r="Q52" s="107"/>
      <c r="R52" s="9"/>
      <c r="S52" s="9"/>
      <c r="T52" s="9"/>
      <c r="U52" s="9"/>
    </row>
    <row r="53" spans="1:21" ht="18" customHeight="1" x14ac:dyDescent="0.2">
      <c r="A53" s="3"/>
      <c r="B53" s="105"/>
      <c r="C53" s="106"/>
      <c r="D53" s="106"/>
      <c r="E53" s="106"/>
      <c r="F53" s="107"/>
      <c r="G53" s="9"/>
      <c r="H53" s="9"/>
      <c r="I53" s="9"/>
      <c r="J53" s="9"/>
      <c r="K53" s="105"/>
      <c r="L53" s="106"/>
      <c r="M53" s="106"/>
      <c r="N53" s="106"/>
      <c r="O53" s="106"/>
      <c r="P53" s="106"/>
      <c r="Q53" s="107"/>
      <c r="R53" s="9"/>
      <c r="S53" s="9"/>
      <c r="T53" s="9"/>
      <c r="U53" s="9"/>
    </row>
    <row r="54" spans="1:21" ht="18" customHeight="1" x14ac:dyDescent="0.2">
      <c r="A54" s="3"/>
      <c r="B54" s="105"/>
      <c r="C54" s="106"/>
      <c r="D54" s="106"/>
      <c r="E54" s="106"/>
      <c r="F54" s="107"/>
      <c r="G54" s="9"/>
      <c r="H54" s="9"/>
      <c r="I54" s="9"/>
      <c r="J54" s="9"/>
      <c r="K54" s="105"/>
      <c r="L54" s="106"/>
      <c r="M54" s="106"/>
      <c r="N54" s="106"/>
      <c r="O54" s="106"/>
      <c r="P54" s="106"/>
      <c r="Q54" s="107"/>
      <c r="R54" s="9"/>
      <c r="S54" s="9"/>
      <c r="T54" s="9"/>
      <c r="U54" s="9"/>
    </row>
    <row r="55" spans="1:21" ht="18" customHeight="1" x14ac:dyDescent="0.2">
      <c r="A55" s="3"/>
      <c r="B55" s="128"/>
      <c r="C55" s="129"/>
      <c r="D55" s="129"/>
      <c r="E55" s="129"/>
      <c r="F55" s="130"/>
      <c r="G55" s="10"/>
      <c r="H55" s="10"/>
      <c r="I55" s="11"/>
      <c r="J55" s="11"/>
      <c r="K55" s="128"/>
      <c r="L55" s="129"/>
      <c r="M55" s="129"/>
      <c r="N55" s="129"/>
      <c r="O55" s="129"/>
      <c r="P55" s="129"/>
      <c r="Q55" s="130"/>
      <c r="R55" s="10"/>
      <c r="S55" s="10"/>
      <c r="T55" s="11"/>
      <c r="U55" s="11"/>
    </row>
    <row r="56" spans="1:21" ht="7.5" customHeight="1" x14ac:dyDescent="0.2">
      <c r="B56" s="6"/>
      <c r="C56" s="6"/>
      <c r="D56" s="6"/>
      <c r="E56" s="6"/>
      <c r="F56" s="6"/>
      <c r="G56" s="6"/>
      <c r="H56" s="6"/>
      <c r="I56" s="6"/>
      <c r="J56" s="6"/>
      <c r="K56" s="6"/>
      <c r="L56" s="6"/>
      <c r="M56" s="6"/>
      <c r="N56" s="6"/>
      <c r="O56" s="6"/>
      <c r="P56" s="6"/>
      <c r="Q56" s="6"/>
      <c r="R56" s="6"/>
      <c r="S56" s="6"/>
      <c r="T56" s="6"/>
    </row>
    <row r="57" spans="1:21" ht="18" customHeight="1" x14ac:dyDescent="0.2">
      <c r="A57" s="127" t="s">
        <v>27</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2">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2">
      <c r="B59" s="121" t="s">
        <v>13</v>
      </c>
      <c r="C59" s="122"/>
      <c r="D59" s="122"/>
      <c r="E59" s="122"/>
      <c r="F59" s="123"/>
      <c r="G59" s="16" t="s">
        <v>14</v>
      </c>
      <c r="H59" s="15" t="s">
        <v>15</v>
      </c>
      <c r="I59" s="7" t="s">
        <v>28</v>
      </c>
      <c r="J59" s="7" t="s">
        <v>29</v>
      </c>
      <c r="K59" s="121" t="s">
        <v>13</v>
      </c>
      <c r="L59" s="122"/>
      <c r="M59" s="122"/>
      <c r="N59" s="122"/>
      <c r="O59" s="122"/>
      <c r="P59" s="122"/>
      <c r="Q59" s="123"/>
      <c r="R59" s="16" t="s">
        <v>14</v>
      </c>
      <c r="S59" s="15" t="s">
        <v>15</v>
      </c>
      <c r="T59" s="7" t="s">
        <v>28</v>
      </c>
      <c r="U59" s="7" t="s">
        <v>29</v>
      </c>
    </row>
    <row r="60" spans="1:21" ht="18" customHeight="1" x14ac:dyDescent="0.2">
      <c r="A60" s="3"/>
      <c r="B60" s="124" t="s">
        <v>166</v>
      </c>
      <c r="C60" s="125"/>
      <c r="D60" s="125"/>
      <c r="E60" s="125"/>
      <c r="F60" s="126"/>
      <c r="G60" s="8">
        <v>1</v>
      </c>
      <c r="H60" s="8" t="s">
        <v>19</v>
      </c>
      <c r="I60" s="8" t="s">
        <v>19</v>
      </c>
      <c r="J60" s="8" t="s">
        <v>19</v>
      </c>
      <c r="K60" s="124"/>
      <c r="L60" s="125"/>
      <c r="M60" s="125"/>
      <c r="N60" s="125"/>
      <c r="O60" s="125"/>
      <c r="P60" s="125"/>
      <c r="Q60" s="126"/>
      <c r="R60" s="8"/>
      <c r="S60" s="8"/>
      <c r="T60" s="8"/>
      <c r="U60" s="8"/>
    </row>
    <row r="61" spans="1:21" ht="18" customHeight="1" x14ac:dyDescent="0.2">
      <c r="A61" s="3"/>
      <c r="B61" s="105"/>
      <c r="C61" s="106"/>
      <c r="D61" s="106"/>
      <c r="E61" s="106"/>
      <c r="F61" s="107"/>
      <c r="G61" s="9"/>
      <c r="H61" s="9"/>
      <c r="I61" s="9"/>
      <c r="J61" s="9"/>
      <c r="K61" s="105"/>
      <c r="L61" s="106"/>
      <c r="M61" s="106"/>
      <c r="N61" s="106"/>
      <c r="O61" s="106"/>
      <c r="P61" s="106"/>
      <c r="Q61" s="107"/>
      <c r="R61" s="9"/>
      <c r="S61" s="9"/>
      <c r="T61" s="9"/>
      <c r="U61" s="9"/>
    </row>
    <row r="62" spans="1:21" ht="18" customHeight="1" x14ac:dyDescent="0.2">
      <c r="A62" s="3"/>
      <c r="B62" s="105"/>
      <c r="C62" s="106"/>
      <c r="D62" s="106"/>
      <c r="E62" s="106"/>
      <c r="F62" s="107"/>
      <c r="G62" s="9"/>
      <c r="H62" s="9"/>
      <c r="I62" s="9"/>
      <c r="J62" s="9"/>
      <c r="K62" s="105"/>
      <c r="L62" s="106"/>
      <c r="M62" s="106"/>
      <c r="N62" s="106"/>
      <c r="O62" s="106"/>
      <c r="P62" s="106"/>
      <c r="Q62" s="107"/>
      <c r="R62" s="9"/>
      <c r="S62" s="9"/>
      <c r="T62" s="9"/>
      <c r="U62" s="9"/>
    </row>
    <row r="63" spans="1:21" ht="18" customHeight="1" x14ac:dyDescent="0.2">
      <c r="A63" s="3"/>
      <c r="B63" s="105"/>
      <c r="C63" s="106"/>
      <c r="D63" s="106"/>
      <c r="E63" s="106"/>
      <c r="F63" s="107"/>
      <c r="G63" s="9"/>
      <c r="H63" s="9"/>
      <c r="I63" s="9"/>
      <c r="J63" s="9"/>
      <c r="K63" s="105"/>
      <c r="L63" s="106"/>
      <c r="M63" s="106"/>
      <c r="N63" s="106"/>
      <c r="O63" s="106"/>
      <c r="P63" s="106"/>
      <c r="Q63" s="107"/>
      <c r="R63" s="9"/>
      <c r="S63" s="9"/>
      <c r="T63" s="9"/>
      <c r="U63" s="9"/>
    </row>
    <row r="64" spans="1:21" ht="18" customHeight="1" x14ac:dyDescent="0.2">
      <c r="A64" s="3"/>
      <c r="B64" s="105"/>
      <c r="C64" s="106"/>
      <c r="D64" s="106"/>
      <c r="E64" s="106"/>
      <c r="F64" s="107"/>
      <c r="G64" s="9"/>
      <c r="H64" s="9"/>
      <c r="I64" s="9"/>
      <c r="J64" s="9"/>
      <c r="K64" s="105"/>
      <c r="L64" s="106"/>
      <c r="M64" s="106"/>
      <c r="N64" s="106"/>
      <c r="O64" s="106"/>
      <c r="P64" s="106"/>
      <c r="Q64" s="107"/>
      <c r="R64" s="9"/>
      <c r="S64" s="9"/>
      <c r="T64" s="9"/>
      <c r="U64" s="9"/>
    </row>
    <row r="65" spans="1:21" ht="18" customHeight="1" x14ac:dyDescent="0.2">
      <c r="A65" s="3"/>
      <c r="B65" s="105"/>
      <c r="C65" s="106"/>
      <c r="D65" s="106"/>
      <c r="E65" s="106"/>
      <c r="F65" s="107"/>
      <c r="G65" s="9"/>
      <c r="H65" s="9"/>
      <c r="I65" s="9"/>
      <c r="J65" s="9"/>
      <c r="K65" s="105"/>
      <c r="L65" s="106"/>
      <c r="M65" s="106"/>
      <c r="N65" s="106"/>
      <c r="O65" s="106"/>
      <c r="P65" s="106"/>
      <c r="Q65" s="107"/>
      <c r="R65" s="9"/>
      <c r="S65" s="9"/>
      <c r="T65" s="9"/>
      <c r="U65" s="9"/>
    </row>
    <row r="66" spans="1:21" ht="18" customHeight="1" x14ac:dyDescent="0.2">
      <c r="A66" s="3"/>
      <c r="B66" s="128"/>
      <c r="C66" s="129"/>
      <c r="D66" s="129"/>
      <c r="E66" s="129"/>
      <c r="F66" s="130"/>
      <c r="G66" s="10"/>
      <c r="H66" s="10"/>
      <c r="I66" s="11"/>
      <c r="J66" s="11"/>
      <c r="K66" s="128"/>
      <c r="L66" s="129"/>
      <c r="M66" s="129"/>
      <c r="N66" s="129"/>
      <c r="O66" s="129"/>
      <c r="P66" s="129"/>
      <c r="Q66" s="130"/>
      <c r="R66" s="10"/>
      <c r="S66" s="10"/>
      <c r="T66" s="11"/>
      <c r="U66" s="11"/>
    </row>
    <row r="67" spans="1:21" ht="7.5" customHeight="1" x14ac:dyDescent="0.2">
      <c r="B67" s="6"/>
      <c r="C67" s="6"/>
      <c r="D67" s="6"/>
      <c r="E67" s="6"/>
      <c r="F67" s="6"/>
      <c r="G67" s="6"/>
      <c r="H67" s="6"/>
      <c r="I67" s="6"/>
      <c r="J67" s="6"/>
      <c r="K67" s="6"/>
      <c r="L67" s="6"/>
      <c r="M67" s="6"/>
      <c r="N67" s="6"/>
      <c r="O67" s="6"/>
      <c r="P67" s="6"/>
      <c r="Q67" s="6"/>
      <c r="R67" s="6"/>
      <c r="S67" s="6"/>
      <c r="T67" s="6"/>
    </row>
    <row r="68" spans="1:21" ht="18" customHeight="1" x14ac:dyDescent="0.2">
      <c r="A68" s="127" t="s">
        <v>30</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2">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2">
      <c r="B70" s="121" t="s">
        <v>13</v>
      </c>
      <c r="C70" s="122"/>
      <c r="D70" s="122"/>
      <c r="E70" s="122"/>
      <c r="F70" s="16" t="s">
        <v>14</v>
      </c>
      <c r="G70" s="15" t="s">
        <v>15</v>
      </c>
      <c r="H70" s="7" t="s">
        <v>31</v>
      </c>
      <c r="I70" s="7" t="s">
        <v>32</v>
      </c>
      <c r="J70" s="7" t="s">
        <v>33</v>
      </c>
      <c r="K70" s="121" t="s">
        <v>13</v>
      </c>
      <c r="L70" s="122"/>
      <c r="M70" s="122"/>
      <c r="N70" s="122"/>
      <c r="O70" s="122"/>
      <c r="P70" s="123"/>
      <c r="Q70" s="16" t="s">
        <v>14</v>
      </c>
      <c r="R70" s="15" t="s">
        <v>15</v>
      </c>
      <c r="S70" s="7" t="s">
        <v>31</v>
      </c>
      <c r="T70" s="7" t="s">
        <v>32</v>
      </c>
      <c r="U70" s="7" t="s">
        <v>33</v>
      </c>
    </row>
    <row r="71" spans="1:21" ht="18" customHeight="1" x14ac:dyDescent="0.2">
      <c r="A71" s="3"/>
      <c r="B71" s="124" t="s">
        <v>23</v>
      </c>
      <c r="C71" s="125"/>
      <c r="D71" s="125"/>
      <c r="E71" s="125"/>
      <c r="F71" s="8">
        <v>1</v>
      </c>
      <c r="G71" s="8" t="s">
        <v>19</v>
      </c>
      <c r="H71" s="8" t="s">
        <v>19</v>
      </c>
      <c r="I71" s="8" t="s">
        <v>19</v>
      </c>
      <c r="J71" s="8" t="s">
        <v>19</v>
      </c>
      <c r="K71" s="124"/>
      <c r="L71" s="125"/>
      <c r="M71" s="125"/>
      <c r="N71" s="125"/>
      <c r="O71" s="125"/>
      <c r="P71" s="126"/>
      <c r="Q71" s="8"/>
      <c r="R71" s="8"/>
      <c r="S71" s="8"/>
      <c r="T71" s="8"/>
      <c r="U71" s="8"/>
    </row>
    <row r="72" spans="1:21" ht="18" customHeight="1" x14ac:dyDescent="0.2">
      <c r="A72" s="3"/>
      <c r="B72" s="105"/>
      <c r="C72" s="106"/>
      <c r="D72" s="106"/>
      <c r="E72" s="106"/>
      <c r="F72" s="9"/>
      <c r="G72" s="9"/>
      <c r="H72" s="9"/>
      <c r="I72" s="9"/>
      <c r="J72" s="9"/>
      <c r="K72" s="105"/>
      <c r="L72" s="106"/>
      <c r="M72" s="106"/>
      <c r="N72" s="106"/>
      <c r="O72" s="106"/>
      <c r="P72" s="107"/>
      <c r="Q72" s="9"/>
      <c r="R72" s="9"/>
      <c r="S72" s="9"/>
      <c r="T72" s="9"/>
      <c r="U72" s="9"/>
    </row>
    <row r="73" spans="1:21" ht="18" customHeight="1" x14ac:dyDescent="0.2">
      <c r="A73" s="3"/>
      <c r="B73" s="105"/>
      <c r="C73" s="106"/>
      <c r="D73" s="106"/>
      <c r="E73" s="106"/>
      <c r="F73" s="9"/>
      <c r="G73" s="9"/>
      <c r="H73" s="9"/>
      <c r="I73" s="9"/>
      <c r="J73" s="9"/>
      <c r="K73" s="105"/>
      <c r="L73" s="106"/>
      <c r="M73" s="106"/>
      <c r="N73" s="106"/>
      <c r="O73" s="106"/>
      <c r="P73" s="107"/>
      <c r="Q73" s="9"/>
      <c r="R73" s="9"/>
      <c r="S73" s="9"/>
      <c r="T73" s="9"/>
      <c r="U73" s="9"/>
    </row>
    <row r="74" spans="1:21" ht="18" customHeight="1" x14ac:dyDescent="0.2">
      <c r="A74" s="3"/>
      <c r="B74" s="105"/>
      <c r="C74" s="106"/>
      <c r="D74" s="106"/>
      <c r="E74" s="106"/>
      <c r="F74" s="9"/>
      <c r="G74" s="9"/>
      <c r="H74" s="9"/>
      <c r="I74" s="9"/>
      <c r="J74" s="9"/>
      <c r="K74" s="105"/>
      <c r="L74" s="106"/>
      <c r="M74" s="106"/>
      <c r="N74" s="106"/>
      <c r="O74" s="106"/>
      <c r="P74" s="107"/>
      <c r="Q74" s="9"/>
      <c r="R74" s="9"/>
      <c r="S74" s="9"/>
      <c r="T74" s="9"/>
      <c r="U74" s="9"/>
    </row>
    <row r="75" spans="1:21" ht="18" customHeight="1" x14ac:dyDescent="0.2">
      <c r="A75" s="3"/>
      <c r="B75" s="105"/>
      <c r="C75" s="106"/>
      <c r="D75" s="106"/>
      <c r="E75" s="106"/>
      <c r="F75" s="9"/>
      <c r="G75" s="9"/>
      <c r="H75" s="9"/>
      <c r="I75" s="9"/>
      <c r="J75" s="9"/>
      <c r="K75" s="105"/>
      <c r="L75" s="106"/>
      <c r="M75" s="106"/>
      <c r="N75" s="106"/>
      <c r="O75" s="106"/>
      <c r="P75" s="107"/>
      <c r="Q75" s="9"/>
      <c r="R75" s="9"/>
      <c r="S75" s="9"/>
      <c r="T75" s="9"/>
      <c r="U75" s="9"/>
    </row>
    <row r="76" spans="1:21" ht="18" customHeight="1" x14ac:dyDescent="0.2">
      <c r="A76" s="3"/>
      <c r="B76" s="105"/>
      <c r="C76" s="106"/>
      <c r="D76" s="106"/>
      <c r="E76" s="106"/>
      <c r="F76" s="9"/>
      <c r="G76" s="9"/>
      <c r="H76" s="9"/>
      <c r="I76" s="9"/>
      <c r="J76" s="9"/>
      <c r="K76" s="105"/>
      <c r="L76" s="106"/>
      <c r="M76" s="106"/>
      <c r="N76" s="106"/>
      <c r="O76" s="106"/>
      <c r="P76" s="107"/>
      <c r="Q76" s="9"/>
      <c r="R76" s="9"/>
      <c r="S76" s="9"/>
      <c r="T76" s="9"/>
      <c r="U76" s="9"/>
    </row>
    <row r="77" spans="1:21" ht="18" customHeight="1" x14ac:dyDescent="0.2">
      <c r="A77" s="3"/>
      <c r="B77" s="128"/>
      <c r="C77" s="129"/>
      <c r="D77" s="129"/>
      <c r="E77" s="129"/>
      <c r="F77" s="10"/>
      <c r="G77" s="10"/>
      <c r="H77" s="11"/>
      <c r="I77" s="11"/>
      <c r="J77" s="11"/>
      <c r="K77" s="128"/>
      <c r="L77" s="129"/>
      <c r="M77" s="129"/>
      <c r="N77" s="129"/>
      <c r="O77" s="129"/>
      <c r="P77" s="130"/>
      <c r="Q77" s="10"/>
      <c r="R77" s="10"/>
      <c r="S77" s="11"/>
      <c r="T77" s="11"/>
      <c r="U77" s="11"/>
    </row>
    <row r="78" spans="1:21" ht="7.5" customHeight="1" x14ac:dyDescent="0.2">
      <c r="B78" s="6"/>
      <c r="C78" s="6"/>
      <c r="D78" s="6"/>
      <c r="E78" s="6"/>
      <c r="F78" s="6"/>
      <c r="G78" s="6"/>
      <c r="H78" s="6"/>
      <c r="I78" s="6"/>
      <c r="J78" s="6"/>
      <c r="K78" s="6"/>
      <c r="L78" s="6"/>
      <c r="M78" s="6"/>
      <c r="N78" s="6"/>
      <c r="O78" s="6"/>
      <c r="P78" s="6"/>
      <c r="Q78" s="6"/>
      <c r="R78" s="6"/>
      <c r="S78" s="6"/>
      <c r="T78" s="6"/>
    </row>
    <row r="79" spans="1:21" ht="18" customHeight="1" x14ac:dyDescent="0.2">
      <c r="A79" s="1" t="s">
        <v>34</v>
      </c>
      <c r="I79" s="3"/>
      <c r="J79" s="3"/>
      <c r="K79" s="3"/>
      <c r="L79" s="3"/>
      <c r="M79" s="3"/>
      <c r="N79" s="3"/>
      <c r="O79" s="3"/>
      <c r="P79" s="3"/>
      <c r="Q79" s="3"/>
      <c r="R79" s="3"/>
      <c r="S79" s="3"/>
      <c r="T79" s="3"/>
      <c r="U79" s="3"/>
    </row>
    <row r="80" spans="1:21" ht="18" customHeight="1" x14ac:dyDescent="0.2">
      <c r="B80" s="121" t="s">
        <v>13</v>
      </c>
      <c r="C80" s="122"/>
      <c r="D80" s="122"/>
      <c r="E80" s="122"/>
      <c r="F80" s="123"/>
      <c r="G80" s="121" t="s">
        <v>35</v>
      </c>
      <c r="H80" s="122"/>
      <c r="I80" s="122"/>
      <c r="J80" s="123"/>
      <c r="K80" s="131" t="s">
        <v>13</v>
      </c>
      <c r="L80" s="132"/>
      <c r="M80" s="132"/>
      <c r="N80" s="132"/>
      <c r="O80" s="132"/>
      <c r="P80" s="132"/>
      <c r="Q80" s="133"/>
      <c r="R80" s="121" t="s">
        <v>35</v>
      </c>
      <c r="S80" s="122"/>
      <c r="T80" s="122"/>
      <c r="U80" s="123"/>
    </row>
    <row r="81" spans="1:21" ht="18" customHeight="1" x14ac:dyDescent="0.2">
      <c r="A81" s="3"/>
      <c r="B81" s="124" t="s">
        <v>23</v>
      </c>
      <c r="C81" s="125"/>
      <c r="D81" s="125"/>
      <c r="E81" s="125"/>
      <c r="F81" s="126"/>
      <c r="G81" s="137" t="s">
        <v>36</v>
      </c>
      <c r="H81" s="138"/>
      <c r="I81" s="138"/>
      <c r="J81" s="139"/>
      <c r="K81" s="124"/>
      <c r="L81" s="125"/>
      <c r="M81" s="125"/>
      <c r="N81" s="125"/>
      <c r="O81" s="125"/>
      <c r="P81" s="125"/>
      <c r="Q81" s="126"/>
      <c r="R81" s="137"/>
      <c r="S81" s="138"/>
      <c r="T81" s="138"/>
      <c r="U81" s="139"/>
    </row>
    <row r="82" spans="1:21" ht="18" customHeight="1" x14ac:dyDescent="0.2">
      <c r="A82" s="3"/>
      <c r="B82" s="105" t="s">
        <v>174</v>
      </c>
      <c r="C82" s="106"/>
      <c r="D82" s="106"/>
      <c r="E82" s="106"/>
      <c r="F82" s="107"/>
      <c r="G82" s="134" t="s">
        <v>36</v>
      </c>
      <c r="H82" s="135"/>
      <c r="I82" s="135"/>
      <c r="J82" s="136"/>
      <c r="K82" s="105"/>
      <c r="L82" s="106"/>
      <c r="M82" s="106"/>
      <c r="N82" s="106"/>
      <c r="O82" s="106"/>
      <c r="P82" s="106"/>
      <c r="Q82" s="107"/>
      <c r="R82" s="134"/>
      <c r="S82" s="135"/>
      <c r="T82" s="135"/>
      <c r="U82" s="136"/>
    </row>
    <row r="83" spans="1:21" ht="18" customHeight="1" x14ac:dyDescent="0.2">
      <c r="A83" s="3"/>
      <c r="B83" s="105" t="s">
        <v>23</v>
      </c>
      <c r="C83" s="106"/>
      <c r="D83" s="106"/>
      <c r="E83" s="106"/>
      <c r="F83" s="107"/>
      <c r="G83" s="134" t="s">
        <v>37</v>
      </c>
      <c r="H83" s="135"/>
      <c r="I83" s="135"/>
      <c r="J83" s="136"/>
      <c r="K83" s="105"/>
      <c r="L83" s="106"/>
      <c r="M83" s="106"/>
      <c r="N83" s="106"/>
      <c r="O83" s="106"/>
      <c r="P83" s="106"/>
      <c r="Q83" s="107"/>
      <c r="R83" s="134"/>
      <c r="S83" s="135"/>
      <c r="T83" s="135"/>
      <c r="U83" s="136"/>
    </row>
    <row r="84" spans="1:21" ht="18" customHeight="1" x14ac:dyDescent="0.2">
      <c r="A84" s="3"/>
      <c r="B84" s="105"/>
      <c r="C84" s="106"/>
      <c r="D84" s="106"/>
      <c r="E84" s="106"/>
      <c r="F84" s="107"/>
      <c r="G84" s="134"/>
      <c r="H84" s="135"/>
      <c r="I84" s="135"/>
      <c r="J84" s="136"/>
      <c r="K84" s="105"/>
      <c r="L84" s="106"/>
      <c r="M84" s="106"/>
      <c r="N84" s="106"/>
      <c r="O84" s="106"/>
      <c r="P84" s="106"/>
      <c r="Q84" s="107"/>
      <c r="R84" s="134"/>
      <c r="S84" s="135"/>
      <c r="T84" s="135"/>
      <c r="U84" s="136"/>
    </row>
    <row r="85" spans="1:21" ht="18" customHeight="1" x14ac:dyDescent="0.2">
      <c r="A85" s="3"/>
      <c r="B85" s="105"/>
      <c r="C85" s="106"/>
      <c r="D85" s="106"/>
      <c r="E85" s="106"/>
      <c r="F85" s="107"/>
      <c r="G85" s="134"/>
      <c r="H85" s="135"/>
      <c r="I85" s="135"/>
      <c r="J85" s="136"/>
      <c r="K85" s="105"/>
      <c r="L85" s="106"/>
      <c r="M85" s="106"/>
      <c r="N85" s="106"/>
      <c r="O85" s="106"/>
      <c r="P85" s="106"/>
      <c r="Q85" s="107"/>
      <c r="R85" s="134"/>
      <c r="S85" s="135"/>
      <c r="T85" s="135"/>
      <c r="U85" s="136"/>
    </row>
    <row r="86" spans="1:21" ht="18" customHeight="1" x14ac:dyDescent="0.2">
      <c r="A86" s="3"/>
      <c r="B86" s="105"/>
      <c r="C86" s="106"/>
      <c r="D86" s="106"/>
      <c r="E86" s="106"/>
      <c r="F86" s="107"/>
      <c r="G86" s="134"/>
      <c r="H86" s="135"/>
      <c r="I86" s="135"/>
      <c r="J86" s="136"/>
      <c r="K86" s="105"/>
      <c r="L86" s="106"/>
      <c r="M86" s="106"/>
      <c r="N86" s="106"/>
      <c r="O86" s="106"/>
      <c r="P86" s="106"/>
      <c r="Q86" s="107"/>
      <c r="R86" s="134"/>
      <c r="S86" s="135"/>
      <c r="T86" s="135"/>
      <c r="U86" s="136"/>
    </row>
    <row r="87" spans="1:21" ht="18" customHeight="1" x14ac:dyDescent="0.2">
      <c r="A87" s="3"/>
      <c r="B87" s="128"/>
      <c r="C87" s="129"/>
      <c r="D87" s="129"/>
      <c r="E87" s="129"/>
      <c r="F87" s="130"/>
      <c r="G87" s="140"/>
      <c r="H87" s="141"/>
      <c r="I87" s="141"/>
      <c r="J87" s="142"/>
      <c r="K87" s="128"/>
      <c r="L87" s="129"/>
      <c r="M87" s="129"/>
      <c r="N87" s="129"/>
      <c r="O87" s="129"/>
      <c r="P87" s="129"/>
      <c r="Q87" s="130"/>
      <c r="R87" s="140"/>
      <c r="S87" s="141"/>
      <c r="T87" s="141"/>
      <c r="U87" s="142"/>
    </row>
    <row r="88" spans="1:21" ht="18" customHeight="1" x14ac:dyDescent="0.2">
      <c r="A88" s="3"/>
      <c r="B88" s="4"/>
      <c r="C88" s="4"/>
      <c r="D88" s="4"/>
      <c r="E88" s="4"/>
      <c r="F88" s="4"/>
      <c r="G88" s="12"/>
      <c r="H88" s="12"/>
      <c r="I88" s="12"/>
      <c r="J88" s="12"/>
      <c r="K88" s="4"/>
      <c r="L88" s="4"/>
      <c r="M88" s="4"/>
      <c r="N88" s="4"/>
      <c r="O88" s="4"/>
      <c r="P88" s="4"/>
      <c r="Q88" s="4"/>
      <c r="R88" s="12"/>
      <c r="S88" s="12"/>
      <c r="T88" s="12"/>
      <c r="U88" s="12"/>
    </row>
    <row r="89" spans="1:21" ht="18.75" customHeight="1" x14ac:dyDescent="0.2">
      <c r="A89" s="1" t="s">
        <v>38</v>
      </c>
    </row>
    <row r="90" spans="1:21" ht="18.75" customHeight="1" x14ac:dyDescent="0.2">
      <c r="B90" s="143" t="s">
        <v>39</v>
      </c>
      <c r="C90" s="144"/>
      <c r="D90" s="121" t="s">
        <v>40</v>
      </c>
      <c r="E90" s="122"/>
      <c r="F90" s="122"/>
      <c r="G90" s="122"/>
      <c r="H90" s="122"/>
      <c r="I90" s="122"/>
      <c r="J90" s="122"/>
      <c r="K90" s="122"/>
      <c r="L90" s="122"/>
      <c r="M90" s="122"/>
      <c r="N90" s="122"/>
      <c r="O90" s="122"/>
      <c r="P90" s="122"/>
      <c r="Q90" s="122"/>
      <c r="R90" s="122"/>
      <c r="S90" s="122"/>
      <c r="T90" s="122"/>
      <c r="U90" s="123"/>
    </row>
    <row r="91" spans="1:21" ht="97.5" customHeight="1" x14ac:dyDescent="0.2">
      <c r="B91" s="145" t="s">
        <v>41</v>
      </c>
      <c r="C91" s="79" t="s">
        <v>16</v>
      </c>
      <c r="D91" s="147" t="s">
        <v>185</v>
      </c>
      <c r="E91" s="148"/>
      <c r="F91" s="148"/>
      <c r="G91" s="148"/>
      <c r="H91" s="148"/>
      <c r="I91" s="148"/>
      <c r="J91" s="148"/>
      <c r="K91" s="148"/>
      <c r="L91" s="148"/>
      <c r="M91" s="148"/>
      <c r="N91" s="148"/>
      <c r="O91" s="148"/>
      <c r="P91" s="148"/>
      <c r="Q91" s="148"/>
      <c r="R91" s="148"/>
      <c r="S91" s="148"/>
      <c r="T91" s="148"/>
      <c r="U91" s="149"/>
    </row>
    <row r="92" spans="1:21" ht="97.5" customHeight="1" x14ac:dyDescent="0.2">
      <c r="B92" s="153"/>
      <c r="C92" s="80" t="s">
        <v>42</v>
      </c>
      <c r="D92" s="150" t="s">
        <v>186</v>
      </c>
      <c r="E92" s="151"/>
      <c r="F92" s="151"/>
      <c r="G92" s="151"/>
      <c r="H92" s="151"/>
      <c r="I92" s="151"/>
      <c r="J92" s="151"/>
      <c r="K92" s="151"/>
      <c r="L92" s="151"/>
      <c r="M92" s="151"/>
      <c r="N92" s="151"/>
      <c r="O92" s="151"/>
      <c r="P92" s="151"/>
      <c r="Q92" s="151"/>
      <c r="R92" s="151"/>
      <c r="S92" s="151"/>
      <c r="T92" s="151"/>
      <c r="U92" s="152"/>
    </row>
    <row r="93" spans="1:21" ht="97.5" customHeight="1" x14ac:dyDescent="0.2">
      <c r="B93" s="145" t="s">
        <v>43</v>
      </c>
      <c r="C93" s="81" t="s">
        <v>21</v>
      </c>
      <c r="D93" s="147" t="s">
        <v>187</v>
      </c>
      <c r="E93" s="148"/>
      <c r="F93" s="148"/>
      <c r="G93" s="148"/>
      <c r="H93" s="148"/>
      <c r="I93" s="148"/>
      <c r="J93" s="148"/>
      <c r="K93" s="148"/>
      <c r="L93" s="148"/>
      <c r="M93" s="148"/>
      <c r="N93" s="148"/>
      <c r="O93" s="148"/>
      <c r="P93" s="148"/>
      <c r="Q93" s="148"/>
      <c r="R93" s="148"/>
      <c r="S93" s="148"/>
      <c r="T93" s="148"/>
      <c r="U93" s="149"/>
    </row>
    <row r="94" spans="1:21" ht="97.5" customHeight="1" x14ac:dyDescent="0.2">
      <c r="B94" s="146"/>
      <c r="C94" s="82" t="s">
        <v>22</v>
      </c>
      <c r="D94" s="150" t="s">
        <v>188</v>
      </c>
      <c r="E94" s="151"/>
      <c r="F94" s="151"/>
      <c r="G94" s="151"/>
      <c r="H94" s="151"/>
      <c r="I94" s="151"/>
      <c r="J94" s="151"/>
      <c r="K94" s="151"/>
      <c r="L94" s="151"/>
      <c r="M94" s="151"/>
      <c r="N94" s="151"/>
      <c r="O94" s="151"/>
      <c r="P94" s="151"/>
      <c r="Q94" s="151"/>
      <c r="R94" s="151"/>
      <c r="S94" s="151"/>
      <c r="T94" s="151"/>
      <c r="U94" s="152"/>
    </row>
    <row r="95" spans="1:21" ht="97.5" customHeight="1" x14ac:dyDescent="0.2">
      <c r="B95" s="145" t="s">
        <v>44</v>
      </c>
      <c r="C95" s="81" t="s">
        <v>25</v>
      </c>
      <c r="D95" s="147" t="s">
        <v>189</v>
      </c>
      <c r="E95" s="148"/>
      <c r="F95" s="148"/>
      <c r="G95" s="148"/>
      <c r="H95" s="148"/>
      <c r="I95" s="148"/>
      <c r="J95" s="148"/>
      <c r="K95" s="148"/>
      <c r="L95" s="148"/>
      <c r="M95" s="148"/>
      <c r="N95" s="148"/>
      <c r="O95" s="148"/>
      <c r="P95" s="148"/>
      <c r="Q95" s="148"/>
      <c r="R95" s="148"/>
      <c r="S95" s="148"/>
      <c r="T95" s="148"/>
      <c r="U95" s="149"/>
    </row>
    <row r="96" spans="1:21" ht="97.5" customHeight="1" x14ac:dyDescent="0.2">
      <c r="B96" s="146"/>
      <c r="C96" s="83" t="s">
        <v>26</v>
      </c>
      <c r="D96" s="150" t="s">
        <v>190</v>
      </c>
      <c r="E96" s="151"/>
      <c r="F96" s="151"/>
      <c r="G96" s="151"/>
      <c r="H96" s="151"/>
      <c r="I96" s="151"/>
      <c r="J96" s="151"/>
      <c r="K96" s="151"/>
      <c r="L96" s="151"/>
      <c r="M96" s="151"/>
      <c r="N96" s="151"/>
      <c r="O96" s="151"/>
      <c r="P96" s="151"/>
      <c r="Q96" s="151"/>
      <c r="R96" s="151"/>
      <c r="S96" s="151"/>
      <c r="T96" s="151"/>
      <c r="U96" s="152"/>
    </row>
    <row r="97" spans="1:33" ht="97.5" customHeight="1" x14ac:dyDescent="0.2">
      <c r="B97" s="145" t="s">
        <v>45</v>
      </c>
      <c r="C97" s="79" t="s">
        <v>28</v>
      </c>
      <c r="D97" s="147" t="s">
        <v>191</v>
      </c>
      <c r="E97" s="148"/>
      <c r="F97" s="148"/>
      <c r="G97" s="148"/>
      <c r="H97" s="148"/>
      <c r="I97" s="148"/>
      <c r="J97" s="148"/>
      <c r="K97" s="148"/>
      <c r="L97" s="148"/>
      <c r="M97" s="148"/>
      <c r="N97" s="148"/>
      <c r="O97" s="148"/>
      <c r="P97" s="148"/>
      <c r="Q97" s="148"/>
      <c r="R97" s="148"/>
      <c r="S97" s="148"/>
      <c r="T97" s="148"/>
      <c r="U97" s="149"/>
    </row>
    <row r="98" spans="1:33" ht="97.5" customHeight="1" x14ac:dyDescent="0.2">
      <c r="B98" s="146"/>
      <c r="C98" s="82" t="s">
        <v>29</v>
      </c>
      <c r="D98" s="150" t="s">
        <v>50</v>
      </c>
      <c r="E98" s="151"/>
      <c r="F98" s="151"/>
      <c r="G98" s="151"/>
      <c r="H98" s="151"/>
      <c r="I98" s="151"/>
      <c r="J98" s="151"/>
      <c r="K98" s="151"/>
      <c r="L98" s="151"/>
      <c r="M98" s="151"/>
      <c r="N98" s="151"/>
      <c r="O98" s="151"/>
      <c r="P98" s="151"/>
      <c r="Q98" s="151"/>
      <c r="R98" s="151"/>
      <c r="S98" s="151"/>
      <c r="T98" s="151"/>
      <c r="U98" s="152"/>
    </row>
    <row r="99" spans="1:33" ht="97.5" customHeight="1" x14ac:dyDescent="0.2">
      <c r="B99" s="145" t="s">
        <v>46</v>
      </c>
      <c r="C99" s="81" t="s">
        <v>47</v>
      </c>
      <c r="D99" s="147" t="s">
        <v>192</v>
      </c>
      <c r="E99" s="148"/>
      <c r="F99" s="148"/>
      <c r="G99" s="148"/>
      <c r="H99" s="148"/>
      <c r="I99" s="148"/>
      <c r="J99" s="148"/>
      <c r="K99" s="148"/>
      <c r="L99" s="148"/>
      <c r="M99" s="148"/>
      <c r="N99" s="148"/>
      <c r="O99" s="148"/>
      <c r="P99" s="148"/>
      <c r="Q99" s="148"/>
      <c r="R99" s="148"/>
      <c r="S99" s="148"/>
      <c r="T99" s="148"/>
      <c r="U99" s="149"/>
    </row>
    <row r="100" spans="1:33" ht="97.5" customHeight="1" x14ac:dyDescent="0.2">
      <c r="B100" s="153"/>
      <c r="C100" s="84" t="s">
        <v>32</v>
      </c>
      <c r="D100" s="157" t="s">
        <v>193</v>
      </c>
      <c r="E100" s="158"/>
      <c r="F100" s="158"/>
      <c r="G100" s="158"/>
      <c r="H100" s="158"/>
      <c r="I100" s="158"/>
      <c r="J100" s="158"/>
      <c r="K100" s="158"/>
      <c r="L100" s="158"/>
      <c r="M100" s="158"/>
      <c r="N100" s="158"/>
      <c r="O100" s="158"/>
      <c r="P100" s="158"/>
      <c r="Q100" s="158"/>
      <c r="R100" s="158"/>
      <c r="S100" s="158"/>
      <c r="T100" s="158"/>
      <c r="U100" s="159"/>
    </row>
    <row r="101" spans="1:33" ht="97.5" customHeight="1" x14ac:dyDescent="0.2">
      <c r="B101" s="146"/>
      <c r="C101" s="83" t="s">
        <v>33</v>
      </c>
      <c r="D101" s="150" t="s">
        <v>194</v>
      </c>
      <c r="E101" s="151"/>
      <c r="F101" s="151"/>
      <c r="G101" s="151"/>
      <c r="H101" s="151"/>
      <c r="I101" s="151"/>
      <c r="J101" s="151"/>
      <c r="K101" s="151"/>
      <c r="L101" s="151"/>
      <c r="M101" s="151"/>
      <c r="N101" s="151"/>
      <c r="O101" s="151"/>
      <c r="P101" s="151"/>
      <c r="Q101" s="151"/>
      <c r="R101" s="151"/>
      <c r="S101" s="151"/>
      <c r="T101" s="151"/>
      <c r="U101" s="152"/>
    </row>
    <row r="102" spans="1:33" ht="6" customHeight="1" x14ac:dyDescent="0.2"/>
    <row r="103" spans="1:33" ht="18.75" customHeight="1" x14ac:dyDescent="0.2">
      <c r="A103" s="1" t="s">
        <v>48</v>
      </c>
    </row>
    <row r="104" spans="1:33" ht="81.75" customHeight="1" x14ac:dyDescent="0.2">
      <c r="B104" s="160" t="s">
        <v>167</v>
      </c>
      <c r="C104" s="161"/>
      <c r="D104" s="161"/>
      <c r="E104" s="161"/>
      <c r="F104" s="161"/>
      <c r="G104" s="161"/>
      <c r="H104" s="161"/>
      <c r="I104" s="161"/>
      <c r="J104" s="161"/>
      <c r="K104" s="161"/>
      <c r="L104" s="161"/>
      <c r="M104" s="161"/>
      <c r="N104" s="161"/>
      <c r="O104" s="161"/>
      <c r="P104" s="161"/>
      <c r="Q104" s="161"/>
      <c r="R104" s="161"/>
      <c r="S104" s="161"/>
      <c r="T104" s="161"/>
      <c r="U104" s="162"/>
    </row>
    <row r="106" spans="1:33" ht="18.75" customHeight="1" x14ac:dyDescent="0.2">
      <c r="A106" s="38" t="s">
        <v>168</v>
      </c>
      <c r="B106" s="18"/>
      <c r="C106" s="18"/>
      <c r="D106" s="18"/>
      <c r="E106" s="18"/>
      <c r="F106" s="18"/>
      <c r="G106" s="18"/>
      <c r="H106" s="18"/>
      <c r="I106" s="18"/>
      <c r="J106" s="18"/>
      <c r="K106" s="18"/>
      <c r="L106" s="18"/>
      <c r="M106" s="18"/>
      <c r="N106" s="18"/>
      <c r="O106" s="18"/>
      <c r="P106" s="18"/>
      <c r="Q106" s="18"/>
      <c r="R106" s="18"/>
      <c r="S106" s="18"/>
      <c r="T106" s="18"/>
      <c r="U106" s="18"/>
    </row>
    <row r="107" spans="1:33" ht="18.75" customHeight="1" x14ac:dyDescent="0.2">
      <c r="A107" s="38" t="s">
        <v>169</v>
      </c>
      <c r="B107" s="38"/>
      <c r="C107" s="38"/>
      <c r="D107" s="38"/>
      <c r="E107" s="38"/>
      <c r="F107" s="38"/>
      <c r="G107" s="38"/>
      <c r="H107" s="38"/>
      <c r="I107" s="38"/>
      <c r="J107" s="38"/>
      <c r="K107" s="38"/>
      <c r="L107" s="38"/>
      <c r="M107" s="38"/>
      <c r="N107" s="38"/>
      <c r="O107" s="38"/>
      <c r="P107" s="38"/>
      <c r="Q107" s="38"/>
      <c r="R107" s="38"/>
      <c r="S107" s="38"/>
      <c r="T107" s="38"/>
      <c r="U107" s="38"/>
      <c r="V107" s="2"/>
      <c r="W107" s="2"/>
      <c r="X107" s="2"/>
      <c r="Y107" s="2"/>
      <c r="Z107" s="2"/>
      <c r="AA107" s="2"/>
      <c r="AB107" s="2"/>
      <c r="AC107" s="2"/>
      <c r="AD107" s="2"/>
      <c r="AE107" s="2"/>
      <c r="AF107" s="2"/>
      <c r="AG107" s="2"/>
    </row>
    <row r="108" spans="1:33" ht="18.75" customHeight="1" x14ac:dyDescent="0.2">
      <c r="A108" s="38"/>
      <c r="B108" s="163" t="s">
        <v>170</v>
      </c>
      <c r="C108" s="163"/>
      <c r="D108" s="163"/>
      <c r="E108" s="163"/>
      <c r="F108" s="163"/>
      <c r="G108" s="163"/>
      <c r="H108" s="163"/>
      <c r="I108" s="163"/>
      <c r="J108" s="163"/>
      <c r="K108" s="163"/>
      <c r="L108" s="163"/>
      <c r="M108" s="163"/>
      <c r="N108" s="163"/>
      <c r="O108" s="163"/>
      <c r="P108" s="163"/>
      <c r="Q108" s="163"/>
      <c r="R108" s="163"/>
      <c r="S108" s="163"/>
      <c r="T108" s="163"/>
      <c r="U108" s="163"/>
      <c r="V108" s="85"/>
      <c r="W108" s="85"/>
      <c r="X108" s="85"/>
      <c r="Y108" s="85"/>
      <c r="Z108" s="85"/>
      <c r="AA108" s="85"/>
      <c r="AB108" s="85"/>
      <c r="AC108" s="85"/>
      <c r="AD108" s="85"/>
      <c r="AE108" s="85"/>
      <c r="AF108" s="85"/>
      <c r="AG108" s="85"/>
    </row>
    <row r="109" spans="1:33" ht="37.15" customHeight="1" x14ac:dyDescent="0.2">
      <c r="A109" s="38"/>
      <c r="B109" s="163"/>
      <c r="C109" s="163"/>
      <c r="D109" s="163"/>
      <c r="E109" s="163"/>
      <c r="F109" s="163"/>
      <c r="G109" s="163"/>
      <c r="H109" s="163"/>
      <c r="I109" s="163"/>
      <c r="J109" s="163"/>
      <c r="K109" s="163"/>
      <c r="L109" s="163"/>
      <c r="M109" s="163"/>
      <c r="N109" s="163"/>
      <c r="O109" s="163"/>
      <c r="P109" s="163"/>
      <c r="Q109" s="163"/>
      <c r="R109" s="163"/>
      <c r="S109" s="163"/>
      <c r="T109" s="163"/>
      <c r="U109" s="163"/>
      <c r="V109" s="85"/>
      <c r="W109" s="85"/>
      <c r="X109" s="85"/>
      <c r="Y109" s="85"/>
      <c r="Z109" s="85"/>
      <c r="AA109" s="85"/>
      <c r="AB109" s="85"/>
      <c r="AC109" s="85"/>
      <c r="AD109" s="85"/>
      <c r="AE109" s="85"/>
      <c r="AF109" s="85"/>
      <c r="AG109" s="85"/>
    </row>
    <row r="110" spans="1:33" ht="18.75" customHeight="1" x14ac:dyDescent="0.2">
      <c r="A110" s="38"/>
      <c r="B110" s="154" t="s">
        <v>171</v>
      </c>
      <c r="C110" s="154"/>
      <c r="D110" s="154"/>
      <c r="E110" s="154"/>
      <c r="F110" s="154"/>
      <c r="G110" s="154"/>
      <c r="H110" s="154"/>
      <c r="I110" s="154"/>
      <c r="J110" s="154"/>
      <c r="K110" s="154"/>
      <c r="L110" s="154"/>
      <c r="M110" s="154"/>
      <c r="N110" s="154"/>
      <c r="O110" s="154"/>
      <c r="P110" s="154"/>
      <c r="Q110" s="154"/>
      <c r="R110" s="154"/>
      <c r="S110" s="154"/>
      <c r="T110" s="154"/>
      <c r="U110" s="154"/>
      <c r="V110" s="85"/>
      <c r="W110" s="85"/>
      <c r="X110" s="85"/>
      <c r="Y110" s="85"/>
      <c r="Z110" s="85"/>
      <c r="AA110" s="85"/>
      <c r="AB110" s="85"/>
      <c r="AC110" s="85"/>
      <c r="AD110" s="85"/>
      <c r="AE110" s="85"/>
      <c r="AF110" s="85"/>
      <c r="AG110" s="85"/>
    </row>
    <row r="111" spans="1:33" ht="18.75" customHeight="1" x14ac:dyDescent="0.2">
      <c r="A111" s="38"/>
      <c r="B111" s="155" t="s">
        <v>40</v>
      </c>
      <c r="C111" s="155"/>
      <c r="D111" s="155"/>
      <c r="E111" s="155"/>
      <c r="F111" s="155"/>
      <c r="G111" s="155"/>
      <c r="H111" s="155"/>
      <c r="I111" s="155"/>
      <c r="J111" s="155"/>
      <c r="K111" s="155"/>
      <c r="L111" s="155"/>
      <c r="M111" s="155"/>
      <c r="N111" s="155"/>
      <c r="O111" s="155"/>
      <c r="P111" s="155"/>
      <c r="Q111" s="155"/>
      <c r="R111" s="155"/>
      <c r="S111" s="155"/>
      <c r="T111" s="155"/>
      <c r="U111" s="155"/>
      <c r="V111" s="86"/>
      <c r="W111" s="86"/>
      <c r="X111" s="86"/>
      <c r="Y111" s="86"/>
      <c r="Z111" s="86"/>
      <c r="AA111" s="86"/>
      <c r="AB111" s="86"/>
      <c r="AC111" s="86"/>
      <c r="AD111" s="86"/>
      <c r="AE111" s="86"/>
      <c r="AF111" s="86"/>
      <c r="AG111" s="86"/>
    </row>
    <row r="112" spans="1:33" ht="132" customHeight="1" x14ac:dyDescent="0.2">
      <c r="A112" s="38"/>
      <c r="B112" s="156" t="s">
        <v>172</v>
      </c>
      <c r="C112" s="156"/>
      <c r="D112" s="156"/>
      <c r="E112" s="156"/>
      <c r="F112" s="156"/>
      <c r="G112" s="156"/>
      <c r="H112" s="156"/>
      <c r="I112" s="156"/>
      <c r="J112" s="156"/>
      <c r="K112" s="156"/>
      <c r="L112" s="156"/>
      <c r="M112" s="156"/>
      <c r="N112" s="156"/>
      <c r="O112" s="156"/>
      <c r="P112" s="156"/>
      <c r="Q112" s="156"/>
      <c r="R112" s="156"/>
      <c r="S112" s="156"/>
      <c r="T112" s="156"/>
      <c r="U112" s="156"/>
      <c r="V112" s="87"/>
      <c r="W112" s="87"/>
      <c r="X112" s="87"/>
      <c r="Y112" s="87"/>
      <c r="Z112" s="87"/>
      <c r="AA112" s="87"/>
      <c r="AB112" s="87"/>
      <c r="AC112" s="87"/>
      <c r="AD112" s="87"/>
      <c r="AE112" s="87"/>
      <c r="AF112" s="87"/>
      <c r="AG112" s="87"/>
    </row>
    <row r="114" ht="18" customHeight="1" x14ac:dyDescent="0.2"/>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C5058258-5A43-4699-BB01-C6FB796F4410}">
      <formula1>"○"</formula1>
    </dataValidation>
    <dataValidation type="list" allowBlank="1" showInputMessage="1" showErrorMessage="1" sqref="U34 U45 E34:H34 E45:H45" xr:uid="{2B659C08-141C-421C-9943-E32ECFB3B052}">
      <formula1>"全学開講,一部開講"</formula1>
    </dataValidation>
    <dataValidation type="list" allowBlank="1" showInputMessage="1" showErrorMessage="1" sqref="L14 L7:U7" xr:uid="{DF4E7264-012F-4E0B-83AA-79393A051CA6}">
      <formula1>"学部・学科によって、修了要件は相違する,学部・学科によって、修了要件は相違しない"</formula1>
    </dataValidation>
    <dataValidation type="list" allowBlank="1" showInputMessage="1" showErrorMessage="1" sqref="G81:G88 R81:R88 H81:J82 H85:J88 S85:U88 S81:U82" xr:uid="{EE7FBAF4-4761-4846-8686-23CF40CBAC9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3591440F-921E-4778-82E6-D68428202A8B}">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25598-E678-7942-8461-AC3EB9AAA247}">
  <sheetPr>
    <pageSetUpPr fitToPage="1"/>
  </sheetPr>
  <dimension ref="A1:U33"/>
  <sheetViews>
    <sheetView view="pageBreakPreview" zoomScale="85" zoomScaleNormal="100" zoomScaleSheetLayoutView="85" workbookViewId="0">
      <selection activeCell="Q2" sqref="Q2:S2"/>
    </sheetView>
  </sheetViews>
  <sheetFormatPr defaultColWidth="9" defaultRowHeight="18.75" customHeight="1" x14ac:dyDescent="0.2"/>
  <cols>
    <col min="1" max="1" width="2.7265625" style="18" customWidth="1"/>
    <col min="2" max="2" width="20.7265625" style="18" customWidth="1"/>
    <col min="3" max="18" width="6.1796875" style="18" customWidth="1"/>
    <col min="19" max="19" width="6.7265625" style="18" customWidth="1"/>
    <col min="20" max="16384" width="9" style="18"/>
  </cols>
  <sheetData>
    <row r="1" spans="1:21" ht="18" customHeight="1" x14ac:dyDescent="0.2">
      <c r="S1" s="18" t="s">
        <v>51</v>
      </c>
    </row>
    <row r="2" spans="1:21" ht="18" customHeight="1" x14ac:dyDescent="0.2">
      <c r="Q2" s="164" t="str">
        <f>'様式１-1　プログラムを構成する授業科目'!C2</f>
        <v>東京都立産業技術高等専門学校</v>
      </c>
      <c r="R2" s="164"/>
      <c r="S2" s="164"/>
    </row>
    <row r="3" spans="1:21" ht="18" customHeight="1" x14ac:dyDescent="0.2">
      <c r="A3" s="95" t="s">
        <v>52</v>
      </c>
      <c r="B3" s="95"/>
      <c r="C3" s="95"/>
      <c r="D3" s="95"/>
      <c r="E3" s="95"/>
      <c r="F3" s="95"/>
      <c r="G3" s="95"/>
      <c r="H3" s="95"/>
      <c r="I3" s="95"/>
      <c r="J3" s="95"/>
      <c r="K3" s="95"/>
      <c r="L3" s="95"/>
      <c r="M3" s="95"/>
      <c r="N3" s="95"/>
      <c r="O3" s="95"/>
      <c r="P3" s="95"/>
      <c r="Q3" s="95"/>
      <c r="R3" s="95"/>
      <c r="S3" s="95"/>
    </row>
    <row r="4" spans="1:21" ht="7.5" customHeight="1" x14ac:dyDescent="0.2">
      <c r="A4" s="19"/>
      <c r="B4" s="19"/>
      <c r="C4" s="19"/>
      <c r="D4" s="19"/>
      <c r="E4" s="19"/>
      <c r="F4" s="19"/>
      <c r="G4" s="19"/>
      <c r="H4" s="19"/>
      <c r="I4" s="19"/>
      <c r="J4" s="19"/>
      <c r="K4" s="19"/>
      <c r="L4" s="19"/>
      <c r="M4" s="19"/>
      <c r="N4" s="19"/>
      <c r="O4" s="19"/>
      <c r="P4" s="19"/>
      <c r="Q4" s="19"/>
      <c r="R4" s="19"/>
      <c r="S4" s="19"/>
    </row>
    <row r="5" spans="1:21" ht="18" customHeight="1" x14ac:dyDescent="0.2">
      <c r="A5" s="18" t="s">
        <v>53</v>
      </c>
      <c r="C5" s="92" t="s">
        <v>155</v>
      </c>
      <c r="D5" s="94"/>
      <c r="E5" s="19" t="s">
        <v>54</v>
      </c>
      <c r="F5" s="19"/>
      <c r="G5" s="19"/>
      <c r="H5" s="19"/>
      <c r="I5" s="19"/>
      <c r="J5" s="19"/>
      <c r="K5" s="19"/>
      <c r="L5" s="19"/>
      <c r="M5" s="19"/>
      <c r="N5" s="19"/>
      <c r="O5" s="19"/>
      <c r="P5" s="19"/>
      <c r="Q5" s="19"/>
      <c r="R5" s="20"/>
      <c r="S5" s="20"/>
    </row>
    <row r="6" spans="1:21" ht="7.4" customHeight="1" x14ac:dyDescent="0.2">
      <c r="C6" s="21"/>
      <c r="D6" s="21"/>
      <c r="E6" s="19"/>
      <c r="F6" s="19"/>
      <c r="G6" s="19"/>
      <c r="H6" s="19"/>
      <c r="I6" s="19"/>
      <c r="J6" s="19"/>
      <c r="K6" s="19"/>
      <c r="L6" s="19"/>
      <c r="M6" s="19"/>
      <c r="N6" s="19"/>
      <c r="O6" s="19"/>
      <c r="P6" s="19"/>
      <c r="Q6" s="19"/>
      <c r="R6" s="20"/>
      <c r="S6" s="20"/>
    </row>
    <row r="7" spans="1:21" ht="18" customHeight="1" x14ac:dyDescent="0.2">
      <c r="A7" s="18" t="s">
        <v>55</v>
      </c>
      <c r="C7" s="21"/>
      <c r="D7" s="21"/>
      <c r="E7" s="19" t="s">
        <v>56</v>
      </c>
      <c r="F7" s="22">
        <v>1393</v>
      </c>
      <c r="G7" s="23" t="s">
        <v>57</v>
      </c>
      <c r="H7" s="19" t="s">
        <v>58</v>
      </c>
      <c r="I7" s="22">
        <v>214</v>
      </c>
      <c r="J7" s="23" t="s">
        <v>57</v>
      </c>
      <c r="K7" s="24" t="s">
        <v>59</v>
      </c>
      <c r="L7" s="19" t="s">
        <v>60</v>
      </c>
      <c r="M7" s="22">
        <f>F7+I7</f>
        <v>1607</v>
      </c>
      <c r="N7" s="19" t="s">
        <v>61</v>
      </c>
      <c r="O7" s="23" t="s">
        <v>62</v>
      </c>
      <c r="P7" s="19"/>
      <c r="Q7" s="19"/>
      <c r="R7" s="20"/>
      <c r="S7" s="20"/>
    </row>
    <row r="8" spans="1:21" ht="6" customHeight="1" x14ac:dyDescent="0.2">
      <c r="A8" s="19"/>
      <c r="B8" s="19"/>
      <c r="C8" s="19"/>
      <c r="D8" s="19"/>
      <c r="E8" s="19"/>
      <c r="F8" s="19"/>
      <c r="G8" s="19"/>
      <c r="H8" s="19"/>
      <c r="I8" s="19"/>
      <c r="J8" s="19"/>
      <c r="K8" s="19"/>
      <c r="L8" s="19"/>
      <c r="M8" s="19"/>
      <c r="N8" s="19"/>
      <c r="O8" s="19"/>
      <c r="P8" s="19"/>
      <c r="Q8" s="19"/>
      <c r="R8" s="19"/>
      <c r="S8" s="19"/>
    </row>
    <row r="9" spans="1:21" ht="18" customHeight="1" x14ac:dyDescent="0.2">
      <c r="A9" s="18" t="s">
        <v>63</v>
      </c>
      <c r="B9" s="19"/>
      <c r="C9" s="19"/>
      <c r="D9" s="19"/>
      <c r="E9" s="19"/>
      <c r="F9" s="19"/>
      <c r="G9" s="19"/>
      <c r="H9" s="19"/>
      <c r="I9" s="19"/>
      <c r="J9" s="19"/>
      <c r="K9" s="19"/>
      <c r="L9" s="19"/>
      <c r="M9" s="19"/>
      <c r="N9" s="19"/>
      <c r="O9" s="19"/>
      <c r="P9" s="19"/>
      <c r="Q9" s="19"/>
      <c r="R9" s="19"/>
      <c r="S9" s="19"/>
    </row>
    <row r="10" spans="1:21" ht="6" customHeight="1" x14ac:dyDescent="0.2">
      <c r="B10" s="19"/>
      <c r="C10" s="19"/>
      <c r="D10" s="19"/>
      <c r="E10" s="19"/>
      <c r="F10" s="19"/>
      <c r="G10" s="19"/>
      <c r="H10" s="19"/>
      <c r="I10" s="19"/>
      <c r="J10" s="19"/>
      <c r="K10" s="19"/>
      <c r="L10" s="19"/>
      <c r="M10" s="19"/>
      <c r="N10" s="19"/>
      <c r="O10" s="19"/>
      <c r="P10" s="19"/>
      <c r="Q10" s="19"/>
      <c r="R10" s="19"/>
      <c r="S10" s="19"/>
    </row>
    <row r="11" spans="1:21" ht="18" customHeight="1" x14ac:dyDescent="0.2">
      <c r="B11" s="165" t="s">
        <v>64</v>
      </c>
      <c r="C11" s="167" t="s">
        <v>65</v>
      </c>
      <c r="D11" s="169" t="s">
        <v>66</v>
      </c>
      <c r="E11" s="171" t="s">
        <v>67</v>
      </c>
      <c r="F11" s="173" t="s">
        <v>68</v>
      </c>
      <c r="G11" s="173"/>
      <c r="H11" s="173" t="s">
        <v>69</v>
      </c>
      <c r="I11" s="173"/>
      <c r="J11" s="173" t="s">
        <v>70</v>
      </c>
      <c r="K11" s="173"/>
      <c r="L11" s="173" t="s">
        <v>71</v>
      </c>
      <c r="M11" s="173"/>
      <c r="N11" s="173" t="s">
        <v>72</v>
      </c>
      <c r="O11" s="173"/>
      <c r="P11" s="173" t="s">
        <v>73</v>
      </c>
      <c r="Q11" s="173"/>
      <c r="R11" s="174" t="s">
        <v>74</v>
      </c>
      <c r="S11" s="176" t="s">
        <v>75</v>
      </c>
      <c r="U11" s="38"/>
    </row>
    <row r="12" spans="1:21" ht="17.149999999999999" customHeight="1" x14ac:dyDescent="0.2">
      <c r="B12" s="166"/>
      <c r="C12" s="168"/>
      <c r="D12" s="170"/>
      <c r="E12" s="172"/>
      <c r="F12" s="44" t="s">
        <v>76</v>
      </c>
      <c r="G12" s="44" t="s">
        <v>77</v>
      </c>
      <c r="H12" s="44" t="s">
        <v>76</v>
      </c>
      <c r="I12" s="44" t="s">
        <v>77</v>
      </c>
      <c r="J12" s="44" t="s">
        <v>76</v>
      </c>
      <c r="K12" s="44" t="s">
        <v>77</v>
      </c>
      <c r="L12" s="44" t="s">
        <v>76</v>
      </c>
      <c r="M12" s="44" t="s">
        <v>77</v>
      </c>
      <c r="N12" s="44" t="s">
        <v>76</v>
      </c>
      <c r="O12" s="44" t="s">
        <v>77</v>
      </c>
      <c r="P12" s="44" t="s">
        <v>76</v>
      </c>
      <c r="Q12" s="45" t="s">
        <v>77</v>
      </c>
      <c r="R12" s="175"/>
      <c r="S12" s="177"/>
      <c r="U12" s="38"/>
    </row>
    <row r="13" spans="1:21" ht="18" customHeight="1" x14ac:dyDescent="0.2">
      <c r="A13" s="20"/>
      <c r="B13" s="46" t="s">
        <v>78</v>
      </c>
      <c r="C13" s="47">
        <f>F13+I13</f>
        <v>328</v>
      </c>
      <c r="D13" s="48">
        <v>160</v>
      </c>
      <c r="E13" s="49">
        <f>D13*5</f>
        <v>800</v>
      </c>
      <c r="F13" s="49">
        <v>165</v>
      </c>
      <c r="G13" s="49">
        <v>165</v>
      </c>
      <c r="H13" s="49">
        <v>163</v>
      </c>
      <c r="I13" s="49">
        <v>163</v>
      </c>
      <c r="J13" s="49">
        <v>0</v>
      </c>
      <c r="K13" s="49"/>
      <c r="L13" s="49">
        <v>0</v>
      </c>
      <c r="M13" s="49"/>
      <c r="N13" s="49">
        <v>0</v>
      </c>
      <c r="O13" s="49"/>
      <c r="P13" s="49">
        <v>0</v>
      </c>
      <c r="Q13" s="50"/>
      <c r="R13" s="48">
        <f t="shared" ref="R13:R32" si="0">F13+H13+J13+L13+N13+P13</f>
        <v>328</v>
      </c>
      <c r="S13" s="51">
        <f t="shared" ref="S13:S33" si="1">R13/E13</f>
        <v>0.41</v>
      </c>
    </row>
    <row r="14" spans="1:21" ht="18" customHeight="1" x14ac:dyDescent="0.2">
      <c r="A14" s="20"/>
      <c r="B14" s="52" t="s">
        <v>79</v>
      </c>
      <c r="C14" s="53">
        <v>167</v>
      </c>
      <c r="D14" s="54">
        <v>160</v>
      </c>
      <c r="E14" s="55">
        <v>800</v>
      </c>
      <c r="F14" s="56">
        <v>167</v>
      </c>
      <c r="G14" s="56">
        <v>167</v>
      </c>
      <c r="H14" s="56">
        <v>0</v>
      </c>
      <c r="I14" s="56"/>
      <c r="J14" s="56">
        <v>0</v>
      </c>
      <c r="K14" s="56"/>
      <c r="L14" s="56">
        <v>0</v>
      </c>
      <c r="M14" s="56"/>
      <c r="N14" s="56">
        <v>0</v>
      </c>
      <c r="O14" s="56"/>
      <c r="P14" s="56">
        <v>0</v>
      </c>
      <c r="Q14" s="53"/>
      <c r="R14" s="54">
        <f t="shared" si="0"/>
        <v>167</v>
      </c>
      <c r="S14" s="57">
        <f t="shared" si="1"/>
        <v>0.20874999999999999</v>
      </c>
    </row>
    <row r="15" spans="1:21" ht="18" customHeight="1" x14ac:dyDescent="0.2">
      <c r="A15" s="20"/>
      <c r="B15" s="52"/>
      <c r="C15" s="53"/>
      <c r="D15" s="54"/>
      <c r="E15" s="55"/>
      <c r="F15" s="56">
        <f t="shared" ref="F15:F32" si="2">G15+H15</f>
        <v>0</v>
      </c>
      <c r="G15" s="56"/>
      <c r="H15" s="56">
        <f t="shared" ref="H15:H32" si="3">I15+J15</f>
        <v>0</v>
      </c>
      <c r="I15" s="56"/>
      <c r="J15" s="56">
        <f t="shared" ref="J15:N32" si="4">K15+L15</f>
        <v>0</v>
      </c>
      <c r="K15" s="56"/>
      <c r="L15" s="56">
        <f t="shared" si="4"/>
        <v>0</v>
      </c>
      <c r="M15" s="56"/>
      <c r="N15" s="56">
        <f t="shared" si="4"/>
        <v>0</v>
      </c>
      <c r="O15" s="56"/>
      <c r="P15" s="56">
        <v>0</v>
      </c>
      <c r="Q15" s="53"/>
      <c r="R15" s="54">
        <f t="shared" si="0"/>
        <v>0</v>
      </c>
      <c r="S15" s="58" t="e">
        <f t="shared" si="1"/>
        <v>#DIV/0!</v>
      </c>
    </row>
    <row r="16" spans="1:21" ht="18" customHeight="1" x14ac:dyDescent="0.2">
      <c r="A16" s="20"/>
      <c r="B16" s="52"/>
      <c r="C16" s="53"/>
      <c r="D16" s="54"/>
      <c r="E16" s="55"/>
      <c r="F16" s="56">
        <f t="shared" si="2"/>
        <v>0</v>
      </c>
      <c r="G16" s="56"/>
      <c r="H16" s="56">
        <f t="shared" si="3"/>
        <v>0</v>
      </c>
      <c r="I16" s="56"/>
      <c r="J16" s="56">
        <f t="shared" si="4"/>
        <v>0</v>
      </c>
      <c r="K16" s="56"/>
      <c r="L16" s="56">
        <f t="shared" si="4"/>
        <v>0</v>
      </c>
      <c r="M16" s="56"/>
      <c r="N16" s="56">
        <f t="shared" si="4"/>
        <v>0</v>
      </c>
      <c r="O16" s="56"/>
      <c r="P16" s="56">
        <v>0</v>
      </c>
      <c r="Q16" s="53"/>
      <c r="R16" s="54">
        <f t="shared" si="0"/>
        <v>0</v>
      </c>
      <c r="S16" s="58" t="e">
        <f t="shared" si="1"/>
        <v>#DIV/0!</v>
      </c>
    </row>
    <row r="17" spans="1:19" ht="18" customHeight="1" x14ac:dyDescent="0.2">
      <c r="A17" s="20"/>
      <c r="B17" s="52"/>
      <c r="C17" s="53"/>
      <c r="D17" s="54"/>
      <c r="E17" s="55"/>
      <c r="F17" s="56">
        <f t="shared" si="2"/>
        <v>0</v>
      </c>
      <c r="G17" s="56"/>
      <c r="H17" s="56">
        <f t="shared" si="3"/>
        <v>0</v>
      </c>
      <c r="I17" s="56"/>
      <c r="J17" s="56">
        <f t="shared" si="4"/>
        <v>0</v>
      </c>
      <c r="K17" s="56"/>
      <c r="L17" s="56">
        <f t="shared" si="4"/>
        <v>0</v>
      </c>
      <c r="M17" s="56"/>
      <c r="N17" s="56">
        <f t="shared" si="4"/>
        <v>0</v>
      </c>
      <c r="O17" s="56"/>
      <c r="P17" s="56">
        <v>0</v>
      </c>
      <c r="Q17" s="53"/>
      <c r="R17" s="54">
        <f t="shared" si="0"/>
        <v>0</v>
      </c>
      <c r="S17" s="58" t="e">
        <f t="shared" si="1"/>
        <v>#DIV/0!</v>
      </c>
    </row>
    <row r="18" spans="1:19" ht="18" customHeight="1" x14ac:dyDescent="0.2">
      <c r="A18" s="20"/>
      <c r="B18" s="52"/>
      <c r="C18" s="53"/>
      <c r="D18" s="54"/>
      <c r="E18" s="55"/>
      <c r="F18" s="56">
        <f t="shared" si="2"/>
        <v>0</v>
      </c>
      <c r="G18" s="56"/>
      <c r="H18" s="56">
        <f t="shared" si="3"/>
        <v>0</v>
      </c>
      <c r="I18" s="56"/>
      <c r="J18" s="56">
        <f t="shared" si="4"/>
        <v>0</v>
      </c>
      <c r="K18" s="56"/>
      <c r="L18" s="56">
        <f t="shared" si="4"/>
        <v>0</v>
      </c>
      <c r="M18" s="56"/>
      <c r="N18" s="56">
        <f t="shared" si="4"/>
        <v>0</v>
      </c>
      <c r="O18" s="56"/>
      <c r="P18" s="56">
        <v>0</v>
      </c>
      <c r="Q18" s="53"/>
      <c r="R18" s="54">
        <f t="shared" si="0"/>
        <v>0</v>
      </c>
      <c r="S18" s="58" t="e">
        <f t="shared" si="1"/>
        <v>#DIV/0!</v>
      </c>
    </row>
    <row r="19" spans="1:19" ht="18" customHeight="1" x14ac:dyDescent="0.2">
      <c r="A19" s="20"/>
      <c r="B19" s="52"/>
      <c r="C19" s="53"/>
      <c r="D19" s="54"/>
      <c r="E19" s="55"/>
      <c r="F19" s="56">
        <f t="shared" si="2"/>
        <v>0</v>
      </c>
      <c r="G19" s="56"/>
      <c r="H19" s="56">
        <f t="shared" si="3"/>
        <v>0</v>
      </c>
      <c r="I19" s="56"/>
      <c r="J19" s="56">
        <f t="shared" si="4"/>
        <v>0</v>
      </c>
      <c r="K19" s="56"/>
      <c r="L19" s="56">
        <f t="shared" si="4"/>
        <v>0</v>
      </c>
      <c r="M19" s="56"/>
      <c r="N19" s="56">
        <f t="shared" si="4"/>
        <v>0</v>
      </c>
      <c r="O19" s="56"/>
      <c r="P19" s="56">
        <v>0</v>
      </c>
      <c r="Q19" s="53"/>
      <c r="R19" s="54">
        <f t="shared" si="0"/>
        <v>0</v>
      </c>
      <c r="S19" s="58" t="e">
        <f t="shared" si="1"/>
        <v>#DIV/0!</v>
      </c>
    </row>
    <row r="20" spans="1:19" ht="18" customHeight="1" x14ac:dyDescent="0.2">
      <c r="A20" s="20"/>
      <c r="B20" s="52"/>
      <c r="C20" s="53"/>
      <c r="D20" s="54"/>
      <c r="E20" s="55"/>
      <c r="F20" s="56">
        <f t="shared" si="2"/>
        <v>0</v>
      </c>
      <c r="G20" s="56"/>
      <c r="H20" s="56">
        <f t="shared" si="3"/>
        <v>0</v>
      </c>
      <c r="I20" s="56"/>
      <c r="J20" s="56">
        <f t="shared" si="4"/>
        <v>0</v>
      </c>
      <c r="K20" s="56"/>
      <c r="L20" s="56">
        <f t="shared" si="4"/>
        <v>0</v>
      </c>
      <c r="M20" s="56"/>
      <c r="N20" s="56">
        <f t="shared" si="4"/>
        <v>0</v>
      </c>
      <c r="O20" s="56"/>
      <c r="P20" s="56">
        <v>0</v>
      </c>
      <c r="Q20" s="53"/>
      <c r="R20" s="54">
        <f t="shared" si="0"/>
        <v>0</v>
      </c>
      <c r="S20" s="58" t="e">
        <f t="shared" si="1"/>
        <v>#DIV/0!</v>
      </c>
    </row>
    <row r="21" spans="1:19" ht="18" customHeight="1" x14ac:dyDescent="0.2">
      <c r="A21" s="20"/>
      <c r="B21" s="52"/>
      <c r="C21" s="53"/>
      <c r="D21" s="54"/>
      <c r="E21" s="55"/>
      <c r="F21" s="56">
        <f t="shared" si="2"/>
        <v>0</v>
      </c>
      <c r="G21" s="56"/>
      <c r="H21" s="56">
        <f t="shared" si="3"/>
        <v>0</v>
      </c>
      <c r="I21" s="56"/>
      <c r="J21" s="56">
        <f t="shared" si="4"/>
        <v>0</v>
      </c>
      <c r="K21" s="56"/>
      <c r="L21" s="56">
        <f t="shared" si="4"/>
        <v>0</v>
      </c>
      <c r="M21" s="56"/>
      <c r="N21" s="56">
        <f t="shared" si="4"/>
        <v>0</v>
      </c>
      <c r="O21" s="56"/>
      <c r="P21" s="56">
        <v>0</v>
      </c>
      <c r="Q21" s="53"/>
      <c r="R21" s="54">
        <f t="shared" si="0"/>
        <v>0</v>
      </c>
      <c r="S21" s="58" t="e">
        <f t="shared" si="1"/>
        <v>#DIV/0!</v>
      </c>
    </row>
    <row r="22" spans="1:19" ht="18" customHeight="1" x14ac:dyDescent="0.2">
      <c r="A22" s="20"/>
      <c r="B22" s="52"/>
      <c r="C22" s="53"/>
      <c r="D22" s="54"/>
      <c r="E22" s="55"/>
      <c r="F22" s="56">
        <f t="shared" si="2"/>
        <v>0</v>
      </c>
      <c r="G22" s="56"/>
      <c r="H22" s="56">
        <f t="shared" si="3"/>
        <v>0</v>
      </c>
      <c r="I22" s="56"/>
      <c r="J22" s="56">
        <f t="shared" si="4"/>
        <v>0</v>
      </c>
      <c r="K22" s="56"/>
      <c r="L22" s="56">
        <f t="shared" si="4"/>
        <v>0</v>
      </c>
      <c r="M22" s="56"/>
      <c r="N22" s="56">
        <f t="shared" si="4"/>
        <v>0</v>
      </c>
      <c r="O22" s="56"/>
      <c r="P22" s="56">
        <v>0</v>
      </c>
      <c r="Q22" s="53"/>
      <c r="R22" s="54">
        <f t="shared" si="0"/>
        <v>0</v>
      </c>
      <c r="S22" s="58" t="e">
        <f t="shared" si="1"/>
        <v>#DIV/0!</v>
      </c>
    </row>
    <row r="23" spans="1:19" ht="18" customHeight="1" x14ac:dyDescent="0.2">
      <c r="A23" s="20"/>
      <c r="B23" s="52"/>
      <c r="C23" s="53"/>
      <c r="D23" s="54"/>
      <c r="E23" s="55"/>
      <c r="F23" s="56">
        <f t="shared" si="2"/>
        <v>0</v>
      </c>
      <c r="G23" s="56"/>
      <c r="H23" s="56">
        <f t="shared" si="3"/>
        <v>0</v>
      </c>
      <c r="I23" s="56"/>
      <c r="J23" s="56">
        <f t="shared" si="4"/>
        <v>0</v>
      </c>
      <c r="K23" s="56"/>
      <c r="L23" s="56">
        <f t="shared" si="4"/>
        <v>0</v>
      </c>
      <c r="M23" s="56"/>
      <c r="N23" s="56">
        <f t="shared" si="4"/>
        <v>0</v>
      </c>
      <c r="O23" s="56"/>
      <c r="P23" s="56">
        <v>0</v>
      </c>
      <c r="Q23" s="53"/>
      <c r="R23" s="54">
        <f t="shared" si="0"/>
        <v>0</v>
      </c>
      <c r="S23" s="58" t="e">
        <f t="shared" si="1"/>
        <v>#DIV/0!</v>
      </c>
    </row>
    <row r="24" spans="1:19" ht="18" customHeight="1" x14ac:dyDescent="0.2">
      <c r="A24" s="20"/>
      <c r="B24" s="52"/>
      <c r="C24" s="53"/>
      <c r="D24" s="54"/>
      <c r="E24" s="55"/>
      <c r="F24" s="56">
        <f t="shared" si="2"/>
        <v>0</v>
      </c>
      <c r="G24" s="56"/>
      <c r="H24" s="56">
        <f t="shared" si="3"/>
        <v>0</v>
      </c>
      <c r="I24" s="56"/>
      <c r="J24" s="56">
        <f t="shared" si="4"/>
        <v>0</v>
      </c>
      <c r="K24" s="56"/>
      <c r="L24" s="56">
        <f t="shared" si="4"/>
        <v>0</v>
      </c>
      <c r="M24" s="56"/>
      <c r="N24" s="56">
        <f t="shared" si="4"/>
        <v>0</v>
      </c>
      <c r="O24" s="56"/>
      <c r="P24" s="56">
        <v>0</v>
      </c>
      <c r="Q24" s="53"/>
      <c r="R24" s="54">
        <f t="shared" si="0"/>
        <v>0</v>
      </c>
      <c r="S24" s="58" t="e">
        <f t="shared" si="1"/>
        <v>#DIV/0!</v>
      </c>
    </row>
    <row r="25" spans="1:19" ht="18" customHeight="1" x14ac:dyDescent="0.2">
      <c r="A25" s="20"/>
      <c r="B25" s="52"/>
      <c r="C25" s="53"/>
      <c r="D25" s="54"/>
      <c r="E25" s="55"/>
      <c r="F25" s="56">
        <f t="shared" si="2"/>
        <v>0</v>
      </c>
      <c r="G25" s="56"/>
      <c r="H25" s="56">
        <f t="shared" si="3"/>
        <v>0</v>
      </c>
      <c r="I25" s="56"/>
      <c r="J25" s="56">
        <f t="shared" si="4"/>
        <v>0</v>
      </c>
      <c r="K25" s="56"/>
      <c r="L25" s="56">
        <f t="shared" si="4"/>
        <v>0</v>
      </c>
      <c r="M25" s="56"/>
      <c r="N25" s="56">
        <f t="shared" si="4"/>
        <v>0</v>
      </c>
      <c r="O25" s="56"/>
      <c r="P25" s="56">
        <v>0</v>
      </c>
      <c r="Q25" s="53"/>
      <c r="R25" s="54">
        <f t="shared" si="0"/>
        <v>0</v>
      </c>
      <c r="S25" s="58" t="e">
        <f t="shared" si="1"/>
        <v>#DIV/0!</v>
      </c>
    </row>
    <row r="26" spans="1:19" ht="18" customHeight="1" x14ac:dyDescent="0.2">
      <c r="A26" s="20"/>
      <c r="B26" s="52"/>
      <c r="C26" s="53"/>
      <c r="D26" s="54"/>
      <c r="E26" s="55"/>
      <c r="F26" s="56">
        <f t="shared" si="2"/>
        <v>0</v>
      </c>
      <c r="G26" s="56"/>
      <c r="H26" s="56">
        <f t="shared" si="3"/>
        <v>0</v>
      </c>
      <c r="I26" s="56"/>
      <c r="J26" s="56">
        <f t="shared" si="4"/>
        <v>0</v>
      </c>
      <c r="K26" s="56"/>
      <c r="L26" s="56">
        <f t="shared" si="4"/>
        <v>0</v>
      </c>
      <c r="M26" s="56"/>
      <c r="N26" s="56">
        <f t="shared" si="4"/>
        <v>0</v>
      </c>
      <c r="O26" s="56"/>
      <c r="P26" s="56">
        <v>0</v>
      </c>
      <c r="Q26" s="53"/>
      <c r="R26" s="54">
        <f t="shared" si="0"/>
        <v>0</v>
      </c>
      <c r="S26" s="58" t="e">
        <f t="shared" si="1"/>
        <v>#DIV/0!</v>
      </c>
    </row>
    <row r="27" spans="1:19" ht="18" customHeight="1" x14ac:dyDescent="0.2">
      <c r="A27" s="20"/>
      <c r="B27" s="52"/>
      <c r="C27" s="53"/>
      <c r="D27" s="54"/>
      <c r="E27" s="55"/>
      <c r="F27" s="56">
        <f t="shared" si="2"/>
        <v>0</v>
      </c>
      <c r="G27" s="56"/>
      <c r="H27" s="56">
        <f t="shared" si="3"/>
        <v>0</v>
      </c>
      <c r="I27" s="56"/>
      <c r="J27" s="56">
        <f t="shared" si="4"/>
        <v>0</v>
      </c>
      <c r="K27" s="56"/>
      <c r="L27" s="56">
        <f t="shared" si="4"/>
        <v>0</v>
      </c>
      <c r="M27" s="56"/>
      <c r="N27" s="56">
        <f t="shared" si="4"/>
        <v>0</v>
      </c>
      <c r="O27" s="56"/>
      <c r="P27" s="56">
        <v>0</v>
      </c>
      <c r="Q27" s="53"/>
      <c r="R27" s="54">
        <f t="shared" si="0"/>
        <v>0</v>
      </c>
      <c r="S27" s="58" t="e">
        <f t="shared" si="1"/>
        <v>#DIV/0!</v>
      </c>
    </row>
    <row r="28" spans="1:19" ht="18" customHeight="1" x14ac:dyDescent="0.2">
      <c r="A28" s="20"/>
      <c r="B28" s="52"/>
      <c r="C28" s="53"/>
      <c r="D28" s="54"/>
      <c r="E28" s="55"/>
      <c r="F28" s="56">
        <f t="shared" si="2"/>
        <v>0</v>
      </c>
      <c r="G28" s="56"/>
      <c r="H28" s="56">
        <f t="shared" si="3"/>
        <v>0</v>
      </c>
      <c r="I28" s="56"/>
      <c r="J28" s="56">
        <f t="shared" si="4"/>
        <v>0</v>
      </c>
      <c r="K28" s="56"/>
      <c r="L28" s="56">
        <f t="shared" si="4"/>
        <v>0</v>
      </c>
      <c r="M28" s="56"/>
      <c r="N28" s="56">
        <f t="shared" si="4"/>
        <v>0</v>
      </c>
      <c r="O28" s="56"/>
      <c r="P28" s="56">
        <v>0</v>
      </c>
      <c r="Q28" s="53"/>
      <c r="R28" s="54">
        <f t="shared" si="0"/>
        <v>0</v>
      </c>
      <c r="S28" s="58" t="e">
        <f t="shared" si="1"/>
        <v>#DIV/0!</v>
      </c>
    </row>
    <row r="29" spans="1:19" ht="18" customHeight="1" x14ac:dyDescent="0.2">
      <c r="A29" s="20"/>
      <c r="B29" s="52"/>
      <c r="C29" s="53"/>
      <c r="D29" s="54"/>
      <c r="E29" s="55"/>
      <c r="F29" s="56">
        <f t="shared" si="2"/>
        <v>0</v>
      </c>
      <c r="G29" s="56"/>
      <c r="H29" s="56">
        <f t="shared" si="3"/>
        <v>0</v>
      </c>
      <c r="I29" s="56"/>
      <c r="J29" s="56">
        <f t="shared" si="4"/>
        <v>0</v>
      </c>
      <c r="K29" s="56"/>
      <c r="L29" s="56">
        <f t="shared" si="4"/>
        <v>0</v>
      </c>
      <c r="M29" s="56"/>
      <c r="N29" s="56">
        <f t="shared" si="4"/>
        <v>0</v>
      </c>
      <c r="O29" s="56"/>
      <c r="P29" s="56">
        <v>0</v>
      </c>
      <c r="Q29" s="53"/>
      <c r="R29" s="54">
        <f t="shared" si="0"/>
        <v>0</v>
      </c>
      <c r="S29" s="58" t="e">
        <f t="shared" si="1"/>
        <v>#DIV/0!</v>
      </c>
    </row>
    <row r="30" spans="1:19" ht="18" customHeight="1" x14ac:dyDescent="0.2">
      <c r="A30" s="20"/>
      <c r="B30" s="52"/>
      <c r="C30" s="53"/>
      <c r="D30" s="59"/>
      <c r="E30" s="55"/>
      <c r="F30" s="56">
        <f t="shared" si="2"/>
        <v>0</v>
      </c>
      <c r="G30" s="56"/>
      <c r="H30" s="56">
        <f t="shared" si="3"/>
        <v>0</v>
      </c>
      <c r="I30" s="56"/>
      <c r="J30" s="56">
        <f t="shared" si="4"/>
        <v>0</v>
      </c>
      <c r="K30" s="56"/>
      <c r="L30" s="56">
        <f t="shared" si="4"/>
        <v>0</v>
      </c>
      <c r="M30" s="56"/>
      <c r="N30" s="56">
        <f t="shared" si="4"/>
        <v>0</v>
      </c>
      <c r="O30" s="56"/>
      <c r="P30" s="56">
        <v>0</v>
      </c>
      <c r="Q30" s="53"/>
      <c r="R30" s="59">
        <f t="shared" si="0"/>
        <v>0</v>
      </c>
      <c r="S30" s="58" t="e">
        <f t="shared" si="1"/>
        <v>#DIV/0!</v>
      </c>
    </row>
    <row r="31" spans="1:19" ht="18" customHeight="1" x14ac:dyDescent="0.2">
      <c r="A31" s="20"/>
      <c r="B31" s="52"/>
      <c r="C31" s="53"/>
      <c r="D31" s="59"/>
      <c r="E31" s="55"/>
      <c r="F31" s="56">
        <f t="shared" si="2"/>
        <v>0</v>
      </c>
      <c r="G31" s="56"/>
      <c r="H31" s="56">
        <f t="shared" si="3"/>
        <v>0</v>
      </c>
      <c r="I31" s="56"/>
      <c r="J31" s="56">
        <f t="shared" si="4"/>
        <v>0</v>
      </c>
      <c r="K31" s="56"/>
      <c r="L31" s="56">
        <f t="shared" si="4"/>
        <v>0</v>
      </c>
      <c r="M31" s="56"/>
      <c r="N31" s="56">
        <f t="shared" si="4"/>
        <v>0</v>
      </c>
      <c r="O31" s="56"/>
      <c r="P31" s="56">
        <v>0</v>
      </c>
      <c r="Q31" s="53"/>
      <c r="R31" s="59">
        <f t="shared" si="0"/>
        <v>0</v>
      </c>
      <c r="S31" s="58" t="e">
        <f t="shared" si="1"/>
        <v>#DIV/0!</v>
      </c>
    </row>
    <row r="32" spans="1:19" ht="18" customHeight="1" thickBot="1" x14ac:dyDescent="0.25">
      <c r="A32" s="20"/>
      <c r="B32" s="60"/>
      <c r="C32" s="47"/>
      <c r="D32" s="61"/>
      <c r="E32" s="49"/>
      <c r="F32" s="49">
        <f t="shared" si="2"/>
        <v>0</v>
      </c>
      <c r="G32" s="49"/>
      <c r="H32" s="49">
        <f t="shared" si="3"/>
        <v>0</v>
      </c>
      <c r="I32" s="49"/>
      <c r="J32" s="49">
        <f t="shared" si="4"/>
        <v>0</v>
      </c>
      <c r="K32" s="49"/>
      <c r="L32" s="49">
        <f t="shared" si="4"/>
        <v>0</v>
      </c>
      <c r="M32" s="49"/>
      <c r="N32" s="49">
        <f t="shared" si="4"/>
        <v>0</v>
      </c>
      <c r="O32" s="49"/>
      <c r="P32" s="49">
        <v>0</v>
      </c>
      <c r="Q32" s="53"/>
      <c r="R32" s="61">
        <f t="shared" si="0"/>
        <v>0</v>
      </c>
      <c r="S32" s="62" t="e">
        <f t="shared" si="1"/>
        <v>#DIV/0!</v>
      </c>
    </row>
    <row r="33" spans="2:19" ht="18" customHeight="1" thickTop="1" x14ac:dyDescent="0.2">
      <c r="B33" s="63" t="s">
        <v>80</v>
      </c>
      <c r="C33" s="64">
        <f t="shared" ref="C33:R33" si="5">SUM(C13:C32)</f>
        <v>495</v>
      </c>
      <c r="D33" s="65">
        <f t="shared" si="5"/>
        <v>320</v>
      </c>
      <c r="E33" s="66">
        <f t="shared" si="5"/>
        <v>1600</v>
      </c>
      <c r="F33" s="66">
        <f t="shared" si="5"/>
        <v>332</v>
      </c>
      <c r="G33" s="66">
        <f t="shared" si="5"/>
        <v>332</v>
      </c>
      <c r="H33" s="66">
        <f t="shared" si="5"/>
        <v>163</v>
      </c>
      <c r="I33" s="66">
        <f t="shared" si="5"/>
        <v>163</v>
      </c>
      <c r="J33" s="66">
        <f t="shared" si="5"/>
        <v>0</v>
      </c>
      <c r="K33" s="66">
        <f t="shared" si="5"/>
        <v>0</v>
      </c>
      <c r="L33" s="66">
        <f t="shared" si="5"/>
        <v>0</v>
      </c>
      <c r="M33" s="66">
        <f t="shared" si="5"/>
        <v>0</v>
      </c>
      <c r="N33" s="66">
        <f t="shared" si="5"/>
        <v>0</v>
      </c>
      <c r="O33" s="66">
        <f t="shared" si="5"/>
        <v>0</v>
      </c>
      <c r="P33" s="66">
        <f t="shared" si="5"/>
        <v>0</v>
      </c>
      <c r="Q33" s="64">
        <f t="shared" si="5"/>
        <v>0</v>
      </c>
      <c r="R33" s="65">
        <f t="shared" si="5"/>
        <v>495</v>
      </c>
      <c r="S33" s="67">
        <f t="shared" si="1"/>
        <v>0.30937500000000001</v>
      </c>
    </row>
  </sheetData>
  <mergeCells count="15">
    <mergeCell ref="Q2:S2"/>
    <mergeCell ref="A3:S3"/>
    <mergeCell ref="C5:D5"/>
    <mergeCell ref="B11:B12"/>
    <mergeCell ref="C11:C12"/>
    <mergeCell ref="D11:D12"/>
    <mergeCell ref="E11:E12"/>
    <mergeCell ref="F11:G11"/>
    <mergeCell ref="H11:I11"/>
    <mergeCell ref="J11:K11"/>
    <mergeCell ref="L11:M11"/>
    <mergeCell ref="N11:O11"/>
    <mergeCell ref="P11:Q11"/>
    <mergeCell ref="R11:R12"/>
    <mergeCell ref="S11:S12"/>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78AD-0B5D-CE48-A0B3-4E8F4C81E6AA}">
  <sheetPr>
    <pageSetUpPr fitToPage="1"/>
  </sheetPr>
  <dimension ref="A1:O134"/>
  <sheetViews>
    <sheetView showZeros="0" view="pageBreakPreview" topLeftCell="A46" zoomScale="85" zoomScaleNormal="100" zoomScaleSheetLayoutView="85" workbookViewId="0">
      <selection activeCell="B52" sqref="B52:I63"/>
    </sheetView>
  </sheetViews>
  <sheetFormatPr defaultColWidth="11.26953125" defaultRowHeight="18.75" customHeight="1" x14ac:dyDescent="0.2"/>
  <cols>
    <col min="1" max="1" width="2.7265625" style="68" customWidth="1"/>
    <col min="2" max="2" width="16.7265625" style="18" customWidth="1"/>
    <col min="3" max="3" width="8.81640625" style="18" customWidth="1"/>
    <col min="4" max="4" width="2.26953125" style="18" customWidth="1"/>
    <col min="5" max="5" width="16.7265625" style="18" customWidth="1"/>
    <col min="6" max="6" width="4.26953125" style="18" customWidth="1"/>
    <col min="7" max="7" width="9" style="18" customWidth="1"/>
    <col min="8" max="8" width="16.7265625" style="18" customWidth="1"/>
    <col min="9" max="9" width="12.1796875" style="18" customWidth="1"/>
    <col min="10" max="16384" width="11.26953125" style="18"/>
  </cols>
  <sheetData>
    <row r="1" spans="1:9" ht="18.75" customHeight="1" x14ac:dyDescent="0.2">
      <c r="A1" s="68" t="s">
        <v>81</v>
      </c>
      <c r="I1" s="24" t="s">
        <v>82</v>
      </c>
    </row>
    <row r="2" spans="1:9" ht="18.75" customHeight="1" x14ac:dyDescent="0.2">
      <c r="G2" s="24" t="s">
        <v>1</v>
      </c>
      <c r="H2" s="92" t="str">
        <f>'様式１-1　プログラムを構成する授業科目'!C2</f>
        <v>東京都立産業技術高等専門学校</v>
      </c>
      <c r="I2" s="94"/>
    </row>
    <row r="3" spans="1:9" ht="18.75" customHeight="1" x14ac:dyDescent="0.2">
      <c r="G3" s="24"/>
      <c r="H3" s="23"/>
      <c r="I3" s="23"/>
    </row>
    <row r="4" spans="1:9" ht="18.75" customHeight="1" x14ac:dyDescent="0.2">
      <c r="A4" s="95" t="s">
        <v>83</v>
      </c>
      <c r="B4" s="95"/>
      <c r="C4" s="95"/>
      <c r="D4" s="95"/>
      <c r="E4" s="95"/>
      <c r="F4" s="95"/>
      <c r="G4" s="95"/>
      <c r="H4" s="95"/>
      <c r="I4" s="95"/>
    </row>
    <row r="5" spans="1:9" ht="13.4" customHeight="1" x14ac:dyDescent="0.2">
      <c r="B5" s="19"/>
      <c r="C5" s="19"/>
      <c r="D5" s="19"/>
      <c r="E5" s="19"/>
      <c r="F5" s="19"/>
      <c r="G5" s="19"/>
      <c r="H5" s="19"/>
      <c r="I5" s="19"/>
    </row>
    <row r="6" spans="1:9" ht="18" customHeight="1" x14ac:dyDescent="0.2">
      <c r="A6" s="18" t="s">
        <v>84</v>
      </c>
      <c r="B6" s="23" t="s">
        <v>85</v>
      </c>
      <c r="C6" s="214" t="s">
        <v>86</v>
      </c>
      <c r="D6" s="214"/>
      <c r="E6" s="39">
        <v>124</v>
      </c>
      <c r="F6" s="19" t="s">
        <v>61</v>
      </c>
      <c r="G6" s="19" t="s">
        <v>87</v>
      </c>
      <c r="H6" s="39">
        <v>163</v>
      </c>
      <c r="I6" s="23" t="s">
        <v>61</v>
      </c>
    </row>
    <row r="7" spans="1:9" ht="12" customHeight="1" x14ac:dyDescent="0.2">
      <c r="C7" s="38"/>
      <c r="D7" s="38"/>
      <c r="E7" s="38"/>
      <c r="F7" s="38"/>
      <c r="G7" s="38"/>
      <c r="H7" s="38"/>
      <c r="I7" s="69"/>
    </row>
    <row r="8" spans="1:9" ht="18" customHeight="1" x14ac:dyDescent="0.2">
      <c r="A8" s="18" t="s">
        <v>88</v>
      </c>
      <c r="B8" s="23" t="s">
        <v>89</v>
      </c>
      <c r="E8" s="19"/>
      <c r="F8" s="19"/>
      <c r="G8" s="19"/>
      <c r="H8" s="39">
        <v>24</v>
      </c>
      <c r="I8" s="23" t="s">
        <v>61</v>
      </c>
    </row>
    <row r="9" spans="1:9" ht="9" customHeight="1" x14ac:dyDescent="0.2">
      <c r="B9" s="19"/>
      <c r="C9" s="19"/>
      <c r="D9" s="19"/>
      <c r="E9" s="19"/>
      <c r="F9" s="19"/>
      <c r="G9" s="19"/>
      <c r="H9" s="19"/>
      <c r="I9" s="19"/>
    </row>
    <row r="10" spans="1:9" ht="18" customHeight="1" x14ac:dyDescent="0.2">
      <c r="A10" s="18" t="s">
        <v>90</v>
      </c>
      <c r="B10" s="23" t="s">
        <v>91</v>
      </c>
      <c r="C10" s="19"/>
      <c r="D10" s="19"/>
      <c r="E10" s="19"/>
      <c r="F10" s="19"/>
      <c r="G10" s="19"/>
      <c r="H10" s="19"/>
      <c r="I10" s="19"/>
    </row>
    <row r="11" spans="1:9" ht="18" customHeight="1" x14ac:dyDescent="0.2">
      <c r="B11" s="24" t="s">
        <v>92</v>
      </c>
      <c r="C11" s="89" t="s">
        <v>93</v>
      </c>
      <c r="D11" s="97"/>
      <c r="E11" s="98"/>
      <c r="F11" s="69"/>
      <c r="G11" s="24" t="s">
        <v>94</v>
      </c>
      <c r="H11" s="89" t="s">
        <v>95</v>
      </c>
      <c r="I11" s="98"/>
    </row>
    <row r="12" spans="1:9" ht="10.4" customHeight="1" x14ac:dyDescent="0.2">
      <c r="B12" s="24"/>
      <c r="C12" s="23"/>
      <c r="D12" s="69"/>
      <c r="E12" s="69"/>
      <c r="F12" s="69"/>
      <c r="G12" s="24"/>
      <c r="H12" s="23"/>
      <c r="I12" s="69"/>
    </row>
    <row r="13" spans="1:9" ht="18" customHeight="1" x14ac:dyDescent="0.2">
      <c r="A13" s="18" t="s">
        <v>96</v>
      </c>
      <c r="B13" s="23" t="s">
        <v>97</v>
      </c>
      <c r="C13" s="19"/>
      <c r="D13" s="19"/>
      <c r="E13" s="19"/>
      <c r="F13" s="19"/>
      <c r="G13" s="19"/>
      <c r="H13" s="19"/>
      <c r="I13" s="19"/>
    </row>
    <row r="14" spans="1:9" ht="18" customHeight="1" x14ac:dyDescent="0.2">
      <c r="B14" s="193" t="s">
        <v>98</v>
      </c>
      <c r="C14" s="194"/>
      <c r="D14" s="194"/>
      <c r="E14" s="194"/>
      <c r="F14" s="194"/>
      <c r="G14" s="194"/>
      <c r="H14" s="194"/>
      <c r="I14" s="195"/>
    </row>
    <row r="15" spans="1:9" ht="9" customHeight="1" x14ac:dyDescent="0.2">
      <c r="B15" s="19"/>
      <c r="C15" s="19"/>
      <c r="D15" s="19"/>
      <c r="E15" s="19"/>
      <c r="F15" s="19"/>
      <c r="G15" s="19"/>
      <c r="H15" s="19"/>
      <c r="I15" s="19"/>
    </row>
    <row r="16" spans="1:9" ht="18" customHeight="1" x14ac:dyDescent="0.2">
      <c r="B16" s="24" t="s">
        <v>92</v>
      </c>
      <c r="C16" s="89" t="s">
        <v>99</v>
      </c>
      <c r="D16" s="97"/>
      <c r="E16" s="98"/>
      <c r="F16" s="69"/>
      <c r="G16" s="24" t="s">
        <v>94</v>
      </c>
      <c r="H16" s="89" t="s">
        <v>100</v>
      </c>
      <c r="I16" s="98"/>
    </row>
    <row r="17" spans="1:9" ht="18" customHeight="1" x14ac:dyDescent="0.2">
      <c r="B17" s="19"/>
      <c r="C17" s="19"/>
      <c r="D17" s="19"/>
      <c r="E17" s="19"/>
      <c r="F17" s="19"/>
      <c r="G17" s="19"/>
      <c r="H17" s="19"/>
      <c r="I17" s="19"/>
    </row>
    <row r="18" spans="1:9" ht="18.75" customHeight="1" x14ac:dyDescent="0.2">
      <c r="A18" s="18" t="s">
        <v>101</v>
      </c>
      <c r="B18" s="18" t="s">
        <v>102</v>
      </c>
      <c r="I18" s="19"/>
    </row>
    <row r="19" spans="1:9" ht="18.75" customHeight="1" x14ac:dyDescent="0.2">
      <c r="A19" s="18"/>
      <c r="B19" s="179" t="s">
        <v>103</v>
      </c>
      <c r="C19" s="180"/>
      <c r="D19" s="180"/>
      <c r="E19" s="180"/>
      <c r="F19" s="180"/>
      <c r="G19" s="180"/>
      <c r="H19" s="180"/>
      <c r="I19" s="181"/>
    </row>
    <row r="20" spans="1:9" ht="7.5" customHeight="1" x14ac:dyDescent="0.2">
      <c r="B20" s="19"/>
      <c r="C20" s="19"/>
      <c r="D20" s="19"/>
      <c r="E20" s="19"/>
      <c r="F20" s="19"/>
      <c r="G20" s="19"/>
      <c r="H20" s="19"/>
      <c r="I20" s="19"/>
    </row>
    <row r="21" spans="1:9" ht="18.75" customHeight="1" x14ac:dyDescent="0.2">
      <c r="A21" s="18" t="s">
        <v>104</v>
      </c>
      <c r="B21" s="18" t="s">
        <v>105</v>
      </c>
    </row>
    <row r="22" spans="1:9" ht="18.75" customHeight="1" x14ac:dyDescent="0.2">
      <c r="A22" s="43"/>
      <c r="B22" s="182" t="s">
        <v>106</v>
      </c>
      <c r="C22" s="183"/>
      <c r="D22" s="183"/>
      <c r="E22" s="183"/>
      <c r="F22" s="183"/>
      <c r="G22" s="183"/>
      <c r="H22" s="183"/>
      <c r="I22" s="184"/>
    </row>
    <row r="23" spans="1:9" ht="18.75" customHeight="1" x14ac:dyDescent="0.2">
      <c r="A23" s="43"/>
      <c r="B23" s="185"/>
      <c r="C23" s="186"/>
      <c r="D23" s="186"/>
      <c r="E23" s="186"/>
      <c r="F23" s="186"/>
      <c r="G23" s="186"/>
      <c r="H23" s="186"/>
      <c r="I23" s="187"/>
    </row>
    <row r="24" spans="1:9" ht="18.75" customHeight="1" x14ac:dyDescent="0.2">
      <c r="A24" s="43"/>
      <c r="B24" s="185"/>
      <c r="C24" s="186"/>
      <c r="D24" s="186"/>
      <c r="E24" s="186"/>
      <c r="F24" s="186"/>
      <c r="G24" s="186"/>
      <c r="H24" s="186"/>
      <c r="I24" s="187"/>
    </row>
    <row r="25" spans="1:9" ht="18.75" customHeight="1" x14ac:dyDescent="0.2">
      <c r="A25" s="43"/>
      <c r="B25" s="185"/>
      <c r="C25" s="186"/>
      <c r="D25" s="186"/>
      <c r="E25" s="186"/>
      <c r="F25" s="186"/>
      <c r="G25" s="186"/>
      <c r="H25" s="186"/>
      <c r="I25" s="187"/>
    </row>
    <row r="26" spans="1:9" ht="18.75" customHeight="1" x14ac:dyDescent="0.2">
      <c r="A26" s="43"/>
      <c r="B26" s="185"/>
      <c r="C26" s="186"/>
      <c r="D26" s="186"/>
      <c r="E26" s="186"/>
      <c r="F26" s="186"/>
      <c r="G26" s="186"/>
      <c r="H26" s="186"/>
      <c r="I26" s="187"/>
    </row>
    <row r="27" spans="1:9" ht="18.75" customHeight="1" x14ac:dyDescent="0.2">
      <c r="A27" s="43"/>
      <c r="B27" s="185"/>
      <c r="C27" s="186"/>
      <c r="D27" s="186"/>
      <c r="E27" s="186"/>
      <c r="F27" s="186"/>
      <c r="G27" s="186"/>
      <c r="H27" s="186"/>
      <c r="I27" s="187"/>
    </row>
    <row r="28" spans="1:9" ht="18.75" customHeight="1" x14ac:dyDescent="0.2">
      <c r="A28" s="43"/>
      <c r="B28" s="185"/>
      <c r="C28" s="186"/>
      <c r="D28" s="186"/>
      <c r="E28" s="186"/>
      <c r="F28" s="186"/>
      <c r="G28" s="186"/>
      <c r="H28" s="186"/>
      <c r="I28" s="187"/>
    </row>
    <row r="29" spans="1:9" ht="18.75" customHeight="1" x14ac:dyDescent="0.2">
      <c r="A29" s="43"/>
      <c r="B29" s="185"/>
      <c r="C29" s="186"/>
      <c r="D29" s="186"/>
      <c r="E29" s="186"/>
      <c r="F29" s="186"/>
      <c r="G29" s="186"/>
      <c r="H29" s="186"/>
      <c r="I29" s="187"/>
    </row>
    <row r="30" spans="1:9" ht="18.75" customHeight="1" x14ac:dyDescent="0.2">
      <c r="A30" s="43"/>
      <c r="B30" s="188"/>
      <c r="C30" s="189"/>
      <c r="D30" s="189"/>
      <c r="E30" s="189"/>
      <c r="F30" s="189"/>
      <c r="G30" s="189"/>
      <c r="H30" s="189"/>
      <c r="I30" s="187"/>
    </row>
    <row r="31" spans="1:9" ht="18.75" customHeight="1" x14ac:dyDescent="0.2">
      <c r="A31" s="43"/>
      <c r="B31" s="188"/>
      <c r="C31" s="189"/>
      <c r="D31" s="189"/>
      <c r="E31" s="189"/>
      <c r="F31" s="189"/>
      <c r="G31" s="189"/>
      <c r="H31" s="189"/>
      <c r="I31" s="187"/>
    </row>
    <row r="32" spans="1:9" ht="18.75" customHeight="1" x14ac:dyDescent="0.2">
      <c r="A32" s="43"/>
      <c r="B32" s="190"/>
      <c r="C32" s="191"/>
      <c r="D32" s="191"/>
      <c r="E32" s="191"/>
      <c r="F32" s="191"/>
      <c r="G32" s="191"/>
      <c r="H32" s="191"/>
      <c r="I32" s="192"/>
    </row>
    <row r="33" spans="1:9" ht="7.5" customHeight="1" x14ac:dyDescent="0.2">
      <c r="A33" s="43"/>
      <c r="B33" s="43"/>
      <c r="C33" s="43"/>
      <c r="D33" s="43"/>
      <c r="E33" s="43"/>
      <c r="F33" s="43"/>
      <c r="G33" s="43"/>
      <c r="H33" s="43"/>
      <c r="I33" s="43"/>
    </row>
    <row r="34" spans="1:9" ht="18.75" customHeight="1" x14ac:dyDescent="0.2">
      <c r="A34" s="42" t="s">
        <v>107</v>
      </c>
      <c r="B34" s="42" t="s">
        <v>108</v>
      </c>
      <c r="C34" s="23"/>
      <c r="D34" s="42"/>
      <c r="E34" s="42"/>
      <c r="F34" s="42"/>
      <c r="G34" s="42"/>
      <c r="H34" s="42"/>
      <c r="I34" s="42"/>
    </row>
    <row r="35" spans="1:9" ht="18.75" customHeight="1" x14ac:dyDescent="0.2">
      <c r="A35" s="43"/>
      <c r="B35" s="182" t="s">
        <v>156</v>
      </c>
      <c r="C35" s="183"/>
      <c r="D35" s="183"/>
      <c r="E35" s="183"/>
      <c r="F35" s="183"/>
      <c r="G35" s="183"/>
      <c r="H35" s="183"/>
      <c r="I35" s="184"/>
    </row>
    <row r="36" spans="1:9" ht="18.75" customHeight="1" x14ac:dyDescent="0.2">
      <c r="A36" s="43"/>
      <c r="B36" s="188"/>
      <c r="C36" s="189"/>
      <c r="D36" s="189"/>
      <c r="E36" s="189"/>
      <c r="F36" s="189"/>
      <c r="G36" s="189"/>
      <c r="H36" s="189"/>
      <c r="I36" s="187"/>
    </row>
    <row r="37" spans="1:9" ht="18.75" customHeight="1" x14ac:dyDescent="0.2">
      <c r="A37" s="43"/>
      <c r="B37" s="188"/>
      <c r="C37" s="189"/>
      <c r="D37" s="189"/>
      <c r="E37" s="189"/>
      <c r="F37" s="189"/>
      <c r="G37" s="189"/>
      <c r="H37" s="189"/>
      <c r="I37" s="187"/>
    </row>
    <row r="38" spans="1:9" ht="18.75" customHeight="1" x14ac:dyDescent="0.2">
      <c r="A38" s="43"/>
      <c r="B38" s="188"/>
      <c r="C38" s="189"/>
      <c r="D38" s="189"/>
      <c r="E38" s="189"/>
      <c r="F38" s="189"/>
      <c r="G38" s="189"/>
      <c r="H38" s="189"/>
      <c r="I38" s="187"/>
    </row>
    <row r="39" spans="1:9" ht="18.75" customHeight="1" x14ac:dyDescent="0.2">
      <c r="A39" s="43"/>
      <c r="B39" s="188"/>
      <c r="C39" s="189"/>
      <c r="D39" s="189"/>
      <c r="E39" s="189"/>
      <c r="F39" s="189"/>
      <c r="G39" s="189"/>
      <c r="H39" s="189"/>
      <c r="I39" s="187"/>
    </row>
    <row r="40" spans="1:9" ht="18.75" customHeight="1" x14ac:dyDescent="0.2">
      <c r="A40" s="43"/>
      <c r="B40" s="188"/>
      <c r="C40" s="189"/>
      <c r="D40" s="189"/>
      <c r="E40" s="189"/>
      <c r="F40" s="189"/>
      <c r="G40" s="189"/>
      <c r="H40" s="189"/>
      <c r="I40" s="187"/>
    </row>
    <row r="41" spans="1:9" ht="18.75" customHeight="1" x14ac:dyDescent="0.2">
      <c r="A41" s="43"/>
      <c r="B41" s="188"/>
      <c r="C41" s="189"/>
      <c r="D41" s="189"/>
      <c r="E41" s="189"/>
      <c r="F41" s="189"/>
      <c r="G41" s="189"/>
      <c r="H41" s="189"/>
      <c r="I41" s="187"/>
    </row>
    <row r="42" spans="1:9" ht="18.75" customHeight="1" x14ac:dyDescent="0.2">
      <c r="A42" s="43"/>
      <c r="B42" s="188"/>
      <c r="C42" s="189"/>
      <c r="D42" s="189"/>
      <c r="E42" s="189"/>
      <c r="F42" s="189"/>
      <c r="G42" s="189"/>
      <c r="H42" s="189"/>
      <c r="I42" s="187"/>
    </row>
    <row r="43" spans="1:9" ht="18.75" customHeight="1" x14ac:dyDescent="0.2">
      <c r="A43" s="43"/>
      <c r="B43" s="188"/>
      <c r="C43" s="189"/>
      <c r="D43" s="189"/>
      <c r="E43" s="189"/>
      <c r="F43" s="189"/>
      <c r="G43" s="189"/>
      <c r="H43" s="189"/>
      <c r="I43" s="187"/>
    </row>
    <row r="44" spans="1:9" ht="18.75" customHeight="1" x14ac:dyDescent="0.2">
      <c r="A44" s="43"/>
      <c r="B44" s="188"/>
      <c r="C44" s="189"/>
      <c r="D44" s="189"/>
      <c r="E44" s="189"/>
      <c r="F44" s="189"/>
      <c r="G44" s="189"/>
      <c r="H44" s="189"/>
      <c r="I44" s="187"/>
    </row>
    <row r="45" spans="1:9" ht="18.75" customHeight="1" x14ac:dyDescent="0.2">
      <c r="A45" s="43"/>
      <c r="B45" s="188"/>
      <c r="C45" s="189"/>
      <c r="D45" s="189"/>
      <c r="E45" s="189"/>
      <c r="F45" s="189"/>
      <c r="G45" s="189"/>
      <c r="H45" s="189"/>
      <c r="I45" s="187"/>
    </row>
    <row r="46" spans="1:9" ht="18.75" customHeight="1" x14ac:dyDescent="0.2">
      <c r="A46" s="43"/>
      <c r="B46" s="190"/>
      <c r="C46" s="191"/>
      <c r="D46" s="191"/>
      <c r="E46" s="191"/>
      <c r="F46" s="191"/>
      <c r="G46" s="191"/>
      <c r="H46" s="191"/>
      <c r="I46" s="192"/>
    </row>
    <row r="47" spans="1:9" ht="7.5" customHeight="1" x14ac:dyDescent="0.2">
      <c r="A47" s="72"/>
      <c r="B47" s="72"/>
      <c r="C47" s="72"/>
      <c r="D47" s="72"/>
      <c r="E47" s="72"/>
      <c r="F47" s="72"/>
      <c r="G47" s="72"/>
      <c r="H47" s="72"/>
      <c r="I47" s="72"/>
    </row>
    <row r="48" spans="1:9" ht="18.75" customHeight="1" x14ac:dyDescent="0.2">
      <c r="A48" s="18" t="s">
        <v>109</v>
      </c>
      <c r="B48" s="18" t="s">
        <v>157</v>
      </c>
    </row>
    <row r="49" spans="1:15" s="19" customFormat="1" ht="18.75" customHeight="1" x14ac:dyDescent="0.2">
      <c r="B49" s="73" t="s">
        <v>110</v>
      </c>
      <c r="C49" s="213">
        <v>0.30937500000000001</v>
      </c>
      <c r="D49" s="213"/>
      <c r="E49" s="73" t="s">
        <v>111</v>
      </c>
      <c r="F49" s="213">
        <v>0.5</v>
      </c>
      <c r="G49" s="213"/>
      <c r="H49" s="73" t="s">
        <v>112</v>
      </c>
      <c r="I49" s="74">
        <v>0.7</v>
      </c>
      <c r="J49" s="18"/>
      <c r="M49" s="18"/>
      <c r="N49" s="75"/>
    </row>
    <row r="50" spans="1:15" s="19" customFormat="1" ht="18.75" customHeight="1" x14ac:dyDescent="0.2">
      <c r="B50" s="37" t="s">
        <v>113</v>
      </c>
      <c r="C50" s="196">
        <v>0.9</v>
      </c>
      <c r="D50" s="196"/>
      <c r="E50" s="37" t="s">
        <v>114</v>
      </c>
      <c r="F50" s="196">
        <v>1</v>
      </c>
      <c r="G50" s="196"/>
      <c r="H50" s="37" t="s">
        <v>115</v>
      </c>
      <c r="I50" s="76">
        <v>1600</v>
      </c>
      <c r="J50" s="18"/>
      <c r="M50" s="18"/>
      <c r="N50" s="75"/>
    </row>
    <row r="51" spans="1:15" ht="18.75" customHeight="1" x14ac:dyDescent="0.2">
      <c r="A51" s="18"/>
      <c r="B51" s="216" t="s">
        <v>116</v>
      </c>
      <c r="C51" s="217"/>
      <c r="D51" s="217"/>
      <c r="E51" s="217"/>
      <c r="F51" s="217"/>
      <c r="G51" s="217"/>
      <c r="H51" s="217"/>
      <c r="I51" s="218"/>
      <c r="N51" s="75"/>
      <c r="O51" s="19"/>
    </row>
    <row r="52" spans="1:15" ht="18.75" customHeight="1" x14ac:dyDescent="0.2">
      <c r="A52" s="18"/>
      <c r="B52" s="219" t="s">
        <v>195</v>
      </c>
      <c r="C52" s="220"/>
      <c r="D52" s="220"/>
      <c r="E52" s="220"/>
      <c r="F52" s="220"/>
      <c r="G52" s="220"/>
      <c r="H52" s="220"/>
      <c r="I52" s="221"/>
      <c r="N52" s="75"/>
      <c r="O52" s="19"/>
    </row>
    <row r="53" spans="1:15" ht="18.75" customHeight="1" x14ac:dyDescent="0.2">
      <c r="A53" s="18"/>
      <c r="B53" s="222"/>
      <c r="C53" s="223"/>
      <c r="D53" s="223"/>
      <c r="E53" s="223"/>
      <c r="F53" s="223"/>
      <c r="G53" s="223"/>
      <c r="H53" s="223"/>
      <c r="I53" s="224"/>
      <c r="N53" s="75"/>
      <c r="O53" s="19"/>
    </row>
    <row r="54" spans="1:15" ht="18.75" customHeight="1" x14ac:dyDescent="0.2">
      <c r="A54" s="18"/>
      <c r="B54" s="222"/>
      <c r="C54" s="223"/>
      <c r="D54" s="223"/>
      <c r="E54" s="223"/>
      <c r="F54" s="223"/>
      <c r="G54" s="223"/>
      <c r="H54" s="223"/>
      <c r="I54" s="224"/>
    </row>
    <row r="55" spans="1:15" ht="18.75" customHeight="1" x14ac:dyDescent="0.2">
      <c r="A55" s="18"/>
      <c r="B55" s="222"/>
      <c r="C55" s="223"/>
      <c r="D55" s="223"/>
      <c r="E55" s="223"/>
      <c r="F55" s="223"/>
      <c r="G55" s="223"/>
      <c r="H55" s="223"/>
      <c r="I55" s="224"/>
    </row>
    <row r="56" spans="1:15" ht="18.75" customHeight="1" x14ac:dyDescent="0.2">
      <c r="A56" s="18"/>
      <c r="B56" s="222"/>
      <c r="C56" s="223"/>
      <c r="D56" s="223"/>
      <c r="E56" s="223"/>
      <c r="F56" s="223"/>
      <c r="G56" s="223"/>
      <c r="H56" s="223"/>
      <c r="I56" s="224"/>
    </row>
    <row r="57" spans="1:15" ht="18.75" customHeight="1" x14ac:dyDescent="0.2">
      <c r="A57" s="18"/>
      <c r="B57" s="222"/>
      <c r="C57" s="223"/>
      <c r="D57" s="223"/>
      <c r="E57" s="223"/>
      <c r="F57" s="223"/>
      <c r="G57" s="223"/>
      <c r="H57" s="223"/>
      <c r="I57" s="224"/>
    </row>
    <row r="58" spans="1:15" ht="18.75" customHeight="1" x14ac:dyDescent="0.2">
      <c r="A58" s="18"/>
      <c r="B58" s="222"/>
      <c r="C58" s="223"/>
      <c r="D58" s="223"/>
      <c r="E58" s="223"/>
      <c r="F58" s="223"/>
      <c r="G58" s="223"/>
      <c r="H58" s="223"/>
      <c r="I58" s="224"/>
    </row>
    <row r="59" spans="1:15" ht="18.75" customHeight="1" x14ac:dyDescent="0.2">
      <c r="A59" s="18"/>
      <c r="B59" s="222"/>
      <c r="C59" s="223"/>
      <c r="D59" s="223"/>
      <c r="E59" s="223"/>
      <c r="F59" s="223"/>
      <c r="G59" s="223"/>
      <c r="H59" s="223"/>
      <c r="I59" s="224"/>
    </row>
    <row r="60" spans="1:15" ht="18.75" customHeight="1" x14ac:dyDescent="0.2">
      <c r="A60" s="18"/>
      <c r="B60" s="222"/>
      <c r="C60" s="223"/>
      <c r="D60" s="223"/>
      <c r="E60" s="223"/>
      <c r="F60" s="223"/>
      <c r="G60" s="223"/>
      <c r="H60" s="223"/>
      <c r="I60" s="224"/>
    </row>
    <row r="61" spans="1:15" ht="18.75" customHeight="1" x14ac:dyDescent="0.2">
      <c r="A61" s="18"/>
      <c r="B61" s="222"/>
      <c r="C61" s="223"/>
      <c r="D61" s="223"/>
      <c r="E61" s="223"/>
      <c r="F61" s="223"/>
      <c r="G61" s="223"/>
      <c r="H61" s="223"/>
      <c r="I61" s="224"/>
    </row>
    <row r="62" spans="1:15" ht="18.75" customHeight="1" x14ac:dyDescent="0.2">
      <c r="A62" s="18"/>
      <c r="B62" s="222"/>
      <c r="C62" s="223"/>
      <c r="D62" s="223"/>
      <c r="E62" s="223"/>
      <c r="F62" s="223"/>
      <c r="G62" s="223"/>
      <c r="H62" s="223"/>
      <c r="I62" s="224"/>
    </row>
    <row r="63" spans="1:15" ht="18.75" customHeight="1" x14ac:dyDescent="0.2">
      <c r="A63" s="18"/>
      <c r="B63" s="225"/>
      <c r="C63" s="226"/>
      <c r="D63" s="226"/>
      <c r="E63" s="226"/>
      <c r="F63" s="226"/>
      <c r="G63" s="226"/>
      <c r="H63" s="226"/>
      <c r="I63" s="227"/>
    </row>
    <row r="64" spans="1:15" ht="7.5" customHeight="1" x14ac:dyDescent="0.2">
      <c r="A64" s="43"/>
      <c r="B64" s="43"/>
      <c r="C64" s="43"/>
      <c r="D64" s="43"/>
      <c r="E64" s="43"/>
      <c r="F64" s="43"/>
      <c r="G64" s="43"/>
      <c r="H64" s="43"/>
      <c r="I64" s="43"/>
    </row>
    <row r="65" spans="1:9" ht="18.75" customHeight="1" x14ac:dyDescent="0.2">
      <c r="A65" s="42" t="s">
        <v>117</v>
      </c>
      <c r="B65" s="18" t="s">
        <v>118</v>
      </c>
      <c r="I65" s="42"/>
    </row>
    <row r="66" spans="1:9" ht="18.75" customHeight="1" x14ac:dyDescent="0.2">
      <c r="A66" s="72"/>
      <c r="B66" s="197" t="s">
        <v>119</v>
      </c>
      <c r="C66" s="198"/>
      <c r="D66" s="198"/>
      <c r="E66" s="198"/>
      <c r="F66" s="198"/>
      <c r="G66" s="198"/>
      <c r="H66" s="198"/>
      <c r="I66" s="199"/>
    </row>
    <row r="67" spans="1:9" ht="18.75" customHeight="1" x14ac:dyDescent="0.2">
      <c r="A67" s="72"/>
      <c r="B67" s="200"/>
      <c r="C67" s="201"/>
      <c r="D67" s="201"/>
      <c r="E67" s="201"/>
      <c r="F67" s="201"/>
      <c r="G67" s="201"/>
      <c r="H67" s="201"/>
      <c r="I67" s="202"/>
    </row>
    <row r="68" spans="1:9" ht="18.75" customHeight="1" x14ac:dyDescent="0.2">
      <c r="A68" s="72"/>
      <c r="B68" s="200"/>
      <c r="C68" s="201"/>
      <c r="D68" s="201"/>
      <c r="E68" s="201"/>
      <c r="F68" s="201"/>
      <c r="G68" s="201"/>
      <c r="H68" s="201"/>
      <c r="I68" s="202"/>
    </row>
    <row r="69" spans="1:9" ht="18.75" customHeight="1" x14ac:dyDescent="0.2">
      <c r="A69" s="72"/>
      <c r="B69" s="200"/>
      <c r="C69" s="201"/>
      <c r="D69" s="201"/>
      <c r="E69" s="201"/>
      <c r="F69" s="201"/>
      <c r="G69" s="201"/>
      <c r="H69" s="201"/>
      <c r="I69" s="202"/>
    </row>
    <row r="70" spans="1:9" ht="18.75" customHeight="1" x14ac:dyDescent="0.2">
      <c r="A70" s="72"/>
      <c r="B70" s="200"/>
      <c r="C70" s="201"/>
      <c r="D70" s="201"/>
      <c r="E70" s="201"/>
      <c r="F70" s="201"/>
      <c r="G70" s="201"/>
      <c r="H70" s="201"/>
      <c r="I70" s="202"/>
    </row>
    <row r="71" spans="1:9" ht="18.75" customHeight="1" x14ac:dyDescent="0.2">
      <c r="A71" s="72"/>
      <c r="B71" s="200"/>
      <c r="C71" s="201"/>
      <c r="D71" s="201"/>
      <c r="E71" s="201"/>
      <c r="F71" s="201"/>
      <c r="G71" s="201"/>
      <c r="H71" s="201"/>
      <c r="I71" s="202"/>
    </row>
    <row r="72" spans="1:9" ht="18.75" customHeight="1" x14ac:dyDescent="0.2">
      <c r="A72" s="72"/>
      <c r="B72" s="200"/>
      <c r="C72" s="201"/>
      <c r="D72" s="201"/>
      <c r="E72" s="201"/>
      <c r="F72" s="201"/>
      <c r="G72" s="201"/>
      <c r="H72" s="201"/>
      <c r="I72" s="202"/>
    </row>
    <row r="73" spans="1:9" ht="18.75" customHeight="1" x14ac:dyDescent="0.2">
      <c r="A73" s="72"/>
      <c r="B73" s="200"/>
      <c r="C73" s="201"/>
      <c r="D73" s="201"/>
      <c r="E73" s="201"/>
      <c r="F73" s="201"/>
      <c r="G73" s="201"/>
      <c r="H73" s="201"/>
      <c r="I73" s="202"/>
    </row>
    <row r="74" spans="1:9" ht="18.75" customHeight="1" x14ac:dyDescent="0.2">
      <c r="A74" s="72"/>
      <c r="B74" s="200"/>
      <c r="C74" s="201"/>
      <c r="D74" s="201"/>
      <c r="E74" s="201"/>
      <c r="F74" s="201"/>
      <c r="G74" s="201"/>
      <c r="H74" s="201"/>
      <c r="I74" s="202"/>
    </row>
    <row r="75" spans="1:9" ht="18.75" customHeight="1" x14ac:dyDescent="0.2">
      <c r="A75" s="72"/>
      <c r="B75" s="200"/>
      <c r="C75" s="201"/>
      <c r="D75" s="201"/>
      <c r="E75" s="201"/>
      <c r="F75" s="201"/>
      <c r="G75" s="201"/>
      <c r="H75" s="201"/>
      <c r="I75" s="202"/>
    </row>
    <row r="76" spans="1:9" ht="18.75" customHeight="1" x14ac:dyDescent="0.2">
      <c r="A76" s="72"/>
      <c r="B76" s="200"/>
      <c r="C76" s="201"/>
      <c r="D76" s="201"/>
      <c r="E76" s="201"/>
      <c r="F76" s="201"/>
      <c r="G76" s="201"/>
      <c r="H76" s="201"/>
      <c r="I76" s="202"/>
    </row>
    <row r="77" spans="1:9" ht="18.75" customHeight="1" x14ac:dyDescent="0.2">
      <c r="A77" s="72"/>
      <c r="B77" s="203"/>
      <c r="C77" s="204"/>
      <c r="D77" s="204"/>
      <c r="E77" s="204"/>
      <c r="F77" s="204"/>
      <c r="G77" s="204"/>
      <c r="H77" s="204"/>
      <c r="I77" s="205"/>
    </row>
    <row r="78" spans="1:9" ht="7.5" customHeight="1" x14ac:dyDescent="0.2">
      <c r="A78" s="72"/>
      <c r="B78" s="72"/>
      <c r="C78" s="72"/>
      <c r="D78" s="72"/>
      <c r="E78" s="72"/>
      <c r="F78" s="72"/>
      <c r="G78" s="72"/>
      <c r="H78" s="72"/>
      <c r="I78" s="72"/>
    </row>
    <row r="79" spans="1:9" ht="18.75" customHeight="1" x14ac:dyDescent="0.2">
      <c r="A79" s="18" t="s">
        <v>120</v>
      </c>
      <c r="B79" s="18" t="s">
        <v>121</v>
      </c>
    </row>
    <row r="80" spans="1:9" ht="18.75" customHeight="1" x14ac:dyDescent="0.2">
      <c r="A80" s="18"/>
      <c r="B80" s="197" t="s">
        <v>122</v>
      </c>
      <c r="C80" s="198"/>
      <c r="D80" s="198"/>
      <c r="E80" s="198"/>
      <c r="F80" s="198"/>
      <c r="G80" s="198"/>
      <c r="H80" s="198"/>
      <c r="I80" s="206"/>
    </row>
    <row r="81" spans="1:9" ht="18.75" customHeight="1" x14ac:dyDescent="0.2">
      <c r="A81" s="18"/>
      <c r="B81" s="207"/>
      <c r="C81" s="208"/>
      <c r="D81" s="208"/>
      <c r="E81" s="208"/>
      <c r="F81" s="208"/>
      <c r="G81" s="208"/>
      <c r="H81" s="208"/>
      <c r="I81" s="209"/>
    </row>
    <row r="82" spans="1:9" ht="18.75" customHeight="1" x14ac:dyDescent="0.2">
      <c r="A82" s="18"/>
      <c r="B82" s="207"/>
      <c r="C82" s="208"/>
      <c r="D82" s="208"/>
      <c r="E82" s="208"/>
      <c r="F82" s="208"/>
      <c r="G82" s="208"/>
      <c r="H82" s="208"/>
      <c r="I82" s="209"/>
    </row>
    <row r="83" spans="1:9" ht="18.75" customHeight="1" x14ac:dyDescent="0.2">
      <c r="A83" s="18"/>
      <c r="B83" s="207"/>
      <c r="C83" s="208"/>
      <c r="D83" s="208"/>
      <c r="E83" s="208"/>
      <c r="F83" s="208"/>
      <c r="G83" s="208"/>
      <c r="H83" s="208"/>
      <c r="I83" s="209"/>
    </row>
    <row r="84" spans="1:9" ht="15" customHeight="1" x14ac:dyDescent="0.2">
      <c r="A84" s="18"/>
      <c r="B84" s="207"/>
      <c r="C84" s="208"/>
      <c r="D84" s="208"/>
      <c r="E84" s="208"/>
      <c r="F84" s="208"/>
      <c r="G84" s="208"/>
      <c r="H84" s="208"/>
      <c r="I84" s="209"/>
    </row>
    <row r="85" spans="1:9" ht="15" customHeight="1" x14ac:dyDescent="0.2">
      <c r="A85" s="18"/>
      <c r="B85" s="207"/>
      <c r="C85" s="208"/>
      <c r="D85" s="208"/>
      <c r="E85" s="208"/>
      <c r="F85" s="208"/>
      <c r="G85" s="208"/>
      <c r="H85" s="208"/>
      <c r="I85" s="209"/>
    </row>
    <row r="86" spans="1:9" ht="15" customHeight="1" x14ac:dyDescent="0.2">
      <c r="A86" s="18"/>
      <c r="B86" s="207"/>
      <c r="C86" s="208"/>
      <c r="D86" s="208"/>
      <c r="E86" s="208"/>
      <c r="F86" s="208"/>
      <c r="G86" s="208"/>
      <c r="H86" s="208"/>
      <c r="I86" s="209"/>
    </row>
    <row r="87" spans="1:9" ht="15" customHeight="1" x14ac:dyDescent="0.2">
      <c r="A87" s="18"/>
      <c r="B87" s="207"/>
      <c r="C87" s="208"/>
      <c r="D87" s="208"/>
      <c r="E87" s="208"/>
      <c r="F87" s="208"/>
      <c r="G87" s="208"/>
      <c r="H87" s="208"/>
      <c r="I87" s="209"/>
    </row>
    <row r="88" spans="1:9" ht="15" customHeight="1" x14ac:dyDescent="0.2">
      <c r="A88" s="18"/>
      <c r="B88" s="207"/>
      <c r="C88" s="208"/>
      <c r="D88" s="208"/>
      <c r="E88" s="208"/>
      <c r="F88" s="208"/>
      <c r="G88" s="208"/>
      <c r="H88" s="208"/>
      <c r="I88" s="209"/>
    </row>
    <row r="89" spans="1:9" ht="15" customHeight="1" x14ac:dyDescent="0.2">
      <c r="A89" s="18"/>
      <c r="B89" s="207"/>
      <c r="C89" s="208"/>
      <c r="D89" s="208"/>
      <c r="E89" s="208"/>
      <c r="F89" s="208"/>
      <c r="G89" s="208"/>
      <c r="H89" s="208"/>
      <c r="I89" s="209"/>
    </row>
    <row r="90" spans="1:9" ht="18.75" customHeight="1" x14ac:dyDescent="0.2">
      <c r="A90" s="72"/>
      <c r="B90" s="207"/>
      <c r="C90" s="208"/>
      <c r="D90" s="208"/>
      <c r="E90" s="208"/>
      <c r="F90" s="208"/>
      <c r="G90" s="208"/>
      <c r="H90" s="208"/>
      <c r="I90" s="209"/>
    </row>
    <row r="91" spans="1:9" ht="18.75" customHeight="1" x14ac:dyDescent="0.2">
      <c r="A91" s="72"/>
      <c r="B91" s="210"/>
      <c r="C91" s="211"/>
      <c r="D91" s="211"/>
      <c r="E91" s="211"/>
      <c r="F91" s="211"/>
      <c r="G91" s="211"/>
      <c r="H91" s="211"/>
      <c r="I91" s="212"/>
    </row>
    <row r="92" spans="1:9" ht="7.5" customHeight="1" x14ac:dyDescent="0.2">
      <c r="A92" s="72"/>
      <c r="B92" s="72"/>
      <c r="C92" s="72"/>
      <c r="D92" s="72"/>
      <c r="E92" s="72"/>
      <c r="F92" s="72"/>
      <c r="G92" s="72"/>
      <c r="H92" s="72"/>
      <c r="I92" s="72"/>
    </row>
    <row r="93" spans="1:9" ht="18.75" customHeight="1" x14ac:dyDescent="0.2">
      <c r="A93" s="18" t="s">
        <v>123</v>
      </c>
      <c r="B93" s="18" t="s">
        <v>124</v>
      </c>
    </row>
    <row r="94" spans="1:9" ht="18.75" customHeight="1" x14ac:dyDescent="0.2">
      <c r="A94" s="18"/>
      <c r="B94" s="182" t="s">
        <v>125</v>
      </c>
      <c r="C94" s="183"/>
      <c r="D94" s="183"/>
      <c r="E94" s="183"/>
      <c r="F94" s="183"/>
      <c r="G94" s="183"/>
      <c r="H94" s="183"/>
      <c r="I94" s="184"/>
    </row>
    <row r="95" spans="1:9" ht="18.75" customHeight="1" x14ac:dyDescent="0.2">
      <c r="A95" s="18"/>
      <c r="B95" s="188"/>
      <c r="C95" s="189"/>
      <c r="D95" s="189"/>
      <c r="E95" s="189"/>
      <c r="F95" s="189"/>
      <c r="G95" s="189"/>
      <c r="H95" s="189"/>
      <c r="I95" s="187"/>
    </row>
    <row r="96" spans="1:9" ht="18.75" customHeight="1" x14ac:dyDescent="0.2">
      <c r="A96" s="18"/>
      <c r="B96" s="188"/>
      <c r="C96" s="189"/>
      <c r="D96" s="189"/>
      <c r="E96" s="189"/>
      <c r="F96" s="189"/>
      <c r="G96" s="189"/>
      <c r="H96" s="189"/>
      <c r="I96" s="187"/>
    </row>
    <row r="97" spans="1:9" ht="18.75" customHeight="1" x14ac:dyDescent="0.2">
      <c r="A97" s="18"/>
      <c r="B97" s="188"/>
      <c r="C97" s="189"/>
      <c r="D97" s="189"/>
      <c r="E97" s="189"/>
      <c r="F97" s="189"/>
      <c r="G97" s="189"/>
      <c r="H97" s="189"/>
      <c r="I97" s="187"/>
    </row>
    <row r="98" spans="1:9" ht="18.75" customHeight="1" x14ac:dyDescent="0.2">
      <c r="A98" s="18"/>
      <c r="B98" s="188"/>
      <c r="C98" s="189"/>
      <c r="D98" s="189"/>
      <c r="E98" s="189"/>
      <c r="F98" s="189"/>
      <c r="G98" s="189"/>
      <c r="H98" s="189"/>
      <c r="I98" s="187"/>
    </row>
    <row r="99" spans="1:9" ht="18.75" customHeight="1" x14ac:dyDescent="0.2">
      <c r="A99" s="18"/>
      <c r="B99" s="188"/>
      <c r="C99" s="189"/>
      <c r="D99" s="189"/>
      <c r="E99" s="189"/>
      <c r="F99" s="189"/>
      <c r="G99" s="189"/>
      <c r="H99" s="189"/>
      <c r="I99" s="187"/>
    </row>
    <row r="100" spans="1:9" ht="18.75" customHeight="1" x14ac:dyDescent="0.2">
      <c r="A100" s="18"/>
      <c r="B100" s="188"/>
      <c r="C100" s="189"/>
      <c r="D100" s="189"/>
      <c r="E100" s="189"/>
      <c r="F100" s="189"/>
      <c r="G100" s="189"/>
      <c r="H100" s="189"/>
      <c r="I100" s="187"/>
    </row>
    <row r="101" spans="1:9" ht="18.75" customHeight="1" x14ac:dyDescent="0.2">
      <c r="A101" s="18"/>
      <c r="B101" s="188"/>
      <c r="C101" s="189"/>
      <c r="D101" s="189"/>
      <c r="E101" s="189"/>
      <c r="F101" s="189"/>
      <c r="G101" s="189"/>
      <c r="H101" s="189"/>
      <c r="I101" s="187"/>
    </row>
    <row r="102" spans="1:9" ht="18.75" customHeight="1" x14ac:dyDescent="0.2">
      <c r="A102" s="18"/>
      <c r="B102" s="188"/>
      <c r="C102" s="189"/>
      <c r="D102" s="189"/>
      <c r="E102" s="189"/>
      <c r="F102" s="189"/>
      <c r="G102" s="189"/>
      <c r="H102" s="189"/>
      <c r="I102" s="187"/>
    </row>
    <row r="103" spans="1:9" ht="18.75" customHeight="1" x14ac:dyDescent="0.2">
      <c r="A103" s="18"/>
      <c r="B103" s="188"/>
      <c r="C103" s="189"/>
      <c r="D103" s="189"/>
      <c r="E103" s="189"/>
      <c r="F103" s="189"/>
      <c r="G103" s="189"/>
      <c r="H103" s="189"/>
      <c r="I103" s="187"/>
    </row>
    <row r="104" spans="1:9" ht="18.75" customHeight="1" x14ac:dyDescent="0.2">
      <c r="A104" s="18"/>
      <c r="B104" s="188"/>
      <c r="C104" s="189"/>
      <c r="D104" s="189"/>
      <c r="E104" s="189"/>
      <c r="F104" s="189"/>
      <c r="G104" s="189"/>
      <c r="H104" s="189"/>
      <c r="I104" s="187"/>
    </row>
    <row r="105" spans="1:9" ht="18.75" customHeight="1" x14ac:dyDescent="0.2">
      <c r="A105" s="72"/>
      <c r="B105" s="190"/>
      <c r="C105" s="191"/>
      <c r="D105" s="191"/>
      <c r="E105" s="191"/>
      <c r="F105" s="191"/>
      <c r="G105" s="191"/>
      <c r="H105" s="191"/>
      <c r="I105" s="192"/>
    </row>
    <row r="106" spans="1:9" ht="7.5" customHeight="1" x14ac:dyDescent="0.2">
      <c r="A106" s="72"/>
      <c r="B106" s="72"/>
      <c r="C106" s="72"/>
      <c r="D106" s="72"/>
      <c r="E106" s="72"/>
      <c r="F106" s="72"/>
      <c r="G106" s="72"/>
      <c r="H106" s="72"/>
      <c r="I106" s="72"/>
    </row>
    <row r="107" spans="1:9" ht="18.75" customHeight="1" x14ac:dyDescent="0.2">
      <c r="A107" s="18" t="s">
        <v>126</v>
      </c>
      <c r="B107" s="215" t="s">
        <v>127</v>
      </c>
      <c r="C107" s="215"/>
      <c r="D107" s="215"/>
      <c r="E107" s="215"/>
      <c r="F107" s="215"/>
      <c r="G107" s="215"/>
      <c r="H107" s="215"/>
      <c r="I107" s="215"/>
    </row>
    <row r="108" spans="1:9" ht="18.75" customHeight="1" x14ac:dyDescent="0.2">
      <c r="A108" s="72"/>
      <c r="B108" s="182" t="s">
        <v>128</v>
      </c>
      <c r="C108" s="183"/>
      <c r="D108" s="183"/>
      <c r="E108" s="183"/>
      <c r="F108" s="183"/>
      <c r="G108" s="183"/>
      <c r="H108" s="183"/>
      <c r="I108" s="184"/>
    </row>
    <row r="109" spans="1:9" ht="18.75" customHeight="1" x14ac:dyDescent="0.2">
      <c r="A109" s="72"/>
      <c r="B109" s="188"/>
      <c r="C109" s="189"/>
      <c r="D109" s="189"/>
      <c r="E109" s="189"/>
      <c r="F109" s="189"/>
      <c r="G109" s="189"/>
      <c r="H109" s="189"/>
      <c r="I109" s="187"/>
    </row>
    <row r="110" spans="1:9" ht="18.75" customHeight="1" x14ac:dyDescent="0.2">
      <c r="A110" s="72"/>
      <c r="B110" s="188"/>
      <c r="C110" s="189"/>
      <c r="D110" s="189"/>
      <c r="E110" s="189"/>
      <c r="F110" s="189"/>
      <c r="G110" s="189"/>
      <c r="H110" s="189"/>
      <c r="I110" s="187"/>
    </row>
    <row r="111" spans="1:9" ht="18.75" customHeight="1" x14ac:dyDescent="0.2">
      <c r="A111" s="72"/>
      <c r="B111" s="188"/>
      <c r="C111" s="189"/>
      <c r="D111" s="189"/>
      <c r="E111" s="189"/>
      <c r="F111" s="189"/>
      <c r="G111" s="189"/>
      <c r="H111" s="189"/>
      <c r="I111" s="187"/>
    </row>
    <row r="112" spans="1:9" ht="18.75" customHeight="1" x14ac:dyDescent="0.2">
      <c r="A112" s="72"/>
      <c r="B112" s="188"/>
      <c r="C112" s="189"/>
      <c r="D112" s="189"/>
      <c r="E112" s="189"/>
      <c r="F112" s="189"/>
      <c r="G112" s="189"/>
      <c r="H112" s="189"/>
      <c r="I112" s="187"/>
    </row>
    <row r="113" spans="1:9" ht="18.75" customHeight="1" x14ac:dyDescent="0.2">
      <c r="A113" s="72"/>
      <c r="B113" s="188"/>
      <c r="C113" s="189"/>
      <c r="D113" s="189"/>
      <c r="E113" s="189"/>
      <c r="F113" s="189"/>
      <c r="G113" s="189"/>
      <c r="H113" s="189"/>
      <c r="I113" s="187"/>
    </row>
    <row r="114" spans="1:9" ht="18.75" customHeight="1" x14ac:dyDescent="0.2">
      <c r="A114" s="72"/>
      <c r="B114" s="188"/>
      <c r="C114" s="189"/>
      <c r="D114" s="189"/>
      <c r="E114" s="189"/>
      <c r="F114" s="189"/>
      <c r="G114" s="189"/>
      <c r="H114" s="189"/>
      <c r="I114" s="187"/>
    </row>
    <row r="115" spans="1:9" ht="18.75" customHeight="1" x14ac:dyDescent="0.2">
      <c r="A115" s="72"/>
      <c r="B115" s="188"/>
      <c r="C115" s="189"/>
      <c r="D115" s="189"/>
      <c r="E115" s="189"/>
      <c r="F115" s="189"/>
      <c r="G115" s="189"/>
      <c r="H115" s="189"/>
      <c r="I115" s="187"/>
    </row>
    <row r="116" spans="1:9" ht="18.75" customHeight="1" x14ac:dyDescent="0.2">
      <c r="A116" s="72"/>
      <c r="B116" s="188"/>
      <c r="C116" s="189"/>
      <c r="D116" s="189"/>
      <c r="E116" s="189"/>
      <c r="F116" s="189"/>
      <c r="G116" s="189"/>
      <c r="H116" s="189"/>
      <c r="I116" s="187"/>
    </row>
    <row r="117" spans="1:9" ht="18.75" customHeight="1" x14ac:dyDescent="0.2">
      <c r="A117" s="72"/>
      <c r="B117" s="188"/>
      <c r="C117" s="189"/>
      <c r="D117" s="189"/>
      <c r="E117" s="189"/>
      <c r="F117" s="189"/>
      <c r="G117" s="189"/>
      <c r="H117" s="189"/>
      <c r="I117" s="187"/>
    </row>
    <row r="118" spans="1:9" ht="18.75" customHeight="1" x14ac:dyDescent="0.2">
      <c r="A118" s="72"/>
      <c r="B118" s="188"/>
      <c r="C118" s="189"/>
      <c r="D118" s="189"/>
      <c r="E118" s="189"/>
      <c r="F118" s="189"/>
      <c r="G118" s="189"/>
      <c r="H118" s="189"/>
      <c r="I118" s="187"/>
    </row>
    <row r="119" spans="1:9" ht="18.75" customHeight="1" x14ac:dyDescent="0.2">
      <c r="A119" s="72"/>
      <c r="B119" s="190"/>
      <c r="C119" s="191"/>
      <c r="D119" s="191"/>
      <c r="E119" s="191"/>
      <c r="F119" s="191"/>
      <c r="G119" s="191"/>
      <c r="H119" s="191"/>
      <c r="I119" s="192"/>
    </row>
    <row r="120" spans="1:9" ht="7.5" customHeight="1" x14ac:dyDescent="0.2">
      <c r="A120" s="72"/>
      <c r="B120" s="77"/>
      <c r="C120" s="77"/>
      <c r="D120" s="77"/>
      <c r="E120" s="77"/>
      <c r="F120" s="77"/>
      <c r="G120" s="77"/>
      <c r="H120" s="77"/>
      <c r="I120" s="77"/>
    </row>
    <row r="121" spans="1:9" ht="18.75" customHeight="1" x14ac:dyDescent="0.2">
      <c r="A121" s="18"/>
      <c r="B121" s="178"/>
      <c r="C121" s="178"/>
      <c r="D121" s="178"/>
      <c r="E121" s="178"/>
      <c r="F121" s="178"/>
      <c r="G121" s="178"/>
      <c r="H121" s="178"/>
      <c r="I121" s="178"/>
    </row>
    <row r="122" spans="1:9" ht="18.75" customHeight="1" x14ac:dyDescent="0.2">
      <c r="A122" s="18"/>
      <c r="B122" s="178"/>
      <c r="C122" s="178"/>
      <c r="D122" s="178"/>
      <c r="E122" s="178"/>
      <c r="F122" s="178"/>
      <c r="G122" s="178"/>
      <c r="H122" s="178"/>
      <c r="I122" s="178"/>
    </row>
    <row r="123" spans="1:9" ht="18.75" customHeight="1" x14ac:dyDescent="0.2">
      <c r="A123" s="72"/>
      <c r="B123" s="70"/>
      <c r="C123" s="70"/>
      <c r="D123" s="70"/>
      <c r="E123" s="70"/>
      <c r="F123" s="70"/>
      <c r="G123" s="70"/>
      <c r="H123" s="70"/>
      <c r="I123" s="71"/>
    </row>
    <row r="124" spans="1:9" ht="18.75" customHeight="1" x14ac:dyDescent="0.2">
      <c r="A124" s="72"/>
      <c r="B124" s="71"/>
      <c r="C124" s="71"/>
      <c r="D124" s="71"/>
      <c r="E124" s="71"/>
      <c r="F124" s="71"/>
      <c r="G124" s="71"/>
      <c r="H124" s="71"/>
      <c r="I124" s="71"/>
    </row>
    <row r="125" spans="1:9" ht="18.75" customHeight="1" x14ac:dyDescent="0.2">
      <c r="A125" s="72"/>
      <c r="B125" s="71"/>
      <c r="C125" s="71"/>
      <c r="D125" s="71"/>
      <c r="E125" s="71"/>
      <c r="F125" s="71"/>
      <c r="G125" s="71"/>
      <c r="H125" s="71"/>
      <c r="I125" s="71"/>
    </row>
    <row r="126" spans="1:9" ht="18.75" customHeight="1" x14ac:dyDescent="0.2">
      <c r="A126" s="72"/>
      <c r="B126" s="71"/>
      <c r="C126" s="71"/>
      <c r="D126" s="71"/>
      <c r="E126" s="71"/>
      <c r="F126" s="71"/>
      <c r="G126" s="71"/>
      <c r="H126" s="71"/>
      <c r="I126" s="71"/>
    </row>
    <row r="127" spans="1:9" ht="18.75" customHeight="1" x14ac:dyDescent="0.2">
      <c r="A127" s="72"/>
      <c r="B127" s="71"/>
      <c r="C127" s="71"/>
      <c r="D127" s="71"/>
      <c r="E127" s="71"/>
      <c r="F127" s="71"/>
      <c r="G127" s="71"/>
      <c r="H127" s="71"/>
      <c r="I127" s="71"/>
    </row>
    <row r="128" spans="1:9" ht="18.75" customHeight="1" x14ac:dyDescent="0.2">
      <c r="A128" s="72"/>
      <c r="B128" s="71"/>
      <c r="C128" s="71"/>
      <c r="D128" s="71"/>
      <c r="E128" s="71"/>
      <c r="F128" s="71"/>
      <c r="G128" s="71"/>
      <c r="H128" s="71"/>
      <c r="I128" s="71"/>
    </row>
    <row r="129" spans="1:9" ht="18.75" customHeight="1" x14ac:dyDescent="0.2">
      <c r="A129" s="72"/>
      <c r="B129" s="71"/>
      <c r="C129" s="71"/>
      <c r="D129" s="71"/>
      <c r="E129" s="71"/>
      <c r="F129" s="71"/>
      <c r="G129" s="71"/>
      <c r="H129" s="71"/>
      <c r="I129" s="71"/>
    </row>
    <row r="130" spans="1:9" ht="18.75" customHeight="1" x14ac:dyDescent="0.2">
      <c r="A130" s="72"/>
      <c r="B130" s="71"/>
      <c r="C130" s="71"/>
      <c r="D130" s="71"/>
      <c r="E130" s="71"/>
      <c r="F130" s="71"/>
      <c r="G130" s="71"/>
      <c r="H130" s="71"/>
      <c r="I130" s="71"/>
    </row>
    <row r="131" spans="1:9" ht="18.75" customHeight="1" x14ac:dyDescent="0.2">
      <c r="A131" s="72"/>
      <c r="B131" s="71"/>
      <c r="C131" s="71"/>
      <c r="D131" s="71"/>
      <c r="E131" s="71"/>
      <c r="F131" s="71"/>
      <c r="G131" s="71"/>
      <c r="H131" s="71"/>
      <c r="I131" s="71"/>
    </row>
    <row r="132" spans="1:9" ht="18.75" customHeight="1" x14ac:dyDescent="0.2">
      <c r="A132" s="72"/>
      <c r="B132" s="71"/>
      <c r="C132" s="71"/>
      <c r="D132" s="71"/>
      <c r="E132" s="71"/>
      <c r="F132" s="71"/>
      <c r="G132" s="71"/>
      <c r="H132" s="71"/>
      <c r="I132" s="71"/>
    </row>
    <row r="133" spans="1:9" ht="14" x14ac:dyDescent="0.2">
      <c r="A133" s="72"/>
      <c r="B133" s="71"/>
      <c r="C133" s="71"/>
      <c r="D133" s="71"/>
      <c r="E133" s="71"/>
      <c r="F133" s="71"/>
      <c r="G133" s="71"/>
      <c r="H133" s="71"/>
      <c r="I133" s="71"/>
    </row>
    <row r="134" spans="1:9" ht="7.5" customHeight="1" x14ac:dyDescent="0.2">
      <c r="A134" s="72"/>
      <c r="B134" s="71"/>
      <c r="C134" s="71"/>
      <c r="D134" s="71"/>
      <c r="E134" s="71"/>
      <c r="F134" s="71"/>
      <c r="G134" s="71"/>
      <c r="H134" s="71"/>
      <c r="I134" s="71"/>
    </row>
  </sheetData>
  <mergeCells count="23">
    <mergeCell ref="H11:I11"/>
    <mergeCell ref="C6:D6"/>
    <mergeCell ref="B94:I105"/>
    <mergeCell ref="B107:I107"/>
    <mergeCell ref="B108:I119"/>
    <mergeCell ref="B51:I51"/>
    <mergeCell ref="B52:I63"/>
    <mergeCell ref="B121:I122"/>
    <mergeCell ref="H2:I2"/>
    <mergeCell ref="A4:I4"/>
    <mergeCell ref="B19:I19"/>
    <mergeCell ref="B22:I32"/>
    <mergeCell ref="B35:I46"/>
    <mergeCell ref="B14:I14"/>
    <mergeCell ref="C16:E16"/>
    <mergeCell ref="H16:I16"/>
    <mergeCell ref="C11:E11"/>
    <mergeCell ref="F50:G50"/>
    <mergeCell ref="B66:I77"/>
    <mergeCell ref="B80:I91"/>
    <mergeCell ref="C49:D49"/>
    <mergeCell ref="C50:D50"/>
    <mergeCell ref="F49:G49"/>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AD5E-8F2C-E54D-B226-6BA402AB00A8}">
  <sheetPr>
    <pageSetUpPr fitToPage="1"/>
  </sheetPr>
  <dimension ref="A1:I30"/>
  <sheetViews>
    <sheetView showZeros="0" view="pageBreakPreview" topLeftCell="A14" zoomScale="70" zoomScaleNormal="100" zoomScaleSheetLayoutView="70" workbookViewId="0">
      <selection activeCell="J15" sqref="J15"/>
    </sheetView>
  </sheetViews>
  <sheetFormatPr defaultColWidth="11.26953125" defaultRowHeight="22.5" customHeight="1" x14ac:dyDescent="0.2"/>
  <cols>
    <col min="1" max="3" width="2.7265625" style="1" customWidth="1"/>
    <col min="4" max="4" width="22.26953125" style="1" customWidth="1"/>
    <col min="5" max="5" width="30.7265625" style="1" customWidth="1"/>
    <col min="6" max="7" width="7.7265625" style="1" customWidth="1"/>
    <col min="8" max="9" width="30.7265625" style="1" customWidth="1"/>
    <col min="10" max="10" width="4.1796875" style="1" customWidth="1"/>
    <col min="11" max="16384" width="11.26953125" style="1"/>
  </cols>
  <sheetData>
    <row r="1" spans="1:9" ht="18.75" customHeight="1" x14ac:dyDescent="0.2">
      <c r="A1" s="1" t="s">
        <v>129</v>
      </c>
      <c r="I1" s="14" t="s">
        <v>130</v>
      </c>
    </row>
    <row r="2" spans="1:9" ht="18.75" customHeight="1" x14ac:dyDescent="0.2">
      <c r="H2" s="14" t="s">
        <v>1</v>
      </c>
      <c r="I2" s="26" t="str">
        <f>'様式１-1　プログラムを構成する授業科目'!C2</f>
        <v>東京都立産業技術高等専門学校</v>
      </c>
    </row>
    <row r="3" spans="1:9" ht="18.75" customHeight="1" x14ac:dyDescent="0.2">
      <c r="A3" s="250" t="s">
        <v>131</v>
      </c>
      <c r="B3" s="250"/>
      <c r="C3" s="250"/>
      <c r="D3" s="250"/>
      <c r="E3" s="250"/>
      <c r="F3" s="250"/>
      <c r="G3" s="250"/>
      <c r="H3" s="250"/>
      <c r="I3" s="250"/>
    </row>
    <row r="4" spans="1:9" ht="18.75" customHeight="1" x14ac:dyDescent="0.2">
      <c r="A4" s="17"/>
      <c r="B4" s="17"/>
      <c r="C4" s="17"/>
      <c r="D4" s="17"/>
      <c r="E4" s="17"/>
      <c r="F4" s="17"/>
      <c r="G4" s="17"/>
      <c r="H4" s="17"/>
      <c r="I4" s="17"/>
    </row>
    <row r="5" spans="1:9" ht="18.75" customHeight="1" x14ac:dyDescent="0.2">
      <c r="A5" s="1" t="s">
        <v>84</v>
      </c>
      <c r="B5" s="5" t="s">
        <v>132</v>
      </c>
      <c r="C5" s="17"/>
      <c r="D5" s="17"/>
      <c r="E5" s="17"/>
      <c r="F5" s="17"/>
      <c r="G5" s="17"/>
      <c r="H5" s="17"/>
      <c r="I5" s="17"/>
    </row>
    <row r="6" spans="1:9" ht="26.25" customHeight="1" x14ac:dyDescent="0.2">
      <c r="A6" s="17"/>
      <c r="B6" s="251" t="s">
        <v>133</v>
      </c>
      <c r="C6" s="252"/>
      <c r="D6" s="252"/>
      <c r="E6" s="252"/>
      <c r="F6" s="252"/>
      <c r="G6" s="252"/>
      <c r="H6" s="253"/>
      <c r="I6" s="3"/>
    </row>
    <row r="7" spans="1:9" ht="9" customHeight="1" x14ac:dyDescent="0.2">
      <c r="A7" s="17"/>
      <c r="B7" s="5"/>
      <c r="C7" s="5"/>
      <c r="D7" s="5"/>
      <c r="E7" s="5"/>
      <c r="F7" s="5"/>
      <c r="G7" s="5"/>
      <c r="H7" s="5"/>
      <c r="I7" s="3"/>
    </row>
    <row r="8" spans="1:9" ht="18.75" customHeight="1" x14ac:dyDescent="0.2">
      <c r="A8" s="17"/>
      <c r="B8" s="3"/>
      <c r="C8" s="3"/>
      <c r="D8" s="14" t="s">
        <v>92</v>
      </c>
      <c r="E8" s="13" t="s">
        <v>93</v>
      </c>
      <c r="F8" s="3"/>
      <c r="G8" s="14" t="s">
        <v>94</v>
      </c>
      <c r="H8" s="13" t="s">
        <v>95</v>
      </c>
      <c r="I8" s="3"/>
    </row>
    <row r="9" spans="1:9" ht="7.5" customHeight="1" x14ac:dyDescent="0.2">
      <c r="A9" s="17"/>
      <c r="B9" s="17"/>
      <c r="C9" s="17"/>
      <c r="D9" s="17"/>
      <c r="E9" s="17"/>
      <c r="F9" s="17"/>
      <c r="G9" s="17"/>
      <c r="H9" s="17"/>
      <c r="I9" s="17"/>
    </row>
    <row r="10" spans="1:9" ht="18.75" customHeight="1" x14ac:dyDescent="0.2">
      <c r="A10" s="1" t="s">
        <v>88</v>
      </c>
      <c r="B10" s="1" t="s">
        <v>134</v>
      </c>
      <c r="C10" s="25"/>
      <c r="D10" s="25"/>
      <c r="E10" s="25"/>
      <c r="F10" s="25"/>
      <c r="G10" s="25"/>
      <c r="H10" s="25"/>
      <c r="I10" s="25"/>
    </row>
    <row r="11" spans="1:9" ht="18.75" customHeight="1" x14ac:dyDescent="0.2">
      <c r="B11" s="121" t="s">
        <v>135</v>
      </c>
      <c r="C11" s="122"/>
      <c r="D11" s="123"/>
      <c r="E11" s="122" t="s">
        <v>136</v>
      </c>
      <c r="F11" s="122"/>
      <c r="G11" s="122"/>
      <c r="H11" s="122"/>
      <c r="I11" s="123"/>
    </row>
    <row r="12" spans="1:9" ht="26.25" customHeight="1" x14ac:dyDescent="0.2">
      <c r="B12" s="33" t="s">
        <v>137</v>
      </c>
      <c r="C12" s="36"/>
      <c r="D12" s="34"/>
      <c r="E12" s="35"/>
      <c r="F12" s="35"/>
      <c r="G12" s="35"/>
      <c r="H12" s="35"/>
      <c r="I12" s="34"/>
    </row>
    <row r="13" spans="1:9" ht="180.5" customHeight="1" x14ac:dyDescent="0.2">
      <c r="B13" s="28"/>
      <c r="C13" s="233" t="s">
        <v>138</v>
      </c>
      <c r="D13" s="234"/>
      <c r="E13" s="246" t="s">
        <v>139</v>
      </c>
      <c r="F13" s="235"/>
      <c r="G13" s="235"/>
      <c r="H13" s="235"/>
      <c r="I13" s="236"/>
    </row>
    <row r="14" spans="1:9" ht="180.5" customHeight="1" x14ac:dyDescent="0.2">
      <c r="B14" s="28"/>
      <c r="C14" s="248" t="s">
        <v>140</v>
      </c>
      <c r="D14" s="249"/>
      <c r="E14" s="246" t="s">
        <v>196</v>
      </c>
      <c r="F14" s="235"/>
      <c r="G14" s="235"/>
      <c r="H14" s="235"/>
      <c r="I14" s="236"/>
    </row>
    <row r="15" spans="1:9" ht="180.5" customHeight="1" x14ac:dyDescent="0.2">
      <c r="B15" s="28"/>
      <c r="C15" s="233" t="s">
        <v>141</v>
      </c>
      <c r="D15" s="234"/>
      <c r="E15" s="246" t="s">
        <v>197</v>
      </c>
      <c r="F15" s="235"/>
      <c r="G15" s="235"/>
      <c r="H15" s="235"/>
      <c r="I15" s="236"/>
    </row>
    <row r="16" spans="1:9" ht="180.5" customHeight="1" x14ac:dyDescent="0.2">
      <c r="B16" s="28"/>
      <c r="C16" s="233" t="s">
        <v>142</v>
      </c>
      <c r="D16" s="234"/>
      <c r="E16" s="246" t="s">
        <v>143</v>
      </c>
      <c r="F16" s="235"/>
      <c r="G16" s="235"/>
      <c r="H16" s="235"/>
      <c r="I16" s="236"/>
    </row>
    <row r="17" spans="2:9" ht="180.5" customHeight="1" x14ac:dyDescent="0.2">
      <c r="B17" s="27"/>
      <c r="C17" s="237" t="s">
        <v>144</v>
      </c>
      <c r="D17" s="238"/>
      <c r="E17" s="247" t="s">
        <v>145</v>
      </c>
      <c r="F17" s="239"/>
      <c r="G17" s="239"/>
      <c r="H17" s="239"/>
      <c r="I17" s="240"/>
    </row>
    <row r="18" spans="2:9" ht="24" customHeight="1" x14ac:dyDescent="0.2">
      <c r="B18" s="33" t="s">
        <v>146</v>
      </c>
      <c r="C18" s="32"/>
      <c r="D18" s="31"/>
      <c r="E18" s="30"/>
      <c r="F18" s="30"/>
      <c r="G18" s="30"/>
      <c r="H18" s="30"/>
      <c r="I18" s="29"/>
    </row>
    <row r="19" spans="2:9" ht="218.25" customHeight="1" x14ac:dyDescent="0.2">
      <c r="B19" s="28"/>
      <c r="C19" s="233" t="s">
        <v>147</v>
      </c>
      <c r="D19" s="234"/>
      <c r="E19" s="235" t="s">
        <v>148</v>
      </c>
      <c r="F19" s="235"/>
      <c r="G19" s="235"/>
      <c r="H19" s="235"/>
      <c r="I19" s="236"/>
    </row>
    <row r="20" spans="2:9" ht="218.25" customHeight="1" x14ac:dyDescent="0.2">
      <c r="B20" s="27"/>
      <c r="C20" s="237" t="s">
        <v>149</v>
      </c>
      <c r="D20" s="238"/>
      <c r="E20" s="239" t="s">
        <v>150</v>
      </c>
      <c r="F20" s="239"/>
      <c r="G20" s="239"/>
      <c r="H20" s="239"/>
      <c r="I20" s="240"/>
    </row>
    <row r="21" spans="2:9" ht="218.25" customHeight="1" x14ac:dyDescent="0.2">
      <c r="B21" s="241" t="s">
        <v>151</v>
      </c>
      <c r="C21" s="242"/>
      <c r="D21" s="243"/>
      <c r="E21" s="244" t="s">
        <v>152</v>
      </c>
      <c r="F21" s="244"/>
      <c r="G21" s="244"/>
      <c r="H21" s="244"/>
      <c r="I21" s="245"/>
    </row>
    <row r="22" spans="2:9" ht="218.25" customHeight="1" x14ac:dyDescent="0.2">
      <c r="B22" s="228" t="s">
        <v>153</v>
      </c>
      <c r="C22" s="229"/>
      <c r="D22" s="230"/>
      <c r="E22" s="231" t="s">
        <v>154</v>
      </c>
      <c r="F22" s="231"/>
      <c r="G22" s="231"/>
      <c r="H22" s="231"/>
      <c r="I22" s="232"/>
    </row>
    <row r="23" spans="2:9" ht="22.5" customHeight="1" x14ac:dyDescent="0.2">
      <c r="B23" s="25"/>
      <c r="C23" s="25"/>
      <c r="D23" s="25"/>
      <c r="E23" s="25"/>
      <c r="F23" s="25"/>
      <c r="G23" s="25"/>
      <c r="H23" s="25"/>
      <c r="I23" s="25"/>
    </row>
    <row r="24" spans="2:9" ht="22.5" customHeight="1" x14ac:dyDescent="0.2">
      <c r="B24" s="25"/>
      <c r="C24" s="25"/>
      <c r="D24" s="25"/>
      <c r="E24" s="25"/>
      <c r="F24" s="25"/>
      <c r="G24" s="25"/>
      <c r="H24" s="25"/>
      <c r="I24" s="25"/>
    </row>
    <row r="25" spans="2:9" ht="22.5" customHeight="1" x14ac:dyDescent="0.2">
      <c r="B25" s="25"/>
      <c r="C25" s="25"/>
      <c r="D25" s="25"/>
      <c r="E25" s="25"/>
      <c r="F25" s="25"/>
      <c r="G25" s="25"/>
      <c r="H25" s="25"/>
      <c r="I25" s="25"/>
    </row>
    <row r="26" spans="2:9" ht="22.5" customHeight="1" x14ac:dyDescent="0.2">
      <c r="B26" s="25"/>
      <c r="C26" s="25"/>
      <c r="D26" s="25"/>
      <c r="E26" s="25"/>
      <c r="F26" s="25"/>
      <c r="G26" s="25"/>
      <c r="H26" s="25"/>
      <c r="I26" s="25"/>
    </row>
    <row r="27" spans="2:9" ht="22.5" customHeight="1" x14ac:dyDescent="0.2">
      <c r="B27" s="25"/>
      <c r="C27" s="25"/>
      <c r="D27" s="25"/>
      <c r="E27" s="25"/>
      <c r="F27" s="25"/>
      <c r="G27" s="25"/>
      <c r="H27" s="25"/>
      <c r="I27" s="25"/>
    </row>
    <row r="28" spans="2:9" ht="22.5" customHeight="1" x14ac:dyDescent="0.2">
      <c r="B28" s="6"/>
      <c r="C28" s="6"/>
      <c r="D28" s="6"/>
      <c r="E28" s="6"/>
      <c r="F28" s="6"/>
      <c r="G28" s="6"/>
      <c r="H28" s="6"/>
      <c r="I28" s="6"/>
    </row>
    <row r="29" spans="2:9" ht="22.5" customHeight="1" x14ac:dyDescent="0.2">
      <c r="B29" s="6"/>
      <c r="C29" s="6"/>
      <c r="D29" s="6"/>
      <c r="E29" s="6"/>
      <c r="F29" s="6"/>
      <c r="G29" s="6"/>
      <c r="H29" s="6"/>
      <c r="I29" s="6"/>
    </row>
    <row r="30" spans="2:9" ht="22.5" customHeight="1" x14ac:dyDescent="0.2">
      <c r="B30" s="6"/>
      <c r="C30" s="6"/>
      <c r="D30" s="6"/>
      <c r="E30" s="6"/>
      <c r="F30" s="6"/>
      <c r="G30" s="6"/>
      <c r="H30" s="6"/>
      <c r="I30" s="6"/>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F1A4265F2ECED4D93FC84E870614264" ma:contentTypeVersion="13" ma:contentTypeDescription="新しいドキュメントを作成します。" ma:contentTypeScope="" ma:versionID="2154d6eaf34f3e1218f5796898cb6c10">
  <xsd:schema xmlns:xsd="http://www.w3.org/2001/XMLSchema" xmlns:xs="http://www.w3.org/2001/XMLSchema" xmlns:p="http://schemas.microsoft.com/office/2006/metadata/properties" xmlns:ns2="520b2d9d-7793-4f41-8990-c45d40771c73" xmlns:ns3="66ed3aab-a043-4b86-9c0a-e42bde5c4b74" targetNamespace="http://schemas.microsoft.com/office/2006/metadata/properties" ma:root="true" ma:fieldsID="33cd552fc143f597f940d833528faf09" ns2:_="" ns3:_="">
    <xsd:import namespace="520b2d9d-7793-4f41-8990-c45d40771c73"/>
    <xsd:import namespace="66ed3aab-a043-4b86-9c0a-e42bde5c4b7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0b2d9d-7793-4f41-8990-c45d40771c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7803a934-d10e-43b7-8e97-64a01bf2466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ed3aab-a043-4b86-9c0a-e42bde5c4b7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78c70209-c914-4029-88d5-dcad5213a668}" ma:internalName="TaxCatchAll" ma:showField="CatchAllData" ma:web="66ed3aab-a043-4b86-9c0a-e42bde5c4b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49C09B-C6E1-4AB4-BFDE-1B7C78A1D613}">
  <ds:schemaRefs>
    <ds:schemaRef ds:uri="http://schemas.microsoft.com/sharepoint/v3/contenttype/forms"/>
  </ds:schemaRefs>
</ds:datastoreItem>
</file>

<file path=customXml/itemProps2.xml><?xml version="1.0" encoding="utf-8"?>
<ds:datastoreItem xmlns:ds="http://schemas.openxmlformats.org/officeDocument/2006/customXml" ds:itemID="{8E2229D8-D96C-4D38-8C7D-8ACE246608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0b2d9d-7793-4f41-8990-c45d40771c73"/>
    <ds:schemaRef ds:uri="66ed3aab-a043-4b86-9c0a-e42bde5c4b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加藤 良治</cp:lastModifiedBy>
  <cp:revision/>
  <cp:lastPrinted>2024-06-18T08:20:12Z</cp:lastPrinted>
  <dcterms:created xsi:type="dcterms:W3CDTF">2011-06-14T05:32:50Z</dcterms:created>
  <dcterms:modified xsi:type="dcterms:W3CDTF">2024-07-02T00:29:18Z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