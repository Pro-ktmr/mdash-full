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04"/>
  <workbookPr defaultThemeVersion="124226"/>
  <mc:AlternateContent xmlns:mc="http://schemas.openxmlformats.org/markup-compatibility/2006">
    <mc:Choice Requires="x15">
      <x15ac:absPath xmlns:x15ac="http://schemas.microsoft.com/office/spreadsheetml/2010/11/ac" url="\\tfilesv\tfilesv\2023staff\(運営)高専事務局\メンバ共有\＠メンバ共有\02_教務学生課\06.課長業務\情報リテラシー認証について\2024申請用\文科省申請用紙等\提出書類\確定物\②サレジオ工業高等専門学校\01_サレジオ工業高等専門学校_リテラシー\"/>
    </mc:Choice>
  </mc:AlternateContent>
  <xr:revisionPtr revIDLastSave="0" documentId="13_ncr:1_{C7C5D332-99C6-4601-ACAF-0D61211F636E}" xr6:coauthVersionLast="47" xr6:coauthVersionMax="47" xr10:uidLastSave="{00000000-0000-0000-0000-000000000000}"/>
  <bookViews>
    <workbookView xWindow="0" yWindow="495" windowWidth="28800" windowHeight="17505" tabRatio="885" firstSheet="2"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<sst xmlns="http://schemas.openxmlformats.org/spreadsheetml/2006/main" count="284" uniqueCount="186">
  <si>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</si>
  <si>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</si>
  <si>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</si>
  <si>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サレジオ工業高等専門学校</t>
    <phoneticPr fontId="1"/>
  </si>
  <si>
    <t>プログラム名</t>
    <rPh sb="5" eb="6">
      <t>メイ</t>
    </rPh>
    <phoneticPr fontId="1"/>
  </si>
  <si>
    <t>サレジオ高専数理・データサイエンス・ＡＩ教育プログラム（リテラシー）</t>
    <phoneticPr fontId="1"/>
  </si>
  <si>
    <t>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</si>
  <si>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</si>
  <si>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学部・学科によって、修了要件は相違しない</t>
  </si>
  <si>
    <t>② 対象となる学部・学科名称</t>
    <phoneticPr fontId="1"/>
  </si>
  <si>
    <t>③ 修了要件</t>
    <phoneticPr fontId="1"/>
  </si>
  <si>
    <t>1年時必修科目「情報倫理（2単位）」を修得すること。
また3年時必修科目「確率統計学（2単位）」を修得すること。</t>
    <rPh sb="44" eb="46">
      <t>タンイ</t>
    </rPh>
    <phoneticPr fontId="1"/>
  </si>
  <si>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</si>
  <si>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</si>
  <si>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</si>
  <si>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</si>
  <si>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</si>
  <si>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</si>
  <si>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</si>
  <si>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</si>
  <si>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</si>
  <si>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</si>
  <si>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</si>
  <si>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</si>
  <si>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</si>
  <si>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</si>
  <si>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情報倫理</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</si>
  <si>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</si>
  <si>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</si>
  <si>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</si>
  <si>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</si>
  <si>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</si>
  <si>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</si>
  <si>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</si>
  <si>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</si>
  <si>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</si>
  <si>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</si>
  <si>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</si>
  <si>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</si>
  <si>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</si>
  <si>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</si>
  <si>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確率統計学</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</si>
  <si>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</si>
  <si>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</si>
  <si>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</si>
  <si>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</si>
  <si>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</si>
  <si>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</si>
  <si>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・ビッグデータ、IoT、Society 5.0(データ駆動型社会)、AI、機械学習について「情報倫理」（15回目）</t>
    <rPh sb="37" eb="39">
      <t>キカイ</t>
    </rPh>
    <rPh sb="39" eb="41">
      <t>ガクシュウ</t>
    </rPh>
    <rPh sb="46" eb="48">
      <t>ジョウホウ</t>
    </rPh>
    <rPh sb="48" eb="50">
      <t>リンリ</t>
    </rPh>
    <phoneticPr fontId="1"/>
  </si>
  <si>
    <t>1-6</t>
    <phoneticPr fontId="1"/>
  </si>
  <si>
    <t>・AI最新技術の活用例（深層生成モデル、強化学習、転移学習など）「情報倫理」（15回目）</t>
    <phoneticPr fontId="1"/>
  </si>
  <si>
    <t>（２）「社会で活用されているデータ」や「データの活用領域」は非常に広範囲であって、日常生活や社会の課題を解決する有用なツールになり得るもの</t>
    <phoneticPr fontId="1"/>
  </si>
  <si>
    <t xml:space="preserve">・調査データ、実験データ、人の行動ログデータ、機械の稼働ログデータなど「情報倫理」（15回目）
</t>
    <phoneticPr fontId="1"/>
  </si>
  <si>
    <t>・データ・AI活用領域の広がり(生産、消費、文化活動など)「情報倫理」（15回目）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</si>
  <si>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</si>
  <si>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・特化型AIと汎用AI、今のAIで出来ることと出来ないこと、AIとビッグデータ「情報倫理」（15回目）</t>
    <rPh sb="40" eb="42">
      <t>ジョウホウ</t>
    </rPh>
    <rPh sb="42" eb="44">
      <t>リンリ</t>
    </rPh>
    <phoneticPr fontId="1"/>
  </si>
  <si>
    <t>・流通、製造、金融、サービス、インフラ、公共、ヘルスケア等におけるデータ・AI利活用事例紹介「情報倫理」（15回目）</t>
    <rPh sb="47" eb="51">
      <t xml:space="preserve">ジョウホウリンリ </t>
    </rPh>
    <phoneticPr fontId="1"/>
  </si>
  <si>
    <t>（４）活用に当たっての様々な留意事項（ELSI、個人情報、データ倫理、ＡＩ社会原則等）を考慮し、情報セキュリティや情報漏洩等、データを守る上での留意事項への理解をする</t>
    <phoneticPr fontId="1"/>
  </si>
  <si>
    <t xml:space="preserve">・個人情報保護、EU一般データ保護規則(GDPR)、忘れられる権利、オプトアウト「情報倫理」（8、9回目）
・データ倫理：データのねつ造、改ざん、盗用、プライバシー保護「情報倫理」（3回目、4回目）
</t>
    <rPh sb="43" eb="45">
      <t>リンリ</t>
    </rPh>
    <rPh sb="85" eb="89">
      <t>ジョウホウリンリ</t>
    </rPh>
    <rPh sb="92" eb="93">
      <t>カイ</t>
    </rPh>
    <rPh sb="93" eb="94">
      <t>メ</t>
    </rPh>
    <rPh sb="96" eb="98">
      <t>カイメ</t>
    </rPh>
    <phoneticPr fontId="1"/>
  </si>
  <si>
    <t xml:space="preserve"> </t>
    <phoneticPr fontId="1"/>
  </si>
  <si>
    <t>・情報セキュリティ：機密性、完全性、可用性「情報倫理」（７回目）
・匿名加工情報、暗号化、パスワード、悪意ある情報搾取「情報倫理」（１、７、８回目）
・情報漏洩等によるセキュリティ事故の事例紹介「情報倫理」（１回目）</t>
    <rPh sb="24" eb="26">
      <t>リンリ</t>
    </rPh>
    <rPh sb="62" eb="64">
      <t>リンリ</t>
    </rPh>
    <rPh sb="100" eb="102">
      <t>リンリ</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</si>
  <si>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</si>
  <si>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</si>
  <si>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・データの分布(ヒストグラム)と代表値（平均値、中央値、最頻値）「確率統計」（16回目、17回目）
・データのばらつき（分散、標準偏差、偏差値）「確率統計」（16回目、17回目）</t>
    <phoneticPr fontId="1"/>
  </si>
  <si>
    <t>・データ表現（棒グラフ、折線グラフ、散布図、ヒートマップ）「確率統計」（16回目、17回目）</t>
    <rPh sb="30" eb="34">
      <t>カクリツトウケイ</t>
    </rPh>
    <phoneticPr fontId="1"/>
  </si>
  <si>
    <t>・データの集計（和、平均）「確率統計」（16回目、17回目）</t>
    <phoneticPr fontId="1"/>
  </si>
  <si>
    <t>⑪ プログラムの学修成果（学生等が身に付けられる能力等）</t>
    <phoneticPr fontId="1"/>
  </si>
  <si>
    <t xml:space="preserve">・デジタル人材として必要な基礎的な知識・技能を身につけている。
・データを取り扱うに当たり必要となる倫理観やセキュリティ知識を持ち合わせている。
・情報が社会に与える影響を理解し、人間中心の適切な判断ができるようになること。
</t>
    <rPh sb="5" eb="7">
      <t>ジンザイ</t>
    </rPh>
    <rPh sb="45" eb="47">
      <t>ヒツヨウ</t>
    </rPh>
    <rPh sb="50" eb="53">
      <t>リンリカン</t>
    </rPh>
    <rPh sb="60" eb="62">
      <t>チシキ</t>
    </rPh>
    <rPh sb="63" eb="64">
      <t>モ</t>
    </rPh>
    <rPh sb="65" eb="66">
      <t>ア</t>
    </rPh>
    <phoneticPr fontId="1"/>
  </si>
  <si>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</si>
  <si>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</si>
  <si>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</si>
  <si>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</si>
  <si>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様式２</t>
    <phoneticPr fontId="1"/>
  </si>
  <si>
    <t>プログラムの履修者数等の実績について</t>
    <phoneticPr fontId="1"/>
  </si>
  <si>
    <t>①プログラム開設年度</t>
    <rPh sb="6" eb="8">
      <t>カイセツ</t>
    </rPh>
    <rPh sb="8" eb="10">
      <t>ネンド</t>
    </rPh>
    <phoneticPr fontId="1"/>
  </si>
  <si>
    <t>令和5</t>
    <rPh sb="0" eb="2">
      <t>レイワ</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</si>
  <si>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</si>
  <si>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</si>
  <si>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</si>
  <si>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</si>
  <si>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</si>
  <si>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</si>
  <si>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</si>
  <si>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</si>
  <si>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</si>
  <si>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</si>
  <si>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</si>
  <si>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</si>
  <si>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</si>
  <si>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</si>
  <si>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</si>
  <si>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</si>
  <si>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</si>
  <si>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</si>
  <si>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</si>
  <si>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</si>
  <si>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</si>
  <si>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</si>
  <si>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</si>
  <si>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</si>
  <si>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デザイン学科</t>
    <rPh sb="4" eb="6">
      <t>ガッカ</t>
    </rPh>
    <phoneticPr fontId="1"/>
  </si>
  <si>
    <t>電気工学科</t>
    <rPh sb="0" eb="5">
      <t>デンキコウガクカ</t>
    </rPh>
    <phoneticPr fontId="1"/>
  </si>
  <si>
    <t>機械電子工学科</t>
    <rPh sb="0" eb="2">
      <t>キカイ</t>
    </rPh>
    <rPh sb="2" eb="4">
      <t>デンシ</t>
    </rPh>
    <rPh sb="4" eb="7">
      <t>コウガクカ</t>
    </rPh>
    <phoneticPr fontId="1"/>
  </si>
  <si>
    <t>情報工学科</t>
    <rPh sb="0" eb="5">
      <t>ジョウホウコウガクカ</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</si>
  <si>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</si>
  <si>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</si>
  <si>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</si>
  <si>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</si>
  <si>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</si>
  <si>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</si>
  <si>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</si>
  <si>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</si>
  <si>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</si>
  <si>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</si>
  <si>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</si>
  <si>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</si>
  <si>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</si>
  <si>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小島　知博</t>
    <rPh sb="0" eb="2">
      <t>コジマ</t>
    </rPh>
    <rPh sb="3" eb="5">
      <t>トモヒロ</t>
    </rPh>
    <phoneticPr fontId="1"/>
  </si>
  <si>
    <t>（役職名）</t>
    <rPh sb="1" eb="4">
      <t>ヤクショクメイ</t>
    </rPh>
    <phoneticPr fontId="1"/>
  </si>
  <si>
    <t>校長</t>
    <rPh sb="0" eb="2">
      <t>コウチョウ</t>
    </rPh>
    <phoneticPr fontId="1"/>
  </si>
  <si>
    <t>④</t>
    <phoneticPr fontId="1"/>
  </si>
  <si>
    <t>プログラムを改善・進化させるための体制（委員会・組織等）</t>
    <phoneticPr fontId="1"/>
  </si>
  <si>
    <t>教務部会</t>
    <rPh sb="0" eb="2">
      <t>キョウム</t>
    </rPh>
    <rPh sb="2" eb="3">
      <t>ブ</t>
    </rPh>
    <rPh sb="3" eb="4">
      <t>カイ</t>
    </rPh>
    <phoneticPr fontId="1"/>
  </si>
  <si>
    <t>加藤　雅彦</t>
    <rPh sb="0" eb="2">
      <t>カトウ</t>
    </rPh>
    <rPh sb="3" eb="5">
      <t>マサヒコ</t>
    </rPh>
    <phoneticPr fontId="1"/>
  </si>
  <si>
    <t>教務主事</t>
    <rPh sb="0" eb="2">
      <t>キョウム</t>
    </rPh>
    <rPh sb="2" eb="4">
      <t>シュジ</t>
    </rPh>
    <phoneticPr fontId="1"/>
  </si>
  <si>
    <t>⑤</t>
    <phoneticPr fontId="1"/>
  </si>
  <si>
    <t>プログラムを改善・進化させるための体制を定める規則名称</t>
    <phoneticPr fontId="1"/>
  </si>
  <si>
    <t>サレジオ工業高等専門学校教務規則</t>
    <phoneticPr fontId="1"/>
  </si>
  <si>
    <t>⑥</t>
    <phoneticPr fontId="1"/>
  </si>
  <si>
    <t>体制の目的</t>
    <rPh sb="0" eb="2">
      <t>タイセイ</t>
    </rPh>
    <rPh sb="3" eb="5">
      <t>モクテキ</t>
    </rPh>
    <phoneticPr fontId="1"/>
  </si>
  <si>
    <t>サレジオ工業高等専門学校の教育に関する事項を審議し、その運営を円滑に行うため、教務部会をおく。同部会は、数理・データサイエンス・AI教育プログラムを含む、全学科すべての教育課程に関する事項を掌理しているため、教務部会において本プラグムの改善や履修者指導に関する事項を取り扱う。</t>
    <rPh sb="4" eb="12">
      <t>コウギョウコウトウセンモンガッコウ</t>
    </rPh>
    <rPh sb="13" eb="15">
      <t>キョウイク</t>
    </rPh>
    <rPh sb="16" eb="17">
      <t>カン</t>
    </rPh>
    <rPh sb="19" eb="21">
      <t>ジコウ</t>
    </rPh>
    <rPh sb="22" eb="24">
      <t>シンギ</t>
    </rPh>
    <rPh sb="28" eb="30">
      <t>ウンエイ</t>
    </rPh>
    <rPh sb="31" eb="33">
      <t>エンカツ</t>
    </rPh>
    <rPh sb="34" eb="35">
      <t>オコナ</t>
    </rPh>
    <rPh sb="39" eb="43">
      <t>キョウムブカイ</t>
    </rPh>
    <rPh sb="47" eb="50">
      <t>ドウブカイ</t>
    </rPh>
    <rPh sb="52" eb="54">
      <t>スウリ</t>
    </rPh>
    <rPh sb="66" eb="68">
      <t>キョウイク</t>
    </rPh>
    <rPh sb="74" eb="75">
      <t>フク</t>
    </rPh>
    <rPh sb="77" eb="80">
      <t>ゼンガッカ</t>
    </rPh>
    <rPh sb="84" eb="86">
      <t>キョウイク</t>
    </rPh>
    <rPh sb="86" eb="88">
      <t>カテイ</t>
    </rPh>
    <rPh sb="89" eb="90">
      <t>カン</t>
    </rPh>
    <rPh sb="92" eb="94">
      <t>ジコウ</t>
    </rPh>
    <rPh sb="95" eb="97">
      <t>ショウリ</t>
    </rPh>
    <rPh sb="104" eb="108">
      <t>キョウムブカイ</t>
    </rPh>
    <rPh sb="112" eb="113">
      <t>ホン</t>
    </rPh>
    <rPh sb="118" eb="120">
      <t>カイゼン</t>
    </rPh>
    <rPh sb="121" eb="126">
      <t>リシュウシャシドウ</t>
    </rPh>
    <rPh sb="127" eb="128">
      <t>カン</t>
    </rPh>
    <rPh sb="130" eb="132">
      <t>ジコウ</t>
    </rPh>
    <rPh sb="133" eb="134">
      <t>ト</t>
    </rPh>
    <rPh sb="135" eb="136">
      <t>アツカ</t>
    </rPh>
    <phoneticPr fontId="1"/>
  </si>
  <si>
    <t>⑦</t>
    <phoneticPr fontId="1"/>
  </si>
  <si>
    <t>具体的な構成員</t>
    <rPh sb="0" eb="3">
      <t>グタイテキ</t>
    </rPh>
    <rPh sb="4" eb="7">
      <t>コウセイイン</t>
    </rPh>
    <phoneticPr fontId="1"/>
  </si>
  <si>
    <t xml:space="preserve">教務主事　加藤　雅彦
教務主事補　村田　昌巳　三輪　賢一郎
一般教育科長　山野邉　基雄　佐藤　豊
各学科から選出された者　川﨑　紀弘　𠮷田　慧一郎　米盛　弘信　島川　陽一
教務学生部　係長　宮野　祐矢
</t>
    <rPh sb="0" eb="4">
      <t>キョウムシュジ</t>
    </rPh>
    <rPh sb="11" eb="16">
      <t>キョウムシュジホ</t>
    </rPh>
    <rPh sb="30" eb="32">
      <t>イッパン</t>
    </rPh>
    <rPh sb="32" eb="34">
      <t>キョウイク</t>
    </rPh>
    <rPh sb="34" eb="36">
      <t>カチョウ</t>
    </rPh>
    <rPh sb="49" eb="52">
      <t>カクガッカ</t>
    </rPh>
    <rPh sb="54" eb="56">
      <t>センシュツ</t>
    </rPh>
    <rPh sb="59" eb="60">
      <t>モノ</t>
    </rPh>
    <rPh sb="87" eb="89">
      <t>キョウム</t>
    </rPh>
    <rPh sb="89" eb="92">
      <t>ガクセイブ</t>
    </rPh>
    <rPh sb="93" eb="95">
      <t>カカリチョウ</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</si>
  <si>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</si>
  <si>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</si>
  <si>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</si>
  <si>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</si>
  <si>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</si>
  <si>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</si>
  <si>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</si>
  <si>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</si>
  <si>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</si>
  <si>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xml:space="preserve">令和5年度末の時点で、本プログラムの履修生は第1学年の学生である。
数理・データサイエンス・AIプログラムを構成する科目は、全て必修科目で構成されているため年度進行で入学生毎に履修者は増加し、令和９年度の入学者を持って入学者に対する履修者の割合が100%となる。
</t>
    <rPh sb="18" eb="20">
      <t>リシュウ</t>
    </rPh>
    <rPh sb="78" eb="82">
      <t>ネンドシンコウ</t>
    </rPh>
    <rPh sb="88" eb="91">
      <t>リシュウシャ</t>
    </rPh>
    <rPh sb="92" eb="94">
      <t>ゾウカ</t>
    </rPh>
    <rPh sb="96" eb="98">
      <t>レイワ</t>
    </rPh>
    <rPh sb="99" eb="101">
      <t>ネンド</t>
    </rPh>
    <rPh sb="106" eb="107">
      <t>モ</t>
    </rPh>
    <rPh sb="116" eb="118">
      <t>リシュウ</t>
    </rPh>
    <rPh sb="118" eb="119">
      <t>シャ</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</si>
  <si>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</si>
  <si>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</si>
  <si>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学科によらず全ての学生が履修できるように、一般必修科目として第一学年に「情報倫理」第三学年に「確率統計学」を配当をしている。また両科目ともに卒業要件に含まれる科目であるため全学生が履修および単位修得を行う。</t>
    <rPh sb="0" eb="2">
      <t>ガッカ</t>
    </rPh>
    <rPh sb="6" eb="7">
      <t>スベ</t>
    </rPh>
    <rPh sb="9" eb="11">
      <t>ガクセイ</t>
    </rPh>
    <rPh sb="12" eb="14">
      <t>リシュウ</t>
    </rPh>
    <rPh sb="21" eb="23">
      <t>イッパン</t>
    </rPh>
    <rPh sb="23" eb="27">
      <t>ヒッシュウカモク</t>
    </rPh>
    <rPh sb="30" eb="32">
      <t>ダイイチ</t>
    </rPh>
    <rPh sb="32" eb="34">
      <t>ガクネン</t>
    </rPh>
    <rPh sb="36" eb="40">
      <t>ジョウホウリンリ</t>
    </rPh>
    <rPh sb="41" eb="45">
      <t>ダイサンガクネン</t>
    </rPh>
    <rPh sb="47" eb="52">
      <t>カクリツトウケイガク</t>
    </rPh>
    <rPh sb="54" eb="56">
      <t>ハイトウ</t>
    </rPh>
    <rPh sb="64" eb="67">
      <t>リョウカモク</t>
    </rPh>
    <rPh sb="70" eb="74">
      <t>ソツギョウヨウケン</t>
    </rPh>
    <rPh sb="75" eb="76">
      <t>フク</t>
    </rPh>
    <rPh sb="79" eb="81">
      <t>カモク</t>
    </rPh>
    <rPh sb="86" eb="89">
      <t>ゼンガクセイ</t>
    </rPh>
    <rPh sb="90" eb="92">
      <t>リシュウ</t>
    </rPh>
    <rPh sb="95" eb="99">
      <t>タンイシュウトク</t>
    </rPh>
    <rPh sb="100" eb="101">
      <t>オコナ</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</si>
  <si>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</si>
  <si>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</si>
  <si>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学科によらず全ての学生が履修できるように、一般必修科目として第一学年に「情報倫理」第三学年に「確率統計学」を配当をしている。また両科目ともに卒業要件に含まれる科目であるため全学生が履修および単位修得を行う。</t>
    <phoneticPr fontId="1"/>
  </si>
  <si>
    <t>⑪</t>
    <phoneticPr fontId="1"/>
  </si>
  <si>
    <t>できる限り多くの学生が履修・修得できるようなサポート体制</t>
    <rPh sb="26" eb="28">
      <t>タイセイ</t>
    </rPh>
    <phoneticPr fontId="1"/>
  </si>
  <si>
    <t>学科によらず全ての学生が履修できるように、一般必修科目として第一学年に「情報倫理」第三学年に「確率統計学」を配当をしている。また両科目ともに卒業要件に含まれる科目であるため全学生が履修および単位修得を行う。
また、学生の生活全般にわたるサポートを目的として、担任制度を導入している。担任が主として学生の支援を行うが、学年主任や学科長などがバックアップを担当し、組織的な学生指導や学習支援を行っている。これにより、個々の学生に対して手厚いサポートを提供している。</t>
    <phoneticPr fontId="1"/>
  </si>
  <si>
    <t>⑫</t>
    <phoneticPr fontId="1"/>
  </si>
  <si>
    <t>授業時間内外で学習指導、質問を受け付ける具体的な仕組み</t>
    <rPh sb="20" eb="23">
      <t>グタイテキ</t>
    </rPh>
    <phoneticPr fontId="1"/>
  </si>
  <si>
    <t>プログラムの必修科目を中心とした授業の資料等をLMSに掲載し、掲示板などで質問や議論ができる体制を取っている。また当該学年で単位修得ができなかった場合においても、次年度以降に単位認定を得るための補講・試験制度が整えられている。</t>
    <rPh sb="57" eb="61">
      <t>トウガイガクネン</t>
    </rPh>
    <rPh sb="62" eb="66">
      <t>タンイシュウトク</t>
    </rPh>
    <rPh sb="73" eb="75">
      <t>バアイ</t>
    </rPh>
    <rPh sb="86" eb="87">
      <t>エ</t>
    </rPh>
    <rPh sb="91" eb="95">
      <t>シケンセイド</t>
    </rPh>
    <rPh sb="96" eb="97">
      <t>トトノ</t>
    </rPh>
    <rPh sb="97" eb="99">
      <t>ホコウ</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</si>
  <si>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</si>
  <si>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</si>
  <si>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</si>
  <si>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</si>
  <si>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自己点検評価委員会</t>
    <phoneticPr fontId="1"/>
  </si>
  <si>
    <t>山野邉　基雄</t>
    <rPh sb="0" eb="2">
      <t>ヤマノ</t>
    </rPh>
    <rPh sb="2" eb="3">
      <t>アタ</t>
    </rPh>
    <rPh sb="4" eb="6">
      <t>モトオ</t>
    </rPh>
    <phoneticPr fontId="1"/>
  </si>
  <si>
    <t>副校長</t>
    <rPh sb="0" eb="3">
      <t>フクコウチョウ</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</si>
  <si>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</si>
  <si>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</si>
  <si>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</si>
  <si>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</si>
  <si>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</si>
  <si>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本教育プログラムは必修科目で構成されている。そのため、入学するすべての学生（約１８０名）が教育プログラムの受講者となり、教育プログラムで必要となる科目を履修している。教育プログラムの履修状況および単位の修得状況は、成績操行会議および及落判定会議において確認できる。
履修者の授業への取り組み状況は教務システムで管理されており、クラス担任や科目担当教員に共有されている。また年に４回学生へ成績状況がフィードバックされる仕組みがあり、履修状況が芳しくない場合には担任や科目担当者からヒアリングを行う。
なお、各科目の不可率は現在3%台となっており、卒業までに全ての科目の単位修得に問題がない見通しである。</t>
    <rPh sb="107" eb="109">
      <t>セイセキ</t>
    </rPh>
    <rPh sb="109" eb="111">
      <t>ソウコウ</t>
    </rPh>
    <rPh sb="116" eb="118">
      <t>キュウラク</t>
    </rPh>
    <rPh sb="118" eb="120">
      <t>ハンテイ</t>
    </rPh>
    <rPh sb="120" eb="122">
      <t>カイギ</t>
    </rPh>
    <rPh sb="141" eb="142">
      <t>ト</t>
    </rPh>
    <rPh sb="143" eb="144">
      <t>ク</t>
    </rPh>
    <rPh sb="145" eb="147">
      <t>ジョウキョウ</t>
    </rPh>
    <rPh sb="186" eb="187">
      <t>ネン</t>
    </rPh>
    <rPh sb="189" eb="190">
      <t>カイ</t>
    </rPh>
    <rPh sb="190" eb="192">
      <t>ガクセイ</t>
    </rPh>
    <rPh sb="193" eb="197">
      <t>セイセキジョウキョウ</t>
    </rPh>
    <rPh sb="208" eb="210">
      <t>シク</t>
    </rPh>
    <rPh sb="215" eb="217">
      <t>リシュウ</t>
    </rPh>
    <rPh sb="217" eb="219">
      <t>ジョウキョウ</t>
    </rPh>
    <rPh sb="220" eb="221">
      <t>カンバ</t>
    </rPh>
    <rPh sb="225" eb="227">
      <t>バアイ</t>
    </rPh>
    <rPh sb="229" eb="231">
      <t>タンニン</t>
    </rPh>
    <rPh sb="232" eb="234">
      <t>カモク</t>
    </rPh>
    <rPh sb="234" eb="237">
      <t>タントウシャ</t>
    </rPh>
    <rPh sb="245" eb="246">
      <t>オコナ</t>
    </rPh>
    <rPh sb="252" eb="253">
      <t>カク</t>
    </rPh>
    <rPh sb="253" eb="255">
      <t>カモク</t>
    </rPh>
    <rPh sb="256" eb="258">
      <t>フカ</t>
    </rPh>
    <rPh sb="258" eb="259">
      <t>リツ</t>
    </rPh>
    <rPh sb="260" eb="262">
      <t>ゲンザイ</t>
    </rPh>
    <rPh sb="264" eb="265">
      <t>ダイ</t>
    </rPh>
    <rPh sb="272" eb="274">
      <t>ソツギョウ</t>
    </rPh>
    <rPh sb="277" eb="278">
      <t>スベ</t>
    </rPh>
    <rPh sb="280" eb="282">
      <t>カモク</t>
    </rPh>
    <rPh sb="283" eb="287">
      <t>タンイシュウトク</t>
    </rPh>
    <rPh sb="288" eb="290">
      <t>モンダイ</t>
    </rPh>
    <rPh sb="293" eb="295">
      <t>ミトオ</t>
    </rPh>
    <phoneticPr fontId="1"/>
  </si>
  <si>
    <t>学修成果</t>
    <rPh sb="0" eb="2">
      <t>ガクシュウ</t>
    </rPh>
    <rPh sb="2" eb="4">
      <t>セイカ</t>
    </rPh>
    <phoneticPr fontId="1"/>
  </si>
  <si>
    <t>授業科目「情報倫理」におけるデータサイエンス、人工知能、機械学習についての課題に対する取組状況から、受講生が一定程度の理解を示していることが確認できた。また、本科目の不可率は3%程度であることから、受講生には必要な知識や能力がおおむね身に付いているが定量的にも示されていることがわかる。一方で、上記テーマに対する授業回数が少ないため、概略以上の理解が得られたかについては把握することが難しい状況である。
今後は、データサイエンス、人工知能、機械学習等について、受講生のさらなる深い理解を得るため、「情報倫理」や「確率統計学」の授業内容を改訂する必要がある。</t>
    <rPh sb="0" eb="2">
      <t xml:space="preserve">ジュギョウ </t>
    </rPh>
    <rPh sb="2" eb="4">
      <t xml:space="preserve">カモク </t>
    </rPh>
    <rPh sb="5" eb="9">
      <t xml:space="preserve">ジョウホウリンリ」 </t>
    </rPh>
    <rPh sb="23" eb="27">
      <t xml:space="preserve">ジンコウチノウ， </t>
    </rPh>
    <rPh sb="28" eb="32">
      <t xml:space="preserve">キカイガクシュウ </t>
    </rPh>
    <rPh sb="37" eb="39">
      <t xml:space="preserve">カダイ </t>
    </rPh>
    <rPh sb="40" eb="41">
      <t xml:space="preserve">タイスル </t>
    </rPh>
    <rPh sb="43" eb="47">
      <t xml:space="preserve">トリクミジョウキョウヲ </t>
    </rPh>
    <rPh sb="50" eb="53">
      <t xml:space="preserve">ジュコウセイノ </t>
    </rPh>
    <rPh sb="54" eb="58">
      <t xml:space="preserve">イッテイテイドノ </t>
    </rPh>
    <rPh sb="59" eb="61">
      <t xml:space="preserve">リカイヲ </t>
    </rPh>
    <rPh sb="62" eb="63">
      <t xml:space="preserve">シメシテイル </t>
    </rPh>
    <rPh sb="70" eb="72">
      <t xml:space="preserve">カクニンデキル． </t>
    </rPh>
    <rPh sb="79" eb="82">
      <t xml:space="preserve">ホンカモクノ </t>
    </rPh>
    <rPh sb="83" eb="86">
      <t xml:space="preserve">フカリツハ </t>
    </rPh>
    <rPh sb="89" eb="91">
      <t xml:space="preserve">テイドデアルコトカラ， </t>
    </rPh>
    <rPh sb="99" eb="102">
      <t xml:space="preserve">ジュコウセイニハ </t>
    </rPh>
    <rPh sb="104" eb="106">
      <t xml:space="preserve">ヒツヨウナ </t>
    </rPh>
    <rPh sb="107" eb="109">
      <t xml:space="preserve">チシキヤ </t>
    </rPh>
    <rPh sb="110" eb="112">
      <t xml:space="preserve">ノウリョクガ </t>
    </rPh>
    <rPh sb="117" eb="118">
      <t xml:space="preserve">ミニツイテイル </t>
    </rPh>
    <rPh sb="125" eb="128">
      <t xml:space="preserve">テイリョウテキニモ </t>
    </rPh>
    <rPh sb="130" eb="131">
      <t xml:space="preserve">シメサレテイル． </t>
    </rPh>
    <rPh sb="143" eb="145">
      <t xml:space="preserve">イッポウデ </t>
    </rPh>
    <rPh sb="147" eb="149">
      <t xml:space="preserve">ジョウキテーマニタイスル </t>
    </rPh>
    <rPh sb="156" eb="160">
      <t xml:space="preserve">ジュギョウカイスウノ </t>
    </rPh>
    <rPh sb="161" eb="162">
      <t xml:space="preserve">スクナイタメ， </t>
    </rPh>
    <rPh sb="167" eb="171">
      <t xml:space="preserve">ガイリャクイジョウノ </t>
    </rPh>
    <rPh sb="172" eb="174">
      <t xml:space="preserve">リカイガエラレタカニツイテハ </t>
    </rPh>
    <rPh sb="185" eb="187">
      <t xml:space="preserve">ハアクスルコトガ </t>
    </rPh>
    <rPh sb="192" eb="193">
      <t xml:space="preserve">ムズカシイジョウキョウデアル． </t>
    </rPh>
    <rPh sb="202" eb="204">
      <t xml:space="preserve">コンゴハ </t>
    </rPh>
    <rPh sb="215" eb="219">
      <t xml:space="preserve">ジンコウチノウ， </t>
    </rPh>
    <rPh sb="220" eb="225">
      <t xml:space="preserve">キカイガクシュウトウニツイテ， </t>
    </rPh>
    <rPh sb="230" eb="233">
      <t xml:space="preserve">ジュコウセイノ </t>
    </rPh>
    <rPh sb="238" eb="239">
      <t xml:space="preserve">フカイリカイ， </t>
    </rPh>
    <rPh sb="249" eb="253">
      <t xml:space="preserve">ジョウホウリンリヤ </t>
    </rPh>
    <rPh sb="256" eb="261">
      <t xml:space="preserve">カクリツトウケイガク </t>
    </rPh>
    <rPh sb="263" eb="267">
      <t xml:space="preserve">ジュギョウナイヨウヲカイテイシ， </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</si>
  <si>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</si>
  <si>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AI・データサイエンスへの理解度、興味・関心の高まり、自身の専攻内容との関わり、情報セキュリティについて、学生にヒアリングした結果、受講生のほぼ全員からポジティブな回答が得られた。また、講義がきっかけとなり、AIやデータサイエンスへの興味が湧いた、あるいはAIについて勉強する動機ができたとの回答もある程度見られた。
AIやデータサイエンスの関心を高め、受講生のより深い理解を得るため、今後は、より詳細な質問項目を設定する必要がある。</t>
    <rPh sb="13" eb="16">
      <t xml:space="preserve">リカイド， </t>
    </rPh>
    <rPh sb="17" eb="19">
      <t xml:space="preserve">キョウミ・カンシンンオ </t>
    </rPh>
    <rPh sb="23" eb="24">
      <t xml:space="preserve">タカマリ， </t>
    </rPh>
    <rPh sb="27" eb="29">
      <t xml:space="preserve">ジシンノ </t>
    </rPh>
    <rPh sb="30" eb="32">
      <t xml:space="preserve">センコウ </t>
    </rPh>
    <rPh sb="32" eb="34">
      <t xml:space="preserve">センコウナイヨウトノ </t>
    </rPh>
    <rPh sb="36" eb="37">
      <t xml:space="preserve">カカワリニツイテ </t>
    </rPh>
    <rPh sb="40" eb="42">
      <t xml:space="preserve">ジョウホウセキュリティ </t>
    </rPh>
    <rPh sb="53" eb="55">
      <t xml:space="preserve">ガクセイノ </t>
    </rPh>
    <rPh sb="63" eb="65">
      <t xml:space="preserve">ケッカ， </t>
    </rPh>
    <rPh sb="66" eb="69">
      <t xml:space="preserve">ジュコウセイノホボゼンインカラ， </t>
    </rPh>
    <rPh sb="82" eb="84">
      <t xml:space="preserve">カイトウガエラレタ． </t>
    </rPh>
    <rPh sb="93" eb="95">
      <t xml:space="preserve">コウギガキッカケトナリ， </t>
    </rPh>
    <rPh sb="117" eb="119">
      <t xml:space="preserve">キョウミガ </t>
    </rPh>
    <rPh sb="120" eb="121">
      <t xml:space="preserve">ワイタ， </t>
    </rPh>
    <rPh sb="134" eb="136">
      <t xml:space="preserve">ベンキョウスル </t>
    </rPh>
    <rPh sb="138" eb="140">
      <t xml:space="preserve">ドウキガ </t>
    </rPh>
    <rPh sb="146" eb="148">
      <t xml:space="preserve">カイトウモ </t>
    </rPh>
    <rPh sb="153" eb="154">
      <t xml:space="preserve">ミラレタ． </t>
    </rPh>
    <rPh sb="171" eb="173">
      <t xml:space="preserve">カンシンヲ </t>
    </rPh>
    <rPh sb="174" eb="175">
      <t xml:space="preserve">タカメ， </t>
    </rPh>
    <rPh sb="177" eb="180">
      <t xml:space="preserve">ジュコウセイノ </t>
    </rPh>
    <rPh sb="183" eb="184">
      <t xml:space="preserve">フカイ </t>
    </rPh>
    <rPh sb="185" eb="187">
      <t xml:space="preserve">リカイヲエルタメ， </t>
    </rPh>
    <rPh sb="193" eb="195">
      <t xml:space="preserve">コンゴハ， </t>
    </rPh>
    <rPh sb="199" eb="201">
      <t xml:space="preserve">ショウサイナ </t>
    </rPh>
    <rPh sb="202" eb="206">
      <t xml:space="preserve">シツモンコウモクヲ </t>
    </rPh>
    <rPh sb="207" eb="209">
      <t xml:space="preserve">セッテイスルヒツヨウガアル． </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</si>
  <si>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</si>
  <si>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学生アンケートの結果から、ほぼすべての受講生が後輩等他学生へ受講を勧めたいとの回答が得られている。現在の社会状況により、データサイエンスや人工知能の学習に対する学生のニーズが高まっていることも要因だが、授業内容についてもある程度の満足度が得られていると考えられる。</t>
    <rPh sb="0" eb="1">
      <t xml:space="preserve">ガクセイアンケートノケッカカラ， </t>
    </rPh>
    <rPh sb="13" eb="16">
      <t xml:space="preserve">コウハイトウノ </t>
    </rPh>
    <rPh sb="16" eb="19">
      <t xml:space="preserve">タガクセイノ </t>
    </rPh>
    <rPh sb="24" eb="27">
      <t xml:space="preserve">ジュコウセイカラ </t>
    </rPh>
    <rPh sb="30" eb="32">
      <t xml:space="preserve">ジュコウヲススメタイ </t>
    </rPh>
    <rPh sb="39" eb="41">
      <t xml:space="preserve">カイトウガエラレタ． </t>
    </rPh>
    <rPh sb="49" eb="51">
      <t xml:space="preserve">ゲンザイノ </t>
    </rPh>
    <rPh sb="52" eb="54">
      <t xml:space="preserve">シャカイノ </t>
    </rPh>
    <rPh sb="54" eb="56">
      <t xml:space="preserve">ジョウキョウヤ </t>
    </rPh>
    <rPh sb="69" eb="73">
      <t xml:space="preserve">ジンコウチノウニタイスル </t>
    </rPh>
    <rPh sb="74" eb="76">
      <t xml:space="preserve">ガクシュウ </t>
    </rPh>
    <rPh sb="80" eb="82">
      <t xml:space="preserve">ガクセイノ </t>
    </rPh>
    <rPh sb="87" eb="88">
      <t xml:space="preserve">タカマッテイルタメ， </t>
    </rPh>
    <rPh sb="96" eb="98">
      <t xml:space="preserve">ヨウインダガ， </t>
    </rPh>
    <rPh sb="101" eb="105">
      <t xml:space="preserve">ジュギョウナイヨウニツイテモ </t>
    </rPh>
    <rPh sb="115" eb="118">
      <t xml:space="preserve">マンゾクドガ </t>
    </rPh>
    <rPh sb="119" eb="120">
      <t xml:space="preserve">エラレテイルト </t>
    </rPh>
    <rPh sb="126" eb="127">
      <t xml:space="preserve">カンガエラレル． </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</si>
  <si>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</si>
  <si>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科によらず全ての学生が履修できるように、一般必修科目として第一学年に「情報倫理」第三学年に「確率統計学」を配当をしている。また両科目ともに卒業要件に含まれる科目であるため全学生が履修および単位修得を行う制度となっている。</t>
    <rPh sb="102" eb="104">
      <t>セイド</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</si>
  <si>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</si>
  <si>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</si>
  <si>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令和6年度時点で教育プログラムの修了者で卒業した学生はいない。</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</si>
  <si>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</si>
  <si>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 xml:space="preserve">本校において地域を中心とした産学官連携強化を取り組む共創の場としてイノベーションコモンズを設けている。実社会の様々な課題を解決し新しい価値を創造する取り組みは、企業からも高く評価されており、数理・データサイエンス・AIはその基盤の一つであることから、その重要性は明らかであり、今後も産業界からの意見を取り入れ、継続的な教育改革を行っていく必要がある。
</t>
    <rPh sb="0" eb="2">
      <t>ホンコウ</t>
    </rPh>
    <rPh sb="22" eb="23">
      <t>ト</t>
    </rPh>
    <rPh sb="24" eb="25">
      <t>ク</t>
    </rPh>
    <rPh sb="29" eb="30">
      <t>バ</t>
    </rPh>
    <rPh sb="45" eb="46">
      <t>モウ</t>
    </rPh>
    <rPh sb="74" eb="75">
      <t>ト</t>
    </rPh>
    <rPh sb="76" eb="77">
      <t>ク</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</si>
  <si>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</si>
  <si>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数理・データサイエンス・AIについて、初学者でも学びやすく、また学習する意義が理解しやすくなるよう、社会的背景や具体例をふんだんに盛り込んだ授業内容となっている。また、PCルームの端末を使用して実際にデータ処理を体験することにより、受講生の達成感や満足度を高めつつ、興味・関心を持ち、楽しく学べるように工夫されている。</t>
    <rPh sb="0" eb="2">
      <t xml:space="preserve">スウリ・データサイエンス・ </t>
    </rPh>
    <rPh sb="19" eb="22">
      <t xml:space="preserve">ショガクシャデモ </t>
    </rPh>
    <rPh sb="24" eb="25">
      <t xml:space="preserve">マナビヤスク， </t>
    </rPh>
    <rPh sb="32" eb="34">
      <t xml:space="preserve">ガクシュウスルイギガ </t>
    </rPh>
    <rPh sb="39" eb="41">
      <t xml:space="preserve">リカイシヤスクナルヨウ， </t>
    </rPh>
    <rPh sb="50" eb="55">
      <t xml:space="preserve">シャカイテキハイケイヤ </t>
    </rPh>
    <rPh sb="56" eb="59">
      <t xml:space="preserve">グタイレイヲ </t>
    </rPh>
    <rPh sb="65" eb="66">
      <t xml:space="preserve">モリコンダ </t>
    </rPh>
    <rPh sb="70" eb="74">
      <t xml:space="preserve">ジュギョウナイヨウトナッテイル． </t>
    </rPh>
    <rPh sb="84" eb="86">
      <t xml:space="preserve">ジッサイノ </t>
    </rPh>
    <rPh sb="97" eb="99">
      <t xml:space="preserve">タンマツヲシヨウシテ </t>
    </rPh>
    <rPh sb="103" eb="105">
      <t xml:space="preserve">ショリヲ </t>
    </rPh>
    <rPh sb="106" eb="108">
      <t xml:space="preserve">タイケンスルコトニヨリ， </t>
    </rPh>
    <rPh sb="116" eb="119">
      <t xml:space="preserve">ジュコウセイノ </t>
    </rPh>
    <rPh sb="120" eb="123">
      <t xml:space="preserve">タッセイカンヤ </t>
    </rPh>
    <rPh sb="124" eb="127">
      <t xml:space="preserve">マンゾクドヲ </t>
    </rPh>
    <rPh sb="128" eb="129">
      <t xml:space="preserve">タカメツツ， </t>
    </rPh>
    <rPh sb="133" eb="138">
      <t xml:space="preserve">キョウミカンシンヲ </t>
    </rPh>
    <rPh sb="139" eb="140">
      <t xml:space="preserve">モチ， </t>
    </rPh>
    <rPh sb="142" eb="143">
      <t xml:space="preserve">タノシクマナベルヨウニ </t>
    </rPh>
    <rPh sb="151" eb="153">
      <t xml:space="preserve">クフウサレテイル． </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</si>
  <si>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</si>
  <si>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情報リテラシーの授業を長年担当してきた教員とSA（専攻科生）の2名体制で授業が実施されている。担当者が複数いるため、操作のサポートや学習内容に対する質問への対応を迅速に行うことが可能となっている。
受講環境も、端末が一人一台用意されているため、各自の進捗状況に合わせた作業が可能となっている。また、使用するPCルームにはプロジェクターとスクリーンが設置されているため、動画や映像なども取り入れやすい環境なっている。
学生にとってより有益な授業となるよう、学生アンケート結果をもとに授業改善を実施している。</t>
    <rPh sb="0" eb="2">
      <t xml:space="preserve">ジョウホウリンリヤ </t>
    </rPh>
    <rPh sb="13" eb="15">
      <t xml:space="preserve">タントウシテキタ </t>
    </rPh>
    <rPh sb="19" eb="21">
      <t xml:space="preserve">キョウイント </t>
    </rPh>
    <rPh sb="25" eb="29">
      <t xml:space="preserve">センコウカセイ </t>
    </rPh>
    <rPh sb="36" eb="38">
      <t xml:space="preserve">ジュギョウガ </t>
    </rPh>
    <rPh sb="39" eb="41">
      <t xml:space="preserve">ジッシサレエテ </t>
    </rPh>
    <rPh sb="47" eb="50">
      <t xml:space="preserve">タントウシャガ </t>
    </rPh>
    <rPh sb="51" eb="53">
      <t xml:space="preserve">フクスウメイデノ </t>
    </rPh>
    <rPh sb="58" eb="60">
      <t xml:space="preserve">ソウサホウホウニタイスル </t>
    </rPh>
    <rPh sb="66" eb="70">
      <t xml:space="preserve">ガクシュウナイヨウニタイスル </t>
    </rPh>
    <rPh sb="74" eb="76">
      <t xml:space="preserve">シツモンヘノタイオウガ </t>
    </rPh>
    <rPh sb="81" eb="83">
      <t xml:space="preserve">ジンソクニ </t>
    </rPh>
    <rPh sb="84" eb="85">
      <t xml:space="preserve">オコナウコトガ </t>
    </rPh>
    <rPh sb="89" eb="91">
      <t xml:space="preserve">カノウトナッテイル． </t>
    </rPh>
    <rPh sb="99" eb="103">
      <t xml:space="preserve">ジュコウカンキョウモ， </t>
    </rPh>
    <rPh sb="105" eb="107">
      <t xml:space="preserve">タンマツガ </t>
    </rPh>
    <rPh sb="108" eb="112">
      <t xml:space="preserve">ヒトリイチダイノ </t>
    </rPh>
    <rPh sb="112" eb="114">
      <t xml:space="preserve">ヨウイサレテイルタメ， </t>
    </rPh>
    <rPh sb="122" eb="124">
      <t xml:space="preserve">カクジノ </t>
    </rPh>
    <rPh sb="125" eb="129">
      <t xml:space="preserve">シンチョクジョウキョウニアワセタ </t>
    </rPh>
    <rPh sb="134" eb="136">
      <t xml:space="preserve">サギョウガカノウトナッテイル． </t>
    </rPh>
    <rPh sb="149" eb="151">
      <t xml:space="preserve">シヨウスル </t>
    </rPh>
    <rPh sb="174" eb="176">
      <t xml:space="preserve">セッチサレテイルタメ， </t>
    </rPh>
    <rPh sb="184" eb="186">
      <t xml:space="preserve">ドウガヤ </t>
    </rPh>
    <rPh sb="187" eb="189">
      <t xml:space="preserve">エイゾウナドモ </t>
    </rPh>
    <rPh sb="192" eb="193">
      <t xml:space="preserve">トリイレヤスイ </t>
    </rPh>
    <rPh sb="199" eb="201">
      <t xml:space="preserve">カンキョウナッテイル． </t>
    </rPh>
    <rPh sb="208" eb="210">
      <t xml:space="preserve">ガクセイニトッテ </t>
    </rPh>
    <rPh sb="216" eb="218">
      <t xml:space="preserve">ユウエキナ </t>
    </rPh>
    <rPh sb="219" eb="221">
      <t xml:space="preserve">ジュギョウトナルヨウ， </t>
    </rPh>
    <rPh sb="227" eb="229">
      <t xml:space="preserve">ガクセイアンケートケッカヲモトニ </t>
    </rPh>
    <rPh sb="240" eb="244">
      <t xml:space="preserve">ジュギョウカイゼンヲ </t>
    </rPh>
    <rPh sb="245" eb="247">
      <t xml:space="preserve">ジッシシテイル．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</si>
</sst>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12" fillId="0" borderId="0" xfId="0" applyFont="1">
      <alignment vertical="center"/>
    </xf>
    <xf numFmtId="0" fontId="13" fillId="0" borderId="0" xfId="0" applyFont="1">
      <alignmen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1" xfId="0" applyFont="1" applyBorder="1" applyAlignment="1">
      <alignment horizontal="center" vertical="center"/>
    </xf>
    <xf numFmtId="0" fontId="6" fillId="0" borderId="0" xfId="0" applyFont="1" applyAlignment="1">
      <alignment horizontal="center" vertical="center"/>
    </xf>
    <xf numFmtId="0" fontId="2" fillId="0" borderId="0" xfId="0" applyFont="1" applyAlignment="1">
      <alignment vertical="top" wrapText="1" shrinkToFit="1"/>
    </xf>
    <xf numFmtId="0" fontId="2" fillId="0" borderId="0" xfId="0" applyFont="1" applyAlignment="1">
      <alignment vertical="top" shrinkToFit="1"/>
    </xf>
    <xf numFmtId="0" fontId="2" fillId="0" borderId="0" xfId="0" applyFont="1" applyAlignment="1">
      <alignment horizontal="center" vertical="center"/>
    </xf>
    <xf numFmtId="0" fontId="2" fillId="0" borderId="0" xfId="0" applyFont="1">
      <alignment vertical="center"/>
    </xf>
    <xf numFmtId="9" fontId="2" fillId="0" borderId="1" xfId="0" applyNumberFormat="1" applyFont="1" applyBorder="1" applyAlignment="1">
      <alignment horizontal="center" vertical="center" shrinkToFit="1"/>
    </xf>
    <xf numFmtId="0" fontId="2" fillId="0" borderId="0" xfId="0" applyFont="1" applyAlignment="1">
      <alignment vertical="top" wrapText="1"/>
    </xf>
    <xf numFmtId="0" fontId="12" fillId="0" borderId="0" xfId="0" applyFont="1" applyAlignment="1">
      <alignment horizontal="left" vertical="center" wrapText="1"/>
    </xf>
    <xf numFmtId="49" fontId="15" fillId="0" borderId="32" xfId="0" applyNumberFormat="1" applyFont="1" applyBorder="1" applyAlignment="1">
      <alignment horizontal="left" vertical="center" wrapText="1"/>
    </xf>
    <xf numFmtId="49" fontId="15" fillId="0" borderId="33" xfId="0" applyNumberFormat="1" applyFont="1" applyBorder="1" applyAlignment="1">
      <alignment horizontal="left" vertical="center"/>
    </xf>
    <xf numFmtId="49" fontId="15" fillId="0" borderId="34" xfId="0" applyNumberFormat="1" applyFont="1" applyBorder="1" applyAlignment="1">
      <alignment horizontal="left" vertical="center"/>
    </xf>
    <xf numFmtId="49" fontId="15" fillId="0" borderId="29" xfId="0" applyNumberFormat="1" applyFont="1" applyBorder="1" applyAlignment="1">
      <alignment horizontal="left" vertical="center" wrapText="1"/>
    </xf>
    <xf numFmtId="49" fontId="15" fillId="0" borderId="31" xfId="0" applyNumberFormat="1" applyFont="1" applyBorder="1" applyAlignment="1">
      <alignment horizontal="left" vertical="center"/>
    </xf>
    <xf numFmtId="49" fontId="15" fillId="0" borderId="30" xfId="0" applyNumberFormat="1" applyFont="1" applyBorder="1" applyAlignment="1">
      <alignment horizontal="left" vertical="center"/>
    </xf>
    <xf numFmtId="49" fontId="15" fillId="0" borderId="18" xfId="0" applyNumberFormat="1" applyFont="1" applyBorder="1" applyAlignment="1">
      <alignment horizontal="left" vertical="center" wrapText="1"/>
    </xf>
    <xf numFmtId="49" fontId="15" fillId="0" borderId="19" xfId="0" applyNumberFormat="1" applyFont="1" applyBorder="1" applyAlignment="1">
      <alignment horizontal="left" vertical="center"/>
    </xf>
    <xf numFmtId="49" fontId="15"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15" fillId="0" borderId="32"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3" fillId="0" borderId="33" xfId="0" applyFont="1" applyBorder="1" applyAlignment="1">
      <alignment vertical="top" wrapText="1" shrinkToFit="1"/>
    </xf>
    <xf numFmtId="0" fontId="10" fillId="0" borderId="33" xfId="0" applyFont="1" applyBorder="1" applyAlignment="1">
      <alignment vertical="top" wrapText="1" shrinkToFit="1"/>
    </xf>
    <xf numFmtId="0" fontId="10"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5" fillId="0" borderId="3" xfId="0" applyFont="1" applyBorder="1" applyAlignment="1">
      <alignment vertical="center"/>
    </xf>
    <xf numFmtId="0" fontId="5" fillId="0" borderId="4" xfId="0" applyFont="1" applyBorder="1" applyAlignment="1">
      <alignment vertical="center"/>
    </xf>
    <xf numFmtId="0" fontId="2" fillId="0" borderId="0" xfId="0" applyFont="1" applyAlignment="1">
      <alignment vertical="center"/>
    </xf>
    <xf numFmtId="0" fontId="2" fillId="0" borderId="16" xfId="0" applyFont="1" applyBorder="1" applyAlignment="1">
      <alignment vertical="center"/>
    </xf>
    <xf numFmtId="0" fontId="5" fillId="0" borderId="17" xfId="0" applyFont="1" applyBorder="1" applyAlignment="1">
      <alignmen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14"/>
  <sheetViews>
    <sheetView showZeros="0" view="pageBreakPreview" zoomScale="120" zoomScaleSheetLayoutView="120" workbookViewId="0">
      <selection activeCell="C3" sqref="C3:J3"/>
    </sheetView>
  </sheetViews>
  <sheetFormatPr defaultColWidth="9" defaultRowHeight="18.75" customHeight="1"/>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c r="A1" s="70"/>
      <c r="B1" s="70"/>
      <c r="C1" s="70"/>
      <c r="D1" s="70"/>
      <c r="E1" s="70"/>
      <c r="F1" s="70"/>
      <c r="G1" s="70"/>
      <c r="H1" s="70"/>
      <c r="I1" s="70"/>
      <c r="J1" s="70"/>
      <c r="K1" s="70"/>
      <c r="L1" s="70"/>
      <c r="M1" s="70"/>
      <c r="N1" s="70"/>
      <c r="O1" s="70"/>
      <c r="P1" s="70"/>
      <c r="Q1" s="70"/>
      <c r="R1" s="70"/>
      <c r="S1" s="70"/>
      <c r="T1" s="125" t="s">
        <v>0</v>
      </c>
      <c r="U1" s="125"/>
      <c r="V1" s="2" t="s">
        <v>1</v>
      </c>
      <c r="W1" s="86"/>
      <c r="X1" s="86"/>
    </row>
    <row r="2" spans="1:24" ht="18.75" customHeight="1">
      <c r="A2" s="70"/>
      <c r="B2" s="81" t="s">
        <v>2</v>
      </c>
      <c r="C2" s="126" t="s">
        <v>3</v>
      </c>
      <c r="D2" s="127"/>
      <c r="E2" s="127"/>
      <c r="F2" s="127"/>
      <c r="G2" s="127"/>
      <c r="H2" s="127"/>
      <c r="I2" s="127"/>
      <c r="J2" s="128"/>
      <c r="K2" s="80"/>
      <c r="L2" s="71"/>
      <c r="M2" s="71"/>
      <c r="N2" s="71"/>
      <c r="O2" s="71"/>
      <c r="P2" s="71"/>
      <c r="Q2" s="71"/>
      <c r="R2" s="71"/>
      <c r="S2" s="71"/>
      <c r="T2" s="71"/>
      <c r="U2" s="71"/>
      <c r="V2" s="86"/>
      <c r="W2" s="86"/>
      <c r="X2" s="86"/>
    </row>
    <row r="3" spans="1:24" ht="18.75" customHeight="1">
      <c r="A3" s="70"/>
      <c r="B3" s="81" t="s">
        <v>4</v>
      </c>
      <c r="C3" s="126" t="s">
        <v>5</v>
      </c>
      <c r="D3" s="127"/>
      <c r="E3" s="127"/>
      <c r="F3" s="127"/>
      <c r="G3" s="127"/>
      <c r="H3" s="127"/>
      <c r="I3" s="127"/>
      <c r="J3" s="128"/>
      <c r="K3" s="80"/>
      <c r="L3" s="71"/>
      <c r="M3" s="71"/>
      <c r="N3" s="71"/>
      <c r="O3" s="71"/>
      <c r="P3" s="71"/>
      <c r="Q3" s="71"/>
      <c r="R3" s="71"/>
      <c r="S3" s="71"/>
      <c r="T3" s="71"/>
      <c r="U3" s="71"/>
      <c r="V3" s="86"/>
      <c r="W3" s="86"/>
      <c r="X3" s="86"/>
    </row>
    <row r="4" spans="1:24" ht="15" customHeight="1">
      <c r="A4" s="70"/>
      <c r="B4" s="70"/>
      <c r="C4" s="70"/>
      <c r="D4" s="70"/>
      <c r="E4" s="70"/>
      <c r="F4" s="70"/>
      <c r="G4" s="70"/>
      <c r="H4" s="70"/>
      <c r="I4" s="70"/>
      <c r="J4" s="70"/>
      <c r="K4" s="70"/>
      <c r="L4" s="80"/>
      <c r="M4" s="72"/>
      <c r="N4" s="72"/>
      <c r="O4" s="72"/>
      <c r="P4" s="72"/>
      <c r="Q4" s="72"/>
      <c r="R4" s="72"/>
      <c r="S4" s="72"/>
      <c r="T4" s="72"/>
      <c r="U4" s="72"/>
      <c r="V4" s="86"/>
      <c r="W4" s="86"/>
      <c r="X4" s="86"/>
    </row>
    <row r="5" spans="1:24" ht="18" customHeight="1">
      <c r="A5" s="129" t="s">
        <v>6</v>
      </c>
      <c r="B5" s="129"/>
      <c r="C5" s="129"/>
      <c r="D5" s="129"/>
      <c r="E5" s="129"/>
      <c r="F5" s="129"/>
      <c r="G5" s="129"/>
      <c r="H5" s="129"/>
      <c r="I5" s="129"/>
      <c r="J5" s="129"/>
      <c r="K5" s="129"/>
      <c r="L5" s="129"/>
      <c r="M5" s="129"/>
      <c r="N5" s="129"/>
      <c r="O5" s="129"/>
      <c r="P5" s="129"/>
      <c r="Q5" s="129"/>
      <c r="R5" s="129"/>
      <c r="S5" s="129"/>
      <c r="T5" s="129"/>
      <c r="U5" s="129"/>
      <c r="V5" s="86"/>
      <c r="W5" s="86"/>
      <c r="X5" s="86"/>
    </row>
    <row r="6" spans="1:24" ht="15" customHeight="1">
      <c r="A6" s="70"/>
      <c r="B6" s="73"/>
      <c r="C6" s="73"/>
      <c r="D6" s="73"/>
      <c r="E6" s="73"/>
      <c r="F6" s="73"/>
      <c r="G6" s="73"/>
      <c r="H6" s="73"/>
      <c r="I6" s="73"/>
      <c r="J6" s="73"/>
      <c r="K6" s="73"/>
      <c r="L6" s="73"/>
      <c r="M6" s="73"/>
      <c r="N6" s="73"/>
      <c r="O6" s="73"/>
      <c r="P6" s="73"/>
      <c r="Q6" s="73"/>
      <c r="R6" s="73"/>
      <c r="S6" s="73"/>
      <c r="T6" s="73"/>
      <c r="U6" s="73"/>
      <c r="V6" s="86"/>
      <c r="W6" s="86"/>
      <c r="X6" s="86"/>
    </row>
    <row r="7" spans="1:24" ht="15" customHeight="1">
      <c r="A7" s="70" t="s">
        <v>7</v>
      </c>
      <c r="B7" s="73"/>
      <c r="C7" s="73"/>
      <c r="D7" s="73"/>
      <c r="E7" s="73"/>
      <c r="F7" s="69"/>
      <c r="G7" s="69"/>
      <c r="H7" s="69"/>
      <c r="I7" s="69"/>
      <c r="J7" s="69"/>
      <c r="K7" s="69"/>
      <c r="L7" s="102" t="s">
        <v>8</v>
      </c>
      <c r="M7" s="103"/>
      <c r="N7" s="103"/>
      <c r="O7" s="103"/>
      <c r="P7" s="103"/>
      <c r="Q7" s="103"/>
      <c r="R7" s="103"/>
      <c r="S7" s="103"/>
      <c r="T7" s="103"/>
      <c r="U7" s="104"/>
      <c r="V7" s="86"/>
      <c r="W7" s="86"/>
      <c r="X7" s="86"/>
    </row>
    <row r="8" spans="1:24" ht="6" customHeight="1">
      <c r="A8" s="70"/>
      <c r="B8" s="73"/>
      <c r="C8" s="73"/>
      <c r="D8" s="73"/>
      <c r="E8" s="73"/>
      <c r="F8" s="73"/>
      <c r="G8" s="73"/>
      <c r="H8" s="73"/>
      <c r="I8" s="73"/>
      <c r="J8" s="73"/>
      <c r="K8" s="73"/>
      <c r="L8" s="73"/>
      <c r="M8" s="73"/>
      <c r="N8" s="73"/>
      <c r="O8" s="73"/>
      <c r="P8" s="73"/>
      <c r="Q8" s="73"/>
      <c r="R8" s="73"/>
      <c r="S8" s="73"/>
      <c r="T8" s="73"/>
      <c r="U8" s="73"/>
      <c r="V8" s="86"/>
      <c r="W8" s="86"/>
      <c r="X8" s="86"/>
    </row>
    <row r="9" spans="1:24" ht="18" customHeight="1">
      <c r="A9" s="70" t="s">
        <v>9</v>
      </c>
      <c r="B9" s="70"/>
      <c r="C9" s="73"/>
      <c r="D9" s="73"/>
      <c r="E9" s="70"/>
      <c r="F9" s="70"/>
      <c r="G9" s="70"/>
      <c r="H9" s="70"/>
      <c r="I9" s="70"/>
      <c r="J9" s="70"/>
      <c r="K9" s="80"/>
      <c r="L9" s="69"/>
      <c r="M9" s="69"/>
      <c r="N9" s="69"/>
      <c r="O9" s="69"/>
      <c r="P9" s="69"/>
      <c r="Q9" s="69"/>
      <c r="R9" s="69"/>
      <c r="S9" s="69"/>
      <c r="T9" s="69"/>
      <c r="U9" s="69"/>
      <c r="V9" s="86"/>
      <c r="W9" s="86"/>
      <c r="X9" s="86"/>
    </row>
    <row r="10" spans="1:24" ht="6" customHeight="1">
      <c r="A10" s="70"/>
      <c r="B10" s="73"/>
      <c r="C10" s="73"/>
      <c r="D10" s="73"/>
      <c r="E10" s="73"/>
      <c r="F10" s="73"/>
      <c r="G10" s="73"/>
      <c r="H10" s="73"/>
      <c r="I10" s="73"/>
      <c r="J10" s="73"/>
      <c r="K10" s="73"/>
      <c r="L10" s="74"/>
      <c r="M10" s="73"/>
      <c r="N10" s="73"/>
      <c r="O10" s="73"/>
      <c r="P10" s="73"/>
      <c r="Q10" s="73"/>
      <c r="R10" s="73"/>
      <c r="S10" s="73"/>
      <c r="T10" s="73"/>
      <c r="U10" s="73"/>
      <c r="V10" s="86"/>
      <c r="W10" s="86"/>
      <c r="X10" s="86"/>
    </row>
    <row r="11" spans="1:24" ht="18" customHeight="1">
      <c r="A11" s="70"/>
      <c r="B11" s="109"/>
      <c r="C11" s="110"/>
      <c r="D11" s="110"/>
      <c r="E11" s="110"/>
      <c r="F11" s="110"/>
      <c r="G11" s="110"/>
      <c r="H11" s="110"/>
      <c r="I11" s="110"/>
      <c r="J11" s="110"/>
      <c r="K11" s="110"/>
      <c r="L11" s="110"/>
      <c r="M11" s="110"/>
      <c r="N11" s="110"/>
      <c r="O11" s="110"/>
      <c r="P11" s="110"/>
      <c r="Q11" s="110"/>
      <c r="R11" s="110"/>
      <c r="S11" s="110"/>
      <c r="T11" s="110"/>
      <c r="U11" s="111"/>
      <c r="V11" s="86"/>
      <c r="W11" s="86"/>
      <c r="X11" s="86"/>
    </row>
    <row r="12" spans="1:24" ht="18" customHeight="1">
      <c r="A12" s="70"/>
      <c r="B12" s="112"/>
      <c r="C12" s="113"/>
      <c r="D12" s="113"/>
      <c r="E12" s="113"/>
      <c r="F12" s="113"/>
      <c r="G12" s="113"/>
      <c r="H12" s="113"/>
      <c r="I12" s="113"/>
      <c r="J12" s="113"/>
      <c r="K12" s="113"/>
      <c r="L12" s="113"/>
      <c r="M12" s="113"/>
      <c r="N12" s="113"/>
      <c r="O12" s="113"/>
      <c r="P12" s="113"/>
      <c r="Q12" s="113"/>
      <c r="R12" s="113"/>
      <c r="S12" s="113"/>
      <c r="T12" s="113"/>
      <c r="U12" s="114"/>
      <c r="V12" s="86"/>
      <c r="W12" s="86"/>
      <c r="X12" s="86"/>
    </row>
    <row r="13" spans="1:24" ht="6" customHeight="1">
      <c r="A13" s="70"/>
      <c r="B13" s="73"/>
      <c r="C13" s="73"/>
      <c r="D13" s="73"/>
      <c r="E13" s="73"/>
      <c r="F13" s="73"/>
      <c r="G13" s="73"/>
      <c r="H13" s="73"/>
      <c r="I13" s="73"/>
      <c r="J13" s="73"/>
      <c r="K13" s="73"/>
      <c r="L13" s="74"/>
      <c r="M13" s="73"/>
      <c r="N13" s="73"/>
      <c r="O13" s="73"/>
      <c r="P13" s="73"/>
      <c r="Q13" s="73"/>
      <c r="R13" s="73"/>
      <c r="S13" s="73"/>
      <c r="T13" s="73"/>
      <c r="U13" s="73"/>
      <c r="V13" s="86"/>
      <c r="W13" s="86"/>
      <c r="X13" s="86"/>
    </row>
    <row r="14" spans="1:24" ht="18" customHeight="1">
      <c r="A14" s="70" t="s">
        <v>10</v>
      </c>
      <c r="B14" s="73"/>
      <c r="C14" s="73"/>
      <c r="D14" s="73"/>
      <c r="E14" s="80"/>
      <c r="F14" s="80"/>
      <c r="G14" s="80"/>
      <c r="H14" s="80"/>
      <c r="I14" s="80"/>
      <c r="J14" s="80"/>
      <c r="K14" s="80"/>
      <c r="L14" s="75"/>
      <c r="M14" s="75"/>
      <c r="N14" s="75"/>
      <c r="O14" s="75"/>
      <c r="P14" s="75"/>
      <c r="Q14" s="75"/>
      <c r="R14" s="75"/>
      <c r="S14" s="75"/>
      <c r="T14" s="75"/>
      <c r="U14" s="75"/>
      <c r="V14" s="86"/>
      <c r="W14" s="86"/>
      <c r="X14" s="86"/>
    </row>
    <row r="15" spans="1:24" ht="18" customHeight="1">
      <c r="A15" s="70"/>
      <c r="B15" s="130" t="s">
        <v>11</v>
      </c>
      <c r="C15" s="131"/>
      <c r="D15" s="131"/>
      <c r="E15" s="131"/>
      <c r="F15" s="131"/>
      <c r="G15" s="131"/>
      <c r="H15" s="131"/>
      <c r="I15" s="131"/>
      <c r="J15" s="131"/>
      <c r="K15" s="131"/>
      <c r="L15" s="131"/>
      <c r="M15" s="131"/>
      <c r="N15" s="131"/>
      <c r="O15" s="131"/>
      <c r="P15" s="131"/>
      <c r="Q15" s="131"/>
      <c r="R15" s="131"/>
      <c r="S15" s="131"/>
      <c r="T15" s="131"/>
      <c r="U15" s="132"/>
      <c r="V15" s="86"/>
      <c r="W15" s="86"/>
      <c r="X15" s="86" t="s">
        <v>12</v>
      </c>
    </row>
    <row r="16" spans="1:24" ht="18" customHeight="1">
      <c r="A16" s="70"/>
      <c r="B16" s="133"/>
      <c r="C16" s="134"/>
      <c r="D16" s="134"/>
      <c r="E16" s="134"/>
      <c r="F16" s="134"/>
      <c r="G16" s="134"/>
      <c r="H16" s="134"/>
      <c r="I16" s="134"/>
      <c r="J16" s="134"/>
      <c r="K16" s="134"/>
      <c r="L16" s="134"/>
      <c r="M16" s="134"/>
      <c r="N16" s="134"/>
      <c r="O16" s="134"/>
      <c r="P16" s="134"/>
      <c r="Q16" s="134"/>
      <c r="R16" s="134"/>
      <c r="S16" s="134"/>
      <c r="T16" s="134"/>
      <c r="U16" s="135"/>
      <c r="V16" s="86"/>
      <c r="W16" s="86"/>
      <c r="X16" s="86" t="s">
        <v>13</v>
      </c>
    </row>
    <row r="17" spans="1:24" ht="18" customHeight="1">
      <c r="A17" s="70"/>
      <c r="B17" s="133"/>
      <c r="C17" s="134"/>
      <c r="D17" s="134"/>
      <c r="E17" s="134"/>
      <c r="F17" s="134"/>
      <c r="G17" s="134"/>
      <c r="H17" s="134"/>
      <c r="I17" s="134"/>
      <c r="J17" s="134"/>
      <c r="K17" s="134"/>
      <c r="L17" s="134"/>
      <c r="M17" s="134"/>
      <c r="N17" s="134"/>
      <c r="O17" s="134"/>
      <c r="P17" s="134"/>
      <c r="Q17" s="134"/>
      <c r="R17" s="134"/>
      <c r="S17" s="134"/>
      <c r="T17" s="134"/>
      <c r="U17" s="135"/>
      <c r="V17" s="86"/>
      <c r="W17" s="86"/>
      <c r="X17" s="86" t="s">
        <v>14</v>
      </c>
    </row>
    <row r="18" spans="1:24" ht="18" customHeight="1">
      <c r="A18" s="70"/>
      <c r="B18" s="133"/>
      <c r="C18" s="134"/>
      <c r="D18" s="134"/>
      <c r="E18" s="134"/>
      <c r="F18" s="134"/>
      <c r="G18" s="134"/>
      <c r="H18" s="134"/>
      <c r="I18" s="134"/>
      <c r="J18" s="134"/>
      <c r="K18" s="134"/>
      <c r="L18" s="134"/>
      <c r="M18" s="134"/>
      <c r="N18" s="134"/>
      <c r="O18" s="134"/>
      <c r="P18" s="134"/>
      <c r="Q18" s="134"/>
      <c r="R18" s="134"/>
      <c r="S18" s="134"/>
      <c r="T18" s="134"/>
      <c r="U18" s="135"/>
      <c r="V18" s="86"/>
      <c r="W18" s="86"/>
      <c r="X18" s="86" t="s">
        <v>15</v>
      </c>
    </row>
    <row r="19" spans="1:24" ht="18" customHeight="1">
      <c r="A19" s="70"/>
      <c r="B19" s="133"/>
      <c r="C19" s="134"/>
      <c r="D19" s="134"/>
      <c r="E19" s="134"/>
      <c r="F19" s="134"/>
      <c r="G19" s="134"/>
      <c r="H19" s="134"/>
      <c r="I19" s="134"/>
      <c r="J19" s="134"/>
      <c r="K19" s="134"/>
      <c r="L19" s="134"/>
      <c r="M19" s="134"/>
      <c r="N19" s="134"/>
      <c r="O19" s="134"/>
      <c r="P19" s="134"/>
      <c r="Q19" s="134"/>
      <c r="R19" s="134"/>
      <c r="S19" s="134"/>
      <c r="T19" s="134"/>
      <c r="U19" s="135"/>
      <c r="V19" s="86"/>
      <c r="W19" s="86"/>
      <c r="X19" s="86"/>
    </row>
    <row r="20" spans="1:24" ht="18" customHeight="1">
      <c r="A20" s="70"/>
      <c r="B20" s="136"/>
      <c r="C20" s="137"/>
      <c r="D20" s="137"/>
      <c r="E20" s="137"/>
      <c r="F20" s="137"/>
      <c r="G20" s="137"/>
      <c r="H20" s="137"/>
      <c r="I20" s="137"/>
      <c r="J20" s="137"/>
      <c r="K20" s="137"/>
      <c r="L20" s="137"/>
      <c r="M20" s="137"/>
      <c r="N20" s="137"/>
      <c r="O20" s="137"/>
      <c r="P20" s="137"/>
      <c r="Q20" s="137"/>
      <c r="R20" s="137"/>
      <c r="S20" s="137"/>
      <c r="T20" s="137"/>
      <c r="U20" s="138"/>
      <c r="V20" s="86"/>
      <c r="W20" s="86"/>
      <c r="X20" s="86"/>
    </row>
    <row r="21" spans="1:24" ht="7.5" customHeight="1">
      <c r="A21" s="70"/>
      <c r="B21" s="73"/>
      <c r="C21" s="73"/>
      <c r="D21" s="73"/>
      <c r="E21" s="73"/>
      <c r="F21" s="73"/>
      <c r="G21" s="73"/>
      <c r="H21" s="73"/>
      <c r="I21" s="73"/>
      <c r="J21" s="73"/>
      <c r="K21" s="73"/>
      <c r="L21" s="73"/>
      <c r="M21" s="73"/>
      <c r="N21" s="73"/>
      <c r="O21" s="73"/>
      <c r="P21" s="73"/>
      <c r="Q21" s="73"/>
      <c r="R21" s="73"/>
      <c r="S21" s="73"/>
      <c r="T21" s="73"/>
      <c r="U21" s="73"/>
      <c r="V21" s="86"/>
      <c r="W21" s="86"/>
      <c r="X21" s="86"/>
    </row>
    <row r="22" spans="1:24" ht="20.100000000000001" customHeight="1">
      <c r="A22" s="70"/>
      <c r="B22" s="70" t="s">
        <v>16</v>
      </c>
      <c r="C22" s="70"/>
      <c r="D22" s="70"/>
      <c r="E22" s="76">
        <v>2</v>
      </c>
      <c r="F22" s="70" t="s">
        <v>17</v>
      </c>
      <c r="G22" s="70"/>
      <c r="H22" s="77">
        <v>4</v>
      </c>
      <c r="I22" s="73" t="s">
        <v>18</v>
      </c>
      <c r="J22" s="73"/>
      <c r="K22" s="80"/>
      <c r="L22" s="70"/>
      <c r="M22" s="80" t="s">
        <v>19</v>
      </c>
      <c r="N22" s="99" t="s">
        <v>13</v>
      </c>
      <c r="O22" s="100"/>
      <c r="P22" s="100"/>
      <c r="Q22" s="100"/>
      <c r="R22" s="100"/>
      <c r="S22" s="100"/>
      <c r="T22" s="100"/>
      <c r="U22" s="101"/>
      <c r="V22" s="86"/>
      <c r="W22" s="86"/>
      <c r="X22" s="86"/>
    </row>
    <row r="23" spans="1:24" ht="7.5" customHeight="1">
      <c r="A23" s="70"/>
      <c r="B23" s="73"/>
      <c r="C23" s="73"/>
      <c r="D23" s="73"/>
      <c r="E23" s="73"/>
      <c r="F23" s="73"/>
      <c r="G23" s="73"/>
      <c r="H23" s="73"/>
      <c r="I23" s="73"/>
      <c r="J23" s="73"/>
      <c r="K23" s="73"/>
      <c r="L23" s="73"/>
      <c r="M23" s="73"/>
      <c r="N23" s="73"/>
      <c r="O23" s="73"/>
      <c r="P23" s="73"/>
      <c r="Q23" s="73"/>
      <c r="R23" s="73"/>
      <c r="S23" s="73"/>
      <c r="T23" s="73"/>
      <c r="U23" s="73"/>
      <c r="V23" s="86"/>
      <c r="W23" s="86"/>
      <c r="X23" s="86"/>
    </row>
    <row r="24" spans="1:24" ht="18" customHeight="1">
      <c r="A24" s="139" t="s">
        <v>20</v>
      </c>
      <c r="B24" s="139"/>
      <c r="C24" s="139"/>
      <c r="D24" s="139"/>
      <c r="E24" s="139"/>
      <c r="F24" s="139"/>
      <c r="G24" s="139"/>
      <c r="H24" s="139"/>
      <c r="I24" s="139"/>
      <c r="J24" s="139"/>
      <c r="K24" s="139"/>
      <c r="L24" s="139"/>
      <c r="M24" s="139"/>
      <c r="N24" s="139"/>
      <c r="O24" s="139"/>
      <c r="P24" s="139"/>
      <c r="Q24" s="139"/>
      <c r="R24" s="139"/>
      <c r="S24" s="139"/>
      <c r="T24" s="139"/>
      <c r="U24" s="139"/>
      <c r="V24" s="86"/>
      <c r="W24" s="86"/>
      <c r="X24" s="86"/>
    </row>
    <row r="25" spans="1:24" ht="18" customHeight="1">
      <c r="A25" s="139"/>
      <c r="B25" s="139"/>
      <c r="C25" s="139"/>
      <c r="D25" s="139"/>
      <c r="E25" s="139"/>
      <c r="F25" s="139"/>
      <c r="G25" s="139"/>
      <c r="H25" s="139"/>
      <c r="I25" s="139"/>
      <c r="J25" s="139"/>
      <c r="K25" s="139"/>
      <c r="L25" s="139"/>
      <c r="M25" s="139"/>
      <c r="N25" s="139"/>
      <c r="O25" s="139"/>
      <c r="P25" s="139"/>
      <c r="Q25" s="139"/>
      <c r="R25" s="139"/>
      <c r="S25" s="139"/>
      <c r="T25" s="139"/>
      <c r="U25" s="139"/>
      <c r="V25" s="86"/>
      <c r="W25" s="86"/>
      <c r="X25" s="86"/>
    </row>
    <row r="26" spans="1:24" ht="18" customHeight="1">
      <c r="A26" s="86"/>
      <c r="B26" s="105" t="s">
        <v>21</v>
      </c>
      <c r="C26" s="106"/>
      <c r="D26" s="106"/>
      <c r="E26" s="106"/>
      <c r="F26" s="107"/>
      <c r="G26" s="47" t="s">
        <v>22</v>
      </c>
      <c r="H26" s="46" t="s">
        <v>23</v>
      </c>
      <c r="I26" s="14" t="s">
        <v>24</v>
      </c>
      <c r="J26" s="14" t="s">
        <v>25</v>
      </c>
      <c r="K26" s="105" t="s">
        <v>21</v>
      </c>
      <c r="L26" s="106"/>
      <c r="M26" s="106"/>
      <c r="N26" s="106"/>
      <c r="O26" s="106"/>
      <c r="P26" s="106"/>
      <c r="Q26" s="107"/>
      <c r="R26" s="47" t="s">
        <v>22</v>
      </c>
      <c r="S26" s="46" t="s">
        <v>23</v>
      </c>
      <c r="T26" s="14" t="s">
        <v>24</v>
      </c>
      <c r="U26" s="14" t="s">
        <v>25</v>
      </c>
      <c r="V26" s="86"/>
      <c r="W26" s="86"/>
      <c r="X26" s="86"/>
    </row>
    <row r="27" spans="1:24" ht="18" customHeight="1">
      <c r="A27" s="86"/>
      <c r="B27" s="121" t="s">
        <v>26</v>
      </c>
      <c r="C27" s="122"/>
      <c r="D27" s="122"/>
      <c r="E27" s="122"/>
      <c r="F27" s="123"/>
      <c r="G27" s="15">
        <v>2</v>
      </c>
      <c r="H27" s="15" t="s">
        <v>27</v>
      </c>
      <c r="I27" s="15" t="s">
        <v>27</v>
      </c>
      <c r="J27" s="15" t="s">
        <v>27</v>
      </c>
      <c r="K27" s="121"/>
      <c r="L27" s="122"/>
      <c r="M27" s="122"/>
      <c r="N27" s="122"/>
      <c r="O27" s="122"/>
      <c r="P27" s="122"/>
      <c r="Q27" s="123"/>
      <c r="R27" s="15"/>
      <c r="S27" s="15"/>
      <c r="T27" s="15"/>
      <c r="U27" s="15"/>
      <c r="V27" s="86"/>
      <c r="W27" s="86"/>
      <c r="X27" s="86"/>
    </row>
    <row r="28" spans="1:24" ht="18" customHeight="1">
      <c r="A28" s="86"/>
      <c r="B28" s="115"/>
      <c r="C28" s="116"/>
      <c r="D28" s="116"/>
      <c r="E28" s="116"/>
      <c r="F28" s="117"/>
      <c r="G28" s="16"/>
      <c r="H28" s="16"/>
      <c r="I28" s="16"/>
      <c r="J28" s="16"/>
      <c r="K28" s="115"/>
      <c r="L28" s="116"/>
      <c r="M28" s="116"/>
      <c r="N28" s="116"/>
      <c r="O28" s="116"/>
      <c r="P28" s="116"/>
      <c r="Q28" s="117"/>
      <c r="R28" s="16"/>
      <c r="S28" s="16"/>
      <c r="T28" s="16"/>
      <c r="U28" s="16"/>
      <c r="V28" s="86"/>
      <c r="W28" s="86"/>
      <c r="X28" s="86"/>
    </row>
    <row r="29" spans="1:24" ht="18" customHeight="1">
      <c r="A29" s="86"/>
      <c r="B29" s="115"/>
      <c r="C29" s="116"/>
      <c r="D29" s="116"/>
      <c r="E29" s="116"/>
      <c r="F29" s="117"/>
      <c r="G29" s="16"/>
      <c r="H29" s="16"/>
      <c r="I29" s="16"/>
      <c r="J29" s="16"/>
      <c r="K29" s="115"/>
      <c r="L29" s="116"/>
      <c r="M29" s="116"/>
      <c r="N29" s="116"/>
      <c r="O29" s="116"/>
      <c r="P29" s="116"/>
      <c r="Q29" s="117"/>
      <c r="R29" s="16"/>
      <c r="S29" s="16"/>
      <c r="T29" s="16"/>
      <c r="U29" s="16"/>
      <c r="V29" s="86"/>
      <c r="W29" s="86"/>
      <c r="X29" s="86"/>
    </row>
    <row r="30" spans="1:24" ht="18" customHeight="1">
      <c r="A30" s="86"/>
      <c r="B30" s="115"/>
      <c r="C30" s="116"/>
      <c r="D30" s="116"/>
      <c r="E30" s="116"/>
      <c r="F30" s="117"/>
      <c r="G30" s="16"/>
      <c r="H30" s="16"/>
      <c r="I30" s="16"/>
      <c r="J30" s="16"/>
      <c r="K30" s="115"/>
      <c r="L30" s="116"/>
      <c r="M30" s="116"/>
      <c r="N30" s="116"/>
      <c r="O30" s="116"/>
      <c r="P30" s="116"/>
      <c r="Q30" s="117"/>
      <c r="R30" s="16"/>
      <c r="S30" s="16"/>
      <c r="T30" s="16"/>
      <c r="U30" s="16"/>
      <c r="V30" s="86"/>
      <c r="W30" s="86"/>
      <c r="X30" s="86"/>
    </row>
    <row r="31" spans="1:24" ht="18" customHeight="1">
      <c r="A31" s="86"/>
      <c r="B31" s="115"/>
      <c r="C31" s="116"/>
      <c r="D31" s="116"/>
      <c r="E31" s="116"/>
      <c r="F31" s="117"/>
      <c r="G31" s="16"/>
      <c r="H31" s="16"/>
      <c r="I31" s="16"/>
      <c r="J31" s="16"/>
      <c r="K31" s="115"/>
      <c r="L31" s="116"/>
      <c r="M31" s="116"/>
      <c r="N31" s="116"/>
      <c r="O31" s="116"/>
      <c r="P31" s="116"/>
      <c r="Q31" s="117"/>
      <c r="R31" s="16"/>
      <c r="S31" s="16"/>
      <c r="T31" s="16"/>
      <c r="U31" s="16"/>
      <c r="V31" s="86"/>
      <c r="W31" s="86"/>
      <c r="X31" s="86"/>
    </row>
    <row r="32" spans="1:24" ht="18" customHeight="1">
      <c r="A32" s="85"/>
      <c r="B32" s="115"/>
      <c r="C32" s="116"/>
      <c r="D32" s="116"/>
      <c r="E32" s="116"/>
      <c r="F32" s="117"/>
      <c r="G32" s="16"/>
      <c r="H32" s="16"/>
      <c r="I32" s="16"/>
      <c r="J32" s="16"/>
      <c r="K32" s="115"/>
      <c r="L32" s="116"/>
      <c r="M32" s="116"/>
      <c r="N32" s="116"/>
      <c r="O32" s="116"/>
      <c r="P32" s="116"/>
      <c r="Q32" s="117"/>
      <c r="R32" s="16"/>
      <c r="S32" s="16"/>
      <c r="T32" s="16"/>
      <c r="U32" s="16"/>
      <c r="V32" s="86"/>
      <c r="W32" s="86"/>
      <c r="X32" s="86"/>
    </row>
    <row r="33" spans="1:21" ht="18" customHeight="1">
      <c r="A33" s="85"/>
      <c r="B33" s="118"/>
      <c r="C33" s="119"/>
      <c r="D33" s="119"/>
      <c r="E33" s="119"/>
      <c r="F33" s="120"/>
      <c r="G33" s="17"/>
      <c r="H33" s="17"/>
      <c r="I33" s="18"/>
      <c r="J33" s="18"/>
      <c r="K33" s="118"/>
      <c r="L33" s="119"/>
      <c r="M33" s="119"/>
      <c r="N33" s="119"/>
      <c r="O33" s="119"/>
      <c r="P33" s="119"/>
      <c r="Q33" s="120"/>
      <c r="R33" s="17"/>
      <c r="S33" s="17"/>
      <c r="T33" s="18"/>
      <c r="U33" s="18"/>
    </row>
    <row r="34" spans="1:21" ht="7.5" customHeight="1">
      <c r="A34" s="85"/>
      <c r="B34" s="5"/>
      <c r="C34" s="5"/>
      <c r="D34" s="5"/>
      <c r="E34" s="85"/>
      <c r="F34" s="85"/>
      <c r="G34" s="85"/>
      <c r="H34" s="85"/>
      <c r="I34" s="5"/>
      <c r="J34" s="5"/>
      <c r="K34" s="5"/>
      <c r="L34" s="5"/>
      <c r="M34" s="5"/>
      <c r="N34" s="5"/>
      <c r="O34" s="5"/>
      <c r="P34" s="5"/>
      <c r="Q34" s="5"/>
      <c r="R34" s="5"/>
      <c r="S34" s="5"/>
      <c r="T34" s="5"/>
      <c r="U34" s="85"/>
    </row>
    <row r="35" spans="1:21" ht="18" customHeight="1">
      <c r="A35" s="124" t="s">
        <v>28</v>
      </c>
      <c r="B35" s="124"/>
      <c r="C35" s="124"/>
      <c r="D35" s="124"/>
      <c r="E35" s="124"/>
      <c r="F35" s="124"/>
      <c r="G35" s="124"/>
      <c r="H35" s="124"/>
      <c r="I35" s="124"/>
      <c r="J35" s="124"/>
      <c r="K35" s="124"/>
      <c r="L35" s="124"/>
      <c r="M35" s="124"/>
      <c r="N35" s="124"/>
      <c r="O35" s="124"/>
      <c r="P35" s="124"/>
      <c r="Q35" s="124"/>
      <c r="R35" s="124"/>
      <c r="S35" s="124"/>
      <c r="T35" s="124"/>
      <c r="U35" s="124"/>
    </row>
    <row r="36" spans="1:21" ht="18" customHeight="1">
      <c r="A36" s="124"/>
      <c r="B36" s="124"/>
      <c r="C36" s="124"/>
      <c r="D36" s="124"/>
      <c r="E36" s="124"/>
      <c r="F36" s="124"/>
      <c r="G36" s="124"/>
      <c r="H36" s="124"/>
      <c r="I36" s="124"/>
      <c r="J36" s="124"/>
      <c r="K36" s="124"/>
      <c r="L36" s="124"/>
      <c r="M36" s="124"/>
      <c r="N36" s="124"/>
      <c r="O36" s="124"/>
      <c r="P36" s="124"/>
      <c r="Q36" s="124"/>
      <c r="R36" s="124"/>
      <c r="S36" s="124"/>
      <c r="T36" s="124"/>
      <c r="U36" s="124"/>
    </row>
    <row r="37" spans="1:21" ht="18" customHeight="1">
      <c r="A37" s="86"/>
      <c r="B37" s="105" t="s">
        <v>21</v>
      </c>
      <c r="C37" s="106"/>
      <c r="D37" s="106"/>
      <c r="E37" s="106"/>
      <c r="F37" s="107"/>
      <c r="G37" s="47" t="s">
        <v>22</v>
      </c>
      <c r="H37" s="46" t="s">
        <v>23</v>
      </c>
      <c r="I37" s="14" t="s">
        <v>29</v>
      </c>
      <c r="J37" s="14" t="s">
        <v>30</v>
      </c>
      <c r="K37" s="105" t="s">
        <v>21</v>
      </c>
      <c r="L37" s="106"/>
      <c r="M37" s="106"/>
      <c r="N37" s="106"/>
      <c r="O37" s="106"/>
      <c r="P37" s="106"/>
      <c r="Q37" s="107"/>
      <c r="R37" s="47" t="s">
        <v>22</v>
      </c>
      <c r="S37" s="46" t="s">
        <v>23</v>
      </c>
      <c r="T37" s="14" t="s">
        <v>29</v>
      </c>
      <c r="U37" s="14" t="s">
        <v>30</v>
      </c>
    </row>
    <row r="38" spans="1:21" ht="18" customHeight="1">
      <c r="A38" s="86"/>
      <c r="B38" s="121" t="s">
        <v>26</v>
      </c>
      <c r="C38" s="122"/>
      <c r="D38" s="122"/>
      <c r="E38" s="122"/>
      <c r="F38" s="123"/>
      <c r="G38" s="15">
        <v>2</v>
      </c>
      <c r="H38" s="15" t="s">
        <v>27</v>
      </c>
      <c r="I38" s="15" t="s">
        <v>27</v>
      </c>
      <c r="J38" s="15" t="s">
        <v>27</v>
      </c>
      <c r="K38" s="121"/>
      <c r="L38" s="122"/>
      <c r="M38" s="122"/>
      <c r="N38" s="122"/>
      <c r="O38" s="122"/>
      <c r="P38" s="122"/>
      <c r="Q38" s="123"/>
      <c r="R38" s="15"/>
      <c r="S38" s="15"/>
      <c r="T38" s="15"/>
      <c r="U38" s="15"/>
    </row>
    <row r="39" spans="1:21" ht="18" customHeight="1">
      <c r="A39" s="86"/>
      <c r="B39" s="115"/>
      <c r="C39" s="116"/>
      <c r="D39" s="116"/>
      <c r="E39" s="116"/>
      <c r="F39" s="117"/>
      <c r="G39" s="16"/>
      <c r="H39" s="16"/>
      <c r="I39" s="16"/>
      <c r="J39" s="16"/>
      <c r="K39" s="115"/>
      <c r="L39" s="116"/>
      <c r="M39" s="116"/>
      <c r="N39" s="116"/>
      <c r="O39" s="116"/>
      <c r="P39" s="116"/>
      <c r="Q39" s="117"/>
      <c r="R39" s="16"/>
      <c r="S39" s="16"/>
      <c r="T39" s="16"/>
      <c r="U39" s="16"/>
    </row>
    <row r="40" spans="1:21" ht="18" customHeight="1">
      <c r="A40" s="86"/>
      <c r="B40" s="115"/>
      <c r="C40" s="116"/>
      <c r="D40" s="116"/>
      <c r="E40" s="116"/>
      <c r="F40" s="117"/>
      <c r="G40" s="16"/>
      <c r="H40" s="16"/>
      <c r="I40" s="16"/>
      <c r="J40" s="16"/>
      <c r="K40" s="115"/>
      <c r="L40" s="116"/>
      <c r="M40" s="116"/>
      <c r="N40" s="116"/>
      <c r="O40" s="116"/>
      <c r="P40" s="116"/>
      <c r="Q40" s="117"/>
      <c r="R40" s="16"/>
      <c r="S40" s="16"/>
      <c r="T40" s="16"/>
      <c r="U40" s="16"/>
    </row>
    <row r="41" spans="1:21" ht="18" customHeight="1">
      <c r="A41" s="86"/>
      <c r="B41" s="115"/>
      <c r="C41" s="116"/>
      <c r="D41" s="116"/>
      <c r="E41" s="116"/>
      <c r="F41" s="117"/>
      <c r="G41" s="16"/>
      <c r="H41" s="16"/>
      <c r="I41" s="16"/>
      <c r="J41" s="16"/>
      <c r="K41" s="115"/>
      <c r="L41" s="116"/>
      <c r="M41" s="116"/>
      <c r="N41" s="116"/>
      <c r="O41" s="116"/>
      <c r="P41" s="116"/>
      <c r="Q41" s="117"/>
      <c r="R41" s="16"/>
      <c r="S41" s="16"/>
      <c r="T41" s="16"/>
      <c r="U41" s="16"/>
    </row>
    <row r="42" spans="1:21" ht="18" customHeight="1">
      <c r="A42" s="86"/>
      <c r="B42" s="115"/>
      <c r="C42" s="116"/>
      <c r="D42" s="116"/>
      <c r="E42" s="116"/>
      <c r="F42" s="117"/>
      <c r="G42" s="16"/>
      <c r="H42" s="16"/>
      <c r="I42" s="16"/>
      <c r="J42" s="16"/>
      <c r="K42" s="115"/>
      <c r="L42" s="116"/>
      <c r="M42" s="116"/>
      <c r="N42" s="116"/>
      <c r="O42" s="116"/>
      <c r="P42" s="116"/>
      <c r="Q42" s="117"/>
      <c r="R42" s="16"/>
      <c r="S42" s="16"/>
      <c r="T42" s="16"/>
      <c r="U42" s="16"/>
    </row>
    <row r="43" spans="1:21" ht="18" customHeight="1">
      <c r="A43" s="86"/>
      <c r="B43" s="115"/>
      <c r="C43" s="116"/>
      <c r="D43" s="116"/>
      <c r="E43" s="116"/>
      <c r="F43" s="117"/>
      <c r="G43" s="16"/>
      <c r="H43" s="16"/>
      <c r="I43" s="16"/>
      <c r="J43" s="16"/>
      <c r="K43" s="115"/>
      <c r="L43" s="116"/>
      <c r="M43" s="116"/>
      <c r="N43" s="116"/>
      <c r="O43" s="116"/>
      <c r="P43" s="116"/>
      <c r="Q43" s="117"/>
      <c r="R43" s="16"/>
      <c r="S43" s="16"/>
      <c r="T43" s="16"/>
      <c r="U43" s="16"/>
    </row>
    <row r="44" spans="1:21" ht="18" customHeight="1">
      <c r="A44" s="86"/>
      <c r="B44" s="118"/>
      <c r="C44" s="119"/>
      <c r="D44" s="119"/>
      <c r="E44" s="119"/>
      <c r="F44" s="120"/>
      <c r="G44" s="17"/>
      <c r="H44" s="17"/>
      <c r="I44" s="18"/>
      <c r="J44" s="18"/>
      <c r="K44" s="118"/>
      <c r="L44" s="119"/>
      <c r="M44" s="119"/>
      <c r="N44" s="119"/>
      <c r="O44" s="119"/>
      <c r="P44" s="119"/>
      <c r="Q44" s="120"/>
      <c r="R44" s="17"/>
      <c r="S44" s="17"/>
      <c r="T44" s="18"/>
      <c r="U44" s="18"/>
    </row>
    <row r="45" spans="1:21" ht="7.5" customHeight="1">
      <c r="A45" s="85"/>
      <c r="B45" s="5"/>
      <c r="C45" s="5"/>
      <c r="D45" s="5"/>
      <c r="E45" s="85"/>
      <c r="F45" s="85"/>
      <c r="G45" s="85"/>
      <c r="H45" s="85"/>
      <c r="I45" s="5"/>
      <c r="J45" s="5"/>
      <c r="K45" s="5"/>
      <c r="L45" s="5"/>
      <c r="M45" s="5"/>
      <c r="N45" s="5"/>
      <c r="O45" s="5"/>
      <c r="P45" s="5"/>
      <c r="Q45" s="5"/>
      <c r="R45" s="5"/>
      <c r="S45" s="5"/>
      <c r="T45" s="5"/>
      <c r="U45" s="85"/>
    </row>
    <row r="46" spans="1:21" ht="18" customHeight="1">
      <c r="A46" s="124" t="s">
        <v>31</v>
      </c>
      <c r="B46" s="124"/>
      <c r="C46" s="124"/>
      <c r="D46" s="124"/>
      <c r="E46" s="124"/>
      <c r="F46" s="124"/>
      <c r="G46" s="124"/>
      <c r="H46" s="124"/>
      <c r="I46" s="124"/>
      <c r="J46" s="124"/>
      <c r="K46" s="124"/>
      <c r="L46" s="124"/>
      <c r="M46" s="124"/>
      <c r="N46" s="124"/>
      <c r="O46" s="124"/>
      <c r="P46" s="124"/>
      <c r="Q46" s="124"/>
      <c r="R46" s="124"/>
      <c r="S46" s="124"/>
      <c r="T46" s="124"/>
      <c r="U46" s="124"/>
    </row>
    <row r="47" spans="1:21" ht="18" customHeight="1">
      <c r="A47" s="124"/>
      <c r="B47" s="124"/>
      <c r="C47" s="124"/>
      <c r="D47" s="124"/>
      <c r="E47" s="124"/>
      <c r="F47" s="124"/>
      <c r="G47" s="124"/>
      <c r="H47" s="124"/>
      <c r="I47" s="124"/>
      <c r="J47" s="124"/>
      <c r="K47" s="124"/>
      <c r="L47" s="124"/>
      <c r="M47" s="124"/>
      <c r="N47" s="124"/>
      <c r="O47" s="124"/>
      <c r="P47" s="124"/>
      <c r="Q47" s="124"/>
      <c r="R47" s="124"/>
      <c r="S47" s="124"/>
      <c r="T47" s="124"/>
      <c r="U47" s="124"/>
    </row>
    <row r="48" spans="1:21" ht="18" customHeight="1">
      <c r="A48" s="86"/>
      <c r="B48" s="105" t="s">
        <v>21</v>
      </c>
      <c r="C48" s="106"/>
      <c r="D48" s="106"/>
      <c r="E48" s="106"/>
      <c r="F48" s="107"/>
      <c r="G48" s="47" t="s">
        <v>22</v>
      </c>
      <c r="H48" s="46" t="s">
        <v>23</v>
      </c>
      <c r="I48" s="14" t="s">
        <v>32</v>
      </c>
      <c r="J48" s="14" t="s">
        <v>33</v>
      </c>
      <c r="K48" s="105" t="s">
        <v>21</v>
      </c>
      <c r="L48" s="106"/>
      <c r="M48" s="106"/>
      <c r="N48" s="106"/>
      <c r="O48" s="106"/>
      <c r="P48" s="106"/>
      <c r="Q48" s="107"/>
      <c r="R48" s="47" t="s">
        <v>22</v>
      </c>
      <c r="S48" s="46" t="s">
        <v>23</v>
      </c>
      <c r="T48" s="14" t="s">
        <v>32</v>
      </c>
      <c r="U48" s="14" t="s">
        <v>33</v>
      </c>
    </row>
    <row r="49" spans="1:21" ht="18" customHeight="1">
      <c r="A49" s="85"/>
      <c r="B49" s="121" t="s">
        <v>26</v>
      </c>
      <c r="C49" s="122"/>
      <c r="D49" s="122"/>
      <c r="E49" s="122"/>
      <c r="F49" s="123"/>
      <c r="G49" s="15">
        <v>2</v>
      </c>
      <c r="H49" s="15" t="s">
        <v>27</v>
      </c>
      <c r="I49" s="15" t="s">
        <v>27</v>
      </c>
      <c r="J49" s="15" t="s">
        <v>27</v>
      </c>
      <c r="K49" s="121"/>
      <c r="L49" s="122"/>
      <c r="M49" s="122"/>
      <c r="N49" s="122"/>
      <c r="O49" s="122"/>
      <c r="P49" s="122"/>
      <c r="Q49" s="123"/>
      <c r="R49" s="15"/>
      <c r="S49" s="15"/>
      <c r="T49" s="15"/>
      <c r="U49" s="15"/>
    </row>
    <row r="50" spans="1:21" ht="18" customHeight="1">
      <c r="A50" s="85"/>
      <c r="B50" s="115"/>
      <c r="C50" s="116"/>
      <c r="D50" s="116"/>
      <c r="E50" s="116"/>
      <c r="F50" s="117"/>
      <c r="G50" s="16"/>
      <c r="H50" s="16"/>
      <c r="I50" s="16"/>
      <c r="J50" s="16"/>
      <c r="K50" s="115"/>
      <c r="L50" s="116"/>
      <c r="M50" s="116"/>
      <c r="N50" s="116"/>
      <c r="O50" s="116"/>
      <c r="P50" s="116"/>
      <c r="Q50" s="117"/>
      <c r="R50" s="16"/>
      <c r="S50" s="16"/>
      <c r="T50" s="16"/>
      <c r="U50" s="16"/>
    </row>
    <row r="51" spans="1:21" ht="18" customHeight="1">
      <c r="A51" s="85"/>
      <c r="B51" s="115"/>
      <c r="C51" s="116"/>
      <c r="D51" s="116"/>
      <c r="E51" s="116"/>
      <c r="F51" s="117"/>
      <c r="G51" s="16"/>
      <c r="H51" s="16"/>
      <c r="I51" s="16"/>
      <c r="J51" s="16"/>
      <c r="K51" s="115"/>
      <c r="L51" s="116"/>
      <c r="M51" s="116"/>
      <c r="N51" s="116"/>
      <c r="O51" s="116"/>
      <c r="P51" s="116"/>
      <c r="Q51" s="117"/>
      <c r="R51" s="16"/>
      <c r="S51" s="16"/>
      <c r="T51" s="16"/>
      <c r="U51" s="16"/>
    </row>
    <row r="52" spans="1:21" ht="18" customHeight="1">
      <c r="A52" s="85"/>
      <c r="B52" s="115"/>
      <c r="C52" s="116"/>
      <c r="D52" s="116"/>
      <c r="E52" s="116"/>
      <c r="F52" s="117"/>
      <c r="G52" s="16"/>
      <c r="H52" s="16"/>
      <c r="I52" s="16"/>
      <c r="J52" s="16"/>
      <c r="K52" s="115"/>
      <c r="L52" s="116"/>
      <c r="M52" s="116"/>
      <c r="N52" s="116"/>
      <c r="O52" s="116"/>
      <c r="P52" s="116"/>
      <c r="Q52" s="117"/>
      <c r="R52" s="16"/>
      <c r="S52" s="16"/>
      <c r="T52" s="16"/>
      <c r="U52" s="16"/>
    </row>
    <row r="53" spans="1:21" ht="18" customHeight="1">
      <c r="A53" s="85"/>
      <c r="B53" s="115"/>
      <c r="C53" s="116"/>
      <c r="D53" s="116"/>
      <c r="E53" s="116"/>
      <c r="F53" s="117"/>
      <c r="G53" s="16"/>
      <c r="H53" s="16"/>
      <c r="I53" s="16"/>
      <c r="J53" s="16"/>
      <c r="K53" s="115"/>
      <c r="L53" s="116"/>
      <c r="M53" s="116"/>
      <c r="N53" s="116"/>
      <c r="O53" s="116"/>
      <c r="P53" s="116"/>
      <c r="Q53" s="117"/>
      <c r="R53" s="16"/>
      <c r="S53" s="16"/>
      <c r="T53" s="16"/>
      <c r="U53" s="16"/>
    </row>
    <row r="54" spans="1:21" ht="18" customHeight="1">
      <c r="A54" s="85"/>
      <c r="B54" s="115"/>
      <c r="C54" s="116"/>
      <c r="D54" s="116"/>
      <c r="E54" s="116"/>
      <c r="F54" s="117"/>
      <c r="G54" s="16"/>
      <c r="H54" s="16"/>
      <c r="I54" s="16"/>
      <c r="J54" s="16"/>
      <c r="K54" s="115"/>
      <c r="L54" s="116"/>
      <c r="M54" s="116"/>
      <c r="N54" s="116"/>
      <c r="O54" s="116"/>
      <c r="P54" s="116"/>
      <c r="Q54" s="117"/>
      <c r="R54" s="16"/>
      <c r="S54" s="16"/>
      <c r="T54" s="16"/>
      <c r="U54" s="16"/>
    </row>
    <row r="55" spans="1:21" ht="18" customHeight="1">
      <c r="A55" s="85"/>
      <c r="B55" s="118"/>
      <c r="C55" s="119"/>
      <c r="D55" s="119"/>
      <c r="E55" s="119"/>
      <c r="F55" s="120"/>
      <c r="G55" s="17"/>
      <c r="H55" s="17"/>
      <c r="I55" s="18"/>
      <c r="J55" s="18"/>
      <c r="K55" s="118"/>
      <c r="L55" s="119"/>
      <c r="M55" s="119"/>
      <c r="N55" s="119"/>
      <c r="O55" s="119"/>
      <c r="P55" s="119"/>
      <c r="Q55" s="120"/>
      <c r="R55" s="17"/>
      <c r="S55" s="17"/>
      <c r="T55" s="18"/>
      <c r="U55" s="18"/>
    </row>
    <row r="56" spans="1:21" ht="7.5" customHeight="1">
      <c r="A56" s="86"/>
      <c r="B56" s="88"/>
      <c r="C56" s="88"/>
      <c r="D56" s="88"/>
      <c r="E56" s="88"/>
      <c r="F56" s="88"/>
      <c r="G56" s="88"/>
      <c r="H56" s="88"/>
      <c r="I56" s="88"/>
      <c r="J56" s="88"/>
      <c r="K56" s="88"/>
      <c r="L56" s="88"/>
      <c r="M56" s="88"/>
      <c r="N56" s="88"/>
      <c r="O56" s="88"/>
      <c r="P56" s="88"/>
      <c r="Q56" s="88"/>
      <c r="R56" s="88"/>
      <c r="S56" s="88"/>
      <c r="T56" s="88"/>
      <c r="U56" s="86"/>
    </row>
    <row r="57" spans="1:21" ht="18" customHeight="1">
      <c r="A57" s="124" t="s">
        <v>34</v>
      </c>
      <c r="B57" s="124"/>
      <c r="C57" s="124"/>
      <c r="D57" s="124"/>
      <c r="E57" s="124"/>
      <c r="F57" s="124"/>
      <c r="G57" s="124"/>
      <c r="H57" s="124"/>
      <c r="I57" s="124"/>
      <c r="J57" s="124"/>
      <c r="K57" s="124"/>
      <c r="L57" s="124"/>
      <c r="M57" s="124"/>
      <c r="N57" s="124"/>
      <c r="O57" s="124"/>
      <c r="P57" s="124"/>
      <c r="Q57" s="124"/>
      <c r="R57" s="124"/>
      <c r="S57" s="124"/>
      <c r="T57" s="124"/>
      <c r="U57" s="124"/>
    </row>
    <row r="58" spans="1:21" ht="18" customHeight="1">
      <c r="A58" s="124"/>
      <c r="B58" s="124"/>
      <c r="C58" s="124"/>
      <c r="D58" s="124"/>
      <c r="E58" s="124"/>
      <c r="F58" s="124"/>
      <c r="G58" s="124"/>
      <c r="H58" s="124"/>
      <c r="I58" s="124"/>
      <c r="J58" s="124"/>
      <c r="K58" s="124"/>
      <c r="L58" s="124"/>
      <c r="M58" s="124"/>
      <c r="N58" s="124"/>
      <c r="O58" s="124"/>
      <c r="P58" s="124"/>
      <c r="Q58" s="124"/>
      <c r="R58" s="124"/>
      <c r="S58" s="124"/>
      <c r="T58" s="124"/>
      <c r="U58" s="124"/>
    </row>
    <row r="59" spans="1:21" ht="18" customHeight="1">
      <c r="A59" s="86"/>
      <c r="B59" s="105" t="s">
        <v>21</v>
      </c>
      <c r="C59" s="106"/>
      <c r="D59" s="106"/>
      <c r="E59" s="106"/>
      <c r="F59" s="107"/>
      <c r="G59" s="47" t="s">
        <v>22</v>
      </c>
      <c r="H59" s="46" t="s">
        <v>23</v>
      </c>
      <c r="I59" s="14" t="s">
        <v>35</v>
      </c>
      <c r="J59" s="14" t="s">
        <v>36</v>
      </c>
      <c r="K59" s="105" t="s">
        <v>21</v>
      </c>
      <c r="L59" s="106"/>
      <c r="M59" s="106"/>
      <c r="N59" s="106"/>
      <c r="O59" s="106"/>
      <c r="P59" s="106"/>
      <c r="Q59" s="107"/>
      <c r="R59" s="47" t="s">
        <v>22</v>
      </c>
      <c r="S59" s="46" t="s">
        <v>23</v>
      </c>
      <c r="T59" s="14" t="s">
        <v>35</v>
      </c>
      <c r="U59" s="14" t="s">
        <v>36</v>
      </c>
    </row>
    <row r="60" spans="1:21" ht="18" customHeight="1">
      <c r="A60" s="85"/>
      <c r="B60" s="121" t="s">
        <v>26</v>
      </c>
      <c r="C60" s="122"/>
      <c r="D60" s="122"/>
      <c r="E60" s="122"/>
      <c r="F60" s="123"/>
      <c r="G60" s="15">
        <v>2</v>
      </c>
      <c r="H60" s="15" t="s">
        <v>27</v>
      </c>
      <c r="I60" s="15" t="s">
        <v>27</v>
      </c>
      <c r="J60" s="15" t="s">
        <v>27</v>
      </c>
      <c r="K60" s="121"/>
      <c r="L60" s="122"/>
      <c r="M60" s="122"/>
      <c r="N60" s="122"/>
      <c r="O60" s="122"/>
      <c r="P60" s="122"/>
      <c r="Q60" s="123"/>
      <c r="R60" s="15"/>
      <c r="S60" s="15"/>
      <c r="T60" s="15"/>
      <c r="U60" s="15"/>
    </row>
    <row r="61" spans="1:21" ht="18" customHeight="1">
      <c r="A61" s="85"/>
      <c r="B61" s="115"/>
      <c r="C61" s="116"/>
      <c r="D61" s="116"/>
      <c r="E61" s="116"/>
      <c r="F61" s="117"/>
      <c r="G61" s="16"/>
      <c r="H61" s="16"/>
      <c r="I61" s="16"/>
      <c r="J61" s="16"/>
      <c r="K61" s="115"/>
      <c r="L61" s="116"/>
      <c r="M61" s="116"/>
      <c r="N61" s="116"/>
      <c r="O61" s="116"/>
      <c r="P61" s="116"/>
      <c r="Q61" s="117"/>
      <c r="R61" s="16"/>
      <c r="S61" s="16"/>
      <c r="T61" s="16"/>
      <c r="U61" s="16"/>
    </row>
    <row r="62" spans="1:21" ht="18" customHeight="1">
      <c r="A62" s="85"/>
      <c r="B62" s="115"/>
      <c r="C62" s="116"/>
      <c r="D62" s="116"/>
      <c r="E62" s="116"/>
      <c r="F62" s="117"/>
      <c r="G62" s="16"/>
      <c r="H62" s="16"/>
      <c r="I62" s="16"/>
      <c r="J62" s="16"/>
      <c r="K62" s="115"/>
      <c r="L62" s="116"/>
      <c r="M62" s="116"/>
      <c r="N62" s="116"/>
      <c r="O62" s="116"/>
      <c r="P62" s="116"/>
      <c r="Q62" s="117"/>
      <c r="R62" s="16"/>
      <c r="S62" s="16"/>
      <c r="T62" s="16"/>
      <c r="U62" s="16"/>
    </row>
    <row r="63" spans="1:21" ht="18" customHeight="1">
      <c r="A63" s="85"/>
      <c r="B63" s="115"/>
      <c r="C63" s="116"/>
      <c r="D63" s="116"/>
      <c r="E63" s="116"/>
      <c r="F63" s="117"/>
      <c r="G63" s="16"/>
      <c r="H63" s="16"/>
      <c r="I63" s="16"/>
      <c r="J63" s="16"/>
      <c r="K63" s="115"/>
      <c r="L63" s="116"/>
      <c r="M63" s="116"/>
      <c r="N63" s="116"/>
      <c r="O63" s="116"/>
      <c r="P63" s="116"/>
      <c r="Q63" s="117"/>
      <c r="R63" s="16"/>
      <c r="S63" s="16"/>
      <c r="T63" s="16"/>
      <c r="U63" s="16"/>
    </row>
    <row r="64" spans="1:21" ht="18" customHeight="1">
      <c r="A64" s="85"/>
      <c r="B64" s="115"/>
      <c r="C64" s="116"/>
      <c r="D64" s="116"/>
      <c r="E64" s="116"/>
      <c r="F64" s="117"/>
      <c r="G64" s="16"/>
      <c r="H64" s="16"/>
      <c r="I64" s="16"/>
      <c r="J64" s="16"/>
      <c r="K64" s="115"/>
      <c r="L64" s="116"/>
      <c r="M64" s="116"/>
      <c r="N64" s="116"/>
      <c r="O64" s="116"/>
      <c r="P64" s="116"/>
      <c r="Q64" s="117"/>
      <c r="R64" s="16"/>
      <c r="S64" s="16"/>
      <c r="T64" s="16"/>
      <c r="U64" s="16"/>
    </row>
    <row r="65" spans="1:21" ht="18" customHeight="1">
      <c r="A65" s="85"/>
      <c r="B65" s="115"/>
      <c r="C65" s="116"/>
      <c r="D65" s="116"/>
      <c r="E65" s="116"/>
      <c r="F65" s="117"/>
      <c r="G65" s="16"/>
      <c r="H65" s="16"/>
      <c r="I65" s="16"/>
      <c r="J65" s="16"/>
      <c r="K65" s="115"/>
      <c r="L65" s="116"/>
      <c r="M65" s="116"/>
      <c r="N65" s="116"/>
      <c r="O65" s="116"/>
      <c r="P65" s="116"/>
      <c r="Q65" s="117"/>
      <c r="R65" s="16"/>
      <c r="S65" s="16"/>
      <c r="T65" s="16"/>
      <c r="U65" s="16"/>
    </row>
    <row r="66" spans="1:21" ht="18" customHeight="1">
      <c r="A66" s="85"/>
      <c r="B66" s="118"/>
      <c r="C66" s="119"/>
      <c r="D66" s="119"/>
      <c r="E66" s="119"/>
      <c r="F66" s="120"/>
      <c r="G66" s="17"/>
      <c r="H66" s="17"/>
      <c r="I66" s="18"/>
      <c r="J66" s="18"/>
      <c r="K66" s="118"/>
      <c r="L66" s="119"/>
      <c r="M66" s="119"/>
      <c r="N66" s="119"/>
      <c r="O66" s="119"/>
      <c r="P66" s="119"/>
      <c r="Q66" s="120"/>
      <c r="R66" s="17"/>
      <c r="S66" s="17"/>
      <c r="T66" s="18"/>
      <c r="U66" s="18"/>
    </row>
    <row r="67" spans="1:21" ht="7.5" customHeight="1">
      <c r="A67" s="86"/>
      <c r="B67" s="88"/>
      <c r="C67" s="88"/>
      <c r="D67" s="88"/>
      <c r="E67" s="88"/>
      <c r="F67" s="88"/>
      <c r="G67" s="88"/>
      <c r="H67" s="88"/>
      <c r="I67" s="88"/>
      <c r="J67" s="88"/>
      <c r="K67" s="88"/>
      <c r="L67" s="88"/>
      <c r="M67" s="88"/>
      <c r="N67" s="88"/>
      <c r="O67" s="88"/>
      <c r="P67" s="88"/>
      <c r="Q67" s="88"/>
      <c r="R67" s="88"/>
      <c r="S67" s="88"/>
      <c r="T67" s="88"/>
      <c r="U67" s="86"/>
    </row>
    <row r="68" spans="1:21" ht="18" customHeight="1">
      <c r="A68" s="124" t="s">
        <v>37</v>
      </c>
      <c r="B68" s="124"/>
      <c r="C68" s="124"/>
      <c r="D68" s="124"/>
      <c r="E68" s="124"/>
      <c r="F68" s="124"/>
      <c r="G68" s="124"/>
      <c r="H68" s="124"/>
      <c r="I68" s="124"/>
      <c r="J68" s="124"/>
      <c r="K68" s="124"/>
      <c r="L68" s="124"/>
      <c r="M68" s="124"/>
      <c r="N68" s="124"/>
      <c r="O68" s="124"/>
      <c r="P68" s="124"/>
      <c r="Q68" s="124"/>
      <c r="R68" s="124"/>
      <c r="S68" s="124"/>
      <c r="T68" s="124"/>
      <c r="U68" s="124"/>
    </row>
    <row r="69" spans="1:21" ht="18" customHeight="1">
      <c r="A69" s="124"/>
      <c r="B69" s="124"/>
      <c r="C69" s="124"/>
      <c r="D69" s="124"/>
      <c r="E69" s="124"/>
      <c r="F69" s="124"/>
      <c r="G69" s="124"/>
      <c r="H69" s="124"/>
      <c r="I69" s="124"/>
      <c r="J69" s="124"/>
      <c r="K69" s="124"/>
      <c r="L69" s="124"/>
      <c r="M69" s="124"/>
      <c r="N69" s="124"/>
      <c r="O69" s="124"/>
      <c r="P69" s="124"/>
      <c r="Q69" s="124"/>
      <c r="R69" s="124"/>
      <c r="S69" s="124"/>
      <c r="T69" s="124"/>
      <c r="U69" s="124"/>
    </row>
    <row r="70" spans="1:21" ht="18" customHeight="1">
      <c r="A70" s="86"/>
      <c r="B70" s="105" t="s">
        <v>21</v>
      </c>
      <c r="C70" s="106"/>
      <c r="D70" s="106"/>
      <c r="E70" s="106"/>
      <c r="F70" s="47" t="s">
        <v>22</v>
      </c>
      <c r="G70" s="46" t="s">
        <v>23</v>
      </c>
      <c r="H70" s="14" t="s">
        <v>38</v>
      </c>
      <c r="I70" s="14" t="s">
        <v>39</v>
      </c>
      <c r="J70" s="14" t="s">
        <v>40</v>
      </c>
      <c r="K70" s="105" t="s">
        <v>21</v>
      </c>
      <c r="L70" s="106"/>
      <c r="M70" s="106"/>
      <c r="N70" s="106"/>
      <c r="O70" s="106"/>
      <c r="P70" s="107"/>
      <c r="Q70" s="47" t="s">
        <v>22</v>
      </c>
      <c r="R70" s="46" t="s">
        <v>23</v>
      </c>
      <c r="S70" s="14" t="s">
        <v>38</v>
      </c>
      <c r="T70" s="14" t="s">
        <v>39</v>
      </c>
      <c r="U70" s="14" t="s">
        <v>40</v>
      </c>
    </row>
    <row r="71" spans="1:21" ht="18" customHeight="1">
      <c r="A71" s="85"/>
      <c r="B71" s="121" t="s">
        <v>26</v>
      </c>
      <c r="C71" s="122"/>
      <c r="D71" s="122"/>
      <c r="E71" s="123"/>
      <c r="F71" s="15">
        <v>2</v>
      </c>
      <c r="G71" s="15" t="s">
        <v>27</v>
      </c>
      <c r="H71" s="15"/>
      <c r="I71" s="15"/>
      <c r="J71" s="15" t="s">
        <v>27</v>
      </c>
      <c r="K71" s="121"/>
      <c r="L71" s="122"/>
      <c r="M71" s="122"/>
      <c r="N71" s="122"/>
      <c r="O71" s="122"/>
      <c r="P71" s="123"/>
      <c r="Q71" s="15"/>
      <c r="R71" s="15"/>
      <c r="S71" s="15"/>
      <c r="T71" s="15"/>
      <c r="U71" s="15"/>
    </row>
    <row r="72" spans="1:21" ht="18" customHeight="1">
      <c r="A72" s="85"/>
      <c r="B72" s="115" t="s">
        <v>41</v>
      </c>
      <c r="C72" s="116"/>
      <c r="D72" s="116"/>
      <c r="E72" s="117"/>
      <c r="F72" s="16">
        <v>2</v>
      </c>
      <c r="G72" s="16" t="s">
        <v>27</v>
      </c>
      <c r="H72" s="16" t="s">
        <v>27</v>
      </c>
      <c r="I72" s="16" t="s">
        <v>27</v>
      </c>
      <c r="J72" s="16" t="s">
        <v>27</v>
      </c>
      <c r="K72" s="115"/>
      <c r="L72" s="116"/>
      <c r="M72" s="116"/>
      <c r="N72" s="116"/>
      <c r="O72" s="116"/>
      <c r="P72" s="117"/>
      <c r="Q72" s="16"/>
      <c r="R72" s="16"/>
      <c r="S72" s="16"/>
      <c r="T72" s="16"/>
      <c r="U72" s="16"/>
    </row>
    <row r="73" spans="1:21" ht="18" customHeight="1">
      <c r="A73" s="85"/>
      <c r="B73" s="115"/>
      <c r="C73" s="116"/>
      <c r="D73" s="116"/>
      <c r="E73" s="116"/>
      <c r="F73" s="16"/>
      <c r="G73" s="16"/>
      <c r="H73" s="16"/>
      <c r="I73" s="16"/>
      <c r="J73" s="16"/>
      <c r="K73" s="115"/>
      <c r="L73" s="116"/>
      <c r="M73" s="116"/>
      <c r="N73" s="116"/>
      <c r="O73" s="116"/>
      <c r="P73" s="117"/>
      <c r="Q73" s="16"/>
      <c r="R73" s="16"/>
      <c r="S73" s="16"/>
      <c r="T73" s="16"/>
      <c r="U73" s="16"/>
    </row>
    <row r="74" spans="1:21" ht="18" customHeight="1">
      <c r="A74" s="85"/>
      <c r="B74" s="115"/>
      <c r="C74" s="116"/>
      <c r="D74" s="116"/>
      <c r="E74" s="116"/>
      <c r="F74" s="16"/>
      <c r="G74" s="16"/>
      <c r="H74" s="16"/>
      <c r="I74" s="16"/>
      <c r="J74" s="16"/>
      <c r="K74" s="115"/>
      <c r="L74" s="116"/>
      <c r="M74" s="116"/>
      <c r="N74" s="116"/>
      <c r="O74" s="116"/>
      <c r="P74" s="117"/>
      <c r="Q74" s="16"/>
      <c r="R74" s="16"/>
      <c r="S74" s="16"/>
      <c r="T74" s="16"/>
      <c r="U74" s="16"/>
    </row>
    <row r="75" spans="1:21" ht="18" customHeight="1">
      <c r="A75" s="85"/>
      <c r="B75" s="115"/>
      <c r="C75" s="116"/>
      <c r="D75" s="116"/>
      <c r="E75" s="116"/>
      <c r="F75" s="16"/>
      <c r="G75" s="16"/>
      <c r="H75" s="16"/>
      <c r="I75" s="16"/>
      <c r="J75" s="16"/>
      <c r="K75" s="115"/>
      <c r="L75" s="116"/>
      <c r="M75" s="116"/>
      <c r="N75" s="116"/>
      <c r="O75" s="116"/>
      <c r="P75" s="117"/>
      <c r="Q75" s="16"/>
      <c r="R75" s="16"/>
      <c r="S75" s="16"/>
      <c r="T75" s="16"/>
      <c r="U75" s="16"/>
    </row>
    <row r="76" spans="1:21" ht="18" customHeight="1">
      <c r="A76" s="85"/>
      <c r="B76" s="115"/>
      <c r="C76" s="116"/>
      <c r="D76" s="116"/>
      <c r="E76" s="116"/>
      <c r="F76" s="16"/>
      <c r="G76" s="16"/>
      <c r="H76" s="16"/>
      <c r="I76" s="16"/>
      <c r="J76" s="16"/>
      <c r="K76" s="115"/>
      <c r="L76" s="116"/>
      <c r="M76" s="116"/>
      <c r="N76" s="116"/>
      <c r="O76" s="116"/>
      <c r="P76" s="117"/>
      <c r="Q76" s="16"/>
      <c r="R76" s="16"/>
      <c r="S76" s="16"/>
      <c r="T76" s="16"/>
      <c r="U76" s="16"/>
    </row>
    <row r="77" spans="1:21" ht="18" customHeight="1">
      <c r="A77" s="85"/>
      <c r="B77" s="118"/>
      <c r="C77" s="119"/>
      <c r="D77" s="119"/>
      <c r="E77" s="119"/>
      <c r="F77" s="17"/>
      <c r="G77" s="17"/>
      <c r="H77" s="18"/>
      <c r="I77" s="18"/>
      <c r="J77" s="18"/>
      <c r="K77" s="118"/>
      <c r="L77" s="119"/>
      <c r="M77" s="119"/>
      <c r="N77" s="119"/>
      <c r="O77" s="119"/>
      <c r="P77" s="120"/>
      <c r="Q77" s="17"/>
      <c r="R77" s="17"/>
      <c r="S77" s="18"/>
      <c r="T77" s="18"/>
      <c r="U77" s="18"/>
    </row>
    <row r="78" spans="1:21" ht="7.5" customHeight="1">
      <c r="A78" s="86"/>
      <c r="B78" s="88"/>
      <c r="C78" s="88"/>
      <c r="D78" s="88"/>
      <c r="E78" s="88"/>
      <c r="F78" s="88"/>
      <c r="G78" s="88"/>
      <c r="H78" s="88"/>
      <c r="I78" s="88"/>
      <c r="J78" s="88"/>
      <c r="K78" s="88"/>
      <c r="L78" s="88"/>
      <c r="M78" s="88"/>
      <c r="N78" s="88"/>
      <c r="O78" s="88"/>
      <c r="P78" s="88"/>
      <c r="Q78" s="88"/>
      <c r="R78" s="88"/>
      <c r="S78" s="88"/>
      <c r="T78" s="88"/>
      <c r="U78" s="86"/>
    </row>
    <row r="79" spans="1:21" ht="18" customHeight="1">
      <c r="A79" s="86" t="s">
        <v>42</v>
      </c>
      <c r="B79" s="86"/>
      <c r="C79" s="86"/>
      <c r="D79" s="86"/>
      <c r="E79" s="86"/>
      <c r="F79" s="86"/>
      <c r="G79" s="86"/>
      <c r="H79" s="86"/>
      <c r="I79" s="85"/>
      <c r="J79" s="85"/>
      <c r="K79" s="85"/>
      <c r="L79" s="85"/>
      <c r="M79" s="85"/>
      <c r="N79" s="85"/>
      <c r="O79" s="85"/>
      <c r="P79" s="85"/>
      <c r="Q79" s="85"/>
      <c r="R79" s="85"/>
      <c r="S79" s="85"/>
      <c r="T79" s="85"/>
      <c r="U79" s="85"/>
    </row>
    <row r="80" spans="1:21" ht="18" customHeight="1">
      <c r="A80" s="86"/>
      <c r="B80" s="105" t="s">
        <v>21</v>
      </c>
      <c r="C80" s="106"/>
      <c r="D80" s="106"/>
      <c r="E80" s="106"/>
      <c r="F80" s="107"/>
      <c r="G80" s="105" t="s">
        <v>43</v>
      </c>
      <c r="H80" s="106"/>
      <c r="I80" s="106"/>
      <c r="J80" s="107"/>
      <c r="K80" s="154" t="s">
        <v>21</v>
      </c>
      <c r="L80" s="155"/>
      <c r="M80" s="155"/>
      <c r="N80" s="155"/>
      <c r="O80" s="155"/>
      <c r="P80" s="155"/>
      <c r="Q80" s="156"/>
      <c r="R80" s="105" t="s">
        <v>43</v>
      </c>
      <c r="S80" s="106"/>
      <c r="T80" s="106"/>
      <c r="U80" s="107"/>
    </row>
    <row r="81" spans="1:21" ht="18" customHeight="1">
      <c r="A81" s="85"/>
      <c r="B81" s="121"/>
      <c r="C81" s="122"/>
      <c r="D81" s="122"/>
      <c r="E81" s="122"/>
      <c r="F81" s="123"/>
      <c r="G81" s="157"/>
      <c r="H81" s="158"/>
      <c r="I81" s="158"/>
      <c r="J81" s="159"/>
      <c r="K81" s="121"/>
      <c r="L81" s="122"/>
      <c r="M81" s="122"/>
      <c r="N81" s="122"/>
      <c r="O81" s="122"/>
      <c r="P81" s="122"/>
      <c r="Q81" s="123"/>
      <c r="R81" s="157"/>
      <c r="S81" s="158"/>
      <c r="T81" s="158"/>
      <c r="U81" s="159"/>
    </row>
    <row r="82" spans="1:21" ht="18" customHeight="1">
      <c r="A82" s="85"/>
      <c r="B82" s="115"/>
      <c r="C82" s="116"/>
      <c r="D82" s="116"/>
      <c r="E82" s="116"/>
      <c r="F82" s="117"/>
      <c r="G82" s="146"/>
      <c r="H82" s="147"/>
      <c r="I82" s="147"/>
      <c r="J82" s="148"/>
      <c r="K82" s="115"/>
      <c r="L82" s="116"/>
      <c r="M82" s="116"/>
      <c r="N82" s="116"/>
      <c r="O82" s="116"/>
      <c r="P82" s="116"/>
      <c r="Q82" s="117"/>
      <c r="R82" s="146"/>
      <c r="S82" s="147"/>
      <c r="T82" s="147"/>
      <c r="U82" s="148"/>
    </row>
    <row r="83" spans="1:21" ht="18" customHeight="1">
      <c r="A83" s="85"/>
      <c r="B83" s="115"/>
      <c r="C83" s="116"/>
      <c r="D83" s="116"/>
      <c r="E83" s="116"/>
      <c r="F83" s="117"/>
      <c r="G83" s="146"/>
      <c r="H83" s="147"/>
      <c r="I83" s="147"/>
      <c r="J83" s="148"/>
      <c r="K83" s="115"/>
      <c r="L83" s="116"/>
      <c r="M83" s="116"/>
      <c r="N83" s="116"/>
      <c r="O83" s="116"/>
      <c r="P83" s="116"/>
      <c r="Q83" s="117"/>
      <c r="R83" s="146"/>
      <c r="S83" s="147"/>
      <c r="T83" s="147"/>
      <c r="U83" s="148"/>
    </row>
    <row r="84" spans="1:21" ht="18" customHeight="1">
      <c r="A84" s="85"/>
      <c r="B84" s="115"/>
      <c r="C84" s="116"/>
      <c r="D84" s="116"/>
      <c r="E84" s="116"/>
      <c r="F84" s="117"/>
      <c r="G84" s="146"/>
      <c r="H84" s="147"/>
      <c r="I84" s="147"/>
      <c r="J84" s="148"/>
      <c r="K84" s="115"/>
      <c r="L84" s="116"/>
      <c r="M84" s="116"/>
      <c r="N84" s="116"/>
      <c r="O84" s="116"/>
      <c r="P84" s="116"/>
      <c r="Q84" s="117"/>
      <c r="R84" s="146"/>
      <c r="S84" s="147"/>
      <c r="T84" s="147"/>
      <c r="U84" s="148"/>
    </row>
    <row r="85" spans="1:21" ht="18" customHeight="1">
      <c r="A85" s="85"/>
      <c r="B85" s="115"/>
      <c r="C85" s="116"/>
      <c r="D85" s="116"/>
      <c r="E85" s="116"/>
      <c r="F85" s="117"/>
      <c r="G85" s="146"/>
      <c r="H85" s="147"/>
      <c r="I85" s="147"/>
      <c r="J85" s="148"/>
      <c r="K85" s="115"/>
      <c r="L85" s="116"/>
      <c r="M85" s="116"/>
      <c r="N85" s="116"/>
      <c r="O85" s="116"/>
      <c r="P85" s="116"/>
      <c r="Q85" s="117"/>
      <c r="R85" s="146"/>
      <c r="S85" s="147"/>
      <c r="T85" s="147"/>
      <c r="U85" s="148"/>
    </row>
    <row r="86" spans="1:21" ht="18" customHeight="1">
      <c r="A86" s="85"/>
      <c r="B86" s="115"/>
      <c r="C86" s="116"/>
      <c r="D86" s="116"/>
      <c r="E86" s="116"/>
      <c r="F86" s="117"/>
      <c r="G86" s="146"/>
      <c r="H86" s="147"/>
      <c r="I86" s="147"/>
      <c r="J86" s="148"/>
      <c r="K86" s="115"/>
      <c r="L86" s="116"/>
      <c r="M86" s="116"/>
      <c r="N86" s="116"/>
      <c r="O86" s="116"/>
      <c r="P86" s="116"/>
      <c r="Q86" s="117"/>
      <c r="R86" s="146"/>
      <c r="S86" s="147"/>
      <c r="T86" s="147"/>
      <c r="U86" s="148"/>
    </row>
    <row r="87" spans="1:21" ht="18" customHeight="1">
      <c r="A87" s="85"/>
      <c r="B87" s="118"/>
      <c r="C87" s="119"/>
      <c r="D87" s="119"/>
      <c r="E87" s="119"/>
      <c r="F87" s="120"/>
      <c r="G87" s="143"/>
      <c r="H87" s="144"/>
      <c r="I87" s="144"/>
      <c r="J87" s="145"/>
      <c r="K87" s="118"/>
      <c r="L87" s="119"/>
      <c r="M87" s="119"/>
      <c r="N87" s="119"/>
      <c r="O87" s="119"/>
      <c r="P87" s="119"/>
      <c r="Q87" s="120"/>
      <c r="R87" s="143"/>
      <c r="S87" s="144"/>
      <c r="T87" s="144"/>
      <c r="U87" s="145"/>
    </row>
    <row r="88" spans="1:21" ht="18" customHeight="1">
      <c r="A88" s="85"/>
      <c r="B88" s="5"/>
      <c r="C88" s="5"/>
      <c r="D88" s="5"/>
      <c r="E88" s="5"/>
      <c r="F88" s="5"/>
      <c r="G88" s="19"/>
      <c r="H88" s="19"/>
      <c r="I88" s="19"/>
      <c r="J88" s="19"/>
      <c r="K88" s="5"/>
      <c r="L88" s="5"/>
      <c r="M88" s="5"/>
      <c r="N88" s="5"/>
      <c r="O88" s="5"/>
      <c r="P88" s="5"/>
      <c r="Q88" s="5"/>
      <c r="R88" s="19"/>
      <c r="S88" s="19"/>
      <c r="T88" s="19"/>
      <c r="U88" s="19"/>
    </row>
    <row r="89" spans="1:21" ht="18.75" customHeight="1">
      <c r="A89" s="86" t="s">
        <v>44</v>
      </c>
      <c r="B89" s="86"/>
      <c r="C89" s="86"/>
      <c r="D89" s="86"/>
      <c r="E89" s="86"/>
      <c r="F89" s="86"/>
      <c r="G89" s="86"/>
      <c r="H89" s="86"/>
      <c r="I89" s="86"/>
      <c r="J89" s="86"/>
      <c r="K89" s="86"/>
      <c r="L89" s="86"/>
      <c r="M89" s="86"/>
      <c r="N89" s="86"/>
      <c r="O89" s="86"/>
      <c r="P89" s="86"/>
      <c r="Q89" s="86"/>
      <c r="R89" s="86"/>
      <c r="S89" s="86"/>
      <c r="T89" s="86"/>
      <c r="U89" s="86"/>
    </row>
    <row r="90" spans="1:21" ht="18.75" customHeight="1">
      <c r="A90" s="86"/>
      <c r="B90" s="152" t="s">
        <v>45</v>
      </c>
      <c r="C90" s="153"/>
      <c r="D90" s="105" t="s">
        <v>46</v>
      </c>
      <c r="E90" s="106"/>
      <c r="F90" s="106"/>
      <c r="G90" s="106"/>
      <c r="H90" s="106"/>
      <c r="I90" s="106"/>
      <c r="J90" s="106"/>
      <c r="K90" s="106"/>
      <c r="L90" s="106"/>
      <c r="M90" s="106"/>
      <c r="N90" s="106"/>
      <c r="O90" s="106"/>
      <c r="P90" s="106"/>
      <c r="Q90" s="106"/>
      <c r="R90" s="106"/>
      <c r="S90" s="106"/>
      <c r="T90" s="106"/>
      <c r="U90" s="107"/>
    </row>
    <row r="91" spans="1:21" ht="97.5" customHeight="1">
      <c r="A91" s="86"/>
      <c r="B91" s="149" t="s">
        <v>47</v>
      </c>
      <c r="C91" s="20" t="s">
        <v>24</v>
      </c>
      <c r="D91" s="93" t="s">
        <v>48</v>
      </c>
      <c r="E91" s="94"/>
      <c r="F91" s="94"/>
      <c r="G91" s="94"/>
      <c r="H91" s="94"/>
      <c r="I91" s="94"/>
      <c r="J91" s="94"/>
      <c r="K91" s="94"/>
      <c r="L91" s="94"/>
      <c r="M91" s="94"/>
      <c r="N91" s="94"/>
      <c r="O91" s="94"/>
      <c r="P91" s="94"/>
      <c r="Q91" s="94"/>
      <c r="R91" s="94"/>
      <c r="S91" s="94"/>
      <c r="T91" s="94"/>
      <c r="U91" s="95"/>
    </row>
    <row r="92" spans="1:21" ht="97.5" customHeight="1">
      <c r="A92" s="86"/>
      <c r="B92" s="150"/>
      <c r="C92" s="21" t="s">
        <v>49</v>
      </c>
      <c r="D92" s="90" t="s">
        <v>50</v>
      </c>
      <c r="E92" s="91"/>
      <c r="F92" s="91"/>
      <c r="G92" s="91"/>
      <c r="H92" s="91"/>
      <c r="I92" s="91"/>
      <c r="J92" s="91"/>
      <c r="K92" s="91"/>
      <c r="L92" s="91"/>
      <c r="M92" s="91"/>
      <c r="N92" s="91"/>
      <c r="O92" s="91"/>
      <c r="P92" s="91"/>
      <c r="Q92" s="91"/>
      <c r="R92" s="91"/>
      <c r="S92" s="91"/>
      <c r="T92" s="91"/>
      <c r="U92" s="92"/>
    </row>
    <row r="93" spans="1:21" ht="97.5" customHeight="1">
      <c r="A93" s="86"/>
      <c r="B93" s="149" t="s">
        <v>51</v>
      </c>
      <c r="C93" s="22" t="s">
        <v>29</v>
      </c>
      <c r="D93" s="93" t="s">
        <v>52</v>
      </c>
      <c r="E93" s="94"/>
      <c r="F93" s="94"/>
      <c r="G93" s="94"/>
      <c r="H93" s="94"/>
      <c r="I93" s="94"/>
      <c r="J93" s="94"/>
      <c r="K93" s="94"/>
      <c r="L93" s="94"/>
      <c r="M93" s="94"/>
      <c r="N93" s="94"/>
      <c r="O93" s="94"/>
      <c r="P93" s="94"/>
      <c r="Q93" s="94"/>
      <c r="R93" s="94"/>
      <c r="S93" s="94"/>
      <c r="T93" s="94"/>
      <c r="U93" s="95"/>
    </row>
    <row r="94" spans="1:21" ht="97.5" customHeight="1">
      <c r="A94" s="86"/>
      <c r="B94" s="151"/>
      <c r="C94" s="23" t="s">
        <v>30</v>
      </c>
      <c r="D94" s="108" t="s">
        <v>53</v>
      </c>
      <c r="E94" s="91"/>
      <c r="F94" s="91"/>
      <c r="G94" s="91"/>
      <c r="H94" s="91"/>
      <c r="I94" s="91"/>
      <c r="J94" s="91"/>
      <c r="K94" s="91"/>
      <c r="L94" s="91"/>
      <c r="M94" s="91"/>
      <c r="N94" s="91"/>
      <c r="O94" s="91"/>
      <c r="P94" s="91"/>
      <c r="Q94" s="91"/>
      <c r="R94" s="91"/>
      <c r="S94" s="91"/>
      <c r="T94" s="91"/>
      <c r="U94" s="92"/>
    </row>
    <row r="95" spans="1:21" ht="97.5" customHeight="1">
      <c r="A95" s="86"/>
      <c r="B95" s="149" t="s">
        <v>54</v>
      </c>
      <c r="C95" s="22" t="s">
        <v>32</v>
      </c>
      <c r="D95" s="93" t="s">
        <v>55</v>
      </c>
      <c r="E95" s="94"/>
      <c r="F95" s="94"/>
      <c r="G95" s="94"/>
      <c r="H95" s="94"/>
      <c r="I95" s="94"/>
      <c r="J95" s="94"/>
      <c r="K95" s="94"/>
      <c r="L95" s="94"/>
      <c r="M95" s="94"/>
      <c r="N95" s="94"/>
      <c r="O95" s="94"/>
      <c r="P95" s="94"/>
      <c r="Q95" s="94"/>
      <c r="R95" s="94"/>
      <c r="S95" s="94"/>
      <c r="T95" s="94"/>
      <c r="U95" s="95"/>
    </row>
    <row r="96" spans="1:21" ht="97.5" customHeight="1">
      <c r="A96" s="86"/>
      <c r="B96" s="151"/>
      <c r="C96" s="24" t="s">
        <v>33</v>
      </c>
      <c r="D96" s="90" t="s">
        <v>56</v>
      </c>
      <c r="E96" s="91"/>
      <c r="F96" s="91"/>
      <c r="G96" s="91"/>
      <c r="H96" s="91"/>
      <c r="I96" s="91"/>
      <c r="J96" s="91"/>
      <c r="K96" s="91"/>
      <c r="L96" s="91"/>
      <c r="M96" s="91"/>
      <c r="N96" s="91"/>
      <c r="O96" s="91"/>
      <c r="P96" s="91"/>
      <c r="Q96" s="91"/>
      <c r="R96" s="91"/>
      <c r="S96" s="91"/>
      <c r="T96" s="91"/>
      <c r="U96" s="92"/>
    </row>
    <row r="97" spans="1:33" ht="97.5" customHeight="1">
      <c r="A97" s="86"/>
      <c r="B97" s="149" t="s">
        <v>57</v>
      </c>
      <c r="C97" s="20" t="s">
        <v>35</v>
      </c>
      <c r="D97" s="93" t="s">
        <v>58</v>
      </c>
      <c r="E97" s="94"/>
      <c r="F97" s="94"/>
      <c r="G97" s="94"/>
      <c r="H97" s="94"/>
      <c r="I97" s="94"/>
      <c r="J97" s="94"/>
      <c r="K97" s="94"/>
      <c r="L97" s="94"/>
      <c r="M97" s="94"/>
      <c r="N97" s="94"/>
      <c r="O97" s="94"/>
      <c r="P97" s="94"/>
      <c r="Q97" s="94"/>
      <c r="R97" s="94"/>
      <c r="S97" s="94"/>
      <c r="T97" s="94"/>
      <c r="U97" s="95"/>
      <c r="V97" s="86"/>
      <c r="W97" s="86"/>
      <c r="X97" s="86"/>
      <c r="Y97" s="86"/>
      <c r="Z97" s="86" t="s">
        <v>59</v>
      </c>
      <c r="AA97" s="86"/>
      <c r="AB97" s="86"/>
      <c r="AC97" s="86"/>
      <c r="AD97" s="86"/>
      <c r="AE97" s="86"/>
      <c r="AF97" s="86"/>
      <c r="AG97" s="86"/>
    </row>
    <row r="98" spans="1:33" ht="97.5" customHeight="1">
      <c r="A98" s="86"/>
      <c r="B98" s="151"/>
      <c r="C98" s="23" t="s">
        <v>36</v>
      </c>
      <c r="D98" s="90" t="s">
        <v>60</v>
      </c>
      <c r="E98" s="91"/>
      <c r="F98" s="91"/>
      <c r="G98" s="91"/>
      <c r="H98" s="91"/>
      <c r="I98" s="91"/>
      <c r="J98" s="91"/>
      <c r="K98" s="91"/>
      <c r="L98" s="91"/>
      <c r="M98" s="91"/>
      <c r="N98" s="91"/>
      <c r="O98" s="91"/>
      <c r="P98" s="91"/>
      <c r="Q98" s="91"/>
      <c r="R98" s="91"/>
      <c r="S98" s="91"/>
      <c r="T98" s="91"/>
      <c r="U98" s="92"/>
      <c r="V98" s="86"/>
      <c r="W98" s="86"/>
      <c r="X98" s="86"/>
      <c r="Y98" s="86"/>
      <c r="Z98" s="86"/>
      <c r="AA98" s="86"/>
      <c r="AB98" s="86"/>
      <c r="AC98" s="86"/>
      <c r="AD98" s="86"/>
      <c r="AE98" s="86"/>
      <c r="AF98" s="86"/>
      <c r="AG98" s="86"/>
    </row>
    <row r="99" spans="1:33" ht="97.5" customHeight="1">
      <c r="A99" s="86"/>
      <c r="B99" s="149" t="s">
        <v>61</v>
      </c>
      <c r="C99" s="22" t="s">
        <v>62</v>
      </c>
      <c r="D99" s="93" t="s">
        <v>63</v>
      </c>
      <c r="E99" s="94"/>
      <c r="F99" s="94"/>
      <c r="G99" s="94"/>
      <c r="H99" s="94"/>
      <c r="I99" s="94"/>
      <c r="J99" s="94"/>
      <c r="K99" s="94"/>
      <c r="L99" s="94"/>
      <c r="M99" s="94"/>
      <c r="N99" s="94"/>
      <c r="O99" s="94"/>
      <c r="P99" s="94"/>
      <c r="Q99" s="94"/>
      <c r="R99" s="94"/>
      <c r="S99" s="94"/>
      <c r="T99" s="94"/>
      <c r="U99" s="95"/>
      <c r="V99" s="86"/>
      <c r="W99" s="86"/>
      <c r="X99" s="86"/>
      <c r="Y99" s="86"/>
      <c r="Z99" s="86"/>
      <c r="AA99" s="86"/>
      <c r="AB99" s="86"/>
      <c r="AC99" s="86"/>
      <c r="AD99" s="86"/>
      <c r="AE99" s="86"/>
      <c r="AF99" s="86"/>
      <c r="AG99" s="86"/>
    </row>
    <row r="100" spans="1:33" ht="97.5" customHeight="1">
      <c r="A100" s="86"/>
      <c r="B100" s="150"/>
      <c r="C100" s="25" t="s">
        <v>39</v>
      </c>
      <c r="D100" s="96" t="s">
        <v>64</v>
      </c>
      <c r="E100" s="97"/>
      <c r="F100" s="97"/>
      <c r="G100" s="97"/>
      <c r="H100" s="97"/>
      <c r="I100" s="97"/>
      <c r="J100" s="97"/>
      <c r="K100" s="97"/>
      <c r="L100" s="97"/>
      <c r="M100" s="97"/>
      <c r="N100" s="97"/>
      <c r="O100" s="97"/>
      <c r="P100" s="97"/>
      <c r="Q100" s="97"/>
      <c r="R100" s="97"/>
      <c r="S100" s="97"/>
      <c r="T100" s="97"/>
      <c r="U100" s="98"/>
      <c r="V100" s="86"/>
      <c r="W100" s="86"/>
      <c r="X100" s="86"/>
      <c r="Y100" s="86"/>
      <c r="Z100" s="86"/>
      <c r="AA100" s="86"/>
      <c r="AB100" s="86"/>
      <c r="AC100" s="86"/>
      <c r="AD100" s="86"/>
      <c r="AE100" s="86"/>
      <c r="AF100" s="86"/>
      <c r="AG100" s="86"/>
    </row>
    <row r="101" spans="1:33" ht="97.5" customHeight="1">
      <c r="A101" s="86"/>
      <c r="B101" s="151"/>
      <c r="C101" s="24" t="s">
        <v>40</v>
      </c>
      <c r="D101" s="90" t="s">
        <v>65</v>
      </c>
      <c r="E101" s="91"/>
      <c r="F101" s="91"/>
      <c r="G101" s="91"/>
      <c r="H101" s="91"/>
      <c r="I101" s="91"/>
      <c r="J101" s="91"/>
      <c r="K101" s="91"/>
      <c r="L101" s="91"/>
      <c r="M101" s="91"/>
      <c r="N101" s="91"/>
      <c r="O101" s="91"/>
      <c r="P101" s="91"/>
      <c r="Q101" s="91"/>
      <c r="R101" s="91"/>
      <c r="S101" s="91"/>
      <c r="T101" s="91"/>
      <c r="U101" s="92"/>
      <c r="V101" s="86"/>
      <c r="W101" s="86"/>
      <c r="X101" s="86"/>
      <c r="Y101" s="86"/>
      <c r="Z101" s="86"/>
      <c r="AA101" s="86"/>
      <c r="AB101" s="86"/>
      <c r="AC101" s="86"/>
      <c r="AD101" s="86"/>
      <c r="AE101" s="86"/>
      <c r="AF101" s="86"/>
      <c r="AG101" s="86"/>
    </row>
    <row r="102" spans="1:33" ht="6" customHeight="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c r="AB102" s="86"/>
      <c r="AC102" s="86"/>
      <c r="AD102" s="86"/>
      <c r="AE102" s="86"/>
      <c r="AF102" s="86"/>
      <c r="AG102" s="86"/>
    </row>
    <row r="103" spans="1:33" ht="18.75" customHeight="1">
      <c r="A103" s="86" t="s">
        <v>66</v>
      </c>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c r="AA103" s="86"/>
      <c r="AB103" s="86"/>
      <c r="AC103" s="86"/>
      <c r="AD103" s="86"/>
      <c r="AE103" s="86"/>
      <c r="AF103" s="86"/>
      <c r="AG103" s="86"/>
    </row>
    <row r="104" spans="1:33" ht="81.75" customHeight="1">
      <c r="A104" s="86"/>
      <c r="B104" s="140" t="s">
        <v>67</v>
      </c>
      <c r="C104" s="141"/>
      <c r="D104" s="141"/>
      <c r="E104" s="141"/>
      <c r="F104" s="141"/>
      <c r="G104" s="141"/>
      <c r="H104" s="141"/>
      <c r="I104" s="141"/>
      <c r="J104" s="141"/>
      <c r="K104" s="141"/>
      <c r="L104" s="141"/>
      <c r="M104" s="141"/>
      <c r="N104" s="141"/>
      <c r="O104" s="141"/>
      <c r="P104" s="141"/>
      <c r="Q104" s="141"/>
      <c r="R104" s="141"/>
      <c r="S104" s="141"/>
      <c r="T104" s="141"/>
      <c r="U104" s="142"/>
      <c r="V104" s="86"/>
      <c r="W104" s="86"/>
      <c r="X104" s="86"/>
      <c r="Y104" s="86"/>
      <c r="Z104" s="86"/>
      <c r="AA104" s="86"/>
      <c r="AB104" s="86"/>
      <c r="AC104" s="86"/>
      <c r="AD104" s="86"/>
      <c r="AE104" s="86"/>
      <c r="AF104" s="86"/>
      <c r="AG104" s="86"/>
    </row>
    <row r="106" spans="1:33" ht="18.75" customHeight="1">
      <c r="A106" s="69" t="s">
        <v>68</v>
      </c>
      <c r="B106" s="70"/>
      <c r="C106" s="70"/>
      <c r="D106" s="70"/>
      <c r="E106" s="70"/>
      <c r="F106" s="70"/>
      <c r="G106" s="70"/>
      <c r="H106" s="70"/>
      <c r="I106" s="70"/>
      <c r="J106" s="70"/>
      <c r="K106" s="70"/>
      <c r="L106" s="70"/>
      <c r="M106" s="70"/>
      <c r="N106" s="70"/>
      <c r="O106" s="70"/>
      <c r="P106" s="70"/>
      <c r="Q106" s="70"/>
      <c r="R106" s="70"/>
      <c r="S106" s="70"/>
      <c r="T106" s="70"/>
      <c r="U106" s="70"/>
      <c r="V106" s="86"/>
      <c r="W106" s="86"/>
      <c r="X106" s="86"/>
      <c r="Y106" s="86"/>
      <c r="Z106" s="86"/>
      <c r="AA106" s="86"/>
      <c r="AB106" s="86"/>
      <c r="AC106" s="86"/>
      <c r="AD106" s="86"/>
      <c r="AE106" s="86"/>
      <c r="AF106" s="86"/>
      <c r="AG106" s="86"/>
    </row>
    <row r="107" spans="1:33" ht="18.75" customHeight="1">
      <c r="A107" s="69" t="s">
        <v>69</v>
      </c>
      <c r="B107" s="69"/>
      <c r="C107" s="69"/>
      <c r="D107" s="69"/>
      <c r="E107" s="69"/>
      <c r="F107" s="69"/>
      <c r="G107" s="69"/>
      <c r="H107" s="69"/>
      <c r="I107" s="69"/>
      <c r="J107" s="69"/>
      <c r="K107" s="69"/>
      <c r="L107" s="69"/>
      <c r="M107" s="69"/>
      <c r="N107" s="69"/>
      <c r="O107" s="69"/>
      <c r="P107" s="69"/>
      <c r="Q107" s="69"/>
      <c r="R107" s="69"/>
      <c r="S107" s="69"/>
      <c r="T107" s="69"/>
      <c r="U107" s="69"/>
      <c r="V107" s="2"/>
      <c r="W107" s="2"/>
      <c r="X107" s="2"/>
      <c r="Y107" s="2"/>
      <c r="Z107" s="2"/>
      <c r="AA107" s="2"/>
      <c r="AB107" s="2"/>
      <c r="AC107" s="2"/>
      <c r="AD107" s="2"/>
      <c r="AE107" s="2"/>
      <c r="AF107" s="2"/>
      <c r="AG107" s="2"/>
    </row>
    <row r="108" spans="1:33" ht="18.75" customHeight="1">
      <c r="A108" s="69"/>
      <c r="B108" s="89" t="s">
        <v>70</v>
      </c>
      <c r="C108" s="89"/>
      <c r="D108" s="89"/>
      <c r="E108" s="89"/>
      <c r="F108" s="89"/>
      <c r="G108" s="89"/>
      <c r="H108" s="89"/>
      <c r="I108" s="89"/>
      <c r="J108" s="89"/>
      <c r="K108" s="89"/>
      <c r="L108" s="89"/>
      <c r="M108" s="89"/>
      <c r="N108" s="89"/>
      <c r="O108" s="89"/>
      <c r="P108" s="89"/>
      <c r="Q108" s="89"/>
      <c r="R108" s="89"/>
      <c r="S108" s="89"/>
      <c r="T108" s="89"/>
      <c r="U108" s="89"/>
      <c r="V108" s="67"/>
      <c r="W108" s="67"/>
      <c r="X108" s="67"/>
      <c r="Y108" s="67"/>
      <c r="Z108" s="67"/>
      <c r="AA108" s="67"/>
      <c r="AB108" s="67"/>
      <c r="AC108" s="67"/>
      <c r="AD108" s="67"/>
      <c r="AE108" s="67"/>
      <c r="AF108" s="67"/>
      <c r="AG108" s="67"/>
    </row>
    <row r="109" spans="1:33" ht="37.35" customHeight="1">
      <c r="A109" s="69"/>
      <c r="B109" s="89"/>
      <c r="C109" s="89"/>
      <c r="D109" s="89"/>
      <c r="E109" s="89"/>
      <c r="F109" s="89"/>
      <c r="G109" s="89"/>
      <c r="H109" s="89"/>
      <c r="I109" s="89"/>
      <c r="J109" s="89"/>
      <c r="K109" s="89"/>
      <c r="L109" s="89"/>
      <c r="M109" s="89"/>
      <c r="N109" s="89"/>
      <c r="O109" s="89"/>
      <c r="P109" s="89"/>
      <c r="Q109" s="89"/>
      <c r="R109" s="89"/>
      <c r="S109" s="89"/>
      <c r="T109" s="89"/>
      <c r="U109" s="89"/>
      <c r="V109" s="67"/>
      <c r="W109" s="67"/>
      <c r="X109" s="67"/>
      <c r="Y109" s="67"/>
      <c r="Z109" s="67"/>
      <c r="AA109" s="67"/>
      <c r="AB109" s="67"/>
      <c r="AC109" s="67"/>
      <c r="AD109" s="67"/>
      <c r="AE109" s="67"/>
      <c r="AF109" s="67"/>
      <c r="AG109" s="67"/>
    </row>
    <row r="110" spans="1:33" ht="18.75" customHeight="1">
      <c r="A110" s="69"/>
      <c r="B110" s="160" t="s">
        <v>71</v>
      </c>
      <c r="C110" s="160"/>
      <c r="D110" s="160"/>
      <c r="E110" s="160"/>
      <c r="F110" s="160"/>
      <c r="G110" s="160"/>
      <c r="H110" s="160"/>
      <c r="I110" s="160"/>
      <c r="J110" s="160"/>
      <c r="K110" s="160"/>
      <c r="L110" s="160"/>
      <c r="M110" s="160"/>
      <c r="N110" s="160"/>
      <c r="O110" s="160"/>
      <c r="P110" s="160"/>
      <c r="Q110" s="160"/>
      <c r="R110" s="160"/>
      <c r="S110" s="160"/>
      <c r="T110" s="160"/>
      <c r="U110" s="160"/>
      <c r="V110" s="67"/>
      <c r="W110" s="67"/>
      <c r="X110" s="67"/>
      <c r="Y110" s="67"/>
      <c r="Z110" s="67"/>
      <c r="AA110" s="67"/>
      <c r="AB110" s="67"/>
      <c r="AC110" s="67"/>
      <c r="AD110" s="67"/>
      <c r="AE110" s="67"/>
      <c r="AF110" s="67"/>
      <c r="AG110" s="67"/>
    </row>
    <row r="111" spans="1:33" ht="18.75" customHeight="1">
      <c r="A111" s="69"/>
      <c r="B111" s="161" t="s">
        <v>46</v>
      </c>
      <c r="C111" s="161"/>
      <c r="D111" s="161"/>
      <c r="E111" s="161"/>
      <c r="F111" s="161"/>
      <c r="G111" s="161"/>
      <c r="H111" s="161"/>
      <c r="I111" s="161"/>
      <c r="J111" s="161"/>
      <c r="K111" s="161"/>
      <c r="L111" s="161"/>
      <c r="M111" s="161"/>
      <c r="N111" s="161"/>
      <c r="O111" s="161"/>
      <c r="P111" s="161"/>
      <c r="Q111" s="161"/>
      <c r="R111" s="161"/>
      <c r="S111" s="161"/>
      <c r="T111" s="161"/>
      <c r="U111" s="161"/>
      <c r="V111" s="66"/>
      <c r="W111" s="66"/>
      <c r="X111" s="66"/>
      <c r="Y111" s="66"/>
      <c r="Z111" s="66"/>
      <c r="AA111" s="66"/>
      <c r="AB111" s="66"/>
      <c r="AC111" s="66"/>
      <c r="AD111" s="66"/>
      <c r="AE111" s="66"/>
      <c r="AF111" s="66"/>
      <c r="AG111" s="66"/>
    </row>
    <row r="112" spans="1:33" ht="132" customHeight="1">
      <c r="A112" s="69"/>
      <c r="B112" s="162"/>
      <c r="C112" s="162"/>
      <c r="D112" s="162"/>
      <c r="E112" s="162"/>
      <c r="F112" s="162"/>
      <c r="G112" s="162"/>
      <c r="H112" s="162"/>
      <c r="I112" s="162"/>
      <c r="J112" s="162"/>
      <c r="K112" s="162"/>
      <c r="L112" s="162"/>
      <c r="M112" s="162"/>
      <c r="N112" s="162"/>
      <c r="O112" s="162"/>
      <c r="P112" s="162"/>
      <c r="Q112" s="162"/>
      <c r="R112" s="162"/>
      <c r="S112" s="162"/>
      <c r="T112" s="162"/>
      <c r="U112" s="162"/>
      <c r="V112" s="68"/>
      <c r="W112" s="68"/>
      <c r="X112" s="68"/>
      <c r="Y112" s="68"/>
      <c r="Z112" s="68"/>
      <c r="AA112" s="68"/>
      <c r="AB112" s="68"/>
      <c r="AC112" s="68"/>
      <c r="AD112" s="68"/>
      <c r="AE112" s="68"/>
      <c r="AF112" s="68"/>
      <c r="AG112" s="68"/>
    </row>
    <row r="114" ht="18" customHeight="1"/>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R71:U77 S60:U66 H60:J66 G71:J77" xr:uid="{00000000-0002-0000-0000-000000000000}">
      <formula1>"○"</formula1>
    </dataValidation>
    <dataValidation type="list" allowBlank="1" showInputMessage="1" showErrorMessage="1" sqref="U34 U45 E34:H34 E45:H45" xr:uid="{00000000-0002-0000-0000-000001000000}">
      <formula1>"全学開講,一部開講"</formula1>
    </dataValidation>
    <dataValidation type="list" allowBlank="1" showInputMessage="1" showErrorMessage="1" sqref="L14 L7:U7" xr:uid="{00000000-0002-0000-0000-000002000000}">
      <formula1>"学部・学科によって、修了要件は相違する,学部・学科によって、修了要件は相違しない"</formula1>
    </dataValidation>
    <dataValidation type="list" allowBlank="1" showInputMessage="1" showErrorMessage="1" sqref="G81:G88 R81:R88 H81:J82 H85:J88 S85:U88 S81:U82"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000-000004000000}">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7"/>
  <sheetViews>
    <sheetView view="pageBreakPreview" zoomScaleSheetLayoutView="100" workbookViewId="0">
      <selection activeCell="Q6" sqref="Q6"/>
    </sheetView>
  </sheetViews>
  <sheetFormatPr defaultColWidth="9" defaultRowHeight="18.75" customHeight="1"/>
  <cols>
    <col min="1" max="1" width="2.625" style="1" customWidth="1"/>
    <col min="2" max="2" width="20.625" style="1" customWidth="1"/>
    <col min="3" max="18" width="6.125" style="1" customWidth="1"/>
    <col min="19" max="19" width="6.625" style="1" customWidth="1"/>
    <col min="20" max="16384" width="9" style="1"/>
  </cols>
  <sheetData>
    <row r="1" spans="1:21" ht="18" customHeight="1">
      <c r="A1" s="70"/>
      <c r="B1" s="70"/>
      <c r="C1" s="70"/>
      <c r="D1" s="70"/>
      <c r="E1" s="70"/>
      <c r="F1" s="70"/>
      <c r="G1" s="70"/>
      <c r="H1" s="70"/>
      <c r="I1" s="70"/>
      <c r="J1" s="70"/>
      <c r="K1" s="70"/>
      <c r="L1" s="70"/>
      <c r="M1" s="70"/>
      <c r="N1" s="70"/>
      <c r="O1" s="70"/>
      <c r="P1" s="70"/>
      <c r="Q1" s="70"/>
      <c r="R1" s="70"/>
      <c r="S1" s="70" t="s">
        <v>72</v>
      </c>
      <c r="T1" s="86"/>
      <c r="U1" s="86"/>
    </row>
    <row r="2" spans="1:21" ht="18" customHeight="1">
      <c r="A2" s="70"/>
      <c r="B2" s="70"/>
      <c r="C2" s="70"/>
      <c r="D2" s="70"/>
      <c r="E2" s="70"/>
      <c r="F2" s="70"/>
      <c r="G2" s="70"/>
      <c r="H2" s="70"/>
      <c r="I2" s="70"/>
      <c r="J2" s="70"/>
      <c r="K2" s="70"/>
      <c r="L2" s="70"/>
      <c r="M2" s="70"/>
      <c r="N2" s="70"/>
      <c r="O2" s="70"/>
      <c r="P2" s="70"/>
      <c r="Q2" s="164" t="str">
        <f>'様式１　プログラムを構成する授業科目'!C2</f>
        <v>サレジオ工業高等専門学校</v>
      </c>
      <c r="R2" s="164"/>
      <c r="S2" s="164"/>
      <c r="T2" s="86"/>
      <c r="U2" s="86"/>
    </row>
    <row r="3" spans="1:21" ht="18" customHeight="1">
      <c r="A3" s="129" t="s">
        <v>73</v>
      </c>
      <c r="B3" s="129"/>
      <c r="C3" s="129"/>
      <c r="D3" s="129"/>
      <c r="E3" s="129"/>
      <c r="F3" s="129"/>
      <c r="G3" s="129"/>
      <c r="H3" s="129"/>
      <c r="I3" s="129"/>
      <c r="J3" s="129"/>
      <c r="K3" s="129"/>
      <c r="L3" s="129"/>
      <c r="M3" s="129"/>
      <c r="N3" s="129"/>
      <c r="O3" s="129"/>
      <c r="P3" s="129"/>
      <c r="Q3" s="129"/>
      <c r="R3" s="129"/>
      <c r="S3" s="129"/>
      <c r="T3" s="86"/>
      <c r="U3" s="86"/>
    </row>
    <row r="4" spans="1:21" ht="7.5" customHeight="1">
      <c r="A4" s="73"/>
      <c r="B4" s="73"/>
      <c r="C4" s="73"/>
      <c r="D4" s="73"/>
      <c r="E4" s="73"/>
      <c r="F4" s="73"/>
      <c r="G4" s="73"/>
      <c r="H4" s="73"/>
      <c r="I4" s="73"/>
      <c r="J4" s="73"/>
      <c r="K4" s="73"/>
      <c r="L4" s="73"/>
      <c r="M4" s="73"/>
      <c r="N4" s="73"/>
      <c r="O4" s="73"/>
      <c r="P4" s="73"/>
      <c r="Q4" s="73"/>
      <c r="R4" s="73"/>
      <c r="S4" s="73"/>
      <c r="T4" s="86"/>
      <c r="U4" s="86"/>
    </row>
    <row r="5" spans="1:21" ht="18" customHeight="1">
      <c r="A5" s="70" t="s">
        <v>74</v>
      </c>
      <c r="B5" s="70"/>
      <c r="C5" s="165" t="s">
        <v>75</v>
      </c>
      <c r="D5" s="166"/>
      <c r="E5" s="73" t="s">
        <v>76</v>
      </c>
      <c r="F5" s="73"/>
      <c r="G5" s="73"/>
      <c r="H5" s="73"/>
      <c r="I5" s="73"/>
      <c r="J5" s="73"/>
      <c r="K5" s="73"/>
      <c r="L5" s="73"/>
      <c r="M5" s="73"/>
      <c r="N5" s="73"/>
      <c r="O5" s="73"/>
      <c r="P5" s="73"/>
      <c r="Q5" s="73"/>
      <c r="R5" s="71"/>
      <c r="S5" s="71"/>
      <c r="T5" s="86"/>
      <c r="U5" s="86"/>
    </row>
    <row r="6" spans="1:21" ht="7.35" customHeight="1">
      <c r="A6" s="70"/>
      <c r="B6" s="70"/>
      <c r="C6" s="78"/>
      <c r="D6" s="78"/>
      <c r="E6" s="73"/>
      <c r="F6" s="73"/>
      <c r="G6" s="73"/>
      <c r="H6" s="73"/>
      <c r="I6" s="73"/>
      <c r="J6" s="73"/>
      <c r="K6" s="73"/>
      <c r="L6" s="73"/>
      <c r="M6" s="73"/>
      <c r="N6" s="73"/>
      <c r="O6" s="73"/>
      <c r="P6" s="73"/>
      <c r="Q6" s="73"/>
      <c r="R6" s="71"/>
      <c r="S6" s="71"/>
      <c r="T6" s="86"/>
      <c r="U6" s="86"/>
    </row>
    <row r="7" spans="1:21" ht="18" customHeight="1">
      <c r="A7" s="70" t="s">
        <v>77</v>
      </c>
      <c r="B7" s="70"/>
      <c r="C7" s="78"/>
      <c r="D7" s="78"/>
      <c r="E7" s="73" t="s">
        <v>78</v>
      </c>
      <c r="F7" s="76">
        <v>581</v>
      </c>
      <c r="G7" s="74" t="s">
        <v>79</v>
      </c>
      <c r="H7" s="73" t="s">
        <v>80</v>
      </c>
      <c r="I7" s="76">
        <v>153</v>
      </c>
      <c r="J7" s="74" t="s">
        <v>79</v>
      </c>
      <c r="K7" s="80" t="s">
        <v>81</v>
      </c>
      <c r="L7" s="73" t="s">
        <v>82</v>
      </c>
      <c r="M7" s="76">
        <f>F7+I7</f>
        <v>734</v>
      </c>
      <c r="N7" s="73" t="s">
        <v>83</v>
      </c>
      <c r="O7" s="74" t="s">
        <v>84</v>
      </c>
      <c r="P7" s="73"/>
      <c r="Q7" s="73"/>
      <c r="R7" s="71"/>
      <c r="S7" s="71"/>
      <c r="T7" s="86"/>
      <c r="U7" s="86"/>
    </row>
    <row r="8" spans="1:21" ht="6" customHeight="1">
      <c r="A8" s="73"/>
      <c r="B8" s="73"/>
      <c r="C8" s="73"/>
      <c r="D8" s="73"/>
      <c r="E8" s="73"/>
      <c r="F8" s="73"/>
      <c r="G8" s="73"/>
      <c r="H8" s="73"/>
      <c r="I8" s="73"/>
      <c r="J8" s="73"/>
      <c r="K8" s="73"/>
      <c r="L8" s="73"/>
      <c r="M8" s="73"/>
      <c r="N8" s="73"/>
      <c r="O8" s="73"/>
      <c r="P8" s="73"/>
      <c r="Q8" s="73"/>
      <c r="R8" s="73"/>
      <c r="S8" s="73"/>
      <c r="T8" s="86"/>
      <c r="U8" s="86"/>
    </row>
    <row r="9" spans="1:21" ht="18" customHeight="1">
      <c r="A9" s="70" t="s">
        <v>85</v>
      </c>
      <c r="B9" s="73"/>
      <c r="C9" s="73"/>
      <c r="D9" s="73"/>
      <c r="E9" s="73"/>
      <c r="F9" s="73"/>
      <c r="G9" s="73"/>
      <c r="H9" s="73"/>
      <c r="I9" s="73"/>
      <c r="J9" s="73"/>
      <c r="K9" s="73"/>
      <c r="L9" s="73"/>
      <c r="M9" s="73"/>
      <c r="N9" s="73"/>
      <c r="O9" s="73"/>
      <c r="P9" s="73"/>
      <c r="Q9" s="73"/>
      <c r="R9" s="73"/>
      <c r="S9" s="73"/>
      <c r="T9" s="86"/>
      <c r="U9" s="86"/>
    </row>
    <row r="10" spans="1:21" ht="6" customHeight="1">
      <c r="A10" s="86"/>
      <c r="B10" s="85"/>
      <c r="C10" s="85"/>
      <c r="D10" s="85"/>
      <c r="E10" s="85"/>
      <c r="F10" s="85"/>
      <c r="G10" s="85"/>
      <c r="H10" s="85"/>
      <c r="I10" s="85"/>
      <c r="J10" s="85"/>
      <c r="K10" s="85"/>
      <c r="L10" s="85"/>
      <c r="M10" s="85"/>
      <c r="N10" s="85"/>
      <c r="O10" s="85"/>
      <c r="P10" s="85"/>
      <c r="Q10" s="85"/>
      <c r="R10" s="85"/>
      <c r="S10" s="85"/>
      <c r="T10" s="86"/>
      <c r="U10" s="86"/>
    </row>
    <row r="11" spans="1:21" ht="18" customHeight="1">
      <c r="A11" s="86"/>
      <c r="B11" s="167" t="s">
        <v>86</v>
      </c>
      <c r="C11" s="177" t="s">
        <v>87</v>
      </c>
      <c r="D11" s="169" t="s">
        <v>88</v>
      </c>
      <c r="E11" s="171" t="s">
        <v>89</v>
      </c>
      <c r="F11" s="163" t="s">
        <v>90</v>
      </c>
      <c r="G11" s="163"/>
      <c r="H11" s="163" t="s">
        <v>91</v>
      </c>
      <c r="I11" s="163"/>
      <c r="J11" s="163" t="s">
        <v>92</v>
      </c>
      <c r="K11" s="163"/>
      <c r="L11" s="163" t="s">
        <v>93</v>
      </c>
      <c r="M11" s="163"/>
      <c r="N11" s="163" t="s">
        <v>94</v>
      </c>
      <c r="O11" s="163"/>
      <c r="P11" s="163" t="s">
        <v>95</v>
      </c>
      <c r="Q11" s="163"/>
      <c r="R11" s="173" t="s">
        <v>96</v>
      </c>
      <c r="S11" s="175" t="s">
        <v>97</v>
      </c>
      <c r="T11" s="86"/>
      <c r="U11" s="2"/>
    </row>
    <row r="12" spans="1:21" ht="17.100000000000001" customHeight="1">
      <c r="A12" s="86"/>
      <c r="B12" s="168"/>
      <c r="C12" s="178"/>
      <c r="D12" s="170"/>
      <c r="E12" s="172"/>
      <c r="F12" s="60" t="s">
        <v>98</v>
      </c>
      <c r="G12" s="60" t="s">
        <v>99</v>
      </c>
      <c r="H12" s="60" t="s">
        <v>98</v>
      </c>
      <c r="I12" s="60" t="s">
        <v>99</v>
      </c>
      <c r="J12" s="60" t="s">
        <v>98</v>
      </c>
      <c r="K12" s="60" t="s">
        <v>99</v>
      </c>
      <c r="L12" s="60" t="s">
        <v>98</v>
      </c>
      <c r="M12" s="60" t="s">
        <v>99</v>
      </c>
      <c r="N12" s="60" t="s">
        <v>98</v>
      </c>
      <c r="O12" s="60" t="s">
        <v>99</v>
      </c>
      <c r="P12" s="60" t="s">
        <v>98</v>
      </c>
      <c r="Q12" s="61" t="s">
        <v>99</v>
      </c>
      <c r="R12" s="174"/>
      <c r="S12" s="176"/>
      <c r="T12" s="86"/>
      <c r="U12" s="2"/>
    </row>
    <row r="13" spans="1:21" ht="18" customHeight="1">
      <c r="A13" s="5"/>
      <c r="B13" s="62" t="s">
        <v>100</v>
      </c>
      <c r="C13" s="48">
        <v>192</v>
      </c>
      <c r="D13" s="49">
        <v>45</v>
      </c>
      <c r="E13" s="50">
        <v>225</v>
      </c>
      <c r="F13" s="50">
        <v>38</v>
      </c>
      <c r="G13" s="50">
        <v>0</v>
      </c>
      <c r="H13" s="50"/>
      <c r="I13" s="50"/>
      <c r="J13" s="50"/>
      <c r="K13" s="50"/>
      <c r="L13" s="50"/>
      <c r="M13" s="50"/>
      <c r="N13" s="50"/>
      <c r="O13" s="50"/>
      <c r="P13" s="50"/>
      <c r="Q13" s="63"/>
      <c r="R13" s="49">
        <f t="shared" ref="R13:R32" si="0">F13+H13+J13+L13+N13+P13</f>
        <v>38</v>
      </c>
      <c r="S13" s="64">
        <f>R13/E13</f>
        <v>0.16888888888888889</v>
      </c>
      <c r="T13" s="86"/>
      <c r="U13" s="86"/>
    </row>
    <row r="14" spans="1:21" ht="18" customHeight="1">
      <c r="A14" s="5"/>
      <c r="B14" s="10" t="s">
        <v>101</v>
      </c>
      <c r="C14" s="51">
        <v>128</v>
      </c>
      <c r="D14" s="52">
        <v>45</v>
      </c>
      <c r="E14" s="53">
        <v>225</v>
      </c>
      <c r="F14" s="54">
        <v>26</v>
      </c>
      <c r="G14" s="54">
        <v>0</v>
      </c>
      <c r="H14" s="54"/>
      <c r="I14" s="54"/>
      <c r="J14" s="54"/>
      <c r="K14" s="54"/>
      <c r="L14" s="54"/>
      <c r="M14" s="54"/>
      <c r="N14" s="54"/>
      <c r="O14" s="54"/>
      <c r="P14" s="54"/>
      <c r="Q14" s="51"/>
      <c r="R14" s="52">
        <f t="shared" si="0"/>
        <v>26</v>
      </c>
      <c r="S14" s="13">
        <f t="shared" ref="S14:S33" si="1">R14/E14</f>
        <v>0.11555555555555555</v>
      </c>
      <c r="T14" s="86"/>
      <c r="U14" s="86"/>
    </row>
    <row r="15" spans="1:21" ht="18" customHeight="1">
      <c r="A15" s="5"/>
      <c r="B15" s="10" t="s">
        <v>102</v>
      </c>
      <c r="C15" s="51">
        <v>211</v>
      </c>
      <c r="D15" s="52">
        <v>45</v>
      </c>
      <c r="E15" s="53">
        <v>225</v>
      </c>
      <c r="F15" s="54">
        <v>32</v>
      </c>
      <c r="G15" s="54">
        <v>0</v>
      </c>
      <c r="H15" s="54"/>
      <c r="I15" s="54"/>
      <c r="J15" s="54"/>
      <c r="K15" s="54"/>
      <c r="L15" s="54"/>
      <c r="M15" s="54"/>
      <c r="N15" s="54"/>
      <c r="O15" s="54"/>
      <c r="P15" s="54"/>
      <c r="Q15" s="51"/>
      <c r="R15" s="52">
        <f t="shared" si="0"/>
        <v>32</v>
      </c>
      <c r="S15" s="7">
        <f t="shared" si="1"/>
        <v>0.14222222222222222</v>
      </c>
      <c r="T15" s="86"/>
      <c r="U15" s="86"/>
    </row>
    <row r="16" spans="1:21" ht="18" customHeight="1">
      <c r="A16" s="5"/>
      <c r="B16" s="10" t="s">
        <v>103</v>
      </c>
      <c r="C16" s="51">
        <v>203</v>
      </c>
      <c r="D16" s="52">
        <v>45</v>
      </c>
      <c r="E16" s="53">
        <v>225</v>
      </c>
      <c r="F16" s="54">
        <v>49</v>
      </c>
      <c r="G16" s="54">
        <v>0</v>
      </c>
      <c r="H16" s="54"/>
      <c r="I16" s="54"/>
      <c r="J16" s="54"/>
      <c r="K16" s="54"/>
      <c r="L16" s="54"/>
      <c r="M16" s="54"/>
      <c r="N16" s="54"/>
      <c r="O16" s="54"/>
      <c r="P16" s="54"/>
      <c r="Q16" s="51"/>
      <c r="R16" s="52">
        <f t="shared" si="0"/>
        <v>49</v>
      </c>
      <c r="S16" s="7">
        <f t="shared" si="1"/>
        <v>0.21777777777777776</v>
      </c>
      <c r="T16" s="86"/>
      <c r="U16" s="86"/>
    </row>
    <row r="17" spans="1:19" ht="18" customHeight="1">
      <c r="A17" s="5"/>
      <c r="B17" s="10"/>
      <c r="C17" s="51"/>
      <c r="D17" s="52"/>
      <c r="E17" s="53"/>
      <c r="F17" s="54"/>
      <c r="G17" s="54"/>
      <c r="H17" s="54"/>
      <c r="I17" s="54"/>
      <c r="J17" s="54"/>
      <c r="K17" s="54"/>
      <c r="L17" s="54"/>
      <c r="M17" s="54"/>
      <c r="N17" s="54"/>
      <c r="O17" s="54"/>
      <c r="P17" s="54"/>
      <c r="Q17" s="51"/>
      <c r="R17" s="52">
        <f t="shared" si="0"/>
        <v>0</v>
      </c>
      <c r="S17" s="7" t="e">
        <f t="shared" si="1"/>
        <v>#DIV/0!</v>
      </c>
    </row>
    <row r="18" spans="1:19" ht="18" customHeight="1">
      <c r="A18" s="5"/>
      <c r="B18" s="10"/>
      <c r="C18" s="51"/>
      <c r="D18" s="52"/>
      <c r="E18" s="53"/>
      <c r="F18" s="54"/>
      <c r="G18" s="54"/>
      <c r="H18" s="54"/>
      <c r="I18" s="54"/>
      <c r="J18" s="54"/>
      <c r="K18" s="54"/>
      <c r="L18" s="54"/>
      <c r="M18" s="54"/>
      <c r="N18" s="54"/>
      <c r="O18" s="54"/>
      <c r="P18" s="54"/>
      <c r="Q18" s="51"/>
      <c r="R18" s="52">
        <f t="shared" si="0"/>
        <v>0</v>
      </c>
      <c r="S18" s="7" t="e">
        <f t="shared" si="1"/>
        <v>#DIV/0!</v>
      </c>
    </row>
    <row r="19" spans="1:19" ht="18" customHeight="1">
      <c r="A19" s="5"/>
      <c r="B19" s="10"/>
      <c r="C19" s="51"/>
      <c r="D19" s="52"/>
      <c r="E19" s="53"/>
      <c r="F19" s="54"/>
      <c r="G19" s="54"/>
      <c r="H19" s="54"/>
      <c r="I19" s="54"/>
      <c r="J19" s="54"/>
      <c r="K19" s="54"/>
      <c r="L19" s="54"/>
      <c r="M19" s="54"/>
      <c r="N19" s="54"/>
      <c r="O19" s="54"/>
      <c r="P19" s="54"/>
      <c r="Q19" s="51"/>
      <c r="R19" s="52">
        <f t="shared" si="0"/>
        <v>0</v>
      </c>
      <c r="S19" s="7" t="e">
        <f t="shared" si="1"/>
        <v>#DIV/0!</v>
      </c>
    </row>
    <row r="20" spans="1:19" ht="18" customHeight="1">
      <c r="A20" s="5"/>
      <c r="B20" s="10"/>
      <c r="C20" s="51"/>
      <c r="D20" s="52"/>
      <c r="E20" s="53"/>
      <c r="F20" s="54"/>
      <c r="G20" s="54"/>
      <c r="H20" s="54"/>
      <c r="I20" s="54"/>
      <c r="J20" s="54"/>
      <c r="K20" s="54"/>
      <c r="L20" s="54"/>
      <c r="M20" s="54"/>
      <c r="N20" s="54"/>
      <c r="O20" s="54"/>
      <c r="P20" s="54"/>
      <c r="Q20" s="51"/>
      <c r="R20" s="52">
        <f t="shared" si="0"/>
        <v>0</v>
      </c>
      <c r="S20" s="7" t="e">
        <f t="shared" si="1"/>
        <v>#DIV/0!</v>
      </c>
    </row>
    <row r="21" spans="1:19" ht="18" customHeight="1">
      <c r="A21" s="5"/>
      <c r="B21" s="10"/>
      <c r="C21" s="51"/>
      <c r="D21" s="52"/>
      <c r="E21" s="53"/>
      <c r="F21" s="54"/>
      <c r="G21" s="54"/>
      <c r="H21" s="54"/>
      <c r="I21" s="54"/>
      <c r="J21" s="54"/>
      <c r="K21" s="54"/>
      <c r="L21" s="54"/>
      <c r="M21" s="54"/>
      <c r="N21" s="54"/>
      <c r="O21" s="54"/>
      <c r="P21" s="54"/>
      <c r="Q21" s="51"/>
      <c r="R21" s="52">
        <f t="shared" si="0"/>
        <v>0</v>
      </c>
      <c r="S21" s="7" t="e">
        <f t="shared" si="1"/>
        <v>#DIV/0!</v>
      </c>
    </row>
    <row r="22" spans="1:19" ht="18" customHeight="1">
      <c r="A22" s="5"/>
      <c r="B22" s="10"/>
      <c r="C22" s="51"/>
      <c r="D22" s="52"/>
      <c r="E22" s="53"/>
      <c r="F22" s="54"/>
      <c r="G22" s="54"/>
      <c r="H22" s="54"/>
      <c r="I22" s="54"/>
      <c r="J22" s="54"/>
      <c r="K22" s="54"/>
      <c r="L22" s="54"/>
      <c r="M22" s="54"/>
      <c r="N22" s="54"/>
      <c r="O22" s="54"/>
      <c r="P22" s="54"/>
      <c r="Q22" s="51"/>
      <c r="R22" s="52">
        <f t="shared" si="0"/>
        <v>0</v>
      </c>
      <c r="S22" s="7" t="e">
        <f t="shared" si="1"/>
        <v>#DIV/0!</v>
      </c>
    </row>
    <row r="23" spans="1:19" ht="18" customHeight="1">
      <c r="A23" s="5"/>
      <c r="B23" s="10"/>
      <c r="C23" s="51"/>
      <c r="D23" s="52"/>
      <c r="E23" s="53"/>
      <c r="F23" s="54"/>
      <c r="G23" s="54"/>
      <c r="H23" s="54"/>
      <c r="I23" s="54"/>
      <c r="J23" s="54"/>
      <c r="K23" s="54"/>
      <c r="L23" s="54"/>
      <c r="M23" s="54"/>
      <c r="N23" s="54"/>
      <c r="O23" s="54"/>
      <c r="P23" s="54"/>
      <c r="Q23" s="51"/>
      <c r="R23" s="52">
        <f t="shared" si="0"/>
        <v>0</v>
      </c>
      <c r="S23" s="7" t="e">
        <f t="shared" si="1"/>
        <v>#DIV/0!</v>
      </c>
    </row>
    <row r="24" spans="1:19" ht="18" customHeight="1">
      <c r="A24" s="5"/>
      <c r="B24" s="10"/>
      <c r="C24" s="51"/>
      <c r="D24" s="52"/>
      <c r="E24" s="53"/>
      <c r="F24" s="54"/>
      <c r="G24" s="54"/>
      <c r="H24" s="54"/>
      <c r="I24" s="54"/>
      <c r="J24" s="54"/>
      <c r="K24" s="54"/>
      <c r="L24" s="54"/>
      <c r="M24" s="54"/>
      <c r="N24" s="54"/>
      <c r="O24" s="54"/>
      <c r="P24" s="54"/>
      <c r="Q24" s="51"/>
      <c r="R24" s="52">
        <f t="shared" si="0"/>
        <v>0</v>
      </c>
      <c r="S24" s="7" t="e">
        <f t="shared" si="1"/>
        <v>#DIV/0!</v>
      </c>
    </row>
    <row r="25" spans="1:19" ht="18" customHeight="1">
      <c r="A25" s="5"/>
      <c r="B25" s="10"/>
      <c r="C25" s="51"/>
      <c r="D25" s="52"/>
      <c r="E25" s="53"/>
      <c r="F25" s="54"/>
      <c r="G25" s="54"/>
      <c r="H25" s="54"/>
      <c r="I25" s="54"/>
      <c r="J25" s="54"/>
      <c r="K25" s="54"/>
      <c r="L25" s="54"/>
      <c r="M25" s="54"/>
      <c r="N25" s="54"/>
      <c r="O25" s="54"/>
      <c r="P25" s="54"/>
      <c r="Q25" s="51"/>
      <c r="R25" s="52">
        <f t="shared" si="0"/>
        <v>0</v>
      </c>
      <c r="S25" s="7" t="e">
        <f t="shared" si="1"/>
        <v>#DIV/0!</v>
      </c>
    </row>
    <row r="26" spans="1:19" ht="18" customHeight="1">
      <c r="A26" s="5"/>
      <c r="B26" s="10"/>
      <c r="C26" s="51"/>
      <c r="D26" s="52"/>
      <c r="E26" s="53"/>
      <c r="F26" s="54"/>
      <c r="G26" s="54"/>
      <c r="H26" s="54"/>
      <c r="I26" s="54"/>
      <c r="J26" s="54"/>
      <c r="K26" s="54"/>
      <c r="L26" s="54"/>
      <c r="M26" s="54"/>
      <c r="N26" s="54"/>
      <c r="O26" s="54"/>
      <c r="P26" s="54"/>
      <c r="Q26" s="51"/>
      <c r="R26" s="52">
        <f t="shared" si="0"/>
        <v>0</v>
      </c>
      <c r="S26" s="7" t="e">
        <f t="shared" si="1"/>
        <v>#DIV/0!</v>
      </c>
    </row>
    <row r="27" spans="1:19" ht="18" customHeight="1">
      <c r="A27" s="5"/>
      <c r="B27" s="10"/>
      <c r="C27" s="51"/>
      <c r="D27" s="52"/>
      <c r="E27" s="53"/>
      <c r="F27" s="54"/>
      <c r="G27" s="54"/>
      <c r="H27" s="54"/>
      <c r="I27" s="54"/>
      <c r="J27" s="54"/>
      <c r="K27" s="54"/>
      <c r="L27" s="54"/>
      <c r="M27" s="54"/>
      <c r="N27" s="54"/>
      <c r="O27" s="54"/>
      <c r="P27" s="54"/>
      <c r="Q27" s="51"/>
      <c r="R27" s="52">
        <f t="shared" si="0"/>
        <v>0</v>
      </c>
      <c r="S27" s="7" t="e">
        <f t="shared" si="1"/>
        <v>#DIV/0!</v>
      </c>
    </row>
    <row r="28" spans="1:19" ht="18" customHeight="1">
      <c r="A28" s="5"/>
      <c r="B28" s="10"/>
      <c r="C28" s="51"/>
      <c r="D28" s="52"/>
      <c r="E28" s="53"/>
      <c r="F28" s="54"/>
      <c r="G28" s="54"/>
      <c r="H28" s="54"/>
      <c r="I28" s="54"/>
      <c r="J28" s="54"/>
      <c r="K28" s="54"/>
      <c r="L28" s="54"/>
      <c r="M28" s="54"/>
      <c r="N28" s="54"/>
      <c r="O28" s="54"/>
      <c r="P28" s="54"/>
      <c r="Q28" s="51"/>
      <c r="R28" s="52">
        <f t="shared" si="0"/>
        <v>0</v>
      </c>
      <c r="S28" s="7" t="e">
        <f t="shared" si="1"/>
        <v>#DIV/0!</v>
      </c>
    </row>
    <row r="29" spans="1:19" ht="18" customHeight="1">
      <c r="A29" s="5"/>
      <c r="B29" s="10"/>
      <c r="C29" s="51"/>
      <c r="D29" s="52"/>
      <c r="E29" s="53"/>
      <c r="F29" s="54"/>
      <c r="G29" s="54"/>
      <c r="H29" s="54"/>
      <c r="I29" s="54"/>
      <c r="J29" s="54"/>
      <c r="K29" s="54"/>
      <c r="L29" s="54"/>
      <c r="M29" s="54"/>
      <c r="N29" s="54"/>
      <c r="O29" s="54"/>
      <c r="P29" s="54"/>
      <c r="Q29" s="51"/>
      <c r="R29" s="52">
        <f t="shared" si="0"/>
        <v>0</v>
      </c>
      <c r="S29" s="7" t="e">
        <f t="shared" si="1"/>
        <v>#DIV/0!</v>
      </c>
    </row>
    <row r="30" spans="1:19" ht="18" customHeight="1">
      <c r="A30" s="5"/>
      <c r="B30" s="10"/>
      <c r="C30" s="51"/>
      <c r="D30" s="55"/>
      <c r="E30" s="53"/>
      <c r="F30" s="54"/>
      <c r="G30" s="54"/>
      <c r="H30" s="54"/>
      <c r="I30" s="54"/>
      <c r="J30" s="54"/>
      <c r="K30" s="54"/>
      <c r="L30" s="54"/>
      <c r="M30" s="54"/>
      <c r="N30" s="54"/>
      <c r="O30" s="54"/>
      <c r="P30" s="54"/>
      <c r="Q30" s="51"/>
      <c r="R30" s="55">
        <f t="shared" si="0"/>
        <v>0</v>
      </c>
      <c r="S30" s="7" t="e">
        <f t="shared" si="1"/>
        <v>#DIV/0!</v>
      </c>
    </row>
    <row r="31" spans="1:19" ht="18" customHeight="1">
      <c r="A31" s="5"/>
      <c r="B31" s="10"/>
      <c r="C31" s="51"/>
      <c r="D31" s="55"/>
      <c r="E31" s="53"/>
      <c r="F31" s="54"/>
      <c r="G31" s="54"/>
      <c r="H31" s="54"/>
      <c r="I31" s="54"/>
      <c r="J31" s="54"/>
      <c r="K31" s="54"/>
      <c r="L31" s="54"/>
      <c r="M31" s="54"/>
      <c r="N31" s="54"/>
      <c r="O31" s="54"/>
      <c r="P31" s="54"/>
      <c r="Q31" s="51"/>
      <c r="R31" s="55">
        <f t="shared" si="0"/>
        <v>0</v>
      </c>
      <c r="S31" s="7" t="e">
        <f t="shared" si="1"/>
        <v>#DIV/0!</v>
      </c>
    </row>
    <row r="32" spans="1:19" ht="18" customHeight="1" thickBot="1">
      <c r="A32" s="5"/>
      <c r="B32" s="11"/>
      <c r="C32" s="48"/>
      <c r="D32" s="56"/>
      <c r="E32" s="50"/>
      <c r="F32" s="50"/>
      <c r="G32" s="50"/>
      <c r="H32" s="50"/>
      <c r="I32" s="50"/>
      <c r="J32" s="50"/>
      <c r="K32" s="50"/>
      <c r="L32" s="50"/>
      <c r="M32" s="50"/>
      <c r="N32" s="50"/>
      <c r="O32" s="50"/>
      <c r="P32" s="50"/>
      <c r="Q32" s="51"/>
      <c r="R32" s="56">
        <f t="shared" si="0"/>
        <v>0</v>
      </c>
      <c r="S32" s="6" t="e">
        <f t="shared" si="1"/>
        <v>#DIV/0!</v>
      </c>
    </row>
    <row r="33" spans="2:19" ht="18" customHeight="1" thickTop="1">
      <c r="B33" s="12" t="s">
        <v>104</v>
      </c>
      <c r="C33" s="57">
        <f t="shared" ref="C33" si="2">SUM(C13:C32)</f>
        <v>734</v>
      </c>
      <c r="D33" s="58">
        <f t="shared" ref="D33:R33" si="3">SUM(D13:D32)</f>
        <v>180</v>
      </c>
      <c r="E33" s="59">
        <f t="shared" si="3"/>
        <v>900</v>
      </c>
      <c r="F33" s="59">
        <f t="shared" si="3"/>
        <v>145</v>
      </c>
      <c r="G33" s="59">
        <f t="shared" ref="G33:H33" si="4">SUM(G13:G32)</f>
        <v>0</v>
      </c>
      <c r="H33" s="59">
        <f t="shared" si="4"/>
        <v>0</v>
      </c>
      <c r="I33" s="59">
        <f t="shared" ref="I33:J33" si="5">SUM(I13:I32)</f>
        <v>0</v>
      </c>
      <c r="J33" s="59">
        <f t="shared" si="5"/>
        <v>0</v>
      </c>
      <c r="K33" s="59">
        <f t="shared" ref="K33:O33" si="6">SUM(K13:K32)</f>
        <v>0</v>
      </c>
      <c r="L33" s="59">
        <f t="shared" si="6"/>
        <v>0</v>
      </c>
      <c r="M33" s="59">
        <f t="shared" si="6"/>
        <v>0</v>
      </c>
      <c r="N33" s="59">
        <f t="shared" si="6"/>
        <v>0</v>
      </c>
      <c r="O33" s="59">
        <f t="shared" si="6"/>
        <v>0</v>
      </c>
      <c r="P33" s="59">
        <f t="shared" ref="P33:Q33" si="7">SUM(P13:P32)</f>
        <v>0</v>
      </c>
      <c r="Q33" s="57">
        <f t="shared" si="7"/>
        <v>0</v>
      </c>
      <c r="R33" s="58">
        <f t="shared" si="3"/>
        <v>145</v>
      </c>
      <c r="S33" s="8">
        <f t="shared" si="1"/>
        <v>0.16111111111111112</v>
      </c>
    </row>
    <row r="97" spans="26:26" ht="18.75" customHeight="1">
      <c r="Z97" s="86" t="s">
        <v>59</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34"/>
  <sheetViews>
    <sheetView showZeros="0" tabSelected="1" view="pageBreakPreview" topLeftCell="A7" zoomScale="120" zoomScaleSheetLayoutView="120" workbookViewId="0">
      <selection activeCell="J26" sqref="J26"/>
    </sheetView>
  </sheetViews>
  <sheetFormatPr defaultColWidth="11.375" defaultRowHeight="18.75" customHeight="1"/>
  <cols>
    <col min="1" max="1" width="2.625" style="29"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29" t="s">
        <v>105</v>
      </c>
      <c r="B1" s="86"/>
      <c r="C1" s="86"/>
      <c r="D1" s="86"/>
      <c r="E1" s="86"/>
      <c r="F1" s="86"/>
      <c r="G1" s="86"/>
      <c r="H1" s="86"/>
      <c r="I1" s="27" t="s">
        <v>106</v>
      </c>
    </row>
    <row r="2" spans="1:9" ht="18.75" customHeight="1">
      <c r="B2" s="86"/>
      <c r="C2" s="86"/>
      <c r="D2" s="86"/>
      <c r="E2" s="86"/>
      <c r="F2" s="86"/>
      <c r="G2" s="27" t="s">
        <v>2</v>
      </c>
      <c r="H2" s="105" t="str">
        <f>'様式１　プログラムを構成する授業科目'!C2</f>
        <v>サレジオ工業高等専門学校</v>
      </c>
      <c r="I2" s="107"/>
    </row>
    <row r="3" spans="1:9" ht="18.75" customHeight="1">
      <c r="B3" s="86"/>
      <c r="C3" s="86"/>
      <c r="D3" s="86"/>
      <c r="E3" s="86"/>
      <c r="F3" s="86"/>
      <c r="G3" s="27"/>
      <c r="H3" s="9"/>
      <c r="I3" s="9"/>
    </row>
    <row r="4" spans="1:9" ht="18.600000000000001" customHeight="1">
      <c r="A4" s="207" t="s">
        <v>107</v>
      </c>
      <c r="B4" s="207"/>
      <c r="C4" s="207"/>
      <c r="D4" s="207"/>
      <c r="E4" s="207"/>
      <c r="F4" s="207"/>
      <c r="G4" s="207"/>
      <c r="H4" s="207"/>
      <c r="I4" s="207"/>
    </row>
    <row r="5" spans="1:9" ht="13.35" customHeight="1">
      <c r="B5" s="85"/>
      <c r="C5" s="85"/>
      <c r="D5" s="85"/>
      <c r="E5" s="85"/>
      <c r="F5" s="85"/>
      <c r="G5" s="85"/>
      <c r="H5" s="85"/>
      <c r="I5" s="85"/>
    </row>
    <row r="6" spans="1:9" ht="18" customHeight="1">
      <c r="A6" s="86" t="s">
        <v>108</v>
      </c>
      <c r="B6" s="9" t="s">
        <v>109</v>
      </c>
      <c r="C6" s="225" t="s">
        <v>110</v>
      </c>
      <c r="D6" s="225"/>
      <c r="E6" s="26">
        <v>46</v>
      </c>
      <c r="F6" s="85" t="s">
        <v>83</v>
      </c>
      <c r="G6" s="85" t="s">
        <v>111</v>
      </c>
      <c r="H6" s="26">
        <v>37</v>
      </c>
      <c r="I6" s="9" t="s">
        <v>83</v>
      </c>
    </row>
    <row r="7" spans="1:9" ht="12" customHeight="1">
      <c r="B7" s="86"/>
      <c r="C7" s="2"/>
      <c r="D7" s="2"/>
      <c r="E7" s="2"/>
      <c r="F7" s="2"/>
      <c r="G7" s="2"/>
      <c r="H7" s="2"/>
      <c r="I7" s="30"/>
    </row>
    <row r="8" spans="1:9" ht="18" customHeight="1">
      <c r="A8" s="86" t="s">
        <v>112</v>
      </c>
      <c r="B8" s="9" t="s">
        <v>113</v>
      </c>
      <c r="C8" s="86"/>
      <c r="D8" s="86"/>
      <c r="E8" s="85"/>
      <c r="F8" s="85"/>
      <c r="G8" s="85"/>
      <c r="H8" s="26">
        <v>4</v>
      </c>
      <c r="I8" s="9" t="s">
        <v>83</v>
      </c>
    </row>
    <row r="9" spans="1:9" ht="9" customHeight="1">
      <c r="B9" s="85"/>
      <c r="C9" s="85"/>
      <c r="D9" s="85"/>
      <c r="E9" s="85"/>
      <c r="F9" s="85"/>
      <c r="G9" s="85"/>
      <c r="H9" s="85"/>
      <c r="I9" s="85"/>
    </row>
    <row r="10" spans="1:9" ht="18" customHeight="1">
      <c r="A10" s="86" t="s">
        <v>114</v>
      </c>
      <c r="B10" s="9" t="s">
        <v>115</v>
      </c>
      <c r="C10" s="85"/>
      <c r="D10" s="85"/>
      <c r="E10" s="85"/>
      <c r="F10" s="85"/>
      <c r="G10" s="85"/>
      <c r="H10" s="85"/>
      <c r="I10" s="85"/>
    </row>
    <row r="11" spans="1:9" ht="18" customHeight="1">
      <c r="B11" s="27" t="s">
        <v>116</v>
      </c>
      <c r="C11" s="222" t="s">
        <v>117</v>
      </c>
      <c r="D11" s="223"/>
      <c r="E11" s="224"/>
      <c r="F11" s="30"/>
      <c r="G11" s="27" t="s">
        <v>118</v>
      </c>
      <c r="H11" s="222" t="s">
        <v>119</v>
      </c>
      <c r="I11" s="224"/>
    </row>
    <row r="12" spans="1:9" ht="10.35" customHeight="1">
      <c r="B12" s="27"/>
      <c r="C12" s="9"/>
      <c r="D12" s="30"/>
      <c r="E12" s="30"/>
      <c r="F12" s="30"/>
      <c r="G12" s="27"/>
      <c r="H12" s="9"/>
      <c r="I12" s="30"/>
    </row>
    <row r="13" spans="1:9" ht="18" customHeight="1">
      <c r="A13" s="86" t="s">
        <v>120</v>
      </c>
      <c r="B13" s="9" t="s">
        <v>121</v>
      </c>
      <c r="C13" s="85"/>
      <c r="D13" s="85"/>
      <c r="E13" s="85"/>
      <c r="F13" s="85"/>
      <c r="G13" s="85"/>
      <c r="H13" s="85"/>
      <c r="I13" s="85"/>
    </row>
    <row r="14" spans="1:9" ht="18" customHeight="1">
      <c r="B14" s="222" t="s">
        <v>122</v>
      </c>
      <c r="C14" s="254"/>
      <c r="D14" s="254"/>
      <c r="E14" s="254"/>
      <c r="F14" s="254"/>
      <c r="G14" s="254"/>
      <c r="H14" s="254"/>
      <c r="I14" s="255"/>
    </row>
    <row r="15" spans="1:9" ht="9" customHeight="1">
      <c r="B15" s="85"/>
      <c r="C15" s="85"/>
      <c r="D15" s="85"/>
      <c r="E15" s="85"/>
      <c r="F15" s="85"/>
      <c r="G15" s="85"/>
      <c r="H15" s="85"/>
      <c r="I15" s="85"/>
    </row>
    <row r="16" spans="1:9" ht="18" customHeight="1">
      <c r="B16" s="27" t="s">
        <v>116</v>
      </c>
      <c r="C16" s="222" t="s">
        <v>123</v>
      </c>
      <c r="D16" s="223"/>
      <c r="E16" s="224"/>
      <c r="F16" s="30"/>
      <c r="G16" s="27" t="s">
        <v>118</v>
      </c>
      <c r="H16" s="222" t="s">
        <v>124</v>
      </c>
      <c r="I16" s="224"/>
    </row>
    <row r="17" spans="1:9" ht="18" customHeight="1">
      <c r="B17" s="85"/>
      <c r="C17" s="85"/>
      <c r="D17" s="85"/>
      <c r="E17" s="85"/>
      <c r="F17" s="85"/>
      <c r="G17" s="85"/>
      <c r="H17" s="85"/>
      <c r="I17" s="85"/>
    </row>
    <row r="18" spans="1:9" ht="18.75" customHeight="1">
      <c r="A18" s="86" t="s">
        <v>125</v>
      </c>
      <c r="B18" s="86" t="s">
        <v>126</v>
      </c>
      <c r="C18" s="86"/>
      <c r="D18" s="86"/>
      <c r="E18" s="86"/>
      <c r="F18" s="86"/>
      <c r="G18" s="86"/>
      <c r="H18" s="86"/>
      <c r="I18" s="85"/>
    </row>
    <row r="19" spans="1:9" ht="18.75" customHeight="1">
      <c r="A19" s="86"/>
      <c r="B19" s="208" t="s">
        <v>127</v>
      </c>
      <c r="C19" s="209"/>
      <c r="D19" s="209"/>
      <c r="E19" s="209"/>
      <c r="F19" s="209"/>
      <c r="G19" s="209"/>
      <c r="H19" s="209"/>
      <c r="I19" s="210"/>
    </row>
    <row r="20" spans="1:9" ht="7.5" customHeight="1">
      <c r="B20" s="85"/>
      <c r="C20" s="85"/>
      <c r="D20" s="85"/>
      <c r="E20" s="85"/>
      <c r="F20" s="85"/>
      <c r="G20" s="85"/>
      <c r="H20" s="85"/>
      <c r="I20" s="85"/>
    </row>
    <row r="21" spans="1:9" ht="18.75" customHeight="1">
      <c r="A21" s="86" t="s">
        <v>128</v>
      </c>
      <c r="B21" s="86" t="s">
        <v>129</v>
      </c>
      <c r="C21" s="86"/>
      <c r="D21" s="86"/>
      <c r="E21" s="86"/>
      <c r="F21" s="86"/>
      <c r="G21" s="86"/>
      <c r="H21" s="86"/>
      <c r="I21" s="86"/>
    </row>
    <row r="22" spans="1:9" ht="18.75" customHeight="1">
      <c r="A22" s="88"/>
      <c r="B22" s="211" t="s">
        <v>130</v>
      </c>
      <c r="C22" s="212"/>
      <c r="D22" s="212"/>
      <c r="E22" s="212"/>
      <c r="F22" s="212"/>
      <c r="G22" s="212"/>
      <c r="H22" s="212"/>
      <c r="I22" s="213"/>
    </row>
    <row r="23" spans="1:9" ht="18.75" customHeight="1">
      <c r="A23" s="88"/>
      <c r="B23" s="214"/>
      <c r="C23" s="215"/>
      <c r="D23" s="215"/>
      <c r="E23" s="215"/>
      <c r="F23" s="215"/>
      <c r="G23" s="215"/>
      <c r="H23" s="215"/>
      <c r="I23" s="216"/>
    </row>
    <row r="24" spans="1:9" ht="18.75" customHeight="1">
      <c r="A24" s="88"/>
      <c r="B24" s="214"/>
      <c r="C24" s="215"/>
      <c r="D24" s="215"/>
      <c r="E24" s="215"/>
      <c r="F24" s="215"/>
      <c r="G24" s="215"/>
      <c r="H24" s="215"/>
      <c r="I24" s="216"/>
    </row>
    <row r="25" spans="1:9" ht="18.75" customHeight="1">
      <c r="A25" s="88"/>
      <c r="B25" s="214"/>
      <c r="C25" s="215"/>
      <c r="D25" s="215"/>
      <c r="E25" s="215"/>
      <c r="F25" s="215"/>
      <c r="G25" s="215"/>
      <c r="H25" s="215"/>
      <c r="I25" s="216"/>
    </row>
    <row r="26" spans="1:9" ht="18.75" customHeight="1">
      <c r="A26" s="88"/>
      <c r="B26" s="214"/>
      <c r="C26" s="215"/>
      <c r="D26" s="215"/>
      <c r="E26" s="215"/>
      <c r="F26" s="215"/>
      <c r="G26" s="215"/>
      <c r="H26" s="215"/>
      <c r="I26" s="216"/>
    </row>
    <row r="27" spans="1:9" ht="18.75" customHeight="1">
      <c r="A27" s="88"/>
      <c r="B27" s="214"/>
      <c r="C27" s="215"/>
      <c r="D27" s="215"/>
      <c r="E27" s="215"/>
      <c r="F27" s="215"/>
      <c r="G27" s="215"/>
      <c r="H27" s="215"/>
      <c r="I27" s="216"/>
    </row>
    <row r="28" spans="1:9" ht="18.75" customHeight="1">
      <c r="A28" s="88"/>
      <c r="B28" s="214"/>
      <c r="C28" s="215"/>
      <c r="D28" s="215"/>
      <c r="E28" s="215"/>
      <c r="F28" s="215"/>
      <c r="G28" s="215"/>
      <c r="H28" s="215"/>
      <c r="I28" s="216"/>
    </row>
    <row r="29" spans="1:9" ht="18.75" customHeight="1">
      <c r="A29" s="88"/>
      <c r="B29" s="214"/>
      <c r="C29" s="215"/>
      <c r="D29" s="215"/>
      <c r="E29" s="215"/>
      <c r="F29" s="215"/>
      <c r="G29" s="215"/>
      <c r="H29" s="215"/>
      <c r="I29" s="216"/>
    </row>
    <row r="30" spans="1:9" ht="18.75" customHeight="1">
      <c r="A30" s="88"/>
      <c r="B30" s="217"/>
      <c r="C30" s="218"/>
      <c r="D30" s="218"/>
      <c r="E30" s="218"/>
      <c r="F30" s="218"/>
      <c r="G30" s="218"/>
      <c r="H30" s="218"/>
      <c r="I30" s="216"/>
    </row>
    <row r="31" spans="1:9" ht="18.75" customHeight="1">
      <c r="A31" s="88"/>
      <c r="B31" s="217"/>
      <c r="C31" s="218"/>
      <c r="D31" s="218"/>
      <c r="E31" s="218"/>
      <c r="F31" s="218"/>
      <c r="G31" s="218"/>
      <c r="H31" s="218"/>
      <c r="I31" s="216"/>
    </row>
    <row r="32" spans="1:9" ht="18.75" customHeight="1">
      <c r="A32" s="88"/>
      <c r="B32" s="219"/>
      <c r="C32" s="220"/>
      <c r="D32" s="220"/>
      <c r="E32" s="220"/>
      <c r="F32" s="220"/>
      <c r="G32" s="220"/>
      <c r="H32" s="220"/>
      <c r="I32" s="221"/>
    </row>
    <row r="33" spans="1:9" ht="7.5" customHeight="1">
      <c r="A33" s="88"/>
      <c r="B33" s="88"/>
      <c r="C33" s="88"/>
      <c r="D33" s="88"/>
      <c r="E33" s="88"/>
      <c r="F33" s="88"/>
      <c r="G33" s="88"/>
      <c r="H33" s="88"/>
      <c r="I33" s="88"/>
    </row>
    <row r="34" spans="1:9" ht="18.75" customHeight="1">
      <c r="A34" s="79" t="s">
        <v>131</v>
      </c>
      <c r="B34" s="79" t="s">
        <v>132</v>
      </c>
      <c r="C34" s="9"/>
      <c r="D34" s="79"/>
      <c r="E34" s="79"/>
      <c r="F34" s="79"/>
      <c r="G34" s="79"/>
      <c r="H34" s="79"/>
      <c r="I34" s="79"/>
    </row>
    <row r="35" spans="1:9" ht="18.75" customHeight="1">
      <c r="A35" s="88"/>
      <c r="B35" s="211" t="s">
        <v>133</v>
      </c>
      <c r="C35" s="212"/>
      <c r="D35" s="212"/>
      <c r="E35" s="212"/>
      <c r="F35" s="212"/>
      <c r="G35" s="212"/>
      <c r="H35" s="212"/>
      <c r="I35" s="213"/>
    </row>
    <row r="36" spans="1:9" ht="18.75" customHeight="1">
      <c r="A36" s="88"/>
      <c r="B36" s="217"/>
      <c r="C36" s="218"/>
      <c r="D36" s="218"/>
      <c r="E36" s="218"/>
      <c r="F36" s="218"/>
      <c r="G36" s="218"/>
      <c r="H36" s="218"/>
      <c r="I36" s="216"/>
    </row>
    <row r="37" spans="1:9" ht="18.75" customHeight="1">
      <c r="A37" s="88"/>
      <c r="B37" s="217"/>
      <c r="C37" s="218"/>
      <c r="D37" s="218"/>
      <c r="E37" s="218"/>
      <c r="F37" s="218"/>
      <c r="G37" s="218"/>
      <c r="H37" s="218"/>
      <c r="I37" s="216"/>
    </row>
    <row r="38" spans="1:9" ht="18.75" customHeight="1">
      <c r="A38" s="88"/>
      <c r="B38" s="217"/>
      <c r="C38" s="218"/>
      <c r="D38" s="218"/>
      <c r="E38" s="218"/>
      <c r="F38" s="218"/>
      <c r="G38" s="218"/>
      <c r="H38" s="218"/>
      <c r="I38" s="216"/>
    </row>
    <row r="39" spans="1:9" ht="18.75" customHeight="1">
      <c r="A39" s="88"/>
      <c r="B39" s="217"/>
      <c r="C39" s="218"/>
      <c r="D39" s="218"/>
      <c r="E39" s="218"/>
      <c r="F39" s="218"/>
      <c r="G39" s="218"/>
      <c r="H39" s="218"/>
      <c r="I39" s="216"/>
    </row>
    <row r="40" spans="1:9" ht="18.75" customHeight="1">
      <c r="A40" s="88"/>
      <c r="B40" s="217"/>
      <c r="C40" s="218"/>
      <c r="D40" s="218"/>
      <c r="E40" s="218"/>
      <c r="F40" s="218"/>
      <c r="G40" s="218"/>
      <c r="H40" s="218"/>
      <c r="I40" s="216"/>
    </row>
    <row r="41" spans="1:9" ht="18.75" customHeight="1">
      <c r="A41" s="88"/>
      <c r="B41" s="217"/>
      <c r="C41" s="218"/>
      <c r="D41" s="218"/>
      <c r="E41" s="218"/>
      <c r="F41" s="218"/>
      <c r="G41" s="218"/>
      <c r="H41" s="218"/>
      <c r="I41" s="216"/>
    </row>
    <row r="42" spans="1:9" ht="18.75" customHeight="1">
      <c r="A42" s="88"/>
      <c r="B42" s="217"/>
      <c r="C42" s="218"/>
      <c r="D42" s="218"/>
      <c r="E42" s="218"/>
      <c r="F42" s="218"/>
      <c r="G42" s="218"/>
      <c r="H42" s="218"/>
      <c r="I42" s="216"/>
    </row>
    <row r="43" spans="1:9" ht="18.75" customHeight="1">
      <c r="A43" s="88"/>
      <c r="B43" s="217"/>
      <c r="C43" s="218"/>
      <c r="D43" s="218"/>
      <c r="E43" s="218"/>
      <c r="F43" s="218"/>
      <c r="G43" s="218"/>
      <c r="H43" s="218"/>
      <c r="I43" s="216"/>
    </row>
    <row r="44" spans="1:9" ht="18.75" customHeight="1">
      <c r="A44" s="88"/>
      <c r="B44" s="217"/>
      <c r="C44" s="218"/>
      <c r="D44" s="218"/>
      <c r="E44" s="218"/>
      <c r="F44" s="218"/>
      <c r="G44" s="218"/>
      <c r="H44" s="218"/>
      <c r="I44" s="216"/>
    </row>
    <row r="45" spans="1:9" ht="18.75" customHeight="1">
      <c r="A45" s="88"/>
      <c r="B45" s="217"/>
      <c r="C45" s="218"/>
      <c r="D45" s="218"/>
      <c r="E45" s="218"/>
      <c r="F45" s="218"/>
      <c r="G45" s="218"/>
      <c r="H45" s="218"/>
      <c r="I45" s="216"/>
    </row>
    <row r="46" spans="1:9" ht="18.75" customHeight="1">
      <c r="A46" s="88"/>
      <c r="B46" s="219"/>
      <c r="C46" s="220"/>
      <c r="D46" s="220"/>
      <c r="E46" s="220"/>
      <c r="F46" s="220"/>
      <c r="G46" s="220"/>
      <c r="H46" s="220"/>
      <c r="I46" s="221"/>
    </row>
    <row r="47" spans="1:9" ht="7.5" customHeight="1">
      <c r="A47" s="4"/>
      <c r="B47" s="4"/>
      <c r="C47" s="4"/>
      <c r="D47" s="4"/>
      <c r="E47" s="4"/>
      <c r="F47" s="4"/>
      <c r="G47" s="4"/>
      <c r="H47" s="4"/>
      <c r="I47" s="4"/>
    </row>
    <row r="48" spans="1:9" ht="18.75" customHeight="1">
      <c r="A48" s="86" t="s">
        <v>134</v>
      </c>
      <c r="B48" s="86" t="s">
        <v>135</v>
      </c>
      <c r="C48" s="86"/>
      <c r="D48" s="86"/>
      <c r="E48" s="86"/>
      <c r="F48" s="86"/>
      <c r="G48" s="86"/>
      <c r="H48" s="86"/>
      <c r="I48" s="86"/>
    </row>
    <row r="49" spans="1:15" s="3" customFormat="1" ht="18.75" customHeight="1">
      <c r="A49" s="85"/>
      <c r="B49" s="31" t="s">
        <v>136</v>
      </c>
      <c r="C49" s="196">
        <f>'様式２ 履修者等数の実績'!S33</f>
        <v>0.16111111111111112</v>
      </c>
      <c r="D49" s="196"/>
      <c r="E49" s="31" t="s">
        <v>137</v>
      </c>
      <c r="F49" s="196">
        <v>0.36</v>
      </c>
      <c r="G49" s="196"/>
      <c r="H49" s="31" t="s">
        <v>138</v>
      </c>
      <c r="I49" s="87">
        <v>0.56000000000000005</v>
      </c>
      <c r="J49" s="86"/>
      <c r="K49" s="85"/>
      <c r="L49" s="85"/>
      <c r="M49" s="86"/>
      <c r="N49" s="32"/>
      <c r="O49" s="85"/>
    </row>
    <row r="50" spans="1:15" s="3" customFormat="1" ht="18.75" customHeight="1">
      <c r="A50" s="85"/>
      <c r="B50" s="33" t="s">
        <v>139</v>
      </c>
      <c r="C50" s="179">
        <v>0.76</v>
      </c>
      <c r="D50" s="179"/>
      <c r="E50" s="33" t="s">
        <v>140</v>
      </c>
      <c r="F50" s="179">
        <v>0.96</v>
      </c>
      <c r="G50" s="179"/>
      <c r="H50" s="33" t="s">
        <v>141</v>
      </c>
      <c r="I50" s="34">
        <f>'様式２ 履修者等数の実績'!E33</f>
        <v>900</v>
      </c>
      <c r="J50" s="86"/>
      <c r="K50" s="85"/>
      <c r="L50" s="85"/>
      <c r="M50" s="86"/>
      <c r="N50" s="32"/>
      <c r="O50" s="85"/>
    </row>
    <row r="51" spans="1:15" ht="18.75" customHeight="1">
      <c r="A51" s="86"/>
      <c r="B51" s="226" t="s">
        <v>142</v>
      </c>
      <c r="C51" s="227"/>
      <c r="D51" s="227"/>
      <c r="E51" s="227"/>
      <c r="F51" s="227"/>
      <c r="G51" s="227"/>
      <c r="H51" s="227"/>
      <c r="I51" s="228"/>
      <c r="J51" s="86"/>
      <c r="K51" s="86"/>
      <c r="L51" s="86"/>
      <c r="M51" s="86"/>
      <c r="N51" s="32"/>
      <c r="O51" s="85"/>
    </row>
    <row r="52" spans="1:15" ht="18.75" customHeight="1">
      <c r="A52" s="86"/>
      <c r="B52" s="197" t="s">
        <v>143</v>
      </c>
      <c r="C52" s="198"/>
      <c r="D52" s="198"/>
      <c r="E52" s="198"/>
      <c r="F52" s="198"/>
      <c r="G52" s="198"/>
      <c r="H52" s="198"/>
      <c r="I52" s="199"/>
      <c r="J52" s="86"/>
      <c r="K52" s="86"/>
      <c r="L52" s="86"/>
      <c r="M52" s="86"/>
      <c r="N52" s="32"/>
      <c r="O52" s="85"/>
    </row>
    <row r="53" spans="1:15" ht="18.75" customHeight="1">
      <c r="A53" s="86"/>
      <c r="B53" s="200"/>
      <c r="C53" s="201"/>
      <c r="D53" s="201"/>
      <c r="E53" s="201"/>
      <c r="F53" s="201"/>
      <c r="G53" s="201"/>
      <c r="H53" s="201"/>
      <c r="I53" s="202"/>
      <c r="J53" s="86"/>
      <c r="K53" s="86"/>
      <c r="L53" s="86"/>
      <c r="M53" s="86"/>
      <c r="N53" s="32"/>
      <c r="O53" s="85"/>
    </row>
    <row r="54" spans="1:15" ht="18.75" customHeight="1">
      <c r="A54" s="86"/>
      <c r="B54" s="200"/>
      <c r="C54" s="201"/>
      <c r="D54" s="201"/>
      <c r="E54" s="201"/>
      <c r="F54" s="201"/>
      <c r="G54" s="201"/>
      <c r="H54" s="201"/>
      <c r="I54" s="202"/>
      <c r="J54" s="86"/>
      <c r="K54" s="86"/>
      <c r="L54" s="86"/>
      <c r="M54" s="86"/>
      <c r="N54" s="86"/>
      <c r="O54" s="86"/>
    </row>
    <row r="55" spans="1:15" ht="18.75" customHeight="1">
      <c r="A55" s="86"/>
      <c r="B55" s="200"/>
      <c r="C55" s="201"/>
      <c r="D55" s="201"/>
      <c r="E55" s="201"/>
      <c r="F55" s="201"/>
      <c r="G55" s="201"/>
      <c r="H55" s="201"/>
      <c r="I55" s="202"/>
      <c r="J55" s="86"/>
      <c r="K55" s="86"/>
      <c r="L55" s="86"/>
      <c r="M55" s="86"/>
      <c r="N55" s="86"/>
      <c r="O55" s="86"/>
    </row>
    <row r="56" spans="1:15" ht="18.75" customHeight="1">
      <c r="A56" s="86"/>
      <c r="B56" s="200"/>
      <c r="C56" s="201"/>
      <c r="D56" s="201"/>
      <c r="E56" s="201"/>
      <c r="F56" s="201"/>
      <c r="G56" s="201"/>
      <c r="H56" s="201"/>
      <c r="I56" s="202"/>
      <c r="J56" s="86"/>
      <c r="K56" s="86"/>
      <c r="L56" s="86"/>
      <c r="M56" s="86"/>
      <c r="N56" s="86"/>
      <c r="O56" s="86"/>
    </row>
    <row r="57" spans="1:15" ht="18.75" customHeight="1">
      <c r="A57" s="86"/>
      <c r="B57" s="200"/>
      <c r="C57" s="201"/>
      <c r="D57" s="201"/>
      <c r="E57" s="201"/>
      <c r="F57" s="201"/>
      <c r="G57" s="201"/>
      <c r="H57" s="201"/>
      <c r="I57" s="202"/>
      <c r="J57" s="86"/>
      <c r="K57" s="86"/>
      <c r="L57" s="86"/>
      <c r="M57" s="86"/>
      <c r="N57" s="86"/>
      <c r="O57" s="86"/>
    </row>
    <row r="58" spans="1:15" ht="18.75" customHeight="1">
      <c r="A58" s="86"/>
      <c r="B58" s="200"/>
      <c r="C58" s="201"/>
      <c r="D58" s="201"/>
      <c r="E58" s="201"/>
      <c r="F58" s="201"/>
      <c r="G58" s="201"/>
      <c r="H58" s="201"/>
      <c r="I58" s="202"/>
      <c r="J58" s="86"/>
      <c r="K58" s="86"/>
      <c r="L58" s="86"/>
      <c r="M58" s="86"/>
      <c r="N58" s="86"/>
      <c r="O58" s="86"/>
    </row>
    <row r="59" spans="1:15" ht="18.75" customHeight="1">
      <c r="A59" s="86"/>
      <c r="B59" s="200"/>
      <c r="C59" s="201"/>
      <c r="D59" s="201"/>
      <c r="E59" s="201"/>
      <c r="F59" s="201"/>
      <c r="G59" s="201"/>
      <c r="H59" s="201"/>
      <c r="I59" s="202"/>
      <c r="J59" s="86"/>
      <c r="K59" s="86"/>
      <c r="L59" s="86"/>
      <c r="M59" s="86"/>
      <c r="N59" s="86"/>
      <c r="O59" s="86"/>
    </row>
    <row r="60" spans="1:15" ht="18.75" customHeight="1">
      <c r="A60" s="86"/>
      <c r="B60" s="200"/>
      <c r="C60" s="201"/>
      <c r="D60" s="201"/>
      <c r="E60" s="201"/>
      <c r="F60" s="201"/>
      <c r="G60" s="201"/>
      <c r="H60" s="201"/>
      <c r="I60" s="202"/>
      <c r="J60" s="86"/>
      <c r="K60" s="86"/>
      <c r="L60" s="86"/>
      <c r="M60" s="86"/>
      <c r="N60" s="86"/>
      <c r="O60" s="86"/>
    </row>
    <row r="61" spans="1:15" ht="18.75" customHeight="1">
      <c r="A61" s="86"/>
      <c r="B61" s="200"/>
      <c r="C61" s="201"/>
      <c r="D61" s="201"/>
      <c r="E61" s="201"/>
      <c r="F61" s="201"/>
      <c r="G61" s="201"/>
      <c r="H61" s="201"/>
      <c r="I61" s="202"/>
      <c r="J61" s="86"/>
      <c r="K61" s="86"/>
      <c r="L61" s="86"/>
      <c r="M61" s="86"/>
      <c r="N61" s="86"/>
      <c r="O61" s="86"/>
    </row>
    <row r="62" spans="1:15" ht="18.75" customHeight="1">
      <c r="A62" s="86"/>
      <c r="B62" s="200"/>
      <c r="C62" s="201"/>
      <c r="D62" s="201"/>
      <c r="E62" s="201"/>
      <c r="F62" s="201"/>
      <c r="G62" s="201"/>
      <c r="H62" s="201"/>
      <c r="I62" s="202"/>
      <c r="J62" s="86"/>
      <c r="K62" s="86"/>
      <c r="L62" s="86"/>
      <c r="M62" s="86"/>
      <c r="N62" s="86"/>
      <c r="O62" s="86"/>
    </row>
    <row r="63" spans="1:15" ht="18.75" customHeight="1">
      <c r="A63" s="86"/>
      <c r="B63" s="203"/>
      <c r="C63" s="204"/>
      <c r="D63" s="204"/>
      <c r="E63" s="204"/>
      <c r="F63" s="204"/>
      <c r="G63" s="204"/>
      <c r="H63" s="204"/>
      <c r="I63" s="205"/>
      <c r="J63" s="86"/>
      <c r="K63" s="86"/>
      <c r="L63" s="86"/>
      <c r="M63" s="86"/>
      <c r="N63" s="86"/>
      <c r="O63" s="86"/>
    </row>
    <row r="64" spans="1:15" ht="7.5" customHeight="1">
      <c r="A64" s="88"/>
      <c r="B64" s="88"/>
      <c r="C64" s="88"/>
      <c r="D64" s="88"/>
      <c r="E64" s="88"/>
      <c r="F64" s="88"/>
      <c r="G64" s="88"/>
      <c r="H64" s="88"/>
      <c r="I64" s="88"/>
      <c r="J64" s="86"/>
      <c r="K64" s="86"/>
      <c r="L64" s="86"/>
      <c r="M64" s="86"/>
      <c r="N64" s="86"/>
      <c r="O64" s="86"/>
    </row>
    <row r="65" spans="1:9" ht="18.75" customHeight="1">
      <c r="A65" s="79" t="s">
        <v>144</v>
      </c>
      <c r="B65" s="86" t="s">
        <v>145</v>
      </c>
      <c r="C65" s="86"/>
      <c r="D65" s="86"/>
      <c r="E65" s="86"/>
      <c r="F65" s="86"/>
      <c r="G65" s="86"/>
      <c r="H65" s="86"/>
      <c r="I65" s="79"/>
    </row>
    <row r="66" spans="1:9" ht="18.75" customHeight="1">
      <c r="A66" s="4"/>
      <c r="B66" s="180" t="s">
        <v>146</v>
      </c>
      <c r="C66" s="181"/>
      <c r="D66" s="181"/>
      <c r="E66" s="181"/>
      <c r="F66" s="181"/>
      <c r="G66" s="181"/>
      <c r="H66" s="181"/>
      <c r="I66" s="182"/>
    </row>
    <row r="67" spans="1:9" ht="18.75" customHeight="1">
      <c r="A67" s="4"/>
      <c r="B67" s="183"/>
      <c r="C67" s="184"/>
      <c r="D67" s="184"/>
      <c r="E67" s="184"/>
      <c r="F67" s="184"/>
      <c r="G67" s="184"/>
      <c r="H67" s="184"/>
      <c r="I67" s="185"/>
    </row>
    <row r="68" spans="1:9" ht="18.75" customHeight="1">
      <c r="A68" s="4"/>
      <c r="B68" s="183"/>
      <c r="C68" s="184"/>
      <c r="D68" s="184"/>
      <c r="E68" s="184"/>
      <c r="F68" s="184"/>
      <c r="G68" s="184"/>
      <c r="H68" s="184"/>
      <c r="I68" s="185"/>
    </row>
    <row r="69" spans="1:9" ht="18.75" customHeight="1">
      <c r="A69" s="4"/>
      <c r="B69" s="183"/>
      <c r="C69" s="184"/>
      <c r="D69" s="184"/>
      <c r="E69" s="184"/>
      <c r="F69" s="184"/>
      <c r="G69" s="184"/>
      <c r="H69" s="184"/>
      <c r="I69" s="185"/>
    </row>
    <row r="70" spans="1:9" ht="18.75" customHeight="1">
      <c r="A70" s="4"/>
      <c r="B70" s="183"/>
      <c r="C70" s="184"/>
      <c r="D70" s="184"/>
      <c r="E70" s="184"/>
      <c r="F70" s="184"/>
      <c r="G70" s="184"/>
      <c r="H70" s="184"/>
      <c r="I70" s="185"/>
    </row>
    <row r="71" spans="1:9" ht="18.75" customHeight="1">
      <c r="A71" s="4"/>
      <c r="B71" s="183"/>
      <c r="C71" s="184"/>
      <c r="D71" s="184"/>
      <c r="E71" s="184"/>
      <c r="F71" s="184"/>
      <c r="G71" s="184"/>
      <c r="H71" s="184"/>
      <c r="I71" s="185"/>
    </row>
    <row r="72" spans="1:9" ht="18.75" customHeight="1">
      <c r="A72" s="4"/>
      <c r="B72" s="183"/>
      <c r="C72" s="184"/>
      <c r="D72" s="184"/>
      <c r="E72" s="184"/>
      <c r="F72" s="184"/>
      <c r="G72" s="184"/>
      <c r="H72" s="184"/>
      <c r="I72" s="185"/>
    </row>
    <row r="73" spans="1:9" ht="18.75" customHeight="1">
      <c r="A73" s="4"/>
      <c r="B73" s="183"/>
      <c r="C73" s="184"/>
      <c r="D73" s="184"/>
      <c r="E73" s="184"/>
      <c r="F73" s="184"/>
      <c r="G73" s="184"/>
      <c r="H73" s="184"/>
      <c r="I73" s="185"/>
    </row>
    <row r="74" spans="1:9" ht="18.75" customHeight="1">
      <c r="A74" s="4"/>
      <c r="B74" s="183"/>
      <c r="C74" s="184"/>
      <c r="D74" s="184"/>
      <c r="E74" s="184"/>
      <c r="F74" s="184"/>
      <c r="G74" s="184"/>
      <c r="H74" s="184"/>
      <c r="I74" s="185"/>
    </row>
    <row r="75" spans="1:9" ht="18.75" customHeight="1">
      <c r="A75" s="4"/>
      <c r="B75" s="183"/>
      <c r="C75" s="184"/>
      <c r="D75" s="184"/>
      <c r="E75" s="184"/>
      <c r="F75" s="184"/>
      <c r="G75" s="184"/>
      <c r="H75" s="184"/>
      <c r="I75" s="185"/>
    </row>
    <row r="76" spans="1:9" ht="18.75" customHeight="1">
      <c r="A76" s="4"/>
      <c r="B76" s="183"/>
      <c r="C76" s="184"/>
      <c r="D76" s="184"/>
      <c r="E76" s="184"/>
      <c r="F76" s="184"/>
      <c r="G76" s="184"/>
      <c r="H76" s="184"/>
      <c r="I76" s="185"/>
    </row>
    <row r="77" spans="1:9" ht="18.75" customHeight="1">
      <c r="A77" s="4"/>
      <c r="B77" s="186"/>
      <c r="C77" s="187"/>
      <c r="D77" s="187"/>
      <c r="E77" s="187"/>
      <c r="F77" s="187"/>
      <c r="G77" s="187"/>
      <c r="H77" s="187"/>
      <c r="I77" s="188"/>
    </row>
    <row r="78" spans="1:9" ht="7.5" customHeight="1">
      <c r="A78" s="4"/>
      <c r="B78" s="4"/>
      <c r="C78" s="4"/>
      <c r="D78" s="4"/>
      <c r="E78" s="4"/>
      <c r="F78" s="4"/>
      <c r="G78" s="4"/>
      <c r="H78" s="4"/>
      <c r="I78" s="4"/>
    </row>
    <row r="79" spans="1:9" ht="18.75" customHeight="1">
      <c r="A79" s="86" t="s">
        <v>147</v>
      </c>
      <c r="B79" s="86" t="s">
        <v>148</v>
      </c>
      <c r="C79" s="86"/>
      <c r="D79" s="86"/>
      <c r="E79" s="86"/>
      <c r="F79" s="86"/>
      <c r="G79" s="86"/>
      <c r="H79" s="86"/>
      <c r="I79" s="86"/>
    </row>
    <row r="80" spans="1:9" ht="18.75" customHeight="1">
      <c r="A80" s="86"/>
      <c r="B80" s="180" t="s">
        <v>149</v>
      </c>
      <c r="C80" s="181"/>
      <c r="D80" s="181"/>
      <c r="E80" s="181"/>
      <c r="F80" s="181"/>
      <c r="G80" s="181"/>
      <c r="H80" s="181"/>
      <c r="I80" s="189"/>
    </row>
    <row r="81" spans="1:9" ht="18.75" customHeight="1">
      <c r="A81" s="86"/>
      <c r="B81" s="190"/>
      <c r="C81" s="191"/>
      <c r="D81" s="191"/>
      <c r="E81" s="191"/>
      <c r="F81" s="191"/>
      <c r="G81" s="191"/>
      <c r="H81" s="191"/>
      <c r="I81" s="192"/>
    </row>
    <row r="82" spans="1:9" ht="18.75" customHeight="1">
      <c r="A82" s="86"/>
      <c r="B82" s="190"/>
      <c r="C82" s="191"/>
      <c r="D82" s="191"/>
      <c r="E82" s="191"/>
      <c r="F82" s="191"/>
      <c r="G82" s="191"/>
      <c r="H82" s="191"/>
      <c r="I82" s="192"/>
    </row>
    <row r="83" spans="1:9" ht="18.75" customHeight="1">
      <c r="A83" s="86"/>
      <c r="B83" s="190"/>
      <c r="C83" s="191"/>
      <c r="D83" s="191"/>
      <c r="E83" s="191"/>
      <c r="F83" s="191"/>
      <c r="G83" s="191"/>
      <c r="H83" s="191"/>
      <c r="I83" s="192"/>
    </row>
    <row r="84" spans="1:9" ht="18.75" customHeight="1">
      <c r="A84" s="86"/>
      <c r="B84" s="190"/>
      <c r="C84" s="191"/>
      <c r="D84" s="191"/>
      <c r="E84" s="191"/>
      <c r="F84" s="191"/>
      <c r="G84" s="191"/>
      <c r="H84" s="191"/>
      <c r="I84" s="192"/>
    </row>
    <row r="85" spans="1:9" ht="18.75" customHeight="1">
      <c r="A85" s="86"/>
      <c r="B85" s="190"/>
      <c r="C85" s="191"/>
      <c r="D85" s="191"/>
      <c r="E85" s="191"/>
      <c r="F85" s="191"/>
      <c r="G85" s="191"/>
      <c r="H85" s="191"/>
      <c r="I85" s="192"/>
    </row>
    <row r="86" spans="1:9" ht="18.75" customHeight="1">
      <c r="A86" s="86"/>
      <c r="B86" s="190"/>
      <c r="C86" s="191"/>
      <c r="D86" s="191"/>
      <c r="E86" s="191"/>
      <c r="F86" s="191"/>
      <c r="G86" s="191"/>
      <c r="H86" s="191"/>
      <c r="I86" s="192"/>
    </row>
    <row r="87" spans="1:9" ht="18.75" customHeight="1">
      <c r="A87" s="86"/>
      <c r="B87" s="190"/>
      <c r="C87" s="191"/>
      <c r="D87" s="191"/>
      <c r="E87" s="191"/>
      <c r="F87" s="191"/>
      <c r="G87" s="191"/>
      <c r="H87" s="191"/>
      <c r="I87" s="192"/>
    </row>
    <row r="88" spans="1:9" ht="18.75" customHeight="1">
      <c r="A88" s="86"/>
      <c r="B88" s="190"/>
      <c r="C88" s="191"/>
      <c r="D88" s="191"/>
      <c r="E88" s="191"/>
      <c r="F88" s="191"/>
      <c r="G88" s="191"/>
      <c r="H88" s="191"/>
      <c r="I88" s="192"/>
    </row>
    <row r="89" spans="1:9" ht="18.75" customHeight="1">
      <c r="A89" s="86"/>
      <c r="B89" s="190"/>
      <c r="C89" s="191"/>
      <c r="D89" s="191"/>
      <c r="E89" s="191"/>
      <c r="F89" s="191"/>
      <c r="G89" s="191"/>
      <c r="H89" s="191"/>
      <c r="I89" s="192"/>
    </row>
    <row r="90" spans="1:9" ht="18.75" customHeight="1">
      <c r="A90" s="4"/>
      <c r="B90" s="190"/>
      <c r="C90" s="191"/>
      <c r="D90" s="191"/>
      <c r="E90" s="191"/>
      <c r="F90" s="191"/>
      <c r="G90" s="191"/>
      <c r="H90" s="191"/>
      <c r="I90" s="192"/>
    </row>
    <row r="91" spans="1:9" ht="18.75" customHeight="1">
      <c r="A91" s="4"/>
      <c r="B91" s="193"/>
      <c r="C91" s="194"/>
      <c r="D91" s="194"/>
      <c r="E91" s="194"/>
      <c r="F91" s="194"/>
      <c r="G91" s="194"/>
      <c r="H91" s="194"/>
      <c r="I91" s="195"/>
    </row>
    <row r="92" spans="1:9" ht="7.5" customHeight="1">
      <c r="A92" s="4"/>
      <c r="B92" s="4"/>
      <c r="C92" s="4"/>
      <c r="D92" s="4"/>
      <c r="E92" s="4"/>
      <c r="F92" s="4"/>
      <c r="G92" s="4"/>
      <c r="H92" s="4"/>
      <c r="I92" s="4"/>
    </row>
    <row r="93" spans="1:9" ht="18.75" customHeight="1">
      <c r="A93" s="86" t="s">
        <v>150</v>
      </c>
      <c r="B93" s="86" t="s">
        <v>151</v>
      </c>
      <c r="C93" s="86"/>
      <c r="D93" s="86"/>
      <c r="E93" s="86"/>
      <c r="F93" s="86"/>
      <c r="G93" s="86"/>
      <c r="H93" s="86"/>
      <c r="I93" s="86"/>
    </row>
    <row r="94" spans="1:9" ht="18.75" customHeight="1">
      <c r="A94" s="86"/>
      <c r="B94" s="211" t="s">
        <v>152</v>
      </c>
      <c r="C94" s="212"/>
      <c r="D94" s="212"/>
      <c r="E94" s="212"/>
      <c r="F94" s="212"/>
      <c r="G94" s="212"/>
      <c r="H94" s="212"/>
      <c r="I94" s="213"/>
    </row>
    <row r="95" spans="1:9" ht="18.75" customHeight="1">
      <c r="A95" s="86"/>
      <c r="B95" s="217"/>
      <c r="C95" s="218"/>
      <c r="D95" s="218"/>
      <c r="E95" s="218"/>
      <c r="F95" s="218"/>
      <c r="G95" s="218"/>
      <c r="H95" s="218"/>
      <c r="I95" s="216"/>
    </row>
    <row r="96" spans="1:9" ht="18.75" customHeight="1">
      <c r="A96" s="86"/>
      <c r="B96" s="217"/>
      <c r="C96" s="218"/>
      <c r="D96" s="218"/>
      <c r="E96" s="218"/>
      <c r="F96" s="218"/>
      <c r="G96" s="218"/>
      <c r="H96" s="218"/>
      <c r="I96" s="216"/>
    </row>
    <row r="97" spans="1:26" ht="18.75" customHeight="1">
      <c r="A97" s="86"/>
      <c r="B97" s="217"/>
      <c r="C97" s="218"/>
      <c r="D97" s="218"/>
      <c r="E97" s="218"/>
      <c r="F97" s="218"/>
      <c r="G97" s="218"/>
      <c r="H97" s="218"/>
      <c r="I97" s="216"/>
      <c r="J97" s="86"/>
      <c r="K97" s="86"/>
      <c r="L97" s="86"/>
      <c r="M97" s="86"/>
      <c r="N97" s="86"/>
      <c r="O97" s="86"/>
      <c r="P97" s="86"/>
      <c r="Q97" s="86"/>
      <c r="R97" s="86"/>
      <c r="S97" s="86"/>
      <c r="T97" s="86"/>
      <c r="U97" s="86"/>
      <c r="V97" s="86"/>
      <c r="W97" s="86"/>
      <c r="X97" s="86"/>
      <c r="Y97" s="86"/>
      <c r="Z97" s="86" t="s">
        <v>59</v>
      </c>
    </row>
    <row r="98" spans="1:26" ht="18.75" customHeight="1">
      <c r="A98" s="86"/>
      <c r="B98" s="217"/>
      <c r="C98" s="218"/>
      <c r="D98" s="218"/>
      <c r="E98" s="218"/>
      <c r="F98" s="218"/>
      <c r="G98" s="218"/>
      <c r="H98" s="218"/>
      <c r="I98" s="216"/>
      <c r="J98" s="86"/>
      <c r="K98" s="86"/>
      <c r="L98" s="86"/>
      <c r="M98" s="86"/>
      <c r="N98" s="86"/>
      <c r="O98" s="86"/>
      <c r="P98" s="86"/>
      <c r="Q98" s="86"/>
      <c r="R98" s="86"/>
      <c r="S98" s="86"/>
      <c r="T98" s="86"/>
      <c r="U98" s="86"/>
      <c r="V98" s="86"/>
      <c r="W98" s="86"/>
      <c r="X98" s="86"/>
      <c r="Y98" s="86"/>
      <c r="Z98" s="86"/>
    </row>
    <row r="99" spans="1:26" ht="18.75" customHeight="1">
      <c r="A99" s="86"/>
      <c r="B99" s="217"/>
      <c r="C99" s="218"/>
      <c r="D99" s="218"/>
      <c r="E99" s="218"/>
      <c r="F99" s="218"/>
      <c r="G99" s="218"/>
      <c r="H99" s="218"/>
      <c r="I99" s="216"/>
      <c r="J99" s="86"/>
      <c r="K99" s="86"/>
      <c r="L99" s="86"/>
      <c r="M99" s="86"/>
      <c r="N99" s="86"/>
      <c r="O99" s="86"/>
      <c r="P99" s="86"/>
      <c r="Q99" s="86"/>
      <c r="R99" s="86"/>
      <c r="S99" s="86"/>
      <c r="T99" s="86"/>
      <c r="U99" s="86"/>
      <c r="V99" s="86"/>
      <c r="W99" s="86"/>
      <c r="X99" s="86"/>
      <c r="Y99" s="86"/>
      <c r="Z99" s="86"/>
    </row>
    <row r="100" spans="1:26" ht="18.75" customHeight="1">
      <c r="A100" s="86"/>
      <c r="B100" s="217"/>
      <c r="C100" s="218"/>
      <c r="D100" s="218"/>
      <c r="E100" s="218"/>
      <c r="F100" s="218"/>
      <c r="G100" s="218"/>
      <c r="H100" s="218"/>
      <c r="I100" s="216"/>
      <c r="J100" s="86"/>
      <c r="K100" s="86"/>
      <c r="L100" s="86"/>
      <c r="M100" s="86"/>
      <c r="N100" s="86"/>
      <c r="O100" s="86"/>
      <c r="P100" s="86"/>
      <c r="Q100" s="86"/>
      <c r="R100" s="86"/>
      <c r="S100" s="86"/>
      <c r="T100" s="86"/>
      <c r="U100" s="86"/>
      <c r="V100" s="86"/>
      <c r="W100" s="86"/>
      <c r="X100" s="86"/>
      <c r="Y100" s="86"/>
      <c r="Z100" s="86"/>
    </row>
    <row r="101" spans="1:26" ht="18.75" customHeight="1">
      <c r="A101" s="86"/>
      <c r="B101" s="217"/>
      <c r="C101" s="218"/>
      <c r="D101" s="218"/>
      <c r="E101" s="218"/>
      <c r="F101" s="218"/>
      <c r="G101" s="218"/>
      <c r="H101" s="218"/>
      <c r="I101" s="216"/>
      <c r="J101" s="86"/>
      <c r="K101" s="86"/>
      <c r="L101" s="86"/>
      <c r="M101" s="86"/>
      <c r="N101" s="86"/>
      <c r="O101" s="86"/>
      <c r="P101" s="86"/>
      <c r="Q101" s="86"/>
      <c r="R101" s="86"/>
      <c r="S101" s="86"/>
      <c r="T101" s="86"/>
      <c r="U101" s="86"/>
      <c r="V101" s="86"/>
      <c r="W101" s="86"/>
      <c r="X101" s="86"/>
      <c r="Y101" s="86"/>
      <c r="Z101" s="86"/>
    </row>
    <row r="102" spans="1:26" ht="18.75" customHeight="1">
      <c r="A102" s="86"/>
      <c r="B102" s="217"/>
      <c r="C102" s="218"/>
      <c r="D102" s="218"/>
      <c r="E102" s="218"/>
      <c r="F102" s="218"/>
      <c r="G102" s="218"/>
      <c r="H102" s="218"/>
      <c r="I102" s="216"/>
      <c r="J102" s="86"/>
      <c r="K102" s="86"/>
      <c r="L102" s="86"/>
      <c r="M102" s="86"/>
      <c r="N102" s="86"/>
      <c r="O102" s="86"/>
      <c r="P102" s="86"/>
      <c r="Q102" s="86"/>
      <c r="R102" s="86"/>
      <c r="S102" s="86"/>
      <c r="T102" s="86"/>
      <c r="U102" s="86"/>
      <c r="V102" s="86"/>
      <c r="W102" s="86"/>
      <c r="X102" s="86"/>
      <c r="Y102" s="86"/>
      <c r="Z102" s="86"/>
    </row>
    <row r="103" spans="1:26" ht="18.75" customHeight="1">
      <c r="A103" s="86"/>
      <c r="B103" s="217"/>
      <c r="C103" s="218"/>
      <c r="D103" s="218"/>
      <c r="E103" s="218"/>
      <c r="F103" s="218"/>
      <c r="G103" s="218"/>
      <c r="H103" s="218"/>
      <c r="I103" s="216"/>
      <c r="J103" s="86"/>
      <c r="K103" s="86"/>
      <c r="L103" s="86"/>
      <c r="M103" s="86"/>
      <c r="N103" s="86"/>
      <c r="O103" s="86"/>
      <c r="P103" s="86"/>
      <c r="Q103" s="86"/>
      <c r="R103" s="86"/>
      <c r="S103" s="86"/>
      <c r="T103" s="86"/>
      <c r="U103" s="86"/>
      <c r="V103" s="86"/>
      <c r="W103" s="86"/>
      <c r="X103" s="86"/>
      <c r="Y103" s="86"/>
      <c r="Z103" s="86"/>
    </row>
    <row r="104" spans="1:26" ht="18.75" customHeight="1">
      <c r="A104" s="86"/>
      <c r="B104" s="217"/>
      <c r="C104" s="218"/>
      <c r="D104" s="218"/>
      <c r="E104" s="218"/>
      <c r="F104" s="218"/>
      <c r="G104" s="218"/>
      <c r="H104" s="218"/>
      <c r="I104" s="216"/>
      <c r="J104" s="86"/>
      <c r="K104" s="86"/>
      <c r="L104" s="86"/>
      <c r="M104" s="86"/>
      <c r="N104" s="86"/>
      <c r="O104" s="86"/>
      <c r="P104" s="86"/>
      <c r="Q104" s="86"/>
      <c r="R104" s="86"/>
      <c r="S104" s="86"/>
      <c r="T104" s="86"/>
      <c r="U104" s="86"/>
      <c r="V104" s="86"/>
      <c r="W104" s="86"/>
      <c r="X104" s="86"/>
      <c r="Y104" s="86"/>
      <c r="Z104" s="86"/>
    </row>
    <row r="105" spans="1:26" ht="18.75" customHeight="1">
      <c r="A105" s="4"/>
      <c r="B105" s="219"/>
      <c r="C105" s="220"/>
      <c r="D105" s="220"/>
      <c r="E105" s="220"/>
      <c r="F105" s="220"/>
      <c r="G105" s="220"/>
      <c r="H105" s="220"/>
      <c r="I105" s="221"/>
      <c r="J105" s="86"/>
      <c r="K105" s="86"/>
      <c r="L105" s="86"/>
      <c r="M105" s="86"/>
      <c r="N105" s="86"/>
      <c r="O105" s="86"/>
      <c r="P105" s="86"/>
      <c r="Q105" s="86"/>
      <c r="R105" s="86"/>
      <c r="S105" s="86"/>
      <c r="T105" s="86"/>
      <c r="U105" s="86"/>
      <c r="V105" s="86"/>
      <c r="W105" s="86"/>
      <c r="X105" s="86"/>
      <c r="Y105" s="86"/>
      <c r="Z105" s="86"/>
    </row>
    <row r="106" spans="1:26" ht="7.5" customHeight="1">
      <c r="A106" s="4"/>
      <c r="B106" s="4"/>
      <c r="C106" s="4"/>
      <c r="D106" s="4"/>
      <c r="E106" s="4"/>
      <c r="F106" s="4"/>
      <c r="G106" s="4"/>
      <c r="H106" s="4"/>
      <c r="I106" s="4"/>
      <c r="J106" s="86"/>
      <c r="K106" s="86"/>
      <c r="L106" s="86"/>
      <c r="M106" s="86"/>
      <c r="N106" s="86"/>
      <c r="O106" s="86"/>
      <c r="P106" s="86"/>
      <c r="Q106" s="86"/>
      <c r="R106" s="86"/>
      <c r="S106" s="86"/>
      <c r="T106" s="86"/>
      <c r="U106" s="86"/>
      <c r="V106" s="86"/>
      <c r="W106" s="86"/>
      <c r="X106" s="86"/>
      <c r="Y106" s="86"/>
      <c r="Z106" s="86"/>
    </row>
    <row r="107" spans="1:26" ht="18.75" customHeight="1">
      <c r="A107" s="86" t="s">
        <v>153</v>
      </c>
      <c r="B107" s="256" t="s">
        <v>154</v>
      </c>
      <c r="C107" s="256"/>
      <c r="D107" s="256"/>
      <c r="E107" s="256"/>
      <c r="F107" s="256"/>
      <c r="G107" s="256"/>
      <c r="H107" s="256"/>
      <c r="I107" s="256"/>
      <c r="J107" s="86"/>
      <c r="K107" s="86"/>
      <c r="L107" s="86"/>
      <c r="M107" s="86"/>
      <c r="N107" s="86"/>
      <c r="O107" s="86"/>
      <c r="P107" s="86"/>
      <c r="Q107" s="86"/>
      <c r="R107" s="86"/>
      <c r="S107" s="86"/>
      <c r="T107" s="86"/>
      <c r="U107" s="86"/>
      <c r="V107" s="86"/>
      <c r="W107" s="86"/>
      <c r="X107" s="86"/>
      <c r="Y107" s="86"/>
      <c r="Z107" s="86"/>
    </row>
    <row r="108" spans="1:26" ht="18.75" customHeight="1">
      <c r="A108" s="4"/>
      <c r="B108" s="211" t="s">
        <v>155</v>
      </c>
      <c r="C108" s="212"/>
      <c r="D108" s="212"/>
      <c r="E108" s="212"/>
      <c r="F108" s="212"/>
      <c r="G108" s="212"/>
      <c r="H108" s="212"/>
      <c r="I108" s="213"/>
      <c r="J108" s="86"/>
      <c r="K108" s="86"/>
      <c r="L108" s="86"/>
      <c r="M108" s="86"/>
      <c r="N108" s="86"/>
      <c r="O108" s="86"/>
      <c r="P108" s="86"/>
      <c r="Q108" s="86"/>
      <c r="R108" s="86"/>
      <c r="S108" s="86"/>
      <c r="T108" s="86"/>
      <c r="U108" s="86"/>
      <c r="V108" s="86"/>
      <c r="W108" s="86"/>
      <c r="X108" s="86"/>
      <c r="Y108" s="86"/>
      <c r="Z108" s="86"/>
    </row>
    <row r="109" spans="1:26" ht="18.75" customHeight="1">
      <c r="A109" s="4"/>
      <c r="B109" s="217"/>
      <c r="C109" s="218"/>
      <c r="D109" s="218"/>
      <c r="E109" s="218"/>
      <c r="F109" s="218"/>
      <c r="G109" s="218"/>
      <c r="H109" s="218"/>
      <c r="I109" s="216"/>
      <c r="J109" s="86"/>
      <c r="K109" s="86"/>
      <c r="L109" s="86"/>
      <c r="M109" s="86"/>
      <c r="N109" s="86"/>
      <c r="O109" s="86"/>
      <c r="P109" s="86"/>
      <c r="Q109" s="86"/>
      <c r="R109" s="86"/>
      <c r="S109" s="86"/>
      <c r="T109" s="86"/>
      <c r="U109" s="86"/>
      <c r="V109" s="86"/>
      <c r="W109" s="86"/>
      <c r="X109" s="86"/>
      <c r="Y109" s="86"/>
      <c r="Z109" s="86"/>
    </row>
    <row r="110" spans="1:26" ht="18.75" customHeight="1">
      <c r="A110" s="4"/>
      <c r="B110" s="217"/>
      <c r="C110" s="218"/>
      <c r="D110" s="218"/>
      <c r="E110" s="218"/>
      <c r="F110" s="218"/>
      <c r="G110" s="218"/>
      <c r="H110" s="218"/>
      <c r="I110" s="216"/>
      <c r="J110" s="86"/>
      <c r="K110" s="86"/>
      <c r="L110" s="86"/>
      <c r="M110" s="86"/>
      <c r="N110" s="86"/>
      <c r="O110" s="86"/>
      <c r="P110" s="86"/>
      <c r="Q110" s="86"/>
      <c r="R110" s="86"/>
      <c r="S110" s="86"/>
      <c r="T110" s="86"/>
      <c r="U110" s="86"/>
      <c r="V110" s="86"/>
      <c r="W110" s="86"/>
      <c r="X110" s="86"/>
      <c r="Y110" s="86"/>
      <c r="Z110" s="86"/>
    </row>
    <row r="111" spans="1:26" ht="18.75" customHeight="1">
      <c r="A111" s="4"/>
      <c r="B111" s="217"/>
      <c r="C111" s="218"/>
      <c r="D111" s="218"/>
      <c r="E111" s="218"/>
      <c r="F111" s="218"/>
      <c r="G111" s="218"/>
      <c r="H111" s="218"/>
      <c r="I111" s="216"/>
      <c r="J111" s="86"/>
      <c r="K111" s="86"/>
      <c r="L111" s="86"/>
      <c r="M111" s="86"/>
      <c r="N111" s="86"/>
      <c r="O111" s="86"/>
      <c r="P111" s="86"/>
      <c r="Q111" s="86"/>
      <c r="R111" s="86"/>
      <c r="S111" s="86"/>
      <c r="T111" s="86"/>
      <c r="U111" s="86"/>
      <c r="V111" s="86"/>
      <c r="W111" s="86"/>
      <c r="X111" s="86"/>
      <c r="Y111" s="86"/>
      <c r="Z111" s="86"/>
    </row>
    <row r="112" spans="1:26" ht="18.75" customHeight="1">
      <c r="A112" s="4"/>
      <c r="B112" s="217"/>
      <c r="C112" s="218"/>
      <c r="D112" s="218"/>
      <c r="E112" s="218"/>
      <c r="F112" s="218"/>
      <c r="G112" s="218"/>
      <c r="H112" s="218"/>
      <c r="I112" s="216"/>
      <c r="J112" s="86"/>
      <c r="K112" s="86"/>
      <c r="L112" s="86"/>
      <c r="M112" s="86"/>
      <c r="N112" s="86"/>
      <c r="O112" s="86"/>
      <c r="P112" s="86"/>
      <c r="Q112" s="86"/>
      <c r="R112" s="86"/>
      <c r="S112" s="86"/>
      <c r="T112" s="86"/>
      <c r="U112" s="86"/>
      <c r="V112" s="86"/>
      <c r="W112" s="86"/>
      <c r="X112" s="86"/>
      <c r="Y112" s="86"/>
      <c r="Z112" s="86"/>
    </row>
    <row r="113" spans="1:9" ht="18.75" customHeight="1">
      <c r="A113" s="4"/>
      <c r="B113" s="217"/>
      <c r="C113" s="218"/>
      <c r="D113" s="218"/>
      <c r="E113" s="218"/>
      <c r="F113" s="218"/>
      <c r="G113" s="218"/>
      <c r="H113" s="218"/>
      <c r="I113" s="216"/>
    </row>
    <row r="114" spans="1:9" ht="18.75" customHeight="1">
      <c r="A114" s="4"/>
      <c r="B114" s="217"/>
      <c r="C114" s="218"/>
      <c r="D114" s="218"/>
      <c r="E114" s="218"/>
      <c r="F114" s="218"/>
      <c r="G114" s="218"/>
      <c r="H114" s="218"/>
      <c r="I114" s="216"/>
    </row>
    <row r="115" spans="1:9" ht="18.75" customHeight="1">
      <c r="A115" s="4"/>
      <c r="B115" s="217"/>
      <c r="C115" s="218"/>
      <c r="D115" s="218"/>
      <c r="E115" s="218"/>
      <c r="F115" s="218"/>
      <c r="G115" s="218"/>
      <c r="H115" s="218"/>
      <c r="I115" s="216"/>
    </row>
    <row r="116" spans="1:9" ht="18.75" customHeight="1">
      <c r="A116" s="4"/>
      <c r="B116" s="217"/>
      <c r="C116" s="218"/>
      <c r="D116" s="218"/>
      <c r="E116" s="218"/>
      <c r="F116" s="218"/>
      <c r="G116" s="218"/>
      <c r="H116" s="218"/>
      <c r="I116" s="216"/>
    </row>
    <row r="117" spans="1:9" ht="18.75" customHeight="1">
      <c r="A117" s="4"/>
      <c r="B117" s="217"/>
      <c r="C117" s="218"/>
      <c r="D117" s="218"/>
      <c r="E117" s="218"/>
      <c r="F117" s="218"/>
      <c r="G117" s="218"/>
      <c r="H117" s="218"/>
      <c r="I117" s="216"/>
    </row>
    <row r="118" spans="1:9" ht="18.75" customHeight="1">
      <c r="A118" s="4"/>
      <c r="B118" s="217"/>
      <c r="C118" s="218"/>
      <c r="D118" s="218"/>
      <c r="E118" s="218"/>
      <c r="F118" s="218"/>
      <c r="G118" s="218"/>
      <c r="H118" s="218"/>
      <c r="I118" s="216"/>
    </row>
    <row r="119" spans="1:9" ht="18.75" customHeight="1">
      <c r="A119" s="4"/>
      <c r="B119" s="219"/>
      <c r="C119" s="220"/>
      <c r="D119" s="220"/>
      <c r="E119" s="220"/>
      <c r="F119" s="220"/>
      <c r="G119" s="220"/>
      <c r="H119" s="220"/>
      <c r="I119" s="221"/>
    </row>
    <row r="120" spans="1:9" ht="7.5" customHeight="1">
      <c r="A120" s="4"/>
      <c r="B120" s="35"/>
      <c r="C120" s="35"/>
      <c r="D120" s="35"/>
      <c r="E120" s="35"/>
      <c r="F120" s="35"/>
      <c r="G120" s="35"/>
      <c r="H120" s="35"/>
      <c r="I120" s="35"/>
    </row>
    <row r="121" spans="1:9" ht="18.75" customHeight="1">
      <c r="A121" s="65"/>
      <c r="B121" s="206"/>
      <c r="C121" s="206"/>
      <c r="D121" s="206"/>
      <c r="E121" s="206"/>
      <c r="F121" s="206"/>
      <c r="G121" s="206"/>
      <c r="H121" s="206"/>
      <c r="I121" s="206"/>
    </row>
    <row r="122" spans="1:9" ht="18.75" customHeight="1">
      <c r="A122" s="65"/>
      <c r="B122" s="206"/>
      <c r="C122" s="206"/>
      <c r="D122" s="206"/>
      <c r="E122" s="206"/>
      <c r="F122" s="206"/>
      <c r="G122" s="206"/>
      <c r="H122" s="206"/>
      <c r="I122" s="206"/>
    </row>
    <row r="123" spans="1:9" ht="18.75" customHeight="1">
      <c r="A123" s="4"/>
      <c r="B123" s="83"/>
      <c r="C123" s="83"/>
      <c r="D123" s="83"/>
      <c r="E123" s="83"/>
      <c r="F123" s="83"/>
      <c r="G123" s="83"/>
      <c r="H123" s="83"/>
      <c r="I123" s="84"/>
    </row>
    <row r="124" spans="1:9" ht="18.75" customHeight="1">
      <c r="A124" s="4"/>
      <c r="B124" s="84"/>
      <c r="C124" s="84"/>
      <c r="D124" s="84"/>
      <c r="E124" s="84"/>
      <c r="F124" s="84"/>
      <c r="G124" s="84"/>
      <c r="H124" s="84"/>
      <c r="I124" s="84"/>
    </row>
    <row r="125" spans="1:9" ht="18.75" customHeight="1">
      <c r="A125" s="4"/>
      <c r="B125" s="84"/>
      <c r="C125" s="84"/>
      <c r="D125" s="84"/>
      <c r="E125" s="84"/>
      <c r="F125" s="84"/>
      <c r="G125" s="84"/>
      <c r="H125" s="84"/>
      <c r="I125" s="84"/>
    </row>
    <row r="126" spans="1:9" ht="18.75" customHeight="1">
      <c r="A126" s="4"/>
      <c r="B126" s="84"/>
      <c r="C126" s="84"/>
      <c r="D126" s="84"/>
      <c r="E126" s="84"/>
      <c r="F126" s="84"/>
      <c r="G126" s="84"/>
      <c r="H126" s="84"/>
      <c r="I126" s="84"/>
    </row>
    <row r="127" spans="1:9" ht="18.75" customHeight="1">
      <c r="A127" s="4"/>
      <c r="B127" s="84"/>
      <c r="C127" s="84"/>
      <c r="D127" s="84"/>
      <c r="E127" s="84"/>
      <c r="F127" s="84"/>
      <c r="G127" s="84"/>
      <c r="H127" s="84"/>
      <c r="I127" s="84"/>
    </row>
    <row r="128" spans="1:9" ht="18.75" customHeight="1">
      <c r="A128" s="4"/>
      <c r="B128" s="84"/>
      <c r="C128" s="84"/>
      <c r="D128" s="84"/>
      <c r="E128" s="84"/>
      <c r="F128" s="84"/>
      <c r="G128" s="84"/>
      <c r="H128" s="84"/>
      <c r="I128" s="84"/>
    </row>
    <row r="129" spans="1:9" ht="18.75" customHeight="1">
      <c r="A129" s="4"/>
      <c r="B129" s="84"/>
      <c r="C129" s="84"/>
      <c r="D129" s="84"/>
      <c r="E129" s="84"/>
      <c r="F129" s="84"/>
      <c r="G129" s="84"/>
      <c r="H129" s="84"/>
      <c r="I129" s="84"/>
    </row>
    <row r="130" spans="1:9" ht="18.75" customHeight="1">
      <c r="A130" s="4"/>
      <c r="B130" s="84"/>
      <c r="C130" s="84"/>
      <c r="D130" s="84"/>
      <c r="E130" s="84"/>
      <c r="F130" s="84"/>
      <c r="G130" s="84"/>
      <c r="H130" s="84"/>
      <c r="I130" s="84"/>
    </row>
    <row r="131" spans="1:9" ht="18.75" customHeight="1">
      <c r="A131" s="4"/>
      <c r="B131" s="84"/>
      <c r="C131" s="84"/>
      <c r="D131" s="84"/>
      <c r="E131" s="84"/>
      <c r="F131" s="84"/>
      <c r="G131" s="84"/>
      <c r="H131" s="84"/>
      <c r="I131" s="84"/>
    </row>
    <row r="132" spans="1:9" ht="18.75" customHeight="1">
      <c r="A132" s="4"/>
      <c r="B132" s="84"/>
      <c r="C132" s="84"/>
      <c r="D132" s="84"/>
      <c r="E132" s="84"/>
      <c r="F132" s="84"/>
      <c r="G132" s="84"/>
      <c r="H132" s="84"/>
      <c r="I132" s="84"/>
    </row>
    <row r="133" spans="1:9" ht="14.25">
      <c r="A133" s="4"/>
      <c r="B133" s="84"/>
      <c r="C133" s="84"/>
      <c r="D133" s="84"/>
      <c r="E133" s="84"/>
      <c r="F133" s="84"/>
      <c r="G133" s="84"/>
      <c r="H133" s="84"/>
      <c r="I133" s="84"/>
    </row>
    <row r="134" spans="1:9" ht="7.5" customHeight="1">
      <c r="A134" s="4"/>
      <c r="B134" s="84"/>
      <c r="C134" s="84"/>
      <c r="D134" s="84"/>
      <c r="E134" s="84"/>
      <c r="F134" s="84"/>
      <c r="G134" s="84"/>
      <c r="H134" s="84"/>
      <c r="I134" s="84"/>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97"/>
  <sheetViews>
    <sheetView showZeros="0" view="pageBreakPreview" topLeftCell="A22" zoomScale="120" zoomScaleSheetLayoutView="120" workbookViewId="0">
      <selection activeCell="E22" sqref="E22:I22"/>
    </sheetView>
  </sheetViews>
  <sheetFormatPr defaultColWidth="11.375" defaultRowHeight="22.5" customHeight="1"/>
  <cols>
    <col min="1" max="3" width="2.625" style="1" customWidth="1"/>
    <col min="4" max="4" width="22.125" style="1" customWidth="1"/>
    <col min="5" max="5" width="30.625" style="1" customWidth="1"/>
    <col min="6" max="7" width="7.625" style="1" customWidth="1"/>
    <col min="8" max="9" width="30.625" style="1" customWidth="1"/>
    <col min="10" max="10" width="4.125" style="1" customWidth="1"/>
    <col min="11" max="16384" width="11.375" style="1"/>
  </cols>
  <sheetData>
    <row r="1" spans="1:9" ht="18.75" customHeight="1">
      <c r="A1" s="86" t="s">
        <v>156</v>
      </c>
      <c r="B1" s="86"/>
      <c r="C1" s="86"/>
      <c r="D1" s="86"/>
      <c r="E1" s="86"/>
      <c r="F1" s="86"/>
      <c r="G1" s="86"/>
      <c r="H1" s="86"/>
      <c r="I1" s="27" t="s">
        <v>157</v>
      </c>
    </row>
    <row r="2" spans="1:9" ht="18.75" customHeight="1">
      <c r="A2" s="86"/>
      <c r="B2" s="86"/>
      <c r="C2" s="86"/>
      <c r="D2" s="86"/>
      <c r="E2" s="86"/>
      <c r="F2" s="86"/>
      <c r="G2" s="86"/>
      <c r="H2" s="27" t="s">
        <v>2</v>
      </c>
      <c r="I2" s="26" t="str">
        <f>'様式１　プログラムを構成する授業科目'!C2</f>
        <v>サレジオ工業高等専門学校</v>
      </c>
    </row>
    <row r="3" spans="1:9" ht="18.75" customHeight="1">
      <c r="A3" s="207" t="s">
        <v>158</v>
      </c>
      <c r="B3" s="207"/>
      <c r="C3" s="207"/>
      <c r="D3" s="207"/>
      <c r="E3" s="207"/>
      <c r="F3" s="207"/>
      <c r="G3" s="207"/>
      <c r="H3" s="207"/>
      <c r="I3" s="207"/>
    </row>
    <row r="4" spans="1:9" ht="18.75" customHeight="1">
      <c r="A4" s="82"/>
      <c r="B4" s="82"/>
      <c r="C4" s="82"/>
      <c r="D4" s="82"/>
      <c r="E4" s="82"/>
      <c r="F4" s="82"/>
      <c r="G4" s="82"/>
      <c r="H4" s="82"/>
      <c r="I4" s="82"/>
    </row>
    <row r="5" spans="1:9" ht="18.75" customHeight="1">
      <c r="A5" s="86" t="s">
        <v>108</v>
      </c>
      <c r="B5" s="9" t="s">
        <v>159</v>
      </c>
      <c r="C5" s="82"/>
      <c r="D5" s="82"/>
      <c r="E5" s="82"/>
      <c r="F5" s="82"/>
      <c r="G5" s="82"/>
      <c r="H5" s="82"/>
      <c r="I5" s="82"/>
    </row>
    <row r="6" spans="1:9" ht="26.25" customHeight="1">
      <c r="A6" s="82"/>
      <c r="B6" s="222" t="s">
        <v>160</v>
      </c>
      <c r="C6" s="252"/>
      <c r="D6" s="252"/>
      <c r="E6" s="252"/>
      <c r="F6" s="252"/>
      <c r="G6" s="252"/>
      <c r="H6" s="253"/>
      <c r="I6" s="85"/>
    </row>
    <row r="7" spans="1:9" ht="9" customHeight="1">
      <c r="A7" s="82"/>
      <c r="B7" s="9"/>
      <c r="C7" s="9"/>
      <c r="D7" s="9"/>
      <c r="E7" s="9"/>
      <c r="F7" s="9"/>
      <c r="G7" s="9"/>
      <c r="H7" s="9"/>
      <c r="I7" s="85"/>
    </row>
    <row r="8" spans="1:9" ht="18.75" customHeight="1">
      <c r="A8" s="82"/>
      <c r="B8" s="85"/>
      <c r="C8" s="85"/>
      <c r="D8" s="27" t="s">
        <v>116</v>
      </c>
      <c r="E8" s="28" t="s">
        <v>161</v>
      </c>
      <c r="F8" s="85"/>
      <c r="G8" s="27" t="s">
        <v>118</v>
      </c>
      <c r="H8" s="28" t="s">
        <v>162</v>
      </c>
      <c r="I8" s="85"/>
    </row>
    <row r="9" spans="1:9" ht="7.5" customHeight="1">
      <c r="A9" s="82"/>
      <c r="B9" s="82"/>
      <c r="C9" s="82"/>
      <c r="D9" s="82"/>
      <c r="E9" s="82"/>
      <c r="F9" s="82"/>
      <c r="G9" s="82"/>
      <c r="H9" s="82"/>
      <c r="I9" s="82"/>
    </row>
    <row r="10" spans="1:9" ht="18.75" customHeight="1">
      <c r="A10" s="86" t="s">
        <v>112</v>
      </c>
      <c r="B10" s="86" t="s">
        <v>163</v>
      </c>
      <c r="C10" s="4"/>
      <c r="D10" s="4"/>
      <c r="E10" s="4"/>
      <c r="F10" s="4"/>
      <c r="G10" s="4"/>
      <c r="H10" s="4"/>
      <c r="I10" s="4"/>
    </row>
    <row r="11" spans="1:9" ht="18.75" customHeight="1">
      <c r="A11" s="86"/>
      <c r="B11" s="105" t="s">
        <v>164</v>
      </c>
      <c r="C11" s="106"/>
      <c r="D11" s="107"/>
      <c r="E11" s="106" t="s">
        <v>165</v>
      </c>
      <c r="F11" s="106"/>
      <c r="G11" s="106"/>
      <c r="H11" s="106"/>
      <c r="I11" s="107"/>
    </row>
    <row r="12" spans="1:9" ht="26.25" customHeight="1">
      <c r="A12" s="86"/>
      <c r="B12" s="36" t="s">
        <v>166</v>
      </c>
      <c r="C12" s="43"/>
      <c r="D12" s="37"/>
      <c r="E12" s="44"/>
      <c r="F12" s="44"/>
      <c r="G12" s="44"/>
      <c r="H12" s="44"/>
      <c r="I12" s="37"/>
    </row>
    <row r="13" spans="1:9" ht="210.75" customHeight="1">
      <c r="A13" s="86"/>
      <c r="B13" s="38"/>
      <c r="C13" s="234" t="s">
        <v>167</v>
      </c>
      <c r="D13" s="235"/>
      <c r="E13" s="248" t="s">
        <v>168</v>
      </c>
      <c r="F13" s="236"/>
      <c r="G13" s="236"/>
      <c r="H13" s="236"/>
      <c r="I13" s="237"/>
    </row>
    <row r="14" spans="1:9" ht="210.75" customHeight="1">
      <c r="A14" s="86"/>
      <c r="B14" s="38"/>
      <c r="C14" s="257" t="s">
        <v>169</v>
      </c>
      <c r="D14" s="258"/>
      <c r="E14" s="248" t="s">
        <v>170</v>
      </c>
      <c r="F14" s="236"/>
      <c r="G14" s="236"/>
      <c r="H14" s="236"/>
      <c r="I14" s="237"/>
    </row>
    <row r="15" spans="1:9" ht="210.75" customHeight="1">
      <c r="A15" s="86"/>
      <c r="B15" s="38"/>
      <c r="C15" s="234" t="s">
        <v>171</v>
      </c>
      <c r="D15" s="235"/>
      <c r="E15" s="248" t="s">
        <v>172</v>
      </c>
      <c r="F15" s="236"/>
      <c r="G15" s="236"/>
      <c r="H15" s="236"/>
      <c r="I15" s="237"/>
    </row>
    <row r="16" spans="1:9" ht="210.75" customHeight="1">
      <c r="A16" s="86"/>
      <c r="B16" s="38"/>
      <c r="C16" s="234" t="s">
        <v>173</v>
      </c>
      <c r="D16" s="235"/>
      <c r="E16" s="248" t="s">
        <v>174</v>
      </c>
      <c r="F16" s="236"/>
      <c r="G16" s="236"/>
      <c r="H16" s="236"/>
      <c r="I16" s="237"/>
    </row>
    <row r="17" spans="2:9" ht="210.75" customHeight="1">
      <c r="B17" s="39"/>
      <c r="C17" s="238" t="s">
        <v>175</v>
      </c>
      <c r="D17" s="239"/>
      <c r="E17" s="249" t="s">
        <v>176</v>
      </c>
      <c r="F17" s="250"/>
      <c r="G17" s="250"/>
      <c r="H17" s="250"/>
      <c r="I17" s="251"/>
    </row>
    <row r="18" spans="2:9" ht="24" customHeight="1">
      <c r="B18" s="36" t="s">
        <v>177</v>
      </c>
      <c r="C18" s="40"/>
      <c r="D18" s="41"/>
      <c r="E18" s="42"/>
      <c r="F18" s="42"/>
      <c r="G18" s="42"/>
      <c r="H18" s="42"/>
      <c r="I18" s="45"/>
    </row>
    <row r="19" spans="2:9" ht="218.25" customHeight="1">
      <c r="B19" s="38"/>
      <c r="C19" s="234" t="s">
        <v>178</v>
      </c>
      <c r="D19" s="235"/>
      <c r="E19" s="236" t="s">
        <v>179</v>
      </c>
      <c r="F19" s="236"/>
      <c r="G19" s="236"/>
      <c r="H19" s="236"/>
      <c r="I19" s="237"/>
    </row>
    <row r="20" spans="2:9" ht="218.25" customHeight="1">
      <c r="B20" s="39"/>
      <c r="C20" s="238" t="s">
        <v>180</v>
      </c>
      <c r="D20" s="239"/>
      <c r="E20" s="240" t="s">
        <v>181</v>
      </c>
      <c r="F20" s="241"/>
      <c r="G20" s="241"/>
      <c r="H20" s="241"/>
      <c r="I20" s="242"/>
    </row>
    <row r="21" spans="2:9" ht="218.25" customHeight="1">
      <c r="B21" s="243" t="s">
        <v>182</v>
      </c>
      <c r="C21" s="244"/>
      <c r="D21" s="245"/>
      <c r="E21" s="246" t="s">
        <v>183</v>
      </c>
      <c r="F21" s="246"/>
      <c r="G21" s="246"/>
      <c r="H21" s="246"/>
      <c r="I21" s="247"/>
    </row>
    <row r="22" spans="2:9" ht="218.25" customHeight="1">
      <c r="B22" s="229" t="s">
        <v>184</v>
      </c>
      <c r="C22" s="230"/>
      <c r="D22" s="231"/>
      <c r="E22" s="232" t="s">
        <v>185</v>
      </c>
      <c r="F22" s="232"/>
      <c r="G22" s="232"/>
      <c r="H22" s="232"/>
      <c r="I22" s="233"/>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88"/>
      <c r="C28" s="88"/>
      <c r="D28" s="88"/>
      <c r="E28" s="88"/>
      <c r="F28" s="88"/>
      <c r="G28" s="88"/>
      <c r="H28" s="88"/>
      <c r="I28" s="88"/>
    </row>
    <row r="29" spans="2:9" ht="22.5" customHeight="1">
      <c r="B29" s="88"/>
      <c r="C29" s="88"/>
      <c r="D29" s="88"/>
      <c r="E29" s="88"/>
      <c r="F29" s="88"/>
      <c r="G29" s="88"/>
      <c r="H29" s="88"/>
      <c r="I29" s="88"/>
    </row>
    <row r="30" spans="2:9" ht="22.5" customHeight="1">
      <c r="B30" s="88"/>
      <c r="C30" s="88"/>
      <c r="D30" s="88"/>
      <c r="E30" s="88"/>
      <c r="F30" s="88"/>
      <c r="G30" s="88"/>
      <c r="H30" s="88"/>
      <c r="I30" s="88"/>
    </row>
    <row r="97" spans="26:26" ht="22.5" customHeight="1">
      <c r="Z97" s="86" t="s">
        <v>59</v>
      </c>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今川新悟</cp:lastModifiedBy>
  <cp:revision/>
  <dcterms:created xsi:type="dcterms:W3CDTF">2011-06-14T05:32:50Z</dcterms:created>
  <dcterms:modified xsi:type="dcterms:W3CDTF">2024-08-07T07:10:22Z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