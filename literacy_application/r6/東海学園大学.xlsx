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9"/>
  <workbookPr defaultThemeVersion="124226"/>
  <mc:AlternateContent xmlns:mc="http://schemas.openxmlformats.org/markup-compatibility/2006">
    <mc:Choice Requires="x15">
      <x15ac:absPath xmlns:x15ac="http://schemas.microsoft.com/office/spreadsheetml/2010/11/ac" url="Y:\教務課共通\文部科学省\数理・データサイエンス・AI教育プログラム認定制度\令和6年度認定申請（5.13〆切）\【提出用】\"/>
    </mc:Choice>
  </mc:AlternateContent>
  <xr:revisionPtr revIDLastSave="0" documentId="13_ncr:1_{47A65BE2-627C-403A-938B-BFAC18470D44}" xr6:coauthVersionLast="36" xr6:coauthVersionMax="47" xr10:uidLastSave="{00000000-0000-0000-0000-000000000000}"/>
  <bookViews>
    <workbookView xWindow="0" yWindow="0" windowWidth="20490" windowHeight="7455"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<sst xmlns="http://schemas.openxmlformats.org/spreadsheetml/2006/main" count="280" uniqueCount="182">
  <si>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</si>
  <si>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</si>
  <si>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</si>
  <si>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</si>
  <si>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</si>
  <si>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</si>
  <si>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</si>
  <si>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</si>
  <si>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</si>
  <si>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</si>
  <si>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</si>
  <si>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</si>
  <si>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</si>
  <si>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</si>
  <si>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</si>
  <si>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</si>
  <si>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</si>
  <si>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</si>
  <si>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</si>
  <si>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</si>
  <si>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</si>
  <si>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</si>
  <si>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</si>
  <si>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</si>
  <si>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</si>
  <si>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</si>
  <si>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</si>
  <si>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</si>
  <si>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</si>
  <si>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</si>
  <si>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</si>
  <si>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</si>
  <si>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</si>
  <si>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</si>
  <si>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</si>
  <si>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</si>
  <si>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</si>
  <si>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</si>
  <si>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</si>
  <si>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</si>
  <si>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</si>
  <si>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</si>
  <si>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</si>
  <si>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</si>
  <si>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</si>
  <si>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</si>
  <si>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</si>
  <si>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</si>
  <si>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</si>
  <si>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</si>
  <si>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</si>
  <si>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</si>
  <si>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</si>
  <si>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</si>
  <si>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</si>
  <si>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</si>
  <si>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</si>
  <si>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</si>
  <si>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</si>
  <si>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</si>
  <si>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</si>
  <si>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</si>
  <si>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</si>
  <si>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</si>
  <si>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</si>
  <si>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</si>
  <si>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</si>
  <si>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</si>
  <si>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</si>
  <si>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</si>
  <si>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</si>
  <si>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</si>
  <si>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</si>
  <si>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</si>
  <si>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</si>
  <si>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</si>
  <si>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</si>
  <si>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</si>
  <si>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</si>
  <si>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</si>
  <si>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</si>
  <si>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</si>
  <si>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</si>
  <si>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</si>
  <si>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</si>
  <si>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</si>
  <si>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</si>
  <si>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</si>
  <si>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</si>
  <si>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</si>
  <si>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</si>
  <si>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</si>
  <si>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</si>
  <si>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</si>
  <si>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</si>
  <si>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</si>
  <si>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</si>
  <si>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</si>
  <si>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</si>
  <si>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</si>
  <si>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</si>
  <si>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</si>
  <si>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</si>
  <si>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</si>
  <si>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</si>
  <si>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</si>
  <si>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</si>
  <si>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</si>
  <si>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</si>
  <si>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</si>
  <si>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</si>
  <si>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</si>
  <si>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</si>
  <si>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</si>
  <si>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</si>
  <si>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</si>
  <si>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</si>
  <si>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</si>
  <si>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</si>
  <si>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</si>
  <si>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</si>
  <si>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</si>
  <si>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</si>
  <si>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</si>
  <si>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</si>
  <si>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</si>
  <si>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</si>
  <si>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</si>
  <si>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</si>
  <si>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</si>
  <si>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</si>
  <si>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</si>
  <si>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</si>
  <si>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</si>
  <si>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</si>
  <si>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</si>
  <si>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東海学園大学</t>
    <phoneticPr fontId="1"/>
  </si>
  <si>
    <t>数理・データサイエンス・AI教育プログラム</t>
    <phoneticPr fontId="1"/>
  </si>
  <si>
    <t>学部・学科によって、修了要件は相違しない</t>
  </si>
  <si>
    <t>データサイエンス</t>
    <phoneticPr fontId="1"/>
  </si>
  <si>
    <t>○</t>
  </si>
  <si>
    <t>令和5</t>
    <phoneticPr fontId="1"/>
  </si>
  <si>
    <t>山本　伸</t>
    <phoneticPr fontId="1"/>
  </si>
  <si>
    <t>ともいき教養教育機構長</t>
    <phoneticPr fontId="1"/>
  </si>
  <si>
    <t>ともいき教養教育機構</t>
    <phoneticPr fontId="1"/>
  </si>
  <si>
    <t>東海学園大学ともいき教養教育機構規程</t>
    <phoneticPr fontId="1"/>
  </si>
  <si>
    <t>全学共通科目の「データサイエンス」2単位を修得すること。</t>
    <rPh sb="21" eb="23">
      <t>シュウトク</t>
    </rPh>
    <phoneticPr fontId="1"/>
  </si>
  <si>
    <t>ともいき教養教育機構は、本学の学則に掲げる「勤倹誠実」の信念と「共生」の教育理念の実現をめざし、「ともいき人間教育」「ともいき教養教育」「ともいき実践教育」を柱とする全学的な共通教育（以下、「全学共通教育」という。）において、その具現化を図ることを目的とする。数理・データサイエンス・AI教育プログラムは全学共通教育に含み、機構は全学共通教育に係わる教育課程の編成に関する事項、目的を具現化するための企画・立案及び実施に関する事項、推進及び実施に必要な事項等を協議する。</t>
    <phoneticPr fontId="1"/>
  </si>
  <si>
    <t>プログラム対象科目は全学共通科目群に属し、キャンパスごとに設定している時間割上の全学共通科目ゾーンの時間帯に開講している。全学共通科目ゾーンには各学部の卒業必修科目を配置しないように時間割編成を行い、全ての学部生が選択することができるようにしている。</t>
    <phoneticPr fontId="1"/>
  </si>
  <si>
    <t>本学では学生の履修支援として、各学期の開始前に各学部・学年別に履修に関するガイダンスを実施し、卒業要件や履修に関する注意事項、定員設定科目についての説明を行っている。その中でプログラムの説明を行い、対象科目の開講時限の再確認を行うほか、ポータルサイト「UNIVERSAL PASSPORT」で履修登録期間前にプログラム内容と開講時間の再告知を行い、学生に履修登録を促している。
また、プログラム科目担当教員が1年生選択科目の「情報リテラシーA・B」も担当することで、全学共通科目「情報」分野の履修系統図における次の展開科目である2年次の「データサイエンス」について直接説明し、履修を勧めることができる。</t>
    <phoneticPr fontId="1"/>
  </si>
  <si>
    <t>授業前後に時間を設けて授業担当教員が質問等を受付けるほかに、ポータルサイト「UNIVERSAL PASSPORT」の「授業Q&amp;A回答」機能またはMicrosoft Teamsのチャット機能を利用して、履修者は学外からも授業担当教員に質問することができ、担当教員から該当学生へのフィードバックも可能となっている。</t>
    <phoneticPr fontId="1"/>
  </si>
  <si>
    <t>プログラム科目である「データサイエンス」は令和5年度から開講した。令和4年度入学生向けの新カリキュラム科目のため、旧カリキュラム対象学生（令和3年度以前入学生）は履修できなかった。今後は、ガイダンスや履修指導の機会において、プログラム履修の意義について学生へ周知していく必要がある。</t>
    <phoneticPr fontId="1"/>
  </si>
  <si>
    <r>
      <t>全学的に実施している授業評価アンケートにおいて、「シラバスに示されている到達目標を達成できたか」、「授業内容はよく理解できたか」の設問を設けて、学生の内容の理解度を調査している。
令和5年度の評価は、いずれの項目においても5点満点中3.9点以上と高かった。また、自由記述項目においても、「実践的な内容を</t>
    </r>
    <r>
      <rPr>
        <sz val="12"/>
        <color theme="1"/>
        <rFont val="Microsoft YaHei UI"/>
        <family val="3"/>
        <charset val="134"/>
      </rPr>
      <t>⾏</t>
    </r>
    <r>
      <rPr>
        <sz val="12"/>
        <color theme="1"/>
        <rFont val="ＭＳ Ｐゴシック"/>
        <family val="3"/>
        <charset val="128"/>
        <scheme val="minor"/>
      </rPr>
      <t>った」、「スキルが</t>
    </r>
    <r>
      <rPr>
        <sz val="12"/>
        <color theme="1"/>
        <rFont val="Microsoft YaHei UI"/>
        <family val="3"/>
        <charset val="134"/>
      </rPr>
      <t>⾝</t>
    </r>
    <r>
      <rPr>
        <sz val="12"/>
        <color theme="1"/>
        <rFont val="ＭＳ Ｐゴシック"/>
        <family val="3"/>
        <charset val="128"/>
        <scheme val="minor"/>
      </rPr>
      <t>に付いた」、「将来役</t>
    </r>
    <r>
      <rPr>
        <sz val="12"/>
        <color theme="1"/>
        <rFont val="Microsoft YaHei UI"/>
        <family val="3"/>
        <charset val="134"/>
      </rPr>
      <t>⽴</t>
    </r>
    <r>
      <rPr>
        <sz val="12"/>
        <color theme="1"/>
        <rFont val="ＭＳ Ｐゴシック"/>
        <family val="3"/>
        <charset val="128"/>
        <scheme val="minor"/>
      </rPr>
      <t>つ知識が学べた」、「すごくためになる」といった高評価の回答が多かった。</t>
    </r>
    <phoneticPr fontId="1"/>
  </si>
  <si>
    <t>全学的に実施している授業評価アンケートにおいて、「授業内容への興味・関心が増したか」、「授業は総合的に見て満足のいくものだったか」の設問を設けて、学生の知的関心の高まりや達成感について調査している。令和5年度の評価は、いずれの項目においても5点満点中4.2点以上と高かった。
後輩等他の学生への推奨度を問う項目は設定されていないため、今後は本プログラム独自の授業評価アンケートを実施し、他の学生への推奨度を調査する。</t>
    <phoneticPr fontId="1"/>
  </si>
  <si>
    <t>2022（令和4）年度入学生から導入された新カリキュラム科目のため、該当学年（2年次）しか履修することができず、履修者は38名にとどまった。今後はより多くの学生が履修するように、配当年次の学生のみならず、上級年次（3,4年次）に向けてもプログラムの周知を強化していく。</t>
    <phoneticPr fontId="1"/>
  </si>
  <si>
    <t>キャリア開発センターにおいて、卒業予定者の就職先の調査を行い、就職内定状況を把握している。また卒業生が学位授与方針に沿った資質を持ったうえで働くことができているか把握するために、学内企業展に参加する企業に対して企業アンケートを実施している。
2023（令和５）年度に2年次向けに開講したのが学生にとって初めてのプログラム履修機会となり、当該学生が卒業するのは2025（令和7）年度末となる。よって現時点で本プログラムを修了して卒業した学生はいない。今後、本プログラム修了者の卒業後の活躍状況や企業等の評価を把握できるように、企業アンケートを活用するなど、把握手段について検討していく。</t>
    <phoneticPr fontId="1"/>
  </si>
  <si>
    <t>該当なし</t>
    <rPh sb="0" eb="2">
      <t>ガイトウ</t>
    </rPh>
    <phoneticPr fontId="1"/>
  </si>
  <si>
    <t>経営学部</t>
    <rPh sb="0" eb="2">
      <t>ケイエイ</t>
    </rPh>
    <rPh sb="2" eb="4">
      <t>ガクブ</t>
    </rPh>
    <phoneticPr fontId="1"/>
  </si>
  <si>
    <t>人文学部</t>
    <rPh sb="0" eb="2">
      <t>ジンブン</t>
    </rPh>
    <rPh sb="2" eb="4">
      <t>ガクブ</t>
    </rPh>
    <phoneticPr fontId="1"/>
  </si>
  <si>
    <t>心理学部</t>
    <rPh sb="0" eb="2">
      <t>シンリ</t>
    </rPh>
    <rPh sb="2" eb="4">
      <t>ガクブ</t>
    </rPh>
    <phoneticPr fontId="1"/>
  </si>
  <si>
    <t>教育学部</t>
    <rPh sb="0" eb="2">
      <t>キョウイク</t>
    </rPh>
    <rPh sb="2" eb="4">
      <t>ガクブ</t>
    </rPh>
    <phoneticPr fontId="1"/>
  </si>
  <si>
    <t>健康栄養学部</t>
    <rPh sb="0" eb="2">
      <t>ケンコウ</t>
    </rPh>
    <rPh sb="2" eb="4">
      <t>エイヨウ</t>
    </rPh>
    <rPh sb="4" eb="6">
      <t>ガクブ</t>
    </rPh>
    <phoneticPr fontId="1"/>
  </si>
  <si>
    <t>スポーツ健康科学部</t>
    <rPh sb="4" eb="6">
      <t>ケンコウ</t>
    </rPh>
    <rPh sb="6" eb="9">
      <t>カガクブ</t>
    </rPh>
    <phoneticPr fontId="1"/>
  </si>
  <si>
    <t>・なぜ、数理・データサイエンス・AIを学ぶのか、理解できる。
・社会でどのように活用され新たな価値を生んでいるのか、理解できる。
・AIの得意なところ、苦手なところを理解し、人間中心の適切な判断ができる。
・社会の実データ、実課題を適切に読み解き、判断できる。
など、これらを日常の生活、仕事等の現場に活かし、使いこなすことができる基礎的素養を身に付けることができます。</t>
    <phoneticPr fontId="1"/>
  </si>
  <si>
    <t>・ビッグデータ、IoT「データサイエンス」（１回目）
・第4次産業革命「データサイエンス」（１回目）
・Society 5.0「データサイエンス」（１回目、２回目）
・データ駆動型社会「データサイエンス」（２回目）</t>
    <rPh sb="75" eb="77">
      <t>カイメ</t>
    </rPh>
    <phoneticPr fontId="1"/>
  </si>
  <si>
    <t>・AI等を活用した新しいビジネスモデル「データサイエンス」（１１回目）
・AI最新技術の活用例「データサイエンス」（１１回目）</t>
    <phoneticPr fontId="1"/>
  </si>
  <si>
    <t>・調査データ、実験データ、人の行動ログデータ、機械の稼働ログデータなど「データサイエンス」（３回目）
・1次データ、2次データ、データのメタ化「データサイエンス」（４回目）
・構造化データ、非構造化データ「データサイエンス」（４回目）</t>
    <phoneticPr fontId="1"/>
  </si>
  <si>
    <t>・データ・AI活用領域の広がり「データサイエンス」（５回目）
・研究開発、調達、製造、物流、販売、マーケティング、サービスなど「データサイエンス」（５回目）</t>
    <phoneticPr fontId="1"/>
  </si>
  <si>
    <t>・データ解析「データサイエンス」（６回目）
・データ可視化「データサイエンス」（６回目）
・非構造化データ処理「データサイエンス」（７回目）
・特化型AIと汎用AI「データサイエンス」（７回目）</t>
    <phoneticPr fontId="1"/>
  </si>
  <si>
    <t>・データサイエンスのサイクル「データサイエンス」（８回目）
・流通、製造、金融、サービス、インフラ、公共、ヘルスケア等におけるデータ・AI利活用事例紹介「データサイエンス」（９回目、１０回目）</t>
    <rPh sb="93" eb="95">
      <t>カイメ</t>
    </rPh>
    <phoneticPr fontId="1"/>
  </si>
  <si>
    <t>・ELSI（Ethical, Legal and Social Issues）「データサイエンス」（１２回目）
・個人情報保護「データサイエンス」（１２回目）
・データ倫理「データサイエンス」（１３回目）
・AI社会原則「データサイエンス」（１３回目）
・データ・AI活用における負の事例「データサイエンス」（１３回目）</t>
    <phoneticPr fontId="1"/>
  </si>
  <si>
    <t>・情報セキュリティ「データサイエンス」（１４回目）
・匿名加工情報、暗号化、パスワード「データサイエンス」（１４回目）
・情報漏洩等によるセキュリティ事故の事例紹介「データサイエンス」（１４回目）</t>
    <phoneticPr fontId="1"/>
  </si>
  <si>
    <t xml:space="preserve">
・データのばらつき「データサイエンス」（７回目）
・データの分布(ヒストグラム)と代表値「データサイエンス」（１２回目）
・相関と因果「データサイエンス」（１３回目）
・クロス集計表「データサイエンス」（１４回目）</t>
    <phoneticPr fontId="1"/>
  </si>
  <si>
    <t>・データの比較「データサイエンス」（４回目、５回目）
・データ表現「データサイエンス」（１０回目、１１回目）</t>
    <phoneticPr fontId="1"/>
  </si>
  <si>
    <t xml:space="preserve">・データ解析ツール「データサイエンス」（２回目、３回目）
・データの集計「データサイエンス」（６回目）
・データの並び替え、ランキング「データサイエンス」（８回目、９回目）
</t>
    <rPh sb="48" eb="50">
      <t>カイメ</t>
    </rPh>
    <phoneticPr fontId="1"/>
  </si>
  <si>
    <t>プログラム科目である「データサイエンス」は令和4年度入学生の教育課程から新設された2年次の選択科目である。開講初年度となった令和5年度は、対象年次（令和4年度入学生）しか授業できなかった。
ポータルサイト「UNIVERSAL PASSPORT」の掲示や各学期の開始前のガイダンス機会を利用してプログラムの周知を強化し、履修率の向上を目指していく。令和6年度は2･3年次、令和7年度以降は2～4年次と受講できる学年が増えていくため、特に3･4年次に向けて積極的な履修を促していく。さらに令和7年度以降は入学生に配付する「履修の手引き」にプログラムについて掲載して、新入生に対する周知を強化する。
また、より多くの学生を受け入れできるように、令和7年度から授業で使用する教室の見直し（教室定員の増加）、令和8年度・令和9年度に開講コマ増加（各年度1コマ増）について検討を進める。</t>
    <rPh sb="142" eb="144">
      <t>リヨウ</t>
    </rPh>
    <phoneticPr fontId="1"/>
  </si>
  <si>
    <t>開講初年度となった令和5年度は、学内の情報教育演習室（PC教室）で授業を行ったため、PC台数の都合上、定員設定により履修希望者を募ることとなった。今後は履修対象学年が増えていくこともあり、より多くの学生が履修できるように、普通教室での開講や開講コマの複数設置を検討していく。
学内設備面では、情報教育演習室の自由開放のほかに、ノートPC貸出しロッカーを設置しており、自主学修に利用できるようにしている。また学生ホールや学生ラウンジに充電可能なデスクを設置してBYODに対応できるようにしている。</t>
    <rPh sb="51" eb="53">
      <t>テイイン</t>
    </rPh>
    <rPh sb="53" eb="55">
      <t>セッテイ</t>
    </rPh>
    <phoneticPr fontId="1"/>
  </si>
  <si>
    <t>全学的に実施している授業評価アンケートにおいて、授業による学生自身の成果に関して「シラバスに示されている到達目標を達成できたか」、「授業内容への興味・関心が増したか」、「自分で調べ、考える姿勢が身についたか」の設問を設けて、学生に5段階で評価してもらっている。これらの設問と「授業内容はよく理解できたか」、「授業は総合的に見て満足のいくものだったか」の設問に対する評価をもとに、履修者の学修成果を把握している。また成績評価の割合から授業目標に対する達成度を把握している。今後さらに経年比較を行い、数値の変化から改善の必要性を判断していく。</t>
    <phoneticPr fontId="1"/>
  </si>
  <si>
    <t>前述の企業アンケートにおいて、採用担当者から見た学修成果を把握するため、卒業生の業務能力の評価や大学に期待する取組みなど、企業から見た大学教育に関するアンケートを実施している。また卒業後3年及び5年が経過した卒業生を対象として、卒業後の状況に関する卒業生調査を実施している。
教育課程全体の内部質保証のために、認証評価機関による認証評価とは別に、大学独自の自己点検評価に基づく外部評価制度を導入しており、認証評価受審後4年を超えない年限ごとに学外有識者による評価を行い、多方面にわたる意見を自己点検・評価活動に反映している。（次回は2027年までに実施予定。）さらに連携協定を結んでいる地方自治体に教育課程の評価を依頼し、意見を聴取することも視野に入れる。</t>
    <phoneticPr fontId="1"/>
  </si>
  <si>
    <t>第1回目の授業での授業概要の説明と、第1回目・2回目での社会で起きている変化についての講義の中で、「学ぶことの意義」を説明し、その中で数理・データサイエンス・AIの「学ぶ楽しさ」「学ぶことの意義」に関して説明して、学生に理解させている。
全学的に実施している授業評価アンケートにおいて、「この授業に積極的に取り組んだか」「授業内容への興味・関心が増したか」の設問を設けて、学生の授業への取り組みについて調査している。令和5年度の評価は、いずれの項目においても5点満点中4.1点以上と高かった。</t>
    <phoneticPr fontId="1"/>
  </si>
  <si>
    <t>全学的に授業評価アンケートを実施し、担当教員はアンケート結果を確認後に授業改善報告書を提出している。授業評価アンケートにおいて、「教員の説明はわかりやすいものだったか」、「授業内容はよく理解できたか」、「教材（配布資料、板書、パワーポイント、ICT機器など）の使い方は効果的だったか」、「課題は適切だったか」の設問を設けて、授業内容・授業方法に関する学生評価を調査している。
令和5年度の評価は、いずれの項目においても5点満点中4点以上と高かった。アンケートの各項目と自由記述による学生からの意見、及び授業改善報告書をともいき教養教育機構において共有し、科目担当教員と連携して随時シラバスや授業方法の点検・改善をしながら「分かりやすい」授業を模索していく。</t>
    <phoneticPr fontId="1"/>
  </si>
  <si>
    <t>ともいき教養教育機構長・経営学部　教授　山本　伸
ともいき教養教育副機構長・教育学部　教授　杉山　範子
共生文化研究所長・人文学部　教授　中御門　敬教
副学長・教育学部　教授　西淵  茂男
経営学部　教授　南  清隆
心理学部　准教授　牧野  暁世
スポーツ健康科学部　教授　島田  肇
健康栄養学部　助教　井成  真由子</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</si>
</sst>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8"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
      <sz val="12"/>
      <color theme="1"/>
      <name val="Microsoft YaHei UI"/>
      <family val="3"/>
      <charset val="134"/>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6">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pplyFill="1">
      <alignment vertical="center"/>
    </xf>
    <xf numFmtId="0" fontId="13" fillId="0" borderId="0" xfId="0" applyFont="1" applyFill="1">
      <alignment vertical="center"/>
    </xf>
    <xf numFmtId="0" fontId="13" fillId="0" borderId="0" xfId="0" applyFont="1">
      <alignment vertical="center"/>
    </xf>
    <xf numFmtId="0" fontId="13" fillId="0" borderId="1" xfId="0" applyFont="1" applyBorder="1" applyAlignment="1">
      <alignment horizontal="center"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2" fillId="0" borderId="0" xfId="0" applyFont="1">
      <alignment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38" fontId="2" fillId="0" borderId="45" xfId="2" applyFont="1" applyFill="1" applyBorder="1" applyAlignment="1">
      <alignment vertical="center" shrinkToFit="1"/>
    </xf>
    <xf numFmtId="38" fontId="2" fillId="0" borderId="20" xfId="2" applyFont="1" applyFill="1" applyBorder="1" applyAlignment="1">
      <alignment vertical="center" shrinkToFit="1"/>
    </xf>
    <xf numFmtId="0" fontId="13" fillId="0" borderId="1" xfId="0" applyFont="1" applyFill="1" applyBorder="1">
      <alignment vertical="center"/>
    </xf>
    <xf numFmtId="9" fontId="2" fillId="0" borderId="14" xfId="0" applyNumberFormat="1" applyFont="1" applyBorder="1" applyAlignment="1">
      <alignment vertical="center" shrinkToFit="1"/>
    </xf>
    <xf numFmtId="0" fontId="2" fillId="0" borderId="1" xfId="0" applyFont="1" applyFill="1" applyBorder="1" applyAlignment="1">
      <alignment horizontal="center" vertical="center" wrapText="1" shrinkToFit="1"/>
    </xf>
    <xf numFmtId="9" fontId="2" fillId="0" borderId="1" xfId="0" applyNumberFormat="1" applyFont="1" applyFill="1" applyBorder="1" applyAlignment="1">
      <alignment horizontal="center" vertical="center" shrinkToFit="1"/>
    </xf>
    <xf numFmtId="0" fontId="2" fillId="0" borderId="1" xfId="0" applyFont="1" applyFill="1" applyBorder="1" applyAlignment="1">
      <alignment horizontal="center" vertical="center" shrinkToFit="1"/>
    </xf>
    <xf numFmtId="176" fontId="2" fillId="0" borderId="1" xfId="0" applyNumberFormat="1" applyFont="1" applyFill="1" applyBorder="1" applyAlignment="1">
      <alignment horizontal="center" vertical="center" shrinkToFit="1"/>
    </xf>
    <xf numFmtId="0" fontId="2" fillId="0" borderId="1" xfId="0" applyFont="1" applyFill="1" applyBorder="1" applyAlignment="1">
      <alignment horizontal="center" vertical="center"/>
    </xf>
    <xf numFmtId="0" fontId="12" fillId="0" borderId="6" xfId="0" applyFont="1" applyFill="1" applyBorder="1" applyAlignment="1">
      <alignment horizontal="lef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12" fillId="0" borderId="1" xfId="0" applyFont="1" applyFill="1" applyBorder="1" applyAlignment="1">
      <alignment horizontal="center" vertical="center"/>
    </xf>
    <xf numFmtId="0" fontId="15" fillId="0" borderId="1" xfId="0" applyFont="1" applyFill="1" applyBorder="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27" xfId="0" applyFont="1" applyBorder="1" applyAlignment="1">
      <alignment vertical="center" wrapText="1"/>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2" fillId="0" borderId="0" xfId="0" applyFont="1" applyFill="1" applyAlignment="1">
      <alignment horizontal="left" vertical="center" wrapText="1"/>
    </xf>
    <xf numFmtId="49" fontId="3" fillId="0" borderId="32" xfId="0" applyNumberFormat="1" applyFont="1" applyFill="1" applyBorder="1" applyAlignment="1">
      <alignment horizontal="left" vertical="center" wrapText="1"/>
    </xf>
    <xf numFmtId="49" fontId="3" fillId="0" borderId="33" xfId="0" applyNumberFormat="1" applyFont="1" applyFill="1" applyBorder="1" applyAlignment="1">
      <alignment horizontal="left" vertical="center"/>
    </xf>
    <xf numFmtId="49" fontId="3" fillId="0" borderId="34" xfId="0" applyNumberFormat="1" applyFont="1" applyFill="1" applyBorder="1" applyAlignment="1">
      <alignment horizontal="left" vertical="center"/>
    </xf>
    <xf numFmtId="49" fontId="3" fillId="0" borderId="29" xfId="0" applyNumberFormat="1" applyFont="1" applyFill="1" applyBorder="1" applyAlignment="1">
      <alignment horizontal="left" vertical="center" wrapText="1"/>
    </xf>
    <xf numFmtId="49" fontId="3" fillId="0" borderId="31" xfId="0" applyNumberFormat="1" applyFont="1" applyFill="1" applyBorder="1" applyAlignment="1">
      <alignment horizontal="left" vertical="center"/>
    </xf>
    <xf numFmtId="49" fontId="3" fillId="0" borderId="30" xfId="0" applyNumberFormat="1" applyFont="1" applyFill="1" applyBorder="1" applyAlignment="1">
      <alignment horizontal="left" vertical="center"/>
    </xf>
    <xf numFmtId="49" fontId="3" fillId="0" borderId="18" xfId="0" applyNumberFormat="1" applyFont="1" applyFill="1" applyBorder="1" applyAlignment="1">
      <alignment horizontal="left" vertical="center" wrapText="1"/>
    </xf>
    <xf numFmtId="49" fontId="3" fillId="0" borderId="19" xfId="0" applyNumberFormat="1" applyFont="1" applyFill="1" applyBorder="1" applyAlignment="1">
      <alignment horizontal="left" vertical="center"/>
    </xf>
    <xf numFmtId="49" fontId="3" fillId="0" borderId="17" xfId="0" applyNumberFormat="1" applyFont="1" applyFill="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13" fillId="0" borderId="7" xfId="0" applyFont="1" applyBorder="1" applyAlignment="1">
      <alignment vertical="top" wrapText="1" shrinkToFit="1"/>
    </xf>
    <xf numFmtId="0" fontId="13" fillId="0" borderId="8" xfId="0" applyFont="1" applyBorder="1" applyAlignment="1">
      <alignment vertical="top" wrapText="1" shrinkToFit="1"/>
    </xf>
    <xf numFmtId="0" fontId="13" fillId="0" borderId="9" xfId="0" applyFont="1" applyBorder="1" applyAlignment="1">
      <alignment vertical="top" shrinkToFit="1"/>
    </xf>
    <xf numFmtId="0" fontId="13" fillId="0" borderId="5" xfId="0" applyFont="1" applyBorder="1" applyAlignment="1">
      <alignment vertical="top" wrapText="1" shrinkToFit="1"/>
    </xf>
    <xf numFmtId="0" fontId="13" fillId="0" borderId="0" xfId="0" applyFont="1" applyAlignment="1">
      <alignment vertical="top" wrapText="1" shrinkToFit="1"/>
    </xf>
    <xf numFmtId="0" fontId="13" fillId="0" borderId="10" xfId="0" applyFont="1" applyBorder="1" applyAlignment="1">
      <alignment vertical="top" shrinkToFit="1"/>
    </xf>
    <xf numFmtId="0" fontId="13" fillId="0" borderId="5" xfId="0" applyFont="1" applyBorder="1" applyAlignment="1">
      <alignment vertical="top" shrinkToFit="1"/>
    </xf>
    <xf numFmtId="0" fontId="13" fillId="0" borderId="0" xfId="0" applyFont="1" applyAlignment="1">
      <alignment vertical="top" shrinkToFit="1"/>
    </xf>
    <xf numFmtId="0" fontId="13" fillId="0" borderId="11" xfId="0" applyFont="1" applyBorder="1" applyAlignment="1">
      <alignment vertical="top" shrinkToFit="1"/>
    </xf>
    <xf numFmtId="0" fontId="13" fillId="0" borderId="6" xfId="0" applyFont="1" applyBorder="1" applyAlignment="1">
      <alignment vertical="top" shrinkToFit="1"/>
    </xf>
    <xf numFmtId="0" fontId="13" fillId="0" borderId="12" xfId="0" applyFont="1" applyBorder="1" applyAlignment="1">
      <alignment vertical="top"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Fill="1" applyBorder="1" applyAlignment="1">
      <alignment horizontal="center" vertical="center" shrinkToFit="1"/>
    </xf>
    <xf numFmtId="0" fontId="13" fillId="0" borderId="7" xfId="0" applyFont="1" applyBorder="1" applyAlignment="1">
      <alignment vertical="top" wrapText="1"/>
    </xf>
    <xf numFmtId="0" fontId="13" fillId="0" borderId="8" xfId="0" applyFont="1" applyBorder="1" applyAlignment="1">
      <alignment vertical="top" wrapText="1"/>
    </xf>
    <xf numFmtId="0" fontId="13" fillId="0" borderId="9" xfId="0" applyFont="1" applyBorder="1" applyAlignment="1">
      <alignment vertical="top" wrapText="1"/>
    </xf>
    <xf numFmtId="0" fontId="13" fillId="0" borderId="5" xfId="0" applyFont="1" applyBorder="1" applyAlignment="1">
      <alignment vertical="top" wrapText="1"/>
    </xf>
    <xf numFmtId="0" fontId="13" fillId="0" borderId="0" xfId="0" applyFont="1" applyAlignment="1">
      <alignment vertical="top" wrapText="1"/>
    </xf>
    <xf numFmtId="0" fontId="13" fillId="0" borderId="10" xfId="0" applyFont="1" applyBorder="1" applyAlignment="1">
      <alignment vertical="top" wrapText="1"/>
    </xf>
    <xf numFmtId="0" fontId="13" fillId="0" borderId="11" xfId="0" applyFont="1" applyBorder="1" applyAlignment="1">
      <alignment vertical="top" wrapText="1"/>
    </xf>
    <xf numFmtId="0" fontId="13" fillId="0" borderId="6" xfId="0" applyFont="1" applyBorder="1" applyAlignment="1">
      <alignment vertical="top" wrapText="1"/>
    </xf>
    <xf numFmtId="0" fontId="13" fillId="0" borderId="12" xfId="0" applyFont="1" applyBorder="1" applyAlignment="1">
      <alignment vertical="top" wrapText="1"/>
    </xf>
    <xf numFmtId="0" fontId="13" fillId="0" borderId="9" xfId="0" applyFont="1" applyBorder="1" applyAlignment="1">
      <alignment vertical="top"/>
    </xf>
    <xf numFmtId="0" fontId="13" fillId="0" borderId="5" xfId="0" applyFont="1" applyBorder="1" applyAlignment="1">
      <alignment vertical="top"/>
    </xf>
    <xf numFmtId="0" fontId="13" fillId="0" borderId="0" xfId="0" applyFont="1" applyAlignment="1">
      <alignment vertical="top"/>
    </xf>
    <xf numFmtId="0" fontId="13" fillId="0" borderId="10" xfId="0" applyFont="1" applyBorder="1" applyAlignment="1">
      <alignment vertical="top"/>
    </xf>
    <xf numFmtId="0" fontId="13" fillId="0" borderId="11" xfId="0" applyFont="1" applyBorder="1" applyAlignment="1">
      <alignment vertical="top"/>
    </xf>
    <xf numFmtId="0" fontId="13" fillId="0" borderId="6" xfId="0" applyFont="1" applyBorder="1" applyAlignment="1">
      <alignment vertical="top"/>
    </xf>
    <xf numFmtId="0" fontId="13" fillId="0" borderId="12" xfId="0" applyFont="1" applyBorder="1" applyAlignment="1">
      <alignment vertical="top"/>
    </xf>
    <xf numFmtId="9" fontId="2" fillId="0" borderId="1" xfId="0" applyNumberFormat="1" applyFont="1" applyFill="1" applyBorder="1" applyAlignment="1">
      <alignment horizontal="center" vertical="center" wrapText="1" shrinkToFit="1"/>
    </xf>
    <xf numFmtId="0" fontId="13" fillId="0" borderId="7" xfId="0" applyFont="1" applyBorder="1" applyAlignment="1">
      <alignment horizontal="left" vertical="top" wrapText="1"/>
    </xf>
    <xf numFmtId="0" fontId="13" fillId="0" borderId="8" xfId="0" applyFont="1" applyBorder="1" applyAlignment="1">
      <alignment horizontal="left" vertical="top" wrapText="1"/>
    </xf>
    <xf numFmtId="0" fontId="13" fillId="0" borderId="9" xfId="0" applyFont="1" applyBorder="1" applyAlignment="1">
      <alignment horizontal="left" vertical="top" wrapText="1"/>
    </xf>
    <xf numFmtId="0" fontId="13" fillId="0" borderId="5" xfId="0" applyFont="1" applyBorder="1" applyAlignment="1">
      <alignment horizontal="left" vertical="top" wrapText="1"/>
    </xf>
    <xf numFmtId="0" fontId="13" fillId="0" borderId="0" xfId="0" applyFont="1" applyAlignment="1">
      <alignment horizontal="left" vertical="top" wrapText="1"/>
    </xf>
    <xf numFmtId="0" fontId="13" fillId="0" borderId="10" xfId="0" applyFont="1" applyBorder="1" applyAlignment="1">
      <alignment horizontal="left" vertical="top" wrapText="1"/>
    </xf>
    <xf numFmtId="0" fontId="13" fillId="0" borderId="11" xfId="0" applyFont="1" applyBorder="1" applyAlignment="1">
      <alignment horizontal="left" vertical="top" wrapText="1"/>
    </xf>
    <xf numFmtId="0" fontId="13" fillId="0" borderId="6" xfId="0" applyFont="1" applyBorder="1" applyAlignment="1">
      <alignment horizontal="left" vertical="top" wrapText="1"/>
    </xf>
    <xf numFmtId="0" fontId="13"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tabSelected="1" view="pageBreakPreview" zoomScaleNormal="100" zoomScaleSheetLayoutView="100" workbookViewId="0">
      <selection activeCell="A5" sqref="A5:U5"/>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4"/>
      <c r="B1" s="74"/>
      <c r="C1" s="74"/>
      <c r="D1" s="74"/>
      <c r="E1" s="74"/>
      <c r="F1" s="74"/>
      <c r="G1" s="74"/>
      <c r="H1" s="74"/>
      <c r="I1" s="74"/>
      <c r="J1" s="74"/>
      <c r="K1" s="74"/>
      <c r="L1" s="74"/>
      <c r="M1" s="74"/>
      <c r="N1" s="74"/>
      <c r="O1" s="74"/>
      <c r="P1" s="74"/>
      <c r="Q1" s="74"/>
      <c r="R1" s="74"/>
      <c r="S1" s="74"/>
      <c r="T1" s="142" t="s">
        <v>12</v>
      </c>
      <c r="U1" s="142"/>
      <c r="V1" s="2" t="s">
        <v>100</v>
      </c>
    </row>
    <row r="2" spans="1:24" ht="18.75" customHeight="1" x14ac:dyDescent="0.15">
      <c r="A2" s="74"/>
      <c r="B2" s="75" t="s">
        <v>99</v>
      </c>
      <c r="C2" s="143" t="s">
        <v>136</v>
      </c>
      <c r="D2" s="144"/>
      <c r="E2" s="144"/>
      <c r="F2" s="144"/>
      <c r="G2" s="144"/>
      <c r="H2" s="144"/>
      <c r="I2" s="144"/>
      <c r="J2" s="145"/>
      <c r="K2" s="76"/>
      <c r="L2" s="77"/>
      <c r="M2" s="77"/>
      <c r="N2" s="77"/>
      <c r="O2" s="77"/>
      <c r="P2" s="77"/>
      <c r="Q2" s="77"/>
      <c r="R2" s="77"/>
      <c r="S2" s="77"/>
      <c r="T2" s="77"/>
      <c r="U2" s="77"/>
    </row>
    <row r="3" spans="1:24" ht="18.75" customHeight="1" x14ac:dyDescent="0.15">
      <c r="A3" s="74"/>
      <c r="B3" s="75" t="s">
        <v>94</v>
      </c>
      <c r="C3" s="143" t="s">
        <v>137</v>
      </c>
      <c r="D3" s="144"/>
      <c r="E3" s="144"/>
      <c r="F3" s="144"/>
      <c r="G3" s="144"/>
      <c r="H3" s="144"/>
      <c r="I3" s="144"/>
      <c r="J3" s="145"/>
      <c r="K3" s="76"/>
      <c r="L3" s="77"/>
      <c r="M3" s="77"/>
      <c r="N3" s="77"/>
      <c r="O3" s="77"/>
      <c r="P3" s="77"/>
      <c r="Q3" s="77"/>
      <c r="R3" s="77"/>
      <c r="S3" s="77"/>
      <c r="T3" s="77"/>
      <c r="U3" s="77"/>
    </row>
    <row r="4" spans="1:24" ht="15" customHeight="1" x14ac:dyDescent="0.15">
      <c r="A4" s="74"/>
      <c r="B4" s="74"/>
      <c r="C4" s="74"/>
      <c r="D4" s="74"/>
      <c r="E4" s="74"/>
      <c r="F4" s="74"/>
      <c r="G4" s="74"/>
      <c r="H4" s="74"/>
      <c r="I4" s="74"/>
      <c r="J4" s="74"/>
      <c r="K4" s="74"/>
      <c r="L4" s="76"/>
      <c r="M4" s="78"/>
      <c r="N4" s="78"/>
      <c r="O4" s="78"/>
      <c r="P4" s="78"/>
      <c r="Q4" s="78"/>
      <c r="R4" s="78"/>
      <c r="S4" s="78"/>
      <c r="T4" s="78"/>
      <c r="U4" s="78"/>
    </row>
    <row r="5" spans="1:24" ht="18" customHeight="1" x14ac:dyDescent="0.15">
      <c r="A5" s="123" t="s">
        <v>38</v>
      </c>
      <c r="B5" s="123"/>
      <c r="C5" s="123"/>
      <c r="D5" s="123"/>
      <c r="E5" s="123"/>
      <c r="F5" s="123"/>
      <c r="G5" s="123"/>
      <c r="H5" s="123"/>
      <c r="I5" s="123"/>
      <c r="J5" s="123"/>
      <c r="K5" s="123"/>
      <c r="L5" s="123"/>
      <c r="M5" s="123"/>
      <c r="N5" s="123"/>
      <c r="O5" s="123"/>
      <c r="P5" s="123"/>
      <c r="Q5" s="123"/>
      <c r="R5" s="123"/>
      <c r="S5" s="123"/>
      <c r="T5" s="123"/>
      <c r="U5" s="123"/>
    </row>
    <row r="6" spans="1:24" ht="15" customHeight="1" x14ac:dyDescent="0.15">
      <c r="A6" s="74"/>
      <c r="B6" s="79"/>
      <c r="C6" s="79"/>
      <c r="D6" s="79"/>
      <c r="E6" s="79"/>
      <c r="F6" s="79"/>
      <c r="G6" s="79"/>
      <c r="H6" s="79"/>
      <c r="I6" s="79"/>
      <c r="J6" s="79"/>
      <c r="K6" s="79"/>
      <c r="L6" s="79"/>
      <c r="M6" s="79"/>
      <c r="N6" s="79"/>
      <c r="O6" s="79"/>
      <c r="P6" s="79"/>
      <c r="Q6" s="79"/>
      <c r="R6" s="79"/>
      <c r="S6" s="79"/>
      <c r="T6" s="79"/>
      <c r="U6" s="79"/>
    </row>
    <row r="7" spans="1:24" ht="15" customHeight="1" x14ac:dyDescent="0.15">
      <c r="A7" s="74" t="s">
        <v>131</v>
      </c>
      <c r="B7" s="79"/>
      <c r="C7" s="79"/>
      <c r="D7" s="79"/>
      <c r="E7" s="79"/>
      <c r="F7" s="80"/>
      <c r="G7" s="80"/>
      <c r="H7" s="80"/>
      <c r="I7" s="80"/>
      <c r="J7" s="80"/>
      <c r="K7" s="80"/>
      <c r="L7" s="159" t="s">
        <v>138</v>
      </c>
      <c r="M7" s="160"/>
      <c r="N7" s="160"/>
      <c r="O7" s="160"/>
      <c r="P7" s="160"/>
      <c r="Q7" s="160"/>
      <c r="R7" s="160"/>
      <c r="S7" s="160"/>
      <c r="T7" s="160"/>
      <c r="U7" s="161"/>
    </row>
    <row r="8" spans="1:24" ht="6" customHeight="1" x14ac:dyDescent="0.15">
      <c r="A8" s="74"/>
      <c r="B8" s="79"/>
      <c r="C8" s="79"/>
      <c r="D8" s="79"/>
      <c r="E8" s="79"/>
      <c r="F8" s="79"/>
      <c r="G8" s="79"/>
      <c r="H8" s="79"/>
      <c r="I8" s="79"/>
      <c r="J8" s="79"/>
      <c r="K8" s="79"/>
      <c r="L8" s="79"/>
      <c r="M8" s="79"/>
      <c r="N8" s="79"/>
      <c r="O8" s="79"/>
      <c r="P8" s="79"/>
      <c r="Q8" s="79"/>
      <c r="R8" s="79"/>
      <c r="S8" s="79"/>
      <c r="T8" s="79"/>
      <c r="U8" s="79"/>
    </row>
    <row r="9" spans="1:24" ht="18" customHeight="1" x14ac:dyDescent="0.15">
      <c r="A9" s="74" t="s">
        <v>132</v>
      </c>
      <c r="B9" s="74"/>
      <c r="C9" s="79"/>
      <c r="D9" s="79"/>
      <c r="E9" s="74"/>
      <c r="F9" s="74"/>
      <c r="G9" s="74"/>
      <c r="H9" s="74"/>
      <c r="I9" s="74"/>
      <c r="J9" s="74"/>
      <c r="K9" s="76"/>
      <c r="L9" s="80"/>
      <c r="M9" s="80"/>
      <c r="N9" s="80"/>
      <c r="O9" s="80"/>
      <c r="P9" s="80"/>
      <c r="Q9" s="80"/>
      <c r="R9" s="80"/>
      <c r="S9" s="80"/>
      <c r="T9" s="80"/>
      <c r="U9" s="80"/>
    </row>
    <row r="10" spans="1:24" ht="6" customHeight="1" x14ac:dyDescent="0.15">
      <c r="A10" s="74"/>
      <c r="B10" s="79"/>
      <c r="C10" s="79"/>
      <c r="D10" s="79"/>
      <c r="E10" s="79"/>
      <c r="F10" s="79"/>
      <c r="G10" s="79"/>
      <c r="H10" s="79"/>
      <c r="I10" s="79"/>
      <c r="J10" s="79"/>
      <c r="K10" s="79"/>
      <c r="L10" s="81"/>
      <c r="M10" s="79"/>
      <c r="N10" s="79"/>
      <c r="O10" s="79"/>
      <c r="P10" s="79"/>
      <c r="Q10" s="79"/>
      <c r="R10" s="79"/>
      <c r="S10" s="79"/>
      <c r="T10" s="79"/>
      <c r="U10" s="79"/>
    </row>
    <row r="11" spans="1:24" ht="18" customHeight="1" x14ac:dyDescent="0.15">
      <c r="A11" s="74"/>
      <c r="B11" s="168"/>
      <c r="C11" s="169"/>
      <c r="D11" s="169"/>
      <c r="E11" s="169"/>
      <c r="F11" s="169"/>
      <c r="G11" s="169"/>
      <c r="H11" s="169"/>
      <c r="I11" s="169"/>
      <c r="J11" s="169"/>
      <c r="K11" s="169"/>
      <c r="L11" s="169"/>
      <c r="M11" s="169"/>
      <c r="N11" s="169"/>
      <c r="O11" s="169"/>
      <c r="P11" s="169"/>
      <c r="Q11" s="169"/>
      <c r="R11" s="169"/>
      <c r="S11" s="169"/>
      <c r="T11" s="169"/>
      <c r="U11" s="170"/>
    </row>
    <row r="12" spans="1:24" ht="18" customHeight="1" x14ac:dyDescent="0.15">
      <c r="A12" s="74"/>
      <c r="B12" s="171"/>
      <c r="C12" s="172"/>
      <c r="D12" s="172"/>
      <c r="E12" s="172"/>
      <c r="F12" s="172"/>
      <c r="G12" s="172"/>
      <c r="H12" s="172"/>
      <c r="I12" s="172"/>
      <c r="J12" s="172"/>
      <c r="K12" s="172"/>
      <c r="L12" s="172"/>
      <c r="M12" s="172"/>
      <c r="N12" s="172"/>
      <c r="O12" s="172"/>
      <c r="P12" s="172"/>
      <c r="Q12" s="172"/>
      <c r="R12" s="172"/>
      <c r="S12" s="172"/>
      <c r="T12" s="172"/>
      <c r="U12" s="173"/>
    </row>
    <row r="13" spans="1:24" ht="6" customHeight="1" x14ac:dyDescent="0.15">
      <c r="A13" s="74"/>
      <c r="B13" s="79"/>
      <c r="C13" s="79"/>
      <c r="D13" s="79"/>
      <c r="E13" s="79"/>
      <c r="F13" s="79"/>
      <c r="G13" s="79"/>
      <c r="H13" s="79"/>
      <c r="I13" s="79"/>
      <c r="J13" s="79"/>
      <c r="K13" s="79"/>
      <c r="L13" s="81"/>
      <c r="M13" s="79"/>
      <c r="N13" s="79"/>
      <c r="O13" s="79"/>
      <c r="P13" s="79"/>
      <c r="Q13" s="79"/>
      <c r="R13" s="79"/>
      <c r="S13" s="79"/>
      <c r="T13" s="79"/>
      <c r="U13" s="79"/>
    </row>
    <row r="14" spans="1:24" ht="18" customHeight="1" x14ac:dyDescent="0.15">
      <c r="A14" s="74" t="s">
        <v>101</v>
      </c>
      <c r="B14" s="79"/>
      <c r="C14" s="79"/>
      <c r="D14" s="79"/>
      <c r="E14" s="76"/>
      <c r="F14" s="76"/>
      <c r="G14" s="76"/>
      <c r="H14" s="76"/>
      <c r="I14" s="76"/>
      <c r="J14" s="76"/>
      <c r="K14" s="76"/>
      <c r="L14" s="82"/>
      <c r="M14" s="82"/>
      <c r="N14" s="82"/>
      <c r="O14" s="82"/>
      <c r="P14" s="82"/>
      <c r="Q14" s="82"/>
      <c r="R14" s="82"/>
      <c r="S14" s="82"/>
      <c r="T14" s="82"/>
      <c r="U14" s="82"/>
    </row>
    <row r="15" spans="1:24" ht="18" customHeight="1" x14ac:dyDescent="0.15">
      <c r="A15" s="74"/>
      <c r="B15" s="124" t="s">
        <v>146</v>
      </c>
      <c r="C15" s="125"/>
      <c r="D15" s="125"/>
      <c r="E15" s="125"/>
      <c r="F15" s="125"/>
      <c r="G15" s="125"/>
      <c r="H15" s="125"/>
      <c r="I15" s="125"/>
      <c r="J15" s="125"/>
      <c r="K15" s="125"/>
      <c r="L15" s="125"/>
      <c r="M15" s="125"/>
      <c r="N15" s="125"/>
      <c r="O15" s="125"/>
      <c r="P15" s="125"/>
      <c r="Q15" s="125"/>
      <c r="R15" s="125"/>
      <c r="S15" s="125"/>
      <c r="T15" s="125"/>
      <c r="U15" s="126"/>
      <c r="X15" s="1" t="s">
        <v>95</v>
      </c>
    </row>
    <row r="16" spans="1:24" ht="18" customHeight="1" x14ac:dyDescent="0.15">
      <c r="A16" s="74"/>
      <c r="B16" s="127"/>
      <c r="C16" s="128"/>
      <c r="D16" s="128"/>
      <c r="E16" s="128"/>
      <c r="F16" s="128"/>
      <c r="G16" s="128"/>
      <c r="H16" s="128"/>
      <c r="I16" s="128"/>
      <c r="J16" s="128"/>
      <c r="K16" s="128"/>
      <c r="L16" s="128"/>
      <c r="M16" s="128"/>
      <c r="N16" s="128"/>
      <c r="O16" s="128"/>
      <c r="P16" s="128"/>
      <c r="Q16" s="128"/>
      <c r="R16" s="128"/>
      <c r="S16" s="128"/>
      <c r="T16" s="128"/>
      <c r="U16" s="129"/>
      <c r="X16" s="1" t="s">
        <v>115</v>
      </c>
    </row>
    <row r="17" spans="1:24" ht="18" customHeight="1" x14ac:dyDescent="0.15">
      <c r="A17" s="74"/>
      <c r="B17" s="127"/>
      <c r="C17" s="128"/>
      <c r="D17" s="128"/>
      <c r="E17" s="128"/>
      <c r="F17" s="128"/>
      <c r="G17" s="128"/>
      <c r="H17" s="128"/>
      <c r="I17" s="128"/>
      <c r="J17" s="128"/>
      <c r="K17" s="128"/>
      <c r="L17" s="128"/>
      <c r="M17" s="128"/>
      <c r="N17" s="128"/>
      <c r="O17" s="128"/>
      <c r="P17" s="128"/>
      <c r="Q17" s="128"/>
      <c r="R17" s="128"/>
      <c r="S17" s="128"/>
      <c r="T17" s="128"/>
      <c r="U17" s="129"/>
      <c r="X17" s="1" t="s">
        <v>116</v>
      </c>
    </row>
    <row r="18" spans="1:24" ht="18" customHeight="1" x14ac:dyDescent="0.15">
      <c r="A18" s="74"/>
      <c r="B18" s="127"/>
      <c r="C18" s="128"/>
      <c r="D18" s="128"/>
      <c r="E18" s="128"/>
      <c r="F18" s="128"/>
      <c r="G18" s="128"/>
      <c r="H18" s="128"/>
      <c r="I18" s="128"/>
      <c r="J18" s="128"/>
      <c r="K18" s="128"/>
      <c r="L18" s="128"/>
      <c r="M18" s="128"/>
      <c r="N18" s="128"/>
      <c r="O18" s="128"/>
      <c r="P18" s="128"/>
      <c r="Q18" s="128"/>
      <c r="R18" s="128"/>
      <c r="S18" s="128"/>
      <c r="T18" s="128"/>
      <c r="U18" s="129"/>
      <c r="X18" s="1" t="s">
        <v>117</v>
      </c>
    </row>
    <row r="19" spans="1:24" ht="18" customHeight="1" x14ac:dyDescent="0.15">
      <c r="A19" s="74"/>
      <c r="B19" s="127"/>
      <c r="C19" s="128"/>
      <c r="D19" s="128"/>
      <c r="E19" s="128"/>
      <c r="F19" s="128"/>
      <c r="G19" s="128"/>
      <c r="H19" s="128"/>
      <c r="I19" s="128"/>
      <c r="J19" s="128"/>
      <c r="K19" s="128"/>
      <c r="L19" s="128"/>
      <c r="M19" s="128"/>
      <c r="N19" s="128"/>
      <c r="O19" s="128"/>
      <c r="P19" s="128"/>
      <c r="Q19" s="128"/>
      <c r="R19" s="128"/>
      <c r="S19" s="128"/>
      <c r="T19" s="128"/>
      <c r="U19" s="129"/>
    </row>
    <row r="20" spans="1:24" ht="18" customHeight="1" x14ac:dyDescent="0.15">
      <c r="A20" s="74"/>
      <c r="B20" s="130"/>
      <c r="C20" s="131"/>
      <c r="D20" s="131"/>
      <c r="E20" s="131"/>
      <c r="F20" s="131"/>
      <c r="G20" s="131"/>
      <c r="H20" s="131"/>
      <c r="I20" s="131"/>
      <c r="J20" s="131"/>
      <c r="K20" s="131"/>
      <c r="L20" s="131"/>
      <c r="M20" s="131"/>
      <c r="N20" s="131"/>
      <c r="O20" s="131"/>
      <c r="P20" s="131"/>
      <c r="Q20" s="131"/>
      <c r="R20" s="131"/>
      <c r="S20" s="131"/>
      <c r="T20" s="131"/>
      <c r="U20" s="132"/>
    </row>
    <row r="21" spans="1:24" ht="7.5" customHeight="1" x14ac:dyDescent="0.15">
      <c r="A21" s="74"/>
      <c r="B21" s="79"/>
      <c r="C21" s="79"/>
      <c r="D21" s="79"/>
      <c r="E21" s="79"/>
      <c r="F21" s="79"/>
      <c r="G21" s="79"/>
      <c r="H21" s="79"/>
      <c r="I21" s="79"/>
      <c r="J21" s="79"/>
      <c r="K21" s="79"/>
      <c r="L21" s="79"/>
      <c r="M21" s="79"/>
      <c r="N21" s="79"/>
      <c r="O21" s="79"/>
      <c r="P21" s="79"/>
      <c r="Q21" s="79"/>
      <c r="R21" s="79"/>
      <c r="S21" s="79"/>
      <c r="T21" s="79"/>
      <c r="U21" s="79"/>
    </row>
    <row r="22" spans="1:24" ht="19.899999999999999" customHeight="1" x14ac:dyDescent="0.15">
      <c r="A22" s="74"/>
      <c r="B22" s="74" t="s">
        <v>133</v>
      </c>
      <c r="C22" s="74"/>
      <c r="D22" s="74"/>
      <c r="E22" s="83">
        <v>1</v>
      </c>
      <c r="F22" s="74" t="s">
        <v>113</v>
      </c>
      <c r="G22" s="74"/>
      <c r="H22" s="84">
        <v>2</v>
      </c>
      <c r="I22" s="79" t="s">
        <v>114</v>
      </c>
      <c r="J22" s="79"/>
      <c r="K22" s="76"/>
      <c r="L22" s="74"/>
      <c r="M22" s="76" t="s">
        <v>110</v>
      </c>
      <c r="N22" s="156" t="s">
        <v>117</v>
      </c>
      <c r="O22" s="157"/>
      <c r="P22" s="157"/>
      <c r="Q22" s="157"/>
      <c r="R22" s="157"/>
      <c r="S22" s="157"/>
      <c r="T22" s="157"/>
      <c r="U22" s="158"/>
    </row>
    <row r="23" spans="1:24" ht="7.5" customHeight="1" x14ac:dyDescent="0.15">
      <c r="A23" s="74"/>
      <c r="B23" s="79"/>
      <c r="C23" s="79"/>
      <c r="D23" s="79"/>
      <c r="E23" s="79"/>
      <c r="F23" s="79"/>
      <c r="G23" s="79"/>
      <c r="H23" s="79"/>
      <c r="I23" s="79"/>
      <c r="J23" s="79"/>
      <c r="K23" s="79"/>
      <c r="L23" s="79"/>
      <c r="M23" s="79"/>
      <c r="N23" s="79"/>
      <c r="O23" s="79"/>
      <c r="P23" s="79"/>
      <c r="Q23" s="79"/>
      <c r="R23" s="79"/>
      <c r="S23" s="79"/>
      <c r="T23" s="79"/>
      <c r="U23" s="79"/>
    </row>
    <row r="24" spans="1:24" ht="18" customHeight="1" x14ac:dyDescent="0.15">
      <c r="A24" s="133" t="s">
        <v>102</v>
      </c>
      <c r="B24" s="133"/>
      <c r="C24" s="133"/>
      <c r="D24" s="133"/>
      <c r="E24" s="133"/>
      <c r="F24" s="133"/>
      <c r="G24" s="133"/>
      <c r="H24" s="133"/>
      <c r="I24" s="133"/>
      <c r="J24" s="133"/>
      <c r="K24" s="133"/>
      <c r="L24" s="133"/>
      <c r="M24" s="133"/>
      <c r="N24" s="133"/>
      <c r="O24" s="133"/>
      <c r="P24" s="133"/>
      <c r="Q24" s="133"/>
      <c r="R24" s="133"/>
      <c r="S24" s="133"/>
      <c r="T24" s="133"/>
      <c r="U24" s="133"/>
    </row>
    <row r="25" spans="1:24" ht="18" customHeight="1" x14ac:dyDescent="0.15">
      <c r="A25" s="133"/>
      <c r="B25" s="133"/>
      <c r="C25" s="133"/>
      <c r="D25" s="133"/>
      <c r="E25" s="133"/>
      <c r="F25" s="133"/>
      <c r="G25" s="133"/>
      <c r="H25" s="133"/>
      <c r="I25" s="133"/>
      <c r="J25" s="133"/>
      <c r="K25" s="133"/>
      <c r="L25" s="133"/>
      <c r="M25" s="133"/>
      <c r="N25" s="133"/>
      <c r="O25" s="133"/>
      <c r="P25" s="133"/>
      <c r="Q25" s="133"/>
      <c r="R25" s="133"/>
      <c r="S25" s="133"/>
      <c r="T25" s="133"/>
      <c r="U25" s="133"/>
    </row>
    <row r="26" spans="1:24" ht="18" customHeight="1" x14ac:dyDescent="0.15">
      <c r="B26" s="99" t="s">
        <v>52</v>
      </c>
      <c r="C26" s="100"/>
      <c r="D26" s="100"/>
      <c r="E26" s="100"/>
      <c r="F26" s="101"/>
      <c r="G26" s="49" t="s">
        <v>78</v>
      </c>
      <c r="H26" s="48" t="s">
        <v>81</v>
      </c>
      <c r="I26" s="17" t="s">
        <v>55</v>
      </c>
      <c r="J26" s="17" t="s">
        <v>58</v>
      </c>
      <c r="K26" s="99" t="s">
        <v>52</v>
      </c>
      <c r="L26" s="100"/>
      <c r="M26" s="100"/>
      <c r="N26" s="100"/>
      <c r="O26" s="100"/>
      <c r="P26" s="100"/>
      <c r="Q26" s="101"/>
      <c r="R26" s="49" t="s">
        <v>78</v>
      </c>
      <c r="S26" s="48" t="s">
        <v>81</v>
      </c>
      <c r="T26" s="17" t="s">
        <v>55</v>
      </c>
      <c r="U26" s="17" t="s">
        <v>58</v>
      </c>
    </row>
    <row r="27" spans="1:24" ht="18" customHeight="1" x14ac:dyDescent="0.15">
      <c r="B27" s="110" t="s">
        <v>139</v>
      </c>
      <c r="C27" s="111"/>
      <c r="D27" s="111"/>
      <c r="E27" s="111"/>
      <c r="F27" s="112"/>
      <c r="G27" s="18">
        <v>2</v>
      </c>
      <c r="H27" s="18" t="s">
        <v>140</v>
      </c>
      <c r="I27" s="18" t="s">
        <v>140</v>
      </c>
      <c r="J27" s="18" t="s">
        <v>140</v>
      </c>
      <c r="K27" s="110"/>
      <c r="L27" s="111"/>
      <c r="M27" s="111"/>
      <c r="N27" s="111"/>
      <c r="O27" s="111"/>
      <c r="P27" s="111"/>
      <c r="Q27" s="112"/>
      <c r="R27" s="18"/>
      <c r="S27" s="18"/>
      <c r="T27" s="18"/>
      <c r="U27" s="18"/>
    </row>
    <row r="28" spans="1:24" ht="18" customHeight="1" x14ac:dyDescent="0.15">
      <c r="B28" s="102"/>
      <c r="C28" s="103"/>
      <c r="D28" s="103"/>
      <c r="E28" s="103"/>
      <c r="F28" s="104"/>
      <c r="G28" s="19"/>
      <c r="H28" s="19"/>
      <c r="I28" s="19"/>
      <c r="J28" s="19"/>
      <c r="K28" s="102"/>
      <c r="L28" s="103"/>
      <c r="M28" s="103"/>
      <c r="N28" s="103"/>
      <c r="O28" s="103"/>
      <c r="P28" s="103"/>
      <c r="Q28" s="104"/>
      <c r="R28" s="19"/>
      <c r="S28" s="19"/>
      <c r="T28" s="19"/>
      <c r="U28" s="19"/>
    </row>
    <row r="29" spans="1:24" ht="18" customHeight="1" x14ac:dyDescent="0.15">
      <c r="B29" s="102"/>
      <c r="C29" s="103"/>
      <c r="D29" s="103"/>
      <c r="E29" s="103"/>
      <c r="F29" s="104"/>
      <c r="G29" s="19"/>
      <c r="H29" s="19"/>
      <c r="I29" s="19"/>
      <c r="J29" s="19"/>
      <c r="K29" s="102"/>
      <c r="L29" s="103"/>
      <c r="M29" s="103"/>
      <c r="N29" s="103"/>
      <c r="O29" s="103"/>
      <c r="P29" s="103"/>
      <c r="Q29" s="104"/>
      <c r="R29" s="19"/>
      <c r="S29" s="19"/>
      <c r="T29" s="19"/>
      <c r="U29" s="19"/>
    </row>
    <row r="30" spans="1:24" ht="18" customHeight="1" x14ac:dyDescent="0.15">
      <c r="B30" s="102"/>
      <c r="C30" s="103"/>
      <c r="D30" s="103"/>
      <c r="E30" s="103"/>
      <c r="F30" s="104"/>
      <c r="G30" s="19"/>
      <c r="H30" s="19"/>
      <c r="I30" s="19"/>
      <c r="J30" s="19"/>
      <c r="K30" s="102"/>
      <c r="L30" s="103"/>
      <c r="M30" s="103"/>
      <c r="N30" s="103"/>
      <c r="O30" s="103"/>
      <c r="P30" s="103"/>
      <c r="Q30" s="104"/>
      <c r="R30" s="19"/>
      <c r="S30" s="19"/>
      <c r="T30" s="19"/>
      <c r="U30" s="19"/>
    </row>
    <row r="31" spans="1:24" ht="18" customHeight="1" x14ac:dyDescent="0.15">
      <c r="B31" s="102"/>
      <c r="C31" s="103"/>
      <c r="D31" s="103"/>
      <c r="E31" s="103"/>
      <c r="F31" s="104"/>
      <c r="G31" s="19"/>
      <c r="H31" s="19"/>
      <c r="I31" s="19"/>
      <c r="J31" s="19"/>
      <c r="K31" s="102"/>
      <c r="L31" s="103"/>
      <c r="M31" s="103"/>
      <c r="N31" s="103"/>
      <c r="O31" s="103"/>
      <c r="P31" s="103"/>
      <c r="Q31" s="104"/>
      <c r="R31" s="19"/>
      <c r="S31" s="19"/>
      <c r="T31" s="19"/>
      <c r="U31" s="19"/>
    </row>
    <row r="32" spans="1:24" ht="18" customHeight="1" x14ac:dyDescent="0.15">
      <c r="A32" s="3"/>
      <c r="B32" s="102"/>
      <c r="C32" s="103"/>
      <c r="D32" s="103"/>
      <c r="E32" s="103"/>
      <c r="F32" s="104"/>
      <c r="G32" s="19"/>
      <c r="H32" s="19"/>
      <c r="I32" s="19"/>
      <c r="J32" s="19"/>
      <c r="K32" s="102"/>
      <c r="L32" s="103"/>
      <c r="M32" s="103"/>
      <c r="N32" s="103"/>
      <c r="O32" s="103"/>
      <c r="P32" s="103"/>
      <c r="Q32" s="104"/>
      <c r="R32" s="19"/>
      <c r="S32" s="19"/>
      <c r="T32" s="19"/>
      <c r="U32" s="19"/>
    </row>
    <row r="33" spans="1:21" ht="18" customHeight="1" x14ac:dyDescent="0.15">
      <c r="A33" s="3"/>
      <c r="B33" s="105"/>
      <c r="C33" s="106"/>
      <c r="D33" s="106"/>
      <c r="E33" s="106"/>
      <c r="F33" s="107"/>
      <c r="G33" s="20"/>
      <c r="H33" s="20"/>
      <c r="I33" s="21"/>
      <c r="J33" s="21"/>
      <c r="K33" s="105"/>
      <c r="L33" s="106"/>
      <c r="M33" s="106"/>
      <c r="N33" s="106"/>
      <c r="O33" s="106"/>
      <c r="P33" s="106"/>
      <c r="Q33" s="107"/>
      <c r="R33" s="20"/>
      <c r="S33" s="20"/>
      <c r="T33" s="21"/>
      <c r="U33" s="21"/>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13" t="s">
        <v>103</v>
      </c>
      <c r="B35" s="113"/>
      <c r="C35" s="113"/>
      <c r="D35" s="113"/>
      <c r="E35" s="113"/>
      <c r="F35" s="113"/>
      <c r="G35" s="113"/>
      <c r="H35" s="113"/>
      <c r="I35" s="113"/>
      <c r="J35" s="113"/>
      <c r="K35" s="113"/>
      <c r="L35" s="113"/>
      <c r="M35" s="113"/>
      <c r="N35" s="113"/>
      <c r="O35" s="113"/>
      <c r="P35" s="113"/>
      <c r="Q35" s="113"/>
      <c r="R35" s="113"/>
      <c r="S35" s="113"/>
      <c r="T35" s="113"/>
      <c r="U35" s="113"/>
    </row>
    <row r="36" spans="1:21" ht="18" customHeight="1" x14ac:dyDescent="0.15">
      <c r="A36" s="113"/>
      <c r="B36" s="113"/>
      <c r="C36" s="113"/>
      <c r="D36" s="113"/>
      <c r="E36" s="113"/>
      <c r="F36" s="113"/>
      <c r="G36" s="113"/>
      <c r="H36" s="113"/>
      <c r="I36" s="113"/>
      <c r="J36" s="113"/>
      <c r="K36" s="113"/>
      <c r="L36" s="113"/>
      <c r="M36" s="113"/>
      <c r="N36" s="113"/>
      <c r="O36" s="113"/>
      <c r="P36" s="113"/>
      <c r="Q36" s="113"/>
      <c r="R36" s="113"/>
      <c r="S36" s="113"/>
      <c r="T36" s="113"/>
      <c r="U36" s="113"/>
    </row>
    <row r="37" spans="1:21" ht="18" customHeight="1" x14ac:dyDescent="0.15">
      <c r="B37" s="99" t="s">
        <v>52</v>
      </c>
      <c r="C37" s="100"/>
      <c r="D37" s="100"/>
      <c r="E37" s="100"/>
      <c r="F37" s="101"/>
      <c r="G37" s="49" t="s">
        <v>78</v>
      </c>
      <c r="H37" s="48" t="s">
        <v>81</v>
      </c>
      <c r="I37" s="17" t="s">
        <v>69</v>
      </c>
      <c r="J37" s="17" t="s">
        <v>70</v>
      </c>
      <c r="K37" s="99" t="s">
        <v>52</v>
      </c>
      <c r="L37" s="100"/>
      <c r="M37" s="100"/>
      <c r="N37" s="100"/>
      <c r="O37" s="100"/>
      <c r="P37" s="100"/>
      <c r="Q37" s="101"/>
      <c r="R37" s="49" t="s">
        <v>78</v>
      </c>
      <c r="S37" s="48" t="s">
        <v>81</v>
      </c>
      <c r="T37" s="17" t="s">
        <v>69</v>
      </c>
      <c r="U37" s="17" t="s">
        <v>70</v>
      </c>
    </row>
    <row r="38" spans="1:21" ht="18" customHeight="1" x14ac:dyDescent="0.15">
      <c r="B38" s="110" t="s">
        <v>139</v>
      </c>
      <c r="C38" s="111"/>
      <c r="D38" s="111"/>
      <c r="E38" s="111"/>
      <c r="F38" s="112"/>
      <c r="G38" s="18">
        <v>2</v>
      </c>
      <c r="H38" s="18" t="s">
        <v>140</v>
      </c>
      <c r="I38" s="18" t="s">
        <v>140</v>
      </c>
      <c r="J38" s="18" t="s">
        <v>140</v>
      </c>
      <c r="K38" s="110"/>
      <c r="L38" s="111"/>
      <c r="M38" s="111"/>
      <c r="N38" s="111"/>
      <c r="O38" s="111"/>
      <c r="P38" s="111"/>
      <c r="Q38" s="112"/>
      <c r="R38" s="18"/>
      <c r="S38" s="18"/>
      <c r="T38" s="18"/>
      <c r="U38" s="18"/>
    </row>
    <row r="39" spans="1:21" ht="18" customHeight="1" x14ac:dyDescent="0.15">
      <c r="B39" s="102"/>
      <c r="C39" s="103"/>
      <c r="D39" s="103"/>
      <c r="E39" s="103"/>
      <c r="F39" s="104"/>
      <c r="G39" s="19"/>
      <c r="H39" s="19"/>
      <c r="I39" s="19"/>
      <c r="J39" s="19"/>
      <c r="K39" s="102"/>
      <c r="L39" s="103"/>
      <c r="M39" s="103"/>
      <c r="N39" s="103"/>
      <c r="O39" s="103"/>
      <c r="P39" s="103"/>
      <c r="Q39" s="104"/>
      <c r="R39" s="19"/>
      <c r="S39" s="19"/>
      <c r="T39" s="19"/>
      <c r="U39" s="19"/>
    </row>
    <row r="40" spans="1:21" ht="18" customHeight="1" x14ac:dyDescent="0.15">
      <c r="B40" s="102"/>
      <c r="C40" s="103"/>
      <c r="D40" s="103"/>
      <c r="E40" s="103"/>
      <c r="F40" s="104"/>
      <c r="G40" s="19"/>
      <c r="H40" s="19"/>
      <c r="I40" s="19"/>
      <c r="J40" s="19"/>
      <c r="K40" s="102"/>
      <c r="L40" s="103"/>
      <c r="M40" s="103"/>
      <c r="N40" s="103"/>
      <c r="O40" s="103"/>
      <c r="P40" s="103"/>
      <c r="Q40" s="104"/>
      <c r="R40" s="19"/>
      <c r="S40" s="19"/>
      <c r="T40" s="19"/>
      <c r="U40" s="19"/>
    </row>
    <row r="41" spans="1:21" ht="18" customHeight="1" x14ac:dyDescent="0.15">
      <c r="B41" s="102"/>
      <c r="C41" s="103"/>
      <c r="D41" s="103"/>
      <c r="E41" s="103"/>
      <c r="F41" s="104"/>
      <c r="G41" s="19"/>
      <c r="H41" s="19"/>
      <c r="I41" s="19"/>
      <c r="J41" s="19"/>
      <c r="K41" s="102"/>
      <c r="L41" s="103"/>
      <c r="M41" s="103"/>
      <c r="N41" s="103"/>
      <c r="O41" s="103"/>
      <c r="P41" s="103"/>
      <c r="Q41" s="104"/>
      <c r="R41" s="19"/>
      <c r="S41" s="19"/>
      <c r="T41" s="19"/>
      <c r="U41" s="19"/>
    </row>
    <row r="42" spans="1:21" ht="18" customHeight="1" x14ac:dyDescent="0.15">
      <c r="B42" s="102"/>
      <c r="C42" s="103"/>
      <c r="D42" s="103"/>
      <c r="E42" s="103"/>
      <c r="F42" s="104"/>
      <c r="G42" s="19"/>
      <c r="H42" s="19"/>
      <c r="I42" s="19"/>
      <c r="J42" s="19"/>
      <c r="K42" s="102"/>
      <c r="L42" s="103"/>
      <c r="M42" s="103"/>
      <c r="N42" s="103"/>
      <c r="O42" s="103"/>
      <c r="P42" s="103"/>
      <c r="Q42" s="104"/>
      <c r="R42" s="19"/>
      <c r="S42" s="19"/>
      <c r="T42" s="19"/>
      <c r="U42" s="19"/>
    </row>
    <row r="43" spans="1:21" ht="18" customHeight="1" x14ac:dyDescent="0.15">
      <c r="B43" s="102"/>
      <c r="C43" s="103"/>
      <c r="D43" s="103"/>
      <c r="E43" s="103"/>
      <c r="F43" s="104"/>
      <c r="G43" s="19"/>
      <c r="H43" s="19"/>
      <c r="I43" s="19"/>
      <c r="J43" s="19"/>
      <c r="K43" s="102"/>
      <c r="L43" s="103"/>
      <c r="M43" s="103"/>
      <c r="N43" s="103"/>
      <c r="O43" s="103"/>
      <c r="P43" s="103"/>
      <c r="Q43" s="104"/>
      <c r="R43" s="19"/>
      <c r="S43" s="19"/>
      <c r="T43" s="19"/>
      <c r="U43" s="19"/>
    </row>
    <row r="44" spans="1:21" ht="18" customHeight="1" x14ac:dyDescent="0.15">
      <c r="B44" s="105"/>
      <c r="C44" s="106"/>
      <c r="D44" s="106"/>
      <c r="E44" s="106"/>
      <c r="F44" s="107"/>
      <c r="G44" s="20"/>
      <c r="H44" s="20"/>
      <c r="I44" s="21"/>
      <c r="J44" s="21"/>
      <c r="K44" s="105"/>
      <c r="L44" s="106"/>
      <c r="M44" s="106"/>
      <c r="N44" s="106"/>
      <c r="O44" s="106"/>
      <c r="P44" s="106"/>
      <c r="Q44" s="107"/>
      <c r="R44" s="20"/>
      <c r="S44" s="20"/>
      <c r="T44" s="21"/>
      <c r="U44" s="21"/>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13" t="s">
        <v>104</v>
      </c>
      <c r="B46" s="113"/>
      <c r="C46" s="113"/>
      <c r="D46" s="113"/>
      <c r="E46" s="113"/>
      <c r="F46" s="113"/>
      <c r="G46" s="113"/>
      <c r="H46" s="113"/>
      <c r="I46" s="113"/>
      <c r="J46" s="113"/>
      <c r="K46" s="113"/>
      <c r="L46" s="113"/>
      <c r="M46" s="113"/>
      <c r="N46" s="113"/>
      <c r="O46" s="113"/>
      <c r="P46" s="113"/>
      <c r="Q46" s="113"/>
      <c r="R46" s="113"/>
      <c r="S46" s="113"/>
      <c r="T46" s="113"/>
      <c r="U46" s="113"/>
    </row>
    <row r="47" spans="1:21" ht="18" customHeight="1" x14ac:dyDescent="0.15">
      <c r="A47" s="113"/>
      <c r="B47" s="113"/>
      <c r="C47" s="113"/>
      <c r="D47" s="113"/>
      <c r="E47" s="113"/>
      <c r="F47" s="113"/>
      <c r="G47" s="113"/>
      <c r="H47" s="113"/>
      <c r="I47" s="113"/>
      <c r="J47" s="113"/>
      <c r="K47" s="113"/>
      <c r="L47" s="113"/>
      <c r="M47" s="113"/>
      <c r="N47" s="113"/>
      <c r="O47" s="113"/>
      <c r="P47" s="113"/>
      <c r="Q47" s="113"/>
      <c r="R47" s="113"/>
      <c r="S47" s="113"/>
      <c r="T47" s="113"/>
      <c r="U47" s="113"/>
    </row>
    <row r="48" spans="1:21" ht="18" customHeight="1" x14ac:dyDescent="0.15">
      <c r="B48" s="99" t="s">
        <v>52</v>
      </c>
      <c r="C48" s="100"/>
      <c r="D48" s="100"/>
      <c r="E48" s="100"/>
      <c r="F48" s="101"/>
      <c r="G48" s="49" t="s">
        <v>78</v>
      </c>
      <c r="H48" s="48" t="s">
        <v>81</v>
      </c>
      <c r="I48" s="17" t="s">
        <v>71</v>
      </c>
      <c r="J48" s="17" t="s">
        <v>72</v>
      </c>
      <c r="K48" s="99" t="s">
        <v>52</v>
      </c>
      <c r="L48" s="100"/>
      <c r="M48" s="100"/>
      <c r="N48" s="100"/>
      <c r="O48" s="100"/>
      <c r="P48" s="100"/>
      <c r="Q48" s="101"/>
      <c r="R48" s="49" t="s">
        <v>78</v>
      </c>
      <c r="S48" s="48" t="s">
        <v>81</v>
      </c>
      <c r="T48" s="17" t="s">
        <v>71</v>
      </c>
      <c r="U48" s="17" t="s">
        <v>72</v>
      </c>
    </row>
    <row r="49" spans="1:21" ht="18" customHeight="1" x14ac:dyDescent="0.15">
      <c r="A49" s="3"/>
      <c r="B49" s="110" t="s">
        <v>139</v>
      </c>
      <c r="C49" s="111"/>
      <c r="D49" s="111"/>
      <c r="E49" s="111"/>
      <c r="F49" s="112"/>
      <c r="G49" s="18">
        <v>2</v>
      </c>
      <c r="H49" s="18" t="s">
        <v>140</v>
      </c>
      <c r="I49" s="18" t="s">
        <v>140</v>
      </c>
      <c r="J49" s="18" t="s">
        <v>140</v>
      </c>
      <c r="K49" s="110"/>
      <c r="L49" s="111"/>
      <c r="M49" s="111"/>
      <c r="N49" s="111"/>
      <c r="O49" s="111"/>
      <c r="P49" s="111"/>
      <c r="Q49" s="112"/>
      <c r="R49" s="18"/>
      <c r="S49" s="18"/>
      <c r="T49" s="18"/>
      <c r="U49" s="18"/>
    </row>
    <row r="50" spans="1:21" ht="18" customHeight="1" x14ac:dyDescent="0.15">
      <c r="A50" s="3"/>
      <c r="B50" s="102"/>
      <c r="C50" s="103"/>
      <c r="D50" s="103"/>
      <c r="E50" s="103"/>
      <c r="F50" s="104"/>
      <c r="G50" s="19"/>
      <c r="H50" s="19"/>
      <c r="I50" s="19"/>
      <c r="J50" s="19"/>
      <c r="K50" s="102"/>
      <c r="L50" s="103"/>
      <c r="M50" s="103"/>
      <c r="N50" s="103"/>
      <c r="O50" s="103"/>
      <c r="P50" s="103"/>
      <c r="Q50" s="104"/>
      <c r="R50" s="19"/>
      <c r="S50" s="19"/>
      <c r="T50" s="19"/>
      <c r="U50" s="19"/>
    </row>
    <row r="51" spans="1:21" ht="18" customHeight="1" x14ac:dyDescent="0.15">
      <c r="A51" s="3"/>
      <c r="B51" s="102"/>
      <c r="C51" s="103"/>
      <c r="D51" s="103"/>
      <c r="E51" s="103"/>
      <c r="F51" s="104"/>
      <c r="G51" s="19"/>
      <c r="H51" s="19"/>
      <c r="I51" s="19"/>
      <c r="J51" s="19"/>
      <c r="K51" s="102"/>
      <c r="L51" s="103"/>
      <c r="M51" s="103"/>
      <c r="N51" s="103"/>
      <c r="O51" s="103"/>
      <c r="P51" s="103"/>
      <c r="Q51" s="104"/>
      <c r="R51" s="19"/>
      <c r="S51" s="19"/>
      <c r="T51" s="19"/>
      <c r="U51" s="19"/>
    </row>
    <row r="52" spans="1:21" ht="18" customHeight="1" x14ac:dyDescent="0.15">
      <c r="A52" s="3"/>
      <c r="B52" s="102"/>
      <c r="C52" s="103"/>
      <c r="D52" s="103"/>
      <c r="E52" s="103"/>
      <c r="F52" s="104"/>
      <c r="G52" s="19"/>
      <c r="H52" s="19"/>
      <c r="I52" s="19"/>
      <c r="J52" s="19"/>
      <c r="K52" s="102"/>
      <c r="L52" s="103"/>
      <c r="M52" s="103"/>
      <c r="N52" s="103"/>
      <c r="O52" s="103"/>
      <c r="P52" s="103"/>
      <c r="Q52" s="104"/>
      <c r="R52" s="19"/>
      <c r="S52" s="19"/>
      <c r="T52" s="19"/>
      <c r="U52" s="19"/>
    </row>
    <row r="53" spans="1:21" ht="18" customHeight="1" x14ac:dyDescent="0.15">
      <c r="A53" s="3"/>
      <c r="B53" s="102"/>
      <c r="C53" s="103"/>
      <c r="D53" s="103"/>
      <c r="E53" s="103"/>
      <c r="F53" s="104"/>
      <c r="G53" s="19"/>
      <c r="H53" s="19"/>
      <c r="I53" s="19"/>
      <c r="J53" s="19"/>
      <c r="K53" s="102"/>
      <c r="L53" s="103"/>
      <c r="M53" s="103"/>
      <c r="N53" s="103"/>
      <c r="O53" s="103"/>
      <c r="P53" s="103"/>
      <c r="Q53" s="104"/>
      <c r="R53" s="19"/>
      <c r="S53" s="19"/>
      <c r="T53" s="19"/>
      <c r="U53" s="19"/>
    </row>
    <row r="54" spans="1:21" ht="18" customHeight="1" x14ac:dyDescent="0.15">
      <c r="A54" s="3"/>
      <c r="B54" s="102"/>
      <c r="C54" s="103"/>
      <c r="D54" s="103"/>
      <c r="E54" s="103"/>
      <c r="F54" s="104"/>
      <c r="G54" s="19"/>
      <c r="H54" s="19"/>
      <c r="I54" s="19"/>
      <c r="J54" s="19"/>
      <c r="K54" s="102"/>
      <c r="L54" s="103"/>
      <c r="M54" s="103"/>
      <c r="N54" s="103"/>
      <c r="O54" s="103"/>
      <c r="P54" s="103"/>
      <c r="Q54" s="104"/>
      <c r="R54" s="19"/>
      <c r="S54" s="19"/>
      <c r="T54" s="19"/>
      <c r="U54" s="19"/>
    </row>
    <row r="55" spans="1:21" ht="18" customHeight="1" x14ac:dyDescent="0.15">
      <c r="A55" s="3"/>
      <c r="B55" s="105"/>
      <c r="C55" s="106"/>
      <c r="D55" s="106"/>
      <c r="E55" s="106"/>
      <c r="F55" s="107"/>
      <c r="G55" s="20"/>
      <c r="H55" s="20"/>
      <c r="I55" s="21"/>
      <c r="J55" s="21"/>
      <c r="K55" s="105"/>
      <c r="L55" s="106"/>
      <c r="M55" s="106"/>
      <c r="N55" s="106"/>
      <c r="O55" s="106"/>
      <c r="P55" s="106"/>
      <c r="Q55" s="107"/>
      <c r="R55" s="20"/>
      <c r="S55" s="20"/>
      <c r="T55" s="21"/>
      <c r="U55" s="21"/>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13" t="s">
        <v>105</v>
      </c>
      <c r="B57" s="113"/>
      <c r="C57" s="113"/>
      <c r="D57" s="113"/>
      <c r="E57" s="113"/>
      <c r="F57" s="113"/>
      <c r="G57" s="113"/>
      <c r="H57" s="113"/>
      <c r="I57" s="113"/>
      <c r="J57" s="113"/>
      <c r="K57" s="113"/>
      <c r="L57" s="113"/>
      <c r="M57" s="113"/>
      <c r="N57" s="113"/>
      <c r="O57" s="113"/>
      <c r="P57" s="113"/>
      <c r="Q57" s="113"/>
      <c r="R57" s="113"/>
      <c r="S57" s="113"/>
      <c r="T57" s="113"/>
      <c r="U57" s="113"/>
    </row>
    <row r="58" spans="1:21" ht="18" customHeight="1" x14ac:dyDescent="0.15">
      <c r="A58" s="113"/>
      <c r="B58" s="113"/>
      <c r="C58" s="113"/>
      <c r="D58" s="113"/>
      <c r="E58" s="113"/>
      <c r="F58" s="113"/>
      <c r="G58" s="113"/>
      <c r="H58" s="113"/>
      <c r="I58" s="113"/>
      <c r="J58" s="113"/>
      <c r="K58" s="113"/>
      <c r="L58" s="113"/>
      <c r="M58" s="113"/>
      <c r="N58" s="113"/>
      <c r="O58" s="113"/>
      <c r="P58" s="113"/>
      <c r="Q58" s="113"/>
      <c r="R58" s="113"/>
      <c r="S58" s="113"/>
      <c r="T58" s="113"/>
      <c r="U58" s="113"/>
    </row>
    <row r="59" spans="1:21" ht="18" customHeight="1" x14ac:dyDescent="0.15">
      <c r="B59" s="99" t="s">
        <v>52</v>
      </c>
      <c r="C59" s="100"/>
      <c r="D59" s="100"/>
      <c r="E59" s="100"/>
      <c r="F59" s="101"/>
      <c r="G59" s="49" t="s">
        <v>78</v>
      </c>
      <c r="H59" s="48" t="s">
        <v>81</v>
      </c>
      <c r="I59" s="17" t="s">
        <v>57</v>
      </c>
      <c r="J59" s="17" t="s">
        <v>59</v>
      </c>
      <c r="K59" s="99" t="s">
        <v>52</v>
      </c>
      <c r="L59" s="100"/>
      <c r="M59" s="100"/>
      <c r="N59" s="100"/>
      <c r="O59" s="100"/>
      <c r="P59" s="100"/>
      <c r="Q59" s="101"/>
      <c r="R59" s="49" t="s">
        <v>78</v>
      </c>
      <c r="S59" s="48" t="s">
        <v>81</v>
      </c>
      <c r="T59" s="17" t="s">
        <v>57</v>
      </c>
      <c r="U59" s="17" t="s">
        <v>59</v>
      </c>
    </row>
    <row r="60" spans="1:21" ht="18" customHeight="1" x14ac:dyDescent="0.15">
      <c r="A60" s="3"/>
      <c r="B60" s="110" t="s">
        <v>139</v>
      </c>
      <c r="C60" s="111"/>
      <c r="D60" s="111"/>
      <c r="E60" s="111"/>
      <c r="F60" s="112"/>
      <c r="G60" s="18">
        <v>2</v>
      </c>
      <c r="H60" s="18" t="s">
        <v>140</v>
      </c>
      <c r="I60" s="18" t="s">
        <v>140</v>
      </c>
      <c r="J60" s="18" t="s">
        <v>140</v>
      </c>
      <c r="K60" s="110"/>
      <c r="L60" s="111"/>
      <c r="M60" s="111"/>
      <c r="N60" s="111"/>
      <c r="O60" s="111"/>
      <c r="P60" s="111"/>
      <c r="Q60" s="112"/>
      <c r="R60" s="18"/>
      <c r="S60" s="18"/>
      <c r="T60" s="18"/>
      <c r="U60" s="18"/>
    </row>
    <row r="61" spans="1:21" ht="18" customHeight="1" x14ac:dyDescent="0.15">
      <c r="A61" s="3"/>
      <c r="B61" s="102"/>
      <c r="C61" s="103"/>
      <c r="D61" s="103"/>
      <c r="E61" s="103"/>
      <c r="F61" s="104"/>
      <c r="G61" s="19"/>
      <c r="H61" s="19"/>
      <c r="I61" s="19"/>
      <c r="J61" s="19"/>
      <c r="K61" s="102"/>
      <c r="L61" s="103"/>
      <c r="M61" s="103"/>
      <c r="N61" s="103"/>
      <c r="O61" s="103"/>
      <c r="P61" s="103"/>
      <c r="Q61" s="104"/>
      <c r="R61" s="19"/>
      <c r="S61" s="19"/>
      <c r="T61" s="19"/>
      <c r="U61" s="19"/>
    </row>
    <row r="62" spans="1:21" ht="18" customHeight="1" x14ac:dyDescent="0.15">
      <c r="A62" s="3"/>
      <c r="B62" s="102"/>
      <c r="C62" s="103"/>
      <c r="D62" s="103"/>
      <c r="E62" s="103"/>
      <c r="F62" s="104"/>
      <c r="G62" s="19"/>
      <c r="H62" s="19"/>
      <c r="I62" s="19"/>
      <c r="J62" s="19"/>
      <c r="K62" s="102"/>
      <c r="L62" s="103"/>
      <c r="M62" s="103"/>
      <c r="N62" s="103"/>
      <c r="O62" s="103"/>
      <c r="P62" s="103"/>
      <c r="Q62" s="104"/>
      <c r="R62" s="19"/>
      <c r="S62" s="19"/>
      <c r="T62" s="19"/>
      <c r="U62" s="19"/>
    </row>
    <row r="63" spans="1:21" ht="18" customHeight="1" x14ac:dyDescent="0.15">
      <c r="A63" s="3"/>
      <c r="B63" s="102"/>
      <c r="C63" s="103"/>
      <c r="D63" s="103"/>
      <c r="E63" s="103"/>
      <c r="F63" s="104"/>
      <c r="G63" s="19"/>
      <c r="H63" s="19"/>
      <c r="I63" s="19"/>
      <c r="J63" s="19"/>
      <c r="K63" s="102"/>
      <c r="L63" s="103"/>
      <c r="M63" s="103"/>
      <c r="N63" s="103"/>
      <c r="O63" s="103"/>
      <c r="P63" s="103"/>
      <c r="Q63" s="104"/>
      <c r="R63" s="19"/>
      <c r="S63" s="19"/>
      <c r="T63" s="19"/>
      <c r="U63" s="19"/>
    </row>
    <row r="64" spans="1:21" ht="18" customHeight="1" x14ac:dyDescent="0.15">
      <c r="A64" s="3"/>
      <c r="B64" s="102"/>
      <c r="C64" s="103"/>
      <c r="D64" s="103"/>
      <c r="E64" s="103"/>
      <c r="F64" s="104"/>
      <c r="G64" s="19"/>
      <c r="H64" s="19"/>
      <c r="I64" s="19"/>
      <c r="J64" s="19"/>
      <c r="K64" s="102"/>
      <c r="L64" s="103"/>
      <c r="M64" s="103"/>
      <c r="N64" s="103"/>
      <c r="O64" s="103"/>
      <c r="P64" s="103"/>
      <c r="Q64" s="104"/>
      <c r="R64" s="19"/>
      <c r="S64" s="19"/>
      <c r="T64" s="19"/>
      <c r="U64" s="19"/>
    </row>
    <row r="65" spans="1:21" ht="18" customHeight="1" x14ac:dyDescent="0.15">
      <c r="A65" s="3"/>
      <c r="B65" s="102"/>
      <c r="C65" s="103"/>
      <c r="D65" s="103"/>
      <c r="E65" s="103"/>
      <c r="F65" s="104"/>
      <c r="G65" s="19"/>
      <c r="H65" s="19"/>
      <c r="I65" s="19"/>
      <c r="J65" s="19"/>
      <c r="K65" s="102"/>
      <c r="L65" s="103"/>
      <c r="M65" s="103"/>
      <c r="N65" s="103"/>
      <c r="O65" s="103"/>
      <c r="P65" s="103"/>
      <c r="Q65" s="104"/>
      <c r="R65" s="19"/>
      <c r="S65" s="19"/>
      <c r="T65" s="19"/>
      <c r="U65" s="19"/>
    </row>
    <row r="66" spans="1:21" ht="18" customHeight="1" x14ac:dyDescent="0.15">
      <c r="A66" s="3"/>
      <c r="B66" s="105"/>
      <c r="C66" s="106"/>
      <c r="D66" s="106"/>
      <c r="E66" s="106"/>
      <c r="F66" s="107"/>
      <c r="G66" s="20"/>
      <c r="H66" s="20"/>
      <c r="I66" s="21"/>
      <c r="J66" s="21"/>
      <c r="K66" s="105"/>
      <c r="L66" s="106"/>
      <c r="M66" s="106"/>
      <c r="N66" s="106"/>
      <c r="O66" s="106"/>
      <c r="P66" s="106"/>
      <c r="Q66" s="107"/>
      <c r="R66" s="20"/>
      <c r="S66" s="20"/>
      <c r="T66" s="21"/>
      <c r="U66" s="21"/>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13" t="s">
        <v>106</v>
      </c>
      <c r="B68" s="113"/>
      <c r="C68" s="113"/>
      <c r="D68" s="113"/>
      <c r="E68" s="113"/>
      <c r="F68" s="113"/>
      <c r="G68" s="113"/>
      <c r="H68" s="113"/>
      <c r="I68" s="113"/>
      <c r="J68" s="113"/>
      <c r="K68" s="113"/>
      <c r="L68" s="113"/>
      <c r="M68" s="113"/>
      <c r="N68" s="113"/>
      <c r="O68" s="113"/>
      <c r="P68" s="113"/>
      <c r="Q68" s="113"/>
      <c r="R68" s="113"/>
      <c r="S68" s="113"/>
      <c r="T68" s="113"/>
      <c r="U68" s="113"/>
    </row>
    <row r="69" spans="1:21" ht="18" customHeight="1" x14ac:dyDescent="0.15">
      <c r="A69" s="113"/>
      <c r="B69" s="113"/>
      <c r="C69" s="113"/>
      <c r="D69" s="113"/>
      <c r="E69" s="113"/>
      <c r="F69" s="113"/>
      <c r="G69" s="113"/>
      <c r="H69" s="113"/>
      <c r="I69" s="113"/>
      <c r="J69" s="113"/>
      <c r="K69" s="113"/>
      <c r="L69" s="113"/>
      <c r="M69" s="113"/>
      <c r="N69" s="113"/>
      <c r="O69" s="113"/>
      <c r="P69" s="113"/>
      <c r="Q69" s="113"/>
      <c r="R69" s="113"/>
      <c r="S69" s="113"/>
      <c r="T69" s="113"/>
      <c r="U69" s="113"/>
    </row>
    <row r="70" spans="1:21" ht="18" customHeight="1" x14ac:dyDescent="0.15">
      <c r="B70" s="99" t="s">
        <v>52</v>
      </c>
      <c r="C70" s="100"/>
      <c r="D70" s="100"/>
      <c r="E70" s="100"/>
      <c r="F70" s="49" t="s">
        <v>78</v>
      </c>
      <c r="G70" s="48" t="s">
        <v>81</v>
      </c>
      <c r="H70" s="17" t="s">
        <v>93</v>
      </c>
      <c r="I70" s="17" t="s">
        <v>73</v>
      </c>
      <c r="J70" s="17" t="s">
        <v>74</v>
      </c>
      <c r="K70" s="99" t="s">
        <v>52</v>
      </c>
      <c r="L70" s="100"/>
      <c r="M70" s="100"/>
      <c r="N70" s="100"/>
      <c r="O70" s="100"/>
      <c r="P70" s="101"/>
      <c r="Q70" s="49" t="s">
        <v>78</v>
      </c>
      <c r="R70" s="48" t="s">
        <v>81</v>
      </c>
      <c r="S70" s="17" t="s">
        <v>93</v>
      </c>
      <c r="T70" s="17" t="s">
        <v>73</v>
      </c>
      <c r="U70" s="17" t="s">
        <v>74</v>
      </c>
    </row>
    <row r="71" spans="1:21" ht="18" customHeight="1" x14ac:dyDescent="0.15">
      <c r="A71" s="3"/>
      <c r="B71" s="110" t="s">
        <v>139</v>
      </c>
      <c r="C71" s="111"/>
      <c r="D71" s="111"/>
      <c r="E71" s="111"/>
      <c r="F71" s="18">
        <v>2</v>
      </c>
      <c r="G71" s="18" t="s">
        <v>140</v>
      </c>
      <c r="H71" s="18" t="s">
        <v>140</v>
      </c>
      <c r="I71" s="18" t="s">
        <v>140</v>
      </c>
      <c r="J71" s="18" t="s">
        <v>140</v>
      </c>
      <c r="K71" s="110"/>
      <c r="L71" s="111"/>
      <c r="M71" s="111"/>
      <c r="N71" s="111"/>
      <c r="O71" s="111"/>
      <c r="P71" s="112"/>
      <c r="Q71" s="18"/>
      <c r="R71" s="18"/>
      <c r="S71" s="18"/>
      <c r="T71" s="18"/>
      <c r="U71" s="18"/>
    </row>
    <row r="72" spans="1:21" ht="18" customHeight="1" x14ac:dyDescent="0.15">
      <c r="A72" s="3"/>
      <c r="B72" s="102"/>
      <c r="C72" s="103"/>
      <c r="D72" s="103"/>
      <c r="E72" s="103"/>
      <c r="F72" s="19"/>
      <c r="G72" s="19"/>
      <c r="H72" s="19"/>
      <c r="I72" s="19"/>
      <c r="J72" s="19"/>
      <c r="K72" s="102"/>
      <c r="L72" s="103"/>
      <c r="M72" s="103"/>
      <c r="N72" s="103"/>
      <c r="O72" s="103"/>
      <c r="P72" s="104"/>
      <c r="Q72" s="19"/>
      <c r="R72" s="19"/>
      <c r="S72" s="19"/>
      <c r="T72" s="19"/>
      <c r="U72" s="19"/>
    </row>
    <row r="73" spans="1:21" ht="18" customHeight="1" x14ac:dyDescent="0.15">
      <c r="A73" s="3"/>
      <c r="B73" s="102"/>
      <c r="C73" s="103"/>
      <c r="D73" s="103"/>
      <c r="E73" s="103"/>
      <c r="F73" s="19"/>
      <c r="G73" s="19"/>
      <c r="H73" s="19"/>
      <c r="I73" s="19"/>
      <c r="J73" s="19"/>
      <c r="K73" s="102"/>
      <c r="L73" s="103"/>
      <c r="M73" s="103"/>
      <c r="N73" s="103"/>
      <c r="O73" s="103"/>
      <c r="P73" s="104"/>
      <c r="Q73" s="19"/>
      <c r="R73" s="19"/>
      <c r="S73" s="19"/>
      <c r="T73" s="19"/>
      <c r="U73" s="19"/>
    </row>
    <row r="74" spans="1:21" ht="18" customHeight="1" x14ac:dyDescent="0.15">
      <c r="A74" s="3"/>
      <c r="B74" s="102"/>
      <c r="C74" s="103"/>
      <c r="D74" s="103"/>
      <c r="E74" s="103"/>
      <c r="F74" s="19"/>
      <c r="G74" s="19"/>
      <c r="H74" s="19"/>
      <c r="I74" s="19"/>
      <c r="J74" s="19"/>
      <c r="K74" s="102"/>
      <c r="L74" s="103"/>
      <c r="M74" s="103"/>
      <c r="N74" s="103"/>
      <c r="O74" s="103"/>
      <c r="P74" s="104"/>
      <c r="Q74" s="19"/>
      <c r="R74" s="19"/>
      <c r="S74" s="19"/>
      <c r="T74" s="19"/>
      <c r="U74" s="19"/>
    </row>
    <row r="75" spans="1:21" ht="18" customHeight="1" x14ac:dyDescent="0.15">
      <c r="A75" s="3"/>
      <c r="B75" s="102"/>
      <c r="C75" s="103"/>
      <c r="D75" s="103"/>
      <c r="E75" s="103"/>
      <c r="F75" s="19"/>
      <c r="G75" s="19"/>
      <c r="H75" s="19"/>
      <c r="I75" s="19"/>
      <c r="J75" s="19"/>
      <c r="K75" s="102"/>
      <c r="L75" s="103"/>
      <c r="M75" s="103"/>
      <c r="N75" s="103"/>
      <c r="O75" s="103"/>
      <c r="P75" s="104"/>
      <c r="Q75" s="19"/>
      <c r="R75" s="19"/>
      <c r="S75" s="19"/>
      <c r="T75" s="19"/>
      <c r="U75" s="19"/>
    </row>
    <row r="76" spans="1:21" ht="18" customHeight="1" x14ac:dyDescent="0.15">
      <c r="A76" s="3"/>
      <c r="B76" s="102"/>
      <c r="C76" s="103"/>
      <c r="D76" s="103"/>
      <c r="E76" s="103"/>
      <c r="F76" s="19"/>
      <c r="G76" s="19"/>
      <c r="H76" s="19"/>
      <c r="I76" s="19"/>
      <c r="J76" s="19"/>
      <c r="K76" s="102"/>
      <c r="L76" s="103"/>
      <c r="M76" s="103"/>
      <c r="N76" s="103"/>
      <c r="O76" s="103"/>
      <c r="P76" s="104"/>
      <c r="Q76" s="19"/>
      <c r="R76" s="19"/>
      <c r="S76" s="19"/>
      <c r="T76" s="19"/>
      <c r="U76" s="19"/>
    </row>
    <row r="77" spans="1:21" ht="18" customHeight="1" x14ac:dyDescent="0.15">
      <c r="A77" s="3"/>
      <c r="B77" s="105"/>
      <c r="C77" s="106"/>
      <c r="D77" s="106"/>
      <c r="E77" s="106"/>
      <c r="F77" s="20"/>
      <c r="G77" s="20"/>
      <c r="H77" s="21"/>
      <c r="I77" s="21"/>
      <c r="J77" s="21"/>
      <c r="K77" s="105"/>
      <c r="L77" s="106"/>
      <c r="M77" s="106"/>
      <c r="N77" s="106"/>
      <c r="O77" s="106"/>
      <c r="P77" s="107"/>
      <c r="Q77" s="20"/>
      <c r="R77" s="20"/>
      <c r="S77" s="21"/>
      <c r="T77" s="21"/>
      <c r="U77" s="21"/>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107</v>
      </c>
      <c r="I79" s="3"/>
      <c r="J79" s="3"/>
      <c r="K79" s="3"/>
      <c r="L79" s="3"/>
      <c r="M79" s="3"/>
      <c r="N79" s="3"/>
      <c r="O79" s="3"/>
      <c r="P79" s="3"/>
      <c r="Q79" s="3"/>
      <c r="R79" s="3"/>
      <c r="S79" s="3"/>
      <c r="T79" s="3"/>
      <c r="U79" s="3"/>
    </row>
    <row r="80" spans="1:21" ht="18" customHeight="1" x14ac:dyDescent="0.15">
      <c r="B80" s="99" t="s">
        <v>52</v>
      </c>
      <c r="C80" s="100"/>
      <c r="D80" s="100"/>
      <c r="E80" s="100"/>
      <c r="F80" s="101"/>
      <c r="G80" s="99" t="s">
        <v>79</v>
      </c>
      <c r="H80" s="100"/>
      <c r="I80" s="100"/>
      <c r="J80" s="101"/>
      <c r="K80" s="119" t="s">
        <v>52</v>
      </c>
      <c r="L80" s="120"/>
      <c r="M80" s="120"/>
      <c r="N80" s="120"/>
      <c r="O80" s="120"/>
      <c r="P80" s="120"/>
      <c r="Q80" s="121"/>
      <c r="R80" s="99" t="s">
        <v>79</v>
      </c>
      <c r="S80" s="100"/>
      <c r="T80" s="100"/>
      <c r="U80" s="101"/>
    </row>
    <row r="81" spans="1:21" ht="18" customHeight="1" x14ac:dyDescent="0.15">
      <c r="A81" s="3"/>
      <c r="B81" s="110"/>
      <c r="C81" s="111"/>
      <c r="D81" s="111"/>
      <c r="E81" s="111"/>
      <c r="F81" s="112"/>
      <c r="G81" s="114"/>
      <c r="H81" s="115"/>
      <c r="I81" s="115"/>
      <c r="J81" s="116"/>
      <c r="K81" s="110"/>
      <c r="L81" s="111"/>
      <c r="M81" s="111"/>
      <c r="N81" s="111"/>
      <c r="O81" s="111"/>
      <c r="P81" s="111"/>
      <c r="Q81" s="112"/>
      <c r="R81" s="114"/>
      <c r="S81" s="115"/>
      <c r="T81" s="115"/>
      <c r="U81" s="116"/>
    </row>
    <row r="82" spans="1:21" ht="18" customHeight="1" x14ac:dyDescent="0.15">
      <c r="A82" s="3"/>
      <c r="B82" s="102"/>
      <c r="C82" s="103"/>
      <c r="D82" s="103"/>
      <c r="E82" s="103"/>
      <c r="F82" s="104"/>
      <c r="G82" s="96"/>
      <c r="H82" s="97"/>
      <c r="I82" s="97"/>
      <c r="J82" s="98"/>
      <c r="K82" s="102"/>
      <c r="L82" s="103"/>
      <c r="M82" s="103"/>
      <c r="N82" s="103"/>
      <c r="O82" s="103"/>
      <c r="P82" s="103"/>
      <c r="Q82" s="104"/>
      <c r="R82" s="96"/>
      <c r="S82" s="97"/>
      <c r="T82" s="97"/>
      <c r="U82" s="98"/>
    </row>
    <row r="83" spans="1:21" ht="18" customHeight="1" x14ac:dyDescent="0.15">
      <c r="A83" s="3"/>
      <c r="B83" s="102"/>
      <c r="C83" s="103"/>
      <c r="D83" s="103"/>
      <c r="E83" s="103"/>
      <c r="F83" s="104"/>
      <c r="G83" s="96"/>
      <c r="H83" s="97"/>
      <c r="I83" s="97"/>
      <c r="J83" s="98"/>
      <c r="K83" s="102"/>
      <c r="L83" s="103"/>
      <c r="M83" s="103"/>
      <c r="N83" s="103"/>
      <c r="O83" s="103"/>
      <c r="P83" s="103"/>
      <c r="Q83" s="104"/>
      <c r="R83" s="96"/>
      <c r="S83" s="97"/>
      <c r="T83" s="97"/>
      <c r="U83" s="98"/>
    </row>
    <row r="84" spans="1:21" ht="18" customHeight="1" x14ac:dyDescent="0.15">
      <c r="A84" s="3"/>
      <c r="B84" s="102"/>
      <c r="C84" s="103"/>
      <c r="D84" s="103"/>
      <c r="E84" s="103"/>
      <c r="F84" s="104"/>
      <c r="G84" s="96"/>
      <c r="H84" s="97"/>
      <c r="I84" s="97"/>
      <c r="J84" s="98"/>
      <c r="K84" s="102"/>
      <c r="L84" s="103"/>
      <c r="M84" s="103"/>
      <c r="N84" s="103"/>
      <c r="O84" s="103"/>
      <c r="P84" s="103"/>
      <c r="Q84" s="104"/>
      <c r="R84" s="96"/>
      <c r="S84" s="97"/>
      <c r="T84" s="97"/>
      <c r="U84" s="98"/>
    </row>
    <row r="85" spans="1:21" ht="18" customHeight="1" x14ac:dyDescent="0.15">
      <c r="A85" s="3"/>
      <c r="B85" s="102"/>
      <c r="C85" s="103"/>
      <c r="D85" s="103"/>
      <c r="E85" s="103"/>
      <c r="F85" s="104"/>
      <c r="G85" s="96"/>
      <c r="H85" s="97"/>
      <c r="I85" s="97"/>
      <c r="J85" s="98"/>
      <c r="K85" s="102"/>
      <c r="L85" s="103"/>
      <c r="M85" s="103"/>
      <c r="N85" s="103"/>
      <c r="O85" s="103"/>
      <c r="P85" s="103"/>
      <c r="Q85" s="104"/>
      <c r="R85" s="96"/>
      <c r="S85" s="97"/>
      <c r="T85" s="97"/>
      <c r="U85" s="98"/>
    </row>
    <row r="86" spans="1:21" ht="18" customHeight="1" x14ac:dyDescent="0.15">
      <c r="A86" s="3"/>
      <c r="B86" s="102"/>
      <c r="C86" s="103"/>
      <c r="D86" s="103"/>
      <c r="E86" s="103"/>
      <c r="F86" s="104"/>
      <c r="G86" s="96"/>
      <c r="H86" s="97"/>
      <c r="I86" s="97"/>
      <c r="J86" s="98"/>
      <c r="K86" s="102"/>
      <c r="L86" s="103"/>
      <c r="M86" s="103"/>
      <c r="N86" s="103"/>
      <c r="O86" s="103"/>
      <c r="P86" s="103"/>
      <c r="Q86" s="104"/>
      <c r="R86" s="96"/>
      <c r="S86" s="97"/>
      <c r="T86" s="97"/>
      <c r="U86" s="98"/>
    </row>
    <row r="87" spans="1:21" ht="18" customHeight="1" x14ac:dyDescent="0.15">
      <c r="A87" s="3"/>
      <c r="B87" s="105"/>
      <c r="C87" s="106"/>
      <c r="D87" s="106"/>
      <c r="E87" s="106"/>
      <c r="F87" s="107"/>
      <c r="G87" s="137"/>
      <c r="H87" s="138"/>
      <c r="I87" s="138"/>
      <c r="J87" s="139"/>
      <c r="K87" s="105"/>
      <c r="L87" s="106"/>
      <c r="M87" s="106"/>
      <c r="N87" s="106"/>
      <c r="O87" s="106"/>
      <c r="P87" s="106"/>
      <c r="Q87" s="107"/>
      <c r="R87" s="137"/>
      <c r="S87" s="138"/>
      <c r="T87" s="138"/>
      <c r="U87" s="139"/>
    </row>
    <row r="88" spans="1:21" ht="18" customHeight="1" x14ac:dyDescent="0.15">
      <c r="A88" s="3"/>
      <c r="B88" s="6"/>
      <c r="C88" s="6"/>
      <c r="D88" s="6"/>
      <c r="E88" s="6"/>
      <c r="F88" s="6"/>
      <c r="G88" s="22"/>
      <c r="H88" s="22"/>
      <c r="I88" s="22"/>
      <c r="J88" s="22"/>
      <c r="K88" s="6"/>
      <c r="L88" s="6"/>
      <c r="M88" s="6"/>
      <c r="N88" s="6"/>
      <c r="O88" s="6"/>
      <c r="P88" s="6"/>
      <c r="Q88" s="6"/>
      <c r="R88" s="22"/>
      <c r="S88" s="22"/>
      <c r="T88" s="22"/>
      <c r="U88" s="22"/>
    </row>
    <row r="89" spans="1:21" ht="18.75" customHeight="1" x14ac:dyDescent="0.15">
      <c r="A89" s="1" t="s">
        <v>108</v>
      </c>
    </row>
    <row r="90" spans="1:21" ht="18.75" customHeight="1" x14ac:dyDescent="0.15">
      <c r="B90" s="140" t="s">
        <v>53</v>
      </c>
      <c r="C90" s="141"/>
      <c r="D90" s="99" t="s">
        <v>54</v>
      </c>
      <c r="E90" s="100"/>
      <c r="F90" s="100"/>
      <c r="G90" s="100"/>
      <c r="H90" s="100"/>
      <c r="I90" s="100"/>
      <c r="J90" s="100"/>
      <c r="K90" s="100"/>
      <c r="L90" s="100"/>
      <c r="M90" s="100"/>
      <c r="N90" s="100"/>
      <c r="O90" s="100"/>
      <c r="P90" s="100"/>
      <c r="Q90" s="100"/>
      <c r="R90" s="100"/>
      <c r="S90" s="100"/>
      <c r="T90" s="100"/>
      <c r="U90" s="101"/>
    </row>
    <row r="91" spans="1:21" ht="97.5" customHeight="1" x14ac:dyDescent="0.15">
      <c r="B91" s="117" t="s">
        <v>60</v>
      </c>
      <c r="C91" s="23" t="s">
        <v>55</v>
      </c>
      <c r="D91" s="162" t="s">
        <v>164</v>
      </c>
      <c r="E91" s="163"/>
      <c r="F91" s="163"/>
      <c r="G91" s="163"/>
      <c r="H91" s="163"/>
      <c r="I91" s="163"/>
      <c r="J91" s="163"/>
      <c r="K91" s="163"/>
      <c r="L91" s="163"/>
      <c r="M91" s="163"/>
      <c r="N91" s="163"/>
      <c r="O91" s="163"/>
      <c r="P91" s="163"/>
      <c r="Q91" s="163"/>
      <c r="R91" s="163"/>
      <c r="S91" s="163"/>
      <c r="T91" s="163"/>
      <c r="U91" s="164"/>
    </row>
    <row r="92" spans="1:21" ht="97.5" customHeight="1" x14ac:dyDescent="0.15">
      <c r="B92" s="122"/>
      <c r="C92" s="24" t="s">
        <v>75</v>
      </c>
      <c r="D92" s="165" t="s">
        <v>165</v>
      </c>
      <c r="E92" s="166"/>
      <c r="F92" s="166"/>
      <c r="G92" s="166"/>
      <c r="H92" s="166"/>
      <c r="I92" s="166"/>
      <c r="J92" s="166"/>
      <c r="K92" s="166"/>
      <c r="L92" s="166"/>
      <c r="M92" s="166"/>
      <c r="N92" s="166"/>
      <c r="O92" s="166"/>
      <c r="P92" s="166"/>
      <c r="Q92" s="166"/>
      <c r="R92" s="166"/>
      <c r="S92" s="166"/>
      <c r="T92" s="166"/>
      <c r="U92" s="167"/>
    </row>
    <row r="93" spans="1:21" ht="97.5" customHeight="1" x14ac:dyDescent="0.15">
      <c r="B93" s="117" t="s">
        <v>61</v>
      </c>
      <c r="C93" s="25" t="s">
        <v>69</v>
      </c>
      <c r="D93" s="162" t="s">
        <v>166</v>
      </c>
      <c r="E93" s="163"/>
      <c r="F93" s="163"/>
      <c r="G93" s="163"/>
      <c r="H93" s="163"/>
      <c r="I93" s="163"/>
      <c r="J93" s="163"/>
      <c r="K93" s="163"/>
      <c r="L93" s="163"/>
      <c r="M93" s="163"/>
      <c r="N93" s="163"/>
      <c r="O93" s="163"/>
      <c r="P93" s="163"/>
      <c r="Q93" s="163"/>
      <c r="R93" s="163"/>
      <c r="S93" s="163"/>
      <c r="T93" s="163"/>
      <c r="U93" s="164"/>
    </row>
    <row r="94" spans="1:21" ht="97.5" customHeight="1" x14ac:dyDescent="0.15">
      <c r="B94" s="118"/>
      <c r="C94" s="26" t="s">
        <v>70</v>
      </c>
      <c r="D94" s="165" t="s">
        <v>167</v>
      </c>
      <c r="E94" s="166"/>
      <c r="F94" s="166"/>
      <c r="G94" s="166"/>
      <c r="H94" s="166"/>
      <c r="I94" s="166"/>
      <c r="J94" s="166"/>
      <c r="K94" s="166"/>
      <c r="L94" s="166"/>
      <c r="M94" s="166"/>
      <c r="N94" s="166"/>
      <c r="O94" s="166"/>
      <c r="P94" s="166"/>
      <c r="Q94" s="166"/>
      <c r="R94" s="166"/>
      <c r="S94" s="166"/>
      <c r="T94" s="166"/>
      <c r="U94" s="167"/>
    </row>
    <row r="95" spans="1:21" ht="97.5" customHeight="1" x14ac:dyDescent="0.15">
      <c r="B95" s="117" t="s">
        <v>62</v>
      </c>
      <c r="C95" s="25" t="s">
        <v>71</v>
      </c>
      <c r="D95" s="162" t="s">
        <v>168</v>
      </c>
      <c r="E95" s="163"/>
      <c r="F95" s="163"/>
      <c r="G95" s="163"/>
      <c r="H95" s="163"/>
      <c r="I95" s="163"/>
      <c r="J95" s="163"/>
      <c r="K95" s="163"/>
      <c r="L95" s="163"/>
      <c r="M95" s="163"/>
      <c r="N95" s="163"/>
      <c r="O95" s="163"/>
      <c r="P95" s="163"/>
      <c r="Q95" s="163"/>
      <c r="R95" s="163"/>
      <c r="S95" s="163"/>
      <c r="T95" s="163"/>
      <c r="U95" s="164"/>
    </row>
    <row r="96" spans="1:21" ht="97.5" customHeight="1" x14ac:dyDescent="0.15">
      <c r="B96" s="118"/>
      <c r="C96" s="27" t="s">
        <v>72</v>
      </c>
      <c r="D96" s="165" t="s">
        <v>169</v>
      </c>
      <c r="E96" s="166"/>
      <c r="F96" s="166"/>
      <c r="G96" s="166"/>
      <c r="H96" s="166"/>
      <c r="I96" s="166"/>
      <c r="J96" s="166"/>
      <c r="K96" s="166"/>
      <c r="L96" s="166"/>
      <c r="M96" s="166"/>
      <c r="N96" s="166"/>
      <c r="O96" s="166"/>
      <c r="P96" s="166"/>
      <c r="Q96" s="166"/>
      <c r="R96" s="166"/>
      <c r="S96" s="166"/>
      <c r="T96" s="166"/>
      <c r="U96" s="167"/>
    </row>
    <row r="97" spans="1:33" ht="97.5" customHeight="1" x14ac:dyDescent="0.15">
      <c r="B97" s="117" t="s">
        <v>76</v>
      </c>
      <c r="C97" s="23" t="s">
        <v>57</v>
      </c>
      <c r="D97" s="150" t="s">
        <v>170</v>
      </c>
      <c r="E97" s="151"/>
      <c r="F97" s="151"/>
      <c r="G97" s="151"/>
      <c r="H97" s="151"/>
      <c r="I97" s="151"/>
      <c r="J97" s="151"/>
      <c r="K97" s="151"/>
      <c r="L97" s="151"/>
      <c r="M97" s="151"/>
      <c r="N97" s="151"/>
      <c r="O97" s="151"/>
      <c r="P97" s="151"/>
      <c r="Q97" s="151"/>
      <c r="R97" s="151"/>
      <c r="S97" s="151"/>
      <c r="T97" s="151"/>
      <c r="U97" s="152"/>
    </row>
    <row r="98" spans="1:33" ht="97.5" customHeight="1" x14ac:dyDescent="0.15">
      <c r="B98" s="118"/>
      <c r="C98" s="26" t="s">
        <v>59</v>
      </c>
      <c r="D98" s="147" t="s">
        <v>171</v>
      </c>
      <c r="E98" s="148"/>
      <c r="F98" s="148"/>
      <c r="G98" s="148"/>
      <c r="H98" s="148"/>
      <c r="I98" s="148"/>
      <c r="J98" s="148"/>
      <c r="K98" s="148"/>
      <c r="L98" s="148"/>
      <c r="M98" s="148"/>
      <c r="N98" s="148"/>
      <c r="O98" s="148"/>
      <c r="P98" s="148"/>
      <c r="Q98" s="148"/>
      <c r="R98" s="148"/>
      <c r="S98" s="148"/>
      <c r="T98" s="148"/>
      <c r="U98" s="149"/>
    </row>
    <row r="99" spans="1:33" ht="97.5" customHeight="1" x14ac:dyDescent="0.15">
      <c r="B99" s="117" t="s">
        <v>77</v>
      </c>
      <c r="C99" s="25" t="s">
        <v>56</v>
      </c>
      <c r="D99" s="150" t="s">
        <v>172</v>
      </c>
      <c r="E99" s="151"/>
      <c r="F99" s="151"/>
      <c r="G99" s="151"/>
      <c r="H99" s="151"/>
      <c r="I99" s="151"/>
      <c r="J99" s="151"/>
      <c r="K99" s="151"/>
      <c r="L99" s="151"/>
      <c r="M99" s="151"/>
      <c r="N99" s="151"/>
      <c r="O99" s="151"/>
      <c r="P99" s="151"/>
      <c r="Q99" s="151"/>
      <c r="R99" s="151"/>
      <c r="S99" s="151"/>
      <c r="T99" s="151"/>
      <c r="U99" s="152"/>
    </row>
    <row r="100" spans="1:33" ht="97.5" customHeight="1" x14ac:dyDescent="0.15">
      <c r="B100" s="122"/>
      <c r="C100" s="28" t="s">
        <v>73</v>
      </c>
      <c r="D100" s="153" t="s">
        <v>173</v>
      </c>
      <c r="E100" s="154"/>
      <c r="F100" s="154"/>
      <c r="G100" s="154"/>
      <c r="H100" s="154"/>
      <c r="I100" s="154"/>
      <c r="J100" s="154"/>
      <c r="K100" s="154"/>
      <c r="L100" s="154"/>
      <c r="M100" s="154"/>
      <c r="N100" s="154"/>
      <c r="O100" s="154"/>
      <c r="P100" s="154"/>
      <c r="Q100" s="154"/>
      <c r="R100" s="154"/>
      <c r="S100" s="154"/>
      <c r="T100" s="154"/>
      <c r="U100" s="155"/>
    </row>
    <row r="101" spans="1:33" ht="97.5" customHeight="1" x14ac:dyDescent="0.15">
      <c r="B101" s="118"/>
      <c r="C101" s="27" t="s">
        <v>74</v>
      </c>
      <c r="D101" s="147" t="s">
        <v>174</v>
      </c>
      <c r="E101" s="148"/>
      <c r="F101" s="148"/>
      <c r="G101" s="148"/>
      <c r="H101" s="148"/>
      <c r="I101" s="148"/>
      <c r="J101" s="148"/>
      <c r="K101" s="148"/>
      <c r="L101" s="148"/>
      <c r="M101" s="148"/>
      <c r="N101" s="148"/>
      <c r="O101" s="148"/>
      <c r="P101" s="148"/>
      <c r="Q101" s="148"/>
      <c r="R101" s="148"/>
      <c r="S101" s="148"/>
      <c r="T101" s="148"/>
      <c r="U101" s="149"/>
    </row>
    <row r="102" spans="1:33" ht="6" customHeight="1" x14ac:dyDescent="0.15"/>
    <row r="103" spans="1:33" ht="18.75" customHeight="1" x14ac:dyDescent="0.15">
      <c r="A103" s="1" t="s">
        <v>109</v>
      </c>
    </row>
    <row r="104" spans="1:33" ht="81.75" customHeight="1" x14ac:dyDescent="0.15">
      <c r="B104" s="134" t="s">
        <v>163</v>
      </c>
      <c r="C104" s="135"/>
      <c r="D104" s="135"/>
      <c r="E104" s="135"/>
      <c r="F104" s="135"/>
      <c r="G104" s="135"/>
      <c r="H104" s="135"/>
      <c r="I104" s="135"/>
      <c r="J104" s="135"/>
      <c r="K104" s="135"/>
      <c r="L104" s="135"/>
      <c r="M104" s="135"/>
      <c r="N104" s="135"/>
      <c r="O104" s="135"/>
      <c r="P104" s="135"/>
      <c r="Q104" s="135"/>
      <c r="R104" s="135"/>
      <c r="S104" s="135"/>
      <c r="T104" s="135"/>
      <c r="U104" s="136"/>
    </row>
    <row r="106" spans="1:33" ht="18.75" customHeight="1" x14ac:dyDescent="0.15">
      <c r="A106" s="72" t="s">
        <v>125</v>
      </c>
      <c r="B106" s="73"/>
      <c r="C106" s="73"/>
      <c r="D106" s="73"/>
      <c r="E106" s="73"/>
      <c r="F106" s="73"/>
      <c r="G106" s="73"/>
      <c r="H106" s="73"/>
      <c r="I106" s="73"/>
      <c r="J106" s="73"/>
      <c r="K106" s="73"/>
      <c r="L106" s="73"/>
      <c r="M106" s="73"/>
      <c r="N106" s="73"/>
      <c r="O106" s="73"/>
      <c r="P106" s="73"/>
      <c r="Q106" s="73"/>
      <c r="R106" s="73"/>
      <c r="S106" s="73"/>
      <c r="T106" s="73"/>
      <c r="U106" s="73"/>
    </row>
    <row r="107" spans="1:33" ht="18.75" customHeight="1" x14ac:dyDescent="0.15">
      <c r="A107" s="72" t="s">
        <v>127</v>
      </c>
      <c r="B107" s="72"/>
      <c r="C107" s="72"/>
      <c r="D107" s="72"/>
      <c r="E107" s="72"/>
      <c r="F107" s="72"/>
      <c r="G107" s="72"/>
      <c r="H107" s="72"/>
      <c r="I107" s="72"/>
      <c r="J107" s="72"/>
      <c r="K107" s="72"/>
      <c r="L107" s="72"/>
      <c r="M107" s="72"/>
      <c r="N107" s="72"/>
      <c r="O107" s="72"/>
      <c r="P107" s="72"/>
      <c r="Q107" s="72"/>
      <c r="R107" s="72"/>
      <c r="S107" s="72"/>
      <c r="T107" s="72"/>
      <c r="U107" s="72"/>
      <c r="V107" s="2"/>
      <c r="W107" s="2"/>
      <c r="X107" s="2"/>
      <c r="Y107" s="2"/>
      <c r="Z107" s="2"/>
      <c r="AA107" s="2"/>
      <c r="AB107" s="2"/>
      <c r="AC107" s="2"/>
      <c r="AD107" s="2"/>
      <c r="AE107" s="2"/>
      <c r="AF107" s="2"/>
      <c r="AG107" s="2"/>
    </row>
    <row r="108" spans="1:33" ht="18.75" customHeight="1" x14ac:dyDescent="0.15">
      <c r="A108" s="72"/>
      <c r="B108" s="146" t="s">
        <v>130</v>
      </c>
      <c r="C108" s="146"/>
      <c r="D108" s="146"/>
      <c r="E108" s="146"/>
      <c r="F108" s="146"/>
      <c r="G108" s="146"/>
      <c r="H108" s="146"/>
      <c r="I108" s="146"/>
      <c r="J108" s="146"/>
      <c r="K108" s="146"/>
      <c r="L108" s="146"/>
      <c r="M108" s="146"/>
      <c r="N108" s="146"/>
      <c r="O108" s="146"/>
      <c r="P108" s="146"/>
      <c r="Q108" s="146"/>
      <c r="R108" s="146"/>
      <c r="S108" s="146"/>
      <c r="T108" s="146"/>
      <c r="U108" s="146"/>
      <c r="V108" s="68"/>
      <c r="W108" s="68"/>
      <c r="X108" s="68"/>
      <c r="Y108" s="68"/>
      <c r="Z108" s="68"/>
      <c r="AA108" s="68"/>
      <c r="AB108" s="68"/>
      <c r="AC108" s="68"/>
      <c r="AD108" s="68"/>
      <c r="AE108" s="68"/>
      <c r="AF108" s="68"/>
      <c r="AG108" s="68"/>
    </row>
    <row r="109" spans="1:33" ht="37.15" customHeight="1" x14ac:dyDescent="0.15">
      <c r="A109" s="72"/>
      <c r="B109" s="146"/>
      <c r="C109" s="146"/>
      <c r="D109" s="146"/>
      <c r="E109" s="146"/>
      <c r="F109" s="146"/>
      <c r="G109" s="146"/>
      <c r="H109" s="146"/>
      <c r="I109" s="146"/>
      <c r="J109" s="146"/>
      <c r="K109" s="146"/>
      <c r="L109" s="146"/>
      <c r="M109" s="146"/>
      <c r="N109" s="146"/>
      <c r="O109" s="146"/>
      <c r="P109" s="146"/>
      <c r="Q109" s="146"/>
      <c r="R109" s="146"/>
      <c r="S109" s="146"/>
      <c r="T109" s="146"/>
      <c r="U109" s="146"/>
      <c r="V109" s="68"/>
      <c r="W109" s="68"/>
      <c r="X109" s="68"/>
      <c r="Y109" s="68"/>
      <c r="Z109" s="68"/>
      <c r="AA109" s="68"/>
      <c r="AB109" s="68"/>
      <c r="AC109" s="68"/>
      <c r="AD109" s="68"/>
      <c r="AE109" s="68"/>
      <c r="AF109" s="68"/>
      <c r="AG109" s="68"/>
    </row>
    <row r="110" spans="1:33" ht="18.75" customHeight="1" x14ac:dyDescent="0.15">
      <c r="A110" s="72"/>
      <c r="B110" s="95" t="s">
        <v>126</v>
      </c>
      <c r="C110" s="95"/>
      <c r="D110" s="95"/>
      <c r="E110" s="95"/>
      <c r="F110" s="95"/>
      <c r="G110" s="95"/>
      <c r="H110" s="95"/>
      <c r="I110" s="95"/>
      <c r="J110" s="95"/>
      <c r="K110" s="95"/>
      <c r="L110" s="95"/>
      <c r="M110" s="95"/>
      <c r="N110" s="95"/>
      <c r="O110" s="95"/>
      <c r="P110" s="95"/>
      <c r="Q110" s="95"/>
      <c r="R110" s="95"/>
      <c r="S110" s="95"/>
      <c r="T110" s="95"/>
      <c r="U110" s="95"/>
      <c r="V110" s="68"/>
      <c r="W110" s="68"/>
      <c r="X110" s="68"/>
      <c r="Y110" s="68"/>
      <c r="Z110" s="68"/>
      <c r="AA110" s="68"/>
      <c r="AB110" s="68"/>
      <c r="AC110" s="68"/>
      <c r="AD110" s="68"/>
      <c r="AE110" s="68"/>
      <c r="AF110" s="68"/>
      <c r="AG110" s="68"/>
    </row>
    <row r="111" spans="1:33" ht="18.75" customHeight="1" x14ac:dyDescent="0.15">
      <c r="A111" s="72"/>
      <c r="B111" s="108" t="s">
        <v>54</v>
      </c>
      <c r="C111" s="108"/>
      <c r="D111" s="108"/>
      <c r="E111" s="108"/>
      <c r="F111" s="108"/>
      <c r="G111" s="108"/>
      <c r="H111" s="108"/>
      <c r="I111" s="108"/>
      <c r="J111" s="108"/>
      <c r="K111" s="108"/>
      <c r="L111" s="108"/>
      <c r="M111" s="108"/>
      <c r="N111" s="108"/>
      <c r="O111" s="108"/>
      <c r="P111" s="108"/>
      <c r="Q111" s="108"/>
      <c r="R111" s="108"/>
      <c r="S111" s="108"/>
      <c r="T111" s="108"/>
      <c r="U111" s="108"/>
      <c r="V111" s="67"/>
      <c r="W111" s="67"/>
      <c r="X111" s="67"/>
      <c r="Y111" s="67"/>
      <c r="Z111" s="67"/>
      <c r="AA111" s="67"/>
      <c r="AB111" s="67"/>
      <c r="AC111" s="67"/>
      <c r="AD111" s="67"/>
      <c r="AE111" s="67"/>
      <c r="AF111" s="67"/>
      <c r="AG111" s="67"/>
    </row>
    <row r="112" spans="1:33" ht="132" customHeight="1" x14ac:dyDescent="0.15">
      <c r="A112" s="72"/>
      <c r="B112" s="109" t="s">
        <v>156</v>
      </c>
      <c r="C112" s="109"/>
      <c r="D112" s="109"/>
      <c r="E112" s="109"/>
      <c r="F112" s="109"/>
      <c r="G112" s="109"/>
      <c r="H112" s="109"/>
      <c r="I112" s="109"/>
      <c r="J112" s="109"/>
      <c r="K112" s="109"/>
      <c r="L112" s="109"/>
      <c r="M112" s="109"/>
      <c r="N112" s="109"/>
      <c r="O112" s="109"/>
      <c r="P112" s="109"/>
      <c r="Q112" s="109"/>
      <c r="R112" s="109"/>
      <c r="S112" s="109"/>
      <c r="T112" s="109"/>
      <c r="U112" s="109"/>
      <c r="V112" s="69"/>
      <c r="W112" s="69"/>
      <c r="X112" s="69"/>
      <c r="Y112" s="69"/>
      <c r="Z112" s="69"/>
      <c r="AA112" s="69"/>
      <c r="AB112" s="69"/>
      <c r="AC112" s="69"/>
      <c r="AD112" s="69"/>
      <c r="AE112" s="69"/>
      <c r="AF112" s="69"/>
      <c r="AG112" s="69"/>
    </row>
    <row r="114" ht="18" customHeight="1" x14ac:dyDescent="0.15"/>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A3" sqref="A3:S3"/>
    </sheetView>
  </sheetViews>
  <sheetFormatPr defaultColWidth="9" defaultRowHeight="18.75" customHeight="1" x14ac:dyDescent="0.15"/>
  <cols>
    <col min="1" max="1" width="2.75" style="1" customWidth="1"/>
    <col min="2" max="2" width="20.75" style="1" customWidth="1"/>
    <col min="3" max="18" width="6.125" style="1" customWidth="1"/>
    <col min="19" max="19" width="6.625" style="1" customWidth="1"/>
    <col min="20" max="16384" width="9" style="1"/>
  </cols>
  <sheetData>
    <row r="1" spans="1:21" ht="18" customHeight="1" x14ac:dyDescent="0.15">
      <c r="A1" s="74"/>
      <c r="B1" s="74"/>
      <c r="C1" s="74"/>
      <c r="D1" s="74"/>
      <c r="E1" s="74"/>
      <c r="F1" s="74"/>
      <c r="G1" s="74"/>
      <c r="H1" s="74"/>
      <c r="I1" s="74"/>
      <c r="J1" s="74"/>
      <c r="K1" s="74"/>
      <c r="L1" s="74"/>
      <c r="M1" s="74"/>
      <c r="N1" s="74"/>
      <c r="O1" s="74"/>
      <c r="P1" s="74"/>
      <c r="Q1" s="74"/>
      <c r="R1" s="74"/>
      <c r="S1" s="74" t="s">
        <v>98</v>
      </c>
    </row>
    <row r="2" spans="1:21" ht="18" customHeight="1" x14ac:dyDescent="0.15">
      <c r="A2" s="74"/>
      <c r="B2" s="74"/>
      <c r="C2" s="74"/>
      <c r="D2" s="74"/>
      <c r="E2" s="74"/>
      <c r="F2" s="74"/>
      <c r="G2" s="74"/>
      <c r="H2" s="74"/>
      <c r="I2" s="74"/>
      <c r="J2" s="74"/>
      <c r="K2" s="74"/>
      <c r="L2" s="74"/>
      <c r="M2" s="74"/>
      <c r="N2" s="74"/>
      <c r="O2" s="74"/>
      <c r="P2" s="74"/>
      <c r="Q2" s="175" t="str">
        <f>'様式１　プログラムを構成する授業科目'!C2</f>
        <v>東海学園大学</v>
      </c>
      <c r="R2" s="175"/>
      <c r="S2" s="175"/>
    </row>
    <row r="3" spans="1:21" ht="18" customHeight="1" x14ac:dyDescent="0.15">
      <c r="A3" s="123" t="s">
        <v>47</v>
      </c>
      <c r="B3" s="123"/>
      <c r="C3" s="123"/>
      <c r="D3" s="123"/>
      <c r="E3" s="123"/>
      <c r="F3" s="123"/>
      <c r="G3" s="123"/>
      <c r="H3" s="123"/>
      <c r="I3" s="123"/>
      <c r="J3" s="123"/>
      <c r="K3" s="123"/>
      <c r="L3" s="123"/>
      <c r="M3" s="123"/>
      <c r="N3" s="123"/>
      <c r="O3" s="123"/>
      <c r="P3" s="123"/>
      <c r="Q3" s="123"/>
      <c r="R3" s="123"/>
      <c r="S3" s="123"/>
    </row>
    <row r="4" spans="1:21" ht="7.5" customHeight="1" x14ac:dyDescent="0.15">
      <c r="A4" s="79"/>
      <c r="B4" s="79"/>
      <c r="C4" s="79"/>
      <c r="D4" s="79"/>
      <c r="E4" s="79"/>
      <c r="F4" s="79"/>
      <c r="G4" s="79"/>
      <c r="H4" s="79"/>
      <c r="I4" s="79"/>
      <c r="J4" s="79"/>
      <c r="K4" s="79"/>
      <c r="L4" s="79"/>
      <c r="M4" s="79"/>
      <c r="N4" s="79"/>
      <c r="O4" s="79"/>
      <c r="P4" s="79"/>
      <c r="Q4" s="79"/>
      <c r="R4" s="79"/>
      <c r="S4" s="79"/>
    </row>
    <row r="5" spans="1:21" ht="18" customHeight="1" x14ac:dyDescent="0.15">
      <c r="A5" s="74" t="s">
        <v>80</v>
      </c>
      <c r="B5" s="74"/>
      <c r="C5" s="176" t="s">
        <v>141</v>
      </c>
      <c r="D5" s="177"/>
      <c r="E5" s="79" t="s">
        <v>51</v>
      </c>
      <c r="F5" s="79"/>
      <c r="G5" s="79"/>
      <c r="H5" s="79"/>
      <c r="I5" s="79"/>
      <c r="J5" s="79"/>
      <c r="K5" s="79"/>
      <c r="L5" s="79"/>
      <c r="M5" s="79"/>
      <c r="N5" s="79"/>
      <c r="O5" s="79"/>
      <c r="P5" s="79"/>
      <c r="Q5" s="79"/>
      <c r="R5" s="77"/>
      <c r="S5" s="77"/>
    </row>
    <row r="6" spans="1:21" ht="7.15" customHeight="1" x14ac:dyDescent="0.15">
      <c r="A6" s="74"/>
      <c r="B6" s="74"/>
      <c r="C6" s="85"/>
      <c r="D6" s="85"/>
      <c r="E6" s="79"/>
      <c r="F6" s="79"/>
      <c r="G6" s="79"/>
      <c r="H6" s="79"/>
      <c r="I6" s="79"/>
      <c r="J6" s="79"/>
      <c r="K6" s="79"/>
      <c r="L6" s="79"/>
      <c r="M6" s="79"/>
      <c r="N6" s="79"/>
      <c r="O6" s="79"/>
      <c r="P6" s="79"/>
      <c r="Q6" s="79"/>
      <c r="R6" s="77"/>
      <c r="S6" s="77"/>
    </row>
    <row r="7" spans="1:21" ht="18" customHeight="1" x14ac:dyDescent="0.15">
      <c r="A7" s="74" t="s">
        <v>118</v>
      </c>
      <c r="B7" s="74"/>
      <c r="C7" s="85"/>
      <c r="D7" s="85"/>
      <c r="E7" s="79" t="s">
        <v>119</v>
      </c>
      <c r="F7" s="88">
        <v>2198</v>
      </c>
      <c r="G7" s="81" t="s">
        <v>120</v>
      </c>
      <c r="H7" s="79" t="s">
        <v>121</v>
      </c>
      <c r="I7" s="88">
        <v>1658</v>
      </c>
      <c r="J7" s="81" t="s">
        <v>120</v>
      </c>
      <c r="K7" s="76" t="s">
        <v>122</v>
      </c>
      <c r="L7" s="79" t="s">
        <v>123</v>
      </c>
      <c r="M7" s="83">
        <f>F7+I7</f>
        <v>3856</v>
      </c>
      <c r="N7" s="79" t="s">
        <v>1</v>
      </c>
      <c r="O7" s="81" t="s">
        <v>124</v>
      </c>
      <c r="P7" s="79"/>
      <c r="Q7" s="79"/>
      <c r="R7" s="77"/>
      <c r="S7" s="77"/>
    </row>
    <row r="8" spans="1:21" ht="6" customHeight="1" x14ac:dyDescent="0.15">
      <c r="A8" s="79"/>
      <c r="B8" s="79"/>
      <c r="C8" s="79"/>
      <c r="D8" s="79"/>
      <c r="E8" s="79"/>
      <c r="F8" s="79"/>
      <c r="G8" s="79"/>
      <c r="H8" s="79"/>
      <c r="I8" s="79"/>
      <c r="J8" s="79"/>
      <c r="K8" s="79"/>
      <c r="L8" s="79"/>
      <c r="M8" s="79"/>
      <c r="N8" s="79"/>
      <c r="O8" s="79"/>
      <c r="P8" s="79"/>
      <c r="Q8" s="79"/>
      <c r="R8" s="79"/>
      <c r="S8" s="79"/>
    </row>
    <row r="9" spans="1:21" ht="18" customHeight="1" x14ac:dyDescent="0.15">
      <c r="A9" s="74" t="s">
        <v>134</v>
      </c>
      <c r="B9" s="79"/>
      <c r="C9" s="79"/>
      <c r="D9" s="79"/>
      <c r="E9" s="79"/>
      <c r="F9" s="79"/>
      <c r="G9" s="79"/>
      <c r="H9" s="79"/>
      <c r="I9" s="79"/>
      <c r="J9" s="79"/>
      <c r="K9" s="79"/>
      <c r="L9" s="79"/>
      <c r="M9" s="79"/>
      <c r="N9" s="79"/>
      <c r="O9" s="79"/>
      <c r="P9" s="79"/>
      <c r="Q9" s="79"/>
      <c r="R9" s="79"/>
      <c r="S9" s="79"/>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78" t="s">
        <v>44</v>
      </c>
      <c r="C11" s="188" t="s">
        <v>83</v>
      </c>
      <c r="D11" s="180" t="s">
        <v>46</v>
      </c>
      <c r="E11" s="182" t="s">
        <v>39</v>
      </c>
      <c r="F11" s="174" t="s">
        <v>112</v>
      </c>
      <c r="G11" s="174"/>
      <c r="H11" s="174" t="s">
        <v>82</v>
      </c>
      <c r="I11" s="174"/>
      <c r="J11" s="174" t="s">
        <v>48</v>
      </c>
      <c r="K11" s="174"/>
      <c r="L11" s="174" t="s">
        <v>49</v>
      </c>
      <c r="M11" s="174"/>
      <c r="N11" s="174" t="s">
        <v>92</v>
      </c>
      <c r="O11" s="174"/>
      <c r="P11" s="174" t="s">
        <v>50</v>
      </c>
      <c r="Q11" s="174"/>
      <c r="R11" s="184" t="s">
        <v>35</v>
      </c>
      <c r="S11" s="186" t="s">
        <v>32</v>
      </c>
      <c r="U11" s="2"/>
    </row>
    <row r="12" spans="1:21" ht="16.899999999999999" customHeight="1" x14ac:dyDescent="0.15">
      <c r="B12" s="179"/>
      <c r="C12" s="189"/>
      <c r="D12" s="181"/>
      <c r="E12" s="183"/>
      <c r="F12" s="62" t="s">
        <v>91</v>
      </c>
      <c r="G12" s="62" t="s">
        <v>29</v>
      </c>
      <c r="H12" s="62" t="s">
        <v>91</v>
      </c>
      <c r="I12" s="62" t="s">
        <v>29</v>
      </c>
      <c r="J12" s="62" t="s">
        <v>91</v>
      </c>
      <c r="K12" s="62" t="s">
        <v>29</v>
      </c>
      <c r="L12" s="62" t="s">
        <v>91</v>
      </c>
      <c r="M12" s="62" t="s">
        <v>29</v>
      </c>
      <c r="N12" s="62" t="s">
        <v>91</v>
      </c>
      <c r="O12" s="62" t="s">
        <v>29</v>
      </c>
      <c r="P12" s="62" t="s">
        <v>91</v>
      </c>
      <c r="Q12" s="63" t="s">
        <v>29</v>
      </c>
      <c r="R12" s="185"/>
      <c r="S12" s="187"/>
      <c r="U12" s="2"/>
    </row>
    <row r="13" spans="1:21" ht="18" customHeight="1" x14ac:dyDescent="0.15">
      <c r="A13" s="6"/>
      <c r="B13" s="64" t="s">
        <v>157</v>
      </c>
      <c r="C13" s="86">
        <v>926</v>
      </c>
      <c r="D13" s="51">
        <v>230</v>
      </c>
      <c r="E13" s="52">
        <v>930</v>
      </c>
      <c r="F13" s="52">
        <v>5</v>
      </c>
      <c r="G13" s="52">
        <v>3</v>
      </c>
      <c r="H13" s="52"/>
      <c r="I13" s="52"/>
      <c r="J13" s="52"/>
      <c r="K13" s="52"/>
      <c r="L13" s="52"/>
      <c r="M13" s="52"/>
      <c r="N13" s="52"/>
      <c r="O13" s="52"/>
      <c r="P13" s="52"/>
      <c r="Q13" s="65"/>
      <c r="R13" s="51">
        <f t="shared" ref="R13:R32" si="0">F13+H13+J13+L13+N13+P13</f>
        <v>5</v>
      </c>
      <c r="S13" s="89">
        <f t="shared" ref="S13:S33" si="1">R13/E13</f>
        <v>5.3763440860215058E-3</v>
      </c>
    </row>
    <row r="14" spans="1:21" ht="18" customHeight="1" x14ac:dyDescent="0.15">
      <c r="A14" s="6"/>
      <c r="B14" s="11" t="s">
        <v>158</v>
      </c>
      <c r="C14" s="87">
        <v>448</v>
      </c>
      <c r="D14" s="54">
        <v>100</v>
      </c>
      <c r="E14" s="55">
        <v>404</v>
      </c>
      <c r="F14" s="56">
        <v>9</v>
      </c>
      <c r="G14" s="56">
        <v>9</v>
      </c>
      <c r="H14" s="56"/>
      <c r="I14" s="56"/>
      <c r="J14" s="56"/>
      <c r="K14" s="56"/>
      <c r="L14" s="56"/>
      <c r="M14" s="56"/>
      <c r="N14" s="56"/>
      <c r="O14" s="56"/>
      <c r="P14" s="56"/>
      <c r="Q14" s="53"/>
      <c r="R14" s="54">
        <f t="shared" si="0"/>
        <v>9</v>
      </c>
      <c r="S14" s="16">
        <f t="shared" si="1"/>
        <v>2.2277227722772276E-2</v>
      </c>
    </row>
    <row r="15" spans="1:21" ht="18" customHeight="1" x14ac:dyDescent="0.15">
      <c r="A15" s="6"/>
      <c r="B15" s="11" t="s">
        <v>159</v>
      </c>
      <c r="C15" s="87">
        <v>476</v>
      </c>
      <c r="D15" s="54">
        <v>100</v>
      </c>
      <c r="E15" s="55">
        <v>404</v>
      </c>
      <c r="F15" s="56">
        <v>23</v>
      </c>
      <c r="G15" s="56">
        <v>23</v>
      </c>
      <c r="H15" s="56"/>
      <c r="I15" s="56"/>
      <c r="J15" s="56"/>
      <c r="K15" s="56"/>
      <c r="L15" s="56"/>
      <c r="M15" s="56"/>
      <c r="N15" s="56"/>
      <c r="O15" s="56"/>
      <c r="P15" s="56"/>
      <c r="Q15" s="53"/>
      <c r="R15" s="54">
        <f t="shared" si="0"/>
        <v>23</v>
      </c>
      <c r="S15" s="8">
        <f t="shared" si="1"/>
        <v>5.6930693069306933E-2</v>
      </c>
    </row>
    <row r="16" spans="1:21" ht="18" customHeight="1" x14ac:dyDescent="0.15">
      <c r="A16" s="6"/>
      <c r="B16" s="11" t="s">
        <v>160</v>
      </c>
      <c r="C16" s="87">
        <v>665</v>
      </c>
      <c r="D16" s="54">
        <v>170</v>
      </c>
      <c r="E16" s="55">
        <v>720</v>
      </c>
      <c r="F16" s="56">
        <v>1</v>
      </c>
      <c r="G16" s="56">
        <v>1</v>
      </c>
      <c r="H16" s="56"/>
      <c r="I16" s="56"/>
      <c r="J16" s="56"/>
      <c r="K16" s="56"/>
      <c r="L16" s="56"/>
      <c r="M16" s="56"/>
      <c r="N16" s="56"/>
      <c r="O16" s="56"/>
      <c r="P16" s="56"/>
      <c r="Q16" s="53"/>
      <c r="R16" s="54">
        <f t="shared" si="0"/>
        <v>1</v>
      </c>
      <c r="S16" s="8">
        <f t="shared" si="1"/>
        <v>1.3888888888888889E-3</v>
      </c>
    </row>
    <row r="17" spans="1:19" ht="18" customHeight="1" x14ac:dyDescent="0.15">
      <c r="A17" s="6"/>
      <c r="B17" s="11" t="s">
        <v>162</v>
      </c>
      <c r="C17" s="87">
        <v>924</v>
      </c>
      <c r="D17" s="54">
        <v>210</v>
      </c>
      <c r="E17" s="55">
        <v>1000</v>
      </c>
      <c r="F17" s="56">
        <v>0</v>
      </c>
      <c r="G17" s="56">
        <v>0</v>
      </c>
      <c r="H17" s="56"/>
      <c r="I17" s="56"/>
      <c r="J17" s="56"/>
      <c r="K17" s="56"/>
      <c r="L17" s="56"/>
      <c r="M17" s="56"/>
      <c r="N17" s="56"/>
      <c r="O17" s="56"/>
      <c r="P17" s="56"/>
      <c r="Q17" s="53"/>
      <c r="R17" s="54">
        <f t="shared" si="0"/>
        <v>0</v>
      </c>
      <c r="S17" s="8">
        <f t="shared" si="1"/>
        <v>0</v>
      </c>
    </row>
    <row r="18" spans="1:19" ht="18" customHeight="1" x14ac:dyDescent="0.15">
      <c r="A18" s="6"/>
      <c r="B18" s="11" t="s">
        <v>161</v>
      </c>
      <c r="C18" s="87">
        <v>417</v>
      </c>
      <c r="D18" s="54">
        <v>120</v>
      </c>
      <c r="E18" s="55">
        <v>480</v>
      </c>
      <c r="F18" s="56">
        <v>0</v>
      </c>
      <c r="G18" s="56">
        <v>0</v>
      </c>
      <c r="H18" s="56"/>
      <c r="I18" s="56"/>
      <c r="J18" s="56"/>
      <c r="K18" s="56"/>
      <c r="L18" s="56"/>
      <c r="M18" s="56"/>
      <c r="N18" s="56"/>
      <c r="O18" s="56"/>
      <c r="P18" s="56"/>
      <c r="Q18" s="53"/>
      <c r="R18" s="54">
        <f t="shared" si="0"/>
        <v>0</v>
      </c>
      <c r="S18" s="8">
        <f t="shared" si="1"/>
        <v>0</v>
      </c>
    </row>
    <row r="19" spans="1:19" ht="18" customHeight="1" x14ac:dyDescent="0.15">
      <c r="A19" s="6"/>
      <c r="B19" s="11"/>
      <c r="C19" s="53"/>
      <c r="D19" s="54"/>
      <c r="E19" s="55"/>
      <c r="F19" s="56"/>
      <c r="G19" s="56"/>
      <c r="H19" s="56"/>
      <c r="I19" s="56"/>
      <c r="J19" s="56"/>
      <c r="K19" s="56"/>
      <c r="L19" s="56"/>
      <c r="M19" s="56"/>
      <c r="N19" s="56"/>
      <c r="O19" s="56"/>
      <c r="P19" s="56"/>
      <c r="Q19" s="53"/>
      <c r="R19" s="54">
        <f t="shared" si="0"/>
        <v>0</v>
      </c>
      <c r="S19" s="8" t="e">
        <f t="shared" si="1"/>
        <v>#DIV/0!</v>
      </c>
    </row>
    <row r="20" spans="1:19" ht="18" customHeight="1" x14ac:dyDescent="0.15">
      <c r="A20" s="6"/>
      <c r="B20" s="11"/>
      <c r="C20" s="53"/>
      <c r="D20" s="54"/>
      <c r="E20" s="55"/>
      <c r="F20" s="56"/>
      <c r="G20" s="56"/>
      <c r="H20" s="56"/>
      <c r="I20" s="56"/>
      <c r="J20" s="56"/>
      <c r="K20" s="56"/>
      <c r="L20" s="56"/>
      <c r="M20" s="56"/>
      <c r="N20" s="56"/>
      <c r="O20" s="56"/>
      <c r="P20" s="56"/>
      <c r="Q20" s="53"/>
      <c r="R20" s="54">
        <f t="shared" si="0"/>
        <v>0</v>
      </c>
      <c r="S20" s="8" t="e">
        <f t="shared" si="1"/>
        <v>#DIV/0!</v>
      </c>
    </row>
    <row r="21" spans="1:19" ht="18" customHeight="1" x14ac:dyDescent="0.15">
      <c r="A21" s="6"/>
      <c r="B21" s="11"/>
      <c r="C21" s="53"/>
      <c r="D21" s="54"/>
      <c r="E21" s="55"/>
      <c r="F21" s="56"/>
      <c r="G21" s="56"/>
      <c r="H21" s="56"/>
      <c r="I21" s="56"/>
      <c r="J21" s="56"/>
      <c r="K21" s="56"/>
      <c r="L21" s="56"/>
      <c r="M21" s="56"/>
      <c r="N21" s="56"/>
      <c r="O21" s="56"/>
      <c r="P21" s="56"/>
      <c r="Q21" s="53"/>
      <c r="R21" s="54">
        <f t="shared" si="0"/>
        <v>0</v>
      </c>
      <c r="S21" s="8" t="e">
        <f t="shared" si="1"/>
        <v>#DIV/0!</v>
      </c>
    </row>
    <row r="22" spans="1:19" ht="18" customHeight="1" x14ac:dyDescent="0.15">
      <c r="A22" s="6"/>
      <c r="B22" s="11"/>
      <c r="C22" s="53"/>
      <c r="D22" s="54"/>
      <c r="E22" s="55"/>
      <c r="F22" s="56"/>
      <c r="G22" s="56"/>
      <c r="H22" s="56"/>
      <c r="I22" s="56"/>
      <c r="J22" s="56"/>
      <c r="K22" s="56"/>
      <c r="L22" s="56"/>
      <c r="M22" s="56"/>
      <c r="N22" s="56"/>
      <c r="O22" s="56"/>
      <c r="P22" s="56"/>
      <c r="Q22" s="53"/>
      <c r="R22" s="54">
        <f t="shared" si="0"/>
        <v>0</v>
      </c>
      <c r="S22" s="8" t="e">
        <f t="shared" si="1"/>
        <v>#DIV/0!</v>
      </c>
    </row>
    <row r="23" spans="1:19" ht="18" customHeight="1" x14ac:dyDescent="0.15">
      <c r="A23" s="6"/>
      <c r="B23" s="11"/>
      <c r="C23" s="53"/>
      <c r="D23" s="54"/>
      <c r="E23" s="55"/>
      <c r="F23" s="56"/>
      <c r="G23" s="56"/>
      <c r="H23" s="56"/>
      <c r="I23" s="56"/>
      <c r="J23" s="56"/>
      <c r="K23" s="56"/>
      <c r="L23" s="56"/>
      <c r="M23" s="56"/>
      <c r="N23" s="56"/>
      <c r="O23" s="56"/>
      <c r="P23" s="56"/>
      <c r="Q23" s="53"/>
      <c r="R23" s="54">
        <f t="shared" si="0"/>
        <v>0</v>
      </c>
      <c r="S23" s="8" t="e">
        <f t="shared" si="1"/>
        <v>#DIV/0!</v>
      </c>
    </row>
    <row r="24" spans="1:19" ht="18" customHeight="1" x14ac:dyDescent="0.15">
      <c r="A24" s="6"/>
      <c r="B24" s="11"/>
      <c r="C24" s="53"/>
      <c r="D24" s="54"/>
      <c r="E24" s="55"/>
      <c r="F24" s="56"/>
      <c r="G24" s="56"/>
      <c r="H24" s="56"/>
      <c r="I24" s="56"/>
      <c r="J24" s="56"/>
      <c r="K24" s="56"/>
      <c r="L24" s="56"/>
      <c r="M24" s="56"/>
      <c r="N24" s="56"/>
      <c r="O24" s="56"/>
      <c r="P24" s="56"/>
      <c r="Q24" s="53"/>
      <c r="R24" s="54">
        <f t="shared" si="0"/>
        <v>0</v>
      </c>
      <c r="S24" s="8" t="e">
        <f t="shared" si="1"/>
        <v>#DIV/0!</v>
      </c>
    </row>
    <row r="25" spans="1:19" ht="18" customHeight="1" x14ac:dyDescent="0.15">
      <c r="A25" s="6"/>
      <c r="B25" s="11"/>
      <c r="C25" s="53"/>
      <c r="D25" s="54"/>
      <c r="E25" s="55"/>
      <c r="F25" s="56"/>
      <c r="G25" s="56"/>
      <c r="H25" s="56"/>
      <c r="I25" s="56"/>
      <c r="J25" s="56"/>
      <c r="K25" s="56"/>
      <c r="L25" s="56"/>
      <c r="M25" s="56"/>
      <c r="N25" s="56"/>
      <c r="O25" s="56"/>
      <c r="P25" s="56"/>
      <c r="Q25" s="53"/>
      <c r="R25" s="54">
        <f t="shared" si="0"/>
        <v>0</v>
      </c>
      <c r="S25" s="8" t="e">
        <f t="shared" si="1"/>
        <v>#DIV/0!</v>
      </c>
    </row>
    <row r="26" spans="1:19" ht="18" customHeight="1" x14ac:dyDescent="0.15">
      <c r="A26" s="6"/>
      <c r="B26" s="11"/>
      <c r="C26" s="53"/>
      <c r="D26" s="54"/>
      <c r="E26" s="55"/>
      <c r="F26" s="56"/>
      <c r="G26" s="56"/>
      <c r="H26" s="56"/>
      <c r="I26" s="56"/>
      <c r="J26" s="56"/>
      <c r="K26" s="56"/>
      <c r="L26" s="56"/>
      <c r="M26" s="56"/>
      <c r="N26" s="56"/>
      <c r="O26" s="56"/>
      <c r="P26" s="56"/>
      <c r="Q26" s="53"/>
      <c r="R26" s="54">
        <f t="shared" si="0"/>
        <v>0</v>
      </c>
      <c r="S26" s="8" t="e">
        <f t="shared" si="1"/>
        <v>#DIV/0!</v>
      </c>
    </row>
    <row r="27" spans="1:19" ht="18" customHeight="1" x14ac:dyDescent="0.15">
      <c r="A27" s="6"/>
      <c r="B27" s="11"/>
      <c r="C27" s="53"/>
      <c r="D27" s="54"/>
      <c r="E27" s="55"/>
      <c r="F27" s="56"/>
      <c r="G27" s="56"/>
      <c r="H27" s="56"/>
      <c r="I27" s="56"/>
      <c r="J27" s="56"/>
      <c r="K27" s="56"/>
      <c r="L27" s="56"/>
      <c r="M27" s="56"/>
      <c r="N27" s="56"/>
      <c r="O27" s="56"/>
      <c r="P27" s="56"/>
      <c r="Q27" s="53"/>
      <c r="R27" s="54">
        <f t="shared" si="0"/>
        <v>0</v>
      </c>
      <c r="S27" s="8" t="e">
        <f t="shared" si="1"/>
        <v>#DIV/0!</v>
      </c>
    </row>
    <row r="28" spans="1:19" ht="18" customHeight="1" x14ac:dyDescent="0.15">
      <c r="A28" s="6"/>
      <c r="B28" s="11"/>
      <c r="C28" s="53"/>
      <c r="D28" s="54"/>
      <c r="E28" s="55"/>
      <c r="F28" s="56"/>
      <c r="G28" s="56"/>
      <c r="H28" s="56"/>
      <c r="I28" s="56"/>
      <c r="J28" s="56"/>
      <c r="K28" s="56"/>
      <c r="L28" s="56"/>
      <c r="M28" s="56"/>
      <c r="N28" s="56"/>
      <c r="O28" s="56"/>
      <c r="P28" s="56"/>
      <c r="Q28" s="53"/>
      <c r="R28" s="54">
        <f t="shared" si="0"/>
        <v>0</v>
      </c>
      <c r="S28" s="8" t="e">
        <f t="shared" si="1"/>
        <v>#DIV/0!</v>
      </c>
    </row>
    <row r="29" spans="1:19" ht="18" customHeight="1" x14ac:dyDescent="0.15">
      <c r="A29" s="6"/>
      <c r="B29" s="11"/>
      <c r="C29" s="53"/>
      <c r="D29" s="54"/>
      <c r="E29" s="55"/>
      <c r="F29" s="56"/>
      <c r="G29" s="56"/>
      <c r="H29" s="56"/>
      <c r="I29" s="56"/>
      <c r="J29" s="56"/>
      <c r="K29" s="56"/>
      <c r="L29" s="56"/>
      <c r="M29" s="56"/>
      <c r="N29" s="56"/>
      <c r="O29" s="56"/>
      <c r="P29" s="56"/>
      <c r="Q29" s="53"/>
      <c r="R29" s="54">
        <f t="shared" si="0"/>
        <v>0</v>
      </c>
      <c r="S29" s="8" t="e">
        <f t="shared" si="1"/>
        <v>#DIV/0!</v>
      </c>
    </row>
    <row r="30" spans="1:19" ht="18" customHeight="1" x14ac:dyDescent="0.15">
      <c r="A30" s="6"/>
      <c r="B30" s="11"/>
      <c r="C30" s="53"/>
      <c r="D30" s="57"/>
      <c r="E30" s="55"/>
      <c r="F30" s="56"/>
      <c r="G30" s="56"/>
      <c r="H30" s="56"/>
      <c r="I30" s="56"/>
      <c r="J30" s="56"/>
      <c r="K30" s="56"/>
      <c r="L30" s="56"/>
      <c r="M30" s="56"/>
      <c r="N30" s="56"/>
      <c r="O30" s="56"/>
      <c r="P30" s="56"/>
      <c r="Q30" s="53"/>
      <c r="R30" s="57">
        <f t="shared" si="0"/>
        <v>0</v>
      </c>
      <c r="S30" s="8" t="e">
        <f t="shared" si="1"/>
        <v>#DIV/0!</v>
      </c>
    </row>
    <row r="31" spans="1:19" ht="18" customHeight="1" x14ac:dyDescent="0.15">
      <c r="A31" s="6"/>
      <c r="B31" s="11"/>
      <c r="C31" s="53"/>
      <c r="D31" s="57"/>
      <c r="E31" s="55"/>
      <c r="F31" s="56"/>
      <c r="G31" s="56"/>
      <c r="H31" s="56"/>
      <c r="I31" s="56"/>
      <c r="J31" s="56"/>
      <c r="K31" s="56"/>
      <c r="L31" s="56"/>
      <c r="M31" s="56"/>
      <c r="N31" s="56"/>
      <c r="O31" s="56"/>
      <c r="P31" s="56"/>
      <c r="Q31" s="53"/>
      <c r="R31" s="57">
        <f t="shared" si="0"/>
        <v>0</v>
      </c>
      <c r="S31" s="8" t="e">
        <f t="shared" si="1"/>
        <v>#DIV/0!</v>
      </c>
    </row>
    <row r="32" spans="1:19" ht="18" customHeight="1" thickBot="1" x14ac:dyDescent="0.2">
      <c r="A32" s="6"/>
      <c r="B32" s="12"/>
      <c r="C32" s="50"/>
      <c r="D32" s="58"/>
      <c r="E32" s="52"/>
      <c r="F32" s="52"/>
      <c r="G32" s="52"/>
      <c r="H32" s="52"/>
      <c r="I32" s="52"/>
      <c r="J32" s="52"/>
      <c r="K32" s="52"/>
      <c r="L32" s="52"/>
      <c r="M32" s="52"/>
      <c r="N32" s="52"/>
      <c r="O32" s="52"/>
      <c r="P32" s="52"/>
      <c r="Q32" s="53"/>
      <c r="R32" s="58">
        <f t="shared" si="0"/>
        <v>0</v>
      </c>
      <c r="S32" s="7" t="e">
        <f t="shared" si="1"/>
        <v>#DIV/0!</v>
      </c>
    </row>
    <row r="33" spans="2:19" ht="18" customHeight="1" thickTop="1" x14ac:dyDescent="0.15">
      <c r="B33" s="13" t="s">
        <v>33</v>
      </c>
      <c r="C33" s="59">
        <f t="shared" ref="C33" si="2">SUM(C13:C32)</f>
        <v>3856</v>
      </c>
      <c r="D33" s="60">
        <f t="shared" ref="D33:R33" si="3">SUM(D13:D32)</f>
        <v>930</v>
      </c>
      <c r="E33" s="61">
        <f t="shared" si="3"/>
        <v>3938</v>
      </c>
      <c r="F33" s="61">
        <f t="shared" si="3"/>
        <v>38</v>
      </c>
      <c r="G33" s="61">
        <f t="shared" ref="G33:H33" si="4">SUM(G13:G32)</f>
        <v>36</v>
      </c>
      <c r="H33" s="61">
        <f t="shared" si="4"/>
        <v>0</v>
      </c>
      <c r="I33" s="61">
        <f t="shared" ref="I33:J33" si="5">SUM(I13:I32)</f>
        <v>0</v>
      </c>
      <c r="J33" s="61">
        <f t="shared" si="5"/>
        <v>0</v>
      </c>
      <c r="K33" s="61">
        <f t="shared" ref="K33:O33" si="6">SUM(K13:K32)</f>
        <v>0</v>
      </c>
      <c r="L33" s="61">
        <f t="shared" si="6"/>
        <v>0</v>
      </c>
      <c r="M33" s="61">
        <f t="shared" si="6"/>
        <v>0</v>
      </c>
      <c r="N33" s="61">
        <f t="shared" si="6"/>
        <v>0</v>
      </c>
      <c r="O33" s="61">
        <f t="shared" si="6"/>
        <v>0</v>
      </c>
      <c r="P33" s="61">
        <f t="shared" ref="P33:Q33" si="7">SUM(P13:P32)</f>
        <v>0</v>
      </c>
      <c r="Q33" s="59">
        <f t="shared" si="7"/>
        <v>0</v>
      </c>
      <c r="R33" s="60">
        <f t="shared" si="3"/>
        <v>38</v>
      </c>
      <c r="S33" s="9">
        <f t="shared" si="1"/>
        <v>9.6495683087861866E-3</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B3" sqref="B3"/>
    </sheetView>
  </sheetViews>
  <sheetFormatPr defaultColWidth="11.375" defaultRowHeight="18.75" customHeight="1" x14ac:dyDescent="0.15"/>
  <cols>
    <col min="1" max="1" width="2.75" style="32"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2" t="s">
        <v>63</v>
      </c>
      <c r="I1" s="30" t="s">
        <v>97</v>
      </c>
    </row>
    <row r="2" spans="1:9" ht="18.75" customHeight="1" x14ac:dyDescent="0.15">
      <c r="G2" s="30" t="s">
        <v>99</v>
      </c>
      <c r="H2" s="99" t="str">
        <f>'様式１　プログラムを構成する授業科目'!C2</f>
        <v>東海学園大学</v>
      </c>
      <c r="I2" s="101"/>
    </row>
    <row r="3" spans="1:9" ht="18.75" customHeight="1" x14ac:dyDescent="0.15">
      <c r="G3" s="30"/>
      <c r="H3" s="10"/>
      <c r="I3" s="10"/>
    </row>
    <row r="4" spans="1:9" ht="18.600000000000001" customHeight="1" x14ac:dyDescent="0.15">
      <c r="A4" s="191" t="s">
        <v>36</v>
      </c>
      <c r="B4" s="191"/>
      <c r="C4" s="191"/>
      <c r="D4" s="191"/>
      <c r="E4" s="191"/>
      <c r="F4" s="191"/>
      <c r="G4" s="191"/>
      <c r="H4" s="191"/>
      <c r="I4" s="191"/>
    </row>
    <row r="5" spans="1:9" ht="13.15" customHeight="1" x14ac:dyDescent="0.15">
      <c r="B5" s="3"/>
      <c r="C5" s="3"/>
      <c r="D5" s="3"/>
      <c r="E5" s="3"/>
      <c r="F5" s="3"/>
      <c r="G5" s="3"/>
      <c r="H5" s="3"/>
      <c r="I5" s="3"/>
    </row>
    <row r="6" spans="1:9" ht="18" customHeight="1" x14ac:dyDescent="0.15">
      <c r="A6" s="1" t="s">
        <v>0</v>
      </c>
      <c r="B6" s="10" t="s">
        <v>86</v>
      </c>
      <c r="C6" s="220" t="s">
        <v>87</v>
      </c>
      <c r="D6" s="220"/>
      <c r="E6" s="94">
        <v>128</v>
      </c>
      <c r="F6" s="3" t="s">
        <v>1</v>
      </c>
      <c r="G6" s="3" t="s">
        <v>2</v>
      </c>
      <c r="H6" s="94">
        <v>311</v>
      </c>
      <c r="I6" s="10" t="s">
        <v>1</v>
      </c>
    </row>
    <row r="7" spans="1:9" ht="12" customHeight="1" x14ac:dyDescent="0.15">
      <c r="C7" s="2"/>
      <c r="D7" s="2"/>
      <c r="E7" s="2"/>
      <c r="F7" s="2"/>
      <c r="G7" s="2"/>
      <c r="H7" s="2"/>
      <c r="I7" s="33"/>
    </row>
    <row r="8" spans="1:9" ht="18" customHeight="1" x14ac:dyDescent="0.15">
      <c r="A8" s="1" t="s">
        <v>3</v>
      </c>
      <c r="B8" s="10" t="s">
        <v>88</v>
      </c>
      <c r="E8" s="3"/>
      <c r="F8" s="3"/>
      <c r="G8" s="3"/>
      <c r="H8" s="29">
        <v>1</v>
      </c>
      <c r="I8" s="10" t="s">
        <v>1</v>
      </c>
    </row>
    <row r="9" spans="1:9" ht="9" customHeight="1" x14ac:dyDescent="0.15">
      <c r="B9" s="3"/>
      <c r="C9" s="3"/>
      <c r="D9" s="3"/>
      <c r="E9" s="3"/>
      <c r="F9" s="3"/>
      <c r="G9" s="3"/>
      <c r="H9" s="3"/>
      <c r="I9" s="3"/>
    </row>
    <row r="10" spans="1:9" ht="18" customHeight="1" x14ac:dyDescent="0.15">
      <c r="A10" s="1" t="s">
        <v>4</v>
      </c>
      <c r="B10" s="10" t="s">
        <v>89</v>
      </c>
      <c r="C10" s="3"/>
      <c r="D10" s="3"/>
      <c r="E10" s="3"/>
      <c r="F10" s="3"/>
      <c r="G10" s="3"/>
      <c r="H10" s="3"/>
      <c r="I10" s="3"/>
    </row>
    <row r="11" spans="1:9" ht="18" customHeight="1" x14ac:dyDescent="0.15">
      <c r="B11" s="30" t="s">
        <v>42</v>
      </c>
      <c r="C11" s="215" t="s">
        <v>142</v>
      </c>
      <c r="D11" s="218"/>
      <c r="E11" s="219"/>
      <c r="F11" s="33"/>
      <c r="G11" s="30" t="s">
        <v>10</v>
      </c>
      <c r="H11" s="215" t="s">
        <v>143</v>
      </c>
      <c r="I11" s="219"/>
    </row>
    <row r="12" spans="1:9" ht="10.15" customHeight="1" x14ac:dyDescent="0.15">
      <c r="B12" s="30"/>
      <c r="C12" s="10"/>
      <c r="D12" s="33"/>
      <c r="E12" s="33"/>
      <c r="F12" s="33"/>
      <c r="G12" s="30"/>
      <c r="H12" s="10"/>
      <c r="I12" s="33"/>
    </row>
    <row r="13" spans="1:9" ht="18" customHeight="1" x14ac:dyDescent="0.15">
      <c r="A13" s="1" t="s">
        <v>7</v>
      </c>
      <c r="B13" s="10" t="s">
        <v>84</v>
      </c>
      <c r="C13" s="3"/>
      <c r="D13" s="3"/>
      <c r="E13" s="3"/>
      <c r="F13" s="3"/>
      <c r="G13" s="3"/>
      <c r="H13" s="3"/>
      <c r="I13" s="3"/>
    </row>
    <row r="14" spans="1:9" ht="18" customHeight="1" x14ac:dyDescent="0.15">
      <c r="B14" s="215" t="s">
        <v>144</v>
      </c>
      <c r="C14" s="216"/>
      <c r="D14" s="216"/>
      <c r="E14" s="216"/>
      <c r="F14" s="216"/>
      <c r="G14" s="216"/>
      <c r="H14" s="216"/>
      <c r="I14" s="217"/>
    </row>
    <row r="15" spans="1:9" ht="9" customHeight="1" x14ac:dyDescent="0.15">
      <c r="B15" s="3"/>
      <c r="C15" s="3"/>
      <c r="D15" s="3"/>
      <c r="E15" s="3"/>
      <c r="F15" s="3"/>
      <c r="G15" s="3"/>
      <c r="H15" s="3"/>
      <c r="I15" s="3"/>
    </row>
    <row r="16" spans="1:9" ht="18" customHeight="1" x14ac:dyDescent="0.15">
      <c r="B16" s="30" t="s">
        <v>42</v>
      </c>
      <c r="C16" s="215" t="s">
        <v>142</v>
      </c>
      <c r="D16" s="218"/>
      <c r="E16" s="219"/>
      <c r="F16" s="33"/>
      <c r="G16" s="30" t="s">
        <v>10</v>
      </c>
      <c r="H16" s="215" t="s">
        <v>143</v>
      </c>
      <c r="I16" s="219"/>
    </row>
    <row r="17" spans="1:9" ht="18" customHeight="1" x14ac:dyDescent="0.15">
      <c r="B17" s="3"/>
      <c r="C17" s="3"/>
      <c r="D17" s="3"/>
      <c r="E17" s="3"/>
      <c r="F17" s="3"/>
      <c r="G17" s="3"/>
      <c r="H17" s="3"/>
      <c r="I17" s="3"/>
    </row>
    <row r="18" spans="1:9" ht="18.75" customHeight="1" x14ac:dyDescent="0.15">
      <c r="A18" s="1" t="s">
        <v>5</v>
      </c>
      <c r="B18" s="1" t="s">
        <v>41</v>
      </c>
      <c r="I18" s="3"/>
    </row>
    <row r="19" spans="1:9" ht="18.75" customHeight="1" x14ac:dyDescent="0.15">
      <c r="A19" s="1"/>
      <c r="B19" s="192" t="s">
        <v>145</v>
      </c>
      <c r="C19" s="193"/>
      <c r="D19" s="193"/>
      <c r="E19" s="193"/>
      <c r="F19" s="193"/>
      <c r="G19" s="193"/>
      <c r="H19" s="193"/>
      <c r="I19" s="194"/>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195" t="s">
        <v>147</v>
      </c>
      <c r="C22" s="196"/>
      <c r="D22" s="196"/>
      <c r="E22" s="196"/>
      <c r="F22" s="196"/>
      <c r="G22" s="196"/>
      <c r="H22" s="196"/>
      <c r="I22" s="197"/>
    </row>
    <row r="23" spans="1:9" ht="18.75" customHeight="1" x14ac:dyDescent="0.15">
      <c r="A23" s="14"/>
      <c r="B23" s="198"/>
      <c r="C23" s="199"/>
      <c r="D23" s="199"/>
      <c r="E23" s="199"/>
      <c r="F23" s="199"/>
      <c r="G23" s="199"/>
      <c r="H23" s="199"/>
      <c r="I23" s="200"/>
    </row>
    <row r="24" spans="1:9" ht="18.75" customHeight="1" x14ac:dyDescent="0.15">
      <c r="A24" s="14"/>
      <c r="B24" s="198"/>
      <c r="C24" s="199"/>
      <c r="D24" s="199"/>
      <c r="E24" s="199"/>
      <c r="F24" s="199"/>
      <c r="G24" s="199"/>
      <c r="H24" s="199"/>
      <c r="I24" s="200"/>
    </row>
    <row r="25" spans="1:9" ht="18.75" customHeight="1" x14ac:dyDescent="0.15">
      <c r="A25" s="14"/>
      <c r="B25" s="198"/>
      <c r="C25" s="199"/>
      <c r="D25" s="199"/>
      <c r="E25" s="199"/>
      <c r="F25" s="199"/>
      <c r="G25" s="199"/>
      <c r="H25" s="199"/>
      <c r="I25" s="200"/>
    </row>
    <row r="26" spans="1:9" ht="18.75" customHeight="1" x14ac:dyDescent="0.15">
      <c r="A26" s="14"/>
      <c r="B26" s="198"/>
      <c r="C26" s="199"/>
      <c r="D26" s="199"/>
      <c r="E26" s="199"/>
      <c r="F26" s="199"/>
      <c r="G26" s="199"/>
      <c r="H26" s="199"/>
      <c r="I26" s="200"/>
    </row>
    <row r="27" spans="1:9" ht="18.75" customHeight="1" x14ac:dyDescent="0.15">
      <c r="A27" s="14"/>
      <c r="B27" s="198"/>
      <c r="C27" s="199"/>
      <c r="D27" s="199"/>
      <c r="E27" s="199"/>
      <c r="F27" s="199"/>
      <c r="G27" s="199"/>
      <c r="H27" s="199"/>
      <c r="I27" s="200"/>
    </row>
    <row r="28" spans="1:9" ht="18.75" customHeight="1" x14ac:dyDescent="0.15">
      <c r="A28" s="14"/>
      <c r="B28" s="198"/>
      <c r="C28" s="199"/>
      <c r="D28" s="199"/>
      <c r="E28" s="199"/>
      <c r="F28" s="199"/>
      <c r="G28" s="199"/>
      <c r="H28" s="199"/>
      <c r="I28" s="200"/>
    </row>
    <row r="29" spans="1:9" ht="18.75" customHeight="1" x14ac:dyDescent="0.15">
      <c r="A29" s="14"/>
      <c r="B29" s="198"/>
      <c r="C29" s="199"/>
      <c r="D29" s="199"/>
      <c r="E29" s="199"/>
      <c r="F29" s="199"/>
      <c r="G29" s="199"/>
      <c r="H29" s="199"/>
      <c r="I29" s="200"/>
    </row>
    <row r="30" spans="1:9" ht="18.75" customHeight="1" x14ac:dyDescent="0.15">
      <c r="A30" s="14"/>
      <c r="B30" s="201"/>
      <c r="C30" s="202"/>
      <c r="D30" s="202"/>
      <c r="E30" s="202"/>
      <c r="F30" s="202"/>
      <c r="G30" s="202"/>
      <c r="H30" s="202"/>
      <c r="I30" s="200"/>
    </row>
    <row r="31" spans="1:9" ht="18.75" customHeight="1" x14ac:dyDescent="0.15">
      <c r="A31" s="14"/>
      <c r="B31" s="201"/>
      <c r="C31" s="202"/>
      <c r="D31" s="202"/>
      <c r="E31" s="202"/>
      <c r="F31" s="202"/>
      <c r="G31" s="202"/>
      <c r="H31" s="202"/>
      <c r="I31" s="200"/>
    </row>
    <row r="32" spans="1:9" ht="18.75" customHeight="1" x14ac:dyDescent="0.15">
      <c r="A32" s="14"/>
      <c r="B32" s="203"/>
      <c r="C32" s="204"/>
      <c r="D32" s="204"/>
      <c r="E32" s="204"/>
      <c r="F32" s="204"/>
      <c r="G32" s="204"/>
      <c r="H32" s="204"/>
      <c r="I32" s="205"/>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206" t="s">
        <v>181</v>
      </c>
      <c r="C35" s="207"/>
      <c r="D35" s="207"/>
      <c r="E35" s="207"/>
      <c r="F35" s="207"/>
      <c r="G35" s="207"/>
      <c r="H35" s="207"/>
      <c r="I35" s="208"/>
    </row>
    <row r="36" spans="1:9" ht="18.75" customHeight="1" x14ac:dyDescent="0.15">
      <c r="A36" s="14"/>
      <c r="B36" s="209"/>
      <c r="C36" s="210"/>
      <c r="D36" s="210"/>
      <c r="E36" s="210"/>
      <c r="F36" s="210"/>
      <c r="G36" s="210"/>
      <c r="H36" s="210"/>
      <c r="I36" s="211"/>
    </row>
    <row r="37" spans="1:9" ht="18.75" customHeight="1" x14ac:dyDescent="0.15">
      <c r="A37" s="14"/>
      <c r="B37" s="209"/>
      <c r="C37" s="210"/>
      <c r="D37" s="210"/>
      <c r="E37" s="210"/>
      <c r="F37" s="210"/>
      <c r="G37" s="210"/>
      <c r="H37" s="210"/>
      <c r="I37" s="211"/>
    </row>
    <row r="38" spans="1:9" ht="18.75" customHeight="1" x14ac:dyDescent="0.15">
      <c r="A38" s="14"/>
      <c r="B38" s="209"/>
      <c r="C38" s="210"/>
      <c r="D38" s="210"/>
      <c r="E38" s="210"/>
      <c r="F38" s="210"/>
      <c r="G38" s="210"/>
      <c r="H38" s="210"/>
      <c r="I38" s="211"/>
    </row>
    <row r="39" spans="1:9" ht="18.75" customHeight="1" x14ac:dyDescent="0.15">
      <c r="A39" s="14"/>
      <c r="B39" s="209"/>
      <c r="C39" s="210"/>
      <c r="D39" s="210"/>
      <c r="E39" s="210"/>
      <c r="F39" s="210"/>
      <c r="G39" s="210"/>
      <c r="H39" s="210"/>
      <c r="I39" s="211"/>
    </row>
    <row r="40" spans="1:9" ht="18.75" customHeight="1" x14ac:dyDescent="0.15">
      <c r="A40" s="14"/>
      <c r="B40" s="209"/>
      <c r="C40" s="210"/>
      <c r="D40" s="210"/>
      <c r="E40" s="210"/>
      <c r="F40" s="210"/>
      <c r="G40" s="210"/>
      <c r="H40" s="210"/>
      <c r="I40" s="211"/>
    </row>
    <row r="41" spans="1:9" ht="18.75" customHeight="1" x14ac:dyDescent="0.15">
      <c r="A41" s="14"/>
      <c r="B41" s="209"/>
      <c r="C41" s="210"/>
      <c r="D41" s="210"/>
      <c r="E41" s="210"/>
      <c r="F41" s="210"/>
      <c r="G41" s="210"/>
      <c r="H41" s="210"/>
      <c r="I41" s="211"/>
    </row>
    <row r="42" spans="1:9" ht="18.75" customHeight="1" x14ac:dyDescent="0.15">
      <c r="A42" s="14"/>
      <c r="B42" s="209"/>
      <c r="C42" s="210"/>
      <c r="D42" s="210"/>
      <c r="E42" s="210"/>
      <c r="F42" s="210"/>
      <c r="G42" s="210"/>
      <c r="H42" s="210"/>
      <c r="I42" s="211"/>
    </row>
    <row r="43" spans="1:9" ht="18.75" customHeight="1" x14ac:dyDescent="0.15">
      <c r="A43" s="14"/>
      <c r="B43" s="209"/>
      <c r="C43" s="210"/>
      <c r="D43" s="210"/>
      <c r="E43" s="210"/>
      <c r="F43" s="210"/>
      <c r="G43" s="210"/>
      <c r="H43" s="210"/>
      <c r="I43" s="211"/>
    </row>
    <row r="44" spans="1:9" ht="18.75" customHeight="1" x14ac:dyDescent="0.15">
      <c r="A44" s="14"/>
      <c r="B44" s="209"/>
      <c r="C44" s="210"/>
      <c r="D44" s="210"/>
      <c r="E44" s="210"/>
      <c r="F44" s="210"/>
      <c r="G44" s="210"/>
      <c r="H44" s="210"/>
      <c r="I44" s="211"/>
    </row>
    <row r="45" spans="1:9" ht="18.75" customHeight="1" x14ac:dyDescent="0.15">
      <c r="A45" s="14"/>
      <c r="B45" s="209"/>
      <c r="C45" s="210"/>
      <c r="D45" s="210"/>
      <c r="E45" s="210"/>
      <c r="F45" s="210"/>
      <c r="G45" s="210"/>
      <c r="H45" s="210"/>
      <c r="I45" s="211"/>
    </row>
    <row r="46" spans="1:9" ht="18.75" customHeight="1" x14ac:dyDescent="0.15">
      <c r="A46" s="14"/>
      <c r="B46" s="212"/>
      <c r="C46" s="213"/>
      <c r="D46" s="213"/>
      <c r="E46" s="213"/>
      <c r="F46" s="213"/>
      <c r="G46" s="213"/>
      <c r="H46" s="213"/>
      <c r="I46" s="214"/>
    </row>
    <row r="47" spans="1:9" ht="7.5" customHeight="1" x14ac:dyDescent="0.15">
      <c r="A47" s="4"/>
      <c r="B47" s="4"/>
      <c r="C47" s="4"/>
      <c r="D47" s="4"/>
      <c r="E47" s="4"/>
      <c r="F47" s="4"/>
      <c r="G47" s="4"/>
      <c r="H47" s="4"/>
      <c r="I47" s="4"/>
    </row>
    <row r="48" spans="1:9" ht="18.75" customHeight="1" x14ac:dyDescent="0.15">
      <c r="A48" s="1" t="s">
        <v>31</v>
      </c>
      <c r="B48" s="1" t="s">
        <v>111</v>
      </c>
    </row>
    <row r="49" spans="1:15" s="3" customFormat="1" ht="18.75" customHeight="1" x14ac:dyDescent="0.15">
      <c r="B49" s="34" t="s">
        <v>128</v>
      </c>
      <c r="C49" s="242">
        <f>'様式２ 履修者等数の実績'!S33</f>
        <v>9.6495683087861866E-3</v>
      </c>
      <c r="D49" s="242"/>
      <c r="E49" s="90" t="s">
        <v>64</v>
      </c>
      <c r="F49" s="242">
        <v>0.02</v>
      </c>
      <c r="G49" s="242"/>
      <c r="H49" s="90" t="s">
        <v>65</v>
      </c>
      <c r="I49" s="91">
        <v>0.03</v>
      </c>
      <c r="J49" s="1"/>
      <c r="M49" s="1"/>
      <c r="N49" s="35"/>
    </row>
    <row r="50" spans="1:15" s="3" customFormat="1" ht="18.75" customHeight="1" x14ac:dyDescent="0.15">
      <c r="B50" s="36" t="s">
        <v>85</v>
      </c>
      <c r="C50" s="225">
        <v>0.04</v>
      </c>
      <c r="D50" s="225"/>
      <c r="E50" s="92" t="s">
        <v>129</v>
      </c>
      <c r="F50" s="225">
        <v>0.06</v>
      </c>
      <c r="G50" s="225"/>
      <c r="H50" s="92" t="s">
        <v>66</v>
      </c>
      <c r="I50" s="93">
        <f>'様式２ 履修者等数の実績'!E33</f>
        <v>3938</v>
      </c>
      <c r="J50" s="1"/>
      <c r="M50" s="1"/>
      <c r="N50" s="35"/>
    </row>
    <row r="51" spans="1:15" ht="18.75" customHeight="1" x14ac:dyDescent="0.15">
      <c r="A51" s="1"/>
      <c r="B51" s="222" t="s">
        <v>67</v>
      </c>
      <c r="C51" s="223"/>
      <c r="D51" s="223"/>
      <c r="E51" s="223"/>
      <c r="F51" s="223"/>
      <c r="G51" s="223"/>
      <c r="H51" s="223"/>
      <c r="I51" s="224"/>
      <c r="N51" s="35"/>
      <c r="O51" s="3"/>
    </row>
    <row r="52" spans="1:15" ht="18.75" customHeight="1" x14ac:dyDescent="0.15">
      <c r="A52" s="1"/>
      <c r="B52" s="243" t="s">
        <v>175</v>
      </c>
      <c r="C52" s="244"/>
      <c r="D52" s="244"/>
      <c r="E52" s="244"/>
      <c r="F52" s="244"/>
      <c r="G52" s="244"/>
      <c r="H52" s="244"/>
      <c r="I52" s="245"/>
      <c r="N52" s="35"/>
      <c r="O52" s="3"/>
    </row>
    <row r="53" spans="1:15" ht="18.75" customHeight="1" x14ac:dyDescent="0.15">
      <c r="A53" s="1"/>
      <c r="B53" s="246"/>
      <c r="C53" s="247"/>
      <c r="D53" s="247"/>
      <c r="E53" s="247"/>
      <c r="F53" s="247"/>
      <c r="G53" s="247"/>
      <c r="H53" s="247"/>
      <c r="I53" s="248"/>
      <c r="N53" s="35"/>
      <c r="O53" s="3"/>
    </row>
    <row r="54" spans="1:15" ht="18.75" customHeight="1" x14ac:dyDescent="0.15">
      <c r="A54" s="1"/>
      <c r="B54" s="246"/>
      <c r="C54" s="247"/>
      <c r="D54" s="247"/>
      <c r="E54" s="247"/>
      <c r="F54" s="247"/>
      <c r="G54" s="247"/>
      <c r="H54" s="247"/>
      <c r="I54" s="248"/>
    </row>
    <row r="55" spans="1:15" ht="18.75" customHeight="1" x14ac:dyDescent="0.15">
      <c r="A55" s="1"/>
      <c r="B55" s="246"/>
      <c r="C55" s="247"/>
      <c r="D55" s="247"/>
      <c r="E55" s="247"/>
      <c r="F55" s="247"/>
      <c r="G55" s="247"/>
      <c r="H55" s="247"/>
      <c r="I55" s="248"/>
    </row>
    <row r="56" spans="1:15" ht="18.75" customHeight="1" x14ac:dyDescent="0.15">
      <c r="A56" s="1"/>
      <c r="B56" s="246"/>
      <c r="C56" s="247"/>
      <c r="D56" s="247"/>
      <c r="E56" s="247"/>
      <c r="F56" s="247"/>
      <c r="G56" s="247"/>
      <c r="H56" s="247"/>
      <c r="I56" s="248"/>
    </row>
    <row r="57" spans="1:15" ht="18.75" customHeight="1" x14ac:dyDescent="0.15">
      <c r="A57" s="1"/>
      <c r="B57" s="246"/>
      <c r="C57" s="247"/>
      <c r="D57" s="247"/>
      <c r="E57" s="247"/>
      <c r="F57" s="247"/>
      <c r="G57" s="247"/>
      <c r="H57" s="247"/>
      <c r="I57" s="248"/>
    </row>
    <row r="58" spans="1:15" ht="18.75" customHeight="1" x14ac:dyDescent="0.15">
      <c r="A58" s="1"/>
      <c r="B58" s="246"/>
      <c r="C58" s="247"/>
      <c r="D58" s="247"/>
      <c r="E58" s="247"/>
      <c r="F58" s="247"/>
      <c r="G58" s="247"/>
      <c r="H58" s="247"/>
      <c r="I58" s="248"/>
    </row>
    <row r="59" spans="1:15" ht="18.75" customHeight="1" x14ac:dyDescent="0.15">
      <c r="A59" s="1"/>
      <c r="B59" s="246"/>
      <c r="C59" s="247"/>
      <c r="D59" s="247"/>
      <c r="E59" s="247"/>
      <c r="F59" s="247"/>
      <c r="G59" s="247"/>
      <c r="H59" s="247"/>
      <c r="I59" s="248"/>
    </row>
    <row r="60" spans="1:15" ht="18.75" customHeight="1" x14ac:dyDescent="0.15">
      <c r="A60" s="1"/>
      <c r="B60" s="246"/>
      <c r="C60" s="247"/>
      <c r="D60" s="247"/>
      <c r="E60" s="247"/>
      <c r="F60" s="247"/>
      <c r="G60" s="247"/>
      <c r="H60" s="247"/>
      <c r="I60" s="248"/>
    </row>
    <row r="61" spans="1:15" ht="18.75" customHeight="1" x14ac:dyDescent="0.15">
      <c r="A61" s="1"/>
      <c r="B61" s="246"/>
      <c r="C61" s="247"/>
      <c r="D61" s="247"/>
      <c r="E61" s="247"/>
      <c r="F61" s="247"/>
      <c r="G61" s="247"/>
      <c r="H61" s="247"/>
      <c r="I61" s="248"/>
    </row>
    <row r="62" spans="1:15" ht="18.75" customHeight="1" x14ac:dyDescent="0.15">
      <c r="A62" s="1"/>
      <c r="B62" s="246"/>
      <c r="C62" s="247"/>
      <c r="D62" s="247"/>
      <c r="E62" s="247"/>
      <c r="F62" s="247"/>
      <c r="G62" s="247"/>
      <c r="H62" s="247"/>
      <c r="I62" s="248"/>
    </row>
    <row r="63" spans="1:15" ht="18.75" customHeight="1" x14ac:dyDescent="0.15">
      <c r="A63" s="1"/>
      <c r="B63" s="249"/>
      <c r="C63" s="250"/>
      <c r="D63" s="250"/>
      <c r="E63" s="250"/>
      <c r="F63" s="250"/>
      <c r="G63" s="250"/>
      <c r="H63" s="250"/>
      <c r="I63" s="251"/>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226" t="s">
        <v>148</v>
      </c>
      <c r="C66" s="227"/>
      <c r="D66" s="227"/>
      <c r="E66" s="227"/>
      <c r="F66" s="227"/>
      <c r="G66" s="227"/>
      <c r="H66" s="227"/>
      <c r="I66" s="228"/>
    </row>
    <row r="67" spans="1:9" ht="18.75" customHeight="1" x14ac:dyDescent="0.15">
      <c r="A67" s="4"/>
      <c r="B67" s="229"/>
      <c r="C67" s="230"/>
      <c r="D67" s="230"/>
      <c r="E67" s="230"/>
      <c r="F67" s="230"/>
      <c r="G67" s="230"/>
      <c r="H67" s="230"/>
      <c r="I67" s="231"/>
    </row>
    <row r="68" spans="1:9" ht="18.75" customHeight="1" x14ac:dyDescent="0.15">
      <c r="A68" s="4"/>
      <c r="B68" s="229"/>
      <c r="C68" s="230"/>
      <c r="D68" s="230"/>
      <c r="E68" s="230"/>
      <c r="F68" s="230"/>
      <c r="G68" s="230"/>
      <c r="H68" s="230"/>
      <c r="I68" s="231"/>
    </row>
    <row r="69" spans="1:9" ht="18.75" customHeight="1" x14ac:dyDescent="0.15">
      <c r="A69" s="4"/>
      <c r="B69" s="229"/>
      <c r="C69" s="230"/>
      <c r="D69" s="230"/>
      <c r="E69" s="230"/>
      <c r="F69" s="230"/>
      <c r="G69" s="230"/>
      <c r="H69" s="230"/>
      <c r="I69" s="231"/>
    </row>
    <row r="70" spans="1:9" ht="18.75" customHeight="1" x14ac:dyDescent="0.15">
      <c r="A70" s="4"/>
      <c r="B70" s="229"/>
      <c r="C70" s="230"/>
      <c r="D70" s="230"/>
      <c r="E70" s="230"/>
      <c r="F70" s="230"/>
      <c r="G70" s="230"/>
      <c r="H70" s="230"/>
      <c r="I70" s="231"/>
    </row>
    <row r="71" spans="1:9" ht="18.75" customHeight="1" x14ac:dyDescent="0.15">
      <c r="A71" s="4"/>
      <c r="B71" s="229"/>
      <c r="C71" s="230"/>
      <c r="D71" s="230"/>
      <c r="E71" s="230"/>
      <c r="F71" s="230"/>
      <c r="G71" s="230"/>
      <c r="H71" s="230"/>
      <c r="I71" s="231"/>
    </row>
    <row r="72" spans="1:9" ht="18.75" customHeight="1" x14ac:dyDescent="0.15">
      <c r="A72" s="4"/>
      <c r="B72" s="229"/>
      <c r="C72" s="230"/>
      <c r="D72" s="230"/>
      <c r="E72" s="230"/>
      <c r="F72" s="230"/>
      <c r="G72" s="230"/>
      <c r="H72" s="230"/>
      <c r="I72" s="231"/>
    </row>
    <row r="73" spans="1:9" ht="18.75" customHeight="1" x14ac:dyDescent="0.15">
      <c r="A73" s="4"/>
      <c r="B73" s="229"/>
      <c r="C73" s="230"/>
      <c r="D73" s="230"/>
      <c r="E73" s="230"/>
      <c r="F73" s="230"/>
      <c r="G73" s="230"/>
      <c r="H73" s="230"/>
      <c r="I73" s="231"/>
    </row>
    <row r="74" spans="1:9" ht="18.75" customHeight="1" x14ac:dyDescent="0.15">
      <c r="A74" s="4"/>
      <c r="B74" s="229"/>
      <c r="C74" s="230"/>
      <c r="D74" s="230"/>
      <c r="E74" s="230"/>
      <c r="F74" s="230"/>
      <c r="G74" s="230"/>
      <c r="H74" s="230"/>
      <c r="I74" s="231"/>
    </row>
    <row r="75" spans="1:9" ht="18.75" customHeight="1" x14ac:dyDescent="0.15">
      <c r="A75" s="4"/>
      <c r="B75" s="229"/>
      <c r="C75" s="230"/>
      <c r="D75" s="230"/>
      <c r="E75" s="230"/>
      <c r="F75" s="230"/>
      <c r="G75" s="230"/>
      <c r="H75" s="230"/>
      <c r="I75" s="231"/>
    </row>
    <row r="76" spans="1:9" ht="18.75" customHeight="1" x14ac:dyDescent="0.15">
      <c r="A76" s="4"/>
      <c r="B76" s="229"/>
      <c r="C76" s="230"/>
      <c r="D76" s="230"/>
      <c r="E76" s="230"/>
      <c r="F76" s="230"/>
      <c r="G76" s="230"/>
      <c r="H76" s="230"/>
      <c r="I76" s="231"/>
    </row>
    <row r="77" spans="1:9" ht="18.75" customHeight="1" x14ac:dyDescent="0.15">
      <c r="A77" s="4"/>
      <c r="B77" s="232"/>
      <c r="C77" s="233"/>
      <c r="D77" s="233"/>
      <c r="E77" s="233"/>
      <c r="F77" s="233"/>
      <c r="G77" s="233"/>
      <c r="H77" s="233"/>
      <c r="I77" s="234"/>
    </row>
    <row r="78" spans="1:9" ht="7.5" customHeight="1" x14ac:dyDescent="0.15">
      <c r="A78" s="4"/>
      <c r="B78" s="4"/>
      <c r="C78" s="4"/>
      <c r="D78" s="4"/>
      <c r="E78" s="4"/>
      <c r="F78" s="4"/>
      <c r="G78" s="4"/>
      <c r="H78" s="4"/>
      <c r="I78" s="4"/>
    </row>
    <row r="79" spans="1:9" ht="18.75" customHeight="1" x14ac:dyDescent="0.15">
      <c r="A79" s="1" t="s">
        <v>11</v>
      </c>
      <c r="B79" s="1" t="s">
        <v>40</v>
      </c>
    </row>
    <row r="80" spans="1:9" ht="18.75" customHeight="1" x14ac:dyDescent="0.15">
      <c r="A80" s="1"/>
      <c r="B80" s="226" t="s">
        <v>149</v>
      </c>
      <c r="C80" s="227"/>
      <c r="D80" s="227"/>
      <c r="E80" s="227"/>
      <c r="F80" s="227"/>
      <c r="G80" s="227"/>
      <c r="H80" s="227"/>
      <c r="I80" s="235"/>
    </row>
    <row r="81" spans="1:9" ht="18.75" customHeight="1" x14ac:dyDescent="0.15">
      <c r="A81" s="1"/>
      <c r="B81" s="236"/>
      <c r="C81" s="237"/>
      <c r="D81" s="237"/>
      <c r="E81" s="237"/>
      <c r="F81" s="237"/>
      <c r="G81" s="237"/>
      <c r="H81" s="237"/>
      <c r="I81" s="238"/>
    </row>
    <row r="82" spans="1:9" ht="18.75" customHeight="1" x14ac:dyDescent="0.15">
      <c r="A82" s="1"/>
      <c r="B82" s="236"/>
      <c r="C82" s="237"/>
      <c r="D82" s="237"/>
      <c r="E82" s="237"/>
      <c r="F82" s="237"/>
      <c r="G82" s="237"/>
      <c r="H82" s="237"/>
      <c r="I82" s="238"/>
    </row>
    <row r="83" spans="1:9" ht="18.75" customHeight="1" x14ac:dyDescent="0.15">
      <c r="A83" s="1"/>
      <c r="B83" s="236"/>
      <c r="C83" s="237"/>
      <c r="D83" s="237"/>
      <c r="E83" s="237"/>
      <c r="F83" s="237"/>
      <c r="G83" s="237"/>
      <c r="H83" s="237"/>
      <c r="I83" s="238"/>
    </row>
    <row r="84" spans="1:9" ht="18.75" customHeight="1" x14ac:dyDescent="0.15">
      <c r="A84" s="1"/>
      <c r="B84" s="236"/>
      <c r="C84" s="237"/>
      <c r="D84" s="237"/>
      <c r="E84" s="237"/>
      <c r="F84" s="237"/>
      <c r="G84" s="237"/>
      <c r="H84" s="237"/>
      <c r="I84" s="238"/>
    </row>
    <row r="85" spans="1:9" ht="18.75" customHeight="1" x14ac:dyDescent="0.15">
      <c r="A85" s="1"/>
      <c r="B85" s="236"/>
      <c r="C85" s="237"/>
      <c r="D85" s="237"/>
      <c r="E85" s="237"/>
      <c r="F85" s="237"/>
      <c r="G85" s="237"/>
      <c r="H85" s="237"/>
      <c r="I85" s="238"/>
    </row>
    <row r="86" spans="1:9" ht="18.75" customHeight="1" x14ac:dyDescent="0.15">
      <c r="A86" s="1"/>
      <c r="B86" s="236"/>
      <c r="C86" s="237"/>
      <c r="D86" s="237"/>
      <c r="E86" s="237"/>
      <c r="F86" s="237"/>
      <c r="G86" s="237"/>
      <c r="H86" s="237"/>
      <c r="I86" s="238"/>
    </row>
    <row r="87" spans="1:9" ht="18.75" customHeight="1" x14ac:dyDescent="0.15">
      <c r="A87" s="1"/>
      <c r="B87" s="236"/>
      <c r="C87" s="237"/>
      <c r="D87" s="237"/>
      <c r="E87" s="237"/>
      <c r="F87" s="237"/>
      <c r="G87" s="237"/>
      <c r="H87" s="237"/>
      <c r="I87" s="238"/>
    </row>
    <row r="88" spans="1:9" ht="18.75" customHeight="1" x14ac:dyDescent="0.15">
      <c r="A88" s="1"/>
      <c r="B88" s="236"/>
      <c r="C88" s="237"/>
      <c r="D88" s="237"/>
      <c r="E88" s="237"/>
      <c r="F88" s="237"/>
      <c r="G88" s="237"/>
      <c r="H88" s="237"/>
      <c r="I88" s="238"/>
    </row>
    <row r="89" spans="1:9" ht="18.75" customHeight="1" x14ac:dyDescent="0.15">
      <c r="A89" s="1"/>
      <c r="B89" s="236"/>
      <c r="C89" s="237"/>
      <c r="D89" s="237"/>
      <c r="E89" s="237"/>
      <c r="F89" s="237"/>
      <c r="G89" s="237"/>
      <c r="H89" s="237"/>
      <c r="I89" s="238"/>
    </row>
    <row r="90" spans="1:9" ht="18.75" customHeight="1" x14ac:dyDescent="0.15">
      <c r="A90" s="4"/>
      <c r="B90" s="236"/>
      <c r="C90" s="237"/>
      <c r="D90" s="237"/>
      <c r="E90" s="237"/>
      <c r="F90" s="237"/>
      <c r="G90" s="237"/>
      <c r="H90" s="237"/>
      <c r="I90" s="238"/>
    </row>
    <row r="91" spans="1:9" ht="18.75" customHeight="1" x14ac:dyDescent="0.15">
      <c r="A91" s="4"/>
      <c r="B91" s="239"/>
      <c r="C91" s="240"/>
      <c r="D91" s="240"/>
      <c r="E91" s="240"/>
      <c r="F91" s="240"/>
      <c r="G91" s="240"/>
      <c r="H91" s="240"/>
      <c r="I91" s="241"/>
    </row>
    <row r="92" spans="1:9" ht="7.5" customHeight="1" x14ac:dyDescent="0.15">
      <c r="A92" s="4"/>
      <c r="B92" s="4"/>
      <c r="C92" s="4"/>
      <c r="D92" s="4"/>
      <c r="E92" s="4"/>
      <c r="F92" s="4"/>
      <c r="G92" s="4"/>
      <c r="H92" s="4"/>
      <c r="I92" s="4"/>
    </row>
    <row r="93" spans="1:9" ht="18.75" customHeight="1" x14ac:dyDescent="0.15">
      <c r="A93" s="1" t="s">
        <v>43</v>
      </c>
      <c r="B93" s="1" t="s">
        <v>13</v>
      </c>
    </row>
    <row r="94" spans="1:9" ht="18.75" customHeight="1" x14ac:dyDescent="0.15">
      <c r="A94" s="1"/>
      <c r="B94" s="195" t="s">
        <v>176</v>
      </c>
      <c r="C94" s="196"/>
      <c r="D94" s="196"/>
      <c r="E94" s="196"/>
      <c r="F94" s="196"/>
      <c r="G94" s="196"/>
      <c r="H94" s="196"/>
      <c r="I94" s="197"/>
    </row>
    <row r="95" spans="1:9" ht="18.75" customHeight="1" x14ac:dyDescent="0.15">
      <c r="A95" s="1"/>
      <c r="B95" s="201"/>
      <c r="C95" s="202"/>
      <c r="D95" s="202"/>
      <c r="E95" s="202"/>
      <c r="F95" s="202"/>
      <c r="G95" s="202"/>
      <c r="H95" s="202"/>
      <c r="I95" s="200"/>
    </row>
    <row r="96" spans="1:9" ht="18.75" customHeight="1" x14ac:dyDescent="0.15">
      <c r="A96" s="1"/>
      <c r="B96" s="201"/>
      <c r="C96" s="202"/>
      <c r="D96" s="202"/>
      <c r="E96" s="202"/>
      <c r="F96" s="202"/>
      <c r="G96" s="202"/>
      <c r="H96" s="202"/>
      <c r="I96" s="200"/>
    </row>
    <row r="97" spans="1:9" ht="18.75" customHeight="1" x14ac:dyDescent="0.15">
      <c r="A97" s="1"/>
      <c r="B97" s="201"/>
      <c r="C97" s="202"/>
      <c r="D97" s="202"/>
      <c r="E97" s="202"/>
      <c r="F97" s="202"/>
      <c r="G97" s="202"/>
      <c r="H97" s="202"/>
      <c r="I97" s="200"/>
    </row>
    <row r="98" spans="1:9" ht="18.75" customHeight="1" x14ac:dyDescent="0.15">
      <c r="A98" s="1"/>
      <c r="B98" s="201"/>
      <c r="C98" s="202"/>
      <c r="D98" s="202"/>
      <c r="E98" s="202"/>
      <c r="F98" s="202"/>
      <c r="G98" s="202"/>
      <c r="H98" s="202"/>
      <c r="I98" s="200"/>
    </row>
    <row r="99" spans="1:9" ht="18.75" customHeight="1" x14ac:dyDescent="0.15">
      <c r="A99" s="1"/>
      <c r="B99" s="201"/>
      <c r="C99" s="202"/>
      <c r="D99" s="202"/>
      <c r="E99" s="202"/>
      <c r="F99" s="202"/>
      <c r="G99" s="202"/>
      <c r="H99" s="202"/>
      <c r="I99" s="200"/>
    </row>
    <row r="100" spans="1:9" ht="18.75" customHeight="1" x14ac:dyDescent="0.15">
      <c r="A100" s="1"/>
      <c r="B100" s="201"/>
      <c r="C100" s="202"/>
      <c r="D100" s="202"/>
      <c r="E100" s="202"/>
      <c r="F100" s="202"/>
      <c r="G100" s="202"/>
      <c r="H100" s="202"/>
      <c r="I100" s="200"/>
    </row>
    <row r="101" spans="1:9" ht="18.75" customHeight="1" x14ac:dyDescent="0.15">
      <c r="A101" s="1"/>
      <c r="B101" s="201"/>
      <c r="C101" s="202"/>
      <c r="D101" s="202"/>
      <c r="E101" s="202"/>
      <c r="F101" s="202"/>
      <c r="G101" s="202"/>
      <c r="H101" s="202"/>
      <c r="I101" s="200"/>
    </row>
    <row r="102" spans="1:9" ht="18.75" customHeight="1" x14ac:dyDescent="0.15">
      <c r="A102" s="1"/>
      <c r="B102" s="201"/>
      <c r="C102" s="202"/>
      <c r="D102" s="202"/>
      <c r="E102" s="202"/>
      <c r="F102" s="202"/>
      <c r="G102" s="202"/>
      <c r="H102" s="202"/>
      <c r="I102" s="200"/>
    </row>
    <row r="103" spans="1:9" ht="18.75" customHeight="1" x14ac:dyDescent="0.15">
      <c r="A103" s="1"/>
      <c r="B103" s="201"/>
      <c r="C103" s="202"/>
      <c r="D103" s="202"/>
      <c r="E103" s="202"/>
      <c r="F103" s="202"/>
      <c r="G103" s="202"/>
      <c r="H103" s="202"/>
      <c r="I103" s="200"/>
    </row>
    <row r="104" spans="1:9" ht="18.75" customHeight="1" x14ac:dyDescent="0.15">
      <c r="A104" s="1"/>
      <c r="B104" s="201"/>
      <c r="C104" s="202"/>
      <c r="D104" s="202"/>
      <c r="E104" s="202"/>
      <c r="F104" s="202"/>
      <c r="G104" s="202"/>
      <c r="H104" s="202"/>
      <c r="I104" s="200"/>
    </row>
    <row r="105" spans="1:9" ht="18.75" customHeight="1" x14ac:dyDescent="0.15">
      <c r="A105" s="4"/>
      <c r="B105" s="203"/>
      <c r="C105" s="204"/>
      <c r="D105" s="204"/>
      <c r="E105" s="204"/>
      <c r="F105" s="204"/>
      <c r="G105" s="204"/>
      <c r="H105" s="204"/>
      <c r="I105" s="205"/>
    </row>
    <row r="106" spans="1:9" ht="7.5" customHeight="1" x14ac:dyDescent="0.15">
      <c r="A106" s="4"/>
      <c r="B106" s="4"/>
      <c r="C106" s="4"/>
      <c r="D106" s="4"/>
      <c r="E106" s="4"/>
      <c r="F106" s="4"/>
      <c r="G106" s="4"/>
      <c r="H106" s="4"/>
      <c r="I106" s="4"/>
    </row>
    <row r="107" spans="1:9" ht="18.75" customHeight="1" x14ac:dyDescent="0.15">
      <c r="A107" s="1" t="s">
        <v>30</v>
      </c>
      <c r="B107" s="221" t="s">
        <v>45</v>
      </c>
      <c r="C107" s="221"/>
      <c r="D107" s="221"/>
      <c r="E107" s="221"/>
      <c r="F107" s="221"/>
      <c r="G107" s="221"/>
      <c r="H107" s="221"/>
      <c r="I107" s="221"/>
    </row>
    <row r="108" spans="1:9" ht="18.75" customHeight="1" x14ac:dyDescent="0.15">
      <c r="A108" s="4"/>
      <c r="B108" s="206" t="s">
        <v>150</v>
      </c>
      <c r="C108" s="207"/>
      <c r="D108" s="207"/>
      <c r="E108" s="207"/>
      <c r="F108" s="207"/>
      <c r="G108" s="207"/>
      <c r="H108" s="207"/>
      <c r="I108" s="208"/>
    </row>
    <row r="109" spans="1:9" ht="18.75" customHeight="1" x14ac:dyDescent="0.15">
      <c r="A109" s="4"/>
      <c r="B109" s="209"/>
      <c r="C109" s="210"/>
      <c r="D109" s="210"/>
      <c r="E109" s="210"/>
      <c r="F109" s="210"/>
      <c r="G109" s="210"/>
      <c r="H109" s="210"/>
      <c r="I109" s="211"/>
    </row>
    <row r="110" spans="1:9" ht="18.75" customHeight="1" x14ac:dyDescent="0.15">
      <c r="A110" s="4"/>
      <c r="B110" s="209"/>
      <c r="C110" s="210"/>
      <c r="D110" s="210"/>
      <c r="E110" s="210"/>
      <c r="F110" s="210"/>
      <c r="G110" s="210"/>
      <c r="H110" s="210"/>
      <c r="I110" s="211"/>
    </row>
    <row r="111" spans="1:9" ht="18.75" customHeight="1" x14ac:dyDescent="0.15">
      <c r="A111" s="4"/>
      <c r="B111" s="209"/>
      <c r="C111" s="210"/>
      <c r="D111" s="210"/>
      <c r="E111" s="210"/>
      <c r="F111" s="210"/>
      <c r="G111" s="210"/>
      <c r="H111" s="210"/>
      <c r="I111" s="211"/>
    </row>
    <row r="112" spans="1:9" ht="18.75" customHeight="1" x14ac:dyDescent="0.15">
      <c r="A112" s="4"/>
      <c r="B112" s="209"/>
      <c r="C112" s="210"/>
      <c r="D112" s="210"/>
      <c r="E112" s="210"/>
      <c r="F112" s="210"/>
      <c r="G112" s="210"/>
      <c r="H112" s="210"/>
      <c r="I112" s="211"/>
    </row>
    <row r="113" spans="1:9" ht="18.75" customHeight="1" x14ac:dyDescent="0.15">
      <c r="A113" s="4"/>
      <c r="B113" s="209"/>
      <c r="C113" s="210"/>
      <c r="D113" s="210"/>
      <c r="E113" s="210"/>
      <c r="F113" s="210"/>
      <c r="G113" s="210"/>
      <c r="H113" s="210"/>
      <c r="I113" s="211"/>
    </row>
    <row r="114" spans="1:9" ht="18.75" customHeight="1" x14ac:dyDescent="0.15">
      <c r="A114" s="4"/>
      <c r="B114" s="209"/>
      <c r="C114" s="210"/>
      <c r="D114" s="210"/>
      <c r="E114" s="210"/>
      <c r="F114" s="210"/>
      <c r="G114" s="210"/>
      <c r="H114" s="210"/>
      <c r="I114" s="211"/>
    </row>
    <row r="115" spans="1:9" ht="18.75" customHeight="1" x14ac:dyDescent="0.15">
      <c r="A115" s="4"/>
      <c r="B115" s="209"/>
      <c r="C115" s="210"/>
      <c r="D115" s="210"/>
      <c r="E115" s="210"/>
      <c r="F115" s="210"/>
      <c r="G115" s="210"/>
      <c r="H115" s="210"/>
      <c r="I115" s="211"/>
    </row>
    <row r="116" spans="1:9" ht="18.75" customHeight="1" x14ac:dyDescent="0.15">
      <c r="A116" s="4"/>
      <c r="B116" s="209"/>
      <c r="C116" s="210"/>
      <c r="D116" s="210"/>
      <c r="E116" s="210"/>
      <c r="F116" s="210"/>
      <c r="G116" s="210"/>
      <c r="H116" s="210"/>
      <c r="I116" s="211"/>
    </row>
    <row r="117" spans="1:9" ht="18.75" customHeight="1" x14ac:dyDescent="0.15">
      <c r="A117" s="4"/>
      <c r="B117" s="209"/>
      <c r="C117" s="210"/>
      <c r="D117" s="210"/>
      <c r="E117" s="210"/>
      <c r="F117" s="210"/>
      <c r="G117" s="210"/>
      <c r="H117" s="210"/>
      <c r="I117" s="211"/>
    </row>
    <row r="118" spans="1:9" ht="18.75" customHeight="1" x14ac:dyDescent="0.15">
      <c r="A118" s="4"/>
      <c r="B118" s="209"/>
      <c r="C118" s="210"/>
      <c r="D118" s="210"/>
      <c r="E118" s="210"/>
      <c r="F118" s="210"/>
      <c r="G118" s="210"/>
      <c r="H118" s="210"/>
      <c r="I118" s="211"/>
    </row>
    <row r="119" spans="1:9" ht="18.75" customHeight="1" x14ac:dyDescent="0.15">
      <c r="A119" s="4"/>
      <c r="B119" s="212"/>
      <c r="C119" s="213"/>
      <c r="D119" s="213"/>
      <c r="E119" s="213"/>
      <c r="F119" s="213"/>
      <c r="G119" s="213"/>
      <c r="H119" s="213"/>
      <c r="I119" s="214"/>
    </row>
    <row r="120" spans="1:9" ht="7.5" customHeight="1" x14ac:dyDescent="0.15">
      <c r="A120" s="4"/>
      <c r="B120" s="37"/>
      <c r="C120" s="37"/>
      <c r="D120" s="37"/>
      <c r="E120" s="37"/>
      <c r="F120" s="37"/>
      <c r="G120" s="37"/>
      <c r="H120" s="37"/>
      <c r="I120" s="37"/>
    </row>
    <row r="121" spans="1:9" ht="18.75" customHeight="1" x14ac:dyDescent="0.15">
      <c r="A121" s="66"/>
      <c r="B121" s="190"/>
      <c r="C121" s="190"/>
      <c r="D121" s="190"/>
      <c r="E121" s="190"/>
      <c r="F121" s="190"/>
      <c r="G121" s="190"/>
      <c r="H121" s="190"/>
      <c r="I121" s="190"/>
    </row>
    <row r="122" spans="1:9" ht="18.75" customHeight="1" x14ac:dyDescent="0.15">
      <c r="A122" s="66"/>
      <c r="B122" s="190"/>
      <c r="C122" s="190"/>
      <c r="D122" s="190"/>
      <c r="E122" s="190"/>
      <c r="F122" s="190"/>
      <c r="G122" s="190"/>
      <c r="H122" s="190"/>
      <c r="I122" s="190"/>
    </row>
    <row r="123" spans="1:9" ht="18.75" customHeight="1" x14ac:dyDescent="0.15">
      <c r="A123" s="4"/>
      <c r="B123" s="70"/>
      <c r="C123" s="70"/>
      <c r="D123" s="70"/>
      <c r="E123" s="70"/>
      <c r="F123" s="70"/>
      <c r="G123" s="70"/>
      <c r="H123" s="70"/>
      <c r="I123" s="71"/>
    </row>
    <row r="124" spans="1:9" ht="18.75" customHeight="1" x14ac:dyDescent="0.15">
      <c r="A124" s="4"/>
      <c r="B124" s="71"/>
      <c r="C124" s="71"/>
      <c r="D124" s="71"/>
      <c r="E124" s="71"/>
      <c r="F124" s="71"/>
      <c r="G124" s="71"/>
      <c r="H124" s="71"/>
      <c r="I124" s="71"/>
    </row>
    <row r="125" spans="1:9" ht="18.75" customHeight="1" x14ac:dyDescent="0.15">
      <c r="A125" s="4"/>
      <c r="B125" s="71"/>
      <c r="C125" s="71"/>
      <c r="D125" s="71"/>
      <c r="E125" s="71"/>
      <c r="F125" s="71"/>
      <c r="G125" s="71"/>
      <c r="H125" s="71"/>
      <c r="I125" s="71"/>
    </row>
    <row r="126" spans="1:9" ht="18.75" customHeight="1" x14ac:dyDescent="0.15">
      <c r="A126" s="4"/>
      <c r="B126" s="71"/>
      <c r="C126" s="71"/>
      <c r="D126" s="71"/>
      <c r="E126" s="71"/>
      <c r="F126" s="71"/>
      <c r="G126" s="71"/>
      <c r="H126" s="71"/>
      <c r="I126" s="71"/>
    </row>
    <row r="127" spans="1:9" ht="18.75" customHeight="1" x14ac:dyDescent="0.15">
      <c r="A127" s="4"/>
      <c r="B127" s="71"/>
      <c r="C127" s="71"/>
      <c r="D127" s="71"/>
      <c r="E127" s="71"/>
      <c r="F127" s="71"/>
      <c r="G127" s="71"/>
      <c r="H127" s="71"/>
      <c r="I127" s="71"/>
    </row>
    <row r="128" spans="1:9" ht="18.75" customHeight="1" x14ac:dyDescent="0.15">
      <c r="A128" s="4"/>
      <c r="B128" s="71"/>
      <c r="C128" s="71"/>
      <c r="D128" s="71"/>
      <c r="E128" s="71"/>
      <c r="F128" s="71"/>
      <c r="G128" s="71"/>
      <c r="H128" s="71"/>
      <c r="I128" s="71"/>
    </row>
    <row r="129" spans="1:9" ht="18.75" customHeight="1" x14ac:dyDescent="0.15">
      <c r="A129" s="4"/>
      <c r="B129" s="71"/>
      <c r="C129" s="71"/>
      <c r="D129" s="71"/>
      <c r="E129" s="71"/>
      <c r="F129" s="71"/>
      <c r="G129" s="71"/>
      <c r="H129" s="71"/>
      <c r="I129" s="71"/>
    </row>
    <row r="130" spans="1:9" ht="18.75" customHeight="1" x14ac:dyDescent="0.15">
      <c r="A130" s="4"/>
      <c r="B130" s="71"/>
      <c r="C130" s="71"/>
      <c r="D130" s="71"/>
      <c r="E130" s="71"/>
      <c r="F130" s="71"/>
      <c r="G130" s="71"/>
      <c r="H130" s="71"/>
      <c r="I130" s="71"/>
    </row>
    <row r="131" spans="1:9" ht="18.75" customHeight="1" x14ac:dyDescent="0.15">
      <c r="A131" s="4"/>
      <c r="B131" s="71"/>
      <c r="C131" s="71"/>
      <c r="D131" s="71"/>
      <c r="E131" s="71"/>
      <c r="F131" s="71"/>
      <c r="G131" s="71"/>
      <c r="H131" s="71"/>
      <c r="I131" s="71"/>
    </row>
    <row r="132" spans="1:9" ht="18.75" customHeight="1" x14ac:dyDescent="0.15">
      <c r="A132" s="4"/>
      <c r="B132" s="71"/>
      <c r="C132" s="71"/>
      <c r="D132" s="71"/>
      <c r="E132" s="71"/>
      <c r="F132" s="71"/>
      <c r="G132" s="71"/>
      <c r="H132" s="71"/>
      <c r="I132" s="71"/>
    </row>
    <row r="133" spans="1:9" ht="14.25" x14ac:dyDescent="0.15">
      <c r="A133" s="4"/>
      <c r="B133" s="71"/>
      <c r="C133" s="71"/>
      <c r="D133" s="71"/>
      <c r="E133" s="71"/>
      <c r="F133" s="71"/>
      <c r="G133" s="71"/>
      <c r="H133" s="71"/>
      <c r="I133" s="71"/>
    </row>
    <row r="134" spans="1:9" ht="7.5" customHeight="1" x14ac:dyDescent="0.15">
      <c r="A134" s="4"/>
      <c r="B134" s="71"/>
      <c r="C134" s="71"/>
      <c r="D134" s="71"/>
      <c r="E134" s="71"/>
      <c r="F134" s="71"/>
      <c r="G134" s="71"/>
      <c r="H134" s="71"/>
      <c r="I134" s="71"/>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100" zoomScaleSheetLayoutView="100" workbookViewId="0">
      <selection activeCell="A2" sqref="A2"/>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68</v>
      </c>
      <c r="I1" s="30" t="s">
        <v>96</v>
      </c>
    </row>
    <row r="2" spans="1:9" ht="18.75" customHeight="1" x14ac:dyDescent="0.15">
      <c r="H2" s="30" t="s">
        <v>99</v>
      </c>
      <c r="I2" s="29" t="str">
        <f>'様式１　プログラムを構成する授業科目'!C2</f>
        <v>東海学園大学</v>
      </c>
    </row>
    <row r="3" spans="1:9" ht="18.75" customHeight="1" x14ac:dyDescent="0.15">
      <c r="A3" s="191" t="s">
        <v>28</v>
      </c>
      <c r="B3" s="191"/>
      <c r="C3" s="191"/>
      <c r="D3" s="191"/>
      <c r="E3" s="191"/>
      <c r="F3" s="191"/>
      <c r="G3" s="191"/>
      <c r="H3" s="191"/>
      <c r="I3" s="191"/>
    </row>
    <row r="4" spans="1:9" ht="18.75" customHeight="1" x14ac:dyDescent="0.15">
      <c r="A4" s="5"/>
      <c r="B4" s="5"/>
      <c r="C4" s="5"/>
      <c r="D4" s="5"/>
      <c r="E4" s="5"/>
      <c r="F4" s="5"/>
      <c r="G4" s="5"/>
      <c r="H4" s="5"/>
      <c r="I4" s="5"/>
    </row>
    <row r="5" spans="1:9" ht="18.75" customHeight="1" x14ac:dyDescent="0.15">
      <c r="A5" s="1" t="s">
        <v>0</v>
      </c>
      <c r="B5" s="10" t="s">
        <v>90</v>
      </c>
      <c r="C5" s="5"/>
      <c r="D5" s="5"/>
      <c r="E5" s="5"/>
      <c r="F5" s="5"/>
      <c r="G5" s="5"/>
      <c r="H5" s="5"/>
      <c r="I5" s="5"/>
    </row>
    <row r="6" spans="1:9" ht="26.25" customHeight="1" x14ac:dyDescent="0.15">
      <c r="A6" s="5"/>
      <c r="B6" s="215" t="s">
        <v>144</v>
      </c>
      <c r="C6" s="259"/>
      <c r="D6" s="259"/>
      <c r="E6" s="259"/>
      <c r="F6" s="259"/>
      <c r="G6" s="259"/>
      <c r="H6" s="260"/>
      <c r="I6" s="3"/>
    </row>
    <row r="7" spans="1:9" ht="9" customHeight="1" x14ac:dyDescent="0.15">
      <c r="A7" s="5"/>
      <c r="B7" s="10"/>
      <c r="C7" s="10"/>
      <c r="D7" s="10"/>
      <c r="E7" s="10"/>
      <c r="F7" s="10"/>
      <c r="G7" s="10"/>
      <c r="H7" s="10"/>
      <c r="I7" s="3"/>
    </row>
    <row r="8" spans="1:9" ht="18.75" customHeight="1" x14ac:dyDescent="0.15">
      <c r="A8" s="5"/>
      <c r="B8" s="3"/>
      <c r="C8" s="3"/>
      <c r="D8" s="30" t="s">
        <v>42</v>
      </c>
      <c r="E8" s="31" t="s">
        <v>142</v>
      </c>
      <c r="F8" s="3"/>
      <c r="G8" s="30" t="s">
        <v>10</v>
      </c>
      <c r="H8" s="31" t="s">
        <v>143</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9" t="s">
        <v>24</v>
      </c>
      <c r="C11" s="100"/>
      <c r="D11" s="101"/>
      <c r="E11" s="100" t="s">
        <v>26</v>
      </c>
      <c r="F11" s="100"/>
      <c r="G11" s="100"/>
      <c r="H11" s="100"/>
      <c r="I11" s="101"/>
    </row>
    <row r="12" spans="1:9" ht="26.25" customHeight="1" x14ac:dyDescent="0.15">
      <c r="B12" s="38" t="s">
        <v>14</v>
      </c>
      <c r="C12" s="45"/>
      <c r="D12" s="39"/>
      <c r="E12" s="46"/>
      <c r="F12" s="46"/>
      <c r="G12" s="46"/>
      <c r="H12" s="46"/>
      <c r="I12" s="39"/>
    </row>
    <row r="13" spans="1:9" ht="210.75" customHeight="1" x14ac:dyDescent="0.15">
      <c r="B13" s="40"/>
      <c r="C13" s="257" t="s">
        <v>15</v>
      </c>
      <c r="D13" s="258"/>
      <c r="E13" s="254" t="s">
        <v>151</v>
      </c>
      <c r="F13" s="255"/>
      <c r="G13" s="255"/>
      <c r="H13" s="255"/>
      <c r="I13" s="256"/>
    </row>
    <row r="14" spans="1:9" ht="210.75" customHeight="1" x14ac:dyDescent="0.15">
      <c r="B14" s="40"/>
      <c r="C14" s="252" t="s">
        <v>16</v>
      </c>
      <c r="D14" s="253"/>
      <c r="E14" s="254" t="s">
        <v>177</v>
      </c>
      <c r="F14" s="255"/>
      <c r="G14" s="255"/>
      <c r="H14" s="255"/>
      <c r="I14" s="256"/>
    </row>
    <row r="15" spans="1:9" ht="210.75" customHeight="1" x14ac:dyDescent="0.15">
      <c r="B15" s="40"/>
      <c r="C15" s="257" t="s">
        <v>17</v>
      </c>
      <c r="D15" s="258"/>
      <c r="E15" s="254" t="s">
        <v>152</v>
      </c>
      <c r="F15" s="255"/>
      <c r="G15" s="255"/>
      <c r="H15" s="255"/>
      <c r="I15" s="256"/>
    </row>
    <row r="16" spans="1:9" ht="210.75" customHeight="1" x14ac:dyDescent="0.15">
      <c r="B16" s="40"/>
      <c r="C16" s="257" t="s">
        <v>18</v>
      </c>
      <c r="D16" s="258"/>
      <c r="E16" s="254" t="s">
        <v>153</v>
      </c>
      <c r="F16" s="255"/>
      <c r="G16" s="255"/>
      <c r="H16" s="255"/>
      <c r="I16" s="256"/>
    </row>
    <row r="17" spans="2:9" ht="210.75" customHeight="1" x14ac:dyDescent="0.15">
      <c r="B17" s="41"/>
      <c r="C17" s="261" t="s">
        <v>19</v>
      </c>
      <c r="D17" s="262"/>
      <c r="E17" s="263" t="s">
        <v>154</v>
      </c>
      <c r="F17" s="264"/>
      <c r="G17" s="264"/>
      <c r="H17" s="264"/>
      <c r="I17" s="265"/>
    </row>
    <row r="18" spans="2:9" ht="24" customHeight="1" x14ac:dyDescent="0.15">
      <c r="B18" s="38" t="s">
        <v>20</v>
      </c>
      <c r="C18" s="42"/>
      <c r="D18" s="43"/>
      <c r="E18" s="44"/>
      <c r="F18" s="44"/>
      <c r="G18" s="44"/>
      <c r="H18" s="44"/>
      <c r="I18" s="47"/>
    </row>
    <row r="19" spans="2:9" ht="218.25" customHeight="1" x14ac:dyDescent="0.15">
      <c r="B19" s="40"/>
      <c r="C19" s="257" t="s">
        <v>21</v>
      </c>
      <c r="D19" s="258"/>
      <c r="E19" s="255" t="s">
        <v>155</v>
      </c>
      <c r="F19" s="255"/>
      <c r="G19" s="255"/>
      <c r="H19" s="255"/>
      <c r="I19" s="256"/>
    </row>
    <row r="20" spans="2:9" ht="218.25" customHeight="1" x14ac:dyDescent="0.15">
      <c r="B20" s="41"/>
      <c r="C20" s="261" t="s">
        <v>22</v>
      </c>
      <c r="D20" s="262"/>
      <c r="E20" s="264" t="s">
        <v>178</v>
      </c>
      <c r="F20" s="264"/>
      <c r="G20" s="264"/>
      <c r="H20" s="264"/>
      <c r="I20" s="265"/>
    </row>
    <row r="21" spans="2:9" ht="218.25" customHeight="1" x14ac:dyDescent="0.15">
      <c r="B21" s="271" t="s">
        <v>23</v>
      </c>
      <c r="C21" s="272"/>
      <c r="D21" s="273"/>
      <c r="E21" s="274" t="s">
        <v>179</v>
      </c>
      <c r="F21" s="274"/>
      <c r="G21" s="274"/>
      <c r="H21" s="274"/>
      <c r="I21" s="275"/>
    </row>
    <row r="22" spans="2:9" ht="218.25" customHeight="1" x14ac:dyDescent="0.15">
      <c r="B22" s="266" t="s">
        <v>135</v>
      </c>
      <c r="C22" s="267"/>
      <c r="D22" s="268"/>
      <c r="E22" s="269" t="s">
        <v>180</v>
      </c>
      <c r="F22" s="269"/>
      <c r="G22" s="269"/>
      <c r="H22" s="269"/>
      <c r="I22" s="270"/>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2024-02-19T08:20:00Z</cp:lastPrinted>
  <dcterms:created xsi:type="dcterms:W3CDTF">2011-06-14T05:32:50Z</dcterms:created>
  <dcterms:modified xsi:type="dcterms:W3CDTF">2024-05-08T01:40:50Z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