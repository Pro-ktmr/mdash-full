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defaultThemeVersion="124226"/>
  <mc:AlternateContent xmlns:mc="http://schemas.openxmlformats.org/markup-compatibility/2006">
    <mc:Choice Requires="x15">
      <x15ac:absPath xmlns:x15ac="http://schemas.microsoft.com/office/spreadsheetml/2010/11/ac" url="C:\Users\kojima\Desktop\01_埼玉女子短期大学_リテラシー（一式）\"/>
    </mc:Choice>
  </mc:AlternateContent>
  <xr:revisionPtr revIDLastSave="0" documentId="13_ncr:1_{816B27DF-2DBA-4224-8A4F-1A36455ABC4F}" xr6:coauthVersionLast="36" xr6:coauthVersionMax="47" xr10:uidLastSave="{00000000-0000-0000-0000-000000000000}"/>
  <bookViews>
    <workbookView xWindow="-105" yWindow="-105" windowWidth="38625" windowHeight="2110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<sst xmlns="http://schemas.openxmlformats.org/spreadsheetml/2006/main" count="284" uniqueCount="185">
  <si>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</si>
  <si>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</si>
  <si>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</si>
  <si>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</si>
  <si>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</si>
  <si>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</si>
  <si>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</si>
  <si>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</si>
  <si>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</si>
  <si>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</si>
  <si>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</si>
  <si>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</si>
  <si>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</si>
  <si>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</si>
  <si>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</si>
  <si>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</si>
  <si>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</si>
  <si>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</si>
  <si>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</si>
  <si>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</si>
  <si>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</si>
  <si>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</si>
  <si>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</si>
  <si>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</si>
  <si>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</si>
  <si>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</si>
  <si>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</si>
  <si>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</si>
  <si>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</si>
  <si>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</si>
  <si>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</si>
  <si>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</si>
  <si>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</si>
  <si>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</si>
  <si>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</si>
  <si>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</si>
  <si>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</si>
  <si>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</si>
  <si>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</si>
  <si>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</si>
  <si>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</si>
  <si>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</si>
  <si>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</si>
  <si>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</si>
  <si>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</si>
  <si>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</si>
  <si>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</si>
  <si>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</si>
  <si>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</si>
  <si>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</si>
  <si>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</si>
  <si>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</si>
  <si>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</si>
  <si>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</si>
  <si>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</si>
  <si>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</si>
  <si>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</si>
  <si>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</si>
  <si>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</si>
  <si>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</si>
  <si>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</si>
  <si>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</si>
  <si>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</si>
  <si>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</si>
  <si>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</si>
  <si>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</si>
  <si>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</si>
  <si>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</si>
  <si>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</si>
  <si>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</si>
  <si>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</si>
  <si>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</si>
  <si>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</si>
  <si>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</si>
  <si>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</si>
  <si>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</si>
  <si>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</si>
  <si>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</si>
  <si>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</si>
  <si>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</si>
  <si>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</si>
  <si>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</si>
  <si>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</si>
  <si>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</si>
  <si>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</si>
  <si>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</si>
  <si>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</si>
  <si>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</si>
  <si>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</si>
  <si>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</si>
  <si>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</si>
  <si>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</si>
  <si>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</si>
  <si>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</si>
  <si>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</si>
  <si>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</si>
  <si>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</si>
  <si>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</si>
  <si>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</si>
  <si>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</si>
  <si>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</si>
  <si>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</si>
  <si>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</si>
  <si>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</si>
  <si>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</si>
  <si>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</si>
  <si>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</si>
  <si>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</si>
  <si>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</si>
  <si>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</si>
  <si>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</si>
  <si>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</si>
  <si>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</si>
  <si>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</si>
  <si>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</si>
  <si>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</si>
  <si>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</si>
  <si>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</si>
  <si>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</si>
  <si>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</si>
  <si>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</si>
  <si>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</si>
  <si>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</si>
  <si>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</si>
  <si>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</si>
  <si>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</si>
  <si>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</si>
  <si>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</si>
  <si>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</si>
  <si>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</si>
  <si>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</si>
  <si>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</si>
  <si>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</si>
  <si>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</si>
  <si>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埼玉女子短期大学</t>
    <rPh sb="0" eb="8">
      <t>サイタマジョシタンキダイガク</t>
    </rPh>
    <phoneticPr fontId="1"/>
  </si>
  <si>
    <t>学部・学科によって、修了要件は相違しない</t>
  </si>
  <si>
    <t>コンピュータリテラシーB</t>
    <phoneticPr fontId="1"/>
  </si>
  <si>
    <t>○</t>
  </si>
  <si>
    <t>AIと社会</t>
    <rPh sb="3" eb="5">
      <t>シャカイ</t>
    </rPh>
    <phoneticPr fontId="1"/>
  </si>
  <si>
    <t>コンピュータ基礎知識</t>
    <rPh sb="6" eb="10">
      <t>キソチシキ</t>
    </rPh>
    <phoneticPr fontId="1"/>
  </si>
  <si>
    <t>データサイエンス</t>
    <phoneticPr fontId="1"/>
  </si>
  <si>
    <t>・構造化データ、非構造化データ（文章、画像/動画、音声/音楽など）　「AIと社会」（9回目）
・データ作成（ビッグデータとアノテーション）　「AIと社会」（8回目）
・データのオープン化（オープンデータ）　「AIと社会」（11回目）</t>
    <rPh sb="38" eb="40">
      <t>シャカイ</t>
    </rPh>
    <rPh sb="43" eb="45">
      <t>カイメ</t>
    </rPh>
    <rPh sb="74" eb="76">
      <t>シャカイ</t>
    </rPh>
    <rPh sb="79" eb="81">
      <t>カイメ</t>
    </rPh>
    <rPh sb="107" eb="109">
      <t>シャカイ</t>
    </rPh>
    <rPh sb="113" eb="115">
      <t>カイメ</t>
    </rPh>
    <phoneticPr fontId="1"/>
  </si>
  <si>
    <t>・個人情報保護、EU一般データ保護規則(GDPR)、忘れられる権利、オプトアウト　「AIと社会」（14回目）
・データ倫理：データのねつ造、改ざん、盗用、プライバシー保護　「AIと社会」（2、3回目）
・AI社会原則（公平性、説明責任、透明性、人間中心の判断）　「AIと社会」（15回目）
・データ・AI活用における負の事例紹介　「AIと社会」（13回目）</t>
    <rPh sb="45" eb="47">
      <t>シャカイ</t>
    </rPh>
    <rPh sb="51" eb="52">
      <t>カイ</t>
    </rPh>
    <rPh sb="52" eb="53">
      <t>メ</t>
    </rPh>
    <rPh sb="90" eb="92">
      <t>シャカイ</t>
    </rPh>
    <rPh sb="97" eb="98">
      <t>カイ</t>
    </rPh>
    <rPh sb="98" eb="99">
      <t>メ</t>
    </rPh>
    <rPh sb="135" eb="137">
      <t>シャカイ</t>
    </rPh>
    <rPh sb="141" eb="142">
      <t>カイ</t>
    </rPh>
    <rPh sb="142" eb="143">
      <t>メ</t>
    </rPh>
    <rPh sb="169" eb="171">
      <t>シャカイ</t>
    </rPh>
    <rPh sb="175" eb="176">
      <t>カイ</t>
    </rPh>
    <rPh sb="176" eb="177">
      <t>メ</t>
    </rPh>
    <phoneticPr fontId="1"/>
  </si>
  <si>
    <t>・データ・AI活用領域の広がり(生産、消費、文化活動など)　「AIと社会」（6、12回目）
・研究開発、調達、製造、物流、販売、マーケティング、サービスなど　「AIと社会」（11、12回目）</t>
    <rPh sb="34" eb="36">
      <t>シャカイ</t>
    </rPh>
    <rPh sb="42" eb="44">
      <t>カイメ</t>
    </rPh>
    <rPh sb="83" eb="85">
      <t>シャカイ</t>
    </rPh>
    <rPh sb="92" eb="94">
      <t>カイメ</t>
    </rPh>
    <phoneticPr fontId="1"/>
  </si>
  <si>
    <t>令和5</t>
    <rPh sb="0" eb="2">
      <t>レイワ</t>
    </rPh>
    <phoneticPr fontId="1"/>
  </si>
  <si>
    <t>商学科</t>
    <rPh sb="0" eb="3">
      <t>ショウガクカ</t>
    </rPh>
    <phoneticPr fontId="1"/>
  </si>
  <si>
    <t>国際コミュニケーション学科</t>
    <rPh sb="0" eb="2">
      <t>コクサイ</t>
    </rPh>
    <rPh sb="11" eb="13">
      <t>ガッカ</t>
    </rPh>
    <phoneticPr fontId="1"/>
  </si>
  <si>
    <t>・社会における数理・データサイエンス・AIの重要性と活用事例を理解することができる。
・データの特徴を読み解き、事象の背景や意味を理解する力をつけることができる。
・情報化社会における情報倫理に関する知識を身につけることができる。</t>
    <phoneticPr fontId="1"/>
  </si>
  <si>
    <t>自己点検・評価委員会</t>
    <rPh sb="0" eb="4">
      <t>ジコテンケン</t>
    </rPh>
    <rPh sb="5" eb="10">
      <t>ヒョウカイインカイ</t>
    </rPh>
    <phoneticPr fontId="1"/>
  </si>
  <si>
    <t>三ツ木　丈浩</t>
    <rPh sb="0" eb="1">
      <t>ミ</t>
    </rPh>
    <rPh sb="2" eb="3">
      <t>キ</t>
    </rPh>
    <rPh sb="4" eb="6">
      <t>タケヒロ</t>
    </rPh>
    <phoneticPr fontId="1"/>
  </si>
  <si>
    <t>　本学教務委員会において実施している全科目共通の「学生の声」アンケートの結果および、各科目担当者が自身の科目の開始時と終了時に実施している「授業アセスメント」の報告書を分析することにより学修成果を把握することが可能である。また、これらの結果は教授会での報告やFSD研修会においての意見交換をとおして授業改善に結び付けている。</t>
    <rPh sb="1" eb="3">
      <t>ホンガク</t>
    </rPh>
    <rPh sb="3" eb="8">
      <t>キョウムイインカイ</t>
    </rPh>
    <rPh sb="12" eb="14">
      <t>ジッシ</t>
    </rPh>
    <rPh sb="18" eb="21">
      <t>ゼンカモク</t>
    </rPh>
    <rPh sb="21" eb="23">
      <t>キョウツウ</t>
    </rPh>
    <rPh sb="25" eb="27">
      <t>ガクセイ</t>
    </rPh>
    <rPh sb="28" eb="29">
      <t>コエ</t>
    </rPh>
    <rPh sb="36" eb="38">
      <t>ケッカ</t>
    </rPh>
    <rPh sb="42" eb="45">
      <t>カクカモク</t>
    </rPh>
    <rPh sb="45" eb="48">
      <t>タントウシャ</t>
    </rPh>
    <rPh sb="49" eb="51">
      <t>ジシン</t>
    </rPh>
    <rPh sb="52" eb="54">
      <t>カモク</t>
    </rPh>
    <rPh sb="55" eb="58">
      <t>カイシジ</t>
    </rPh>
    <rPh sb="59" eb="62">
      <t>シュウリョウジ</t>
    </rPh>
    <rPh sb="63" eb="65">
      <t>ジッシ</t>
    </rPh>
    <rPh sb="70" eb="72">
      <t>ジュギョウ</t>
    </rPh>
    <rPh sb="80" eb="83">
      <t>ホウコクショ</t>
    </rPh>
    <rPh sb="84" eb="86">
      <t>ブンセキ</t>
    </rPh>
    <rPh sb="98" eb="100">
      <t>ハアク</t>
    </rPh>
    <rPh sb="105" eb="107">
      <t>カノウ</t>
    </rPh>
    <rPh sb="118" eb="120">
      <t>ケッカ</t>
    </rPh>
    <rPh sb="121" eb="124">
      <t>キョウジュカイ</t>
    </rPh>
    <rPh sb="126" eb="128">
      <t>ホウコク</t>
    </rPh>
    <rPh sb="132" eb="135">
      <t>ケンシュウカイ</t>
    </rPh>
    <rPh sb="140" eb="144">
      <t>イケンコウカン</t>
    </rPh>
    <rPh sb="149" eb="153">
      <t>ジュギョウカイゼン</t>
    </rPh>
    <rPh sb="154" eb="155">
      <t>ムス</t>
    </rPh>
    <rPh sb="156" eb="157">
      <t>ツ</t>
    </rPh>
    <phoneticPr fontId="1"/>
  </si>
  <si>
    <t>　「学生の声」アンケートの設問項目として「あなたは、この授業を受けて良かったと思いますか。」を設けている。この項目の平均値は4.25ポイント（満点5ポイント）となっている。これらアンケートの調査結果については、本学HPに「情報の公開」として公表されている。</t>
    <rPh sb="2" eb="4">
      <t>ガクセイ</t>
    </rPh>
    <rPh sb="5" eb="6">
      <t>コエ</t>
    </rPh>
    <rPh sb="13" eb="17">
      <t>セツモンコウモク</t>
    </rPh>
    <rPh sb="47" eb="48">
      <t>モウ</t>
    </rPh>
    <rPh sb="55" eb="57">
      <t>コウモク</t>
    </rPh>
    <rPh sb="58" eb="61">
      <t>ヘイキンチ</t>
    </rPh>
    <rPh sb="71" eb="73">
      <t>マンテン</t>
    </rPh>
    <rPh sb="95" eb="99">
      <t>チョウサケッカ</t>
    </rPh>
    <rPh sb="105" eb="107">
      <t>ホンガク</t>
    </rPh>
    <rPh sb="111" eb="113">
      <t>ジョウホウ</t>
    </rPh>
    <rPh sb="114" eb="116">
      <t>コウカイ</t>
    </rPh>
    <rPh sb="120" eb="122">
      <t>コウヒョウ</t>
    </rPh>
    <phoneticPr fontId="1"/>
  </si>
  <si>
    <t>　本学では自己点検評価活動の一環として、毎年外部の企業および高校を対象にヒアリングを実施している。このヒアリングは本学の教育プログラム全体を対象としており本プログラムのみを対象としたものではないが、このヒアリングにおいて本学における教育プログラム全般のPDCAサイクルは十分に機能していると考えている。</t>
    <rPh sb="1" eb="3">
      <t>ホンガク</t>
    </rPh>
    <rPh sb="5" eb="13">
      <t>ジコテンケンヒョウカカツドウ</t>
    </rPh>
    <rPh sb="14" eb="16">
      <t>イッカン</t>
    </rPh>
    <rPh sb="20" eb="22">
      <t>マイトシ</t>
    </rPh>
    <rPh sb="22" eb="24">
      <t>ガイブ</t>
    </rPh>
    <rPh sb="25" eb="27">
      <t>キギョウ</t>
    </rPh>
    <rPh sb="30" eb="32">
      <t>コウコウ</t>
    </rPh>
    <rPh sb="33" eb="35">
      <t>タイショウ</t>
    </rPh>
    <rPh sb="42" eb="44">
      <t>ジッシ</t>
    </rPh>
    <rPh sb="77" eb="78">
      <t>ホン</t>
    </rPh>
    <rPh sb="86" eb="88">
      <t>タイショウ</t>
    </rPh>
    <rPh sb="110" eb="112">
      <t>ホンガク</t>
    </rPh>
    <rPh sb="116" eb="118">
      <t>キョウイク</t>
    </rPh>
    <rPh sb="123" eb="125">
      <t>ゼンパン</t>
    </rPh>
    <rPh sb="135" eb="137">
      <t>ジュウブン</t>
    </rPh>
    <rPh sb="138" eb="140">
      <t>キノウ</t>
    </rPh>
    <rPh sb="145" eb="146">
      <t>カンガ</t>
    </rPh>
    <phoneticPr fontId="1"/>
  </si>
  <si>
    <t>　「コンピュータリテラシーB」では、実際にエクセルを利用しながらデータを扱っている。その中で、データ分析などの技法を身に付けることを目的としている。「AIと社会」では、身近な社会におけるAIの利活用をテーマとしており、新聞記事を有効的に活用することにより最新の情報を得ることにより理解を深めることができる。「コンピュータ基礎知識」では、コンピュータのハードウェアやソフトウェアの知識からインターネットを始めとしたネットワークの知識まで幅広い知識を得ることができる。これらの知識を資格取得に結びつけることにより目的意識を持たせることができている。「データサイエンス」では、科目全般にわたりさまざまなデータを扱うことにより、データを扱うことの必要性を理解することができる。
　このように、それぞれの科目の特性を生かしつつ、数理・データサイエンス・AIについて「学ぶことの楽しさ」「学ぶことの意義」の理解の向上に努めている。</t>
    <rPh sb="18" eb="20">
      <t>ジッサイ</t>
    </rPh>
    <rPh sb="26" eb="28">
      <t>リヨウ</t>
    </rPh>
    <rPh sb="36" eb="37">
      <t>アツカ</t>
    </rPh>
    <rPh sb="44" eb="45">
      <t>ナカ</t>
    </rPh>
    <rPh sb="50" eb="52">
      <t>ブンセキ</t>
    </rPh>
    <rPh sb="55" eb="57">
      <t>ギホウ</t>
    </rPh>
    <rPh sb="58" eb="59">
      <t>ミ</t>
    </rPh>
    <rPh sb="60" eb="61">
      <t>ツ</t>
    </rPh>
    <rPh sb="66" eb="68">
      <t>モクテキ</t>
    </rPh>
    <rPh sb="78" eb="80">
      <t>シャカイ</t>
    </rPh>
    <rPh sb="84" eb="86">
      <t>ミジカ</t>
    </rPh>
    <rPh sb="87" eb="89">
      <t>シャカイ</t>
    </rPh>
    <rPh sb="96" eb="99">
      <t>リカツヨウ</t>
    </rPh>
    <rPh sb="109" eb="113">
      <t>シンブンキジ</t>
    </rPh>
    <rPh sb="118" eb="120">
      <t>カツヨウ</t>
    </rPh>
    <rPh sb="127" eb="129">
      <t>サイシン</t>
    </rPh>
    <rPh sb="130" eb="132">
      <t>ジョウホウ</t>
    </rPh>
    <rPh sb="133" eb="134">
      <t>エ</t>
    </rPh>
    <rPh sb="140" eb="142">
      <t>リカイ</t>
    </rPh>
    <rPh sb="143" eb="144">
      <t>フカ</t>
    </rPh>
    <rPh sb="160" eb="164">
      <t>キソチシキ</t>
    </rPh>
    <rPh sb="189" eb="191">
      <t>チシキ</t>
    </rPh>
    <rPh sb="201" eb="202">
      <t>ハジ</t>
    </rPh>
    <rPh sb="213" eb="215">
      <t>チシキ</t>
    </rPh>
    <rPh sb="217" eb="219">
      <t>ハバヒロ</t>
    </rPh>
    <rPh sb="220" eb="222">
      <t>チシキ</t>
    </rPh>
    <rPh sb="223" eb="224">
      <t>エ</t>
    </rPh>
    <rPh sb="236" eb="238">
      <t>チシキ</t>
    </rPh>
    <rPh sb="239" eb="243">
      <t>シカクシュトク</t>
    </rPh>
    <rPh sb="244" eb="245">
      <t>ムス</t>
    </rPh>
    <rPh sb="254" eb="258">
      <t>モクテキイシキ</t>
    </rPh>
    <rPh sb="259" eb="260">
      <t>モ</t>
    </rPh>
    <rPh sb="285" eb="289">
      <t>カモクゼンパン</t>
    </rPh>
    <rPh sb="302" eb="303">
      <t>アツカ</t>
    </rPh>
    <rPh sb="314" eb="315">
      <t>アツカ</t>
    </rPh>
    <rPh sb="319" eb="322">
      <t>ヒツヨウセイ</t>
    </rPh>
    <rPh sb="323" eb="325">
      <t>リカイ</t>
    </rPh>
    <rPh sb="347" eb="349">
      <t>カモク</t>
    </rPh>
    <rPh sb="350" eb="352">
      <t>トクセイ</t>
    </rPh>
    <rPh sb="353" eb="354">
      <t>イ</t>
    </rPh>
    <rPh sb="359" eb="361">
      <t>スウリ</t>
    </rPh>
    <rPh sb="378" eb="379">
      <t>マナ</t>
    </rPh>
    <rPh sb="383" eb="384">
      <t>タノ</t>
    </rPh>
    <rPh sb="388" eb="389">
      <t>マナ</t>
    </rPh>
    <rPh sb="393" eb="395">
      <t>イギ</t>
    </rPh>
    <rPh sb="397" eb="399">
      <t>リカイ</t>
    </rPh>
    <rPh sb="400" eb="402">
      <t>コウジョウ</t>
    </rPh>
    <rPh sb="403" eb="404">
      <t>ツト</t>
    </rPh>
    <phoneticPr fontId="1"/>
  </si>
  <si>
    <t>三好 善彦</t>
    <rPh sb="0" eb="2">
      <t>ミヨシ</t>
    </rPh>
    <rPh sb="3" eb="4">
      <t>ゼン</t>
    </rPh>
    <rPh sb="4" eb="5">
      <t>ヒコ</t>
    </rPh>
    <phoneticPr fontId="1"/>
  </si>
  <si>
    <t>商学科長</t>
    <rPh sb="0" eb="4">
      <t>ショウガッカチョウ</t>
    </rPh>
    <phoneticPr fontId="1"/>
  </si>
  <si>
    <t>教学マネジメント委員会</t>
    <rPh sb="0" eb="2">
      <t>キョウガク</t>
    </rPh>
    <rPh sb="8" eb="11">
      <t>イインカイ</t>
    </rPh>
    <phoneticPr fontId="1"/>
  </si>
  <si>
    <t>山田 雅子</t>
    <rPh sb="0" eb="2">
      <t>ヤマダ</t>
    </rPh>
    <rPh sb="3" eb="5">
      <t>マサコ</t>
    </rPh>
    <phoneticPr fontId="1"/>
  </si>
  <si>
    <t>教学マネジメント委員長</t>
    <rPh sb="0" eb="2">
      <t>キョウガク</t>
    </rPh>
    <rPh sb="8" eb="11">
      <t>イインチョウ</t>
    </rPh>
    <phoneticPr fontId="1"/>
  </si>
  <si>
    <t>埼玉女子短期大学教学マネジメント委員会規程</t>
    <rPh sb="0" eb="8">
      <t>サイタマジョシタンキダイガク</t>
    </rPh>
    <rPh sb="8" eb="10">
      <t>キョウガク</t>
    </rPh>
    <rPh sb="16" eb="19">
      <t>イインカイ</t>
    </rPh>
    <rPh sb="19" eb="21">
      <t>キテイ</t>
    </rPh>
    <phoneticPr fontId="1"/>
  </si>
  <si>
    <t>　教学マネジメント委員会は、学位授与、教育課程の編成や実施、入学者受け入れなどの教育方針や施策に関することを審議する特別委員会として令和3(2021）年4月に発足した。
　本体制の特徴は、入学前から卒業後に至るまでをカバーする多様な立場の教職員メンバーによって構成されていることであり（⑦参照）、建学の精神を根幹とする3つのポリシーを軸に、教育の質保証および質向上に資する教育プログラム策定を目的とした横断的会議体となっている。
　令和5（2023）年度には、教育のさらなる質向上を目的に、種々の教学課題に対応した６つのワーキンググループを教学マネジメント委員会の主導で組織し、その一つとして「デジタル人財ワーキンググループ」が「数理・データサイエンス・AI」プログラムの検討に当たった。当該グループは、社会が求める人財の創生を目的としたものであり、社会の急速なデジタル化に対応した人財に必要な知識・スキルを分析するとともに、本学の学生に適した具体的教育方法の検討を進め、本プログラムの検証にも大きく貢献した。</t>
    <rPh sb="1" eb="3">
      <t>キョウガク</t>
    </rPh>
    <rPh sb="9" eb="12">
      <t>イインカイ</t>
    </rPh>
    <rPh sb="54" eb="56">
      <t>シンギ</t>
    </rPh>
    <rPh sb="66" eb="68">
      <t>レイワ</t>
    </rPh>
    <rPh sb="86" eb="87">
      <t>ホン</t>
    </rPh>
    <rPh sb="87" eb="89">
      <t>タイセイ</t>
    </rPh>
    <rPh sb="90" eb="92">
      <t>トクチョウ</t>
    </rPh>
    <rPh sb="94" eb="96">
      <t>ニュウガク</t>
    </rPh>
    <rPh sb="96" eb="97">
      <t>マエ</t>
    </rPh>
    <rPh sb="99" eb="101">
      <t>ソツギョウ</t>
    </rPh>
    <rPh sb="101" eb="102">
      <t>ゴ</t>
    </rPh>
    <rPh sb="103" eb="104">
      <t>イタ</t>
    </rPh>
    <rPh sb="113" eb="115">
      <t>タヨウ</t>
    </rPh>
    <rPh sb="116" eb="118">
      <t>タチバ</t>
    </rPh>
    <rPh sb="119" eb="122">
      <t>キョウショクイン</t>
    </rPh>
    <rPh sb="130" eb="132">
      <t>コウセイ</t>
    </rPh>
    <rPh sb="144" eb="146">
      <t>サンショウ</t>
    </rPh>
    <rPh sb="148" eb="150">
      <t>ケンガク</t>
    </rPh>
    <rPh sb="151" eb="153">
      <t>セイシン</t>
    </rPh>
    <rPh sb="154" eb="156">
      <t>コンカン</t>
    </rPh>
    <rPh sb="167" eb="168">
      <t>ジク</t>
    </rPh>
    <rPh sb="170" eb="172">
      <t>キョウイク</t>
    </rPh>
    <rPh sb="183" eb="184">
      <t>シ</t>
    </rPh>
    <rPh sb="186" eb="188">
      <t>キョウイク</t>
    </rPh>
    <rPh sb="193" eb="195">
      <t>サクテイ</t>
    </rPh>
    <rPh sb="196" eb="198">
      <t>モクテキ</t>
    </rPh>
    <rPh sb="201" eb="204">
      <t>オウダンテキ</t>
    </rPh>
    <rPh sb="204" eb="207">
      <t>カイギタイ</t>
    </rPh>
    <rPh sb="230" eb="232">
      <t>キョウイク</t>
    </rPh>
    <rPh sb="237" eb="240">
      <t>シツコウジョウ</t>
    </rPh>
    <rPh sb="241" eb="243">
      <t>モクテキ</t>
    </rPh>
    <rPh sb="245" eb="247">
      <t>シュジュ</t>
    </rPh>
    <rPh sb="248" eb="250">
      <t>キョウガク</t>
    </rPh>
    <rPh sb="250" eb="252">
      <t>カダイ</t>
    </rPh>
    <rPh sb="253" eb="255">
      <t>タイオウ</t>
    </rPh>
    <rPh sb="285" eb="287">
      <t>ソシキ</t>
    </rPh>
    <rPh sb="291" eb="292">
      <t>ヒト</t>
    </rPh>
    <rPh sb="301" eb="303">
      <t>ジンザイ</t>
    </rPh>
    <rPh sb="315" eb="317">
      <t>スウリ</t>
    </rPh>
    <rPh sb="336" eb="338">
      <t>ケントウ</t>
    </rPh>
    <rPh sb="339" eb="340">
      <t>ア</t>
    </rPh>
    <rPh sb="344" eb="346">
      <t>トウガイ</t>
    </rPh>
    <rPh sb="352" eb="354">
      <t>シャカイ</t>
    </rPh>
    <rPh sb="355" eb="356">
      <t>モト</t>
    </rPh>
    <rPh sb="358" eb="360">
      <t>ジンザイ</t>
    </rPh>
    <rPh sb="361" eb="363">
      <t>ソウセイ</t>
    </rPh>
    <rPh sb="364" eb="366">
      <t>モクテキ</t>
    </rPh>
    <rPh sb="397" eb="399">
      <t>チシキ</t>
    </rPh>
    <rPh sb="404" eb="406">
      <t>ブンセキ</t>
    </rPh>
    <rPh sb="413" eb="415">
      <t>ホンガク</t>
    </rPh>
    <rPh sb="416" eb="418">
      <t>ガクセイ</t>
    </rPh>
    <rPh sb="419" eb="420">
      <t>テキ</t>
    </rPh>
    <rPh sb="422" eb="425">
      <t>グタイテキ</t>
    </rPh>
    <rPh sb="425" eb="427">
      <t>キョウイク</t>
    </rPh>
    <rPh sb="427" eb="429">
      <t>ホウホウ</t>
    </rPh>
    <rPh sb="430" eb="432">
      <t>ケントウ</t>
    </rPh>
    <rPh sb="433" eb="434">
      <t>スス</t>
    </rPh>
    <rPh sb="436" eb="437">
      <t>ホン</t>
    </rPh>
    <rPh sb="443" eb="445">
      <t>ケンショウ</t>
    </rPh>
    <rPh sb="447" eb="448">
      <t>オオ</t>
    </rPh>
    <rPh sb="450" eb="452">
      <t>コウケン</t>
    </rPh>
    <phoneticPr fontId="1"/>
  </si>
  <si>
    <t>　令和5（2023）年度の教学マネジメント委員会は、山田雅子（教学マネジメント委員長、副学長、商学科教授）、桾沢栄一（学長、商学科教授）、三好善彦（商学科長、IR推進室長、商学科教授）、三ツ木丈浩（国際コミュニケーション学科長、自己点検・評価委員長、国際コミュニケーション学科教授）、山畑淳子（教務委員長、国際コミュニケーション学科教授）、白石晴美（キャリアサポート委員長、商学科准教授）、岸彩子（募集・入試委員長、国際コミュニケーション学科教授）、金丸雅樹（事務局長）、飯塚文雄（総務課長）、大澤隆洋（学務課長）、山田敦（キャリアサポートセンター長）、金子美和（広報室長）、計12名によって構成された。
　また、教学上の課題に対するタスクフォースとして編成した「デジタル人財ワーキンググループ」は、三好善彦（本プログラム運営責任者、商学科長、IR推進室長、本プログラム関連科目担当者）、小林奨（商学科助教）、児嶋智美（学務課職員）がメンバーとなり、問題の抽出や具体的な改善策の提案、行動計画の策定を担当した。</t>
    <rPh sb="1" eb="3">
      <t>レイワ</t>
    </rPh>
    <rPh sb="10" eb="12">
      <t>ネンド</t>
    </rPh>
    <rPh sb="13" eb="15">
      <t>キョウガク</t>
    </rPh>
    <rPh sb="21" eb="24">
      <t>イインカイ</t>
    </rPh>
    <rPh sb="26" eb="30">
      <t>ヤマダマサコ</t>
    </rPh>
    <rPh sb="31" eb="33">
      <t>キョウガク</t>
    </rPh>
    <rPh sb="39" eb="42">
      <t>イインチョウ</t>
    </rPh>
    <rPh sb="43" eb="46">
      <t>フクガクチョウ</t>
    </rPh>
    <rPh sb="47" eb="50">
      <t>ショウガクカ</t>
    </rPh>
    <rPh sb="50" eb="52">
      <t>キョウジュ</t>
    </rPh>
    <rPh sb="54" eb="56">
      <t>グミサワ</t>
    </rPh>
    <rPh sb="56" eb="58">
      <t>エイイチ</t>
    </rPh>
    <rPh sb="59" eb="61">
      <t>ガクチョウ</t>
    </rPh>
    <rPh sb="62" eb="65">
      <t>ショウガクカ</t>
    </rPh>
    <rPh sb="65" eb="67">
      <t>キョウジュ</t>
    </rPh>
    <rPh sb="69" eb="71">
      <t>ミヨシ</t>
    </rPh>
    <rPh sb="71" eb="72">
      <t>ゼン</t>
    </rPh>
    <rPh sb="72" eb="73">
      <t>ヒコ</t>
    </rPh>
    <rPh sb="74" eb="77">
      <t>ショウガクカ</t>
    </rPh>
    <rPh sb="77" eb="78">
      <t>チョウ</t>
    </rPh>
    <rPh sb="81" eb="84">
      <t>スイシンシツ</t>
    </rPh>
    <rPh sb="84" eb="85">
      <t>チョウ</t>
    </rPh>
    <rPh sb="86" eb="89">
      <t>ショウガッカ</t>
    </rPh>
    <rPh sb="89" eb="91">
      <t>キョウジュ</t>
    </rPh>
    <rPh sb="93" eb="94">
      <t>ミ</t>
    </rPh>
    <rPh sb="95" eb="96">
      <t>ギ</t>
    </rPh>
    <rPh sb="96" eb="97">
      <t>タケ</t>
    </rPh>
    <rPh sb="97" eb="98">
      <t>ヒロ</t>
    </rPh>
    <rPh sb="99" eb="101">
      <t>コクサイ</t>
    </rPh>
    <rPh sb="110" eb="112">
      <t>ガッカ</t>
    </rPh>
    <rPh sb="112" eb="113">
      <t>チョウ</t>
    </rPh>
    <rPh sb="114" eb="118">
      <t>ジコテンケン</t>
    </rPh>
    <rPh sb="119" eb="121">
      <t>ヒョウカ</t>
    </rPh>
    <rPh sb="121" eb="124">
      <t>イインチョウ</t>
    </rPh>
    <rPh sb="125" eb="127">
      <t>コクサイ</t>
    </rPh>
    <rPh sb="136" eb="138">
      <t>ガッカ</t>
    </rPh>
    <rPh sb="138" eb="140">
      <t>キョウジュ</t>
    </rPh>
    <rPh sb="142" eb="144">
      <t>ヤマハタ</t>
    </rPh>
    <rPh sb="144" eb="146">
      <t>ジュンコ</t>
    </rPh>
    <rPh sb="147" eb="152">
      <t>キョウムイインチョウ</t>
    </rPh>
    <rPh sb="153" eb="155">
      <t>コクサイ</t>
    </rPh>
    <rPh sb="164" eb="166">
      <t>ガッカ</t>
    </rPh>
    <rPh sb="166" eb="168">
      <t>キョウジュ</t>
    </rPh>
    <rPh sb="170" eb="172">
      <t>シライシ</t>
    </rPh>
    <rPh sb="172" eb="174">
      <t>ハルミ</t>
    </rPh>
    <rPh sb="183" eb="186">
      <t>イインチョウ</t>
    </rPh>
    <rPh sb="187" eb="190">
      <t>ショウガッカ</t>
    </rPh>
    <rPh sb="190" eb="193">
      <t>ジュンキョウジュ</t>
    </rPh>
    <rPh sb="195" eb="196">
      <t>キシ</t>
    </rPh>
    <rPh sb="196" eb="198">
      <t>アヤコ</t>
    </rPh>
    <rPh sb="199" eb="201">
      <t>ボシュウ</t>
    </rPh>
    <rPh sb="202" eb="204">
      <t>ニュウシ</t>
    </rPh>
    <rPh sb="204" eb="207">
      <t>イインチョウ</t>
    </rPh>
    <rPh sb="208" eb="210">
      <t>コクサイ</t>
    </rPh>
    <rPh sb="219" eb="223">
      <t>ガッカキョウジュ</t>
    </rPh>
    <rPh sb="225" eb="227">
      <t>カナマル</t>
    </rPh>
    <rPh sb="227" eb="229">
      <t>マサキ</t>
    </rPh>
    <rPh sb="230" eb="234">
      <t>ジムキョクチョウ</t>
    </rPh>
    <rPh sb="236" eb="238">
      <t>イイヅカ</t>
    </rPh>
    <rPh sb="238" eb="240">
      <t>フミオ</t>
    </rPh>
    <rPh sb="241" eb="245">
      <t>ソウムカチョウ</t>
    </rPh>
    <rPh sb="247" eb="249">
      <t>オオサワ</t>
    </rPh>
    <rPh sb="288" eb="289">
      <t>ケイ</t>
    </rPh>
    <rPh sb="291" eb="292">
      <t>メイ</t>
    </rPh>
    <rPh sb="296" eb="298">
      <t>コウセイ</t>
    </rPh>
    <rPh sb="307" eb="309">
      <t>キョウガク</t>
    </rPh>
    <rPh sb="309" eb="310">
      <t>ジョウ</t>
    </rPh>
    <rPh sb="311" eb="313">
      <t>カダイ</t>
    </rPh>
    <rPh sb="314" eb="315">
      <t>タイ</t>
    </rPh>
    <rPh sb="327" eb="329">
      <t>ヘンセイ</t>
    </rPh>
    <rPh sb="336" eb="338">
      <t>ジンザイ</t>
    </rPh>
    <rPh sb="350" eb="352">
      <t>ミヨシ</t>
    </rPh>
    <rPh sb="352" eb="353">
      <t>ゼン</t>
    </rPh>
    <rPh sb="353" eb="354">
      <t>ヒコ</t>
    </rPh>
    <rPh sb="355" eb="356">
      <t>ホン</t>
    </rPh>
    <rPh sb="361" eb="363">
      <t>ウンエイ</t>
    </rPh>
    <rPh sb="363" eb="366">
      <t>セキニンシャ</t>
    </rPh>
    <rPh sb="367" eb="370">
      <t>ショウガクカ</t>
    </rPh>
    <rPh sb="370" eb="371">
      <t>チョウ</t>
    </rPh>
    <rPh sb="374" eb="378">
      <t>スイシンシツチョウ</t>
    </rPh>
    <rPh sb="379" eb="380">
      <t>ホン</t>
    </rPh>
    <rPh sb="385" eb="387">
      <t>カンレン</t>
    </rPh>
    <rPh sb="387" eb="389">
      <t>カモク</t>
    </rPh>
    <rPh sb="389" eb="392">
      <t>タントウシャ</t>
    </rPh>
    <rPh sb="394" eb="396">
      <t>コバヤシ</t>
    </rPh>
    <rPh sb="425" eb="427">
      <t>モンダイ</t>
    </rPh>
    <rPh sb="428" eb="430">
      <t>チュウシュツ</t>
    </rPh>
    <rPh sb="431" eb="434">
      <t>グタイテキ</t>
    </rPh>
    <rPh sb="435" eb="437">
      <t>カイゼン</t>
    </rPh>
    <rPh sb="437" eb="438">
      <t>サク</t>
    </rPh>
    <rPh sb="439" eb="441">
      <t>テイアン</t>
    </rPh>
    <rPh sb="442" eb="444">
      <t>コウドウ</t>
    </rPh>
    <rPh sb="444" eb="446">
      <t>ケイカク</t>
    </rPh>
    <rPh sb="447" eb="449">
      <t>サクテイ</t>
    </rPh>
    <rPh sb="450" eb="452">
      <t>タントウ</t>
    </rPh>
    <phoneticPr fontId="1"/>
  </si>
  <si>
    <r>
      <t>　本プログラムをスタートさせた令和5（2023）年度は、上記の通り、低い履修者数・履修率にとどまった。次のような計画により、履修者数・履修率の段階的な向上を目指す。
1）オリエンテーションおよび履修指導での周知強化（令和6年度より）
2）学生用「履修ガイド」への掲載によるプログラム認知度向上（令和7年度より）
3）学生用「学生ハンドブック」への掲載によるプログラム認知度向上（令和7年度より）
4）必修科目「基礎ゼミ」におけるゼミ担当教員からの履修指導の強化（令和6年度より）
5）学生用ポータルサイト「SAIJOポータル」内基礎ゼミ掲示板の活用強化（令和6年度より）
6）公式ホームページでの告知による入学前からのプログラム認知度向上（令和6年度より）
7）「コンピュータ基礎知識」の選択必修化</t>
    </r>
    <r>
      <rPr>
        <sz val="12"/>
        <rFont val="ＭＳ Ｐゴシック"/>
        <family val="3"/>
        <charset val="128"/>
        <scheme val="minor"/>
      </rPr>
      <t>（商学科情報科目群内）（令和7年度に向け検討）</t>
    </r>
    <r>
      <rPr>
        <sz val="12"/>
        <color theme="1"/>
        <rFont val="ＭＳ Ｐゴシック"/>
        <family val="3"/>
        <charset val="128"/>
        <scheme val="minor"/>
      </rPr>
      <t xml:space="preserve">
</t>
    </r>
    <rPh sb="1" eb="2">
      <t>ホン</t>
    </rPh>
    <rPh sb="106" eb="108">
      <t>キョウカ</t>
    </rPh>
    <rPh sb="109" eb="111">
      <t>レイワ</t>
    </rPh>
    <rPh sb="112" eb="113">
      <t>ネン</t>
    </rPh>
    <rPh sb="113" eb="114">
      <t>ド</t>
    </rPh>
    <rPh sb="120" eb="122">
      <t>ガクセイ</t>
    </rPh>
    <rPh sb="122" eb="123">
      <t>ヨウ</t>
    </rPh>
    <rPh sb="148" eb="150">
      <t>レイワ</t>
    </rPh>
    <rPh sb="151" eb="152">
      <t>ネン</t>
    </rPh>
    <rPh sb="152" eb="153">
      <t>ド</t>
    </rPh>
    <rPh sb="159" eb="161">
      <t>ガクセイ</t>
    </rPh>
    <rPh sb="161" eb="162">
      <t>ヨウ</t>
    </rPh>
    <rPh sb="190" eb="192">
      <t>レイワ</t>
    </rPh>
    <rPh sb="193" eb="194">
      <t>ネン</t>
    </rPh>
    <rPh sb="194" eb="195">
      <t>ド</t>
    </rPh>
    <rPh sb="232" eb="234">
      <t>レイワ</t>
    </rPh>
    <rPh sb="235" eb="236">
      <t>ネン</t>
    </rPh>
    <rPh sb="236" eb="237">
      <t>ド</t>
    </rPh>
    <rPh sb="243" eb="245">
      <t>ガクセイ</t>
    </rPh>
    <rPh sb="245" eb="246">
      <t>ヨウ</t>
    </rPh>
    <rPh sb="264" eb="265">
      <t>ナイ</t>
    </rPh>
    <rPh sb="265" eb="267">
      <t>キソ</t>
    </rPh>
    <rPh sb="269" eb="272">
      <t>ケイジバン</t>
    </rPh>
    <rPh sb="273" eb="275">
      <t>カツヨウ</t>
    </rPh>
    <rPh sb="275" eb="277">
      <t>キョウカ</t>
    </rPh>
    <rPh sb="278" eb="280">
      <t>レイワ</t>
    </rPh>
    <rPh sb="281" eb="283">
      <t>ネンド</t>
    </rPh>
    <rPh sb="321" eb="323">
      <t>レイワ</t>
    </rPh>
    <rPh sb="324" eb="325">
      <t>ネン</t>
    </rPh>
    <rPh sb="325" eb="326">
      <t>ド</t>
    </rPh>
    <rPh sb="339" eb="343">
      <t>キソチシキ</t>
    </rPh>
    <rPh sb="345" eb="350">
      <t>センタクヒッシュウカ</t>
    </rPh>
    <rPh sb="351" eb="354">
      <t>ショウガクカ</t>
    </rPh>
    <rPh sb="354" eb="356">
      <t>ジョウホウ</t>
    </rPh>
    <rPh sb="358" eb="359">
      <t>グン</t>
    </rPh>
    <rPh sb="359" eb="360">
      <t>ナイ</t>
    </rPh>
    <rPh sb="362" eb="364">
      <t>レイワ</t>
    </rPh>
    <rPh sb="365" eb="366">
      <t>ネン</t>
    </rPh>
    <rPh sb="366" eb="367">
      <t>ド</t>
    </rPh>
    <rPh sb="368" eb="369">
      <t>ム</t>
    </rPh>
    <rPh sb="370" eb="372">
      <t>ケントウ</t>
    </rPh>
    <phoneticPr fontId="1"/>
  </si>
  <si>
    <r>
      <t>　本プログラムの構成科目である「コンピュータリテラシーB」は、パソコン室のコンピュータを使用する科目であるため40名の定員を設けているが、1学年全員が履修できるクラス数を確保し、学部・学科に関係なく希望する学生全員が受講できるように体制を整えている。他の「AIと社会」「コンピュータ基礎知識」に定員設定はなく、希望者全員が受講可能となっている。
　また、「コンピュータ基礎知識」は商学科の</t>
    </r>
    <r>
      <rPr>
        <sz val="12"/>
        <rFont val="ＭＳ Ｐゴシック"/>
        <family val="3"/>
        <charset val="128"/>
        <scheme val="minor"/>
      </rPr>
      <t>情報科目であるため、</t>
    </r>
    <r>
      <rPr>
        <sz val="12"/>
        <color theme="1"/>
        <rFont val="ＭＳ Ｐゴシック"/>
        <family val="3"/>
        <charset val="128"/>
        <scheme val="minor"/>
      </rPr>
      <t>国際コミュニケーション学科の学生が履修した場合には他学科科目として履修することになる。しかし、他学科科目の2単位以上の修得を卒業要件とする制度をとっており、かつ14単位までの他学科履修は卒業単位として認めている。これらの制度により、所属学科に関係なく、希望すれば本プログラム科目の履修が全面的に叶うようになっている。</t>
    </r>
    <rPh sb="1" eb="2">
      <t>ホン</t>
    </rPh>
    <rPh sb="8" eb="10">
      <t>コウセイ</t>
    </rPh>
    <rPh sb="10" eb="12">
      <t>カモク</t>
    </rPh>
    <rPh sb="35" eb="36">
      <t>シツ</t>
    </rPh>
    <rPh sb="44" eb="46">
      <t>シヨウ</t>
    </rPh>
    <rPh sb="48" eb="50">
      <t>カモク</t>
    </rPh>
    <rPh sb="57" eb="58">
      <t>メイ</t>
    </rPh>
    <rPh sb="59" eb="61">
      <t>テイイン</t>
    </rPh>
    <rPh sb="62" eb="63">
      <t>モウ</t>
    </rPh>
    <rPh sb="70" eb="72">
      <t>ガクネン</t>
    </rPh>
    <rPh sb="72" eb="74">
      <t>ゼンイン</t>
    </rPh>
    <rPh sb="75" eb="77">
      <t>リシュウ</t>
    </rPh>
    <rPh sb="83" eb="84">
      <t>スウ</t>
    </rPh>
    <rPh sb="85" eb="87">
      <t>カクホ</t>
    </rPh>
    <rPh sb="89" eb="91">
      <t>ガクブ</t>
    </rPh>
    <rPh sb="92" eb="94">
      <t>ガッカ</t>
    </rPh>
    <rPh sb="95" eb="97">
      <t>カンケイ</t>
    </rPh>
    <rPh sb="99" eb="101">
      <t>キボウ</t>
    </rPh>
    <rPh sb="103" eb="105">
      <t>ガクセイ</t>
    </rPh>
    <rPh sb="105" eb="107">
      <t>ゼンイン</t>
    </rPh>
    <rPh sb="108" eb="110">
      <t>ジュコウ</t>
    </rPh>
    <rPh sb="116" eb="118">
      <t>タイセイ</t>
    </rPh>
    <rPh sb="119" eb="120">
      <t>トトノ</t>
    </rPh>
    <rPh sb="125" eb="126">
      <t>タ</t>
    </rPh>
    <rPh sb="131" eb="133">
      <t>シャカイ</t>
    </rPh>
    <rPh sb="141" eb="145">
      <t>キソチシキ</t>
    </rPh>
    <rPh sb="147" eb="149">
      <t>テイイン</t>
    </rPh>
    <rPh sb="149" eb="151">
      <t>セッテイ</t>
    </rPh>
    <rPh sb="155" eb="158">
      <t>キボウシャ</t>
    </rPh>
    <rPh sb="158" eb="160">
      <t>ゼンイン</t>
    </rPh>
    <rPh sb="161" eb="163">
      <t>ジュコウ</t>
    </rPh>
    <rPh sb="163" eb="165">
      <t>カノウ</t>
    </rPh>
    <rPh sb="184" eb="188">
      <t>キソチシキ</t>
    </rPh>
    <rPh sb="190" eb="193">
      <t>ショウガクカ</t>
    </rPh>
    <rPh sb="194" eb="196">
      <t>ジョウホウ</t>
    </rPh>
    <rPh sb="196" eb="198">
      <t>カモク</t>
    </rPh>
    <rPh sb="204" eb="206">
      <t>コクサイ</t>
    </rPh>
    <rPh sb="215" eb="217">
      <t>ガッカ</t>
    </rPh>
    <rPh sb="218" eb="220">
      <t>ガクセイ</t>
    </rPh>
    <rPh sb="251" eb="254">
      <t>タガッカ</t>
    </rPh>
    <rPh sb="254" eb="256">
      <t>カモク</t>
    </rPh>
    <rPh sb="258" eb="260">
      <t>タンイ</t>
    </rPh>
    <rPh sb="260" eb="262">
      <t>イジョウ</t>
    </rPh>
    <rPh sb="263" eb="265">
      <t>シュウトク</t>
    </rPh>
    <rPh sb="266" eb="268">
      <t>ソツギョウ</t>
    </rPh>
    <rPh sb="268" eb="270">
      <t>ヨウケン</t>
    </rPh>
    <rPh sb="273" eb="275">
      <t>セイド</t>
    </rPh>
    <rPh sb="286" eb="288">
      <t>タンイ</t>
    </rPh>
    <rPh sb="291" eb="294">
      <t>タガッカ</t>
    </rPh>
    <rPh sb="294" eb="296">
      <t>リシュウ</t>
    </rPh>
    <rPh sb="297" eb="301">
      <t>ソツギョウタンイ</t>
    </rPh>
    <rPh sb="304" eb="305">
      <t>ミト</t>
    </rPh>
    <rPh sb="314" eb="316">
      <t>セイド</t>
    </rPh>
    <rPh sb="320" eb="322">
      <t>ショゾク</t>
    </rPh>
    <rPh sb="322" eb="324">
      <t>ガッカ</t>
    </rPh>
    <rPh sb="325" eb="327">
      <t>カンケイ</t>
    </rPh>
    <rPh sb="330" eb="332">
      <t>キボウ</t>
    </rPh>
    <rPh sb="335" eb="336">
      <t>ホン</t>
    </rPh>
    <rPh sb="341" eb="343">
      <t>カモク</t>
    </rPh>
    <rPh sb="344" eb="346">
      <t>リシュウ</t>
    </rPh>
    <rPh sb="347" eb="350">
      <t>ゼンメンテキ</t>
    </rPh>
    <rPh sb="351" eb="352">
      <t>カナ</t>
    </rPh>
    <phoneticPr fontId="1"/>
  </si>
  <si>
    <t>　本プログラムの周知方法としては、履修指導を含む新年度オリエンテーションでの紹介、週に１回必修科目「基礎ゼミ」における情報提供、学生が使用するポータルサイト「SAIJOポータル」における掲示板での情報提示が挙げられる。令和5（2023）年度の段階では、冊子等の紙面での情報提供が不十分であったため、学生に配布する「学生ハンドブック」「履修ガイド」への記載により、令和6（2024）年度以降、周知を一層強化する計画である。
　また、本プログラムの構成科目である「コンピュータリテラシーB」（キャリア基礎科目）と「AIと社会」（デジタル社会基礎教育科目）はいずれも各科目群の枠が選択必修となっているため、学生からの注目度が高く、履修促進にも繋がっている。今一つの構成科目である「コンピュータ基礎知識」（商学科情報科目）は令和6（2024）年度においても専門選択科目の扱いであるため、少なくとも選択必修とすることで、より多くの学生が履修できる体制の整備を予定している。
　</t>
    <rPh sb="1" eb="2">
      <t>ホン</t>
    </rPh>
    <rPh sb="8" eb="10">
      <t>シュウチ</t>
    </rPh>
    <rPh sb="10" eb="12">
      <t>ホウホウ</t>
    </rPh>
    <rPh sb="17" eb="19">
      <t>リシュウ</t>
    </rPh>
    <rPh sb="19" eb="21">
      <t>シドウ</t>
    </rPh>
    <rPh sb="22" eb="23">
      <t>フク</t>
    </rPh>
    <rPh sb="24" eb="27">
      <t>シンネンド</t>
    </rPh>
    <rPh sb="38" eb="40">
      <t>ショウカイ</t>
    </rPh>
    <rPh sb="41" eb="42">
      <t>シュウ</t>
    </rPh>
    <rPh sb="44" eb="45">
      <t>カイ</t>
    </rPh>
    <rPh sb="45" eb="47">
      <t>ヒッシュウ</t>
    </rPh>
    <rPh sb="47" eb="49">
      <t>カモク</t>
    </rPh>
    <rPh sb="50" eb="52">
      <t>キソ</t>
    </rPh>
    <rPh sb="59" eb="61">
      <t>ジョウホウ</t>
    </rPh>
    <rPh sb="61" eb="63">
      <t>テイキョウ</t>
    </rPh>
    <rPh sb="64" eb="66">
      <t>ガクセイ</t>
    </rPh>
    <rPh sb="67" eb="69">
      <t>シヨウ</t>
    </rPh>
    <rPh sb="93" eb="96">
      <t>ケイジバン</t>
    </rPh>
    <rPh sb="98" eb="100">
      <t>ジョウホウ</t>
    </rPh>
    <rPh sb="100" eb="102">
      <t>テイジ</t>
    </rPh>
    <rPh sb="103" eb="104">
      <t>ア</t>
    </rPh>
    <rPh sb="109" eb="111">
      <t>レイワ</t>
    </rPh>
    <rPh sb="118" eb="120">
      <t>ネンド</t>
    </rPh>
    <rPh sb="121" eb="123">
      <t>ダンカイ</t>
    </rPh>
    <rPh sb="126" eb="128">
      <t>サッシ</t>
    </rPh>
    <rPh sb="128" eb="129">
      <t>トウ</t>
    </rPh>
    <rPh sb="130" eb="132">
      <t>シメン</t>
    </rPh>
    <rPh sb="134" eb="136">
      <t>ジョウホウ</t>
    </rPh>
    <rPh sb="136" eb="138">
      <t>テイキョウ</t>
    </rPh>
    <rPh sb="139" eb="142">
      <t>フジュウブン</t>
    </rPh>
    <rPh sb="149" eb="151">
      <t>ガクセイ</t>
    </rPh>
    <rPh sb="152" eb="154">
      <t>ハイフ</t>
    </rPh>
    <rPh sb="157" eb="159">
      <t>ガクセイ</t>
    </rPh>
    <rPh sb="167" eb="169">
      <t>リシュウ</t>
    </rPh>
    <rPh sb="175" eb="177">
      <t>キサイ</t>
    </rPh>
    <rPh sb="181" eb="183">
      <t>レイワ</t>
    </rPh>
    <rPh sb="190" eb="192">
      <t>ネンド</t>
    </rPh>
    <rPh sb="192" eb="194">
      <t>イコウ</t>
    </rPh>
    <rPh sb="195" eb="197">
      <t>シュウチ</t>
    </rPh>
    <rPh sb="198" eb="200">
      <t>イッソウ</t>
    </rPh>
    <rPh sb="200" eb="202">
      <t>キョウカ</t>
    </rPh>
    <rPh sb="204" eb="206">
      <t>ケイカク</t>
    </rPh>
    <rPh sb="300" eb="302">
      <t>ガクセイ</t>
    </rPh>
    <rPh sb="305" eb="308">
      <t>チュウモクド</t>
    </rPh>
    <rPh sb="309" eb="310">
      <t>タカ</t>
    </rPh>
    <rPh sb="318" eb="319">
      <t>ツナ</t>
    </rPh>
    <rPh sb="325" eb="327">
      <t>イマヒト</t>
    </rPh>
    <rPh sb="329" eb="331">
      <t>コウセイ</t>
    </rPh>
    <rPh sb="331" eb="333">
      <t>カモク</t>
    </rPh>
    <rPh sb="343" eb="347">
      <t>キソチシキ</t>
    </rPh>
    <rPh sb="349" eb="352">
      <t>ショウガクカ</t>
    </rPh>
    <rPh sb="352" eb="354">
      <t>ジョウホウ</t>
    </rPh>
    <rPh sb="354" eb="356">
      <t>カモク</t>
    </rPh>
    <rPh sb="358" eb="360">
      <t>レイワ</t>
    </rPh>
    <rPh sb="367" eb="369">
      <t>ネンド</t>
    </rPh>
    <rPh sb="374" eb="376">
      <t>センモン</t>
    </rPh>
    <rPh sb="376" eb="378">
      <t>センタク</t>
    </rPh>
    <rPh sb="378" eb="380">
      <t>カモク</t>
    </rPh>
    <rPh sb="381" eb="382">
      <t>アツカ</t>
    </rPh>
    <rPh sb="389" eb="390">
      <t>スク</t>
    </rPh>
    <rPh sb="394" eb="398">
      <t>センタクヒッシュウ</t>
    </rPh>
    <rPh sb="407" eb="408">
      <t>オオ</t>
    </rPh>
    <rPh sb="410" eb="412">
      <t>ガクセイ</t>
    </rPh>
    <rPh sb="413" eb="415">
      <t>リシュウ</t>
    </rPh>
    <rPh sb="418" eb="420">
      <t>タイセイ</t>
    </rPh>
    <rPh sb="421" eb="423">
      <t>セイビ</t>
    </rPh>
    <rPh sb="424" eb="426">
      <t>ヨテイ</t>
    </rPh>
    <phoneticPr fontId="1"/>
  </si>
  <si>
    <t xml:space="preserve">　多くの学生が履修し、かつ修得できるよう、本学ではLMS（WebClass）を活用している。
　講義資料をLMS上で公開し、対面授業の出欠に関わらずいつでも確認できるようにしている他、LMSを通じた質問も気軽にできるようになっており、担当教員からの迅速な返答によって、理解度向上と共に、修得を目指すモチベーションを上げることにも成功している。
　また、授業の中盤（第7～8回目）に授業アンケートを行い、学生の率直な授業評価を得る機会も確保している。これにより各科目に対する履修者の熱意や理解度、要望、不満を把握し、学生に対して丁寧にフィードバック・フォローすることで修得離脱者が出ないようサポートすることができている。
</t>
    <rPh sb="1" eb="2">
      <t>オオ</t>
    </rPh>
    <rPh sb="4" eb="6">
      <t>ガクセイ</t>
    </rPh>
    <rPh sb="7" eb="9">
      <t>リシュウ</t>
    </rPh>
    <rPh sb="13" eb="15">
      <t>シュウトク</t>
    </rPh>
    <rPh sb="21" eb="23">
      <t>ホンガク</t>
    </rPh>
    <rPh sb="39" eb="41">
      <t>カツヨウ</t>
    </rPh>
    <rPh sb="48" eb="50">
      <t>コウギ</t>
    </rPh>
    <rPh sb="50" eb="52">
      <t>シリョウ</t>
    </rPh>
    <rPh sb="56" eb="57">
      <t>ジョウ</t>
    </rPh>
    <rPh sb="58" eb="60">
      <t>コウカイ</t>
    </rPh>
    <rPh sb="62" eb="64">
      <t>タイメン</t>
    </rPh>
    <rPh sb="64" eb="66">
      <t>ジュギョウ</t>
    </rPh>
    <rPh sb="67" eb="69">
      <t>シュッケツ</t>
    </rPh>
    <rPh sb="70" eb="71">
      <t>カカ</t>
    </rPh>
    <rPh sb="78" eb="80">
      <t>カクニン</t>
    </rPh>
    <rPh sb="90" eb="91">
      <t>ホカ</t>
    </rPh>
    <rPh sb="96" eb="97">
      <t>ツウ</t>
    </rPh>
    <rPh sb="99" eb="101">
      <t>シツモン</t>
    </rPh>
    <rPh sb="102" eb="104">
      <t>キガル</t>
    </rPh>
    <rPh sb="117" eb="119">
      <t>タントウ</t>
    </rPh>
    <rPh sb="119" eb="121">
      <t>キョウイン</t>
    </rPh>
    <rPh sb="124" eb="126">
      <t>ジンソク</t>
    </rPh>
    <rPh sb="127" eb="129">
      <t>ヘントウ</t>
    </rPh>
    <rPh sb="134" eb="136">
      <t>リカイ</t>
    </rPh>
    <rPh sb="136" eb="137">
      <t>ド</t>
    </rPh>
    <rPh sb="137" eb="139">
      <t>コウジョウ</t>
    </rPh>
    <rPh sb="140" eb="141">
      <t>トモ</t>
    </rPh>
    <rPh sb="143" eb="145">
      <t>シュウトク</t>
    </rPh>
    <rPh sb="146" eb="148">
      <t>メザ</t>
    </rPh>
    <rPh sb="157" eb="158">
      <t>ア</t>
    </rPh>
    <rPh sb="164" eb="166">
      <t>セイコウ</t>
    </rPh>
    <rPh sb="176" eb="178">
      <t>ジュギョウ</t>
    </rPh>
    <rPh sb="179" eb="181">
      <t>チュウバン</t>
    </rPh>
    <rPh sb="182" eb="183">
      <t>ダイ</t>
    </rPh>
    <rPh sb="186" eb="187">
      <t>カイ</t>
    </rPh>
    <rPh sb="187" eb="188">
      <t>メ</t>
    </rPh>
    <rPh sb="190" eb="192">
      <t>ジュギョウ</t>
    </rPh>
    <rPh sb="198" eb="199">
      <t>オコナ</t>
    </rPh>
    <rPh sb="201" eb="203">
      <t>ガクセイ</t>
    </rPh>
    <rPh sb="204" eb="206">
      <t>ソッチョク</t>
    </rPh>
    <rPh sb="207" eb="209">
      <t>ジュギョウ</t>
    </rPh>
    <rPh sb="209" eb="211">
      <t>ヒョウカ</t>
    </rPh>
    <rPh sb="212" eb="213">
      <t>エ</t>
    </rPh>
    <rPh sb="214" eb="216">
      <t>キカイ</t>
    </rPh>
    <rPh sb="217" eb="219">
      <t>カクホ</t>
    </rPh>
    <rPh sb="229" eb="232">
      <t>カクカモク</t>
    </rPh>
    <rPh sb="233" eb="234">
      <t>タイ</t>
    </rPh>
    <rPh sb="236" eb="239">
      <t>リシュウシャ</t>
    </rPh>
    <rPh sb="240" eb="242">
      <t>ネツイ</t>
    </rPh>
    <rPh sb="243" eb="245">
      <t>リカイ</t>
    </rPh>
    <rPh sb="245" eb="246">
      <t>ド</t>
    </rPh>
    <rPh sb="247" eb="249">
      <t>ヨウボウ</t>
    </rPh>
    <rPh sb="250" eb="252">
      <t>フマン</t>
    </rPh>
    <rPh sb="253" eb="255">
      <t>ハアク</t>
    </rPh>
    <rPh sb="257" eb="259">
      <t>ガクセイ</t>
    </rPh>
    <rPh sb="260" eb="261">
      <t>タイ</t>
    </rPh>
    <rPh sb="263" eb="265">
      <t>テイネイ</t>
    </rPh>
    <rPh sb="283" eb="285">
      <t>シュウトク</t>
    </rPh>
    <phoneticPr fontId="1"/>
  </si>
  <si>
    <t>　いずれの科目でも学生の理解度に合わせた柔軟な学習指導を行っており、授業時間外の個別のサポートも丁寧に進めている。また、⑪に記す通り、本学ではLMSとしてWebClassを導入しており、授業資料の提示や質問の受付など、授業時間外にも効率的に自主学修を進められるようインターネットを活用した受講環境を整えている。</t>
    <rPh sb="5" eb="7">
      <t>カモク</t>
    </rPh>
    <rPh sb="9" eb="11">
      <t>ガクセイ</t>
    </rPh>
    <rPh sb="12" eb="15">
      <t>リカイド</t>
    </rPh>
    <rPh sb="16" eb="17">
      <t>ア</t>
    </rPh>
    <rPh sb="20" eb="22">
      <t>ジュウナン</t>
    </rPh>
    <rPh sb="34" eb="36">
      <t>ジュギョウ</t>
    </rPh>
    <rPh sb="36" eb="38">
      <t>ジカン</t>
    </rPh>
    <rPh sb="38" eb="39">
      <t>ガイ</t>
    </rPh>
    <rPh sb="48" eb="50">
      <t>テイネイ</t>
    </rPh>
    <rPh sb="62" eb="63">
      <t>シル</t>
    </rPh>
    <rPh sb="64" eb="65">
      <t>トオ</t>
    </rPh>
    <rPh sb="67" eb="69">
      <t>ホンガク</t>
    </rPh>
    <rPh sb="86" eb="88">
      <t>ドウニュウ</t>
    </rPh>
    <rPh sb="93" eb="95">
      <t>ジュギョウ</t>
    </rPh>
    <rPh sb="95" eb="97">
      <t>シリョウ</t>
    </rPh>
    <rPh sb="98" eb="100">
      <t>テイジ</t>
    </rPh>
    <rPh sb="101" eb="103">
      <t>シツモン</t>
    </rPh>
    <rPh sb="104" eb="106">
      <t>ウケツケ</t>
    </rPh>
    <rPh sb="109" eb="111">
      <t>ジュギョウ</t>
    </rPh>
    <rPh sb="111" eb="114">
      <t>ジカンガイ</t>
    </rPh>
    <rPh sb="116" eb="119">
      <t>コウリツテキ</t>
    </rPh>
    <rPh sb="120" eb="122">
      <t>ジシュ</t>
    </rPh>
    <rPh sb="122" eb="124">
      <t>ガクシュウ</t>
    </rPh>
    <rPh sb="125" eb="126">
      <t>スス</t>
    </rPh>
    <rPh sb="140" eb="142">
      <t>カツヨウ</t>
    </rPh>
    <rPh sb="144" eb="146">
      <t>ジュコウ</t>
    </rPh>
    <rPh sb="146" eb="148">
      <t>カンキョウ</t>
    </rPh>
    <rPh sb="149" eb="150">
      <t>トトノ</t>
    </rPh>
    <phoneticPr fontId="1"/>
  </si>
  <si>
    <t>・ビッグデータ、IoT、AI、生成AI、ロボット　「AIと社会」（1、5、8回目）「コンピュータ基礎知識」（13回目）
・データ量の増加、計算機の処理性能の向上、AIの非連続的進化　「AIと社会」（9回目）
・第4次産業革命、Society 5.0、データ駆動型社会　「AIと社会」（4、10回目）</t>
    <rPh sb="15" eb="17">
      <t>セイセイ</t>
    </rPh>
    <rPh sb="29" eb="31">
      <t>シャカイ</t>
    </rPh>
    <rPh sb="38" eb="40">
      <t>カイメ</t>
    </rPh>
    <rPh sb="48" eb="52">
      <t>キソチシキ</t>
    </rPh>
    <rPh sb="56" eb="58">
      <t>カイメ</t>
    </rPh>
    <rPh sb="95" eb="97">
      <t>シャカイ</t>
    </rPh>
    <rPh sb="100" eb="102">
      <t>カイメ</t>
    </rPh>
    <rPh sb="138" eb="140">
      <t>シャカイ</t>
    </rPh>
    <rPh sb="146" eb="148">
      <t>カイメ</t>
    </rPh>
    <phoneticPr fontId="1"/>
  </si>
  <si>
    <t>・AI最新技術の活用例（深層生成モデル、強化学習、転移学習、生成AIなど）　「AIと社会」（9回目）</t>
    <rPh sb="30" eb="32">
      <t>セイセイ</t>
    </rPh>
    <rPh sb="42" eb="44">
      <t>シャカイ</t>
    </rPh>
    <rPh sb="47" eb="49">
      <t>カイメ</t>
    </rPh>
    <phoneticPr fontId="1"/>
  </si>
  <si>
    <t>・データ解析：予測、グルーピング、パターン発見、最適化、モデル化とシミュレーション・データ同化など　「AIと社会」（7回目）
・非構造化データ処理：言語処理、画像/動画処理、音声/音楽処理など　「AIと社会」（9回目）
・特化型AIと汎用AI、今のAIで出来ることと出来ないこと、AIとビッグデータ　「AIと社会」（9回目）</t>
    <rPh sb="31" eb="32">
      <t>カ</t>
    </rPh>
    <rPh sb="54" eb="56">
      <t>シャカイ</t>
    </rPh>
    <rPh sb="59" eb="61">
      <t>カイメ</t>
    </rPh>
    <rPh sb="101" eb="103">
      <t>シャカイ</t>
    </rPh>
    <rPh sb="106" eb="108">
      <t>カイメ</t>
    </rPh>
    <rPh sb="154" eb="156">
      <t>シャカイ</t>
    </rPh>
    <rPh sb="159" eb="161">
      <t>カイメ</t>
    </rPh>
    <phoneticPr fontId="1"/>
  </si>
  <si>
    <t>・教育、芸術、流通、製造、金融、サービス、インフラ、公共、ヘルスケア等におけるデータ・AI利活用事例紹介　「AIと社会」（9回目）</t>
    <rPh sb="1" eb="3">
      <t>キョウイク</t>
    </rPh>
    <rPh sb="4" eb="6">
      <t>ゲイジュツ</t>
    </rPh>
    <rPh sb="57" eb="59">
      <t>シャカイ</t>
    </rPh>
    <rPh sb="62" eb="64">
      <t>カイメ</t>
    </rPh>
    <phoneticPr fontId="1"/>
  </si>
  <si>
    <t>・情報セキュリティの3要素（機密性、完全性、可用性）　「コンピュータ基礎知識」（14回目）
・匿名加工情報、暗号化と復号、ユーザ認証とパスワード、アクセス制御、悪意ある情報搾取　「コンピュータ基礎知識」（14、15回目）</t>
    <rPh sb="1" eb="3">
      <t>ジョウホウ</t>
    </rPh>
    <rPh sb="11" eb="13">
      <t>ヨウソ</t>
    </rPh>
    <rPh sb="14" eb="17">
      <t>キミツセイ</t>
    </rPh>
    <rPh sb="18" eb="21">
      <t>カンゼンセイ</t>
    </rPh>
    <rPh sb="22" eb="25">
      <t>カヨウセイ</t>
    </rPh>
    <rPh sb="34" eb="36">
      <t>キソ</t>
    </rPh>
    <rPh sb="36" eb="38">
      <t>チシキ</t>
    </rPh>
    <rPh sb="42" eb="44">
      <t>カイメ</t>
    </rPh>
    <rPh sb="47" eb="49">
      <t>トクメイ</t>
    </rPh>
    <rPh sb="49" eb="51">
      <t>カコウ</t>
    </rPh>
    <rPh sb="51" eb="53">
      <t>ジョウホウ</t>
    </rPh>
    <rPh sb="54" eb="57">
      <t>アンゴウカ</t>
    </rPh>
    <rPh sb="58" eb="60">
      <t>フクゴウ</t>
    </rPh>
    <rPh sb="64" eb="66">
      <t>ニンショウ</t>
    </rPh>
    <rPh sb="77" eb="79">
      <t>セイギョ</t>
    </rPh>
    <rPh sb="80" eb="82">
      <t>アクイ</t>
    </rPh>
    <rPh sb="84" eb="86">
      <t>ジョウホウ</t>
    </rPh>
    <rPh sb="86" eb="88">
      <t>サクシュ</t>
    </rPh>
    <rPh sb="96" eb="98">
      <t>キソ</t>
    </rPh>
    <rPh sb="98" eb="100">
      <t>チシキ</t>
    </rPh>
    <rPh sb="107" eb="109">
      <t>カイメ</t>
    </rPh>
    <phoneticPr fontId="1"/>
  </si>
  <si>
    <t>・データの分布(ヒストグラム)と代表値（平均値、中央値、最頻値）　「コンピュータリテラシーB」　（10～12回目）「データサイエンス」（2、3回目）
・データのばらつき（分散、標準偏差、偏差値）、外れ値　「コンピュータリテラシーB」（11回目）「データサイエンス」（2回目）
・相関と因果（相関係数、擬似相関、交絡）　「コンピュータリテラシーB」（12回目）「データサイエンス」（8回目）
・母集団と標本抽出（国勢調査、アンケート調査、全数調査、単純無作為抽出、層別抽出、多段抽出）　「データサイエンス」（7回目）
・クロス集計表、分割表、相関係数行列、散布図行列　「コンピュータリテラシーB」（9回目）「データサイエンス」（9回目）</t>
    <rPh sb="54" eb="56">
      <t>カイメ</t>
    </rPh>
    <rPh sb="71" eb="73">
      <t>カイメ</t>
    </rPh>
    <rPh sb="98" eb="99">
      <t>ハズ</t>
    </rPh>
    <rPh sb="100" eb="101">
      <t>チ</t>
    </rPh>
    <rPh sb="119" eb="121">
      <t>カイメ</t>
    </rPh>
    <rPh sb="134" eb="136">
      <t>カイメ</t>
    </rPh>
    <rPh sb="176" eb="178">
      <t>カイメ</t>
    </rPh>
    <rPh sb="191" eb="193">
      <t>カイメ</t>
    </rPh>
    <rPh sb="254" eb="256">
      <t>カイメ</t>
    </rPh>
    <rPh sb="299" eb="301">
      <t>カイメ</t>
    </rPh>
    <rPh sb="314" eb="316">
      <t>カイメ</t>
    </rPh>
    <phoneticPr fontId="1"/>
  </si>
  <si>
    <t>・データ表現（棒グラフ、折線グラフ、散布図、ヒートマップ、箱ひげ図）　「コンピュータリテラシーB」（4、5回目）「データサイエンス」（10、11、12回目）
・データの比較（条件をそろえた比較、処理の前後での比較、A/Bテスト)　「データサイエンス」（4～6回目）</t>
    <rPh sb="29" eb="30">
      <t>ハコ</t>
    </rPh>
    <rPh sb="32" eb="33">
      <t>ズ</t>
    </rPh>
    <rPh sb="53" eb="55">
      <t>カイメ</t>
    </rPh>
    <rPh sb="75" eb="77">
      <t>カイメ</t>
    </rPh>
    <rPh sb="129" eb="131">
      <t>カイメ</t>
    </rPh>
    <phoneticPr fontId="1"/>
  </si>
  <si>
    <t xml:space="preserve">
・データの集計（和、平均）　「コンピュータリテラシーB」（6、9、11回目）「データサイエンス」（1回目）
・データの並び替え、ランキング　「コンピュータリテラシーB」（6、8回目）
・データ解析ツール（スプレッドシート、BIツール）　「データサイエンス」（9、12～15回目）</t>
    <rPh sb="36" eb="38">
      <t>カイメ</t>
    </rPh>
    <rPh sb="51" eb="53">
      <t>カイメ</t>
    </rPh>
    <rPh sb="89" eb="91">
      <t>カイメ</t>
    </rPh>
    <rPh sb="137" eb="139">
      <t>カイメ</t>
    </rPh>
    <phoneticPr fontId="1"/>
  </si>
  <si>
    <t>SAIJO 数理・データサイエンス・AIリテラシーレベル教育プログラム</t>
    <rPh sb="6" eb="8">
      <t>スウリ</t>
    </rPh>
    <rPh sb="28" eb="30">
      <t>キョウイク</t>
    </rPh>
    <phoneticPr fontId="1"/>
  </si>
  <si>
    <t>国際コミュニケーション学科長</t>
    <rPh sb="0" eb="2">
      <t>コクサイ</t>
    </rPh>
    <rPh sb="11" eb="13">
      <t>ガッカ</t>
    </rPh>
    <rPh sb="13" eb="14">
      <t>チョウ</t>
    </rPh>
    <phoneticPr fontId="1"/>
  </si>
  <si>
    <t>　本学においてはすべての科目の履修状況や単位修得状況を収集しており、本プログラムを構成する科目の履修状況、単位修得状況も同様に収集している。これらのデータを活用することによって、本プログラムの状況分析を的確に行うことが可能となり、今後の授業の計画・実施・評価・改善の仕組みを確立することができる。
　本プログラムの履修状況は211名であるが、修了条件を満たしている学生は令和５年度時点では32名となっている。令和６年度には90名以上の学生が不足している科目を修得して本プログラムの修了条件を満たすことが期待される。</t>
    <rPh sb="1" eb="3">
      <t>ホンガク</t>
    </rPh>
    <rPh sb="12" eb="14">
      <t>カモク</t>
    </rPh>
    <rPh sb="15" eb="19">
      <t>リシュウジョウキョウ</t>
    </rPh>
    <rPh sb="20" eb="26">
      <t>タンイシュウトクジョウキョウ</t>
    </rPh>
    <rPh sb="27" eb="29">
      <t>シュウシュウ</t>
    </rPh>
    <rPh sb="60" eb="62">
      <t>ドウヨウ</t>
    </rPh>
    <rPh sb="98" eb="100">
      <t>ブンセキ</t>
    </rPh>
    <rPh sb="101" eb="103">
      <t>テキカク</t>
    </rPh>
    <rPh sb="104" eb="105">
      <t>オコナ</t>
    </rPh>
    <rPh sb="109" eb="111">
      <t>カノウ</t>
    </rPh>
    <rPh sb="115" eb="117">
      <t>コンゴ</t>
    </rPh>
    <rPh sb="150" eb="151">
      <t>ホン</t>
    </rPh>
    <rPh sb="157" eb="161">
      <t>リシュウジョウキョウ</t>
    </rPh>
    <rPh sb="165" eb="166">
      <t>メイ</t>
    </rPh>
    <rPh sb="176" eb="177">
      <t>ミ</t>
    </rPh>
    <rPh sb="182" eb="184">
      <t>ガクセイ</t>
    </rPh>
    <rPh sb="185" eb="187">
      <t>レイワ</t>
    </rPh>
    <rPh sb="188" eb="190">
      <t>ネンド</t>
    </rPh>
    <rPh sb="190" eb="192">
      <t>ジテン</t>
    </rPh>
    <rPh sb="196" eb="197">
      <t>メイ</t>
    </rPh>
    <rPh sb="204" eb="206">
      <t>レイワ</t>
    </rPh>
    <rPh sb="207" eb="209">
      <t>ネンド</t>
    </rPh>
    <rPh sb="216" eb="218">
      <t>ガクセイ</t>
    </rPh>
    <rPh sb="219" eb="221">
      <t>フソク</t>
    </rPh>
    <rPh sb="225" eb="227">
      <t>カモク</t>
    </rPh>
    <rPh sb="229" eb="231">
      <t>シュウトク</t>
    </rPh>
    <rPh sb="244" eb="245">
      <t>ミ</t>
    </rPh>
    <rPh sb="250" eb="252">
      <t>キタイ</t>
    </rPh>
    <phoneticPr fontId="1"/>
  </si>
  <si>
    <t>　本プログラムは令和5年度よりスタートしたため、令和5年度末で、本プログラムを修了して卒業した学生はいない。令和6年度以降に修了者の進路状況を把握することが可能である。
　また、卒業生の進路先や活躍状況の把握に関しては、本学の自己点検評価活動として実施している卒業生の進路先企業を対象とした外部評価ヒアリング会により可能である。</t>
    <rPh sb="1" eb="2">
      <t>ホン</t>
    </rPh>
    <rPh sb="8" eb="10">
      <t>レイワ</t>
    </rPh>
    <rPh sb="11" eb="13">
      <t>ネンド</t>
    </rPh>
    <rPh sb="39" eb="41">
      <t>シュウリョウ</t>
    </rPh>
    <rPh sb="43" eb="45">
      <t>ソツギョウ</t>
    </rPh>
    <rPh sb="47" eb="49">
      <t>ガクセイ</t>
    </rPh>
    <rPh sb="62" eb="65">
      <t>シュウリョウシャ</t>
    </rPh>
    <rPh sb="66" eb="70">
      <t>シンロジョウキョウ</t>
    </rPh>
    <rPh sb="71" eb="73">
      <t>ハアク</t>
    </rPh>
    <rPh sb="78" eb="80">
      <t>カノウ</t>
    </rPh>
    <rPh sb="105" eb="106">
      <t>カン</t>
    </rPh>
    <rPh sb="110" eb="112">
      <t>ホンガク</t>
    </rPh>
    <rPh sb="113" eb="119">
      <t>ジコテンケンヒョウカ</t>
    </rPh>
    <rPh sb="119" eb="121">
      <t>カツドウ</t>
    </rPh>
    <rPh sb="124" eb="126">
      <t>ジッシ</t>
    </rPh>
    <rPh sb="130" eb="133">
      <t>ソツギョウセイ</t>
    </rPh>
    <rPh sb="134" eb="139">
      <t>シンロサキキギョウ</t>
    </rPh>
    <rPh sb="140" eb="142">
      <t>タイショウ</t>
    </rPh>
    <rPh sb="145" eb="149">
      <t>ガイブヒョウカ</t>
    </rPh>
    <rPh sb="154" eb="155">
      <t>カイ</t>
    </rPh>
    <rPh sb="158" eb="160">
      <t>カノウ</t>
    </rPh>
    <phoneticPr fontId="1"/>
  </si>
  <si>
    <t>　本学教務委員会において実施している全科目共通の「学生の声」アンケートは授業の中盤（第7～8回目）で実施しており、その結果を担当教員が速やかにフィードバックを行うことができる。このアンケート結果のうち、学生の理解度や内容の分かりやすさの項目の平均値として4.04ポイント（満点5ポイント）であった。
　また、学生アンケート以外では、毎回の授業において振り返りテストを実施しており、授業テーマごとの学生の理解度も測定することが可能である。</t>
    <rPh sb="36" eb="38">
      <t>ジュギョウ</t>
    </rPh>
    <rPh sb="39" eb="41">
      <t>チュウバン</t>
    </rPh>
    <rPh sb="50" eb="52">
      <t>ジッシ</t>
    </rPh>
    <rPh sb="59" eb="61">
      <t>ケッカ</t>
    </rPh>
    <rPh sb="62" eb="66">
      <t>タントウキョウイン</t>
    </rPh>
    <rPh sb="67" eb="68">
      <t>スミ</t>
    </rPh>
    <rPh sb="79" eb="80">
      <t>オコナ</t>
    </rPh>
    <rPh sb="95" eb="97">
      <t>ケッカ</t>
    </rPh>
    <rPh sb="101" eb="103">
      <t>ガクセイ</t>
    </rPh>
    <rPh sb="104" eb="107">
      <t>リカイド</t>
    </rPh>
    <rPh sb="108" eb="110">
      <t>ナイヨウ</t>
    </rPh>
    <rPh sb="111" eb="112">
      <t>ワ</t>
    </rPh>
    <rPh sb="121" eb="124">
      <t>ヘイキンチ</t>
    </rPh>
    <rPh sb="136" eb="138">
      <t>マンテン</t>
    </rPh>
    <rPh sb="154" eb="156">
      <t>ガクセイ</t>
    </rPh>
    <rPh sb="161" eb="163">
      <t>イガイ</t>
    </rPh>
    <rPh sb="166" eb="168">
      <t>マイカイ</t>
    </rPh>
    <rPh sb="169" eb="171">
      <t>ジュギョウ</t>
    </rPh>
    <rPh sb="175" eb="176">
      <t>フ</t>
    </rPh>
    <rPh sb="177" eb="178">
      <t>カエ</t>
    </rPh>
    <rPh sb="183" eb="185">
      <t>ジッシ</t>
    </rPh>
    <rPh sb="190" eb="192">
      <t>ジュギョウ</t>
    </rPh>
    <rPh sb="198" eb="200">
      <t>ガクセイ</t>
    </rPh>
    <rPh sb="201" eb="204">
      <t>リカイド</t>
    </rPh>
    <rPh sb="205" eb="207">
      <t>ソクテイ</t>
    </rPh>
    <rPh sb="212" eb="214">
      <t>カノウ</t>
    </rPh>
    <phoneticPr fontId="1"/>
  </si>
  <si>
    <t>　授業の中盤で実施している「学生の声」アンケート、授業初回と最終回で実施している「授業アセスメント」、および定期試験や提出課題の結果などをもとに「分かりやすい」授業となるように内容を随時見直している。さらに、毎回の授業において振り返りテストを実施して理解度を測定することにより、授業テーマごとにも内容および水準の維持向上を図っている。
　また、全体の授業計画などが記載されている「シラバス」に関しては、各教員間でピアチェックを行い細かく確認している。</t>
    <rPh sb="1" eb="3">
      <t>ジュギョウ</t>
    </rPh>
    <rPh sb="4" eb="6">
      <t>チュウバン</t>
    </rPh>
    <rPh sb="7" eb="9">
      <t>ジッシ</t>
    </rPh>
    <rPh sb="14" eb="16">
      <t>ガクセイ</t>
    </rPh>
    <rPh sb="17" eb="18">
      <t>コエ</t>
    </rPh>
    <rPh sb="25" eb="29">
      <t>ジュギョウショカイ</t>
    </rPh>
    <rPh sb="30" eb="33">
      <t>サイシュウカイ</t>
    </rPh>
    <rPh sb="34" eb="36">
      <t>ジッシ</t>
    </rPh>
    <rPh sb="41" eb="43">
      <t>ジュギョウ</t>
    </rPh>
    <rPh sb="54" eb="58">
      <t>テイキシケン</t>
    </rPh>
    <rPh sb="59" eb="63">
      <t>テイシュツカダイ</t>
    </rPh>
    <rPh sb="64" eb="66">
      <t>ケッカ</t>
    </rPh>
    <rPh sb="73" eb="74">
      <t>ワ</t>
    </rPh>
    <rPh sb="80" eb="82">
      <t>ジュギョウ</t>
    </rPh>
    <rPh sb="88" eb="90">
      <t>ナイヨウ</t>
    </rPh>
    <rPh sb="91" eb="95">
      <t>ズイジミナオ</t>
    </rPh>
    <rPh sb="125" eb="128">
      <t>リカイド</t>
    </rPh>
    <rPh sb="129" eb="131">
      <t>ソクテイ</t>
    </rPh>
    <rPh sb="148" eb="150">
      <t>ナイヨウ</t>
    </rPh>
    <rPh sb="153" eb="155">
      <t>スイジュン</t>
    </rPh>
    <rPh sb="156" eb="160">
      <t>イジコウジョウ</t>
    </rPh>
    <rPh sb="161" eb="162">
      <t>ハカ</t>
    </rPh>
    <rPh sb="172" eb="174">
      <t>ゼンタイ</t>
    </rPh>
    <rPh sb="175" eb="179">
      <t>ジュギョウケイカク</t>
    </rPh>
    <rPh sb="182" eb="184">
      <t>キサイ</t>
    </rPh>
    <rPh sb="196" eb="197">
      <t>カン</t>
    </rPh>
    <rPh sb="201" eb="205">
      <t>カクキョウインカン</t>
    </rPh>
    <rPh sb="213" eb="214">
      <t>オコナ</t>
    </rPh>
    <rPh sb="215" eb="216">
      <t>コマ</t>
    </rPh>
    <rPh sb="218" eb="220">
      <t>カクニン</t>
    </rPh>
    <phoneticPr fontId="1"/>
  </si>
  <si>
    <t>プログラムを構成する3つの必修科目「コンピュータリテラシーB」（1年次秋学期配当、1単位）、「AIと社会」（1・2年次秋学期配当、2単位）、「コンピュータ基礎知識」（1年次春学期配当、2単位）の計5単位を修得すること。選択科目「データサイエンス」（1・2年次、2単位）は推奨科目とする。
必修科目：１．コンピュータリテラシーB、２．AIと社会、３．コンピュータ基礎知識
選択科目：４．データサイエンス</t>
    <rPh sb="6" eb="8">
      <t>コウセイ</t>
    </rPh>
    <rPh sb="13" eb="15">
      <t>ヒッシュウ</t>
    </rPh>
    <rPh sb="33" eb="38">
      <t>ネンジアキガッキ</t>
    </rPh>
    <rPh sb="38" eb="40">
      <t>ハイトウ</t>
    </rPh>
    <rPh sb="42" eb="44">
      <t>タンイ</t>
    </rPh>
    <rPh sb="50" eb="52">
      <t>シャカイ</t>
    </rPh>
    <rPh sb="57" eb="59">
      <t>ネンジ</t>
    </rPh>
    <rPh sb="59" eb="64">
      <t>アキガッキハイトウ</t>
    </rPh>
    <rPh sb="66" eb="68">
      <t>タンイ</t>
    </rPh>
    <rPh sb="77" eb="81">
      <t>キソチシキ</t>
    </rPh>
    <rPh sb="84" eb="86">
      <t>ネンジ</t>
    </rPh>
    <rPh sb="86" eb="89">
      <t>ハルガッキ</t>
    </rPh>
    <rPh sb="89" eb="91">
      <t>ハイトウ</t>
    </rPh>
    <rPh sb="93" eb="95">
      <t>タンイ</t>
    </rPh>
    <rPh sb="97" eb="98">
      <t>ケイ</t>
    </rPh>
    <rPh sb="99" eb="101">
      <t>タンイ</t>
    </rPh>
    <rPh sb="102" eb="104">
      <t>シュウトク</t>
    </rPh>
    <rPh sb="109" eb="113">
      <t>センタクカモク</t>
    </rPh>
    <rPh sb="127" eb="129">
      <t>ネンジ</t>
    </rPh>
    <rPh sb="131" eb="133">
      <t>タンイ</t>
    </rPh>
    <rPh sb="135" eb="139">
      <t>スイショウカモク</t>
    </rPh>
    <rPh sb="145" eb="149">
      <t>ヒッシュウカモク</t>
    </rPh>
    <rPh sb="170" eb="172">
      <t>シャカイ</t>
    </rPh>
    <rPh sb="181" eb="185">
      <t>キソチシキ</t>
    </rPh>
    <rPh sb="186" eb="190">
      <t>センタクカモク</t>
    </rPh>
    <phoneticPr fontId="1"/>
  </si>
  <si>
    <t>　令和5年度よりスタートした本プログラムの対象である3科目の履修状況は、「コンピュータリテラシーB」が212名、「AIと社会」が66名、「コンピュータ基礎知識」が82名である。令和5年度は1年次生のみ対象となっているが、令和6年度以降は全学生が対象となる。そのため、履修者数の増加を見込むことができる。現在、「コンピュータリテラシーB」と「AIと社会」は選択必修科目となっているため、目標としている履修率を達成することは可能であるが、「コンピュータ基礎知識」は商学科の選択科目であり、国際コミュニケーション学科の学生は他学科履修をする必要がある。そのため、新年度オリエンテーションにおける履修指導などにおいて履修に向けて指導を行っている。今後は、本プログラムの対象科目をすべて両学科共通科目に設定したり、必修科目化するなど履修率向上に向けた検討を継続する。</t>
    <rPh sb="1" eb="3">
      <t>レイワ</t>
    </rPh>
    <rPh sb="4" eb="6">
      <t>ネンド</t>
    </rPh>
    <rPh sb="14" eb="15">
      <t>ホン</t>
    </rPh>
    <rPh sb="21" eb="23">
      <t>タイショウ</t>
    </rPh>
    <rPh sb="27" eb="29">
      <t>カモク</t>
    </rPh>
    <rPh sb="30" eb="34">
      <t>リシュウジョウキョウ</t>
    </rPh>
    <rPh sb="54" eb="55">
      <t>メイ</t>
    </rPh>
    <rPh sb="60" eb="62">
      <t>シャカイ</t>
    </rPh>
    <rPh sb="66" eb="67">
      <t>メイ</t>
    </rPh>
    <rPh sb="75" eb="79">
      <t>キソチシキ</t>
    </rPh>
    <rPh sb="83" eb="84">
      <t>メイ</t>
    </rPh>
    <rPh sb="88" eb="90">
      <t>レイワ</t>
    </rPh>
    <rPh sb="91" eb="93">
      <t>ネンド</t>
    </rPh>
    <rPh sb="95" eb="98">
      <t>ネンジセイ</t>
    </rPh>
    <rPh sb="100" eb="102">
      <t>タイショウ</t>
    </rPh>
    <rPh sb="110" eb="112">
      <t>レイワ</t>
    </rPh>
    <rPh sb="113" eb="117">
      <t>ネンドイコウ</t>
    </rPh>
    <rPh sb="118" eb="121">
      <t>ゼンガクセイ</t>
    </rPh>
    <rPh sb="122" eb="124">
      <t>タイショウ</t>
    </rPh>
    <rPh sb="133" eb="137">
      <t>リシュウシャスウ</t>
    </rPh>
    <rPh sb="138" eb="140">
      <t>ゾウカ</t>
    </rPh>
    <rPh sb="141" eb="143">
      <t>ミコ</t>
    </rPh>
    <rPh sb="151" eb="153">
      <t>ゲンザイ</t>
    </rPh>
    <rPh sb="173" eb="175">
      <t>シャカイ</t>
    </rPh>
    <rPh sb="177" eb="183">
      <t>センタクヒッシュウカモク</t>
    </rPh>
    <rPh sb="192" eb="194">
      <t>モクヒョウ</t>
    </rPh>
    <rPh sb="199" eb="202">
      <t>リシュウリツ</t>
    </rPh>
    <rPh sb="203" eb="205">
      <t>タッセイ</t>
    </rPh>
    <rPh sb="210" eb="212">
      <t>カノウ</t>
    </rPh>
    <rPh sb="224" eb="228">
      <t>キソチシキ</t>
    </rPh>
    <rPh sb="230" eb="233">
      <t>ショウガクカ</t>
    </rPh>
    <rPh sb="234" eb="238">
      <t>センタクカモク</t>
    </rPh>
    <rPh sb="242" eb="244">
      <t>コクサイ</t>
    </rPh>
    <rPh sb="278" eb="281">
      <t>シンネンド</t>
    </rPh>
    <rPh sb="294" eb="298">
      <t>リシュウシドウ</t>
    </rPh>
    <rPh sb="304" eb="306">
      <t>リシュウ</t>
    </rPh>
    <rPh sb="307" eb="308">
      <t>ム</t>
    </rPh>
    <rPh sb="310" eb="312">
      <t>シドウ</t>
    </rPh>
    <rPh sb="313" eb="314">
      <t>オコナ</t>
    </rPh>
    <rPh sb="319" eb="321">
      <t>コンゴ</t>
    </rPh>
    <rPh sb="323" eb="324">
      <t>ホン</t>
    </rPh>
    <rPh sb="330" eb="334">
      <t>タイショウカモク</t>
    </rPh>
    <rPh sb="338" eb="341">
      <t>リョウガッカ</t>
    </rPh>
    <rPh sb="341" eb="345">
      <t>キョウツウカモク</t>
    </rPh>
    <rPh sb="346" eb="348">
      <t>セッテイ</t>
    </rPh>
    <rPh sb="352" eb="357">
      <t>ヒッシュウカモクカ</t>
    </rPh>
    <rPh sb="361" eb="366">
      <t>リシュウリツコウジョウ</t>
    </rPh>
    <rPh sb="367" eb="368">
      <t>ム</t>
    </rPh>
    <rPh sb="370" eb="372">
      <t>ケントウ</t>
    </rPh>
    <rPh sb="373" eb="375">
      <t>ケイゾク</t>
    </rPh>
    <phoneticPr fontId="1"/>
  </si>
  <si>
    <t>学部・学科名称</t>
    <rPh sb="0" eb="2">
      <t>ガクブ</t>
    </rPh>
    <rPh sb="3" eb="5">
      <t>ガッカ</t>
    </rPh>
    <rPh sb="5" eb="7">
      <t>メイショウ</t>
    </rPh>
    <phoneticPr fontId="1"/>
  </si>
  <si>
    <t>自己点検・評価の視点</t>
    <rPh sb="8" eb="10">
      <t>シテン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</si>
</sst>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32"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N2" sqref="N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34" t="s">
        <v>12</v>
      </c>
      <c r="U1" s="134"/>
      <c r="V1" s="2" t="s">
        <v>98</v>
      </c>
    </row>
    <row r="2" spans="1:24" ht="18.75" customHeight="1" x14ac:dyDescent="0.15">
      <c r="A2" s="76"/>
      <c r="B2" s="78" t="s">
        <v>97</v>
      </c>
      <c r="C2" s="135" t="s">
        <v>134</v>
      </c>
      <c r="D2" s="136"/>
      <c r="E2" s="136"/>
      <c r="F2" s="136"/>
      <c r="G2" s="136"/>
      <c r="H2" s="136"/>
      <c r="I2" s="136"/>
      <c r="J2" s="137"/>
      <c r="K2" s="77"/>
      <c r="L2" s="79"/>
      <c r="M2" s="79"/>
      <c r="N2" s="79"/>
      <c r="O2" s="79"/>
      <c r="P2" s="79"/>
      <c r="Q2" s="79"/>
      <c r="R2" s="79"/>
      <c r="S2" s="79"/>
      <c r="T2" s="79"/>
      <c r="U2" s="79"/>
    </row>
    <row r="3" spans="1:24" ht="18.75" customHeight="1" x14ac:dyDescent="0.15">
      <c r="A3" s="76"/>
      <c r="B3" s="78" t="s">
        <v>92</v>
      </c>
      <c r="C3" s="138" t="s">
        <v>175</v>
      </c>
      <c r="D3" s="139"/>
      <c r="E3" s="139"/>
      <c r="F3" s="139"/>
      <c r="G3" s="139"/>
      <c r="H3" s="139"/>
      <c r="I3" s="139"/>
      <c r="J3" s="140"/>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15" t="s">
        <v>37</v>
      </c>
      <c r="B5" s="115"/>
      <c r="C5" s="115"/>
      <c r="D5" s="115"/>
      <c r="E5" s="115"/>
      <c r="F5" s="115"/>
      <c r="G5" s="115"/>
      <c r="H5" s="115"/>
      <c r="I5" s="115"/>
      <c r="J5" s="115"/>
      <c r="K5" s="115"/>
      <c r="L5" s="115"/>
      <c r="M5" s="115"/>
      <c r="N5" s="115"/>
      <c r="O5" s="115"/>
      <c r="P5" s="115"/>
      <c r="Q5" s="115"/>
      <c r="R5" s="115"/>
      <c r="S5" s="115"/>
      <c r="T5" s="115"/>
      <c r="U5" s="115"/>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129</v>
      </c>
      <c r="B7" s="81"/>
      <c r="C7" s="81"/>
      <c r="D7" s="81"/>
      <c r="E7" s="81"/>
      <c r="F7" s="75"/>
      <c r="G7" s="75"/>
      <c r="H7" s="75"/>
      <c r="I7" s="75"/>
      <c r="J7" s="75"/>
      <c r="K7" s="75"/>
      <c r="L7" s="154" t="s">
        <v>135</v>
      </c>
      <c r="M7" s="155"/>
      <c r="N7" s="155"/>
      <c r="O7" s="155"/>
      <c r="P7" s="155"/>
      <c r="Q7" s="155"/>
      <c r="R7" s="155"/>
      <c r="S7" s="155"/>
      <c r="T7" s="155"/>
      <c r="U7" s="156"/>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130</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58"/>
      <c r="C11" s="159"/>
      <c r="D11" s="159"/>
      <c r="E11" s="159"/>
      <c r="F11" s="159"/>
      <c r="G11" s="159"/>
      <c r="H11" s="159"/>
      <c r="I11" s="159"/>
      <c r="J11" s="159"/>
      <c r="K11" s="159"/>
      <c r="L11" s="159"/>
      <c r="M11" s="159"/>
      <c r="N11" s="159"/>
      <c r="O11" s="159"/>
      <c r="P11" s="159"/>
      <c r="Q11" s="159"/>
      <c r="R11" s="159"/>
      <c r="S11" s="159"/>
      <c r="T11" s="159"/>
      <c r="U11" s="160"/>
    </row>
    <row r="12" spans="1:24" ht="18" customHeight="1" x14ac:dyDescent="0.15">
      <c r="A12" s="76"/>
      <c r="B12" s="161"/>
      <c r="C12" s="162"/>
      <c r="D12" s="162"/>
      <c r="E12" s="162"/>
      <c r="F12" s="162"/>
      <c r="G12" s="162"/>
      <c r="H12" s="162"/>
      <c r="I12" s="162"/>
      <c r="J12" s="162"/>
      <c r="K12" s="162"/>
      <c r="L12" s="162"/>
      <c r="M12" s="162"/>
      <c r="N12" s="162"/>
      <c r="O12" s="162"/>
      <c r="P12" s="162"/>
      <c r="Q12" s="162"/>
      <c r="R12" s="162"/>
      <c r="S12" s="162"/>
      <c r="T12" s="162"/>
      <c r="U12" s="163"/>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99</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16" t="s">
        <v>181</v>
      </c>
      <c r="C15" s="117"/>
      <c r="D15" s="117"/>
      <c r="E15" s="117"/>
      <c r="F15" s="117"/>
      <c r="G15" s="117"/>
      <c r="H15" s="117"/>
      <c r="I15" s="117"/>
      <c r="J15" s="117"/>
      <c r="K15" s="117"/>
      <c r="L15" s="117"/>
      <c r="M15" s="117"/>
      <c r="N15" s="117"/>
      <c r="O15" s="117"/>
      <c r="P15" s="117"/>
      <c r="Q15" s="117"/>
      <c r="R15" s="117"/>
      <c r="S15" s="117"/>
      <c r="T15" s="117"/>
      <c r="U15" s="118"/>
      <c r="X15" s="1" t="s">
        <v>93</v>
      </c>
    </row>
    <row r="16" spans="1:24" ht="18" customHeight="1" x14ac:dyDescent="0.15">
      <c r="A16" s="76"/>
      <c r="B16" s="119"/>
      <c r="C16" s="120"/>
      <c r="D16" s="120"/>
      <c r="E16" s="120"/>
      <c r="F16" s="120"/>
      <c r="G16" s="120"/>
      <c r="H16" s="120"/>
      <c r="I16" s="120"/>
      <c r="J16" s="120"/>
      <c r="K16" s="120"/>
      <c r="L16" s="120"/>
      <c r="M16" s="120"/>
      <c r="N16" s="120"/>
      <c r="O16" s="120"/>
      <c r="P16" s="120"/>
      <c r="Q16" s="120"/>
      <c r="R16" s="120"/>
      <c r="S16" s="120"/>
      <c r="T16" s="120"/>
      <c r="U16" s="121"/>
      <c r="X16" s="1" t="s">
        <v>113</v>
      </c>
    </row>
    <row r="17" spans="1:24" ht="18" customHeight="1" x14ac:dyDescent="0.15">
      <c r="A17" s="76"/>
      <c r="B17" s="119"/>
      <c r="C17" s="120"/>
      <c r="D17" s="120"/>
      <c r="E17" s="120"/>
      <c r="F17" s="120"/>
      <c r="G17" s="120"/>
      <c r="H17" s="120"/>
      <c r="I17" s="120"/>
      <c r="J17" s="120"/>
      <c r="K17" s="120"/>
      <c r="L17" s="120"/>
      <c r="M17" s="120"/>
      <c r="N17" s="120"/>
      <c r="O17" s="120"/>
      <c r="P17" s="120"/>
      <c r="Q17" s="120"/>
      <c r="R17" s="120"/>
      <c r="S17" s="120"/>
      <c r="T17" s="120"/>
      <c r="U17" s="121"/>
      <c r="X17" s="1" t="s">
        <v>114</v>
      </c>
    </row>
    <row r="18" spans="1:24" ht="18" customHeight="1" x14ac:dyDescent="0.15">
      <c r="A18" s="76"/>
      <c r="B18" s="119"/>
      <c r="C18" s="120"/>
      <c r="D18" s="120"/>
      <c r="E18" s="120"/>
      <c r="F18" s="120"/>
      <c r="G18" s="120"/>
      <c r="H18" s="120"/>
      <c r="I18" s="120"/>
      <c r="J18" s="120"/>
      <c r="K18" s="120"/>
      <c r="L18" s="120"/>
      <c r="M18" s="120"/>
      <c r="N18" s="120"/>
      <c r="O18" s="120"/>
      <c r="P18" s="120"/>
      <c r="Q18" s="120"/>
      <c r="R18" s="120"/>
      <c r="S18" s="120"/>
      <c r="T18" s="120"/>
      <c r="U18" s="121"/>
      <c r="X18" s="1" t="s">
        <v>115</v>
      </c>
    </row>
    <row r="19" spans="1:24" ht="18" customHeight="1" x14ac:dyDescent="0.15">
      <c r="A19" s="76"/>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A20" s="76"/>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20.100000000000001" customHeight="1" x14ac:dyDescent="0.15">
      <c r="A22" s="76"/>
      <c r="B22" s="76" t="s">
        <v>131</v>
      </c>
      <c r="C22" s="76"/>
      <c r="D22" s="76"/>
      <c r="E22" s="84">
        <v>3</v>
      </c>
      <c r="F22" s="76" t="s">
        <v>111</v>
      </c>
      <c r="G22" s="76"/>
      <c r="H22" s="85">
        <v>5</v>
      </c>
      <c r="I22" s="81" t="s">
        <v>112</v>
      </c>
      <c r="J22" s="81"/>
      <c r="K22" s="77"/>
      <c r="L22" s="76"/>
      <c r="M22" s="77" t="s">
        <v>108</v>
      </c>
      <c r="N22" s="151" t="s">
        <v>115</v>
      </c>
      <c r="O22" s="152"/>
      <c r="P22" s="152"/>
      <c r="Q22" s="152"/>
      <c r="R22" s="152"/>
      <c r="S22" s="152"/>
      <c r="T22" s="152"/>
      <c r="U22" s="153"/>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25" t="s">
        <v>100</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15">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15">
      <c r="B26" s="91" t="s">
        <v>50</v>
      </c>
      <c r="C26" s="92"/>
      <c r="D26" s="92"/>
      <c r="E26" s="92"/>
      <c r="F26" s="93"/>
      <c r="G26" s="51" t="s">
        <v>76</v>
      </c>
      <c r="H26" s="50" t="s">
        <v>79</v>
      </c>
      <c r="I26" s="17" t="s">
        <v>53</v>
      </c>
      <c r="J26" s="17" t="s">
        <v>56</v>
      </c>
      <c r="K26" s="91" t="s">
        <v>50</v>
      </c>
      <c r="L26" s="92"/>
      <c r="M26" s="92"/>
      <c r="N26" s="92"/>
      <c r="O26" s="92"/>
      <c r="P26" s="92"/>
      <c r="Q26" s="93"/>
      <c r="R26" s="51" t="s">
        <v>76</v>
      </c>
      <c r="S26" s="50" t="s">
        <v>79</v>
      </c>
      <c r="T26" s="17" t="s">
        <v>53</v>
      </c>
      <c r="U26" s="17" t="s">
        <v>56</v>
      </c>
    </row>
    <row r="27" spans="1:24" ht="18" customHeight="1" x14ac:dyDescent="0.15">
      <c r="B27" s="94" t="s">
        <v>138</v>
      </c>
      <c r="C27" s="95"/>
      <c r="D27" s="95"/>
      <c r="E27" s="95"/>
      <c r="F27" s="96"/>
      <c r="G27" s="18">
        <v>2</v>
      </c>
      <c r="H27" s="18" t="s">
        <v>137</v>
      </c>
      <c r="I27" s="18" t="s">
        <v>137</v>
      </c>
      <c r="J27" s="18" t="s">
        <v>137</v>
      </c>
      <c r="K27" s="102"/>
      <c r="L27" s="103"/>
      <c r="M27" s="103"/>
      <c r="N27" s="103"/>
      <c r="O27" s="103"/>
      <c r="P27" s="103"/>
      <c r="Q27" s="104"/>
      <c r="R27" s="18"/>
      <c r="S27" s="18"/>
      <c r="T27" s="18"/>
      <c r="U27" s="18"/>
    </row>
    <row r="28" spans="1:24" ht="18" customHeight="1" x14ac:dyDescent="0.15">
      <c r="B28" s="94" t="s">
        <v>139</v>
      </c>
      <c r="C28" s="95"/>
      <c r="D28" s="95"/>
      <c r="E28" s="95"/>
      <c r="F28" s="96"/>
      <c r="G28" s="19">
        <v>2</v>
      </c>
      <c r="H28" s="19" t="s">
        <v>137</v>
      </c>
      <c r="I28" s="19" t="s">
        <v>137</v>
      </c>
      <c r="J28" s="19"/>
      <c r="K28" s="94"/>
      <c r="L28" s="95"/>
      <c r="M28" s="95"/>
      <c r="N28" s="95"/>
      <c r="O28" s="95"/>
      <c r="P28" s="95"/>
      <c r="Q28" s="96"/>
      <c r="R28" s="19"/>
      <c r="S28" s="19"/>
      <c r="T28" s="19"/>
      <c r="U28" s="19"/>
    </row>
    <row r="29" spans="1:24" ht="18" customHeight="1" x14ac:dyDescent="0.15">
      <c r="B29" s="94"/>
      <c r="C29" s="95"/>
      <c r="D29" s="95"/>
      <c r="E29" s="95"/>
      <c r="F29" s="96"/>
      <c r="G29" s="19"/>
      <c r="H29" s="19"/>
      <c r="I29" s="19"/>
      <c r="J29" s="19"/>
      <c r="K29" s="94"/>
      <c r="L29" s="95"/>
      <c r="M29" s="95"/>
      <c r="N29" s="95"/>
      <c r="O29" s="95"/>
      <c r="P29" s="95"/>
      <c r="Q29" s="96"/>
      <c r="R29" s="19"/>
      <c r="S29" s="19"/>
      <c r="T29" s="19"/>
      <c r="U29" s="19"/>
    </row>
    <row r="30" spans="1:24" ht="18" customHeight="1" x14ac:dyDescent="0.15">
      <c r="B30" s="94"/>
      <c r="C30" s="95"/>
      <c r="D30" s="95"/>
      <c r="E30" s="95"/>
      <c r="F30" s="96"/>
      <c r="G30" s="19"/>
      <c r="H30" s="19"/>
      <c r="I30" s="19"/>
      <c r="J30" s="19"/>
      <c r="K30" s="94"/>
      <c r="L30" s="95"/>
      <c r="M30" s="95"/>
      <c r="N30" s="95"/>
      <c r="O30" s="95"/>
      <c r="P30" s="95"/>
      <c r="Q30" s="96"/>
      <c r="R30" s="19"/>
      <c r="S30" s="19"/>
      <c r="T30" s="19"/>
      <c r="U30" s="19"/>
    </row>
    <row r="31" spans="1:24" ht="18" customHeight="1" x14ac:dyDescent="0.15">
      <c r="B31" s="94"/>
      <c r="C31" s="95"/>
      <c r="D31" s="95"/>
      <c r="E31" s="95"/>
      <c r="F31" s="96"/>
      <c r="G31" s="19"/>
      <c r="H31" s="19"/>
      <c r="I31" s="19"/>
      <c r="J31" s="19"/>
      <c r="K31" s="94"/>
      <c r="L31" s="95"/>
      <c r="M31" s="95"/>
      <c r="N31" s="95"/>
      <c r="O31" s="95"/>
      <c r="P31" s="95"/>
      <c r="Q31" s="96"/>
      <c r="R31" s="19"/>
      <c r="S31" s="19"/>
      <c r="T31" s="19"/>
      <c r="U31" s="19"/>
    </row>
    <row r="32" spans="1:24" ht="18" customHeight="1" x14ac:dyDescent="0.15">
      <c r="A32" s="3"/>
      <c r="B32" s="94"/>
      <c r="C32" s="95"/>
      <c r="D32" s="95"/>
      <c r="E32" s="95"/>
      <c r="F32" s="96"/>
      <c r="G32" s="19"/>
      <c r="H32" s="19"/>
      <c r="I32" s="19"/>
      <c r="J32" s="19"/>
      <c r="K32" s="94"/>
      <c r="L32" s="95"/>
      <c r="M32" s="95"/>
      <c r="N32" s="95"/>
      <c r="O32" s="95"/>
      <c r="P32" s="95"/>
      <c r="Q32" s="96"/>
      <c r="R32" s="19"/>
      <c r="S32" s="19"/>
      <c r="T32" s="19"/>
      <c r="U32" s="19"/>
    </row>
    <row r="33" spans="1:21" ht="18" customHeight="1" x14ac:dyDescent="0.15">
      <c r="A33" s="3"/>
      <c r="B33" s="97"/>
      <c r="C33" s="98"/>
      <c r="D33" s="98"/>
      <c r="E33" s="98"/>
      <c r="F33" s="99"/>
      <c r="G33" s="20"/>
      <c r="H33" s="20"/>
      <c r="I33" s="21"/>
      <c r="J33" s="21"/>
      <c r="K33" s="97"/>
      <c r="L33" s="98"/>
      <c r="M33" s="98"/>
      <c r="N33" s="98"/>
      <c r="O33" s="98"/>
      <c r="P33" s="98"/>
      <c r="Q33" s="99"/>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5" t="s">
        <v>101</v>
      </c>
      <c r="B35" s="105"/>
      <c r="C35" s="105"/>
      <c r="D35" s="105"/>
      <c r="E35" s="105"/>
      <c r="F35" s="105"/>
      <c r="G35" s="105"/>
      <c r="H35" s="105"/>
      <c r="I35" s="105"/>
      <c r="J35" s="105"/>
      <c r="K35" s="105"/>
      <c r="L35" s="105"/>
      <c r="M35" s="105"/>
      <c r="N35" s="105"/>
      <c r="O35" s="105"/>
      <c r="P35" s="105"/>
      <c r="Q35" s="105"/>
      <c r="R35" s="105"/>
      <c r="S35" s="105"/>
      <c r="T35" s="105"/>
      <c r="U35" s="105"/>
    </row>
    <row r="36" spans="1:21" ht="18" customHeight="1" x14ac:dyDescent="0.15">
      <c r="A36" s="105"/>
      <c r="B36" s="105"/>
      <c r="C36" s="105"/>
      <c r="D36" s="105"/>
      <c r="E36" s="105"/>
      <c r="F36" s="105"/>
      <c r="G36" s="105"/>
      <c r="H36" s="105"/>
      <c r="I36" s="105"/>
      <c r="J36" s="105"/>
      <c r="K36" s="105"/>
      <c r="L36" s="105"/>
      <c r="M36" s="105"/>
      <c r="N36" s="105"/>
      <c r="O36" s="105"/>
      <c r="P36" s="105"/>
      <c r="Q36" s="105"/>
      <c r="R36" s="105"/>
      <c r="S36" s="105"/>
      <c r="T36" s="105"/>
      <c r="U36" s="105"/>
    </row>
    <row r="37" spans="1:21" ht="18" customHeight="1" x14ac:dyDescent="0.15">
      <c r="B37" s="91" t="s">
        <v>50</v>
      </c>
      <c r="C37" s="92"/>
      <c r="D37" s="92"/>
      <c r="E37" s="92"/>
      <c r="F37" s="93"/>
      <c r="G37" s="51" t="s">
        <v>76</v>
      </c>
      <c r="H37" s="50" t="s">
        <v>79</v>
      </c>
      <c r="I37" s="17" t="s">
        <v>67</v>
      </c>
      <c r="J37" s="17" t="s">
        <v>68</v>
      </c>
      <c r="K37" s="91" t="s">
        <v>50</v>
      </c>
      <c r="L37" s="92"/>
      <c r="M37" s="92"/>
      <c r="N37" s="92"/>
      <c r="O37" s="92"/>
      <c r="P37" s="92"/>
      <c r="Q37" s="93"/>
      <c r="R37" s="51" t="s">
        <v>76</v>
      </c>
      <c r="S37" s="50" t="s">
        <v>79</v>
      </c>
      <c r="T37" s="17" t="s">
        <v>67</v>
      </c>
      <c r="U37" s="17" t="s">
        <v>68</v>
      </c>
    </row>
    <row r="38" spans="1:21" ht="18" customHeight="1" x14ac:dyDescent="0.15">
      <c r="B38" s="94" t="s">
        <v>138</v>
      </c>
      <c r="C38" s="95"/>
      <c r="D38" s="95"/>
      <c r="E38" s="95"/>
      <c r="F38" s="96"/>
      <c r="G38" s="18">
        <v>2</v>
      </c>
      <c r="H38" s="18" t="s">
        <v>137</v>
      </c>
      <c r="I38" s="18" t="s">
        <v>137</v>
      </c>
      <c r="J38" s="18" t="s">
        <v>137</v>
      </c>
      <c r="K38" s="102"/>
      <c r="L38" s="103"/>
      <c r="M38" s="103"/>
      <c r="N38" s="103"/>
      <c r="O38" s="103"/>
      <c r="P38" s="103"/>
      <c r="Q38" s="104"/>
      <c r="R38" s="18"/>
      <c r="S38" s="18"/>
      <c r="T38" s="18"/>
      <c r="U38" s="18"/>
    </row>
    <row r="39" spans="1:21" ht="18" customHeight="1" x14ac:dyDescent="0.15">
      <c r="B39" s="94"/>
      <c r="C39" s="95"/>
      <c r="D39" s="95"/>
      <c r="E39" s="95"/>
      <c r="F39" s="96"/>
      <c r="G39" s="19"/>
      <c r="H39" s="19"/>
      <c r="I39" s="19"/>
      <c r="J39" s="19"/>
      <c r="K39" s="94"/>
      <c r="L39" s="95"/>
      <c r="M39" s="95"/>
      <c r="N39" s="95"/>
      <c r="O39" s="95"/>
      <c r="P39" s="95"/>
      <c r="Q39" s="96"/>
      <c r="R39" s="19"/>
      <c r="S39" s="19"/>
      <c r="T39" s="19"/>
      <c r="U39" s="19"/>
    </row>
    <row r="40" spans="1:21" ht="18" customHeight="1" x14ac:dyDescent="0.15">
      <c r="B40" s="94"/>
      <c r="C40" s="95"/>
      <c r="D40" s="95"/>
      <c r="E40" s="95"/>
      <c r="F40" s="96"/>
      <c r="G40" s="19"/>
      <c r="H40" s="19"/>
      <c r="I40" s="19"/>
      <c r="J40" s="19"/>
      <c r="K40" s="94"/>
      <c r="L40" s="95"/>
      <c r="M40" s="95"/>
      <c r="N40" s="95"/>
      <c r="O40" s="95"/>
      <c r="P40" s="95"/>
      <c r="Q40" s="96"/>
      <c r="R40" s="19"/>
      <c r="S40" s="19"/>
      <c r="T40" s="19"/>
      <c r="U40" s="19"/>
    </row>
    <row r="41" spans="1:21" ht="18" customHeight="1" x14ac:dyDescent="0.15">
      <c r="B41" s="94"/>
      <c r="C41" s="95"/>
      <c r="D41" s="95"/>
      <c r="E41" s="95"/>
      <c r="F41" s="96"/>
      <c r="G41" s="19"/>
      <c r="H41" s="19"/>
      <c r="I41" s="19"/>
      <c r="J41" s="19"/>
      <c r="K41" s="94"/>
      <c r="L41" s="95"/>
      <c r="M41" s="95"/>
      <c r="N41" s="95"/>
      <c r="O41" s="95"/>
      <c r="P41" s="95"/>
      <c r="Q41" s="96"/>
      <c r="R41" s="19"/>
      <c r="S41" s="19"/>
      <c r="T41" s="19"/>
      <c r="U41" s="19"/>
    </row>
    <row r="42" spans="1:21" ht="18" customHeight="1" x14ac:dyDescent="0.15">
      <c r="B42" s="94"/>
      <c r="C42" s="95"/>
      <c r="D42" s="95"/>
      <c r="E42" s="95"/>
      <c r="F42" s="96"/>
      <c r="G42" s="19"/>
      <c r="H42" s="19"/>
      <c r="I42" s="19"/>
      <c r="J42" s="19"/>
      <c r="K42" s="94"/>
      <c r="L42" s="95"/>
      <c r="M42" s="95"/>
      <c r="N42" s="95"/>
      <c r="O42" s="95"/>
      <c r="P42" s="95"/>
      <c r="Q42" s="96"/>
      <c r="R42" s="19"/>
      <c r="S42" s="19"/>
      <c r="T42" s="19"/>
      <c r="U42" s="19"/>
    </row>
    <row r="43" spans="1:21" ht="18" customHeight="1" x14ac:dyDescent="0.15">
      <c r="B43" s="94"/>
      <c r="C43" s="95"/>
      <c r="D43" s="95"/>
      <c r="E43" s="95"/>
      <c r="F43" s="96"/>
      <c r="G43" s="19"/>
      <c r="H43" s="19"/>
      <c r="I43" s="19"/>
      <c r="J43" s="19"/>
      <c r="K43" s="94"/>
      <c r="L43" s="95"/>
      <c r="M43" s="95"/>
      <c r="N43" s="95"/>
      <c r="O43" s="95"/>
      <c r="P43" s="95"/>
      <c r="Q43" s="96"/>
      <c r="R43" s="19"/>
      <c r="S43" s="19"/>
      <c r="T43" s="19"/>
      <c r="U43" s="19"/>
    </row>
    <row r="44" spans="1:21" ht="18" customHeight="1" x14ac:dyDescent="0.15">
      <c r="B44" s="97"/>
      <c r="C44" s="98"/>
      <c r="D44" s="98"/>
      <c r="E44" s="98"/>
      <c r="F44" s="99"/>
      <c r="G44" s="20"/>
      <c r="H44" s="20"/>
      <c r="I44" s="21"/>
      <c r="J44" s="21"/>
      <c r="K44" s="97"/>
      <c r="L44" s="98"/>
      <c r="M44" s="98"/>
      <c r="N44" s="98"/>
      <c r="O44" s="98"/>
      <c r="P44" s="98"/>
      <c r="Q44" s="99"/>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5" t="s">
        <v>102</v>
      </c>
      <c r="B46" s="105"/>
      <c r="C46" s="105"/>
      <c r="D46" s="105"/>
      <c r="E46" s="105"/>
      <c r="F46" s="105"/>
      <c r="G46" s="105"/>
      <c r="H46" s="105"/>
      <c r="I46" s="105"/>
      <c r="J46" s="105"/>
      <c r="K46" s="105"/>
      <c r="L46" s="105"/>
      <c r="M46" s="105"/>
      <c r="N46" s="105"/>
      <c r="O46" s="105"/>
      <c r="P46" s="105"/>
      <c r="Q46" s="105"/>
      <c r="R46" s="105"/>
      <c r="S46" s="105"/>
      <c r="T46" s="105"/>
      <c r="U46" s="105"/>
    </row>
    <row r="47" spans="1:21" ht="18" customHeight="1" x14ac:dyDescent="0.15">
      <c r="A47" s="105"/>
      <c r="B47" s="105"/>
      <c r="C47" s="105"/>
      <c r="D47" s="105"/>
      <c r="E47" s="105"/>
      <c r="F47" s="105"/>
      <c r="G47" s="105"/>
      <c r="H47" s="105"/>
      <c r="I47" s="105"/>
      <c r="J47" s="105"/>
      <c r="K47" s="105"/>
      <c r="L47" s="105"/>
      <c r="M47" s="105"/>
      <c r="N47" s="105"/>
      <c r="O47" s="105"/>
      <c r="P47" s="105"/>
      <c r="Q47" s="105"/>
      <c r="R47" s="105"/>
      <c r="S47" s="105"/>
      <c r="T47" s="105"/>
      <c r="U47" s="105"/>
    </row>
    <row r="48" spans="1:21" ht="18" customHeight="1" x14ac:dyDescent="0.15">
      <c r="B48" s="91" t="s">
        <v>50</v>
      </c>
      <c r="C48" s="92"/>
      <c r="D48" s="92"/>
      <c r="E48" s="92"/>
      <c r="F48" s="93"/>
      <c r="G48" s="51" t="s">
        <v>76</v>
      </c>
      <c r="H48" s="50" t="s">
        <v>79</v>
      </c>
      <c r="I48" s="17" t="s">
        <v>69</v>
      </c>
      <c r="J48" s="17" t="s">
        <v>70</v>
      </c>
      <c r="K48" s="91" t="s">
        <v>50</v>
      </c>
      <c r="L48" s="92"/>
      <c r="M48" s="92"/>
      <c r="N48" s="92"/>
      <c r="O48" s="92"/>
      <c r="P48" s="92"/>
      <c r="Q48" s="93"/>
      <c r="R48" s="51" t="s">
        <v>76</v>
      </c>
      <c r="S48" s="50" t="s">
        <v>79</v>
      </c>
      <c r="T48" s="17" t="s">
        <v>69</v>
      </c>
      <c r="U48" s="17" t="s">
        <v>70</v>
      </c>
    </row>
    <row r="49" spans="1:21" ht="18" customHeight="1" x14ac:dyDescent="0.15">
      <c r="A49" s="3"/>
      <c r="B49" s="94" t="s">
        <v>138</v>
      </c>
      <c r="C49" s="95"/>
      <c r="D49" s="95"/>
      <c r="E49" s="95"/>
      <c r="F49" s="96"/>
      <c r="G49" s="18">
        <v>2</v>
      </c>
      <c r="H49" s="18" t="s">
        <v>137</v>
      </c>
      <c r="I49" s="18" t="s">
        <v>137</v>
      </c>
      <c r="J49" s="18" t="s">
        <v>137</v>
      </c>
      <c r="K49" s="102"/>
      <c r="L49" s="103"/>
      <c r="M49" s="103"/>
      <c r="N49" s="103"/>
      <c r="O49" s="103"/>
      <c r="P49" s="103"/>
      <c r="Q49" s="104"/>
      <c r="R49" s="18"/>
      <c r="S49" s="18"/>
      <c r="T49" s="18"/>
      <c r="U49" s="18"/>
    </row>
    <row r="50" spans="1:21" ht="18" customHeight="1" x14ac:dyDescent="0.15">
      <c r="A50" s="3"/>
      <c r="B50" s="94"/>
      <c r="C50" s="95"/>
      <c r="D50" s="95"/>
      <c r="E50" s="95"/>
      <c r="F50" s="96"/>
      <c r="G50" s="19"/>
      <c r="H50" s="19"/>
      <c r="I50" s="19"/>
      <c r="J50" s="19"/>
      <c r="K50" s="94"/>
      <c r="L50" s="95"/>
      <c r="M50" s="95"/>
      <c r="N50" s="95"/>
      <c r="O50" s="95"/>
      <c r="P50" s="95"/>
      <c r="Q50" s="96"/>
      <c r="R50" s="19"/>
      <c r="S50" s="19"/>
      <c r="T50" s="19"/>
      <c r="U50" s="19"/>
    </row>
    <row r="51" spans="1:21" ht="18" customHeight="1" x14ac:dyDescent="0.15">
      <c r="A51" s="3"/>
      <c r="B51" s="94"/>
      <c r="C51" s="95"/>
      <c r="D51" s="95"/>
      <c r="E51" s="95"/>
      <c r="F51" s="96"/>
      <c r="G51" s="19"/>
      <c r="H51" s="19"/>
      <c r="I51" s="19"/>
      <c r="J51" s="19"/>
      <c r="K51" s="94"/>
      <c r="L51" s="95"/>
      <c r="M51" s="95"/>
      <c r="N51" s="95"/>
      <c r="O51" s="95"/>
      <c r="P51" s="95"/>
      <c r="Q51" s="96"/>
      <c r="R51" s="19"/>
      <c r="S51" s="19"/>
      <c r="T51" s="19"/>
      <c r="U51" s="19"/>
    </row>
    <row r="52" spans="1:21" ht="18" customHeight="1" x14ac:dyDescent="0.15">
      <c r="A52" s="3"/>
      <c r="B52" s="94"/>
      <c r="C52" s="95"/>
      <c r="D52" s="95"/>
      <c r="E52" s="95"/>
      <c r="F52" s="96"/>
      <c r="G52" s="19"/>
      <c r="H52" s="19"/>
      <c r="I52" s="19"/>
      <c r="J52" s="19"/>
      <c r="K52" s="94"/>
      <c r="L52" s="95"/>
      <c r="M52" s="95"/>
      <c r="N52" s="95"/>
      <c r="O52" s="95"/>
      <c r="P52" s="95"/>
      <c r="Q52" s="96"/>
      <c r="R52" s="19"/>
      <c r="S52" s="19"/>
      <c r="T52" s="19"/>
      <c r="U52" s="19"/>
    </row>
    <row r="53" spans="1:21" ht="18" customHeight="1" x14ac:dyDescent="0.15">
      <c r="A53" s="3"/>
      <c r="B53" s="94"/>
      <c r="C53" s="95"/>
      <c r="D53" s="95"/>
      <c r="E53" s="95"/>
      <c r="F53" s="96"/>
      <c r="G53" s="19"/>
      <c r="H53" s="19"/>
      <c r="I53" s="19"/>
      <c r="J53" s="19"/>
      <c r="K53" s="94"/>
      <c r="L53" s="95"/>
      <c r="M53" s="95"/>
      <c r="N53" s="95"/>
      <c r="O53" s="95"/>
      <c r="P53" s="95"/>
      <c r="Q53" s="96"/>
      <c r="R53" s="19"/>
      <c r="S53" s="19"/>
      <c r="T53" s="19"/>
      <c r="U53" s="19"/>
    </row>
    <row r="54" spans="1:21" ht="18" customHeight="1" x14ac:dyDescent="0.15">
      <c r="A54" s="3"/>
      <c r="B54" s="94"/>
      <c r="C54" s="95"/>
      <c r="D54" s="95"/>
      <c r="E54" s="95"/>
      <c r="F54" s="96"/>
      <c r="G54" s="19"/>
      <c r="H54" s="19"/>
      <c r="I54" s="19"/>
      <c r="J54" s="19"/>
      <c r="K54" s="94"/>
      <c r="L54" s="95"/>
      <c r="M54" s="95"/>
      <c r="N54" s="95"/>
      <c r="O54" s="95"/>
      <c r="P54" s="95"/>
      <c r="Q54" s="96"/>
      <c r="R54" s="19"/>
      <c r="S54" s="19"/>
      <c r="T54" s="19"/>
      <c r="U54" s="19"/>
    </row>
    <row r="55" spans="1:21" ht="18" customHeight="1" x14ac:dyDescent="0.15">
      <c r="A55" s="3"/>
      <c r="B55" s="97"/>
      <c r="C55" s="98"/>
      <c r="D55" s="98"/>
      <c r="E55" s="98"/>
      <c r="F55" s="99"/>
      <c r="G55" s="20"/>
      <c r="H55" s="20"/>
      <c r="I55" s="21"/>
      <c r="J55" s="21"/>
      <c r="K55" s="97"/>
      <c r="L55" s="98"/>
      <c r="M55" s="98"/>
      <c r="N55" s="98"/>
      <c r="O55" s="98"/>
      <c r="P55" s="98"/>
      <c r="Q55" s="99"/>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5" t="s">
        <v>103</v>
      </c>
      <c r="B57" s="105"/>
      <c r="C57" s="105"/>
      <c r="D57" s="105"/>
      <c r="E57" s="105"/>
      <c r="F57" s="105"/>
      <c r="G57" s="105"/>
      <c r="H57" s="105"/>
      <c r="I57" s="105"/>
      <c r="J57" s="105"/>
      <c r="K57" s="105"/>
      <c r="L57" s="105"/>
      <c r="M57" s="105"/>
      <c r="N57" s="105"/>
      <c r="O57" s="105"/>
      <c r="P57" s="105"/>
      <c r="Q57" s="105"/>
      <c r="R57" s="105"/>
      <c r="S57" s="105"/>
      <c r="T57" s="105"/>
      <c r="U57" s="105"/>
    </row>
    <row r="58" spans="1:21" ht="18" customHeight="1" x14ac:dyDescent="0.15">
      <c r="A58" s="105"/>
      <c r="B58" s="105"/>
      <c r="C58" s="105"/>
      <c r="D58" s="105"/>
      <c r="E58" s="105"/>
      <c r="F58" s="105"/>
      <c r="G58" s="105"/>
      <c r="H58" s="105"/>
      <c r="I58" s="105"/>
      <c r="J58" s="105"/>
      <c r="K58" s="105"/>
      <c r="L58" s="105"/>
      <c r="M58" s="105"/>
      <c r="N58" s="105"/>
      <c r="O58" s="105"/>
      <c r="P58" s="105"/>
      <c r="Q58" s="105"/>
      <c r="R58" s="105"/>
      <c r="S58" s="105"/>
      <c r="T58" s="105"/>
      <c r="U58" s="105"/>
    </row>
    <row r="59" spans="1:21" ht="18" customHeight="1" x14ac:dyDescent="0.15">
      <c r="B59" s="91" t="s">
        <v>50</v>
      </c>
      <c r="C59" s="92"/>
      <c r="D59" s="92"/>
      <c r="E59" s="92"/>
      <c r="F59" s="93"/>
      <c r="G59" s="51" t="s">
        <v>76</v>
      </c>
      <c r="H59" s="50" t="s">
        <v>79</v>
      </c>
      <c r="I59" s="17" t="s">
        <v>55</v>
      </c>
      <c r="J59" s="17" t="s">
        <v>57</v>
      </c>
      <c r="K59" s="91" t="s">
        <v>50</v>
      </c>
      <c r="L59" s="92"/>
      <c r="M59" s="92"/>
      <c r="N59" s="92"/>
      <c r="O59" s="92"/>
      <c r="P59" s="92"/>
      <c r="Q59" s="93"/>
      <c r="R59" s="51" t="s">
        <v>76</v>
      </c>
      <c r="S59" s="50" t="s">
        <v>79</v>
      </c>
      <c r="T59" s="17" t="s">
        <v>55</v>
      </c>
      <c r="U59" s="17" t="s">
        <v>57</v>
      </c>
    </row>
    <row r="60" spans="1:21" ht="18" customHeight="1" x14ac:dyDescent="0.15">
      <c r="A60" s="3"/>
      <c r="B60" s="94" t="s">
        <v>138</v>
      </c>
      <c r="C60" s="95"/>
      <c r="D60" s="95"/>
      <c r="E60" s="95"/>
      <c r="F60" s="96"/>
      <c r="G60" s="18">
        <v>2</v>
      </c>
      <c r="H60" s="18" t="s">
        <v>137</v>
      </c>
      <c r="I60" s="18" t="s">
        <v>137</v>
      </c>
      <c r="J60" s="18"/>
      <c r="K60" s="102"/>
      <c r="L60" s="103"/>
      <c r="M60" s="103"/>
      <c r="N60" s="103"/>
      <c r="O60" s="103"/>
      <c r="P60" s="103"/>
      <c r="Q60" s="104"/>
      <c r="R60" s="18"/>
      <c r="S60" s="18"/>
      <c r="T60" s="18"/>
      <c r="U60" s="18"/>
    </row>
    <row r="61" spans="1:21" ht="18" customHeight="1" x14ac:dyDescent="0.15">
      <c r="A61" s="3"/>
      <c r="B61" s="94" t="s">
        <v>139</v>
      </c>
      <c r="C61" s="95"/>
      <c r="D61" s="95"/>
      <c r="E61" s="95"/>
      <c r="F61" s="96"/>
      <c r="G61" s="19">
        <v>2</v>
      </c>
      <c r="H61" s="19" t="s">
        <v>137</v>
      </c>
      <c r="I61" s="19"/>
      <c r="J61" s="19" t="s">
        <v>137</v>
      </c>
      <c r="K61" s="94"/>
      <c r="L61" s="95"/>
      <c r="M61" s="95"/>
      <c r="N61" s="95"/>
      <c r="O61" s="95"/>
      <c r="P61" s="95"/>
      <c r="Q61" s="96"/>
      <c r="R61" s="19"/>
      <c r="S61" s="19"/>
      <c r="T61" s="19"/>
      <c r="U61" s="19"/>
    </row>
    <row r="62" spans="1:21" ht="18" customHeight="1" x14ac:dyDescent="0.15">
      <c r="A62" s="3"/>
      <c r="B62" s="94"/>
      <c r="C62" s="95"/>
      <c r="D62" s="95"/>
      <c r="E62" s="95"/>
      <c r="F62" s="96"/>
      <c r="G62" s="19"/>
      <c r="H62" s="19"/>
      <c r="I62" s="19"/>
      <c r="J62" s="19"/>
      <c r="K62" s="94"/>
      <c r="L62" s="95"/>
      <c r="M62" s="95"/>
      <c r="N62" s="95"/>
      <c r="O62" s="95"/>
      <c r="P62" s="95"/>
      <c r="Q62" s="96"/>
      <c r="R62" s="19"/>
      <c r="S62" s="19"/>
      <c r="T62" s="19"/>
      <c r="U62" s="19"/>
    </row>
    <row r="63" spans="1:21" ht="18" customHeight="1" x14ac:dyDescent="0.15">
      <c r="A63" s="3"/>
      <c r="B63" s="94"/>
      <c r="C63" s="95"/>
      <c r="D63" s="95"/>
      <c r="E63" s="95"/>
      <c r="F63" s="96"/>
      <c r="G63" s="19"/>
      <c r="H63" s="19"/>
      <c r="I63" s="19"/>
      <c r="J63" s="19"/>
      <c r="K63" s="94"/>
      <c r="L63" s="95"/>
      <c r="M63" s="95"/>
      <c r="N63" s="95"/>
      <c r="O63" s="95"/>
      <c r="P63" s="95"/>
      <c r="Q63" s="96"/>
      <c r="R63" s="19"/>
      <c r="S63" s="19"/>
      <c r="T63" s="19"/>
      <c r="U63" s="19"/>
    </row>
    <row r="64" spans="1:21" ht="18" customHeight="1" x14ac:dyDescent="0.15">
      <c r="A64" s="3"/>
      <c r="B64" s="94"/>
      <c r="C64" s="95"/>
      <c r="D64" s="95"/>
      <c r="E64" s="95"/>
      <c r="F64" s="96"/>
      <c r="G64" s="19"/>
      <c r="H64" s="19"/>
      <c r="I64" s="19"/>
      <c r="J64" s="19"/>
      <c r="K64" s="94"/>
      <c r="L64" s="95"/>
      <c r="M64" s="95"/>
      <c r="N64" s="95"/>
      <c r="O64" s="95"/>
      <c r="P64" s="95"/>
      <c r="Q64" s="96"/>
      <c r="R64" s="19"/>
      <c r="S64" s="19"/>
      <c r="T64" s="19"/>
      <c r="U64" s="19"/>
    </row>
    <row r="65" spans="1:21" ht="18" customHeight="1" x14ac:dyDescent="0.15">
      <c r="A65" s="3"/>
      <c r="B65" s="94"/>
      <c r="C65" s="95"/>
      <c r="D65" s="95"/>
      <c r="E65" s="95"/>
      <c r="F65" s="96"/>
      <c r="G65" s="19"/>
      <c r="H65" s="19"/>
      <c r="I65" s="19"/>
      <c r="J65" s="19"/>
      <c r="K65" s="94"/>
      <c r="L65" s="95"/>
      <c r="M65" s="95"/>
      <c r="N65" s="95"/>
      <c r="O65" s="95"/>
      <c r="P65" s="95"/>
      <c r="Q65" s="96"/>
      <c r="R65" s="19"/>
      <c r="S65" s="19"/>
      <c r="T65" s="19"/>
      <c r="U65" s="19"/>
    </row>
    <row r="66" spans="1:21" ht="18" customHeight="1" x14ac:dyDescent="0.15">
      <c r="A66" s="3"/>
      <c r="B66" s="97"/>
      <c r="C66" s="98"/>
      <c r="D66" s="98"/>
      <c r="E66" s="98"/>
      <c r="F66" s="99"/>
      <c r="G66" s="20"/>
      <c r="H66" s="20"/>
      <c r="I66" s="21"/>
      <c r="J66" s="21"/>
      <c r="K66" s="97"/>
      <c r="L66" s="98"/>
      <c r="M66" s="98"/>
      <c r="N66" s="98"/>
      <c r="O66" s="98"/>
      <c r="P66" s="98"/>
      <c r="Q66" s="99"/>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5" t="s">
        <v>104</v>
      </c>
      <c r="B68" s="105"/>
      <c r="C68" s="105"/>
      <c r="D68" s="105"/>
      <c r="E68" s="105"/>
      <c r="F68" s="105"/>
      <c r="G68" s="105"/>
      <c r="H68" s="105"/>
      <c r="I68" s="105"/>
      <c r="J68" s="105"/>
      <c r="K68" s="105"/>
      <c r="L68" s="105"/>
      <c r="M68" s="105"/>
      <c r="N68" s="105"/>
      <c r="O68" s="105"/>
      <c r="P68" s="105"/>
      <c r="Q68" s="105"/>
      <c r="R68" s="105"/>
      <c r="S68" s="105"/>
      <c r="T68" s="105"/>
      <c r="U68" s="105"/>
    </row>
    <row r="69" spans="1:21" ht="18" customHeight="1" x14ac:dyDescent="0.15">
      <c r="A69" s="105"/>
      <c r="B69" s="105"/>
      <c r="C69" s="105"/>
      <c r="D69" s="105"/>
      <c r="E69" s="105"/>
      <c r="F69" s="105"/>
      <c r="G69" s="105"/>
      <c r="H69" s="105"/>
      <c r="I69" s="105"/>
      <c r="J69" s="105"/>
      <c r="K69" s="105"/>
      <c r="L69" s="105"/>
      <c r="M69" s="105"/>
      <c r="N69" s="105"/>
      <c r="O69" s="105"/>
      <c r="P69" s="105"/>
      <c r="Q69" s="105"/>
      <c r="R69" s="105"/>
      <c r="S69" s="105"/>
      <c r="T69" s="105"/>
      <c r="U69" s="105"/>
    </row>
    <row r="70" spans="1:21" ht="18" customHeight="1" x14ac:dyDescent="0.15">
      <c r="B70" s="91" t="s">
        <v>50</v>
      </c>
      <c r="C70" s="92"/>
      <c r="D70" s="92"/>
      <c r="E70" s="92"/>
      <c r="F70" s="51" t="s">
        <v>76</v>
      </c>
      <c r="G70" s="50" t="s">
        <v>79</v>
      </c>
      <c r="H70" s="17" t="s">
        <v>91</v>
      </c>
      <c r="I70" s="17" t="s">
        <v>71</v>
      </c>
      <c r="J70" s="17" t="s">
        <v>72</v>
      </c>
      <c r="K70" s="91" t="s">
        <v>50</v>
      </c>
      <c r="L70" s="92"/>
      <c r="M70" s="92"/>
      <c r="N70" s="92"/>
      <c r="O70" s="92"/>
      <c r="P70" s="93"/>
      <c r="Q70" s="51" t="s">
        <v>76</v>
      </c>
      <c r="R70" s="50" t="s">
        <v>79</v>
      </c>
      <c r="S70" s="17" t="s">
        <v>91</v>
      </c>
      <c r="T70" s="17" t="s">
        <v>71</v>
      </c>
      <c r="U70" s="17" t="s">
        <v>72</v>
      </c>
    </row>
    <row r="71" spans="1:21" ht="18" customHeight="1" x14ac:dyDescent="0.15">
      <c r="A71" s="3"/>
      <c r="B71" s="102" t="s">
        <v>136</v>
      </c>
      <c r="C71" s="103"/>
      <c r="D71" s="103"/>
      <c r="E71" s="103"/>
      <c r="F71" s="18">
        <v>1</v>
      </c>
      <c r="G71" s="18" t="s">
        <v>137</v>
      </c>
      <c r="H71" s="18" t="s">
        <v>137</v>
      </c>
      <c r="I71" s="18" t="s">
        <v>137</v>
      </c>
      <c r="J71" s="18" t="s">
        <v>137</v>
      </c>
      <c r="K71" s="102"/>
      <c r="L71" s="103"/>
      <c r="M71" s="103"/>
      <c r="N71" s="103"/>
      <c r="O71" s="103"/>
      <c r="P71" s="104"/>
      <c r="Q71" s="18"/>
      <c r="R71" s="18"/>
      <c r="S71" s="18"/>
      <c r="T71" s="18"/>
      <c r="U71" s="18"/>
    </row>
    <row r="72" spans="1:21" ht="18" customHeight="1" x14ac:dyDescent="0.15">
      <c r="A72" s="3"/>
      <c r="B72" s="94" t="s">
        <v>140</v>
      </c>
      <c r="C72" s="95"/>
      <c r="D72" s="95"/>
      <c r="E72" s="95"/>
      <c r="F72" s="19">
        <v>2</v>
      </c>
      <c r="G72" s="19"/>
      <c r="H72" s="19" t="s">
        <v>137</v>
      </c>
      <c r="I72" s="19" t="s">
        <v>137</v>
      </c>
      <c r="J72" s="19" t="s">
        <v>137</v>
      </c>
      <c r="K72" s="94"/>
      <c r="L72" s="95"/>
      <c r="M72" s="95"/>
      <c r="N72" s="95"/>
      <c r="O72" s="95"/>
      <c r="P72" s="96"/>
      <c r="Q72" s="19"/>
      <c r="R72" s="19"/>
      <c r="S72" s="19"/>
      <c r="T72" s="19"/>
      <c r="U72" s="19"/>
    </row>
    <row r="73" spans="1:21" ht="18" customHeight="1" x14ac:dyDescent="0.15">
      <c r="A73" s="3"/>
      <c r="B73" s="94"/>
      <c r="C73" s="95"/>
      <c r="D73" s="95"/>
      <c r="E73" s="96"/>
      <c r="F73" s="19"/>
      <c r="G73" s="19"/>
      <c r="H73" s="19"/>
      <c r="I73" s="19"/>
      <c r="J73" s="19"/>
      <c r="K73" s="94"/>
      <c r="L73" s="95"/>
      <c r="M73" s="95"/>
      <c r="N73" s="95"/>
      <c r="O73" s="95"/>
      <c r="P73" s="96"/>
      <c r="Q73" s="19"/>
      <c r="R73" s="19"/>
      <c r="S73" s="19"/>
      <c r="T73" s="19"/>
      <c r="U73" s="19"/>
    </row>
    <row r="74" spans="1:21" ht="18" customHeight="1" x14ac:dyDescent="0.15">
      <c r="A74" s="3"/>
      <c r="B74" s="94"/>
      <c r="C74" s="95"/>
      <c r="D74" s="95"/>
      <c r="E74" s="95"/>
      <c r="F74" s="19"/>
      <c r="G74" s="19"/>
      <c r="H74" s="19"/>
      <c r="I74" s="19"/>
      <c r="J74" s="19"/>
      <c r="K74" s="94"/>
      <c r="L74" s="95"/>
      <c r="M74" s="95"/>
      <c r="N74" s="95"/>
      <c r="O74" s="95"/>
      <c r="P74" s="96"/>
      <c r="Q74" s="19"/>
      <c r="R74" s="19"/>
      <c r="S74" s="19"/>
      <c r="T74" s="19"/>
      <c r="U74" s="19"/>
    </row>
    <row r="75" spans="1:21" ht="18" customHeight="1" x14ac:dyDescent="0.15">
      <c r="A75" s="3"/>
      <c r="B75" s="94"/>
      <c r="C75" s="95"/>
      <c r="D75" s="95"/>
      <c r="E75" s="95"/>
      <c r="F75" s="19"/>
      <c r="G75" s="19"/>
      <c r="H75" s="19"/>
      <c r="I75" s="19"/>
      <c r="J75" s="19"/>
      <c r="K75" s="94"/>
      <c r="L75" s="95"/>
      <c r="M75" s="95"/>
      <c r="N75" s="95"/>
      <c r="O75" s="95"/>
      <c r="P75" s="96"/>
      <c r="Q75" s="19"/>
      <c r="R75" s="19"/>
      <c r="S75" s="19"/>
      <c r="T75" s="19"/>
      <c r="U75" s="19"/>
    </row>
    <row r="76" spans="1:21" ht="18" customHeight="1" x14ac:dyDescent="0.15">
      <c r="A76" s="3"/>
      <c r="B76" s="94"/>
      <c r="C76" s="95"/>
      <c r="D76" s="95"/>
      <c r="E76" s="95"/>
      <c r="F76" s="19"/>
      <c r="G76" s="19"/>
      <c r="H76" s="19"/>
      <c r="I76" s="19"/>
      <c r="J76" s="19"/>
      <c r="K76" s="94"/>
      <c r="L76" s="95"/>
      <c r="M76" s="95"/>
      <c r="N76" s="95"/>
      <c r="O76" s="95"/>
      <c r="P76" s="96"/>
      <c r="Q76" s="19"/>
      <c r="R76" s="19"/>
      <c r="S76" s="19"/>
      <c r="T76" s="19"/>
      <c r="U76" s="19"/>
    </row>
    <row r="77" spans="1:21" ht="18" customHeight="1" x14ac:dyDescent="0.15">
      <c r="A77" s="3"/>
      <c r="B77" s="97"/>
      <c r="C77" s="98"/>
      <c r="D77" s="98"/>
      <c r="E77" s="98"/>
      <c r="F77" s="20"/>
      <c r="G77" s="20"/>
      <c r="H77" s="21"/>
      <c r="I77" s="21"/>
      <c r="J77" s="21"/>
      <c r="K77" s="97"/>
      <c r="L77" s="98"/>
      <c r="M77" s="98"/>
      <c r="N77" s="98"/>
      <c r="O77" s="98"/>
      <c r="P77" s="99"/>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105</v>
      </c>
      <c r="I79" s="3"/>
      <c r="J79" s="3"/>
      <c r="K79" s="3"/>
      <c r="L79" s="3"/>
      <c r="M79" s="3"/>
      <c r="N79" s="3"/>
      <c r="O79" s="3"/>
      <c r="P79" s="3"/>
      <c r="Q79" s="3"/>
      <c r="R79" s="3"/>
      <c r="S79" s="3"/>
      <c r="T79" s="3"/>
      <c r="U79" s="3"/>
    </row>
    <row r="80" spans="1:21" ht="18" customHeight="1" x14ac:dyDescent="0.15">
      <c r="B80" s="91" t="s">
        <v>50</v>
      </c>
      <c r="C80" s="92"/>
      <c r="D80" s="92"/>
      <c r="E80" s="92"/>
      <c r="F80" s="93"/>
      <c r="G80" s="91" t="s">
        <v>77</v>
      </c>
      <c r="H80" s="92"/>
      <c r="I80" s="92"/>
      <c r="J80" s="93"/>
      <c r="K80" s="111" t="s">
        <v>50</v>
      </c>
      <c r="L80" s="112"/>
      <c r="M80" s="112"/>
      <c r="N80" s="112"/>
      <c r="O80" s="112"/>
      <c r="P80" s="112"/>
      <c r="Q80" s="113"/>
      <c r="R80" s="91" t="s">
        <v>77</v>
      </c>
      <c r="S80" s="92"/>
      <c r="T80" s="92"/>
      <c r="U80" s="93"/>
    </row>
    <row r="81" spans="1:21" ht="18" customHeight="1" x14ac:dyDescent="0.15">
      <c r="A81" s="3"/>
      <c r="B81" s="102"/>
      <c r="C81" s="103"/>
      <c r="D81" s="103"/>
      <c r="E81" s="103"/>
      <c r="F81" s="104"/>
      <c r="G81" s="106"/>
      <c r="H81" s="107"/>
      <c r="I81" s="107"/>
      <c r="J81" s="108"/>
      <c r="K81" s="102"/>
      <c r="L81" s="103"/>
      <c r="M81" s="103"/>
      <c r="N81" s="103"/>
      <c r="O81" s="103"/>
      <c r="P81" s="103"/>
      <c r="Q81" s="104"/>
      <c r="R81" s="106"/>
      <c r="S81" s="107"/>
      <c r="T81" s="107"/>
      <c r="U81" s="108"/>
    </row>
    <row r="82" spans="1:21" ht="18" customHeight="1" x14ac:dyDescent="0.15">
      <c r="A82" s="3"/>
      <c r="B82" s="94"/>
      <c r="C82" s="95"/>
      <c r="D82" s="95"/>
      <c r="E82" s="95"/>
      <c r="F82" s="96"/>
      <c r="G82" s="88"/>
      <c r="H82" s="89"/>
      <c r="I82" s="89"/>
      <c r="J82" s="90"/>
      <c r="K82" s="94"/>
      <c r="L82" s="95"/>
      <c r="M82" s="95"/>
      <c r="N82" s="95"/>
      <c r="O82" s="95"/>
      <c r="P82" s="95"/>
      <c r="Q82" s="96"/>
      <c r="R82" s="88"/>
      <c r="S82" s="89"/>
      <c r="T82" s="89"/>
      <c r="U82" s="90"/>
    </row>
    <row r="83" spans="1:21" ht="18" customHeight="1" x14ac:dyDescent="0.15">
      <c r="A83" s="3"/>
      <c r="B83" s="94"/>
      <c r="C83" s="95"/>
      <c r="D83" s="95"/>
      <c r="E83" s="95"/>
      <c r="F83" s="96"/>
      <c r="G83" s="88"/>
      <c r="H83" s="89"/>
      <c r="I83" s="89"/>
      <c r="J83" s="90"/>
      <c r="K83" s="94"/>
      <c r="L83" s="95"/>
      <c r="M83" s="95"/>
      <c r="N83" s="95"/>
      <c r="O83" s="95"/>
      <c r="P83" s="95"/>
      <c r="Q83" s="96"/>
      <c r="R83" s="88"/>
      <c r="S83" s="89"/>
      <c r="T83" s="89"/>
      <c r="U83" s="90"/>
    </row>
    <row r="84" spans="1:21" ht="18" customHeight="1" x14ac:dyDescent="0.15">
      <c r="A84" s="3"/>
      <c r="B84" s="94"/>
      <c r="C84" s="95"/>
      <c r="D84" s="95"/>
      <c r="E84" s="95"/>
      <c r="F84" s="96"/>
      <c r="G84" s="88"/>
      <c r="H84" s="89"/>
      <c r="I84" s="89"/>
      <c r="J84" s="90"/>
      <c r="K84" s="94"/>
      <c r="L84" s="95"/>
      <c r="M84" s="95"/>
      <c r="N84" s="95"/>
      <c r="O84" s="95"/>
      <c r="P84" s="95"/>
      <c r="Q84" s="96"/>
      <c r="R84" s="88"/>
      <c r="S84" s="89"/>
      <c r="T84" s="89"/>
      <c r="U84" s="90"/>
    </row>
    <row r="85" spans="1:21" ht="18" customHeight="1" x14ac:dyDescent="0.15">
      <c r="A85" s="3"/>
      <c r="B85" s="94"/>
      <c r="C85" s="95"/>
      <c r="D85" s="95"/>
      <c r="E85" s="95"/>
      <c r="F85" s="96"/>
      <c r="G85" s="88"/>
      <c r="H85" s="89"/>
      <c r="I85" s="89"/>
      <c r="J85" s="90"/>
      <c r="K85" s="94"/>
      <c r="L85" s="95"/>
      <c r="M85" s="95"/>
      <c r="N85" s="95"/>
      <c r="O85" s="95"/>
      <c r="P85" s="95"/>
      <c r="Q85" s="96"/>
      <c r="R85" s="88"/>
      <c r="S85" s="89"/>
      <c r="T85" s="89"/>
      <c r="U85" s="90"/>
    </row>
    <row r="86" spans="1:21" ht="18" customHeight="1" x14ac:dyDescent="0.15">
      <c r="A86" s="3"/>
      <c r="B86" s="94"/>
      <c r="C86" s="95"/>
      <c r="D86" s="95"/>
      <c r="E86" s="95"/>
      <c r="F86" s="96"/>
      <c r="G86" s="88"/>
      <c r="H86" s="89"/>
      <c r="I86" s="89"/>
      <c r="J86" s="90"/>
      <c r="K86" s="94"/>
      <c r="L86" s="95"/>
      <c r="M86" s="95"/>
      <c r="N86" s="95"/>
      <c r="O86" s="95"/>
      <c r="P86" s="95"/>
      <c r="Q86" s="96"/>
      <c r="R86" s="88"/>
      <c r="S86" s="89"/>
      <c r="T86" s="89"/>
      <c r="U86" s="90"/>
    </row>
    <row r="87" spans="1:21" ht="18" customHeight="1" x14ac:dyDescent="0.15">
      <c r="A87" s="3"/>
      <c r="B87" s="97"/>
      <c r="C87" s="98"/>
      <c r="D87" s="98"/>
      <c r="E87" s="98"/>
      <c r="F87" s="99"/>
      <c r="G87" s="129"/>
      <c r="H87" s="130"/>
      <c r="I87" s="130"/>
      <c r="J87" s="131"/>
      <c r="K87" s="97"/>
      <c r="L87" s="98"/>
      <c r="M87" s="98"/>
      <c r="N87" s="98"/>
      <c r="O87" s="98"/>
      <c r="P87" s="98"/>
      <c r="Q87" s="99"/>
      <c r="R87" s="129"/>
      <c r="S87" s="130"/>
      <c r="T87" s="130"/>
      <c r="U87" s="131"/>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106</v>
      </c>
    </row>
    <row r="90" spans="1:21" ht="18.75" customHeight="1" x14ac:dyDescent="0.15">
      <c r="B90" s="132" t="s">
        <v>51</v>
      </c>
      <c r="C90" s="133"/>
      <c r="D90" s="91" t="s">
        <v>52</v>
      </c>
      <c r="E90" s="92"/>
      <c r="F90" s="92"/>
      <c r="G90" s="92"/>
      <c r="H90" s="92"/>
      <c r="I90" s="92"/>
      <c r="J90" s="92"/>
      <c r="K90" s="92"/>
      <c r="L90" s="92"/>
      <c r="M90" s="92"/>
      <c r="N90" s="92"/>
      <c r="O90" s="92"/>
      <c r="P90" s="92"/>
      <c r="Q90" s="92"/>
      <c r="R90" s="92"/>
      <c r="S90" s="92"/>
      <c r="T90" s="92"/>
      <c r="U90" s="93"/>
    </row>
    <row r="91" spans="1:21" ht="97.5" customHeight="1" x14ac:dyDescent="0.15">
      <c r="B91" s="109" t="s">
        <v>58</v>
      </c>
      <c r="C91" s="23" t="s">
        <v>53</v>
      </c>
      <c r="D91" s="145" t="s">
        <v>167</v>
      </c>
      <c r="E91" s="146"/>
      <c r="F91" s="146"/>
      <c r="G91" s="146"/>
      <c r="H91" s="146"/>
      <c r="I91" s="146"/>
      <c r="J91" s="146"/>
      <c r="K91" s="146"/>
      <c r="L91" s="146"/>
      <c r="M91" s="146"/>
      <c r="N91" s="146"/>
      <c r="O91" s="146"/>
      <c r="P91" s="146"/>
      <c r="Q91" s="146"/>
      <c r="R91" s="146"/>
      <c r="S91" s="146"/>
      <c r="T91" s="146"/>
      <c r="U91" s="147"/>
    </row>
    <row r="92" spans="1:21" ht="97.5" customHeight="1" x14ac:dyDescent="0.15">
      <c r="B92" s="114"/>
      <c r="C92" s="24" t="s">
        <v>73</v>
      </c>
      <c r="D92" s="142" t="s">
        <v>168</v>
      </c>
      <c r="E92" s="143"/>
      <c r="F92" s="143"/>
      <c r="G92" s="143"/>
      <c r="H92" s="143"/>
      <c r="I92" s="143"/>
      <c r="J92" s="143"/>
      <c r="K92" s="143"/>
      <c r="L92" s="143"/>
      <c r="M92" s="143"/>
      <c r="N92" s="143"/>
      <c r="O92" s="143"/>
      <c r="P92" s="143"/>
      <c r="Q92" s="143"/>
      <c r="R92" s="143"/>
      <c r="S92" s="143"/>
      <c r="T92" s="143"/>
      <c r="U92" s="144"/>
    </row>
    <row r="93" spans="1:21" ht="97.5" customHeight="1" x14ac:dyDescent="0.15">
      <c r="B93" s="109" t="s">
        <v>59</v>
      </c>
      <c r="C93" s="25" t="s">
        <v>67</v>
      </c>
      <c r="D93" s="142" t="s">
        <v>141</v>
      </c>
      <c r="E93" s="143"/>
      <c r="F93" s="143"/>
      <c r="G93" s="143"/>
      <c r="H93" s="143"/>
      <c r="I93" s="143"/>
      <c r="J93" s="143"/>
      <c r="K93" s="143"/>
      <c r="L93" s="143"/>
      <c r="M93" s="143"/>
      <c r="N93" s="143"/>
      <c r="O93" s="143"/>
      <c r="P93" s="143"/>
      <c r="Q93" s="143"/>
      <c r="R93" s="143"/>
      <c r="S93" s="143"/>
      <c r="T93" s="143"/>
      <c r="U93" s="144"/>
    </row>
    <row r="94" spans="1:21" ht="97.5" customHeight="1" x14ac:dyDescent="0.15">
      <c r="B94" s="110"/>
      <c r="C94" s="26" t="s">
        <v>68</v>
      </c>
      <c r="D94" s="142" t="s">
        <v>143</v>
      </c>
      <c r="E94" s="143"/>
      <c r="F94" s="143"/>
      <c r="G94" s="143"/>
      <c r="H94" s="143"/>
      <c r="I94" s="143"/>
      <c r="J94" s="143"/>
      <c r="K94" s="143"/>
      <c r="L94" s="143"/>
      <c r="M94" s="143"/>
      <c r="N94" s="143"/>
      <c r="O94" s="143"/>
      <c r="P94" s="143"/>
      <c r="Q94" s="143"/>
      <c r="R94" s="143"/>
      <c r="S94" s="143"/>
      <c r="T94" s="143"/>
      <c r="U94" s="144"/>
    </row>
    <row r="95" spans="1:21" ht="97.5" customHeight="1" x14ac:dyDescent="0.15">
      <c r="B95" s="109" t="s">
        <v>60</v>
      </c>
      <c r="C95" s="25" t="s">
        <v>69</v>
      </c>
      <c r="D95" s="145" t="s">
        <v>169</v>
      </c>
      <c r="E95" s="146"/>
      <c r="F95" s="146"/>
      <c r="G95" s="146"/>
      <c r="H95" s="146"/>
      <c r="I95" s="146"/>
      <c r="J95" s="146"/>
      <c r="K95" s="146"/>
      <c r="L95" s="146"/>
      <c r="M95" s="146"/>
      <c r="N95" s="146"/>
      <c r="O95" s="146"/>
      <c r="P95" s="146"/>
      <c r="Q95" s="146"/>
      <c r="R95" s="146"/>
      <c r="S95" s="146"/>
      <c r="T95" s="146"/>
      <c r="U95" s="147"/>
    </row>
    <row r="96" spans="1:21" ht="97.5" customHeight="1" x14ac:dyDescent="0.15">
      <c r="B96" s="110"/>
      <c r="C96" s="27" t="s">
        <v>70</v>
      </c>
      <c r="D96" s="157" t="s">
        <v>170</v>
      </c>
      <c r="E96" s="143"/>
      <c r="F96" s="143"/>
      <c r="G96" s="143"/>
      <c r="H96" s="143"/>
      <c r="I96" s="143"/>
      <c r="J96" s="143"/>
      <c r="K96" s="143"/>
      <c r="L96" s="143"/>
      <c r="M96" s="143"/>
      <c r="N96" s="143"/>
      <c r="O96" s="143"/>
      <c r="P96" s="143"/>
      <c r="Q96" s="143"/>
      <c r="R96" s="143"/>
      <c r="S96" s="143"/>
      <c r="T96" s="143"/>
      <c r="U96" s="144"/>
    </row>
    <row r="97" spans="1:33" ht="97.5" customHeight="1" x14ac:dyDescent="0.15">
      <c r="B97" s="109" t="s">
        <v>74</v>
      </c>
      <c r="C97" s="23" t="s">
        <v>55</v>
      </c>
      <c r="D97" s="145" t="s">
        <v>142</v>
      </c>
      <c r="E97" s="146"/>
      <c r="F97" s="146"/>
      <c r="G97" s="146"/>
      <c r="H97" s="146"/>
      <c r="I97" s="146"/>
      <c r="J97" s="146"/>
      <c r="K97" s="146"/>
      <c r="L97" s="146"/>
      <c r="M97" s="146"/>
      <c r="N97" s="146"/>
      <c r="O97" s="146"/>
      <c r="P97" s="146"/>
      <c r="Q97" s="146"/>
      <c r="R97" s="146"/>
      <c r="S97" s="146"/>
      <c r="T97" s="146"/>
      <c r="U97" s="147"/>
    </row>
    <row r="98" spans="1:33" ht="97.5" customHeight="1" x14ac:dyDescent="0.15">
      <c r="B98" s="110"/>
      <c r="C98" s="26" t="s">
        <v>57</v>
      </c>
      <c r="D98" s="142" t="s">
        <v>171</v>
      </c>
      <c r="E98" s="143"/>
      <c r="F98" s="143"/>
      <c r="G98" s="143"/>
      <c r="H98" s="143"/>
      <c r="I98" s="143"/>
      <c r="J98" s="143"/>
      <c r="K98" s="143"/>
      <c r="L98" s="143"/>
      <c r="M98" s="143"/>
      <c r="N98" s="143"/>
      <c r="O98" s="143"/>
      <c r="P98" s="143"/>
      <c r="Q98" s="143"/>
      <c r="R98" s="143"/>
      <c r="S98" s="143"/>
      <c r="T98" s="143"/>
      <c r="U98" s="144"/>
    </row>
    <row r="99" spans="1:33" ht="97.5" customHeight="1" x14ac:dyDescent="0.15">
      <c r="B99" s="109" t="s">
        <v>75</v>
      </c>
      <c r="C99" s="25" t="s">
        <v>54</v>
      </c>
      <c r="D99" s="145" t="s">
        <v>172</v>
      </c>
      <c r="E99" s="146"/>
      <c r="F99" s="146"/>
      <c r="G99" s="146"/>
      <c r="H99" s="146"/>
      <c r="I99" s="146"/>
      <c r="J99" s="146"/>
      <c r="K99" s="146"/>
      <c r="L99" s="146"/>
      <c r="M99" s="146"/>
      <c r="N99" s="146"/>
      <c r="O99" s="146"/>
      <c r="P99" s="146"/>
      <c r="Q99" s="146"/>
      <c r="R99" s="146"/>
      <c r="S99" s="146"/>
      <c r="T99" s="146"/>
      <c r="U99" s="147"/>
    </row>
    <row r="100" spans="1:33" ht="97.5" customHeight="1" x14ac:dyDescent="0.15">
      <c r="B100" s="114"/>
      <c r="C100" s="28" t="s">
        <v>71</v>
      </c>
      <c r="D100" s="148" t="s">
        <v>173</v>
      </c>
      <c r="E100" s="149"/>
      <c r="F100" s="149"/>
      <c r="G100" s="149"/>
      <c r="H100" s="149"/>
      <c r="I100" s="149"/>
      <c r="J100" s="149"/>
      <c r="K100" s="149"/>
      <c r="L100" s="149"/>
      <c r="M100" s="149"/>
      <c r="N100" s="149"/>
      <c r="O100" s="149"/>
      <c r="P100" s="149"/>
      <c r="Q100" s="149"/>
      <c r="R100" s="149"/>
      <c r="S100" s="149"/>
      <c r="T100" s="149"/>
      <c r="U100" s="150"/>
    </row>
    <row r="101" spans="1:33" ht="97.5" customHeight="1" x14ac:dyDescent="0.15">
      <c r="B101" s="110"/>
      <c r="C101" s="27" t="s">
        <v>72</v>
      </c>
      <c r="D101" s="142" t="s">
        <v>174</v>
      </c>
      <c r="E101" s="143"/>
      <c r="F101" s="143"/>
      <c r="G101" s="143"/>
      <c r="H101" s="143"/>
      <c r="I101" s="143"/>
      <c r="J101" s="143"/>
      <c r="K101" s="143"/>
      <c r="L101" s="143"/>
      <c r="M101" s="143"/>
      <c r="N101" s="143"/>
      <c r="O101" s="143"/>
      <c r="P101" s="143"/>
      <c r="Q101" s="143"/>
      <c r="R101" s="143"/>
      <c r="S101" s="143"/>
      <c r="T101" s="143"/>
      <c r="U101" s="144"/>
    </row>
    <row r="102" spans="1:33" ht="6" customHeight="1" x14ac:dyDescent="0.15"/>
    <row r="103" spans="1:33" ht="18.75" customHeight="1" x14ac:dyDescent="0.15">
      <c r="A103" s="1" t="s">
        <v>107</v>
      </c>
    </row>
    <row r="104" spans="1:33" ht="81.75" customHeight="1" x14ac:dyDescent="0.15">
      <c r="B104" s="126" t="s">
        <v>147</v>
      </c>
      <c r="C104" s="127"/>
      <c r="D104" s="127"/>
      <c r="E104" s="127"/>
      <c r="F104" s="127"/>
      <c r="G104" s="127"/>
      <c r="H104" s="127"/>
      <c r="I104" s="127"/>
      <c r="J104" s="127"/>
      <c r="K104" s="127"/>
      <c r="L104" s="127"/>
      <c r="M104" s="127"/>
      <c r="N104" s="127"/>
      <c r="O104" s="127"/>
      <c r="P104" s="127"/>
      <c r="Q104" s="127"/>
      <c r="R104" s="127"/>
      <c r="S104" s="127"/>
      <c r="T104" s="127"/>
      <c r="U104" s="128"/>
    </row>
    <row r="106" spans="1:33" ht="18.75" customHeight="1" x14ac:dyDescent="0.15">
      <c r="A106" s="75" t="s">
        <v>123</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125</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41" t="s">
        <v>128</v>
      </c>
      <c r="C108" s="141"/>
      <c r="D108" s="141"/>
      <c r="E108" s="141"/>
      <c r="F108" s="141"/>
      <c r="G108" s="141"/>
      <c r="H108" s="141"/>
      <c r="I108" s="141"/>
      <c r="J108" s="141"/>
      <c r="K108" s="141"/>
      <c r="L108" s="141"/>
      <c r="M108" s="141"/>
      <c r="N108" s="141"/>
      <c r="O108" s="141"/>
      <c r="P108" s="141"/>
      <c r="Q108" s="141"/>
      <c r="R108" s="141"/>
      <c r="S108" s="141"/>
      <c r="T108" s="141"/>
      <c r="U108" s="141"/>
      <c r="V108" s="71"/>
      <c r="W108" s="71"/>
      <c r="X108" s="71"/>
      <c r="Y108" s="71"/>
      <c r="Z108" s="71"/>
      <c r="AA108" s="71"/>
      <c r="AB108" s="71"/>
      <c r="AC108" s="71"/>
      <c r="AD108" s="71"/>
      <c r="AE108" s="71"/>
      <c r="AF108" s="71"/>
      <c r="AG108" s="71"/>
    </row>
    <row r="109" spans="1:33" ht="37.35" customHeight="1" x14ac:dyDescent="0.15">
      <c r="A109" s="75"/>
      <c r="B109" s="141"/>
      <c r="C109" s="141"/>
      <c r="D109" s="141"/>
      <c r="E109" s="141"/>
      <c r="F109" s="141"/>
      <c r="G109" s="141"/>
      <c r="H109" s="141"/>
      <c r="I109" s="141"/>
      <c r="J109" s="141"/>
      <c r="K109" s="141"/>
      <c r="L109" s="141"/>
      <c r="M109" s="141"/>
      <c r="N109" s="141"/>
      <c r="O109" s="141"/>
      <c r="P109" s="141"/>
      <c r="Q109" s="141"/>
      <c r="R109" s="141"/>
      <c r="S109" s="141"/>
      <c r="T109" s="141"/>
      <c r="U109" s="141"/>
      <c r="V109" s="71"/>
      <c r="W109" s="71"/>
      <c r="X109" s="71"/>
      <c r="Y109" s="71"/>
      <c r="Z109" s="71"/>
      <c r="AA109" s="71"/>
      <c r="AB109" s="71"/>
      <c r="AC109" s="71"/>
      <c r="AD109" s="71"/>
      <c r="AE109" s="71"/>
      <c r="AF109" s="71"/>
      <c r="AG109" s="71"/>
    </row>
    <row r="110" spans="1:33" ht="18.75" customHeight="1" x14ac:dyDescent="0.15">
      <c r="A110" s="75"/>
      <c r="B110" s="87" t="s">
        <v>124</v>
      </c>
      <c r="C110" s="87"/>
      <c r="D110" s="87"/>
      <c r="E110" s="87"/>
      <c r="F110" s="87"/>
      <c r="G110" s="87"/>
      <c r="H110" s="87"/>
      <c r="I110" s="87"/>
      <c r="J110" s="87"/>
      <c r="K110" s="87"/>
      <c r="L110" s="87"/>
      <c r="M110" s="87"/>
      <c r="N110" s="87"/>
      <c r="O110" s="87"/>
      <c r="P110" s="87"/>
      <c r="Q110" s="87"/>
      <c r="R110" s="87"/>
      <c r="S110" s="87"/>
      <c r="T110" s="87"/>
      <c r="U110" s="87"/>
      <c r="V110" s="71"/>
      <c r="W110" s="71"/>
      <c r="X110" s="71"/>
      <c r="Y110" s="71"/>
      <c r="Z110" s="71"/>
      <c r="AA110" s="71"/>
      <c r="AB110" s="71"/>
      <c r="AC110" s="71"/>
      <c r="AD110" s="71"/>
      <c r="AE110" s="71"/>
      <c r="AF110" s="71"/>
      <c r="AG110" s="71"/>
    </row>
    <row r="111" spans="1:33" ht="18.75" customHeight="1" x14ac:dyDescent="0.15">
      <c r="A111" s="75"/>
      <c r="B111" s="100" t="s">
        <v>52</v>
      </c>
      <c r="C111" s="100"/>
      <c r="D111" s="100"/>
      <c r="E111" s="100"/>
      <c r="F111" s="100"/>
      <c r="G111" s="100"/>
      <c r="H111" s="100"/>
      <c r="I111" s="100"/>
      <c r="J111" s="100"/>
      <c r="K111" s="100"/>
      <c r="L111" s="100"/>
      <c r="M111" s="100"/>
      <c r="N111" s="100"/>
      <c r="O111" s="100"/>
      <c r="P111" s="100"/>
      <c r="Q111" s="100"/>
      <c r="R111" s="100"/>
      <c r="S111" s="100"/>
      <c r="T111" s="100"/>
      <c r="U111" s="100"/>
      <c r="V111" s="70"/>
      <c r="W111" s="70"/>
      <c r="X111" s="70"/>
      <c r="Y111" s="70"/>
      <c r="Z111" s="70"/>
      <c r="AA111" s="70"/>
      <c r="AB111" s="70"/>
      <c r="AC111" s="70"/>
      <c r="AD111" s="70"/>
      <c r="AE111" s="70"/>
      <c r="AF111" s="70"/>
      <c r="AG111" s="70"/>
    </row>
    <row r="112" spans="1:33" ht="132" customHeight="1" x14ac:dyDescent="0.15">
      <c r="A112" s="75"/>
      <c r="B112" s="101"/>
      <c r="C112" s="101"/>
      <c r="D112" s="101"/>
      <c r="E112" s="101"/>
      <c r="F112" s="101"/>
      <c r="G112" s="101"/>
      <c r="H112" s="101"/>
      <c r="I112" s="101"/>
      <c r="J112" s="101"/>
      <c r="K112" s="101"/>
      <c r="L112" s="101"/>
      <c r="M112" s="101"/>
      <c r="N112" s="101"/>
      <c r="O112" s="101"/>
      <c r="P112" s="101"/>
      <c r="Q112" s="101"/>
      <c r="R112" s="101"/>
      <c r="S112" s="101"/>
      <c r="T112" s="101"/>
      <c r="U112" s="101"/>
      <c r="V112" s="72"/>
      <c r="W112" s="72"/>
      <c r="X112" s="72"/>
      <c r="Y112" s="72"/>
      <c r="Z112" s="72"/>
      <c r="AA112" s="72"/>
      <c r="AB112" s="72"/>
      <c r="AC112" s="72"/>
      <c r="AD112" s="72"/>
      <c r="AE112" s="72"/>
      <c r="AF112" s="72"/>
      <c r="AG112" s="72"/>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R71:U77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N2" sqref="N2"/>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96</v>
      </c>
    </row>
    <row r="2" spans="1:21" ht="18" customHeight="1" x14ac:dyDescent="0.15">
      <c r="A2" s="76"/>
      <c r="B2" s="76"/>
      <c r="C2" s="76"/>
      <c r="D2" s="76"/>
      <c r="E2" s="76"/>
      <c r="F2" s="76"/>
      <c r="G2" s="76"/>
      <c r="H2" s="76"/>
      <c r="I2" s="76"/>
      <c r="J2" s="76"/>
      <c r="K2" s="76"/>
      <c r="L2" s="76"/>
      <c r="M2" s="76"/>
      <c r="N2" s="76"/>
      <c r="O2" s="76"/>
      <c r="P2" s="76"/>
      <c r="Q2" s="165" t="str">
        <f>'様式１　プログラムを構成する授業科目'!C2</f>
        <v>埼玉女子短期大学</v>
      </c>
      <c r="R2" s="165"/>
      <c r="S2" s="165"/>
    </row>
    <row r="3" spans="1:21" ht="18" customHeight="1" x14ac:dyDescent="0.15">
      <c r="A3" s="115" t="s">
        <v>45</v>
      </c>
      <c r="B3" s="115"/>
      <c r="C3" s="115"/>
      <c r="D3" s="115"/>
      <c r="E3" s="115"/>
      <c r="F3" s="115"/>
      <c r="G3" s="115"/>
      <c r="H3" s="115"/>
      <c r="I3" s="115"/>
      <c r="J3" s="115"/>
      <c r="K3" s="115"/>
      <c r="L3" s="115"/>
      <c r="M3" s="115"/>
      <c r="N3" s="115"/>
      <c r="O3" s="115"/>
      <c r="P3" s="115"/>
      <c r="Q3" s="115"/>
      <c r="R3" s="115"/>
      <c r="S3" s="115"/>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78</v>
      </c>
      <c r="B5" s="76"/>
      <c r="C5" s="166" t="s">
        <v>144</v>
      </c>
      <c r="D5" s="167"/>
      <c r="E5" s="81" t="s">
        <v>49</v>
      </c>
      <c r="F5" s="81"/>
      <c r="G5" s="81"/>
      <c r="H5" s="81"/>
      <c r="I5" s="81"/>
      <c r="J5" s="81"/>
      <c r="K5" s="81"/>
      <c r="L5" s="81"/>
      <c r="M5" s="81"/>
      <c r="N5" s="81"/>
      <c r="O5" s="81"/>
      <c r="P5" s="81"/>
      <c r="Q5" s="81"/>
      <c r="R5" s="79"/>
      <c r="S5" s="79"/>
    </row>
    <row r="6" spans="1:21" ht="7.3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116</v>
      </c>
      <c r="B7" s="76"/>
      <c r="C7" s="86"/>
      <c r="D7" s="86"/>
      <c r="E7" s="81" t="s">
        <v>117</v>
      </c>
      <c r="F7" s="84">
        <v>0</v>
      </c>
      <c r="G7" s="82" t="s">
        <v>118</v>
      </c>
      <c r="H7" s="81" t="s">
        <v>119</v>
      </c>
      <c r="I7" s="84">
        <v>571</v>
      </c>
      <c r="J7" s="82" t="s">
        <v>118</v>
      </c>
      <c r="K7" s="77" t="s">
        <v>120</v>
      </c>
      <c r="L7" s="81" t="s">
        <v>121</v>
      </c>
      <c r="M7" s="84">
        <f>F7+I7</f>
        <v>571</v>
      </c>
      <c r="N7" s="81" t="s">
        <v>1</v>
      </c>
      <c r="O7" s="82" t="s">
        <v>122</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132</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8" t="s">
        <v>183</v>
      </c>
      <c r="C11" s="178" t="s">
        <v>81</v>
      </c>
      <c r="D11" s="170" t="s">
        <v>44</v>
      </c>
      <c r="E11" s="172" t="s">
        <v>38</v>
      </c>
      <c r="F11" s="164" t="s">
        <v>110</v>
      </c>
      <c r="G11" s="164"/>
      <c r="H11" s="164" t="s">
        <v>80</v>
      </c>
      <c r="I11" s="164"/>
      <c r="J11" s="164" t="s">
        <v>46</v>
      </c>
      <c r="K11" s="164"/>
      <c r="L11" s="164" t="s">
        <v>47</v>
      </c>
      <c r="M11" s="164"/>
      <c r="N11" s="164" t="s">
        <v>90</v>
      </c>
      <c r="O11" s="164"/>
      <c r="P11" s="164" t="s">
        <v>48</v>
      </c>
      <c r="Q11" s="164"/>
      <c r="R11" s="174" t="s">
        <v>34</v>
      </c>
      <c r="S11" s="176" t="s">
        <v>31</v>
      </c>
      <c r="U11" s="2"/>
    </row>
    <row r="12" spans="1:21" ht="17.100000000000001" customHeight="1" x14ac:dyDescent="0.15">
      <c r="B12" s="169"/>
      <c r="C12" s="179"/>
      <c r="D12" s="171"/>
      <c r="E12" s="173"/>
      <c r="F12" s="64" t="s">
        <v>89</v>
      </c>
      <c r="G12" s="64" t="s">
        <v>28</v>
      </c>
      <c r="H12" s="64" t="s">
        <v>89</v>
      </c>
      <c r="I12" s="64" t="s">
        <v>28</v>
      </c>
      <c r="J12" s="64" t="s">
        <v>89</v>
      </c>
      <c r="K12" s="64" t="s">
        <v>28</v>
      </c>
      <c r="L12" s="64" t="s">
        <v>89</v>
      </c>
      <c r="M12" s="64" t="s">
        <v>28</v>
      </c>
      <c r="N12" s="64" t="s">
        <v>89</v>
      </c>
      <c r="O12" s="64" t="s">
        <v>28</v>
      </c>
      <c r="P12" s="64" t="s">
        <v>89</v>
      </c>
      <c r="Q12" s="65" t="s">
        <v>28</v>
      </c>
      <c r="R12" s="175"/>
      <c r="S12" s="177"/>
      <c r="U12" s="2"/>
    </row>
    <row r="13" spans="1:21" ht="18" customHeight="1" x14ac:dyDescent="0.15">
      <c r="A13" s="6"/>
      <c r="B13" s="66" t="s">
        <v>145</v>
      </c>
      <c r="C13" s="52">
        <v>316</v>
      </c>
      <c r="D13" s="53">
        <v>150</v>
      </c>
      <c r="E13" s="54">
        <v>300</v>
      </c>
      <c r="F13" s="54">
        <v>129</v>
      </c>
      <c r="G13" s="54">
        <v>32</v>
      </c>
      <c r="H13" s="54"/>
      <c r="I13" s="54"/>
      <c r="J13" s="54"/>
      <c r="K13" s="54"/>
      <c r="L13" s="54"/>
      <c r="M13" s="54"/>
      <c r="N13" s="54"/>
      <c r="O13" s="54"/>
      <c r="P13" s="54"/>
      <c r="Q13" s="67"/>
      <c r="R13" s="53">
        <f t="shared" ref="R13:R32" si="0">F13+H13+J13+L13+N13+P13</f>
        <v>129</v>
      </c>
      <c r="S13" s="68">
        <f t="shared" ref="S13:S33" si="1">R13/E13</f>
        <v>0.43</v>
      </c>
    </row>
    <row r="14" spans="1:21" ht="18" customHeight="1" x14ac:dyDescent="0.15">
      <c r="A14" s="6"/>
      <c r="B14" s="11" t="s">
        <v>146</v>
      </c>
      <c r="C14" s="55">
        <v>255</v>
      </c>
      <c r="D14" s="56">
        <v>150</v>
      </c>
      <c r="E14" s="57">
        <v>300</v>
      </c>
      <c r="F14" s="58">
        <v>83</v>
      </c>
      <c r="G14" s="58">
        <v>0</v>
      </c>
      <c r="H14" s="58"/>
      <c r="I14" s="58"/>
      <c r="J14" s="58"/>
      <c r="K14" s="58"/>
      <c r="L14" s="58"/>
      <c r="M14" s="58"/>
      <c r="N14" s="58"/>
      <c r="O14" s="58"/>
      <c r="P14" s="58"/>
      <c r="Q14" s="55"/>
      <c r="R14" s="56">
        <f t="shared" si="0"/>
        <v>83</v>
      </c>
      <c r="S14" s="16">
        <f t="shared" si="1"/>
        <v>0.27666666666666667</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571</v>
      </c>
      <c r="D33" s="62">
        <f t="shared" ref="D33:R33" si="3">SUM(D13:D32)</f>
        <v>300</v>
      </c>
      <c r="E33" s="63">
        <f t="shared" si="3"/>
        <v>600</v>
      </c>
      <c r="F33" s="63">
        <f t="shared" si="3"/>
        <v>212</v>
      </c>
      <c r="G33" s="63">
        <f t="shared" ref="G33:H33" si="4">SUM(G13:G32)</f>
        <v>32</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212</v>
      </c>
      <c r="S33" s="9">
        <f t="shared" si="1"/>
        <v>0.35333333333333333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N2" sqref="N2"/>
    </sheetView>
  </sheetViews>
  <sheetFormatPr defaultColWidth="11.375" defaultRowHeight="18.75" customHeight="1" x14ac:dyDescent="0.15"/>
  <cols>
    <col min="1" max="1" width="2.875" style="32"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61</v>
      </c>
      <c r="I1" s="30" t="s">
        <v>95</v>
      </c>
    </row>
    <row r="2" spans="1:9" ht="18.75" customHeight="1" x14ac:dyDescent="0.15">
      <c r="G2" s="30" t="s">
        <v>97</v>
      </c>
      <c r="H2" s="91" t="str">
        <f>'様式１　プログラムを構成する授業科目'!C2</f>
        <v>埼玉女子短期大学</v>
      </c>
      <c r="I2" s="93"/>
    </row>
    <row r="3" spans="1:9" ht="18.75" customHeight="1" x14ac:dyDescent="0.15">
      <c r="G3" s="30"/>
      <c r="H3" s="10"/>
      <c r="I3" s="10"/>
    </row>
    <row r="4" spans="1:9" ht="18.600000000000001" customHeight="1" x14ac:dyDescent="0.15">
      <c r="A4" s="181" t="s">
        <v>35</v>
      </c>
      <c r="B4" s="181"/>
      <c r="C4" s="181"/>
      <c r="D4" s="181"/>
      <c r="E4" s="181"/>
      <c r="F4" s="181"/>
      <c r="G4" s="181"/>
      <c r="H4" s="181"/>
      <c r="I4" s="181"/>
    </row>
    <row r="5" spans="1:9" ht="13.35" customHeight="1" x14ac:dyDescent="0.15">
      <c r="B5" s="3"/>
      <c r="C5" s="3"/>
      <c r="D5" s="3"/>
      <c r="E5" s="3"/>
      <c r="F5" s="3"/>
      <c r="G5" s="3"/>
      <c r="H5" s="3"/>
      <c r="I5" s="3"/>
    </row>
    <row r="6" spans="1:9" ht="18" customHeight="1" x14ac:dyDescent="0.15">
      <c r="A6" s="1" t="s">
        <v>0</v>
      </c>
      <c r="B6" s="10" t="s">
        <v>84</v>
      </c>
      <c r="C6" s="201" t="s">
        <v>85</v>
      </c>
      <c r="D6" s="201"/>
      <c r="E6" s="29">
        <v>25</v>
      </c>
      <c r="F6" s="3" t="s">
        <v>1</v>
      </c>
      <c r="G6" s="3" t="s">
        <v>2</v>
      </c>
      <c r="H6" s="29">
        <v>37</v>
      </c>
      <c r="I6" s="10" t="s">
        <v>1</v>
      </c>
    </row>
    <row r="7" spans="1:9" ht="12" customHeight="1" x14ac:dyDescent="0.15">
      <c r="C7" s="2"/>
      <c r="D7" s="2"/>
      <c r="E7" s="2"/>
      <c r="F7" s="2"/>
      <c r="G7" s="2"/>
      <c r="H7" s="2"/>
      <c r="I7" s="33"/>
    </row>
    <row r="8" spans="1:9" ht="18" customHeight="1" x14ac:dyDescent="0.15">
      <c r="A8" s="1" t="s">
        <v>3</v>
      </c>
      <c r="B8" s="10" t="s">
        <v>86</v>
      </c>
      <c r="E8" s="3"/>
      <c r="F8" s="3"/>
      <c r="G8" s="3"/>
      <c r="H8" s="29">
        <v>3</v>
      </c>
      <c r="I8" s="10" t="s">
        <v>1</v>
      </c>
    </row>
    <row r="9" spans="1:9" ht="9" customHeight="1" x14ac:dyDescent="0.15">
      <c r="B9" s="3"/>
      <c r="C9" s="3"/>
      <c r="D9" s="3"/>
      <c r="E9" s="3"/>
      <c r="F9" s="3"/>
      <c r="G9" s="3"/>
      <c r="H9" s="3"/>
      <c r="I9" s="3"/>
    </row>
    <row r="10" spans="1:9" ht="18" customHeight="1" x14ac:dyDescent="0.15">
      <c r="A10" s="1" t="s">
        <v>4</v>
      </c>
      <c r="B10" s="10" t="s">
        <v>87</v>
      </c>
      <c r="C10" s="3"/>
      <c r="D10" s="3"/>
      <c r="E10" s="3"/>
      <c r="F10" s="3"/>
      <c r="G10" s="3"/>
      <c r="H10" s="3"/>
      <c r="I10" s="3"/>
    </row>
    <row r="11" spans="1:9" ht="18" customHeight="1" x14ac:dyDescent="0.15">
      <c r="B11" s="30" t="s">
        <v>41</v>
      </c>
      <c r="C11" s="196" t="s">
        <v>154</v>
      </c>
      <c r="D11" s="199"/>
      <c r="E11" s="200"/>
      <c r="F11" s="33"/>
      <c r="G11" s="30" t="s">
        <v>10</v>
      </c>
      <c r="H11" s="196" t="s">
        <v>155</v>
      </c>
      <c r="I11" s="200"/>
    </row>
    <row r="12" spans="1:9" ht="10.35" customHeight="1" x14ac:dyDescent="0.15">
      <c r="B12" s="30"/>
      <c r="C12" s="10"/>
      <c r="D12" s="33"/>
      <c r="E12" s="33"/>
      <c r="F12" s="33"/>
      <c r="G12" s="30"/>
      <c r="H12" s="10"/>
      <c r="I12" s="33"/>
    </row>
    <row r="13" spans="1:9" ht="18" customHeight="1" x14ac:dyDescent="0.15">
      <c r="A13" s="1" t="s">
        <v>7</v>
      </c>
      <c r="B13" s="10" t="s">
        <v>82</v>
      </c>
      <c r="C13" s="3"/>
      <c r="D13" s="3"/>
      <c r="E13" s="3"/>
      <c r="F13" s="3"/>
      <c r="G13" s="3"/>
      <c r="H13" s="3"/>
      <c r="I13" s="3"/>
    </row>
    <row r="14" spans="1:9" ht="18" customHeight="1" x14ac:dyDescent="0.15">
      <c r="B14" s="196" t="s">
        <v>156</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30" t="s">
        <v>41</v>
      </c>
      <c r="C16" s="196" t="s">
        <v>157</v>
      </c>
      <c r="D16" s="199"/>
      <c r="E16" s="200"/>
      <c r="F16" s="33"/>
      <c r="G16" s="30" t="s">
        <v>10</v>
      </c>
      <c r="H16" s="196" t="s">
        <v>158</v>
      </c>
      <c r="I16" s="20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82" t="s">
        <v>159</v>
      </c>
      <c r="C19" s="183"/>
      <c r="D19" s="183"/>
      <c r="E19" s="183"/>
      <c r="F19" s="183"/>
      <c r="G19" s="183"/>
      <c r="H19" s="183"/>
      <c r="I19" s="184"/>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85" t="s">
        <v>160</v>
      </c>
      <c r="C22" s="186"/>
      <c r="D22" s="186"/>
      <c r="E22" s="186"/>
      <c r="F22" s="186"/>
      <c r="G22" s="186"/>
      <c r="H22" s="186"/>
      <c r="I22" s="187"/>
    </row>
    <row r="23" spans="1:9" ht="18.75" customHeight="1" x14ac:dyDescent="0.15">
      <c r="A23" s="14"/>
      <c r="B23" s="188"/>
      <c r="C23" s="189"/>
      <c r="D23" s="189"/>
      <c r="E23" s="189"/>
      <c r="F23" s="189"/>
      <c r="G23" s="189"/>
      <c r="H23" s="189"/>
      <c r="I23" s="190"/>
    </row>
    <row r="24" spans="1:9" ht="18.75" customHeight="1" x14ac:dyDescent="0.15">
      <c r="A24" s="14"/>
      <c r="B24" s="188"/>
      <c r="C24" s="189"/>
      <c r="D24" s="189"/>
      <c r="E24" s="189"/>
      <c r="F24" s="189"/>
      <c r="G24" s="189"/>
      <c r="H24" s="189"/>
      <c r="I24" s="190"/>
    </row>
    <row r="25" spans="1:9" ht="18.75" customHeight="1" x14ac:dyDescent="0.15">
      <c r="A25" s="14"/>
      <c r="B25" s="188"/>
      <c r="C25" s="189"/>
      <c r="D25" s="189"/>
      <c r="E25" s="189"/>
      <c r="F25" s="189"/>
      <c r="G25" s="189"/>
      <c r="H25" s="189"/>
      <c r="I25" s="190"/>
    </row>
    <row r="26" spans="1:9" ht="18.75" customHeight="1" x14ac:dyDescent="0.15">
      <c r="A26" s="14"/>
      <c r="B26" s="188"/>
      <c r="C26" s="189"/>
      <c r="D26" s="189"/>
      <c r="E26" s="189"/>
      <c r="F26" s="189"/>
      <c r="G26" s="189"/>
      <c r="H26" s="189"/>
      <c r="I26" s="190"/>
    </row>
    <row r="27" spans="1:9" ht="18.75" customHeight="1" x14ac:dyDescent="0.15">
      <c r="A27" s="14"/>
      <c r="B27" s="188"/>
      <c r="C27" s="189"/>
      <c r="D27" s="189"/>
      <c r="E27" s="189"/>
      <c r="F27" s="189"/>
      <c r="G27" s="189"/>
      <c r="H27" s="189"/>
      <c r="I27" s="190"/>
    </row>
    <row r="28" spans="1:9" ht="18.75" customHeight="1" x14ac:dyDescent="0.15">
      <c r="A28" s="14"/>
      <c r="B28" s="188"/>
      <c r="C28" s="189"/>
      <c r="D28" s="189"/>
      <c r="E28" s="189"/>
      <c r="F28" s="189"/>
      <c r="G28" s="189"/>
      <c r="H28" s="189"/>
      <c r="I28" s="190"/>
    </row>
    <row r="29" spans="1:9" ht="18.75" customHeight="1" x14ac:dyDescent="0.15">
      <c r="A29" s="14"/>
      <c r="B29" s="188"/>
      <c r="C29" s="189"/>
      <c r="D29" s="189"/>
      <c r="E29" s="189"/>
      <c r="F29" s="189"/>
      <c r="G29" s="189"/>
      <c r="H29" s="189"/>
      <c r="I29" s="190"/>
    </row>
    <row r="30" spans="1:9" ht="18.75" customHeight="1" x14ac:dyDescent="0.15">
      <c r="A30" s="14"/>
      <c r="B30" s="191"/>
      <c r="C30" s="192"/>
      <c r="D30" s="192"/>
      <c r="E30" s="192"/>
      <c r="F30" s="192"/>
      <c r="G30" s="192"/>
      <c r="H30" s="192"/>
      <c r="I30" s="190"/>
    </row>
    <row r="31" spans="1:9" ht="18.75" customHeight="1" x14ac:dyDescent="0.15">
      <c r="A31" s="14"/>
      <c r="B31" s="191"/>
      <c r="C31" s="192"/>
      <c r="D31" s="192"/>
      <c r="E31" s="192"/>
      <c r="F31" s="192"/>
      <c r="G31" s="192"/>
      <c r="H31" s="192"/>
      <c r="I31" s="190"/>
    </row>
    <row r="32" spans="1:9" ht="18.75" customHeight="1" x14ac:dyDescent="0.15">
      <c r="A32" s="14"/>
      <c r="B32" s="193"/>
      <c r="C32" s="194"/>
      <c r="D32" s="194"/>
      <c r="E32" s="194"/>
      <c r="F32" s="194"/>
      <c r="G32" s="194"/>
      <c r="H32" s="194"/>
      <c r="I32" s="19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5" t="s">
        <v>161</v>
      </c>
      <c r="C35" s="186"/>
      <c r="D35" s="186"/>
      <c r="E35" s="186"/>
      <c r="F35" s="186"/>
      <c r="G35" s="186"/>
      <c r="H35" s="186"/>
      <c r="I35" s="187"/>
    </row>
    <row r="36" spans="1:9" ht="18.75" customHeight="1" x14ac:dyDescent="0.15">
      <c r="A36" s="14"/>
      <c r="B36" s="191"/>
      <c r="C36" s="192"/>
      <c r="D36" s="192"/>
      <c r="E36" s="192"/>
      <c r="F36" s="192"/>
      <c r="G36" s="192"/>
      <c r="H36" s="192"/>
      <c r="I36" s="190"/>
    </row>
    <row r="37" spans="1:9" ht="18.75" customHeight="1" x14ac:dyDescent="0.15">
      <c r="A37" s="14"/>
      <c r="B37" s="191"/>
      <c r="C37" s="192"/>
      <c r="D37" s="192"/>
      <c r="E37" s="192"/>
      <c r="F37" s="192"/>
      <c r="G37" s="192"/>
      <c r="H37" s="192"/>
      <c r="I37" s="190"/>
    </row>
    <row r="38" spans="1:9" ht="18.75" customHeight="1" x14ac:dyDescent="0.15">
      <c r="A38" s="14"/>
      <c r="B38" s="191"/>
      <c r="C38" s="192"/>
      <c r="D38" s="192"/>
      <c r="E38" s="192"/>
      <c r="F38" s="192"/>
      <c r="G38" s="192"/>
      <c r="H38" s="192"/>
      <c r="I38" s="190"/>
    </row>
    <row r="39" spans="1:9" ht="18.75" customHeight="1" x14ac:dyDescent="0.15">
      <c r="A39" s="14"/>
      <c r="B39" s="191"/>
      <c r="C39" s="192"/>
      <c r="D39" s="192"/>
      <c r="E39" s="192"/>
      <c r="F39" s="192"/>
      <c r="G39" s="192"/>
      <c r="H39" s="192"/>
      <c r="I39" s="190"/>
    </row>
    <row r="40" spans="1:9" ht="18.75" customHeight="1" x14ac:dyDescent="0.15">
      <c r="A40" s="14"/>
      <c r="B40" s="191"/>
      <c r="C40" s="192"/>
      <c r="D40" s="192"/>
      <c r="E40" s="192"/>
      <c r="F40" s="192"/>
      <c r="G40" s="192"/>
      <c r="H40" s="192"/>
      <c r="I40" s="190"/>
    </row>
    <row r="41" spans="1:9" ht="18.75" customHeight="1" x14ac:dyDescent="0.15">
      <c r="A41" s="14"/>
      <c r="B41" s="191"/>
      <c r="C41" s="192"/>
      <c r="D41" s="192"/>
      <c r="E41" s="192"/>
      <c r="F41" s="192"/>
      <c r="G41" s="192"/>
      <c r="H41" s="192"/>
      <c r="I41" s="190"/>
    </row>
    <row r="42" spans="1:9" ht="18.75" customHeight="1" x14ac:dyDescent="0.15">
      <c r="A42" s="14"/>
      <c r="B42" s="191"/>
      <c r="C42" s="192"/>
      <c r="D42" s="192"/>
      <c r="E42" s="192"/>
      <c r="F42" s="192"/>
      <c r="G42" s="192"/>
      <c r="H42" s="192"/>
      <c r="I42" s="190"/>
    </row>
    <row r="43" spans="1:9" ht="18.75" customHeight="1" x14ac:dyDescent="0.15">
      <c r="A43" s="14"/>
      <c r="B43" s="191"/>
      <c r="C43" s="192"/>
      <c r="D43" s="192"/>
      <c r="E43" s="192"/>
      <c r="F43" s="192"/>
      <c r="G43" s="192"/>
      <c r="H43" s="192"/>
      <c r="I43" s="190"/>
    </row>
    <row r="44" spans="1:9" ht="18.75" customHeight="1" x14ac:dyDescent="0.15">
      <c r="A44" s="14"/>
      <c r="B44" s="191"/>
      <c r="C44" s="192"/>
      <c r="D44" s="192"/>
      <c r="E44" s="192"/>
      <c r="F44" s="192"/>
      <c r="G44" s="192"/>
      <c r="H44" s="192"/>
      <c r="I44" s="190"/>
    </row>
    <row r="45" spans="1:9" ht="18.75" customHeight="1" x14ac:dyDescent="0.15">
      <c r="A45" s="14"/>
      <c r="B45" s="191"/>
      <c r="C45" s="192"/>
      <c r="D45" s="192"/>
      <c r="E45" s="192"/>
      <c r="F45" s="192"/>
      <c r="G45" s="192"/>
      <c r="H45" s="192"/>
      <c r="I45" s="190"/>
    </row>
    <row r="46" spans="1:9" ht="18.75" customHeight="1" x14ac:dyDescent="0.15">
      <c r="A46" s="14"/>
      <c r="B46" s="193"/>
      <c r="C46" s="194"/>
      <c r="D46" s="194"/>
      <c r="E46" s="194"/>
      <c r="F46" s="194"/>
      <c r="G46" s="194"/>
      <c r="H46" s="194"/>
      <c r="I46" s="195"/>
    </row>
    <row r="47" spans="1:9" ht="7.5" customHeight="1" x14ac:dyDescent="0.15">
      <c r="A47" s="4"/>
      <c r="B47" s="4"/>
      <c r="C47" s="4"/>
      <c r="D47" s="4"/>
      <c r="E47" s="4"/>
      <c r="F47" s="4"/>
      <c r="G47" s="4"/>
      <c r="H47" s="4"/>
      <c r="I47" s="4"/>
    </row>
    <row r="48" spans="1:9" ht="18.75" customHeight="1" x14ac:dyDescent="0.15">
      <c r="A48" s="1" t="s">
        <v>30</v>
      </c>
      <c r="B48" s="1" t="s">
        <v>109</v>
      </c>
    </row>
    <row r="49" spans="1:15" s="3" customFormat="1" ht="18.75" customHeight="1" x14ac:dyDescent="0.15">
      <c r="B49" s="34" t="s">
        <v>126</v>
      </c>
      <c r="C49" s="223">
        <f>'様式２ 履修者等数の実績'!S33</f>
        <v>0.35333333333333333</v>
      </c>
      <c r="D49" s="223"/>
      <c r="E49" s="34" t="s">
        <v>62</v>
      </c>
      <c r="F49" s="223">
        <v>0.4</v>
      </c>
      <c r="G49" s="223"/>
      <c r="H49" s="34" t="s">
        <v>63</v>
      </c>
      <c r="I49" s="35">
        <v>0.5</v>
      </c>
      <c r="J49" s="1"/>
      <c r="M49" s="1"/>
      <c r="N49" s="36"/>
    </row>
    <row r="50" spans="1:15" s="3" customFormat="1" ht="18.75" customHeight="1" x14ac:dyDescent="0.15">
      <c r="B50" s="37" t="s">
        <v>83</v>
      </c>
      <c r="C50" s="206">
        <v>0.6</v>
      </c>
      <c r="D50" s="206"/>
      <c r="E50" s="37" t="s">
        <v>127</v>
      </c>
      <c r="F50" s="206">
        <v>0.7</v>
      </c>
      <c r="G50" s="206"/>
      <c r="H50" s="37" t="s">
        <v>64</v>
      </c>
      <c r="I50" s="38">
        <f>'様式２ 履修者等数の実績'!E33</f>
        <v>600</v>
      </c>
      <c r="J50" s="1"/>
      <c r="M50" s="1"/>
      <c r="N50" s="36"/>
    </row>
    <row r="51" spans="1:15" ht="18.75" customHeight="1" x14ac:dyDescent="0.15">
      <c r="A51" s="1"/>
      <c r="B51" s="203" t="s">
        <v>65</v>
      </c>
      <c r="C51" s="204"/>
      <c r="D51" s="204"/>
      <c r="E51" s="204"/>
      <c r="F51" s="204"/>
      <c r="G51" s="204"/>
      <c r="H51" s="204"/>
      <c r="I51" s="205"/>
      <c r="N51" s="36"/>
      <c r="O51" s="3"/>
    </row>
    <row r="52" spans="1:15" ht="18.75" customHeight="1" x14ac:dyDescent="0.15">
      <c r="A52" s="1"/>
      <c r="B52" s="224" t="s">
        <v>162</v>
      </c>
      <c r="C52" s="225"/>
      <c r="D52" s="225"/>
      <c r="E52" s="225"/>
      <c r="F52" s="225"/>
      <c r="G52" s="225"/>
      <c r="H52" s="225"/>
      <c r="I52" s="226"/>
      <c r="N52" s="36"/>
      <c r="O52" s="3"/>
    </row>
    <row r="53" spans="1:15" ht="18.75" customHeight="1" x14ac:dyDescent="0.15">
      <c r="A53" s="1"/>
      <c r="B53" s="227"/>
      <c r="C53" s="228"/>
      <c r="D53" s="228"/>
      <c r="E53" s="228"/>
      <c r="F53" s="228"/>
      <c r="G53" s="228"/>
      <c r="H53" s="228"/>
      <c r="I53" s="229"/>
      <c r="N53" s="36"/>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07" t="s">
        <v>163</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7" t="s">
        <v>164</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85" t="s">
        <v>165</v>
      </c>
      <c r="C94" s="186"/>
      <c r="D94" s="186"/>
      <c r="E94" s="186"/>
      <c r="F94" s="186"/>
      <c r="G94" s="186"/>
      <c r="H94" s="186"/>
      <c r="I94" s="187"/>
    </row>
    <row r="95" spans="1:9" ht="18.75" customHeight="1" x14ac:dyDescent="0.15">
      <c r="A95" s="1"/>
      <c r="B95" s="191"/>
      <c r="C95" s="192"/>
      <c r="D95" s="192"/>
      <c r="E95" s="192"/>
      <c r="F95" s="192"/>
      <c r="G95" s="192"/>
      <c r="H95" s="192"/>
      <c r="I95" s="190"/>
    </row>
    <row r="96" spans="1:9" ht="18.75" customHeight="1" x14ac:dyDescent="0.15">
      <c r="A96" s="1"/>
      <c r="B96" s="191"/>
      <c r="C96" s="192"/>
      <c r="D96" s="192"/>
      <c r="E96" s="192"/>
      <c r="F96" s="192"/>
      <c r="G96" s="192"/>
      <c r="H96" s="192"/>
      <c r="I96" s="190"/>
    </row>
    <row r="97" spans="1:9" ht="18.75" customHeight="1" x14ac:dyDescent="0.15">
      <c r="A97" s="1"/>
      <c r="B97" s="191"/>
      <c r="C97" s="192"/>
      <c r="D97" s="192"/>
      <c r="E97" s="192"/>
      <c r="F97" s="192"/>
      <c r="G97" s="192"/>
      <c r="H97" s="192"/>
      <c r="I97" s="190"/>
    </row>
    <row r="98" spans="1:9" ht="18.75" customHeight="1" x14ac:dyDescent="0.15">
      <c r="A98" s="1"/>
      <c r="B98" s="191"/>
      <c r="C98" s="192"/>
      <c r="D98" s="192"/>
      <c r="E98" s="192"/>
      <c r="F98" s="192"/>
      <c r="G98" s="192"/>
      <c r="H98" s="192"/>
      <c r="I98" s="190"/>
    </row>
    <row r="99" spans="1:9" ht="18.75" customHeight="1" x14ac:dyDescent="0.15">
      <c r="A99" s="1"/>
      <c r="B99" s="191"/>
      <c r="C99" s="192"/>
      <c r="D99" s="192"/>
      <c r="E99" s="192"/>
      <c r="F99" s="192"/>
      <c r="G99" s="192"/>
      <c r="H99" s="192"/>
      <c r="I99" s="190"/>
    </row>
    <row r="100" spans="1:9" ht="18.75" customHeight="1" x14ac:dyDescent="0.15">
      <c r="A100" s="1"/>
      <c r="B100" s="191"/>
      <c r="C100" s="192"/>
      <c r="D100" s="192"/>
      <c r="E100" s="192"/>
      <c r="F100" s="192"/>
      <c r="G100" s="192"/>
      <c r="H100" s="192"/>
      <c r="I100" s="190"/>
    </row>
    <row r="101" spans="1:9" ht="18.75" customHeight="1" x14ac:dyDescent="0.15">
      <c r="A101" s="1"/>
      <c r="B101" s="191"/>
      <c r="C101" s="192"/>
      <c r="D101" s="192"/>
      <c r="E101" s="192"/>
      <c r="F101" s="192"/>
      <c r="G101" s="192"/>
      <c r="H101" s="192"/>
      <c r="I101" s="190"/>
    </row>
    <row r="102" spans="1:9" ht="18.75" customHeight="1" x14ac:dyDescent="0.15">
      <c r="A102" s="1"/>
      <c r="B102" s="191"/>
      <c r="C102" s="192"/>
      <c r="D102" s="192"/>
      <c r="E102" s="192"/>
      <c r="F102" s="192"/>
      <c r="G102" s="192"/>
      <c r="H102" s="192"/>
      <c r="I102" s="190"/>
    </row>
    <row r="103" spans="1:9" ht="18.75" customHeight="1" x14ac:dyDescent="0.15">
      <c r="A103" s="1"/>
      <c r="B103" s="191"/>
      <c r="C103" s="192"/>
      <c r="D103" s="192"/>
      <c r="E103" s="192"/>
      <c r="F103" s="192"/>
      <c r="G103" s="192"/>
      <c r="H103" s="192"/>
      <c r="I103" s="190"/>
    </row>
    <row r="104" spans="1:9" ht="18.75" customHeight="1" x14ac:dyDescent="0.15">
      <c r="A104" s="1"/>
      <c r="B104" s="191"/>
      <c r="C104" s="192"/>
      <c r="D104" s="192"/>
      <c r="E104" s="192"/>
      <c r="F104" s="192"/>
      <c r="G104" s="192"/>
      <c r="H104" s="192"/>
      <c r="I104" s="190"/>
    </row>
    <row r="105" spans="1:9" ht="18.75" customHeight="1" x14ac:dyDescent="0.15">
      <c r="A105" s="4"/>
      <c r="B105" s="193"/>
      <c r="C105" s="194"/>
      <c r="D105" s="194"/>
      <c r="E105" s="194"/>
      <c r="F105" s="194"/>
      <c r="G105" s="194"/>
      <c r="H105" s="194"/>
      <c r="I105" s="195"/>
    </row>
    <row r="106" spans="1:9" ht="7.5" customHeight="1" x14ac:dyDescent="0.15">
      <c r="A106" s="4"/>
      <c r="B106" s="4"/>
      <c r="C106" s="4"/>
      <c r="D106" s="4"/>
      <c r="E106" s="4"/>
      <c r="F106" s="4"/>
      <c r="G106" s="4"/>
      <c r="H106" s="4"/>
      <c r="I106" s="4"/>
    </row>
    <row r="107" spans="1:9" ht="18.75" customHeight="1" x14ac:dyDescent="0.15">
      <c r="A107" s="1" t="s">
        <v>29</v>
      </c>
      <c r="B107" s="202" t="s">
        <v>43</v>
      </c>
      <c r="C107" s="202"/>
      <c r="D107" s="202"/>
      <c r="E107" s="202"/>
      <c r="F107" s="202"/>
      <c r="G107" s="202"/>
      <c r="H107" s="202"/>
      <c r="I107" s="202"/>
    </row>
    <row r="108" spans="1:9" ht="18.75" customHeight="1" x14ac:dyDescent="0.15">
      <c r="A108" s="4"/>
      <c r="B108" s="185" t="s">
        <v>166</v>
      </c>
      <c r="C108" s="186"/>
      <c r="D108" s="186"/>
      <c r="E108" s="186"/>
      <c r="F108" s="186"/>
      <c r="G108" s="186"/>
      <c r="H108" s="186"/>
      <c r="I108" s="187"/>
    </row>
    <row r="109" spans="1:9" ht="18.75" customHeight="1" x14ac:dyDescent="0.15">
      <c r="A109" s="4"/>
      <c r="B109" s="191"/>
      <c r="C109" s="192"/>
      <c r="D109" s="192"/>
      <c r="E109" s="192"/>
      <c r="F109" s="192"/>
      <c r="G109" s="192"/>
      <c r="H109" s="192"/>
      <c r="I109" s="190"/>
    </row>
    <row r="110" spans="1:9" ht="18.75" customHeight="1" x14ac:dyDescent="0.15">
      <c r="A110" s="4"/>
      <c r="B110" s="191"/>
      <c r="C110" s="192"/>
      <c r="D110" s="192"/>
      <c r="E110" s="192"/>
      <c r="F110" s="192"/>
      <c r="G110" s="192"/>
      <c r="H110" s="192"/>
      <c r="I110" s="190"/>
    </row>
    <row r="111" spans="1:9" ht="18.75" customHeight="1" x14ac:dyDescent="0.15">
      <c r="A111" s="4"/>
      <c r="B111" s="191"/>
      <c r="C111" s="192"/>
      <c r="D111" s="192"/>
      <c r="E111" s="192"/>
      <c r="F111" s="192"/>
      <c r="G111" s="192"/>
      <c r="H111" s="192"/>
      <c r="I111" s="190"/>
    </row>
    <row r="112" spans="1:9" ht="18.75" customHeight="1" x14ac:dyDescent="0.15">
      <c r="A112" s="4"/>
      <c r="B112" s="191"/>
      <c r="C112" s="192"/>
      <c r="D112" s="192"/>
      <c r="E112" s="192"/>
      <c r="F112" s="192"/>
      <c r="G112" s="192"/>
      <c r="H112" s="192"/>
      <c r="I112" s="190"/>
    </row>
    <row r="113" spans="1:9" ht="18.75" customHeight="1" x14ac:dyDescent="0.15">
      <c r="A113" s="4"/>
      <c r="B113" s="191"/>
      <c r="C113" s="192"/>
      <c r="D113" s="192"/>
      <c r="E113" s="192"/>
      <c r="F113" s="192"/>
      <c r="G113" s="192"/>
      <c r="H113" s="192"/>
      <c r="I113" s="190"/>
    </row>
    <row r="114" spans="1:9" ht="18.75" customHeight="1" x14ac:dyDescent="0.15">
      <c r="A114" s="4"/>
      <c r="B114" s="191"/>
      <c r="C114" s="192"/>
      <c r="D114" s="192"/>
      <c r="E114" s="192"/>
      <c r="F114" s="192"/>
      <c r="G114" s="192"/>
      <c r="H114" s="192"/>
      <c r="I114" s="190"/>
    </row>
    <row r="115" spans="1:9" ht="18.75" customHeight="1" x14ac:dyDescent="0.15">
      <c r="A115" s="4"/>
      <c r="B115" s="191"/>
      <c r="C115" s="192"/>
      <c r="D115" s="192"/>
      <c r="E115" s="192"/>
      <c r="F115" s="192"/>
      <c r="G115" s="192"/>
      <c r="H115" s="192"/>
      <c r="I115" s="190"/>
    </row>
    <row r="116" spans="1:9" ht="18.75" customHeight="1" x14ac:dyDescent="0.15">
      <c r="A116" s="4"/>
      <c r="B116" s="191"/>
      <c r="C116" s="192"/>
      <c r="D116" s="192"/>
      <c r="E116" s="192"/>
      <c r="F116" s="192"/>
      <c r="G116" s="192"/>
      <c r="H116" s="192"/>
      <c r="I116" s="190"/>
    </row>
    <row r="117" spans="1:9" ht="18.75" customHeight="1" x14ac:dyDescent="0.15">
      <c r="A117" s="4"/>
      <c r="B117" s="191"/>
      <c r="C117" s="192"/>
      <c r="D117" s="192"/>
      <c r="E117" s="192"/>
      <c r="F117" s="192"/>
      <c r="G117" s="192"/>
      <c r="H117" s="192"/>
      <c r="I117" s="190"/>
    </row>
    <row r="118" spans="1:9" ht="18.75" customHeight="1" x14ac:dyDescent="0.15">
      <c r="A118" s="4"/>
      <c r="B118" s="191"/>
      <c r="C118" s="192"/>
      <c r="D118" s="192"/>
      <c r="E118" s="192"/>
      <c r="F118" s="192"/>
      <c r="G118" s="192"/>
      <c r="H118" s="192"/>
      <c r="I118" s="190"/>
    </row>
    <row r="119" spans="1:9" ht="18.75" customHeight="1" x14ac:dyDescent="0.15">
      <c r="A119" s="4"/>
      <c r="B119" s="193"/>
      <c r="C119" s="194"/>
      <c r="D119" s="194"/>
      <c r="E119" s="194"/>
      <c r="F119" s="194"/>
      <c r="G119" s="194"/>
      <c r="H119" s="194"/>
      <c r="I119" s="195"/>
    </row>
    <row r="120" spans="1:9" ht="7.5" customHeight="1" x14ac:dyDescent="0.15">
      <c r="A120" s="4"/>
      <c r="B120" s="39"/>
      <c r="C120" s="39"/>
      <c r="D120" s="39"/>
      <c r="E120" s="39"/>
      <c r="F120" s="39"/>
      <c r="G120" s="39"/>
      <c r="H120" s="39"/>
      <c r="I120" s="39"/>
    </row>
    <row r="121" spans="1:9" ht="18.75" customHeight="1" x14ac:dyDescent="0.15">
      <c r="A121" s="69"/>
      <c r="B121" s="180"/>
      <c r="C121" s="180"/>
      <c r="D121" s="180"/>
      <c r="E121" s="180"/>
      <c r="F121" s="180"/>
      <c r="G121" s="180"/>
      <c r="H121" s="180"/>
      <c r="I121" s="180"/>
    </row>
    <row r="122" spans="1:9" ht="18.75" customHeight="1" x14ac:dyDescent="0.15">
      <c r="A122" s="69"/>
      <c r="B122" s="180"/>
      <c r="C122" s="180"/>
      <c r="D122" s="180"/>
      <c r="E122" s="180"/>
      <c r="F122" s="180"/>
      <c r="G122" s="180"/>
      <c r="H122" s="180"/>
      <c r="I122" s="180"/>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N2" sqref="N2"/>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66</v>
      </c>
      <c r="I1" s="30" t="s">
        <v>94</v>
      </c>
    </row>
    <row r="2" spans="1:9" ht="18.75" customHeight="1" x14ac:dyDescent="0.15">
      <c r="H2" s="30" t="s">
        <v>97</v>
      </c>
      <c r="I2" s="29" t="str">
        <f>'様式１　プログラムを構成する授業科目'!C2</f>
        <v>埼玉女子短期大学</v>
      </c>
    </row>
    <row r="3" spans="1:9" ht="18.75" customHeight="1" x14ac:dyDescent="0.15">
      <c r="A3" s="181" t="s">
        <v>27</v>
      </c>
      <c r="B3" s="181"/>
      <c r="C3" s="181"/>
      <c r="D3" s="181"/>
      <c r="E3" s="181"/>
      <c r="F3" s="181"/>
      <c r="G3" s="181"/>
      <c r="H3" s="181"/>
      <c r="I3" s="181"/>
    </row>
    <row r="4" spans="1:9" ht="18.75" customHeight="1" x14ac:dyDescent="0.15">
      <c r="A4" s="5"/>
      <c r="B4" s="5"/>
      <c r="C4" s="5"/>
      <c r="D4" s="5"/>
      <c r="E4" s="5"/>
      <c r="F4" s="5"/>
      <c r="G4" s="5"/>
      <c r="H4" s="5"/>
      <c r="I4" s="5"/>
    </row>
    <row r="5" spans="1:9" ht="18.75" customHeight="1" x14ac:dyDescent="0.15">
      <c r="A5" s="1" t="s">
        <v>0</v>
      </c>
      <c r="B5" s="10" t="s">
        <v>88</v>
      </c>
      <c r="C5" s="5"/>
      <c r="D5" s="5"/>
      <c r="E5" s="5"/>
      <c r="F5" s="5"/>
      <c r="G5" s="5"/>
      <c r="H5" s="5"/>
      <c r="I5" s="5"/>
    </row>
    <row r="6" spans="1:9" ht="26.25" customHeight="1" x14ac:dyDescent="0.15">
      <c r="A6" s="5"/>
      <c r="B6" s="196" t="s">
        <v>148</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30" t="s">
        <v>41</v>
      </c>
      <c r="E8" s="31" t="s">
        <v>149</v>
      </c>
      <c r="F8" s="3"/>
      <c r="G8" s="30" t="s">
        <v>10</v>
      </c>
      <c r="H8" s="31" t="s">
        <v>176</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1" t="s">
        <v>184</v>
      </c>
      <c r="C11" s="92"/>
      <c r="D11" s="93"/>
      <c r="E11" s="92" t="s">
        <v>25</v>
      </c>
      <c r="F11" s="92"/>
      <c r="G11" s="92"/>
      <c r="H11" s="92"/>
      <c r="I11" s="93"/>
    </row>
    <row r="12" spans="1:9" ht="26.25" customHeight="1" x14ac:dyDescent="0.15">
      <c r="B12" s="40" t="s">
        <v>14</v>
      </c>
      <c r="C12" s="47"/>
      <c r="D12" s="41"/>
      <c r="E12" s="48"/>
      <c r="F12" s="48"/>
      <c r="G12" s="48"/>
      <c r="H12" s="48"/>
      <c r="I12" s="41"/>
    </row>
    <row r="13" spans="1:9" ht="210.75" customHeight="1" x14ac:dyDescent="0.15">
      <c r="B13" s="42"/>
      <c r="C13" s="238" t="s">
        <v>15</v>
      </c>
      <c r="D13" s="239"/>
      <c r="E13" s="235" t="s">
        <v>177</v>
      </c>
      <c r="F13" s="236"/>
      <c r="G13" s="236"/>
      <c r="H13" s="236"/>
      <c r="I13" s="237"/>
    </row>
    <row r="14" spans="1:9" ht="210.75" customHeight="1" x14ac:dyDescent="0.15">
      <c r="B14" s="42"/>
      <c r="C14" s="233" t="s">
        <v>16</v>
      </c>
      <c r="D14" s="234"/>
      <c r="E14" s="235" t="s">
        <v>150</v>
      </c>
      <c r="F14" s="236"/>
      <c r="G14" s="236"/>
      <c r="H14" s="236"/>
      <c r="I14" s="237"/>
    </row>
    <row r="15" spans="1:9" ht="210.75" customHeight="1" x14ac:dyDescent="0.15">
      <c r="B15" s="42"/>
      <c r="C15" s="238" t="s">
        <v>17</v>
      </c>
      <c r="D15" s="239"/>
      <c r="E15" s="235" t="s">
        <v>179</v>
      </c>
      <c r="F15" s="236"/>
      <c r="G15" s="236"/>
      <c r="H15" s="236"/>
      <c r="I15" s="237"/>
    </row>
    <row r="16" spans="1:9" ht="210.75" customHeight="1" x14ac:dyDescent="0.15">
      <c r="B16" s="42"/>
      <c r="C16" s="238" t="s">
        <v>18</v>
      </c>
      <c r="D16" s="239"/>
      <c r="E16" s="235" t="s">
        <v>151</v>
      </c>
      <c r="F16" s="236"/>
      <c r="G16" s="236"/>
      <c r="H16" s="236"/>
      <c r="I16" s="237"/>
    </row>
    <row r="17" spans="2:9" ht="210.75" customHeight="1" x14ac:dyDescent="0.15">
      <c r="B17" s="43"/>
      <c r="C17" s="242" t="s">
        <v>19</v>
      </c>
      <c r="D17" s="243"/>
      <c r="E17" s="244" t="s">
        <v>182</v>
      </c>
      <c r="F17" s="245"/>
      <c r="G17" s="245"/>
      <c r="H17" s="245"/>
      <c r="I17" s="246"/>
    </row>
    <row r="18" spans="2:9" ht="24" customHeight="1" x14ac:dyDescent="0.15">
      <c r="B18" s="40" t="s">
        <v>20</v>
      </c>
      <c r="C18" s="44"/>
      <c r="D18" s="45"/>
      <c r="E18" s="46"/>
      <c r="F18" s="46"/>
      <c r="G18" s="46"/>
      <c r="H18" s="46"/>
      <c r="I18" s="49"/>
    </row>
    <row r="19" spans="2:9" ht="218.25" customHeight="1" x14ac:dyDescent="0.15">
      <c r="B19" s="42"/>
      <c r="C19" s="238" t="s">
        <v>21</v>
      </c>
      <c r="D19" s="239"/>
      <c r="E19" s="236" t="s">
        <v>178</v>
      </c>
      <c r="F19" s="236"/>
      <c r="G19" s="236"/>
      <c r="H19" s="236"/>
      <c r="I19" s="237"/>
    </row>
    <row r="20" spans="2:9" ht="218.25" customHeight="1" x14ac:dyDescent="0.15">
      <c r="B20" s="43"/>
      <c r="C20" s="242" t="s">
        <v>22</v>
      </c>
      <c r="D20" s="243"/>
      <c r="E20" s="245" t="s">
        <v>152</v>
      </c>
      <c r="F20" s="245"/>
      <c r="G20" s="245"/>
      <c r="H20" s="245"/>
      <c r="I20" s="246"/>
    </row>
    <row r="21" spans="2:9" ht="218.25" customHeight="1" x14ac:dyDescent="0.15">
      <c r="B21" s="252" t="s">
        <v>23</v>
      </c>
      <c r="C21" s="253"/>
      <c r="D21" s="254"/>
      <c r="E21" s="255" t="s">
        <v>153</v>
      </c>
      <c r="F21" s="255"/>
      <c r="G21" s="255"/>
      <c r="H21" s="255"/>
      <c r="I21" s="256"/>
    </row>
    <row r="22" spans="2:9" ht="218.25" customHeight="1" x14ac:dyDescent="0.15">
      <c r="B22" s="247" t="s">
        <v>133</v>
      </c>
      <c r="C22" s="248"/>
      <c r="D22" s="249"/>
      <c r="E22" s="250" t="s">
        <v>180</v>
      </c>
      <c r="F22" s="250"/>
      <c r="G22" s="250"/>
      <c r="H22" s="250"/>
      <c r="I22" s="25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kojima</cp:lastModifiedBy>
  <cp:lastPrinted>2024-06-12T06:55:39Z</cp:lastPrinted>
  <dcterms:created xsi:type="dcterms:W3CDTF">2011-06-14T05:32:50Z</dcterms:created>
  <dcterms:modified xsi:type="dcterms:W3CDTF">2024-06-12T07:00:41Z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