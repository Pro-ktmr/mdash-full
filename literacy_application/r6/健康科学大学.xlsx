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Users\saitou21\Desktop\実施要綱・申請様式＜リテラシーレベル＞\再提出データ\"/>
    </mc:Choice>
  </mc:AlternateContent>
  <xr:revisionPtr revIDLastSave="0" documentId="13_ncr:1_{F38BA037-A86B-4F5C-BF12-5539DD506989}" xr6:coauthVersionLast="47" xr6:coauthVersionMax="47" xr10:uidLastSave="{00000000-0000-0000-0000-000000000000}"/>
  <bookViews>
    <workbookView xWindow="-120" yWindow="-120" windowWidth="20640" windowHeight="111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<sst xmlns="http://schemas.openxmlformats.org/spreadsheetml/2006/main" count="296" uniqueCount="183">
  <si>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</si>
  <si>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</si>
  <si>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</si>
  <si>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健康科学大学</t>
    <rPh sb="0" eb="6">
      <t>ケンコウカガクダイガク</t>
    </rPh>
    <phoneticPr fontId="1"/>
  </si>
  <si>
    <t>プログラム名</t>
    <rPh sb="5" eb="6">
      <t>メイ</t>
    </rPh>
    <phoneticPr fontId="1"/>
  </si>
  <si>
    <t>健康科学大学数理・データサイエンス・AI教育
 – Society5.0を生き抜く人材養成教育プログラム –</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</si>
  <si>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</si>
  <si>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</si>
  <si>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</si>
  <si>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</si>
  <si>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</si>
  <si>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「情報リテラシー」と「統計学」合わせて３単位を修得すること。</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</si>
  <si>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</si>
  <si>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</si>
  <si>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</si>
  <si>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</si>
  <si>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</si>
  <si>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</si>
  <si>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</si>
  <si>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</si>
  <si>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</si>
  <si>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</si>
  <si>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</si>
  <si>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</si>
  <si>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</si>
  <si>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</si>
  <si>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情報リテラシー</t>
    <rPh sb="0" eb="2">
      <t>ジョウホウ</t>
    </rPh>
    <phoneticPr fontId="1"/>
  </si>
  <si>
    <t>○</t>
  </si>
  <si>
    <t>統計学</t>
    <rPh sb="0" eb="3">
      <t>トウケイガク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</si>
  <si>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</si>
  <si>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</si>
  <si>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</si>
  <si>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</si>
  <si>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</si>
  <si>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</si>
  <si>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</si>
  <si>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</si>
  <si>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</si>
  <si>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</si>
  <si>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</si>
  <si>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</si>
  <si>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</si>
  <si>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情報リテラシー</t>
    <phoneticPr fontId="1"/>
  </si>
  <si>
    <t>○</t>
    <phoneticPr fontId="1"/>
  </si>
  <si>
    <t>統計学</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</si>
  <si>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</si>
  <si>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</si>
  <si>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</si>
  <si>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</si>
  <si>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</si>
  <si>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</si>
  <si>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社会で起きている変化（ビッグデータ、IoT、AI、ロボット）　「情報リテラシー（健康科学部）」　（1回目）
社会で起きている変化　「統計学」　（1回目）　</t>
  </si>
  <si>
    <t>1-6</t>
    <phoneticPr fontId="1"/>
  </si>
  <si>
    <t>データ・AI利活用の最新動向（新しいビジネスモデル、強化学習、転移学習）　「情報リテラシー（健康科学部）」　（6回目）　
データの取り扱い、社会でのデータ活用およびその事例と技術　「統計学」　（1回目）</t>
  </si>
  <si>
    <t>（２）「社会で活用されているデータ」や「データの活用領域」は非常に広範囲であって、日常生活や社会の課題を解決する有用なツールになり得るもの</t>
    <phoneticPr fontId="1"/>
  </si>
  <si>
    <t>社会で活用されているデータ（人の行動ログデータ、機械の稼働ログデータ）　「情報リテラシー（健康科学部）」　（2回目）
社会でのデータ活用およびその事例と技術　「統計学」　（1回目）</t>
  </si>
  <si>
    <t>データ・AIの活用領域（生産、消費、マーケティング）　「情報リテラシー（健康科学部）」　（3回目）
社会でのデータ活用およびその事例と技術　「統計学」　（1回目）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</si>
  <si>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</si>
  <si>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データ・AI活用のための技術（パターン発見、最適化、シミュレーション）　「情報リテラシー（健康科学部）」　（4回目）
社会でのデータ活用およびその事例と技術　「統計学」　（1回目）
データサイエンスとプログラミングの基礎　「統計学」　（３回目）</t>
  </si>
  <si>
    <t>データ・AI利活用の現場（課題の抽出、解決に向けた提案などの活用事例）　「情報リテラシー（健康科学部）」　（5回目）
社会でのデータ活用およびその事例と技術　「統計学」　（1回目）
統計学の応用（機械学習・AI）　「統計学」　（15回目）</t>
  </si>
  <si>
    <t>（４）活用に当たっての様々な留意事項（ELSI、個人情報、データ倫理、ＡＩ社会原則等）を考慮し、情報セキュリティや情報漏洩等、データを守る上での留意事項への理解をする</t>
    <phoneticPr fontId="1"/>
  </si>
  <si>
    <t>データ・AI活用における留意事項（個人情報の保護、利用時のモラル、倫理、脅威）　「情報リテラシー（健康科学部）」　（7回目）
オープンデータの取得と整理　「統計学」　（2回目）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</si>
  <si>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</si>
  <si>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</si>
  <si>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データの解析方法（データの比較）　「情報リテラシー（健康科学部）」　（8回目）
平均と分散、母集団と標本についてその意味と解釈方法　「統計学」　（４回目）　
記述統計、カイ2乗検定　「統計学」　（７回目）
課題演習1（統計グラフ）　「統計学」　（6回目）
課題演習2（記述統計、カイ2乗検定、t検定）　「統計学」　（10回目）
課題演習3（比較検定、相関係数の計算、回帰直線の作成）　「統計学」　（14回目）</t>
  </si>
  <si>
    <t>データの解析方法（データの図表表現）　「情報リテラシー（健康科学部）」　（8回目）
課題演習1（統計グラフ）　「統計学」　（6回目）
課題演習2（記述統計、カイ2乗検定、t検定）　「統計学」　（10回目）
課題演習3（比較検定、相関係数の計算、回帰直線の作成）　「統計学」　（14回目）</t>
  </si>
  <si>
    <t xml:space="preserve">データの解析方法（データの比較）　「情報リテラシー（健康科学部）」　（8回目）
オープンデータの取得と整理　「統計学」　（2回目）
平均と分散、母集団と標本　「統計学」　（４回目）
信頼区間、基準値と偏差値　「統計学」　（５回目）
統計グラフ　「統計学」　（６回目）
記述統計、カイ2乗検定　「統計学」　（7回目）
対応なしのt検定　「統計学」　（8回目）
対応ありのt検定　「統計学」　（9回目）
分散分析、多重比較検定　「統計」学　（11回目）
相関、回帰直線　「統計学」　（12回目）
確立と場合、二項分布と正規分布　「統計学」　（13回目）
</t>
  </si>
  <si>
    <t>⑪ プログラムの学修成果（学生等が身に付けられる能力等）</t>
    <phoneticPr fontId="1"/>
  </si>
  <si>
    <t>情報を収集する能力、情報の信頼性を検証する能力、情報を読み解く能力を身に付け、AIを活用することの意義を理解する。</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</si>
  <si>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</si>
  <si>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</si>
  <si>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</si>
  <si>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</si>
  <si>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</si>
  <si>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</si>
  <si>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</si>
  <si>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</si>
  <si>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</si>
  <si>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</si>
  <si>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</si>
  <si>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</si>
  <si>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</si>
  <si>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</si>
  <si>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</si>
  <si>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</si>
  <si>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</si>
  <si>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</si>
  <si>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</si>
  <si>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</si>
  <si>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</si>
  <si>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</si>
  <si>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</si>
  <si>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</si>
  <si>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</si>
  <si>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</si>
  <si>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</si>
  <si>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</si>
  <si>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</si>
  <si>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</si>
  <si>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</si>
  <si>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健康科学部</t>
    <rPh sb="0" eb="5">
      <t>ケンコウカガクブ</t>
    </rPh>
    <phoneticPr fontId="1"/>
  </si>
  <si>
    <t>看護学部</t>
    <rPh sb="0" eb="4">
      <t>カンゴガクブ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</si>
  <si>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</si>
  <si>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</si>
  <si>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</si>
  <si>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</si>
  <si>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</si>
  <si>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</si>
  <si>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</si>
  <si>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</si>
  <si>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</si>
  <si>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</si>
  <si>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</si>
  <si>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</si>
  <si>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</si>
  <si>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樫本　温</t>
    <rPh sb="0" eb="2">
      <t>カシモト</t>
    </rPh>
    <phoneticPr fontId="1"/>
  </si>
  <si>
    <t>（役職名）</t>
    <rPh sb="1" eb="4">
      <t>ヤクショクメイ</t>
    </rPh>
    <phoneticPr fontId="1"/>
  </si>
  <si>
    <t>学長</t>
    <rPh sb="0" eb="2">
      <t>ガクチョウ</t>
    </rPh>
    <phoneticPr fontId="1"/>
  </si>
  <si>
    <t>④</t>
    <phoneticPr fontId="1"/>
  </si>
  <si>
    <t>プログラムを改善・進化させるための体制（委員会・組織等）</t>
    <phoneticPr fontId="1"/>
  </si>
  <si>
    <t>教学マネジメント会議数理・データサイエンス・AI教育推進分科会</t>
    <phoneticPr fontId="1"/>
  </si>
  <si>
    <t>山本　泰宏</t>
    <phoneticPr fontId="1"/>
  </si>
  <si>
    <t>副学長</t>
    <rPh sb="0" eb="3">
      <t>フクガクチョウ</t>
    </rPh>
    <phoneticPr fontId="1"/>
  </si>
  <si>
    <t>⑤</t>
    <phoneticPr fontId="1"/>
  </si>
  <si>
    <t>プログラムを改善・進化させるための体制を定める規則名称</t>
    <phoneticPr fontId="1"/>
  </si>
  <si>
    <t>教学マネジメント会議</t>
    <phoneticPr fontId="1"/>
  </si>
  <si>
    <t>⑥</t>
    <phoneticPr fontId="1"/>
  </si>
  <si>
    <t>体制の目的</t>
    <rPh sb="0" eb="2">
      <t>タイセイ</t>
    </rPh>
    <rPh sb="3" eb="5">
      <t>モクテキ</t>
    </rPh>
    <phoneticPr fontId="1"/>
  </si>
  <si>
    <t>分科会は本学の数理・データサイエンス・AI教育の推進するために必要な事項の方針の策定、検証、評価、各部署との調整等について審議することを目的とする。</t>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</si>
  <si>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</si>
  <si>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</si>
  <si>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</si>
  <si>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</si>
  <si>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</si>
  <si>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</si>
  <si>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</si>
  <si>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</si>
  <si>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</si>
  <si>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</si>
  <si>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</si>
  <si>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令和5年度から対象となる科目を、全学科で必須科目である「情報リテラシー」と、リハビリテーション学科と看護学科で必修科目である「統計学」を中心として構成する。文系で「統計学」が選択科目である人間コミュニケーション学科の学生は、文系科目である「経済と経営」を活用して、数理・データサイエンス・AIをわかりやすく理解し、学生にとって受講しやすい環境を提供することによって履修者数および履修率向上を図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</si>
  <si>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</si>
  <si>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</si>
  <si>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学は健康科学部リハビリテーション学科、人間コミュニケーション学科、看護学部看護学科の2学部3学科かから構成される。プログラムの運用は全学組織である教学マネジメント会議数理・データサイエンス・Ai教育推進分科会で行うことにより全学的視点での運用を保証する。
令和5年度は全学部学科で必修科目となっている、「情報リテラシー」（1単位）で知識を習得し、リハビリテーション学科と看護学科で必修科目の「統計学」（2単位）でその実際を演習として体験する。また人間コミュニケーション学科の学生は「統計学」を選択科目として設定し、さらに、「情報リテラシー」でカバーしきれない範囲を「経済と経営」（2単位）で、数理・データサイエンス・AIの知識と技術が自分たちの生活とどのように関わっているか具体例を挙げて易しく、わかりやすい内容で補充する。このように学部・学科に関係なくすべての在学生がプログラムに参加することが可能となる取り組みを行っている。</t>
    <rPh sb="102" eb="103">
      <t>ブン</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</si>
  <si>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</si>
  <si>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</si>
  <si>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以下の3つの方法で学生に周知を行う。①ホームページのトップ画面に本プログラム専用ページへのリンクを掲載し、新入生が入学前から本プログラムに関する情報を得ることができる環境を整える。②入学直後のオリエンテーションで全新入生に対して、プログラムへの参加に関わらずこれからの社会を生き抜くには数理・データサイエンス・AIに関する基礎的知識が必要であることを説明する。③履修指導において、特に人間コミュニケーション学科の学生に対して本プログラムに参加することのメリットを強調し「統計学」または「経済と経営」を積極的に選択するように促す。</t>
    <phoneticPr fontId="1"/>
  </si>
  <si>
    <t>⑪</t>
    <phoneticPr fontId="1"/>
  </si>
  <si>
    <t>できる限り多くの学生が履修・修得できるようなサポート体制</t>
    <rPh sb="26" eb="28">
      <t>タイセイ</t>
    </rPh>
    <phoneticPr fontId="1"/>
  </si>
  <si>
    <t>マイクロソフトTeamsを活用した取り組みを行う。すなわち、令和5年度からは主要科目である「情報リテラシー」と「統計学」を、オンライン授業で行っている。これにより、講義内容をアーカイブ化して受講生がいつでも繰り返し閲覧できるようにすることと、チャットでの24時間質問受付け（回答は日中）体制を構築することができる。
また、両学部でキャンパスが異なるが、事前にチャットで教員とアポをとることによりそれぞれのキャンパスで対面指導も受けることができる体制を構築した。</t>
    <rPh sb="162" eb="165">
      <t>リョウガクブ</t>
    </rPh>
    <rPh sb="172" eb="173">
      <t>コト</t>
    </rPh>
    <phoneticPr fontId="1"/>
  </si>
  <si>
    <t>⑫</t>
    <phoneticPr fontId="1"/>
  </si>
  <si>
    <t>授業時間内外で学習指導、質問を受け付ける具体的な仕組み</t>
    <rPh sb="20" eb="23">
      <t>グタイテキ</t>
    </rPh>
    <phoneticPr fontId="1"/>
  </si>
  <si>
    <t>各授業の最後に15分程度の質疑応答時間を設ける。
また、マイクロソフトTeams上でチャットあるいはビデオ通話による質問を受け付ける。さらに、富士山キャンパスと桂川キャンパスそれぞれに担当者を配置し、対面での質問、指導を受け付ける。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</si>
  <si>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</si>
  <si>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</si>
  <si>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</si>
  <si>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</si>
  <si>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樫本　温</t>
    <rPh sb="0" eb="2">
      <t>カシモト</t>
    </rPh>
    <rPh sb="3" eb="4">
      <t>オン</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</si>
  <si>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</si>
  <si>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</si>
  <si>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</si>
  <si>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</si>
  <si>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</si>
  <si>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各科目の授業評価により、各科目ごとの自己点検を行う。これとは別にプログラム修了者に対してプログラム全体に対するアンケート調査を行なう。この結果をIRが解析することにより、学生による評価を可視化し、プログラム全体の自己点検を行う。</t>
    <phoneticPr fontId="1"/>
  </si>
  <si>
    <t>学修成果</t>
    <rPh sb="0" eb="2">
      <t>ガクシュウ</t>
    </rPh>
    <rPh sb="2" eb="4">
      <t>セイカ</t>
    </rPh>
    <phoneticPr fontId="1"/>
  </si>
  <si>
    <t>授業評価の９（この授業の学習内容のレベルは適切だった），12（この授業は自分が期待していた授業内容だった），13（この授業は自分の将来に役立つと思った）などを中心とした受講学生による評価と、各構成科目の成績分布をIRが解析することにより学習成果を可視化して自己点検・評価を行う。</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</si>
  <si>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</si>
  <si>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授業評価の９（この授業の学習内容のレベルは適切だった）を中心とする受講学生による授業評価と、各構成科目の学科別成績分布をIRが解析することにより学習成果を可視化して自己点検・評価を行う。</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</si>
  <si>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</si>
  <si>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プログラム全体に対する受講学生に対するアンケート結果をIRで解析し、後輩等の学生への推奨度を把握する。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</si>
  <si>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</si>
  <si>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情報リテラシーは全学部で必須科目であり、統計学は3学科中人間コミュニケーション学科を除く2学科で必須科目となっている。入学時オリエンテーションや履修指導において数理・データサイエンス・AI教育の必要性を説明し、履修率の向上を図る予定である。毎年履修率を評価し、さらに、このプログラムを履修しなかった学生に対するアンケート調査を行ない、履修率向上に必要な対策を検証していく。</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</si>
  <si>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</si>
  <si>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</si>
  <si>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2023年度からのプログラムであるので、外部からの評価はこの学年が卒業する2027年度にならないと受けることはできない。プログラムの有効性を確認するために、2026年度までの卒業生と2027年度卒業生の比較を行うアンケート調査を準備中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</si>
  <si>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</si>
  <si>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2027年度以後は、本学の卒業生の就職先に対してアンケート調査を行う計画である。
また、現在調整中であるが、本学学生が臨床実習を行う施設に依頼して本プログラムの有効性を確認することも計画している。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</si>
  <si>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</si>
  <si>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高度な理論には触れず、社会や自身の身近な問題を具体例として、その中で数理・データサイエンス・AIがどのように活用されているのか、また、どのように活用できるのかを考え、それが自分たちの生活や人生にどれだけ役に立つのかを実感することを基本方針とした授業を行う。その結果は授業評価アンケート7（この授業は学生に興味が湧くように工夫されていた）、9（この授業の学習内容のレベルは適切だった）、12（この授業は自分が期待していた授業だった）、13（この授業は自分の将来に役立つと思った）などの点数をIRで解析し、授業内容の自己点検・自己評価をおこない、次年度への授業改善の資料とする。</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</si>
  <si>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</si>
  <si>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授業評価の９（この授業の学習内容のレベルは適切だった）などを中心とした受講学生による評価と、各構成科目の成績分布をIRが解析することにより学習成果を可視化して自己点検・評価を行う。</t>
    <phoneticPr fontId="1"/>
  </si>
  <si>
    <t>令和5</t>
    <rPh sb="0" eb="2">
      <t>レイワ</t>
    </rPh>
    <phoneticPr fontId="1"/>
  </si>
  <si>
    <t>数理・データサイエンス・AI教育促進分科会長　副学長　山本泰宏
健康科学部長　   教授　髙村浩司
看護学部長　　　　教授　望月宗一郎
統計学担当 　　　 教授　升　佑二郎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</si>
</sst>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Ｐゴシック"/>
      <family val="3"/>
      <charset val="128"/>
      <scheme val="minor"/>
    </font>
    <font>
      <sz val="10"/>
      <color rgb="FF000000"/>
      <name val="ＭＳ Ｐゴシック"/>
      <family val="3"/>
      <charset val="128"/>
      <scheme val="minor"/>
    </font>
    <font>
      <sz val="9"/>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7" fillId="0" borderId="1" xfId="0" applyFont="1" applyBorder="1" applyAlignment="1">
      <alignment horizontal="center" vertical="center" wrapText="1" shrinkToFit="1"/>
    </xf>
    <xf numFmtId="9" fontId="17" fillId="0" borderId="1" xfId="0" applyNumberFormat="1" applyFont="1" applyBorder="1" applyAlignment="1">
      <alignment horizontal="center" vertical="center" shrinkToFit="1"/>
    </xf>
    <xf numFmtId="0" fontId="17" fillId="0" borderId="1" xfId="0" applyFont="1" applyBorder="1" applyAlignment="1">
      <alignment horizontal="center" vertical="center" shrinkToFit="1"/>
    </xf>
    <xf numFmtId="176" fontId="17" fillId="0" borderId="1" xfId="0" applyNumberFormat="1" applyFont="1" applyBorder="1" applyAlignment="1">
      <alignment horizontal="center" vertical="center" shrinkToFit="1"/>
    </xf>
    <xf numFmtId="0" fontId="17" fillId="0" borderId="0" xfId="0" applyFont="1">
      <alignment vertical="center"/>
    </xf>
    <xf numFmtId="49" fontId="19" fillId="0" borderId="43" xfId="0" applyNumberFormat="1" applyFont="1" applyBorder="1" applyAlignment="1">
      <alignment horizontal="center" vertical="center"/>
    </xf>
    <xf numFmtId="49" fontId="19" fillId="0" borderId="44" xfId="0" applyNumberFormat="1" applyFont="1" applyBorder="1" applyAlignment="1">
      <alignment horizontal="center" vertical="center"/>
    </xf>
    <xf numFmtId="49" fontId="19" fillId="0" borderId="39" xfId="0" applyNumberFormat="1" applyFont="1" applyBorder="1" applyAlignment="1">
      <alignment horizontal="center" vertical="center"/>
    </xf>
    <xf numFmtId="49" fontId="19" fillId="0" borderId="26" xfId="0" applyNumberFormat="1" applyFont="1" applyBorder="1" applyAlignment="1">
      <alignment horizontal="center" vertical="center"/>
    </xf>
    <xf numFmtId="49" fontId="19" fillId="0" borderId="42" xfId="0" applyNumberFormat="1" applyFont="1" applyBorder="1" applyAlignment="1">
      <alignment horizontal="center" vertical="center"/>
    </xf>
    <xf numFmtId="49" fontId="19" fillId="0" borderId="28" xfId="0" applyNumberFormat="1" applyFont="1" applyBorder="1" applyAlignment="1">
      <alignment horizontal="center" vertical="center"/>
    </xf>
    <xf numFmtId="0" fontId="12" fillId="0" borderId="0" xfId="0" applyFont="1" applyAlignment="1">
      <alignment horizontal="left" vertical="center" wrapText="1"/>
    </xf>
    <xf numFmtId="49" fontId="19" fillId="0" borderId="29" xfId="0" applyNumberFormat="1" applyFont="1" applyBorder="1" applyAlignment="1">
      <alignment horizontal="left" vertical="center" wrapText="1"/>
    </xf>
    <xf numFmtId="49" fontId="19" fillId="0" borderId="31" xfId="0" applyNumberFormat="1" applyFont="1" applyBorder="1" applyAlignment="1">
      <alignment horizontal="left" vertical="center"/>
    </xf>
    <xf numFmtId="49" fontId="19" fillId="0" borderId="30" xfId="0" applyNumberFormat="1" applyFont="1" applyBorder="1" applyAlignment="1">
      <alignment horizontal="left" vertical="center"/>
    </xf>
    <xf numFmtId="49" fontId="19" fillId="0" borderId="18" xfId="0" applyNumberFormat="1" applyFont="1" applyBorder="1" applyAlignment="1">
      <alignment horizontal="left" vertical="center" wrapText="1"/>
    </xf>
    <xf numFmtId="49" fontId="19" fillId="0" borderId="19" xfId="0" applyNumberFormat="1" applyFont="1" applyBorder="1" applyAlignment="1">
      <alignment horizontal="left" vertical="center"/>
    </xf>
    <xf numFmtId="49" fontId="19" fillId="0" borderId="17" xfId="0" applyNumberFormat="1" applyFont="1" applyBorder="1" applyAlignment="1">
      <alignment horizontal="left" vertical="center"/>
    </xf>
    <xf numFmtId="49" fontId="19" fillId="0" borderId="29" xfId="0" applyNumberFormat="1" applyFont="1" applyBorder="1" applyAlignment="1">
      <alignment horizontal="left" vertical="top" wrapText="1"/>
    </xf>
    <xf numFmtId="49" fontId="19" fillId="0" borderId="31" xfId="0" applyNumberFormat="1" applyFont="1" applyBorder="1" applyAlignment="1">
      <alignment horizontal="left" vertical="top"/>
    </xf>
    <xf numFmtId="49" fontId="19" fillId="0" borderId="30" xfId="0" applyNumberFormat="1" applyFont="1" applyBorder="1" applyAlignment="1">
      <alignment horizontal="left" vertical="top"/>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49" fontId="19" fillId="0" borderId="32" xfId="0" applyNumberFormat="1" applyFont="1" applyBorder="1" applyAlignment="1">
      <alignment horizontal="left" vertical="center" wrapText="1"/>
    </xf>
    <xf numFmtId="49" fontId="19" fillId="0" borderId="33" xfId="0" applyNumberFormat="1" applyFont="1" applyBorder="1" applyAlignment="1">
      <alignment horizontal="left" vertical="center"/>
    </xf>
    <xf numFmtId="49" fontId="19" fillId="0" borderId="34"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4" xfId="0" applyFont="1" applyBorder="1" applyAlignment="1">
      <alignment horizontal="center" vertical="center"/>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wrapText="1"/>
    </xf>
    <xf numFmtId="0" fontId="16" fillId="0" borderId="0" xfId="0" applyFont="1" applyAlignment="1">
      <alignment horizontal="center" vertical="center"/>
    </xf>
    <xf numFmtId="0" fontId="17" fillId="0" borderId="7" xfId="0" applyFont="1" applyBorder="1" applyAlignment="1">
      <alignment horizontal="left" vertical="top" wrapText="1" shrinkToFit="1"/>
    </xf>
    <xf numFmtId="0" fontId="17" fillId="0" borderId="8" xfId="0" applyFont="1" applyBorder="1" applyAlignment="1">
      <alignment horizontal="left" vertical="top" wrapText="1" shrinkToFit="1"/>
    </xf>
    <xf numFmtId="0" fontId="17" fillId="0" borderId="9" xfId="0" applyFont="1" applyBorder="1" applyAlignment="1">
      <alignment horizontal="left" vertical="top" wrapText="1" shrinkToFit="1"/>
    </xf>
    <xf numFmtId="0" fontId="17" fillId="0" borderId="5" xfId="0" applyFont="1" applyBorder="1" applyAlignment="1">
      <alignment horizontal="left" vertical="top" wrapText="1" shrinkToFit="1"/>
    </xf>
    <xf numFmtId="0" fontId="17" fillId="0" borderId="0" xfId="0" applyFont="1" applyAlignment="1">
      <alignment horizontal="left" vertical="top" wrapText="1" shrinkToFit="1"/>
    </xf>
    <xf numFmtId="0" fontId="17" fillId="0" borderId="10" xfId="0" applyFont="1" applyBorder="1" applyAlignment="1">
      <alignment horizontal="left" vertical="top" wrapText="1" shrinkToFit="1"/>
    </xf>
    <xf numFmtId="0" fontId="17" fillId="0" borderId="11" xfId="0" applyFont="1" applyBorder="1" applyAlignment="1">
      <alignment horizontal="left" vertical="top" wrapText="1" shrinkToFit="1"/>
    </xf>
    <xf numFmtId="0" fontId="17" fillId="0" borderId="6" xfId="0" applyFont="1" applyBorder="1" applyAlignment="1">
      <alignment horizontal="left" vertical="top" wrapText="1" shrinkToFit="1"/>
    </xf>
    <xf numFmtId="0" fontId="17"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19" fillId="0" borderId="40" xfId="0" applyFont="1" applyBorder="1" applyAlignment="1">
      <alignment vertical="center" wrapText="1"/>
    </xf>
    <xf numFmtId="0" fontId="19" fillId="0" borderId="27" xfId="0" applyFont="1" applyBorder="1" applyAlignment="1">
      <alignment vertical="center" wrapText="1"/>
    </xf>
    <xf numFmtId="0" fontId="19" fillId="0" borderId="41" xfId="0" applyFont="1" applyBorder="1" applyAlignment="1">
      <alignment vertical="center" wrapText="1"/>
    </xf>
    <xf numFmtId="0" fontId="18" fillId="0" borderId="2" xfId="0" applyFont="1" applyBorder="1" applyAlignment="1">
      <alignment horizontal="center" vertical="center" shrinkToFit="1"/>
    </xf>
    <xf numFmtId="0" fontId="18"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17"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7"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68"/>
      <c r="B1" s="68"/>
      <c r="C1" s="68"/>
      <c r="D1" s="68"/>
      <c r="E1" s="68"/>
      <c r="F1" s="68"/>
      <c r="G1" s="68"/>
      <c r="H1" s="68"/>
      <c r="I1" s="68"/>
      <c r="J1" s="68"/>
      <c r="K1" s="68"/>
      <c r="L1" s="68"/>
      <c r="M1" s="68"/>
      <c r="N1" s="68"/>
      <c r="O1" s="68"/>
      <c r="P1" s="68"/>
      <c r="Q1" s="68"/>
      <c r="R1" s="68"/>
      <c r="S1" s="68"/>
      <c r="T1" s="131" t="s">
        <v>0</v>
      </c>
      <c r="U1" s="131"/>
      <c r="V1" s="2" t="s">
        <v>1</v>
      </c>
    </row>
    <row r="2" spans="1:24" ht="18.75" customHeight="1" x14ac:dyDescent="0.15">
      <c r="A2" s="68"/>
      <c r="B2" s="70" t="s">
        <v>2</v>
      </c>
      <c r="C2" s="132" t="s">
        <v>3</v>
      </c>
      <c r="D2" s="133"/>
      <c r="E2" s="133"/>
      <c r="F2" s="133"/>
      <c r="G2" s="133"/>
      <c r="H2" s="133"/>
      <c r="I2" s="133"/>
      <c r="J2" s="134"/>
      <c r="K2" s="69"/>
      <c r="L2" s="71"/>
      <c r="M2" s="71"/>
      <c r="N2" s="71"/>
      <c r="O2" s="71"/>
      <c r="P2" s="71"/>
      <c r="Q2" s="71"/>
      <c r="R2" s="71"/>
      <c r="S2" s="71"/>
      <c r="T2" s="71"/>
      <c r="U2" s="71"/>
    </row>
    <row r="3" spans="1:24" ht="29.25" customHeight="1" x14ac:dyDescent="0.15">
      <c r="A3" s="68"/>
      <c r="B3" s="70" t="s">
        <v>4</v>
      </c>
      <c r="C3" s="135" t="s">
        <v>5</v>
      </c>
      <c r="D3" s="133"/>
      <c r="E3" s="133"/>
      <c r="F3" s="133"/>
      <c r="G3" s="133"/>
      <c r="H3" s="133"/>
      <c r="I3" s="133"/>
      <c r="J3" s="134"/>
      <c r="K3" s="69"/>
      <c r="L3" s="71"/>
      <c r="M3" s="71"/>
      <c r="N3" s="71"/>
      <c r="O3" s="71"/>
      <c r="P3" s="71"/>
      <c r="Q3" s="71"/>
      <c r="R3" s="71"/>
      <c r="S3" s="71"/>
      <c r="T3" s="71"/>
      <c r="U3" s="71"/>
    </row>
    <row r="4" spans="1:24" ht="15" customHeight="1" x14ac:dyDescent="0.15">
      <c r="A4" s="68"/>
      <c r="B4" s="68"/>
      <c r="C4" s="68"/>
      <c r="D4" s="68"/>
      <c r="E4" s="68"/>
      <c r="F4" s="68"/>
      <c r="G4" s="68"/>
      <c r="H4" s="68"/>
      <c r="I4" s="68"/>
      <c r="J4" s="68"/>
      <c r="K4" s="68"/>
      <c r="L4" s="69"/>
      <c r="M4" s="72"/>
      <c r="N4" s="72"/>
      <c r="O4" s="72"/>
      <c r="P4" s="72"/>
      <c r="Q4" s="72"/>
      <c r="R4" s="72"/>
      <c r="S4" s="72"/>
      <c r="T4" s="72"/>
      <c r="U4" s="72"/>
    </row>
    <row r="5" spans="1:24" ht="18" customHeight="1" x14ac:dyDescent="0.15">
      <c r="A5" s="136" t="s">
        <v>6</v>
      </c>
      <c r="B5" s="136"/>
      <c r="C5" s="136"/>
      <c r="D5" s="136"/>
      <c r="E5" s="136"/>
      <c r="F5" s="136"/>
      <c r="G5" s="136"/>
      <c r="H5" s="136"/>
      <c r="I5" s="136"/>
      <c r="J5" s="136"/>
      <c r="K5" s="136"/>
      <c r="L5" s="136"/>
      <c r="M5" s="136"/>
      <c r="N5" s="136"/>
      <c r="O5" s="136"/>
      <c r="P5" s="136"/>
      <c r="Q5" s="136"/>
      <c r="R5" s="136"/>
      <c r="S5" s="136"/>
      <c r="T5" s="136"/>
      <c r="U5" s="136"/>
    </row>
    <row r="6" spans="1:24" ht="15" customHeight="1" x14ac:dyDescent="0.15">
      <c r="A6" s="68"/>
      <c r="B6" s="73"/>
      <c r="C6" s="73"/>
      <c r="D6" s="73"/>
      <c r="E6" s="73"/>
      <c r="F6" s="73"/>
      <c r="G6" s="73"/>
      <c r="H6" s="73"/>
      <c r="I6" s="73"/>
      <c r="J6" s="73"/>
      <c r="K6" s="73"/>
      <c r="L6" s="73"/>
      <c r="M6" s="73"/>
      <c r="N6" s="73"/>
      <c r="O6" s="73"/>
      <c r="P6" s="73"/>
      <c r="Q6" s="73"/>
      <c r="R6" s="73"/>
      <c r="S6" s="73"/>
      <c r="T6" s="73"/>
      <c r="U6" s="73"/>
    </row>
    <row r="7" spans="1:24" ht="15" customHeight="1" x14ac:dyDescent="0.15">
      <c r="A7" s="68" t="s">
        <v>7</v>
      </c>
      <c r="B7" s="73"/>
      <c r="C7" s="73"/>
      <c r="D7" s="73"/>
      <c r="E7" s="73"/>
      <c r="F7" s="67"/>
      <c r="G7" s="67"/>
      <c r="H7" s="67"/>
      <c r="I7" s="67"/>
      <c r="J7" s="67"/>
      <c r="K7" s="67"/>
      <c r="L7" s="103" t="s">
        <v>8</v>
      </c>
      <c r="M7" s="104"/>
      <c r="N7" s="104"/>
      <c r="O7" s="104"/>
      <c r="P7" s="104"/>
      <c r="Q7" s="104"/>
      <c r="R7" s="104"/>
      <c r="S7" s="104"/>
      <c r="T7" s="104"/>
      <c r="U7" s="105"/>
    </row>
    <row r="8" spans="1:24" ht="6" customHeight="1" x14ac:dyDescent="0.15">
      <c r="A8" s="68"/>
      <c r="B8" s="73"/>
      <c r="C8" s="73"/>
      <c r="D8" s="73"/>
      <c r="E8" s="73"/>
      <c r="F8" s="73"/>
      <c r="G8" s="73"/>
      <c r="H8" s="73"/>
      <c r="I8" s="73"/>
      <c r="J8" s="73"/>
      <c r="K8" s="73"/>
      <c r="L8" s="73"/>
      <c r="M8" s="73"/>
      <c r="N8" s="73"/>
      <c r="O8" s="73"/>
      <c r="P8" s="73"/>
      <c r="Q8" s="73"/>
      <c r="R8" s="73"/>
      <c r="S8" s="73"/>
      <c r="T8" s="73"/>
      <c r="U8" s="73"/>
    </row>
    <row r="9" spans="1:24" ht="18" customHeight="1" x14ac:dyDescent="0.15">
      <c r="A9" s="68" t="s">
        <v>9</v>
      </c>
      <c r="B9" s="68"/>
      <c r="C9" s="73"/>
      <c r="D9" s="73"/>
      <c r="E9" s="68"/>
      <c r="F9" s="68"/>
      <c r="G9" s="68"/>
      <c r="H9" s="68"/>
      <c r="I9" s="68"/>
      <c r="J9" s="68"/>
      <c r="K9" s="69"/>
      <c r="L9" s="67"/>
      <c r="M9" s="67"/>
      <c r="N9" s="67"/>
      <c r="O9" s="67"/>
      <c r="P9" s="67"/>
      <c r="Q9" s="67"/>
      <c r="R9" s="67"/>
      <c r="S9" s="67"/>
      <c r="T9" s="67"/>
      <c r="U9" s="67"/>
    </row>
    <row r="10" spans="1:24" ht="6" customHeight="1" x14ac:dyDescent="0.15">
      <c r="A10" s="68"/>
      <c r="B10" s="73"/>
      <c r="C10" s="73"/>
      <c r="D10" s="73"/>
      <c r="E10" s="73"/>
      <c r="F10" s="73"/>
      <c r="G10" s="73"/>
      <c r="H10" s="73"/>
      <c r="I10" s="73"/>
      <c r="J10" s="73"/>
      <c r="K10" s="73"/>
      <c r="L10" s="74"/>
      <c r="M10" s="73"/>
      <c r="N10" s="73"/>
      <c r="O10" s="73"/>
      <c r="P10" s="73"/>
      <c r="Q10" s="73"/>
      <c r="R10" s="73"/>
      <c r="S10" s="73"/>
      <c r="T10" s="73"/>
      <c r="U10" s="73"/>
    </row>
    <row r="11" spans="1:24" ht="18" customHeight="1" x14ac:dyDescent="0.15">
      <c r="A11" s="68"/>
      <c r="B11" s="112"/>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68"/>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68"/>
      <c r="B13" s="73"/>
      <c r="C13" s="73"/>
      <c r="D13" s="73"/>
      <c r="E13" s="73"/>
      <c r="F13" s="73"/>
      <c r="G13" s="73"/>
      <c r="H13" s="73"/>
      <c r="I13" s="73"/>
      <c r="J13" s="73"/>
      <c r="K13" s="73"/>
      <c r="L13" s="74"/>
      <c r="M13" s="73"/>
      <c r="N13" s="73"/>
      <c r="O13" s="73"/>
      <c r="P13" s="73"/>
      <c r="Q13" s="73"/>
      <c r="R13" s="73"/>
      <c r="S13" s="73"/>
      <c r="T13" s="73"/>
      <c r="U13" s="73"/>
    </row>
    <row r="14" spans="1:24" ht="18" customHeight="1" x14ac:dyDescent="0.15">
      <c r="A14" s="68" t="s">
        <v>10</v>
      </c>
      <c r="B14" s="73"/>
      <c r="C14" s="73"/>
      <c r="D14" s="73"/>
      <c r="E14" s="69"/>
      <c r="F14" s="69"/>
      <c r="G14" s="69"/>
      <c r="H14" s="69"/>
      <c r="I14" s="69"/>
      <c r="J14" s="69"/>
      <c r="K14" s="69"/>
      <c r="L14" s="75"/>
      <c r="M14" s="75"/>
      <c r="N14" s="75"/>
      <c r="O14" s="75"/>
      <c r="P14" s="75"/>
      <c r="Q14" s="75"/>
      <c r="R14" s="75"/>
      <c r="S14" s="75"/>
      <c r="T14" s="75"/>
      <c r="U14" s="75"/>
    </row>
    <row r="15" spans="1:24" ht="18" customHeight="1" x14ac:dyDescent="0.15">
      <c r="A15" s="68"/>
      <c r="B15" s="137" t="s">
        <v>11</v>
      </c>
      <c r="C15" s="138"/>
      <c r="D15" s="138"/>
      <c r="E15" s="138"/>
      <c r="F15" s="138"/>
      <c r="G15" s="138"/>
      <c r="H15" s="138"/>
      <c r="I15" s="138"/>
      <c r="J15" s="138"/>
      <c r="K15" s="138"/>
      <c r="L15" s="138"/>
      <c r="M15" s="138"/>
      <c r="N15" s="138"/>
      <c r="O15" s="138"/>
      <c r="P15" s="138"/>
      <c r="Q15" s="138"/>
      <c r="R15" s="138"/>
      <c r="S15" s="138"/>
      <c r="T15" s="138"/>
      <c r="U15" s="139"/>
      <c r="X15" s="1" t="s">
        <v>12</v>
      </c>
    </row>
    <row r="16" spans="1:24" ht="18" customHeight="1" x14ac:dyDescent="0.15">
      <c r="A16" s="68"/>
      <c r="B16" s="140"/>
      <c r="C16" s="141"/>
      <c r="D16" s="141"/>
      <c r="E16" s="141"/>
      <c r="F16" s="141"/>
      <c r="G16" s="141"/>
      <c r="H16" s="141"/>
      <c r="I16" s="141"/>
      <c r="J16" s="141"/>
      <c r="K16" s="141"/>
      <c r="L16" s="141"/>
      <c r="M16" s="141"/>
      <c r="N16" s="141"/>
      <c r="O16" s="141"/>
      <c r="P16" s="141"/>
      <c r="Q16" s="141"/>
      <c r="R16" s="141"/>
      <c r="S16" s="141"/>
      <c r="T16" s="141"/>
      <c r="U16" s="142"/>
      <c r="X16" s="1" t="s">
        <v>13</v>
      </c>
    </row>
    <row r="17" spans="1:24" ht="18" customHeight="1" x14ac:dyDescent="0.15">
      <c r="A17" s="68"/>
      <c r="B17" s="140"/>
      <c r="C17" s="141"/>
      <c r="D17" s="141"/>
      <c r="E17" s="141"/>
      <c r="F17" s="141"/>
      <c r="G17" s="141"/>
      <c r="H17" s="141"/>
      <c r="I17" s="141"/>
      <c r="J17" s="141"/>
      <c r="K17" s="141"/>
      <c r="L17" s="141"/>
      <c r="M17" s="141"/>
      <c r="N17" s="141"/>
      <c r="O17" s="141"/>
      <c r="P17" s="141"/>
      <c r="Q17" s="141"/>
      <c r="R17" s="141"/>
      <c r="S17" s="141"/>
      <c r="T17" s="141"/>
      <c r="U17" s="142"/>
      <c r="X17" s="1" t="s">
        <v>14</v>
      </c>
    </row>
    <row r="18" spans="1:24" ht="18" customHeight="1" x14ac:dyDescent="0.15">
      <c r="A18" s="68"/>
      <c r="B18" s="140"/>
      <c r="C18" s="141"/>
      <c r="D18" s="141"/>
      <c r="E18" s="141"/>
      <c r="F18" s="141"/>
      <c r="G18" s="141"/>
      <c r="H18" s="141"/>
      <c r="I18" s="141"/>
      <c r="J18" s="141"/>
      <c r="K18" s="141"/>
      <c r="L18" s="141"/>
      <c r="M18" s="141"/>
      <c r="N18" s="141"/>
      <c r="O18" s="141"/>
      <c r="P18" s="141"/>
      <c r="Q18" s="141"/>
      <c r="R18" s="141"/>
      <c r="S18" s="141"/>
      <c r="T18" s="141"/>
      <c r="U18" s="142"/>
      <c r="X18" s="1" t="s">
        <v>15</v>
      </c>
    </row>
    <row r="19" spans="1:24" ht="18" customHeight="1" x14ac:dyDescent="0.15">
      <c r="A19" s="68"/>
      <c r="B19" s="140"/>
      <c r="C19" s="141"/>
      <c r="D19" s="141"/>
      <c r="E19" s="141"/>
      <c r="F19" s="141"/>
      <c r="G19" s="141"/>
      <c r="H19" s="141"/>
      <c r="I19" s="141"/>
      <c r="J19" s="141"/>
      <c r="K19" s="141"/>
      <c r="L19" s="141"/>
      <c r="M19" s="141"/>
      <c r="N19" s="141"/>
      <c r="O19" s="141"/>
      <c r="P19" s="141"/>
      <c r="Q19" s="141"/>
      <c r="R19" s="141"/>
      <c r="S19" s="141"/>
      <c r="T19" s="141"/>
      <c r="U19" s="142"/>
    </row>
    <row r="20" spans="1:24" ht="18" customHeight="1" x14ac:dyDescent="0.15">
      <c r="A20" s="68"/>
      <c r="B20" s="143"/>
      <c r="C20" s="144"/>
      <c r="D20" s="144"/>
      <c r="E20" s="144"/>
      <c r="F20" s="144"/>
      <c r="G20" s="144"/>
      <c r="H20" s="144"/>
      <c r="I20" s="144"/>
      <c r="J20" s="144"/>
      <c r="K20" s="144"/>
      <c r="L20" s="144"/>
      <c r="M20" s="144"/>
      <c r="N20" s="144"/>
      <c r="O20" s="144"/>
      <c r="P20" s="144"/>
      <c r="Q20" s="144"/>
      <c r="R20" s="144"/>
      <c r="S20" s="144"/>
      <c r="T20" s="144"/>
      <c r="U20" s="145"/>
    </row>
    <row r="21" spans="1:24" ht="7.5" customHeight="1" x14ac:dyDescent="0.15">
      <c r="A21" s="68"/>
      <c r="B21" s="73"/>
      <c r="C21" s="73"/>
      <c r="D21" s="73"/>
      <c r="E21" s="73"/>
      <c r="F21" s="73"/>
      <c r="G21" s="73"/>
      <c r="H21" s="73"/>
      <c r="I21" s="73"/>
      <c r="J21" s="73"/>
      <c r="K21" s="73"/>
      <c r="L21" s="73"/>
      <c r="M21" s="73"/>
      <c r="N21" s="73"/>
      <c r="O21" s="73"/>
      <c r="P21" s="73"/>
      <c r="Q21" s="73"/>
      <c r="R21" s="73"/>
      <c r="S21" s="73"/>
      <c r="T21" s="73"/>
      <c r="U21" s="73"/>
    </row>
    <row r="22" spans="1:24" ht="19.899999999999999" customHeight="1" x14ac:dyDescent="0.15">
      <c r="A22" s="68"/>
      <c r="B22" s="68" t="s">
        <v>16</v>
      </c>
      <c r="C22" s="68"/>
      <c r="D22" s="68"/>
      <c r="E22" s="76">
        <v>2</v>
      </c>
      <c r="F22" s="68" t="s">
        <v>17</v>
      </c>
      <c r="G22" s="68"/>
      <c r="H22" s="77">
        <v>3</v>
      </c>
      <c r="I22" s="73" t="s">
        <v>18</v>
      </c>
      <c r="J22" s="73"/>
      <c r="K22" s="69"/>
      <c r="L22" s="68"/>
      <c r="M22" s="69" t="s">
        <v>19</v>
      </c>
      <c r="N22" s="100" t="s">
        <v>15</v>
      </c>
      <c r="O22" s="101"/>
      <c r="P22" s="101"/>
      <c r="Q22" s="101"/>
      <c r="R22" s="101"/>
      <c r="S22" s="101"/>
      <c r="T22" s="101"/>
      <c r="U22" s="102"/>
    </row>
    <row r="23" spans="1:24" ht="7.5" customHeight="1" x14ac:dyDescent="0.15">
      <c r="A23" s="68"/>
      <c r="B23" s="73"/>
      <c r="C23" s="73"/>
      <c r="D23" s="73"/>
      <c r="E23" s="73"/>
      <c r="F23" s="73"/>
      <c r="G23" s="73"/>
      <c r="H23" s="73"/>
      <c r="I23" s="73"/>
      <c r="J23" s="73"/>
      <c r="K23" s="73"/>
      <c r="L23" s="73"/>
      <c r="M23" s="73"/>
      <c r="N23" s="73"/>
      <c r="O23" s="73"/>
      <c r="P23" s="73"/>
      <c r="Q23" s="73"/>
      <c r="R23" s="73"/>
      <c r="S23" s="73"/>
      <c r="T23" s="73"/>
      <c r="U23" s="73"/>
    </row>
    <row r="24" spans="1:24" ht="18" customHeight="1" x14ac:dyDescent="0.15">
      <c r="A24" s="146" t="s">
        <v>20</v>
      </c>
      <c r="B24" s="146"/>
      <c r="C24" s="146"/>
      <c r="D24" s="146"/>
      <c r="E24" s="146"/>
      <c r="F24" s="146"/>
      <c r="G24" s="146"/>
      <c r="H24" s="146"/>
      <c r="I24" s="146"/>
      <c r="J24" s="146"/>
      <c r="K24" s="146"/>
      <c r="L24" s="146"/>
      <c r="M24" s="146"/>
      <c r="N24" s="146"/>
      <c r="O24" s="146"/>
      <c r="P24" s="146"/>
      <c r="Q24" s="146"/>
      <c r="R24" s="146"/>
      <c r="S24" s="146"/>
      <c r="T24" s="146"/>
      <c r="U24" s="146"/>
    </row>
    <row r="25" spans="1:24" ht="18" customHeight="1" x14ac:dyDescent="0.15">
      <c r="A25" s="146"/>
      <c r="B25" s="146"/>
      <c r="C25" s="146"/>
      <c r="D25" s="146"/>
      <c r="E25" s="146"/>
      <c r="F25" s="146"/>
      <c r="G25" s="146"/>
      <c r="H25" s="146"/>
      <c r="I25" s="146"/>
      <c r="J25" s="146"/>
      <c r="K25" s="146"/>
      <c r="L25" s="146"/>
      <c r="M25" s="146"/>
      <c r="N25" s="146"/>
      <c r="O25" s="146"/>
      <c r="P25" s="146"/>
      <c r="Q25" s="146"/>
      <c r="R25" s="146"/>
      <c r="S25" s="146"/>
      <c r="T25" s="146"/>
      <c r="U25" s="146"/>
    </row>
    <row r="26" spans="1:24" ht="18" customHeight="1" x14ac:dyDescent="0.15">
      <c r="B26" s="124" t="s">
        <v>21</v>
      </c>
      <c r="C26" s="125"/>
      <c r="D26" s="125"/>
      <c r="E26" s="125"/>
      <c r="F26" s="129"/>
      <c r="G26" s="43" t="s">
        <v>22</v>
      </c>
      <c r="H26" s="42" t="s">
        <v>23</v>
      </c>
      <c r="I26" s="17" t="s">
        <v>24</v>
      </c>
      <c r="J26" s="17" t="s">
        <v>25</v>
      </c>
      <c r="K26" s="124" t="s">
        <v>21</v>
      </c>
      <c r="L26" s="125"/>
      <c r="M26" s="125"/>
      <c r="N26" s="125"/>
      <c r="O26" s="125"/>
      <c r="P26" s="125"/>
      <c r="Q26" s="129"/>
      <c r="R26" s="43" t="s">
        <v>22</v>
      </c>
      <c r="S26" s="42" t="s">
        <v>23</v>
      </c>
      <c r="T26" s="17" t="s">
        <v>24</v>
      </c>
      <c r="U26" s="17" t="s">
        <v>25</v>
      </c>
    </row>
    <row r="27" spans="1:24" ht="18" customHeight="1" x14ac:dyDescent="0.15">
      <c r="B27" s="126" t="s">
        <v>26</v>
      </c>
      <c r="C27" s="127"/>
      <c r="D27" s="127"/>
      <c r="E27" s="127"/>
      <c r="F27" s="128"/>
      <c r="G27" s="18">
        <v>1</v>
      </c>
      <c r="H27" s="18" t="s">
        <v>27</v>
      </c>
      <c r="I27" s="18" t="s">
        <v>27</v>
      </c>
      <c r="J27" s="18" t="s">
        <v>27</v>
      </c>
      <c r="K27" s="126"/>
      <c r="L27" s="127"/>
      <c r="M27" s="127"/>
      <c r="N27" s="127"/>
      <c r="O27" s="127"/>
      <c r="P27" s="127"/>
      <c r="Q27" s="128"/>
      <c r="R27" s="18"/>
      <c r="S27" s="18"/>
      <c r="T27" s="18"/>
      <c r="U27" s="18"/>
    </row>
    <row r="28" spans="1:24" ht="18" customHeight="1" x14ac:dyDescent="0.15">
      <c r="B28" s="118" t="s">
        <v>28</v>
      </c>
      <c r="C28" s="119"/>
      <c r="D28" s="119"/>
      <c r="E28" s="119"/>
      <c r="F28" s="120"/>
      <c r="G28" s="19">
        <v>2</v>
      </c>
      <c r="H28" s="19" t="s">
        <v>27</v>
      </c>
      <c r="I28" s="19" t="s">
        <v>27</v>
      </c>
      <c r="J28" s="19" t="s">
        <v>27</v>
      </c>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3"/>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30" t="s">
        <v>29</v>
      </c>
      <c r="B35" s="130"/>
      <c r="C35" s="130"/>
      <c r="D35" s="130"/>
      <c r="E35" s="130"/>
      <c r="F35" s="130"/>
      <c r="G35" s="130"/>
      <c r="H35" s="130"/>
      <c r="I35" s="130"/>
      <c r="J35" s="130"/>
      <c r="K35" s="130"/>
      <c r="L35" s="130"/>
      <c r="M35" s="130"/>
      <c r="N35" s="130"/>
      <c r="O35" s="130"/>
      <c r="P35" s="130"/>
      <c r="Q35" s="130"/>
      <c r="R35" s="130"/>
      <c r="S35" s="130"/>
      <c r="T35" s="130"/>
      <c r="U35" s="130"/>
    </row>
    <row r="36" spans="1:21" ht="18" customHeight="1" x14ac:dyDescent="0.15">
      <c r="A36" s="130"/>
      <c r="B36" s="130"/>
      <c r="C36" s="130"/>
      <c r="D36" s="130"/>
      <c r="E36" s="130"/>
      <c r="F36" s="130"/>
      <c r="G36" s="130"/>
      <c r="H36" s="130"/>
      <c r="I36" s="130"/>
      <c r="J36" s="130"/>
      <c r="K36" s="130"/>
      <c r="L36" s="130"/>
      <c r="M36" s="130"/>
      <c r="N36" s="130"/>
      <c r="O36" s="130"/>
      <c r="P36" s="130"/>
      <c r="Q36" s="130"/>
      <c r="R36" s="130"/>
      <c r="S36" s="130"/>
      <c r="T36" s="130"/>
      <c r="U36" s="130"/>
    </row>
    <row r="37" spans="1:21" ht="18" customHeight="1" x14ac:dyDescent="0.15">
      <c r="B37" s="124" t="s">
        <v>21</v>
      </c>
      <c r="C37" s="125"/>
      <c r="D37" s="125"/>
      <c r="E37" s="125"/>
      <c r="F37" s="129"/>
      <c r="G37" s="43" t="s">
        <v>22</v>
      </c>
      <c r="H37" s="42" t="s">
        <v>23</v>
      </c>
      <c r="I37" s="17" t="s">
        <v>30</v>
      </c>
      <c r="J37" s="17" t="s">
        <v>31</v>
      </c>
      <c r="K37" s="124" t="s">
        <v>21</v>
      </c>
      <c r="L37" s="125"/>
      <c r="M37" s="125"/>
      <c r="N37" s="125"/>
      <c r="O37" s="125"/>
      <c r="P37" s="125"/>
      <c r="Q37" s="129"/>
      <c r="R37" s="43" t="s">
        <v>22</v>
      </c>
      <c r="S37" s="42" t="s">
        <v>23</v>
      </c>
      <c r="T37" s="17" t="s">
        <v>30</v>
      </c>
      <c r="U37" s="17" t="s">
        <v>31</v>
      </c>
    </row>
    <row r="38" spans="1:21" ht="18" customHeight="1" x14ac:dyDescent="0.15">
      <c r="B38" s="126" t="s">
        <v>26</v>
      </c>
      <c r="C38" s="127"/>
      <c r="D38" s="127"/>
      <c r="E38" s="127"/>
      <c r="F38" s="128"/>
      <c r="G38" s="18">
        <v>1</v>
      </c>
      <c r="H38" s="18" t="s">
        <v>27</v>
      </c>
      <c r="I38" s="18" t="s">
        <v>27</v>
      </c>
      <c r="J38" s="18" t="s">
        <v>27</v>
      </c>
      <c r="K38" s="126"/>
      <c r="L38" s="127"/>
      <c r="M38" s="127"/>
      <c r="N38" s="127"/>
      <c r="O38" s="127"/>
      <c r="P38" s="127"/>
      <c r="Q38" s="128"/>
      <c r="R38" s="18"/>
      <c r="S38" s="18"/>
      <c r="T38" s="18"/>
      <c r="U38" s="18"/>
    </row>
    <row r="39" spans="1:21" ht="18" customHeight="1" x14ac:dyDescent="0.15">
      <c r="B39" s="118" t="s">
        <v>28</v>
      </c>
      <c r="C39" s="119"/>
      <c r="D39" s="119"/>
      <c r="E39" s="119"/>
      <c r="F39" s="120"/>
      <c r="G39" s="19">
        <v>2</v>
      </c>
      <c r="H39" s="19" t="s">
        <v>27</v>
      </c>
      <c r="I39" s="19" t="s">
        <v>27</v>
      </c>
      <c r="J39" s="19" t="s">
        <v>27</v>
      </c>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30" t="s">
        <v>32</v>
      </c>
      <c r="B46" s="130"/>
      <c r="C46" s="130"/>
      <c r="D46" s="130"/>
      <c r="E46" s="130"/>
      <c r="F46" s="130"/>
      <c r="G46" s="130"/>
      <c r="H46" s="130"/>
      <c r="I46" s="130"/>
      <c r="J46" s="130"/>
      <c r="K46" s="130"/>
      <c r="L46" s="130"/>
      <c r="M46" s="130"/>
      <c r="N46" s="130"/>
      <c r="O46" s="130"/>
      <c r="P46" s="130"/>
      <c r="Q46" s="130"/>
      <c r="R46" s="130"/>
      <c r="S46" s="130"/>
      <c r="T46" s="130"/>
      <c r="U46" s="130"/>
    </row>
    <row r="47" spans="1:21" ht="18" customHeight="1" x14ac:dyDescent="0.15">
      <c r="A47" s="130"/>
      <c r="B47" s="130"/>
      <c r="C47" s="130"/>
      <c r="D47" s="130"/>
      <c r="E47" s="130"/>
      <c r="F47" s="130"/>
      <c r="G47" s="130"/>
      <c r="H47" s="130"/>
      <c r="I47" s="130"/>
      <c r="J47" s="130"/>
      <c r="K47" s="130"/>
      <c r="L47" s="130"/>
      <c r="M47" s="130"/>
      <c r="N47" s="130"/>
      <c r="O47" s="130"/>
      <c r="P47" s="130"/>
      <c r="Q47" s="130"/>
      <c r="R47" s="130"/>
      <c r="S47" s="130"/>
      <c r="T47" s="130"/>
      <c r="U47" s="130"/>
    </row>
    <row r="48" spans="1:21" ht="18" customHeight="1" x14ac:dyDescent="0.15">
      <c r="B48" s="124" t="s">
        <v>21</v>
      </c>
      <c r="C48" s="125"/>
      <c r="D48" s="125"/>
      <c r="E48" s="125"/>
      <c r="F48" s="129"/>
      <c r="G48" s="43" t="s">
        <v>22</v>
      </c>
      <c r="H48" s="42" t="s">
        <v>23</v>
      </c>
      <c r="I48" s="17" t="s">
        <v>33</v>
      </c>
      <c r="J48" s="17" t="s">
        <v>34</v>
      </c>
      <c r="K48" s="124" t="s">
        <v>21</v>
      </c>
      <c r="L48" s="125"/>
      <c r="M48" s="125"/>
      <c r="N48" s="125"/>
      <c r="O48" s="125"/>
      <c r="P48" s="125"/>
      <c r="Q48" s="129"/>
      <c r="R48" s="43" t="s">
        <v>22</v>
      </c>
      <c r="S48" s="42" t="s">
        <v>23</v>
      </c>
      <c r="T48" s="17" t="s">
        <v>33</v>
      </c>
      <c r="U48" s="17" t="s">
        <v>34</v>
      </c>
    </row>
    <row r="49" spans="1:21" ht="18" customHeight="1" x14ac:dyDescent="0.15">
      <c r="A49" s="3"/>
      <c r="B49" s="126" t="s">
        <v>26</v>
      </c>
      <c r="C49" s="127"/>
      <c r="D49" s="127"/>
      <c r="E49" s="127"/>
      <c r="F49" s="128"/>
      <c r="G49" s="18">
        <v>1</v>
      </c>
      <c r="H49" s="18" t="s">
        <v>27</v>
      </c>
      <c r="I49" s="18" t="s">
        <v>27</v>
      </c>
      <c r="J49" s="18" t="s">
        <v>27</v>
      </c>
      <c r="K49" s="126"/>
      <c r="L49" s="127"/>
      <c r="M49" s="127"/>
      <c r="N49" s="127"/>
      <c r="O49" s="127"/>
      <c r="P49" s="127"/>
      <c r="Q49" s="128"/>
      <c r="R49" s="18"/>
      <c r="S49" s="18"/>
      <c r="T49" s="18"/>
      <c r="U49" s="18"/>
    </row>
    <row r="50" spans="1:21" ht="18" customHeight="1" x14ac:dyDescent="0.15">
      <c r="A50" s="3"/>
      <c r="B50" s="118" t="s">
        <v>28</v>
      </c>
      <c r="C50" s="119"/>
      <c r="D50" s="119"/>
      <c r="E50" s="119"/>
      <c r="F50" s="120"/>
      <c r="G50" s="19">
        <v>2</v>
      </c>
      <c r="H50" s="19" t="s">
        <v>27</v>
      </c>
      <c r="I50" s="19" t="s">
        <v>27</v>
      </c>
      <c r="J50" s="19" t="s">
        <v>27</v>
      </c>
      <c r="K50" s="118"/>
      <c r="L50" s="119"/>
      <c r="M50" s="119"/>
      <c r="N50" s="119"/>
      <c r="O50" s="119"/>
      <c r="P50" s="119"/>
      <c r="Q50" s="120"/>
      <c r="R50" s="19"/>
      <c r="S50" s="19"/>
      <c r="T50" s="19"/>
      <c r="U50" s="19"/>
    </row>
    <row r="51" spans="1:21" ht="18" customHeight="1" x14ac:dyDescent="0.15">
      <c r="A51" s="3"/>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3"/>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3"/>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3"/>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30" t="s">
        <v>35</v>
      </c>
      <c r="B57" s="130"/>
      <c r="C57" s="130"/>
      <c r="D57" s="130"/>
      <c r="E57" s="130"/>
      <c r="F57" s="130"/>
      <c r="G57" s="130"/>
      <c r="H57" s="130"/>
      <c r="I57" s="130"/>
      <c r="J57" s="130"/>
      <c r="K57" s="130"/>
      <c r="L57" s="130"/>
      <c r="M57" s="130"/>
      <c r="N57" s="130"/>
      <c r="O57" s="130"/>
      <c r="P57" s="130"/>
      <c r="Q57" s="130"/>
      <c r="R57" s="130"/>
      <c r="S57" s="130"/>
      <c r="T57" s="130"/>
      <c r="U57" s="130"/>
    </row>
    <row r="58" spans="1:21" ht="18" customHeight="1" x14ac:dyDescent="0.15">
      <c r="A58" s="130"/>
      <c r="B58" s="130"/>
      <c r="C58" s="130"/>
      <c r="D58" s="130"/>
      <c r="E58" s="130"/>
      <c r="F58" s="130"/>
      <c r="G58" s="130"/>
      <c r="H58" s="130"/>
      <c r="I58" s="130"/>
      <c r="J58" s="130"/>
      <c r="K58" s="130"/>
      <c r="L58" s="130"/>
      <c r="M58" s="130"/>
      <c r="N58" s="130"/>
      <c r="O58" s="130"/>
      <c r="P58" s="130"/>
      <c r="Q58" s="130"/>
      <c r="R58" s="130"/>
      <c r="S58" s="130"/>
      <c r="T58" s="130"/>
      <c r="U58" s="130"/>
    </row>
    <row r="59" spans="1:21" ht="18" customHeight="1" x14ac:dyDescent="0.15">
      <c r="B59" s="124" t="s">
        <v>21</v>
      </c>
      <c r="C59" s="125"/>
      <c r="D59" s="125"/>
      <c r="E59" s="125"/>
      <c r="F59" s="129"/>
      <c r="G59" s="43" t="s">
        <v>22</v>
      </c>
      <c r="H59" s="42" t="s">
        <v>23</v>
      </c>
      <c r="I59" s="17" t="s">
        <v>36</v>
      </c>
      <c r="J59" s="17" t="s">
        <v>37</v>
      </c>
      <c r="K59" s="124" t="s">
        <v>21</v>
      </c>
      <c r="L59" s="125"/>
      <c r="M59" s="125"/>
      <c r="N59" s="125"/>
      <c r="O59" s="125"/>
      <c r="P59" s="125"/>
      <c r="Q59" s="129"/>
      <c r="R59" s="43" t="s">
        <v>22</v>
      </c>
      <c r="S59" s="42" t="s">
        <v>23</v>
      </c>
      <c r="T59" s="17" t="s">
        <v>36</v>
      </c>
      <c r="U59" s="17" t="s">
        <v>37</v>
      </c>
    </row>
    <row r="60" spans="1:21" ht="18" customHeight="1" x14ac:dyDescent="0.15">
      <c r="A60" s="3"/>
      <c r="B60" s="126" t="s">
        <v>26</v>
      </c>
      <c r="C60" s="127"/>
      <c r="D60" s="127"/>
      <c r="E60" s="127"/>
      <c r="F60" s="128"/>
      <c r="G60" s="18">
        <v>1</v>
      </c>
      <c r="H60" s="18" t="s">
        <v>27</v>
      </c>
      <c r="I60" s="18" t="s">
        <v>27</v>
      </c>
      <c r="J60" s="18" t="s">
        <v>27</v>
      </c>
      <c r="K60" s="126"/>
      <c r="L60" s="127"/>
      <c r="M60" s="127"/>
      <c r="N60" s="127"/>
      <c r="O60" s="127"/>
      <c r="P60" s="127"/>
      <c r="Q60" s="128"/>
      <c r="R60" s="18"/>
      <c r="S60" s="18"/>
      <c r="T60" s="18"/>
      <c r="U60" s="18"/>
    </row>
    <row r="61" spans="1:21" ht="18" customHeight="1" x14ac:dyDescent="0.15">
      <c r="A61" s="3"/>
      <c r="B61" s="118" t="s">
        <v>28</v>
      </c>
      <c r="C61" s="119"/>
      <c r="D61" s="119"/>
      <c r="E61" s="119"/>
      <c r="F61" s="120"/>
      <c r="G61" s="19">
        <v>2</v>
      </c>
      <c r="H61" s="19" t="s">
        <v>27</v>
      </c>
      <c r="I61" s="19" t="s">
        <v>27</v>
      </c>
      <c r="J61" s="19" t="s">
        <v>27</v>
      </c>
      <c r="K61" s="118"/>
      <c r="L61" s="119"/>
      <c r="M61" s="119"/>
      <c r="N61" s="119"/>
      <c r="O61" s="119"/>
      <c r="P61" s="119"/>
      <c r="Q61" s="120"/>
      <c r="R61" s="19"/>
      <c r="S61" s="19"/>
      <c r="T61" s="19"/>
      <c r="U61" s="19"/>
    </row>
    <row r="62" spans="1:21" ht="18" customHeight="1" x14ac:dyDescent="0.15">
      <c r="A62" s="3"/>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3"/>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3"/>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3"/>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30" t="s">
        <v>38</v>
      </c>
      <c r="B68" s="130"/>
      <c r="C68" s="130"/>
      <c r="D68" s="130"/>
      <c r="E68" s="130"/>
      <c r="F68" s="130"/>
      <c r="G68" s="130"/>
      <c r="H68" s="130"/>
      <c r="I68" s="130"/>
      <c r="J68" s="130"/>
      <c r="K68" s="130"/>
      <c r="L68" s="130"/>
      <c r="M68" s="130"/>
      <c r="N68" s="130"/>
      <c r="O68" s="130"/>
      <c r="P68" s="130"/>
      <c r="Q68" s="130"/>
      <c r="R68" s="130"/>
      <c r="S68" s="130"/>
      <c r="T68" s="130"/>
      <c r="U68" s="130"/>
    </row>
    <row r="69" spans="1:21" ht="18" customHeight="1" x14ac:dyDescent="0.15">
      <c r="A69" s="130"/>
      <c r="B69" s="130"/>
      <c r="C69" s="130"/>
      <c r="D69" s="130"/>
      <c r="E69" s="130"/>
      <c r="F69" s="130"/>
      <c r="G69" s="130"/>
      <c r="H69" s="130"/>
      <c r="I69" s="130"/>
      <c r="J69" s="130"/>
      <c r="K69" s="130"/>
      <c r="L69" s="130"/>
      <c r="M69" s="130"/>
      <c r="N69" s="130"/>
      <c r="O69" s="130"/>
      <c r="P69" s="130"/>
      <c r="Q69" s="130"/>
      <c r="R69" s="130"/>
      <c r="S69" s="130"/>
      <c r="T69" s="130"/>
      <c r="U69" s="130"/>
    </row>
    <row r="70" spans="1:21" ht="18" customHeight="1" x14ac:dyDescent="0.15">
      <c r="B70" s="124" t="s">
        <v>21</v>
      </c>
      <c r="C70" s="125"/>
      <c r="D70" s="125"/>
      <c r="E70" s="125"/>
      <c r="F70" s="43" t="s">
        <v>22</v>
      </c>
      <c r="G70" s="42" t="s">
        <v>23</v>
      </c>
      <c r="H70" s="17" t="s">
        <v>39</v>
      </c>
      <c r="I70" s="17" t="s">
        <v>40</v>
      </c>
      <c r="J70" s="17" t="s">
        <v>41</v>
      </c>
      <c r="K70" s="124" t="s">
        <v>21</v>
      </c>
      <c r="L70" s="125"/>
      <c r="M70" s="125"/>
      <c r="N70" s="125"/>
      <c r="O70" s="125"/>
      <c r="P70" s="129"/>
      <c r="Q70" s="43" t="s">
        <v>22</v>
      </c>
      <c r="R70" s="42" t="s">
        <v>23</v>
      </c>
      <c r="S70" s="17" t="s">
        <v>39</v>
      </c>
      <c r="T70" s="17" t="s">
        <v>40</v>
      </c>
      <c r="U70" s="17" t="s">
        <v>41</v>
      </c>
    </row>
    <row r="71" spans="1:21" ht="18" customHeight="1" x14ac:dyDescent="0.15">
      <c r="A71" s="3"/>
      <c r="B71" s="126" t="s">
        <v>42</v>
      </c>
      <c r="C71" s="127"/>
      <c r="D71" s="127"/>
      <c r="E71" s="128"/>
      <c r="F71" s="18">
        <v>1</v>
      </c>
      <c r="G71" s="18" t="s">
        <v>27</v>
      </c>
      <c r="H71" s="18" t="s">
        <v>43</v>
      </c>
      <c r="I71" s="18" t="s">
        <v>27</v>
      </c>
      <c r="J71" s="18" t="s">
        <v>27</v>
      </c>
      <c r="K71" s="126"/>
      <c r="L71" s="127"/>
      <c r="M71" s="127"/>
      <c r="N71" s="127"/>
      <c r="O71" s="127"/>
      <c r="P71" s="128"/>
      <c r="Q71" s="18"/>
      <c r="R71" s="18"/>
      <c r="S71" s="18"/>
      <c r="T71" s="18"/>
      <c r="U71" s="18"/>
    </row>
    <row r="72" spans="1:21" ht="18" customHeight="1" x14ac:dyDescent="0.15">
      <c r="A72" s="3"/>
      <c r="B72" s="118" t="s">
        <v>44</v>
      </c>
      <c r="C72" s="119"/>
      <c r="D72" s="119"/>
      <c r="E72" s="120"/>
      <c r="F72" s="19">
        <v>2</v>
      </c>
      <c r="G72" s="19" t="s">
        <v>27</v>
      </c>
      <c r="H72" s="19" t="s">
        <v>27</v>
      </c>
      <c r="I72" s="19" t="s">
        <v>27</v>
      </c>
      <c r="J72" s="19" t="s">
        <v>27</v>
      </c>
      <c r="K72" s="118"/>
      <c r="L72" s="119"/>
      <c r="M72" s="119"/>
      <c r="N72" s="119"/>
      <c r="O72" s="119"/>
      <c r="P72" s="120"/>
      <c r="Q72" s="19"/>
      <c r="R72" s="19"/>
      <c r="S72" s="19"/>
      <c r="T72" s="19"/>
      <c r="U72" s="19"/>
    </row>
    <row r="73" spans="1:21" ht="18" customHeight="1" x14ac:dyDescent="0.15">
      <c r="A73" s="3"/>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3"/>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3"/>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3"/>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45</v>
      </c>
      <c r="I79" s="3"/>
      <c r="J79" s="3"/>
      <c r="K79" s="3"/>
      <c r="L79" s="3"/>
      <c r="M79" s="3"/>
      <c r="N79" s="3"/>
      <c r="O79" s="3"/>
      <c r="P79" s="3"/>
      <c r="Q79" s="3"/>
      <c r="R79" s="3"/>
      <c r="S79" s="3"/>
      <c r="T79" s="3"/>
      <c r="U79" s="3"/>
    </row>
    <row r="80" spans="1:21" ht="18" customHeight="1" x14ac:dyDescent="0.15">
      <c r="B80" s="124" t="s">
        <v>21</v>
      </c>
      <c r="C80" s="125"/>
      <c r="D80" s="125"/>
      <c r="E80" s="125"/>
      <c r="F80" s="129"/>
      <c r="G80" s="124" t="s">
        <v>46</v>
      </c>
      <c r="H80" s="125"/>
      <c r="I80" s="125"/>
      <c r="J80" s="129"/>
      <c r="K80" s="161" t="s">
        <v>21</v>
      </c>
      <c r="L80" s="162"/>
      <c r="M80" s="162"/>
      <c r="N80" s="162"/>
      <c r="O80" s="162"/>
      <c r="P80" s="162"/>
      <c r="Q80" s="163"/>
      <c r="R80" s="124" t="s">
        <v>46</v>
      </c>
      <c r="S80" s="125"/>
      <c r="T80" s="125"/>
      <c r="U80" s="129"/>
    </row>
    <row r="81" spans="1:21" ht="18" customHeight="1" x14ac:dyDescent="0.15">
      <c r="A81" s="3"/>
      <c r="B81" s="126"/>
      <c r="C81" s="127"/>
      <c r="D81" s="127"/>
      <c r="E81" s="127"/>
      <c r="F81" s="128"/>
      <c r="G81" s="164"/>
      <c r="H81" s="165"/>
      <c r="I81" s="165"/>
      <c r="J81" s="166"/>
      <c r="K81" s="126"/>
      <c r="L81" s="127"/>
      <c r="M81" s="127"/>
      <c r="N81" s="127"/>
      <c r="O81" s="127"/>
      <c r="P81" s="127"/>
      <c r="Q81" s="128"/>
      <c r="R81" s="164"/>
      <c r="S81" s="165"/>
      <c r="T81" s="165"/>
      <c r="U81" s="166"/>
    </row>
    <row r="82" spans="1:21" ht="18" customHeight="1" x14ac:dyDescent="0.15">
      <c r="A82" s="3"/>
      <c r="B82" s="118"/>
      <c r="C82" s="119"/>
      <c r="D82" s="119"/>
      <c r="E82" s="119"/>
      <c r="F82" s="120"/>
      <c r="G82" s="153"/>
      <c r="H82" s="154"/>
      <c r="I82" s="154"/>
      <c r="J82" s="155"/>
      <c r="K82" s="118"/>
      <c r="L82" s="119"/>
      <c r="M82" s="119"/>
      <c r="N82" s="119"/>
      <c r="O82" s="119"/>
      <c r="P82" s="119"/>
      <c r="Q82" s="120"/>
      <c r="R82" s="153"/>
      <c r="S82" s="154"/>
      <c r="T82" s="154"/>
      <c r="U82" s="155"/>
    </row>
    <row r="83" spans="1:21" ht="18" customHeight="1" x14ac:dyDescent="0.15">
      <c r="A83" s="3"/>
      <c r="B83" s="118"/>
      <c r="C83" s="119"/>
      <c r="D83" s="119"/>
      <c r="E83" s="119"/>
      <c r="F83" s="120"/>
      <c r="G83" s="153"/>
      <c r="H83" s="154"/>
      <c r="I83" s="154"/>
      <c r="J83" s="155"/>
      <c r="K83" s="118"/>
      <c r="L83" s="119"/>
      <c r="M83" s="119"/>
      <c r="N83" s="119"/>
      <c r="O83" s="119"/>
      <c r="P83" s="119"/>
      <c r="Q83" s="120"/>
      <c r="R83" s="153"/>
      <c r="S83" s="154"/>
      <c r="T83" s="154"/>
      <c r="U83" s="155"/>
    </row>
    <row r="84" spans="1:21" ht="18" customHeight="1" x14ac:dyDescent="0.15">
      <c r="A84" s="3"/>
      <c r="B84" s="118"/>
      <c r="C84" s="119"/>
      <c r="D84" s="119"/>
      <c r="E84" s="119"/>
      <c r="F84" s="120"/>
      <c r="G84" s="153"/>
      <c r="H84" s="154"/>
      <c r="I84" s="154"/>
      <c r="J84" s="155"/>
      <c r="K84" s="118"/>
      <c r="L84" s="119"/>
      <c r="M84" s="119"/>
      <c r="N84" s="119"/>
      <c r="O84" s="119"/>
      <c r="P84" s="119"/>
      <c r="Q84" s="120"/>
      <c r="R84" s="153"/>
      <c r="S84" s="154"/>
      <c r="T84" s="154"/>
      <c r="U84" s="155"/>
    </row>
    <row r="85" spans="1:21" ht="18" customHeight="1" x14ac:dyDescent="0.15">
      <c r="A85" s="3"/>
      <c r="B85" s="118"/>
      <c r="C85" s="119"/>
      <c r="D85" s="119"/>
      <c r="E85" s="119"/>
      <c r="F85" s="120"/>
      <c r="G85" s="153"/>
      <c r="H85" s="154"/>
      <c r="I85" s="154"/>
      <c r="J85" s="155"/>
      <c r="K85" s="118"/>
      <c r="L85" s="119"/>
      <c r="M85" s="119"/>
      <c r="N85" s="119"/>
      <c r="O85" s="119"/>
      <c r="P85" s="119"/>
      <c r="Q85" s="120"/>
      <c r="R85" s="153"/>
      <c r="S85" s="154"/>
      <c r="T85" s="154"/>
      <c r="U85" s="155"/>
    </row>
    <row r="86" spans="1:21" ht="18" customHeight="1" x14ac:dyDescent="0.15">
      <c r="A86" s="3"/>
      <c r="B86" s="118"/>
      <c r="C86" s="119"/>
      <c r="D86" s="119"/>
      <c r="E86" s="119"/>
      <c r="F86" s="120"/>
      <c r="G86" s="153"/>
      <c r="H86" s="154"/>
      <c r="I86" s="154"/>
      <c r="J86" s="155"/>
      <c r="K86" s="118"/>
      <c r="L86" s="119"/>
      <c r="M86" s="119"/>
      <c r="N86" s="119"/>
      <c r="O86" s="119"/>
      <c r="P86" s="119"/>
      <c r="Q86" s="120"/>
      <c r="R86" s="153"/>
      <c r="S86" s="154"/>
      <c r="T86" s="154"/>
      <c r="U86" s="155"/>
    </row>
    <row r="87" spans="1:21" ht="18" customHeight="1" x14ac:dyDescent="0.15">
      <c r="A87" s="3"/>
      <c r="B87" s="121"/>
      <c r="C87" s="122"/>
      <c r="D87" s="122"/>
      <c r="E87" s="122"/>
      <c r="F87" s="123"/>
      <c r="G87" s="150"/>
      <c r="H87" s="151"/>
      <c r="I87" s="151"/>
      <c r="J87" s="152"/>
      <c r="K87" s="121"/>
      <c r="L87" s="122"/>
      <c r="M87" s="122"/>
      <c r="N87" s="122"/>
      <c r="O87" s="122"/>
      <c r="P87" s="122"/>
      <c r="Q87" s="123"/>
      <c r="R87" s="150"/>
      <c r="S87" s="151"/>
      <c r="T87" s="151"/>
      <c r="U87" s="152"/>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83" t="s">
        <v>47</v>
      </c>
      <c r="B89" s="83"/>
      <c r="C89" s="83"/>
      <c r="D89" s="83"/>
      <c r="E89" s="83"/>
      <c r="F89" s="83"/>
      <c r="G89" s="83"/>
      <c r="H89" s="83"/>
      <c r="I89" s="83"/>
      <c r="J89" s="83"/>
      <c r="K89" s="83"/>
      <c r="L89" s="83"/>
      <c r="M89" s="83"/>
      <c r="N89" s="83"/>
      <c r="O89" s="83"/>
      <c r="P89" s="83"/>
      <c r="Q89" s="83"/>
      <c r="R89" s="83"/>
      <c r="S89" s="83"/>
      <c r="T89" s="83"/>
      <c r="U89" s="83"/>
    </row>
    <row r="90" spans="1:21" ht="18.75" customHeight="1" x14ac:dyDescent="0.15">
      <c r="A90" s="83"/>
      <c r="B90" s="159" t="s">
        <v>48</v>
      </c>
      <c r="C90" s="160"/>
      <c r="D90" s="106" t="s">
        <v>49</v>
      </c>
      <c r="E90" s="107"/>
      <c r="F90" s="107"/>
      <c r="G90" s="107"/>
      <c r="H90" s="107"/>
      <c r="I90" s="107"/>
      <c r="J90" s="107"/>
      <c r="K90" s="107"/>
      <c r="L90" s="107"/>
      <c r="M90" s="107"/>
      <c r="N90" s="107"/>
      <c r="O90" s="107"/>
      <c r="P90" s="107"/>
      <c r="Q90" s="107"/>
      <c r="R90" s="107"/>
      <c r="S90" s="107"/>
      <c r="T90" s="107"/>
      <c r="U90" s="108"/>
    </row>
    <row r="91" spans="1:21" ht="97.5" customHeight="1" x14ac:dyDescent="0.15">
      <c r="A91" s="83"/>
      <c r="B91" s="156" t="s">
        <v>50</v>
      </c>
      <c r="C91" s="84" t="s">
        <v>24</v>
      </c>
      <c r="D91" s="91" t="s">
        <v>51</v>
      </c>
      <c r="E91" s="92"/>
      <c r="F91" s="92"/>
      <c r="G91" s="92"/>
      <c r="H91" s="92"/>
      <c r="I91" s="92"/>
      <c r="J91" s="92"/>
      <c r="K91" s="92"/>
      <c r="L91" s="92"/>
      <c r="M91" s="92"/>
      <c r="N91" s="92"/>
      <c r="O91" s="92"/>
      <c r="P91" s="92"/>
      <c r="Q91" s="92"/>
      <c r="R91" s="92"/>
      <c r="S91" s="92"/>
      <c r="T91" s="92"/>
      <c r="U91" s="93"/>
    </row>
    <row r="92" spans="1:21" ht="97.5" customHeight="1" x14ac:dyDescent="0.15">
      <c r="A92" s="83"/>
      <c r="B92" s="157"/>
      <c r="C92" s="85" t="s">
        <v>52</v>
      </c>
      <c r="D92" s="109" t="s">
        <v>53</v>
      </c>
      <c r="E92" s="110"/>
      <c r="F92" s="110"/>
      <c r="G92" s="110"/>
      <c r="H92" s="110"/>
      <c r="I92" s="110"/>
      <c r="J92" s="110"/>
      <c r="K92" s="110"/>
      <c r="L92" s="110"/>
      <c r="M92" s="110"/>
      <c r="N92" s="110"/>
      <c r="O92" s="110"/>
      <c r="P92" s="110"/>
      <c r="Q92" s="110"/>
      <c r="R92" s="110"/>
      <c r="S92" s="110"/>
      <c r="T92" s="110"/>
      <c r="U92" s="111"/>
    </row>
    <row r="93" spans="1:21" ht="97.5" customHeight="1" x14ac:dyDescent="0.15">
      <c r="A93" s="83"/>
      <c r="B93" s="156" t="s">
        <v>54</v>
      </c>
      <c r="C93" s="86" t="s">
        <v>30</v>
      </c>
      <c r="D93" s="91" t="s">
        <v>55</v>
      </c>
      <c r="E93" s="92"/>
      <c r="F93" s="92"/>
      <c r="G93" s="92"/>
      <c r="H93" s="92"/>
      <c r="I93" s="92"/>
      <c r="J93" s="92"/>
      <c r="K93" s="92"/>
      <c r="L93" s="92"/>
      <c r="M93" s="92"/>
      <c r="N93" s="92"/>
      <c r="O93" s="92"/>
      <c r="P93" s="92"/>
      <c r="Q93" s="92"/>
      <c r="R93" s="92"/>
      <c r="S93" s="92"/>
      <c r="T93" s="92"/>
      <c r="U93" s="93"/>
    </row>
    <row r="94" spans="1:21" ht="97.5" customHeight="1" x14ac:dyDescent="0.15">
      <c r="A94" s="83"/>
      <c r="B94" s="158"/>
      <c r="C94" s="87" t="s">
        <v>31</v>
      </c>
      <c r="D94" s="109" t="s">
        <v>56</v>
      </c>
      <c r="E94" s="110"/>
      <c r="F94" s="110"/>
      <c r="G94" s="110"/>
      <c r="H94" s="110"/>
      <c r="I94" s="110"/>
      <c r="J94" s="110"/>
      <c r="K94" s="110"/>
      <c r="L94" s="110"/>
      <c r="M94" s="110"/>
      <c r="N94" s="110"/>
      <c r="O94" s="110"/>
      <c r="P94" s="110"/>
      <c r="Q94" s="110"/>
      <c r="R94" s="110"/>
      <c r="S94" s="110"/>
      <c r="T94" s="110"/>
      <c r="U94" s="111"/>
    </row>
    <row r="95" spans="1:21" ht="97.5" customHeight="1" x14ac:dyDescent="0.15">
      <c r="A95" s="83"/>
      <c r="B95" s="156" t="s">
        <v>57</v>
      </c>
      <c r="C95" s="86" t="s">
        <v>33</v>
      </c>
      <c r="D95" s="91" t="s">
        <v>58</v>
      </c>
      <c r="E95" s="92"/>
      <c r="F95" s="92"/>
      <c r="G95" s="92"/>
      <c r="H95" s="92"/>
      <c r="I95" s="92"/>
      <c r="J95" s="92"/>
      <c r="K95" s="92"/>
      <c r="L95" s="92"/>
      <c r="M95" s="92"/>
      <c r="N95" s="92"/>
      <c r="O95" s="92"/>
      <c r="P95" s="92"/>
      <c r="Q95" s="92"/>
      <c r="R95" s="92"/>
      <c r="S95" s="92"/>
      <c r="T95" s="92"/>
      <c r="U95" s="93"/>
    </row>
    <row r="96" spans="1:21" ht="97.5" customHeight="1" x14ac:dyDescent="0.15">
      <c r="A96" s="83"/>
      <c r="B96" s="158"/>
      <c r="C96" s="88" t="s">
        <v>34</v>
      </c>
      <c r="D96" s="109" t="s">
        <v>59</v>
      </c>
      <c r="E96" s="110"/>
      <c r="F96" s="110"/>
      <c r="G96" s="110"/>
      <c r="H96" s="110"/>
      <c r="I96" s="110"/>
      <c r="J96" s="110"/>
      <c r="K96" s="110"/>
      <c r="L96" s="110"/>
      <c r="M96" s="110"/>
      <c r="N96" s="110"/>
      <c r="O96" s="110"/>
      <c r="P96" s="110"/>
      <c r="Q96" s="110"/>
      <c r="R96" s="110"/>
      <c r="S96" s="110"/>
      <c r="T96" s="110"/>
      <c r="U96" s="111"/>
    </row>
    <row r="97" spans="1:33" ht="97.5" customHeight="1" x14ac:dyDescent="0.15">
      <c r="A97" s="83"/>
      <c r="B97" s="156" t="s">
        <v>60</v>
      </c>
      <c r="C97" s="84" t="s">
        <v>36</v>
      </c>
      <c r="D97" s="91" t="s">
        <v>61</v>
      </c>
      <c r="E97" s="92"/>
      <c r="F97" s="92"/>
      <c r="G97" s="92"/>
      <c r="H97" s="92"/>
      <c r="I97" s="92"/>
      <c r="J97" s="92"/>
      <c r="K97" s="92"/>
      <c r="L97" s="92"/>
      <c r="M97" s="92"/>
      <c r="N97" s="92"/>
      <c r="O97" s="92"/>
      <c r="P97" s="92"/>
      <c r="Q97" s="92"/>
      <c r="R97" s="92"/>
      <c r="S97" s="92"/>
      <c r="T97" s="92"/>
      <c r="U97" s="93"/>
    </row>
    <row r="98" spans="1:33" ht="97.5" customHeight="1" x14ac:dyDescent="0.15">
      <c r="A98" s="83"/>
      <c r="B98" s="158"/>
      <c r="C98" s="87" t="s">
        <v>37</v>
      </c>
      <c r="D98" s="91" t="s">
        <v>61</v>
      </c>
      <c r="E98" s="92"/>
      <c r="F98" s="92"/>
      <c r="G98" s="92"/>
      <c r="H98" s="92"/>
      <c r="I98" s="92"/>
      <c r="J98" s="92"/>
      <c r="K98" s="92"/>
      <c r="L98" s="92"/>
      <c r="M98" s="92"/>
      <c r="N98" s="92"/>
      <c r="O98" s="92"/>
      <c r="P98" s="92"/>
      <c r="Q98" s="92"/>
      <c r="R98" s="92"/>
      <c r="S98" s="92"/>
      <c r="T98" s="92"/>
      <c r="U98" s="93"/>
    </row>
    <row r="99" spans="1:33" ht="97.5" customHeight="1" x14ac:dyDescent="0.15">
      <c r="A99" s="83"/>
      <c r="B99" s="156" t="s">
        <v>62</v>
      </c>
      <c r="C99" s="86" t="s">
        <v>63</v>
      </c>
      <c r="D99" s="91" t="s">
        <v>64</v>
      </c>
      <c r="E99" s="92"/>
      <c r="F99" s="92"/>
      <c r="G99" s="92"/>
      <c r="H99" s="92"/>
      <c r="I99" s="92"/>
      <c r="J99" s="92"/>
      <c r="K99" s="92"/>
      <c r="L99" s="92"/>
      <c r="M99" s="92"/>
      <c r="N99" s="92"/>
      <c r="O99" s="92"/>
      <c r="P99" s="92"/>
      <c r="Q99" s="92"/>
      <c r="R99" s="92"/>
      <c r="S99" s="92"/>
      <c r="T99" s="92"/>
      <c r="U99" s="93"/>
    </row>
    <row r="100" spans="1:33" ht="89.25" customHeight="1" x14ac:dyDescent="0.15">
      <c r="A100" s="83"/>
      <c r="B100" s="157"/>
      <c r="C100" s="89" t="s">
        <v>40</v>
      </c>
      <c r="D100" s="94" t="s">
        <v>65</v>
      </c>
      <c r="E100" s="95"/>
      <c r="F100" s="95"/>
      <c r="G100" s="95"/>
      <c r="H100" s="95"/>
      <c r="I100" s="95"/>
      <c r="J100" s="95"/>
      <c r="K100" s="95"/>
      <c r="L100" s="95"/>
      <c r="M100" s="95"/>
      <c r="N100" s="95"/>
      <c r="O100" s="95"/>
      <c r="P100" s="95"/>
      <c r="Q100" s="95"/>
      <c r="R100" s="95"/>
      <c r="S100" s="95"/>
      <c r="T100" s="95"/>
      <c r="U100" s="96"/>
    </row>
    <row r="101" spans="1:33" ht="114.75" customHeight="1" x14ac:dyDescent="0.15">
      <c r="A101" s="83"/>
      <c r="B101" s="158"/>
      <c r="C101" s="88" t="s">
        <v>41</v>
      </c>
      <c r="D101" s="97" t="s">
        <v>66</v>
      </c>
      <c r="E101" s="98"/>
      <c r="F101" s="98"/>
      <c r="G101" s="98"/>
      <c r="H101" s="98"/>
      <c r="I101" s="98"/>
      <c r="J101" s="98"/>
      <c r="K101" s="98"/>
      <c r="L101" s="98"/>
      <c r="M101" s="98"/>
      <c r="N101" s="98"/>
      <c r="O101" s="98"/>
      <c r="P101" s="98"/>
      <c r="Q101" s="98"/>
      <c r="R101" s="98"/>
      <c r="S101" s="98"/>
      <c r="T101" s="98"/>
      <c r="U101" s="99"/>
    </row>
    <row r="102" spans="1:33" ht="6" customHeight="1" x14ac:dyDescent="0.15"/>
    <row r="103" spans="1:33" ht="18.75" customHeight="1" x14ac:dyDescent="0.15">
      <c r="A103" s="1" t="s">
        <v>67</v>
      </c>
    </row>
    <row r="104" spans="1:33" ht="81.75" customHeight="1" x14ac:dyDescent="0.15">
      <c r="B104" s="147" t="s">
        <v>68</v>
      </c>
      <c r="C104" s="148"/>
      <c r="D104" s="148"/>
      <c r="E104" s="148"/>
      <c r="F104" s="148"/>
      <c r="G104" s="148"/>
      <c r="H104" s="148"/>
      <c r="I104" s="148"/>
      <c r="J104" s="148"/>
      <c r="K104" s="148"/>
      <c r="L104" s="148"/>
      <c r="M104" s="148"/>
      <c r="N104" s="148"/>
      <c r="O104" s="148"/>
      <c r="P104" s="148"/>
      <c r="Q104" s="148"/>
      <c r="R104" s="148"/>
      <c r="S104" s="148"/>
      <c r="T104" s="148"/>
      <c r="U104" s="149"/>
    </row>
    <row r="106" spans="1:33" ht="18.75" customHeight="1" x14ac:dyDescent="0.15">
      <c r="A106" s="67" t="s">
        <v>69</v>
      </c>
      <c r="B106" s="68"/>
      <c r="C106" s="68"/>
      <c r="D106" s="68"/>
      <c r="E106" s="68"/>
      <c r="F106" s="68"/>
      <c r="G106" s="68"/>
      <c r="H106" s="68"/>
      <c r="I106" s="68"/>
      <c r="J106" s="68"/>
      <c r="K106" s="68"/>
      <c r="L106" s="68"/>
      <c r="M106" s="68"/>
      <c r="N106" s="68"/>
      <c r="O106" s="68"/>
      <c r="P106" s="68"/>
      <c r="Q106" s="68"/>
      <c r="R106" s="68"/>
      <c r="S106" s="68"/>
      <c r="T106" s="68"/>
      <c r="U106" s="68"/>
    </row>
    <row r="107" spans="1:33" ht="18.75" customHeight="1" x14ac:dyDescent="0.15">
      <c r="A107" s="67" t="s">
        <v>70</v>
      </c>
      <c r="B107" s="67"/>
      <c r="C107" s="67"/>
      <c r="D107" s="67"/>
      <c r="E107" s="67"/>
      <c r="F107" s="67"/>
      <c r="G107" s="67"/>
      <c r="H107" s="67"/>
      <c r="I107" s="67"/>
      <c r="J107" s="67"/>
      <c r="K107" s="67"/>
      <c r="L107" s="67"/>
      <c r="M107" s="67"/>
      <c r="N107" s="67"/>
      <c r="O107" s="67"/>
      <c r="P107" s="67"/>
      <c r="Q107" s="67"/>
      <c r="R107" s="67"/>
      <c r="S107" s="67"/>
      <c r="T107" s="67"/>
      <c r="U107" s="67"/>
      <c r="V107" s="2"/>
      <c r="W107" s="2"/>
      <c r="X107" s="2"/>
      <c r="Y107" s="2"/>
      <c r="Z107" s="2"/>
      <c r="AA107" s="2"/>
      <c r="AB107" s="2"/>
      <c r="AC107" s="2"/>
      <c r="AD107" s="2"/>
      <c r="AE107" s="2"/>
      <c r="AF107" s="2"/>
      <c r="AG107" s="2"/>
    </row>
    <row r="108" spans="1:33" ht="18.75" customHeight="1" x14ac:dyDescent="0.15">
      <c r="A108" s="67"/>
      <c r="B108" s="90" t="s">
        <v>71</v>
      </c>
      <c r="C108" s="90"/>
      <c r="D108" s="90"/>
      <c r="E108" s="90"/>
      <c r="F108" s="90"/>
      <c r="G108" s="90"/>
      <c r="H108" s="90"/>
      <c r="I108" s="90"/>
      <c r="J108" s="90"/>
      <c r="K108" s="90"/>
      <c r="L108" s="90"/>
      <c r="M108" s="90"/>
      <c r="N108" s="90"/>
      <c r="O108" s="90"/>
      <c r="P108" s="90"/>
      <c r="Q108" s="90"/>
      <c r="R108" s="90"/>
      <c r="S108" s="90"/>
      <c r="T108" s="90"/>
      <c r="U108" s="90"/>
      <c r="V108" s="63"/>
      <c r="W108" s="63"/>
      <c r="X108" s="63"/>
      <c r="Y108" s="63"/>
      <c r="Z108" s="63"/>
      <c r="AA108" s="63"/>
      <c r="AB108" s="63"/>
      <c r="AC108" s="63"/>
      <c r="AD108" s="63"/>
      <c r="AE108" s="63"/>
      <c r="AF108" s="63"/>
      <c r="AG108" s="63"/>
    </row>
    <row r="109" spans="1:33" ht="37.15" customHeight="1" x14ac:dyDescent="0.15">
      <c r="A109" s="67"/>
      <c r="B109" s="90"/>
      <c r="C109" s="90"/>
      <c r="D109" s="90"/>
      <c r="E109" s="90"/>
      <c r="F109" s="90"/>
      <c r="G109" s="90"/>
      <c r="H109" s="90"/>
      <c r="I109" s="90"/>
      <c r="J109" s="90"/>
      <c r="K109" s="90"/>
      <c r="L109" s="90"/>
      <c r="M109" s="90"/>
      <c r="N109" s="90"/>
      <c r="O109" s="90"/>
      <c r="P109" s="90"/>
      <c r="Q109" s="90"/>
      <c r="R109" s="90"/>
      <c r="S109" s="90"/>
      <c r="T109" s="90"/>
      <c r="U109" s="90"/>
      <c r="V109" s="63"/>
      <c r="W109" s="63"/>
      <c r="X109" s="63"/>
      <c r="Y109" s="63"/>
      <c r="Z109" s="63"/>
      <c r="AA109" s="63"/>
      <c r="AB109" s="63"/>
      <c r="AC109" s="63"/>
      <c r="AD109" s="63"/>
      <c r="AE109" s="63"/>
      <c r="AF109" s="63"/>
      <c r="AG109" s="63"/>
    </row>
    <row r="110" spans="1:33" ht="18.75" customHeight="1" x14ac:dyDescent="0.15">
      <c r="A110" s="67"/>
      <c r="B110" s="167" t="s">
        <v>72</v>
      </c>
      <c r="C110" s="167"/>
      <c r="D110" s="167"/>
      <c r="E110" s="167"/>
      <c r="F110" s="167"/>
      <c r="G110" s="167"/>
      <c r="H110" s="167"/>
      <c r="I110" s="167"/>
      <c r="J110" s="167"/>
      <c r="K110" s="167"/>
      <c r="L110" s="167"/>
      <c r="M110" s="167"/>
      <c r="N110" s="167"/>
      <c r="O110" s="167"/>
      <c r="P110" s="167"/>
      <c r="Q110" s="167"/>
      <c r="R110" s="167"/>
      <c r="S110" s="167"/>
      <c r="T110" s="167"/>
      <c r="U110" s="167"/>
      <c r="V110" s="63"/>
      <c r="W110" s="63"/>
      <c r="X110" s="63"/>
      <c r="Y110" s="63"/>
      <c r="Z110" s="63"/>
      <c r="AA110" s="63"/>
      <c r="AB110" s="63"/>
      <c r="AC110" s="63"/>
      <c r="AD110" s="63"/>
      <c r="AE110" s="63"/>
      <c r="AF110" s="63"/>
      <c r="AG110" s="63"/>
    </row>
    <row r="111" spans="1:33" ht="18.75" customHeight="1" x14ac:dyDescent="0.15">
      <c r="A111" s="67"/>
      <c r="B111" s="168" t="s">
        <v>49</v>
      </c>
      <c r="C111" s="168"/>
      <c r="D111" s="168"/>
      <c r="E111" s="168"/>
      <c r="F111" s="168"/>
      <c r="G111" s="168"/>
      <c r="H111" s="168"/>
      <c r="I111" s="168"/>
      <c r="J111" s="168"/>
      <c r="K111" s="168"/>
      <c r="L111" s="168"/>
      <c r="M111" s="168"/>
      <c r="N111" s="168"/>
      <c r="O111" s="168"/>
      <c r="P111" s="168"/>
      <c r="Q111" s="168"/>
      <c r="R111" s="168"/>
      <c r="S111" s="168"/>
      <c r="T111" s="168"/>
      <c r="U111" s="168"/>
      <c r="V111" s="62"/>
      <c r="W111" s="62"/>
      <c r="X111" s="62"/>
      <c r="Y111" s="62"/>
      <c r="Z111" s="62"/>
      <c r="AA111" s="62"/>
      <c r="AB111" s="62"/>
      <c r="AC111" s="62"/>
      <c r="AD111" s="62"/>
      <c r="AE111" s="62"/>
      <c r="AF111" s="62"/>
      <c r="AG111" s="62"/>
    </row>
    <row r="112" spans="1:33" ht="132" customHeight="1" x14ac:dyDescent="0.15">
      <c r="A112" s="67"/>
      <c r="B112" s="169"/>
      <c r="C112" s="169"/>
      <c r="D112" s="169"/>
      <c r="E112" s="169"/>
      <c r="F112" s="169"/>
      <c r="G112" s="169"/>
      <c r="H112" s="169"/>
      <c r="I112" s="169"/>
      <c r="J112" s="169"/>
      <c r="K112" s="169"/>
      <c r="L112" s="169"/>
      <c r="M112" s="169"/>
      <c r="N112" s="169"/>
      <c r="O112" s="169"/>
      <c r="P112" s="169"/>
      <c r="Q112" s="169"/>
      <c r="R112" s="169"/>
      <c r="S112" s="169"/>
      <c r="T112" s="169"/>
      <c r="U112" s="169"/>
      <c r="V112" s="64"/>
      <c r="W112" s="64"/>
      <c r="X112" s="64"/>
      <c r="Y112" s="64"/>
      <c r="Z112" s="64"/>
      <c r="AA112" s="64"/>
      <c r="AB112" s="64"/>
      <c r="AC112" s="64"/>
      <c r="AD112" s="64"/>
      <c r="AE112" s="64"/>
      <c r="AF112" s="64"/>
      <c r="AG112" s="64"/>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60:J66 S60:U66 G71:J77 H49:J55"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A3" sqref="A3:S3"/>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68"/>
      <c r="B1" s="68"/>
      <c r="C1" s="68"/>
      <c r="D1" s="68"/>
      <c r="E1" s="68"/>
      <c r="F1" s="68"/>
      <c r="G1" s="68"/>
      <c r="H1" s="68"/>
      <c r="I1" s="68"/>
      <c r="J1" s="68"/>
      <c r="K1" s="68"/>
      <c r="L1" s="68"/>
      <c r="M1" s="68"/>
      <c r="N1" s="68"/>
      <c r="O1" s="68"/>
      <c r="P1" s="68"/>
      <c r="Q1" s="68"/>
      <c r="R1" s="68"/>
      <c r="S1" s="68" t="s">
        <v>73</v>
      </c>
    </row>
    <row r="2" spans="1:21" ht="18" customHeight="1" x14ac:dyDescent="0.15">
      <c r="A2" s="68"/>
      <c r="B2" s="68"/>
      <c r="C2" s="68"/>
      <c r="D2" s="68"/>
      <c r="E2" s="68"/>
      <c r="F2" s="68"/>
      <c r="G2" s="68"/>
      <c r="H2" s="68"/>
      <c r="I2" s="68"/>
      <c r="J2" s="68"/>
      <c r="K2" s="68"/>
      <c r="L2" s="68"/>
      <c r="M2" s="68"/>
      <c r="N2" s="68"/>
      <c r="O2" s="68"/>
      <c r="P2" s="68"/>
      <c r="Q2" s="171" t="str">
        <f>'様式１　プログラムを構成する授業科目'!C2</f>
        <v>健康科学大学</v>
      </c>
      <c r="R2" s="171"/>
      <c r="S2" s="171"/>
    </row>
    <row r="3" spans="1:21" ht="18" customHeight="1" x14ac:dyDescent="0.15">
      <c r="A3" s="136" t="s">
        <v>74</v>
      </c>
      <c r="B3" s="136"/>
      <c r="C3" s="136"/>
      <c r="D3" s="136"/>
      <c r="E3" s="136"/>
      <c r="F3" s="136"/>
      <c r="G3" s="136"/>
      <c r="H3" s="136"/>
      <c r="I3" s="136"/>
      <c r="J3" s="136"/>
      <c r="K3" s="136"/>
      <c r="L3" s="136"/>
      <c r="M3" s="136"/>
      <c r="N3" s="136"/>
      <c r="O3" s="136"/>
      <c r="P3" s="136"/>
      <c r="Q3" s="136"/>
      <c r="R3" s="136"/>
      <c r="S3" s="136"/>
    </row>
    <row r="4" spans="1:21" ht="7.5" customHeight="1" x14ac:dyDescent="0.15">
      <c r="A4" s="73"/>
      <c r="B4" s="73"/>
      <c r="C4" s="73"/>
      <c r="D4" s="73"/>
      <c r="E4" s="73"/>
      <c r="F4" s="73"/>
      <c r="G4" s="73"/>
      <c r="H4" s="73"/>
      <c r="I4" s="73"/>
      <c r="J4" s="73"/>
      <c r="K4" s="73"/>
      <c r="L4" s="73"/>
      <c r="M4" s="73"/>
      <c r="N4" s="73"/>
      <c r="O4" s="73"/>
      <c r="P4" s="73"/>
      <c r="Q4" s="73"/>
      <c r="R4" s="73"/>
      <c r="S4" s="73"/>
    </row>
    <row r="5" spans="1:21" ht="18" customHeight="1" x14ac:dyDescent="0.15">
      <c r="A5" s="68" t="s">
        <v>75</v>
      </c>
      <c r="B5" s="68"/>
      <c r="C5" s="172" t="s">
        <v>181</v>
      </c>
      <c r="D5" s="173"/>
      <c r="E5" s="73" t="s">
        <v>76</v>
      </c>
      <c r="F5" s="73"/>
      <c r="G5" s="73"/>
      <c r="H5" s="73"/>
      <c r="I5" s="73"/>
      <c r="J5" s="73"/>
      <c r="K5" s="73"/>
      <c r="L5" s="73"/>
      <c r="M5" s="73"/>
      <c r="N5" s="73"/>
      <c r="O5" s="73"/>
      <c r="P5" s="73"/>
      <c r="Q5" s="73"/>
      <c r="R5" s="71"/>
      <c r="S5" s="71"/>
    </row>
    <row r="6" spans="1:21" ht="7.15" customHeight="1" x14ac:dyDescent="0.15">
      <c r="A6" s="68"/>
      <c r="B6" s="68"/>
      <c r="C6" s="78"/>
      <c r="D6" s="78"/>
      <c r="E6" s="73"/>
      <c r="F6" s="73"/>
      <c r="G6" s="73"/>
      <c r="H6" s="73"/>
      <c r="I6" s="73"/>
      <c r="J6" s="73"/>
      <c r="K6" s="73"/>
      <c r="L6" s="73"/>
      <c r="M6" s="73"/>
      <c r="N6" s="73"/>
      <c r="O6" s="73"/>
      <c r="P6" s="73"/>
      <c r="Q6" s="73"/>
      <c r="R6" s="71"/>
      <c r="S6" s="71"/>
    </row>
    <row r="7" spans="1:21" ht="18" customHeight="1" x14ac:dyDescent="0.15">
      <c r="A7" s="68" t="s">
        <v>77</v>
      </c>
      <c r="B7" s="68"/>
      <c r="C7" s="78"/>
      <c r="D7" s="78"/>
      <c r="E7" s="73" t="s">
        <v>78</v>
      </c>
      <c r="F7" s="76">
        <v>403</v>
      </c>
      <c r="G7" s="74" t="s">
        <v>79</v>
      </c>
      <c r="H7" s="73" t="s">
        <v>80</v>
      </c>
      <c r="I7" s="76">
        <v>391</v>
      </c>
      <c r="J7" s="74" t="s">
        <v>79</v>
      </c>
      <c r="K7" s="69" t="s">
        <v>81</v>
      </c>
      <c r="L7" s="73" t="s">
        <v>82</v>
      </c>
      <c r="M7" s="76">
        <f>F7+I7</f>
        <v>794</v>
      </c>
      <c r="N7" s="73" t="s">
        <v>83</v>
      </c>
      <c r="O7" s="74" t="s">
        <v>84</v>
      </c>
      <c r="P7" s="73"/>
      <c r="Q7" s="73"/>
      <c r="R7" s="71"/>
      <c r="S7" s="71"/>
    </row>
    <row r="8" spans="1:21" ht="6" customHeight="1" x14ac:dyDescent="0.15">
      <c r="A8" s="73"/>
      <c r="B8" s="73"/>
      <c r="C8" s="73"/>
      <c r="D8" s="73"/>
      <c r="E8" s="73"/>
      <c r="F8" s="73"/>
      <c r="G8" s="73"/>
      <c r="H8" s="73"/>
      <c r="I8" s="73"/>
      <c r="J8" s="73"/>
      <c r="K8" s="73"/>
      <c r="L8" s="73"/>
      <c r="M8" s="73"/>
      <c r="N8" s="73"/>
      <c r="O8" s="73"/>
      <c r="P8" s="73"/>
      <c r="Q8" s="73"/>
      <c r="R8" s="73"/>
      <c r="S8" s="73"/>
    </row>
    <row r="9" spans="1:21" ht="18" customHeight="1" x14ac:dyDescent="0.15">
      <c r="A9" s="68" t="s">
        <v>85</v>
      </c>
      <c r="B9" s="73"/>
      <c r="C9" s="73"/>
      <c r="D9" s="73"/>
      <c r="E9" s="73"/>
      <c r="F9" s="73"/>
      <c r="G9" s="73"/>
      <c r="H9" s="73"/>
      <c r="I9" s="73"/>
      <c r="J9" s="73"/>
      <c r="K9" s="73"/>
      <c r="L9" s="73"/>
      <c r="M9" s="73"/>
      <c r="N9" s="73"/>
      <c r="O9" s="73"/>
      <c r="P9" s="73"/>
      <c r="Q9" s="73"/>
      <c r="R9" s="73"/>
      <c r="S9" s="73"/>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4" t="s">
        <v>86</v>
      </c>
      <c r="C11" s="184" t="s">
        <v>87</v>
      </c>
      <c r="D11" s="176" t="s">
        <v>88</v>
      </c>
      <c r="E11" s="178" t="s">
        <v>89</v>
      </c>
      <c r="F11" s="170" t="s">
        <v>90</v>
      </c>
      <c r="G11" s="170"/>
      <c r="H11" s="170" t="s">
        <v>91</v>
      </c>
      <c r="I11" s="170"/>
      <c r="J11" s="170" t="s">
        <v>92</v>
      </c>
      <c r="K11" s="170"/>
      <c r="L11" s="170" t="s">
        <v>93</v>
      </c>
      <c r="M11" s="170"/>
      <c r="N11" s="170" t="s">
        <v>94</v>
      </c>
      <c r="O11" s="170"/>
      <c r="P11" s="170" t="s">
        <v>95</v>
      </c>
      <c r="Q11" s="170"/>
      <c r="R11" s="180" t="s">
        <v>96</v>
      </c>
      <c r="S11" s="182" t="s">
        <v>97</v>
      </c>
      <c r="U11" s="2"/>
    </row>
    <row r="12" spans="1:21" ht="16.899999999999999" customHeight="1" x14ac:dyDescent="0.15">
      <c r="B12" s="175"/>
      <c r="C12" s="185"/>
      <c r="D12" s="177"/>
      <c r="E12" s="179"/>
      <c r="F12" s="56" t="s">
        <v>98</v>
      </c>
      <c r="G12" s="56" t="s">
        <v>99</v>
      </c>
      <c r="H12" s="56" t="s">
        <v>98</v>
      </c>
      <c r="I12" s="56" t="s">
        <v>99</v>
      </c>
      <c r="J12" s="56" t="s">
        <v>98</v>
      </c>
      <c r="K12" s="56" t="s">
        <v>99</v>
      </c>
      <c r="L12" s="56" t="s">
        <v>98</v>
      </c>
      <c r="M12" s="56" t="s">
        <v>99</v>
      </c>
      <c r="N12" s="56" t="s">
        <v>98</v>
      </c>
      <c r="O12" s="56" t="s">
        <v>99</v>
      </c>
      <c r="P12" s="56" t="s">
        <v>98</v>
      </c>
      <c r="Q12" s="57" t="s">
        <v>99</v>
      </c>
      <c r="R12" s="181"/>
      <c r="S12" s="183"/>
      <c r="U12" s="2"/>
    </row>
    <row r="13" spans="1:21" ht="18" customHeight="1" x14ac:dyDescent="0.15">
      <c r="A13" s="6"/>
      <c r="B13" s="58" t="s">
        <v>100</v>
      </c>
      <c r="C13" s="44">
        <v>562</v>
      </c>
      <c r="D13" s="45">
        <v>180</v>
      </c>
      <c r="E13" s="46">
        <v>810</v>
      </c>
      <c r="F13" s="46">
        <v>93</v>
      </c>
      <c r="G13" s="46">
        <v>81</v>
      </c>
      <c r="H13" s="46"/>
      <c r="I13" s="46"/>
      <c r="J13" s="46"/>
      <c r="K13" s="46"/>
      <c r="L13" s="46"/>
      <c r="M13" s="46"/>
      <c r="N13" s="46"/>
      <c r="O13" s="46"/>
      <c r="P13" s="46"/>
      <c r="Q13" s="59"/>
      <c r="R13" s="45">
        <f t="shared" ref="R13:R32" si="0">F13+H13+J13+L13+N13+P13</f>
        <v>93</v>
      </c>
      <c r="S13" s="60">
        <f t="shared" ref="S13:S33" si="1">R13/E13</f>
        <v>0.11481481481481481</v>
      </c>
    </row>
    <row r="14" spans="1:21" ht="18" customHeight="1" x14ac:dyDescent="0.15">
      <c r="A14" s="6"/>
      <c r="B14" s="11" t="s">
        <v>101</v>
      </c>
      <c r="C14" s="47">
        <v>232</v>
      </c>
      <c r="D14" s="48">
        <v>80</v>
      </c>
      <c r="E14" s="49">
        <v>320</v>
      </c>
      <c r="F14" s="50">
        <v>60</v>
      </c>
      <c r="G14" s="50">
        <v>59</v>
      </c>
      <c r="H14" s="50"/>
      <c r="I14" s="50"/>
      <c r="J14" s="50"/>
      <c r="K14" s="50"/>
      <c r="L14" s="50"/>
      <c r="M14" s="50"/>
      <c r="N14" s="50"/>
      <c r="O14" s="50"/>
      <c r="P14" s="50"/>
      <c r="Q14" s="47"/>
      <c r="R14" s="48">
        <f t="shared" si="0"/>
        <v>60</v>
      </c>
      <c r="S14" s="16">
        <f t="shared" si="1"/>
        <v>0.1875</v>
      </c>
    </row>
    <row r="15" spans="1:21" ht="18" customHeight="1" x14ac:dyDescent="0.15">
      <c r="A15" s="6"/>
      <c r="B15" s="11"/>
      <c r="C15" s="47"/>
      <c r="D15" s="48"/>
      <c r="E15" s="49"/>
      <c r="F15" s="50"/>
      <c r="G15" s="50"/>
      <c r="H15" s="50"/>
      <c r="I15" s="50"/>
      <c r="J15" s="50"/>
      <c r="K15" s="50"/>
      <c r="L15" s="50"/>
      <c r="M15" s="50"/>
      <c r="N15" s="50"/>
      <c r="O15" s="50"/>
      <c r="P15" s="50"/>
      <c r="Q15" s="47"/>
      <c r="R15" s="48">
        <f t="shared" si="0"/>
        <v>0</v>
      </c>
      <c r="S15" s="8" t="e">
        <f t="shared" si="1"/>
        <v>#DIV/0!</v>
      </c>
    </row>
    <row r="16" spans="1:21" ht="18" customHeight="1" x14ac:dyDescent="0.15">
      <c r="A16" s="6"/>
      <c r="B16" s="11"/>
      <c r="C16" s="47"/>
      <c r="D16" s="48"/>
      <c r="E16" s="49"/>
      <c r="F16" s="50"/>
      <c r="G16" s="50"/>
      <c r="H16" s="50"/>
      <c r="I16" s="50"/>
      <c r="J16" s="50"/>
      <c r="K16" s="50"/>
      <c r="L16" s="50"/>
      <c r="M16" s="50"/>
      <c r="N16" s="50"/>
      <c r="O16" s="50"/>
      <c r="P16" s="50"/>
      <c r="Q16" s="47"/>
      <c r="R16" s="48">
        <f t="shared" si="0"/>
        <v>0</v>
      </c>
      <c r="S16" s="8" t="e">
        <f t="shared" si="1"/>
        <v>#DIV/0!</v>
      </c>
    </row>
    <row r="17" spans="1:19" ht="18" customHeight="1" x14ac:dyDescent="0.15">
      <c r="A17" s="6"/>
      <c r="B17" s="11"/>
      <c r="C17" s="47"/>
      <c r="D17" s="48"/>
      <c r="E17" s="49"/>
      <c r="F17" s="50"/>
      <c r="G17" s="50"/>
      <c r="H17" s="50"/>
      <c r="I17" s="50"/>
      <c r="J17" s="50"/>
      <c r="K17" s="50"/>
      <c r="L17" s="50"/>
      <c r="M17" s="50"/>
      <c r="N17" s="50"/>
      <c r="O17" s="50"/>
      <c r="P17" s="50"/>
      <c r="Q17" s="47"/>
      <c r="R17" s="48">
        <f t="shared" si="0"/>
        <v>0</v>
      </c>
      <c r="S17" s="8" t="e">
        <f t="shared" si="1"/>
        <v>#DIV/0!</v>
      </c>
    </row>
    <row r="18" spans="1:19" ht="18" customHeight="1" x14ac:dyDescent="0.15">
      <c r="A18" s="6"/>
      <c r="B18" s="11"/>
      <c r="C18" s="47"/>
      <c r="D18" s="48"/>
      <c r="E18" s="49"/>
      <c r="F18" s="50"/>
      <c r="G18" s="50"/>
      <c r="H18" s="50"/>
      <c r="I18" s="50"/>
      <c r="J18" s="50"/>
      <c r="K18" s="50"/>
      <c r="L18" s="50"/>
      <c r="M18" s="50"/>
      <c r="N18" s="50"/>
      <c r="O18" s="50"/>
      <c r="P18" s="50"/>
      <c r="Q18" s="47"/>
      <c r="R18" s="48">
        <f t="shared" si="0"/>
        <v>0</v>
      </c>
      <c r="S18" s="8" t="e">
        <f t="shared" si="1"/>
        <v>#DIV/0!</v>
      </c>
    </row>
    <row r="19" spans="1:19" ht="18" customHeight="1" x14ac:dyDescent="0.15">
      <c r="A19" s="6"/>
      <c r="B19" s="11"/>
      <c r="C19" s="47"/>
      <c r="D19" s="48"/>
      <c r="E19" s="49"/>
      <c r="F19" s="50"/>
      <c r="G19" s="50"/>
      <c r="H19" s="50"/>
      <c r="I19" s="50"/>
      <c r="J19" s="50"/>
      <c r="K19" s="50"/>
      <c r="L19" s="50"/>
      <c r="M19" s="50"/>
      <c r="N19" s="50"/>
      <c r="O19" s="50"/>
      <c r="P19" s="50"/>
      <c r="Q19" s="47"/>
      <c r="R19" s="48">
        <f t="shared" si="0"/>
        <v>0</v>
      </c>
      <c r="S19" s="8" t="e">
        <f t="shared" si="1"/>
        <v>#DIV/0!</v>
      </c>
    </row>
    <row r="20" spans="1:19" ht="18" customHeight="1" x14ac:dyDescent="0.15">
      <c r="A20" s="6"/>
      <c r="B20" s="11"/>
      <c r="C20" s="47"/>
      <c r="D20" s="48"/>
      <c r="E20" s="49"/>
      <c r="F20" s="50"/>
      <c r="G20" s="50"/>
      <c r="H20" s="50"/>
      <c r="I20" s="50"/>
      <c r="J20" s="50"/>
      <c r="K20" s="50"/>
      <c r="L20" s="50"/>
      <c r="M20" s="50"/>
      <c r="N20" s="50"/>
      <c r="O20" s="50"/>
      <c r="P20" s="50"/>
      <c r="Q20" s="47"/>
      <c r="R20" s="48">
        <f t="shared" si="0"/>
        <v>0</v>
      </c>
      <c r="S20" s="8" t="e">
        <f t="shared" si="1"/>
        <v>#DIV/0!</v>
      </c>
    </row>
    <row r="21" spans="1:19" ht="18" customHeight="1" x14ac:dyDescent="0.15">
      <c r="A21" s="6"/>
      <c r="B21" s="11"/>
      <c r="C21" s="47"/>
      <c r="D21" s="48"/>
      <c r="E21" s="49"/>
      <c r="F21" s="50"/>
      <c r="G21" s="50"/>
      <c r="H21" s="50"/>
      <c r="I21" s="50"/>
      <c r="J21" s="50"/>
      <c r="K21" s="50"/>
      <c r="L21" s="50"/>
      <c r="M21" s="50"/>
      <c r="N21" s="50"/>
      <c r="O21" s="50"/>
      <c r="P21" s="50"/>
      <c r="Q21" s="47"/>
      <c r="R21" s="48">
        <f t="shared" si="0"/>
        <v>0</v>
      </c>
      <c r="S21" s="8" t="e">
        <f t="shared" si="1"/>
        <v>#DIV/0!</v>
      </c>
    </row>
    <row r="22" spans="1:19" ht="18" customHeight="1" x14ac:dyDescent="0.15">
      <c r="A22" s="6"/>
      <c r="B22" s="11"/>
      <c r="C22" s="47"/>
      <c r="D22" s="48"/>
      <c r="E22" s="49"/>
      <c r="F22" s="50"/>
      <c r="G22" s="50"/>
      <c r="H22" s="50"/>
      <c r="I22" s="50"/>
      <c r="J22" s="50"/>
      <c r="K22" s="50"/>
      <c r="L22" s="50"/>
      <c r="M22" s="50"/>
      <c r="N22" s="50"/>
      <c r="O22" s="50"/>
      <c r="P22" s="50"/>
      <c r="Q22" s="47"/>
      <c r="R22" s="48">
        <f t="shared" si="0"/>
        <v>0</v>
      </c>
      <c r="S22" s="8" t="e">
        <f t="shared" si="1"/>
        <v>#DIV/0!</v>
      </c>
    </row>
    <row r="23" spans="1:19" ht="18" customHeight="1" x14ac:dyDescent="0.15">
      <c r="A23" s="6"/>
      <c r="B23" s="11"/>
      <c r="C23" s="47"/>
      <c r="D23" s="48"/>
      <c r="E23" s="49"/>
      <c r="F23" s="50"/>
      <c r="G23" s="50"/>
      <c r="H23" s="50"/>
      <c r="I23" s="50"/>
      <c r="J23" s="50"/>
      <c r="K23" s="50"/>
      <c r="L23" s="50"/>
      <c r="M23" s="50"/>
      <c r="N23" s="50"/>
      <c r="O23" s="50"/>
      <c r="P23" s="50"/>
      <c r="Q23" s="47"/>
      <c r="R23" s="48">
        <f t="shared" si="0"/>
        <v>0</v>
      </c>
      <c r="S23" s="8" t="e">
        <f t="shared" si="1"/>
        <v>#DIV/0!</v>
      </c>
    </row>
    <row r="24" spans="1:19" ht="18" customHeight="1" x14ac:dyDescent="0.15">
      <c r="A24" s="6"/>
      <c r="B24" s="11"/>
      <c r="C24" s="47"/>
      <c r="D24" s="48"/>
      <c r="E24" s="49"/>
      <c r="F24" s="50"/>
      <c r="G24" s="50"/>
      <c r="H24" s="50"/>
      <c r="I24" s="50"/>
      <c r="J24" s="50"/>
      <c r="K24" s="50"/>
      <c r="L24" s="50"/>
      <c r="M24" s="50"/>
      <c r="N24" s="50"/>
      <c r="O24" s="50"/>
      <c r="P24" s="50"/>
      <c r="Q24" s="47"/>
      <c r="R24" s="48">
        <f t="shared" si="0"/>
        <v>0</v>
      </c>
      <c r="S24" s="8" t="e">
        <f t="shared" si="1"/>
        <v>#DIV/0!</v>
      </c>
    </row>
    <row r="25" spans="1:19" ht="18" customHeight="1" x14ac:dyDescent="0.15">
      <c r="A25" s="6"/>
      <c r="B25" s="11"/>
      <c r="C25" s="47"/>
      <c r="D25" s="48"/>
      <c r="E25" s="49"/>
      <c r="F25" s="50"/>
      <c r="G25" s="50"/>
      <c r="H25" s="50"/>
      <c r="I25" s="50"/>
      <c r="J25" s="50"/>
      <c r="K25" s="50"/>
      <c r="L25" s="50"/>
      <c r="M25" s="50"/>
      <c r="N25" s="50"/>
      <c r="O25" s="50"/>
      <c r="P25" s="50"/>
      <c r="Q25" s="47"/>
      <c r="R25" s="48">
        <f t="shared" si="0"/>
        <v>0</v>
      </c>
      <c r="S25" s="8" t="e">
        <f t="shared" si="1"/>
        <v>#DIV/0!</v>
      </c>
    </row>
    <row r="26" spans="1:19" ht="18" customHeight="1" x14ac:dyDescent="0.15">
      <c r="A26" s="6"/>
      <c r="B26" s="11"/>
      <c r="C26" s="47"/>
      <c r="D26" s="48"/>
      <c r="E26" s="49"/>
      <c r="F26" s="50"/>
      <c r="G26" s="50"/>
      <c r="H26" s="50"/>
      <c r="I26" s="50"/>
      <c r="J26" s="50"/>
      <c r="K26" s="50"/>
      <c r="L26" s="50"/>
      <c r="M26" s="50"/>
      <c r="N26" s="50"/>
      <c r="O26" s="50"/>
      <c r="P26" s="50"/>
      <c r="Q26" s="47"/>
      <c r="R26" s="48">
        <f t="shared" si="0"/>
        <v>0</v>
      </c>
      <c r="S26" s="8" t="e">
        <f t="shared" si="1"/>
        <v>#DIV/0!</v>
      </c>
    </row>
    <row r="27" spans="1:19" ht="18" customHeight="1" x14ac:dyDescent="0.15">
      <c r="A27" s="6"/>
      <c r="B27" s="11"/>
      <c r="C27" s="47"/>
      <c r="D27" s="48"/>
      <c r="E27" s="49"/>
      <c r="F27" s="50"/>
      <c r="G27" s="50"/>
      <c r="H27" s="50"/>
      <c r="I27" s="50"/>
      <c r="J27" s="50"/>
      <c r="K27" s="50"/>
      <c r="L27" s="50"/>
      <c r="M27" s="50"/>
      <c r="N27" s="50"/>
      <c r="O27" s="50"/>
      <c r="P27" s="50"/>
      <c r="Q27" s="47"/>
      <c r="R27" s="48">
        <f t="shared" si="0"/>
        <v>0</v>
      </c>
      <c r="S27" s="8" t="e">
        <f t="shared" si="1"/>
        <v>#DIV/0!</v>
      </c>
    </row>
    <row r="28" spans="1:19" ht="18" customHeight="1" x14ac:dyDescent="0.15">
      <c r="A28" s="6"/>
      <c r="B28" s="11"/>
      <c r="C28" s="47"/>
      <c r="D28" s="48"/>
      <c r="E28" s="49"/>
      <c r="F28" s="50"/>
      <c r="G28" s="50"/>
      <c r="H28" s="50"/>
      <c r="I28" s="50"/>
      <c r="J28" s="50"/>
      <c r="K28" s="50"/>
      <c r="L28" s="50"/>
      <c r="M28" s="50"/>
      <c r="N28" s="50"/>
      <c r="O28" s="50"/>
      <c r="P28" s="50"/>
      <c r="Q28" s="47"/>
      <c r="R28" s="48">
        <f t="shared" si="0"/>
        <v>0</v>
      </c>
      <c r="S28" s="8" t="e">
        <f t="shared" si="1"/>
        <v>#DIV/0!</v>
      </c>
    </row>
    <row r="29" spans="1:19" ht="18" customHeight="1" x14ac:dyDescent="0.15">
      <c r="A29" s="6"/>
      <c r="B29" s="11"/>
      <c r="C29" s="47"/>
      <c r="D29" s="48"/>
      <c r="E29" s="49"/>
      <c r="F29" s="50"/>
      <c r="G29" s="50"/>
      <c r="H29" s="50"/>
      <c r="I29" s="50"/>
      <c r="J29" s="50"/>
      <c r="K29" s="50"/>
      <c r="L29" s="50"/>
      <c r="M29" s="50"/>
      <c r="N29" s="50"/>
      <c r="O29" s="50"/>
      <c r="P29" s="50"/>
      <c r="Q29" s="47"/>
      <c r="R29" s="48">
        <f t="shared" si="0"/>
        <v>0</v>
      </c>
      <c r="S29" s="8" t="e">
        <f t="shared" si="1"/>
        <v>#DIV/0!</v>
      </c>
    </row>
    <row r="30" spans="1:19" ht="18" customHeight="1" x14ac:dyDescent="0.15">
      <c r="A30" s="6"/>
      <c r="B30" s="11"/>
      <c r="C30" s="47"/>
      <c r="D30" s="51"/>
      <c r="E30" s="49"/>
      <c r="F30" s="50"/>
      <c r="G30" s="50"/>
      <c r="H30" s="50"/>
      <c r="I30" s="50"/>
      <c r="J30" s="50"/>
      <c r="K30" s="50"/>
      <c r="L30" s="50"/>
      <c r="M30" s="50"/>
      <c r="N30" s="50"/>
      <c r="O30" s="50"/>
      <c r="P30" s="50"/>
      <c r="Q30" s="47"/>
      <c r="R30" s="51">
        <f t="shared" si="0"/>
        <v>0</v>
      </c>
      <c r="S30" s="8" t="e">
        <f t="shared" si="1"/>
        <v>#DIV/0!</v>
      </c>
    </row>
    <row r="31" spans="1:19" ht="18" customHeight="1" x14ac:dyDescent="0.15">
      <c r="A31" s="6"/>
      <c r="B31" s="11"/>
      <c r="C31" s="47"/>
      <c r="D31" s="51"/>
      <c r="E31" s="49"/>
      <c r="F31" s="50"/>
      <c r="G31" s="50"/>
      <c r="H31" s="50"/>
      <c r="I31" s="50"/>
      <c r="J31" s="50"/>
      <c r="K31" s="50"/>
      <c r="L31" s="50"/>
      <c r="M31" s="50"/>
      <c r="N31" s="50"/>
      <c r="O31" s="50"/>
      <c r="P31" s="50"/>
      <c r="Q31" s="47"/>
      <c r="R31" s="51">
        <f t="shared" si="0"/>
        <v>0</v>
      </c>
      <c r="S31" s="8" t="e">
        <f t="shared" si="1"/>
        <v>#DIV/0!</v>
      </c>
    </row>
    <row r="32" spans="1:19" ht="18" customHeight="1" thickBot="1" x14ac:dyDescent="0.2">
      <c r="A32" s="6"/>
      <c r="B32" s="12"/>
      <c r="C32" s="44"/>
      <c r="D32" s="52"/>
      <c r="E32" s="46"/>
      <c r="F32" s="46"/>
      <c r="G32" s="46"/>
      <c r="H32" s="46"/>
      <c r="I32" s="46"/>
      <c r="J32" s="46"/>
      <c r="K32" s="46"/>
      <c r="L32" s="46"/>
      <c r="M32" s="46"/>
      <c r="N32" s="46"/>
      <c r="O32" s="46"/>
      <c r="P32" s="46"/>
      <c r="Q32" s="47"/>
      <c r="R32" s="52">
        <f t="shared" si="0"/>
        <v>0</v>
      </c>
      <c r="S32" s="7" t="e">
        <f t="shared" si="1"/>
        <v>#DIV/0!</v>
      </c>
    </row>
    <row r="33" spans="2:19" ht="18" customHeight="1" thickTop="1" x14ac:dyDescent="0.15">
      <c r="B33" s="13" t="s">
        <v>102</v>
      </c>
      <c r="C33" s="53">
        <f t="shared" ref="C33" si="2">SUM(C13:C32)</f>
        <v>794</v>
      </c>
      <c r="D33" s="54">
        <f t="shared" ref="D33:R33" si="3">SUM(D13:D32)</f>
        <v>260</v>
      </c>
      <c r="E33" s="55">
        <f t="shared" si="3"/>
        <v>1130</v>
      </c>
      <c r="F33" s="55">
        <f t="shared" si="3"/>
        <v>153</v>
      </c>
      <c r="G33" s="55">
        <f t="shared" ref="G33:H33" si="4">SUM(G13:G32)</f>
        <v>140</v>
      </c>
      <c r="H33" s="55">
        <f t="shared" si="4"/>
        <v>0</v>
      </c>
      <c r="I33" s="55">
        <f t="shared" ref="I33:J33" si="5">SUM(I13:I32)</f>
        <v>0</v>
      </c>
      <c r="J33" s="55">
        <f t="shared" si="5"/>
        <v>0</v>
      </c>
      <c r="K33" s="55">
        <f t="shared" ref="K33:O33" si="6">SUM(K13:K32)</f>
        <v>0</v>
      </c>
      <c r="L33" s="55">
        <f t="shared" si="6"/>
        <v>0</v>
      </c>
      <c r="M33" s="55">
        <f t="shared" si="6"/>
        <v>0</v>
      </c>
      <c r="N33" s="55">
        <f t="shared" si="6"/>
        <v>0</v>
      </c>
      <c r="O33" s="55">
        <f t="shared" si="6"/>
        <v>0</v>
      </c>
      <c r="P33" s="55">
        <f t="shared" ref="P33:Q33" si="7">SUM(P13:P32)</f>
        <v>0</v>
      </c>
      <c r="Q33" s="53">
        <f t="shared" si="7"/>
        <v>0</v>
      </c>
      <c r="R33" s="54">
        <f t="shared" si="3"/>
        <v>153</v>
      </c>
      <c r="S33" s="9">
        <f t="shared" si="1"/>
        <v>0.13539823008849558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 sqref="B3"/>
    </sheetView>
  </sheetViews>
  <sheetFormatPr defaultColWidth="11.375" defaultRowHeight="18.75" customHeight="1" x14ac:dyDescent="0.15"/>
  <cols>
    <col min="1" max="1" width="2.75" style="26"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6" t="s">
        <v>103</v>
      </c>
      <c r="I1" s="24" t="s">
        <v>104</v>
      </c>
    </row>
    <row r="2" spans="1:9" ht="18.75" customHeight="1" x14ac:dyDescent="0.15">
      <c r="G2" s="24" t="s">
        <v>2</v>
      </c>
      <c r="H2" s="124" t="str">
        <f>'様式１　プログラムを構成する授業科目'!C2</f>
        <v>健康科学大学</v>
      </c>
      <c r="I2" s="129"/>
    </row>
    <row r="3" spans="1:9" ht="18.75" customHeight="1" x14ac:dyDescent="0.15">
      <c r="G3" s="24"/>
      <c r="H3" s="10"/>
      <c r="I3" s="10"/>
    </row>
    <row r="4" spans="1:9" ht="18.600000000000001" customHeight="1" x14ac:dyDescent="0.15">
      <c r="A4" s="214" t="s">
        <v>105</v>
      </c>
      <c r="B4" s="214"/>
      <c r="C4" s="214"/>
      <c r="D4" s="214"/>
      <c r="E4" s="214"/>
      <c r="F4" s="214"/>
      <c r="G4" s="214"/>
      <c r="H4" s="214"/>
      <c r="I4" s="214"/>
    </row>
    <row r="5" spans="1:9" ht="13.15" customHeight="1" x14ac:dyDescent="0.15">
      <c r="B5" s="3"/>
      <c r="C5" s="3"/>
      <c r="D5" s="3"/>
      <c r="E5" s="3"/>
      <c r="F5" s="3"/>
      <c r="G5" s="3"/>
      <c r="H5" s="3"/>
      <c r="I5" s="3"/>
    </row>
    <row r="6" spans="1:9" ht="18" customHeight="1" x14ac:dyDescent="0.15">
      <c r="A6" s="1" t="s">
        <v>106</v>
      </c>
      <c r="B6" s="10" t="s">
        <v>107</v>
      </c>
      <c r="C6" s="234" t="s">
        <v>108</v>
      </c>
      <c r="D6" s="234"/>
      <c r="E6" s="23">
        <v>64</v>
      </c>
      <c r="F6" s="3" t="s">
        <v>83</v>
      </c>
      <c r="G6" s="3" t="s">
        <v>109</v>
      </c>
      <c r="H6" s="23">
        <v>32</v>
      </c>
      <c r="I6" s="10" t="s">
        <v>83</v>
      </c>
    </row>
    <row r="7" spans="1:9" ht="12" customHeight="1" x14ac:dyDescent="0.15">
      <c r="C7" s="2"/>
      <c r="D7" s="2"/>
      <c r="E7" s="2"/>
      <c r="F7" s="2"/>
      <c r="G7" s="2"/>
      <c r="H7" s="2"/>
      <c r="I7" s="27"/>
    </row>
    <row r="8" spans="1:9" ht="18" customHeight="1" x14ac:dyDescent="0.15">
      <c r="A8" s="1" t="s">
        <v>110</v>
      </c>
      <c r="B8" s="10" t="s">
        <v>111</v>
      </c>
      <c r="E8" s="3"/>
      <c r="F8" s="3"/>
      <c r="G8" s="3"/>
      <c r="H8" s="23">
        <v>1</v>
      </c>
      <c r="I8" s="10" t="s">
        <v>83</v>
      </c>
    </row>
    <row r="9" spans="1:9" ht="9" customHeight="1" x14ac:dyDescent="0.15">
      <c r="B9" s="3"/>
      <c r="C9" s="3"/>
      <c r="D9" s="3"/>
      <c r="E9" s="3"/>
      <c r="F9" s="3"/>
      <c r="G9" s="3"/>
      <c r="H9" s="3"/>
      <c r="I9" s="3"/>
    </row>
    <row r="10" spans="1:9" ht="18" customHeight="1" x14ac:dyDescent="0.15">
      <c r="A10" s="1" t="s">
        <v>112</v>
      </c>
      <c r="B10" s="10" t="s">
        <v>113</v>
      </c>
      <c r="C10" s="3"/>
      <c r="D10" s="3"/>
      <c r="E10" s="3"/>
      <c r="F10" s="3"/>
      <c r="G10" s="3"/>
      <c r="H10" s="3"/>
      <c r="I10" s="3"/>
    </row>
    <row r="11" spans="1:9" ht="18" customHeight="1" x14ac:dyDescent="0.15">
      <c r="B11" s="24" t="s">
        <v>114</v>
      </c>
      <c r="C11" s="229" t="s">
        <v>115</v>
      </c>
      <c r="D11" s="232"/>
      <c r="E11" s="233"/>
      <c r="F11" s="27"/>
      <c r="G11" s="24" t="s">
        <v>116</v>
      </c>
      <c r="H11" s="229" t="s">
        <v>117</v>
      </c>
      <c r="I11" s="233"/>
    </row>
    <row r="12" spans="1:9" ht="10.15" customHeight="1" x14ac:dyDescent="0.15">
      <c r="B12" s="24"/>
      <c r="C12" s="10"/>
      <c r="D12" s="27"/>
      <c r="E12" s="27"/>
      <c r="F12" s="27"/>
      <c r="G12" s="24"/>
      <c r="H12" s="10"/>
      <c r="I12" s="27"/>
    </row>
    <row r="13" spans="1:9" ht="18" customHeight="1" x14ac:dyDescent="0.15">
      <c r="A13" s="1" t="s">
        <v>118</v>
      </c>
      <c r="B13" s="10" t="s">
        <v>119</v>
      </c>
      <c r="C13" s="3"/>
      <c r="D13" s="3"/>
      <c r="E13" s="3"/>
      <c r="F13" s="3"/>
      <c r="G13" s="3"/>
      <c r="H13" s="3"/>
      <c r="I13" s="3"/>
    </row>
    <row r="14" spans="1:9" ht="18" customHeight="1" x14ac:dyDescent="0.15">
      <c r="B14" s="229" t="s">
        <v>120</v>
      </c>
      <c r="C14" s="230"/>
      <c r="D14" s="230"/>
      <c r="E14" s="230"/>
      <c r="F14" s="230"/>
      <c r="G14" s="230"/>
      <c r="H14" s="230"/>
      <c r="I14" s="231"/>
    </row>
    <row r="15" spans="1:9" ht="9" customHeight="1" x14ac:dyDescent="0.15">
      <c r="B15" s="3"/>
      <c r="C15" s="3"/>
      <c r="D15" s="3"/>
      <c r="E15" s="3"/>
      <c r="F15" s="3"/>
      <c r="G15" s="3"/>
      <c r="H15" s="3"/>
      <c r="I15" s="3"/>
    </row>
    <row r="16" spans="1:9" ht="18" customHeight="1" x14ac:dyDescent="0.15">
      <c r="B16" s="24" t="s">
        <v>114</v>
      </c>
      <c r="C16" s="229" t="s">
        <v>121</v>
      </c>
      <c r="D16" s="232"/>
      <c r="E16" s="233"/>
      <c r="F16" s="27"/>
      <c r="G16" s="24" t="s">
        <v>116</v>
      </c>
      <c r="H16" s="229" t="s">
        <v>122</v>
      </c>
      <c r="I16" s="233"/>
    </row>
    <row r="17" spans="1:9" ht="18" customHeight="1" x14ac:dyDescent="0.15">
      <c r="B17" s="3"/>
      <c r="C17" s="3"/>
      <c r="D17" s="3"/>
      <c r="E17" s="3"/>
      <c r="F17" s="3"/>
      <c r="G17" s="3"/>
      <c r="H17" s="3"/>
      <c r="I17" s="3"/>
    </row>
    <row r="18" spans="1:9" ht="18.75" customHeight="1" x14ac:dyDescent="0.15">
      <c r="A18" s="1" t="s">
        <v>123</v>
      </c>
      <c r="B18" s="1" t="s">
        <v>124</v>
      </c>
      <c r="I18" s="3"/>
    </row>
    <row r="19" spans="1:9" ht="18.75" customHeight="1" x14ac:dyDescent="0.15">
      <c r="A19" s="1"/>
      <c r="B19" s="215" t="s">
        <v>125</v>
      </c>
      <c r="C19" s="216"/>
      <c r="D19" s="216"/>
      <c r="E19" s="216"/>
      <c r="F19" s="216"/>
      <c r="G19" s="216"/>
      <c r="H19" s="216"/>
      <c r="I19" s="217"/>
    </row>
    <row r="20" spans="1:9" ht="7.5" customHeight="1" x14ac:dyDescent="0.15">
      <c r="B20" s="3"/>
      <c r="C20" s="3"/>
      <c r="D20" s="3"/>
      <c r="E20" s="3"/>
      <c r="F20" s="3"/>
      <c r="G20" s="3"/>
      <c r="H20" s="3"/>
      <c r="I20" s="3"/>
    </row>
    <row r="21" spans="1:9" ht="18.75" customHeight="1" x14ac:dyDescent="0.15">
      <c r="A21" s="1" t="s">
        <v>126</v>
      </c>
      <c r="B21" s="1" t="s">
        <v>127</v>
      </c>
    </row>
    <row r="22" spans="1:9" ht="18.75" customHeight="1" x14ac:dyDescent="0.15">
      <c r="A22" s="14"/>
      <c r="B22" s="218" t="s">
        <v>128</v>
      </c>
      <c r="C22" s="219"/>
      <c r="D22" s="219"/>
      <c r="E22" s="219"/>
      <c r="F22" s="219"/>
      <c r="G22" s="219"/>
      <c r="H22" s="219"/>
      <c r="I22" s="220"/>
    </row>
    <row r="23" spans="1:9" ht="18.75" customHeight="1" x14ac:dyDescent="0.15">
      <c r="A23" s="14"/>
      <c r="B23" s="221"/>
      <c r="C23" s="222"/>
      <c r="D23" s="222"/>
      <c r="E23" s="222"/>
      <c r="F23" s="222"/>
      <c r="G23" s="222"/>
      <c r="H23" s="222"/>
      <c r="I23" s="223"/>
    </row>
    <row r="24" spans="1:9" ht="18.75" customHeight="1" x14ac:dyDescent="0.15">
      <c r="A24" s="14"/>
      <c r="B24" s="221"/>
      <c r="C24" s="222"/>
      <c r="D24" s="222"/>
      <c r="E24" s="222"/>
      <c r="F24" s="222"/>
      <c r="G24" s="222"/>
      <c r="H24" s="222"/>
      <c r="I24" s="223"/>
    </row>
    <row r="25" spans="1:9" ht="18.75" customHeight="1" x14ac:dyDescent="0.15">
      <c r="A25" s="14"/>
      <c r="B25" s="221"/>
      <c r="C25" s="222"/>
      <c r="D25" s="222"/>
      <c r="E25" s="222"/>
      <c r="F25" s="222"/>
      <c r="G25" s="222"/>
      <c r="H25" s="222"/>
      <c r="I25" s="223"/>
    </row>
    <row r="26" spans="1:9" ht="18.75" customHeight="1" x14ac:dyDescent="0.15">
      <c r="A26" s="14"/>
      <c r="B26" s="221"/>
      <c r="C26" s="222"/>
      <c r="D26" s="222"/>
      <c r="E26" s="222"/>
      <c r="F26" s="222"/>
      <c r="G26" s="222"/>
      <c r="H26" s="222"/>
      <c r="I26" s="223"/>
    </row>
    <row r="27" spans="1:9" ht="18.75" customHeight="1" x14ac:dyDescent="0.15">
      <c r="A27" s="14"/>
      <c r="B27" s="221"/>
      <c r="C27" s="222"/>
      <c r="D27" s="222"/>
      <c r="E27" s="222"/>
      <c r="F27" s="222"/>
      <c r="G27" s="222"/>
      <c r="H27" s="222"/>
      <c r="I27" s="223"/>
    </row>
    <row r="28" spans="1:9" ht="18.75" customHeight="1" x14ac:dyDescent="0.15">
      <c r="A28" s="14"/>
      <c r="B28" s="221"/>
      <c r="C28" s="222"/>
      <c r="D28" s="222"/>
      <c r="E28" s="222"/>
      <c r="F28" s="222"/>
      <c r="G28" s="222"/>
      <c r="H28" s="222"/>
      <c r="I28" s="223"/>
    </row>
    <row r="29" spans="1:9" ht="18.75" customHeight="1" x14ac:dyDescent="0.15">
      <c r="A29" s="14"/>
      <c r="B29" s="221"/>
      <c r="C29" s="222"/>
      <c r="D29" s="222"/>
      <c r="E29" s="222"/>
      <c r="F29" s="222"/>
      <c r="G29" s="222"/>
      <c r="H29" s="222"/>
      <c r="I29" s="223"/>
    </row>
    <row r="30" spans="1:9" ht="18.75" customHeight="1" x14ac:dyDescent="0.15">
      <c r="A30" s="14"/>
      <c r="B30" s="224"/>
      <c r="C30" s="225"/>
      <c r="D30" s="225"/>
      <c r="E30" s="225"/>
      <c r="F30" s="225"/>
      <c r="G30" s="225"/>
      <c r="H30" s="225"/>
      <c r="I30" s="223"/>
    </row>
    <row r="31" spans="1:9" ht="18.75" customHeight="1" x14ac:dyDescent="0.15">
      <c r="A31" s="14"/>
      <c r="B31" s="224"/>
      <c r="C31" s="225"/>
      <c r="D31" s="225"/>
      <c r="E31" s="225"/>
      <c r="F31" s="225"/>
      <c r="G31" s="225"/>
      <c r="H31" s="225"/>
      <c r="I31" s="223"/>
    </row>
    <row r="32" spans="1:9" ht="18.75" customHeight="1" x14ac:dyDescent="0.15">
      <c r="A32" s="14"/>
      <c r="B32" s="226"/>
      <c r="C32" s="227"/>
      <c r="D32" s="227"/>
      <c r="E32" s="227"/>
      <c r="F32" s="227"/>
      <c r="G32" s="227"/>
      <c r="H32" s="227"/>
      <c r="I32" s="228"/>
    </row>
    <row r="33" spans="1:9" ht="7.5" customHeight="1" x14ac:dyDescent="0.15">
      <c r="A33" s="14"/>
      <c r="B33" s="14"/>
      <c r="C33" s="14"/>
      <c r="D33" s="14"/>
      <c r="E33" s="14"/>
      <c r="F33" s="14"/>
      <c r="G33" s="14"/>
      <c r="H33" s="14"/>
      <c r="I33" s="14"/>
    </row>
    <row r="34" spans="1:9" ht="18.75" customHeight="1" x14ac:dyDescent="0.15">
      <c r="A34" s="15" t="s">
        <v>129</v>
      </c>
      <c r="B34" s="15" t="s">
        <v>130</v>
      </c>
      <c r="C34" s="10"/>
      <c r="D34" s="15"/>
      <c r="E34" s="15"/>
      <c r="F34" s="15"/>
      <c r="G34" s="15"/>
      <c r="H34" s="15"/>
      <c r="I34" s="15"/>
    </row>
    <row r="35" spans="1:9" ht="18.75" customHeight="1" x14ac:dyDescent="0.15">
      <c r="A35" s="14"/>
      <c r="B35" s="218" t="s">
        <v>182</v>
      </c>
      <c r="C35" s="219"/>
      <c r="D35" s="219"/>
      <c r="E35" s="219"/>
      <c r="F35" s="219"/>
      <c r="G35" s="219"/>
      <c r="H35" s="219"/>
      <c r="I35" s="220"/>
    </row>
    <row r="36" spans="1:9" ht="18.75" customHeight="1" x14ac:dyDescent="0.15">
      <c r="A36" s="14"/>
      <c r="B36" s="224"/>
      <c r="C36" s="225"/>
      <c r="D36" s="225"/>
      <c r="E36" s="225"/>
      <c r="F36" s="225"/>
      <c r="G36" s="225"/>
      <c r="H36" s="225"/>
      <c r="I36" s="223"/>
    </row>
    <row r="37" spans="1:9" ht="18.75" customHeight="1" x14ac:dyDescent="0.15">
      <c r="A37" s="14"/>
      <c r="B37" s="224"/>
      <c r="C37" s="225"/>
      <c r="D37" s="225"/>
      <c r="E37" s="225"/>
      <c r="F37" s="225"/>
      <c r="G37" s="225"/>
      <c r="H37" s="225"/>
      <c r="I37" s="223"/>
    </row>
    <row r="38" spans="1:9" ht="18.75" customHeight="1" x14ac:dyDescent="0.15">
      <c r="A38" s="14"/>
      <c r="B38" s="224"/>
      <c r="C38" s="225"/>
      <c r="D38" s="225"/>
      <c r="E38" s="225"/>
      <c r="F38" s="225"/>
      <c r="G38" s="225"/>
      <c r="H38" s="225"/>
      <c r="I38" s="223"/>
    </row>
    <row r="39" spans="1:9" ht="18.75" customHeight="1" x14ac:dyDescent="0.15">
      <c r="A39" s="14"/>
      <c r="B39" s="224"/>
      <c r="C39" s="225"/>
      <c r="D39" s="225"/>
      <c r="E39" s="225"/>
      <c r="F39" s="225"/>
      <c r="G39" s="225"/>
      <c r="H39" s="225"/>
      <c r="I39" s="223"/>
    </row>
    <row r="40" spans="1:9" ht="18.75" customHeight="1" x14ac:dyDescent="0.15">
      <c r="A40" s="14"/>
      <c r="B40" s="224"/>
      <c r="C40" s="225"/>
      <c r="D40" s="225"/>
      <c r="E40" s="225"/>
      <c r="F40" s="225"/>
      <c r="G40" s="225"/>
      <c r="H40" s="225"/>
      <c r="I40" s="223"/>
    </row>
    <row r="41" spans="1:9" ht="18.75" customHeight="1" x14ac:dyDescent="0.15">
      <c r="A41" s="14"/>
      <c r="B41" s="224"/>
      <c r="C41" s="225"/>
      <c r="D41" s="225"/>
      <c r="E41" s="225"/>
      <c r="F41" s="225"/>
      <c r="G41" s="225"/>
      <c r="H41" s="225"/>
      <c r="I41" s="223"/>
    </row>
    <row r="42" spans="1:9" ht="18.75" customHeight="1" x14ac:dyDescent="0.15">
      <c r="A42" s="14"/>
      <c r="B42" s="224"/>
      <c r="C42" s="225"/>
      <c r="D42" s="225"/>
      <c r="E42" s="225"/>
      <c r="F42" s="225"/>
      <c r="G42" s="225"/>
      <c r="H42" s="225"/>
      <c r="I42" s="223"/>
    </row>
    <row r="43" spans="1:9" ht="18.75" customHeight="1" x14ac:dyDescent="0.15">
      <c r="A43" s="14"/>
      <c r="B43" s="224"/>
      <c r="C43" s="225"/>
      <c r="D43" s="225"/>
      <c r="E43" s="225"/>
      <c r="F43" s="225"/>
      <c r="G43" s="225"/>
      <c r="H43" s="225"/>
      <c r="I43" s="223"/>
    </row>
    <row r="44" spans="1:9" ht="18.75" customHeight="1" x14ac:dyDescent="0.15">
      <c r="A44" s="14"/>
      <c r="B44" s="224"/>
      <c r="C44" s="225"/>
      <c r="D44" s="225"/>
      <c r="E44" s="225"/>
      <c r="F44" s="225"/>
      <c r="G44" s="225"/>
      <c r="H44" s="225"/>
      <c r="I44" s="223"/>
    </row>
    <row r="45" spans="1:9" ht="18.75" customHeight="1" x14ac:dyDescent="0.15">
      <c r="A45" s="14"/>
      <c r="B45" s="224"/>
      <c r="C45" s="225"/>
      <c r="D45" s="225"/>
      <c r="E45" s="225"/>
      <c r="F45" s="225"/>
      <c r="G45" s="225"/>
      <c r="H45" s="225"/>
      <c r="I45" s="223"/>
    </row>
    <row r="46" spans="1:9" ht="18.75" customHeight="1" x14ac:dyDescent="0.15">
      <c r="A46" s="14"/>
      <c r="B46" s="226"/>
      <c r="C46" s="227"/>
      <c r="D46" s="227"/>
      <c r="E46" s="227"/>
      <c r="F46" s="227"/>
      <c r="G46" s="227"/>
      <c r="H46" s="227"/>
      <c r="I46" s="228"/>
    </row>
    <row r="47" spans="1:9" ht="7.5" customHeight="1" x14ac:dyDescent="0.15">
      <c r="A47" s="4"/>
      <c r="B47" s="4"/>
      <c r="C47" s="4"/>
      <c r="D47" s="4"/>
      <c r="E47" s="4"/>
      <c r="F47" s="4"/>
      <c r="G47" s="4"/>
      <c r="H47" s="4"/>
      <c r="I47" s="4"/>
    </row>
    <row r="48" spans="1:9" ht="18.75" customHeight="1" x14ac:dyDescent="0.15">
      <c r="A48" s="1" t="s">
        <v>131</v>
      </c>
      <c r="B48" s="1" t="s">
        <v>132</v>
      </c>
    </row>
    <row r="49" spans="1:15" s="3" customFormat="1" ht="18.75" customHeight="1" x14ac:dyDescent="0.15">
      <c r="B49" s="28" t="s">
        <v>133</v>
      </c>
      <c r="C49" s="203">
        <f>'様式２ 履修者等数の実績'!S33</f>
        <v>0.13539823008849558</v>
      </c>
      <c r="D49" s="203"/>
      <c r="E49" s="79" t="s">
        <v>134</v>
      </c>
      <c r="F49" s="203">
        <v>0.3</v>
      </c>
      <c r="G49" s="203"/>
      <c r="H49" s="79" t="s">
        <v>135</v>
      </c>
      <c r="I49" s="80">
        <v>0.6</v>
      </c>
      <c r="J49" s="1"/>
      <c r="M49" s="1"/>
      <c r="N49" s="29"/>
    </row>
    <row r="50" spans="1:15" s="3" customFormat="1" ht="18.75" customHeight="1" x14ac:dyDescent="0.15">
      <c r="B50" s="30" t="s">
        <v>136</v>
      </c>
      <c r="C50" s="186">
        <v>0.8</v>
      </c>
      <c r="D50" s="186"/>
      <c r="E50" s="81" t="s">
        <v>137</v>
      </c>
      <c r="F50" s="186">
        <v>1</v>
      </c>
      <c r="G50" s="186"/>
      <c r="H50" s="81" t="s">
        <v>138</v>
      </c>
      <c r="I50" s="82">
        <f>'様式２ 履修者等数の実績'!E33</f>
        <v>1130</v>
      </c>
      <c r="J50" s="1"/>
      <c r="M50" s="1"/>
      <c r="N50" s="29"/>
    </row>
    <row r="51" spans="1:15" ht="18.75" customHeight="1" x14ac:dyDescent="0.15">
      <c r="A51" s="1"/>
      <c r="B51" s="236" t="s">
        <v>139</v>
      </c>
      <c r="C51" s="237"/>
      <c r="D51" s="237"/>
      <c r="E51" s="237"/>
      <c r="F51" s="237"/>
      <c r="G51" s="237"/>
      <c r="H51" s="237"/>
      <c r="I51" s="238"/>
      <c r="N51" s="29"/>
      <c r="O51" s="3"/>
    </row>
    <row r="52" spans="1:15" ht="18.75" customHeight="1" x14ac:dyDescent="0.15">
      <c r="A52" s="1"/>
      <c r="B52" s="204" t="s">
        <v>140</v>
      </c>
      <c r="C52" s="205"/>
      <c r="D52" s="205"/>
      <c r="E52" s="205"/>
      <c r="F52" s="205"/>
      <c r="G52" s="205"/>
      <c r="H52" s="205"/>
      <c r="I52" s="206"/>
      <c r="N52" s="29"/>
      <c r="O52" s="3"/>
    </row>
    <row r="53" spans="1:15" ht="18.75" customHeight="1" x14ac:dyDescent="0.15">
      <c r="A53" s="1"/>
      <c r="B53" s="207"/>
      <c r="C53" s="208"/>
      <c r="D53" s="208"/>
      <c r="E53" s="208"/>
      <c r="F53" s="208"/>
      <c r="G53" s="208"/>
      <c r="H53" s="208"/>
      <c r="I53" s="209"/>
      <c r="N53" s="29"/>
      <c r="O53" s="3"/>
    </row>
    <row r="54" spans="1:15" ht="18.75" customHeight="1" x14ac:dyDescent="0.15">
      <c r="A54" s="1"/>
      <c r="B54" s="207"/>
      <c r="C54" s="208"/>
      <c r="D54" s="208"/>
      <c r="E54" s="208"/>
      <c r="F54" s="208"/>
      <c r="G54" s="208"/>
      <c r="H54" s="208"/>
      <c r="I54" s="209"/>
    </row>
    <row r="55" spans="1:15" ht="18.75" customHeight="1" x14ac:dyDescent="0.15">
      <c r="A55" s="1"/>
      <c r="B55" s="207"/>
      <c r="C55" s="208"/>
      <c r="D55" s="208"/>
      <c r="E55" s="208"/>
      <c r="F55" s="208"/>
      <c r="G55" s="208"/>
      <c r="H55" s="208"/>
      <c r="I55" s="209"/>
    </row>
    <row r="56" spans="1:15" ht="18.75" customHeight="1" x14ac:dyDescent="0.15">
      <c r="A56" s="1"/>
      <c r="B56" s="207"/>
      <c r="C56" s="208"/>
      <c r="D56" s="208"/>
      <c r="E56" s="208"/>
      <c r="F56" s="208"/>
      <c r="G56" s="208"/>
      <c r="H56" s="208"/>
      <c r="I56" s="209"/>
    </row>
    <row r="57" spans="1:15" ht="18.75" customHeight="1" x14ac:dyDescent="0.15">
      <c r="A57" s="1"/>
      <c r="B57" s="207"/>
      <c r="C57" s="208"/>
      <c r="D57" s="208"/>
      <c r="E57" s="208"/>
      <c r="F57" s="208"/>
      <c r="G57" s="208"/>
      <c r="H57" s="208"/>
      <c r="I57" s="209"/>
    </row>
    <row r="58" spans="1:15" ht="18.75" customHeight="1" x14ac:dyDescent="0.15">
      <c r="A58" s="1"/>
      <c r="B58" s="207"/>
      <c r="C58" s="208"/>
      <c r="D58" s="208"/>
      <c r="E58" s="208"/>
      <c r="F58" s="208"/>
      <c r="G58" s="208"/>
      <c r="H58" s="208"/>
      <c r="I58" s="209"/>
    </row>
    <row r="59" spans="1:15" ht="18.75" customHeight="1" x14ac:dyDescent="0.15">
      <c r="A59" s="1"/>
      <c r="B59" s="207"/>
      <c r="C59" s="208"/>
      <c r="D59" s="208"/>
      <c r="E59" s="208"/>
      <c r="F59" s="208"/>
      <c r="G59" s="208"/>
      <c r="H59" s="208"/>
      <c r="I59" s="209"/>
    </row>
    <row r="60" spans="1:15" ht="18.75" customHeight="1" x14ac:dyDescent="0.15">
      <c r="A60" s="1"/>
      <c r="B60" s="207"/>
      <c r="C60" s="208"/>
      <c r="D60" s="208"/>
      <c r="E60" s="208"/>
      <c r="F60" s="208"/>
      <c r="G60" s="208"/>
      <c r="H60" s="208"/>
      <c r="I60" s="209"/>
    </row>
    <row r="61" spans="1:15" ht="18.75" customHeight="1" x14ac:dyDescent="0.15">
      <c r="A61" s="1"/>
      <c r="B61" s="207"/>
      <c r="C61" s="208"/>
      <c r="D61" s="208"/>
      <c r="E61" s="208"/>
      <c r="F61" s="208"/>
      <c r="G61" s="208"/>
      <c r="H61" s="208"/>
      <c r="I61" s="209"/>
    </row>
    <row r="62" spans="1:15" ht="18.75" customHeight="1" x14ac:dyDescent="0.15">
      <c r="A62" s="1"/>
      <c r="B62" s="207"/>
      <c r="C62" s="208"/>
      <c r="D62" s="208"/>
      <c r="E62" s="208"/>
      <c r="F62" s="208"/>
      <c r="G62" s="208"/>
      <c r="H62" s="208"/>
      <c r="I62" s="209"/>
    </row>
    <row r="63" spans="1:15" ht="18.75" customHeight="1" x14ac:dyDescent="0.15">
      <c r="A63" s="1"/>
      <c r="B63" s="210"/>
      <c r="C63" s="211"/>
      <c r="D63" s="211"/>
      <c r="E63" s="211"/>
      <c r="F63" s="211"/>
      <c r="G63" s="211"/>
      <c r="H63" s="211"/>
      <c r="I63" s="212"/>
    </row>
    <row r="64" spans="1:15" ht="7.5" customHeight="1" x14ac:dyDescent="0.15">
      <c r="A64" s="14"/>
      <c r="B64" s="14"/>
      <c r="C64" s="14"/>
      <c r="D64" s="14"/>
      <c r="E64" s="14"/>
      <c r="F64" s="14"/>
      <c r="G64" s="14"/>
      <c r="H64" s="14"/>
      <c r="I64" s="14"/>
    </row>
    <row r="65" spans="1:9" ht="18.75" customHeight="1" x14ac:dyDescent="0.15">
      <c r="A65" s="15" t="s">
        <v>141</v>
      </c>
      <c r="B65" s="1" t="s">
        <v>142</v>
      </c>
      <c r="I65" s="15"/>
    </row>
    <row r="66" spans="1:9" ht="18.75" customHeight="1" x14ac:dyDescent="0.15">
      <c r="A66" s="4"/>
      <c r="B66" s="187" t="s">
        <v>143</v>
      </c>
      <c r="C66" s="188"/>
      <c r="D66" s="188"/>
      <c r="E66" s="188"/>
      <c r="F66" s="188"/>
      <c r="G66" s="188"/>
      <c r="H66" s="188"/>
      <c r="I66" s="189"/>
    </row>
    <row r="67" spans="1:9" ht="18.75" customHeight="1" x14ac:dyDescent="0.15">
      <c r="A67" s="4"/>
      <c r="B67" s="190"/>
      <c r="C67" s="191"/>
      <c r="D67" s="191"/>
      <c r="E67" s="191"/>
      <c r="F67" s="191"/>
      <c r="G67" s="191"/>
      <c r="H67" s="191"/>
      <c r="I67" s="192"/>
    </row>
    <row r="68" spans="1:9" ht="18.75" customHeight="1" x14ac:dyDescent="0.15">
      <c r="A68" s="4"/>
      <c r="B68" s="190"/>
      <c r="C68" s="191"/>
      <c r="D68" s="191"/>
      <c r="E68" s="191"/>
      <c r="F68" s="191"/>
      <c r="G68" s="191"/>
      <c r="H68" s="191"/>
      <c r="I68" s="192"/>
    </row>
    <row r="69" spans="1:9" ht="18.75" customHeight="1" x14ac:dyDescent="0.15">
      <c r="A69" s="4"/>
      <c r="B69" s="190"/>
      <c r="C69" s="191"/>
      <c r="D69" s="191"/>
      <c r="E69" s="191"/>
      <c r="F69" s="191"/>
      <c r="G69" s="191"/>
      <c r="H69" s="191"/>
      <c r="I69" s="192"/>
    </row>
    <row r="70" spans="1:9" ht="18.75" customHeight="1" x14ac:dyDescent="0.15">
      <c r="A70" s="4"/>
      <c r="B70" s="190"/>
      <c r="C70" s="191"/>
      <c r="D70" s="191"/>
      <c r="E70" s="191"/>
      <c r="F70" s="191"/>
      <c r="G70" s="191"/>
      <c r="H70" s="191"/>
      <c r="I70" s="192"/>
    </row>
    <row r="71" spans="1:9" ht="18.75" customHeight="1" x14ac:dyDescent="0.15">
      <c r="A71" s="4"/>
      <c r="B71" s="190"/>
      <c r="C71" s="191"/>
      <c r="D71" s="191"/>
      <c r="E71" s="191"/>
      <c r="F71" s="191"/>
      <c r="G71" s="191"/>
      <c r="H71" s="191"/>
      <c r="I71" s="192"/>
    </row>
    <row r="72" spans="1:9" ht="18.75" customHeight="1" x14ac:dyDescent="0.15">
      <c r="A72" s="4"/>
      <c r="B72" s="190"/>
      <c r="C72" s="191"/>
      <c r="D72" s="191"/>
      <c r="E72" s="191"/>
      <c r="F72" s="191"/>
      <c r="G72" s="191"/>
      <c r="H72" s="191"/>
      <c r="I72" s="192"/>
    </row>
    <row r="73" spans="1:9" ht="18.75" customHeight="1" x14ac:dyDescent="0.15">
      <c r="A73" s="4"/>
      <c r="B73" s="190"/>
      <c r="C73" s="191"/>
      <c r="D73" s="191"/>
      <c r="E73" s="191"/>
      <c r="F73" s="191"/>
      <c r="G73" s="191"/>
      <c r="H73" s="191"/>
      <c r="I73" s="192"/>
    </row>
    <row r="74" spans="1:9" ht="18.75" customHeight="1" x14ac:dyDescent="0.15">
      <c r="A74" s="4"/>
      <c r="B74" s="190"/>
      <c r="C74" s="191"/>
      <c r="D74" s="191"/>
      <c r="E74" s="191"/>
      <c r="F74" s="191"/>
      <c r="G74" s="191"/>
      <c r="H74" s="191"/>
      <c r="I74" s="192"/>
    </row>
    <row r="75" spans="1:9" ht="18.75" customHeight="1" x14ac:dyDescent="0.15">
      <c r="A75" s="4"/>
      <c r="B75" s="190"/>
      <c r="C75" s="191"/>
      <c r="D75" s="191"/>
      <c r="E75" s="191"/>
      <c r="F75" s="191"/>
      <c r="G75" s="191"/>
      <c r="H75" s="191"/>
      <c r="I75" s="192"/>
    </row>
    <row r="76" spans="1:9" ht="18.75" customHeight="1" x14ac:dyDescent="0.15">
      <c r="A76" s="4"/>
      <c r="B76" s="190"/>
      <c r="C76" s="191"/>
      <c r="D76" s="191"/>
      <c r="E76" s="191"/>
      <c r="F76" s="191"/>
      <c r="G76" s="191"/>
      <c r="H76" s="191"/>
      <c r="I76" s="192"/>
    </row>
    <row r="77" spans="1:9" ht="18.75" customHeight="1" x14ac:dyDescent="0.15">
      <c r="A77" s="4"/>
      <c r="B77" s="193"/>
      <c r="C77" s="194"/>
      <c r="D77" s="194"/>
      <c r="E77" s="194"/>
      <c r="F77" s="194"/>
      <c r="G77" s="194"/>
      <c r="H77" s="194"/>
      <c r="I77" s="195"/>
    </row>
    <row r="78" spans="1:9" ht="7.5" customHeight="1" x14ac:dyDescent="0.15">
      <c r="A78" s="4"/>
      <c r="B78" s="4"/>
      <c r="C78" s="4"/>
      <c r="D78" s="4"/>
      <c r="E78" s="4"/>
      <c r="F78" s="4"/>
      <c r="G78" s="4"/>
      <c r="H78" s="4"/>
      <c r="I78" s="4"/>
    </row>
    <row r="79" spans="1:9" ht="18.75" customHeight="1" x14ac:dyDescent="0.15">
      <c r="A79" s="1" t="s">
        <v>144</v>
      </c>
      <c r="B79" s="1" t="s">
        <v>145</v>
      </c>
    </row>
    <row r="80" spans="1:9" ht="18.75" customHeight="1" x14ac:dyDescent="0.15">
      <c r="A80" s="1"/>
      <c r="B80" s="187" t="s">
        <v>146</v>
      </c>
      <c r="C80" s="188"/>
      <c r="D80" s="188"/>
      <c r="E80" s="188"/>
      <c r="F80" s="188"/>
      <c r="G80" s="188"/>
      <c r="H80" s="188"/>
      <c r="I80" s="196"/>
    </row>
    <row r="81" spans="1:9" ht="18.75" customHeight="1" x14ac:dyDescent="0.15">
      <c r="A81" s="1"/>
      <c r="B81" s="197"/>
      <c r="C81" s="198"/>
      <c r="D81" s="198"/>
      <c r="E81" s="198"/>
      <c r="F81" s="198"/>
      <c r="G81" s="198"/>
      <c r="H81" s="198"/>
      <c r="I81" s="199"/>
    </row>
    <row r="82" spans="1:9" ht="18.75" customHeight="1" x14ac:dyDescent="0.15">
      <c r="A82" s="1"/>
      <c r="B82" s="197"/>
      <c r="C82" s="198"/>
      <c r="D82" s="198"/>
      <c r="E82" s="198"/>
      <c r="F82" s="198"/>
      <c r="G82" s="198"/>
      <c r="H82" s="198"/>
      <c r="I82" s="199"/>
    </row>
    <row r="83" spans="1:9" ht="18.75" customHeight="1" x14ac:dyDescent="0.15">
      <c r="A83" s="1"/>
      <c r="B83" s="197"/>
      <c r="C83" s="198"/>
      <c r="D83" s="198"/>
      <c r="E83" s="198"/>
      <c r="F83" s="198"/>
      <c r="G83" s="198"/>
      <c r="H83" s="198"/>
      <c r="I83" s="199"/>
    </row>
    <row r="84" spans="1:9" ht="18.75" customHeight="1" x14ac:dyDescent="0.15">
      <c r="A84" s="1"/>
      <c r="B84" s="197"/>
      <c r="C84" s="198"/>
      <c r="D84" s="198"/>
      <c r="E84" s="198"/>
      <c r="F84" s="198"/>
      <c r="G84" s="198"/>
      <c r="H84" s="198"/>
      <c r="I84" s="199"/>
    </row>
    <row r="85" spans="1:9" ht="18.75" customHeight="1" x14ac:dyDescent="0.15">
      <c r="A85" s="1"/>
      <c r="B85" s="197"/>
      <c r="C85" s="198"/>
      <c r="D85" s="198"/>
      <c r="E85" s="198"/>
      <c r="F85" s="198"/>
      <c r="G85" s="198"/>
      <c r="H85" s="198"/>
      <c r="I85" s="199"/>
    </row>
    <row r="86" spans="1:9" ht="18.75" customHeight="1" x14ac:dyDescent="0.15">
      <c r="A86" s="1"/>
      <c r="B86" s="197"/>
      <c r="C86" s="198"/>
      <c r="D86" s="198"/>
      <c r="E86" s="198"/>
      <c r="F86" s="198"/>
      <c r="G86" s="198"/>
      <c r="H86" s="198"/>
      <c r="I86" s="199"/>
    </row>
    <row r="87" spans="1:9" ht="18.75" customHeight="1" x14ac:dyDescent="0.15">
      <c r="A87" s="1"/>
      <c r="B87" s="197"/>
      <c r="C87" s="198"/>
      <c r="D87" s="198"/>
      <c r="E87" s="198"/>
      <c r="F87" s="198"/>
      <c r="G87" s="198"/>
      <c r="H87" s="198"/>
      <c r="I87" s="199"/>
    </row>
    <row r="88" spans="1:9" ht="18.75" customHeight="1" x14ac:dyDescent="0.15">
      <c r="A88" s="1"/>
      <c r="B88" s="197"/>
      <c r="C88" s="198"/>
      <c r="D88" s="198"/>
      <c r="E88" s="198"/>
      <c r="F88" s="198"/>
      <c r="G88" s="198"/>
      <c r="H88" s="198"/>
      <c r="I88" s="199"/>
    </row>
    <row r="89" spans="1:9" ht="18.75" customHeight="1" x14ac:dyDescent="0.15">
      <c r="A89" s="1"/>
      <c r="B89" s="197"/>
      <c r="C89" s="198"/>
      <c r="D89" s="198"/>
      <c r="E89" s="198"/>
      <c r="F89" s="198"/>
      <c r="G89" s="198"/>
      <c r="H89" s="198"/>
      <c r="I89" s="199"/>
    </row>
    <row r="90" spans="1:9" ht="18.75" customHeight="1" x14ac:dyDescent="0.15">
      <c r="A90" s="4"/>
      <c r="B90" s="197"/>
      <c r="C90" s="198"/>
      <c r="D90" s="198"/>
      <c r="E90" s="198"/>
      <c r="F90" s="198"/>
      <c r="G90" s="198"/>
      <c r="H90" s="198"/>
      <c r="I90" s="199"/>
    </row>
    <row r="91" spans="1:9" ht="18.75" customHeight="1" x14ac:dyDescent="0.15">
      <c r="A91" s="4"/>
      <c r="B91" s="200"/>
      <c r="C91" s="201"/>
      <c r="D91" s="201"/>
      <c r="E91" s="201"/>
      <c r="F91" s="201"/>
      <c r="G91" s="201"/>
      <c r="H91" s="201"/>
      <c r="I91" s="202"/>
    </row>
    <row r="92" spans="1:9" ht="7.5" customHeight="1" x14ac:dyDescent="0.15">
      <c r="A92" s="4"/>
      <c r="B92" s="4"/>
      <c r="C92" s="4"/>
      <c r="D92" s="4"/>
      <c r="E92" s="4"/>
      <c r="F92" s="4"/>
      <c r="G92" s="4"/>
      <c r="H92" s="4"/>
      <c r="I92" s="4"/>
    </row>
    <row r="93" spans="1:9" ht="18.75" customHeight="1" x14ac:dyDescent="0.15">
      <c r="A93" s="1" t="s">
        <v>147</v>
      </c>
      <c r="B93" s="1" t="s">
        <v>148</v>
      </c>
    </row>
    <row r="94" spans="1:9" ht="18.75" customHeight="1" x14ac:dyDescent="0.15">
      <c r="A94" s="1"/>
      <c r="B94" s="218" t="s">
        <v>149</v>
      </c>
      <c r="C94" s="219"/>
      <c r="D94" s="219"/>
      <c r="E94" s="219"/>
      <c r="F94" s="219"/>
      <c r="G94" s="219"/>
      <c r="H94" s="219"/>
      <c r="I94" s="220"/>
    </row>
    <row r="95" spans="1:9" ht="18.75" customHeight="1" x14ac:dyDescent="0.15">
      <c r="A95" s="1"/>
      <c r="B95" s="224"/>
      <c r="C95" s="225"/>
      <c r="D95" s="225"/>
      <c r="E95" s="225"/>
      <c r="F95" s="225"/>
      <c r="G95" s="225"/>
      <c r="H95" s="225"/>
      <c r="I95" s="223"/>
    </row>
    <row r="96" spans="1:9" ht="18.75" customHeight="1" x14ac:dyDescent="0.15">
      <c r="A96" s="1"/>
      <c r="B96" s="224"/>
      <c r="C96" s="225"/>
      <c r="D96" s="225"/>
      <c r="E96" s="225"/>
      <c r="F96" s="225"/>
      <c r="G96" s="225"/>
      <c r="H96" s="225"/>
      <c r="I96" s="223"/>
    </row>
    <row r="97" spans="1:9" ht="18.75" customHeight="1" x14ac:dyDescent="0.15">
      <c r="A97" s="1"/>
      <c r="B97" s="224"/>
      <c r="C97" s="225"/>
      <c r="D97" s="225"/>
      <c r="E97" s="225"/>
      <c r="F97" s="225"/>
      <c r="G97" s="225"/>
      <c r="H97" s="225"/>
      <c r="I97" s="223"/>
    </row>
    <row r="98" spans="1:9" ht="18.75" customHeight="1" x14ac:dyDescent="0.15">
      <c r="A98" s="1"/>
      <c r="B98" s="224"/>
      <c r="C98" s="225"/>
      <c r="D98" s="225"/>
      <c r="E98" s="225"/>
      <c r="F98" s="225"/>
      <c r="G98" s="225"/>
      <c r="H98" s="225"/>
      <c r="I98" s="223"/>
    </row>
    <row r="99" spans="1:9" ht="18.75" customHeight="1" x14ac:dyDescent="0.15">
      <c r="A99" s="1"/>
      <c r="B99" s="224"/>
      <c r="C99" s="225"/>
      <c r="D99" s="225"/>
      <c r="E99" s="225"/>
      <c r="F99" s="225"/>
      <c r="G99" s="225"/>
      <c r="H99" s="225"/>
      <c r="I99" s="223"/>
    </row>
    <row r="100" spans="1:9" ht="18.75" customHeight="1" x14ac:dyDescent="0.15">
      <c r="A100" s="1"/>
      <c r="B100" s="224"/>
      <c r="C100" s="225"/>
      <c r="D100" s="225"/>
      <c r="E100" s="225"/>
      <c r="F100" s="225"/>
      <c r="G100" s="225"/>
      <c r="H100" s="225"/>
      <c r="I100" s="223"/>
    </row>
    <row r="101" spans="1:9" ht="18.75" customHeight="1" x14ac:dyDescent="0.15">
      <c r="A101" s="1"/>
      <c r="B101" s="224"/>
      <c r="C101" s="225"/>
      <c r="D101" s="225"/>
      <c r="E101" s="225"/>
      <c r="F101" s="225"/>
      <c r="G101" s="225"/>
      <c r="H101" s="225"/>
      <c r="I101" s="223"/>
    </row>
    <row r="102" spans="1:9" ht="18.75" customHeight="1" x14ac:dyDescent="0.15">
      <c r="A102" s="1"/>
      <c r="B102" s="224"/>
      <c r="C102" s="225"/>
      <c r="D102" s="225"/>
      <c r="E102" s="225"/>
      <c r="F102" s="225"/>
      <c r="G102" s="225"/>
      <c r="H102" s="225"/>
      <c r="I102" s="223"/>
    </row>
    <row r="103" spans="1:9" ht="18.75" customHeight="1" x14ac:dyDescent="0.15">
      <c r="A103" s="1"/>
      <c r="B103" s="224"/>
      <c r="C103" s="225"/>
      <c r="D103" s="225"/>
      <c r="E103" s="225"/>
      <c r="F103" s="225"/>
      <c r="G103" s="225"/>
      <c r="H103" s="225"/>
      <c r="I103" s="223"/>
    </row>
    <row r="104" spans="1:9" ht="18.75" customHeight="1" x14ac:dyDescent="0.15">
      <c r="A104" s="1"/>
      <c r="B104" s="224"/>
      <c r="C104" s="225"/>
      <c r="D104" s="225"/>
      <c r="E104" s="225"/>
      <c r="F104" s="225"/>
      <c r="G104" s="225"/>
      <c r="H104" s="225"/>
      <c r="I104" s="223"/>
    </row>
    <row r="105" spans="1:9" ht="18.75" customHeight="1" x14ac:dyDescent="0.15">
      <c r="A105" s="4"/>
      <c r="B105" s="226"/>
      <c r="C105" s="227"/>
      <c r="D105" s="227"/>
      <c r="E105" s="227"/>
      <c r="F105" s="227"/>
      <c r="G105" s="227"/>
      <c r="H105" s="227"/>
      <c r="I105" s="228"/>
    </row>
    <row r="106" spans="1:9" ht="7.5" customHeight="1" x14ac:dyDescent="0.15">
      <c r="A106" s="4"/>
      <c r="B106" s="4"/>
      <c r="C106" s="4"/>
      <c r="D106" s="4"/>
      <c r="E106" s="4"/>
      <c r="F106" s="4"/>
      <c r="G106" s="4"/>
      <c r="H106" s="4"/>
      <c r="I106" s="4"/>
    </row>
    <row r="107" spans="1:9" ht="18.75" customHeight="1" x14ac:dyDescent="0.15">
      <c r="A107" s="1" t="s">
        <v>150</v>
      </c>
      <c r="B107" s="235" t="s">
        <v>151</v>
      </c>
      <c r="C107" s="235"/>
      <c r="D107" s="235"/>
      <c r="E107" s="235"/>
      <c r="F107" s="235"/>
      <c r="G107" s="235"/>
      <c r="H107" s="235"/>
      <c r="I107" s="235"/>
    </row>
    <row r="108" spans="1:9" ht="18.75" customHeight="1" x14ac:dyDescent="0.15">
      <c r="A108" s="4"/>
      <c r="B108" s="218" t="s">
        <v>152</v>
      </c>
      <c r="C108" s="219"/>
      <c r="D108" s="219"/>
      <c r="E108" s="219"/>
      <c r="F108" s="219"/>
      <c r="G108" s="219"/>
      <c r="H108" s="219"/>
      <c r="I108" s="220"/>
    </row>
    <row r="109" spans="1:9" ht="18.75" customHeight="1" x14ac:dyDescent="0.15">
      <c r="A109" s="4"/>
      <c r="B109" s="224"/>
      <c r="C109" s="225"/>
      <c r="D109" s="225"/>
      <c r="E109" s="225"/>
      <c r="F109" s="225"/>
      <c r="G109" s="225"/>
      <c r="H109" s="225"/>
      <c r="I109" s="223"/>
    </row>
    <row r="110" spans="1:9" ht="18.75" customHeight="1" x14ac:dyDescent="0.15">
      <c r="A110" s="4"/>
      <c r="B110" s="224"/>
      <c r="C110" s="225"/>
      <c r="D110" s="225"/>
      <c r="E110" s="225"/>
      <c r="F110" s="225"/>
      <c r="G110" s="225"/>
      <c r="H110" s="225"/>
      <c r="I110" s="223"/>
    </row>
    <row r="111" spans="1:9" ht="18.75" customHeight="1" x14ac:dyDescent="0.15">
      <c r="A111" s="4"/>
      <c r="B111" s="224"/>
      <c r="C111" s="225"/>
      <c r="D111" s="225"/>
      <c r="E111" s="225"/>
      <c r="F111" s="225"/>
      <c r="G111" s="225"/>
      <c r="H111" s="225"/>
      <c r="I111" s="223"/>
    </row>
    <row r="112" spans="1:9" ht="18.75" customHeight="1" x14ac:dyDescent="0.15">
      <c r="A112" s="4"/>
      <c r="B112" s="224"/>
      <c r="C112" s="225"/>
      <c r="D112" s="225"/>
      <c r="E112" s="225"/>
      <c r="F112" s="225"/>
      <c r="G112" s="225"/>
      <c r="H112" s="225"/>
      <c r="I112" s="223"/>
    </row>
    <row r="113" spans="1:9" ht="18.75" customHeight="1" x14ac:dyDescent="0.15">
      <c r="A113" s="4"/>
      <c r="B113" s="224"/>
      <c r="C113" s="225"/>
      <c r="D113" s="225"/>
      <c r="E113" s="225"/>
      <c r="F113" s="225"/>
      <c r="G113" s="225"/>
      <c r="H113" s="225"/>
      <c r="I113" s="223"/>
    </row>
    <row r="114" spans="1:9" ht="18.75" customHeight="1" x14ac:dyDescent="0.15">
      <c r="A114" s="4"/>
      <c r="B114" s="224"/>
      <c r="C114" s="225"/>
      <c r="D114" s="225"/>
      <c r="E114" s="225"/>
      <c r="F114" s="225"/>
      <c r="G114" s="225"/>
      <c r="H114" s="225"/>
      <c r="I114" s="223"/>
    </row>
    <row r="115" spans="1:9" ht="18.75" customHeight="1" x14ac:dyDescent="0.15">
      <c r="A115" s="4"/>
      <c r="B115" s="224"/>
      <c r="C115" s="225"/>
      <c r="D115" s="225"/>
      <c r="E115" s="225"/>
      <c r="F115" s="225"/>
      <c r="G115" s="225"/>
      <c r="H115" s="225"/>
      <c r="I115" s="223"/>
    </row>
    <row r="116" spans="1:9" ht="18.75" customHeight="1" x14ac:dyDescent="0.15">
      <c r="A116" s="4"/>
      <c r="B116" s="224"/>
      <c r="C116" s="225"/>
      <c r="D116" s="225"/>
      <c r="E116" s="225"/>
      <c r="F116" s="225"/>
      <c r="G116" s="225"/>
      <c r="H116" s="225"/>
      <c r="I116" s="223"/>
    </row>
    <row r="117" spans="1:9" ht="18.75" customHeight="1" x14ac:dyDescent="0.15">
      <c r="A117" s="4"/>
      <c r="B117" s="224"/>
      <c r="C117" s="225"/>
      <c r="D117" s="225"/>
      <c r="E117" s="225"/>
      <c r="F117" s="225"/>
      <c r="G117" s="225"/>
      <c r="H117" s="225"/>
      <c r="I117" s="223"/>
    </row>
    <row r="118" spans="1:9" ht="18.75" customHeight="1" x14ac:dyDescent="0.15">
      <c r="A118" s="4"/>
      <c r="B118" s="224"/>
      <c r="C118" s="225"/>
      <c r="D118" s="225"/>
      <c r="E118" s="225"/>
      <c r="F118" s="225"/>
      <c r="G118" s="225"/>
      <c r="H118" s="225"/>
      <c r="I118" s="223"/>
    </row>
    <row r="119" spans="1:9" ht="18.75" customHeight="1" x14ac:dyDescent="0.15">
      <c r="A119" s="4"/>
      <c r="B119" s="226"/>
      <c r="C119" s="227"/>
      <c r="D119" s="227"/>
      <c r="E119" s="227"/>
      <c r="F119" s="227"/>
      <c r="G119" s="227"/>
      <c r="H119" s="227"/>
      <c r="I119" s="228"/>
    </row>
    <row r="120" spans="1:9" ht="7.5" customHeight="1" x14ac:dyDescent="0.15">
      <c r="A120" s="4"/>
      <c r="B120" s="31"/>
      <c r="C120" s="31"/>
      <c r="D120" s="31"/>
      <c r="E120" s="31"/>
      <c r="F120" s="31"/>
      <c r="G120" s="31"/>
      <c r="H120" s="31"/>
      <c r="I120" s="31"/>
    </row>
    <row r="121" spans="1:9" ht="18.75" customHeight="1" x14ac:dyDescent="0.15">
      <c r="A121" s="61"/>
      <c r="B121" s="213"/>
      <c r="C121" s="213"/>
      <c r="D121" s="213"/>
      <c r="E121" s="213"/>
      <c r="F121" s="213"/>
      <c r="G121" s="213"/>
      <c r="H121" s="213"/>
      <c r="I121" s="213"/>
    </row>
    <row r="122" spans="1:9" ht="18.75" customHeight="1" x14ac:dyDescent="0.15">
      <c r="A122" s="61"/>
      <c r="B122" s="213"/>
      <c r="C122" s="213"/>
      <c r="D122" s="213"/>
      <c r="E122" s="213"/>
      <c r="F122" s="213"/>
      <c r="G122" s="213"/>
      <c r="H122" s="213"/>
      <c r="I122" s="213"/>
    </row>
    <row r="123" spans="1:9" ht="18.75" customHeight="1" x14ac:dyDescent="0.15">
      <c r="A123" s="4"/>
      <c r="B123" s="65"/>
      <c r="C123" s="65"/>
      <c r="D123" s="65"/>
      <c r="E123" s="65"/>
      <c r="F123" s="65"/>
      <c r="G123" s="65"/>
      <c r="H123" s="65"/>
      <c r="I123" s="66"/>
    </row>
    <row r="124" spans="1:9" ht="18.75" customHeight="1" x14ac:dyDescent="0.15">
      <c r="A124" s="4"/>
      <c r="B124" s="66"/>
      <c r="C124" s="66"/>
      <c r="D124" s="66"/>
      <c r="E124" s="66"/>
      <c r="F124" s="66"/>
      <c r="G124" s="66"/>
      <c r="H124" s="66"/>
      <c r="I124" s="66"/>
    </row>
    <row r="125" spans="1:9" ht="18.75" customHeight="1" x14ac:dyDescent="0.15">
      <c r="A125" s="4"/>
      <c r="B125" s="66"/>
      <c r="C125" s="66"/>
      <c r="D125" s="66"/>
      <c r="E125" s="66"/>
      <c r="F125" s="66"/>
      <c r="G125" s="66"/>
      <c r="H125" s="66"/>
      <c r="I125" s="66"/>
    </row>
    <row r="126" spans="1:9" ht="18.75" customHeight="1" x14ac:dyDescent="0.15">
      <c r="A126" s="4"/>
      <c r="B126" s="66"/>
      <c r="C126" s="66"/>
      <c r="D126" s="66"/>
      <c r="E126" s="66"/>
      <c r="F126" s="66"/>
      <c r="G126" s="66"/>
      <c r="H126" s="66"/>
      <c r="I126" s="66"/>
    </row>
    <row r="127" spans="1:9" ht="18.75" customHeight="1" x14ac:dyDescent="0.15">
      <c r="A127" s="4"/>
      <c r="B127" s="66"/>
      <c r="C127" s="66"/>
      <c r="D127" s="66"/>
      <c r="E127" s="66"/>
      <c r="F127" s="66"/>
      <c r="G127" s="66"/>
      <c r="H127" s="66"/>
      <c r="I127" s="66"/>
    </row>
    <row r="128" spans="1:9" ht="18.75" customHeight="1" x14ac:dyDescent="0.15">
      <c r="A128" s="4"/>
      <c r="B128" s="66"/>
      <c r="C128" s="66"/>
      <c r="D128" s="66"/>
      <c r="E128" s="66"/>
      <c r="F128" s="66"/>
      <c r="G128" s="66"/>
      <c r="H128" s="66"/>
      <c r="I128" s="66"/>
    </row>
    <row r="129" spans="1:9" ht="18.75" customHeight="1" x14ac:dyDescent="0.15">
      <c r="A129" s="4"/>
      <c r="B129" s="66"/>
      <c r="C129" s="66"/>
      <c r="D129" s="66"/>
      <c r="E129" s="66"/>
      <c r="F129" s="66"/>
      <c r="G129" s="66"/>
      <c r="H129" s="66"/>
      <c r="I129" s="66"/>
    </row>
    <row r="130" spans="1:9" ht="18.75" customHeight="1" x14ac:dyDescent="0.15">
      <c r="A130" s="4"/>
      <c r="B130" s="66"/>
      <c r="C130" s="66"/>
      <c r="D130" s="66"/>
      <c r="E130" s="66"/>
      <c r="F130" s="66"/>
      <c r="G130" s="66"/>
      <c r="H130" s="66"/>
      <c r="I130" s="66"/>
    </row>
    <row r="131" spans="1:9" ht="18.75" customHeight="1" x14ac:dyDescent="0.15">
      <c r="A131" s="4"/>
      <c r="B131" s="66"/>
      <c r="C131" s="66"/>
      <c r="D131" s="66"/>
      <c r="E131" s="66"/>
      <c r="F131" s="66"/>
      <c r="G131" s="66"/>
      <c r="H131" s="66"/>
      <c r="I131" s="66"/>
    </row>
    <row r="132" spans="1:9" ht="18.75" customHeight="1" x14ac:dyDescent="0.15">
      <c r="A132" s="4"/>
      <c r="B132" s="66"/>
      <c r="C132" s="66"/>
      <c r="D132" s="66"/>
      <c r="E132" s="66"/>
      <c r="F132" s="66"/>
      <c r="G132" s="66"/>
      <c r="H132" s="66"/>
      <c r="I132" s="66"/>
    </row>
    <row r="133" spans="1:9" ht="14.25" x14ac:dyDescent="0.15">
      <c r="A133" s="4"/>
      <c r="B133" s="66"/>
      <c r="C133" s="66"/>
      <c r="D133" s="66"/>
      <c r="E133" s="66"/>
      <c r="F133" s="66"/>
      <c r="G133" s="66"/>
      <c r="H133" s="66"/>
      <c r="I133" s="66"/>
    </row>
    <row r="134" spans="1:9" ht="7.5" customHeight="1" x14ac:dyDescent="0.15">
      <c r="A134" s="4"/>
      <c r="B134" s="66"/>
      <c r="C134" s="66"/>
      <c r="D134" s="66"/>
      <c r="E134" s="66"/>
      <c r="F134" s="66"/>
      <c r="G134" s="66"/>
      <c r="H134" s="66"/>
      <c r="I134" s="66"/>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2" zoomScale="90" zoomScaleNormal="100" zoomScaleSheetLayoutView="90" workbookViewId="0">
      <selection activeCell="A3" sqref="A3:I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153</v>
      </c>
      <c r="I1" s="24" t="s">
        <v>154</v>
      </c>
    </row>
    <row r="2" spans="1:9" ht="18.75" customHeight="1" x14ac:dyDescent="0.15">
      <c r="H2" s="24" t="s">
        <v>2</v>
      </c>
      <c r="I2" s="23" t="str">
        <f>'様式１　プログラムを構成する授業科目'!C2</f>
        <v>健康科学大学</v>
      </c>
    </row>
    <row r="3" spans="1:9" ht="18.75" customHeight="1" x14ac:dyDescent="0.15">
      <c r="A3" s="214" t="s">
        <v>155</v>
      </c>
      <c r="B3" s="214"/>
      <c r="C3" s="214"/>
      <c r="D3" s="214"/>
      <c r="E3" s="214"/>
      <c r="F3" s="214"/>
      <c r="G3" s="214"/>
      <c r="H3" s="214"/>
      <c r="I3" s="214"/>
    </row>
    <row r="4" spans="1:9" ht="18.75" customHeight="1" x14ac:dyDescent="0.15">
      <c r="A4" s="5"/>
      <c r="B4" s="5"/>
      <c r="C4" s="5"/>
      <c r="D4" s="5"/>
      <c r="E4" s="5"/>
      <c r="F4" s="5"/>
      <c r="G4" s="5"/>
      <c r="H4" s="5"/>
      <c r="I4" s="5"/>
    </row>
    <row r="5" spans="1:9" ht="18.75" customHeight="1" x14ac:dyDescent="0.15">
      <c r="A5" s="1" t="s">
        <v>106</v>
      </c>
      <c r="B5" s="10" t="s">
        <v>156</v>
      </c>
      <c r="C5" s="5"/>
      <c r="D5" s="5"/>
      <c r="E5" s="5"/>
      <c r="F5" s="5"/>
      <c r="G5" s="5"/>
      <c r="H5" s="5"/>
      <c r="I5" s="5"/>
    </row>
    <row r="6" spans="1:9" ht="26.25" customHeight="1" x14ac:dyDescent="0.15">
      <c r="A6" s="5"/>
      <c r="B6" s="229" t="s">
        <v>125</v>
      </c>
      <c r="C6" s="261"/>
      <c r="D6" s="261"/>
      <c r="E6" s="261"/>
      <c r="F6" s="261"/>
      <c r="G6" s="261"/>
      <c r="H6" s="262"/>
      <c r="I6" s="3"/>
    </row>
    <row r="7" spans="1:9" ht="9" customHeight="1" x14ac:dyDescent="0.15">
      <c r="A7" s="5"/>
      <c r="B7" s="10"/>
      <c r="C7" s="10"/>
      <c r="D7" s="10"/>
      <c r="E7" s="10"/>
      <c r="F7" s="10"/>
      <c r="G7" s="10"/>
      <c r="H7" s="10"/>
      <c r="I7" s="3"/>
    </row>
    <row r="8" spans="1:9" ht="18.75" customHeight="1" x14ac:dyDescent="0.15">
      <c r="A8" s="5"/>
      <c r="B8" s="3"/>
      <c r="C8" s="3"/>
      <c r="D8" s="24" t="s">
        <v>114</v>
      </c>
      <c r="E8" s="25" t="s">
        <v>157</v>
      </c>
      <c r="F8" s="3"/>
      <c r="G8" s="24" t="s">
        <v>116</v>
      </c>
      <c r="H8" s="25" t="s">
        <v>117</v>
      </c>
      <c r="I8" s="3"/>
    </row>
    <row r="9" spans="1:9" ht="7.5" customHeight="1" x14ac:dyDescent="0.15">
      <c r="A9" s="5"/>
      <c r="B9" s="5"/>
      <c r="C9" s="5"/>
      <c r="D9" s="5"/>
      <c r="E9" s="5"/>
      <c r="F9" s="5"/>
      <c r="G9" s="5"/>
      <c r="H9" s="5"/>
      <c r="I9" s="5"/>
    </row>
    <row r="10" spans="1:9" ht="18.75" customHeight="1" x14ac:dyDescent="0.15">
      <c r="A10" s="1" t="s">
        <v>110</v>
      </c>
      <c r="B10" s="1" t="s">
        <v>158</v>
      </c>
      <c r="C10" s="4"/>
      <c r="D10" s="4"/>
      <c r="E10" s="4"/>
      <c r="F10" s="4"/>
      <c r="G10" s="4"/>
      <c r="H10" s="4"/>
      <c r="I10" s="4"/>
    </row>
    <row r="11" spans="1:9" ht="18.75" customHeight="1" x14ac:dyDescent="0.15">
      <c r="B11" s="124" t="s">
        <v>159</v>
      </c>
      <c r="C11" s="125"/>
      <c r="D11" s="129"/>
      <c r="E11" s="125" t="s">
        <v>160</v>
      </c>
      <c r="F11" s="125"/>
      <c r="G11" s="125"/>
      <c r="H11" s="125"/>
      <c r="I11" s="129"/>
    </row>
    <row r="12" spans="1:9" ht="26.25" customHeight="1" x14ac:dyDescent="0.15">
      <c r="B12" s="32" t="s">
        <v>161</v>
      </c>
      <c r="C12" s="39"/>
      <c r="D12" s="33"/>
      <c r="E12" s="40"/>
      <c r="F12" s="40"/>
      <c r="G12" s="40"/>
      <c r="H12" s="40"/>
      <c r="I12" s="33"/>
    </row>
    <row r="13" spans="1:9" ht="210.75" customHeight="1" x14ac:dyDescent="0.15">
      <c r="B13" s="34"/>
      <c r="C13" s="244" t="s">
        <v>162</v>
      </c>
      <c r="D13" s="245"/>
      <c r="E13" s="257" t="s">
        <v>163</v>
      </c>
      <c r="F13" s="246"/>
      <c r="G13" s="246"/>
      <c r="H13" s="246"/>
      <c r="I13" s="247"/>
    </row>
    <row r="14" spans="1:9" ht="210.75" customHeight="1" x14ac:dyDescent="0.15">
      <c r="B14" s="34"/>
      <c r="C14" s="259" t="s">
        <v>164</v>
      </c>
      <c r="D14" s="260"/>
      <c r="E14" s="257" t="s">
        <v>165</v>
      </c>
      <c r="F14" s="246"/>
      <c r="G14" s="246"/>
      <c r="H14" s="246"/>
      <c r="I14" s="247"/>
    </row>
    <row r="15" spans="1:9" ht="210.75" customHeight="1" x14ac:dyDescent="0.15">
      <c r="B15" s="34"/>
      <c r="C15" s="244" t="s">
        <v>166</v>
      </c>
      <c r="D15" s="245"/>
      <c r="E15" s="257" t="s">
        <v>167</v>
      </c>
      <c r="F15" s="246"/>
      <c r="G15" s="246"/>
      <c r="H15" s="246"/>
      <c r="I15" s="247"/>
    </row>
    <row r="16" spans="1:9" ht="210.75" customHeight="1" x14ac:dyDescent="0.15">
      <c r="B16" s="34"/>
      <c r="C16" s="244" t="s">
        <v>168</v>
      </c>
      <c r="D16" s="245"/>
      <c r="E16" s="257" t="s">
        <v>169</v>
      </c>
      <c r="F16" s="246"/>
      <c r="G16" s="246"/>
      <c r="H16" s="246"/>
      <c r="I16" s="247"/>
    </row>
    <row r="17" spans="2:9" ht="210.75" customHeight="1" x14ac:dyDescent="0.15">
      <c r="B17" s="35"/>
      <c r="C17" s="248" t="s">
        <v>170</v>
      </c>
      <c r="D17" s="249"/>
      <c r="E17" s="258" t="s">
        <v>171</v>
      </c>
      <c r="F17" s="250"/>
      <c r="G17" s="250"/>
      <c r="H17" s="250"/>
      <c r="I17" s="251"/>
    </row>
    <row r="18" spans="2:9" ht="24" customHeight="1" x14ac:dyDescent="0.15">
      <c r="B18" s="32" t="s">
        <v>172</v>
      </c>
      <c r="C18" s="36"/>
      <c r="D18" s="37"/>
      <c r="E18" s="38"/>
      <c r="F18" s="38"/>
      <c r="G18" s="38"/>
      <c r="H18" s="38"/>
      <c r="I18" s="41"/>
    </row>
    <row r="19" spans="2:9" ht="218.25" customHeight="1" x14ac:dyDescent="0.15">
      <c r="B19" s="34"/>
      <c r="C19" s="244" t="s">
        <v>173</v>
      </c>
      <c r="D19" s="245"/>
      <c r="E19" s="246" t="s">
        <v>174</v>
      </c>
      <c r="F19" s="246"/>
      <c r="G19" s="246"/>
      <c r="H19" s="246"/>
      <c r="I19" s="247"/>
    </row>
    <row r="20" spans="2:9" ht="218.25" customHeight="1" x14ac:dyDescent="0.15">
      <c r="B20" s="35"/>
      <c r="C20" s="248" t="s">
        <v>175</v>
      </c>
      <c r="D20" s="249"/>
      <c r="E20" s="250" t="s">
        <v>176</v>
      </c>
      <c r="F20" s="250"/>
      <c r="G20" s="250"/>
      <c r="H20" s="250"/>
      <c r="I20" s="251"/>
    </row>
    <row r="21" spans="2:9" ht="218.25" customHeight="1" x14ac:dyDescent="0.15">
      <c r="B21" s="252" t="s">
        <v>177</v>
      </c>
      <c r="C21" s="253"/>
      <c r="D21" s="254"/>
      <c r="E21" s="255" t="s">
        <v>178</v>
      </c>
      <c r="F21" s="255"/>
      <c r="G21" s="255"/>
      <c r="H21" s="255"/>
      <c r="I21" s="256"/>
    </row>
    <row r="22" spans="2:9" ht="218.25" customHeight="1" x14ac:dyDescent="0.15">
      <c r="B22" s="239" t="s">
        <v>179</v>
      </c>
      <c r="C22" s="240"/>
      <c r="D22" s="241"/>
      <c r="E22" s="242" t="s">
        <v>180</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斉藤 智剛</cp:lastModifiedBy>
  <cp:revision/>
  <cp:lastPrinted>2024-05-10T01:57:03Z</cp:lastPrinted>
  <dcterms:created xsi:type="dcterms:W3CDTF">2011-06-14T05:32:50Z</dcterms:created>
  <dcterms:modified xsi:type="dcterms:W3CDTF">2024-06-10T09:04:44Z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