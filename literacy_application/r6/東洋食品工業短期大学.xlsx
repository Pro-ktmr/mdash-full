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24226"/>
  <mc:AlternateContent xmlns:mc="http://schemas.openxmlformats.org/markup-compatibility/2006">
    <mc:Choice Requires="x15">
      <x15ac:absPath xmlns:x15ac="http://schemas.microsoft.com/office/spreadsheetml/2010/11/ac" url="C:\Users\tomoki_amejima\Box\tomoki_amejima@toshoku.ac.jp\MDASH\20240408 申請書類一式\（再）01_東洋食品工業短期大学_リテラシー\"/>
    </mc:Choice>
  </mc:AlternateContent>
  <xr:revisionPtr revIDLastSave="0" documentId="13_ncr:1_{84EEA8A4-BEB3-4CCB-828B-27C39056B93C}" xr6:coauthVersionLast="47" xr6:coauthVersionMax="47" xr10:uidLastSave="{00000000-0000-0000-0000-000000000000}"/>
  <bookViews>
    <workbookView xWindow="-120" yWindow="-120" windowWidth="29040" windowHeight="1572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3" i="40" l="1"/>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<sst xmlns="http://schemas.openxmlformats.org/spreadsheetml/2006/main" count="309" uniqueCount="189">
  <si>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</si>
  <si>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</si>
  <si>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</si>
  <si>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東洋食品工業短期大学</t>
    <phoneticPr fontId="1"/>
  </si>
  <si>
    <t>プログラム名</t>
    <rPh sb="5" eb="6">
      <t>メイ</t>
    </rPh>
    <phoneticPr fontId="1"/>
  </si>
  <si>
    <t>品質管理のためのデータサイエンス教育プログラム</t>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</si>
  <si>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</si>
  <si>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</si>
  <si>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</si>
  <si>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</si>
  <si>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</si>
  <si>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下記の科目単位を取得すること。
　1) 数学Ⅰ　　 2) データサイエンス・AI　　3) 数学Ⅱ　　4) 品質管理　</t>
    <rPh sb="45" eb="47">
      <t>スウガク</t>
    </rPh>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</si>
  <si>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</si>
  <si>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</si>
  <si>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</si>
  <si>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</si>
  <si>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</si>
  <si>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</si>
  <si>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</si>
  <si>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</si>
  <si>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</si>
  <si>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</si>
  <si>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</si>
  <si>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</si>
  <si>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</si>
  <si>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</si>
  <si>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データサイエンス・ＡＩ</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</si>
  <si>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</si>
  <si>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</si>
  <si>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</si>
  <si>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</si>
  <si>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品質管理</t>
    <rPh sb="0" eb="4">
      <t>ヒンシツカンリ</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</si>
  <si>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</si>
  <si>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</si>
  <si>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</si>
  <si>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</si>
  <si>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</si>
  <si>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</si>
  <si>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</si>
  <si>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</si>
  <si>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</si>
  <si>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</si>
  <si>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数学Ⅰ</t>
    <rPh sb="0" eb="2">
      <t>スウガク</t>
    </rPh>
    <phoneticPr fontId="1"/>
  </si>
  <si>
    <t>数学Ⅱ</t>
    <rPh sb="0" eb="2">
      <t>スウガク</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</si>
  <si>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</si>
  <si>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</si>
  <si>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数学Ⅰ</t>
    <phoneticPr fontId="1"/>
  </si>
  <si>
    <t>4-1統計および数理基礎</t>
  </si>
  <si>
    <t>品質管理</t>
    <phoneticPr fontId="1"/>
  </si>
  <si>
    <t>4‐3データ構造とプログラミング基礎</t>
  </si>
  <si>
    <t>4‐4時系列データ解析</t>
  </si>
  <si>
    <t>4‐6画像解析</t>
  </si>
  <si>
    <t>4‐7データハンドリング</t>
  </si>
  <si>
    <t>4‐8データ活用実践（教師あり学習）</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</si>
  <si>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</si>
  <si>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</si>
  <si>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</si>
  <si>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</si>
  <si>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 xml:space="preserve">・ビッグデータ、IoT、AI、生成AI、ロボット
・データ量の増加、計算機の処理性能向上、AIの非連続的進化
・第4次産業革命、Society 5.0、データ駆動型社会
・複数技術を組み合わせたAIサービス
・人間の知的活動とAIの関係性
・データを起点としたものの見方、人間の知的活動を起点としたものの見方
「データサイエンス・ＡＩ」（第２、３回）
</t>
    <rPh sb="15" eb="17">
      <t>セイセイ</t>
    </rPh>
    <rPh sb="29" eb="30">
      <t>リョウ</t>
    </rPh>
    <rPh sb="31" eb="33">
      <t>ゾウカ</t>
    </rPh>
    <rPh sb="34" eb="37">
      <t>ケイサンキ</t>
    </rPh>
    <rPh sb="38" eb="40">
      <t>ショリ</t>
    </rPh>
    <rPh sb="40" eb="41">
      <t>セイ</t>
    </rPh>
    <rPh sb="42" eb="44">
      <t>コウジョウ</t>
    </rPh>
    <rPh sb="48" eb="54">
      <t>ヒレンゾクテキシンカ</t>
    </rPh>
    <rPh sb="56" eb="57">
      <t>ダイ</t>
    </rPh>
    <rPh sb="58" eb="63">
      <t>ジサンギョウカクメイ</t>
    </rPh>
    <rPh sb="79" eb="82">
      <t>クドウガタ</t>
    </rPh>
    <rPh sb="82" eb="84">
      <t>シャカイ</t>
    </rPh>
    <rPh sb="86" eb="90">
      <t>フクスウギジュツ</t>
    </rPh>
    <rPh sb="91" eb="92">
      <t>ク</t>
    </rPh>
    <rPh sb="93" eb="94">
      <t>ア</t>
    </rPh>
    <rPh sb="105" eb="107">
      <t>ニンゲン</t>
    </rPh>
    <rPh sb="108" eb="112">
      <t>チテキカツドウ</t>
    </rPh>
    <rPh sb="116" eb="119">
      <t>カンケイセイ</t>
    </rPh>
    <rPh sb="125" eb="127">
      <t>キテン</t>
    </rPh>
    <rPh sb="133" eb="135">
      <t>ミカタ</t>
    </rPh>
    <rPh sb="136" eb="138">
      <t>ニンゲン</t>
    </rPh>
    <rPh sb="139" eb="143">
      <t>チテキカツドウ</t>
    </rPh>
    <rPh sb="144" eb="146">
      <t>キテン</t>
    </rPh>
    <rPh sb="152" eb="154">
      <t>ミカタ</t>
    </rPh>
    <phoneticPr fontId="1"/>
  </si>
  <si>
    <t>1-6</t>
    <phoneticPr fontId="1"/>
  </si>
  <si>
    <t>・AI最新技術の活用例（深層生成モデル、強化学習、生成AI）
・AIを活用したビジネスモデル
「データサイエンス・ＡＩ」（第２、３回）</t>
    <rPh sb="3" eb="7">
      <t>サイシンギジュツ</t>
    </rPh>
    <rPh sb="8" eb="10">
      <t>カツヨウ</t>
    </rPh>
    <rPh sb="10" eb="11">
      <t>レイ</t>
    </rPh>
    <rPh sb="12" eb="14">
      <t>シンソウ</t>
    </rPh>
    <rPh sb="14" eb="16">
      <t>セイセイ</t>
    </rPh>
    <rPh sb="20" eb="22">
      <t>キョウカ</t>
    </rPh>
    <rPh sb="22" eb="24">
      <t>ガクシュウ</t>
    </rPh>
    <rPh sb="25" eb="27">
      <t>セイセイ</t>
    </rPh>
    <rPh sb="35" eb="37">
      <t>カツヨウ</t>
    </rPh>
    <phoneticPr fontId="1"/>
  </si>
  <si>
    <t>（２）「社会で活用されているデータ」や「データの活用領域」は非常に広範囲であって、日常生活や社会の課題を解決する有用なツールになり得るもの</t>
    <phoneticPr fontId="1"/>
  </si>
  <si>
    <t>・調査データ、実験データ、機械のログデータ
・1次データ、2次データ、データのメタ化
・構造化データ、非構造化データ（画像、動画）
・ビッグデータとアノテーション
「データサイエンス・ＡＩ」（第２、３回）、「品質管理」（第５回）</t>
    <rPh sb="1" eb="3">
      <t>チョウサ</t>
    </rPh>
    <rPh sb="7" eb="9">
      <t>ジッケン</t>
    </rPh>
    <rPh sb="13" eb="15">
      <t>キカイ</t>
    </rPh>
    <rPh sb="24" eb="25">
      <t>ジ</t>
    </rPh>
    <rPh sb="30" eb="31">
      <t>ジ</t>
    </rPh>
    <rPh sb="41" eb="42">
      <t>カ</t>
    </rPh>
    <rPh sb="44" eb="47">
      <t>コウゾウカ</t>
    </rPh>
    <rPh sb="51" eb="55">
      <t>ヒコウゾウカ</t>
    </rPh>
    <rPh sb="59" eb="61">
      <t>ガゾウ</t>
    </rPh>
    <rPh sb="62" eb="64">
      <t>ドウガ</t>
    </rPh>
    <phoneticPr fontId="1"/>
  </si>
  <si>
    <t>・データ・AI活用領域の広がり（生産、消費）
・仮説検証、原因究明、計画策定、判断支援、新規生成
・コンテンツ生成、翻訳・要約における生成AIの応用
「データサイエンス・ＡＩ」（第２、３回）、「品質管理」（第５回）</t>
    <rPh sb="7" eb="11">
      <t>カツヨウリョウイキ</t>
    </rPh>
    <rPh sb="12" eb="13">
      <t>ヒロ</t>
    </rPh>
    <rPh sb="16" eb="18">
      <t>セイサン</t>
    </rPh>
    <rPh sb="19" eb="21">
      <t>ショウヒ</t>
    </rPh>
    <rPh sb="24" eb="26">
      <t>カセツ</t>
    </rPh>
    <rPh sb="26" eb="28">
      <t>ケンショウ</t>
    </rPh>
    <rPh sb="29" eb="33">
      <t>ゲンインキュウメイ</t>
    </rPh>
    <rPh sb="34" eb="38">
      <t>ケイカクサクテイ</t>
    </rPh>
    <rPh sb="39" eb="43">
      <t>ハンダンシエン</t>
    </rPh>
    <rPh sb="44" eb="48">
      <t>シンキセイセイ</t>
    </rPh>
    <rPh sb="55" eb="57">
      <t>セイセイ</t>
    </rPh>
    <rPh sb="58" eb="60">
      <t>ホンヤク</t>
    </rPh>
    <rPh sb="61" eb="63">
      <t>ヨウヤク</t>
    </rPh>
    <rPh sb="67" eb="69">
      <t>セイセイ</t>
    </rPh>
    <rPh sb="72" eb="74">
      <t>オウヨウ</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</si>
  <si>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</si>
  <si>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・データ解析：予測、グルーピング、パターン発見、最適化、モデル化とシミュレーション
・データ可視化：複合グラフ、多次元の可視化、関係性の可視化、リアルタイム可視化
・非構造化データ処理：画像／動画処理
・認識技術、ルールベース、自動化技術
「データサイエンス・ＡＩ」（第４回）、「品質管理」（第５回）</t>
    <rPh sb="4" eb="6">
      <t>カイセキ</t>
    </rPh>
    <rPh sb="7" eb="9">
      <t>ヨソク</t>
    </rPh>
    <rPh sb="21" eb="23">
      <t>ハッケン</t>
    </rPh>
    <rPh sb="24" eb="27">
      <t>サイテキカ</t>
    </rPh>
    <rPh sb="31" eb="32">
      <t>カ</t>
    </rPh>
    <rPh sb="46" eb="49">
      <t>カシカ</t>
    </rPh>
    <rPh sb="50" eb="52">
      <t>フクゴウ</t>
    </rPh>
    <rPh sb="56" eb="59">
      <t>タジゲン</t>
    </rPh>
    <rPh sb="60" eb="63">
      <t>カシカ</t>
    </rPh>
    <rPh sb="64" eb="67">
      <t>カンケイセイ</t>
    </rPh>
    <rPh sb="68" eb="71">
      <t>カシカ</t>
    </rPh>
    <rPh sb="78" eb="81">
      <t>カシカ</t>
    </rPh>
    <rPh sb="83" eb="87">
      <t>ヒコウゾウカ</t>
    </rPh>
    <rPh sb="90" eb="92">
      <t>ショリ</t>
    </rPh>
    <rPh sb="93" eb="95">
      <t>ガゾウ</t>
    </rPh>
    <rPh sb="96" eb="98">
      <t>ドウガ</t>
    </rPh>
    <rPh sb="98" eb="100">
      <t>ショリ</t>
    </rPh>
    <rPh sb="102" eb="106">
      <t>ニンシキギジュツ</t>
    </rPh>
    <rPh sb="114" eb="117">
      <t>ジドウカ</t>
    </rPh>
    <rPh sb="117" eb="119">
      <t>ギジュツ</t>
    </rPh>
    <phoneticPr fontId="1"/>
  </si>
  <si>
    <t>・データサイエンスのサイクル
・データ解析と推論、結果の共有・伝達
・流通、製造、サービス、インフラ等におけるデータ・AI利活用事例
「データサイエンス・ＡＩ」（第２、３回）</t>
    <rPh sb="19" eb="21">
      <t>カイセキ</t>
    </rPh>
    <rPh sb="22" eb="24">
      <t>スイロン</t>
    </rPh>
    <rPh sb="25" eb="27">
      <t>ケッカ</t>
    </rPh>
    <rPh sb="28" eb="30">
      <t>キョウユウ</t>
    </rPh>
    <rPh sb="31" eb="33">
      <t>デンタツ</t>
    </rPh>
    <rPh sb="35" eb="37">
      <t>リュウツウ</t>
    </rPh>
    <rPh sb="38" eb="40">
      <t>セイゾウ</t>
    </rPh>
    <rPh sb="50" eb="51">
      <t>ナド</t>
    </rPh>
    <rPh sb="61" eb="66">
      <t>リカツヨウジレイ</t>
    </rPh>
    <phoneticPr fontId="1"/>
  </si>
  <si>
    <t>（４）活用に当たっての様々な留意事項（ELSI、個人情報、データ倫理、ＡＩ社会原則等）を考慮し、情報セキュリティや情報漏洩等、データを守る上での留意事項への理解をする</t>
    <phoneticPr fontId="1"/>
  </si>
  <si>
    <t>・倫理的・法的・社会的課題
・個人情報保護、忘れられる権利、オプトアウト
・データ倫理：データのねつ造、改ざん、盗用、プライバシー保護
・AI社会原則、データバイアス、アルゴリズムバイアス、AIサービスの責任論、生成AIの留意事項
「データサイエンス・ＡＩ」（第４回）</t>
    <rPh sb="1" eb="4">
      <t>リンリテキ</t>
    </rPh>
    <rPh sb="5" eb="7">
      <t>ホウテキ</t>
    </rPh>
    <rPh sb="8" eb="11">
      <t>シャカイテキ</t>
    </rPh>
    <rPh sb="11" eb="13">
      <t>カダイ</t>
    </rPh>
    <rPh sb="15" eb="21">
      <t>コジンジョウホウホゴ</t>
    </rPh>
    <rPh sb="22" eb="23">
      <t>ワス</t>
    </rPh>
    <rPh sb="27" eb="29">
      <t>ケンリ</t>
    </rPh>
    <rPh sb="41" eb="43">
      <t>リンリ</t>
    </rPh>
    <rPh sb="50" eb="51">
      <t>ゾウ</t>
    </rPh>
    <rPh sb="52" eb="53">
      <t>カイ</t>
    </rPh>
    <rPh sb="56" eb="58">
      <t>トウヨウ</t>
    </rPh>
    <rPh sb="65" eb="67">
      <t>ホゴ</t>
    </rPh>
    <rPh sb="71" eb="75">
      <t>シャカイゲンソク</t>
    </rPh>
    <rPh sb="102" eb="105">
      <t>セキニンロン</t>
    </rPh>
    <rPh sb="106" eb="108">
      <t>セイセイ</t>
    </rPh>
    <rPh sb="111" eb="115">
      <t>リュウイジコウ</t>
    </rPh>
    <phoneticPr fontId="1"/>
  </si>
  <si>
    <t>・情報セキュリティの３要素
・匿名加工情報、暗号化と復号、ユーザー認証、パスワード、アクセス制御、悪意ある情報搾取
・情報漏洩等によるセキュリティ事故の事例紹介
・サイバーセキュリティ
「データサイエンス・ＡＩ」（第５～７、１０～１１回）</t>
    <rPh sb="1" eb="3">
      <t>ジョウホウ</t>
    </rPh>
    <rPh sb="11" eb="13">
      <t>ヨウソ</t>
    </rPh>
    <rPh sb="15" eb="17">
      <t>トクメイ</t>
    </rPh>
    <rPh sb="17" eb="21">
      <t>カコウジョウホウ</t>
    </rPh>
    <rPh sb="22" eb="25">
      <t>アンゴウカ</t>
    </rPh>
    <rPh sb="26" eb="28">
      <t>フクゴウ</t>
    </rPh>
    <rPh sb="33" eb="35">
      <t>ニンショウ</t>
    </rPh>
    <rPh sb="46" eb="48">
      <t>セイギョ</t>
    </rPh>
    <rPh sb="49" eb="51">
      <t>アクイ</t>
    </rPh>
    <rPh sb="53" eb="57">
      <t>ジョウホウサクシュ</t>
    </rPh>
    <rPh sb="59" eb="63">
      <t>ジョウホウロウエイ</t>
    </rPh>
    <rPh sb="63" eb="64">
      <t>ナド</t>
    </rPh>
    <rPh sb="73" eb="75">
      <t>ジコ</t>
    </rPh>
    <rPh sb="76" eb="80">
      <t>ジレイショウカイ</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</si>
  <si>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</si>
  <si>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</si>
  <si>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・データの種類、分布、代表値、代表値の性質の違い、バラツキ、外れ値、相関と因果
・誤差の扱い、欠損を含むデータ、母集団と標本抽出
・クロス集計、散布図行列、統計情報の正しい理解
「数学Ⅰ」（第２～４回）、「データサイエンス・ＡＩ」（第１２、１３回）、「数学Ⅱ」（第１～３、１１～１５回）「品質管理」（第８、１０～１２回）</t>
    <rPh sb="5" eb="7">
      <t>シュルイ</t>
    </rPh>
    <rPh sb="8" eb="10">
      <t>ブンプ</t>
    </rPh>
    <rPh sb="11" eb="14">
      <t>ダイヒョウチ</t>
    </rPh>
    <rPh sb="15" eb="18">
      <t>ダイヒョウチ</t>
    </rPh>
    <rPh sb="19" eb="21">
      <t>セイシツ</t>
    </rPh>
    <rPh sb="22" eb="23">
      <t>チガ</t>
    </rPh>
    <rPh sb="30" eb="31">
      <t>ハズ</t>
    </rPh>
    <rPh sb="32" eb="33">
      <t>チ</t>
    </rPh>
    <rPh sb="34" eb="36">
      <t>ソウカン</t>
    </rPh>
    <rPh sb="37" eb="39">
      <t>インガ</t>
    </rPh>
    <rPh sb="41" eb="43">
      <t>ゴサ</t>
    </rPh>
    <rPh sb="44" eb="45">
      <t>アツカ</t>
    </rPh>
    <rPh sb="47" eb="49">
      <t>ケッソン</t>
    </rPh>
    <rPh sb="50" eb="51">
      <t>フク</t>
    </rPh>
    <rPh sb="56" eb="59">
      <t>ボシュウダン</t>
    </rPh>
    <rPh sb="60" eb="64">
      <t>ヒョウホンチュウシュツ</t>
    </rPh>
    <rPh sb="69" eb="71">
      <t>シュウケイ</t>
    </rPh>
    <rPh sb="72" eb="77">
      <t>サンプズギョウレツ</t>
    </rPh>
    <rPh sb="78" eb="82">
      <t>トウケイジョウホウ</t>
    </rPh>
    <rPh sb="83" eb="84">
      <t>タダ</t>
    </rPh>
    <rPh sb="86" eb="88">
      <t>リカイ</t>
    </rPh>
    <rPh sb="126" eb="128">
      <t>スウガク</t>
    </rPh>
    <rPh sb="131" eb="132">
      <t>ダイ</t>
    </rPh>
    <rPh sb="141" eb="142">
      <t>カイ</t>
    </rPh>
    <phoneticPr fontId="1"/>
  </si>
  <si>
    <t>・データ表現、データの比較、不適切なグラフ表現
・可視化の事例、相手に的確かつ正確に情報を伝える技術や考え方
「データサイエンス・ＡＩ」（第５～９、１３～１５回）、「品質管理」（第９～１１、１４回）</t>
    <rPh sb="4" eb="6">
      <t>ヒョウゲン</t>
    </rPh>
    <rPh sb="11" eb="13">
      <t>ヒカク</t>
    </rPh>
    <rPh sb="14" eb="17">
      <t>フテキセツ</t>
    </rPh>
    <rPh sb="21" eb="23">
      <t>ヒョウゲン</t>
    </rPh>
    <rPh sb="25" eb="28">
      <t>カシカ</t>
    </rPh>
    <rPh sb="29" eb="31">
      <t>ジレイ</t>
    </rPh>
    <rPh sb="32" eb="34">
      <t>アイテ</t>
    </rPh>
    <rPh sb="35" eb="37">
      <t>テキカク</t>
    </rPh>
    <rPh sb="39" eb="41">
      <t>セイカク</t>
    </rPh>
    <rPh sb="42" eb="44">
      <t>ジョウホウ</t>
    </rPh>
    <rPh sb="45" eb="46">
      <t>ツタ</t>
    </rPh>
    <rPh sb="48" eb="50">
      <t>ギジュツ</t>
    </rPh>
    <rPh sb="51" eb="52">
      <t>カンガ</t>
    </rPh>
    <rPh sb="53" eb="54">
      <t>カタ</t>
    </rPh>
    <phoneticPr fontId="1"/>
  </si>
  <si>
    <t>・データの取得、データの集計、データの並び替え、ランキング、表形式のデータ
「データサイエンス・ＡＩ」（第１０～１２回）、「品質管理」（第８回）</t>
    <rPh sb="5" eb="7">
      <t>シュトク</t>
    </rPh>
    <rPh sb="12" eb="14">
      <t>シュウケイ</t>
    </rPh>
    <rPh sb="19" eb="20">
      <t>ナラ</t>
    </rPh>
    <rPh sb="21" eb="22">
      <t>カ</t>
    </rPh>
    <rPh sb="30" eb="33">
      <t>ヒョウケイシキ</t>
    </rPh>
    <phoneticPr fontId="1"/>
  </si>
  <si>
    <t>⑪ プログラムの学修成果（学生等が身に付けられる能力等）</t>
    <phoneticPr fontId="1"/>
  </si>
  <si>
    <t>日常の生活、仕事等で使うための数理・データサイエンス・AIの基礎的な知識を身に付け、データに基づく品質管理を実践できる。これにより次の5つの技能を身に付ける。（１）データの整理において、平均や分散などの代表値を求めることができる。（２）二項分布や正規分布などの統計、確率の基礎知識を活用して、データを分析することができる。（３）データや知識を利活用して、報告書の作成やプレゼンテーションをできる。（４）情報セキュリティや倫理の基礎を理解し、安全にコンピューター・ネットワークを利用することができる。（５）品質管理において、データサイエンス・AIがどのように活用されるか、説明できる。</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</si>
  <si>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</si>
  <si>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</si>
  <si>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</si>
  <si>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</si>
  <si>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機械学習の学習方式および評価モデルの例に触れ、どのような結果が導出されるか理解する。
OpenAI社製品など気軽に利用できる機械学習の最新技術を例に挙げ、AIによって生成されるサービスを体験する。またAIによって代替される雇用、シンギュラリティなどから社会にもたらす影響を理解する。
生成AIがどのように使われているか知り、モラル・倫理・リスク・脅威の理解を深める。適切に利用することを意識して、知識・スキルの重要性を理解する。</t>
    <rPh sb="142" eb="144">
      <t>セイセイ</t>
    </rPh>
    <rPh sb="152" eb="153">
      <t>ツカ</t>
    </rPh>
    <rPh sb="159" eb="160">
      <t>シ</t>
    </rPh>
    <rPh sb="166" eb="168">
      <t>リンリ</t>
    </rPh>
    <rPh sb="173" eb="175">
      <t>キョウイ</t>
    </rPh>
    <rPh sb="176" eb="178">
      <t>リカイ</t>
    </rPh>
    <rPh sb="179" eb="180">
      <t>フカ</t>
    </rPh>
    <rPh sb="183" eb="185">
      <t>テキセツ</t>
    </rPh>
    <rPh sb="186" eb="188">
      <t>リヨウ</t>
    </rPh>
    <rPh sb="193" eb="195">
      <t>イシキ</t>
    </rPh>
    <rPh sb="198" eb="200">
      <t>チシキ</t>
    </rPh>
    <rPh sb="205" eb="208">
      <t>ジュウヨウセイ</t>
    </rPh>
    <rPh sb="209" eb="211">
      <t>リカイ</t>
    </rPh>
    <phoneticPr fontId="1"/>
  </si>
  <si>
    <t>様式２</t>
    <phoneticPr fontId="1"/>
  </si>
  <si>
    <t>プログラムの履修者数等の実績について</t>
    <phoneticPr fontId="1"/>
  </si>
  <si>
    <t>①プログラム開設年度</t>
    <rPh sb="6" eb="8">
      <t>カイセツ</t>
    </rPh>
    <rPh sb="8" eb="10">
      <t>ネンド</t>
    </rPh>
    <phoneticPr fontId="1"/>
  </si>
  <si>
    <t>令和５</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</si>
  <si>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</si>
  <si>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</si>
  <si>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</si>
  <si>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</si>
  <si>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</si>
  <si>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</si>
  <si>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</si>
  <si>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</si>
  <si>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</si>
  <si>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</si>
  <si>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</si>
  <si>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</si>
  <si>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</si>
  <si>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</si>
  <si>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</si>
  <si>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</si>
  <si>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</si>
  <si>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</si>
  <si>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</si>
  <si>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</si>
  <si>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</si>
  <si>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</si>
  <si>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</si>
  <si>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</si>
  <si>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包装食品工学科</t>
    <rPh sb="0" eb="7">
      <t>ホウソウショクヒンコウガクカ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</si>
  <si>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</si>
  <si>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</si>
  <si>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</si>
  <si>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</si>
  <si>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</si>
  <si>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</si>
  <si>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</si>
  <si>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</si>
  <si>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</si>
  <si>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</si>
  <si>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</si>
  <si>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</si>
  <si>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</si>
  <si>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奈賀俊人</t>
    <rPh sb="0" eb="2">
      <t>ナカ</t>
    </rPh>
    <rPh sb="2" eb="4">
      <t>トシヒト</t>
    </rPh>
    <phoneticPr fontId="1"/>
  </si>
  <si>
    <t>（役職名）</t>
    <rPh sb="1" eb="4">
      <t>ヤクショクメイ</t>
    </rPh>
    <phoneticPr fontId="1"/>
  </si>
  <si>
    <t>准教授</t>
    <rPh sb="0" eb="3">
      <t>ジュンキョウジュ</t>
    </rPh>
    <phoneticPr fontId="1"/>
  </si>
  <si>
    <t>④</t>
    <phoneticPr fontId="1"/>
  </si>
  <si>
    <t>プログラムを改善・進化させるための体制（委員会・組織等）</t>
    <phoneticPr fontId="1"/>
  </si>
  <si>
    <t>MDASH評価委員会</t>
    <rPh sb="5" eb="7">
      <t>ヒョウカ</t>
    </rPh>
    <rPh sb="7" eb="10">
      <t>イインカイ</t>
    </rPh>
    <phoneticPr fontId="1"/>
  </si>
  <si>
    <t>奈賀俊人</t>
    <rPh sb="0" eb="4">
      <t>ナカトシヒト</t>
    </rPh>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</si>
  <si>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</si>
  <si>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</si>
  <si>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</si>
  <si>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</si>
  <si>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委員会は、文部科学省が定める「数理・データサイエンス・ＡＩ教育プログラム認定制度」に基づく認定プログラムを改善及び発展させることを目的とする。</t>
    <phoneticPr fontId="1"/>
  </si>
  <si>
    <t>⑦</t>
    <phoneticPr fontId="1"/>
  </si>
  <si>
    <t>具体的な構成員</t>
    <rPh sb="0" eb="3">
      <t>グタイテキ</t>
    </rPh>
    <rPh sb="4" eb="7">
      <t>コウセイイン</t>
    </rPh>
    <phoneticPr fontId="1"/>
  </si>
  <si>
    <t>委員長　奈賀俊人（准教授）
委員
　学科長　甲斐正次郎（教授）
　品質管理担当　福島　睦之（講師）
　データサイエンス・AI担当　浦　千尋（助教）
　教務課長　牧志　貴明
　教務係　雨島　智輝</t>
    <rPh sb="0" eb="3">
      <t>イインチョウ</t>
    </rPh>
    <rPh sb="4" eb="6">
      <t>ナカ</t>
    </rPh>
    <rPh sb="6" eb="8">
      <t>トシヒト</t>
    </rPh>
    <rPh sb="9" eb="12">
      <t>ジュンキョウジュ</t>
    </rPh>
    <rPh sb="14" eb="16">
      <t>イイン</t>
    </rPh>
    <rPh sb="18" eb="21">
      <t>ガッカチョウ</t>
    </rPh>
    <rPh sb="22" eb="27">
      <t>カイショウジロウ</t>
    </rPh>
    <rPh sb="28" eb="30">
      <t>キョウジュ</t>
    </rPh>
    <rPh sb="33" eb="37">
      <t>ヒンシツカンリ</t>
    </rPh>
    <rPh sb="37" eb="39">
      <t>タントウ</t>
    </rPh>
    <rPh sb="40" eb="42">
      <t>フクシマ</t>
    </rPh>
    <rPh sb="43" eb="45">
      <t>ムツユキ</t>
    </rPh>
    <rPh sb="46" eb="48">
      <t>コウシ</t>
    </rPh>
    <rPh sb="62" eb="64">
      <t>タントウ</t>
    </rPh>
    <rPh sb="65" eb="66">
      <t>ウラ</t>
    </rPh>
    <rPh sb="67" eb="69">
      <t>チヒロ</t>
    </rPh>
    <rPh sb="70" eb="72">
      <t>ジョキョウ</t>
    </rPh>
    <rPh sb="75" eb="79">
      <t>キョウムカチョウ</t>
    </rPh>
    <rPh sb="80" eb="82">
      <t>マキシ</t>
    </rPh>
    <rPh sb="83" eb="85">
      <t>タカアキ</t>
    </rPh>
    <rPh sb="87" eb="89">
      <t>キョウム</t>
    </rPh>
    <rPh sb="89" eb="90">
      <t>カカリ</t>
    </rPh>
    <rPh sb="91" eb="93">
      <t>アメジマ</t>
    </rPh>
    <rPh sb="94" eb="96">
      <t>トモキ</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</si>
  <si>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</si>
  <si>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</si>
  <si>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</si>
  <si>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</si>
  <si>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</si>
  <si>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</si>
  <si>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</si>
  <si>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</si>
  <si>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</si>
  <si>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開始初年度となる令和５年度は、学生の自主性を重んじて選択制とした。
教育プログラムの重要性を鑑み、令和６年度から教育プログラムの要件を必修科目で構成することとし、在学生全員が履修する仕組みとした。なお必修化にともなって、選択科目で教育していた数理基礎の内容は必修科目「数学Ⅰ」で教育することとした。
令和６年度以降も、入学時オリエンテーションにおいて教育プログラムのガイダンスを続け、履修の意欲を向上させる。</t>
    <rPh sb="0" eb="2">
      <t>カイシ</t>
    </rPh>
    <rPh sb="2" eb="5">
      <t>ショネンド</t>
    </rPh>
    <rPh sb="8" eb="10">
      <t>レイワ</t>
    </rPh>
    <rPh sb="11" eb="13">
      <t>ネンド</t>
    </rPh>
    <rPh sb="34" eb="36">
      <t>キョウイク</t>
    </rPh>
    <rPh sb="42" eb="45">
      <t>ジュウヨウセイ</t>
    </rPh>
    <rPh sb="46" eb="47">
      <t>カンガ</t>
    </rPh>
    <rPh sb="56" eb="58">
      <t>キョウイク</t>
    </rPh>
    <rPh sb="64" eb="66">
      <t>ヨウケン</t>
    </rPh>
    <rPh sb="67" eb="71">
      <t>ヒッシュウカモク</t>
    </rPh>
    <rPh sb="72" eb="74">
      <t>コウセイ</t>
    </rPh>
    <rPh sb="81" eb="84">
      <t>ザイガクセイ</t>
    </rPh>
    <rPh sb="84" eb="86">
      <t>ゼンイン</t>
    </rPh>
    <rPh sb="87" eb="89">
      <t>リシュウ</t>
    </rPh>
    <rPh sb="91" eb="93">
      <t>シク</t>
    </rPh>
    <rPh sb="100" eb="103">
      <t>ヒッシュウカ</t>
    </rPh>
    <rPh sb="110" eb="114">
      <t>センタクカモク</t>
    </rPh>
    <rPh sb="115" eb="117">
      <t>キョウイク</t>
    </rPh>
    <rPh sb="121" eb="125">
      <t>スウリキソ</t>
    </rPh>
    <rPh sb="126" eb="128">
      <t>ナイヨウ</t>
    </rPh>
    <rPh sb="129" eb="131">
      <t>ヒッシュウ</t>
    </rPh>
    <rPh sb="131" eb="133">
      <t>カモク</t>
    </rPh>
    <rPh sb="134" eb="136">
      <t>スウガク</t>
    </rPh>
    <rPh sb="139" eb="141">
      <t>キョウイク</t>
    </rPh>
    <rPh sb="150" eb="152">
      <t>レイワ</t>
    </rPh>
    <rPh sb="153" eb="157">
      <t>ネンドイコウ</t>
    </rPh>
    <rPh sb="159" eb="162">
      <t>ニュウガクジ</t>
    </rPh>
    <rPh sb="175" eb="177">
      <t>キョウイク</t>
    </rPh>
    <rPh sb="189" eb="190">
      <t>ツヅ</t>
    </rPh>
    <rPh sb="192" eb="194">
      <t>リシュウ</t>
    </rPh>
    <rPh sb="195" eb="197">
      <t>イヨク</t>
    </rPh>
    <rPh sb="198" eb="200">
      <t>コウジョウ</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</si>
  <si>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</si>
  <si>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</si>
  <si>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単科短期大学であり、すべての科目を履修可能なカリキュラム構成であることから、学生全員が受講可能である。</t>
    <rPh sb="0" eb="2">
      <t>タンカ</t>
    </rPh>
    <rPh sb="2" eb="4">
      <t>タンキ</t>
    </rPh>
    <rPh sb="4" eb="6">
      <t>ダイガク</t>
    </rPh>
    <rPh sb="14" eb="16">
      <t>カモク</t>
    </rPh>
    <rPh sb="17" eb="19">
      <t>リシュウ</t>
    </rPh>
    <rPh sb="19" eb="21">
      <t>カノウ</t>
    </rPh>
    <rPh sb="28" eb="30">
      <t>コウセイ</t>
    </rPh>
    <rPh sb="38" eb="40">
      <t>ガクセイ</t>
    </rPh>
    <rPh sb="40" eb="42">
      <t>ゼンイン</t>
    </rPh>
    <rPh sb="43" eb="45">
      <t>ジュコウ</t>
    </rPh>
    <rPh sb="45" eb="47">
      <t>カノウ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</si>
  <si>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</si>
  <si>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</si>
  <si>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カリキュラム案内への掲載、入学時オリエンテーションにおける資格説明、ホームページへの掲載によって周知している。</t>
    <rPh sb="6" eb="8">
      <t>アンナイ</t>
    </rPh>
    <rPh sb="10" eb="12">
      <t>ケイサイ</t>
    </rPh>
    <rPh sb="13" eb="16">
      <t>ニュウガクジ</t>
    </rPh>
    <rPh sb="29" eb="31">
      <t>シカク</t>
    </rPh>
    <rPh sb="31" eb="33">
      <t>セツメイ</t>
    </rPh>
    <rPh sb="42" eb="44">
      <t>ケイサイ</t>
    </rPh>
    <rPh sb="48" eb="50">
      <t>シュウチ</t>
    </rPh>
    <phoneticPr fontId="1"/>
  </si>
  <si>
    <t>⑪</t>
    <phoneticPr fontId="1"/>
  </si>
  <si>
    <t>できる限り多くの学生が履修・修得できるようなサポート体制</t>
    <rPh sb="26" eb="28">
      <t>タイセイ</t>
    </rPh>
    <phoneticPr fontId="1"/>
  </si>
  <si>
    <t>本プログラムを構成する科目は、対面で実施する正課授業であり、全員が出席する。またMicrosoft Teamsを利用した講義資料の配布共有、Formsを利用した練習問題や取り組み状況の把握、理解度確認とフォローアップなど、修得をサポートしている。</t>
    <rPh sb="0" eb="1">
      <t>ホン</t>
    </rPh>
    <rPh sb="7" eb="9">
      <t>コウセイ</t>
    </rPh>
    <rPh sb="11" eb="13">
      <t>カモク</t>
    </rPh>
    <rPh sb="15" eb="17">
      <t>タイメン</t>
    </rPh>
    <rPh sb="18" eb="20">
      <t>ジッシ</t>
    </rPh>
    <rPh sb="22" eb="24">
      <t>セイカ</t>
    </rPh>
    <rPh sb="24" eb="26">
      <t>ジュギョウ</t>
    </rPh>
    <rPh sb="30" eb="32">
      <t>ゼンイン</t>
    </rPh>
    <rPh sb="33" eb="35">
      <t>シュッセキ</t>
    </rPh>
    <rPh sb="56" eb="58">
      <t>リヨウ</t>
    </rPh>
    <rPh sb="60" eb="64">
      <t>コウギシリョウ</t>
    </rPh>
    <rPh sb="65" eb="69">
      <t>ハイフキョウユウ</t>
    </rPh>
    <rPh sb="76" eb="78">
      <t>リヨウ</t>
    </rPh>
    <rPh sb="80" eb="82">
      <t>レンシュウ</t>
    </rPh>
    <rPh sb="82" eb="84">
      <t>モンダイ</t>
    </rPh>
    <rPh sb="85" eb="86">
      <t>ト</t>
    </rPh>
    <rPh sb="87" eb="88">
      <t>ク</t>
    </rPh>
    <rPh sb="89" eb="91">
      <t>ジョウキョウ</t>
    </rPh>
    <rPh sb="92" eb="94">
      <t>ハアク</t>
    </rPh>
    <rPh sb="95" eb="98">
      <t>リカイド</t>
    </rPh>
    <rPh sb="98" eb="100">
      <t>カクニン</t>
    </rPh>
    <phoneticPr fontId="1"/>
  </si>
  <si>
    <t>⑫</t>
    <phoneticPr fontId="1"/>
  </si>
  <si>
    <t>授業時間内外で学習指導、質問を受け付ける具体的な仕組み</t>
    <rPh sb="20" eb="23">
      <t>グタイテキ</t>
    </rPh>
    <phoneticPr fontId="1"/>
  </si>
  <si>
    <t>授業時間内には担当教員による学習指導や質問の受付けを行うほか、授業時間外でもMicrosoft Teamsによるチャット、Outlookメールなどで質問、相談することができる環境となっている。またオフィスアワーをカリキュラム案内に明記しており、学生は対面で相談することも可能である。
非常勤講師、外部講師に対する質問はメールで受け付けられるほか、教務課で受け付けて内容を担当教員に伝達することもできる。
履修や学習、学生生活に関する相談は教務課で常時受け付けており、積極的なヒアリングも細やかに行われている。教務課においても、Outlookメールでの相談してフォローアップを受けることもできる体制を整えている。</t>
    <rPh sb="4" eb="5">
      <t>ナイ</t>
    </rPh>
    <rPh sb="7" eb="11">
      <t>タントウキョウイン</t>
    </rPh>
    <rPh sb="14" eb="18">
      <t>ガクシュウシドウ</t>
    </rPh>
    <rPh sb="19" eb="21">
      <t>シツモン</t>
    </rPh>
    <rPh sb="22" eb="24">
      <t>ウケツケ</t>
    </rPh>
    <rPh sb="26" eb="27">
      <t>オコナ</t>
    </rPh>
    <rPh sb="31" eb="36">
      <t>ジュギョウジカンガイ</t>
    </rPh>
    <rPh sb="74" eb="76">
      <t>シツモン</t>
    </rPh>
    <rPh sb="77" eb="79">
      <t>ソウダン</t>
    </rPh>
    <rPh sb="87" eb="89">
      <t>カンキョウ</t>
    </rPh>
    <rPh sb="112" eb="114">
      <t>アンナイ</t>
    </rPh>
    <rPh sb="115" eb="117">
      <t>メイキ</t>
    </rPh>
    <rPh sb="122" eb="124">
      <t>ガクセイ</t>
    </rPh>
    <rPh sb="125" eb="127">
      <t>タイメン</t>
    </rPh>
    <rPh sb="128" eb="130">
      <t>ソウダン</t>
    </rPh>
    <rPh sb="135" eb="137">
      <t>カノウ</t>
    </rPh>
    <rPh sb="142" eb="147">
      <t>ヒジョウキンコウシ</t>
    </rPh>
    <rPh sb="148" eb="152">
      <t>ガイブコウシ</t>
    </rPh>
    <rPh sb="153" eb="154">
      <t>タイ</t>
    </rPh>
    <rPh sb="156" eb="158">
      <t>シツモン</t>
    </rPh>
    <rPh sb="163" eb="164">
      <t>ウ</t>
    </rPh>
    <rPh sb="165" eb="166">
      <t>ツ</t>
    </rPh>
    <rPh sb="173" eb="176">
      <t>キョウムカ</t>
    </rPh>
    <rPh sb="177" eb="178">
      <t>ウ</t>
    </rPh>
    <rPh sb="179" eb="180">
      <t>ツ</t>
    </rPh>
    <rPh sb="182" eb="184">
      <t>ナイヨウ</t>
    </rPh>
    <rPh sb="202" eb="204">
      <t>リシュウ</t>
    </rPh>
    <rPh sb="205" eb="207">
      <t>ガクシュウ</t>
    </rPh>
    <rPh sb="208" eb="212">
      <t>ガクセイセイカツ</t>
    </rPh>
    <rPh sb="213" eb="214">
      <t>カン</t>
    </rPh>
    <rPh sb="216" eb="218">
      <t>ソウダン</t>
    </rPh>
    <rPh sb="219" eb="222">
      <t>キョウムカ</t>
    </rPh>
    <rPh sb="223" eb="225">
      <t>ジョウジ</t>
    </rPh>
    <rPh sb="225" eb="226">
      <t>ウ</t>
    </rPh>
    <rPh sb="227" eb="228">
      <t>ツ</t>
    </rPh>
    <rPh sb="233" eb="236">
      <t>セッキョクテキ</t>
    </rPh>
    <rPh sb="243" eb="244">
      <t>コマ</t>
    </rPh>
    <rPh sb="247" eb="248">
      <t>オコナ</t>
    </rPh>
    <rPh sb="254" eb="257">
      <t>キョウムカ</t>
    </rPh>
    <rPh sb="275" eb="277">
      <t>ソウダン</t>
    </rPh>
    <rPh sb="287" eb="288">
      <t>ウ</t>
    </rPh>
    <rPh sb="296" eb="298">
      <t>タイセイ</t>
    </rPh>
    <rPh sb="299" eb="300">
      <t>トトノ</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</si>
  <si>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</si>
  <si>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</si>
  <si>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</si>
  <si>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</si>
  <si>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</si>
  <si>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</si>
  <si>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</si>
  <si>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</si>
  <si>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</si>
  <si>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教務課にて本教育プログラムの履修・修得状況を管理しており、本教育プログラムを構成する科目のデータは「品質管理のためのデータサイエンス教育プログラムプロジェクト」に共有され、自己点検評価、改善活動に活用されている。</t>
    <rPh sb="0" eb="3">
      <t>キョウムカ</t>
    </rPh>
    <rPh sb="5" eb="6">
      <t>ホン</t>
    </rPh>
    <rPh sb="6" eb="8">
      <t>キョウイク</t>
    </rPh>
    <rPh sb="14" eb="16">
      <t>リシュウ</t>
    </rPh>
    <rPh sb="17" eb="21">
      <t>シュウトクジョウキョウ</t>
    </rPh>
    <rPh sb="22" eb="24">
      <t>カンリ</t>
    </rPh>
    <rPh sb="29" eb="30">
      <t>ホン</t>
    </rPh>
    <rPh sb="30" eb="32">
      <t>キョウイク</t>
    </rPh>
    <rPh sb="38" eb="40">
      <t>コウセイ</t>
    </rPh>
    <rPh sb="42" eb="44">
      <t>カモク</t>
    </rPh>
    <rPh sb="50" eb="52">
      <t>ヒンシツ</t>
    </rPh>
    <rPh sb="52" eb="54">
      <t>カンリ</t>
    </rPh>
    <rPh sb="66" eb="68">
      <t>キョウイク</t>
    </rPh>
    <rPh sb="81" eb="83">
      <t>キョウユウ</t>
    </rPh>
    <rPh sb="86" eb="90">
      <t>ジコテンケン</t>
    </rPh>
    <rPh sb="90" eb="92">
      <t>ヒョウカ</t>
    </rPh>
    <rPh sb="93" eb="97">
      <t>カイゼンカツドウ</t>
    </rPh>
    <rPh sb="98" eb="100">
      <t>カツヨウ</t>
    </rPh>
    <phoneticPr fontId="1"/>
  </si>
  <si>
    <t>学修成果</t>
    <rPh sb="0" eb="2">
      <t>ガクシュウ</t>
    </rPh>
    <rPh sb="2" eb="4">
      <t>セイカ</t>
    </rPh>
    <phoneticPr fontId="1"/>
  </si>
  <si>
    <t>本教育プログラムプロジェクトによって、入学時、前期修了時、本教育プログラム修了時に学修成果の測定を行っている。本教育プログラムの要素を5分類し、４件法（（資料等を見ても出来ない、資料等を見てもあまり自信がない、資料等を見ればできる、資料等を見なくてもできる）によって、アンケート形式による学生自己評価を求めている。</t>
    <rPh sb="0" eb="3">
      <t>ホンキョウイク</t>
    </rPh>
    <rPh sb="19" eb="22">
      <t>ニュウガクジ</t>
    </rPh>
    <rPh sb="23" eb="25">
      <t>ゼンキ</t>
    </rPh>
    <rPh sb="25" eb="27">
      <t>シュウリョウ</t>
    </rPh>
    <rPh sb="27" eb="28">
      <t>ジ</t>
    </rPh>
    <rPh sb="29" eb="30">
      <t>ホン</t>
    </rPh>
    <rPh sb="30" eb="32">
      <t>キョウイク</t>
    </rPh>
    <rPh sb="37" eb="39">
      <t>シュウリョウ</t>
    </rPh>
    <rPh sb="39" eb="40">
      <t>ジ</t>
    </rPh>
    <rPh sb="41" eb="45">
      <t>ガクシュウセイカ</t>
    </rPh>
    <rPh sb="46" eb="48">
      <t>ソクテイ</t>
    </rPh>
    <rPh sb="49" eb="50">
      <t>オコナ</t>
    </rPh>
    <rPh sb="55" eb="58">
      <t>ホンキョウイク</t>
    </rPh>
    <rPh sb="64" eb="66">
      <t>ヨウソ</t>
    </rPh>
    <rPh sb="68" eb="70">
      <t>ブンルイ</t>
    </rPh>
    <rPh sb="73" eb="75">
      <t>ケンホウ</t>
    </rPh>
    <rPh sb="151" eb="152">
      <t>モト</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</si>
  <si>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</si>
  <si>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学FD専門委員会が毎年度、前期・後期修了時に授業評価アンケートを実施している。本アンケートの結果はFD専門委員会が集約し、各科目担当にフィードバックされているほか、ホームページ上に公開している。
本教育プログラムプロジェクトのメンバーには、授業評価アンケートを実施しているFD専門委員会のメンバーが含まれており、本教育プログラムの構成科目に関するデータが共有され、本教育プログラムの履修者の理解度などの分析に役立てている。</t>
    <rPh sb="0" eb="2">
      <t>ホンガク</t>
    </rPh>
    <rPh sb="4" eb="9">
      <t>センモンイインカイ</t>
    </rPh>
    <rPh sb="10" eb="13">
      <t>マイネンド</t>
    </rPh>
    <rPh sb="14" eb="16">
      <t>ゼンキ</t>
    </rPh>
    <rPh sb="17" eb="19">
      <t>コウキ</t>
    </rPh>
    <rPh sb="19" eb="22">
      <t>シュウリョウジ</t>
    </rPh>
    <rPh sb="23" eb="27">
      <t>ジュギョウヒョウカ</t>
    </rPh>
    <rPh sb="33" eb="35">
      <t>ジッシ</t>
    </rPh>
    <rPh sb="40" eb="41">
      <t>ホン</t>
    </rPh>
    <rPh sb="47" eb="49">
      <t>ケッカ</t>
    </rPh>
    <rPh sb="52" eb="57">
      <t>センモンイインカイ</t>
    </rPh>
    <rPh sb="58" eb="60">
      <t>シュウヤク</t>
    </rPh>
    <rPh sb="62" eb="63">
      <t>カク</t>
    </rPh>
    <rPh sb="63" eb="67">
      <t>カモクタントウ</t>
    </rPh>
    <rPh sb="89" eb="90">
      <t>ジョウ</t>
    </rPh>
    <rPh sb="91" eb="93">
      <t>コウカイ</t>
    </rPh>
    <rPh sb="99" eb="100">
      <t>ホン</t>
    </rPh>
    <rPh sb="100" eb="102">
      <t>キョウイク</t>
    </rPh>
    <rPh sb="131" eb="133">
      <t>ジッシ</t>
    </rPh>
    <rPh sb="139" eb="144">
      <t>センモンイインカイ</t>
    </rPh>
    <rPh sb="150" eb="151">
      <t>フク</t>
    </rPh>
    <rPh sb="157" eb="158">
      <t>ホン</t>
    </rPh>
    <rPh sb="158" eb="160">
      <t>キョウイク</t>
    </rPh>
    <rPh sb="166" eb="170">
      <t>コウセイカモク</t>
    </rPh>
    <rPh sb="171" eb="172">
      <t>カン</t>
    </rPh>
    <rPh sb="178" eb="180">
      <t>キョウユウ</t>
    </rPh>
    <rPh sb="183" eb="186">
      <t>ホンキョウイク</t>
    </rPh>
    <rPh sb="192" eb="195">
      <t>リシュウシャ</t>
    </rPh>
    <rPh sb="196" eb="199">
      <t>リカイド</t>
    </rPh>
    <rPh sb="202" eb="204">
      <t>ブンセキ</t>
    </rPh>
    <rPh sb="205" eb="207">
      <t>ヤクダ</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</si>
  <si>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</si>
  <si>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教育プログラムの修了時に、学修成果アンケートと同時に後輩等他の学生への推奨度を調査している。調査結果は、翌年度の入学後オリエンテーションの資格説明における教育プログラムのガイダンスに活用される。</t>
    <rPh sb="0" eb="3">
      <t>ホンキョウイク</t>
    </rPh>
    <rPh sb="9" eb="12">
      <t>シュウリョウジ</t>
    </rPh>
    <rPh sb="14" eb="18">
      <t>ガクシュウセイカ</t>
    </rPh>
    <rPh sb="24" eb="26">
      <t>ドウジ</t>
    </rPh>
    <rPh sb="27" eb="29">
      <t>コウハイ</t>
    </rPh>
    <rPh sb="29" eb="30">
      <t>ナド</t>
    </rPh>
    <rPh sb="30" eb="31">
      <t>ホカ</t>
    </rPh>
    <rPh sb="32" eb="34">
      <t>ガクセイ</t>
    </rPh>
    <rPh sb="36" eb="39">
      <t>スイショウド</t>
    </rPh>
    <rPh sb="40" eb="42">
      <t>チョウサ</t>
    </rPh>
    <rPh sb="47" eb="51">
      <t>チョウサケッカ</t>
    </rPh>
    <rPh sb="53" eb="56">
      <t>ヨクネンド</t>
    </rPh>
    <rPh sb="57" eb="60">
      <t>ニュウガクゴ</t>
    </rPh>
    <rPh sb="70" eb="74">
      <t>シカクセツメイ</t>
    </rPh>
    <rPh sb="78" eb="80">
      <t>キョウイク</t>
    </rPh>
    <rPh sb="92" eb="94">
      <t>カツヨウ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</si>
  <si>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</si>
  <si>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が開設された令和５年度の履修者数は５名で、全員が修了した。履修者数が想定よりも少なく、学生からの要望もあり、選択科目「数学Ⅱ」で扱った数理基礎の内容を必修科目「数学Ⅰ」に移すことにより、令和６年度から本教育プログラムの履修を必修とする。したがって、令和６年度から履修率は１００％（収容定員を分母とすると１００％以下）となる見込みである。</t>
    <rPh sb="9" eb="11">
      <t>カイセツ</t>
    </rPh>
    <rPh sb="14" eb="16">
      <t>レイワ</t>
    </rPh>
    <rPh sb="17" eb="19">
      <t>ネンド</t>
    </rPh>
    <rPh sb="20" eb="22">
      <t>リシュウ</t>
    </rPh>
    <rPh sb="22" eb="24">
      <t>シャスウ</t>
    </rPh>
    <rPh sb="26" eb="27">
      <t>メイ</t>
    </rPh>
    <rPh sb="29" eb="31">
      <t>ゼンイン</t>
    </rPh>
    <rPh sb="32" eb="34">
      <t>シュウリョウ</t>
    </rPh>
    <rPh sb="37" eb="41">
      <t>リシュウシャスウ</t>
    </rPh>
    <rPh sb="42" eb="44">
      <t>ソウテイ</t>
    </rPh>
    <rPh sb="47" eb="48">
      <t>スク</t>
    </rPh>
    <rPh sb="51" eb="53">
      <t>ガクセイ</t>
    </rPh>
    <rPh sb="56" eb="58">
      <t>ヨウボウ</t>
    </rPh>
    <rPh sb="62" eb="66">
      <t>センタクカモク</t>
    </rPh>
    <rPh sb="67" eb="69">
      <t>スウガク</t>
    </rPh>
    <rPh sb="72" eb="73">
      <t>アツカ</t>
    </rPh>
    <rPh sb="75" eb="79">
      <t>スウリキソ</t>
    </rPh>
    <rPh sb="80" eb="82">
      <t>ナイヨウ</t>
    </rPh>
    <rPh sb="83" eb="87">
      <t>ヒッシュウカモク</t>
    </rPh>
    <rPh sb="88" eb="90">
      <t>スウガク</t>
    </rPh>
    <rPh sb="93" eb="94">
      <t>ウツ</t>
    </rPh>
    <rPh sb="101" eb="103">
      <t>レイワ</t>
    </rPh>
    <rPh sb="104" eb="106">
      <t>ネンド</t>
    </rPh>
    <rPh sb="108" eb="111">
      <t>ホンキョウイク</t>
    </rPh>
    <rPh sb="117" eb="119">
      <t>リシュウ</t>
    </rPh>
    <rPh sb="120" eb="122">
      <t>ヒッシュウ</t>
    </rPh>
    <rPh sb="132" eb="134">
      <t>レイワ</t>
    </rPh>
    <rPh sb="135" eb="137">
      <t>ネンド</t>
    </rPh>
    <rPh sb="139" eb="142">
      <t>リシュウリツ</t>
    </rPh>
    <rPh sb="148" eb="152">
      <t>シュウヨウテイイン</t>
    </rPh>
    <rPh sb="153" eb="155">
      <t>ブンボ</t>
    </rPh>
    <rPh sb="163" eb="165">
      <t>イカ</t>
    </rPh>
    <rPh sb="169" eb="171">
      <t>ミコ</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</si>
  <si>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</si>
  <si>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</si>
  <si>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教育プログラムは令和５年度から開講されたため、未だ卒業生を輩出していない。本学教務課では、卒業後３年経過した時期に卒業生アンケートを実施している。このアンケートによって、本教育プログラムの修了者の進路、今後の活躍状況、企業の評価等を把握する予定である。</t>
    <rPh sb="0" eb="3">
      <t>ホンキョウイク</t>
    </rPh>
    <rPh sb="9" eb="11">
      <t>レイワ</t>
    </rPh>
    <rPh sb="12" eb="14">
      <t>ネンド</t>
    </rPh>
    <rPh sb="16" eb="18">
      <t>カイコウ</t>
    </rPh>
    <rPh sb="24" eb="25">
      <t>イマ</t>
    </rPh>
    <rPh sb="26" eb="29">
      <t>ソツギョウセイ</t>
    </rPh>
    <rPh sb="30" eb="32">
      <t>ハイシュツ</t>
    </rPh>
    <rPh sb="38" eb="40">
      <t>ホンガク</t>
    </rPh>
    <rPh sb="40" eb="43">
      <t>キョウムカ</t>
    </rPh>
    <rPh sb="46" eb="49">
      <t>ソツギョウゴ</t>
    </rPh>
    <rPh sb="50" eb="51">
      <t>ネン</t>
    </rPh>
    <rPh sb="51" eb="53">
      <t>ケイカ</t>
    </rPh>
    <rPh sb="55" eb="57">
      <t>ジキ</t>
    </rPh>
    <rPh sb="58" eb="61">
      <t>ソツギョウセイ</t>
    </rPh>
    <rPh sb="67" eb="69">
      <t>ジッシ</t>
    </rPh>
    <rPh sb="86" eb="89">
      <t>ホンキョウイク</t>
    </rPh>
    <rPh sb="95" eb="98">
      <t>シュウリョウシャ</t>
    </rPh>
    <rPh sb="99" eb="101">
      <t>シンロ</t>
    </rPh>
    <rPh sb="102" eb="104">
      <t>コンゴ</t>
    </rPh>
    <rPh sb="105" eb="109">
      <t>カツヤクジョウキョウ</t>
    </rPh>
    <rPh sb="110" eb="112">
      <t>キギョウ</t>
    </rPh>
    <rPh sb="113" eb="115">
      <t>ヒョウカ</t>
    </rPh>
    <rPh sb="115" eb="116">
      <t>ナド</t>
    </rPh>
    <rPh sb="117" eb="119">
      <t>ハアク</t>
    </rPh>
    <rPh sb="121" eb="123">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</si>
  <si>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</si>
  <si>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教務課を中心に、企業等を訪問する機会があり（インターンシップの受入れ企業など）、本教育プログラムの趣旨や実施内容について意見をヒアリングする。企業等が期待する知識や技能等、また企業等においてデータサイエンス技能を持つ方の活躍状況など、本教育プログラムの改善につながるヒントを得る。</t>
    <rPh sb="0" eb="2">
      <t>ホンガク</t>
    </rPh>
    <rPh sb="2" eb="5">
      <t>キョウムカ</t>
    </rPh>
    <rPh sb="6" eb="8">
      <t>チュウシン</t>
    </rPh>
    <rPh sb="10" eb="13">
      <t>キギョウナド</t>
    </rPh>
    <rPh sb="14" eb="16">
      <t>ホウモン</t>
    </rPh>
    <rPh sb="18" eb="20">
      <t>キカイ</t>
    </rPh>
    <rPh sb="33" eb="34">
      <t>ウ</t>
    </rPh>
    <rPh sb="34" eb="35">
      <t>イ</t>
    </rPh>
    <rPh sb="36" eb="38">
      <t>キギョウ</t>
    </rPh>
    <rPh sb="42" eb="45">
      <t>ホンキョウイク</t>
    </rPh>
    <rPh sb="51" eb="53">
      <t>シュシ</t>
    </rPh>
    <rPh sb="54" eb="58">
      <t>ジッシナイヨウ</t>
    </rPh>
    <rPh sb="62" eb="64">
      <t>イケン</t>
    </rPh>
    <rPh sb="73" eb="76">
      <t>キギョウナド</t>
    </rPh>
    <rPh sb="77" eb="79">
      <t>キタイ</t>
    </rPh>
    <rPh sb="81" eb="83">
      <t>チシキ</t>
    </rPh>
    <rPh sb="84" eb="86">
      <t>ギノウ</t>
    </rPh>
    <rPh sb="86" eb="87">
      <t>ナド</t>
    </rPh>
    <rPh sb="90" eb="92">
      <t>キギョウ</t>
    </rPh>
    <rPh sb="92" eb="93">
      <t>ナド</t>
    </rPh>
    <rPh sb="105" eb="107">
      <t>ギノウ</t>
    </rPh>
    <rPh sb="108" eb="109">
      <t>モ</t>
    </rPh>
    <rPh sb="110" eb="111">
      <t>カタ</t>
    </rPh>
    <rPh sb="112" eb="114">
      <t>カツヤク</t>
    </rPh>
    <rPh sb="114" eb="116">
      <t>ジョウキョウ</t>
    </rPh>
    <rPh sb="119" eb="122">
      <t>ホンキョウイク</t>
    </rPh>
    <rPh sb="128" eb="130">
      <t>カイゼン</t>
    </rPh>
    <rPh sb="139" eb="140">
      <t>エ</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</si>
  <si>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</si>
  <si>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データサイエンス・ＡＩ（必修）」では、学生自身が機械学習やＡＩを活用したプログラムの開発など体験を取り入れた講義を行っており、学ぶ楽しさから興味を引き出す工夫が行われている。また入学時オリエンテーションにおけるガイダンス、本教育プログラムのゴールとして設定した「品質管理（必修）」では、就職先の企業からエンジニアを招聘し、現場で活躍するデータサイエンス・ＡＩについて講義するなど、学ぶことの意義を意識させる取り組みを行っている。</t>
    <rPh sb="13" eb="15">
      <t>ヒッシュウ</t>
    </rPh>
    <rPh sb="20" eb="24">
      <t>ガクセイジシン</t>
    </rPh>
    <rPh sb="25" eb="29">
      <t>キカイガクシュウ</t>
    </rPh>
    <rPh sb="33" eb="35">
      <t>カツヨウ</t>
    </rPh>
    <rPh sb="43" eb="45">
      <t>カイハツ</t>
    </rPh>
    <rPh sb="47" eb="49">
      <t>タイケン</t>
    </rPh>
    <rPh sb="50" eb="51">
      <t>ト</t>
    </rPh>
    <rPh sb="52" eb="53">
      <t>イ</t>
    </rPh>
    <rPh sb="55" eb="57">
      <t>コウギ</t>
    </rPh>
    <rPh sb="58" eb="59">
      <t>オコナ</t>
    </rPh>
    <rPh sb="64" eb="65">
      <t>マナ</t>
    </rPh>
    <rPh sb="66" eb="67">
      <t>タノ</t>
    </rPh>
    <rPh sb="71" eb="73">
      <t>キョウミ</t>
    </rPh>
    <rPh sb="74" eb="75">
      <t>ヒ</t>
    </rPh>
    <rPh sb="76" eb="77">
      <t>ダ</t>
    </rPh>
    <rPh sb="78" eb="80">
      <t>クフウ</t>
    </rPh>
    <rPh sb="81" eb="82">
      <t>オコナ</t>
    </rPh>
    <rPh sb="90" eb="93">
      <t>ニュウガクジ</t>
    </rPh>
    <rPh sb="112" eb="115">
      <t>ホンキョウイク</t>
    </rPh>
    <rPh sb="127" eb="129">
      <t>セッテイ</t>
    </rPh>
    <rPh sb="132" eb="136">
      <t>ヒンシツカンリ</t>
    </rPh>
    <rPh sb="137" eb="139">
      <t>ヒッシュウ</t>
    </rPh>
    <rPh sb="144" eb="147">
      <t>シュウショクサキ</t>
    </rPh>
    <rPh sb="148" eb="150">
      <t>キギョウ</t>
    </rPh>
    <rPh sb="158" eb="160">
      <t>ショウヘイ</t>
    </rPh>
    <rPh sb="162" eb="164">
      <t>ゲンバ</t>
    </rPh>
    <rPh sb="165" eb="167">
      <t>カツヤク</t>
    </rPh>
    <rPh sb="184" eb="186">
      <t>コウギ</t>
    </rPh>
    <rPh sb="191" eb="192">
      <t>マナ</t>
    </rPh>
    <rPh sb="196" eb="198">
      <t>イギ</t>
    </rPh>
    <rPh sb="199" eb="201">
      <t>イシキ</t>
    </rPh>
    <rPh sb="204" eb="205">
      <t>ト</t>
    </rPh>
    <rPh sb="206" eb="207">
      <t>ク</t>
    </rPh>
    <rPh sb="209" eb="210">
      <t>オコナ</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</si>
  <si>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</si>
  <si>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本学ではFD専門委員会が実施する授業評価アンケートの結果を担当教員にフィードバックし、その担当教員は結果のまとめと改善計画をまとめた「授業改善計画書」を作成する。この計画書によって、毎年度授業改善を促している。また「品質管理」で招聘する外部企業講師の講義などでは、都度アンケートを実施し、結果を担当者にフィードバックしている。授業計画、実施、評価、改善のPDCAを継続する仕組みが確立されており、本教育プログラムプロジェクトは各段階で状況を確認するなど内容・水準の維持・向上に努めている。</t>
    <rPh sb="0" eb="2">
      <t>ホンガク</t>
    </rPh>
    <rPh sb="6" eb="11">
      <t>センモンイインカイ</t>
    </rPh>
    <rPh sb="12" eb="14">
      <t>ジッシ</t>
    </rPh>
    <rPh sb="16" eb="20">
      <t>ジュギョウヒョウカ</t>
    </rPh>
    <rPh sb="26" eb="28">
      <t>ケッカ</t>
    </rPh>
    <rPh sb="191" eb="192">
      <t>タ</t>
    </rPh>
    <rPh sb="198" eb="199">
      <t>ホン</t>
    </rPh>
    <rPh sb="199" eb="201">
      <t>キョウイク</t>
    </rPh>
    <rPh sb="213" eb="216">
      <t>カクダンカイ</t>
    </rPh>
    <rPh sb="217" eb="219">
      <t>ジョウキョウ</t>
    </rPh>
    <rPh sb="220" eb="222">
      <t>カクニン</t>
    </rPh>
    <rPh sb="226" eb="228">
      <t>ナイヨウ</t>
    </rPh>
    <rPh sb="229" eb="231">
      <t>スイジュン</t>
    </rPh>
    <rPh sb="232" eb="234">
      <t>イジ</t>
    </rPh>
    <rPh sb="235" eb="237">
      <t>コウジョウ</t>
    </rPh>
    <rPh sb="238" eb="239">
      <t>ツト</t>
    </rPh>
    <phoneticPr fontId="1"/>
  </si>
  <si>
    <t>東洋食品工業短期大学 ＭＤＡＳＨ評価委員会内規</t>
    <rPh sb="0" eb="2">
      <t>トウヨウ</t>
    </rPh>
    <rPh sb="2" eb="4">
      <t>ショクヒン</t>
    </rPh>
    <rPh sb="4" eb="6">
      <t>コウギョウ</t>
    </rPh>
    <rPh sb="6" eb="8">
      <t>タンキ</t>
    </rPh>
    <rPh sb="8" eb="10">
      <t>ダイガク</t>
    </rPh>
    <rPh sb="16" eb="18">
      <t>ヒョウカ</t>
    </rPh>
    <rPh sb="18" eb="21">
      <t>イインカイ</t>
    </rPh>
    <rPh sb="21" eb="23">
      <t>ナイキ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</si>
</sst>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3"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7" fillId="0" borderId="3" xfId="0" applyFont="1" applyBorder="1" applyAlignment="1">
      <alignment horizontal="center"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13" fillId="0" borderId="2" xfId="0" applyFont="1" applyBorder="1" applyAlignment="1">
      <alignment horizontal="left" vertical="center"/>
    </xf>
    <xf numFmtId="0" fontId="12" fillId="0" borderId="3" xfId="0" applyFont="1" applyBorder="1">
      <alignment vertical="center"/>
    </xf>
    <xf numFmtId="0" fontId="12" fillId="0" borderId="4" xfId="0" applyFont="1" applyBorder="1">
      <alignment vertical="center"/>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79" zoomScaleNormal="100" zoomScaleSheetLayoutView="100" workbookViewId="0">
      <selection activeCell="B4" sqref="B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34" t="s">
        <v>0</v>
      </c>
      <c r="U1" s="134"/>
      <c r="V1" s="2" t="s">
        <v>1</v>
      </c>
    </row>
    <row r="2" spans="1:24" ht="18.75" customHeight="1" x14ac:dyDescent="0.15">
      <c r="A2" s="76"/>
      <c r="B2" s="78" t="s">
        <v>2</v>
      </c>
      <c r="C2" s="135" t="s">
        <v>3</v>
      </c>
      <c r="D2" s="136"/>
      <c r="E2" s="136"/>
      <c r="F2" s="136"/>
      <c r="G2" s="136"/>
      <c r="H2" s="136"/>
      <c r="I2" s="136"/>
      <c r="J2" s="137"/>
      <c r="K2" s="77"/>
      <c r="L2" s="79"/>
      <c r="M2" s="79"/>
      <c r="N2" s="79"/>
      <c r="O2" s="79"/>
      <c r="P2" s="79"/>
      <c r="Q2" s="79"/>
      <c r="R2" s="79"/>
      <c r="S2" s="79"/>
      <c r="T2" s="79"/>
      <c r="U2" s="79"/>
    </row>
    <row r="3" spans="1:24" ht="18.75" customHeight="1" x14ac:dyDescent="0.15">
      <c r="A3" s="76"/>
      <c r="B3" s="78" t="s">
        <v>4</v>
      </c>
      <c r="C3" s="132" t="s">
        <v>5</v>
      </c>
      <c r="D3" s="138"/>
      <c r="E3" s="138"/>
      <c r="F3" s="138"/>
      <c r="G3" s="138"/>
      <c r="H3" s="138"/>
      <c r="I3" s="138"/>
      <c r="J3" s="133"/>
      <c r="K3" s="77"/>
      <c r="L3" s="79"/>
      <c r="M3" s="79"/>
      <c r="N3" s="79"/>
      <c r="O3" s="79"/>
      <c r="P3" s="79"/>
      <c r="Q3" s="79"/>
      <c r="R3" s="79"/>
      <c r="S3" s="79"/>
      <c r="T3" s="79"/>
      <c r="U3" s="79"/>
    </row>
    <row r="4" spans="1:24" ht="15" customHeight="1" x14ac:dyDescent="0.15">
      <c r="A4" s="76"/>
      <c r="B4" s="76"/>
      <c r="C4" s="76"/>
      <c r="D4" s="76"/>
      <c r="E4" s="76"/>
      <c r="F4" s="76"/>
      <c r="G4" s="76"/>
      <c r="H4" s="76"/>
      <c r="I4" s="76"/>
      <c r="J4" s="76"/>
      <c r="K4" s="76"/>
      <c r="L4" s="77"/>
      <c r="M4" s="80"/>
      <c r="N4" s="80"/>
      <c r="O4" s="80"/>
      <c r="P4" s="80"/>
      <c r="Q4" s="80"/>
      <c r="R4" s="80"/>
      <c r="S4" s="80"/>
      <c r="T4" s="80"/>
      <c r="U4" s="80"/>
    </row>
    <row r="5" spans="1:24" ht="18" customHeight="1" x14ac:dyDescent="0.15">
      <c r="A5" s="115" t="s">
        <v>6</v>
      </c>
      <c r="B5" s="115"/>
      <c r="C5" s="115"/>
      <c r="D5" s="115"/>
      <c r="E5" s="115"/>
      <c r="F5" s="115"/>
      <c r="G5" s="115"/>
      <c r="H5" s="115"/>
      <c r="I5" s="115"/>
      <c r="J5" s="115"/>
      <c r="K5" s="115"/>
      <c r="L5" s="115"/>
      <c r="M5" s="115"/>
      <c r="N5" s="115"/>
      <c r="O5" s="115"/>
      <c r="P5" s="115"/>
      <c r="Q5" s="115"/>
      <c r="R5" s="115"/>
      <c r="S5" s="115"/>
      <c r="T5" s="115"/>
      <c r="U5" s="115"/>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7</v>
      </c>
      <c r="B7" s="81"/>
      <c r="C7" s="81"/>
      <c r="D7" s="81"/>
      <c r="E7" s="81"/>
      <c r="F7" s="75"/>
      <c r="G7" s="75"/>
      <c r="H7" s="75"/>
      <c r="I7" s="75"/>
      <c r="J7" s="75"/>
      <c r="K7" s="75"/>
      <c r="L7" s="152" t="s">
        <v>8</v>
      </c>
      <c r="M7" s="153"/>
      <c r="N7" s="153"/>
      <c r="O7" s="153"/>
      <c r="P7" s="153"/>
      <c r="Q7" s="153"/>
      <c r="R7" s="153"/>
      <c r="S7" s="153"/>
      <c r="T7" s="153"/>
      <c r="U7" s="154"/>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9</v>
      </c>
      <c r="B9" s="76"/>
      <c r="C9" s="81"/>
      <c r="D9" s="81"/>
      <c r="E9" s="76"/>
      <c r="F9" s="76"/>
      <c r="G9" s="76"/>
      <c r="H9" s="76"/>
      <c r="I9" s="76"/>
      <c r="J9" s="76"/>
      <c r="K9" s="77"/>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A12" s="76"/>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10</v>
      </c>
      <c r="B14" s="81"/>
      <c r="C14" s="81"/>
      <c r="D14" s="81"/>
      <c r="E14" s="77"/>
      <c r="F14" s="77"/>
      <c r="G14" s="77"/>
      <c r="H14" s="77"/>
      <c r="I14" s="77"/>
      <c r="J14" s="77"/>
      <c r="K14" s="77"/>
      <c r="L14" s="83"/>
      <c r="M14" s="83"/>
      <c r="N14" s="83"/>
      <c r="O14" s="83"/>
      <c r="P14" s="83"/>
      <c r="Q14" s="83"/>
      <c r="R14" s="83"/>
      <c r="S14" s="83"/>
      <c r="T14" s="83"/>
      <c r="U14" s="83"/>
    </row>
    <row r="15" spans="1:24" ht="18" customHeight="1" x14ac:dyDescent="0.15">
      <c r="A15" s="76"/>
      <c r="B15" s="116" t="s">
        <v>11</v>
      </c>
      <c r="C15" s="117"/>
      <c r="D15" s="117"/>
      <c r="E15" s="117"/>
      <c r="F15" s="117"/>
      <c r="G15" s="117"/>
      <c r="H15" s="117"/>
      <c r="I15" s="117"/>
      <c r="J15" s="117"/>
      <c r="K15" s="117"/>
      <c r="L15" s="117"/>
      <c r="M15" s="117"/>
      <c r="N15" s="117"/>
      <c r="O15" s="117"/>
      <c r="P15" s="117"/>
      <c r="Q15" s="117"/>
      <c r="R15" s="117"/>
      <c r="S15" s="117"/>
      <c r="T15" s="117"/>
      <c r="U15" s="118"/>
      <c r="X15" s="1" t="s">
        <v>12</v>
      </c>
    </row>
    <row r="16" spans="1:24" ht="18" customHeight="1" x14ac:dyDescent="0.15">
      <c r="A16" s="76"/>
      <c r="B16" s="119"/>
      <c r="C16" s="120"/>
      <c r="D16" s="120"/>
      <c r="E16" s="120"/>
      <c r="F16" s="120"/>
      <c r="G16" s="120"/>
      <c r="H16" s="120"/>
      <c r="I16" s="120"/>
      <c r="J16" s="120"/>
      <c r="K16" s="120"/>
      <c r="L16" s="120"/>
      <c r="M16" s="120"/>
      <c r="N16" s="120"/>
      <c r="O16" s="120"/>
      <c r="P16" s="120"/>
      <c r="Q16" s="120"/>
      <c r="R16" s="120"/>
      <c r="S16" s="120"/>
      <c r="T16" s="120"/>
      <c r="U16" s="121"/>
      <c r="X16" s="1" t="s">
        <v>13</v>
      </c>
    </row>
    <row r="17" spans="1:24" ht="18" customHeight="1" x14ac:dyDescent="0.15">
      <c r="A17" s="76"/>
      <c r="B17" s="119"/>
      <c r="C17" s="120"/>
      <c r="D17" s="120"/>
      <c r="E17" s="120"/>
      <c r="F17" s="120"/>
      <c r="G17" s="120"/>
      <c r="H17" s="120"/>
      <c r="I17" s="120"/>
      <c r="J17" s="120"/>
      <c r="K17" s="120"/>
      <c r="L17" s="120"/>
      <c r="M17" s="120"/>
      <c r="N17" s="120"/>
      <c r="O17" s="120"/>
      <c r="P17" s="120"/>
      <c r="Q17" s="120"/>
      <c r="R17" s="120"/>
      <c r="S17" s="120"/>
      <c r="T17" s="120"/>
      <c r="U17" s="121"/>
      <c r="X17" s="1" t="s">
        <v>14</v>
      </c>
    </row>
    <row r="18" spans="1:24" ht="18" customHeight="1" x14ac:dyDescent="0.15">
      <c r="A18" s="76"/>
      <c r="B18" s="119"/>
      <c r="C18" s="120"/>
      <c r="D18" s="120"/>
      <c r="E18" s="120"/>
      <c r="F18" s="120"/>
      <c r="G18" s="120"/>
      <c r="H18" s="120"/>
      <c r="I18" s="120"/>
      <c r="J18" s="120"/>
      <c r="K18" s="120"/>
      <c r="L18" s="120"/>
      <c r="M18" s="120"/>
      <c r="N18" s="120"/>
      <c r="O18" s="120"/>
      <c r="P18" s="120"/>
      <c r="Q18" s="120"/>
      <c r="R18" s="120"/>
      <c r="S18" s="120"/>
      <c r="T18" s="120"/>
      <c r="U18" s="121"/>
      <c r="X18" s="1" t="s">
        <v>15</v>
      </c>
    </row>
    <row r="19" spans="1:24" ht="18" customHeight="1" x14ac:dyDescent="0.15">
      <c r="A19" s="76"/>
      <c r="B19" s="119"/>
      <c r="C19" s="120"/>
      <c r="D19" s="120"/>
      <c r="E19" s="120"/>
      <c r="F19" s="120"/>
      <c r="G19" s="120"/>
      <c r="H19" s="120"/>
      <c r="I19" s="120"/>
      <c r="J19" s="120"/>
      <c r="K19" s="120"/>
      <c r="L19" s="120"/>
      <c r="M19" s="120"/>
      <c r="N19" s="120"/>
      <c r="O19" s="120"/>
      <c r="P19" s="120"/>
      <c r="Q19" s="120"/>
      <c r="R19" s="120"/>
      <c r="S19" s="120"/>
      <c r="T19" s="120"/>
      <c r="U19" s="121"/>
    </row>
    <row r="20" spans="1:24" ht="18" customHeight="1" x14ac:dyDescent="0.15">
      <c r="A20" s="76"/>
      <c r="B20" s="122"/>
      <c r="C20" s="123"/>
      <c r="D20" s="123"/>
      <c r="E20" s="123"/>
      <c r="F20" s="123"/>
      <c r="G20" s="123"/>
      <c r="H20" s="123"/>
      <c r="I20" s="123"/>
      <c r="J20" s="123"/>
      <c r="K20" s="123"/>
      <c r="L20" s="123"/>
      <c r="M20" s="123"/>
      <c r="N20" s="123"/>
      <c r="O20" s="123"/>
      <c r="P20" s="123"/>
      <c r="Q20" s="123"/>
      <c r="R20" s="123"/>
      <c r="S20" s="123"/>
      <c r="T20" s="123"/>
      <c r="U20" s="124"/>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20.100000000000001" customHeight="1" x14ac:dyDescent="0.15">
      <c r="A22" s="76"/>
      <c r="B22" s="76" t="s">
        <v>16</v>
      </c>
      <c r="C22" s="76"/>
      <c r="D22" s="76"/>
      <c r="E22" s="84">
        <v>4</v>
      </c>
      <c r="F22" s="76" t="s">
        <v>17</v>
      </c>
      <c r="G22" s="76"/>
      <c r="H22" s="85">
        <v>8</v>
      </c>
      <c r="I22" s="81" t="s">
        <v>18</v>
      </c>
      <c r="J22" s="81"/>
      <c r="K22" s="77"/>
      <c r="L22" s="76"/>
      <c r="M22" s="77" t="s">
        <v>19</v>
      </c>
      <c r="N22" s="149" t="s">
        <v>14</v>
      </c>
      <c r="O22" s="150"/>
      <c r="P22" s="150"/>
      <c r="Q22" s="150"/>
      <c r="R22" s="150"/>
      <c r="S22" s="150"/>
      <c r="T22" s="150"/>
      <c r="U22" s="151"/>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25" t="s">
        <v>20</v>
      </c>
      <c r="B24" s="125"/>
      <c r="C24" s="125"/>
      <c r="D24" s="125"/>
      <c r="E24" s="125"/>
      <c r="F24" s="125"/>
      <c r="G24" s="125"/>
      <c r="H24" s="125"/>
      <c r="I24" s="125"/>
      <c r="J24" s="125"/>
      <c r="K24" s="125"/>
      <c r="L24" s="125"/>
      <c r="M24" s="125"/>
      <c r="N24" s="125"/>
      <c r="O24" s="125"/>
      <c r="P24" s="125"/>
      <c r="Q24" s="125"/>
      <c r="R24" s="125"/>
      <c r="S24" s="125"/>
      <c r="T24" s="125"/>
      <c r="U24" s="125"/>
    </row>
    <row r="25" spans="1:24" ht="18" customHeight="1" x14ac:dyDescent="0.15">
      <c r="A25" s="125"/>
      <c r="B25" s="125"/>
      <c r="C25" s="125"/>
      <c r="D25" s="125"/>
      <c r="E25" s="125"/>
      <c r="F25" s="125"/>
      <c r="G25" s="125"/>
      <c r="H25" s="125"/>
      <c r="I25" s="125"/>
      <c r="J25" s="125"/>
      <c r="K25" s="125"/>
      <c r="L25" s="125"/>
      <c r="M25" s="125"/>
      <c r="N25" s="125"/>
      <c r="O25" s="125"/>
      <c r="P25" s="125"/>
      <c r="Q25" s="125"/>
      <c r="R25" s="125"/>
      <c r="S25" s="125"/>
      <c r="T25" s="125"/>
      <c r="U25" s="125"/>
    </row>
    <row r="26" spans="1:24" ht="18" customHeight="1" x14ac:dyDescent="0.15">
      <c r="B26" s="91" t="s">
        <v>21</v>
      </c>
      <c r="C26" s="92"/>
      <c r="D26" s="92"/>
      <c r="E26" s="92"/>
      <c r="F26" s="93"/>
      <c r="G26" s="51" t="s">
        <v>22</v>
      </c>
      <c r="H26" s="50" t="s">
        <v>23</v>
      </c>
      <c r="I26" s="17" t="s">
        <v>24</v>
      </c>
      <c r="J26" s="17" t="s">
        <v>25</v>
      </c>
      <c r="K26" s="91" t="s">
        <v>21</v>
      </c>
      <c r="L26" s="92"/>
      <c r="M26" s="92"/>
      <c r="N26" s="92"/>
      <c r="O26" s="92"/>
      <c r="P26" s="92"/>
      <c r="Q26" s="93"/>
      <c r="R26" s="51" t="s">
        <v>22</v>
      </c>
      <c r="S26" s="50" t="s">
        <v>23</v>
      </c>
      <c r="T26" s="17" t="s">
        <v>24</v>
      </c>
      <c r="U26" s="17" t="s">
        <v>25</v>
      </c>
    </row>
    <row r="27" spans="1:24" ht="18" customHeight="1" x14ac:dyDescent="0.15">
      <c r="B27" s="102" t="s">
        <v>26</v>
      </c>
      <c r="C27" s="103"/>
      <c r="D27" s="103"/>
      <c r="E27" s="103"/>
      <c r="F27" s="104"/>
      <c r="G27" s="18">
        <v>2</v>
      </c>
      <c r="H27" s="18" t="s">
        <v>27</v>
      </c>
      <c r="I27" s="18" t="s">
        <v>27</v>
      </c>
      <c r="J27" s="18" t="s">
        <v>27</v>
      </c>
      <c r="K27" s="102"/>
      <c r="L27" s="103"/>
      <c r="M27" s="103"/>
      <c r="N27" s="103"/>
      <c r="O27" s="103"/>
      <c r="P27" s="103"/>
      <c r="Q27" s="104"/>
      <c r="R27" s="18"/>
      <c r="S27" s="18"/>
      <c r="T27" s="18"/>
      <c r="U27" s="18"/>
    </row>
    <row r="28" spans="1:24" ht="18" customHeight="1" x14ac:dyDescent="0.15">
      <c r="B28" s="94"/>
      <c r="C28" s="95"/>
      <c r="D28" s="95"/>
      <c r="E28" s="95"/>
      <c r="F28" s="96"/>
      <c r="G28" s="19"/>
      <c r="H28" s="19"/>
      <c r="I28" s="19"/>
      <c r="J28" s="19"/>
      <c r="K28" s="94"/>
      <c r="L28" s="95"/>
      <c r="M28" s="95"/>
      <c r="N28" s="95"/>
      <c r="O28" s="95"/>
      <c r="P28" s="95"/>
      <c r="Q28" s="96"/>
      <c r="R28" s="19"/>
      <c r="S28" s="19"/>
      <c r="T28" s="19"/>
      <c r="U28" s="19"/>
    </row>
    <row r="29" spans="1:24" ht="18" customHeight="1" x14ac:dyDescent="0.15">
      <c r="B29" s="94"/>
      <c r="C29" s="95"/>
      <c r="D29" s="95"/>
      <c r="E29" s="95"/>
      <c r="F29" s="96"/>
      <c r="G29" s="19"/>
      <c r="H29" s="19"/>
      <c r="I29" s="19"/>
      <c r="J29" s="19"/>
      <c r="K29" s="94"/>
      <c r="L29" s="95"/>
      <c r="M29" s="95"/>
      <c r="N29" s="95"/>
      <c r="O29" s="95"/>
      <c r="P29" s="95"/>
      <c r="Q29" s="96"/>
      <c r="R29" s="19"/>
      <c r="S29" s="19"/>
      <c r="T29" s="19"/>
      <c r="U29" s="19"/>
    </row>
    <row r="30" spans="1:24" ht="18" customHeight="1" x14ac:dyDescent="0.15">
      <c r="B30" s="94"/>
      <c r="C30" s="95"/>
      <c r="D30" s="95"/>
      <c r="E30" s="95"/>
      <c r="F30" s="96"/>
      <c r="G30" s="19"/>
      <c r="H30" s="19"/>
      <c r="I30" s="19"/>
      <c r="J30" s="19"/>
      <c r="K30" s="94"/>
      <c r="L30" s="95"/>
      <c r="M30" s="95"/>
      <c r="N30" s="95"/>
      <c r="O30" s="95"/>
      <c r="P30" s="95"/>
      <c r="Q30" s="96"/>
      <c r="R30" s="19"/>
      <c r="S30" s="19"/>
      <c r="T30" s="19"/>
      <c r="U30" s="19"/>
    </row>
    <row r="31" spans="1:24" ht="18" customHeight="1" x14ac:dyDescent="0.15">
      <c r="B31" s="94"/>
      <c r="C31" s="95"/>
      <c r="D31" s="95"/>
      <c r="E31" s="95"/>
      <c r="F31" s="96"/>
      <c r="G31" s="19"/>
      <c r="H31" s="19"/>
      <c r="I31" s="19"/>
      <c r="J31" s="19"/>
      <c r="K31" s="94"/>
      <c r="L31" s="95"/>
      <c r="M31" s="95"/>
      <c r="N31" s="95"/>
      <c r="O31" s="95"/>
      <c r="P31" s="95"/>
      <c r="Q31" s="96"/>
      <c r="R31" s="19"/>
      <c r="S31" s="19"/>
      <c r="T31" s="19"/>
      <c r="U31" s="19"/>
    </row>
    <row r="32" spans="1:24" ht="18" customHeight="1" x14ac:dyDescent="0.15">
      <c r="A32" s="3"/>
      <c r="B32" s="94"/>
      <c r="C32" s="95"/>
      <c r="D32" s="95"/>
      <c r="E32" s="95"/>
      <c r="F32" s="96"/>
      <c r="G32" s="19"/>
      <c r="H32" s="19"/>
      <c r="I32" s="19"/>
      <c r="J32" s="19"/>
      <c r="K32" s="94"/>
      <c r="L32" s="95"/>
      <c r="M32" s="95"/>
      <c r="N32" s="95"/>
      <c r="O32" s="95"/>
      <c r="P32" s="95"/>
      <c r="Q32" s="96"/>
      <c r="R32" s="19"/>
      <c r="S32" s="19"/>
      <c r="T32" s="19"/>
      <c r="U32" s="19"/>
    </row>
    <row r="33" spans="1:21" ht="18" customHeight="1" x14ac:dyDescent="0.15">
      <c r="A33" s="3"/>
      <c r="B33" s="97"/>
      <c r="C33" s="98"/>
      <c r="D33" s="98"/>
      <c r="E33" s="98"/>
      <c r="F33" s="99"/>
      <c r="G33" s="20"/>
      <c r="H33" s="20"/>
      <c r="I33" s="21"/>
      <c r="J33" s="21"/>
      <c r="K33" s="97"/>
      <c r="L33" s="98"/>
      <c r="M33" s="98"/>
      <c r="N33" s="98"/>
      <c r="O33" s="98"/>
      <c r="P33" s="98"/>
      <c r="Q33" s="99"/>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5" t="s">
        <v>28</v>
      </c>
      <c r="B35" s="105"/>
      <c r="C35" s="105"/>
      <c r="D35" s="105"/>
      <c r="E35" s="105"/>
      <c r="F35" s="105"/>
      <c r="G35" s="105"/>
      <c r="H35" s="105"/>
      <c r="I35" s="105"/>
      <c r="J35" s="105"/>
      <c r="K35" s="105"/>
      <c r="L35" s="105"/>
      <c r="M35" s="105"/>
      <c r="N35" s="105"/>
      <c r="O35" s="105"/>
      <c r="P35" s="105"/>
      <c r="Q35" s="105"/>
      <c r="R35" s="105"/>
      <c r="S35" s="105"/>
      <c r="T35" s="105"/>
      <c r="U35" s="105"/>
    </row>
    <row r="36" spans="1:21" ht="18" customHeight="1" x14ac:dyDescent="0.15">
      <c r="A36" s="105"/>
      <c r="B36" s="105"/>
      <c r="C36" s="105"/>
      <c r="D36" s="105"/>
      <c r="E36" s="105"/>
      <c r="F36" s="105"/>
      <c r="G36" s="105"/>
      <c r="H36" s="105"/>
      <c r="I36" s="105"/>
      <c r="J36" s="105"/>
      <c r="K36" s="105"/>
      <c r="L36" s="105"/>
      <c r="M36" s="105"/>
      <c r="N36" s="105"/>
      <c r="O36" s="105"/>
      <c r="P36" s="105"/>
      <c r="Q36" s="105"/>
      <c r="R36" s="105"/>
      <c r="S36" s="105"/>
      <c r="T36" s="105"/>
      <c r="U36" s="105"/>
    </row>
    <row r="37" spans="1:21" ht="18" customHeight="1" x14ac:dyDescent="0.15">
      <c r="B37" s="91" t="s">
        <v>21</v>
      </c>
      <c r="C37" s="92"/>
      <c r="D37" s="92"/>
      <c r="E37" s="92"/>
      <c r="F37" s="93"/>
      <c r="G37" s="51" t="s">
        <v>22</v>
      </c>
      <c r="H37" s="50" t="s">
        <v>23</v>
      </c>
      <c r="I37" s="17" t="s">
        <v>29</v>
      </c>
      <c r="J37" s="17" t="s">
        <v>30</v>
      </c>
      <c r="K37" s="91" t="s">
        <v>21</v>
      </c>
      <c r="L37" s="92"/>
      <c r="M37" s="92"/>
      <c r="N37" s="92"/>
      <c r="O37" s="92"/>
      <c r="P37" s="92"/>
      <c r="Q37" s="93"/>
      <c r="R37" s="51" t="s">
        <v>22</v>
      </c>
      <c r="S37" s="50" t="s">
        <v>23</v>
      </c>
      <c r="T37" s="17" t="s">
        <v>29</v>
      </c>
      <c r="U37" s="17" t="s">
        <v>30</v>
      </c>
    </row>
    <row r="38" spans="1:21" ht="18" customHeight="1" x14ac:dyDescent="0.15">
      <c r="B38" s="102" t="s">
        <v>26</v>
      </c>
      <c r="C38" s="103"/>
      <c r="D38" s="103"/>
      <c r="E38" s="103"/>
      <c r="F38" s="104"/>
      <c r="G38" s="18">
        <v>2</v>
      </c>
      <c r="H38" s="18" t="s">
        <v>27</v>
      </c>
      <c r="I38" s="18" t="s">
        <v>27</v>
      </c>
      <c r="J38" s="18" t="s">
        <v>27</v>
      </c>
      <c r="K38" s="102"/>
      <c r="L38" s="103"/>
      <c r="M38" s="103"/>
      <c r="N38" s="103"/>
      <c r="O38" s="103"/>
      <c r="P38" s="103"/>
      <c r="Q38" s="104"/>
      <c r="R38" s="18"/>
      <c r="S38" s="18"/>
      <c r="T38" s="18"/>
      <c r="U38" s="18"/>
    </row>
    <row r="39" spans="1:21" ht="18" customHeight="1" x14ac:dyDescent="0.15">
      <c r="B39" s="94" t="s">
        <v>31</v>
      </c>
      <c r="C39" s="95"/>
      <c r="D39" s="95"/>
      <c r="E39" s="95"/>
      <c r="F39" s="96"/>
      <c r="G39" s="19">
        <v>2</v>
      </c>
      <c r="H39" s="19" t="s">
        <v>27</v>
      </c>
      <c r="I39" s="19" t="s">
        <v>27</v>
      </c>
      <c r="J39" s="19" t="s">
        <v>27</v>
      </c>
      <c r="K39" s="94"/>
      <c r="L39" s="95"/>
      <c r="M39" s="95"/>
      <c r="N39" s="95"/>
      <c r="O39" s="95"/>
      <c r="P39" s="95"/>
      <c r="Q39" s="96"/>
      <c r="R39" s="19"/>
      <c r="S39" s="19"/>
      <c r="T39" s="19"/>
      <c r="U39" s="19"/>
    </row>
    <row r="40" spans="1:21" ht="18" customHeight="1" x14ac:dyDescent="0.15">
      <c r="B40" s="94"/>
      <c r="C40" s="95"/>
      <c r="D40" s="95"/>
      <c r="E40" s="95"/>
      <c r="F40" s="96"/>
      <c r="G40" s="19"/>
      <c r="H40" s="19"/>
      <c r="I40" s="19"/>
      <c r="J40" s="19"/>
      <c r="K40" s="94"/>
      <c r="L40" s="95"/>
      <c r="M40" s="95"/>
      <c r="N40" s="95"/>
      <c r="O40" s="95"/>
      <c r="P40" s="95"/>
      <c r="Q40" s="96"/>
      <c r="R40" s="19"/>
      <c r="S40" s="19"/>
      <c r="T40" s="19"/>
      <c r="U40" s="19"/>
    </row>
    <row r="41" spans="1:21" ht="18" customHeight="1" x14ac:dyDescent="0.15">
      <c r="B41" s="94"/>
      <c r="C41" s="95"/>
      <c r="D41" s="95"/>
      <c r="E41" s="95"/>
      <c r="F41" s="96"/>
      <c r="G41" s="19"/>
      <c r="H41" s="19"/>
      <c r="I41" s="19"/>
      <c r="J41" s="19"/>
      <c r="K41" s="94"/>
      <c r="L41" s="95"/>
      <c r="M41" s="95"/>
      <c r="N41" s="95"/>
      <c r="O41" s="95"/>
      <c r="P41" s="95"/>
      <c r="Q41" s="96"/>
      <c r="R41" s="19"/>
      <c r="S41" s="19"/>
      <c r="T41" s="19"/>
      <c r="U41" s="19"/>
    </row>
    <row r="42" spans="1:21" ht="18" customHeight="1" x14ac:dyDescent="0.15">
      <c r="B42" s="94"/>
      <c r="C42" s="95"/>
      <c r="D42" s="95"/>
      <c r="E42" s="95"/>
      <c r="F42" s="96"/>
      <c r="G42" s="19"/>
      <c r="H42" s="19"/>
      <c r="I42" s="19"/>
      <c r="J42" s="19"/>
      <c r="K42" s="94"/>
      <c r="L42" s="95"/>
      <c r="M42" s="95"/>
      <c r="N42" s="95"/>
      <c r="O42" s="95"/>
      <c r="P42" s="95"/>
      <c r="Q42" s="96"/>
      <c r="R42" s="19"/>
      <c r="S42" s="19"/>
      <c r="T42" s="19"/>
      <c r="U42" s="19"/>
    </row>
    <row r="43" spans="1:21" ht="18" customHeight="1" x14ac:dyDescent="0.15">
      <c r="B43" s="94"/>
      <c r="C43" s="95"/>
      <c r="D43" s="95"/>
      <c r="E43" s="95"/>
      <c r="F43" s="96"/>
      <c r="G43" s="19"/>
      <c r="H43" s="19"/>
      <c r="I43" s="19"/>
      <c r="J43" s="19"/>
      <c r="K43" s="94"/>
      <c r="L43" s="95"/>
      <c r="M43" s="95"/>
      <c r="N43" s="95"/>
      <c r="O43" s="95"/>
      <c r="P43" s="95"/>
      <c r="Q43" s="96"/>
      <c r="R43" s="19"/>
      <c r="S43" s="19"/>
      <c r="T43" s="19"/>
      <c r="U43" s="19"/>
    </row>
    <row r="44" spans="1:21" ht="18" customHeight="1" x14ac:dyDescent="0.15">
      <c r="B44" s="97"/>
      <c r="C44" s="98"/>
      <c r="D44" s="98"/>
      <c r="E44" s="98"/>
      <c r="F44" s="99"/>
      <c r="G44" s="20"/>
      <c r="H44" s="20"/>
      <c r="I44" s="21"/>
      <c r="J44" s="21"/>
      <c r="K44" s="97"/>
      <c r="L44" s="98"/>
      <c r="M44" s="98"/>
      <c r="N44" s="98"/>
      <c r="O44" s="98"/>
      <c r="P44" s="98"/>
      <c r="Q44" s="99"/>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5" t="s">
        <v>32</v>
      </c>
      <c r="B46" s="105"/>
      <c r="C46" s="105"/>
      <c r="D46" s="105"/>
      <c r="E46" s="105"/>
      <c r="F46" s="105"/>
      <c r="G46" s="105"/>
      <c r="H46" s="105"/>
      <c r="I46" s="105"/>
      <c r="J46" s="105"/>
      <c r="K46" s="105"/>
      <c r="L46" s="105"/>
      <c r="M46" s="105"/>
      <c r="N46" s="105"/>
      <c r="O46" s="105"/>
      <c r="P46" s="105"/>
      <c r="Q46" s="105"/>
      <c r="R46" s="105"/>
      <c r="S46" s="105"/>
      <c r="T46" s="105"/>
      <c r="U46" s="105"/>
    </row>
    <row r="47" spans="1:21" ht="18" customHeight="1" x14ac:dyDescent="0.15">
      <c r="A47" s="105"/>
      <c r="B47" s="105"/>
      <c r="C47" s="105"/>
      <c r="D47" s="105"/>
      <c r="E47" s="105"/>
      <c r="F47" s="105"/>
      <c r="G47" s="105"/>
      <c r="H47" s="105"/>
      <c r="I47" s="105"/>
      <c r="J47" s="105"/>
      <c r="K47" s="105"/>
      <c r="L47" s="105"/>
      <c r="M47" s="105"/>
      <c r="N47" s="105"/>
      <c r="O47" s="105"/>
      <c r="P47" s="105"/>
      <c r="Q47" s="105"/>
      <c r="R47" s="105"/>
      <c r="S47" s="105"/>
      <c r="T47" s="105"/>
      <c r="U47" s="105"/>
    </row>
    <row r="48" spans="1:21" ht="18" customHeight="1" x14ac:dyDescent="0.15">
      <c r="B48" s="91" t="s">
        <v>21</v>
      </c>
      <c r="C48" s="92"/>
      <c r="D48" s="92"/>
      <c r="E48" s="92"/>
      <c r="F48" s="93"/>
      <c r="G48" s="51" t="s">
        <v>22</v>
      </c>
      <c r="H48" s="50" t="s">
        <v>23</v>
      </c>
      <c r="I48" s="17" t="s">
        <v>33</v>
      </c>
      <c r="J48" s="17" t="s">
        <v>34</v>
      </c>
      <c r="K48" s="91" t="s">
        <v>21</v>
      </c>
      <c r="L48" s="92"/>
      <c r="M48" s="92"/>
      <c r="N48" s="92"/>
      <c r="O48" s="92"/>
      <c r="P48" s="92"/>
      <c r="Q48" s="93"/>
      <c r="R48" s="51" t="s">
        <v>22</v>
      </c>
      <c r="S48" s="50" t="s">
        <v>23</v>
      </c>
      <c r="T48" s="17" t="s">
        <v>33</v>
      </c>
      <c r="U48" s="17" t="s">
        <v>34</v>
      </c>
    </row>
    <row r="49" spans="1:21" ht="18" customHeight="1" x14ac:dyDescent="0.15">
      <c r="A49" s="3"/>
      <c r="B49" s="102" t="s">
        <v>26</v>
      </c>
      <c r="C49" s="103"/>
      <c r="D49" s="103"/>
      <c r="E49" s="103"/>
      <c r="F49" s="104"/>
      <c r="G49" s="18">
        <v>2</v>
      </c>
      <c r="H49" s="18" t="s">
        <v>27</v>
      </c>
      <c r="I49" s="18" t="s">
        <v>27</v>
      </c>
      <c r="J49" s="18" t="s">
        <v>27</v>
      </c>
      <c r="K49" s="102"/>
      <c r="L49" s="103"/>
      <c r="M49" s="103"/>
      <c r="N49" s="103"/>
      <c r="O49" s="103"/>
      <c r="P49" s="103"/>
      <c r="Q49" s="104"/>
      <c r="R49" s="18"/>
      <c r="S49" s="18"/>
      <c r="T49" s="18"/>
      <c r="U49" s="18"/>
    </row>
    <row r="50" spans="1:21" ht="18" customHeight="1" x14ac:dyDescent="0.15">
      <c r="A50" s="3"/>
      <c r="B50" s="94" t="s">
        <v>31</v>
      </c>
      <c r="C50" s="95"/>
      <c r="D50" s="95"/>
      <c r="E50" s="95"/>
      <c r="F50" s="96"/>
      <c r="G50" s="19">
        <v>2</v>
      </c>
      <c r="H50" s="19" t="s">
        <v>27</v>
      </c>
      <c r="I50" s="19" t="s">
        <v>27</v>
      </c>
      <c r="J50" s="19"/>
      <c r="K50" s="94"/>
      <c r="L50" s="95"/>
      <c r="M50" s="95"/>
      <c r="N50" s="95"/>
      <c r="O50" s="95"/>
      <c r="P50" s="95"/>
      <c r="Q50" s="96"/>
      <c r="R50" s="19"/>
      <c r="S50" s="19"/>
      <c r="T50" s="19"/>
      <c r="U50" s="19"/>
    </row>
    <row r="51" spans="1:21" ht="18" customHeight="1" x14ac:dyDescent="0.15">
      <c r="A51" s="3"/>
      <c r="B51" s="94"/>
      <c r="C51" s="95"/>
      <c r="D51" s="95"/>
      <c r="E51" s="95"/>
      <c r="F51" s="96"/>
      <c r="G51" s="19"/>
      <c r="H51" s="19"/>
      <c r="I51" s="19"/>
      <c r="J51" s="19"/>
      <c r="K51" s="94"/>
      <c r="L51" s="95"/>
      <c r="M51" s="95"/>
      <c r="N51" s="95"/>
      <c r="O51" s="95"/>
      <c r="P51" s="95"/>
      <c r="Q51" s="96"/>
      <c r="R51" s="19"/>
      <c r="S51" s="19"/>
      <c r="T51" s="19"/>
      <c r="U51" s="19"/>
    </row>
    <row r="52" spans="1:21" ht="18" customHeight="1" x14ac:dyDescent="0.15">
      <c r="A52" s="3"/>
      <c r="B52" s="94"/>
      <c r="C52" s="95"/>
      <c r="D52" s="95"/>
      <c r="E52" s="95"/>
      <c r="F52" s="96"/>
      <c r="G52" s="19"/>
      <c r="H52" s="19"/>
      <c r="I52" s="19"/>
      <c r="J52" s="19"/>
      <c r="K52" s="94"/>
      <c r="L52" s="95"/>
      <c r="M52" s="95"/>
      <c r="N52" s="95"/>
      <c r="O52" s="95"/>
      <c r="P52" s="95"/>
      <c r="Q52" s="96"/>
      <c r="R52" s="19"/>
      <c r="S52" s="19"/>
      <c r="T52" s="19"/>
      <c r="U52" s="19"/>
    </row>
    <row r="53" spans="1:21" ht="18" customHeight="1" x14ac:dyDescent="0.15">
      <c r="A53" s="3"/>
      <c r="B53" s="94"/>
      <c r="C53" s="95"/>
      <c r="D53" s="95"/>
      <c r="E53" s="95"/>
      <c r="F53" s="96"/>
      <c r="G53" s="19"/>
      <c r="H53" s="19"/>
      <c r="I53" s="19"/>
      <c r="J53" s="19"/>
      <c r="K53" s="94"/>
      <c r="L53" s="95"/>
      <c r="M53" s="95"/>
      <c r="N53" s="95"/>
      <c r="O53" s="95"/>
      <c r="P53" s="95"/>
      <c r="Q53" s="96"/>
      <c r="R53" s="19"/>
      <c r="S53" s="19"/>
      <c r="T53" s="19"/>
      <c r="U53" s="19"/>
    </row>
    <row r="54" spans="1:21" ht="18" customHeight="1" x14ac:dyDescent="0.15">
      <c r="A54" s="3"/>
      <c r="B54" s="94"/>
      <c r="C54" s="95"/>
      <c r="D54" s="95"/>
      <c r="E54" s="95"/>
      <c r="F54" s="96"/>
      <c r="G54" s="19"/>
      <c r="H54" s="19"/>
      <c r="I54" s="19"/>
      <c r="J54" s="19"/>
      <c r="K54" s="94"/>
      <c r="L54" s="95"/>
      <c r="M54" s="95"/>
      <c r="N54" s="95"/>
      <c r="O54" s="95"/>
      <c r="P54" s="95"/>
      <c r="Q54" s="96"/>
      <c r="R54" s="19"/>
      <c r="S54" s="19"/>
      <c r="T54" s="19"/>
      <c r="U54" s="19"/>
    </row>
    <row r="55" spans="1:21" ht="18" customHeight="1" x14ac:dyDescent="0.15">
      <c r="A55" s="3"/>
      <c r="B55" s="97"/>
      <c r="C55" s="98"/>
      <c r="D55" s="98"/>
      <c r="E55" s="98"/>
      <c r="F55" s="99"/>
      <c r="G55" s="20"/>
      <c r="H55" s="20"/>
      <c r="I55" s="21"/>
      <c r="J55" s="21"/>
      <c r="K55" s="97"/>
      <c r="L55" s="98"/>
      <c r="M55" s="98"/>
      <c r="N55" s="98"/>
      <c r="O55" s="98"/>
      <c r="P55" s="98"/>
      <c r="Q55" s="99"/>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5" t="s">
        <v>35</v>
      </c>
      <c r="B57" s="105"/>
      <c r="C57" s="105"/>
      <c r="D57" s="105"/>
      <c r="E57" s="105"/>
      <c r="F57" s="105"/>
      <c r="G57" s="105"/>
      <c r="H57" s="105"/>
      <c r="I57" s="105"/>
      <c r="J57" s="105"/>
      <c r="K57" s="105"/>
      <c r="L57" s="105"/>
      <c r="M57" s="105"/>
      <c r="N57" s="105"/>
      <c r="O57" s="105"/>
      <c r="P57" s="105"/>
      <c r="Q57" s="105"/>
      <c r="R57" s="105"/>
      <c r="S57" s="105"/>
      <c r="T57" s="105"/>
      <c r="U57" s="105"/>
    </row>
    <row r="58" spans="1:21" ht="18" customHeight="1" x14ac:dyDescent="0.15">
      <c r="A58" s="105"/>
      <c r="B58" s="105"/>
      <c r="C58" s="105"/>
      <c r="D58" s="105"/>
      <c r="E58" s="105"/>
      <c r="F58" s="105"/>
      <c r="G58" s="105"/>
      <c r="H58" s="105"/>
      <c r="I58" s="105"/>
      <c r="J58" s="105"/>
      <c r="K58" s="105"/>
      <c r="L58" s="105"/>
      <c r="M58" s="105"/>
      <c r="N58" s="105"/>
      <c r="O58" s="105"/>
      <c r="P58" s="105"/>
      <c r="Q58" s="105"/>
      <c r="R58" s="105"/>
      <c r="S58" s="105"/>
      <c r="T58" s="105"/>
      <c r="U58" s="105"/>
    </row>
    <row r="59" spans="1:21" ht="18" customHeight="1" x14ac:dyDescent="0.15">
      <c r="B59" s="91" t="s">
        <v>21</v>
      </c>
      <c r="C59" s="92"/>
      <c r="D59" s="92"/>
      <c r="E59" s="92"/>
      <c r="F59" s="93"/>
      <c r="G59" s="51" t="s">
        <v>22</v>
      </c>
      <c r="H59" s="50" t="s">
        <v>23</v>
      </c>
      <c r="I59" s="17" t="s">
        <v>36</v>
      </c>
      <c r="J59" s="17" t="s">
        <v>37</v>
      </c>
      <c r="K59" s="91" t="s">
        <v>21</v>
      </c>
      <c r="L59" s="92"/>
      <c r="M59" s="92"/>
      <c r="N59" s="92"/>
      <c r="O59" s="92"/>
      <c r="P59" s="92"/>
      <c r="Q59" s="93"/>
      <c r="R59" s="51" t="s">
        <v>22</v>
      </c>
      <c r="S59" s="50" t="s">
        <v>23</v>
      </c>
      <c r="T59" s="17" t="s">
        <v>36</v>
      </c>
      <c r="U59" s="17" t="s">
        <v>37</v>
      </c>
    </row>
    <row r="60" spans="1:21" ht="18" customHeight="1" x14ac:dyDescent="0.15">
      <c r="A60" s="3"/>
      <c r="B60" s="102" t="s">
        <v>26</v>
      </c>
      <c r="C60" s="103"/>
      <c r="D60" s="103"/>
      <c r="E60" s="103"/>
      <c r="F60" s="104"/>
      <c r="G60" s="18">
        <v>2</v>
      </c>
      <c r="H60" s="18" t="s">
        <v>27</v>
      </c>
      <c r="I60" s="18" t="s">
        <v>27</v>
      </c>
      <c r="J60" s="18" t="s">
        <v>27</v>
      </c>
      <c r="K60" s="102"/>
      <c r="L60" s="103"/>
      <c r="M60" s="103"/>
      <c r="N60" s="103"/>
      <c r="O60" s="103"/>
      <c r="P60" s="103"/>
      <c r="Q60" s="104"/>
      <c r="R60" s="18"/>
      <c r="S60" s="18"/>
      <c r="T60" s="18"/>
      <c r="U60" s="18"/>
    </row>
    <row r="61" spans="1:21" ht="18" customHeight="1" x14ac:dyDescent="0.15">
      <c r="A61" s="3"/>
      <c r="B61" s="94"/>
      <c r="C61" s="95"/>
      <c r="D61" s="95"/>
      <c r="E61" s="95"/>
      <c r="F61" s="96"/>
      <c r="G61" s="19"/>
      <c r="H61" s="19"/>
      <c r="I61" s="19"/>
      <c r="J61" s="19"/>
      <c r="K61" s="94"/>
      <c r="L61" s="95"/>
      <c r="M61" s="95"/>
      <c r="N61" s="95"/>
      <c r="O61" s="95"/>
      <c r="P61" s="95"/>
      <c r="Q61" s="96"/>
      <c r="R61" s="19"/>
      <c r="S61" s="19"/>
      <c r="T61" s="19"/>
      <c r="U61" s="19"/>
    </row>
    <row r="62" spans="1:21" ht="18" customHeight="1" x14ac:dyDescent="0.15">
      <c r="A62" s="3"/>
      <c r="B62" s="94"/>
      <c r="C62" s="95"/>
      <c r="D62" s="95"/>
      <c r="E62" s="95"/>
      <c r="F62" s="96"/>
      <c r="G62" s="19"/>
      <c r="H62" s="19"/>
      <c r="I62" s="19"/>
      <c r="J62" s="19"/>
      <c r="K62" s="94"/>
      <c r="L62" s="95"/>
      <c r="M62" s="95"/>
      <c r="N62" s="95"/>
      <c r="O62" s="95"/>
      <c r="P62" s="95"/>
      <c r="Q62" s="96"/>
      <c r="R62" s="19"/>
      <c r="S62" s="19"/>
      <c r="T62" s="19"/>
      <c r="U62" s="19"/>
    </row>
    <row r="63" spans="1:21" ht="18" customHeight="1" x14ac:dyDescent="0.15">
      <c r="A63" s="3"/>
      <c r="B63" s="94"/>
      <c r="C63" s="95"/>
      <c r="D63" s="95"/>
      <c r="E63" s="95"/>
      <c r="F63" s="96"/>
      <c r="G63" s="19"/>
      <c r="H63" s="19"/>
      <c r="I63" s="19"/>
      <c r="J63" s="19"/>
      <c r="K63" s="94"/>
      <c r="L63" s="95"/>
      <c r="M63" s="95"/>
      <c r="N63" s="95"/>
      <c r="O63" s="95"/>
      <c r="P63" s="95"/>
      <c r="Q63" s="96"/>
      <c r="R63" s="19"/>
      <c r="S63" s="19"/>
      <c r="T63" s="19"/>
      <c r="U63" s="19"/>
    </row>
    <row r="64" spans="1:21" ht="18" customHeight="1" x14ac:dyDescent="0.15">
      <c r="A64" s="3"/>
      <c r="B64" s="94"/>
      <c r="C64" s="95"/>
      <c r="D64" s="95"/>
      <c r="E64" s="95"/>
      <c r="F64" s="96"/>
      <c r="G64" s="19"/>
      <c r="H64" s="19"/>
      <c r="I64" s="19"/>
      <c r="J64" s="19"/>
      <c r="K64" s="94"/>
      <c r="L64" s="95"/>
      <c r="M64" s="95"/>
      <c r="N64" s="95"/>
      <c r="O64" s="95"/>
      <c r="P64" s="95"/>
      <c r="Q64" s="96"/>
      <c r="R64" s="19"/>
      <c r="S64" s="19"/>
      <c r="T64" s="19"/>
      <c r="U64" s="19"/>
    </row>
    <row r="65" spans="1:21" ht="18" customHeight="1" x14ac:dyDescent="0.15">
      <c r="A65" s="3"/>
      <c r="B65" s="94"/>
      <c r="C65" s="95"/>
      <c r="D65" s="95"/>
      <c r="E65" s="95"/>
      <c r="F65" s="96"/>
      <c r="G65" s="19"/>
      <c r="H65" s="19"/>
      <c r="I65" s="19"/>
      <c r="J65" s="19"/>
      <c r="K65" s="94"/>
      <c r="L65" s="95"/>
      <c r="M65" s="95"/>
      <c r="N65" s="95"/>
      <c r="O65" s="95"/>
      <c r="P65" s="95"/>
      <c r="Q65" s="96"/>
      <c r="R65" s="19"/>
      <c r="S65" s="19"/>
      <c r="T65" s="19"/>
      <c r="U65" s="19"/>
    </row>
    <row r="66" spans="1:21" ht="18" customHeight="1" x14ac:dyDescent="0.15">
      <c r="A66" s="3"/>
      <c r="B66" s="97"/>
      <c r="C66" s="98"/>
      <c r="D66" s="98"/>
      <c r="E66" s="98"/>
      <c r="F66" s="99"/>
      <c r="G66" s="20"/>
      <c r="H66" s="20"/>
      <c r="I66" s="21"/>
      <c r="J66" s="21"/>
      <c r="K66" s="97"/>
      <c r="L66" s="98"/>
      <c r="M66" s="98"/>
      <c r="N66" s="98"/>
      <c r="O66" s="98"/>
      <c r="P66" s="98"/>
      <c r="Q66" s="99"/>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5" t="s">
        <v>38</v>
      </c>
      <c r="B68" s="105"/>
      <c r="C68" s="105"/>
      <c r="D68" s="105"/>
      <c r="E68" s="105"/>
      <c r="F68" s="105"/>
      <c r="G68" s="105"/>
      <c r="H68" s="105"/>
      <c r="I68" s="105"/>
      <c r="J68" s="105"/>
      <c r="K68" s="105"/>
      <c r="L68" s="105"/>
      <c r="M68" s="105"/>
      <c r="N68" s="105"/>
      <c r="O68" s="105"/>
      <c r="P68" s="105"/>
      <c r="Q68" s="105"/>
      <c r="R68" s="105"/>
      <c r="S68" s="105"/>
      <c r="T68" s="105"/>
      <c r="U68" s="105"/>
    </row>
    <row r="69" spans="1:21" ht="18" customHeight="1" x14ac:dyDescent="0.15">
      <c r="A69" s="105"/>
      <c r="B69" s="105"/>
      <c r="C69" s="105"/>
      <c r="D69" s="105"/>
      <c r="E69" s="105"/>
      <c r="F69" s="105"/>
      <c r="G69" s="105"/>
      <c r="H69" s="105"/>
      <c r="I69" s="105"/>
      <c r="J69" s="105"/>
      <c r="K69" s="105"/>
      <c r="L69" s="105"/>
      <c r="M69" s="105"/>
      <c r="N69" s="105"/>
      <c r="O69" s="105"/>
      <c r="P69" s="105"/>
      <c r="Q69" s="105"/>
      <c r="R69" s="105"/>
      <c r="S69" s="105"/>
      <c r="T69" s="105"/>
      <c r="U69" s="105"/>
    </row>
    <row r="70" spans="1:21" ht="18" customHeight="1" x14ac:dyDescent="0.15">
      <c r="B70" s="91" t="s">
        <v>21</v>
      </c>
      <c r="C70" s="92"/>
      <c r="D70" s="92"/>
      <c r="E70" s="92"/>
      <c r="F70" s="51" t="s">
        <v>22</v>
      </c>
      <c r="G70" s="50" t="s">
        <v>23</v>
      </c>
      <c r="H70" s="17" t="s">
        <v>39</v>
      </c>
      <c r="I70" s="17" t="s">
        <v>40</v>
      </c>
      <c r="J70" s="17" t="s">
        <v>41</v>
      </c>
      <c r="K70" s="91" t="s">
        <v>21</v>
      </c>
      <c r="L70" s="92"/>
      <c r="M70" s="92"/>
      <c r="N70" s="92"/>
      <c r="O70" s="92"/>
      <c r="P70" s="93"/>
      <c r="Q70" s="51" t="s">
        <v>22</v>
      </c>
      <c r="R70" s="50" t="s">
        <v>23</v>
      </c>
      <c r="S70" s="17" t="s">
        <v>39</v>
      </c>
      <c r="T70" s="17" t="s">
        <v>40</v>
      </c>
      <c r="U70" s="17" t="s">
        <v>41</v>
      </c>
    </row>
    <row r="71" spans="1:21" ht="18" customHeight="1" x14ac:dyDescent="0.15">
      <c r="A71" s="3"/>
      <c r="B71" s="102" t="s">
        <v>42</v>
      </c>
      <c r="C71" s="103"/>
      <c r="D71" s="103"/>
      <c r="E71" s="103"/>
      <c r="F71" s="18">
        <v>2</v>
      </c>
      <c r="G71" s="18" t="s">
        <v>27</v>
      </c>
      <c r="H71" s="18" t="s">
        <v>27</v>
      </c>
      <c r="I71" s="18"/>
      <c r="J71" s="18" t="s">
        <v>27</v>
      </c>
      <c r="K71" s="102"/>
      <c r="L71" s="103"/>
      <c r="M71" s="103"/>
      <c r="N71" s="103"/>
      <c r="O71" s="103"/>
      <c r="P71" s="104"/>
      <c r="Q71" s="18"/>
      <c r="R71" s="18"/>
      <c r="S71" s="18"/>
      <c r="T71" s="18"/>
      <c r="U71" s="18"/>
    </row>
    <row r="72" spans="1:21" ht="18" customHeight="1" x14ac:dyDescent="0.15">
      <c r="A72" s="3"/>
      <c r="B72" s="94" t="s">
        <v>26</v>
      </c>
      <c r="C72" s="95"/>
      <c r="D72" s="95"/>
      <c r="E72" s="95"/>
      <c r="F72" s="19">
        <v>2</v>
      </c>
      <c r="G72" s="19" t="s">
        <v>27</v>
      </c>
      <c r="H72" s="19" t="s">
        <v>27</v>
      </c>
      <c r="I72" s="19" t="s">
        <v>27</v>
      </c>
      <c r="J72" s="19" t="s">
        <v>27</v>
      </c>
      <c r="K72" s="94"/>
      <c r="L72" s="95"/>
      <c r="M72" s="95"/>
      <c r="N72" s="95"/>
      <c r="O72" s="95"/>
      <c r="P72" s="96"/>
      <c r="Q72" s="19"/>
      <c r="R72" s="19"/>
      <c r="S72" s="19"/>
      <c r="T72" s="19"/>
      <c r="U72" s="19"/>
    </row>
    <row r="73" spans="1:21" ht="18" customHeight="1" x14ac:dyDescent="0.15">
      <c r="A73" s="3"/>
      <c r="B73" s="94" t="s">
        <v>43</v>
      </c>
      <c r="C73" s="95"/>
      <c r="D73" s="95"/>
      <c r="E73" s="95"/>
      <c r="F73" s="19">
        <v>2</v>
      </c>
      <c r="G73" s="19" t="s">
        <v>27</v>
      </c>
      <c r="H73" s="19" t="s">
        <v>27</v>
      </c>
      <c r="I73" s="19"/>
      <c r="J73" s="19" t="s">
        <v>27</v>
      </c>
      <c r="K73" s="94"/>
      <c r="L73" s="95"/>
      <c r="M73" s="95"/>
      <c r="N73" s="95"/>
      <c r="O73" s="95"/>
      <c r="P73" s="96"/>
      <c r="Q73" s="19"/>
      <c r="R73" s="19"/>
      <c r="S73" s="19"/>
      <c r="T73" s="19"/>
      <c r="U73" s="19"/>
    </row>
    <row r="74" spans="1:21" ht="18" customHeight="1" x14ac:dyDescent="0.15">
      <c r="A74" s="3"/>
      <c r="B74" s="94" t="s">
        <v>31</v>
      </c>
      <c r="C74" s="95"/>
      <c r="D74" s="95"/>
      <c r="E74" s="96"/>
      <c r="F74" s="19">
        <v>2</v>
      </c>
      <c r="G74" s="19" t="s">
        <v>27</v>
      </c>
      <c r="H74" s="19" t="s">
        <v>27</v>
      </c>
      <c r="I74" s="19" t="s">
        <v>27</v>
      </c>
      <c r="J74" s="19" t="s">
        <v>27</v>
      </c>
      <c r="K74" s="94"/>
      <c r="L74" s="95"/>
      <c r="M74" s="95"/>
      <c r="N74" s="95"/>
      <c r="O74" s="95"/>
      <c r="P74" s="96"/>
      <c r="Q74" s="19"/>
      <c r="R74" s="19"/>
      <c r="S74" s="19"/>
      <c r="T74" s="19"/>
      <c r="U74" s="19"/>
    </row>
    <row r="75" spans="1:21" ht="18" customHeight="1" x14ac:dyDescent="0.15">
      <c r="A75" s="3"/>
      <c r="B75" s="94"/>
      <c r="C75" s="95"/>
      <c r="D75" s="95"/>
      <c r="E75" s="95"/>
      <c r="F75" s="19"/>
      <c r="G75" s="19"/>
      <c r="H75" s="19"/>
      <c r="I75" s="19"/>
      <c r="J75" s="19"/>
      <c r="K75" s="94"/>
      <c r="L75" s="95"/>
      <c r="M75" s="95"/>
      <c r="N75" s="95"/>
      <c r="O75" s="95"/>
      <c r="P75" s="96"/>
      <c r="Q75" s="19"/>
      <c r="R75" s="19"/>
      <c r="S75" s="19"/>
      <c r="T75" s="19"/>
      <c r="U75" s="19"/>
    </row>
    <row r="76" spans="1:21" ht="18" customHeight="1" x14ac:dyDescent="0.15">
      <c r="A76" s="3"/>
      <c r="B76" s="94"/>
      <c r="C76" s="95"/>
      <c r="D76" s="95"/>
      <c r="E76" s="95"/>
      <c r="F76" s="19"/>
      <c r="G76" s="19"/>
      <c r="H76" s="19"/>
      <c r="I76" s="19"/>
      <c r="J76" s="19"/>
      <c r="K76" s="94"/>
      <c r="L76" s="95"/>
      <c r="M76" s="95"/>
      <c r="N76" s="95"/>
      <c r="O76" s="95"/>
      <c r="P76" s="96"/>
      <c r="Q76" s="19"/>
      <c r="R76" s="19"/>
      <c r="S76" s="19"/>
      <c r="T76" s="19"/>
      <c r="U76" s="19"/>
    </row>
    <row r="77" spans="1:21" ht="18" customHeight="1" x14ac:dyDescent="0.15">
      <c r="A77" s="3"/>
      <c r="B77" s="97"/>
      <c r="C77" s="98"/>
      <c r="D77" s="98"/>
      <c r="E77" s="98"/>
      <c r="F77" s="20"/>
      <c r="G77" s="20"/>
      <c r="H77" s="21"/>
      <c r="I77" s="21"/>
      <c r="J77" s="21"/>
      <c r="K77" s="97"/>
      <c r="L77" s="98"/>
      <c r="M77" s="98"/>
      <c r="N77" s="98"/>
      <c r="O77" s="98"/>
      <c r="P77" s="99"/>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44</v>
      </c>
      <c r="I79" s="3"/>
      <c r="J79" s="3"/>
      <c r="K79" s="3"/>
      <c r="L79" s="3"/>
      <c r="M79" s="3"/>
      <c r="N79" s="3"/>
      <c r="O79" s="3"/>
      <c r="P79" s="3"/>
      <c r="Q79" s="3"/>
      <c r="R79" s="3"/>
      <c r="S79" s="3"/>
      <c r="T79" s="3"/>
      <c r="U79" s="3"/>
    </row>
    <row r="80" spans="1:21" ht="18" customHeight="1" x14ac:dyDescent="0.15">
      <c r="B80" s="91" t="s">
        <v>21</v>
      </c>
      <c r="C80" s="92"/>
      <c r="D80" s="92"/>
      <c r="E80" s="92"/>
      <c r="F80" s="93"/>
      <c r="G80" s="91" t="s">
        <v>45</v>
      </c>
      <c r="H80" s="92"/>
      <c r="I80" s="92"/>
      <c r="J80" s="93"/>
      <c r="K80" s="111" t="s">
        <v>21</v>
      </c>
      <c r="L80" s="112"/>
      <c r="M80" s="112"/>
      <c r="N80" s="112"/>
      <c r="O80" s="112"/>
      <c r="P80" s="112"/>
      <c r="Q80" s="113"/>
      <c r="R80" s="91" t="s">
        <v>45</v>
      </c>
      <c r="S80" s="92"/>
      <c r="T80" s="92"/>
      <c r="U80" s="93"/>
    </row>
    <row r="81" spans="1:21" ht="18" customHeight="1" x14ac:dyDescent="0.15">
      <c r="A81" s="3"/>
      <c r="B81" s="102" t="s">
        <v>46</v>
      </c>
      <c r="C81" s="103"/>
      <c r="D81" s="103"/>
      <c r="E81" s="103"/>
      <c r="F81" s="104"/>
      <c r="G81" s="106" t="s">
        <v>47</v>
      </c>
      <c r="H81" s="107"/>
      <c r="I81" s="107"/>
      <c r="J81" s="108"/>
      <c r="K81" s="102"/>
      <c r="L81" s="103"/>
      <c r="M81" s="103"/>
      <c r="N81" s="103"/>
      <c r="O81" s="103"/>
      <c r="P81" s="103"/>
      <c r="Q81" s="104"/>
      <c r="R81" s="106"/>
      <c r="S81" s="107"/>
      <c r="T81" s="107"/>
      <c r="U81" s="108"/>
    </row>
    <row r="82" spans="1:21" ht="18" customHeight="1" x14ac:dyDescent="0.15">
      <c r="A82" s="3"/>
      <c r="B82" s="94" t="s">
        <v>48</v>
      </c>
      <c r="C82" s="95"/>
      <c r="D82" s="95"/>
      <c r="E82" s="95"/>
      <c r="F82" s="96"/>
      <c r="G82" s="88" t="s">
        <v>47</v>
      </c>
      <c r="H82" s="89"/>
      <c r="I82" s="89"/>
      <c r="J82" s="90"/>
      <c r="K82" s="94"/>
      <c r="L82" s="95"/>
      <c r="M82" s="95"/>
      <c r="N82" s="95"/>
      <c r="O82" s="95"/>
      <c r="P82" s="95"/>
      <c r="Q82" s="96"/>
      <c r="R82" s="88"/>
      <c r="S82" s="89"/>
      <c r="T82" s="89"/>
      <c r="U82" s="90"/>
    </row>
    <row r="83" spans="1:21" ht="18" customHeight="1" x14ac:dyDescent="0.15">
      <c r="A83" s="3"/>
      <c r="B83" s="94" t="s">
        <v>48</v>
      </c>
      <c r="C83" s="95"/>
      <c r="D83" s="95"/>
      <c r="E83" s="95"/>
      <c r="F83" s="96"/>
      <c r="G83" s="88" t="s">
        <v>49</v>
      </c>
      <c r="H83" s="89"/>
      <c r="I83" s="89"/>
      <c r="J83" s="90"/>
      <c r="K83" s="94"/>
      <c r="L83" s="95"/>
      <c r="M83" s="95"/>
      <c r="N83" s="95"/>
      <c r="O83" s="95"/>
      <c r="P83" s="95"/>
      <c r="Q83" s="96"/>
      <c r="R83" s="88"/>
      <c r="S83" s="89"/>
      <c r="T83" s="89"/>
      <c r="U83" s="90"/>
    </row>
    <row r="84" spans="1:21" ht="18" customHeight="1" x14ac:dyDescent="0.15">
      <c r="A84" s="3"/>
      <c r="B84" s="94" t="s">
        <v>48</v>
      </c>
      <c r="C84" s="95"/>
      <c r="D84" s="95"/>
      <c r="E84" s="95"/>
      <c r="F84" s="96"/>
      <c r="G84" s="88" t="s">
        <v>50</v>
      </c>
      <c r="H84" s="89"/>
      <c r="I84" s="89"/>
      <c r="J84" s="90"/>
      <c r="K84" s="94"/>
      <c r="L84" s="95"/>
      <c r="M84" s="95"/>
      <c r="N84" s="95"/>
      <c r="O84" s="95"/>
      <c r="P84" s="95"/>
      <c r="Q84" s="96"/>
      <c r="R84" s="88"/>
      <c r="S84" s="89"/>
      <c r="T84" s="89"/>
      <c r="U84" s="90"/>
    </row>
    <row r="85" spans="1:21" ht="18" customHeight="1" x14ac:dyDescent="0.15">
      <c r="A85" s="3"/>
      <c r="B85" s="94" t="s">
        <v>48</v>
      </c>
      <c r="C85" s="95"/>
      <c r="D85" s="95"/>
      <c r="E85" s="95"/>
      <c r="F85" s="96"/>
      <c r="G85" s="88" t="s">
        <v>51</v>
      </c>
      <c r="H85" s="89"/>
      <c r="I85" s="89"/>
      <c r="J85" s="90"/>
      <c r="K85" s="94"/>
      <c r="L85" s="95"/>
      <c r="M85" s="95"/>
      <c r="N85" s="95"/>
      <c r="O85" s="95"/>
      <c r="P85" s="95"/>
      <c r="Q85" s="96"/>
      <c r="R85" s="88"/>
      <c r="S85" s="89"/>
      <c r="T85" s="89"/>
      <c r="U85" s="90"/>
    </row>
    <row r="86" spans="1:21" ht="18" customHeight="1" x14ac:dyDescent="0.15">
      <c r="A86" s="3"/>
      <c r="B86" s="94" t="s">
        <v>48</v>
      </c>
      <c r="C86" s="95"/>
      <c r="D86" s="95"/>
      <c r="E86" s="95"/>
      <c r="F86" s="96"/>
      <c r="G86" s="88" t="s">
        <v>52</v>
      </c>
      <c r="H86" s="89"/>
      <c r="I86" s="89"/>
      <c r="J86" s="90"/>
      <c r="K86" s="94"/>
      <c r="L86" s="95"/>
      <c r="M86" s="95"/>
      <c r="N86" s="95"/>
      <c r="O86" s="95"/>
      <c r="P86" s="95"/>
      <c r="Q86" s="96"/>
      <c r="R86" s="88"/>
      <c r="S86" s="89"/>
      <c r="T86" s="89"/>
      <c r="U86" s="90"/>
    </row>
    <row r="87" spans="1:21" ht="18" customHeight="1" x14ac:dyDescent="0.15">
      <c r="A87" s="3"/>
      <c r="B87" s="97" t="s">
        <v>48</v>
      </c>
      <c r="C87" s="98"/>
      <c r="D87" s="98"/>
      <c r="E87" s="98"/>
      <c r="F87" s="99"/>
      <c r="G87" s="129" t="s">
        <v>53</v>
      </c>
      <c r="H87" s="130"/>
      <c r="I87" s="130"/>
      <c r="J87" s="131"/>
      <c r="K87" s="97"/>
      <c r="L87" s="98"/>
      <c r="M87" s="98"/>
      <c r="N87" s="98"/>
      <c r="O87" s="98"/>
      <c r="P87" s="98"/>
      <c r="Q87" s="99"/>
      <c r="R87" s="129"/>
      <c r="S87" s="130"/>
      <c r="T87" s="130"/>
      <c r="U87" s="131"/>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54</v>
      </c>
    </row>
    <row r="90" spans="1:21" ht="18.75" customHeight="1" x14ac:dyDescent="0.15">
      <c r="B90" s="132" t="s">
        <v>55</v>
      </c>
      <c r="C90" s="133"/>
      <c r="D90" s="91" t="s">
        <v>56</v>
      </c>
      <c r="E90" s="92"/>
      <c r="F90" s="92"/>
      <c r="G90" s="92"/>
      <c r="H90" s="92"/>
      <c r="I90" s="92"/>
      <c r="J90" s="92"/>
      <c r="K90" s="92"/>
      <c r="L90" s="92"/>
      <c r="M90" s="92"/>
      <c r="N90" s="92"/>
      <c r="O90" s="92"/>
      <c r="P90" s="92"/>
      <c r="Q90" s="92"/>
      <c r="R90" s="92"/>
      <c r="S90" s="92"/>
      <c r="T90" s="92"/>
      <c r="U90" s="93"/>
    </row>
    <row r="91" spans="1:21" ht="97.5" customHeight="1" x14ac:dyDescent="0.15">
      <c r="B91" s="109" t="s">
        <v>57</v>
      </c>
      <c r="C91" s="23" t="s">
        <v>24</v>
      </c>
      <c r="D91" s="143" t="s">
        <v>58</v>
      </c>
      <c r="E91" s="144"/>
      <c r="F91" s="144"/>
      <c r="G91" s="144"/>
      <c r="H91" s="144"/>
      <c r="I91" s="144"/>
      <c r="J91" s="144"/>
      <c r="K91" s="144"/>
      <c r="L91" s="144"/>
      <c r="M91" s="144"/>
      <c r="N91" s="144"/>
      <c r="O91" s="144"/>
      <c r="P91" s="144"/>
      <c r="Q91" s="144"/>
      <c r="R91" s="144"/>
      <c r="S91" s="144"/>
      <c r="T91" s="144"/>
      <c r="U91" s="145"/>
    </row>
    <row r="92" spans="1:21" ht="97.5" customHeight="1" x14ac:dyDescent="0.15">
      <c r="B92" s="114"/>
      <c r="C92" s="24" t="s">
        <v>59</v>
      </c>
      <c r="D92" s="140" t="s">
        <v>60</v>
      </c>
      <c r="E92" s="141"/>
      <c r="F92" s="141"/>
      <c r="G92" s="141"/>
      <c r="H92" s="141"/>
      <c r="I92" s="141"/>
      <c r="J92" s="141"/>
      <c r="K92" s="141"/>
      <c r="L92" s="141"/>
      <c r="M92" s="141"/>
      <c r="N92" s="141"/>
      <c r="O92" s="141"/>
      <c r="P92" s="141"/>
      <c r="Q92" s="141"/>
      <c r="R92" s="141"/>
      <c r="S92" s="141"/>
      <c r="T92" s="141"/>
      <c r="U92" s="142"/>
    </row>
    <row r="93" spans="1:21" ht="97.5" customHeight="1" x14ac:dyDescent="0.15">
      <c r="B93" s="109" t="s">
        <v>61</v>
      </c>
      <c r="C93" s="25" t="s">
        <v>29</v>
      </c>
      <c r="D93" s="143" t="s">
        <v>62</v>
      </c>
      <c r="E93" s="144"/>
      <c r="F93" s="144"/>
      <c r="G93" s="144"/>
      <c r="H93" s="144"/>
      <c r="I93" s="144"/>
      <c r="J93" s="144"/>
      <c r="K93" s="144"/>
      <c r="L93" s="144"/>
      <c r="M93" s="144"/>
      <c r="N93" s="144"/>
      <c r="O93" s="144"/>
      <c r="P93" s="144"/>
      <c r="Q93" s="144"/>
      <c r="R93" s="144"/>
      <c r="S93" s="144"/>
      <c r="T93" s="144"/>
      <c r="U93" s="145"/>
    </row>
    <row r="94" spans="1:21" ht="97.5" customHeight="1" x14ac:dyDescent="0.15">
      <c r="B94" s="110"/>
      <c r="C94" s="26" t="s">
        <v>30</v>
      </c>
      <c r="D94" s="140" t="s">
        <v>63</v>
      </c>
      <c r="E94" s="141"/>
      <c r="F94" s="141"/>
      <c r="G94" s="141"/>
      <c r="H94" s="141"/>
      <c r="I94" s="141"/>
      <c r="J94" s="141"/>
      <c r="K94" s="141"/>
      <c r="L94" s="141"/>
      <c r="M94" s="141"/>
      <c r="N94" s="141"/>
      <c r="O94" s="141"/>
      <c r="P94" s="141"/>
      <c r="Q94" s="141"/>
      <c r="R94" s="141"/>
      <c r="S94" s="141"/>
      <c r="T94" s="141"/>
      <c r="U94" s="142"/>
    </row>
    <row r="95" spans="1:21" ht="97.5" customHeight="1" x14ac:dyDescent="0.15">
      <c r="B95" s="109" t="s">
        <v>64</v>
      </c>
      <c r="C95" s="25" t="s">
        <v>33</v>
      </c>
      <c r="D95" s="143" t="s">
        <v>65</v>
      </c>
      <c r="E95" s="144"/>
      <c r="F95" s="144"/>
      <c r="G95" s="144"/>
      <c r="H95" s="144"/>
      <c r="I95" s="144"/>
      <c r="J95" s="144"/>
      <c r="K95" s="144"/>
      <c r="L95" s="144"/>
      <c r="M95" s="144"/>
      <c r="N95" s="144"/>
      <c r="O95" s="144"/>
      <c r="P95" s="144"/>
      <c r="Q95" s="144"/>
      <c r="R95" s="144"/>
      <c r="S95" s="144"/>
      <c r="T95" s="144"/>
      <c r="U95" s="145"/>
    </row>
    <row r="96" spans="1:21" ht="97.5" customHeight="1" x14ac:dyDescent="0.15">
      <c r="B96" s="110"/>
      <c r="C96" s="27" t="s">
        <v>34</v>
      </c>
      <c r="D96" s="140" t="s">
        <v>66</v>
      </c>
      <c r="E96" s="141"/>
      <c r="F96" s="141"/>
      <c r="G96" s="141"/>
      <c r="H96" s="141"/>
      <c r="I96" s="141"/>
      <c r="J96" s="141"/>
      <c r="K96" s="141"/>
      <c r="L96" s="141"/>
      <c r="M96" s="141"/>
      <c r="N96" s="141"/>
      <c r="O96" s="141"/>
      <c r="P96" s="141"/>
      <c r="Q96" s="141"/>
      <c r="R96" s="141"/>
      <c r="S96" s="141"/>
      <c r="T96" s="141"/>
      <c r="U96" s="142"/>
    </row>
    <row r="97" spans="1:33" ht="97.5" customHeight="1" x14ac:dyDescent="0.15">
      <c r="B97" s="109" t="s">
        <v>67</v>
      </c>
      <c r="C97" s="23" t="s">
        <v>36</v>
      </c>
      <c r="D97" s="143" t="s">
        <v>68</v>
      </c>
      <c r="E97" s="144"/>
      <c r="F97" s="144"/>
      <c r="G97" s="144"/>
      <c r="H97" s="144"/>
      <c r="I97" s="144"/>
      <c r="J97" s="144"/>
      <c r="K97" s="144"/>
      <c r="L97" s="144"/>
      <c r="M97" s="144"/>
      <c r="N97" s="144"/>
      <c r="O97" s="144"/>
      <c r="P97" s="144"/>
      <c r="Q97" s="144"/>
      <c r="R97" s="144"/>
      <c r="S97" s="144"/>
      <c r="T97" s="144"/>
      <c r="U97" s="145"/>
    </row>
    <row r="98" spans="1:33" ht="97.5" customHeight="1" x14ac:dyDescent="0.15">
      <c r="B98" s="110"/>
      <c r="C98" s="26" t="s">
        <v>37</v>
      </c>
      <c r="D98" s="140" t="s">
        <v>69</v>
      </c>
      <c r="E98" s="141"/>
      <c r="F98" s="141"/>
      <c r="G98" s="141"/>
      <c r="H98" s="141"/>
      <c r="I98" s="141"/>
      <c r="J98" s="141"/>
      <c r="K98" s="141"/>
      <c r="L98" s="141"/>
      <c r="M98" s="141"/>
      <c r="N98" s="141"/>
      <c r="O98" s="141"/>
      <c r="P98" s="141"/>
      <c r="Q98" s="141"/>
      <c r="R98" s="141"/>
      <c r="S98" s="141"/>
      <c r="T98" s="141"/>
      <c r="U98" s="142"/>
    </row>
    <row r="99" spans="1:33" ht="97.5" customHeight="1" x14ac:dyDescent="0.15">
      <c r="B99" s="109" t="s">
        <v>70</v>
      </c>
      <c r="C99" s="25" t="s">
        <v>71</v>
      </c>
      <c r="D99" s="143" t="s">
        <v>72</v>
      </c>
      <c r="E99" s="144"/>
      <c r="F99" s="144"/>
      <c r="G99" s="144"/>
      <c r="H99" s="144"/>
      <c r="I99" s="144"/>
      <c r="J99" s="144"/>
      <c r="K99" s="144"/>
      <c r="L99" s="144"/>
      <c r="M99" s="144"/>
      <c r="N99" s="144"/>
      <c r="O99" s="144"/>
      <c r="P99" s="144"/>
      <c r="Q99" s="144"/>
      <c r="R99" s="144"/>
      <c r="S99" s="144"/>
      <c r="T99" s="144"/>
      <c r="U99" s="145"/>
    </row>
    <row r="100" spans="1:33" ht="97.5" customHeight="1" x14ac:dyDescent="0.15">
      <c r="B100" s="114"/>
      <c r="C100" s="28" t="s">
        <v>40</v>
      </c>
      <c r="D100" s="146" t="s">
        <v>73</v>
      </c>
      <c r="E100" s="147"/>
      <c r="F100" s="147"/>
      <c r="G100" s="147"/>
      <c r="H100" s="147"/>
      <c r="I100" s="147"/>
      <c r="J100" s="147"/>
      <c r="K100" s="147"/>
      <c r="L100" s="147"/>
      <c r="M100" s="147"/>
      <c r="N100" s="147"/>
      <c r="O100" s="147"/>
      <c r="P100" s="147"/>
      <c r="Q100" s="147"/>
      <c r="R100" s="147"/>
      <c r="S100" s="147"/>
      <c r="T100" s="147"/>
      <c r="U100" s="148"/>
    </row>
    <row r="101" spans="1:33" ht="97.5" customHeight="1" x14ac:dyDescent="0.15">
      <c r="B101" s="110"/>
      <c r="C101" s="27" t="s">
        <v>41</v>
      </c>
      <c r="D101" s="140" t="s">
        <v>74</v>
      </c>
      <c r="E101" s="141"/>
      <c r="F101" s="141"/>
      <c r="G101" s="141"/>
      <c r="H101" s="141"/>
      <c r="I101" s="141"/>
      <c r="J101" s="141"/>
      <c r="K101" s="141"/>
      <c r="L101" s="141"/>
      <c r="M101" s="141"/>
      <c r="N101" s="141"/>
      <c r="O101" s="141"/>
      <c r="P101" s="141"/>
      <c r="Q101" s="141"/>
      <c r="R101" s="141"/>
      <c r="S101" s="141"/>
      <c r="T101" s="141"/>
      <c r="U101" s="142"/>
    </row>
    <row r="102" spans="1:33" ht="6" customHeight="1" x14ac:dyDescent="0.15"/>
    <row r="103" spans="1:33" ht="18.75" customHeight="1" x14ac:dyDescent="0.15">
      <c r="A103" s="1" t="s">
        <v>75</v>
      </c>
    </row>
    <row r="104" spans="1:33" ht="81.75" customHeight="1" x14ac:dyDescent="0.15">
      <c r="B104" s="126" t="s">
        <v>76</v>
      </c>
      <c r="C104" s="127"/>
      <c r="D104" s="127"/>
      <c r="E104" s="127"/>
      <c r="F104" s="127"/>
      <c r="G104" s="127"/>
      <c r="H104" s="127"/>
      <c r="I104" s="127"/>
      <c r="J104" s="127"/>
      <c r="K104" s="127"/>
      <c r="L104" s="127"/>
      <c r="M104" s="127"/>
      <c r="N104" s="127"/>
      <c r="O104" s="127"/>
      <c r="P104" s="127"/>
      <c r="Q104" s="127"/>
      <c r="R104" s="127"/>
      <c r="S104" s="127"/>
      <c r="T104" s="127"/>
      <c r="U104" s="128"/>
    </row>
    <row r="106" spans="1:33" ht="18.75" customHeight="1" x14ac:dyDescent="0.15">
      <c r="A106" s="75" t="s">
        <v>77</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78</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139" t="s">
        <v>79</v>
      </c>
      <c r="C108" s="139"/>
      <c r="D108" s="139"/>
      <c r="E108" s="139"/>
      <c r="F108" s="139"/>
      <c r="G108" s="139"/>
      <c r="H108" s="139"/>
      <c r="I108" s="139"/>
      <c r="J108" s="139"/>
      <c r="K108" s="139"/>
      <c r="L108" s="139"/>
      <c r="M108" s="139"/>
      <c r="N108" s="139"/>
      <c r="O108" s="139"/>
      <c r="P108" s="139"/>
      <c r="Q108" s="139"/>
      <c r="R108" s="139"/>
      <c r="S108" s="139"/>
      <c r="T108" s="139"/>
      <c r="U108" s="139"/>
      <c r="V108" s="71"/>
      <c r="W108" s="71"/>
      <c r="X108" s="71"/>
      <c r="Y108" s="71"/>
      <c r="Z108" s="71"/>
      <c r="AA108" s="71"/>
      <c r="AB108" s="71"/>
      <c r="AC108" s="71"/>
      <c r="AD108" s="71"/>
      <c r="AE108" s="71"/>
      <c r="AF108" s="71"/>
      <c r="AG108" s="71"/>
    </row>
    <row r="109" spans="1:33" ht="37.35" customHeight="1" x14ac:dyDescent="0.15">
      <c r="A109" s="75"/>
      <c r="B109" s="139"/>
      <c r="C109" s="139"/>
      <c r="D109" s="139"/>
      <c r="E109" s="139"/>
      <c r="F109" s="139"/>
      <c r="G109" s="139"/>
      <c r="H109" s="139"/>
      <c r="I109" s="139"/>
      <c r="J109" s="139"/>
      <c r="K109" s="139"/>
      <c r="L109" s="139"/>
      <c r="M109" s="139"/>
      <c r="N109" s="139"/>
      <c r="O109" s="139"/>
      <c r="P109" s="139"/>
      <c r="Q109" s="139"/>
      <c r="R109" s="139"/>
      <c r="S109" s="139"/>
      <c r="T109" s="139"/>
      <c r="U109" s="139"/>
      <c r="V109" s="71"/>
      <c r="W109" s="71"/>
      <c r="X109" s="71"/>
      <c r="Y109" s="71"/>
      <c r="Z109" s="71"/>
      <c r="AA109" s="71"/>
      <c r="AB109" s="71"/>
      <c r="AC109" s="71"/>
      <c r="AD109" s="71"/>
      <c r="AE109" s="71"/>
      <c r="AF109" s="71"/>
      <c r="AG109" s="71"/>
    </row>
    <row r="110" spans="1:33" ht="18.75" customHeight="1" x14ac:dyDescent="0.15">
      <c r="A110" s="75"/>
      <c r="B110" s="87" t="s">
        <v>80</v>
      </c>
      <c r="C110" s="87"/>
      <c r="D110" s="87"/>
      <c r="E110" s="87"/>
      <c r="F110" s="87"/>
      <c r="G110" s="87"/>
      <c r="H110" s="87"/>
      <c r="I110" s="87"/>
      <c r="J110" s="87"/>
      <c r="K110" s="87"/>
      <c r="L110" s="87"/>
      <c r="M110" s="87"/>
      <c r="N110" s="87"/>
      <c r="O110" s="87"/>
      <c r="P110" s="87"/>
      <c r="Q110" s="87"/>
      <c r="R110" s="87"/>
      <c r="S110" s="87"/>
      <c r="T110" s="87"/>
      <c r="U110" s="87"/>
      <c r="V110" s="71"/>
      <c r="W110" s="71"/>
      <c r="X110" s="71"/>
      <c r="Y110" s="71"/>
      <c r="Z110" s="71"/>
      <c r="AA110" s="71"/>
      <c r="AB110" s="71"/>
      <c r="AC110" s="71"/>
      <c r="AD110" s="71"/>
      <c r="AE110" s="71"/>
      <c r="AF110" s="71"/>
      <c r="AG110" s="71"/>
    </row>
    <row r="111" spans="1:33" ht="18.75" customHeight="1" x14ac:dyDescent="0.15">
      <c r="A111" s="75"/>
      <c r="B111" s="100" t="s">
        <v>56</v>
      </c>
      <c r="C111" s="100"/>
      <c r="D111" s="100"/>
      <c r="E111" s="100"/>
      <c r="F111" s="100"/>
      <c r="G111" s="100"/>
      <c r="H111" s="100"/>
      <c r="I111" s="100"/>
      <c r="J111" s="100"/>
      <c r="K111" s="100"/>
      <c r="L111" s="100"/>
      <c r="M111" s="100"/>
      <c r="N111" s="100"/>
      <c r="O111" s="100"/>
      <c r="P111" s="100"/>
      <c r="Q111" s="100"/>
      <c r="R111" s="100"/>
      <c r="S111" s="100"/>
      <c r="T111" s="100"/>
      <c r="U111" s="100"/>
      <c r="V111" s="70"/>
      <c r="W111" s="70"/>
      <c r="X111" s="70"/>
      <c r="Y111" s="70"/>
      <c r="Z111" s="70"/>
      <c r="AA111" s="70"/>
      <c r="AB111" s="70"/>
      <c r="AC111" s="70"/>
      <c r="AD111" s="70"/>
      <c r="AE111" s="70"/>
      <c r="AF111" s="70"/>
      <c r="AG111" s="70"/>
    </row>
    <row r="112" spans="1:33" ht="132" customHeight="1" x14ac:dyDescent="0.15">
      <c r="A112" s="75"/>
      <c r="B112" s="101" t="s">
        <v>81</v>
      </c>
      <c r="C112" s="101"/>
      <c r="D112" s="101"/>
      <c r="E112" s="101"/>
      <c r="F112" s="101"/>
      <c r="G112" s="101"/>
      <c r="H112" s="101"/>
      <c r="I112" s="101"/>
      <c r="J112" s="101"/>
      <c r="K112" s="101"/>
      <c r="L112" s="101"/>
      <c r="M112" s="101"/>
      <c r="N112" s="101"/>
      <c r="O112" s="101"/>
      <c r="P112" s="101"/>
      <c r="Q112" s="101"/>
      <c r="R112" s="101"/>
      <c r="S112" s="101"/>
      <c r="T112" s="101"/>
      <c r="U112" s="101"/>
      <c r="V112" s="72"/>
      <c r="W112" s="72"/>
      <c r="X112" s="72"/>
      <c r="Y112" s="72"/>
      <c r="Z112" s="72"/>
      <c r="AA112" s="72"/>
      <c r="AB112" s="72"/>
      <c r="AC112" s="72"/>
      <c r="AD112" s="72"/>
      <c r="AE112" s="72"/>
      <c r="AF112" s="72"/>
      <c r="AG112" s="72"/>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G71:J77 S27:U33 H27:J33 S38:U44 R71:U77 S49:U55 H38:J44 S60:U66 H60:J66 H49:J55"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18" zoomScale="115" zoomScaleNormal="100" zoomScaleSheetLayoutView="115" workbookViewId="0">
      <selection activeCell="G13" sqref="G13"/>
    </sheetView>
  </sheetViews>
  <sheetFormatPr defaultColWidth="9" defaultRowHeight="18.75" customHeight="1" x14ac:dyDescent="0.15"/>
  <cols>
    <col min="1" max="1" width="2.875" style="1" customWidth="1"/>
    <col min="2" max="2" width="20.8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82</v>
      </c>
    </row>
    <row r="2" spans="1:21" ht="18" customHeight="1" x14ac:dyDescent="0.15">
      <c r="A2" s="76"/>
      <c r="B2" s="76"/>
      <c r="C2" s="76"/>
      <c r="D2" s="76"/>
      <c r="E2" s="76"/>
      <c r="F2" s="76"/>
      <c r="G2" s="76"/>
      <c r="H2" s="76"/>
      <c r="I2" s="76"/>
      <c r="J2" s="76"/>
      <c r="K2" s="76"/>
      <c r="L2" s="76"/>
      <c r="M2" s="76"/>
      <c r="N2" s="76"/>
      <c r="O2" s="76"/>
      <c r="P2" s="76"/>
      <c r="Q2" s="162" t="str">
        <f>'様式１　プログラムを構成する授業科目'!C2</f>
        <v>東洋食品工業短期大学</v>
      </c>
      <c r="R2" s="162"/>
      <c r="S2" s="162"/>
    </row>
    <row r="3" spans="1:21" ht="18" customHeight="1" x14ac:dyDescent="0.15">
      <c r="A3" s="115" t="s">
        <v>83</v>
      </c>
      <c r="B3" s="115"/>
      <c r="C3" s="115"/>
      <c r="D3" s="115"/>
      <c r="E3" s="115"/>
      <c r="F3" s="115"/>
      <c r="G3" s="115"/>
      <c r="H3" s="115"/>
      <c r="I3" s="115"/>
      <c r="J3" s="115"/>
      <c r="K3" s="115"/>
      <c r="L3" s="115"/>
      <c r="M3" s="115"/>
      <c r="N3" s="115"/>
      <c r="O3" s="115"/>
      <c r="P3" s="115"/>
      <c r="Q3" s="115"/>
      <c r="R3" s="115"/>
      <c r="S3" s="115"/>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84</v>
      </c>
      <c r="B5" s="76"/>
      <c r="C5" s="163" t="s">
        <v>85</v>
      </c>
      <c r="D5" s="164"/>
      <c r="E5" s="81" t="s">
        <v>86</v>
      </c>
      <c r="F5" s="81"/>
      <c r="G5" s="81"/>
      <c r="H5" s="81"/>
      <c r="I5" s="81"/>
      <c r="J5" s="81"/>
      <c r="K5" s="81"/>
      <c r="L5" s="81"/>
      <c r="M5" s="81"/>
      <c r="N5" s="81"/>
      <c r="O5" s="81"/>
      <c r="P5" s="81"/>
      <c r="Q5" s="81"/>
      <c r="R5" s="79"/>
      <c r="S5" s="79"/>
    </row>
    <row r="6" spans="1:21" ht="7.35" customHeight="1" x14ac:dyDescent="0.15">
      <c r="A6" s="76"/>
      <c r="B6" s="76"/>
      <c r="C6" s="86"/>
      <c r="D6" s="86"/>
      <c r="E6" s="81"/>
      <c r="F6" s="81"/>
      <c r="G6" s="81"/>
      <c r="H6" s="81"/>
      <c r="I6" s="81"/>
      <c r="J6" s="81"/>
      <c r="K6" s="81"/>
      <c r="L6" s="81"/>
      <c r="M6" s="81"/>
      <c r="N6" s="81"/>
      <c r="O6" s="81"/>
      <c r="P6" s="81"/>
      <c r="Q6" s="81"/>
      <c r="R6" s="79"/>
      <c r="S6" s="79"/>
    </row>
    <row r="7" spans="1:21" ht="18" customHeight="1" x14ac:dyDescent="0.15">
      <c r="A7" s="76" t="s">
        <v>87</v>
      </c>
      <c r="B7" s="76"/>
      <c r="C7" s="86"/>
      <c r="D7" s="86"/>
      <c r="E7" s="81" t="s">
        <v>88</v>
      </c>
      <c r="F7" s="84">
        <v>40</v>
      </c>
      <c r="G7" s="82" t="s">
        <v>89</v>
      </c>
      <c r="H7" s="81" t="s">
        <v>90</v>
      </c>
      <c r="I7" s="84">
        <v>24</v>
      </c>
      <c r="J7" s="82" t="s">
        <v>89</v>
      </c>
      <c r="K7" s="77" t="s">
        <v>91</v>
      </c>
      <c r="L7" s="81" t="s">
        <v>92</v>
      </c>
      <c r="M7" s="84">
        <f>F7+I7</f>
        <v>64</v>
      </c>
      <c r="N7" s="81" t="s">
        <v>93</v>
      </c>
      <c r="O7" s="82" t="s">
        <v>94</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95</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5" t="s">
        <v>96</v>
      </c>
      <c r="C11" s="175" t="s">
        <v>97</v>
      </c>
      <c r="D11" s="167" t="s">
        <v>98</v>
      </c>
      <c r="E11" s="169" t="s">
        <v>99</v>
      </c>
      <c r="F11" s="161" t="s">
        <v>100</v>
      </c>
      <c r="G11" s="161"/>
      <c r="H11" s="161" t="s">
        <v>101</v>
      </c>
      <c r="I11" s="161"/>
      <c r="J11" s="161" t="s">
        <v>102</v>
      </c>
      <c r="K11" s="161"/>
      <c r="L11" s="161" t="s">
        <v>103</v>
      </c>
      <c r="M11" s="161"/>
      <c r="N11" s="161" t="s">
        <v>104</v>
      </c>
      <c r="O11" s="161"/>
      <c r="P11" s="161" t="s">
        <v>105</v>
      </c>
      <c r="Q11" s="161"/>
      <c r="R11" s="171" t="s">
        <v>106</v>
      </c>
      <c r="S11" s="173" t="s">
        <v>107</v>
      </c>
      <c r="U11" s="2"/>
    </row>
    <row r="12" spans="1:21" ht="17.100000000000001" customHeight="1" x14ac:dyDescent="0.15">
      <c r="B12" s="166"/>
      <c r="C12" s="176"/>
      <c r="D12" s="168"/>
      <c r="E12" s="170"/>
      <c r="F12" s="64" t="s">
        <v>108</v>
      </c>
      <c r="G12" s="64" t="s">
        <v>109</v>
      </c>
      <c r="H12" s="64" t="s">
        <v>108</v>
      </c>
      <c r="I12" s="64" t="s">
        <v>109</v>
      </c>
      <c r="J12" s="64" t="s">
        <v>108</v>
      </c>
      <c r="K12" s="64" t="s">
        <v>109</v>
      </c>
      <c r="L12" s="64" t="s">
        <v>108</v>
      </c>
      <c r="M12" s="64" t="s">
        <v>109</v>
      </c>
      <c r="N12" s="64" t="s">
        <v>108</v>
      </c>
      <c r="O12" s="64" t="s">
        <v>109</v>
      </c>
      <c r="P12" s="64" t="s">
        <v>108</v>
      </c>
      <c r="Q12" s="65" t="s">
        <v>109</v>
      </c>
      <c r="R12" s="172"/>
      <c r="S12" s="174"/>
      <c r="U12" s="2"/>
    </row>
    <row r="13" spans="1:21" ht="18" customHeight="1" x14ac:dyDescent="0.15">
      <c r="A13" s="6"/>
      <c r="B13" s="66" t="s">
        <v>110</v>
      </c>
      <c r="C13" s="52">
        <v>31</v>
      </c>
      <c r="D13" s="53">
        <v>35</v>
      </c>
      <c r="E13" s="54">
        <v>70</v>
      </c>
      <c r="F13" s="54">
        <v>5</v>
      </c>
      <c r="G13" s="54">
        <v>5</v>
      </c>
      <c r="H13" s="54"/>
      <c r="I13" s="54"/>
      <c r="J13" s="54"/>
      <c r="K13" s="54"/>
      <c r="L13" s="54"/>
      <c r="M13" s="54"/>
      <c r="N13" s="54"/>
      <c r="O13" s="54"/>
      <c r="P13" s="54"/>
      <c r="Q13" s="67"/>
      <c r="R13" s="53">
        <f t="shared" ref="R13:R32" si="0">F13+H13+J13+L13+N13+P13</f>
        <v>5</v>
      </c>
      <c r="S13" s="68">
        <f>R13/E13</f>
        <v>7.1428571428571425E-2</v>
      </c>
    </row>
    <row r="14" spans="1:21" ht="18" customHeight="1" x14ac:dyDescent="0.15">
      <c r="A14" s="6"/>
      <c r="B14" s="11"/>
      <c r="C14" s="55"/>
      <c r="D14" s="56"/>
      <c r="E14" s="57"/>
      <c r="F14" s="58"/>
      <c r="G14" s="58"/>
      <c r="H14" s="58"/>
      <c r="I14" s="58"/>
      <c r="J14" s="58"/>
      <c r="K14" s="58"/>
      <c r="L14" s="58"/>
      <c r="M14" s="58"/>
      <c r="N14" s="58"/>
      <c r="O14" s="58"/>
      <c r="P14" s="58"/>
      <c r="Q14" s="55"/>
      <c r="R14" s="56">
        <f t="shared" si="0"/>
        <v>0</v>
      </c>
      <c r="S14" s="16" t="e">
        <f t="shared" ref="S14:S33" si="1">R14/E14</f>
        <v>#DIV/0!</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111</v>
      </c>
      <c r="C33" s="61">
        <f t="shared" ref="C33" si="2">SUM(C13:C32)</f>
        <v>31</v>
      </c>
      <c r="D33" s="62">
        <f t="shared" ref="D33:R33" si="3">SUM(D13:D32)</f>
        <v>35</v>
      </c>
      <c r="E33" s="63">
        <f t="shared" si="3"/>
        <v>70</v>
      </c>
      <c r="F33" s="63">
        <f t="shared" si="3"/>
        <v>5</v>
      </c>
      <c r="G33" s="63">
        <f t="shared" ref="G33:H33" si="4">SUM(G13:G32)</f>
        <v>5</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5</v>
      </c>
      <c r="S33" s="9">
        <f t="shared" si="1"/>
        <v>7.1428571428571425E-2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145" zoomScaleNormal="100" zoomScaleSheetLayoutView="145" workbookViewId="0">
      <selection activeCell="B20" sqref="B20"/>
    </sheetView>
  </sheetViews>
  <sheetFormatPr defaultColWidth="11.375" defaultRowHeight="18.75" customHeight="1" x14ac:dyDescent="0.15"/>
  <cols>
    <col min="1" max="1" width="2.875" style="32"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112</v>
      </c>
      <c r="I1" s="30" t="s">
        <v>113</v>
      </c>
    </row>
    <row r="2" spans="1:9" ht="18.75" customHeight="1" x14ac:dyDescent="0.15">
      <c r="G2" s="30" t="s">
        <v>2</v>
      </c>
      <c r="H2" s="91" t="str">
        <f>'様式１　プログラムを構成する授業科目'!C2</f>
        <v>東洋食品工業短期大学</v>
      </c>
      <c r="I2" s="93"/>
    </row>
    <row r="3" spans="1:9" ht="18.75" customHeight="1" x14ac:dyDescent="0.15">
      <c r="G3" s="30"/>
      <c r="H3" s="10"/>
      <c r="I3" s="10"/>
    </row>
    <row r="4" spans="1:9" ht="18.600000000000001" customHeight="1" x14ac:dyDescent="0.15">
      <c r="A4" s="178" t="s">
        <v>114</v>
      </c>
      <c r="B4" s="178"/>
      <c r="C4" s="178"/>
      <c r="D4" s="178"/>
      <c r="E4" s="178"/>
      <c r="F4" s="178"/>
      <c r="G4" s="178"/>
      <c r="H4" s="178"/>
      <c r="I4" s="178"/>
    </row>
    <row r="5" spans="1:9" ht="13.35" customHeight="1" x14ac:dyDescent="0.15">
      <c r="B5" s="3"/>
      <c r="C5" s="3"/>
      <c r="D5" s="3"/>
      <c r="E5" s="3"/>
      <c r="F5" s="3"/>
      <c r="G5" s="3"/>
      <c r="H5" s="3"/>
      <c r="I5" s="3"/>
    </row>
    <row r="6" spans="1:9" ht="18" customHeight="1" x14ac:dyDescent="0.15">
      <c r="A6" s="1" t="s">
        <v>115</v>
      </c>
      <c r="B6" s="10" t="s">
        <v>116</v>
      </c>
      <c r="C6" s="207" t="s">
        <v>117</v>
      </c>
      <c r="D6" s="207"/>
      <c r="E6" s="29">
        <v>18</v>
      </c>
      <c r="F6" s="3" t="s">
        <v>93</v>
      </c>
      <c r="G6" s="3" t="s">
        <v>118</v>
      </c>
      <c r="H6" s="29">
        <v>18</v>
      </c>
      <c r="I6" s="10" t="s">
        <v>93</v>
      </c>
    </row>
    <row r="7" spans="1:9" ht="12" customHeight="1" x14ac:dyDescent="0.15">
      <c r="C7" s="2"/>
      <c r="D7" s="2"/>
      <c r="E7" s="2"/>
      <c r="F7" s="2"/>
      <c r="G7" s="2"/>
      <c r="H7" s="2"/>
      <c r="I7" s="33"/>
    </row>
    <row r="8" spans="1:9" ht="18" customHeight="1" x14ac:dyDescent="0.15">
      <c r="A8" s="1" t="s">
        <v>119</v>
      </c>
      <c r="B8" s="10" t="s">
        <v>120</v>
      </c>
      <c r="E8" s="3"/>
      <c r="F8" s="3"/>
      <c r="G8" s="3"/>
      <c r="H8" s="29">
        <v>8</v>
      </c>
      <c r="I8" s="10" t="s">
        <v>93</v>
      </c>
    </row>
    <row r="9" spans="1:9" ht="9" customHeight="1" x14ac:dyDescent="0.15">
      <c r="B9" s="3"/>
      <c r="C9" s="3"/>
      <c r="D9" s="3"/>
      <c r="E9" s="3"/>
      <c r="F9" s="3"/>
      <c r="G9" s="3"/>
      <c r="H9" s="3"/>
      <c r="I9" s="3"/>
    </row>
    <row r="10" spans="1:9" ht="18" customHeight="1" x14ac:dyDescent="0.15">
      <c r="A10" s="1" t="s">
        <v>121</v>
      </c>
      <c r="B10" s="10" t="s">
        <v>122</v>
      </c>
      <c r="C10" s="3"/>
      <c r="D10" s="3"/>
      <c r="E10" s="3"/>
      <c r="F10" s="3"/>
      <c r="G10" s="3"/>
      <c r="H10" s="3"/>
      <c r="I10" s="3"/>
    </row>
    <row r="11" spans="1:9" ht="18" customHeight="1" x14ac:dyDescent="0.15">
      <c r="B11" s="30" t="s">
        <v>123</v>
      </c>
      <c r="C11" s="202" t="s">
        <v>124</v>
      </c>
      <c r="D11" s="205"/>
      <c r="E11" s="206"/>
      <c r="F11" s="33"/>
      <c r="G11" s="30" t="s">
        <v>125</v>
      </c>
      <c r="H11" s="202" t="s">
        <v>126</v>
      </c>
      <c r="I11" s="206"/>
    </row>
    <row r="12" spans="1:9" ht="10.35" customHeight="1" x14ac:dyDescent="0.15">
      <c r="B12" s="30"/>
      <c r="C12" s="10"/>
      <c r="D12" s="33"/>
      <c r="E12" s="33"/>
      <c r="F12" s="33"/>
      <c r="G12" s="30"/>
      <c r="H12" s="10"/>
      <c r="I12" s="33"/>
    </row>
    <row r="13" spans="1:9" ht="18" customHeight="1" x14ac:dyDescent="0.15">
      <c r="A13" s="1" t="s">
        <v>127</v>
      </c>
      <c r="B13" s="10" t="s">
        <v>128</v>
      </c>
      <c r="C13" s="3"/>
      <c r="D13" s="3"/>
      <c r="E13" s="3"/>
      <c r="F13" s="3"/>
      <c r="G13" s="3"/>
      <c r="H13" s="3"/>
      <c r="I13" s="3"/>
    </row>
    <row r="14" spans="1:9" ht="18" customHeight="1" x14ac:dyDescent="0.15">
      <c r="B14" s="202" t="s">
        <v>129</v>
      </c>
      <c r="C14" s="203"/>
      <c r="D14" s="203"/>
      <c r="E14" s="203"/>
      <c r="F14" s="203"/>
      <c r="G14" s="203"/>
      <c r="H14" s="203"/>
      <c r="I14" s="204"/>
    </row>
    <row r="15" spans="1:9" ht="9" customHeight="1" x14ac:dyDescent="0.15">
      <c r="B15" s="3"/>
      <c r="C15" s="3"/>
      <c r="D15" s="3"/>
      <c r="E15" s="3"/>
      <c r="F15" s="3"/>
      <c r="G15" s="3"/>
      <c r="H15" s="3"/>
      <c r="I15" s="3"/>
    </row>
    <row r="16" spans="1:9" ht="18" customHeight="1" x14ac:dyDescent="0.15">
      <c r="B16" s="30" t="s">
        <v>123</v>
      </c>
      <c r="C16" s="202" t="s">
        <v>130</v>
      </c>
      <c r="D16" s="205"/>
      <c r="E16" s="206"/>
      <c r="F16" s="33"/>
      <c r="G16" s="30" t="s">
        <v>125</v>
      </c>
      <c r="H16" s="202" t="s">
        <v>126</v>
      </c>
      <c r="I16" s="206"/>
    </row>
    <row r="17" spans="1:9" ht="18" customHeight="1" x14ac:dyDescent="0.15">
      <c r="B17" s="3"/>
      <c r="C17" s="3"/>
      <c r="D17" s="3"/>
      <c r="E17" s="3"/>
      <c r="F17" s="3"/>
      <c r="G17" s="3"/>
      <c r="H17" s="3"/>
      <c r="I17" s="3"/>
    </row>
    <row r="18" spans="1:9" ht="18.75" customHeight="1" x14ac:dyDescent="0.15">
      <c r="A18" s="1" t="s">
        <v>131</v>
      </c>
      <c r="B18" s="1" t="s">
        <v>132</v>
      </c>
      <c r="I18" s="3"/>
    </row>
    <row r="19" spans="1:9" ht="18.75" customHeight="1" x14ac:dyDescent="0.15">
      <c r="A19" s="1"/>
      <c r="B19" s="179" t="s">
        <v>188</v>
      </c>
      <c r="C19" s="180"/>
      <c r="D19" s="180"/>
      <c r="E19" s="180"/>
      <c r="F19" s="180"/>
      <c r="G19" s="180"/>
      <c r="H19" s="180"/>
      <c r="I19" s="181"/>
    </row>
    <row r="20" spans="1:9" ht="7.5" customHeight="1" x14ac:dyDescent="0.15">
      <c r="B20" s="81"/>
      <c r="C20" s="81"/>
      <c r="D20" s="81"/>
      <c r="E20" s="81"/>
      <c r="F20" s="81"/>
      <c r="G20" s="81"/>
      <c r="H20" s="81"/>
      <c r="I20" s="81"/>
    </row>
    <row r="21" spans="1:9" ht="18.75" customHeight="1" x14ac:dyDescent="0.15">
      <c r="A21" s="1" t="s">
        <v>133</v>
      </c>
      <c r="B21" s="76" t="s">
        <v>134</v>
      </c>
      <c r="C21" s="76"/>
      <c r="D21" s="76"/>
      <c r="E21" s="76"/>
      <c r="F21" s="76"/>
      <c r="G21" s="76"/>
      <c r="H21" s="76"/>
      <c r="I21" s="76"/>
    </row>
    <row r="22" spans="1:9" ht="18.75" customHeight="1" x14ac:dyDescent="0.15">
      <c r="A22" s="14"/>
      <c r="B22" s="182" t="s">
        <v>135</v>
      </c>
      <c r="C22" s="183"/>
      <c r="D22" s="183"/>
      <c r="E22" s="183"/>
      <c r="F22" s="183"/>
      <c r="G22" s="183"/>
      <c r="H22" s="183"/>
      <c r="I22" s="184"/>
    </row>
    <row r="23" spans="1:9" ht="18.75" customHeight="1" x14ac:dyDescent="0.15">
      <c r="A23" s="14"/>
      <c r="B23" s="185"/>
      <c r="C23" s="186"/>
      <c r="D23" s="186"/>
      <c r="E23" s="186"/>
      <c r="F23" s="186"/>
      <c r="G23" s="186"/>
      <c r="H23" s="186"/>
      <c r="I23" s="187"/>
    </row>
    <row r="24" spans="1:9" ht="18.75" customHeight="1" x14ac:dyDescent="0.15">
      <c r="A24" s="14"/>
      <c r="B24" s="185"/>
      <c r="C24" s="186"/>
      <c r="D24" s="186"/>
      <c r="E24" s="186"/>
      <c r="F24" s="186"/>
      <c r="G24" s="186"/>
      <c r="H24" s="186"/>
      <c r="I24" s="187"/>
    </row>
    <row r="25" spans="1:9" ht="18.75" customHeight="1" x14ac:dyDescent="0.15">
      <c r="A25" s="14"/>
      <c r="B25" s="185"/>
      <c r="C25" s="186"/>
      <c r="D25" s="186"/>
      <c r="E25" s="186"/>
      <c r="F25" s="186"/>
      <c r="G25" s="186"/>
      <c r="H25" s="186"/>
      <c r="I25" s="187"/>
    </row>
    <row r="26" spans="1:9" ht="18.75" customHeight="1" x14ac:dyDescent="0.15">
      <c r="A26" s="14"/>
      <c r="B26" s="185"/>
      <c r="C26" s="186"/>
      <c r="D26" s="186"/>
      <c r="E26" s="186"/>
      <c r="F26" s="186"/>
      <c r="G26" s="186"/>
      <c r="H26" s="186"/>
      <c r="I26" s="187"/>
    </row>
    <row r="27" spans="1:9" ht="18.75" customHeight="1" x14ac:dyDescent="0.15">
      <c r="A27" s="14"/>
      <c r="B27" s="185"/>
      <c r="C27" s="186"/>
      <c r="D27" s="186"/>
      <c r="E27" s="186"/>
      <c r="F27" s="186"/>
      <c r="G27" s="186"/>
      <c r="H27" s="186"/>
      <c r="I27" s="187"/>
    </row>
    <row r="28" spans="1:9" ht="18.75" customHeight="1" x14ac:dyDescent="0.15">
      <c r="A28" s="14"/>
      <c r="B28" s="185"/>
      <c r="C28" s="186"/>
      <c r="D28" s="186"/>
      <c r="E28" s="186"/>
      <c r="F28" s="186"/>
      <c r="G28" s="186"/>
      <c r="H28" s="186"/>
      <c r="I28" s="187"/>
    </row>
    <row r="29" spans="1:9" ht="18.75" customHeight="1" x14ac:dyDescent="0.15">
      <c r="A29" s="14"/>
      <c r="B29" s="185"/>
      <c r="C29" s="186"/>
      <c r="D29" s="186"/>
      <c r="E29" s="186"/>
      <c r="F29" s="186"/>
      <c r="G29" s="186"/>
      <c r="H29" s="186"/>
      <c r="I29" s="187"/>
    </row>
    <row r="30" spans="1:9" ht="18.75" customHeight="1" x14ac:dyDescent="0.15">
      <c r="A30" s="14"/>
      <c r="B30" s="188"/>
      <c r="C30" s="189"/>
      <c r="D30" s="189"/>
      <c r="E30" s="189"/>
      <c r="F30" s="189"/>
      <c r="G30" s="189"/>
      <c r="H30" s="189"/>
      <c r="I30" s="187"/>
    </row>
    <row r="31" spans="1:9" ht="18.75" customHeight="1" x14ac:dyDescent="0.15">
      <c r="A31" s="14"/>
      <c r="B31" s="188"/>
      <c r="C31" s="189"/>
      <c r="D31" s="189"/>
      <c r="E31" s="189"/>
      <c r="F31" s="189"/>
      <c r="G31" s="189"/>
      <c r="H31" s="189"/>
      <c r="I31" s="187"/>
    </row>
    <row r="32" spans="1:9" ht="18.75" customHeight="1" x14ac:dyDescent="0.15">
      <c r="A32" s="14"/>
      <c r="B32" s="190"/>
      <c r="C32" s="191"/>
      <c r="D32" s="191"/>
      <c r="E32" s="191"/>
      <c r="F32" s="191"/>
      <c r="G32" s="191"/>
      <c r="H32" s="191"/>
      <c r="I32" s="192"/>
    </row>
    <row r="33" spans="1:9" ht="7.5" customHeight="1" x14ac:dyDescent="0.15">
      <c r="A33" s="14"/>
      <c r="B33" s="14"/>
      <c r="C33" s="14"/>
      <c r="D33" s="14"/>
      <c r="E33" s="14"/>
      <c r="F33" s="14"/>
      <c r="G33" s="14"/>
      <c r="H33" s="14"/>
      <c r="I33" s="14"/>
    </row>
    <row r="34" spans="1:9" ht="18.75" customHeight="1" x14ac:dyDescent="0.15">
      <c r="A34" s="15" t="s">
        <v>136</v>
      </c>
      <c r="B34" s="15" t="s">
        <v>137</v>
      </c>
      <c r="C34" s="10"/>
      <c r="D34" s="15"/>
      <c r="E34" s="15"/>
      <c r="F34" s="15"/>
      <c r="G34" s="15"/>
      <c r="H34" s="15"/>
      <c r="I34" s="15"/>
    </row>
    <row r="35" spans="1:9" ht="18.75" customHeight="1" x14ac:dyDescent="0.15">
      <c r="A35" s="14"/>
      <c r="B35" s="193" t="s">
        <v>138</v>
      </c>
      <c r="C35" s="194"/>
      <c r="D35" s="194"/>
      <c r="E35" s="194"/>
      <c r="F35" s="194"/>
      <c r="G35" s="194"/>
      <c r="H35" s="194"/>
      <c r="I35" s="195"/>
    </row>
    <row r="36" spans="1:9" ht="18.75" customHeight="1" x14ac:dyDescent="0.15">
      <c r="A36" s="14"/>
      <c r="B36" s="196"/>
      <c r="C36" s="197"/>
      <c r="D36" s="197"/>
      <c r="E36" s="197"/>
      <c r="F36" s="197"/>
      <c r="G36" s="197"/>
      <c r="H36" s="197"/>
      <c r="I36" s="198"/>
    </row>
    <row r="37" spans="1:9" ht="18.75" customHeight="1" x14ac:dyDescent="0.15">
      <c r="A37" s="14"/>
      <c r="B37" s="196"/>
      <c r="C37" s="197"/>
      <c r="D37" s="197"/>
      <c r="E37" s="197"/>
      <c r="F37" s="197"/>
      <c r="G37" s="197"/>
      <c r="H37" s="197"/>
      <c r="I37" s="198"/>
    </row>
    <row r="38" spans="1:9" ht="18.75" customHeight="1" x14ac:dyDescent="0.15">
      <c r="A38" s="14"/>
      <c r="B38" s="196"/>
      <c r="C38" s="197"/>
      <c r="D38" s="197"/>
      <c r="E38" s="197"/>
      <c r="F38" s="197"/>
      <c r="G38" s="197"/>
      <c r="H38" s="197"/>
      <c r="I38" s="198"/>
    </row>
    <row r="39" spans="1:9" ht="18.75" customHeight="1" x14ac:dyDescent="0.15">
      <c r="A39" s="14"/>
      <c r="B39" s="196"/>
      <c r="C39" s="197"/>
      <c r="D39" s="197"/>
      <c r="E39" s="197"/>
      <c r="F39" s="197"/>
      <c r="G39" s="197"/>
      <c r="H39" s="197"/>
      <c r="I39" s="198"/>
    </row>
    <row r="40" spans="1:9" ht="18.75" customHeight="1" x14ac:dyDescent="0.15">
      <c r="A40" s="14"/>
      <c r="B40" s="196"/>
      <c r="C40" s="197"/>
      <c r="D40" s="197"/>
      <c r="E40" s="197"/>
      <c r="F40" s="197"/>
      <c r="G40" s="197"/>
      <c r="H40" s="197"/>
      <c r="I40" s="198"/>
    </row>
    <row r="41" spans="1:9" ht="18.75" customHeight="1" x14ac:dyDescent="0.15">
      <c r="A41" s="14"/>
      <c r="B41" s="196"/>
      <c r="C41" s="197"/>
      <c r="D41" s="197"/>
      <c r="E41" s="197"/>
      <c r="F41" s="197"/>
      <c r="G41" s="197"/>
      <c r="H41" s="197"/>
      <c r="I41" s="198"/>
    </row>
    <row r="42" spans="1:9" ht="18.75" customHeight="1" x14ac:dyDescent="0.15">
      <c r="A42" s="14"/>
      <c r="B42" s="196"/>
      <c r="C42" s="197"/>
      <c r="D42" s="197"/>
      <c r="E42" s="197"/>
      <c r="F42" s="197"/>
      <c r="G42" s="197"/>
      <c r="H42" s="197"/>
      <c r="I42" s="198"/>
    </row>
    <row r="43" spans="1:9" ht="18.75" customHeight="1" x14ac:dyDescent="0.15">
      <c r="A43" s="14"/>
      <c r="B43" s="196"/>
      <c r="C43" s="197"/>
      <c r="D43" s="197"/>
      <c r="E43" s="197"/>
      <c r="F43" s="197"/>
      <c r="G43" s="197"/>
      <c r="H43" s="197"/>
      <c r="I43" s="198"/>
    </row>
    <row r="44" spans="1:9" ht="18.75" customHeight="1" x14ac:dyDescent="0.15">
      <c r="A44" s="14"/>
      <c r="B44" s="196"/>
      <c r="C44" s="197"/>
      <c r="D44" s="197"/>
      <c r="E44" s="197"/>
      <c r="F44" s="197"/>
      <c r="G44" s="197"/>
      <c r="H44" s="197"/>
      <c r="I44" s="198"/>
    </row>
    <row r="45" spans="1:9" ht="18.75" customHeight="1" x14ac:dyDescent="0.15">
      <c r="A45" s="14"/>
      <c r="B45" s="196"/>
      <c r="C45" s="197"/>
      <c r="D45" s="197"/>
      <c r="E45" s="197"/>
      <c r="F45" s="197"/>
      <c r="G45" s="197"/>
      <c r="H45" s="197"/>
      <c r="I45" s="198"/>
    </row>
    <row r="46" spans="1:9" ht="18.75" customHeight="1" x14ac:dyDescent="0.15">
      <c r="A46" s="14"/>
      <c r="B46" s="199"/>
      <c r="C46" s="200"/>
      <c r="D46" s="200"/>
      <c r="E46" s="200"/>
      <c r="F46" s="200"/>
      <c r="G46" s="200"/>
      <c r="H46" s="200"/>
      <c r="I46" s="201"/>
    </row>
    <row r="47" spans="1:9" ht="7.5" customHeight="1" x14ac:dyDescent="0.15">
      <c r="A47" s="4"/>
      <c r="B47" s="4"/>
      <c r="C47" s="4"/>
      <c r="D47" s="4"/>
      <c r="E47" s="4"/>
      <c r="F47" s="4"/>
      <c r="G47" s="4"/>
      <c r="H47" s="4"/>
      <c r="I47" s="4"/>
    </row>
    <row r="48" spans="1:9" ht="18.75" customHeight="1" x14ac:dyDescent="0.15">
      <c r="A48" s="1" t="s">
        <v>139</v>
      </c>
      <c r="B48" s="1" t="s">
        <v>140</v>
      </c>
    </row>
    <row r="49" spans="1:15" s="3" customFormat="1" ht="18.75" customHeight="1" x14ac:dyDescent="0.15">
      <c r="B49" s="34" t="s">
        <v>141</v>
      </c>
      <c r="C49" s="229">
        <f>'様式２ 履修者等数の実績'!S33</f>
        <v>7.1428571428571425E-2</v>
      </c>
      <c r="D49" s="229"/>
      <c r="E49" s="34" t="s">
        <v>142</v>
      </c>
      <c r="F49" s="229">
        <v>0.78</v>
      </c>
      <c r="G49" s="229"/>
      <c r="H49" s="34" t="s">
        <v>143</v>
      </c>
      <c r="I49" s="35">
        <v>1</v>
      </c>
      <c r="J49" s="1"/>
      <c r="M49" s="1"/>
      <c r="N49" s="36"/>
    </row>
    <row r="50" spans="1:15" s="3" customFormat="1" ht="18.75" customHeight="1" x14ac:dyDescent="0.15">
      <c r="B50" s="37" t="s">
        <v>144</v>
      </c>
      <c r="C50" s="212">
        <v>1</v>
      </c>
      <c r="D50" s="212"/>
      <c r="E50" s="37" t="s">
        <v>145</v>
      </c>
      <c r="F50" s="212">
        <v>1</v>
      </c>
      <c r="G50" s="212"/>
      <c r="H50" s="37" t="s">
        <v>146</v>
      </c>
      <c r="I50" s="38">
        <f>'様式２ 履修者等数の実績'!E33</f>
        <v>70</v>
      </c>
      <c r="J50" s="1"/>
      <c r="M50" s="1"/>
      <c r="N50" s="36"/>
    </row>
    <row r="51" spans="1:15" ht="18.75" customHeight="1" x14ac:dyDescent="0.15">
      <c r="A51" s="1"/>
      <c r="B51" s="209" t="s">
        <v>147</v>
      </c>
      <c r="C51" s="210"/>
      <c r="D51" s="210"/>
      <c r="E51" s="210"/>
      <c r="F51" s="210"/>
      <c r="G51" s="210"/>
      <c r="H51" s="210"/>
      <c r="I51" s="211"/>
      <c r="N51" s="36"/>
      <c r="O51" s="3"/>
    </row>
    <row r="52" spans="1:15" ht="18.75" customHeight="1" x14ac:dyDescent="0.15">
      <c r="A52" s="1"/>
      <c r="B52" s="230" t="s">
        <v>148</v>
      </c>
      <c r="C52" s="231"/>
      <c r="D52" s="231"/>
      <c r="E52" s="231"/>
      <c r="F52" s="231"/>
      <c r="G52" s="231"/>
      <c r="H52" s="231"/>
      <c r="I52" s="232"/>
      <c r="N52" s="36"/>
      <c r="O52" s="3"/>
    </row>
    <row r="53" spans="1:15" ht="18.75" customHeight="1" x14ac:dyDescent="0.15">
      <c r="A53" s="1"/>
      <c r="B53" s="233"/>
      <c r="C53" s="234"/>
      <c r="D53" s="234"/>
      <c r="E53" s="234"/>
      <c r="F53" s="234"/>
      <c r="G53" s="234"/>
      <c r="H53" s="234"/>
      <c r="I53" s="235"/>
      <c r="N53" s="36"/>
      <c r="O53" s="3"/>
    </row>
    <row r="54" spans="1:15" ht="18.75" customHeight="1" x14ac:dyDescent="0.15">
      <c r="A54" s="1"/>
      <c r="B54" s="233"/>
      <c r="C54" s="234"/>
      <c r="D54" s="234"/>
      <c r="E54" s="234"/>
      <c r="F54" s="234"/>
      <c r="G54" s="234"/>
      <c r="H54" s="234"/>
      <c r="I54" s="235"/>
    </row>
    <row r="55" spans="1:15" ht="18.75" customHeight="1" x14ac:dyDescent="0.15">
      <c r="A55" s="1"/>
      <c r="B55" s="233"/>
      <c r="C55" s="234"/>
      <c r="D55" s="234"/>
      <c r="E55" s="234"/>
      <c r="F55" s="234"/>
      <c r="G55" s="234"/>
      <c r="H55" s="234"/>
      <c r="I55" s="235"/>
    </row>
    <row r="56" spans="1:15" ht="18.75" customHeight="1" x14ac:dyDescent="0.15">
      <c r="A56" s="1"/>
      <c r="B56" s="233"/>
      <c r="C56" s="234"/>
      <c r="D56" s="234"/>
      <c r="E56" s="234"/>
      <c r="F56" s="234"/>
      <c r="G56" s="234"/>
      <c r="H56" s="234"/>
      <c r="I56" s="235"/>
    </row>
    <row r="57" spans="1:15" ht="18.75" customHeight="1" x14ac:dyDescent="0.15">
      <c r="A57" s="1"/>
      <c r="B57" s="233"/>
      <c r="C57" s="234"/>
      <c r="D57" s="234"/>
      <c r="E57" s="234"/>
      <c r="F57" s="234"/>
      <c r="G57" s="234"/>
      <c r="H57" s="234"/>
      <c r="I57" s="235"/>
    </row>
    <row r="58" spans="1:15" ht="18.75" customHeight="1" x14ac:dyDescent="0.15">
      <c r="A58" s="1"/>
      <c r="B58" s="233"/>
      <c r="C58" s="234"/>
      <c r="D58" s="234"/>
      <c r="E58" s="234"/>
      <c r="F58" s="234"/>
      <c r="G58" s="234"/>
      <c r="H58" s="234"/>
      <c r="I58" s="235"/>
    </row>
    <row r="59" spans="1:15" ht="18.75" customHeight="1" x14ac:dyDescent="0.15">
      <c r="A59" s="1"/>
      <c r="B59" s="233"/>
      <c r="C59" s="234"/>
      <c r="D59" s="234"/>
      <c r="E59" s="234"/>
      <c r="F59" s="234"/>
      <c r="G59" s="234"/>
      <c r="H59" s="234"/>
      <c r="I59" s="235"/>
    </row>
    <row r="60" spans="1:15" ht="18.75" customHeight="1" x14ac:dyDescent="0.15">
      <c r="A60" s="1"/>
      <c r="B60" s="233"/>
      <c r="C60" s="234"/>
      <c r="D60" s="234"/>
      <c r="E60" s="234"/>
      <c r="F60" s="234"/>
      <c r="G60" s="234"/>
      <c r="H60" s="234"/>
      <c r="I60" s="235"/>
    </row>
    <row r="61" spans="1:15" ht="18.75" customHeight="1" x14ac:dyDescent="0.15">
      <c r="A61" s="1"/>
      <c r="B61" s="233"/>
      <c r="C61" s="234"/>
      <c r="D61" s="234"/>
      <c r="E61" s="234"/>
      <c r="F61" s="234"/>
      <c r="G61" s="234"/>
      <c r="H61" s="234"/>
      <c r="I61" s="235"/>
    </row>
    <row r="62" spans="1:15" ht="18.75" customHeight="1" x14ac:dyDescent="0.15">
      <c r="A62" s="1"/>
      <c r="B62" s="233"/>
      <c r="C62" s="234"/>
      <c r="D62" s="234"/>
      <c r="E62" s="234"/>
      <c r="F62" s="234"/>
      <c r="G62" s="234"/>
      <c r="H62" s="234"/>
      <c r="I62" s="235"/>
    </row>
    <row r="63" spans="1:15" ht="18.75" customHeight="1" x14ac:dyDescent="0.15">
      <c r="A63" s="1"/>
      <c r="B63" s="236"/>
      <c r="C63" s="237"/>
      <c r="D63" s="237"/>
      <c r="E63" s="237"/>
      <c r="F63" s="237"/>
      <c r="G63" s="237"/>
      <c r="H63" s="237"/>
      <c r="I63" s="238"/>
    </row>
    <row r="64" spans="1:15" ht="7.5" customHeight="1" x14ac:dyDescent="0.15">
      <c r="A64" s="14"/>
      <c r="B64" s="14"/>
      <c r="C64" s="14"/>
      <c r="D64" s="14"/>
      <c r="E64" s="14"/>
      <c r="F64" s="14"/>
      <c r="G64" s="14"/>
      <c r="H64" s="14"/>
      <c r="I64" s="14"/>
    </row>
    <row r="65" spans="1:9" ht="18.75" customHeight="1" x14ac:dyDescent="0.15">
      <c r="A65" s="15" t="s">
        <v>149</v>
      </c>
      <c r="B65" s="1" t="s">
        <v>150</v>
      </c>
      <c r="I65" s="15"/>
    </row>
    <row r="66" spans="1:9" ht="18.75" customHeight="1" x14ac:dyDescent="0.15">
      <c r="A66" s="4"/>
      <c r="B66" s="213" t="s">
        <v>151</v>
      </c>
      <c r="C66" s="214"/>
      <c r="D66" s="214"/>
      <c r="E66" s="214"/>
      <c r="F66" s="214"/>
      <c r="G66" s="214"/>
      <c r="H66" s="214"/>
      <c r="I66" s="215"/>
    </row>
    <row r="67" spans="1:9" ht="18.75" customHeight="1" x14ac:dyDescent="0.15">
      <c r="A67" s="4"/>
      <c r="B67" s="216"/>
      <c r="C67" s="217"/>
      <c r="D67" s="217"/>
      <c r="E67" s="217"/>
      <c r="F67" s="217"/>
      <c r="G67" s="217"/>
      <c r="H67" s="217"/>
      <c r="I67" s="218"/>
    </row>
    <row r="68" spans="1:9" ht="18.75" customHeight="1" x14ac:dyDescent="0.15">
      <c r="A68" s="4"/>
      <c r="B68" s="216"/>
      <c r="C68" s="217"/>
      <c r="D68" s="217"/>
      <c r="E68" s="217"/>
      <c r="F68" s="217"/>
      <c r="G68" s="217"/>
      <c r="H68" s="217"/>
      <c r="I68" s="218"/>
    </row>
    <row r="69" spans="1:9" ht="18.75" customHeight="1" x14ac:dyDescent="0.15">
      <c r="A69" s="4"/>
      <c r="B69" s="216"/>
      <c r="C69" s="217"/>
      <c r="D69" s="217"/>
      <c r="E69" s="217"/>
      <c r="F69" s="217"/>
      <c r="G69" s="217"/>
      <c r="H69" s="217"/>
      <c r="I69" s="218"/>
    </row>
    <row r="70" spans="1:9" ht="18.75" customHeight="1" x14ac:dyDescent="0.15">
      <c r="A70" s="4"/>
      <c r="B70" s="216"/>
      <c r="C70" s="217"/>
      <c r="D70" s="217"/>
      <c r="E70" s="217"/>
      <c r="F70" s="217"/>
      <c r="G70" s="217"/>
      <c r="H70" s="217"/>
      <c r="I70" s="218"/>
    </row>
    <row r="71" spans="1:9" ht="18.75" customHeight="1" x14ac:dyDescent="0.15">
      <c r="A71" s="4"/>
      <c r="B71" s="216"/>
      <c r="C71" s="217"/>
      <c r="D71" s="217"/>
      <c r="E71" s="217"/>
      <c r="F71" s="217"/>
      <c r="G71" s="217"/>
      <c r="H71" s="217"/>
      <c r="I71" s="218"/>
    </row>
    <row r="72" spans="1:9" ht="18.75" customHeight="1" x14ac:dyDescent="0.15">
      <c r="A72" s="4"/>
      <c r="B72" s="216"/>
      <c r="C72" s="217"/>
      <c r="D72" s="217"/>
      <c r="E72" s="217"/>
      <c r="F72" s="217"/>
      <c r="G72" s="217"/>
      <c r="H72" s="217"/>
      <c r="I72" s="218"/>
    </row>
    <row r="73" spans="1:9" ht="18.75" customHeight="1" x14ac:dyDescent="0.15">
      <c r="A73" s="4"/>
      <c r="B73" s="216"/>
      <c r="C73" s="217"/>
      <c r="D73" s="217"/>
      <c r="E73" s="217"/>
      <c r="F73" s="217"/>
      <c r="G73" s="217"/>
      <c r="H73" s="217"/>
      <c r="I73" s="218"/>
    </row>
    <row r="74" spans="1:9" ht="18.75" customHeight="1" x14ac:dyDescent="0.15">
      <c r="A74" s="4"/>
      <c r="B74" s="216"/>
      <c r="C74" s="217"/>
      <c r="D74" s="217"/>
      <c r="E74" s="217"/>
      <c r="F74" s="217"/>
      <c r="G74" s="217"/>
      <c r="H74" s="217"/>
      <c r="I74" s="218"/>
    </row>
    <row r="75" spans="1:9" ht="18.75" customHeight="1" x14ac:dyDescent="0.15">
      <c r="A75" s="4"/>
      <c r="B75" s="216"/>
      <c r="C75" s="217"/>
      <c r="D75" s="217"/>
      <c r="E75" s="217"/>
      <c r="F75" s="217"/>
      <c r="G75" s="217"/>
      <c r="H75" s="217"/>
      <c r="I75" s="218"/>
    </row>
    <row r="76" spans="1:9" ht="18.75" customHeight="1" x14ac:dyDescent="0.15">
      <c r="A76" s="4"/>
      <c r="B76" s="216"/>
      <c r="C76" s="217"/>
      <c r="D76" s="217"/>
      <c r="E76" s="217"/>
      <c r="F76" s="217"/>
      <c r="G76" s="217"/>
      <c r="H76" s="217"/>
      <c r="I76" s="218"/>
    </row>
    <row r="77" spans="1:9" ht="18.75" customHeight="1" x14ac:dyDescent="0.15">
      <c r="A77" s="4"/>
      <c r="B77" s="219"/>
      <c r="C77" s="220"/>
      <c r="D77" s="220"/>
      <c r="E77" s="220"/>
      <c r="F77" s="220"/>
      <c r="G77" s="220"/>
      <c r="H77" s="220"/>
      <c r="I77" s="221"/>
    </row>
    <row r="78" spans="1:9" ht="7.5" customHeight="1" x14ac:dyDescent="0.15">
      <c r="A78" s="4"/>
      <c r="B78" s="4"/>
      <c r="C78" s="4"/>
      <c r="D78" s="4"/>
      <c r="E78" s="4"/>
      <c r="F78" s="4"/>
      <c r="G78" s="4"/>
      <c r="H78" s="4"/>
      <c r="I78" s="4"/>
    </row>
    <row r="79" spans="1:9" ht="18.75" customHeight="1" x14ac:dyDescent="0.15">
      <c r="A79" s="1" t="s">
        <v>152</v>
      </c>
      <c r="B79" s="1" t="s">
        <v>153</v>
      </c>
    </row>
    <row r="80" spans="1:9" ht="18.75" customHeight="1" x14ac:dyDescent="0.15">
      <c r="A80" s="1"/>
      <c r="B80" s="213" t="s">
        <v>154</v>
      </c>
      <c r="C80" s="214"/>
      <c r="D80" s="214"/>
      <c r="E80" s="214"/>
      <c r="F80" s="214"/>
      <c r="G80" s="214"/>
      <c r="H80" s="214"/>
      <c r="I80" s="222"/>
    </row>
    <row r="81" spans="1:9" ht="18.75" customHeight="1" x14ac:dyDescent="0.15">
      <c r="A81" s="1"/>
      <c r="B81" s="223"/>
      <c r="C81" s="224"/>
      <c r="D81" s="224"/>
      <c r="E81" s="224"/>
      <c r="F81" s="224"/>
      <c r="G81" s="224"/>
      <c r="H81" s="224"/>
      <c r="I81" s="225"/>
    </row>
    <row r="82" spans="1:9" ht="18.75" customHeight="1" x14ac:dyDescent="0.15">
      <c r="A82" s="1"/>
      <c r="B82" s="223"/>
      <c r="C82" s="224"/>
      <c r="D82" s="224"/>
      <c r="E82" s="224"/>
      <c r="F82" s="224"/>
      <c r="G82" s="224"/>
      <c r="H82" s="224"/>
      <c r="I82" s="225"/>
    </row>
    <row r="83" spans="1:9" ht="18.75" customHeight="1" x14ac:dyDescent="0.15">
      <c r="A83" s="1"/>
      <c r="B83" s="223"/>
      <c r="C83" s="224"/>
      <c r="D83" s="224"/>
      <c r="E83" s="224"/>
      <c r="F83" s="224"/>
      <c r="G83" s="224"/>
      <c r="H83" s="224"/>
      <c r="I83" s="225"/>
    </row>
    <row r="84" spans="1:9" ht="18.75" customHeight="1" x14ac:dyDescent="0.15">
      <c r="A84" s="1"/>
      <c r="B84" s="223"/>
      <c r="C84" s="224"/>
      <c r="D84" s="224"/>
      <c r="E84" s="224"/>
      <c r="F84" s="224"/>
      <c r="G84" s="224"/>
      <c r="H84" s="224"/>
      <c r="I84" s="225"/>
    </row>
    <row r="85" spans="1:9" ht="18.75" customHeight="1" x14ac:dyDescent="0.15">
      <c r="A85" s="1"/>
      <c r="B85" s="223"/>
      <c r="C85" s="224"/>
      <c r="D85" s="224"/>
      <c r="E85" s="224"/>
      <c r="F85" s="224"/>
      <c r="G85" s="224"/>
      <c r="H85" s="224"/>
      <c r="I85" s="225"/>
    </row>
    <row r="86" spans="1:9" ht="18.75" customHeight="1" x14ac:dyDescent="0.15">
      <c r="A86" s="1"/>
      <c r="B86" s="223"/>
      <c r="C86" s="224"/>
      <c r="D86" s="224"/>
      <c r="E86" s="224"/>
      <c r="F86" s="224"/>
      <c r="G86" s="224"/>
      <c r="H86" s="224"/>
      <c r="I86" s="225"/>
    </row>
    <row r="87" spans="1:9" ht="18.75" customHeight="1" x14ac:dyDescent="0.15">
      <c r="A87" s="1"/>
      <c r="B87" s="223"/>
      <c r="C87" s="224"/>
      <c r="D87" s="224"/>
      <c r="E87" s="224"/>
      <c r="F87" s="224"/>
      <c r="G87" s="224"/>
      <c r="H87" s="224"/>
      <c r="I87" s="225"/>
    </row>
    <row r="88" spans="1:9" ht="18.75" customHeight="1" x14ac:dyDescent="0.15">
      <c r="A88" s="1"/>
      <c r="B88" s="223"/>
      <c r="C88" s="224"/>
      <c r="D88" s="224"/>
      <c r="E88" s="224"/>
      <c r="F88" s="224"/>
      <c r="G88" s="224"/>
      <c r="H88" s="224"/>
      <c r="I88" s="225"/>
    </row>
    <row r="89" spans="1:9" ht="18.75" customHeight="1" x14ac:dyDescent="0.15">
      <c r="A89" s="1"/>
      <c r="B89" s="223"/>
      <c r="C89" s="224"/>
      <c r="D89" s="224"/>
      <c r="E89" s="224"/>
      <c r="F89" s="224"/>
      <c r="G89" s="224"/>
      <c r="H89" s="224"/>
      <c r="I89" s="225"/>
    </row>
    <row r="90" spans="1:9" ht="18.75" customHeight="1" x14ac:dyDescent="0.15">
      <c r="A90" s="4"/>
      <c r="B90" s="223"/>
      <c r="C90" s="224"/>
      <c r="D90" s="224"/>
      <c r="E90" s="224"/>
      <c r="F90" s="224"/>
      <c r="G90" s="224"/>
      <c r="H90" s="224"/>
      <c r="I90" s="225"/>
    </row>
    <row r="91" spans="1:9" ht="18.75" customHeight="1" x14ac:dyDescent="0.15">
      <c r="A91" s="4"/>
      <c r="B91" s="226"/>
      <c r="C91" s="227"/>
      <c r="D91" s="227"/>
      <c r="E91" s="227"/>
      <c r="F91" s="227"/>
      <c r="G91" s="227"/>
      <c r="H91" s="227"/>
      <c r="I91" s="228"/>
    </row>
    <row r="92" spans="1:9" ht="7.5" customHeight="1" x14ac:dyDescent="0.15">
      <c r="A92" s="4"/>
      <c r="B92" s="4"/>
      <c r="C92" s="4"/>
      <c r="D92" s="4"/>
      <c r="E92" s="4"/>
      <c r="F92" s="4"/>
      <c r="G92" s="4"/>
      <c r="H92" s="4"/>
      <c r="I92" s="4"/>
    </row>
    <row r="93" spans="1:9" ht="18.75" customHeight="1" x14ac:dyDescent="0.15">
      <c r="A93" s="1" t="s">
        <v>155</v>
      </c>
      <c r="B93" s="1" t="s">
        <v>156</v>
      </c>
    </row>
    <row r="94" spans="1:9" ht="18.75" customHeight="1" x14ac:dyDescent="0.15">
      <c r="A94" s="1"/>
      <c r="B94" s="193" t="s">
        <v>157</v>
      </c>
      <c r="C94" s="194"/>
      <c r="D94" s="194"/>
      <c r="E94" s="194"/>
      <c r="F94" s="194"/>
      <c r="G94" s="194"/>
      <c r="H94" s="194"/>
      <c r="I94" s="195"/>
    </row>
    <row r="95" spans="1:9" ht="18.75" customHeight="1" x14ac:dyDescent="0.15">
      <c r="A95" s="1"/>
      <c r="B95" s="196"/>
      <c r="C95" s="197"/>
      <c r="D95" s="197"/>
      <c r="E95" s="197"/>
      <c r="F95" s="197"/>
      <c r="G95" s="197"/>
      <c r="H95" s="197"/>
      <c r="I95" s="198"/>
    </row>
    <row r="96" spans="1:9" ht="18.75" customHeight="1" x14ac:dyDescent="0.15">
      <c r="A96" s="1"/>
      <c r="B96" s="196"/>
      <c r="C96" s="197"/>
      <c r="D96" s="197"/>
      <c r="E96" s="197"/>
      <c r="F96" s="197"/>
      <c r="G96" s="197"/>
      <c r="H96" s="197"/>
      <c r="I96" s="198"/>
    </row>
    <row r="97" spans="1:9" ht="18.75" customHeight="1" x14ac:dyDescent="0.15">
      <c r="A97" s="1"/>
      <c r="B97" s="196"/>
      <c r="C97" s="197"/>
      <c r="D97" s="197"/>
      <c r="E97" s="197"/>
      <c r="F97" s="197"/>
      <c r="G97" s="197"/>
      <c r="H97" s="197"/>
      <c r="I97" s="198"/>
    </row>
    <row r="98" spans="1:9" ht="18.75" customHeight="1" x14ac:dyDescent="0.15">
      <c r="A98" s="1"/>
      <c r="B98" s="196"/>
      <c r="C98" s="197"/>
      <c r="D98" s="197"/>
      <c r="E98" s="197"/>
      <c r="F98" s="197"/>
      <c r="G98" s="197"/>
      <c r="H98" s="197"/>
      <c r="I98" s="198"/>
    </row>
    <row r="99" spans="1:9" ht="18.75" customHeight="1" x14ac:dyDescent="0.15">
      <c r="A99" s="1"/>
      <c r="B99" s="196"/>
      <c r="C99" s="197"/>
      <c r="D99" s="197"/>
      <c r="E99" s="197"/>
      <c r="F99" s="197"/>
      <c r="G99" s="197"/>
      <c r="H99" s="197"/>
      <c r="I99" s="198"/>
    </row>
    <row r="100" spans="1:9" ht="18.75" customHeight="1" x14ac:dyDescent="0.15">
      <c r="A100" s="1"/>
      <c r="B100" s="196"/>
      <c r="C100" s="197"/>
      <c r="D100" s="197"/>
      <c r="E100" s="197"/>
      <c r="F100" s="197"/>
      <c r="G100" s="197"/>
      <c r="H100" s="197"/>
      <c r="I100" s="198"/>
    </row>
    <row r="101" spans="1:9" ht="18.75" customHeight="1" x14ac:dyDescent="0.15">
      <c r="A101" s="1"/>
      <c r="B101" s="196"/>
      <c r="C101" s="197"/>
      <c r="D101" s="197"/>
      <c r="E101" s="197"/>
      <c r="F101" s="197"/>
      <c r="G101" s="197"/>
      <c r="H101" s="197"/>
      <c r="I101" s="198"/>
    </row>
    <row r="102" spans="1:9" ht="18.75" customHeight="1" x14ac:dyDescent="0.15">
      <c r="A102" s="1"/>
      <c r="B102" s="196"/>
      <c r="C102" s="197"/>
      <c r="D102" s="197"/>
      <c r="E102" s="197"/>
      <c r="F102" s="197"/>
      <c r="G102" s="197"/>
      <c r="H102" s="197"/>
      <c r="I102" s="198"/>
    </row>
    <row r="103" spans="1:9" ht="18.75" customHeight="1" x14ac:dyDescent="0.15">
      <c r="A103" s="1"/>
      <c r="B103" s="196"/>
      <c r="C103" s="197"/>
      <c r="D103" s="197"/>
      <c r="E103" s="197"/>
      <c r="F103" s="197"/>
      <c r="G103" s="197"/>
      <c r="H103" s="197"/>
      <c r="I103" s="198"/>
    </row>
    <row r="104" spans="1:9" ht="18.75" customHeight="1" x14ac:dyDescent="0.15">
      <c r="A104" s="1"/>
      <c r="B104" s="196"/>
      <c r="C104" s="197"/>
      <c r="D104" s="197"/>
      <c r="E104" s="197"/>
      <c r="F104" s="197"/>
      <c r="G104" s="197"/>
      <c r="H104" s="197"/>
      <c r="I104" s="198"/>
    </row>
    <row r="105" spans="1:9" ht="18.75" customHeight="1" x14ac:dyDescent="0.15">
      <c r="A105" s="4"/>
      <c r="B105" s="199"/>
      <c r="C105" s="200"/>
      <c r="D105" s="200"/>
      <c r="E105" s="200"/>
      <c r="F105" s="200"/>
      <c r="G105" s="200"/>
      <c r="H105" s="200"/>
      <c r="I105" s="201"/>
    </row>
    <row r="106" spans="1:9" ht="7.5" customHeight="1" x14ac:dyDescent="0.15">
      <c r="A106" s="4"/>
      <c r="B106" s="4"/>
      <c r="C106" s="4"/>
      <c r="D106" s="4"/>
      <c r="E106" s="4"/>
      <c r="F106" s="4"/>
      <c r="G106" s="4"/>
      <c r="H106" s="4"/>
      <c r="I106" s="4"/>
    </row>
    <row r="107" spans="1:9" ht="18.75" customHeight="1" x14ac:dyDescent="0.15">
      <c r="A107" s="1" t="s">
        <v>158</v>
      </c>
      <c r="B107" s="208" t="s">
        <v>159</v>
      </c>
      <c r="C107" s="208"/>
      <c r="D107" s="208"/>
      <c r="E107" s="208"/>
      <c r="F107" s="208"/>
      <c r="G107" s="208"/>
      <c r="H107" s="208"/>
      <c r="I107" s="208"/>
    </row>
    <row r="108" spans="1:9" ht="18.75" customHeight="1" x14ac:dyDescent="0.15">
      <c r="A108" s="4"/>
      <c r="B108" s="193" t="s">
        <v>160</v>
      </c>
      <c r="C108" s="194"/>
      <c r="D108" s="194"/>
      <c r="E108" s="194"/>
      <c r="F108" s="194"/>
      <c r="G108" s="194"/>
      <c r="H108" s="194"/>
      <c r="I108" s="195"/>
    </row>
    <row r="109" spans="1:9" ht="18.75" customHeight="1" x14ac:dyDescent="0.15">
      <c r="A109" s="4"/>
      <c r="B109" s="196"/>
      <c r="C109" s="197"/>
      <c r="D109" s="197"/>
      <c r="E109" s="197"/>
      <c r="F109" s="197"/>
      <c r="G109" s="197"/>
      <c r="H109" s="197"/>
      <c r="I109" s="198"/>
    </row>
    <row r="110" spans="1:9" ht="18.75" customHeight="1" x14ac:dyDescent="0.15">
      <c r="A110" s="4"/>
      <c r="B110" s="196"/>
      <c r="C110" s="197"/>
      <c r="D110" s="197"/>
      <c r="E110" s="197"/>
      <c r="F110" s="197"/>
      <c r="G110" s="197"/>
      <c r="H110" s="197"/>
      <c r="I110" s="198"/>
    </row>
    <row r="111" spans="1:9" ht="18.75" customHeight="1" x14ac:dyDescent="0.15">
      <c r="A111" s="4"/>
      <c r="B111" s="196"/>
      <c r="C111" s="197"/>
      <c r="D111" s="197"/>
      <c r="E111" s="197"/>
      <c r="F111" s="197"/>
      <c r="G111" s="197"/>
      <c r="H111" s="197"/>
      <c r="I111" s="198"/>
    </row>
    <row r="112" spans="1:9" ht="18.75" customHeight="1" x14ac:dyDescent="0.15">
      <c r="A112" s="4"/>
      <c r="B112" s="196"/>
      <c r="C112" s="197"/>
      <c r="D112" s="197"/>
      <c r="E112" s="197"/>
      <c r="F112" s="197"/>
      <c r="G112" s="197"/>
      <c r="H112" s="197"/>
      <c r="I112" s="198"/>
    </row>
    <row r="113" spans="1:9" ht="18.75" customHeight="1" x14ac:dyDescent="0.15">
      <c r="A113" s="4"/>
      <c r="B113" s="196"/>
      <c r="C113" s="197"/>
      <c r="D113" s="197"/>
      <c r="E113" s="197"/>
      <c r="F113" s="197"/>
      <c r="G113" s="197"/>
      <c r="H113" s="197"/>
      <c r="I113" s="198"/>
    </row>
    <row r="114" spans="1:9" ht="18.75" customHeight="1" x14ac:dyDescent="0.15">
      <c r="A114" s="4"/>
      <c r="B114" s="196"/>
      <c r="C114" s="197"/>
      <c r="D114" s="197"/>
      <c r="E114" s="197"/>
      <c r="F114" s="197"/>
      <c r="G114" s="197"/>
      <c r="H114" s="197"/>
      <c r="I114" s="198"/>
    </row>
    <row r="115" spans="1:9" ht="18.75" customHeight="1" x14ac:dyDescent="0.15">
      <c r="A115" s="4"/>
      <c r="B115" s="196"/>
      <c r="C115" s="197"/>
      <c r="D115" s="197"/>
      <c r="E115" s="197"/>
      <c r="F115" s="197"/>
      <c r="G115" s="197"/>
      <c r="H115" s="197"/>
      <c r="I115" s="198"/>
    </row>
    <row r="116" spans="1:9" ht="18.75" customHeight="1" x14ac:dyDescent="0.15">
      <c r="A116" s="4"/>
      <c r="B116" s="196"/>
      <c r="C116" s="197"/>
      <c r="D116" s="197"/>
      <c r="E116" s="197"/>
      <c r="F116" s="197"/>
      <c r="G116" s="197"/>
      <c r="H116" s="197"/>
      <c r="I116" s="198"/>
    </row>
    <row r="117" spans="1:9" ht="18.75" customHeight="1" x14ac:dyDescent="0.15">
      <c r="A117" s="4"/>
      <c r="B117" s="196"/>
      <c r="C117" s="197"/>
      <c r="D117" s="197"/>
      <c r="E117" s="197"/>
      <c r="F117" s="197"/>
      <c r="G117" s="197"/>
      <c r="H117" s="197"/>
      <c r="I117" s="198"/>
    </row>
    <row r="118" spans="1:9" ht="18.75" customHeight="1" x14ac:dyDescent="0.15">
      <c r="A118" s="4"/>
      <c r="B118" s="196"/>
      <c r="C118" s="197"/>
      <c r="D118" s="197"/>
      <c r="E118" s="197"/>
      <c r="F118" s="197"/>
      <c r="G118" s="197"/>
      <c r="H118" s="197"/>
      <c r="I118" s="198"/>
    </row>
    <row r="119" spans="1:9" ht="18.75" customHeight="1" x14ac:dyDescent="0.15">
      <c r="A119" s="4"/>
      <c r="B119" s="199"/>
      <c r="C119" s="200"/>
      <c r="D119" s="200"/>
      <c r="E119" s="200"/>
      <c r="F119" s="200"/>
      <c r="G119" s="200"/>
      <c r="H119" s="200"/>
      <c r="I119" s="201"/>
    </row>
    <row r="120" spans="1:9" ht="7.5" customHeight="1" x14ac:dyDescent="0.15">
      <c r="A120" s="4"/>
      <c r="B120" s="39"/>
      <c r="C120" s="39"/>
      <c r="D120" s="39"/>
      <c r="E120" s="39"/>
      <c r="F120" s="39"/>
      <c r="G120" s="39"/>
      <c r="H120" s="39"/>
      <c r="I120" s="39"/>
    </row>
    <row r="121" spans="1:9" ht="18.75" customHeight="1" x14ac:dyDescent="0.15">
      <c r="A121" s="69"/>
      <c r="B121" s="177"/>
      <c r="C121" s="177"/>
      <c r="D121" s="177"/>
      <c r="E121" s="177"/>
      <c r="F121" s="177"/>
      <c r="G121" s="177"/>
      <c r="H121" s="177"/>
      <c r="I121" s="177"/>
    </row>
    <row r="122" spans="1:9" ht="18.75" customHeight="1" x14ac:dyDescent="0.15">
      <c r="A122" s="69"/>
      <c r="B122" s="177"/>
      <c r="C122" s="177"/>
      <c r="D122" s="177"/>
      <c r="E122" s="177"/>
      <c r="F122" s="177"/>
      <c r="G122" s="177"/>
      <c r="H122" s="177"/>
      <c r="I122" s="177"/>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19" sqref="E19:I19"/>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161</v>
      </c>
      <c r="I1" s="30" t="s">
        <v>162</v>
      </c>
    </row>
    <row r="2" spans="1:9" ht="18.75" customHeight="1" x14ac:dyDescent="0.15">
      <c r="H2" s="30" t="s">
        <v>2</v>
      </c>
      <c r="I2" s="29" t="str">
        <f>'様式１　プログラムを構成する授業科目'!C2</f>
        <v>東洋食品工業短期大学</v>
      </c>
    </row>
    <row r="3" spans="1:9" ht="18.75" customHeight="1" x14ac:dyDescent="0.15">
      <c r="A3" s="178" t="s">
        <v>163</v>
      </c>
      <c r="B3" s="178"/>
      <c r="C3" s="178"/>
      <c r="D3" s="178"/>
      <c r="E3" s="178"/>
      <c r="F3" s="178"/>
      <c r="G3" s="178"/>
      <c r="H3" s="178"/>
      <c r="I3" s="178"/>
    </row>
    <row r="4" spans="1:9" ht="18.75" customHeight="1" x14ac:dyDescent="0.15">
      <c r="A4" s="5"/>
      <c r="B4" s="5"/>
      <c r="C4" s="5"/>
      <c r="D4" s="5"/>
      <c r="E4" s="5"/>
      <c r="F4" s="5"/>
      <c r="G4" s="5"/>
      <c r="H4" s="5"/>
      <c r="I4" s="5"/>
    </row>
    <row r="5" spans="1:9" ht="18.75" customHeight="1" x14ac:dyDescent="0.15">
      <c r="A5" s="1" t="s">
        <v>115</v>
      </c>
      <c r="B5" s="10" t="s">
        <v>164</v>
      </c>
      <c r="C5" s="5"/>
      <c r="D5" s="5"/>
      <c r="E5" s="5"/>
      <c r="F5" s="5"/>
      <c r="G5" s="5"/>
      <c r="H5" s="5"/>
      <c r="I5" s="5"/>
    </row>
    <row r="6" spans="1:9" ht="26.25" customHeight="1" x14ac:dyDescent="0.15">
      <c r="A6" s="5"/>
      <c r="B6" s="202" t="s">
        <v>129</v>
      </c>
      <c r="C6" s="246"/>
      <c r="D6" s="246"/>
      <c r="E6" s="246"/>
      <c r="F6" s="246"/>
      <c r="G6" s="246"/>
      <c r="H6" s="247"/>
      <c r="I6" s="3"/>
    </row>
    <row r="7" spans="1:9" ht="9" customHeight="1" x14ac:dyDescent="0.15">
      <c r="A7" s="5"/>
      <c r="B7" s="10"/>
      <c r="C7" s="10"/>
      <c r="D7" s="10"/>
      <c r="E7" s="10"/>
      <c r="F7" s="10"/>
      <c r="G7" s="10"/>
      <c r="H7" s="10"/>
      <c r="I7" s="3"/>
    </row>
    <row r="8" spans="1:9" ht="18.75" customHeight="1" x14ac:dyDescent="0.15">
      <c r="A8" s="5"/>
      <c r="B8" s="3"/>
      <c r="C8" s="3"/>
      <c r="D8" s="30" t="s">
        <v>123</v>
      </c>
      <c r="E8" s="31" t="s">
        <v>130</v>
      </c>
      <c r="F8" s="3"/>
      <c r="G8" s="30" t="s">
        <v>125</v>
      </c>
      <c r="H8" s="31" t="s">
        <v>126</v>
      </c>
      <c r="I8" s="3"/>
    </row>
    <row r="9" spans="1:9" ht="7.5" customHeight="1" x14ac:dyDescent="0.15">
      <c r="A9" s="5"/>
      <c r="B9" s="5"/>
      <c r="C9" s="5"/>
      <c r="D9" s="5"/>
      <c r="E9" s="5"/>
      <c r="F9" s="5"/>
      <c r="G9" s="5"/>
      <c r="H9" s="5"/>
      <c r="I9" s="5"/>
    </row>
    <row r="10" spans="1:9" ht="18.75" customHeight="1" x14ac:dyDescent="0.15">
      <c r="A10" s="1" t="s">
        <v>119</v>
      </c>
      <c r="B10" s="1" t="s">
        <v>165</v>
      </c>
      <c r="C10" s="4"/>
      <c r="D10" s="4"/>
      <c r="E10" s="4"/>
      <c r="F10" s="4"/>
      <c r="G10" s="4"/>
      <c r="H10" s="4"/>
      <c r="I10" s="4"/>
    </row>
    <row r="11" spans="1:9" ht="18.75" customHeight="1" x14ac:dyDescent="0.15">
      <c r="B11" s="91" t="s">
        <v>166</v>
      </c>
      <c r="C11" s="92"/>
      <c r="D11" s="93"/>
      <c r="E11" s="92" t="s">
        <v>167</v>
      </c>
      <c r="F11" s="92"/>
      <c r="G11" s="92"/>
      <c r="H11" s="92"/>
      <c r="I11" s="93"/>
    </row>
    <row r="12" spans="1:9" ht="26.25" customHeight="1" x14ac:dyDescent="0.15">
      <c r="B12" s="40" t="s">
        <v>168</v>
      </c>
      <c r="C12" s="47"/>
      <c r="D12" s="41"/>
      <c r="E12" s="48"/>
      <c r="F12" s="48"/>
      <c r="G12" s="48"/>
      <c r="H12" s="48"/>
      <c r="I12" s="41"/>
    </row>
    <row r="13" spans="1:9" ht="210.75" customHeight="1" x14ac:dyDescent="0.15">
      <c r="B13" s="42"/>
      <c r="C13" s="244" t="s">
        <v>169</v>
      </c>
      <c r="D13" s="245"/>
      <c r="E13" s="241" t="s">
        <v>170</v>
      </c>
      <c r="F13" s="242"/>
      <c r="G13" s="242"/>
      <c r="H13" s="242"/>
      <c r="I13" s="243"/>
    </row>
    <row r="14" spans="1:9" ht="210.75" customHeight="1" x14ac:dyDescent="0.15">
      <c r="B14" s="42"/>
      <c r="C14" s="239" t="s">
        <v>171</v>
      </c>
      <c r="D14" s="240"/>
      <c r="E14" s="241" t="s">
        <v>172</v>
      </c>
      <c r="F14" s="242"/>
      <c r="G14" s="242"/>
      <c r="H14" s="242"/>
      <c r="I14" s="243"/>
    </row>
    <row r="15" spans="1:9" ht="210.75" customHeight="1" x14ac:dyDescent="0.15">
      <c r="B15" s="42"/>
      <c r="C15" s="244" t="s">
        <v>173</v>
      </c>
      <c r="D15" s="245"/>
      <c r="E15" s="241" t="s">
        <v>174</v>
      </c>
      <c r="F15" s="242"/>
      <c r="G15" s="242"/>
      <c r="H15" s="242"/>
      <c r="I15" s="243"/>
    </row>
    <row r="16" spans="1:9" ht="210.75" customHeight="1" x14ac:dyDescent="0.15">
      <c r="B16" s="42"/>
      <c r="C16" s="244" t="s">
        <v>175</v>
      </c>
      <c r="D16" s="245"/>
      <c r="E16" s="241" t="s">
        <v>176</v>
      </c>
      <c r="F16" s="242"/>
      <c r="G16" s="242"/>
      <c r="H16" s="242"/>
      <c r="I16" s="243"/>
    </row>
    <row r="17" spans="2:9" ht="210.75" customHeight="1" x14ac:dyDescent="0.15">
      <c r="B17" s="43"/>
      <c r="C17" s="248" t="s">
        <v>177</v>
      </c>
      <c r="D17" s="249"/>
      <c r="E17" s="250" t="s">
        <v>178</v>
      </c>
      <c r="F17" s="251"/>
      <c r="G17" s="251"/>
      <c r="H17" s="251"/>
      <c r="I17" s="252"/>
    </row>
    <row r="18" spans="2:9" ht="24" customHeight="1" x14ac:dyDescent="0.15">
      <c r="B18" s="40" t="s">
        <v>179</v>
      </c>
      <c r="C18" s="44"/>
      <c r="D18" s="45"/>
      <c r="E18" s="46"/>
      <c r="F18" s="46"/>
      <c r="G18" s="46"/>
      <c r="H18" s="46"/>
      <c r="I18" s="49"/>
    </row>
    <row r="19" spans="2:9" ht="218.25" customHeight="1" x14ac:dyDescent="0.15">
      <c r="B19" s="42"/>
      <c r="C19" s="244" t="s">
        <v>180</v>
      </c>
      <c r="D19" s="245"/>
      <c r="E19" s="258" t="s">
        <v>181</v>
      </c>
      <c r="F19" s="258"/>
      <c r="G19" s="258"/>
      <c r="H19" s="258"/>
      <c r="I19" s="259"/>
    </row>
    <row r="20" spans="2:9" ht="218.25" customHeight="1" x14ac:dyDescent="0.15">
      <c r="B20" s="43"/>
      <c r="C20" s="248" t="s">
        <v>182</v>
      </c>
      <c r="D20" s="249"/>
      <c r="E20" s="251" t="s">
        <v>183</v>
      </c>
      <c r="F20" s="251"/>
      <c r="G20" s="251"/>
      <c r="H20" s="251"/>
      <c r="I20" s="252"/>
    </row>
    <row r="21" spans="2:9" ht="218.25" customHeight="1" x14ac:dyDescent="0.15">
      <c r="B21" s="260" t="s">
        <v>184</v>
      </c>
      <c r="C21" s="261"/>
      <c r="D21" s="262"/>
      <c r="E21" s="263" t="s">
        <v>185</v>
      </c>
      <c r="F21" s="263"/>
      <c r="G21" s="263"/>
      <c r="H21" s="263"/>
      <c r="I21" s="264"/>
    </row>
    <row r="22" spans="2:9" ht="218.25" customHeight="1" x14ac:dyDescent="0.15">
      <c r="B22" s="253" t="s">
        <v>186</v>
      </c>
      <c r="C22" s="254"/>
      <c r="D22" s="255"/>
      <c r="E22" s="256" t="s">
        <v>187</v>
      </c>
      <c r="F22" s="256"/>
      <c r="G22" s="256"/>
      <c r="H22" s="256"/>
      <c r="I22" s="25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794E52970C88B4AAA3230A5605CB8F6" ma:contentTypeVersion="10" ma:contentTypeDescription="新しいドキュメントを作成します。" ma:contentTypeScope="" ma:versionID="eb3c648d12ab099da3b93e637d3a6dc2">
  <xsd:schema xmlns:xsd="http://www.w3.org/2001/XMLSchema" xmlns:xs="http://www.w3.org/2001/XMLSchema" xmlns:p="http://schemas.microsoft.com/office/2006/metadata/properties" xmlns:ns2="2cb05d43-074b-4d8a-a994-90f42a0f0d35" xmlns:ns3="edd031a4-259b-4e6d-a245-740932634109" targetNamespace="http://schemas.microsoft.com/office/2006/metadata/properties" ma:root="true" ma:fieldsID="824c77d4821a4f91152ef1957d65103b" ns2:_="" ns3:_="">
    <xsd:import namespace="2cb05d43-074b-4d8a-a994-90f42a0f0d35"/>
    <xsd:import namespace="edd031a4-259b-4e6d-a245-74093263410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b05d43-074b-4d8a-a994-90f42a0f0d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c0dce9d-a648-40b7-b10e-0fba8b28908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d031a4-259b-4e6d-a245-7409326341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b7e6ae0-bda2-4e06-b5b5-2fde23e77e5f}" ma:internalName="TaxCatchAll" ma:showField="CatchAllData" ma:web="edd031a4-259b-4e6d-a245-7409326341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dd031a4-259b-4e6d-a245-740932634109" xsi:nil="true"/>
    <lcf76f155ced4ddcb4097134ff3c332f xmlns="2cb05d43-074b-4d8a-a994-90f42a0f0d3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69E8D4-18B8-48FD-BDBC-585D07A3A6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b05d43-074b-4d8a-a994-90f42a0f0d35"/>
    <ds:schemaRef ds:uri="edd031a4-259b-4e6d-a245-7409326341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BF6936-4560-41DB-8B4A-BE200BB7B438}">
  <ds:schemaRefs>
    <ds:schemaRef ds:uri="http://schemas.microsoft.com/office/2006/metadata/properties"/>
    <ds:schemaRef ds:uri="http://schemas.microsoft.com/office/infopath/2007/PartnerControls"/>
    <ds:schemaRef ds:uri="edd031a4-259b-4e6d-a245-740932634109"/>
    <ds:schemaRef ds:uri="2cb05d43-074b-4d8a-a994-90f42a0f0d35"/>
  </ds:schemaRefs>
</ds:datastoreItem>
</file>

<file path=customXml/itemProps3.xml><?xml version="1.0" encoding="utf-8"?>
<ds:datastoreItem xmlns:ds="http://schemas.openxmlformats.org/officeDocument/2006/customXml" ds:itemID="{DDB410E5-9557-4F82-8231-915E7B35A3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雨島智輝</cp:lastModifiedBy>
  <cp:revision/>
  <dcterms:created xsi:type="dcterms:W3CDTF">2011-06-14T05:32:50Z</dcterms:created>
  <dcterms:modified xsi:type="dcterms:W3CDTF">2024-05-29T01:40:05Z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0x0101006794E52970C88B4AAA3230A5605CB8F6</vt:lpwstr>
  </property>
  <property fmtid="{D5CDD505-2E9C-101B-9397-08002B2CF9AE}" pid="10" name="MediaServiceImageTags">
    <vt:lpwstr/>
  </property>
</Properties>
</file>