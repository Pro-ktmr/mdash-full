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F:\Documents\00鈴鹿医療科学大学\文部科学省2022年度以降\令和6年度数理データ認定制度申請様式＜リテラシーレベル＞\(再)鈴鹿医療科学大学\"/>
    </mc:Choice>
  </mc:AlternateContent>
  <xr:revisionPtr revIDLastSave="0" documentId="13_ncr:1_{48652684-4423-42C2-9957-484125847E9C}" xr6:coauthVersionLast="36" xr6:coauthVersionMax="36" xr10:uidLastSave="{00000000-0000-0000-0000-000000000000}"/>
  <bookViews>
    <workbookView xWindow="0" yWindow="0" windowWidth="21165" windowHeight="13155"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プログラムを構成する授業科目'!$X$15:$X$17</definedName>
    <definedName name="_xlnm._FilterDatabase" localSheetId="1" hidden="1">'様式２ 履修者等数の実績'!#REF!</definedName>
    <definedName name="_xlnm.Print_Area" localSheetId="0">'様式１　プログラムを構成する授業科目'!$A$1:$U$111</definedName>
    <definedName name="_xlnm.Print_Area" localSheetId="1">'様式２ 履修者等数の実績'!$A$1:$S$19</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19" i="40" l="1"/>
  <c r="M19" i="40"/>
  <c r="P19" i="40"/>
  <c r="Q19" i="40"/>
  <c r="O19" i="40"/>
  <c r="N19" i="40"/>
  <c r="L19" i="40"/>
  <c r="J19" i="40"/>
  <c r="K19" i="40"/>
  <c r="H19" i="40"/>
  <c r="R14" i="40" l="1"/>
  <c r="R15" i="40"/>
  <c r="R16" i="40"/>
  <c r="R13" i="40"/>
  <c r="S13" i="40" s="1"/>
  <c r="C19" i="40"/>
  <c r="G19" i="40" l="1"/>
  <c r="F19" i="40" l="1"/>
  <c r="E19" i="40"/>
  <c r="I50" i="41" s="1"/>
  <c r="D19" i="40"/>
  <c r="S16" i="40"/>
  <c r="S15" i="40"/>
  <c r="S14" i="40"/>
  <c r="R19" i="40" l="1"/>
  <c r="S19" i="40" s="1"/>
  <c r="C49" i="41" s="1"/>
</calcChain>
</file>

<file path=xl/sharedStrings.xml><?xml version="1.0" encoding="utf-8"?>
<sst xmlns="http://schemas.openxmlformats.org/spreadsheetml/2006/main" count="306" uniqueCount="206">
  <si>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</si>
  <si>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</si>
  <si>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</si>
  <si>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</si>
  <si>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</si>
  <si>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</si>
  <si>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</si>
  <si>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</si>
  <si>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</si>
  <si>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</si>
  <si>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</si>
  <si>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</si>
  <si>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</si>
  <si>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</si>
  <si>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</si>
  <si>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</si>
  <si>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</si>
  <si>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</si>
  <si>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</si>
  <si>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</si>
  <si>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</si>
  <si>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</si>
  <si>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</si>
  <si>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</si>
  <si>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</si>
  <si>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</si>
  <si>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</si>
  <si>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</si>
  <si>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</si>
  <si>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</si>
  <si>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</si>
  <si>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</si>
  <si>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</si>
  <si>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</si>
  <si>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</si>
  <si>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</si>
  <si>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</si>
  <si>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</si>
  <si>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</si>
  <si>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</si>
  <si>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</si>
  <si>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</si>
  <si>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</si>
  <si>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</si>
  <si>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</si>
  <si>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</si>
  <si>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</si>
  <si>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</si>
  <si>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</si>
  <si>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</si>
  <si>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</si>
  <si>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</si>
  <si>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</si>
  <si>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</si>
  <si>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</si>
  <si>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</si>
  <si>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</si>
  <si>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</si>
  <si>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</si>
  <si>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</si>
  <si>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</si>
  <si>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</si>
  <si>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</si>
  <si>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</si>
  <si>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</si>
  <si>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</si>
  <si>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</si>
  <si>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</si>
  <si>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</si>
  <si>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</si>
  <si>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</si>
  <si>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</si>
  <si>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</si>
  <si>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</si>
  <si>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</si>
  <si>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</si>
  <si>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</si>
  <si>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</si>
  <si>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</si>
  <si>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</si>
  <si>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</si>
  <si>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</si>
  <si>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</si>
  <si>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</si>
  <si>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</si>
  <si>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</si>
  <si>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</si>
  <si>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</si>
  <si>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</si>
  <si>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</si>
  <si>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</si>
  <si>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</si>
  <si>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</si>
  <si>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</si>
  <si>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</si>
  <si>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</si>
  <si>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</si>
  <si>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</si>
  <si>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</si>
  <si>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</si>
  <si>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</si>
  <si>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</si>
  <si>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</si>
  <si>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</si>
  <si>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</si>
  <si>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</si>
  <si>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</si>
  <si>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</si>
  <si>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</si>
  <si>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</si>
  <si>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</si>
  <si>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</si>
  <si>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</si>
  <si>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</si>
  <si>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</si>
  <si>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</si>
  <si>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</si>
  <si>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</si>
  <si>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</si>
  <si>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</si>
  <si>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</si>
  <si>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</si>
  <si>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</si>
  <si>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</si>
  <si>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</si>
  <si>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</si>
  <si>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</si>
  <si>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</si>
  <si>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</si>
  <si>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</si>
  <si>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</si>
  <si>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</si>
  <si>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</si>
  <si>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</si>
  <si>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</si>
  <si>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</si>
  <si>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鈴鹿医療科学大学</t>
    <rPh sb="0" eb="8">
      <t>スズカイリョウカガクダイガク</t>
    </rPh>
    <phoneticPr fontId="1"/>
  </si>
  <si>
    <t>学部・学科によって、修了要件は相違しない</t>
  </si>
  <si>
    <t>医療人底力実践Ⅲ（データサイエンス）</t>
    <phoneticPr fontId="1"/>
  </si>
  <si>
    <t>○</t>
  </si>
  <si>
    <t>4-1統計および数理基礎</t>
  </si>
  <si>
    <t>統計学の初歩</t>
    <rPh sb="0" eb="3">
      <t>トウケイガク</t>
    </rPh>
    <rPh sb="4" eb="6">
      <t>ショホ</t>
    </rPh>
    <phoneticPr fontId="1"/>
  </si>
  <si>
    <t>医療健康データサイエンス入門</t>
    <rPh sb="0" eb="2">
      <t>イリョウ</t>
    </rPh>
    <rPh sb="2" eb="4">
      <t>ケンコウ</t>
    </rPh>
    <rPh sb="12" eb="14">
      <t>ニュウモン</t>
    </rPh>
    <phoneticPr fontId="1"/>
  </si>
  <si>
    <t>4‐2アルゴリズム基礎</t>
  </si>
  <si>
    <t>4‐3データ構造とプログラミング基礎</t>
  </si>
  <si>
    <t>プログラミング概論</t>
    <rPh sb="7" eb="9">
      <t>ガイロン</t>
    </rPh>
    <phoneticPr fontId="1"/>
  </si>
  <si>
    <t>4‐7データハンドリング</t>
  </si>
  <si>
    <t>データベース基礎Ⅰ・Ⅱ</t>
    <phoneticPr fontId="1"/>
  </si>
  <si>
    <t>4‐8データ活用実践（教師あり学習）</t>
  </si>
  <si>
    <t>4‐4時系列データ解析</t>
  </si>
  <si>
    <t>IoTと生体信号処理演習Ⅰ・Ⅱ</t>
    <phoneticPr fontId="1"/>
  </si>
  <si>
    <t>アルゴリズム論</t>
    <phoneticPr fontId="1"/>
  </si>
  <si>
    <t>離散数学入門</t>
    <phoneticPr fontId="1"/>
  </si>
  <si>
    <t>統計学Ⅰ・Ⅰ演習</t>
    <phoneticPr fontId="1"/>
  </si>
  <si>
    <t>統計学Ⅱ・Ⅱ演習</t>
    <phoneticPr fontId="1"/>
  </si>
  <si>
    <t>プログラミングⅠ・Ⅱ</t>
    <phoneticPr fontId="1"/>
  </si>
  <si>
    <t>医療健康データ分析Ⅰ・Ⅱ</t>
    <rPh sb="0" eb="2">
      <t>イリョウ</t>
    </rPh>
    <rPh sb="2" eb="4">
      <t>ケンコウ</t>
    </rPh>
    <rPh sb="7" eb="9">
      <t>ブンセキ</t>
    </rPh>
    <phoneticPr fontId="1"/>
  </si>
  <si>
    <t>人工知能Ⅰ・セミナーⅠ</t>
    <rPh sb="0" eb="2">
      <t>ジンコウ</t>
    </rPh>
    <rPh sb="2" eb="4">
      <t>チノウ</t>
    </rPh>
    <phoneticPr fontId="1"/>
  </si>
  <si>
    <t>人工知能Ⅱ・セミナーⅡ</t>
    <rPh sb="0" eb="2">
      <t>ジンコウ</t>
    </rPh>
    <rPh sb="2" eb="4">
      <t>チノウ</t>
    </rPh>
    <phoneticPr fontId="1"/>
  </si>
  <si>
    <r>
      <t>１．データサイエンス・AIを</t>
    </r>
    <r>
      <rPr>
        <sz val="11"/>
        <color theme="1"/>
        <rFont val="Microsoft YaHei UI"/>
        <family val="3"/>
        <charset val="134"/>
      </rPr>
      <t>⽇</t>
    </r>
    <r>
      <rPr>
        <sz val="11"/>
        <color theme="1"/>
        <rFont val="ＭＳ Ｐゴシック"/>
        <family val="3"/>
        <charset val="128"/>
        <scheme val="minor"/>
      </rPr>
      <t>常の</t>
    </r>
    <r>
      <rPr>
        <sz val="11"/>
        <color theme="1"/>
        <rFont val="Microsoft YaHei UI"/>
        <family val="3"/>
        <charset val="134"/>
      </rPr>
      <t>⽣</t>
    </r>
    <r>
      <rPr>
        <sz val="11"/>
        <color theme="1"/>
        <rFont val="ＭＳ Ｐゴシック"/>
        <family val="3"/>
        <charset val="128"/>
        <scheme val="minor"/>
      </rPr>
      <t>活・仕事等の場で使いこなすための基礎的素養を</t>
    </r>
    <r>
      <rPr>
        <sz val="11"/>
        <color theme="1"/>
        <rFont val="Microsoft YaHei UI"/>
        <family val="3"/>
        <charset val="134"/>
      </rPr>
      <t>⾝</t>
    </r>
    <r>
      <rPr>
        <sz val="11"/>
        <color theme="1"/>
        <rFont val="ＭＳ Ｐゴシック"/>
        <family val="3"/>
        <charset val="128"/>
        <scheme val="minor"/>
      </rPr>
      <t>につけ、統計データを活</t>
    </r>
    <r>
      <rPr>
        <sz val="11"/>
        <color theme="1"/>
        <rFont val="Microsoft YaHei UI"/>
        <family val="3"/>
        <charset val="134"/>
      </rPr>
      <t>⽤</t>
    </r>
    <r>
      <rPr>
        <sz val="11"/>
        <color theme="1"/>
        <rFont val="ＭＳ Ｐゴシック"/>
        <family val="3"/>
        <charset val="128"/>
        <scheme val="minor"/>
      </rPr>
      <t>する</t>
    </r>
    <r>
      <rPr>
        <sz val="11"/>
        <color theme="1"/>
        <rFont val="Microsoft YaHei UI"/>
        <family val="3"/>
        <charset val="134"/>
      </rPr>
      <t>⽅</t>
    </r>
    <r>
      <rPr>
        <sz val="11"/>
        <color theme="1"/>
        <rFont val="ＭＳ Ｐゴシック"/>
        <family val="3"/>
        <charset val="128"/>
        <scheme val="minor"/>
      </rPr>
      <t>法を体験する。
２．表計算ソフト（Excel）を使</t>
    </r>
    <r>
      <rPr>
        <sz val="11"/>
        <color theme="1"/>
        <rFont val="Microsoft YaHei UI"/>
        <family val="3"/>
        <charset val="134"/>
      </rPr>
      <t>⽤</t>
    </r>
    <r>
      <rPr>
        <sz val="11"/>
        <color theme="1"/>
        <rFont val="ＭＳ Ｐゴシック"/>
        <family val="3"/>
        <charset val="128"/>
        <scheme val="minor"/>
      </rPr>
      <t>して、実データを統計分析し、グラフなどの可視化技術によりデータの意味を理解する。</t>
    </r>
    <phoneticPr fontId="1"/>
  </si>
  <si>
    <t>・AI等を活用した新しいビジネスモデル(シェアリングエコノミー、商品のレコメンデーションなど)→「医療人底力実践Ⅲ（データサイエンス）」（４回目）
・AI最新技術の活用例（深層生成モデル、敵対的生成ネットワーク、強化学習、転移学習など）→「医療人底力実践Ⅲ（データサイエンス）」（４回目）</t>
    <phoneticPr fontId="1"/>
  </si>
  <si>
    <t>・データ・AI活用領域の広がり(生産、消費、文化活動など)→「医療人底力実践Ⅲ（データサイエンス）」（２回目）
・研究開発、調達、製造、物流、販売、マーケティング、サービスなど→「医療人底力実践Ⅲ（データサイエンス）」（２回目）
・仮説検証、知識発見、原因究明、計画策定、判断支援、活動代替、新規生成など→「医療人底力実践Ⅲ（データサイエンス）」（２回目）</t>
    <phoneticPr fontId="1"/>
  </si>
  <si>
    <t>・調査データ、実験データ→「医療人底力実践Ⅲ（データサイエンス）」（３回目）
・1次データ、2次データ、データのメタ化→「医療人底力実践Ⅲ（データサイエンス）」（３回目）
・構造化データ、非構造化データ（文章、画像/動画、音声/音楽など）→「医療人底力実践Ⅲ（データサイエンス）」（３回目）
・データ作成（ビッグデータとアノテーション）→「医療人底力実践Ⅲ（データサイエンス）」（３回目）
・データのオープン化（オープンデータ）→「医療人底力実践Ⅲ（データサイエンス）」（３回目）</t>
    <phoneticPr fontId="1"/>
  </si>
  <si>
    <t xml:space="preserve">・データサイエンスのサイクル（課題抽出と定式化、データの取得・管理・加工、探索的データ解析、データ解析と推論、結果の共有・伝達、課題解決に向けた提案）→「医療人底力実践Ⅲ（データサイエンス）」（４回目）
・流通、製造、金融、サービス、インフラ、公共、ヘルスケア等におけるデータ・AI利活用事例紹介→「医療人底力実践Ⅲ（データサイエンス）」（４回目）
</t>
    <phoneticPr fontId="1"/>
  </si>
  <si>
    <t>・情報セキュリティ：機密性、完全性、可用性→「医療人底力実践Ⅲ（データサイエンス）」（８回目）
・匿名加工情報、暗号化、パスワード、悪意ある情報搾取→「医療人底力実践Ⅲ（データサイエンス）」（８回目）
・情報漏洩等によるセキュリティ事故の事例紹介→「医療人底力実践Ⅲ（データサイエンス）」（８回目）</t>
    <phoneticPr fontId="1"/>
  </si>
  <si>
    <t>・データの種類（量的変数、質的変数）→「医療人底力実践Ⅲ（データサイエンス）」（５回目）
・データの分布(ヒストグラム)と代表値（平均値、中央値、最頻値）→「医療人底力実践Ⅲ（データサイエンス）」（５回目）
・代表値の性質の違い（実社会では平均値＝最頻値でないことが多い）→「医療人底力実践Ⅲ（データサイエンス）」（５回目）
・データのばらつき（分散、標準偏差、偏差値）→「医療人底力実践Ⅲ（データサイエンス）」（５回目）
・観測データに含まれる誤差の扱い→「医療人底力実践Ⅲ（データサイエンス）」（５回目）
・打ち切りや脱落を含むデータ、層別の必要なデータ→「医療人底力実践Ⅲ（データサイエンス）」（５回目）
・相関と因果（相関係数、擬似相関、交絡）→「医療人底力実践Ⅲ（データサイエンス）」（５回目）
・母集団と標本抽出（国勢調査、アンケート調査、全数調査、単純無作為抽出、層別抽出、多段抽出）→「医療人底力実践Ⅲ（データサイエンス）」（５回目）
・クロス集計表、分割表、相関係数行列、散布図行列→「医療人底力実践Ⅲ（データサイエンス）」（５回目）
・統計情報の正しい理解（誇張表現に惑わされない）→「医療人底力実践Ⅲ（データサイエンス）」（５回目）</t>
    <phoneticPr fontId="1"/>
  </si>
  <si>
    <t>データを適切に説明する力を養う・データ表現（棒グラフ、折線グラフ、散布図、ヒートマップ）→「医療人底力実践Ⅲ（データサイエンス）」（６回目）
・データの図表表現（チャート化）→「医療人底力実践Ⅲ（データサイエンス）」（６回目）
・データの比較（条件をそろえた比較、処理の前後での比較、A/Bテスト)→「医療人底力実践Ⅲ（データサイエンス）」（６回目）
・不適切なグラフ表現（チャートジャンク、不必要な視覚的要素）→「医療人底力実践Ⅲ（データサイエンス）」（６回目）
・優れた可視化事例の紹介（可視化することによって新たな気づきがあった事例など）→「医療人底力実践Ⅲ（データサイエンス）」（６回目）</t>
    <phoneticPr fontId="1"/>
  </si>
  <si>
    <t>データを扱うための力を養う・データの集計（和、平均）→「医療人底力実践Ⅲ（データサイエンス）」（７回目）
・データの並び替え、ランキング→「医療人底力実践Ⅲ（データサイエンス）」（７回目）
・データ解析ツール（スプレッドシート）→「医療人底力実践Ⅲ（データサイエンス）」（７回目）
・表形式のデータ（csv）→「医療人底力実践Ⅲ（データサイエンス）」（７回目）</t>
    <phoneticPr fontId="1"/>
  </si>
  <si>
    <t>保健衛生学部</t>
    <rPh sb="0" eb="2">
      <t>ホケン</t>
    </rPh>
    <rPh sb="2" eb="4">
      <t>エイセイ</t>
    </rPh>
    <rPh sb="4" eb="6">
      <t>ガクブ</t>
    </rPh>
    <phoneticPr fontId="1"/>
  </si>
  <si>
    <t>医用工学部</t>
    <rPh sb="0" eb="2">
      <t>イヨウ</t>
    </rPh>
    <rPh sb="2" eb="5">
      <t>コウガクブ</t>
    </rPh>
    <phoneticPr fontId="1"/>
  </si>
  <si>
    <t>薬学部</t>
    <rPh sb="0" eb="3">
      <t>ヤクガクブ</t>
    </rPh>
    <phoneticPr fontId="1"/>
  </si>
  <si>
    <t>看護学部</t>
    <rPh sb="0" eb="2">
      <t>カンゴ</t>
    </rPh>
    <rPh sb="2" eb="4">
      <t>ガクブ</t>
    </rPh>
    <phoneticPr fontId="1"/>
  </si>
  <si>
    <t>鶴岡信治</t>
    <rPh sb="0" eb="4">
      <t>ツルオカシンジ</t>
    </rPh>
    <phoneticPr fontId="1"/>
  </si>
  <si>
    <t>ICT教育センター長・医療健康データサイエンス学科学科長</t>
    <rPh sb="3" eb="5">
      <t>キョウイク</t>
    </rPh>
    <rPh sb="9" eb="10">
      <t>チョウ</t>
    </rPh>
    <rPh sb="11" eb="13">
      <t>イリョウ</t>
    </rPh>
    <rPh sb="13" eb="15">
      <t>ケンコウ</t>
    </rPh>
    <rPh sb="23" eb="25">
      <t>ガッカ</t>
    </rPh>
    <rPh sb="25" eb="28">
      <t>ガッカチョウ</t>
    </rPh>
    <phoneticPr fontId="1"/>
  </si>
  <si>
    <t>豊田長康</t>
    <rPh sb="0" eb="2">
      <t>トヨダ</t>
    </rPh>
    <rPh sb="2" eb="4">
      <t>ナガヤス</t>
    </rPh>
    <phoneticPr fontId="1"/>
  </si>
  <si>
    <t>豊田長康</t>
    <phoneticPr fontId="1"/>
  </si>
  <si>
    <t>鈴鹿医療科学大学データサイエンス（リテラシー）教育プログラム</t>
    <rPh sb="0" eb="8">
      <t>スズカイリョウカガクダイガク</t>
    </rPh>
    <rPh sb="23" eb="25">
      <t>キョウイク</t>
    </rPh>
    <phoneticPr fontId="1"/>
  </si>
  <si>
    <r>
      <t>・ビッグデータ、IoT、AI、ロボット</t>
    </r>
    <r>
      <rPr>
        <b/>
        <sz val="10"/>
        <color theme="1"/>
        <rFont val="ＭＳ Ｐゴシック"/>
        <family val="3"/>
        <charset val="128"/>
        <scheme val="minor"/>
      </rPr>
      <t>→</t>
    </r>
    <r>
      <rPr>
        <sz val="10"/>
        <color theme="1"/>
        <rFont val="ＭＳ Ｐゴシック"/>
        <family val="3"/>
        <charset val="128"/>
        <scheme val="minor"/>
      </rPr>
      <t>「医療人底力実践Ⅲ（データサイエンス）」（１回目）
・データ量の増加、計算機の処理性能の向上、AIの非連続的進化→「医療人底力実践Ⅲ（データサイエンス）」（１回目）
・データを起点としたものの見方、人間の知的活動を起点としたものの見方「→医療人底力実践Ⅲ（データサイエンス）」（１回目）
・第4次産業革命、Society 5.0、データ駆動型社会→「医療人底力実践Ⅲ（データサイエンス）」（１回目）
・複数技術を組み合わせたAIサービス→「医療人底力実践Ⅲ（データサイエンス）」（１回目）
・人間の知的活動とAIの関係性→「医療人底力実践Ⅲ（データサイエンス）」（４回目）</t>
    </r>
    <rPh sb="42" eb="44">
      <t>カイメ</t>
    </rPh>
    <phoneticPr fontId="1"/>
  </si>
  <si>
    <t xml:space="preserve">  本教育プログラムの修了要件である「医療人底力実践Ⅲ（データサイエンス）」は、全学生に対する必修授業科目であり、令和5年度には1年生と2年生の全員が履修しており、学年進行により、履修者数は増加し、4年生の学部（薬学部以外）については令和7年度に履修率を100%、6年制の薬学部では令和9年度に履修率を100％とする計画である。</t>
    <rPh sb="2" eb="3">
      <t>ホン</t>
    </rPh>
    <rPh sb="3" eb="5">
      <t>キョウイク</t>
    </rPh>
    <rPh sb="11" eb="13">
      <t>シュウリョウ</t>
    </rPh>
    <rPh sb="13" eb="15">
      <t>ヨウケン</t>
    </rPh>
    <rPh sb="47" eb="49">
      <t>ヒッシュウ</t>
    </rPh>
    <rPh sb="49" eb="51">
      <t>ジュギョウ</t>
    </rPh>
    <rPh sb="51" eb="53">
      <t>カモク</t>
    </rPh>
    <rPh sb="57" eb="59">
      <t>レイワ</t>
    </rPh>
    <rPh sb="60" eb="61">
      <t>ネン</t>
    </rPh>
    <rPh sb="65" eb="67">
      <t>ネンセイ</t>
    </rPh>
    <rPh sb="69" eb="71">
      <t>ネンセイ</t>
    </rPh>
    <rPh sb="72" eb="74">
      <t>ゼンイン</t>
    </rPh>
    <rPh sb="75" eb="77">
      <t>リシュウ</t>
    </rPh>
    <rPh sb="82" eb="84">
      <t>ガクネン</t>
    </rPh>
    <rPh sb="84" eb="86">
      <t>シンコウ</t>
    </rPh>
    <rPh sb="90" eb="92">
      <t>リシュウ</t>
    </rPh>
    <rPh sb="92" eb="93">
      <t>シャ</t>
    </rPh>
    <rPh sb="93" eb="94">
      <t>スウ</t>
    </rPh>
    <rPh sb="95" eb="97">
      <t>ゾウカ</t>
    </rPh>
    <rPh sb="100" eb="102">
      <t>ネンセイ</t>
    </rPh>
    <rPh sb="103" eb="105">
      <t>ガクブ</t>
    </rPh>
    <rPh sb="106" eb="109">
      <t>ヤクガクブ</t>
    </rPh>
    <rPh sb="109" eb="111">
      <t>イガイ</t>
    </rPh>
    <rPh sb="117" eb="119">
      <t>レイワ</t>
    </rPh>
    <rPh sb="120" eb="121">
      <t>ネン</t>
    </rPh>
    <rPh sb="123" eb="125">
      <t>リシュウ</t>
    </rPh>
    <rPh sb="125" eb="126">
      <t>リツ</t>
    </rPh>
    <rPh sb="141" eb="143">
      <t>レイワ</t>
    </rPh>
    <rPh sb="144" eb="146">
      <t>ネンド</t>
    </rPh>
    <rPh sb="147" eb="149">
      <t>リシュウ</t>
    </rPh>
    <rPh sb="149" eb="150">
      <t>リツ</t>
    </rPh>
    <rPh sb="158" eb="160">
      <t>ケイカク</t>
    </rPh>
    <phoneticPr fontId="1"/>
  </si>
  <si>
    <t xml:space="preserve">　周知方法としては、鈴鹿医療科学大学医療人底力教育センターで編集した冊子「医療人の底力実践（第4版）」において、データサイエンスを学ぶ必要性を「第2章　医療人底力実践（発展プログラム）第1講」で以下の内容を説明している。なおこの冊子は1年生全員が購入し、授業を受ける前に必読することになっている。
　１．データサイエンスに関する行動目標
　２．データサイエンスの社会的背景と本学の役割
　３．データサイエンスの学習目的
　４．データサイエンスのカリキュラム
　５．データサイエンス教育の特色
　６．参考文献
</t>
    <rPh sb="1" eb="3">
      <t>シュウチ</t>
    </rPh>
    <rPh sb="3" eb="5">
      <t>ホウホウ</t>
    </rPh>
    <rPh sb="10" eb="12">
      <t>スズカ</t>
    </rPh>
    <rPh sb="12" eb="14">
      <t>イリョウ</t>
    </rPh>
    <rPh sb="14" eb="18">
      <t>カガクダイガク</t>
    </rPh>
    <rPh sb="18" eb="20">
      <t>イリョウ</t>
    </rPh>
    <rPh sb="20" eb="21">
      <t>ジン</t>
    </rPh>
    <rPh sb="21" eb="23">
      <t>ソコチカラ</t>
    </rPh>
    <rPh sb="23" eb="25">
      <t>キョウイク</t>
    </rPh>
    <rPh sb="30" eb="32">
      <t>ヘンシュウ</t>
    </rPh>
    <rPh sb="34" eb="36">
      <t>サッシ</t>
    </rPh>
    <rPh sb="37" eb="39">
      <t>イリョウ</t>
    </rPh>
    <rPh sb="39" eb="40">
      <t>ジン</t>
    </rPh>
    <rPh sb="41" eb="43">
      <t>ソコチカラ</t>
    </rPh>
    <rPh sb="43" eb="45">
      <t>ジッセン</t>
    </rPh>
    <rPh sb="46" eb="47">
      <t>ダイ</t>
    </rPh>
    <rPh sb="48" eb="49">
      <t>ハン</t>
    </rPh>
    <rPh sb="65" eb="66">
      <t>マナ</t>
    </rPh>
    <rPh sb="67" eb="70">
      <t>ヒツヨウセイ</t>
    </rPh>
    <rPh sb="72" eb="73">
      <t>ダイ</t>
    </rPh>
    <rPh sb="74" eb="75">
      <t>ショウ</t>
    </rPh>
    <rPh sb="76" eb="78">
      <t>イリョウ</t>
    </rPh>
    <rPh sb="78" eb="79">
      <t>ジン</t>
    </rPh>
    <rPh sb="79" eb="81">
      <t>ソコチカラ</t>
    </rPh>
    <rPh sb="81" eb="83">
      <t>ジッセン</t>
    </rPh>
    <rPh sb="84" eb="86">
      <t>ハッテン</t>
    </rPh>
    <rPh sb="97" eb="99">
      <t>イカ</t>
    </rPh>
    <rPh sb="100" eb="102">
      <t>ナイヨウ</t>
    </rPh>
    <rPh sb="103" eb="105">
      <t>セツメイ</t>
    </rPh>
    <rPh sb="114" eb="116">
      <t>サッシ</t>
    </rPh>
    <rPh sb="127" eb="129">
      <t>ジュギョウ</t>
    </rPh>
    <rPh sb="130" eb="131">
      <t>ウ</t>
    </rPh>
    <rPh sb="133" eb="134">
      <t>マエ</t>
    </rPh>
    <rPh sb="135" eb="137">
      <t>ヒツドク</t>
    </rPh>
    <rPh sb="161" eb="162">
      <t>カン</t>
    </rPh>
    <rPh sb="164" eb="166">
      <t>コウドウ</t>
    </rPh>
    <rPh sb="166" eb="168">
      <t>モクヒョウ</t>
    </rPh>
    <rPh sb="181" eb="183">
      <t>シャカイ</t>
    </rPh>
    <rPh sb="183" eb="184">
      <t>テキ</t>
    </rPh>
    <rPh sb="184" eb="186">
      <t>ハイケイ</t>
    </rPh>
    <rPh sb="187" eb="189">
      <t>ホンガク</t>
    </rPh>
    <rPh sb="190" eb="192">
      <t>ヤクワリ</t>
    </rPh>
    <rPh sb="205" eb="207">
      <t>ガクシュウ</t>
    </rPh>
    <rPh sb="207" eb="209">
      <t>モクテキ</t>
    </rPh>
    <rPh sb="240" eb="242">
      <t>キョウイク</t>
    </rPh>
    <rPh sb="243" eb="245">
      <t>トクショク</t>
    </rPh>
    <rPh sb="249" eb="251">
      <t>サンコウ</t>
    </rPh>
    <rPh sb="251" eb="253">
      <t>ブンケン</t>
    </rPh>
    <phoneticPr fontId="1"/>
  </si>
  <si>
    <t>　電子メールとZoomによる質問は随時受け付け、希望者については対面での個別指導を行っている。また対面での相談では、Excelの操作方法に関する相談が多く、学生のパソコンを持参させ、学生が一人で操作ができるように個別指導を行っている。</t>
    <rPh sb="1" eb="3">
      <t>デンシ</t>
    </rPh>
    <rPh sb="14" eb="16">
      <t>シツモン</t>
    </rPh>
    <rPh sb="17" eb="19">
      <t>ズイジ</t>
    </rPh>
    <rPh sb="19" eb="20">
      <t>ウ</t>
    </rPh>
    <rPh sb="21" eb="22">
      <t>ツ</t>
    </rPh>
    <rPh sb="24" eb="27">
      <t>キボウシャ</t>
    </rPh>
    <rPh sb="32" eb="34">
      <t>タイメン</t>
    </rPh>
    <rPh sb="36" eb="38">
      <t>コベツ</t>
    </rPh>
    <rPh sb="38" eb="40">
      <t>シドウ</t>
    </rPh>
    <rPh sb="41" eb="42">
      <t>オコナ</t>
    </rPh>
    <rPh sb="49" eb="51">
      <t>タイメン</t>
    </rPh>
    <rPh sb="53" eb="55">
      <t>ソウダン</t>
    </rPh>
    <rPh sb="64" eb="66">
      <t>ソウサ</t>
    </rPh>
    <rPh sb="66" eb="68">
      <t>ホウホウ</t>
    </rPh>
    <rPh sb="69" eb="70">
      <t>カン</t>
    </rPh>
    <rPh sb="72" eb="74">
      <t>ソウダン</t>
    </rPh>
    <rPh sb="75" eb="76">
      <t>オオ</t>
    </rPh>
    <rPh sb="86" eb="88">
      <t>ジサン</t>
    </rPh>
    <rPh sb="91" eb="93">
      <t>ガクセイ</t>
    </rPh>
    <rPh sb="94" eb="96">
      <t>ヒトリ</t>
    </rPh>
    <rPh sb="97" eb="99">
      <t>ソウサ</t>
    </rPh>
    <rPh sb="106" eb="108">
      <t>コベツ</t>
    </rPh>
    <rPh sb="108" eb="110">
      <t>シドウ</t>
    </rPh>
    <rPh sb="111" eb="112">
      <t>オコナ</t>
    </rPh>
    <phoneticPr fontId="1"/>
  </si>
  <si>
    <t>その他多数の授業科目</t>
    <rPh sb="2" eb="3">
      <t>タ</t>
    </rPh>
    <rPh sb="3" eb="5">
      <t>タスウ</t>
    </rPh>
    <rPh sb="6" eb="8">
      <t>ジュギョウ</t>
    </rPh>
    <rPh sb="8" eb="10">
      <t>カモク</t>
    </rPh>
    <phoneticPr fontId="1"/>
  </si>
  <si>
    <t>　　</t>
    <phoneticPr fontId="1"/>
  </si>
  <si>
    <t>・ELSI（Ethical, Legal and Social Issues）→「医療人底力実践Ⅲ（データサイエンス）」（８回目）
・個人情報保護、EU一般データ保護規則(GDPR)、忘れられる権利、オプトアウト→「医療人底力実践Ⅲ（データサイエンス）」（８回目）
・データ倫理：データのねつ造、改ざん、盗用、プライバシー保護→「医療人底力実践Ⅲ（データサイエンス）」（８回目）
・AI社会原則（公平性、説明責任、透明性、人間中心の判断）→「医療人底力実践Ⅲ（データサイエンス）」（８回目）
・データバイアス、アルゴリズムバイアス→「医療人底力実践Ⅲ（データサイエンス）」（８回目）
・AIサービスの責任論→「医療人底力実践Ⅲ（データサイエンス）」（８回目）
・データ・AI活用における負の事例紹介→「医療人底力実践Ⅲ（データサイエンス）」（８回目）</t>
    <phoneticPr fontId="1"/>
  </si>
  <si>
    <t>・データ解析：予測、グルーピング、パターン発見、最適化、シミュレーションなど→「医療人底力実践Ⅲ（データサイエンス）」（３回目）
・データ可視化：複合グラフ、2軸グラフ、多次元の可視化、関係性の可視化、地図上の可視化→「医療人底力実践Ⅲ（データサイエンス）」（３回目）
・非構造化データ処理：言語処理、画像/動画処理、音声/音楽処理など→「医療人底力実践Ⅲ（データサイエンス）」（３回目）
・特化型AIと汎用AI、今のAIで出来ることと出来ないこと、AIとビッグデータ→「医療人底力実践Ⅲ（データサイエンス）」（４回目）
・認識技術、ルールベース、自動化技術→「医療人底力実践Ⅲ（データサイエンス）」（４回目）</t>
    <phoneticPr fontId="1"/>
  </si>
  <si>
    <t>令和４</t>
    <rPh sb="0" eb="2">
      <t>レイワ</t>
    </rPh>
    <phoneticPr fontId="1"/>
  </si>
  <si>
    <t xml:space="preserve">
　本プログラムを履修した全学生を対象に「学生による授業評価アンケート」(16項目)を実施し、内容の理解度の関して、以下のアンケート分析結果が得られた。なお参考のために、全科目の平均を(　)内に記載した。
 Q3　あなたはこの授業について自主的に予習や復習、教員への質問を行うなど、成績向上につながる努力をしましたか。
 A3　強くそう思う37%（34%),ややそう思う39%(35%),どちらとも言えない19%(18%),あまりそう思わない4%(4%),全くそう思わない１%(1%)
 Q5　教員は、学生の理解度を見ながら難易度レベルの設定や授業の進める速さを工夫していましたか。
 A5　強くそう思う46%(45%),ややそう思う41%(39%),どちらとも言えない12%(15%),あまりそう思わない2%(2%),全くそう思わない0%(0%)
 Q6 この授業は、あなたの知識を深め、能力を高めるものになっていましたか。
 A6　強くそう思う46%(48%),ややそう思う44%(40%),どちらとも言えない8%(11%),あまりそう思わない1%(1%),全くそう思わない0%(0%)
 Q7 この授業に対する総合評価をしてください。 
 A7　強くそう思う47%(49%),ややそう思う45%(38%),どちらとも言えない8%(12%),あまりそう思わない1%(1%),全くそう思わない0%(0%)
  これらのアンケートの結果から、学生の内容の理解度は、平均に比べやや高いと推定される。</t>
    <rPh sb="2" eb="3">
      <t>ホン</t>
    </rPh>
    <rPh sb="9" eb="11">
      <t>リシュウ</t>
    </rPh>
    <rPh sb="13" eb="16">
      <t>ゼンガクセイ</t>
    </rPh>
    <rPh sb="17" eb="19">
      <t>タイショウ</t>
    </rPh>
    <rPh sb="21" eb="23">
      <t>ガクセイ</t>
    </rPh>
    <rPh sb="26" eb="28">
      <t>ジュギョウ</t>
    </rPh>
    <rPh sb="28" eb="30">
      <t>ヒョウカ</t>
    </rPh>
    <rPh sb="39" eb="41">
      <t>コウモク</t>
    </rPh>
    <rPh sb="43" eb="45">
      <t>ジッシ</t>
    </rPh>
    <rPh sb="47" eb="49">
      <t>ナイヨウ</t>
    </rPh>
    <rPh sb="50" eb="53">
      <t>リカイド</t>
    </rPh>
    <rPh sb="54" eb="55">
      <t>カン</t>
    </rPh>
    <rPh sb="58" eb="60">
      <t>イカ</t>
    </rPh>
    <rPh sb="66" eb="68">
      <t>ブンセキ</t>
    </rPh>
    <rPh sb="68" eb="70">
      <t>ケッカ</t>
    </rPh>
    <rPh sb="71" eb="72">
      <t>エ</t>
    </rPh>
    <rPh sb="78" eb="80">
      <t>サンコウ</t>
    </rPh>
    <rPh sb="85" eb="88">
      <t>ゼンカモク</t>
    </rPh>
    <rPh sb="89" eb="91">
      <t>ヘイキン</t>
    </rPh>
    <rPh sb="95" eb="96">
      <t>ナイ</t>
    </rPh>
    <rPh sb="97" eb="99">
      <t>キサイ</t>
    </rPh>
    <rPh sb="164" eb="165">
      <t>ツヨ</t>
    </rPh>
    <rPh sb="168" eb="169">
      <t>オモ</t>
    </rPh>
    <rPh sb="183" eb="184">
      <t>オモ</t>
    </rPh>
    <rPh sb="199" eb="200">
      <t>イ</t>
    </rPh>
    <rPh sb="217" eb="218">
      <t>オモ</t>
    </rPh>
    <rPh sb="228" eb="229">
      <t>マッタ</t>
    </rPh>
    <rPh sb="232" eb="233">
      <t>オモ</t>
    </rPh>
    <rPh sb="618" eb="620">
      <t>ケッカ</t>
    </rPh>
    <rPh sb="623" eb="625">
      <t>ガクセイ</t>
    </rPh>
    <rPh sb="626" eb="628">
      <t>ナイヨウ</t>
    </rPh>
    <rPh sb="629" eb="632">
      <t>リカイド</t>
    </rPh>
    <rPh sb="634" eb="636">
      <t>ヘイキン</t>
    </rPh>
    <rPh sb="637" eb="638">
      <t>クラ</t>
    </rPh>
    <rPh sb="641" eb="642">
      <t>タカ</t>
    </rPh>
    <rPh sb="644" eb="646">
      <t>スイテイ</t>
    </rPh>
    <phoneticPr fontId="1"/>
  </si>
  <si>
    <t xml:space="preserve">
　本プログラムは全学生の必修であるが、アンケート調査では良い評価結果が出ており、学生の意見として書かれている自由記述文の代表的な例を以下に示す。
・カリキュラムがはっきりしていてたくさん学べました。
・課題などでより理解力が深まった。毎授業、課題が出るため復習がしやすかった。
・動画での解説が丁寧で分かりやすかった。特にExcelなどの作り方の動画がすごく分かりやすかったです
・PowerPoint重視で進むため分かりやすい。レポートがあるため理解しやすい。
・目標やテーマを明示し、分かりやすく説明していた。学生の理解度の調節もしていた。
・毎回のテーマが明確で動画自体も短編だったため、何度も見れて、取り組みやすかった。
・動画内で重要な点が明記されていたり、理解度テストでも要点を復習できたのが良かったです。
・言葉での説明だけでなく、スライドの先生が実際にしている動画があったのでわかりやすかったです。
・授業動画と小テスト、実技と自分のスキルを高めるものが多く、分かりやすかった。
・配布資料が緻密にできていてよかったです。
・学生の理解度に応じて、質問などの対応をしていた。</t>
    <rPh sb="2" eb="3">
      <t>ホン</t>
    </rPh>
    <rPh sb="9" eb="12">
      <t>ゼンガクセイ</t>
    </rPh>
    <rPh sb="13" eb="15">
      <t>ヒッシュウ</t>
    </rPh>
    <rPh sb="25" eb="27">
      <t>チョウサ</t>
    </rPh>
    <rPh sb="29" eb="30">
      <t>ヨ</t>
    </rPh>
    <rPh sb="31" eb="33">
      <t>ヒョウカ</t>
    </rPh>
    <rPh sb="33" eb="35">
      <t>ケッカ</t>
    </rPh>
    <rPh sb="36" eb="37">
      <t>デ</t>
    </rPh>
    <rPh sb="41" eb="43">
      <t>ガクセイ</t>
    </rPh>
    <rPh sb="44" eb="46">
      <t>イケン</t>
    </rPh>
    <rPh sb="49" eb="50">
      <t>カ</t>
    </rPh>
    <rPh sb="55" eb="57">
      <t>ジユウ</t>
    </rPh>
    <rPh sb="57" eb="59">
      <t>キジュツ</t>
    </rPh>
    <rPh sb="59" eb="60">
      <t>ブン</t>
    </rPh>
    <rPh sb="61" eb="64">
      <t>ダイヒョウテキ</t>
    </rPh>
    <rPh sb="65" eb="66">
      <t>レイ</t>
    </rPh>
    <rPh sb="67" eb="69">
      <t>イカ</t>
    </rPh>
    <rPh sb="70" eb="71">
      <t>シメ</t>
    </rPh>
    <rPh sb="160" eb="161">
      <t>トク</t>
    </rPh>
    <rPh sb="298" eb="300">
      <t>ナンド</t>
    </rPh>
    <rPh sb="301" eb="302">
      <t>ミ</t>
    </rPh>
    <phoneticPr fontId="1"/>
  </si>
  <si>
    <t xml:space="preserve">
　本プログラムの修了者は、まだ卒業していないが、本学の卒業者は、医療福祉機関をはじめとし、企業・自治体などの広い範囲で活躍している。それで、本プログラムを修了した学生は、社会の幅広い分野でデータ分析をする有用な人材として活躍することを多くの地域の人々は期待している。</t>
    <rPh sb="2" eb="3">
      <t>ホン</t>
    </rPh>
    <rPh sb="9" eb="11">
      <t>シュウリョウ</t>
    </rPh>
    <rPh sb="11" eb="12">
      <t>シャ</t>
    </rPh>
    <rPh sb="16" eb="18">
      <t>ソツギョウ</t>
    </rPh>
    <rPh sb="25" eb="27">
      <t>ホンガク</t>
    </rPh>
    <rPh sb="28" eb="31">
      <t>ソツギョウシャ</t>
    </rPh>
    <rPh sb="33" eb="35">
      <t>イリョウ</t>
    </rPh>
    <rPh sb="35" eb="37">
      <t>フクシ</t>
    </rPh>
    <rPh sb="37" eb="39">
      <t>キカン</t>
    </rPh>
    <rPh sb="46" eb="48">
      <t>キギョウ</t>
    </rPh>
    <rPh sb="49" eb="52">
      <t>ジチタイ</t>
    </rPh>
    <rPh sb="55" eb="56">
      <t>ヒロ</t>
    </rPh>
    <rPh sb="57" eb="59">
      <t>ハンイ</t>
    </rPh>
    <rPh sb="60" eb="62">
      <t>カツヤク</t>
    </rPh>
    <rPh sb="71" eb="72">
      <t>ホン</t>
    </rPh>
    <rPh sb="78" eb="80">
      <t>シュウリョウ</t>
    </rPh>
    <rPh sb="82" eb="84">
      <t>ガクセイ</t>
    </rPh>
    <rPh sb="86" eb="88">
      <t>シャカイ</t>
    </rPh>
    <rPh sb="89" eb="91">
      <t>ハバヒロ</t>
    </rPh>
    <rPh sb="92" eb="94">
      <t>ブンヤ</t>
    </rPh>
    <rPh sb="98" eb="100">
      <t>ブンセキ</t>
    </rPh>
    <rPh sb="103" eb="105">
      <t>ユウヨウ</t>
    </rPh>
    <rPh sb="106" eb="108">
      <t>ジンザイ</t>
    </rPh>
    <rPh sb="111" eb="113">
      <t>カツヤク</t>
    </rPh>
    <rPh sb="118" eb="119">
      <t>オオ</t>
    </rPh>
    <rPh sb="121" eb="123">
      <t>チイキ</t>
    </rPh>
    <rPh sb="124" eb="126">
      <t>ヒトビト</t>
    </rPh>
    <rPh sb="127" eb="129">
      <t>キタイ</t>
    </rPh>
    <phoneticPr fontId="1"/>
  </si>
  <si>
    <t xml:space="preserve">
　産業界と他大学の教員からの意見を伺うために、昨年度、三重県産業支援センターが主催している「データサイエンス研究会」と、三重大学北勢サテライト主催の「健康福祉システム開発研究会」で、本データサイエンス教育プログラムに関して研究発表を行い、産学官のデータサイエンスに関心がある関係者からの意見徴収を行った。その結果、令和６年度の授業に三重県のデータサイエンスの利活用の事例を取り入れる予定である。
　また地域の自治体からの意見を伺うために、鈴鹿市の事業にデータ分析の分野で協力しており、本教育プログラムについての意見も徴収している。その結果、鈴鹿市から本学の教員に依頼され、現在、データ分析している鈴鹿市高齢者フレイル予防対策事業での高齢者約200人の2年間にわたる体力測定データの分析について、多くの本学の学生がデータ分析に協力し、自治体の行っている福祉事業に関心を持ってほしいとの要望があり、令和6年度の授業では、このデータを分析する演習を行う予定である。</t>
    <rPh sb="2" eb="5">
      <t>サンギョウカイ</t>
    </rPh>
    <rPh sb="6" eb="9">
      <t>タダイガク</t>
    </rPh>
    <rPh sb="10" eb="12">
      <t>キョウイン</t>
    </rPh>
    <rPh sb="15" eb="17">
      <t>イケン</t>
    </rPh>
    <rPh sb="18" eb="19">
      <t>ウカガ</t>
    </rPh>
    <rPh sb="24" eb="25">
      <t>サク</t>
    </rPh>
    <rPh sb="25" eb="27">
      <t>ネンド</t>
    </rPh>
    <rPh sb="28" eb="31">
      <t>ミエケン</t>
    </rPh>
    <rPh sb="31" eb="33">
      <t>サンギョウ</t>
    </rPh>
    <rPh sb="33" eb="35">
      <t>シエン</t>
    </rPh>
    <rPh sb="40" eb="42">
      <t>シュサイ</t>
    </rPh>
    <rPh sb="55" eb="58">
      <t>ケンキュウカイ</t>
    </rPh>
    <rPh sb="61" eb="63">
      <t>ミエ</t>
    </rPh>
    <rPh sb="63" eb="65">
      <t>ダイガク</t>
    </rPh>
    <rPh sb="65" eb="67">
      <t>ホクセイ</t>
    </rPh>
    <rPh sb="72" eb="74">
      <t>シュサイ</t>
    </rPh>
    <rPh sb="76" eb="78">
      <t>ケンコウ</t>
    </rPh>
    <rPh sb="78" eb="80">
      <t>フクシ</t>
    </rPh>
    <rPh sb="84" eb="86">
      <t>カイハツ</t>
    </rPh>
    <rPh sb="86" eb="89">
      <t>ケンキュウカイ</t>
    </rPh>
    <rPh sb="101" eb="103">
      <t>キョウイク</t>
    </rPh>
    <rPh sb="109" eb="110">
      <t>カン</t>
    </rPh>
    <rPh sb="112" eb="114">
      <t>ケンキュウ</t>
    </rPh>
    <rPh sb="114" eb="116">
      <t>ハッピョウ</t>
    </rPh>
    <rPh sb="117" eb="118">
      <t>オコナ</t>
    </rPh>
    <rPh sb="120" eb="123">
      <t>サンガクカン</t>
    </rPh>
    <rPh sb="133" eb="135">
      <t>カンシン</t>
    </rPh>
    <rPh sb="138" eb="141">
      <t>カンケイシャ</t>
    </rPh>
    <rPh sb="144" eb="146">
      <t>イケン</t>
    </rPh>
    <rPh sb="146" eb="148">
      <t>チョウシュウ</t>
    </rPh>
    <rPh sb="149" eb="150">
      <t>オコナ</t>
    </rPh>
    <rPh sb="155" eb="157">
      <t>ケッカ</t>
    </rPh>
    <rPh sb="164" eb="166">
      <t>ジュギョウ</t>
    </rPh>
    <rPh sb="167" eb="170">
      <t>ミエケン</t>
    </rPh>
    <rPh sb="180" eb="183">
      <t>リカツヨウ</t>
    </rPh>
    <rPh sb="184" eb="186">
      <t>ジレイ</t>
    </rPh>
    <rPh sb="187" eb="188">
      <t>ト</t>
    </rPh>
    <rPh sb="189" eb="190">
      <t>イ</t>
    </rPh>
    <rPh sb="192" eb="194">
      <t>ヨテイ</t>
    </rPh>
    <rPh sb="202" eb="204">
      <t>チイキ</t>
    </rPh>
    <rPh sb="205" eb="208">
      <t>ジチタイ</t>
    </rPh>
    <rPh sb="211" eb="213">
      <t>イケン</t>
    </rPh>
    <rPh sb="214" eb="215">
      <t>ウカガ</t>
    </rPh>
    <rPh sb="220" eb="223">
      <t>スズカシ</t>
    </rPh>
    <rPh sb="224" eb="226">
      <t>ジギョウ</t>
    </rPh>
    <rPh sb="230" eb="232">
      <t>ブンセキ</t>
    </rPh>
    <rPh sb="233" eb="235">
      <t>ブンヤ</t>
    </rPh>
    <rPh sb="236" eb="238">
      <t>キョウリョク</t>
    </rPh>
    <rPh sb="271" eb="274">
      <t>スズカシ</t>
    </rPh>
    <rPh sb="282" eb="284">
      <t>イライ</t>
    </rPh>
    <rPh sb="287" eb="289">
      <t>ゲンザイ</t>
    </rPh>
    <rPh sb="293" eb="295">
      <t>ブンセキ</t>
    </rPh>
    <rPh sb="317" eb="320">
      <t>コウレイシャ</t>
    </rPh>
    <rPh sb="320" eb="321">
      <t>ヤク</t>
    </rPh>
    <rPh sb="324" eb="325">
      <t>ニン</t>
    </rPh>
    <rPh sb="327" eb="329">
      <t>ネンカン</t>
    </rPh>
    <rPh sb="348" eb="349">
      <t>オオ</t>
    </rPh>
    <rPh sb="351" eb="353">
      <t>ホンガク</t>
    </rPh>
    <rPh sb="354" eb="356">
      <t>ガクセイ</t>
    </rPh>
    <rPh sb="360" eb="362">
      <t>ブンセキ</t>
    </rPh>
    <rPh sb="363" eb="365">
      <t>キョウリョク</t>
    </rPh>
    <rPh sb="367" eb="370">
      <t>ジチタイ</t>
    </rPh>
    <rPh sb="371" eb="372">
      <t>オコナ</t>
    </rPh>
    <rPh sb="376" eb="378">
      <t>フクシ</t>
    </rPh>
    <rPh sb="378" eb="380">
      <t>ジギョウ</t>
    </rPh>
    <rPh sb="381" eb="383">
      <t>カンシン</t>
    </rPh>
    <rPh sb="384" eb="385">
      <t>モ</t>
    </rPh>
    <rPh sb="392" eb="394">
      <t>ヨウボウ</t>
    </rPh>
    <rPh sb="398" eb="400">
      <t>レイワ</t>
    </rPh>
    <rPh sb="401" eb="403">
      <t>ネンド</t>
    </rPh>
    <rPh sb="404" eb="406">
      <t>ジュギョウ</t>
    </rPh>
    <rPh sb="415" eb="417">
      <t>ブンセキ</t>
    </rPh>
    <rPh sb="419" eb="421">
      <t>エンシュウ</t>
    </rPh>
    <rPh sb="422" eb="423">
      <t>オコナ</t>
    </rPh>
    <rPh sb="424" eb="426">
      <t>ヨテイ</t>
    </rPh>
    <phoneticPr fontId="1"/>
  </si>
  <si>
    <t xml:space="preserve">
　この授業で学習したことを学ぶ楽しさ、学ぶことの意義を理解させるために、この授業に続く、全学必修授業「医療人底力実践Ⅳ(発展プログラム)」では、少人数のグループワークにより、地域の課題を学生が探し出し、データ分析し、学習した内容をプレゼンテーションする体験をさせている。これらの授業を通じて、本学ではデータサイエンスを教育する授業を増やす努力をしており、様々な授業でデータを活用し、EBM(エビデンスに基づく医療）を実施できる人材となることを目指している。</t>
    <rPh sb="4" eb="6">
      <t>ジュギョウ</t>
    </rPh>
    <rPh sb="7" eb="9">
      <t>ガクシュウ</t>
    </rPh>
    <rPh sb="14" eb="15">
      <t>マナ</t>
    </rPh>
    <rPh sb="16" eb="17">
      <t>タノ</t>
    </rPh>
    <rPh sb="20" eb="21">
      <t>マナ</t>
    </rPh>
    <rPh sb="25" eb="27">
      <t>イギ</t>
    </rPh>
    <rPh sb="28" eb="30">
      <t>リカイ</t>
    </rPh>
    <rPh sb="39" eb="41">
      <t>ジュギョウ</t>
    </rPh>
    <rPh sb="42" eb="43">
      <t>ツヅ</t>
    </rPh>
    <rPh sb="47" eb="49">
      <t>ヒッシュウ</t>
    </rPh>
    <rPh sb="49" eb="51">
      <t>ジュギョウ</t>
    </rPh>
    <rPh sb="52" eb="54">
      <t>イリョウ</t>
    </rPh>
    <rPh sb="54" eb="55">
      <t>ジン</t>
    </rPh>
    <rPh sb="55" eb="57">
      <t>ソコチカラ</t>
    </rPh>
    <rPh sb="57" eb="59">
      <t>ジッセン</t>
    </rPh>
    <rPh sb="61" eb="63">
      <t>ハッテン</t>
    </rPh>
    <rPh sb="73" eb="76">
      <t>ショウニンズウ</t>
    </rPh>
    <rPh sb="88" eb="90">
      <t>チイキ</t>
    </rPh>
    <rPh sb="91" eb="93">
      <t>カダイ</t>
    </rPh>
    <rPh sb="94" eb="96">
      <t>ガクセイ</t>
    </rPh>
    <rPh sb="97" eb="98">
      <t>サガ</t>
    </rPh>
    <rPh sb="99" eb="100">
      <t>ダ</t>
    </rPh>
    <rPh sb="105" eb="107">
      <t>ブンセキ</t>
    </rPh>
    <rPh sb="109" eb="111">
      <t>ガクシュウ</t>
    </rPh>
    <rPh sb="113" eb="115">
      <t>ナイヨウ</t>
    </rPh>
    <rPh sb="127" eb="129">
      <t>タイケン</t>
    </rPh>
    <rPh sb="140" eb="142">
      <t>ジュギョウ</t>
    </rPh>
    <rPh sb="143" eb="144">
      <t>ツウ</t>
    </rPh>
    <rPh sb="147" eb="149">
      <t>ホンガク</t>
    </rPh>
    <rPh sb="160" eb="162">
      <t>キョウイク</t>
    </rPh>
    <rPh sb="164" eb="166">
      <t>ジュギョウ</t>
    </rPh>
    <rPh sb="167" eb="168">
      <t>フ</t>
    </rPh>
    <rPh sb="170" eb="172">
      <t>ドリョク</t>
    </rPh>
    <rPh sb="178" eb="180">
      <t>サマザマ</t>
    </rPh>
    <rPh sb="181" eb="183">
      <t>ジュギョウ</t>
    </rPh>
    <rPh sb="188" eb="190">
      <t>カツヨウ</t>
    </rPh>
    <rPh sb="202" eb="203">
      <t>モト</t>
    </rPh>
    <rPh sb="205" eb="207">
      <t>イリョウ</t>
    </rPh>
    <rPh sb="209" eb="211">
      <t>ジッシ</t>
    </rPh>
    <rPh sb="214" eb="216">
      <t>ジンザイ</t>
    </rPh>
    <rPh sb="222" eb="224">
      <t>メザ</t>
    </rPh>
    <phoneticPr fontId="1"/>
  </si>
  <si>
    <t xml:space="preserve">
　産学官連携事業に関して、より多くのデータを利活用した事例を、学生が理解できるように、ポイントを簡潔に示した図解、画像、動画などを使用し、学生に紹介することを目指している。また生成AIを利用したレポート作成方法を令和⑥年度の授業では解説し、レポートを提出させる予定である。</t>
    <rPh sb="2" eb="4">
      <t>サンガク</t>
    </rPh>
    <rPh sb="4" eb="6">
      <t>レンケイ</t>
    </rPh>
    <rPh sb="6" eb="8">
      <t>ジギョウ</t>
    </rPh>
    <rPh sb="9" eb="10">
      <t>カン</t>
    </rPh>
    <rPh sb="15" eb="16">
      <t>オオ</t>
    </rPh>
    <rPh sb="22" eb="25">
      <t>リカツヨウ</t>
    </rPh>
    <rPh sb="27" eb="29">
      <t>ジレイ</t>
    </rPh>
    <rPh sb="31" eb="33">
      <t>ガクセイ</t>
    </rPh>
    <rPh sb="34" eb="36">
      <t>リカイ</t>
    </rPh>
    <rPh sb="48" eb="50">
      <t>カンケツ</t>
    </rPh>
    <rPh sb="51" eb="52">
      <t>シメ</t>
    </rPh>
    <rPh sb="54" eb="56">
      <t>ズカイ</t>
    </rPh>
    <rPh sb="58" eb="60">
      <t>ガゾウ</t>
    </rPh>
    <rPh sb="61" eb="63">
      <t>ドウガ</t>
    </rPh>
    <rPh sb="65" eb="67">
      <t>シヨウ</t>
    </rPh>
    <rPh sb="69" eb="71">
      <t>ガクセイ</t>
    </rPh>
    <rPh sb="72" eb="74">
      <t>ショウカイ</t>
    </rPh>
    <rPh sb="79" eb="81">
      <t>メザ</t>
    </rPh>
    <rPh sb="89" eb="91">
      <t>セイセイ</t>
    </rPh>
    <rPh sb="94" eb="96">
      <t>リヨウ</t>
    </rPh>
    <rPh sb="102" eb="104">
      <t>サクセイ</t>
    </rPh>
    <rPh sb="104" eb="106">
      <t>ホウホウ</t>
    </rPh>
    <rPh sb="107" eb="109">
      <t>レイワ</t>
    </rPh>
    <rPh sb="110" eb="112">
      <t>ネンド</t>
    </rPh>
    <rPh sb="113" eb="115">
      <t>ジュギョウ</t>
    </rPh>
    <rPh sb="117" eb="119">
      <t>カイセツ</t>
    </rPh>
    <rPh sb="126" eb="128">
      <t>テイシュツ</t>
    </rPh>
    <rPh sb="131" eb="133">
      <t>ヨテイ</t>
    </rPh>
    <phoneticPr fontId="1"/>
  </si>
  <si>
    <t xml:space="preserve">
　本学では、入学志願者へ配付している「大学案内　CAMPUS　GUIDE」に修了要件の「医療人底力実践Ⅲ(データサイエンス）」を全学必修で履修することを明記し、全学のディプロマ・ポリシーの「④保健・医療・福祉専門領域の最先端の進歩の状況を把握し、数理・データサイエンスを活用できる。」ことを明記しており、現在、全学でデータサイエンス教育を推進している。
　本プログラムは、このポリシーを具体化させる一過程であり、全学部・全学科の1年生の必修科目であり、4年制の学部については、現在、約半数が履修しており、6年制の学部では約3分の1の学生が修得しており、学年進行により、4年後には、全学生が履修し、修得する予定である。</t>
    <rPh sb="2" eb="4">
      <t>ホンガク</t>
    </rPh>
    <rPh sb="7" eb="9">
      <t>ニュウガク</t>
    </rPh>
    <rPh sb="9" eb="12">
      <t>シガンシャ</t>
    </rPh>
    <rPh sb="13" eb="15">
      <t>ハイフ</t>
    </rPh>
    <rPh sb="20" eb="22">
      <t>ダイガク</t>
    </rPh>
    <rPh sb="22" eb="24">
      <t>アンナイ</t>
    </rPh>
    <rPh sb="39" eb="41">
      <t>シュウリョウ</t>
    </rPh>
    <rPh sb="41" eb="43">
      <t>ヨウケン</t>
    </rPh>
    <rPh sb="45" eb="47">
      <t>イリョウ</t>
    </rPh>
    <rPh sb="47" eb="48">
      <t>ジン</t>
    </rPh>
    <rPh sb="48" eb="50">
      <t>ソコチカラ</t>
    </rPh>
    <rPh sb="50" eb="52">
      <t>ジッセン</t>
    </rPh>
    <rPh sb="65" eb="67">
      <t>ゼンガク</t>
    </rPh>
    <rPh sb="67" eb="69">
      <t>ヒッシュウ</t>
    </rPh>
    <rPh sb="70" eb="72">
      <t>リシュウ</t>
    </rPh>
    <rPh sb="77" eb="79">
      <t>メイキ</t>
    </rPh>
    <rPh sb="81" eb="83">
      <t>ゼンガク</t>
    </rPh>
    <rPh sb="97" eb="99">
      <t>ホケン</t>
    </rPh>
    <rPh sb="100" eb="102">
      <t>イリョウ</t>
    </rPh>
    <rPh sb="103" eb="105">
      <t>フクシ</t>
    </rPh>
    <rPh sb="105" eb="107">
      <t>センモン</t>
    </rPh>
    <rPh sb="107" eb="109">
      <t>リョウイキ</t>
    </rPh>
    <rPh sb="110" eb="113">
      <t>サイセンタン</t>
    </rPh>
    <rPh sb="114" eb="116">
      <t>シンポ</t>
    </rPh>
    <rPh sb="117" eb="119">
      <t>ジョウキョウ</t>
    </rPh>
    <rPh sb="120" eb="122">
      <t>ハアク</t>
    </rPh>
    <rPh sb="124" eb="126">
      <t>スウリ</t>
    </rPh>
    <rPh sb="136" eb="138">
      <t>カツヨウ</t>
    </rPh>
    <rPh sb="146" eb="148">
      <t>メイキ</t>
    </rPh>
    <rPh sb="153" eb="155">
      <t>ゲンザイ</t>
    </rPh>
    <rPh sb="156" eb="158">
      <t>ゼンガク</t>
    </rPh>
    <rPh sb="167" eb="169">
      <t>キョウイク</t>
    </rPh>
    <rPh sb="170" eb="172">
      <t>スイシン</t>
    </rPh>
    <rPh sb="179" eb="180">
      <t>ホン</t>
    </rPh>
    <rPh sb="194" eb="196">
      <t>グタイ</t>
    </rPh>
    <rPh sb="196" eb="197">
      <t>カ</t>
    </rPh>
    <rPh sb="200" eb="203">
      <t>イチカテイ</t>
    </rPh>
    <rPh sb="207" eb="209">
      <t>ゼンガク</t>
    </rPh>
    <rPh sb="209" eb="210">
      <t>ブ</t>
    </rPh>
    <rPh sb="211" eb="212">
      <t>ゼン</t>
    </rPh>
    <rPh sb="212" eb="214">
      <t>ガッカ</t>
    </rPh>
    <rPh sb="216" eb="218">
      <t>ネンセイ</t>
    </rPh>
    <rPh sb="219" eb="223">
      <t>ヒッシュウカモク</t>
    </rPh>
    <rPh sb="228" eb="230">
      <t>ネンセイ</t>
    </rPh>
    <rPh sb="229" eb="230">
      <t>セイ</t>
    </rPh>
    <rPh sb="231" eb="233">
      <t>ガクブ</t>
    </rPh>
    <rPh sb="239" eb="241">
      <t>ゲンザイ</t>
    </rPh>
    <rPh sb="242" eb="245">
      <t>ヤクハンスウ</t>
    </rPh>
    <rPh sb="246" eb="248">
      <t>リシュウ</t>
    </rPh>
    <rPh sb="254" eb="256">
      <t>ネンセイ</t>
    </rPh>
    <rPh sb="257" eb="259">
      <t>ガクブ</t>
    </rPh>
    <rPh sb="261" eb="262">
      <t>ヤク</t>
    </rPh>
    <rPh sb="263" eb="264">
      <t>ブン</t>
    </rPh>
    <rPh sb="267" eb="269">
      <t>ガクセイ</t>
    </rPh>
    <rPh sb="270" eb="272">
      <t>シュウトク</t>
    </rPh>
    <rPh sb="277" eb="279">
      <t>ガクネン</t>
    </rPh>
    <rPh sb="279" eb="281">
      <t>シンコウ</t>
    </rPh>
    <rPh sb="286" eb="288">
      <t>ネンゴ</t>
    </rPh>
    <rPh sb="291" eb="294">
      <t>ゼンガクセイ</t>
    </rPh>
    <rPh sb="295" eb="297">
      <t>リシュウ</t>
    </rPh>
    <rPh sb="299" eb="301">
      <t>シュウトク</t>
    </rPh>
    <rPh sb="303" eb="305">
      <t>ヨテイ</t>
    </rPh>
    <phoneticPr fontId="1"/>
  </si>
  <si>
    <t xml:space="preserve">鈴鹿医療科学大学教育改革委員会・鈴鹿医療科学大学底力教育推進 センター </t>
    <rPh sb="0" eb="8">
      <t>スズカイリョウカガクダイガク</t>
    </rPh>
    <phoneticPr fontId="1"/>
  </si>
  <si>
    <t>鈴鹿医療科学大学教育改革委員長（学長）</t>
    <rPh sb="8" eb="10">
      <t>キョウイク</t>
    </rPh>
    <rPh sb="10" eb="12">
      <t>カイカク</t>
    </rPh>
    <rPh sb="12" eb="14">
      <t>イイン</t>
    </rPh>
    <rPh sb="14" eb="15">
      <t>チョウ</t>
    </rPh>
    <rPh sb="16" eb="18">
      <t>ガクチョウ</t>
    </rPh>
    <phoneticPr fontId="1"/>
  </si>
  <si>
    <t>鈴鹿医療科学大学教育改革委員会規程・鈴鹿医療科学大学底力教育推進 センター 規程</t>
    <rPh sb="8" eb="10">
      <t>キョウイク</t>
    </rPh>
    <rPh sb="10" eb="12">
      <t>カイカク</t>
    </rPh>
    <rPh sb="12" eb="15">
      <t>イインカイ</t>
    </rPh>
    <rPh sb="15" eb="17">
      <t>キテイ</t>
    </rPh>
    <phoneticPr fontId="1"/>
  </si>
  <si>
    <t>鈴鹿医療科学大学教育開発(ＦＤ推進)委員会</t>
    <rPh sb="10" eb="12">
      <t>カイハツ</t>
    </rPh>
    <rPh sb="15" eb="17">
      <t>スイシン</t>
    </rPh>
    <phoneticPr fontId="1"/>
  </si>
  <si>
    <t>鈴鹿医療科学大学教育開発(ＦＤ推進)委員長（学長）</t>
    <rPh sb="10" eb="12">
      <t>カイハツ</t>
    </rPh>
    <rPh sb="15" eb="17">
      <t>スイシン</t>
    </rPh>
    <rPh sb="18" eb="21">
      <t>イインチョウ</t>
    </rPh>
    <phoneticPr fontId="1"/>
  </si>
  <si>
    <t xml:space="preserve">
　学生がデータサイエンスについて興味を持つように、Excelの関数の使用方法やグラフの作成方法に関して画面動画を取り入れたり、専門科目で学習する内容とデータサイエンスの関わりを示す事例を教材に取り入れた。その結果、以下のような学修成果が、学生の意見より分かった。
（１）多くの学生がExcelを使用してグラフを作成することに興味を持った。
（２）本学で実施している鈴鹿市福祉ロボット推進事業（自律動作支援をするための装着型サイボーグHAL）などを解説し、このような事例に興味を持った。
　またこの授業に関する学修成果をより効果的にするための授業改善については、教育開発（ＦＤ推進)委員会が主催している「教育改善提案制度」に応募し、書類選考とプレゼンにより、令和4年度に学長賞を受賞した。
　　改善テーマ：オリジナル短時間動画と learningBOX を使用したオンデマンド型データサイエンス教育</t>
    <rPh sb="2" eb="4">
      <t>ガクセイ</t>
    </rPh>
    <rPh sb="17" eb="19">
      <t>キョウミ</t>
    </rPh>
    <rPh sb="20" eb="21">
      <t>モ</t>
    </rPh>
    <rPh sb="32" eb="34">
      <t>カンスウ</t>
    </rPh>
    <rPh sb="35" eb="37">
      <t>シヨウ</t>
    </rPh>
    <rPh sb="37" eb="39">
      <t>ホウホウ</t>
    </rPh>
    <rPh sb="44" eb="46">
      <t>サクセイ</t>
    </rPh>
    <rPh sb="46" eb="48">
      <t>ホウホウ</t>
    </rPh>
    <rPh sb="49" eb="50">
      <t>カン</t>
    </rPh>
    <rPh sb="52" eb="54">
      <t>ガメン</t>
    </rPh>
    <rPh sb="54" eb="56">
      <t>ドウガ</t>
    </rPh>
    <rPh sb="57" eb="58">
      <t>ト</t>
    </rPh>
    <rPh sb="59" eb="60">
      <t>イ</t>
    </rPh>
    <rPh sb="64" eb="66">
      <t>センモン</t>
    </rPh>
    <rPh sb="66" eb="68">
      <t>カモク</t>
    </rPh>
    <rPh sb="69" eb="71">
      <t>ガクシュウ</t>
    </rPh>
    <rPh sb="73" eb="75">
      <t>ナイヨウ</t>
    </rPh>
    <rPh sb="85" eb="86">
      <t>カカ</t>
    </rPh>
    <rPh sb="89" eb="90">
      <t>シメ</t>
    </rPh>
    <rPh sb="91" eb="93">
      <t>ジレイ</t>
    </rPh>
    <rPh sb="94" eb="96">
      <t>キョウザイ</t>
    </rPh>
    <rPh sb="97" eb="98">
      <t>ト</t>
    </rPh>
    <rPh sb="99" eb="100">
      <t>イ</t>
    </rPh>
    <rPh sb="105" eb="107">
      <t>ケッカ</t>
    </rPh>
    <rPh sb="108" eb="110">
      <t>イカ</t>
    </rPh>
    <rPh sb="114" eb="118">
      <t>ガクシュウセイカ</t>
    </rPh>
    <rPh sb="120" eb="122">
      <t>ガクセイ</t>
    </rPh>
    <rPh sb="123" eb="125">
      <t>イケン</t>
    </rPh>
    <rPh sb="127" eb="128">
      <t>ワ</t>
    </rPh>
    <rPh sb="136" eb="137">
      <t>オオ</t>
    </rPh>
    <rPh sb="139" eb="141">
      <t>ガクセイ</t>
    </rPh>
    <rPh sb="148" eb="150">
      <t>シヨウ</t>
    </rPh>
    <rPh sb="156" eb="158">
      <t>サクセイ</t>
    </rPh>
    <rPh sb="163" eb="165">
      <t>キョウミ</t>
    </rPh>
    <rPh sb="166" eb="167">
      <t>モ</t>
    </rPh>
    <rPh sb="174" eb="176">
      <t>ホンガク</t>
    </rPh>
    <rPh sb="177" eb="179">
      <t>ジッシ</t>
    </rPh>
    <rPh sb="183" eb="186">
      <t>スズカシ</t>
    </rPh>
    <rPh sb="186" eb="188">
      <t>フクシ</t>
    </rPh>
    <rPh sb="192" eb="194">
      <t>スイシン</t>
    </rPh>
    <rPh sb="194" eb="196">
      <t>ジギョウ</t>
    </rPh>
    <rPh sb="197" eb="199">
      <t>ジリツ</t>
    </rPh>
    <rPh sb="199" eb="201">
      <t>ドウサ</t>
    </rPh>
    <rPh sb="201" eb="203">
      <t>シエン</t>
    </rPh>
    <rPh sb="209" eb="211">
      <t>ソウチャク</t>
    </rPh>
    <rPh sb="211" eb="212">
      <t>ガタ</t>
    </rPh>
    <rPh sb="224" eb="226">
      <t>カイセツ</t>
    </rPh>
    <rPh sb="233" eb="235">
      <t>ジレイ</t>
    </rPh>
    <rPh sb="236" eb="238">
      <t>キョウミ</t>
    </rPh>
    <rPh sb="239" eb="240">
      <t>モ</t>
    </rPh>
    <rPh sb="249" eb="251">
      <t>ジュギョウ</t>
    </rPh>
    <rPh sb="252" eb="253">
      <t>カン</t>
    </rPh>
    <rPh sb="255" eb="257">
      <t>ガクシュウ</t>
    </rPh>
    <rPh sb="257" eb="259">
      <t>セイカ</t>
    </rPh>
    <rPh sb="262" eb="265">
      <t>コウカテキ</t>
    </rPh>
    <rPh sb="271" eb="275">
      <t>ジュギョウカイゼン</t>
    </rPh>
    <rPh sb="283" eb="285">
      <t>カイハツ</t>
    </rPh>
    <rPh sb="288" eb="290">
      <t>スイシン</t>
    </rPh>
    <rPh sb="295" eb="297">
      <t>シュサイ</t>
    </rPh>
    <rPh sb="302" eb="304">
      <t>キョウイク</t>
    </rPh>
    <rPh sb="304" eb="306">
      <t>カイゼン</t>
    </rPh>
    <rPh sb="306" eb="308">
      <t>テイアン</t>
    </rPh>
    <rPh sb="308" eb="310">
      <t>セイド</t>
    </rPh>
    <rPh sb="312" eb="314">
      <t>オウボ</t>
    </rPh>
    <rPh sb="316" eb="318">
      <t>ショルイ</t>
    </rPh>
    <rPh sb="318" eb="320">
      <t>センコウ</t>
    </rPh>
    <rPh sb="329" eb="331">
      <t>レイワ</t>
    </rPh>
    <rPh sb="332" eb="334">
      <t>ネンド</t>
    </rPh>
    <rPh sb="335" eb="337">
      <t>ガクチョウ</t>
    </rPh>
    <rPh sb="337" eb="338">
      <t>ショウ</t>
    </rPh>
    <rPh sb="339" eb="341">
      <t>ジュショウ</t>
    </rPh>
    <rPh sb="347" eb="349">
      <t>カイゼン</t>
    </rPh>
    <rPh sb="397" eb="399">
      <t>キョウイク</t>
    </rPh>
    <phoneticPr fontId="1"/>
  </si>
  <si>
    <t>「医療人底力実践Ⅲ（データサイエンス）」の1単位を取得すること。
  教育プログラムの授業科目のシラバスのリンク
　 https://www.suzuka-u.ac.jp/wp-content/uploads/2024/06/iryo_soko_data_syllabuses.pdf</t>
    <rPh sb="1" eb="3">
      <t>イリョウ</t>
    </rPh>
    <rPh sb="3" eb="4">
      <t>ジン</t>
    </rPh>
    <rPh sb="4" eb="6">
      <t>ソコチカラ</t>
    </rPh>
    <rPh sb="6" eb="8">
      <t>ジッセン</t>
    </rPh>
    <rPh sb="22" eb="24">
      <t>タンイ</t>
    </rPh>
    <rPh sb="25" eb="27">
      <t>シュトク</t>
    </rPh>
    <rPh sb="35" eb="37">
      <t>キョウイク</t>
    </rPh>
    <rPh sb="43" eb="45">
      <t>ジュギョウ</t>
    </rPh>
    <rPh sb="45" eb="47">
      <t>カモク</t>
    </rPh>
    <phoneticPr fontId="1"/>
  </si>
  <si>
    <t>　２０２３年度は全学向けの授業科目では生成AIに関連する授業を実施していないが、2024年度後期の全学科向けの「情報時代と医療」(選択科目)では現在実施されている先端AI医療について学習し、生成AIの利活用事例についても学習する予定である。
　なお2023年度の「医療健康データサイエンス学科」の授業の必修科目「医療情報科学論」（４年生）と「医療健康データサイエンス入門」（２年生）では、対話型生成AIであるMicrosoftのCopilotの使用方法を教え、その利点と欠点に関するレポート課題を提出させている。その課題では、生成AIがよく間違う問に対する自由記述文をCopilotに生成させ、Copilotで生成した文について、不適切な表現を学生が見つけ出し、修正する出題を行い、生成AIが出力する解答を鵜呑みにしないように指導した。
　２０２４年度に開講する全学科向けの選択科目「情報時代と医療」では、医療福祉現場での利用を想定し、対話文と検査画像に関する機械学習・深層学習の活用方法を事例を示して説明し、生成AIを使用したレポート課題を提出させる予定である。</t>
    <rPh sb="5" eb="7">
      <t>ネンド</t>
    </rPh>
    <rPh sb="8" eb="10">
      <t>ゼンガク</t>
    </rPh>
    <rPh sb="10" eb="11">
      <t>ム</t>
    </rPh>
    <rPh sb="13" eb="15">
      <t>ジュギョウ</t>
    </rPh>
    <rPh sb="15" eb="17">
      <t>カモク</t>
    </rPh>
    <rPh sb="19" eb="21">
      <t>セイセイ</t>
    </rPh>
    <rPh sb="24" eb="26">
      <t>カンレン</t>
    </rPh>
    <rPh sb="28" eb="30">
      <t>ジュギョウ</t>
    </rPh>
    <rPh sb="31" eb="33">
      <t>ジッシ</t>
    </rPh>
    <rPh sb="44" eb="46">
      <t>ネンド</t>
    </rPh>
    <rPh sb="46" eb="48">
      <t>コウキ</t>
    </rPh>
    <rPh sb="49" eb="52">
      <t>ゼンガッカ</t>
    </rPh>
    <rPh sb="52" eb="53">
      <t>ム</t>
    </rPh>
    <rPh sb="56" eb="58">
      <t>ジョウホウ</t>
    </rPh>
    <rPh sb="58" eb="60">
      <t>ジダイ</t>
    </rPh>
    <rPh sb="61" eb="63">
      <t>イリョウ</t>
    </rPh>
    <rPh sb="65" eb="69">
      <t>センタクカモク</t>
    </rPh>
    <rPh sb="72" eb="74">
      <t>ゲンザイ</t>
    </rPh>
    <rPh sb="74" eb="76">
      <t>ジッシ</t>
    </rPh>
    <rPh sb="81" eb="83">
      <t>センタン</t>
    </rPh>
    <rPh sb="85" eb="87">
      <t>イリョウ</t>
    </rPh>
    <rPh sb="91" eb="93">
      <t>ガクシュウ</t>
    </rPh>
    <rPh sb="95" eb="97">
      <t>セイセイ</t>
    </rPh>
    <rPh sb="100" eb="103">
      <t>リカツヨウ</t>
    </rPh>
    <rPh sb="103" eb="105">
      <t>ジレイ</t>
    </rPh>
    <rPh sb="110" eb="112">
      <t>ガクシュウ</t>
    </rPh>
    <rPh sb="114" eb="116">
      <t>ヨテイ</t>
    </rPh>
    <rPh sb="128" eb="130">
      <t>ネンド</t>
    </rPh>
    <rPh sb="132" eb="134">
      <t>イリョウ</t>
    </rPh>
    <rPh sb="134" eb="136">
      <t>ケンコウ</t>
    </rPh>
    <rPh sb="144" eb="146">
      <t>ガッカ</t>
    </rPh>
    <rPh sb="148" eb="150">
      <t>ジュギョウ</t>
    </rPh>
    <rPh sb="151" eb="155">
      <t>ヒッシュウカモク</t>
    </rPh>
    <rPh sb="156" eb="158">
      <t>イリョウ</t>
    </rPh>
    <rPh sb="158" eb="160">
      <t>ジョウホウ</t>
    </rPh>
    <rPh sb="160" eb="162">
      <t>カガク</t>
    </rPh>
    <rPh sb="162" eb="163">
      <t>ロン</t>
    </rPh>
    <rPh sb="188" eb="190">
      <t>ネンセイ</t>
    </rPh>
    <rPh sb="194" eb="197">
      <t>タイワガタ</t>
    </rPh>
    <rPh sb="197" eb="199">
      <t>セイセイ</t>
    </rPh>
    <rPh sb="222" eb="224">
      <t>シヨウ</t>
    </rPh>
    <rPh sb="224" eb="226">
      <t>ホウホウ</t>
    </rPh>
    <rPh sb="227" eb="228">
      <t>オシ</t>
    </rPh>
    <rPh sb="232" eb="234">
      <t>リテン</t>
    </rPh>
    <rPh sb="235" eb="237">
      <t>ケッテン</t>
    </rPh>
    <rPh sb="238" eb="239">
      <t>カン</t>
    </rPh>
    <rPh sb="245" eb="247">
      <t>カダイ</t>
    </rPh>
    <rPh sb="248" eb="250">
      <t>テイシュツ</t>
    </rPh>
    <rPh sb="258" eb="260">
      <t>カダイ</t>
    </rPh>
    <rPh sb="263" eb="265">
      <t>セイセイ</t>
    </rPh>
    <rPh sb="270" eb="272">
      <t>マチガ</t>
    </rPh>
    <rPh sb="273" eb="274">
      <t>ト</t>
    </rPh>
    <rPh sb="275" eb="276">
      <t>タイ</t>
    </rPh>
    <rPh sb="278" eb="280">
      <t>ジユウ</t>
    </rPh>
    <rPh sb="280" eb="282">
      <t>キジュツ</t>
    </rPh>
    <rPh sb="282" eb="283">
      <t>ブン</t>
    </rPh>
    <rPh sb="292" eb="294">
      <t>セイセイ</t>
    </rPh>
    <rPh sb="305" eb="307">
      <t>セイセイ</t>
    </rPh>
    <rPh sb="315" eb="318">
      <t>フテキセツ</t>
    </rPh>
    <rPh sb="319" eb="321">
      <t>ヒョウゲン</t>
    </rPh>
    <rPh sb="322" eb="324">
      <t>ガクセイ</t>
    </rPh>
    <rPh sb="325" eb="326">
      <t>ミ</t>
    </rPh>
    <rPh sb="328" eb="329">
      <t>ダ</t>
    </rPh>
    <rPh sb="331" eb="333">
      <t>シュウセイ</t>
    </rPh>
    <rPh sb="335" eb="337">
      <t>シュツダイ</t>
    </rPh>
    <rPh sb="338" eb="339">
      <t>オコナ</t>
    </rPh>
    <rPh sb="341" eb="343">
      <t>セイセイ</t>
    </rPh>
    <rPh sb="346" eb="348">
      <t>シュツリョク</t>
    </rPh>
    <rPh sb="350" eb="352">
      <t>カイトウ</t>
    </rPh>
    <rPh sb="353" eb="355">
      <t>ウノ</t>
    </rPh>
    <rPh sb="363" eb="365">
      <t>シドウ</t>
    </rPh>
    <rPh sb="374" eb="376">
      <t>ネンド</t>
    </rPh>
    <rPh sb="377" eb="379">
      <t>カイコウ</t>
    </rPh>
    <rPh sb="381" eb="384">
      <t>ゼンガッカ</t>
    </rPh>
    <rPh sb="384" eb="385">
      <t>ム</t>
    </rPh>
    <rPh sb="387" eb="391">
      <t>センタクカモク</t>
    </rPh>
    <rPh sb="392" eb="394">
      <t>ジョウホウ</t>
    </rPh>
    <rPh sb="394" eb="396">
      <t>ジダイ</t>
    </rPh>
    <rPh sb="397" eb="399">
      <t>イリョウ</t>
    </rPh>
    <rPh sb="411" eb="413">
      <t>リヨウ</t>
    </rPh>
    <rPh sb="414" eb="416">
      <t>ソウテイ</t>
    </rPh>
    <rPh sb="422" eb="424">
      <t>ケンサ</t>
    </rPh>
    <rPh sb="430" eb="432">
      <t>キカイ</t>
    </rPh>
    <rPh sb="432" eb="434">
      <t>ガクシュウ</t>
    </rPh>
    <rPh sb="435" eb="437">
      <t>シンソウ</t>
    </rPh>
    <rPh sb="437" eb="439">
      <t>ガクシュウ</t>
    </rPh>
    <rPh sb="440" eb="442">
      <t>カツヨウ</t>
    </rPh>
    <rPh sb="442" eb="444">
      <t>ホウホウ</t>
    </rPh>
    <rPh sb="445" eb="447">
      <t>ジレイ</t>
    </rPh>
    <rPh sb="448" eb="449">
      <t>シメ</t>
    </rPh>
    <rPh sb="451" eb="453">
      <t>セツメイ</t>
    </rPh>
    <rPh sb="455" eb="457">
      <t>セイセイ</t>
    </rPh>
    <rPh sb="460" eb="462">
      <t>シヨウ</t>
    </rPh>
    <rPh sb="468" eb="470">
      <t>カダイ</t>
    </rPh>
    <rPh sb="471" eb="473">
      <t>テイシュツ</t>
    </rPh>
    <rPh sb="476" eb="478">
      <t>ヨテイ</t>
    </rPh>
    <phoneticPr fontId="1"/>
  </si>
  <si>
    <t>（１）鈴鹿医療科学大学教育改革委員会の目的
    鈴鹿医療科学大学教育改革委員会（以下「委員会」という。）は全学の教育改革・改善に関する提案と実施及びPDCA サイクルを確立することを目的とする。
（２）鈴鹿医療科学大学底力教育推進 センター 規程の目的
　鈴鹿医療科学大学（以下「本学」という。）の 教育目標を達成するために必要な医療人としての底力を養成するための底力教育推進センター（以下「 センター 」という。）を設置し、その組織及び運営に関し、必要な事項を定める。
     センターは 初年次教育内容を中心に一定標準化し、全学共通の教育を提供できるようにする ために、次の各号に掲げる業務を行う。
　　（１）医療人底力教育科目群の 教材・マニュアル作成管理　
　　（２）医療人底力実践（基礎）科目等の指導者 研修及び 研修プログラムの作成・実施管理　
　　（３）関連教育の計画・実施・検証・改善　
　　（４）チーム医療教育のための多職種間連携教育の充実を図る　
　　（５）学生の進捗状況を確認するツール（学修ポートフォリオ等）の構築
　　（６）教育コンテンツ・視聴覚教材等の 充実　
　　（７）リメディアル教育システムの構築　　　
　　（８）その他、主体的な学びのための実践的･体系的なプログラムの構築</t>
    <rPh sb="19" eb="21">
      <t>モクテキ</t>
    </rPh>
    <rPh sb="126" eb="128">
      <t>モクテキ</t>
    </rPh>
    <phoneticPr fontId="1"/>
  </si>
  <si>
    <t>（１）鈴鹿医療科学大学教育改革委員会構成員
　委員長(学長）、委員｛教員3名以上（各学部の代表者、医療人底力教育センター長、FD推進委員長）、事務職員3名（大学事務局長、教務課長、白子教務課長）｝
（２）鈴鹿医療科学大学底力教育推進 センター 構成員
　センター長、副センター長、必要な職員{１グループにつき、グループリーダー(教員1名)、チューター(教員2名、職員1名)}</t>
    <rPh sb="18" eb="21">
      <t>コウセイイン</t>
    </rPh>
    <rPh sb="23" eb="26">
      <t>イインチョウ</t>
    </rPh>
    <rPh sb="27" eb="29">
      <t>ガクチョウ</t>
    </rPh>
    <rPh sb="31" eb="33">
      <t>イイン</t>
    </rPh>
    <rPh sb="34" eb="36">
      <t>キョウイン</t>
    </rPh>
    <rPh sb="37" eb="38">
      <t>メイ</t>
    </rPh>
    <rPh sb="38" eb="40">
      <t>イジョウ</t>
    </rPh>
    <rPh sb="41" eb="42">
      <t>カク</t>
    </rPh>
    <rPh sb="42" eb="44">
      <t>ガクブ</t>
    </rPh>
    <rPh sb="45" eb="47">
      <t>ダイヒョウ</t>
    </rPh>
    <rPh sb="47" eb="48">
      <t>シャ</t>
    </rPh>
    <rPh sb="49" eb="51">
      <t>イリョウ</t>
    </rPh>
    <rPh sb="51" eb="52">
      <t>ジン</t>
    </rPh>
    <rPh sb="52" eb="54">
      <t>ソコチカラ</t>
    </rPh>
    <rPh sb="54" eb="56">
      <t>キョウイク</t>
    </rPh>
    <rPh sb="60" eb="61">
      <t>チョウ</t>
    </rPh>
    <rPh sb="64" eb="66">
      <t>スイシン</t>
    </rPh>
    <rPh sb="66" eb="69">
      <t>イインチョウ</t>
    </rPh>
    <rPh sb="71" eb="73">
      <t>ジム</t>
    </rPh>
    <rPh sb="73" eb="75">
      <t>ショクイン</t>
    </rPh>
    <rPh sb="76" eb="77">
      <t>メイ</t>
    </rPh>
    <rPh sb="78" eb="80">
      <t>ダイガク</t>
    </rPh>
    <rPh sb="80" eb="82">
      <t>ジム</t>
    </rPh>
    <rPh sb="82" eb="84">
      <t>キョクチョウ</t>
    </rPh>
    <rPh sb="85" eb="87">
      <t>キョウム</t>
    </rPh>
    <rPh sb="87" eb="89">
      <t>カチョウ</t>
    </rPh>
    <rPh sb="90" eb="92">
      <t>シロコ</t>
    </rPh>
    <rPh sb="92" eb="95">
      <t>キョウムカ</t>
    </rPh>
    <rPh sb="95" eb="96">
      <t>チョウ</t>
    </rPh>
    <rPh sb="123" eb="125">
      <t>コウセイ</t>
    </rPh>
    <rPh sb="141" eb="143">
      <t>ヒツヨウ</t>
    </rPh>
    <rPh sb="144" eb="146">
      <t>ショクイン</t>
    </rPh>
    <rPh sb="165" eb="167">
      <t>キョウイン</t>
    </rPh>
    <rPh sb="168" eb="169">
      <t>メイ</t>
    </rPh>
    <rPh sb="177" eb="179">
      <t>キョウイン</t>
    </rPh>
    <rPh sb="180" eb="181">
      <t>メイ</t>
    </rPh>
    <rPh sb="182" eb="184">
      <t>ショクイン</t>
    </rPh>
    <rPh sb="185" eb="186">
      <t>メイ</t>
    </rPh>
    <phoneticPr fontId="1"/>
  </si>
  <si>
    <t>　「医療人底力実践Ⅲ（データサイエンス）」は、令和４年度より学部・学科に関係なく全学生が受講する授業科目となっている。本学の1年生の授業実施科目数はかなり多く、対面授業では授業時間を確保することが難しく、またデータサイエンスの授業を担当できる教員が少ないため、学生が学びたい時間と場所で学習できるように、eラーニングシステムで学習教材（オンデマンド動画、小テスト、レポート）を統一的に管理し、履修できる工夫をしている。
　具体的には、この授業科目では、教育内容は数理・データサイエンス・ＡＩ教育プログラム認定制度（リテラシーレベル）のモデルカリキュラムに従い、独自にパワーポイントを作成し、パワーポイントに映像と音声を付加したYouTube動画を48本（各授業回について約15分の6本の動画を作成し、8回の授業なので、合計8回×6本=48本）作成した。これらの動画は、学生の集中できる時間を配慮し、約15分に編集し、全てオンデマンドで視聴できるYouTube動画を作成した。またこれらの動画の内容を正確に理解しているかどうか確認するWebでの小テストを各授業回で実施し、問題に解答したら直ぐに採点結果を返答するシステムを運用している。
　「基礎　２．データリテラシー」に関しては、実データを使用して、各自のパソコンでExcelで操作し、グラフを作成させ、その意味を考えさせ、レポートとして提出させている。また学生が一人でExcelの操作をまねできるように画面動画をスライドに貼り付け、動作を文字と音声で説明している。
　そして、これらの全てのデジタル教材は学習し易いように授業回ごとのフォルダにまとめ、さらに深く学習できるように、参考となるWebページなどに提示し、リンクを張り、すぐに参照できるようにしている。
　さらに、全学生が取得できるように、オンラインとオフライン(対面)で質問を受け付けており、時間遅れなく回答するようにしている。オフラインでの指導では、教員のオフィスアワーを学生に連絡しており、予約なしで来室しても質問に対応できる体制を実施している。</t>
    <rPh sb="23" eb="25">
      <t>レイワ</t>
    </rPh>
    <rPh sb="26" eb="28">
      <t>ネンド</t>
    </rPh>
    <rPh sb="30" eb="32">
      <t>ガクブ</t>
    </rPh>
    <rPh sb="33" eb="35">
      <t>ガッカ</t>
    </rPh>
    <rPh sb="36" eb="38">
      <t>カンケイ</t>
    </rPh>
    <rPh sb="40" eb="43">
      <t>ゼンガクセイ</t>
    </rPh>
    <rPh sb="44" eb="46">
      <t>ジュコウ</t>
    </rPh>
    <rPh sb="59" eb="61">
      <t>ホンガク</t>
    </rPh>
    <rPh sb="63" eb="65">
      <t>ネンセイ</t>
    </rPh>
    <rPh sb="66" eb="68">
      <t>ジュギョウ</t>
    </rPh>
    <rPh sb="68" eb="70">
      <t>ジッシ</t>
    </rPh>
    <rPh sb="70" eb="72">
      <t>カモク</t>
    </rPh>
    <rPh sb="72" eb="73">
      <t>スウ</t>
    </rPh>
    <rPh sb="77" eb="78">
      <t>オオ</t>
    </rPh>
    <rPh sb="80" eb="82">
      <t>タイメン</t>
    </rPh>
    <rPh sb="82" eb="84">
      <t>ジュギョウ</t>
    </rPh>
    <rPh sb="86" eb="88">
      <t>ジュギョウ</t>
    </rPh>
    <rPh sb="88" eb="90">
      <t>ジカン</t>
    </rPh>
    <rPh sb="91" eb="93">
      <t>カクホ</t>
    </rPh>
    <rPh sb="98" eb="99">
      <t>ムツカ</t>
    </rPh>
    <rPh sb="113" eb="115">
      <t>ジュギョウ</t>
    </rPh>
    <rPh sb="116" eb="118">
      <t>タントウ</t>
    </rPh>
    <rPh sb="121" eb="123">
      <t>キョウイン</t>
    </rPh>
    <rPh sb="124" eb="125">
      <t>スク</t>
    </rPh>
    <rPh sb="130" eb="132">
      <t>ガクセイ</t>
    </rPh>
    <rPh sb="133" eb="134">
      <t>マナ</t>
    </rPh>
    <rPh sb="137" eb="139">
      <t>ジカン</t>
    </rPh>
    <rPh sb="140" eb="142">
      <t>バショ</t>
    </rPh>
    <rPh sb="143" eb="145">
      <t>ガクシュウ</t>
    </rPh>
    <rPh sb="163" eb="165">
      <t>ガクシュウ</t>
    </rPh>
    <rPh sb="165" eb="167">
      <t>キョウザイ</t>
    </rPh>
    <rPh sb="174" eb="176">
      <t>ドウガ</t>
    </rPh>
    <rPh sb="177" eb="178">
      <t>ショウ</t>
    </rPh>
    <rPh sb="196" eb="198">
      <t>リシュウ</t>
    </rPh>
    <rPh sb="201" eb="203">
      <t>クフウ</t>
    </rPh>
    <rPh sb="211" eb="214">
      <t>グタイテキ</t>
    </rPh>
    <rPh sb="219" eb="221">
      <t>ジュギョウ</t>
    </rPh>
    <rPh sb="221" eb="223">
      <t>カモク</t>
    </rPh>
    <rPh sb="226" eb="228">
      <t>キョウイク</t>
    </rPh>
    <rPh sb="228" eb="230">
      <t>ナイヨウ</t>
    </rPh>
    <rPh sb="277" eb="278">
      <t>シタガ</t>
    </rPh>
    <rPh sb="280" eb="282">
      <t>ドクジ</t>
    </rPh>
    <rPh sb="291" eb="293">
      <t>サクセイ</t>
    </rPh>
    <rPh sb="303" eb="305">
      <t>エイゾウ</t>
    </rPh>
    <rPh sb="306" eb="308">
      <t>オンセイ</t>
    </rPh>
    <rPh sb="309" eb="311">
      <t>フカ</t>
    </rPh>
    <rPh sb="320" eb="322">
      <t>ドウガ</t>
    </rPh>
    <rPh sb="325" eb="326">
      <t>ホン</t>
    </rPh>
    <rPh sb="335" eb="336">
      <t>ヤク</t>
    </rPh>
    <rPh sb="338" eb="339">
      <t>フン</t>
    </rPh>
    <rPh sb="351" eb="352">
      <t>カイ</t>
    </rPh>
    <rPh sb="353" eb="355">
      <t>ジュギョウ</t>
    </rPh>
    <rPh sb="359" eb="361">
      <t>ゴウケイ</t>
    </rPh>
    <rPh sb="362" eb="363">
      <t>カイ</t>
    </rPh>
    <rPh sb="365" eb="366">
      <t>ホン</t>
    </rPh>
    <rPh sb="369" eb="370">
      <t>ホン</t>
    </rPh>
    <rPh sb="371" eb="373">
      <t>サクセイ</t>
    </rPh>
    <rPh sb="380" eb="382">
      <t>ドウガ</t>
    </rPh>
    <rPh sb="384" eb="386">
      <t>ガクセイ</t>
    </rPh>
    <rPh sb="387" eb="389">
      <t>シュウチュウ</t>
    </rPh>
    <rPh sb="392" eb="394">
      <t>ジカン</t>
    </rPh>
    <rPh sb="395" eb="397">
      <t>ハイリョ</t>
    </rPh>
    <rPh sb="399" eb="400">
      <t>ヤク</t>
    </rPh>
    <rPh sb="402" eb="403">
      <t>フン</t>
    </rPh>
    <rPh sb="404" eb="406">
      <t>ヘンシュウ</t>
    </rPh>
    <rPh sb="408" eb="409">
      <t>スベ</t>
    </rPh>
    <rPh sb="417" eb="419">
      <t>シチョウ</t>
    </rPh>
    <rPh sb="429" eb="431">
      <t>ドウガ</t>
    </rPh>
    <rPh sb="432" eb="434">
      <t>サクセイ</t>
    </rPh>
    <rPh sb="443" eb="445">
      <t>ドウガ</t>
    </rPh>
    <rPh sb="446" eb="448">
      <t>ナイヨウ</t>
    </rPh>
    <rPh sb="449" eb="451">
      <t>セイカク</t>
    </rPh>
    <rPh sb="452" eb="454">
      <t>リカイ</t>
    </rPh>
    <rPh sb="462" eb="464">
      <t>カクニン</t>
    </rPh>
    <rPh sb="471" eb="472">
      <t>ショウ</t>
    </rPh>
    <rPh sb="476" eb="477">
      <t>カク</t>
    </rPh>
    <rPh sb="477" eb="479">
      <t>ジュギョウ</t>
    </rPh>
    <rPh sb="479" eb="480">
      <t>カイ</t>
    </rPh>
    <rPh sb="481" eb="483">
      <t>ジッシ</t>
    </rPh>
    <rPh sb="520" eb="522">
      <t>キソ</t>
    </rPh>
    <rPh sb="535" eb="536">
      <t>カン</t>
    </rPh>
    <rPh sb="540" eb="541">
      <t>ジツ</t>
    </rPh>
    <rPh sb="545" eb="547">
      <t>シヨウ</t>
    </rPh>
    <rPh sb="550" eb="552">
      <t>カクジ</t>
    </rPh>
    <rPh sb="564" eb="566">
      <t>ソウサ</t>
    </rPh>
    <rPh sb="572" eb="574">
      <t>サクセイ</t>
    </rPh>
    <rPh sb="579" eb="581">
      <t>イミ</t>
    </rPh>
    <rPh sb="582" eb="583">
      <t>カンガ</t>
    </rPh>
    <rPh sb="594" eb="596">
      <t>テイシュツ</t>
    </rPh>
    <rPh sb="604" eb="606">
      <t>ガクセイ</t>
    </rPh>
    <rPh sb="607" eb="609">
      <t>ヒトリ</t>
    </rPh>
    <rPh sb="616" eb="618">
      <t>ソウサ</t>
    </rPh>
    <rPh sb="627" eb="629">
      <t>ガメン</t>
    </rPh>
    <rPh sb="629" eb="631">
      <t>ドウガ</t>
    </rPh>
    <rPh sb="637" eb="638">
      <t>ハ</t>
    </rPh>
    <rPh sb="639" eb="640">
      <t>ツ</t>
    </rPh>
    <rPh sb="642" eb="644">
      <t>ドウサ</t>
    </rPh>
    <rPh sb="645" eb="647">
      <t>モジ</t>
    </rPh>
    <rPh sb="648" eb="650">
      <t>オンセイ</t>
    </rPh>
    <rPh sb="651" eb="653">
      <t>セツメイ</t>
    </rPh>
    <rPh sb="668" eb="669">
      <t>スベ</t>
    </rPh>
    <rPh sb="675" eb="677">
      <t>キョウザイ</t>
    </rPh>
    <rPh sb="678" eb="680">
      <t>ガクシュウ</t>
    </rPh>
    <rPh sb="681" eb="682">
      <t>ヤス</t>
    </rPh>
    <rPh sb="686" eb="688">
      <t>ジュギョウ</t>
    </rPh>
    <rPh sb="688" eb="689">
      <t>カイ</t>
    </rPh>
    <rPh sb="704" eb="705">
      <t>フカ</t>
    </rPh>
    <rPh sb="706" eb="708">
      <t>ガクシュウ</t>
    </rPh>
    <rPh sb="715" eb="717">
      <t>サンコウ</t>
    </rPh>
    <rPh sb="729" eb="731">
      <t>テイジ</t>
    </rPh>
    <rPh sb="737" eb="738">
      <t>ハ</t>
    </rPh>
    <rPh sb="743" eb="745">
      <t>サンショウ</t>
    </rPh>
    <rPh sb="762" eb="765">
      <t>ゼンガクセイ</t>
    </rPh>
    <rPh sb="766" eb="768">
      <t>シュトク</t>
    </rPh>
    <rPh sb="787" eb="789">
      <t>タイメン</t>
    </rPh>
    <rPh sb="791" eb="793">
      <t>シツモン</t>
    </rPh>
    <rPh sb="794" eb="795">
      <t>ウ</t>
    </rPh>
    <rPh sb="796" eb="797">
      <t>ツ</t>
    </rPh>
    <rPh sb="802" eb="804">
      <t>ジカン</t>
    </rPh>
    <rPh sb="804" eb="805">
      <t>オク</t>
    </rPh>
    <rPh sb="808" eb="810">
      <t>カイトウ</t>
    </rPh>
    <rPh sb="827" eb="829">
      <t>シドウ</t>
    </rPh>
    <rPh sb="832" eb="834">
      <t>キョウイン</t>
    </rPh>
    <rPh sb="843" eb="845">
      <t>ガクセイ</t>
    </rPh>
    <rPh sb="846" eb="848">
      <t>レンラク</t>
    </rPh>
    <rPh sb="853" eb="855">
      <t>ヨヤク</t>
    </rPh>
    <rPh sb="858" eb="860">
      <t>ライシツ</t>
    </rPh>
    <rPh sb="863" eb="865">
      <t>シツモン</t>
    </rPh>
    <rPh sb="866" eb="868">
      <t>タイオウ</t>
    </rPh>
    <rPh sb="871" eb="873">
      <t>タイセイ</t>
    </rPh>
    <rPh sb="874" eb="876">
      <t>ジッシ</t>
    </rPh>
    <phoneticPr fontId="1"/>
  </si>
  <si>
    <t xml:space="preserve">
　このプログラムは、大学のeラーニングシステムを使用して、8回の授業（8回×6本＝48本）での全動画の視聴状況、各授業回ごとの小テスト(計8回)の解答状況、グラフ作成に関するレポート(計3回)の提出状況により、全学生の履修・修得状況を自動的にデータ分析している。この分析結果から学習が遅れている個人を抽出することができ、電子メールにより学習の催促を行い、学習が進まない場合には学生の所属している学科の教員に問合せ、他の授業の学修状況を把握し、場合によっては学生へ電話をかけ、学習内容に関する相談を行っている。その結果、この授業の修得状況は、以下のような状況となった。
　（１）令和４年度　履修学生数685人、修得学生数682人、履修率 99.6%　　
　（２）令和５年度　履修学生数632人、修得学生数619人、履修率 97.9%
　またこの授業は1年生の秋期に実施しているが、この授業で学習した内容を深く理解し、知識を定着させるための授業として、1年生の後期に「医療人底力実践Ⅳ（発展プログラム）」を全学生の必修科目として履修させており、少人数のグループワークにより、学生が自ら課題を見出し、データ分析し、プレゼンテーションをさせる授業を実施している。</t>
    <rPh sb="11" eb="13">
      <t>ダイガク</t>
    </rPh>
    <rPh sb="25" eb="27">
      <t>シヨウ</t>
    </rPh>
    <rPh sb="31" eb="32">
      <t>カイ</t>
    </rPh>
    <rPh sb="33" eb="35">
      <t>ジュギョウ</t>
    </rPh>
    <rPh sb="37" eb="38">
      <t>カイ</t>
    </rPh>
    <rPh sb="40" eb="41">
      <t>ホン</t>
    </rPh>
    <rPh sb="44" eb="45">
      <t>ホン</t>
    </rPh>
    <rPh sb="48" eb="49">
      <t>ゼン</t>
    </rPh>
    <rPh sb="49" eb="51">
      <t>ドウガ</t>
    </rPh>
    <rPh sb="52" eb="54">
      <t>シチョウ</t>
    </rPh>
    <rPh sb="54" eb="56">
      <t>ジョウキョウ</t>
    </rPh>
    <rPh sb="57" eb="58">
      <t>カク</t>
    </rPh>
    <rPh sb="58" eb="60">
      <t>ジュギョウ</t>
    </rPh>
    <rPh sb="60" eb="61">
      <t>カイ</t>
    </rPh>
    <rPh sb="64" eb="65">
      <t>ショウ</t>
    </rPh>
    <rPh sb="69" eb="70">
      <t>ケイ</t>
    </rPh>
    <rPh sb="71" eb="72">
      <t>カイ</t>
    </rPh>
    <rPh sb="74" eb="76">
      <t>カイトウ</t>
    </rPh>
    <rPh sb="76" eb="78">
      <t>ジョウキョウ</t>
    </rPh>
    <rPh sb="82" eb="84">
      <t>サクセイ</t>
    </rPh>
    <rPh sb="85" eb="86">
      <t>カン</t>
    </rPh>
    <rPh sb="93" eb="94">
      <t>ケイ</t>
    </rPh>
    <rPh sb="95" eb="96">
      <t>カイ</t>
    </rPh>
    <rPh sb="98" eb="100">
      <t>テイシュツ</t>
    </rPh>
    <rPh sb="100" eb="102">
      <t>ジョウキョウ</t>
    </rPh>
    <rPh sb="106" eb="107">
      <t>ゼン</t>
    </rPh>
    <rPh sb="107" eb="109">
      <t>ガクセイ</t>
    </rPh>
    <rPh sb="110" eb="112">
      <t>リシュウ</t>
    </rPh>
    <rPh sb="113" eb="115">
      <t>シュウトク</t>
    </rPh>
    <rPh sb="115" eb="117">
      <t>ジョウキョウ</t>
    </rPh>
    <rPh sb="118" eb="120">
      <t>ジドウ</t>
    </rPh>
    <rPh sb="120" eb="121">
      <t>テキ</t>
    </rPh>
    <rPh sb="125" eb="127">
      <t>ブンセキ</t>
    </rPh>
    <rPh sb="134" eb="136">
      <t>ブンセキ</t>
    </rPh>
    <rPh sb="136" eb="138">
      <t>ケッカ</t>
    </rPh>
    <rPh sb="140" eb="142">
      <t>ガクシュウ</t>
    </rPh>
    <rPh sb="143" eb="144">
      <t>オク</t>
    </rPh>
    <rPh sb="148" eb="150">
      <t>コジン</t>
    </rPh>
    <rPh sb="151" eb="153">
      <t>チュウシュツ</t>
    </rPh>
    <rPh sb="161" eb="163">
      <t>デンシ</t>
    </rPh>
    <rPh sb="169" eb="171">
      <t>ガクシュウ</t>
    </rPh>
    <rPh sb="172" eb="174">
      <t>サイソク</t>
    </rPh>
    <rPh sb="175" eb="176">
      <t>オコナ</t>
    </rPh>
    <rPh sb="178" eb="180">
      <t>ガクシュウ</t>
    </rPh>
    <rPh sb="181" eb="182">
      <t>スス</t>
    </rPh>
    <rPh sb="185" eb="187">
      <t>バアイ</t>
    </rPh>
    <rPh sb="189" eb="191">
      <t>ガクセイ</t>
    </rPh>
    <rPh sb="192" eb="194">
      <t>ショゾク</t>
    </rPh>
    <rPh sb="198" eb="200">
      <t>ガッカ</t>
    </rPh>
    <rPh sb="201" eb="203">
      <t>キョウイン</t>
    </rPh>
    <rPh sb="204" eb="206">
      <t>トイアワ</t>
    </rPh>
    <rPh sb="208" eb="209">
      <t>タ</t>
    </rPh>
    <rPh sb="210" eb="212">
      <t>ジュギョウ</t>
    </rPh>
    <rPh sb="213" eb="215">
      <t>ガクシュウ</t>
    </rPh>
    <rPh sb="215" eb="217">
      <t>ジョウキョウ</t>
    </rPh>
    <rPh sb="218" eb="220">
      <t>ハアク</t>
    </rPh>
    <rPh sb="222" eb="224">
      <t>バアイ</t>
    </rPh>
    <rPh sb="229" eb="231">
      <t>ガクセイ</t>
    </rPh>
    <rPh sb="232" eb="234">
      <t>デンワ</t>
    </rPh>
    <rPh sb="238" eb="240">
      <t>ガクシュウ</t>
    </rPh>
    <rPh sb="240" eb="242">
      <t>ナイヨウ</t>
    </rPh>
    <rPh sb="243" eb="244">
      <t>カン</t>
    </rPh>
    <rPh sb="246" eb="248">
      <t>ソウダン</t>
    </rPh>
    <rPh sb="249" eb="250">
      <t>オコナ</t>
    </rPh>
    <rPh sb="257" eb="259">
      <t>ケッカ</t>
    </rPh>
    <rPh sb="262" eb="264">
      <t>ジュギョウ</t>
    </rPh>
    <rPh sb="265" eb="267">
      <t>シュウトク</t>
    </rPh>
    <rPh sb="267" eb="269">
      <t>ジョウキョウ</t>
    </rPh>
    <rPh sb="271" eb="273">
      <t>イカ</t>
    </rPh>
    <rPh sb="277" eb="279">
      <t>ジョウキョウ</t>
    </rPh>
    <rPh sb="289" eb="291">
      <t>レイワ</t>
    </rPh>
    <rPh sb="292" eb="294">
      <t>ネンド</t>
    </rPh>
    <rPh sb="295" eb="297">
      <t>リシュウ</t>
    </rPh>
    <rPh sb="297" eb="300">
      <t>ガクセイスウ</t>
    </rPh>
    <rPh sb="303" eb="304">
      <t>ニン</t>
    </rPh>
    <rPh sb="305" eb="307">
      <t>シュウトク</t>
    </rPh>
    <rPh sb="307" eb="310">
      <t>ガクセイスウ</t>
    </rPh>
    <rPh sb="313" eb="314">
      <t>ニン</t>
    </rPh>
    <rPh sb="315" eb="318">
      <t>リシュウリツ</t>
    </rPh>
    <rPh sb="331" eb="333">
      <t>レイワ</t>
    </rPh>
    <rPh sb="334" eb="336">
      <t>ネンド</t>
    </rPh>
    <rPh sb="347" eb="349">
      <t>シュウトク</t>
    </rPh>
    <rPh sb="372" eb="374">
      <t>ジュギョウ</t>
    </rPh>
    <rPh sb="376" eb="378">
      <t>ネンセイ</t>
    </rPh>
    <rPh sb="379" eb="380">
      <t>アキ</t>
    </rPh>
    <rPh sb="380" eb="381">
      <t>キ</t>
    </rPh>
    <rPh sb="382" eb="384">
      <t>ジッシ</t>
    </rPh>
    <rPh sb="392" eb="394">
      <t>ジュギョウ</t>
    </rPh>
    <rPh sb="395" eb="397">
      <t>ガクシュウ</t>
    </rPh>
    <rPh sb="399" eb="401">
      <t>ナイヨウ</t>
    </rPh>
    <rPh sb="402" eb="403">
      <t>フカ</t>
    </rPh>
    <rPh sb="404" eb="406">
      <t>リカイ</t>
    </rPh>
    <rPh sb="408" eb="410">
      <t>チシキ</t>
    </rPh>
    <rPh sb="411" eb="413">
      <t>テイチャク</t>
    </rPh>
    <rPh sb="419" eb="421">
      <t>ジュギョウ</t>
    </rPh>
    <rPh sb="426" eb="428">
      <t>ネンセイ</t>
    </rPh>
    <rPh sb="429" eb="431">
      <t>コウキ</t>
    </rPh>
    <rPh sb="433" eb="435">
      <t>イリョウ</t>
    </rPh>
    <rPh sb="435" eb="436">
      <t>ジン</t>
    </rPh>
    <rPh sb="436" eb="438">
      <t>ソコチカラ</t>
    </rPh>
    <rPh sb="438" eb="440">
      <t>ジッセン</t>
    </rPh>
    <rPh sb="442" eb="444">
      <t>ハッテン</t>
    </rPh>
    <rPh sb="452" eb="455">
      <t>ゼンガクセイ</t>
    </rPh>
    <rPh sb="456" eb="460">
      <t>ヒッシュウカモク</t>
    </rPh>
    <rPh sb="463" eb="465">
      <t>リシュウ</t>
    </rPh>
    <rPh sb="471" eb="474">
      <t>ショウニンズウ</t>
    </rPh>
    <rPh sb="486" eb="488">
      <t>ガクセイ</t>
    </rPh>
    <rPh sb="489" eb="490">
      <t>ミズカ</t>
    </rPh>
    <rPh sb="491" eb="493">
      <t>カダイ</t>
    </rPh>
    <rPh sb="494" eb="496">
      <t>ミイダ</t>
    </rPh>
    <rPh sb="501" eb="503">
      <t>ブンセキ</t>
    </rPh>
    <rPh sb="518" eb="520">
      <t>ジュギョウ</t>
    </rPh>
    <rPh sb="521" eb="523">
      <t>ジッシ</t>
    </rPh>
    <phoneticPr fontId="1"/>
  </si>
  <si>
    <t>　1年目は、表計算ソフトにより、各種のグラフを作成する演習について、Excelの静止画面を使用して、文字と音声で説明するスライドを使用していたが、レポート提出の遅れが目立ち、学生からの質問により、Excel操作ができない学生がかなりいることがわかった。それで、提供している動画の中で、表計算ソフトで各種のグラフを作成する演習については、Excelの画面動画を作成し、要点について動画を解説し、学生の理解を支援する工夫を行い、質問者が減り、ほぼ全員の学生が遅れずにレポートを提出してくれるようになった。
　このようなオンデマンドでの授業とeラーニングシステムを利活用することにより、対面授業に参加できない学生も履修することが可能となっている。
　また小テストへの回答とレポートの提出状況を常に監視し、学習の進度が遅れている学生に対しては、随時、電子メールと電話により、学修状況を聞き出し、落ちこぼれが少なくなる工夫を行っている。
　このような措置を取ってもなかなか改善されない場合には、学生が所属する学科の学科長と相談し、支障がない場合には、保護者に連絡し、学習を促している。
　健康面などで、秋期に授業が受講できなかった学生に対しては、オンデマンドであるメリットを活かし、学生の学習意欲が向上したときに随時履修できる体制を構築している。</t>
    <rPh sb="2" eb="4">
      <t>ネンメ</t>
    </rPh>
    <rPh sb="40" eb="42">
      <t>セイシ</t>
    </rPh>
    <rPh sb="45" eb="47">
      <t>シヨウ</t>
    </rPh>
    <rPh sb="50" eb="52">
      <t>モジ</t>
    </rPh>
    <rPh sb="53" eb="55">
      <t>オンセイ</t>
    </rPh>
    <rPh sb="56" eb="58">
      <t>セツメイ</t>
    </rPh>
    <rPh sb="65" eb="67">
      <t>シヨウ</t>
    </rPh>
    <rPh sb="77" eb="79">
      <t>テイシュツ</t>
    </rPh>
    <rPh sb="80" eb="81">
      <t>オク</t>
    </rPh>
    <rPh sb="83" eb="85">
      <t>メダ</t>
    </rPh>
    <rPh sb="87" eb="89">
      <t>ガクセイ</t>
    </rPh>
    <rPh sb="92" eb="94">
      <t>シツモン</t>
    </rPh>
    <rPh sb="103" eb="105">
      <t>ソウサ</t>
    </rPh>
    <rPh sb="110" eb="112">
      <t>ガクセイ</t>
    </rPh>
    <rPh sb="130" eb="132">
      <t>テイキョウ</t>
    </rPh>
    <rPh sb="136" eb="138">
      <t>ドウガ</t>
    </rPh>
    <rPh sb="139" eb="140">
      <t>ナカ</t>
    </rPh>
    <rPh sb="179" eb="181">
      <t>サクセイ</t>
    </rPh>
    <rPh sb="183" eb="185">
      <t>ヨウテン</t>
    </rPh>
    <rPh sb="189" eb="191">
      <t>ドウガ</t>
    </rPh>
    <rPh sb="192" eb="194">
      <t>カイセツ</t>
    </rPh>
    <rPh sb="196" eb="198">
      <t>ガクセイ</t>
    </rPh>
    <rPh sb="199" eb="201">
      <t>リカイ</t>
    </rPh>
    <rPh sb="202" eb="204">
      <t>シエン</t>
    </rPh>
    <rPh sb="206" eb="208">
      <t>クフウ</t>
    </rPh>
    <rPh sb="209" eb="210">
      <t>オコナ</t>
    </rPh>
    <rPh sb="212" eb="215">
      <t>シツモンシャ</t>
    </rPh>
    <rPh sb="216" eb="217">
      <t>ヘ</t>
    </rPh>
    <rPh sb="221" eb="223">
      <t>ゼンイン</t>
    </rPh>
    <rPh sb="224" eb="226">
      <t>ガクセイ</t>
    </rPh>
    <rPh sb="227" eb="228">
      <t>オク</t>
    </rPh>
    <rPh sb="368" eb="370">
      <t>ズイジ</t>
    </rPh>
    <rPh sb="460" eb="462">
      <t>シショウ</t>
    </rPh>
    <rPh sb="465" eb="467">
      <t>バアイ</t>
    </rPh>
    <rPh sb="489" eb="492">
      <t>ケンコウメン</t>
    </rPh>
    <rPh sb="499" eb="501">
      <t>ジュギョウ</t>
    </rPh>
    <rPh sb="502" eb="504">
      <t>ジュコウ</t>
    </rPh>
    <rPh sb="510" eb="512">
      <t>ガクセイ</t>
    </rPh>
    <rPh sb="513" eb="514">
      <t>タイ</t>
    </rPh>
    <rPh sb="532" eb="533">
      <t>イ</t>
    </rPh>
    <rPh sb="536" eb="538">
      <t>ガクセイ</t>
    </rPh>
    <rPh sb="539" eb="541">
      <t>ガクシュウ</t>
    </rPh>
    <rPh sb="541" eb="543">
      <t>イヨク</t>
    </rPh>
    <rPh sb="544" eb="546">
      <t>コウジョウ</t>
    </rPh>
    <rPh sb="551" eb="553">
      <t>ズイジ</t>
    </rPh>
    <rPh sb="553" eb="555">
      <t>リシュウ</t>
    </rPh>
    <rPh sb="558" eb="560">
      <t>タイセイ</t>
    </rPh>
    <rPh sb="561" eb="563">
      <t>コウチク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</si>
</sst>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1"/>
      <color theme="1"/>
      <name val="Microsoft YaHei UI"/>
      <family val="3"/>
      <charset val="134"/>
    </font>
    <font>
      <b/>
      <sz val="10"/>
      <color theme="1"/>
      <name val="ＭＳ Ｐゴシック"/>
      <family val="3"/>
      <charset val="128"/>
      <scheme val="minor"/>
    </font>
    <font>
      <sz val="8"/>
      <name val="ＭＳ Ｐゴシック"/>
      <family val="3"/>
      <charset val="128"/>
      <scheme val="minor"/>
    </font>
    <font>
      <sz val="8"/>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dotted">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0" xfId="0" applyFont="1">
      <alignment vertical="center"/>
    </xf>
    <xf numFmtId="38" fontId="2" fillId="0" borderId="49" xfId="2" applyFont="1" applyBorder="1" applyAlignment="1">
      <alignment vertical="center" shrinkToFit="1"/>
    </xf>
    <xf numFmtId="0" fontId="0" fillId="0" borderId="15" xfId="0" applyBorder="1">
      <alignment vertical="center"/>
    </xf>
    <xf numFmtId="0" fontId="0" fillId="0" borderId="45" xfId="0" applyBorder="1">
      <alignment vertical="center"/>
    </xf>
    <xf numFmtId="0" fontId="19" fillId="0" borderId="1" xfId="0" applyFont="1" applyBorder="1" applyAlignment="1">
      <alignment horizontal="left" vertical="center"/>
    </xf>
    <xf numFmtId="0" fontId="12" fillId="0" borderId="0" xfId="0" applyFont="1" applyAlignment="1">
      <alignment horizontal="left" vertical="center" wrapText="1"/>
    </xf>
    <xf numFmtId="49" fontId="7" fillId="0" borderId="32" xfId="0" applyNumberFormat="1" applyFont="1" applyBorder="1" applyAlignment="1">
      <alignment horizontal="left" vertical="center" wrapText="1"/>
    </xf>
    <xf numFmtId="49" fontId="7" fillId="0" borderId="33" xfId="0" applyNumberFormat="1" applyFont="1" applyBorder="1" applyAlignment="1">
      <alignment horizontal="left" vertical="center"/>
    </xf>
    <xf numFmtId="49" fontId="7" fillId="0" borderId="34" xfId="0" applyNumberFormat="1" applyFont="1" applyBorder="1" applyAlignment="1">
      <alignment horizontal="left" vertical="center"/>
    </xf>
    <xf numFmtId="49" fontId="7" fillId="0" borderId="29" xfId="0" applyNumberFormat="1" applyFont="1" applyBorder="1" applyAlignment="1">
      <alignment horizontal="left" vertical="center" wrapText="1"/>
    </xf>
    <xf numFmtId="49" fontId="7" fillId="0" borderId="31" xfId="0" applyNumberFormat="1" applyFont="1" applyBorder="1" applyAlignment="1">
      <alignment horizontal="left" vertical="center"/>
    </xf>
    <xf numFmtId="49" fontId="7" fillId="0" borderId="30" xfId="0" applyNumberFormat="1" applyFont="1" applyBorder="1" applyAlignment="1">
      <alignment horizontal="left" vertical="center"/>
    </xf>
    <xf numFmtId="49" fontId="7" fillId="0" borderId="18" xfId="0" applyNumberFormat="1" applyFont="1" applyBorder="1" applyAlignment="1">
      <alignment horizontal="left" vertical="center" wrapText="1"/>
    </xf>
    <xf numFmtId="49" fontId="7" fillId="0" borderId="19" xfId="0" applyNumberFormat="1" applyFont="1" applyBorder="1" applyAlignment="1">
      <alignment horizontal="left" vertical="center"/>
    </xf>
    <xf numFmtId="49" fontId="7"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Border="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5" fillId="0" borderId="2" xfId="0" applyFont="1" applyBorder="1" applyAlignment="1">
      <alignment vertical="center" wrapText="1" shrinkToFit="1"/>
    </xf>
    <xf numFmtId="0" fontId="5" fillId="0" borderId="3" xfId="0" applyFont="1" applyBorder="1" applyAlignment="1">
      <alignment vertical="center" wrapText="1" shrinkToFit="1"/>
    </xf>
    <xf numFmtId="0" fontId="5"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3" fillId="0" borderId="7" xfId="0" applyFont="1" applyBorder="1" applyAlignment="1">
      <alignment vertical="center" wrapText="1"/>
    </xf>
    <xf numFmtId="0" fontId="0" fillId="0" borderId="8" xfId="0" applyBorder="1" applyAlignment="1">
      <alignment vertical="center"/>
    </xf>
    <xf numFmtId="0" fontId="0" fillId="0" borderId="9" xfId="0" applyBorder="1" applyAlignment="1">
      <alignment vertical="center"/>
    </xf>
    <xf numFmtId="0" fontId="0" fillId="0" borderId="11" xfId="0" applyBorder="1" applyAlignment="1">
      <alignment vertical="center"/>
    </xf>
    <xf numFmtId="0" fontId="0" fillId="0" borderId="6" xfId="0" applyBorder="1" applyAlignment="1">
      <alignment vertical="center"/>
    </xf>
    <xf numFmtId="0" fontId="0" fillId="0" borderId="12" xfId="0" applyBorder="1" applyAlignment="1">
      <alignment vertical="center"/>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9" fillId="0" borderId="2" xfId="0" applyFont="1" applyBorder="1" applyAlignment="1">
      <alignment horizontal="left" vertical="center"/>
    </xf>
    <xf numFmtId="0" fontId="19" fillId="0" borderId="4" xfId="0" applyFont="1" applyBorder="1" applyAlignment="1">
      <alignment horizontal="left" vertical="center"/>
    </xf>
    <xf numFmtId="0" fontId="2" fillId="0" borderId="2" xfId="0" applyFont="1" applyBorder="1" applyAlignment="1">
      <alignment horizontal="left" vertical="center" wrapTex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5" fillId="0" borderId="19" xfId="0" applyFont="1" applyBorder="1" applyAlignment="1">
      <alignment vertical="top" wrapText="1" shrinkToFit="1"/>
    </xf>
    <xf numFmtId="0" fontId="5" fillId="0" borderId="17"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3"/>
  <sheetViews>
    <sheetView showZeros="0" view="pageBreakPreview" topLeftCell="A100" zoomScaleNormal="100" zoomScaleSheetLayoutView="100" workbookViewId="0">
      <selection activeCell="B112" sqref="B11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20" t="s">
        <v>12</v>
      </c>
      <c r="U1" s="120"/>
      <c r="V1" s="2" t="s">
        <v>100</v>
      </c>
    </row>
    <row r="2" spans="1:24" ht="18.75" customHeight="1" x14ac:dyDescent="0.15">
      <c r="A2" s="75"/>
      <c r="B2" s="76" t="s">
        <v>99</v>
      </c>
      <c r="C2" s="121" t="s">
        <v>136</v>
      </c>
      <c r="D2" s="122"/>
      <c r="E2" s="122"/>
      <c r="F2" s="122"/>
      <c r="G2" s="122"/>
      <c r="H2" s="122"/>
      <c r="I2" s="122"/>
      <c r="J2" s="123"/>
      <c r="K2" s="77"/>
      <c r="L2" s="78"/>
      <c r="M2" s="78"/>
      <c r="N2" s="78"/>
      <c r="O2" s="78"/>
      <c r="P2" s="78"/>
      <c r="Q2" s="78"/>
      <c r="R2" s="78"/>
      <c r="S2" s="78"/>
      <c r="T2" s="78"/>
      <c r="U2" s="78"/>
    </row>
    <row r="3" spans="1:24" ht="15.75" customHeight="1" x14ac:dyDescent="0.15">
      <c r="A3" s="75"/>
      <c r="B3" s="76" t="s">
        <v>94</v>
      </c>
      <c r="C3" s="124" t="s">
        <v>176</v>
      </c>
      <c r="D3" s="125"/>
      <c r="E3" s="125"/>
      <c r="F3" s="125"/>
      <c r="G3" s="125"/>
      <c r="H3" s="125"/>
      <c r="I3" s="125"/>
      <c r="J3" s="126"/>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27" t="s">
        <v>38</v>
      </c>
      <c r="B5" s="127"/>
      <c r="C5" s="127"/>
      <c r="D5" s="127"/>
      <c r="E5" s="127"/>
      <c r="F5" s="127"/>
      <c r="G5" s="127"/>
      <c r="H5" s="127"/>
      <c r="I5" s="127"/>
      <c r="J5" s="127"/>
      <c r="K5" s="127"/>
      <c r="L5" s="127"/>
      <c r="M5" s="127"/>
      <c r="N5" s="127"/>
      <c r="O5" s="127"/>
      <c r="P5" s="127"/>
      <c r="Q5" s="127"/>
      <c r="R5" s="127"/>
      <c r="S5" s="127"/>
      <c r="T5" s="127"/>
      <c r="U5" s="127"/>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131</v>
      </c>
      <c r="B7" s="80"/>
      <c r="C7" s="80"/>
      <c r="D7" s="80"/>
      <c r="E7" s="80"/>
      <c r="F7" s="74"/>
      <c r="G7" s="74"/>
      <c r="H7" s="74"/>
      <c r="I7" s="74"/>
      <c r="J7" s="74"/>
      <c r="K7" s="74"/>
      <c r="L7" s="104" t="s">
        <v>137</v>
      </c>
      <c r="M7" s="105"/>
      <c r="N7" s="105"/>
      <c r="O7" s="105"/>
      <c r="P7" s="105"/>
      <c r="Q7" s="105"/>
      <c r="R7" s="105"/>
      <c r="S7" s="105"/>
      <c r="T7" s="105"/>
      <c r="U7" s="106"/>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132</v>
      </c>
      <c r="B9" s="75"/>
      <c r="C9" s="80"/>
      <c r="D9" s="80"/>
      <c r="E9" s="75"/>
      <c r="F9" s="75"/>
      <c r="G9" s="75"/>
      <c r="H9" s="75"/>
      <c r="I9" s="75"/>
      <c r="J9" s="75"/>
      <c r="K9" s="77"/>
      <c r="L9" s="74"/>
      <c r="M9" s="74"/>
      <c r="N9" s="74"/>
      <c r="O9" s="74"/>
      <c r="P9" s="74"/>
      <c r="Q9" s="74"/>
      <c r="R9" s="74"/>
      <c r="S9" s="74"/>
      <c r="T9" s="74"/>
      <c r="U9" s="74"/>
    </row>
    <row r="10" spans="1:24" ht="6" customHeight="1" x14ac:dyDescent="0.15">
      <c r="A10" s="75"/>
      <c r="B10" s="80" t="s">
        <v>182</v>
      </c>
      <c r="C10" s="80"/>
      <c r="D10" s="80"/>
      <c r="E10" s="80"/>
      <c r="F10" s="80"/>
      <c r="G10" s="80"/>
      <c r="H10" s="80"/>
      <c r="I10" s="80"/>
      <c r="J10" s="80"/>
      <c r="K10" s="80"/>
      <c r="L10" s="81"/>
      <c r="M10" s="80"/>
      <c r="N10" s="80"/>
      <c r="O10" s="80"/>
      <c r="P10" s="80"/>
      <c r="Q10" s="80"/>
      <c r="R10" s="80"/>
      <c r="S10" s="80"/>
      <c r="T10" s="80"/>
      <c r="U10" s="80"/>
    </row>
    <row r="11" spans="1:24" ht="27" customHeight="1" x14ac:dyDescent="0.15">
      <c r="A11" s="75"/>
      <c r="B11" s="158"/>
      <c r="C11" s="159"/>
      <c r="D11" s="159"/>
      <c r="E11" s="159"/>
      <c r="F11" s="159"/>
      <c r="G11" s="159"/>
      <c r="H11" s="159"/>
      <c r="I11" s="159"/>
      <c r="J11" s="159"/>
      <c r="K11" s="159"/>
      <c r="L11" s="159"/>
      <c r="M11" s="159"/>
      <c r="N11" s="159"/>
      <c r="O11" s="159"/>
      <c r="P11" s="159"/>
      <c r="Q11" s="159"/>
      <c r="R11" s="159"/>
      <c r="S11" s="159"/>
      <c r="T11" s="159"/>
      <c r="U11" s="160"/>
    </row>
    <row r="12" spans="1:24" s="86" customFormat="1" ht="27" customHeight="1" x14ac:dyDescent="0.15">
      <c r="A12" s="75"/>
      <c r="B12" s="161"/>
      <c r="C12" s="162"/>
      <c r="D12" s="162"/>
      <c r="E12" s="162"/>
      <c r="F12" s="162"/>
      <c r="G12" s="162"/>
      <c r="H12" s="162"/>
      <c r="I12" s="162"/>
      <c r="J12" s="162"/>
      <c r="K12" s="162"/>
      <c r="L12" s="162"/>
      <c r="M12" s="162"/>
      <c r="N12" s="162"/>
      <c r="O12" s="162"/>
      <c r="P12" s="162"/>
      <c r="Q12" s="162"/>
      <c r="R12" s="162"/>
      <c r="S12" s="162"/>
      <c r="T12" s="162"/>
      <c r="U12" s="163"/>
    </row>
    <row r="13" spans="1:24" ht="18" customHeight="1" x14ac:dyDescent="0.15">
      <c r="A13" s="75" t="s">
        <v>101</v>
      </c>
      <c r="B13" s="80"/>
      <c r="C13" s="80"/>
      <c r="D13" s="80"/>
      <c r="E13" s="77"/>
      <c r="F13" s="77"/>
      <c r="G13" s="77"/>
      <c r="H13" s="77"/>
      <c r="I13" s="77"/>
      <c r="J13" s="77"/>
      <c r="K13" s="77"/>
      <c r="L13" s="82"/>
      <c r="M13" s="82"/>
      <c r="N13" s="82"/>
      <c r="O13" s="82"/>
      <c r="P13" s="82"/>
      <c r="Q13" s="82"/>
      <c r="R13" s="82"/>
      <c r="S13" s="82"/>
      <c r="T13" s="82"/>
      <c r="U13" s="82"/>
    </row>
    <row r="14" spans="1:24" ht="18" customHeight="1" x14ac:dyDescent="0.15">
      <c r="A14" s="75"/>
      <c r="B14" s="128" t="s">
        <v>199</v>
      </c>
      <c r="C14" s="129"/>
      <c r="D14" s="129"/>
      <c r="E14" s="129"/>
      <c r="F14" s="129"/>
      <c r="G14" s="129"/>
      <c r="H14" s="129"/>
      <c r="I14" s="129"/>
      <c r="J14" s="129"/>
      <c r="K14" s="129"/>
      <c r="L14" s="129"/>
      <c r="M14" s="129"/>
      <c r="N14" s="129"/>
      <c r="O14" s="129"/>
      <c r="P14" s="129"/>
      <c r="Q14" s="129"/>
      <c r="R14" s="129"/>
      <c r="S14" s="129"/>
      <c r="T14" s="129"/>
      <c r="U14" s="130"/>
      <c r="X14" s="1" t="s">
        <v>95</v>
      </c>
    </row>
    <row r="15" spans="1:24" ht="12" customHeight="1" x14ac:dyDescent="0.15">
      <c r="A15" s="75"/>
      <c r="B15" s="131"/>
      <c r="C15" s="132"/>
      <c r="D15" s="132"/>
      <c r="E15" s="132"/>
      <c r="F15" s="132"/>
      <c r="G15" s="132"/>
      <c r="H15" s="132"/>
      <c r="I15" s="132"/>
      <c r="J15" s="132"/>
      <c r="K15" s="132"/>
      <c r="L15" s="132"/>
      <c r="M15" s="132"/>
      <c r="N15" s="132"/>
      <c r="O15" s="132"/>
      <c r="P15" s="132"/>
      <c r="Q15" s="132"/>
      <c r="R15" s="132"/>
      <c r="S15" s="132"/>
      <c r="T15" s="132"/>
      <c r="U15" s="133"/>
      <c r="X15" s="1" t="s">
        <v>115</v>
      </c>
    </row>
    <row r="16" spans="1:24" ht="10.5" customHeight="1" x14ac:dyDescent="0.15">
      <c r="A16" s="75"/>
      <c r="B16" s="131"/>
      <c r="C16" s="132"/>
      <c r="D16" s="132"/>
      <c r="E16" s="132"/>
      <c r="F16" s="132"/>
      <c r="G16" s="132"/>
      <c r="H16" s="132"/>
      <c r="I16" s="132"/>
      <c r="J16" s="132"/>
      <c r="K16" s="132"/>
      <c r="L16" s="132"/>
      <c r="M16" s="132"/>
      <c r="N16" s="132"/>
      <c r="O16" s="132"/>
      <c r="P16" s="132"/>
      <c r="Q16" s="132"/>
      <c r="R16" s="132"/>
      <c r="S16" s="132"/>
      <c r="T16" s="132"/>
      <c r="U16" s="133"/>
      <c r="X16" s="1" t="s">
        <v>116</v>
      </c>
    </row>
    <row r="17" spans="1:24" ht="6.75" customHeight="1" x14ac:dyDescent="0.15">
      <c r="A17" s="75"/>
      <c r="B17" s="131"/>
      <c r="C17" s="132"/>
      <c r="D17" s="132"/>
      <c r="E17" s="132"/>
      <c r="F17" s="132"/>
      <c r="G17" s="132"/>
      <c r="H17" s="132"/>
      <c r="I17" s="132"/>
      <c r="J17" s="132"/>
      <c r="K17" s="132"/>
      <c r="L17" s="132"/>
      <c r="M17" s="132"/>
      <c r="N17" s="132"/>
      <c r="O17" s="132"/>
      <c r="P17" s="132"/>
      <c r="Q17" s="132"/>
      <c r="R17" s="132"/>
      <c r="S17" s="132"/>
      <c r="T17" s="132"/>
      <c r="U17" s="133"/>
      <c r="X17" s="1" t="s">
        <v>117</v>
      </c>
    </row>
    <row r="18" spans="1:24" ht="12" customHeight="1" x14ac:dyDescent="0.15">
      <c r="A18" s="75"/>
      <c r="B18" s="131"/>
      <c r="C18" s="132"/>
      <c r="D18" s="132"/>
      <c r="E18" s="132"/>
      <c r="F18" s="132"/>
      <c r="G18" s="132"/>
      <c r="H18" s="132"/>
      <c r="I18" s="132"/>
      <c r="J18" s="132"/>
      <c r="K18" s="132"/>
      <c r="L18" s="132"/>
      <c r="M18" s="132"/>
      <c r="N18" s="132"/>
      <c r="O18" s="132"/>
      <c r="P18" s="132"/>
      <c r="Q18" s="132"/>
      <c r="R18" s="132"/>
      <c r="S18" s="132"/>
      <c r="T18" s="132"/>
      <c r="U18" s="133"/>
    </row>
    <row r="19" spans="1:24" ht="3" customHeight="1" x14ac:dyDescent="0.15">
      <c r="A19" s="75"/>
      <c r="B19" s="134"/>
      <c r="C19" s="135"/>
      <c r="D19" s="135"/>
      <c r="E19" s="135"/>
      <c r="F19" s="135"/>
      <c r="G19" s="135"/>
      <c r="H19" s="135"/>
      <c r="I19" s="135"/>
      <c r="J19" s="135"/>
      <c r="K19" s="135"/>
      <c r="L19" s="135"/>
      <c r="M19" s="135"/>
      <c r="N19" s="135"/>
      <c r="O19" s="135"/>
      <c r="P19" s="135"/>
      <c r="Q19" s="135"/>
      <c r="R19" s="135"/>
      <c r="S19" s="135"/>
      <c r="T19" s="135"/>
      <c r="U19" s="136"/>
    </row>
    <row r="20" spans="1:24" ht="7.5" customHeight="1" x14ac:dyDescent="0.15">
      <c r="A20" s="75"/>
      <c r="B20" s="80"/>
      <c r="C20" s="80"/>
      <c r="D20" s="80"/>
      <c r="E20" s="80"/>
      <c r="F20" s="80"/>
      <c r="G20" s="80"/>
      <c r="H20" s="80"/>
      <c r="I20" s="80"/>
      <c r="J20" s="80"/>
      <c r="K20" s="80"/>
      <c r="L20" s="80"/>
      <c r="M20" s="80"/>
      <c r="N20" s="80"/>
      <c r="O20" s="80"/>
      <c r="P20" s="80"/>
      <c r="Q20" s="80"/>
      <c r="R20" s="80"/>
      <c r="S20" s="80"/>
      <c r="T20" s="80"/>
      <c r="U20" s="80"/>
    </row>
    <row r="21" spans="1:24" ht="19.899999999999999" customHeight="1" x14ac:dyDescent="0.15">
      <c r="A21" s="75"/>
      <c r="B21" s="75" t="s">
        <v>133</v>
      </c>
      <c r="C21" s="75"/>
      <c r="D21" s="75"/>
      <c r="E21" s="83">
        <v>1</v>
      </c>
      <c r="F21" s="75" t="s">
        <v>113</v>
      </c>
      <c r="G21" s="75"/>
      <c r="H21" s="84">
        <v>1</v>
      </c>
      <c r="I21" s="80" t="s">
        <v>114</v>
      </c>
      <c r="J21" s="80"/>
      <c r="K21" s="77"/>
      <c r="L21" s="75"/>
      <c r="M21" s="77" t="s">
        <v>110</v>
      </c>
      <c r="N21" s="101" t="s">
        <v>115</v>
      </c>
      <c r="O21" s="102"/>
      <c r="P21" s="102"/>
      <c r="Q21" s="102"/>
      <c r="R21" s="102"/>
      <c r="S21" s="102"/>
      <c r="T21" s="102"/>
      <c r="U21" s="103"/>
    </row>
    <row r="22" spans="1:24" ht="7.5" customHeight="1" x14ac:dyDescent="0.15">
      <c r="A22" s="75"/>
      <c r="B22" s="80"/>
      <c r="C22" s="80"/>
      <c r="D22" s="80"/>
      <c r="E22" s="80"/>
      <c r="F22" s="80"/>
      <c r="G22" s="80"/>
      <c r="H22" s="80"/>
      <c r="I22" s="80"/>
      <c r="J22" s="80"/>
      <c r="K22" s="80"/>
      <c r="L22" s="80"/>
      <c r="M22" s="80"/>
      <c r="N22" s="80"/>
      <c r="O22" s="80"/>
      <c r="P22" s="80"/>
      <c r="Q22" s="80"/>
      <c r="R22" s="80"/>
      <c r="S22" s="80"/>
      <c r="T22" s="80"/>
      <c r="U22" s="80"/>
    </row>
    <row r="23" spans="1:24" ht="18" customHeight="1" x14ac:dyDescent="0.15">
      <c r="A23" s="137" t="s">
        <v>102</v>
      </c>
      <c r="B23" s="137"/>
      <c r="C23" s="137"/>
      <c r="D23" s="137"/>
      <c r="E23" s="137"/>
      <c r="F23" s="137"/>
      <c r="G23" s="137"/>
      <c r="H23" s="137"/>
      <c r="I23" s="137"/>
      <c r="J23" s="137"/>
      <c r="K23" s="137"/>
      <c r="L23" s="137"/>
      <c r="M23" s="137"/>
      <c r="N23" s="137"/>
      <c r="O23" s="137"/>
      <c r="P23" s="137"/>
      <c r="Q23" s="137"/>
      <c r="R23" s="137"/>
      <c r="S23" s="137"/>
      <c r="T23" s="137"/>
      <c r="U23" s="137"/>
    </row>
    <row r="24" spans="1:24" ht="18" customHeight="1" x14ac:dyDescent="0.15">
      <c r="A24" s="137"/>
      <c r="B24" s="137"/>
      <c r="C24" s="137"/>
      <c r="D24" s="137"/>
      <c r="E24" s="137"/>
      <c r="F24" s="137"/>
      <c r="G24" s="137"/>
      <c r="H24" s="137"/>
      <c r="I24" s="137"/>
      <c r="J24" s="137"/>
      <c r="K24" s="137"/>
      <c r="L24" s="137"/>
      <c r="M24" s="137"/>
      <c r="N24" s="137"/>
      <c r="O24" s="137"/>
      <c r="P24" s="137"/>
      <c r="Q24" s="137"/>
      <c r="R24" s="137"/>
      <c r="S24" s="137"/>
      <c r="T24" s="137"/>
      <c r="U24" s="137"/>
    </row>
    <row r="25" spans="1:24" ht="18" customHeight="1" x14ac:dyDescent="0.15">
      <c r="B25" s="107" t="s">
        <v>52</v>
      </c>
      <c r="C25" s="108"/>
      <c r="D25" s="108"/>
      <c r="E25" s="108"/>
      <c r="F25" s="109"/>
      <c r="G25" s="51" t="s">
        <v>78</v>
      </c>
      <c r="H25" s="50" t="s">
        <v>81</v>
      </c>
      <c r="I25" s="17" t="s">
        <v>55</v>
      </c>
      <c r="J25" s="17" t="s">
        <v>58</v>
      </c>
      <c r="K25" s="107" t="s">
        <v>52</v>
      </c>
      <c r="L25" s="108"/>
      <c r="M25" s="108"/>
      <c r="N25" s="108"/>
      <c r="O25" s="108"/>
      <c r="P25" s="108"/>
      <c r="Q25" s="109"/>
      <c r="R25" s="51" t="s">
        <v>78</v>
      </c>
      <c r="S25" s="50" t="s">
        <v>81</v>
      </c>
      <c r="T25" s="17" t="s">
        <v>55</v>
      </c>
      <c r="U25" s="17" t="s">
        <v>58</v>
      </c>
    </row>
    <row r="26" spans="1:24" ht="18" customHeight="1" x14ac:dyDescent="0.15">
      <c r="B26" s="116" t="s">
        <v>138</v>
      </c>
      <c r="C26" s="117"/>
      <c r="D26" s="117"/>
      <c r="E26" s="117"/>
      <c r="F26" s="118"/>
      <c r="G26" s="18">
        <v>1</v>
      </c>
      <c r="H26" s="18" t="s">
        <v>139</v>
      </c>
      <c r="I26" s="18" t="s">
        <v>139</v>
      </c>
      <c r="J26" s="18" t="s">
        <v>139</v>
      </c>
      <c r="K26" s="116"/>
      <c r="L26" s="117"/>
      <c r="M26" s="117"/>
      <c r="N26" s="117"/>
      <c r="O26" s="117"/>
      <c r="P26" s="117"/>
      <c r="Q26" s="118"/>
      <c r="R26" s="18"/>
      <c r="S26" s="18"/>
      <c r="T26" s="18"/>
      <c r="U26" s="18"/>
    </row>
    <row r="27" spans="1:24" ht="18" customHeight="1" x14ac:dyDescent="0.15">
      <c r="B27" s="110"/>
      <c r="C27" s="111"/>
      <c r="D27" s="111"/>
      <c r="E27" s="111"/>
      <c r="F27" s="112"/>
      <c r="G27" s="19"/>
      <c r="H27" s="19"/>
      <c r="I27" s="19"/>
      <c r="J27" s="19"/>
      <c r="K27" s="110"/>
      <c r="L27" s="111"/>
      <c r="M27" s="111"/>
      <c r="N27" s="111"/>
      <c r="O27" s="111"/>
      <c r="P27" s="111"/>
      <c r="Q27" s="112"/>
      <c r="R27" s="19"/>
      <c r="S27" s="19"/>
      <c r="T27" s="19"/>
      <c r="U27" s="19"/>
    </row>
    <row r="28" spans="1:24" ht="18" customHeight="1" x14ac:dyDescent="0.15">
      <c r="B28" s="110"/>
      <c r="C28" s="111"/>
      <c r="D28" s="111"/>
      <c r="E28" s="111"/>
      <c r="F28" s="112"/>
      <c r="G28" s="19"/>
      <c r="H28" s="19"/>
      <c r="I28" s="19"/>
      <c r="J28" s="19"/>
      <c r="K28" s="110"/>
      <c r="L28" s="111"/>
      <c r="M28" s="111"/>
      <c r="N28" s="111"/>
      <c r="O28" s="111"/>
      <c r="P28" s="111"/>
      <c r="Q28" s="112"/>
      <c r="R28" s="19"/>
      <c r="S28" s="19"/>
      <c r="T28" s="19"/>
      <c r="U28" s="19"/>
    </row>
    <row r="29" spans="1:24" ht="18" customHeight="1" x14ac:dyDescent="0.15">
      <c r="B29" s="110"/>
      <c r="C29" s="111"/>
      <c r="D29" s="111"/>
      <c r="E29" s="111"/>
      <c r="F29" s="112"/>
      <c r="G29" s="19"/>
      <c r="H29" s="19"/>
      <c r="I29" s="19"/>
      <c r="J29" s="19"/>
      <c r="K29" s="110"/>
      <c r="L29" s="111"/>
      <c r="M29" s="111"/>
      <c r="N29" s="111"/>
      <c r="O29" s="111"/>
      <c r="P29" s="111"/>
      <c r="Q29" s="112"/>
      <c r="R29" s="19"/>
      <c r="S29" s="19"/>
      <c r="T29" s="19"/>
      <c r="U29" s="19"/>
    </row>
    <row r="30" spans="1:24" ht="18" customHeight="1" x14ac:dyDescent="0.15">
      <c r="B30" s="110"/>
      <c r="C30" s="111"/>
      <c r="D30" s="111"/>
      <c r="E30" s="111"/>
      <c r="F30" s="112"/>
      <c r="G30" s="19"/>
      <c r="H30" s="19"/>
      <c r="I30" s="19"/>
      <c r="J30" s="19"/>
      <c r="K30" s="110"/>
      <c r="L30" s="111"/>
      <c r="M30" s="111"/>
      <c r="N30" s="111"/>
      <c r="O30" s="111"/>
      <c r="P30" s="111"/>
      <c r="Q30" s="112"/>
      <c r="R30" s="19"/>
      <c r="S30" s="19"/>
      <c r="T30" s="19"/>
      <c r="U30" s="19"/>
    </row>
    <row r="31" spans="1:24" ht="18" customHeight="1" x14ac:dyDescent="0.15">
      <c r="A31" s="3"/>
      <c r="B31" s="110"/>
      <c r="C31" s="111"/>
      <c r="D31" s="111"/>
      <c r="E31" s="111"/>
      <c r="F31" s="112"/>
      <c r="G31" s="19"/>
      <c r="H31" s="19"/>
      <c r="I31" s="19"/>
      <c r="J31" s="19"/>
      <c r="K31" s="110"/>
      <c r="L31" s="111"/>
      <c r="M31" s="111"/>
      <c r="N31" s="111"/>
      <c r="O31" s="111"/>
      <c r="P31" s="111"/>
      <c r="Q31" s="112"/>
      <c r="R31" s="19"/>
      <c r="S31" s="19"/>
      <c r="T31" s="19"/>
      <c r="U31" s="19"/>
    </row>
    <row r="32" spans="1:24" ht="18" customHeight="1" x14ac:dyDescent="0.15">
      <c r="A32" s="3"/>
      <c r="B32" s="113"/>
      <c r="C32" s="114"/>
      <c r="D32" s="114"/>
      <c r="E32" s="114"/>
      <c r="F32" s="115"/>
      <c r="G32" s="20"/>
      <c r="H32" s="20"/>
      <c r="I32" s="21"/>
      <c r="J32" s="21"/>
      <c r="K32" s="113"/>
      <c r="L32" s="114"/>
      <c r="M32" s="114"/>
      <c r="N32" s="114"/>
      <c r="O32" s="114"/>
      <c r="P32" s="114"/>
      <c r="Q32" s="115"/>
      <c r="R32" s="20"/>
      <c r="S32" s="20"/>
      <c r="T32" s="21"/>
      <c r="U32" s="21"/>
    </row>
    <row r="33" spans="1:21" ht="7.5" customHeight="1" x14ac:dyDescent="0.15">
      <c r="A33" s="3"/>
      <c r="B33" s="6"/>
      <c r="C33" s="6"/>
      <c r="D33" s="6"/>
      <c r="E33" s="3"/>
      <c r="F33" s="3"/>
      <c r="G33" s="3"/>
      <c r="H33" s="3"/>
      <c r="I33" s="6"/>
      <c r="J33" s="6"/>
      <c r="K33" s="6"/>
      <c r="L33" s="6"/>
      <c r="M33" s="6"/>
      <c r="N33" s="6"/>
      <c r="O33" s="6"/>
      <c r="P33" s="6"/>
      <c r="Q33" s="6"/>
      <c r="R33" s="6"/>
      <c r="S33" s="6"/>
      <c r="T33" s="6"/>
      <c r="U33" s="3"/>
    </row>
    <row r="34" spans="1:21" ht="18" customHeight="1" x14ac:dyDescent="0.15">
      <c r="A34" s="119" t="s">
        <v>103</v>
      </c>
      <c r="B34" s="119"/>
      <c r="C34" s="119"/>
      <c r="D34" s="119"/>
      <c r="E34" s="119"/>
      <c r="F34" s="119"/>
      <c r="G34" s="119"/>
      <c r="H34" s="119"/>
      <c r="I34" s="119"/>
      <c r="J34" s="119"/>
      <c r="K34" s="119"/>
      <c r="L34" s="119"/>
      <c r="M34" s="119"/>
      <c r="N34" s="119"/>
      <c r="O34" s="119"/>
      <c r="P34" s="119"/>
      <c r="Q34" s="119"/>
      <c r="R34" s="119"/>
      <c r="S34" s="119"/>
      <c r="T34" s="119"/>
      <c r="U34" s="119"/>
    </row>
    <row r="35" spans="1:21" ht="18" customHeight="1" x14ac:dyDescent="0.15">
      <c r="A35" s="119"/>
      <c r="B35" s="119"/>
      <c r="C35" s="119"/>
      <c r="D35" s="119"/>
      <c r="E35" s="119"/>
      <c r="F35" s="119"/>
      <c r="G35" s="119"/>
      <c r="H35" s="119"/>
      <c r="I35" s="119"/>
      <c r="J35" s="119"/>
      <c r="K35" s="119"/>
      <c r="L35" s="119"/>
      <c r="M35" s="119"/>
      <c r="N35" s="119"/>
      <c r="O35" s="119"/>
      <c r="P35" s="119"/>
      <c r="Q35" s="119"/>
      <c r="R35" s="119"/>
      <c r="S35" s="119"/>
      <c r="T35" s="119"/>
      <c r="U35" s="119"/>
    </row>
    <row r="36" spans="1:21" ht="18" customHeight="1" x14ac:dyDescent="0.15">
      <c r="B36" s="107" t="s">
        <v>52</v>
      </c>
      <c r="C36" s="108"/>
      <c r="D36" s="108"/>
      <c r="E36" s="108"/>
      <c r="F36" s="109"/>
      <c r="G36" s="51" t="s">
        <v>78</v>
      </c>
      <c r="H36" s="50" t="s">
        <v>81</v>
      </c>
      <c r="I36" s="17" t="s">
        <v>69</v>
      </c>
      <c r="J36" s="17" t="s">
        <v>70</v>
      </c>
      <c r="K36" s="107" t="s">
        <v>52</v>
      </c>
      <c r="L36" s="108"/>
      <c r="M36" s="108"/>
      <c r="N36" s="108"/>
      <c r="O36" s="108"/>
      <c r="P36" s="108"/>
      <c r="Q36" s="109"/>
      <c r="R36" s="51" t="s">
        <v>78</v>
      </c>
      <c r="S36" s="50" t="s">
        <v>81</v>
      </c>
      <c r="T36" s="17" t="s">
        <v>69</v>
      </c>
      <c r="U36" s="17" t="s">
        <v>70</v>
      </c>
    </row>
    <row r="37" spans="1:21" ht="18" customHeight="1" x14ac:dyDescent="0.15">
      <c r="B37" s="116" t="s">
        <v>138</v>
      </c>
      <c r="C37" s="117"/>
      <c r="D37" s="117"/>
      <c r="E37" s="117"/>
      <c r="F37" s="118"/>
      <c r="G37" s="18">
        <v>1</v>
      </c>
      <c r="H37" s="18" t="s">
        <v>139</v>
      </c>
      <c r="I37" s="18" t="s">
        <v>139</v>
      </c>
      <c r="J37" s="18" t="s">
        <v>139</v>
      </c>
      <c r="K37" s="116"/>
      <c r="L37" s="117"/>
      <c r="M37" s="117"/>
      <c r="N37" s="117"/>
      <c r="O37" s="117"/>
      <c r="P37" s="117"/>
      <c r="Q37" s="118"/>
      <c r="R37" s="18"/>
      <c r="S37" s="18"/>
      <c r="T37" s="18"/>
      <c r="U37" s="18"/>
    </row>
    <row r="38" spans="1:21" ht="18" customHeight="1" x14ac:dyDescent="0.15">
      <c r="B38" s="110"/>
      <c r="C38" s="111"/>
      <c r="D38" s="111"/>
      <c r="E38" s="111"/>
      <c r="F38" s="112"/>
      <c r="G38" s="19"/>
      <c r="H38" s="19"/>
      <c r="I38" s="19"/>
      <c r="J38" s="19"/>
      <c r="K38" s="110"/>
      <c r="L38" s="111"/>
      <c r="M38" s="111"/>
      <c r="N38" s="111"/>
      <c r="O38" s="111"/>
      <c r="P38" s="111"/>
      <c r="Q38" s="112"/>
      <c r="R38" s="19"/>
      <c r="S38" s="19"/>
      <c r="T38" s="19"/>
      <c r="U38" s="19"/>
    </row>
    <row r="39" spans="1:21" ht="18" customHeight="1" x14ac:dyDescent="0.15">
      <c r="B39" s="110"/>
      <c r="C39" s="111"/>
      <c r="D39" s="111"/>
      <c r="E39" s="111"/>
      <c r="F39" s="112"/>
      <c r="G39" s="19"/>
      <c r="H39" s="19"/>
      <c r="I39" s="19"/>
      <c r="J39" s="19"/>
      <c r="K39" s="110"/>
      <c r="L39" s="111"/>
      <c r="M39" s="111"/>
      <c r="N39" s="111"/>
      <c r="O39" s="111"/>
      <c r="P39" s="111"/>
      <c r="Q39" s="112"/>
      <c r="R39" s="19"/>
      <c r="S39" s="19"/>
      <c r="T39" s="19"/>
      <c r="U39" s="19"/>
    </row>
    <row r="40" spans="1:21" ht="18" customHeight="1" x14ac:dyDescent="0.15">
      <c r="B40" s="110"/>
      <c r="C40" s="111"/>
      <c r="D40" s="111"/>
      <c r="E40" s="111"/>
      <c r="F40" s="112"/>
      <c r="G40" s="19"/>
      <c r="H40" s="19"/>
      <c r="I40" s="19"/>
      <c r="J40" s="19"/>
      <c r="K40" s="110"/>
      <c r="L40" s="111"/>
      <c r="M40" s="111"/>
      <c r="N40" s="111"/>
      <c r="O40" s="111"/>
      <c r="P40" s="111"/>
      <c r="Q40" s="112"/>
      <c r="R40" s="19"/>
      <c r="S40" s="19"/>
      <c r="T40" s="19"/>
      <c r="U40" s="19"/>
    </row>
    <row r="41" spans="1:21" ht="18" customHeight="1" x14ac:dyDescent="0.15">
      <c r="B41" s="110"/>
      <c r="C41" s="111"/>
      <c r="D41" s="111"/>
      <c r="E41" s="111"/>
      <c r="F41" s="112"/>
      <c r="G41" s="19"/>
      <c r="H41" s="19"/>
      <c r="I41" s="19"/>
      <c r="J41" s="19"/>
      <c r="K41" s="110"/>
      <c r="L41" s="111"/>
      <c r="M41" s="111"/>
      <c r="N41" s="111"/>
      <c r="O41" s="111"/>
      <c r="P41" s="111"/>
      <c r="Q41" s="112"/>
      <c r="R41" s="19"/>
      <c r="S41" s="19"/>
      <c r="T41" s="19"/>
      <c r="U41" s="19"/>
    </row>
    <row r="42" spans="1:21" ht="18" customHeight="1" x14ac:dyDescent="0.15">
      <c r="B42" s="110"/>
      <c r="C42" s="111"/>
      <c r="D42" s="111"/>
      <c r="E42" s="111"/>
      <c r="F42" s="112"/>
      <c r="G42" s="19"/>
      <c r="H42" s="19"/>
      <c r="I42" s="19"/>
      <c r="J42" s="19"/>
      <c r="K42" s="110"/>
      <c r="L42" s="111"/>
      <c r="M42" s="111"/>
      <c r="N42" s="111"/>
      <c r="O42" s="111"/>
      <c r="P42" s="111"/>
      <c r="Q42" s="112"/>
      <c r="R42" s="19"/>
      <c r="S42" s="19"/>
      <c r="T42" s="19"/>
      <c r="U42" s="19"/>
    </row>
    <row r="43" spans="1:21" ht="18" customHeight="1" x14ac:dyDescent="0.15">
      <c r="B43" s="113"/>
      <c r="C43" s="114"/>
      <c r="D43" s="114"/>
      <c r="E43" s="114"/>
      <c r="F43" s="115"/>
      <c r="G43" s="20"/>
      <c r="H43" s="20"/>
      <c r="I43" s="21"/>
      <c r="J43" s="21"/>
      <c r="K43" s="113"/>
      <c r="L43" s="114"/>
      <c r="M43" s="114"/>
      <c r="N43" s="114"/>
      <c r="O43" s="114"/>
      <c r="P43" s="114"/>
      <c r="Q43" s="115"/>
      <c r="R43" s="20"/>
      <c r="S43" s="20"/>
      <c r="T43" s="21"/>
      <c r="U43" s="21"/>
    </row>
    <row r="44" spans="1:21" ht="7.5" customHeight="1" x14ac:dyDescent="0.15">
      <c r="A44" s="3"/>
      <c r="B44" s="6"/>
      <c r="C44" s="6"/>
      <c r="D44" s="6"/>
      <c r="E44" s="3"/>
      <c r="F44" s="3"/>
      <c r="G44" s="3"/>
      <c r="H44" s="3"/>
      <c r="I44" s="6"/>
      <c r="J44" s="6"/>
      <c r="K44" s="6"/>
      <c r="L44" s="6"/>
      <c r="M44" s="6"/>
      <c r="N44" s="6"/>
      <c r="O44" s="6"/>
      <c r="P44" s="6"/>
      <c r="Q44" s="6"/>
      <c r="R44" s="6"/>
      <c r="S44" s="6"/>
      <c r="T44" s="6"/>
      <c r="U44" s="3"/>
    </row>
    <row r="45" spans="1:21" ht="18" customHeight="1" x14ac:dyDescent="0.15">
      <c r="A45" s="119" t="s">
        <v>104</v>
      </c>
      <c r="B45" s="119"/>
      <c r="C45" s="119"/>
      <c r="D45" s="119"/>
      <c r="E45" s="119"/>
      <c r="F45" s="119"/>
      <c r="G45" s="119"/>
      <c r="H45" s="119"/>
      <c r="I45" s="119"/>
      <c r="J45" s="119"/>
      <c r="K45" s="119"/>
      <c r="L45" s="119"/>
      <c r="M45" s="119"/>
      <c r="N45" s="119"/>
      <c r="O45" s="119"/>
      <c r="P45" s="119"/>
      <c r="Q45" s="119"/>
      <c r="R45" s="119"/>
      <c r="S45" s="119"/>
      <c r="T45" s="119"/>
      <c r="U45" s="119"/>
    </row>
    <row r="46" spans="1:21" ht="18" customHeight="1" x14ac:dyDescent="0.15">
      <c r="A46" s="119"/>
      <c r="B46" s="119"/>
      <c r="C46" s="119"/>
      <c r="D46" s="119"/>
      <c r="E46" s="119"/>
      <c r="F46" s="119"/>
      <c r="G46" s="119"/>
      <c r="H46" s="119"/>
      <c r="I46" s="119"/>
      <c r="J46" s="119"/>
      <c r="K46" s="119"/>
      <c r="L46" s="119"/>
      <c r="M46" s="119"/>
      <c r="N46" s="119"/>
      <c r="O46" s="119"/>
      <c r="P46" s="119"/>
      <c r="Q46" s="119"/>
      <c r="R46" s="119"/>
      <c r="S46" s="119"/>
      <c r="T46" s="119"/>
      <c r="U46" s="119"/>
    </row>
    <row r="47" spans="1:21" ht="18" customHeight="1" x14ac:dyDescent="0.15">
      <c r="B47" s="107" t="s">
        <v>52</v>
      </c>
      <c r="C47" s="108"/>
      <c r="D47" s="108"/>
      <c r="E47" s="108"/>
      <c r="F47" s="109"/>
      <c r="G47" s="51" t="s">
        <v>78</v>
      </c>
      <c r="H47" s="50" t="s">
        <v>81</v>
      </c>
      <c r="I47" s="17" t="s">
        <v>71</v>
      </c>
      <c r="J47" s="17" t="s">
        <v>72</v>
      </c>
      <c r="K47" s="107" t="s">
        <v>52</v>
      </c>
      <c r="L47" s="108"/>
      <c r="M47" s="108"/>
      <c r="N47" s="108"/>
      <c r="O47" s="108"/>
      <c r="P47" s="108"/>
      <c r="Q47" s="109"/>
      <c r="R47" s="51" t="s">
        <v>78</v>
      </c>
      <c r="S47" s="50" t="s">
        <v>81</v>
      </c>
      <c r="T47" s="17" t="s">
        <v>71</v>
      </c>
      <c r="U47" s="17" t="s">
        <v>72</v>
      </c>
    </row>
    <row r="48" spans="1:21" ht="18" customHeight="1" x14ac:dyDescent="0.15">
      <c r="A48" s="3"/>
      <c r="B48" s="116" t="s">
        <v>138</v>
      </c>
      <c r="C48" s="117"/>
      <c r="D48" s="117"/>
      <c r="E48" s="117"/>
      <c r="F48" s="118"/>
      <c r="G48" s="18">
        <v>1</v>
      </c>
      <c r="H48" s="18" t="s">
        <v>139</v>
      </c>
      <c r="I48" s="18" t="s">
        <v>139</v>
      </c>
      <c r="J48" s="18" t="s">
        <v>139</v>
      </c>
      <c r="K48" s="116"/>
      <c r="L48" s="117"/>
      <c r="M48" s="117"/>
      <c r="N48" s="117"/>
      <c r="O48" s="117"/>
      <c r="P48" s="117"/>
      <c r="Q48" s="118"/>
      <c r="R48" s="18"/>
      <c r="S48" s="18"/>
      <c r="T48" s="18"/>
      <c r="U48" s="18"/>
    </row>
    <row r="49" spans="1:21" ht="18" customHeight="1" x14ac:dyDescent="0.15">
      <c r="A49" s="3"/>
      <c r="B49" s="110"/>
      <c r="C49" s="111"/>
      <c r="D49" s="111"/>
      <c r="E49" s="111"/>
      <c r="F49" s="112"/>
      <c r="G49" s="19"/>
      <c r="H49" s="19"/>
      <c r="I49" s="19"/>
      <c r="J49" s="19"/>
      <c r="K49" s="110"/>
      <c r="L49" s="111"/>
      <c r="M49" s="111"/>
      <c r="N49" s="111"/>
      <c r="O49" s="111"/>
      <c r="P49" s="111"/>
      <c r="Q49" s="112"/>
      <c r="R49" s="19"/>
      <c r="S49" s="19"/>
      <c r="T49" s="19"/>
      <c r="U49" s="19"/>
    </row>
    <row r="50" spans="1:21" ht="18" customHeight="1" x14ac:dyDescent="0.15">
      <c r="A50" s="3"/>
      <c r="B50" s="110"/>
      <c r="C50" s="111"/>
      <c r="D50" s="111"/>
      <c r="E50" s="111"/>
      <c r="F50" s="112"/>
      <c r="G50" s="19"/>
      <c r="H50" s="19"/>
      <c r="I50" s="19"/>
      <c r="J50" s="19"/>
      <c r="K50" s="110"/>
      <c r="L50" s="111"/>
      <c r="M50" s="111"/>
      <c r="N50" s="111"/>
      <c r="O50" s="111"/>
      <c r="P50" s="111"/>
      <c r="Q50" s="112"/>
      <c r="R50" s="19"/>
      <c r="S50" s="19"/>
      <c r="T50" s="19"/>
      <c r="U50" s="19"/>
    </row>
    <row r="51" spans="1:21" ht="18" customHeight="1" x14ac:dyDescent="0.15">
      <c r="A51" s="3"/>
      <c r="B51" s="110"/>
      <c r="C51" s="111"/>
      <c r="D51" s="111"/>
      <c r="E51" s="111"/>
      <c r="F51" s="112"/>
      <c r="G51" s="19"/>
      <c r="H51" s="19"/>
      <c r="I51" s="19"/>
      <c r="J51" s="19"/>
      <c r="K51" s="110"/>
      <c r="L51" s="111"/>
      <c r="M51" s="111"/>
      <c r="N51" s="111"/>
      <c r="O51" s="111"/>
      <c r="P51" s="111"/>
      <c r="Q51" s="112"/>
      <c r="R51" s="19"/>
      <c r="S51" s="19"/>
      <c r="T51" s="19"/>
      <c r="U51" s="19"/>
    </row>
    <row r="52" spans="1:21" ht="18" customHeight="1" x14ac:dyDescent="0.15">
      <c r="A52" s="3"/>
      <c r="B52" s="110"/>
      <c r="C52" s="111"/>
      <c r="D52" s="111"/>
      <c r="E52" s="111"/>
      <c r="F52" s="112"/>
      <c r="G52" s="19"/>
      <c r="H52" s="19"/>
      <c r="I52" s="19"/>
      <c r="J52" s="19"/>
      <c r="K52" s="110"/>
      <c r="L52" s="111"/>
      <c r="M52" s="111"/>
      <c r="N52" s="111"/>
      <c r="O52" s="111"/>
      <c r="P52" s="111"/>
      <c r="Q52" s="112"/>
      <c r="R52" s="19"/>
      <c r="S52" s="19"/>
      <c r="T52" s="19"/>
      <c r="U52" s="19"/>
    </row>
    <row r="53" spans="1:21" ht="18" customHeight="1" x14ac:dyDescent="0.15">
      <c r="A53" s="3"/>
      <c r="B53" s="110"/>
      <c r="C53" s="111"/>
      <c r="D53" s="111"/>
      <c r="E53" s="111"/>
      <c r="F53" s="112"/>
      <c r="G53" s="19"/>
      <c r="H53" s="19"/>
      <c r="I53" s="19"/>
      <c r="J53" s="19"/>
      <c r="K53" s="110"/>
      <c r="L53" s="111"/>
      <c r="M53" s="111"/>
      <c r="N53" s="111"/>
      <c r="O53" s="111"/>
      <c r="P53" s="111"/>
      <c r="Q53" s="112"/>
      <c r="R53" s="19"/>
      <c r="S53" s="19"/>
      <c r="T53" s="19"/>
      <c r="U53" s="19"/>
    </row>
    <row r="54" spans="1:21" ht="18" customHeight="1" x14ac:dyDescent="0.15">
      <c r="A54" s="3"/>
      <c r="B54" s="113"/>
      <c r="C54" s="114"/>
      <c r="D54" s="114"/>
      <c r="E54" s="114"/>
      <c r="F54" s="115"/>
      <c r="G54" s="20"/>
      <c r="H54" s="20"/>
      <c r="I54" s="21"/>
      <c r="J54" s="21"/>
      <c r="K54" s="113"/>
      <c r="L54" s="114"/>
      <c r="M54" s="114"/>
      <c r="N54" s="114"/>
      <c r="O54" s="114"/>
      <c r="P54" s="114"/>
      <c r="Q54" s="115"/>
      <c r="R54" s="20"/>
      <c r="S54" s="20"/>
      <c r="T54" s="21"/>
      <c r="U54" s="21"/>
    </row>
    <row r="55" spans="1:21" ht="7.5" customHeight="1" x14ac:dyDescent="0.15">
      <c r="B55" s="14"/>
      <c r="C55" s="14"/>
      <c r="D55" s="14"/>
      <c r="E55" s="14"/>
      <c r="F55" s="14"/>
      <c r="G55" s="14"/>
      <c r="H55" s="14"/>
      <c r="I55" s="14"/>
      <c r="J55" s="14"/>
      <c r="K55" s="14"/>
      <c r="L55" s="14"/>
      <c r="M55" s="14"/>
      <c r="N55" s="14"/>
      <c r="O55" s="14"/>
      <c r="P55" s="14"/>
      <c r="Q55" s="14"/>
      <c r="R55" s="14"/>
      <c r="S55" s="14"/>
      <c r="T55" s="14"/>
    </row>
    <row r="56" spans="1:21" ht="18" customHeight="1" x14ac:dyDescent="0.15">
      <c r="A56" s="119" t="s">
        <v>105</v>
      </c>
      <c r="B56" s="119"/>
      <c r="C56" s="119"/>
      <c r="D56" s="119"/>
      <c r="E56" s="119"/>
      <c r="F56" s="119"/>
      <c r="G56" s="119"/>
      <c r="H56" s="119"/>
      <c r="I56" s="119"/>
      <c r="J56" s="119"/>
      <c r="K56" s="119"/>
      <c r="L56" s="119"/>
      <c r="M56" s="119"/>
      <c r="N56" s="119"/>
      <c r="O56" s="119"/>
      <c r="P56" s="119"/>
      <c r="Q56" s="119"/>
      <c r="R56" s="119"/>
      <c r="S56" s="119"/>
      <c r="T56" s="119"/>
      <c r="U56" s="119"/>
    </row>
    <row r="57" spans="1:21" ht="18" customHeight="1" x14ac:dyDescent="0.15">
      <c r="A57" s="119"/>
      <c r="B57" s="119"/>
      <c r="C57" s="119"/>
      <c r="D57" s="119"/>
      <c r="E57" s="119"/>
      <c r="F57" s="119"/>
      <c r="G57" s="119"/>
      <c r="H57" s="119"/>
      <c r="I57" s="119"/>
      <c r="J57" s="119"/>
      <c r="K57" s="119"/>
      <c r="L57" s="119"/>
      <c r="M57" s="119"/>
      <c r="N57" s="119"/>
      <c r="O57" s="119"/>
      <c r="P57" s="119"/>
      <c r="Q57" s="119"/>
      <c r="R57" s="119"/>
      <c r="S57" s="119"/>
      <c r="T57" s="119"/>
      <c r="U57" s="119"/>
    </row>
    <row r="58" spans="1:21" ht="18" customHeight="1" x14ac:dyDescent="0.15">
      <c r="B58" s="107" t="s">
        <v>52</v>
      </c>
      <c r="C58" s="108"/>
      <c r="D58" s="108"/>
      <c r="E58" s="108"/>
      <c r="F58" s="109"/>
      <c r="G58" s="51" t="s">
        <v>78</v>
      </c>
      <c r="H58" s="50" t="s">
        <v>81</v>
      </c>
      <c r="I58" s="17" t="s">
        <v>57</v>
      </c>
      <c r="J58" s="17" t="s">
        <v>59</v>
      </c>
      <c r="K58" s="107" t="s">
        <v>52</v>
      </c>
      <c r="L58" s="108"/>
      <c r="M58" s="108"/>
      <c r="N58" s="108"/>
      <c r="O58" s="108"/>
      <c r="P58" s="108"/>
      <c r="Q58" s="109"/>
      <c r="R58" s="51" t="s">
        <v>78</v>
      </c>
      <c r="S58" s="50" t="s">
        <v>81</v>
      </c>
      <c r="T58" s="17" t="s">
        <v>57</v>
      </c>
      <c r="U58" s="17" t="s">
        <v>59</v>
      </c>
    </row>
    <row r="59" spans="1:21" ht="18" customHeight="1" x14ac:dyDescent="0.15">
      <c r="A59" s="3"/>
      <c r="B59" s="116" t="s">
        <v>138</v>
      </c>
      <c r="C59" s="117"/>
      <c r="D59" s="117"/>
      <c r="E59" s="117"/>
      <c r="F59" s="118"/>
      <c r="G59" s="18">
        <v>1</v>
      </c>
      <c r="H59" s="18" t="s">
        <v>139</v>
      </c>
      <c r="I59" s="18" t="s">
        <v>139</v>
      </c>
      <c r="J59" s="18" t="s">
        <v>139</v>
      </c>
      <c r="K59" s="116"/>
      <c r="L59" s="117"/>
      <c r="M59" s="117"/>
      <c r="N59" s="117"/>
      <c r="O59" s="117"/>
      <c r="P59" s="117"/>
      <c r="Q59" s="118"/>
      <c r="R59" s="18"/>
      <c r="S59" s="18"/>
      <c r="T59" s="18"/>
      <c r="U59" s="18"/>
    </row>
    <row r="60" spans="1:21" ht="18" customHeight="1" x14ac:dyDescent="0.15">
      <c r="A60" s="3"/>
      <c r="B60" s="110"/>
      <c r="C60" s="111"/>
      <c r="D60" s="111"/>
      <c r="E60" s="111"/>
      <c r="F60" s="112"/>
      <c r="G60" s="19"/>
      <c r="H60" s="19"/>
      <c r="I60" s="19"/>
      <c r="J60" s="19"/>
      <c r="K60" s="110"/>
      <c r="L60" s="111"/>
      <c r="M60" s="111"/>
      <c r="N60" s="111"/>
      <c r="O60" s="111"/>
      <c r="P60" s="111"/>
      <c r="Q60" s="112"/>
      <c r="R60" s="19"/>
      <c r="S60" s="19"/>
      <c r="T60" s="19"/>
      <c r="U60" s="19"/>
    </row>
    <row r="61" spans="1:21" ht="18" customHeight="1" x14ac:dyDescent="0.15">
      <c r="A61" s="3"/>
      <c r="B61" s="110"/>
      <c r="C61" s="111"/>
      <c r="D61" s="111"/>
      <c r="E61" s="111"/>
      <c r="F61" s="112"/>
      <c r="G61" s="19"/>
      <c r="H61" s="19"/>
      <c r="I61" s="19"/>
      <c r="J61" s="19"/>
      <c r="K61" s="110"/>
      <c r="L61" s="111"/>
      <c r="M61" s="111"/>
      <c r="N61" s="111"/>
      <c r="O61" s="111"/>
      <c r="P61" s="111"/>
      <c r="Q61" s="112"/>
      <c r="R61" s="19"/>
      <c r="S61" s="19"/>
      <c r="T61" s="19"/>
      <c r="U61" s="19"/>
    </row>
    <row r="62" spans="1:21" ht="18" customHeight="1" x14ac:dyDescent="0.15">
      <c r="A62" s="3"/>
      <c r="B62" s="110"/>
      <c r="C62" s="111"/>
      <c r="D62" s="111"/>
      <c r="E62" s="111"/>
      <c r="F62" s="112"/>
      <c r="G62" s="19"/>
      <c r="H62" s="19"/>
      <c r="I62" s="19"/>
      <c r="J62" s="19"/>
      <c r="K62" s="110"/>
      <c r="L62" s="111"/>
      <c r="M62" s="111"/>
      <c r="N62" s="111"/>
      <c r="O62" s="111"/>
      <c r="P62" s="111"/>
      <c r="Q62" s="112"/>
      <c r="R62" s="19"/>
      <c r="S62" s="19"/>
      <c r="T62" s="19"/>
      <c r="U62" s="19"/>
    </row>
    <row r="63" spans="1:21" ht="18" customHeight="1" x14ac:dyDescent="0.15">
      <c r="A63" s="3"/>
      <c r="B63" s="110"/>
      <c r="C63" s="111"/>
      <c r="D63" s="111"/>
      <c r="E63" s="111"/>
      <c r="F63" s="112"/>
      <c r="G63" s="19"/>
      <c r="H63" s="19"/>
      <c r="I63" s="19"/>
      <c r="J63" s="19"/>
      <c r="K63" s="110"/>
      <c r="L63" s="111"/>
      <c r="M63" s="111"/>
      <c r="N63" s="111"/>
      <c r="O63" s="111"/>
      <c r="P63" s="111"/>
      <c r="Q63" s="112"/>
      <c r="R63" s="19"/>
      <c r="S63" s="19"/>
      <c r="T63" s="19"/>
      <c r="U63" s="19"/>
    </row>
    <row r="64" spans="1:21" ht="18" customHeight="1" x14ac:dyDescent="0.15">
      <c r="A64" s="3"/>
      <c r="B64" s="110"/>
      <c r="C64" s="111"/>
      <c r="D64" s="111"/>
      <c r="E64" s="111"/>
      <c r="F64" s="112"/>
      <c r="G64" s="19"/>
      <c r="H64" s="19"/>
      <c r="I64" s="19"/>
      <c r="J64" s="19"/>
      <c r="K64" s="110"/>
      <c r="L64" s="111"/>
      <c r="M64" s="111"/>
      <c r="N64" s="111"/>
      <c r="O64" s="111"/>
      <c r="P64" s="111"/>
      <c r="Q64" s="112"/>
      <c r="R64" s="19"/>
      <c r="S64" s="19"/>
      <c r="T64" s="19"/>
      <c r="U64" s="19"/>
    </row>
    <row r="65" spans="1:21" ht="18" customHeight="1" x14ac:dyDescent="0.15">
      <c r="A65" s="3"/>
      <c r="B65" s="113"/>
      <c r="C65" s="114"/>
      <c r="D65" s="114"/>
      <c r="E65" s="114"/>
      <c r="F65" s="115"/>
      <c r="G65" s="20"/>
      <c r="H65" s="20"/>
      <c r="I65" s="21"/>
      <c r="J65" s="21"/>
      <c r="K65" s="113"/>
      <c r="L65" s="114"/>
      <c r="M65" s="114"/>
      <c r="N65" s="114"/>
      <c r="O65" s="114"/>
      <c r="P65" s="114"/>
      <c r="Q65" s="115"/>
      <c r="R65" s="20"/>
      <c r="S65" s="20"/>
      <c r="T65" s="21"/>
      <c r="U65" s="21"/>
    </row>
    <row r="66" spans="1:21" ht="7.5" customHeight="1" x14ac:dyDescent="0.15">
      <c r="B66" s="14"/>
      <c r="C66" s="14"/>
      <c r="D66" s="14"/>
      <c r="E66" s="14"/>
      <c r="F66" s="14"/>
      <c r="G66" s="14"/>
      <c r="H66" s="14"/>
      <c r="I66" s="14"/>
      <c r="J66" s="14"/>
      <c r="K66" s="14"/>
      <c r="L66" s="14"/>
      <c r="M66" s="14"/>
      <c r="N66" s="14"/>
      <c r="O66" s="14"/>
      <c r="P66" s="14"/>
      <c r="Q66" s="14"/>
      <c r="R66" s="14"/>
      <c r="S66" s="14"/>
      <c r="T66" s="14"/>
    </row>
    <row r="67" spans="1:21" ht="18" customHeight="1" x14ac:dyDescent="0.15">
      <c r="A67" s="119" t="s">
        <v>106</v>
      </c>
      <c r="B67" s="119"/>
      <c r="C67" s="119"/>
      <c r="D67" s="119"/>
      <c r="E67" s="119"/>
      <c r="F67" s="119"/>
      <c r="G67" s="119"/>
      <c r="H67" s="119"/>
      <c r="I67" s="119"/>
      <c r="J67" s="119"/>
      <c r="K67" s="119"/>
      <c r="L67" s="119"/>
      <c r="M67" s="119"/>
      <c r="N67" s="119"/>
      <c r="O67" s="119"/>
      <c r="P67" s="119"/>
      <c r="Q67" s="119"/>
      <c r="R67" s="119"/>
      <c r="S67" s="119"/>
      <c r="T67" s="119"/>
      <c r="U67" s="119"/>
    </row>
    <row r="68" spans="1:21" ht="18" customHeight="1" x14ac:dyDescent="0.15">
      <c r="A68" s="119"/>
      <c r="B68" s="119"/>
      <c r="C68" s="119"/>
      <c r="D68" s="119"/>
      <c r="E68" s="119"/>
      <c r="F68" s="119"/>
      <c r="G68" s="119"/>
      <c r="H68" s="119"/>
      <c r="I68" s="119"/>
      <c r="J68" s="119"/>
      <c r="K68" s="119"/>
      <c r="L68" s="119"/>
      <c r="M68" s="119"/>
      <c r="N68" s="119"/>
      <c r="O68" s="119"/>
      <c r="P68" s="119"/>
      <c r="Q68" s="119"/>
      <c r="R68" s="119"/>
      <c r="S68" s="119"/>
      <c r="T68" s="119"/>
      <c r="U68" s="119"/>
    </row>
    <row r="69" spans="1:21" ht="18" customHeight="1" x14ac:dyDescent="0.15">
      <c r="B69" s="107" t="s">
        <v>52</v>
      </c>
      <c r="C69" s="108"/>
      <c r="D69" s="108"/>
      <c r="E69" s="108"/>
      <c r="F69" s="51" t="s">
        <v>78</v>
      </c>
      <c r="G69" s="50" t="s">
        <v>81</v>
      </c>
      <c r="H69" s="17" t="s">
        <v>93</v>
      </c>
      <c r="I69" s="17" t="s">
        <v>73</v>
      </c>
      <c r="J69" s="17" t="s">
        <v>74</v>
      </c>
      <c r="K69" s="107" t="s">
        <v>52</v>
      </c>
      <c r="L69" s="108"/>
      <c r="M69" s="108"/>
      <c r="N69" s="108"/>
      <c r="O69" s="108"/>
      <c r="P69" s="109"/>
      <c r="Q69" s="51" t="s">
        <v>78</v>
      </c>
      <c r="R69" s="50" t="s">
        <v>81</v>
      </c>
      <c r="S69" s="17" t="s">
        <v>93</v>
      </c>
      <c r="T69" s="17" t="s">
        <v>73</v>
      </c>
      <c r="U69" s="17" t="s">
        <v>74</v>
      </c>
    </row>
    <row r="70" spans="1:21" ht="18" customHeight="1" x14ac:dyDescent="0.15">
      <c r="A70" s="3"/>
      <c r="B70" s="116" t="s">
        <v>138</v>
      </c>
      <c r="C70" s="117"/>
      <c r="D70" s="117"/>
      <c r="E70" s="117"/>
      <c r="F70" s="18">
        <v>1</v>
      </c>
      <c r="G70" s="18" t="s">
        <v>139</v>
      </c>
      <c r="H70" s="18" t="s">
        <v>139</v>
      </c>
      <c r="I70" s="18" t="s">
        <v>139</v>
      </c>
      <c r="J70" s="18" t="s">
        <v>139</v>
      </c>
      <c r="K70" s="116"/>
      <c r="L70" s="117"/>
      <c r="M70" s="117"/>
      <c r="N70" s="117"/>
      <c r="O70" s="117"/>
      <c r="P70" s="118"/>
      <c r="Q70" s="18"/>
      <c r="R70" s="18"/>
      <c r="S70" s="18"/>
      <c r="T70" s="18"/>
      <c r="U70" s="18"/>
    </row>
    <row r="71" spans="1:21" ht="18" customHeight="1" x14ac:dyDescent="0.15">
      <c r="A71" s="3"/>
      <c r="B71" s="110"/>
      <c r="C71" s="111"/>
      <c r="D71" s="111"/>
      <c r="E71" s="111"/>
      <c r="F71" s="19"/>
      <c r="G71" s="19"/>
      <c r="H71" s="19"/>
      <c r="I71" s="19"/>
      <c r="J71" s="19"/>
      <c r="K71" s="110"/>
      <c r="L71" s="111"/>
      <c r="M71" s="111"/>
      <c r="N71" s="111"/>
      <c r="O71" s="111"/>
      <c r="P71" s="112"/>
      <c r="Q71" s="19"/>
      <c r="R71" s="19"/>
      <c r="S71" s="19"/>
      <c r="T71" s="19"/>
      <c r="U71" s="19"/>
    </row>
    <row r="72" spans="1:21" ht="18" customHeight="1" x14ac:dyDescent="0.15">
      <c r="A72" s="3"/>
      <c r="B72" s="110"/>
      <c r="C72" s="111"/>
      <c r="D72" s="111"/>
      <c r="E72" s="111"/>
      <c r="F72" s="19"/>
      <c r="G72" s="19"/>
      <c r="H72" s="19"/>
      <c r="I72" s="19"/>
      <c r="J72" s="19"/>
      <c r="K72" s="110"/>
      <c r="L72" s="111"/>
      <c r="M72" s="111"/>
      <c r="N72" s="111"/>
      <c r="O72" s="111"/>
      <c r="P72" s="112"/>
      <c r="Q72" s="19"/>
      <c r="R72" s="19"/>
      <c r="S72" s="19"/>
      <c r="T72" s="19"/>
      <c r="U72" s="19"/>
    </row>
    <row r="73" spans="1:21" ht="18" customHeight="1" x14ac:dyDescent="0.15">
      <c r="A73" s="3"/>
      <c r="B73" s="110"/>
      <c r="C73" s="111"/>
      <c r="D73" s="111"/>
      <c r="E73" s="111"/>
      <c r="F73" s="19"/>
      <c r="G73" s="19"/>
      <c r="H73" s="19"/>
      <c r="I73" s="19"/>
      <c r="J73" s="19"/>
      <c r="K73" s="110"/>
      <c r="L73" s="111"/>
      <c r="M73" s="111"/>
      <c r="N73" s="111"/>
      <c r="O73" s="111"/>
      <c r="P73" s="112"/>
      <c r="Q73" s="19"/>
      <c r="R73" s="19"/>
      <c r="S73" s="19"/>
      <c r="T73" s="19"/>
      <c r="U73" s="19"/>
    </row>
    <row r="74" spans="1:21" ht="18" customHeight="1" x14ac:dyDescent="0.15">
      <c r="A74" s="3"/>
      <c r="B74" s="110"/>
      <c r="C74" s="111"/>
      <c r="D74" s="111"/>
      <c r="E74" s="111"/>
      <c r="F74" s="19"/>
      <c r="G74" s="19"/>
      <c r="H74" s="19"/>
      <c r="I74" s="19"/>
      <c r="J74" s="19"/>
      <c r="K74" s="110"/>
      <c r="L74" s="111"/>
      <c r="M74" s="111"/>
      <c r="N74" s="111"/>
      <c r="O74" s="111"/>
      <c r="P74" s="112"/>
      <c r="Q74" s="19"/>
      <c r="R74" s="19"/>
      <c r="S74" s="19"/>
      <c r="T74" s="19"/>
      <c r="U74" s="19"/>
    </row>
    <row r="75" spans="1:21" ht="18" customHeight="1" x14ac:dyDescent="0.15">
      <c r="A75" s="3"/>
      <c r="B75" s="110"/>
      <c r="C75" s="111"/>
      <c r="D75" s="111"/>
      <c r="E75" s="111"/>
      <c r="F75" s="19"/>
      <c r="G75" s="19"/>
      <c r="H75" s="19"/>
      <c r="I75" s="19"/>
      <c r="J75" s="19"/>
      <c r="K75" s="110"/>
      <c r="L75" s="111"/>
      <c r="M75" s="111"/>
      <c r="N75" s="111"/>
      <c r="O75" s="111"/>
      <c r="P75" s="112"/>
      <c r="Q75" s="19"/>
      <c r="R75" s="19"/>
      <c r="S75" s="19"/>
      <c r="T75" s="19"/>
      <c r="U75" s="19"/>
    </row>
    <row r="76" spans="1:21" ht="18" customHeight="1" x14ac:dyDescent="0.15">
      <c r="A76" s="3"/>
      <c r="B76" s="113"/>
      <c r="C76" s="114"/>
      <c r="D76" s="114"/>
      <c r="E76" s="114"/>
      <c r="F76" s="20"/>
      <c r="G76" s="20"/>
      <c r="H76" s="21"/>
      <c r="I76" s="21"/>
      <c r="J76" s="21"/>
      <c r="K76" s="113"/>
      <c r="L76" s="114"/>
      <c r="M76" s="114"/>
      <c r="N76" s="114"/>
      <c r="O76" s="114"/>
      <c r="P76" s="115"/>
      <c r="Q76" s="20"/>
      <c r="R76" s="20"/>
      <c r="S76" s="21"/>
      <c r="T76" s="21"/>
      <c r="U76" s="21"/>
    </row>
    <row r="77" spans="1:21" ht="7.5" customHeight="1" x14ac:dyDescent="0.15">
      <c r="B77" s="14"/>
      <c r="C77" s="14"/>
      <c r="D77" s="14"/>
      <c r="E77" s="14"/>
      <c r="F77" s="14"/>
      <c r="G77" s="14"/>
      <c r="H77" s="14"/>
      <c r="I77" s="14"/>
      <c r="J77" s="14"/>
      <c r="K77" s="14"/>
      <c r="L77" s="14"/>
      <c r="M77" s="14"/>
      <c r="N77" s="14"/>
      <c r="O77" s="14"/>
      <c r="P77" s="14"/>
      <c r="Q77" s="14"/>
      <c r="R77" s="14"/>
      <c r="S77" s="14"/>
      <c r="T77" s="14"/>
    </row>
    <row r="78" spans="1:21" ht="18" customHeight="1" x14ac:dyDescent="0.15">
      <c r="A78" s="1" t="s">
        <v>107</v>
      </c>
      <c r="I78" s="3"/>
      <c r="J78" s="3"/>
      <c r="K78" s="3"/>
      <c r="L78" s="3"/>
      <c r="M78" s="3"/>
      <c r="N78" s="3"/>
      <c r="O78" s="3"/>
      <c r="P78" s="3"/>
      <c r="Q78" s="3"/>
      <c r="R78" s="3"/>
      <c r="S78" s="3"/>
      <c r="T78" s="3"/>
      <c r="U78" s="3"/>
    </row>
    <row r="79" spans="1:21" ht="18" customHeight="1" x14ac:dyDescent="0.15">
      <c r="B79" s="107" t="s">
        <v>52</v>
      </c>
      <c r="C79" s="108"/>
      <c r="D79" s="108"/>
      <c r="E79" s="108"/>
      <c r="F79" s="109"/>
      <c r="G79" s="107" t="s">
        <v>79</v>
      </c>
      <c r="H79" s="108"/>
      <c r="I79" s="108"/>
      <c r="J79" s="109"/>
      <c r="K79" s="152" t="s">
        <v>52</v>
      </c>
      <c r="L79" s="153"/>
      <c r="M79" s="153"/>
      <c r="N79" s="153"/>
      <c r="O79" s="153"/>
      <c r="P79" s="153"/>
      <c r="Q79" s="154"/>
      <c r="R79" s="107" t="s">
        <v>79</v>
      </c>
      <c r="S79" s="108"/>
      <c r="T79" s="108"/>
      <c r="U79" s="109"/>
    </row>
    <row r="80" spans="1:21" ht="18" customHeight="1" x14ac:dyDescent="0.15">
      <c r="A80" s="3"/>
      <c r="B80" s="116" t="s">
        <v>141</v>
      </c>
      <c r="C80" s="117"/>
      <c r="D80" s="117"/>
      <c r="E80" s="117"/>
      <c r="F80" s="118"/>
      <c r="G80" s="155" t="s">
        <v>140</v>
      </c>
      <c r="H80" s="156"/>
      <c r="I80" s="156"/>
      <c r="J80" s="157"/>
      <c r="K80" s="116" t="s">
        <v>155</v>
      </c>
      <c r="L80" s="117"/>
      <c r="M80" s="117"/>
      <c r="N80" s="117"/>
      <c r="O80" s="117"/>
      <c r="P80" s="117"/>
      <c r="Q80" s="118"/>
      <c r="R80" s="155" t="s">
        <v>144</v>
      </c>
      <c r="S80" s="156"/>
      <c r="T80" s="156"/>
      <c r="U80" s="157"/>
    </row>
    <row r="81" spans="1:21" ht="18" customHeight="1" x14ac:dyDescent="0.15">
      <c r="A81" s="3"/>
      <c r="B81" s="110" t="s">
        <v>142</v>
      </c>
      <c r="C81" s="111"/>
      <c r="D81" s="111"/>
      <c r="E81" s="111"/>
      <c r="F81" s="112"/>
      <c r="G81" s="144" t="s">
        <v>140</v>
      </c>
      <c r="H81" s="145"/>
      <c r="I81" s="145"/>
      <c r="J81" s="146"/>
      <c r="K81" s="110" t="s">
        <v>150</v>
      </c>
      <c r="L81" s="111"/>
      <c r="M81" s="111"/>
      <c r="N81" s="111"/>
      <c r="O81" s="111"/>
      <c r="P81" s="111"/>
      <c r="Q81" s="112"/>
      <c r="R81" s="144" t="s">
        <v>149</v>
      </c>
      <c r="S81" s="145"/>
      <c r="T81" s="145"/>
      <c r="U81" s="146"/>
    </row>
    <row r="82" spans="1:21" ht="18" customHeight="1" x14ac:dyDescent="0.15">
      <c r="A82" s="3"/>
      <c r="B82" s="110" t="s">
        <v>152</v>
      </c>
      <c r="C82" s="111"/>
      <c r="D82" s="111"/>
      <c r="E82" s="111"/>
      <c r="F82" s="112"/>
      <c r="G82" s="144" t="s">
        <v>140</v>
      </c>
      <c r="H82" s="145"/>
      <c r="I82" s="145"/>
      <c r="J82" s="146"/>
      <c r="K82" s="110" t="s">
        <v>147</v>
      </c>
      <c r="L82" s="111"/>
      <c r="M82" s="111"/>
      <c r="N82" s="111"/>
      <c r="O82" s="111"/>
      <c r="P82" s="111"/>
      <c r="Q82" s="112"/>
      <c r="R82" s="144" t="s">
        <v>146</v>
      </c>
      <c r="S82" s="145"/>
      <c r="T82" s="145"/>
      <c r="U82" s="146"/>
    </row>
    <row r="83" spans="1:21" ht="18" customHeight="1" x14ac:dyDescent="0.15">
      <c r="A83" s="3"/>
      <c r="B83" s="110" t="s">
        <v>153</v>
      </c>
      <c r="C83" s="111"/>
      <c r="D83" s="111"/>
      <c r="E83" s="111"/>
      <c r="F83" s="112"/>
      <c r="G83" s="144" t="s">
        <v>140</v>
      </c>
      <c r="H83" s="145"/>
      <c r="I83" s="145"/>
      <c r="J83" s="146"/>
      <c r="K83" s="110" t="s">
        <v>156</v>
      </c>
      <c r="L83" s="111"/>
      <c r="M83" s="111"/>
      <c r="N83" s="111"/>
      <c r="O83" s="111"/>
      <c r="P83" s="111"/>
      <c r="Q83" s="112"/>
      <c r="R83" s="144" t="s">
        <v>146</v>
      </c>
      <c r="S83" s="145"/>
      <c r="T83" s="145"/>
      <c r="U83" s="146"/>
    </row>
    <row r="84" spans="1:21" ht="18" customHeight="1" x14ac:dyDescent="0.15">
      <c r="A84" s="3"/>
      <c r="B84" s="110" t="s">
        <v>154</v>
      </c>
      <c r="C84" s="111"/>
      <c r="D84" s="111"/>
      <c r="E84" s="111"/>
      <c r="F84" s="112"/>
      <c r="G84" s="144" t="s">
        <v>140</v>
      </c>
      <c r="H84" s="145"/>
      <c r="I84" s="145"/>
      <c r="J84" s="146"/>
      <c r="K84" s="110" t="s">
        <v>157</v>
      </c>
      <c r="L84" s="111"/>
      <c r="M84" s="111"/>
      <c r="N84" s="111"/>
      <c r="O84" s="111"/>
      <c r="P84" s="111"/>
      <c r="Q84" s="112"/>
      <c r="R84" s="144" t="s">
        <v>148</v>
      </c>
      <c r="S84" s="145"/>
      <c r="T84" s="145"/>
      <c r="U84" s="146"/>
    </row>
    <row r="85" spans="1:21" ht="18" customHeight="1" x14ac:dyDescent="0.15">
      <c r="A85" s="3"/>
      <c r="B85" s="110" t="s">
        <v>151</v>
      </c>
      <c r="C85" s="111"/>
      <c r="D85" s="111"/>
      <c r="E85" s="111"/>
      <c r="F85" s="112"/>
      <c r="G85" s="144" t="s">
        <v>143</v>
      </c>
      <c r="H85" s="145"/>
      <c r="I85" s="145"/>
      <c r="J85" s="146"/>
      <c r="K85" s="110" t="s">
        <v>158</v>
      </c>
      <c r="L85" s="111"/>
      <c r="M85" s="111"/>
      <c r="N85" s="111"/>
      <c r="O85" s="111"/>
      <c r="P85" s="111"/>
      <c r="Q85" s="112"/>
      <c r="R85" s="144" t="s">
        <v>148</v>
      </c>
      <c r="S85" s="145"/>
      <c r="T85" s="145"/>
      <c r="U85" s="146"/>
    </row>
    <row r="86" spans="1:21" ht="18" customHeight="1" x14ac:dyDescent="0.15">
      <c r="A86" s="3"/>
      <c r="B86" s="113" t="s">
        <v>145</v>
      </c>
      <c r="C86" s="114"/>
      <c r="D86" s="114"/>
      <c r="E86" s="114"/>
      <c r="F86" s="115"/>
      <c r="G86" s="141" t="s">
        <v>144</v>
      </c>
      <c r="H86" s="142"/>
      <c r="I86" s="142"/>
      <c r="J86" s="143"/>
      <c r="K86" s="113" t="s">
        <v>181</v>
      </c>
      <c r="L86" s="114"/>
      <c r="M86" s="114"/>
      <c r="N86" s="114"/>
      <c r="O86" s="114"/>
      <c r="P86" s="114"/>
      <c r="Q86" s="115"/>
      <c r="R86" s="141"/>
      <c r="S86" s="142"/>
      <c r="T86" s="142"/>
      <c r="U86" s="143"/>
    </row>
    <row r="87" spans="1:21" ht="18" customHeight="1" x14ac:dyDescent="0.15">
      <c r="A87" s="3"/>
      <c r="B87" s="6"/>
      <c r="C87" s="6"/>
      <c r="D87" s="6"/>
      <c r="E87" s="6"/>
      <c r="F87" s="6"/>
      <c r="G87" s="22"/>
      <c r="H87" s="22"/>
      <c r="I87" s="22"/>
      <c r="J87" s="22"/>
      <c r="K87" s="6"/>
      <c r="L87" s="6"/>
      <c r="M87" s="6"/>
      <c r="N87" s="6"/>
      <c r="O87" s="6"/>
      <c r="P87" s="6"/>
      <c r="Q87" s="6"/>
      <c r="R87" s="22"/>
      <c r="S87" s="22"/>
      <c r="T87" s="22"/>
      <c r="U87" s="22"/>
    </row>
    <row r="88" spans="1:21" ht="18.75" customHeight="1" x14ac:dyDescent="0.15">
      <c r="A88" s="1" t="s">
        <v>108</v>
      </c>
    </row>
    <row r="89" spans="1:21" ht="18.75" customHeight="1" x14ac:dyDescent="0.15">
      <c r="B89" s="150" t="s">
        <v>53</v>
      </c>
      <c r="C89" s="151"/>
      <c r="D89" s="107" t="s">
        <v>54</v>
      </c>
      <c r="E89" s="108"/>
      <c r="F89" s="108"/>
      <c r="G89" s="108"/>
      <c r="H89" s="108"/>
      <c r="I89" s="108"/>
      <c r="J89" s="108"/>
      <c r="K89" s="108"/>
      <c r="L89" s="108"/>
      <c r="M89" s="108"/>
      <c r="N89" s="108"/>
      <c r="O89" s="108"/>
      <c r="P89" s="108"/>
      <c r="Q89" s="108"/>
      <c r="R89" s="108"/>
      <c r="S89" s="108"/>
      <c r="T89" s="108"/>
      <c r="U89" s="109"/>
    </row>
    <row r="90" spans="1:21" ht="97.5" customHeight="1" x14ac:dyDescent="0.15">
      <c r="B90" s="147" t="s">
        <v>60</v>
      </c>
      <c r="C90" s="23" t="s">
        <v>55</v>
      </c>
      <c r="D90" s="95" t="s">
        <v>177</v>
      </c>
      <c r="E90" s="96"/>
      <c r="F90" s="96"/>
      <c r="G90" s="96"/>
      <c r="H90" s="96"/>
      <c r="I90" s="96"/>
      <c r="J90" s="96"/>
      <c r="K90" s="96"/>
      <c r="L90" s="96"/>
      <c r="M90" s="96"/>
      <c r="N90" s="96"/>
      <c r="O90" s="96"/>
      <c r="P90" s="96"/>
      <c r="Q90" s="96"/>
      <c r="R90" s="96"/>
      <c r="S90" s="96"/>
      <c r="T90" s="96"/>
      <c r="U90" s="97"/>
    </row>
    <row r="91" spans="1:21" ht="60" customHeight="1" x14ac:dyDescent="0.15">
      <c r="B91" s="148"/>
      <c r="C91" s="24" t="s">
        <v>75</v>
      </c>
      <c r="D91" s="92" t="s">
        <v>160</v>
      </c>
      <c r="E91" s="93"/>
      <c r="F91" s="93"/>
      <c r="G91" s="93"/>
      <c r="H91" s="93"/>
      <c r="I91" s="93"/>
      <c r="J91" s="93"/>
      <c r="K91" s="93"/>
      <c r="L91" s="93"/>
      <c r="M91" s="93"/>
      <c r="N91" s="93"/>
      <c r="O91" s="93"/>
      <c r="P91" s="93"/>
      <c r="Q91" s="93"/>
      <c r="R91" s="93"/>
      <c r="S91" s="93"/>
      <c r="T91" s="93"/>
      <c r="U91" s="94"/>
    </row>
    <row r="92" spans="1:21" ht="97.5" customHeight="1" x14ac:dyDescent="0.15">
      <c r="B92" s="147" t="s">
        <v>61</v>
      </c>
      <c r="C92" s="25" t="s">
        <v>69</v>
      </c>
      <c r="D92" s="95" t="s">
        <v>162</v>
      </c>
      <c r="E92" s="96"/>
      <c r="F92" s="96"/>
      <c r="G92" s="96"/>
      <c r="H92" s="96"/>
      <c r="I92" s="96"/>
      <c r="J92" s="96"/>
      <c r="K92" s="96"/>
      <c r="L92" s="96"/>
      <c r="M92" s="96"/>
      <c r="N92" s="96"/>
      <c r="O92" s="96"/>
      <c r="P92" s="96"/>
      <c r="Q92" s="96"/>
      <c r="R92" s="96"/>
      <c r="S92" s="96"/>
      <c r="T92" s="96"/>
      <c r="U92" s="97"/>
    </row>
    <row r="93" spans="1:21" ht="74.25" customHeight="1" x14ac:dyDescent="0.15">
      <c r="B93" s="149"/>
      <c r="C93" s="26" t="s">
        <v>70</v>
      </c>
      <c r="D93" s="92" t="s">
        <v>161</v>
      </c>
      <c r="E93" s="93"/>
      <c r="F93" s="93"/>
      <c r="G93" s="93"/>
      <c r="H93" s="93"/>
      <c r="I93" s="93"/>
      <c r="J93" s="93"/>
      <c r="K93" s="93"/>
      <c r="L93" s="93"/>
      <c r="M93" s="93"/>
      <c r="N93" s="93"/>
      <c r="O93" s="93"/>
      <c r="P93" s="93"/>
      <c r="Q93" s="93"/>
      <c r="R93" s="93"/>
      <c r="S93" s="93"/>
      <c r="T93" s="93"/>
      <c r="U93" s="94"/>
    </row>
    <row r="94" spans="1:21" ht="82.5" customHeight="1" x14ac:dyDescent="0.15">
      <c r="B94" s="147" t="s">
        <v>62</v>
      </c>
      <c r="C94" s="25" t="s">
        <v>71</v>
      </c>
      <c r="D94" s="95" t="s">
        <v>184</v>
      </c>
      <c r="E94" s="96"/>
      <c r="F94" s="96"/>
      <c r="G94" s="96"/>
      <c r="H94" s="96"/>
      <c r="I94" s="96"/>
      <c r="J94" s="96"/>
      <c r="K94" s="96"/>
      <c r="L94" s="96"/>
      <c r="M94" s="96"/>
      <c r="N94" s="96"/>
      <c r="O94" s="96"/>
      <c r="P94" s="96"/>
      <c r="Q94" s="96"/>
      <c r="R94" s="96"/>
      <c r="S94" s="96"/>
      <c r="T94" s="96"/>
      <c r="U94" s="97"/>
    </row>
    <row r="95" spans="1:21" ht="97.5" customHeight="1" x14ac:dyDescent="0.15">
      <c r="B95" s="149"/>
      <c r="C95" s="27" t="s">
        <v>72</v>
      </c>
      <c r="D95" s="92" t="s">
        <v>163</v>
      </c>
      <c r="E95" s="93"/>
      <c r="F95" s="93"/>
      <c r="G95" s="93"/>
      <c r="H95" s="93"/>
      <c r="I95" s="93"/>
      <c r="J95" s="93"/>
      <c r="K95" s="93"/>
      <c r="L95" s="93"/>
      <c r="M95" s="93"/>
      <c r="N95" s="93"/>
      <c r="O95" s="93"/>
      <c r="P95" s="93"/>
      <c r="Q95" s="93"/>
      <c r="R95" s="93"/>
      <c r="S95" s="93"/>
      <c r="T95" s="93"/>
      <c r="U95" s="94"/>
    </row>
    <row r="96" spans="1:21" ht="97.5" customHeight="1" x14ac:dyDescent="0.15">
      <c r="B96" s="147" t="s">
        <v>76</v>
      </c>
      <c r="C96" s="23" t="s">
        <v>57</v>
      </c>
      <c r="D96" s="95" t="s">
        <v>183</v>
      </c>
      <c r="E96" s="96"/>
      <c r="F96" s="96"/>
      <c r="G96" s="96"/>
      <c r="H96" s="96"/>
      <c r="I96" s="96"/>
      <c r="J96" s="96"/>
      <c r="K96" s="96"/>
      <c r="L96" s="96"/>
      <c r="M96" s="96"/>
      <c r="N96" s="96"/>
      <c r="O96" s="96"/>
      <c r="P96" s="96"/>
      <c r="Q96" s="96"/>
      <c r="R96" s="96"/>
      <c r="S96" s="96"/>
      <c r="T96" s="96"/>
      <c r="U96" s="97"/>
    </row>
    <row r="97" spans="1:33" ht="66" customHeight="1" x14ac:dyDescent="0.15">
      <c r="B97" s="149"/>
      <c r="C97" s="26" t="s">
        <v>59</v>
      </c>
      <c r="D97" s="92" t="s">
        <v>164</v>
      </c>
      <c r="E97" s="93"/>
      <c r="F97" s="93"/>
      <c r="G97" s="93"/>
      <c r="H97" s="93"/>
      <c r="I97" s="93"/>
      <c r="J97" s="93"/>
      <c r="K97" s="93"/>
      <c r="L97" s="93"/>
      <c r="M97" s="93"/>
      <c r="N97" s="93"/>
      <c r="O97" s="93"/>
      <c r="P97" s="93"/>
      <c r="Q97" s="93"/>
      <c r="R97" s="93"/>
      <c r="S97" s="93"/>
      <c r="T97" s="93"/>
      <c r="U97" s="94"/>
    </row>
    <row r="98" spans="1:33" ht="145.5" customHeight="1" x14ac:dyDescent="0.15">
      <c r="B98" s="147" t="s">
        <v>77</v>
      </c>
      <c r="C98" s="25" t="s">
        <v>56</v>
      </c>
      <c r="D98" s="95" t="s">
        <v>165</v>
      </c>
      <c r="E98" s="96"/>
      <c r="F98" s="96"/>
      <c r="G98" s="96"/>
      <c r="H98" s="96"/>
      <c r="I98" s="96"/>
      <c r="J98" s="96"/>
      <c r="K98" s="96"/>
      <c r="L98" s="96"/>
      <c r="M98" s="96"/>
      <c r="N98" s="96"/>
      <c r="O98" s="96"/>
      <c r="P98" s="96"/>
      <c r="Q98" s="96"/>
      <c r="R98" s="96"/>
      <c r="S98" s="96"/>
      <c r="T98" s="96"/>
      <c r="U98" s="97"/>
    </row>
    <row r="99" spans="1:33" ht="80.25" customHeight="1" x14ac:dyDescent="0.15">
      <c r="B99" s="148"/>
      <c r="C99" s="28" t="s">
        <v>73</v>
      </c>
      <c r="D99" s="98" t="s">
        <v>166</v>
      </c>
      <c r="E99" s="99"/>
      <c r="F99" s="99"/>
      <c r="G99" s="99"/>
      <c r="H99" s="99"/>
      <c r="I99" s="99"/>
      <c r="J99" s="99"/>
      <c r="K99" s="99"/>
      <c r="L99" s="99"/>
      <c r="M99" s="99"/>
      <c r="N99" s="99"/>
      <c r="O99" s="99"/>
      <c r="P99" s="99"/>
      <c r="Q99" s="99"/>
      <c r="R99" s="99"/>
      <c r="S99" s="99"/>
      <c r="T99" s="99"/>
      <c r="U99" s="100"/>
    </row>
    <row r="100" spans="1:33" ht="71.25" customHeight="1" x14ac:dyDescent="0.15">
      <c r="B100" s="149"/>
      <c r="C100" s="27" t="s">
        <v>74</v>
      </c>
      <c r="D100" s="92" t="s">
        <v>167</v>
      </c>
      <c r="E100" s="93"/>
      <c r="F100" s="93"/>
      <c r="G100" s="93"/>
      <c r="H100" s="93"/>
      <c r="I100" s="93"/>
      <c r="J100" s="93"/>
      <c r="K100" s="93"/>
      <c r="L100" s="93"/>
      <c r="M100" s="93"/>
      <c r="N100" s="93"/>
      <c r="O100" s="93"/>
      <c r="P100" s="93"/>
      <c r="Q100" s="93"/>
      <c r="R100" s="93"/>
      <c r="S100" s="93"/>
      <c r="T100" s="93"/>
      <c r="U100" s="94"/>
    </row>
    <row r="101" spans="1:33" ht="6" customHeight="1" x14ac:dyDescent="0.15"/>
    <row r="102" spans="1:33" ht="18.75" customHeight="1" x14ac:dyDescent="0.15">
      <c r="A102" s="1" t="s">
        <v>109</v>
      </c>
    </row>
    <row r="103" spans="1:33" ht="54" customHeight="1" x14ac:dyDescent="0.15">
      <c r="B103" s="138" t="s">
        <v>159</v>
      </c>
      <c r="C103" s="139"/>
      <c r="D103" s="139"/>
      <c r="E103" s="139"/>
      <c r="F103" s="139"/>
      <c r="G103" s="139"/>
      <c r="H103" s="139"/>
      <c r="I103" s="139"/>
      <c r="J103" s="139"/>
      <c r="K103" s="139"/>
      <c r="L103" s="139"/>
      <c r="M103" s="139"/>
      <c r="N103" s="139"/>
      <c r="O103" s="139"/>
      <c r="P103" s="139"/>
      <c r="Q103" s="139"/>
      <c r="R103" s="139"/>
      <c r="S103" s="139"/>
      <c r="T103" s="139"/>
      <c r="U103" s="140"/>
    </row>
    <row r="105" spans="1:33" ht="18.75" customHeight="1" x14ac:dyDescent="0.15">
      <c r="A105" s="74" t="s">
        <v>125</v>
      </c>
      <c r="B105" s="75"/>
      <c r="C105" s="75"/>
      <c r="D105" s="75"/>
      <c r="E105" s="75"/>
      <c r="F105" s="75"/>
      <c r="G105" s="75"/>
      <c r="H105" s="75"/>
      <c r="I105" s="75"/>
      <c r="J105" s="75"/>
      <c r="K105" s="75"/>
      <c r="L105" s="75"/>
      <c r="M105" s="75"/>
      <c r="N105" s="75"/>
      <c r="O105" s="75"/>
      <c r="P105" s="75"/>
      <c r="Q105" s="75"/>
      <c r="R105" s="75"/>
      <c r="S105" s="75"/>
      <c r="T105" s="75"/>
      <c r="U105" s="75"/>
    </row>
    <row r="106" spans="1:33" ht="18.75" customHeight="1" x14ac:dyDescent="0.15">
      <c r="A106" s="74" t="s">
        <v>127</v>
      </c>
      <c r="B106" s="74"/>
      <c r="C106" s="74"/>
      <c r="D106" s="74"/>
      <c r="E106" s="74"/>
      <c r="F106" s="74"/>
      <c r="G106" s="74"/>
      <c r="H106" s="74"/>
      <c r="I106" s="74"/>
      <c r="J106" s="74"/>
      <c r="K106" s="74"/>
      <c r="L106" s="74"/>
      <c r="M106" s="74"/>
      <c r="N106" s="74"/>
      <c r="O106" s="74"/>
      <c r="P106" s="74"/>
      <c r="Q106" s="74"/>
      <c r="R106" s="74"/>
      <c r="S106" s="74"/>
      <c r="T106" s="74"/>
      <c r="U106" s="74"/>
      <c r="V106" s="2"/>
      <c r="W106" s="2"/>
      <c r="X106" s="2"/>
      <c r="Y106" s="2"/>
      <c r="Z106" s="2"/>
      <c r="AA106" s="2"/>
      <c r="AB106" s="2"/>
      <c r="AC106" s="2"/>
      <c r="AD106" s="2"/>
      <c r="AE106" s="2"/>
      <c r="AF106" s="2"/>
      <c r="AG106" s="2"/>
    </row>
    <row r="107" spans="1:33" ht="18.75" customHeight="1" x14ac:dyDescent="0.15">
      <c r="A107" s="74"/>
      <c r="B107" s="91" t="s">
        <v>130</v>
      </c>
      <c r="C107" s="91"/>
      <c r="D107" s="91"/>
      <c r="E107" s="91"/>
      <c r="F107" s="91"/>
      <c r="G107" s="91"/>
      <c r="H107" s="91"/>
      <c r="I107" s="91"/>
      <c r="J107" s="91"/>
      <c r="K107" s="91"/>
      <c r="L107" s="91"/>
      <c r="M107" s="91"/>
      <c r="N107" s="91"/>
      <c r="O107" s="91"/>
      <c r="P107" s="91"/>
      <c r="Q107" s="91"/>
      <c r="R107" s="91"/>
      <c r="S107" s="91"/>
      <c r="T107" s="91"/>
      <c r="U107" s="91"/>
      <c r="V107" s="70"/>
      <c r="W107" s="70"/>
      <c r="X107" s="70"/>
      <c r="Y107" s="70"/>
      <c r="Z107" s="70"/>
      <c r="AA107" s="70"/>
      <c r="AB107" s="70"/>
      <c r="AC107" s="70"/>
      <c r="AD107" s="70"/>
      <c r="AE107" s="70"/>
      <c r="AF107" s="70"/>
      <c r="AG107" s="70"/>
    </row>
    <row r="108" spans="1:33" ht="37.15" customHeight="1" x14ac:dyDescent="0.15">
      <c r="A108" s="74"/>
      <c r="B108" s="91"/>
      <c r="C108" s="91"/>
      <c r="D108" s="91"/>
      <c r="E108" s="91"/>
      <c r="F108" s="91"/>
      <c r="G108" s="91"/>
      <c r="H108" s="91"/>
      <c r="I108" s="91"/>
      <c r="J108" s="91"/>
      <c r="K108" s="91"/>
      <c r="L108" s="91"/>
      <c r="M108" s="91"/>
      <c r="N108" s="91"/>
      <c r="O108" s="91"/>
      <c r="P108" s="91"/>
      <c r="Q108" s="91"/>
      <c r="R108" s="91"/>
      <c r="S108" s="91"/>
      <c r="T108" s="91"/>
      <c r="U108" s="91"/>
      <c r="V108" s="70"/>
      <c r="W108" s="70"/>
      <c r="X108" s="70"/>
      <c r="Y108" s="70"/>
      <c r="Z108" s="70"/>
      <c r="AA108" s="70"/>
      <c r="AB108" s="70"/>
      <c r="AC108" s="70"/>
      <c r="AD108" s="70"/>
      <c r="AE108" s="70"/>
      <c r="AF108" s="70"/>
      <c r="AG108" s="70"/>
    </row>
    <row r="109" spans="1:33" ht="18.75" customHeight="1" x14ac:dyDescent="0.15">
      <c r="A109" s="74"/>
      <c r="B109" s="164" t="s">
        <v>126</v>
      </c>
      <c r="C109" s="164"/>
      <c r="D109" s="164"/>
      <c r="E109" s="164"/>
      <c r="F109" s="164"/>
      <c r="G109" s="164"/>
      <c r="H109" s="164"/>
      <c r="I109" s="164"/>
      <c r="J109" s="164"/>
      <c r="K109" s="164"/>
      <c r="L109" s="164"/>
      <c r="M109" s="164"/>
      <c r="N109" s="164"/>
      <c r="O109" s="164"/>
      <c r="P109" s="164"/>
      <c r="Q109" s="164"/>
      <c r="R109" s="164"/>
      <c r="S109" s="164"/>
      <c r="T109" s="164"/>
      <c r="U109" s="164"/>
      <c r="V109" s="70"/>
      <c r="W109" s="70"/>
      <c r="X109" s="70"/>
      <c r="Y109" s="70"/>
      <c r="Z109" s="70"/>
      <c r="AA109" s="70"/>
      <c r="AB109" s="70"/>
      <c r="AC109" s="70"/>
      <c r="AD109" s="70"/>
      <c r="AE109" s="70"/>
      <c r="AF109" s="70"/>
      <c r="AG109" s="70"/>
    </row>
    <row r="110" spans="1:33" ht="18.75" customHeight="1" x14ac:dyDescent="0.15">
      <c r="A110" s="74"/>
      <c r="B110" s="165" t="s">
        <v>54</v>
      </c>
      <c r="C110" s="165"/>
      <c r="D110" s="165"/>
      <c r="E110" s="165"/>
      <c r="F110" s="165"/>
      <c r="G110" s="165"/>
      <c r="H110" s="165"/>
      <c r="I110" s="165"/>
      <c r="J110" s="165"/>
      <c r="K110" s="165"/>
      <c r="L110" s="165"/>
      <c r="M110" s="165"/>
      <c r="N110" s="165"/>
      <c r="O110" s="165"/>
      <c r="P110" s="165"/>
      <c r="Q110" s="165"/>
      <c r="R110" s="165"/>
      <c r="S110" s="165"/>
      <c r="T110" s="165"/>
      <c r="U110" s="165"/>
      <c r="V110" s="69"/>
      <c r="W110" s="69"/>
      <c r="X110" s="69"/>
      <c r="Y110" s="69"/>
      <c r="Z110" s="69"/>
      <c r="AA110" s="69"/>
      <c r="AB110" s="69"/>
      <c r="AC110" s="69"/>
      <c r="AD110" s="69"/>
      <c r="AE110" s="69"/>
      <c r="AF110" s="69"/>
      <c r="AG110" s="69"/>
    </row>
    <row r="111" spans="1:33" ht="119.25" customHeight="1" x14ac:dyDescent="0.15">
      <c r="A111" s="74"/>
      <c r="B111" s="166" t="s">
        <v>200</v>
      </c>
      <c r="C111" s="166"/>
      <c r="D111" s="166"/>
      <c r="E111" s="166"/>
      <c r="F111" s="166"/>
      <c r="G111" s="166"/>
      <c r="H111" s="166"/>
      <c r="I111" s="166"/>
      <c r="J111" s="166"/>
      <c r="K111" s="166"/>
      <c r="L111" s="166"/>
      <c r="M111" s="166"/>
      <c r="N111" s="166"/>
      <c r="O111" s="166"/>
      <c r="P111" s="166"/>
      <c r="Q111" s="166"/>
      <c r="R111" s="166"/>
      <c r="S111" s="166"/>
      <c r="T111" s="166"/>
      <c r="U111" s="166"/>
      <c r="V111" s="71"/>
      <c r="W111" s="71"/>
      <c r="X111" s="71"/>
      <c r="Y111" s="71"/>
      <c r="Z111" s="71"/>
      <c r="AA111" s="71"/>
      <c r="AB111" s="71"/>
      <c r="AC111" s="71"/>
      <c r="AD111" s="71"/>
      <c r="AE111" s="71"/>
      <c r="AF111" s="71"/>
      <c r="AG111" s="71"/>
    </row>
    <row r="113" ht="18" customHeight="1" x14ac:dyDescent="0.15"/>
  </sheetData>
  <mergeCells count="148">
    <mergeCell ref="B11:U12"/>
    <mergeCell ref="B109:U109"/>
    <mergeCell ref="R82:U82"/>
    <mergeCell ref="K69:P69"/>
    <mergeCell ref="B64:F64"/>
    <mergeCell ref="B65:F65"/>
    <mergeCell ref="B110:U110"/>
    <mergeCell ref="B111:U111"/>
    <mergeCell ref="K38:Q38"/>
    <mergeCell ref="K39:Q39"/>
    <mergeCell ref="K58:Q58"/>
    <mergeCell ref="K59:Q59"/>
    <mergeCell ref="B72:E72"/>
    <mergeCell ref="B73:E73"/>
    <mergeCell ref="B39:F39"/>
    <mergeCell ref="B40:F40"/>
    <mergeCell ref="B41:F41"/>
    <mergeCell ref="B42:F42"/>
    <mergeCell ref="B43:F43"/>
    <mergeCell ref="K48:Q48"/>
    <mergeCell ref="K49:Q49"/>
    <mergeCell ref="K50:Q50"/>
    <mergeCell ref="K51:Q51"/>
    <mergeCell ref="K52:Q52"/>
    <mergeCell ref="K76:P76"/>
    <mergeCell ref="A67:U68"/>
    <mergeCell ref="K80:Q80"/>
    <mergeCell ref="R80:U80"/>
    <mergeCell ref="R79:U79"/>
    <mergeCell ref="B80:F80"/>
    <mergeCell ref="K60:Q60"/>
    <mergeCell ref="B79:F79"/>
    <mergeCell ref="G80:J80"/>
    <mergeCell ref="B61:F61"/>
    <mergeCell ref="B62:F62"/>
    <mergeCell ref="B63:F63"/>
    <mergeCell ref="B92:B93"/>
    <mergeCell ref="R83:U83"/>
    <mergeCell ref="G79:J79"/>
    <mergeCell ref="K79:Q79"/>
    <mergeCell ref="B70:E70"/>
    <mergeCell ref="B71:E71"/>
    <mergeCell ref="K54:Q54"/>
    <mergeCell ref="B94:B95"/>
    <mergeCell ref="B90:B91"/>
    <mergeCell ref="K70:P70"/>
    <mergeCell ref="K71:P71"/>
    <mergeCell ref="K72:P72"/>
    <mergeCell ref="B83:F83"/>
    <mergeCell ref="G82:J82"/>
    <mergeCell ref="G83:J83"/>
    <mergeCell ref="K82:Q82"/>
    <mergeCell ref="K83:Q83"/>
    <mergeCell ref="B74:E74"/>
    <mergeCell ref="B75:E75"/>
    <mergeCell ref="B76:E76"/>
    <mergeCell ref="K73:P73"/>
    <mergeCell ref="K74:P74"/>
    <mergeCell ref="K75:P75"/>
    <mergeCell ref="A56:U57"/>
    <mergeCell ref="A5:U5"/>
    <mergeCell ref="B14:U19"/>
    <mergeCell ref="A23:U24"/>
    <mergeCell ref="K86:Q86"/>
    <mergeCell ref="B103:U103"/>
    <mergeCell ref="R86:U86"/>
    <mergeCell ref="B81:F81"/>
    <mergeCell ref="G81:J81"/>
    <mergeCell ref="K81:Q81"/>
    <mergeCell ref="R81:U81"/>
    <mergeCell ref="B84:F84"/>
    <mergeCell ref="G84:J84"/>
    <mergeCell ref="K84:Q84"/>
    <mergeCell ref="R84:U84"/>
    <mergeCell ref="B82:F82"/>
    <mergeCell ref="B85:F85"/>
    <mergeCell ref="G85:J85"/>
    <mergeCell ref="K85:Q85"/>
    <mergeCell ref="R85:U85"/>
    <mergeCell ref="B86:F86"/>
    <mergeCell ref="G86:J86"/>
    <mergeCell ref="B98:B100"/>
    <mergeCell ref="B96:B97"/>
    <mergeCell ref="B89:C89"/>
    <mergeCell ref="A34:U35"/>
    <mergeCell ref="B36:F36"/>
    <mergeCell ref="B37:F37"/>
    <mergeCell ref="B38:F38"/>
    <mergeCell ref="B58:F58"/>
    <mergeCell ref="T1:U1"/>
    <mergeCell ref="B25:F25"/>
    <mergeCell ref="B26:F26"/>
    <mergeCell ref="B27:F27"/>
    <mergeCell ref="B28:F28"/>
    <mergeCell ref="B29:F29"/>
    <mergeCell ref="B30:F30"/>
    <mergeCell ref="B31:F31"/>
    <mergeCell ref="B32:F32"/>
    <mergeCell ref="K25:Q25"/>
    <mergeCell ref="K26:Q26"/>
    <mergeCell ref="K27:Q27"/>
    <mergeCell ref="K28:Q28"/>
    <mergeCell ref="K29:Q29"/>
    <mergeCell ref="K30:Q30"/>
    <mergeCell ref="K31:Q31"/>
    <mergeCell ref="K32:Q32"/>
    <mergeCell ref="C2:J2"/>
    <mergeCell ref="C3:J3"/>
    <mergeCell ref="K47:Q47"/>
    <mergeCell ref="B50:F50"/>
    <mergeCell ref="K37:Q37"/>
    <mergeCell ref="B51:F51"/>
    <mergeCell ref="B52:F52"/>
    <mergeCell ref="B53:F53"/>
    <mergeCell ref="B54:F54"/>
    <mergeCell ref="K41:Q41"/>
    <mergeCell ref="K42:Q42"/>
    <mergeCell ref="K43:Q43"/>
    <mergeCell ref="A45:U46"/>
    <mergeCell ref="K40:Q40"/>
    <mergeCell ref="B47:F47"/>
    <mergeCell ref="B48:F48"/>
    <mergeCell ref="B49:F49"/>
    <mergeCell ref="K53:Q53"/>
    <mergeCell ref="B107:U108"/>
    <mergeCell ref="D97:U97"/>
    <mergeCell ref="D98:U98"/>
    <mergeCell ref="D99:U99"/>
    <mergeCell ref="D100:U100"/>
    <mergeCell ref="N21:U21"/>
    <mergeCell ref="L7:U7"/>
    <mergeCell ref="D89:U89"/>
    <mergeCell ref="D90:U90"/>
    <mergeCell ref="D91:U91"/>
    <mergeCell ref="D92:U92"/>
    <mergeCell ref="D93:U93"/>
    <mergeCell ref="D94:U94"/>
    <mergeCell ref="D95:U95"/>
    <mergeCell ref="D96:U96"/>
    <mergeCell ref="K61:Q61"/>
    <mergeCell ref="K62:Q62"/>
    <mergeCell ref="K63:Q63"/>
    <mergeCell ref="K64:Q64"/>
    <mergeCell ref="K65:Q65"/>
    <mergeCell ref="B69:E69"/>
    <mergeCell ref="B59:F59"/>
    <mergeCell ref="B60:F60"/>
    <mergeCell ref="K36:Q36"/>
  </mergeCells>
  <phoneticPr fontId="1"/>
  <dataValidations count="5">
    <dataValidation type="list" allowBlank="1" showInputMessage="1" showErrorMessage="1" sqref="H26:J32 S26:U32 H37:J43 S37:U43 H48:J54 S48:U54 H59:J65 S59:U65 G70:J76 R70:U76" xr:uid="{4C0986EB-3601-4249-85F7-B678A400A117}">
      <formula1>"○"</formula1>
    </dataValidation>
    <dataValidation type="list" allowBlank="1" showInputMessage="1" showErrorMessage="1" sqref="U33 U44 E33:H33 E44:H44" xr:uid="{CC907DDE-86DC-4E68-BFF5-E920A71A96A6}">
      <formula1>"全学開講,一部開講"</formula1>
    </dataValidation>
    <dataValidation type="list" allowBlank="1" showInputMessage="1" showErrorMessage="1" sqref="L13 L7:U7" xr:uid="{7B985F3C-9687-4C99-93D5-E4589130E2EC}">
      <formula1>"学部・学科によって、修了要件は相違する,学部・学科によって、修了要件は相違しない"</formula1>
    </dataValidation>
    <dataValidation type="list" allowBlank="1" showInputMessage="1" showErrorMessage="1" sqref="G80:G87 R80:R87 H80:J81 H84:J87 S84:U87 S80:U8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1:U21" xr:uid="{8D0781BD-BB46-47E4-B306-E5D299761C76}">
      <formula1>$X$15:$X$17</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6" max="20" man="1"/>
    <brk id="95"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19"/>
  <sheetViews>
    <sheetView view="pageBreakPreview" zoomScale="120" zoomScaleNormal="100" zoomScaleSheetLayoutView="120" workbookViewId="0">
      <selection activeCell="C6" sqref="C6"/>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98</v>
      </c>
    </row>
    <row r="2" spans="1:21" ht="18" customHeight="1" x14ac:dyDescent="0.15">
      <c r="A2" s="75"/>
      <c r="B2" s="75"/>
      <c r="C2" s="75"/>
      <c r="D2" s="75"/>
      <c r="E2" s="75"/>
      <c r="F2" s="75"/>
      <c r="G2" s="75"/>
      <c r="H2" s="75"/>
      <c r="I2" s="75"/>
      <c r="J2" s="75"/>
      <c r="K2" s="75"/>
      <c r="L2" s="75"/>
      <c r="M2" s="75"/>
      <c r="N2" s="75"/>
      <c r="O2" s="75"/>
      <c r="P2" s="75"/>
      <c r="Q2" s="168" t="str">
        <f>'様式１　プログラムを構成する授業科目'!C2</f>
        <v>鈴鹿医療科学大学</v>
      </c>
      <c r="R2" s="168"/>
      <c r="S2" s="168"/>
    </row>
    <row r="3" spans="1:21" ht="18" customHeight="1" x14ac:dyDescent="0.15">
      <c r="A3" s="127" t="s">
        <v>47</v>
      </c>
      <c r="B3" s="127"/>
      <c r="C3" s="127"/>
      <c r="D3" s="127"/>
      <c r="E3" s="127"/>
      <c r="F3" s="127"/>
      <c r="G3" s="127"/>
      <c r="H3" s="127"/>
      <c r="I3" s="127"/>
      <c r="J3" s="127"/>
      <c r="K3" s="127"/>
      <c r="L3" s="127"/>
      <c r="M3" s="127"/>
      <c r="N3" s="127"/>
      <c r="O3" s="127"/>
      <c r="P3" s="127"/>
      <c r="Q3" s="127"/>
      <c r="R3" s="127"/>
      <c r="S3" s="127"/>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80</v>
      </c>
      <c r="B5" s="75"/>
      <c r="C5" s="169" t="s">
        <v>185</v>
      </c>
      <c r="D5" s="170"/>
      <c r="E5" s="80" t="s">
        <v>51</v>
      </c>
      <c r="F5" s="80"/>
      <c r="G5" s="80"/>
      <c r="H5" s="80"/>
      <c r="I5" s="80"/>
      <c r="J5" s="80"/>
      <c r="K5" s="80"/>
      <c r="L5" s="80"/>
      <c r="M5" s="80"/>
      <c r="N5" s="80"/>
      <c r="O5" s="80"/>
      <c r="P5" s="80"/>
      <c r="Q5" s="80"/>
      <c r="R5" s="78"/>
      <c r="S5" s="78"/>
    </row>
    <row r="6" spans="1:21" ht="7.15" customHeight="1" x14ac:dyDescent="0.15">
      <c r="A6" s="75"/>
      <c r="B6" s="75"/>
      <c r="C6" s="85"/>
      <c r="D6" s="85"/>
      <c r="E6" s="80"/>
      <c r="F6" s="80"/>
      <c r="G6" s="80"/>
      <c r="H6" s="80"/>
      <c r="I6" s="80"/>
      <c r="J6" s="80"/>
      <c r="K6" s="80"/>
      <c r="L6" s="80"/>
      <c r="M6" s="80"/>
      <c r="N6" s="80"/>
      <c r="O6" s="80"/>
      <c r="P6" s="80"/>
      <c r="Q6" s="80"/>
      <c r="R6" s="78"/>
      <c r="S6" s="78"/>
    </row>
    <row r="7" spans="1:21" ht="18" customHeight="1" x14ac:dyDescent="0.15">
      <c r="A7" s="75" t="s">
        <v>118</v>
      </c>
      <c r="B7" s="75"/>
      <c r="C7" s="85"/>
      <c r="D7" s="85"/>
      <c r="E7" s="80" t="s">
        <v>119</v>
      </c>
      <c r="F7" s="83">
        <v>1324</v>
      </c>
      <c r="G7" s="81" t="s">
        <v>120</v>
      </c>
      <c r="H7" s="80" t="s">
        <v>121</v>
      </c>
      <c r="I7" s="83">
        <v>1526</v>
      </c>
      <c r="J7" s="81" t="s">
        <v>120</v>
      </c>
      <c r="K7" s="77" t="s">
        <v>122</v>
      </c>
      <c r="L7" s="80" t="s">
        <v>123</v>
      </c>
      <c r="M7" s="83">
        <f>F7+I7</f>
        <v>2850</v>
      </c>
      <c r="N7" s="80" t="s">
        <v>1</v>
      </c>
      <c r="O7" s="81" t="s">
        <v>124</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134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1" t="s">
        <v>44</v>
      </c>
      <c r="C11" s="181" t="s">
        <v>83</v>
      </c>
      <c r="D11" s="173" t="s">
        <v>46</v>
      </c>
      <c r="E11" s="175" t="s">
        <v>39</v>
      </c>
      <c r="F11" s="167" t="s">
        <v>112</v>
      </c>
      <c r="G11" s="167"/>
      <c r="H11" s="167" t="s">
        <v>82</v>
      </c>
      <c r="I11" s="167"/>
      <c r="J11" s="167" t="s">
        <v>48</v>
      </c>
      <c r="K11" s="167"/>
      <c r="L11" s="167" t="s">
        <v>49</v>
      </c>
      <c r="M11" s="167"/>
      <c r="N11" s="167" t="s">
        <v>92</v>
      </c>
      <c r="O11" s="167"/>
      <c r="P11" s="167" t="s">
        <v>50</v>
      </c>
      <c r="Q11" s="167"/>
      <c r="R11" s="177" t="s">
        <v>35</v>
      </c>
      <c r="S11" s="179" t="s">
        <v>32</v>
      </c>
      <c r="U11" s="2"/>
    </row>
    <row r="12" spans="1:21" ht="16.899999999999999" customHeight="1" x14ac:dyDescent="0.15">
      <c r="B12" s="172"/>
      <c r="C12" s="182"/>
      <c r="D12" s="174"/>
      <c r="E12" s="176"/>
      <c r="F12" s="63" t="s">
        <v>91</v>
      </c>
      <c r="G12" s="63" t="s">
        <v>29</v>
      </c>
      <c r="H12" s="63" t="s">
        <v>91</v>
      </c>
      <c r="I12" s="63" t="s">
        <v>29</v>
      </c>
      <c r="J12" s="63" t="s">
        <v>91</v>
      </c>
      <c r="K12" s="63" t="s">
        <v>29</v>
      </c>
      <c r="L12" s="63" t="s">
        <v>91</v>
      </c>
      <c r="M12" s="63" t="s">
        <v>29</v>
      </c>
      <c r="N12" s="63" t="s">
        <v>91</v>
      </c>
      <c r="O12" s="63" t="s">
        <v>29</v>
      </c>
      <c r="P12" s="63" t="s">
        <v>91</v>
      </c>
      <c r="Q12" s="64" t="s">
        <v>29</v>
      </c>
      <c r="R12" s="178"/>
      <c r="S12" s="180"/>
      <c r="U12" s="2"/>
    </row>
    <row r="13" spans="1:21" ht="18" customHeight="1" x14ac:dyDescent="0.15">
      <c r="A13" s="6"/>
      <c r="B13" s="65" t="s">
        <v>168</v>
      </c>
      <c r="C13" s="52">
        <v>1628</v>
      </c>
      <c r="D13" s="53">
        <v>400</v>
      </c>
      <c r="E13" s="54">
        <v>1520</v>
      </c>
      <c r="F13" s="88">
        <v>395</v>
      </c>
      <c r="G13" s="54">
        <v>390</v>
      </c>
      <c r="H13" s="54">
        <v>428</v>
      </c>
      <c r="I13" s="54">
        <v>426</v>
      </c>
      <c r="J13" s="54"/>
      <c r="K13" s="54"/>
      <c r="L13" s="54"/>
      <c r="M13" s="54"/>
      <c r="N13" s="54"/>
      <c r="O13" s="54"/>
      <c r="P13" s="54"/>
      <c r="Q13" s="66"/>
      <c r="R13" s="53">
        <f t="shared" ref="R13:R16" si="0">F13+H13+J13+L13+N13+P13</f>
        <v>823</v>
      </c>
      <c r="S13" s="67">
        <f t="shared" ref="S13:S19" si="1">R13/E13</f>
        <v>0.54144736842105268</v>
      </c>
    </row>
    <row r="14" spans="1:21" ht="18" customHeight="1" x14ac:dyDescent="0.15">
      <c r="A14" s="6"/>
      <c r="B14" s="11" t="s">
        <v>169</v>
      </c>
      <c r="C14" s="55">
        <v>297</v>
      </c>
      <c r="D14" s="56">
        <v>80</v>
      </c>
      <c r="E14" s="57">
        <v>310</v>
      </c>
      <c r="F14" s="89">
        <v>60</v>
      </c>
      <c r="G14" s="58">
        <v>57</v>
      </c>
      <c r="H14" s="58">
        <v>78</v>
      </c>
      <c r="I14" s="58">
        <v>78</v>
      </c>
      <c r="J14" s="58"/>
      <c r="K14" s="58"/>
      <c r="L14" s="58"/>
      <c r="M14" s="58"/>
      <c r="N14" s="58"/>
      <c r="O14" s="58"/>
      <c r="P14" s="58"/>
      <c r="Q14" s="55"/>
      <c r="R14" s="56">
        <f t="shared" si="0"/>
        <v>138</v>
      </c>
      <c r="S14" s="16">
        <f t="shared" si="1"/>
        <v>0.44516129032258067</v>
      </c>
    </row>
    <row r="15" spans="1:21" ht="18" customHeight="1" x14ac:dyDescent="0.15">
      <c r="A15" s="6"/>
      <c r="B15" s="11" t="s">
        <v>170</v>
      </c>
      <c r="C15" s="55">
        <v>519</v>
      </c>
      <c r="D15" s="56">
        <v>100</v>
      </c>
      <c r="E15" s="57">
        <v>600</v>
      </c>
      <c r="F15" s="89">
        <v>79</v>
      </c>
      <c r="G15" s="58">
        <v>77</v>
      </c>
      <c r="H15" s="58">
        <v>78</v>
      </c>
      <c r="I15" s="58">
        <v>77</v>
      </c>
      <c r="J15" s="58"/>
      <c r="K15" s="58"/>
      <c r="L15" s="58"/>
      <c r="M15" s="58"/>
      <c r="N15" s="58"/>
      <c r="O15" s="58"/>
      <c r="P15" s="58"/>
      <c r="Q15" s="55"/>
      <c r="R15" s="56">
        <f t="shared" si="0"/>
        <v>157</v>
      </c>
      <c r="S15" s="8">
        <f t="shared" si="1"/>
        <v>0.26166666666666666</v>
      </c>
    </row>
    <row r="16" spans="1:21" ht="18" customHeight="1" x14ac:dyDescent="0.15">
      <c r="A16" s="6"/>
      <c r="B16" s="11" t="s">
        <v>171</v>
      </c>
      <c r="C16" s="55">
        <v>406</v>
      </c>
      <c r="D16" s="56">
        <v>100</v>
      </c>
      <c r="E16" s="57">
        <v>400</v>
      </c>
      <c r="F16" s="89">
        <v>98</v>
      </c>
      <c r="G16" s="58">
        <v>95</v>
      </c>
      <c r="H16" s="58">
        <v>101</v>
      </c>
      <c r="I16" s="58">
        <v>101</v>
      </c>
      <c r="J16" s="58"/>
      <c r="K16" s="58"/>
      <c r="L16" s="58"/>
      <c r="M16" s="58"/>
      <c r="N16" s="58"/>
      <c r="O16" s="58"/>
      <c r="P16" s="58"/>
      <c r="Q16" s="55"/>
      <c r="R16" s="56">
        <f t="shared" si="0"/>
        <v>199</v>
      </c>
      <c r="S16" s="8">
        <f t="shared" si="1"/>
        <v>0.4975</v>
      </c>
    </row>
    <row r="17" spans="1:19" ht="18" customHeight="1" x14ac:dyDescent="0.15">
      <c r="A17" s="6"/>
      <c r="B17" s="11"/>
      <c r="C17" s="55"/>
      <c r="D17" s="56"/>
      <c r="E17" s="57"/>
      <c r="F17" s="87"/>
      <c r="G17" s="58"/>
      <c r="H17" s="58"/>
      <c r="I17" s="58"/>
      <c r="J17" s="58"/>
      <c r="K17" s="58"/>
      <c r="L17" s="58"/>
      <c r="M17" s="58"/>
      <c r="N17" s="58"/>
      <c r="O17" s="58"/>
      <c r="P17" s="58"/>
      <c r="Q17" s="55"/>
      <c r="R17" s="56"/>
      <c r="S17" s="8"/>
    </row>
    <row r="18" spans="1:19" ht="18" customHeight="1" thickBot="1" x14ac:dyDescent="0.2">
      <c r="A18" s="6"/>
      <c r="B18" s="12"/>
      <c r="C18" s="52"/>
      <c r="D18" s="59"/>
      <c r="E18" s="54"/>
      <c r="F18" s="54"/>
      <c r="G18" s="54"/>
      <c r="H18" s="54"/>
      <c r="I18" s="54"/>
      <c r="J18" s="54"/>
      <c r="K18" s="54"/>
      <c r="L18" s="54"/>
      <c r="M18" s="54"/>
      <c r="N18" s="54"/>
      <c r="O18" s="54"/>
      <c r="P18" s="54"/>
      <c r="Q18" s="55"/>
      <c r="R18" s="59"/>
      <c r="S18" s="7"/>
    </row>
    <row r="19" spans="1:19" ht="18" customHeight="1" thickTop="1" x14ac:dyDescent="0.15">
      <c r="B19" s="13" t="s">
        <v>33</v>
      </c>
      <c r="C19" s="60">
        <f t="shared" ref="C19:R19" si="2">SUM(C13:C18)</f>
        <v>2850</v>
      </c>
      <c r="D19" s="61">
        <f t="shared" si="2"/>
        <v>680</v>
      </c>
      <c r="E19" s="62">
        <f t="shared" si="2"/>
        <v>2830</v>
      </c>
      <c r="F19" s="62">
        <f t="shared" si="2"/>
        <v>632</v>
      </c>
      <c r="G19" s="62">
        <f t="shared" si="2"/>
        <v>619</v>
      </c>
      <c r="H19" s="62">
        <f t="shared" si="2"/>
        <v>685</v>
      </c>
      <c r="I19" s="62">
        <f t="shared" si="2"/>
        <v>682</v>
      </c>
      <c r="J19" s="62">
        <f t="shared" si="2"/>
        <v>0</v>
      </c>
      <c r="K19" s="62">
        <f t="shared" si="2"/>
        <v>0</v>
      </c>
      <c r="L19" s="62">
        <f t="shared" si="2"/>
        <v>0</v>
      </c>
      <c r="M19" s="62">
        <f t="shared" si="2"/>
        <v>0</v>
      </c>
      <c r="N19" s="62">
        <f t="shared" si="2"/>
        <v>0</v>
      </c>
      <c r="O19" s="62">
        <f t="shared" si="2"/>
        <v>0</v>
      </c>
      <c r="P19" s="62">
        <f t="shared" si="2"/>
        <v>0</v>
      </c>
      <c r="Q19" s="60">
        <f t="shared" si="2"/>
        <v>0</v>
      </c>
      <c r="R19" s="61">
        <f t="shared" si="2"/>
        <v>1317</v>
      </c>
      <c r="S19" s="9">
        <f t="shared" si="1"/>
        <v>0.46537102473498232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81" zoomScaleNormal="100" zoomScaleSheetLayoutView="100" workbookViewId="0">
      <selection activeCell="B94" sqref="B94:I105"/>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107" t="str">
        <f>'様式１　プログラムを構成する授業科目'!C2</f>
        <v>鈴鹿医療科学大学</v>
      </c>
      <c r="I2" s="109"/>
    </row>
    <row r="3" spans="1:9" ht="18.75" customHeight="1" x14ac:dyDescent="0.15">
      <c r="G3" s="30"/>
      <c r="H3" s="10"/>
      <c r="I3" s="10"/>
    </row>
    <row r="4" spans="1:9" ht="18.600000000000001" customHeight="1" x14ac:dyDescent="0.15">
      <c r="A4" s="211" t="s">
        <v>36</v>
      </c>
      <c r="B4" s="211"/>
      <c r="C4" s="211"/>
      <c r="D4" s="211"/>
      <c r="E4" s="211"/>
      <c r="F4" s="211"/>
      <c r="G4" s="211"/>
      <c r="H4" s="211"/>
      <c r="I4" s="211"/>
    </row>
    <row r="5" spans="1:9" ht="13.15" customHeight="1" x14ac:dyDescent="0.15">
      <c r="B5" s="3"/>
      <c r="C5" s="3"/>
      <c r="D5" s="3"/>
      <c r="E5" s="3"/>
      <c r="F5" s="3"/>
      <c r="G5" s="3"/>
      <c r="H5" s="3"/>
      <c r="I5" s="3"/>
    </row>
    <row r="6" spans="1:9" ht="18" customHeight="1" x14ac:dyDescent="0.15">
      <c r="A6" s="1" t="s">
        <v>0</v>
      </c>
      <c r="B6" s="10" t="s">
        <v>86</v>
      </c>
      <c r="C6" s="234" t="s">
        <v>87</v>
      </c>
      <c r="D6" s="234"/>
      <c r="E6" s="29">
        <v>204</v>
      </c>
      <c r="F6" s="3" t="s">
        <v>1</v>
      </c>
      <c r="G6" s="3" t="s">
        <v>2</v>
      </c>
      <c r="H6" s="29">
        <v>146</v>
      </c>
      <c r="I6" s="10" t="s">
        <v>1</v>
      </c>
    </row>
    <row r="7" spans="1:9" ht="12" customHeight="1" x14ac:dyDescent="0.15">
      <c r="C7" s="2"/>
      <c r="D7" s="2"/>
      <c r="E7" s="2"/>
      <c r="F7" s="2"/>
      <c r="G7" s="2"/>
      <c r="H7" s="2"/>
      <c r="I7" s="33"/>
    </row>
    <row r="8" spans="1:9" ht="18" customHeight="1" x14ac:dyDescent="0.15">
      <c r="A8" s="1" t="s">
        <v>3</v>
      </c>
      <c r="B8" s="10" t="s">
        <v>88</v>
      </c>
      <c r="E8" s="3"/>
      <c r="F8" s="3"/>
      <c r="G8" s="3"/>
      <c r="H8" s="29">
        <v>1</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30.75" customHeight="1" x14ac:dyDescent="0.15">
      <c r="B11" s="30" t="s">
        <v>42</v>
      </c>
      <c r="C11" s="226" t="s">
        <v>172</v>
      </c>
      <c r="D11" s="229"/>
      <c r="E11" s="230"/>
      <c r="F11" s="33"/>
      <c r="G11" s="30" t="s">
        <v>10</v>
      </c>
      <c r="H11" s="233" t="s">
        <v>173</v>
      </c>
      <c r="I11" s="230"/>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26" t="s">
        <v>193</v>
      </c>
      <c r="C14" s="227"/>
      <c r="D14" s="227"/>
      <c r="E14" s="227"/>
      <c r="F14" s="227"/>
      <c r="G14" s="227"/>
      <c r="H14" s="227"/>
      <c r="I14" s="228"/>
    </row>
    <row r="15" spans="1:9" ht="9" customHeight="1" x14ac:dyDescent="0.15">
      <c r="B15" s="3"/>
      <c r="C15" s="3"/>
      <c r="D15" s="3"/>
      <c r="E15" s="3"/>
      <c r="F15" s="3"/>
      <c r="G15" s="3"/>
      <c r="H15" s="3"/>
      <c r="I15" s="3"/>
    </row>
    <row r="16" spans="1:9" ht="18" customHeight="1" x14ac:dyDescent="0.15">
      <c r="B16" s="30" t="s">
        <v>42</v>
      </c>
      <c r="C16" s="226" t="s">
        <v>174</v>
      </c>
      <c r="D16" s="229"/>
      <c r="E16" s="230"/>
      <c r="F16" s="33"/>
      <c r="G16" s="30" t="s">
        <v>10</v>
      </c>
      <c r="H16" s="231" t="s">
        <v>194</v>
      </c>
      <c r="I16" s="232"/>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2" t="s">
        <v>195</v>
      </c>
      <c r="C19" s="213"/>
      <c r="D19" s="213"/>
      <c r="E19" s="213"/>
      <c r="F19" s="213"/>
      <c r="G19" s="213"/>
      <c r="H19" s="213"/>
      <c r="I19" s="21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5" t="s">
        <v>201</v>
      </c>
      <c r="C22" s="216"/>
      <c r="D22" s="216"/>
      <c r="E22" s="216"/>
      <c r="F22" s="216"/>
      <c r="G22" s="216"/>
      <c r="H22" s="216"/>
      <c r="I22" s="217"/>
    </row>
    <row r="23" spans="1:9" ht="18.75" customHeight="1" x14ac:dyDescent="0.15">
      <c r="A23" s="14"/>
      <c r="B23" s="218"/>
      <c r="C23" s="219"/>
      <c r="D23" s="219"/>
      <c r="E23" s="219"/>
      <c r="F23" s="219"/>
      <c r="G23" s="219"/>
      <c r="H23" s="219"/>
      <c r="I23" s="220"/>
    </row>
    <row r="24" spans="1:9" ht="18.75" customHeight="1" x14ac:dyDescent="0.15">
      <c r="A24" s="14"/>
      <c r="B24" s="218"/>
      <c r="C24" s="219"/>
      <c r="D24" s="219"/>
      <c r="E24" s="219"/>
      <c r="F24" s="219"/>
      <c r="G24" s="219"/>
      <c r="H24" s="219"/>
      <c r="I24" s="220"/>
    </row>
    <row r="25" spans="1:9" ht="18.75" customHeight="1" x14ac:dyDescent="0.15">
      <c r="A25" s="14"/>
      <c r="B25" s="218"/>
      <c r="C25" s="219"/>
      <c r="D25" s="219"/>
      <c r="E25" s="219"/>
      <c r="F25" s="219"/>
      <c r="G25" s="219"/>
      <c r="H25" s="219"/>
      <c r="I25" s="220"/>
    </row>
    <row r="26" spans="1:9" ht="18.75" customHeight="1" x14ac:dyDescent="0.15">
      <c r="A26" s="14"/>
      <c r="B26" s="218"/>
      <c r="C26" s="219"/>
      <c r="D26" s="219"/>
      <c r="E26" s="219"/>
      <c r="F26" s="219"/>
      <c r="G26" s="219"/>
      <c r="H26" s="219"/>
      <c r="I26" s="220"/>
    </row>
    <row r="27" spans="1:9" ht="18.75" customHeight="1" x14ac:dyDescent="0.15">
      <c r="A27" s="14"/>
      <c r="B27" s="218"/>
      <c r="C27" s="219"/>
      <c r="D27" s="219"/>
      <c r="E27" s="219"/>
      <c r="F27" s="219"/>
      <c r="G27" s="219"/>
      <c r="H27" s="219"/>
      <c r="I27" s="220"/>
    </row>
    <row r="28" spans="1:9" ht="18.75" customHeight="1" x14ac:dyDescent="0.15">
      <c r="A28" s="14"/>
      <c r="B28" s="218"/>
      <c r="C28" s="219"/>
      <c r="D28" s="219"/>
      <c r="E28" s="219"/>
      <c r="F28" s="219"/>
      <c r="G28" s="219"/>
      <c r="H28" s="219"/>
      <c r="I28" s="220"/>
    </row>
    <row r="29" spans="1:9" ht="18.75" customHeight="1" x14ac:dyDescent="0.15">
      <c r="A29" s="14"/>
      <c r="B29" s="218"/>
      <c r="C29" s="219"/>
      <c r="D29" s="219"/>
      <c r="E29" s="219"/>
      <c r="F29" s="219"/>
      <c r="G29" s="219"/>
      <c r="H29" s="219"/>
      <c r="I29" s="220"/>
    </row>
    <row r="30" spans="1:9" ht="18.75" customHeight="1" x14ac:dyDescent="0.15">
      <c r="A30" s="14"/>
      <c r="B30" s="221"/>
      <c r="C30" s="222"/>
      <c r="D30" s="222"/>
      <c r="E30" s="222"/>
      <c r="F30" s="222"/>
      <c r="G30" s="222"/>
      <c r="H30" s="222"/>
      <c r="I30" s="220"/>
    </row>
    <row r="31" spans="1:9" ht="18.75" customHeight="1" x14ac:dyDescent="0.15">
      <c r="A31" s="14"/>
      <c r="B31" s="221"/>
      <c r="C31" s="222"/>
      <c r="D31" s="222"/>
      <c r="E31" s="222"/>
      <c r="F31" s="222"/>
      <c r="G31" s="222"/>
      <c r="H31" s="222"/>
      <c r="I31" s="220"/>
    </row>
    <row r="32" spans="1:9" ht="81.75" customHeight="1" x14ac:dyDescent="0.15">
      <c r="A32" s="14"/>
      <c r="B32" s="223"/>
      <c r="C32" s="224"/>
      <c r="D32" s="224"/>
      <c r="E32" s="224"/>
      <c r="F32" s="224"/>
      <c r="G32" s="224"/>
      <c r="H32" s="224"/>
      <c r="I32" s="22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5" t="s">
        <v>202</v>
      </c>
      <c r="C35" s="216"/>
      <c r="D35" s="216"/>
      <c r="E35" s="216"/>
      <c r="F35" s="216"/>
      <c r="G35" s="216"/>
      <c r="H35" s="216"/>
      <c r="I35" s="217"/>
    </row>
    <row r="36" spans="1:9" ht="18.75" customHeight="1" x14ac:dyDescent="0.15">
      <c r="A36" s="14"/>
      <c r="B36" s="221"/>
      <c r="C36" s="222"/>
      <c r="D36" s="222"/>
      <c r="E36" s="222"/>
      <c r="F36" s="222"/>
      <c r="G36" s="222"/>
      <c r="H36" s="222"/>
      <c r="I36" s="220"/>
    </row>
    <row r="37" spans="1:9" ht="18.75" customHeight="1" x14ac:dyDescent="0.15">
      <c r="A37" s="14"/>
      <c r="B37" s="221"/>
      <c r="C37" s="222"/>
      <c r="D37" s="222"/>
      <c r="E37" s="222"/>
      <c r="F37" s="222"/>
      <c r="G37" s="222"/>
      <c r="H37" s="222"/>
      <c r="I37" s="220"/>
    </row>
    <row r="38" spans="1:9" ht="18.75" customHeight="1" x14ac:dyDescent="0.15">
      <c r="A38" s="14"/>
      <c r="B38" s="221"/>
      <c r="C38" s="222"/>
      <c r="D38" s="222"/>
      <c r="E38" s="222"/>
      <c r="F38" s="222"/>
      <c r="G38" s="222"/>
      <c r="H38" s="222"/>
      <c r="I38" s="220"/>
    </row>
    <row r="39" spans="1:9" ht="18.75" customHeight="1" x14ac:dyDescent="0.15">
      <c r="A39" s="14"/>
      <c r="B39" s="221"/>
      <c r="C39" s="222"/>
      <c r="D39" s="222"/>
      <c r="E39" s="222"/>
      <c r="F39" s="222"/>
      <c r="G39" s="222"/>
      <c r="H39" s="222"/>
      <c r="I39" s="220"/>
    </row>
    <row r="40" spans="1:9" ht="14.25" customHeight="1" x14ac:dyDescent="0.15">
      <c r="A40" s="14"/>
      <c r="B40" s="221"/>
      <c r="C40" s="222"/>
      <c r="D40" s="222"/>
      <c r="E40" s="222"/>
      <c r="F40" s="222"/>
      <c r="G40" s="222"/>
      <c r="H40" s="222"/>
      <c r="I40" s="220"/>
    </row>
    <row r="41" spans="1:9" ht="0.75" customHeight="1" x14ac:dyDescent="0.15">
      <c r="A41" s="14"/>
      <c r="B41" s="221"/>
      <c r="C41" s="222"/>
      <c r="D41" s="222"/>
      <c r="E41" s="222"/>
      <c r="F41" s="222"/>
      <c r="G41" s="222"/>
      <c r="H41" s="222"/>
      <c r="I41" s="220"/>
    </row>
    <row r="42" spans="1:9" ht="18.75" hidden="1" customHeight="1" x14ac:dyDescent="0.15">
      <c r="A42" s="14"/>
      <c r="B42" s="221"/>
      <c r="C42" s="222"/>
      <c r="D42" s="222"/>
      <c r="E42" s="222"/>
      <c r="F42" s="222"/>
      <c r="G42" s="222"/>
      <c r="H42" s="222"/>
      <c r="I42" s="220"/>
    </row>
    <row r="43" spans="1:9" ht="6.75" customHeight="1" x14ac:dyDescent="0.15">
      <c r="A43" s="14"/>
      <c r="B43" s="221"/>
      <c r="C43" s="222"/>
      <c r="D43" s="222"/>
      <c r="E43" s="222"/>
      <c r="F43" s="222"/>
      <c r="G43" s="222"/>
      <c r="H43" s="222"/>
      <c r="I43" s="220"/>
    </row>
    <row r="44" spans="1:9" ht="14.25" hidden="1" customHeight="1" x14ac:dyDescent="0.15">
      <c r="A44" s="14"/>
      <c r="B44" s="221"/>
      <c r="C44" s="222"/>
      <c r="D44" s="222"/>
      <c r="E44" s="222"/>
      <c r="F44" s="222"/>
      <c r="G44" s="222"/>
      <c r="H44" s="222"/>
      <c r="I44" s="220"/>
    </row>
    <row r="45" spans="1:9" ht="4.5" customHeight="1" x14ac:dyDescent="0.15">
      <c r="A45" s="14"/>
      <c r="B45" s="221"/>
      <c r="C45" s="222"/>
      <c r="D45" s="222"/>
      <c r="E45" s="222"/>
      <c r="F45" s="222"/>
      <c r="G45" s="222"/>
      <c r="H45" s="222"/>
      <c r="I45" s="220"/>
    </row>
    <row r="46" spans="1:9" ht="15.75" customHeight="1" x14ac:dyDescent="0.15">
      <c r="A46" s="14"/>
      <c r="B46" s="223"/>
      <c r="C46" s="224"/>
      <c r="D46" s="224"/>
      <c r="E46" s="224"/>
      <c r="F46" s="224"/>
      <c r="G46" s="224"/>
      <c r="H46" s="224"/>
      <c r="I46" s="225"/>
    </row>
    <row r="47" spans="1:9" ht="15.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00">
        <f>'様式２ 履修者等数の実績'!S19</f>
        <v>0.46537102473498232</v>
      </c>
      <c r="D49" s="200"/>
      <c r="E49" s="34" t="s">
        <v>64</v>
      </c>
      <c r="F49" s="200">
        <v>0.7</v>
      </c>
      <c r="G49" s="200"/>
      <c r="H49" s="34" t="s">
        <v>65</v>
      </c>
      <c r="I49" s="35">
        <v>0.84</v>
      </c>
      <c r="J49" s="1"/>
      <c r="M49" s="1"/>
      <c r="N49" s="36"/>
    </row>
    <row r="50" spans="1:15" s="3" customFormat="1" ht="18.75" customHeight="1" x14ac:dyDescent="0.15">
      <c r="B50" s="37" t="s">
        <v>85</v>
      </c>
      <c r="C50" s="183">
        <v>0.92</v>
      </c>
      <c r="D50" s="183"/>
      <c r="E50" s="37" t="s">
        <v>129</v>
      </c>
      <c r="F50" s="183">
        <v>1</v>
      </c>
      <c r="G50" s="183"/>
      <c r="H50" s="37" t="s">
        <v>66</v>
      </c>
      <c r="I50" s="38">
        <f>'様式２ 履修者等数の実績'!E19</f>
        <v>2830</v>
      </c>
      <c r="J50" s="1"/>
      <c r="M50" s="1"/>
      <c r="N50" s="36"/>
    </row>
    <row r="51" spans="1:15" ht="18.75" customHeight="1" x14ac:dyDescent="0.15">
      <c r="A51" s="1"/>
      <c r="B51" s="236" t="s">
        <v>67</v>
      </c>
      <c r="C51" s="237"/>
      <c r="D51" s="237"/>
      <c r="E51" s="237"/>
      <c r="F51" s="237"/>
      <c r="G51" s="237"/>
      <c r="H51" s="237"/>
      <c r="I51" s="238"/>
      <c r="N51" s="36"/>
      <c r="O51" s="3"/>
    </row>
    <row r="52" spans="1:15" ht="18.75" customHeight="1" x14ac:dyDescent="0.15">
      <c r="A52" s="1"/>
      <c r="B52" s="201" t="s">
        <v>178</v>
      </c>
      <c r="C52" s="202"/>
      <c r="D52" s="202"/>
      <c r="E52" s="202"/>
      <c r="F52" s="202"/>
      <c r="G52" s="202"/>
      <c r="H52" s="202"/>
      <c r="I52" s="203"/>
      <c r="N52" s="36"/>
      <c r="O52" s="3"/>
    </row>
    <row r="53" spans="1:15" ht="18.75" customHeight="1" x14ac:dyDescent="0.15">
      <c r="A53" s="1"/>
      <c r="B53" s="204"/>
      <c r="C53" s="205"/>
      <c r="D53" s="205"/>
      <c r="E53" s="205"/>
      <c r="F53" s="205"/>
      <c r="G53" s="205"/>
      <c r="H53" s="205"/>
      <c r="I53" s="206"/>
      <c r="N53" s="36"/>
      <c r="O53" s="3"/>
    </row>
    <row r="54" spans="1:15" ht="18.75" customHeight="1" x14ac:dyDescent="0.15">
      <c r="A54" s="1"/>
      <c r="B54" s="204"/>
      <c r="C54" s="205"/>
      <c r="D54" s="205"/>
      <c r="E54" s="205"/>
      <c r="F54" s="205"/>
      <c r="G54" s="205"/>
      <c r="H54" s="205"/>
      <c r="I54" s="206"/>
    </row>
    <row r="55" spans="1:15" ht="11.25" customHeight="1" x14ac:dyDescent="0.15">
      <c r="A55" s="1"/>
      <c r="B55" s="204"/>
      <c r="C55" s="205"/>
      <c r="D55" s="205"/>
      <c r="E55" s="205"/>
      <c r="F55" s="205"/>
      <c r="G55" s="205"/>
      <c r="H55" s="205"/>
      <c r="I55" s="206"/>
    </row>
    <row r="56" spans="1:15" ht="11.25" hidden="1" customHeight="1" x14ac:dyDescent="0.15">
      <c r="A56" s="1"/>
      <c r="B56" s="204"/>
      <c r="C56" s="205"/>
      <c r="D56" s="205"/>
      <c r="E56" s="205"/>
      <c r="F56" s="205"/>
      <c r="G56" s="205"/>
      <c r="H56" s="205"/>
      <c r="I56" s="206"/>
    </row>
    <row r="57" spans="1:15" ht="6.75" customHeight="1" x14ac:dyDescent="0.15">
      <c r="A57" s="1"/>
      <c r="B57" s="204"/>
      <c r="C57" s="205"/>
      <c r="D57" s="205"/>
      <c r="E57" s="205"/>
      <c r="F57" s="205"/>
      <c r="G57" s="205"/>
      <c r="H57" s="205"/>
      <c r="I57" s="206"/>
    </row>
    <row r="58" spans="1:15" ht="18.75" hidden="1" customHeight="1" x14ac:dyDescent="0.15">
      <c r="A58" s="1"/>
      <c r="B58" s="204"/>
      <c r="C58" s="205"/>
      <c r="D58" s="205"/>
      <c r="E58" s="205"/>
      <c r="F58" s="205"/>
      <c r="G58" s="205"/>
      <c r="H58" s="205"/>
      <c r="I58" s="206"/>
    </row>
    <row r="59" spans="1:15" ht="10.5" hidden="1" customHeight="1" x14ac:dyDescent="0.15">
      <c r="A59" s="1"/>
      <c r="B59" s="204"/>
      <c r="C59" s="205"/>
      <c r="D59" s="205"/>
      <c r="E59" s="205"/>
      <c r="F59" s="205"/>
      <c r="G59" s="205"/>
      <c r="H59" s="205"/>
      <c r="I59" s="206"/>
    </row>
    <row r="60" spans="1:15" ht="18.75" hidden="1" customHeight="1" x14ac:dyDescent="0.15">
      <c r="A60" s="1"/>
      <c r="B60" s="204"/>
      <c r="C60" s="205"/>
      <c r="D60" s="205"/>
      <c r="E60" s="205"/>
      <c r="F60" s="205"/>
      <c r="G60" s="205"/>
      <c r="H60" s="205"/>
      <c r="I60" s="206"/>
    </row>
    <row r="61" spans="1:15" ht="18.75" hidden="1" customHeight="1" x14ac:dyDescent="0.15">
      <c r="A61" s="1"/>
      <c r="B61" s="204"/>
      <c r="C61" s="205"/>
      <c r="D61" s="205"/>
      <c r="E61" s="205"/>
      <c r="F61" s="205"/>
      <c r="G61" s="205"/>
      <c r="H61" s="205"/>
      <c r="I61" s="206"/>
    </row>
    <row r="62" spans="1:15" ht="18.75" hidden="1" customHeight="1" x14ac:dyDescent="0.15">
      <c r="A62" s="1"/>
      <c r="B62" s="204"/>
      <c r="C62" s="205"/>
      <c r="D62" s="205"/>
      <c r="E62" s="205"/>
      <c r="F62" s="205"/>
      <c r="G62" s="205"/>
      <c r="H62" s="205"/>
      <c r="I62" s="206"/>
    </row>
    <row r="63" spans="1:15" ht="15" customHeight="1" x14ac:dyDescent="0.15">
      <c r="A63" s="1"/>
      <c r="B63" s="207"/>
      <c r="C63" s="208"/>
      <c r="D63" s="208"/>
      <c r="E63" s="208"/>
      <c r="F63" s="208"/>
      <c r="G63" s="208"/>
      <c r="H63" s="208"/>
      <c r="I63" s="209"/>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4" t="s">
        <v>203</v>
      </c>
      <c r="C66" s="185"/>
      <c r="D66" s="185"/>
      <c r="E66" s="185"/>
      <c r="F66" s="185"/>
      <c r="G66" s="185"/>
      <c r="H66" s="185"/>
      <c r="I66" s="186"/>
    </row>
    <row r="67" spans="1:9" ht="18.75" customHeight="1" x14ac:dyDescent="0.15">
      <c r="A67" s="4"/>
      <c r="B67" s="187"/>
      <c r="C67" s="188"/>
      <c r="D67" s="188"/>
      <c r="E67" s="188"/>
      <c r="F67" s="188"/>
      <c r="G67" s="188"/>
      <c r="H67" s="188"/>
      <c r="I67" s="189"/>
    </row>
    <row r="68" spans="1:9" ht="18.75" customHeight="1" x14ac:dyDescent="0.15">
      <c r="A68" s="4"/>
      <c r="B68" s="187"/>
      <c r="C68" s="188"/>
      <c r="D68" s="188"/>
      <c r="E68" s="188"/>
      <c r="F68" s="188"/>
      <c r="G68" s="188"/>
      <c r="H68" s="188"/>
      <c r="I68" s="189"/>
    </row>
    <row r="69" spans="1:9" ht="18.75" customHeight="1" x14ac:dyDescent="0.15">
      <c r="A69" s="4"/>
      <c r="B69" s="187"/>
      <c r="C69" s="188"/>
      <c r="D69" s="188"/>
      <c r="E69" s="188"/>
      <c r="F69" s="188"/>
      <c r="G69" s="188"/>
      <c r="H69" s="188"/>
      <c r="I69" s="189"/>
    </row>
    <row r="70" spans="1:9" ht="18.75" customHeight="1" x14ac:dyDescent="0.15">
      <c r="A70" s="4"/>
      <c r="B70" s="187"/>
      <c r="C70" s="188"/>
      <c r="D70" s="188"/>
      <c r="E70" s="188"/>
      <c r="F70" s="188"/>
      <c r="G70" s="188"/>
      <c r="H70" s="188"/>
      <c r="I70" s="189"/>
    </row>
    <row r="71" spans="1:9" ht="18.75" customHeight="1" x14ac:dyDescent="0.15">
      <c r="A71" s="4"/>
      <c r="B71" s="187"/>
      <c r="C71" s="188"/>
      <c r="D71" s="188"/>
      <c r="E71" s="188"/>
      <c r="F71" s="188"/>
      <c r="G71" s="188"/>
      <c r="H71" s="188"/>
      <c r="I71" s="189"/>
    </row>
    <row r="72" spans="1:9" ht="18.75" customHeight="1" x14ac:dyDescent="0.15">
      <c r="A72" s="4"/>
      <c r="B72" s="187"/>
      <c r="C72" s="188"/>
      <c r="D72" s="188"/>
      <c r="E72" s="188"/>
      <c r="F72" s="188"/>
      <c r="G72" s="188"/>
      <c r="H72" s="188"/>
      <c r="I72" s="189"/>
    </row>
    <row r="73" spans="1:9" ht="18.75" customHeight="1" x14ac:dyDescent="0.15">
      <c r="A73" s="4"/>
      <c r="B73" s="187"/>
      <c r="C73" s="188"/>
      <c r="D73" s="188"/>
      <c r="E73" s="188"/>
      <c r="F73" s="188"/>
      <c r="G73" s="188"/>
      <c r="H73" s="188"/>
      <c r="I73" s="189"/>
    </row>
    <row r="74" spans="1:9" ht="18.75" customHeight="1" x14ac:dyDescent="0.15">
      <c r="A74" s="4"/>
      <c r="B74" s="187"/>
      <c r="C74" s="188"/>
      <c r="D74" s="188"/>
      <c r="E74" s="188"/>
      <c r="F74" s="188"/>
      <c r="G74" s="188"/>
      <c r="H74" s="188"/>
      <c r="I74" s="189"/>
    </row>
    <row r="75" spans="1:9" ht="18.75" customHeight="1" x14ac:dyDescent="0.15">
      <c r="A75" s="4"/>
      <c r="B75" s="187"/>
      <c r="C75" s="188"/>
      <c r="D75" s="188"/>
      <c r="E75" s="188"/>
      <c r="F75" s="188"/>
      <c r="G75" s="188"/>
      <c r="H75" s="188"/>
      <c r="I75" s="189"/>
    </row>
    <row r="76" spans="1:9" ht="64.5" customHeight="1" x14ac:dyDescent="0.15">
      <c r="A76" s="4"/>
      <c r="B76" s="187"/>
      <c r="C76" s="188"/>
      <c r="D76" s="188"/>
      <c r="E76" s="188"/>
      <c r="F76" s="188"/>
      <c r="G76" s="188"/>
      <c r="H76" s="188"/>
      <c r="I76" s="189"/>
    </row>
    <row r="77" spans="1:9" ht="93.75" customHeight="1" x14ac:dyDescent="0.15">
      <c r="A77" s="4"/>
      <c r="B77" s="190"/>
      <c r="C77" s="191"/>
      <c r="D77" s="191"/>
      <c r="E77" s="191"/>
      <c r="F77" s="191"/>
      <c r="G77" s="191"/>
      <c r="H77" s="191"/>
      <c r="I77" s="192"/>
    </row>
    <row r="78" spans="1:9" ht="1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4" t="s">
        <v>179</v>
      </c>
      <c r="C80" s="185"/>
      <c r="D80" s="185"/>
      <c r="E80" s="185"/>
      <c r="F80" s="185"/>
      <c r="G80" s="185"/>
      <c r="H80" s="185"/>
      <c r="I80" s="193"/>
    </row>
    <row r="81" spans="1:9" ht="18.75" customHeight="1" x14ac:dyDescent="0.15">
      <c r="A81" s="1"/>
      <c r="B81" s="194"/>
      <c r="C81" s="195"/>
      <c r="D81" s="195"/>
      <c r="E81" s="195"/>
      <c r="F81" s="195"/>
      <c r="G81" s="195"/>
      <c r="H81" s="195"/>
      <c r="I81" s="196"/>
    </row>
    <row r="82" spans="1:9" ht="18.75" customHeight="1" x14ac:dyDescent="0.15">
      <c r="A82" s="1"/>
      <c r="B82" s="194"/>
      <c r="C82" s="195"/>
      <c r="D82" s="195"/>
      <c r="E82" s="195"/>
      <c r="F82" s="195"/>
      <c r="G82" s="195"/>
      <c r="H82" s="195"/>
      <c r="I82" s="196"/>
    </row>
    <row r="83" spans="1:9" ht="18.75" customHeight="1" x14ac:dyDescent="0.15">
      <c r="A83" s="1"/>
      <c r="B83" s="194"/>
      <c r="C83" s="195"/>
      <c r="D83" s="195"/>
      <c r="E83" s="195"/>
      <c r="F83" s="195"/>
      <c r="G83" s="195"/>
      <c r="H83" s="195"/>
      <c r="I83" s="196"/>
    </row>
    <row r="84" spans="1:9" ht="18.75" customHeight="1" x14ac:dyDescent="0.15">
      <c r="A84" s="1"/>
      <c r="B84" s="194"/>
      <c r="C84" s="195"/>
      <c r="D84" s="195"/>
      <c r="E84" s="195"/>
      <c r="F84" s="195"/>
      <c r="G84" s="195"/>
      <c r="H84" s="195"/>
      <c r="I84" s="196"/>
    </row>
    <row r="85" spans="1:9" ht="18.75" customHeight="1" x14ac:dyDescent="0.15">
      <c r="A85" s="1"/>
      <c r="B85" s="194"/>
      <c r="C85" s="195"/>
      <c r="D85" s="195"/>
      <c r="E85" s="195"/>
      <c r="F85" s="195"/>
      <c r="G85" s="195"/>
      <c r="H85" s="195"/>
      <c r="I85" s="196"/>
    </row>
    <row r="86" spans="1:9" ht="18.75" customHeight="1" x14ac:dyDescent="0.15">
      <c r="A86" s="1"/>
      <c r="B86" s="194"/>
      <c r="C86" s="195"/>
      <c r="D86" s="195"/>
      <c r="E86" s="195"/>
      <c r="F86" s="195"/>
      <c r="G86" s="195"/>
      <c r="H86" s="195"/>
      <c r="I86" s="196"/>
    </row>
    <row r="87" spans="1:9" ht="18.75" customHeight="1" x14ac:dyDescent="0.15">
      <c r="A87" s="1"/>
      <c r="B87" s="194"/>
      <c r="C87" s="195"/>
      <c r="D87" s="195"/>
      <c r="E87" s="195"/>
      <c r="F87" s="195"/>
      <c r="G87" s="195"/>
      <c r="H87" s="195"/>
      <c r="I87" s="196"/>
    </row>
    <row r="88" spans="1:9" ht="8.25" customHeight="1" x14ac:dyDescent="0.15">
      <c r="A88" s="1"/>
      <c r="B88" s="194"/>
      <c r="C88" s="195"/>
      <c r="D88" s="195"/>
      <c r="E88" s="195"/>
      <c r="F88" s="195"/>
      <c r="G88" s="195"/>
      <c r="H88" s="195"/>
      <c r="I88" s="196"/>
    </row>
    <row r="89" spans="1:9" ht="9" customHeight="1" x14ac:dyDescent="0.15">
      <c r="A89" s="1"/>
      <c r="B89" s="194"/>
      <c r="C89" s="195"/>
      <c r="D89" s="195"/>
      <c r="E89" s="195"/>
      <c r="F89" s="195"/>
      <c r="G89" s="195"/>
      <c r="H89" s="195"/>
      <c r="I89" s="196"/>
    </row>
    <row r="90" spans="1:9" ht="9.75" customHeight="1" x14ac:dyDescent="0.15">
      <c r="A90" s="4"/>
      <c r="B90" s="194"/>
      <c r="C90" s="195"/>
      <c r="D90" s="195"/>
      <c r="E90" s="195"/>
      <c r="F90" s="195"/>
      <c r="G90" s="195"/>
      <c r="H90" s="195"/>
      <c r="I90" s="196"/>
    </row>
    <row r="91" spans="1:9" ht="4.5" customHeight="1" x14ac:dyDescent="0.15">
      <c r="A91" s="4"/>
      <c r="B91" s="197"/>
      <c r="C91" s="198"/>
      <c r="D91" s="198"/>
      <c r="E91" s="198"/>
      <c r="F91" s="198"/>
      <c r="G91" s="198"/>
      <c r="H91" s="198"/>
      <c r="I91" s="199"/>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5" t="s">
        <v>205</v>
      </c>
      <c r="C94" s="216"/>
      <c r="D94" s="216"/>
      <c r="E94" s="216"/>
      <c r="F94" s="216"/>
      <c r="G94" s="216"/>
      <c r="H94" s="216"/>
      <c r="I94" s="217"/>
    </row>
    <row r="95" spans="1:9" ht="18.75" customHeight="1" x14ac:dyDescent="0.15">
      <c r="A95" s="1"/>
      <c r="B95" s="221"/>
      <c r="C95" s="222"/>
      <c r="D95" s="222"/>
      <c r="E95" s="222"/>
      <c r="F95" s="222"/>
      <c r="G95" s="222"/>
      <c r="H95" s="222"/>
      <c r="I95" s="220"/>
    </row>
    <row r="96" spans="1:9" ht="18.75" customHeight="1" x14ac:dyDescent="0.15">
      <c r="A96" s="1"/>
      <c r="B96" s="221"/>
      <c r="C96" s="222"/>
      <c r="D96" s="222"/>
      <c r="E96" s="222"/>
      <c r="F96" s="222"/>
      <c r="G96" s="222"/>
      <c r="H96" s="222"/>
      <c r="I96" s="220"/>
    </row>
    <row r="97" spans="1:9" ht="18.75" customHeight="1" x14ac:dyDescent="0.15">
      <c r="A97" s="1"/>
      <c r="B97" s="221"/>
      <c r="C97" s="222"/>
      <c r="D97" s="222"/>
      <c r="E97" s="222"/>
      <c r="F97" s="222"/>
      <c r="G97" s="222"/>
      <c r="H97" s="222"/>
      <c r="I97" s="220"/>
    </row>
    <row r="98" spans="1:9" ht="18.75" customHeight="1" x14ac:dyDescent="0.15">
      <c r="A98" s="1"/>
      <c r="B98" s="221"/>
      <c r="C98" s="222"/>
      <c r="D98" s="222"/>
      <c r="E98" s="222"/>
      <c r="F98" s="222"/>
      <c r="G98" s="222"/>
      <c r="H98" s="222"/>
      <c r="I98" s="220"/>
    </row>
    <row r="99" spans="1:9" ht="18.75" customHeight="1" x14ac:dyDescent="0.15">
      <c r="A99" s="1"/>
      <c r="B99" s="221"/>
      <c r="C99" s="222"/>
      <c r="D99" s="222"/>
      <c r="E99" s="222"/>
      <c r="F99" s="222"/>
      <c r="G99" s="222"/>
      <c r="H99" s="222"/>
      <c r="I99" s="220"/>
    </row>
    <row r="100" spans="1:9" ht="18.75" customHeight="1" x14ac:dyDescent="0.15">
      <c r="A100" s="1"/>
      <c r="B100" s="221"/>
      <c r="C100" s="222"/>
      <c r="D100" s="222"/>
      <c r="E100" s="222"/>
      <c r="F100" s="222"/>
      <c r="G100" s="222"/>
      <c r="H100" s="222"/>
      <c r="I100" s="220"/>
    </row>
    <row r="101" spans="1:9" ht="18.75" customHeight="1" x14ac:dyDescent="0.15">
      <c r="A101" s="1"/>
      <c r="B101" s="221"/>
      <c r="C101" s="222"/>
      <c r="D101" s="222"/>
      <c r="E101" s="222"/>
      <c r="F101" s="222"/>
      <c r="G101" s="222"/>
      <c r="H101" s="222"/>
      <c r="I101" s="220"/>
    </row>
    <row r="102" spans="1:9" ht="18.75" customHeight="1" x14ac:dyDescent="0.15">
      <c r="A102" s="1"/>
      <c r="B102" s="221"/>
      <c r="C102" s="222"/>
      <c r="D102" s="222"/>
      <c r="E102" s="222"/>
      <c r="F102" s="222"/>
      <c r="G102" s="222"/>
      <c r="H102" s="222"/>
      <c r="I102" s="220"/>
    </row>
    <row r="103" spans="1:9" ht="18.75" customHeight="1" x14ac:dyDescent="0.15">
      <c r="A103" s="1"/>
      <c r="B103" s="221"/>
      <c r="C103" s="222"/>
      <c r="D103" s="222"/>
      <c r="E103" s="222"/>
      <c r="F103" s="222"/>
      <c r="G103" s="222"/>
      <c r="H103" s="222"/>
      <c r="I103" s="220"/>
    </row>
    <row r="104" spans="1:9" ht="18.75" customHeight="1" x14ac:dyDescent="0.15">
      <c r="A104" s="1"/>
      <c r="B104" s="221"/>
      <c r="C104" s="222"/>
      <c r="D104" s="222"/>
      <c r="E104" s="222"/>
      <c r="F104" s="222"/>
      <c r="G104" s="222"/>
      <c r="H104" s="222"/>
      <c r="I104" s="220"/>
    </row>
    <row r="105" spans="1:9" ht="28.5" customHeight="1" x14ac:dyDescent="0.15">
      <c r="A105" s="4"/>
      <c r="B105" s="223"/>
      <c r="C105" s="224"/>
      <c r="D105" s="224"/>
      <c r="E105" s="224"/>
      <c r="F105" s="224"/>
      <c r="G105" s="224"/>
      <c r="H105" s="224"/>
      <c r="I105" s="225"/>
    </row>
    <row r="106" spans="1:9" ht="12" customHeight="1" x14ac:dyDescent="0.15">
      <c r="A106" s="4"/>
      <c r="B106" s="4"/>
      <c r="C106" s="4"/>
      <c r="D106" s="4"/>
      <c r="E106" s="4"/>
      <c r="F106" s="4"/>
      <c r="G106" s="4"/>
      <c r="H106" s="4"/>
      <c r="I106" s="4"/>
    </row>
    <row r="107" spans="1:9" ht="18.75" customHeight="1" x14ac:dyDescent="0.15">
      <c r="A107" s="1" t="s">
        <v>30</v>
      </c>
      <c r="B107" s="235" t="s">
        <v>45</v>
      </c>
      <c r="C107" s="235"/>
      <c r="D107" s="235"/>
      <c r="E107" s="235"/>
      <c r="F107" s="235"/>
      <c r="G107" s="235"/>
      <c r="H107" s="235"/>
      <c r="I107" s="235"/>
    </row>
    <row r="108" spans="1:9" ht="18.75" customHeight="1" x14ac:dyDescent="0.15">
      <c r="A108" s="4"/>
      <c r="B108" s="215" t="s">
        <v>180</v>
      </c>
      <c r="C108" s="216"/>
      <c r="D108" s="216"/>
      <c r="E108" s="216"/>
      <c r="F108" s="216"/>
      <c r="G108" s="216"/>
      <c r="H108" s="216"/>
      <c r="I108" s="217"/>
    </row>
    <row r="109" spans="1:9" ht="18.75" customHeight="1" x14ac:dyDescent="0.15">
      <c r="A109" s="4"/>
      <c r="B109" s="221"/>
      <c r="C109" s="222"/>
      <c r="D109" s="222"/>
      <c r="E109" s="222"/>
      <c r="F109" s="222"/>
      <c r="G109" s="222"/>
      <c r="H109" s="222"/>
      <c r="I109" s="220"/>
    </row>
    <row r="110" spans="1:9" ht="18.75" customHeight="1" x14ac:dyDescent="0.15">
      <c r="A110" s="4"/>
      <c r="B110" s="221"/>
      <c r="C110" s="222"/>
      <c r="D110" s="222"/>
      <c r="E110" s="222"/>
      <c r="F110" s="222"/>
      <c r="G110" s="222"/>
      <c r="H110" s="222"/>
      <c r="I110" s="220"/>
    </row>
    <row r="111" spans="1:9" ht="18.75" customHeight="1" x14ac:dyDescent="0.15">
      <c r="A111" s="4"/>
      <c r="B111" s="221"/>
      <c r="C111" s="222"/>
      <c r="D111" s="222"/>
      <c r="E111" s="222"/>
      <c r="F111" s="222"/>
      <c r="G111" s="222"/>
      <c r="H111" s="222"/>
      <c r="I111" s="220"/>
    </row>
    <row r="112" spans="1:9" ht="18.75" customHeight="1" x14ac:dyDescent="0.15">
      <c r="A112" s="4"/>
      <c r="B112" s="221"/>
      <c r="C112" s="222"/>
      <c r="D112" s="222"/>
      <c r="E112" s="222"/>
      <c r="F112" s="222"/>
      <c r="G112" s="222"/>
      <c r="H112" s="222"/>
      <c r="I112" s="220"/>
    </row>
    <row r="113" spans="1:9" ht="18.75" customHeight="1" x14ac:dyDescent="0.15">
      <c r="A113" s="4"/>
      <c r="B113" s="221"/>
      <c r="C113" s="222"/>
      <c r="D113" s="222"/>
      <c r="E113" s="222"/>
      <c r="F113" s="222"/>
      <c r="G113" s="222"/>
      <c r="H113" s="222"/>
      <c r="I113" s="220"/>
    </row>
    <row r="114" spans="1:9" ht="18.75" customHeight="1" x14ac:dyDescent="0.15">
      <c r="A114" s="4"/>
      <c r="B114" s="221"/>
      <c r="C114" s="222"/>
      <c r="D114" s="222"/>
      <c r="E114" s="222"/>
      <c r="F114" s="222"/>
      <c r="G114" s="222"/>
      <c r="H114" s="222"/>
      <c r="I114" s="220"/>
    </row>
    <row r="115" spans="1:9" ht="18.75" customHeight="1" x14ac:dyDescent="0.15">
      <c r="A115" s="4"/>
      <c r="B115" s="221"/>
      <c r="C115" s="222"/>
      <c r="D115" s="222"/>
      <c r="E115" s="222"/>
      <c r="F115" s="222"/>
      <c r="G115" s="222"/>
      <c r="H115" s="222"/>
      <c r="I115" s="220"/>
    </row>
    <row r="116" spans="1:9" ht="18.75" customHeight="1" x14ac:dyDescent="0.15">
      <c r="A116" s="4"/>
      <c r="B116" s="221"/>
      <c r="C116" s="222"/>
      <c r="D116" s="222"/>
      <c r="E116" s="222"/>
      <c r="F116" s="222"/>
      <c r="G116" s="222"/>
      <c r="H116" s="222"/>
      <c r="I116" s="220"/>
    </row>
    <row r="117" spans="1:9" ht="18.75" customHeight="1" x14ac:dyDescent="0.15">
      <c r="A117" s="4"/>
      <c r="B117" s="221"/>
      <c r="C117" s="222"/>
      <c r="D117" s="222"/>
      <c r="E117" s="222"/>
      <c r="F117" s="222"/>
      <c r="G117" s="222"/>
      <c r="H117" s="222"/>
      <c r="I117" s="220"/>
    </row>
    <row r="118" spans="1:9" ht="18.75" customHeight="1" x14ac:dyDescent="0.15">
      <c r="A118" s="4"/>
      <c r="B118" s="221"/>
      <c r="C118" s="222"/>
      <c r="D118" s="222"/>
      <c r="E118" s="222"/>
      <c r="F118" s="222"/>
      <c r="G118" s="222"/>
      <c r="H118" s="222"/>
      <c r="I118" s="220"/>
    </row>
    <row r="119" spans="1:9" ht="18.75" customHeight="1" x14ac:dyDescent="0.15">
      <c r="A119" s="4"/>
      <c r="B119" s="223"/>
      <c r="C119" s="224"/>
      <c r="D119" s="224"/>
      <c r="E119" s="224"/>
      <c r="F119" s="224"/>
      <c r="G119" s="224"/>
      <c r="H119" s="224"/>
      <c r="I119" s="225"/>
    </row>
    <row r="120" spans="1:9" ht="7.5" customHeight="1" x14ac:dyDescent="0.15">
      <c r="A120" s="4"/>
      <c r="B120" s="39"/>
      <c r="C120" s="39"/>
      <c r="D120" s="39"/>
      <c r="E120" s="39"/>
      <c r="F120" s="39"/>
      <c r="G120" s="39"/>
      <c r="H120" s="39"/>
      <c r="I120" s="39"/>
    </row>
    <row r="121" spans="1:9" ht="18.75" customHeight="1" x14ac:dyDescent="0.15">
      <c r="A121" s="68"/>
      <c r="B121" s="210"/>
      <c r="C121" s="210"/>
      <c r="D121" s="210"/>
      <c r="E121" s="210"/>
      <c r="F121" s="210"/>
      <c r="G121" s="210"/>
      <c r="H121" s="210"/>
      <c r="I121" s="210"/>
    </row>
    <row r="122" spans="1:9" ht="18.75" customHeight="1" x14ac:dyDescent="0.15">
      <c r="A122" s="68"/>
      <c r="B122" s="210"/>
      <c r="C122" s="210"/>
      <c r="D122" s="210"/>
      <c r="E122" s="210"/>
      <c r="F122" s="210"/>
      <c r="G122" s="210"/>
      <c r="H122" s="210"/>
      <c r="I122" s="210"/>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6"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8" width="30.75" style="1" customWidth="1"/>
    <col min="9" max="9" width="30.12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鈴鹿医療科学大学</v>
      </c>
    </row>
    <row r="3" spans="1:9" ht="18.75" customHeight="1" x14ac:dyDescent="0.15">
      <c r="A3" s="211" t="s">
        <v>28</v>
      </c>
      <c r="B3" s="211"/>
      <c r="C3" s="211"/>
      <c r="D3" s="211"/>
      <c r="E3" s="211"/>
      <c r="F3" s="211"/>
      <c r="G3" s="211"/>
      <c r="H3" s="211"/>
      <c r="I3" s="21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26" t="s">
        <v>196</v>
      </c>
      <c r="C6" s="263"/>
      <c r="D6" s="263"/>
      <c r="E6" s="263"/>
      <c r="F6" s="263"/>
      <c r="G6" s="263"/>
      <c r="H6" s="264"/>
      <c r="I6" s="3"/>
    </row>
    <row r="7" spans="1:9" ht="9" customHeight="1" x14ac:dyDescent="0.15">
      <c r="A7" s="5"/>
      <c r="B7" s="10"/>
      <c r="C7" s="10"/>
      <c r="D7" s="10"/>
      <c r="E7" s="10"/>
      <c r="F7" s="10"/>
      <c r="G7" s="10"/>
      <c r="H7" s="10"/>
      <c r="I7" s="3"/>
    </row>
    <row r="8" spans="1:9" ht="18.75" customHeight="1" x14ac:dyDescent="0.15">
      <c r="A8" s="5"/>
      <c r="B8" s="3"/>
      <c r="C8" s="3"/>
      <c r="D8" s="30" t="s">
        <v>42</v>
      </c>
      <c r="E8" s="31" t="s">
        <v>175</v>
      </c>
      <c r="F8" s="3"/>
      <c r="G8" s="30" t="s">
        <v>10</v>
      </c>
      <c r="H8" s="90" t="s">
        <v>197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7" t="s">
        <v>24</v>
      </c>
      <c r="C11" s="108"/>
      <c r="D11" s="109"/>
      <c r="E11" s="108" t="s">
        <v>26</v>
      </c>
      <c r="F11" s="108"/>
      <c r="G11" s="108"/>
      <c r="H11" s="108"/>
      <c r="I11" s="109"/>
    </row>
    <row r="12" spans="1:9" ht="26.25" customHeight="1" x14ac:dyDescent="0.15">
      <c r="B12" s="40" t="s">
        <v>14</v>
      </c>
      <c r="C12" s="47"/>
      <c r="D12" s="41"/>
      <c r="E12" s="48"/>
      <c r="F12" s="48"/>
      <c r="G12" s="48"/>
      <c r="H12" s="48"/>
      <c r="I12" s="41"/>
    </row>
    <row r="13" spans="1:9" ht="210.75" customHeight="1" x14ac:dyDescent="0.15">
      <c r="B13" s="42"/>
      <c r="C13" s="244" t="s">
        <v>15</v>
      </c>
      <c r="D13" s="245"/>
      <c r="E13" s="257" t="s">
        <v>204</v>
      </c>
      <c r="F13" s="246"/>
      <c r="G13" s="246"/>
      <c r="H13" s="246"/>
      <c r="I13" s="247"/>
    </row>
    <row r="14" spans="1:9" ht="210.75" customHeight="1" x14ac:dyDescent="0.15">
      <c r="B14" s="42"/>
      <c r="C14" s="261" t="s">
        <v>16</v>
      </c>
      <c r="D14" s="262"/>
      <c r="E14" s="257" t="s">
        <v>198</v>
      </c>
      <c r="F14" s="246"/>
      <c r="G14" s="246"/>
      <c r="H14" s="246"/>
      <c r="I14" s="247"/>
    </row>
    <row r="15" spans="1:9" ht="210.75" customHeight="1" x14ac:dyDescent="0.15">
      <c r="B15" s="42"/>
      <c r="C15" s="244" t="s">
        <v>17</v>
      </c>
      <c r="D15" s="245"/>
      <c r="E15" s="257" t="s">
        <v>186</v>
      </c>
      <c r="F15" s="258"/>
      <c r="G15" s="258"/>
      <c r="H15" s="258"/>
      <c r="I15" s="259"/>
    </row>
    <row r="16" spans="1:9" ht="210.75" customHeight="1" x14ac:dyDescent="0.15">
      <c r="B16" s="42"/>
      <c r="C16" s="244" t="s">
        <v>18</v>
      </c>
      <c r="D16" s="245"/>
      <c r="E16" s="257" t="s">
        <v>187</v>
      </c>
      <c r="F16" s="246"/>
      <c r="G16" s="246"/>
      <c r="H16" s="246"/>
      <c r="I16" s="247"/>
    </row>
    <row r="17" spans="2:9" ht="205.5" customHeight="1" x14ac:dyDescent="0.15">
      <c r="B17" s="43"/>
      <c r="C17" s="248" t="s">
        <v>19</v>
      </c>
      <c r="D17" s="249"/>
      <c r="E17" s="260" t="s">
        <v>192</v>
      </c>
      <c r="F17" s="250"/>
      <c r="G17" s="250"/>
      <c r="H17" s="250"/>
      <c r="I17" s="251"/>
    </row>
    <row r="18" spans="2:9" ht="30" customHeight="1" x14ac:dyDescent="0.15">
      <c r="B18" s="40" t="s">
        <v>20</v>
      </c>
      <c r="C18" s="44"/>
      <c r="D18" s="45"/>
      <c r="E18" s="46"/>
      <c r="F18" s="46"/>
      <c r="G18" s="46"/>
      <c r="H18" s="46"/>
      <c r="I18" s="49"/>
    </row>
    <row r="19" spans="2:9" ht="218.25" customHeight="1" x14ac:dyDescent="0.15">
      <c r="B19" s="42"/>
      <c r="C19" s="244" t="s">
        <v>21</v>
      </c>
      <c r="D19" s="245"/>
      <c r="E19" s="246" t="s">
        <v>188</v>
      </c>
      <c r="F19" s="246"/>
      <c r="G19" s="246"/>
      <c r="H19" s="246"/>
      <c r="I19" s="247"/>
    </row>
    <row r="20" spans="2:9" ht="218.25" customHeight="1" x14ac:dyDescent="0.15">
      <c r="B20" s="43"/>
      <c r="C20" s="248" t="s">
        <v>22</v>
      </c>
      <c r="D20" s="249"/>
      <c r="E20" s="250" t="s">
        <v>189</v>
      </c>
      <c r="F20" s="250"/>
      <c r="G20" s="250"/>
      <c r="H20" s="250"/>
      <c r="I20" s="251"/>
    </row>
    <row r="21" spans="2:9" ht="218.25" customHeight="1" x14ac:dyDescent="0.15">
      <c r="B21" s="252" t="s">
        <v>23</v>
      </c>
      <c r="C21" s="253"/>
      <c r="D21" s="254"/>
      <c r="E21" s="255" t="s">
        <v>190</v>
      </c>
      <c r="F21" s="255"/>
      <c r="G21" s="255"/>
      <c r="H21" s="255"/>
      <c r="I21" s="256"/>
    </row>
    <row r="22" spans="2:9" ht="241.5" customHeight="1" x14ac:dyDescent="0.15">
      <c r="B22" s="239" t="s">
        <v>135</v>
      </c>
      <c r="C22" s="240"/>
      <c r="D22" s="241"/>
      <c r="E22" s="242" t="s">
        <v>191</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in="1"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Shinji Tsuruoka</cp:lastModifiedBy>
  <cp:lastPrinted>2024-06-16T01:43:25Z</cp:lastPrinted>
  <dcterms:created xsi:type="dcterms:W3CDTF">2011-06-14T05:32:50Z</dcterms:created>
  <dcterms:modified xsi:type="dcterms:W3CDTF">2024-06-16T01:50:52Z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