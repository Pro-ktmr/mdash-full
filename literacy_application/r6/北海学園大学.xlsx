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6"/>
  <workbookPr defaultThemeVersion="124226"/>
  <mc:AlternateContent xmlns:mc="http://schemas.openxmlformats.org/markup-compatibility/2006">
    <mc:Choice Requires="x15">
      <x15ac:absPath xmlns:x15ac="http://schemas.microsoft.com/office/spreadsheetml/2010/11/ac" url="S:\1001-HGU 数理・データサイエンス教育プログラム運営委員会\2024年度\令和6年度MDASH申請要領一式\（再）北海学園大学\01北海学園大学_リテラシー\"/>
    </mc:Choice>
  </mc:AlternateContent>
  <xr:revisionPtr revIDLastSave="0" documentId="13_ncr:1_{FC12574A-83EA-457C-9D7D-84C21B090F79}" xr6:coauthVersionLast="36" xr6:coauthVersionMax="36" xr10:uidLastSave="{00000000-0000-0000-0000-000000000000}"/>
  <bookViews>
    <workbookView xWindow="0" yWindow="0" windowWidth="24000" windowHeight="9435" tabRatio="717" xr2:uid="{C6A5277C-6FA8-4652-B8B6-E206E29618A0}"/>
  </bookViews>
  <sheets>
    <sheet name="様式１－１　プログラムを構成する授業科目" sheetId="47" r:id="rId1"/>
    <sheet name="様式１－2　プログラムを構成する授業科目 " sheetId="43" r:id="rId2"/>
    <sheet name="様式１－3　プログラムを構成する授業科目" sheetId="46" r:id="rId3"/>
    <sheet name="様式１－4　プログラムを構成する授業科目" sheetId="48" r:id="rId4"/>
    <sheet name="様式２ 履修者等数の実績" sheetId="40" r:id="rId5"/>
    <sheet name="様式３ 教育の質・履修者数を向上させるための体制・計画" sheetId="41" r:id="rId6"/>
    <sheet name="様式４　自己点検・評価" sheetId="42" r:id="rId7"/>
    <sheet name="Sheet1" sheetId="49" r:id="rId8"/>
  </sheets>
  <definedNames>
    <definedName name="_xlnm._FilterDatabase" localSheetId="0" hidden="1">'様式１－１　プログラムを構成する授業科目'!$X$16:$X$18</definedName>
    <definedName name="_xlnm._FilterDatabase" localSheetId="1" hidden="1">'様式１－2　プログラムを構成する授業科目 '!$X$16:$X$18</definedName>
    <definedName name="_xlnm._FilterDatabase" localSheetId="2" hidden="1">'様式１－3　プログラムを構成する授業科目'!$X$16:$X$18</definedName>
    <definedName name="_xlnm._FilterDatabase" localSheetId="3" hidden="1">'様式１－4　プログラムを構成する授業科目'!$X$16:$X$18</definedName>
    <definedName name="_xlnm._FilterDatabase" localSheetId="4" hidden="1">'様式２ 履修者等数の実績'!#REF!</definedName>
    <definedName name="_xlnm.Print_Area" localSheetId="0">'様式１－１　プログラムを構成する授業科目'!$A$1:$U$112</definedName>
    <definedName name="_xlnm.Print_Area" localSheetId="1">'様式１－2　プログラムを構成する授業科目 '!$A$1:$U$112</definedName>
    <definedName name="_xlnm.Print_Area" localSheetId="2">'様式１－3　プログラムを構成する授業科目'!$A$1:$U$112</definedName>
    <definedName name="_xlnm.Print_Area" localSheetId="3">'様式１－4　プログラムを構成する授業科目'!$A$1:$U$112</definedName>
    <definedName name="_xlnm.Print_Area" localSheetId="4">'様式２ 履修者等数の実績'!$A$1:$S$33</definedName>
    <definedName name="_xlnm.Print_Area" localSheetId="5">'様式３ 教育の質・履修者数を向上させるための体制・計画'!$A$1:$I$118</definedName>
    <definedName name="_xlnm.Print_Area" localSheetId="6">'様式４　自己点検・評価'!$A$1:$I$22</definedName>
    <definedName name="_xlnm.Print_Titles" localSheetId="6">'様式４　自己点検・評価'!$11:$11</definedName>
  </definedNames>
  <calcPr calcId="191029"/>
</workbook>
</file>

<file path=xl/calcChain.xml><?xml version="1.0" encoding="utf-8"?>
<calcChain xmlns="http://schemas.openxmlformats.org/spreadsheetml/2006/main">
  <c r="I2" i="42" l="1"/>
  <c r="H2" i="41"/>
  <c r="Q2" i="40"/>
  <c r="M7" i="40" l="1"/>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<sst xmlns="http://schemas.openxmlformats.org/spreadsheetml/2006/main" count="805" uniqueCount="233">
  <si>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</si>
  <si>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</si>
  <si>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</si>
  <si>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</si>
  <si>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</si>
  <si>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</si>
  <si>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</si>
  <si>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</si>
  <si>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</si>
  <si>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</si>
  <si>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</si>
  <si>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</si>
  <si>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</si>
  <si>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</si>
  <si>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</si>
  <si>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</si>
  <si>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</si>
  <si>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</si>
  <si>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</si>
  <si>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</si>
  <si>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</si>
  <si>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</si>
  <si>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</si>
  <si>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</si>
  <si>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</si>
  <si>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</si>
  <si>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</si>
  <si>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</si>
  <si>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</si>
  <si>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</si>
  <si>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</si>
  <si>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</si>
  <si>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</si>
  <si>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</si>
  <si>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</si>
  <si>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</si>
  <si>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</si>
  <si>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</si>
  <si>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</si>
  <si>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</si>
  <si>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</si>
  <si>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</si>
  <si>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</si>
  <si>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</si>
  <si>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</si>
  <si>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</si>
  <si>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</si>
  <si>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</si>
  <si>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</si>
  <si>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</si>
  <si>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</si>
  <si>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</si>
  <si>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</si>
  <si>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</si>
  <si>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</si>
  <si>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</si>
  <si>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</si>
  <si>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</si>
  <si>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</si>
  <si>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</si>
  <si>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</si>
  <si>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</si>
  <si>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</si>
  <si>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</si>
  <si>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</si>
  <si>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</si>
  <si>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</si>
  <si>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</si>
  <si>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</si>
  <si>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</si>
  <si>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</si>
  <si>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</si>
  <si>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</si>
  <si>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</si>
  <si>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</si>
  <si>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</si>
  <si>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</si>
  <si>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</si>
  <si>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</si>
  <si>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</si>
  <si>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</si>
  <si>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</si>
  <si>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</si>
  <si>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</si>
  <si>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</si>
  <si>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</si>
  <si>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</si>
  <si>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</si>
  <si>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</si>
  <si>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</si>
  <si>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</si>
  <si>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</si>
  <si>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</si>
  <si>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</si>
  <si>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</si>
  <si>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</si>
  <si>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</si>
  <si>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</si>
  <si>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</si>
  <si>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</si>
  <si>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</si>
  <si>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</si>
  <si>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</si>
  <si>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</si>
  <si>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</si>
  <si>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</si>
  <si>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</si>
  <si>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</si>
  <si>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</si>
  <si>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</si>
  <si>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</si>
  <si>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</si>
  <si>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</si>
  <si>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</si>
  <si>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</si>
  <si>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</si>
  <si>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</si>
  <si>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</si>
  <si>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</si>
  <si>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</si>
  <si>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</si>
  <si>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</si>
  <si>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</si>
  <si>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</si>
  <si>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</si>
  <si>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</si>
  <si>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</si>
  <si>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</si>
  <si>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</si>
  <si>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</si>
  <si>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</si>
  <si>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</si>
  <si>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</si>
  <si>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</si>
  <si>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</si>
  <si>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</si>
  <si>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北海学園大学</t>
    <rPh sb="0" eb="2">
      <t>ホッカイ</t>
    </rPh>
    <rPh sb="2" eb="4">
      <t>ガクエン</t>
    </rPh>
    <rPh sb="4" eb="6">
      <t>ダイガク</t>
    </rPh>
    <phoneticPr fontId="1"/>
  </si>
  <si>
    <t>HGU数理・データサイエンス教育プログラム</t>
    <rPh sb="3" eb="5">
      <t>スウリ</t>
    </rPh>
    <rPh sb="14" eb="16">
      <t>キョウイク</t>
    </rPh>
    <phoneticPr fontId="1"/>
  </si>
  <si>
    <t>工学部</t>
    <rPh sb="0" eb="3">
      <t>コウガクブ</t>
    </rPh>
    <phoneticPr fontId="1"/>
  </si>
  <si>
    <t>教養科目特別講義（情報リテラシー）</t>
    <rPh sb="0" eb="2">
      <t>キョウヨウ</t>
    </rPh>
    <rPh sb="2" eb="4">
      <t>カモク</t>
    </rPh>
    <rPh sb="4" eb="6">
      <t>トクベツ</t>
    </rPh>
    <rPh sb="6" eb="8">
      <t>コウギ</t>
    </rPh>
    <rPh sb="9" eb="11">
      <t>ジョウホウ</t>
    </rPh>
    <phoneticPr fontId="1"/>
  </si>
  <si>
    <t>○</t>
  </si>
  <si>
    <t>情報技術論</t>
    <rPh sb="0" eb="2">
      <t>ジョウホウ</t>
    </rPh>
    <rPh sb="2" eb="4">
      <t>ギジュツ</t>
    </rPh>
    <rPh sb="4" eb="5">
      <t>ロン</t>
    </rPh>
    <phoneticPr fontId="1"/>
  </si>
  <si>
    <t>情報と社会</t>
    <rPh sb="0" eb="2">
      <t>ジョウホウ</t>
    </rPh>
    <rPh sb="3" eb="5">
      <t>シャカイ</t>
    </rPh>
    <phoneticPr fontId="1"/>
  </si>
  <si>
    <t>コンピュータ科学</t>
    <rPh sb="6" eb="8">
      <t>カガク</t>
    </rPh>
    <phoneticPr fontId="1"/>
  </si>
  <si>
    <t>統計学Ⅰ</t>
    <rPh sb="0" eb="3">
      <t>トウケイガク</t>
    </rPh>
    <phoneticPr fontId="1"/>
  </si>
  <si>
    <t>数学概論Ⅰ</t>
    <rPh sb="0" eb="2">
      <t>スウガク</t>
    </rPh>
    <rPh sb="2" eb="4">
      <t>ガイロン</t>
    </rPh>
    <phoneticPr fontId="1"/>
  </si>
  <si>
    <t>数学概論Ⅱ</t>
    <rPh sb="0" eb="2">
      <t>スウガク</t>
    </rPh>
    <rPh sb="2" eb="4">
      <t>ガイロン</t>
    </rPh>
    <phoneticPr fontId="1"/>
  </si>
  <si>
    <t>4-1統計および数理基礎</t>
  </si>
  <si>
    <t>経営統計学概論Ⅰ</t>
    <rPh sb="0" eb="2">
      <t>ケイエイ</t>
    </rPh>
    <rPh sb="2" eb="5">
      <t>トウケイガク</t>
    </rPh>
    <rPh sb="5" eb="7">
      <t>ガイロン</t>
    </rPh>
    <phoneticPr fontId="1"/>
  </si>
  <si>
    <t>経営統計学概論Ⅱ</t>
    <rPh sb="0" eb="2">
      <t>ケイエイ</t>
    </rPh>
    <rPh sb="2" eb="5">
      <t>トウケイガク</t>
    </rPh>
    <rPh sb="5" eb="7">
      <t>ガイロン</t>
    </rPh>
    <phoneticPr fontId="1"/>
  </si>
  <si>
    <t>・データサイエンスのサイクル（課題抽出と定式化、データの取得・管理・加工、探索的データ解析、データ解析と推論、結果の共有・伝達、課題解決に向けた提案）「教養科目特別講義（情報リテラシー）」（第6回）
・流通、製造、金融、サービス、インフラ、公共、ヘルスケア等におけるデータ・AI利活用事例紹介「教養科目特別講義（情報リテラシー）」（第7回）</t>
    <rPh sb="76" eb="84">
      <t>キョウヨウカモクトクベツコウギ</t>
    </rPh>
    <rPh sb="85" eb="87">
      <t>ジョウホウ</t>
    </rPh>
    <rPh sb="95" eb="96">
      <t>ダイ</t>
    </rPh>
    <rPh sb="97" eb="98">
      <t>カイ</t>
    </rPh>
    <rPh sb="147" eb="155">
      <t>キョウヨウカモクトクベツコウギ</t>
    </rPh>
    <rPh sb="156" eb="158">
      <t>ジョウホウ</t>
    </rPh>
    <rPh sb="166" eb="167">
      <t>ダイ</t>
    </rPh>
    <rPh sb="168" eb="169">
      <t>カイ</t>
    </rPh>
    <phoneticPr fontId="1"/>
  </si>
  <si>
    <t>工学部</t>
    <rPh sb="0" eb="3">
      <t>コウガクブ</t>
    </rPh>
    <phoneticPr fontId="1"/>
  </si>
  <si>
    <t>経済学部1部</t>
    <rPh sb="0" eb="2">
      <t>ケイザイ</t>
    </rPh>
    <rPh sb="2" eb="3">
      <t>ガク</t>
    </rPh>
    <rPh sb="3" eb="4">
      <t>ブ</t>
    </rPh>
    <rPh sb="5" eb="6">
      <t>ブ</t>
    </rPh>
    <phoneticPr fontId="1"/>
  </si>
  <si>
    <t>経営学部1部</t>
    <rPh sb="0" eb="2">
      <t>ケイエイ</t>
    </rPh>
    <rPh sb="2" eb="3">
      <t>ガク</t>
    </rPh>
    <rPh sb="3" eb="4">
      <t>ブ</t>
    </rPh>
    <rPh sb="5" eb="6">
      <t>ブ</t>
    </rPh>
    <phoneticPr fontId="1"/>
  </si>
  <si>
    <t>法学部1部</t>
    <rPh sb="0" eb="3">
      <t>ホウガクブ</t>
    </rPh>
    <rPh sb="4" eb="5">
      <t>ブ</t>
    </rPh>
    <phoneticPr fontId="1"/>
  </si>
  <si>
    <t>人文学部1部</t>
    <rPh sb="0" eb="2">
      <t>ジンブン</t>
    </rPh>
    <rPh sb="2" eb="4">
      <t>ガクブ</t>
    </rPh>
    <rPh sb="5" eb="6">
      <t>ブ</t>
    </rPh>
    <phoneticPr fontId="1"/>
  </si>
  <si>
    <t>経済学部2部</t>
    <rPh sb="0" eb="2">
      <t>ケイザイ</t>
    </rPh>
    <rPh sb="2" eb="4">
      <t>ガクブ</t>
    </rPh>
    <rPh sb="5" eb="6">
      <t>ブ</t>
    </rPh>
    <phoneticPr fontId="1"/>
  </si>
  <si>
    <t>経営学部2部</t>
    <rPh sb="0" eb="2">
      <t>ケイエイ</t>
    </rPh>
    <rPh sb="2" eb="4">
      <t>ガクブ</t>
    </rPh>
    <rPh sb="5" eb="6">
      <t>ブ</t>
    </rPh>
    <phoneticPr fontId="1"/>
  </si>
  <si>
    <t>法学部2部</t>
    <rPh sb="0" eb="3">
      <t>ホウガクブ</t>
    </rPh>
    <rPh sb="4" eb="5">
      <t>ブ</t>
    </rPh>
    <phoneticPr fontId="1"/>
  </si>
  <si>
    <t>人文学部2部</t>
    <rPh sb="0" eb="2">
      <t>ジンブン</t>
    </rPh>
    <rPh sb="2" eb="4">
      <t>ガクブ</t>
    </rPh>
    <rPh sb="5" eb="6">
      <t>ブ</t>
    </rPh>
    <phoneticPr fontId="1"/>
  </si>
  <si>
    <t>情報リテラシー</t>
    <rPh sb="0" eb="2">
      <t>ジョウホウ</t>
    </rPh>
    <phoneticPr fontId="1"/>
  </si>
  <si>
    <t>統計学Ⅰ</t>
    <rPh sb="0" eb="3">
      <t>トウケイガク</t>
    </rPh>
    <phoneticPr fontId="1"/>
  </si>
  <si>
    <t>数学概論Ⅰ</t>
    <rPh sb="0" eb="2">
      <t>スウガク</t>
    </rPh>
    <rPh sb="2" eb="4">
      <t>ガイロン</t>
    </rPh>
    <phoneticPr fontId="1"/>
  </si>
  <si>
    <t>数学概論Ⅱ</t>
    <rPh sb="0" eb="2">
      <t>スウガク</t>
    </rPh>
    <rPh sb="2" eb="4">
      <t>ガイロン</t>
    </rPh>
    <phoneticPr fontId="1"/>
  </si>
  <si>
    <t>情報処理論</t>
    <rPh sb="0" eb="2">
      <t>ジョウホウ</t>
    </rPh>
    <rPh sb="2" eb="4">
      <t>ショリ</t>
    </rPh>
    <rPh sb="4" eb="5">
      <t>ロン</t>
    </rPh>
    <phoneticPr fontId="1"/>
  </si>
  <si>
    <t>森下　宏美</t>
    <rPh sb="0" eb="2">
      <t>モリシタ</t>
    </rPh>
    <rPh sb="3" eb="5">
      <t>ヒロミ</t>
    </rPh>
    <phoneticPr fontId="1"/>
  </si>
  <si>
    <t>学長</t>
    <rPh sb="0" eb="2">
      <t>ガクチョウ</t>
    </rPh>
    <phoneticPr fontId="1"/>
  </si>
  <si>
    <t>HGU数理・データサイエンス教育プログラム運営委員会</t>
    <rPh sb="3" eb="5">
      <t>スウリ</t>
    </rPh>
    <rPh sb="14" eb="16">
      <t>キョウイク</t>
    </rPh>
    <rPh sb="21" eb="23">
      <t>ウンエイ</t>
    </rPh>
    <rPh sb="23" eb="26">
      <t>イインカイ</t>
    </rPh>
    <phoneticPr fontId="1"/>
  </si>
  <si>
    <t>元木　邦俊</t>
    <rPh sb="0" eb="2">
      <t>モトキ</t>
    </rPh>
    <rPh sb="3" eb="5">
      <t>クニトシ</t>
    </rPh>
    <phoneticPr fontId="1"/>
  </si>
  <si>
    <t>HGU数理・データサイエンス教育プログラム運営委員会規程</t>
    <rPh sb="26" eb="28">
      <t>キテイ</t>
    </rPh>
    <phoneticPr fontId="1"/>
  </si>
  <si>
    <t>元木　邦俊</t>
    <rPh sb="0" eb="2">
      <t>モトキ</t>
    </rPh>
    <rPh sb="3" eb="5">
      <t>クニトシ</t>
    </rPh>
    <phoneticPr fontId="1"/>
  </si>
  <si>
    <t>HGU数理・データサイエンス教育プログラム運営委員会</t>
    <rPh sb="21" eb="23">
      <t>ウンエイ</t>
    </rPh>
    <rPh sb="23" eb="26">
      <t>イインカイ</t>
    </rPh>
    <phoneticPr fontId="1"/>
  </si>
  <si>
    <t>授業改善アンケートの「積極的な授業参加」の回答は3.73～4.61、「将来役に立つ」かどうかの回答は3.81～4.93と他の質問より高い結果となっていることから、自身の履修した科目について、後輩等への推奨度は高いのではないかと推察している。</t>
    <phoneticPr fontId="1"/>
  </si>
  <si>
    <t>本学のポータルサイトG-PLUS!で、全ての学生に対して本プログラムへの参加を呼びかけているものの、初年度(2023年度)の参加者数は１６２名に留まっている。2024年度からは、１学期および２学期の履修登録の時期に合わせて本プログラムへの参加を促す予定である。経済学部、法学部、人文学部、工学部の必修科目である「教養科目特別講義（情報リテラシー）」の担当教員を2024年度からは３名に増員し、800名程度の履修者にも対応できる教員配置としている。また、経営学部の必修科目については、2023年度以降入学者からは卒業要件の必履修科目としている。</t>
    <phoneticPr fontId="1"/>
  </si>
  <si>
    <t>2023年度の開始であるため修了者は８名に留まっており、企業等からの修了者への直接的な評価はまだ受けていないが、全学的な自己点検・評価のために行った企業等との意見交換で、本プログラムの必要性と重要性について確認することができた。</t>
    <phoneticPr fontId="1"/>
  </si>
  <si>
    <t>2023年度２学期から全ての科目で成績提出時に当該科目のレビューを記述することになっており、教育改善についての記述についてはその方法を共有していく予定である。また、数理・データサイエンス・AI教育に関する講演会、シンポジウム、コンソーシアムなどへの参加を通じて、この分野の最新の教育水準を常に確認するとともに、他大学の例なども参考にして、分かりやすい授業の実施について改善を進めていく。</t>
    <phoneticPr fontId="1"/>
  </si>
  <si>
    <t>4‐7データハンドリング</t>
  </si>
  <si>
    <t>4‐8データ活用実践（教師あり学習）</t>
  </si>
  <si>
    <t>その他</t>
  </si>
  <si>
    <t>本プログラムは在学生の全員が履修可能となっているが、特に新入生（入学定員1780人）のプログラムの履修率を令和9年度までに50%以上となるように、各学部で行われる新入生ガイダンスでプログラムの履修を指導する。また、在学生ガイダンスにおいても、1年次配当科目の履修が可能であることを説明して、プログラムの履修を強く推奨する。学生への周知が徹底できるように１学期・２学期の履修登録の時期に合わせて、プログラムの履修を全ての学生に大学のポータルサイトなどで案内する。</t>
    <rPh sb="0" eb="1">
      <t>ホン</t>
    </rPh>
    <rPh sb="7" eb="10">
      <t>ザイガクセイ</t>
    </rPh>
    <rPh sb="11" eb="13">
      <t>ゼンイン</t>
    </rPh>
    <rPh sb="14" eb="16">
      <t>リシュウ</t>
    </rPh>
    <rPh sb="16" eb="18">
      <t>カノウ</t>
    </rPh>
    <rPh sb="26" eb="27">
      <t>トク</t>
    </rPh>
    <rPh sb="28" eb="31">
      <t>シンニュウセイ</t>
    </rPh>
    <rPh sb="32" eb="34">
      <t>ニュウガク</t>
    </rPh>
    <rPh sb="34" eb="36">
      <t>テイイン</t>
    </rPh>
    <rPh sb="40" eb="41">
      <t>ニン</t>
    </rPh>
    <rPh sb="49" eb="51">
      <t>リシュウ</t>
    </rPh>
    <rPh sb="51" eb="52">
      <t>リツ</t>
    </rPh>
    <rPh sb="53" eb="55">
      <t>レイワ</t>
    </rPh>
    <rPh sb="56" eb="58">
      <t>ネンド</t>
    </rPh>
    <rPh sb="64" eb="66">
      <t>イジョウ</t>
    </rPh>
    <rPh sb="73" eb="74">
      <t>カク</t>
    </rPh>
    <rPh sb="74" eb="76">
      <t>ガクブ</t>
    </rPh>
    <rPh sb="77" eb="78">
      <t>オコナ</t>
    </rPh>
    <rPh sb="81" eb="82">
      <t>シン</t>
    </rPh>
    <rPh sb="96" eb="98">
      <t>リシュウ</t>
    </rPh>
    <rPh sb="99" eb="101">
      <t>シドウ</t>
    </rPh>
    <rPh sb="107" eb="110">
      <t>ザイガクセイ</t>
    </rPh>
    <rPh sb="122" eb="124">
      <t>ネンジ</t>
    </rPh>
    <rPh sb="124" eb="126">
      <t>ハイトウ</t>
    </rPh>
    <rPh sb="126" eb="128">
      <t>カモク</t>
    </rPh>
    <rPh sb="129" eb="131">
      <t>リシュウ</t>
    </rPh>
    <rPh sb="132" eb="134">
      <t>カノウ</t>
    </rPh>
    <rPh sb="140" eb="142">
      <t>セツメイ</t>
    </rPh>
    <rPh sb="151" eb="153">
      <t>リシュウ</t>
    </rPh>
    <rPh sb="154" eb="155">
      <t>ツヨ</t>
    </rPh>
    <rPh sb="156" eb="158">
      <t>スイショウ</t>
    </rPh>
    <rPh sb="161" eb="163">
      <t>ガクセイ</t>
    </rPh>
    <rPh sb="165" eb="167">
      <t>シュウチ</t>
    </rPh>
    <rPh sb="168" eb="170">
      <t>テッテイ</t>
    </rPh>
    <rPh sb="177" eb="179">
      <t>ガッキ</t>
    </rPh>
    <rPh sb="181" eb="183">
      <t>ガッキ</t>
    </rPh>
    <rPh sb="184" eb="186">
      <t>リシュウ</t>
    </rPh>
    <rPh sb="186" eb="188">
      <t>トウロク</t>
    </rPh>
    <rPh sb="189" eb="191">
      <t>ジキ</t>
    </rPh>
    <rPh sb="192" eb="193">
      <t>ア</t>
    </rPh>
    <rPh sb="203" eb="205">
      <t>リシュウ</t>
    </rPh>
    <rPh sb="206" eb="207">
      <t>スベ</t>
    </rPh>
    <rPh sb="209" eb="211">
      <t>ガクセイ</t>
    </rPh>
    <rPh sb="212" eb="214">
      <t>ダイガク</t>
    </rPh>
    <rPh sb="225" eb="227">
      <t>アンナイ</t>
    </rPh>
    <phoneticPr fontId="1"/>
  </si>
  <si>
    <t>教育プログラムに関する質問を常時受け付けており、質問内容に応じて教務センターまたはHGU数理・データサイエンス教育プログラム運営委員会から回答している。LMSでは、教材の提示だけではなく、小テストの実施やレポート課題の提出をオンラインで行うことができ、LMSを通じて個別指導を行うことができる。</t>
    <rPh sb="0" eb="2">
      <t>キョウイク</t>
    </rPh>
    <rPh sb="8" eb="9">
      <t>カン</t>
    </rPh>
    <rPh sb="11" eb="13">
      <t>シツモン</t>
    </rPh>
    <rPh sb="14" eb="16">
      <t>ジョウジ</t>
    </rPh>
    <rPh sb="16" eb="17">
      <t>ウ</t>
    </rPh>
    <rPh sb="18" eb="19">
      <t>ツ</t>
    </rPh>
    <rPh sb="24" eb="26">
      <t>シツモン</t>
    </rPh>
    <rPh sb="26" eb="28">
      <t>ナイヨウ</t>
    </rPh>
    <rPh sb="29" eb="30">
      <t>オウ</t>
    </rPh>
    <rPh sb="32" eb="34">
      <t>キョウム</t>
    </rPh>
    <rPh sb="69" eb="71">
      <t>カイトウ</t>
    </rPh>
    <rPh sb="82" eb="84">
      <t>キョウザイ</t>
    </rPh>
    <rPh sb="85" eb="87">
      <t>テイジ</t>
    </rPh>
    <rPh sb="94" eb="95">
      <t>チイ</t>
    </rPh>
    <rPh sb="99" eb="101">
      <t>ジッシ</t>
    </rPh>
    <rPh sb="106" eb="108">
      <t>カダイ</t>
    </rPh>
    <rPh sb="109" eb="111">
      <t>テイシュツ</t>
    </rPh>
    <rPh sb="118" eb="119">
      <t>オコナ</t>
    </rPh>
    <rPh sb="130" eb="131">
      <t>ツウ</t>
    </rPh>
    <rPh sb="133" eb="135">
      <t>コベツ</t>
    </rPh>
    <rPh sb="135" eb="137">
      <t>シドウ</t>
    </rPh>
    <rPh sb="138" eb="139">
      <t>オコナ</t>
    </rPh>
    <phoneticPr fontId="1"/>
  </si>
  <si>
    <t>本学で開講されている全ての科目で、LMSの【重要事項】の掲載項目として担当教員への連絡先を示しており、学生はメール等により質問をすることができる。本プログラムの設定科目の多くは一般教育科目であることから、教務センター窓口で質問内容を伝えることができる。また、科目担当の専任教員についてはオフィスアワーを設けており、学生からの質問に対面形式で回答することができる。</t>
    <rPh sb="0" eb="2">
      <t>ホンガク</t>
    </rPh>
    <rPh sb="3" eb="5">
      <t>カイコウ</t>
    </rPh>
    <rPh sb="10" eb="11">
      <t>スベ</t>
    </rPh>
    <rPh sb="13" eb="15">
      <t>カモク</t>
    </rPh>
    <rPh sb="22" eb="24">
      <t>ジュウヨウ</t>
    </rPh>
    <rPh sb="24" eb="26">
      <t>ジコウ</t>
    </rPh>
    <rPh sb="28" eb="30">
      <t>ケイサイ</t>
    </rPh>
    <rPh sb="30" eb="32">
      <t>コウモク</t>
    </rPh>
    <rPh sb="35" eb="37">
      <t>タントウ</t>
    </rPh>
    <rPh sb="37" eb="39">
      <t>キョウイン</t>
    </rPh>
    <rPh sb="41" eb="43">
      <t>レンラク</t>
    </rPh>
    <rPh sb="43" eb="44">
      <t>サキ</t>
    </rPh>
    <rPh sb="45" eb="46">
      <t>シメ</t>
    </rPh>
    <rPh sb="51" eb="53">
      <t>ガクセイ</t>
    </rPh>
    <rPh sb="57" eb="58">
      <t>ナド</t>
    </rPh>
    <rPh sb="61" eb="63">
      <t>シツモン</t>
    </rPh>
    <rPh sb="73" eb="74">
      <t>ホン</t>
    </rPh>
    <rPh sb="80" eb="82">
      <t>セッテイ</t>
    </rPh>
    <rPh sb="82" eb="84">
      <t>カモク</t>
    </rPh>
    <rPh sb="85" eb="86">
      <t>オオ</t>
    </rPh>
    <rPh sb="88" eb="90">
      <t>イッパン</t>
    </rPh>
    <rPh sb="90" eb="92">
      <t>キョウイク</t>
    </rPh>
    <rPh sb="92" eb="94">
      <t>カモク</t>
    </rPh>
    <rPh sb="102" eb="104">
      <t>キョウム</t>
    </rPh>
    <rPh sb="108" eb="110">
      <t>マドグチ</t>
    </rPh>
    <rPh sb="111" eb="113">
      <t>シツモン</t>
    </rPh>
    <rPh sb="113" eb="115">
      <t>ナイヨウ</t>
    </rPh>
    <rPh sb="116" eb="117">
      <t>ツタ</t>
    </rPh>
    <rPh sb="129" eb="131">
      <t>カモク</t>
    </rPh>
    <rPh sb="131" eb="133">
      <t>タントウ</t>
    </rPh>
    <rPh sb="134" eb="136">
      <t>センニン</t>
    </rPh>
    <rPh sb="136" eb="138">
      <t>キョウイン</t>
    </rPh>
    <rPh sb="151" eb="152">
      <t>モウ</t>
    </rPh>
    <rPh sb="157" eb="159">
      <t>ガクセイ</t>
    </rPh>
    <rPh sb="162" eb="164">
      <t>シツモン</t>
    </rPh>
    <rPh sb="165" eb="167">
      <t>タイメン</t>
    </rPh>
    <rPh sb="167" eb="169">
      <t>ケイシキ</t>
    </rPh>
    <rPh sb="170" eb="172">
      <t>カイトウ</t>
    </rPh>
    <phoneticPr fontId="1"/>
  </si>
  <si>
    <t>「北海学園大学の教育活動・学生支援に関するアンケート調査」を実施しており、2023年度は民間企業・団体・自治体・官公庁など386社に依頼した（回答率26.4％）。アンケートでは本プログラムに関連して、“データサイエンスやAI に関する知識”、“情報化社会で必要となるAI を含めた基礎的な情報リテラシーの能力”の必要性についてお尋ねした。また、民間企業3社（情報通信業、建設業、金融業）の人事担当者、自治体1団体の総務・人事／DX担当者と対面で意見交換を行った。本プログラムの内容を示したうえで、このようなカリキュラムの必要性や重要性について伺った。多くの肯定的、積極的なご意見を頂戴した。</t>
    <rPh sb="275" eb="276">
      <t>オオ</t>
    </rPh>
    <phoneticPr fontId="1"/>
  </si>
  <si>
    <t>データサイエンスを学ぶと、客観的な根拠となるデータを分析し可視化することで、「わからないことがわかる」楽しさに出会うことがある。そして、データサイエンスは実用性や応用性が高いため、際限のない知の探究が求められる。文系や理系にかかわらず、現代社会で必須の素養を身につけることができるように、必修科目以外に基礎的な数学、統計学、コンピュータ操作を含む情報に関する科目を選択科目として設定して、学生が自らの興味・関心に応じてこれらの能力を伸ばすことができるようにしている。</t>
    <rPh sb="200" eb="202">
      <t>キョウミ</t>
    </rPh>
    <rPh sb="203" eb="205">
      <t>カンシン</t>
    </rPh>
    <rPh sb="206" eb="207">
      <t>オウ</t>
    </rPh>
    <phoneticPr fontId="1"/>
  </si>
  <si>
    <t>全学生を対象に行っている授業改善アンケートで、本プログラムに設定されている科目に関するアンケート結果を学習支援システム課IR担当で集計し、HGU数理・データサイエンス教育プログラム運営委員会に報告されている。質問項目の１つである「授業内容の理解度」は、本プログラムの必修科目で3.53～4.54（1点～5点（5点満点）での評価）、選択科目で3.30～4.42となった。また、各科目の「総合評価」は、必修科目で4.05～4.25、選択科目で3.80～4.59であったことから、本プログラムで設定されている科目の授業内容は概ね理解されていると評価できる。</t>
    <rPh sb="48" eb="50">
      <t>ケッカ</t>
    </rPh>
    <rPh sb="51" eb="53">
      <t>ガクシュウ</t>
    </rPh>
    <rPh sb="53" eb="55">
      <t>シエン</t>
    </rPh>
    <rPh sb="59" eb="60">
      <t>カ</t>
    </rPh>
    <rPh sb="62" eb="64">
      <t>タントウ</t>
    </rPh>
    <rPh sb="65" eb="67">
      <t>シュウケイ</t>
    </rPh>
    <phoneticPr fontId="1"/>
  </si>
  <si>
    <t>確率統計</t>
    <rPh sb="0" eb="2">
      <t>カクリツ</t>
    </rPh>
    <rPh sb="2" eb="4">
      <t>トウケイ</t>
    </rPh>
    <phoneticPr fontId="1"/>
  </si>
  <si>
    <t>教授／工学部長</t>
    <rPh sb="0" eb="2">
      <t>キョウジュ</t>
    </rPh>
    <phoneticPr fontId="1"/>
  </si>
  <si>
    <t>経済学部1部、経済学部2部</t>
    <rPh sb="0" eb="2">
      <t>ケイザイ</t>
    </rPh>
    <rPh sb="2" eb="4">
      <t>ガクブ</t>
    </rPh>
    <rPh sb="5" eb="6">
      <t>ブ</t>
    </rPh>
    <rPh sb="7" eb="9">
      <t>ケイザイ</t>
    </rPh>
    <rPh sb="9" eb="11">
      <t>ガクブ</t>
    </rPh>
    <rPh sb="12" eb="13">
      <t>ブ</t>
    </rPh>
    <phoneticPr fontId="1"/>
  </si>
  <si>
    <t>プログラムを構成する必修科目を含めて4単位以上を修得すること。
必修科目：「教養科目特別講義（情報リテラシー）」　2単位
選択科目：「情報と社会」2単位、「情報技術論」2単位、「統計学Ⅰ」2単位、「数学概論Ⅰ」2単位、「数学概論Ⅱ」2単位、「情報処理論」4単位</t>
    <rPh sb="6" eb="8">
      <t>コウセイ</t>
    </rPh>
    <rPh sb="10" eb="12">
      <t>ヒッシュウ</t>
    </rPh>
    <rPh sb="12" eb="14">
      <t>カモク</t>
    </rPh>
    <rPh sb="15" eb="16">
      <t>フク</t>
    </rPh>
    <rPh sb="19" eb="21">
      <t>タンイ</t>
    </rPh>
    <rPh sb="21" eb="23">
      <t>イジョウ</t>
    </rPh>
    <rPh sb="24" eb="26">
      <t>シュウトク</t>
    </rPh>
    <rPh sb="32" eb="34">
      <t>ヒッシュウ</t>
    </rPh>
    <rPh sb="34" eb="36">
      <t>カモク</t>
    </rPh>
    <rPh sb="38" eb="40">
      <t>キョウヨウ</t>
    </rPh>
    <rPh sb="40" eb="42">
      <t>カモク</t>
    </rPh>
    <rPh sb="42" eb="44">
      <t>トクベツ</t>
    </rPh>
    <rPh sb="44" eb="46">
      <t>コウギ</t>
    </rPh>
    <rPh sb="47" eb="49">
      <t>ジョウホウ</t>
    </rPh>
    <rPh sb="58" eb="60">
      <t>タンイ</t>
    </rPh>
    <rPh sb="61" eb="63">
      <t>センタク</t>
    </rPh>
    <rPh sb="63" eb="65">
      <t>カモク</t>
    </rPh>
    <rPh sb="67" eb="69">
      <t>ジョウホウ</t>
    </rPh>
    <rPh sb="70" eb="72">
      <t>シャカイ</t>
    </rPh>
    <rPh sb="74" eb="76">
      <t>タンイ</t>
    </rPh>
    <rPh sb="78" eb="80">
      <t>ジョウホウ</t>
    </rPh>
    <rPh sb="80" eb="82">
      <t>ギジュツ</t>
    </rPh>
    <rPh sb="82" eb="83">
      <t>ロン</t>
    </rPh>
    <rPh sb="85" eb="87">
      <t>タンイ</t>
    </rPh>
    <rPh sb="89" eb="92">
      <t>トウケイガク</t>
    </rPh>
    <rPh sb="95" eb="97">
      <t>タンイ</t>
    </rPh>
    <rPh sb="99" eb="101">
      <t>スウガク</t>
    </rPh>
    <rPh sb="101" eb="103">
      <t>ガイロン</t>
    </rPh>
    <rPh sb="106" eb="108">
      <t>タンイ</t>
    </rPh>
    <rPh sb="110" eb="112">
      <t>スウガク</t>
    </rPh>
    <rPh sb="112" eb="114">
      <t>ガイロン</t>
    </rPh>
    <rPh sb="117" eb="119">
      <t>タンイ</t>
    </rPh>
    <rPh sb="121" eb="123">
      <t>ジョウホウ</t>
    </rPh>
    <rPh sb="123" eb="125">
      <t>ショリ</t>
    </rPh>
    <rPh sb="125" eb="126">
      <t>ロン</t>
    </rPh>
    <rPh sb="128" eb="130">
      <t>タンイ</t>
    </rPh>
    <phoneticPr fontId="1"/>
  </si>
  <si>
    <t>プログラムを構成する必修科目を含めて4単位以上を修得すること。
必修科目：「教養科目特別講義（情報リテラシー）」　2単位
選択科目：「情報と社会」2単位、「情報技術論」2単位、「コンピュータ科学」2単位、「統計学Ⅰ」2単位、「数学概論Ⅰ」2単位、「数学概論Ⅱ」2単位</t>
    <rPh sb="6" eb="8">
      <t>コウセイ</t>
    </rPh>
    <rPh sb="10" eb="12">
      <t>ヒッシュウ</t>
    </rPh>
    <rPh sb="12" eb="14">
      <t>カモク</t>
    </rPh>
    <rPh sb="15" eb="16">
      <t>フク</t>
    </rPh>
    <rPh sb="19" eb="21">
      <t>タンイ</t>
    </rPh>
    <rPh sb="21" eb="23">
      <t>イジョウ</t>
    </rPh>
    <rPh sb="24" eb="26">
      <t>シュウトク</t>
    </rPh>
    <rPh sb="32" eb="34">
      <t>ヒッシュウ</t>
    </rPh>
    <rPh sb="34" eb="36">
      <t>カモク</t>
    </rPh>
    <rPh sb="38" eb="40">
      <t>キョウヨウ</t>
    </rPh>
    <rPh sb="40" eb="42">
      <t>カモク</t>
    </rPh>
    <rPh sb="42" eb="44">
      <t>トクベツ</t>
    </rPh>
    <rPh sb="44" eb="46">
      <t>コウギ</t>
    </rPh>
    <rPh sb="47" eb="49">
      <t>ジョウホウ</t>
    </rPh>
    <rPh sb="58" eb="60">
      <t>タンイ</t>
    </rPh>
    <rPh sb="61" eb="63">
      <t>センタク</t>
    </rPh>
    <rPh sb="63" eb="65">
      <t>カモク</t>
    </rPh>
    <rPh sb="67" eb="69">
      <t>ジョウホウ</t>
    </rPh>
    <rPh sb="70" eb="72">
      <t>シャカイ</t>
    </rPh>
    <rPh sb="74" eb="76">
      <t>タンイ</t>
    </rPh>
    <rPh sb="78" eb="80">
      <t>ジョウホウ</t>
    </rPh>
    <rPh sb="80" eb="82">
      <t>ギジュツ</t>
    </rPh>
    <rPh sb="82" eb="83">
      <t>ロン</t>
    </rPh>
    <rPh sb="85" eb="87">
      <t>タンイ</t>
    </rPh>
    <rPh sb="95" eb="97">
      <t>カガク</t>
    </rPh>
    <rPh sb="99" eb="101">
      <t>タンイ</t>
    </rPh>
    <rPh sb="103" eb="106">
      <t>トウケイガク</t>
    </rPh>
    <rPh sb="109" eb="111">
      <t>タンイ</t>
    </rPh>
    <rPh sb="113" eb="115">
      <t>スウガク</t>
    </rPh>
    <rPh sb="115" eb="117">
      <t>ガイロン</t>
    </rPh>
    <rPh sb="120" eb="122">
      <t>タンイ</t>
    </rPh>
    <rPh sb="124" eb="126">
      <t>スウガク</t>
    </rPh>
    <rPh sb="126" eb="128">
      <t>ガイロン</t>
    </rPh>
    <rPh sb="131" eb="133">
      <t>タンイ</t>
    </rPh>
    <phoneticPr fontId="1"/>
  </si>
  <si>
    <t>プログラムを構成する必修科目を含めて4単位以上を修得すること。
必修科目：「教養科目特別講義（情報リテラシー）」　2単位
選択科目：「情報と社会」2単位、「情報技術論」2単位、「コンピュータ科学」2単位、「数学概論Ⅰ」2単位、「数学概論Ⅱ」2単位、「確率統計」2単位</t>
    <rPh sb="6" eb="8">
      <t>コウセイ</t>
    </rPh>
    <rPh sb="10" eb="12">
      <t>ヒッシュウ</t>
    </rPh>
    <rPh sb="12" eb="14">
      <t>カモク</t>
    </rPh>
    <rPh sb="15" eb="16">
      <t>フク</t>
    </rPh>
    <rPh sb="19" eb="21">
      <t>タンイ</t>
    </rPh>
    <rPh sb="21" eb="23">
      <t>イジョウ</t>
    </rPh>
    <rPh sb="24" eb="26">
      <t>シュウトク</t>
    </rPh>
    <rPh sb="32" eb="34">
      <t>ヒッシュウ</t>
    </rPh>
    <rPh sb="34" eb="36">
      <t>カモク</t>
    </rPh>
    <rPh sb="38" eb="40">
      <t>キョウヨウ</t>
    </rPh>
    <rPh sb="40" eb="42">
      <t>カモク</t>
    </rPh>
    <rPh sb="42" eb="44">
      <t>トクベツ</t>
    </rPh>
    <rPh sb="44" eb="46">
      <t>コウギ</t>
    </rPh>
    <rPh sb="47" eb="49">
      <t>ジョウホウ</t>
    </rPh>
    <rPh sb="58" eb="60">
      <t>タンイ</t>
    </rPh>
    <rPh sb="61" eb="63">
      <t>センタク</t>
    </rPh>
    <rPh sb="63" eb="65">
      <t>カモク</t>
    </rPh>
    <rPh sb="67" eb="69">
      <t>ジョウホウ</t>
    </rPh>
    <rPh sb="70" eb="72">
      <t>シャカイ</t>
    </rPh>
    <rPh sb="74" eb="76">
      <t>タンイ</t>
    </rPh>
    <rPh sb="78" eb="80">
      <t>ジョウホウ</t>
    </rPh>
    <rPh sb="80" eb="82">
      <t>ギジュツ</t>
    </rPh>
    <rPh sb="82" eb="83">
      <t>ロン</t>
    </rPh>
    <rPh sb="85" eb="87">
      <t>タンイ</t>
    </rPh>
    <rPh sb="95" eb="97">
      <t>カガク</t>
    </rPh>
    <rPh sb="99" eb="101">
      <t>タンイ</t>
    </rPh>
    <rPh sb="103" eb="105">
      <t>スウガク</t>
    </rPh>
    <rPh sb="105" eb="107">
      <t>ガイロン</t>
    </rPh>
    <rPh sb="110" eb="112">
      <t>タンイ</t>
    </rPh>
    <rPh sb="114" eb="116">
      <t>スウガク</t>
    </rPh>
    <rPh sb="116" eb="118">
      <t>ガイロン</t>
    </rPh>
    <rPh sb="121" eb="123">
      <t>タンイ</t>
    </rPh>
    <phoneticPr fontId="1"/>
  </si>
  <si>
    <t>経営学部1部、経営学部2部</t>
    <rPh sb="0" eb="2">
      <t>ケイエイ</t>
    </rPh>
    <rPh sb="2" eb="4">
      <t>ガクブ</t>
    </rPh>
    <rPh sb="5" eb="6">
      <t>ブ</t>
    </rPh>
    <rPh sb="7" eb="9">
      <t>ケイエイ</t>
    </rPh>
    <rPh sb="9" eb="11">
      <t>ガクブ</t>
    </rPh>
    <rPh sb="12" eb="13">
      <t>ブ</t>
    </rPh>
    <phoneticPr fontId="1"/>
  </si>
  <si>
    <t>法学部1部、法学部2部、人文学部1部、人文学部2部</t>
    <rPh sb="0" eb="3">
      <t>ホウガクブ</t>
    </rPh>
    <rPh sb="4" eb="5">
      <t>ブ</t>
    </rPh>
    <rPh sb="6" eb="9">
      <t>ホウガクブ</t>
    </rPh>
    <rPh sb="10" eb="11">
      <t>ブ</t>
    </rPh>
    <rPh sb="12" eb="14">
      <t>ジンブン</t>
    </rPh>
    <rPh sb="14" eb="16">
      <t>ガクブ</t>
    </rPh>
    <rPh sb="17" eb="18">
      <t>ブ</t>
    </rPh>
    <rPh sb="19" eb="21">
      <t>ジンブン</t>
    </rPh>
    <rPh sb="21" eb="22">
      <t>ガク</t>
    </rPh>
    <rPh sb="22" eb="23">
      <t>ブ</t>
    </rPh>
    <rPh sb="24" eb="25">
      <t>ブ</t>
    </rPh>
    <phoneticPr fontId="1"/>
  </si>
  <si>
    <t>プログラムを構成する必修科目8単位を修得すること。
必修科目：「情報リテラシー」4単位、「経営統計学概論Ⅰ」2単位、「経営統計学概論Ⅱ」2単位
選択科目：「教養科目特別講義（情報リテラシー）」　2単位、「情報と社会」2単位、「情報技術論」2単位、「統計学Ⅰ」2単位、「数学概論Ⅰ」2単位、「数学概論Ⅱ」2単位</t>
    <rPh sb="6" eb="8">
      <t>コウセイ</t>
    </rPh>
    <rPh sb="10" eb="12">
      <t>ヒッシュウ</t>
    </rPh>
    <rPh sb="12" eb="14">
      <t>カモク</t>
    </rPh>
    <rPh sb="15" eb="17">
      <t>タンイ</t>
    </rPh>
    <rPh sb="18" eb="20">
      <t>シュウトク</t>
    </rPh>
    <rPh sb="26" eb="28">
      <t>ヒッシュウ</t>
    </rPh>
    <rPh sb="28" eb="30">
      <t>カモク</t>
    </rPh>
    <rPh sb="32" eb="34">
      <t>ジョウホウ</t>
    </rPh>
    <rPh sb="41" eb="43">
      <t>タンイ</t>
    </rPh>
    <rPh sb="45" eb="47">
      <t>ケイエイ</t>
    </rPh>
    <rPh sb="47" eb="50">
      <t>トウケイガク</t>
    </rPh>
    <rPh sb="50" eb="52">
      <t>ガイロン</t>
    </rPh>
    <rPh sb="55" eb="57">
      <t>タンイ</t>
    </rPh>
    <rPh sb="59" eb="61">
      <t>ケイエイ</t>
    </rPh>
    <rPh sb="61" eb="63">
      <t>トウケイ</t>
    </rPh>
    <rPh sb="63" eb="64">
      <t>ガク</t>
    </rPh>
    <rPh sb="64" eb="66">
      <t>ガイロン</t>
    </rPh>
    <rPh sb="69" eb="71">
      <t>タンイ</t>
    </rPh>
    <rPh sb="72" eb="74">
      <t>センタク</t>
    </rPh>
    <rPh sb="74" eb="76">
      <t>カモク</t>
    </rPh>
    <phoneticPr fontId="1"/>
  </si>
  <si>
    <t>工学部　教授／工学部長　元木　邦俊
経済学部　教授　上園　昌武
経営学部　教授　関　哲人
法学部　准教授　髙橋　美野梨
人文学部　教授　柴田　崇
工学部　准教授　長谷川　大
法学部　教授／教務センター長　鈴木　美佐子
工学部　准教授　船川　大樹
教務センター事務長　中山　知幸</t>
    <rPh sb="7" eb="10">
      <t>コウガクブ</t>
    </rPh>
    <rPh sb="10" eb="11">
      <t>チョウ</t>
    </rPh>
    <rPh sb="49" eb="50">
      <t>ジュン</t>
    </rPh>
    <rPh sb="50" eb="52">
      <t>キョウジュ</t>
    </rPh>
    <rPh sb="94" eb="96">
      <t>キョウム</t>
    </rPh>
    <rPh sb="100" eb="101">
      <t>チョウ</t>
    </rPh>
    <rPh sb="123" eb="125">
      <t>キョウム</t>
    </rPh>
    <rPh sb="129" eb="132">
      <t>ジムチョウ</t>
    </rPh>
    <rPh sb="133" eb="135">
      <t>ナカヤマ</t>
    </rPh>
    <rPh sb="136" eb="138">
      <t>トモユキ</t>
    </rPh>
    <phoneticPr fontId="1"/>
  </si>
  <si>
    <t xml:space="preserve">・ビッグデータ、IoT、AI、ロボット「教養科目特別講義（情報リテラシー）」（第1回）
・データ量の増加、計算機の処理性能の向上「教養科目特別講義（情報リテラシー）」（第1回）
・第4次産業革命、Society 5.0、データ駆動型社会「教養科目特別講義（情報リテラシー）」（第2回）
・複数技術を組み合わせたAIサービス「教養科目特別講義（情報リテラシー）」（第1回）
・人間の知的活動とAIの関係性「教養科目特別講義（情報リテラシー）」（第1回、第4回）
・データを起点としたものの見方、人間の知的活動を起点としたものの見方「教養科目特別講義（情報リテラシー）」（第2回）
</t>
    <rPh sb="20" eb="22">
      <t>キョウヨウ</t>
    </rPh>
    <rPh sb="22" eb="24">
      <t>カモク</t>
    </rPh>
    <rPh sb="24" eb="26">
      <t>トクベツ</t>
    </rPh>
    <rPh sb="26" eb="28">
      <t>コウギ</t>
    </rPh>
    <rPh sb="29" eb="31">
      <t>ジョウホウ</t>
    </rPh>
    <rPh sb="39" eb="40">
      <t>ダイ</t>
    </rPh>
    <rPh sb="41" eb="42">
      <t>カイ</t>
    </rPh>
    <rPh sb="225" eb="226">
      <t>ダイ</t>
    </rPh>
    <rPh sb="227" eb="228">
      <t>カイ</t>
    </rPh>
    <phoneticPr fontId="1"/>
  </si>
  <si>
    <t>・データ・AI活用領域の広がり(生産、消費、文化活動など)「教養科目特別講義（情報リテラシー）」（第4回）
・研究開発、調達、製造、物流、販売、マーケティング、サービスなど「教養科目特別講義（情報リテラシー）」（第4回）
・仮説検証、知識発見、原因究明、計画策定、判断支援、活動代替、新規生成など「教養科目特別講義（情報リテラシー）」（第4回、第6回）</t>
    <rPh sb="172" eb="173">
      <t>ダイ</t>
    </rPh>
    <rPh sb="174" eb="175">
      <t>カイ</t>
    </rPh>
    <phoneticPr fontId="1"/>
  </si>
  <si>
    <t>・データの集計（和、平均）「教養科目特別講義（情報リテラシー）」（第9回、第12回）
・データの並び替え、ランキング「教養科目特別講義（情報リテラシー）」（第11回）
・データ解析ツール（スプレッドシート）「教養科目特別講義（情報リテラシー）」（第9回～第12回）
・表形式のデータ（csv）「教養科目特別講義（情報リテラシー）」（第3回）</t>
    <rPh sb="33" eb="34">
      <t>ダイ</t>
    </rPh>
    <rPh sb="35" eb="36">
      <t>カイ</t>
    </rPh>
    <phoneticPr fontId="1"/>
  </si>
  <si>
    <t>・データサイエンスのサイクル（課題抽出と定式化、データの取得・管理・加工、探索的データ解析、データ解析と推論、結果の共有・伝達、課題解決に向けた提案）「教養科目特別講義（情報リテラシー）」（第6回）
・流通、製造、金融、サービス、インフラ、公共、ヘルスケア等におけるデータ・AI利活用事例紹介「教養科目特別講義（情報リテラシー）」（第7回）</t>
    <rPh sb="147" eb="155">
      <t>キョウヨウカモクトクベツコウギ</t>
    </rPh>
    <rPh sb="156" eb="158">
      <t>ジョウホウ</t>
    </rPh>
    <rPh sb="166" eb="167">
      <t>ダイ</t>
    </rPh>
    <rPh sb="168" eb="169">
      <t>カイ</t>
    </rPh>
    <phoneticPr fontId="1"/>
  </si>
  <si>
    <t>経営統計学概論Ⅰ</t>
    <rPh sb="0" eb="2">
      <t>ケイエイ</t>
    </rPh>
    <rPh sb="2" eb="5">
      <t>トウケイガク</t>
    </rPh>
    <rPh sb="5" eb="6">
      <t>ガイ</t>
    </rPh>
    <rPh sb="6" eb="7">
      <t>ロン</t>
    </rPh>
    <phoneticPr fontId="1"/>
  </si>
  <si>
    <t>○</t>
    <phoneticPr fontId="1"/>
  </si>
  <si>
    <t>・調査データ、実験データ、人の行動ログデータ、機械の稼働ログデータなど「教養科目特別講義（情報リテラシー）」（第3回）
・1次データ、2次データ、データのメタ化「教養科目特別講義（情報リテラシー）」（第3回）
・構造化データ、非構造化データ（文章、画像/動画、音声/音楽など）「教養科目特別講義（情報リテラシー）」（第3回）
・データのオープン化（オープンデータ）「教養科目特別講義（情報リテラシー）」（第3回）
・構造化データ、非構造化データ（文章、画像/動画、音声/音楽など）「情報技術論」（第7・8回）</t>
    <rPh sb="242" eb="244">
      <t>ジョウホウ</t>
    </rPh>
    <rPh sb="244" eb="246">
      <t>ギジュツ</t>
    </rPh>
    <rPh sb="246" eb="247">
      <t>ロン</t>
    </rPh>
    <rPh sb="249" eb="250">
      <t>ダイ</t>
    </rPh>
    <rPh sb="253" eb="254">
      <t>カイ</t>
    </rPh>
    <phoneticPr fontId="1"/>
  </si>
  <si>
    <t>・ELSI（Ethical, Legal and Social Issues）「教養科目特別講義（情報リテラシー）」（第13回）
・個人情報保護、EU一般データ保護規則(GDPR)、忘れられる権利、オプトアウト「教養科目特別講義（情報リテラシー）」（第13回）
・データ倫理：データのねつ造、改ざん、盗用、プライバシー保護「教養科目特別講義（情報リテラシー）」（第13回）
・AI社会原則（公平性、説明責任、透明性、人間中心の判断）「教養科目特別講義（情報リテラシー）」（第14回）
・データバイアス、アルゴリズムバイアス「教養科目特別講義（情報リテラシー）」（第14回）
・AIサービスの責任論「教養科目特別講義（情報リテラシー）」（第13回）
・データ・AI活用における負の事例紹介「教養科目特別講義（情報リテラシー）」（第14回）
・データ倫理：データのねつ造、改ざん、盗用、プライバシー保護「情報と社会」（第10・11回）</t>
    <rPh sb="401" eb="403">
      <t>ジョウホウ</t>
    </rPh>
    <rPh sb="404" eb="406">
      <t>シャカイ</t>
    </rPh>
    <rPh sb="408" eb="409">
      <t>ダイ</t>
    </rPh>
    <rPh sb="414" eb="415">
      <t>カイ</t>
    </rPh>
    <phoneticPr fontId="1"/>
  </si>
  <si>
    <t>・情報セキュリティ：機密性、完全性、可用性「教養科目特別講義（情報リテラシー）」（第15回）
・匿名加工情報、暗号化、パスワード、悪意ある情報搾取「教養科目特別講義（情報リテラシー）」（第15回）
・情報漏洩等によるセキュリティ事故の事例紹介「教養科目特別講義（情報リテラシー）」（第15回）
・情報セキュリティ：機密性、完全性、可用性「情報技術論」（第11・12回）
・情報セキュリティ：機密性、完全性、可用性「情報と社会」（第12～15回）</t>
    <rPh sb="170" eb="172">
      <t>ジョウホウ</t>
    </rPh>
    <rPh sb="172" eb="174">
      <t>ギジュツ</t>
    </rPh>
    <rPh sb="174" eb="175">
      <t>ロン</t>
    </rPh>
    <rPh sb="177" eb="178">
      <t>ダイ</t>
    </rPh>
    <rPh sb="183" eb="184">
      <t>カイ</t>
    </rPh>
    <rPh sb="208" eb="210">
      <t>ジョウホウ</t>
    </rPh>
    <rPh sb="211" eb="213">
      <t>シャカイ</t>
    </rPh>
    <rPh sb="215" eb="216">
      <t>ダイ</t>
    </rPh>
    <rPh sb="221" eb="222">
      <t>カイ</t>
    </rPh>
    <phoneticPr fontId="1"/>
  </si>
  <si>
    <t>・データ表現（棒グラフ、折線グラフ、散布図、ヒートマップ）「教養科目特別講義（情報リテラシー）」（第11回）
・データの図表表現（チャート化）「教養科目特別講義（情報リテラシー）」（第11回）
・データの比較（条件をそろえた比較、処理の前後での比較、A/Bテスト)「教養科目特別講義（情報リテラシー）」（第11回）
・不適切なグラフ表現（チャートジャンク、不必要な視覚的要素）「教養科目特別講義（情報リテラシー）」（第11回）
・優れた可視化事例の紹介（可視化することによって新たな気づきがあった事例など）「教養科目特別講義（情報リテラシー）」（第11回）
・データ表現（棒グラフ、折線グラフ、散布図、ヒートマップ）「コンピュータ科学」（担当者により第9回～11回の中でいずれか1回）</t>
    <rPh sb="316" eb="318">
      <t>カガク</t>
    </rPh>
    <rPh sb="320" eb="323">
      <t>タントウシャ</t>
    </rPh>
    <rPh sb="326" eb="327">
      <t>ダイ</t>
    </rPh>
    <rPh sb="328" eb="329">
      <t>カイ</t>
    </rPh>
    <rPh sb="334" eb="335">
      <t>ナカ</t>
    </rPh>
    <rPh sb="341" eb="342">
      <t>カイ</t>
    </rPh>
    <phoneticPr fontId="1"/>
  </si>
  <si>
    <t>・人間の知的活動とAIの関係性「経営統計学概論Ⅰ」（第1回）
・データを起点としたものの見方、人間の知的活動を起点としたものの見方「経営統計学概論Ⅰ」（第1回）
・ビッグデータ、IoT、AI、ロボット「教養科目特別講義（情報リテラシー）」（第1回）
・データ量の増加、計算機の処理性能の向上「教養科目特別講義（情報リテラシー）」（第1回）
・第4次産業革命、Society 5.0、データ駆動型社会「教養科目特別講義（情報リテラシー）」（第2回）
・複数技術を組み合わせたAIサービス「教養科目特別講義（情報リテラシー）」（第1回）
・人間の知的活動とAIの関係性「教養科目特別講義（情報リテラシー）」（第1回、第4回）
・データを起点としたものの見方、人間の知的活動を起点としたものの見方「教養科目特別講義（情報リテラシー）」（第2回）</t>
    <phoneticPr fontId="1"/>
  </si>
  <si>
    <t>・調査データ、実験データ、人の行動ログデータ、機械の稼働ログデータなど「経営統計学概論Ⅱ」（第4回）
・1次データ、2次データ、データのメタ化「経営統計学概論Ⅱ」（第4回）
・調査データ、実験データ、人の行動ログデータ、機械の稼働ログデータなど「教養科目特別講義（情報リテラシー）」（第3回）
・1次データ、2次データ、データのメタ化「教養科目特別講義（情報リテラシー）」（第3回）
・構造化データ、非構造化データ（文章、画像/動画、音声/音楽など）「教養科目特別講義（情報リテラシー）」（第3回）
・データのオープン化（オープンデータ）「教養科目特別講義（情報リテラシー）」（第3回）
・構造化データ、非構造化データ（文章、画像/動画、音声/音楽など）「情報技術論」（第7・8回）</t>
    <phoneticPr fontId="1"/>
  </si>
  <si>
    <t>・データ・AI活用領域の広がり(生産、消費、文化活動など)「経営統計学概論Ⅰ」（第14回）　
・研究開発、調達、製造、物流、販売、マーケティング、サービスなど「経営統計学概論Ⅰ」（第14回）
・データ・AI活用領域の広がり(生産、消費、文化活動など)「教養科目特別講義（情報リテラシー）」（第4回）
・研究開発、調達、製造、物流、販売、マーケティング、サービスなど「教養科目特別講義（情報リテラシー）」（第4回）
・仮説検証、知識発見、原因究明、計画策定、判断支援、活動代替、新規生成など「教養科目特別講義（情報リテラシー）」（第4回、第6回）</t>
    <phoneticPr fontId="1"/>
  </si>
  <si>
    <t>・流通、製造、金融、サービス、インフラ、公共、ヘルスケア等におけるデータ・AI利活用事例紹介「経営統計学概論Ⅱ」（第3回）
・データサイエンスのサイクル（課題抽出と定式化、データの取得・管理・加工、探索的データ解析、データ解析と推論、結果の共有・伝達、課題解決に向けた提案）「教養科目特別講義（情報リテラシー）」（第6回）
・流通、製造、金融、サービス、インフラ、公共、ヘルスケア等におけるデータ・AI利活用事例紹介「教養科目特別講義（情報リテラシー）」（第7回）</t>
    <phoneticPr fontId="1"/>
  </si>
  <si>
    <t>・データ倫理：データのねつ造、改ざん、盗用、プライバシー保護「(経営統計学概論Ⅱ」（第14回）
・ELSI（Ethical, Legal and Social Issues）「教養科目特別講義（情報リテラシー）」（第13回）
・個人情報保護、EU一般データ保護規則(GDPR)、忘れられる権利、オプトアウト「教養科目特別講義（情報リテラシー）」（第13回）
・データ倫理：データのねつ造、改ざん、盗用、プライバシー保護「教養科目特別講義（情報リテラシー）」（第13回）
・AI社会原則（公平性、説明責任、透明性、人間中心の判断）「教養科目特別講義（情報リテラシー）」（第14回）
・データバイアス、アルゴリズムバイアス「教養科目特別講義（情報リテラシー）」（第14回）
・AIサービスの責任論「教養科目特別講義（情報リテラシー）」（第13回）
・データ・AI活用における負の事例紹介「教養科目特別講義（情報リテラシー）」（第14回）
・データ倫理：データのねつ造、改ざん、盗用、プライバシー保護「情報と社会」（第10・11回）</t>
    <phoneticPr fontId="1"/>
  </si>
  <si>
    <t>・情報セキュリティ：機密性、完全性、可用性「情報リテラシー」（第4回）
・情報セキュリティ：機密性、完全性、可用性「教養科目特別講義（情報リテラシー）」（第15回）
・匿名加工情報、暗号化、パスワード、悪意ある情報搾取「教養科目特別講義（情報リテラシー）」（第15回）
・情報漏洩等によるセキュリティ事故の事例紹介「教養科目特別講義（情報リテラシー）」（第15回）
・情報セキュリティ：機密性、完全性、可用性「情報技術論」（第11・12回）
・情報セキュリティ：機密性、完全性、可用性「情報と社会」（第12～15回）</t>
    <phoneticPr fontId="1"/>
  </si>
  <si>
    <t>・データ表現（棒グラフ、折線グラフ、散布図、ヒートマップ）「情報リテラシー」（第23回）
・データ表現（棒グラフ、折線グラフ、散布図、ヒートマップ）「経営統計学概論Ⅰ」(第10回）
・データ表現（棒グラフ、折線グラフ、散布図、ヒートマップ）「教養科目特別講義（情報リテラシー）」（第11回）
・データの図表表現（チャート化）「教養科目特別講義（情報リテラシー）」（第11回）
・データの比較（条件をそろえた比較、処理の前後での比較、A/Bテスト)「教養科目特別講義（情報リテラシー）」（第11回）
・不適切なグラフ表現（チャートジャンク、不必要な視覚的要素）「教養科目特別講義（情報リテラシー）」（第11回）
・優れた可視化事例の紹介（可視化することによって新たな気づきがあった事例など）「教養科目特別講義（情報リテラシー）」（第11回）
・データ表現（棒グラフ、折線グラフ、散布図、ヒートマップ）「コンピュータ科学」（担当者により第9回～11回の中でいずれか1回）</t>
    <phoneticPr fontId="1"/>
  </si>
  <si>
    <t>・データの集計（和、平均）「情報リテラシー」（第18・19回）
・データの集計（和、平均）「経営統計学概論Ⅰ」（第12回）
・データの並び替え、ランキング「情報リテラシー」（第18・19回）
・データの集計（和、平均）「教養科目特別講義（情報リテラシー）」（第9回、第12回）
・データの並び替え、ランキング「教養科目特別講義（情報リテラシー）」（第11回）
・データ解析ツール（スプレッドシート）「教養科目特別講義（情報リテラシー）」（第9回～第12回）
・表形式のデータ（csv）「教養科目特別講義（情報リテラシー）」（第3回）</t>
    <phoneticPr fontId="1"/>
  </si>
  <si>
    <t>・データ表現（棒グラフ、折線グラフ、散布図、ヒートマップ）「教養科目特別講義（情報リテラシー）」（第11回）
・データの図表表現（チャート化）「教養科目特別講義（情報リテラシー）」（第11回）
・データの比較（条件をそろえた比較、処理の前後での比較、A/Bテスト)「教養科目特別講義（情報リテラシー）」（第11回）
・不適切なグラフ表現（チャートジャンク、不必要な視覚的要素）「教養科目特別講義（情報リテラシー）」（第11回）
・優れた可視化事例の紹介（可視化することによって新たな気づきがあった事例など）「教養科目特別講義（情報リテラシー）」（第11回）
・データ表現（棒グラフ、折線グラフ、散布図、ヒートマップ）「情報処理論」（第14～16回）</t>
    <rPh sb="310" eb="312">
      <t>ジョウホウ</t>
    </rPh>
    <rPh sb="312" eb="314">
      <t>ショリ</t>
    </rPh>
    <rPh sb="314" eb="315">
      <t>ロン</t>
    </rPh>
    <rPh sb="317" eb="318">
      <t>ダイ</t>
    </rPh>
    <rPh sb="323" eb="324">
      <t>カイ</t>
    </rPh>
    <phoneticPr fontId="1"/>
  </si>
  <si>
    <t>・データの集計（和、平均）「教養科目特別講義（情報リテラシー）」（第9回、第12回）
・データの並び替え、ランキング「教養科目特別講義（情報リテラシー）」（第11回）
・データ解析ツール（スプレッドシート）「教養科目特別講義（情報リテラシー）」（第9回～第12回）
・表形式のデータ（csv）「教養科目特別講義（情報リテラシー）」（第3回）
・データの集計（和、平均）「情報処理論」（第5～9回）
・データの並び替え、ランキング「情報処理論」（第23～25回）</t>
    <rPh sb="177" eb="179">
      <t>シュウケイ</t>
    </rPh>
    <rPh sb="180" eb="181">
      <t>ワ</t>
    </rPh>
    <rPh sb="182" eb="184">
      <t>ヘイキン</t>
    </rPh>
    <rPh sb="186" eb="188">
      <t>ジョウホウ</t>
    </rPh>
    <rPh sb="188" eb="190">
      <t>ショリ</t>
    </rPh>
    <rPh sb="190" eb="191">
      <t>ロン</t>
    </rPh>
    <rPh sb="193" eb="194">
      <t>ダイ</t>
    </rPh>
    <rPh sb="197" eb="198">
      <t>カイ</t>
    </rPh>
    <rPh sb="205" eb="206">
      <t>ナラ</t>
    </rPh>
    <rPh sb="207" eb="208">
      <t>カ</t>
    </rPh>
    <rPh sb="223" eb="224">
      <t>ダイ</t>
    </rPh>
    <rPh sb="229" eb="230">
      <t>カイ</t>
    </rPh>
    <phoneticPr fontId="1"/>
  </si>
  <si>
    <t>・ビッグデータ、IoT、AI、ロボット「教養科目特別講義（情報リテラシー）」（第1回）
・データ量の増加、計算機の処理性能の向上「教養科目特別講義（情報リテラシー）」（第1回）
・第4次産業革命、Society 5.0、データ駆動型社会「教養科目特別講義（情報リテラシー）」（第2回）
・複数技術を組み合わせたAIサービス「教養科目特別講義（情報リテラシー）」（第1回）
・人間の知的活動とAIの関係性「教養科目特別講義（情報リテラシー）」（第1回、第4回）
・データを起点としたものの見方、人間の知的活動を起点としたものの見方「教養科目特別講義（情報リテラシー）」（第2回）</t>
    <rPh sb="20" eb="22">
      <t>キョウヨウ</t>
    </rPh>
    <rPh sb="22" eb="24">
      <t>カモク</t>
    </rPh>
    <rPh sb="24" eb="26">
      <t>トクベツ</t>
    </rPh>
    <rPh sb="26" eb="28">
      <t>コウギ</t>
    </rPh>
    <rPh sb="29" eb="31">
      <t>ジョウホウ</t>
    </rPh>
    <rPh sb="39" eb="40">
      <t>ダイ</t>
    </rPh>
    <rPh sb="41" eb="42">
      <t>カイ</t>
    </rPh>
    <rPh sb="225" eb="226">
      <t>ダイ</t>
    </rPh>
    <rPh sb="227" eb="228">
      <t>カイ</t>
    </rPh>
    <phoneticPr fontId="1"/>
  </si>
  <si>
    <t>様式１－１</t>
    <rPh sb="0" eb="2">
      <t>ヨウシキ</t>
    </rPh>
    <phoneticPr fontId="1"/>
  </si>
  <si>
    <t>様式１－４</t>
    <rPh sb="0" eb="2">
      <t>ヨウシキ</t>
    </rPh>
    <phoneticPr fontId="1"/>
  </si>
  <si>
    <t>様式１－３</t>
    <rPh sb="0" eb="2">
      <t>ヨウシキ</t>
    </rPh>
    <phoneticPr fontId="1"/>
  </si>
  <si>
    <t>様式１－２</t>
    <rPh sb="0" eb="2">
      <t>ヨウシキ</t>
    </rPh>
    <phoneticPr fontId="1"/>
  </si>
  <si>
    <t>・データ解析：予測、グルーピング、パターン発見、最適化、シミュレーション・データ同化など「経営統計学概論Ⅰ」（第13回）
・データ可視化：複合グラフ、2軸グラフ、多次元の可視化、関係性の可視化、地図上の可視化、挙動・軌跡の可視化、リアルタイム可視化など「経営統計学概論Ⅰ」（第12回）
・データ解析:予測、グルーピング、パターン発見、最適化、シミュレーション・データ同化など「教養科目特別講義（情報リテラシー）」（第6回、第12回）
・データ可視化:複合グラフ、2軸グラフ、多次元の可視化、関係性の可視化、地図上の可視化、挙動・軌跡の可視化、リアルタイム可視化など「教養科目特別講義（情報リテラシー）」（第11回）
・非構造化データ処理：言語処理、画像/動画処理、音声/音楽処理など「教養科目特別講義（情報リテラシー）」（第5回）
・特化型AIと汎用AI、今のAIで出来ることと出来ないこと、AIとビッグデータ「教養科目特別講義（情報リテラシー）」（第4回、第5回）
・認識技術、ルールベース、自動化技術「教養科目特別講義（情報リテラシー）」（第4回、第5回）</t>
    <phoneticPr fontId="1"/>
  </si>
  <si>
    <t>・データ解析:予測、グルーピング、パターン発見、最適化、シミュレーション・データ同化など「教養科目特別講義（情報リテラシー）」（第6回、第12回）
・データ可視化:複合グラフ、2軸グラフ、多次元の可視化、関係性の可視化、地図上の可視化、挙動・軌跡の可視化、リアルタイム可視化など「教養科目特別講義（情報リテラシー）」（第11回）
・非構造化データ処理：言語処理、画像/動画処理、音声/音楽処理など「教養科目特別講義（情報リテラシー）」（第5回）
・特化型AIと汎用AI、今のAIで出来ることと出来ないこと、AIとビッグデータ「教養科目特別講義（情報リテラシー）」（第4回、第5回）
・認識技術、ルールベース、自動化技術「教養科目特別講義（情報リテラシー）」（第4回、第5回）</t>
    <rPh sb="284" eb="285">
      <t>カイ</t>
    </rPh>
    <rPh sb="286" eb="287">
      <t>ダイ</t>
    </rPh>
    <rPh sb="310" eb="318">
      <t>キョウヨウカモクトクベツコウギ</t>
    </rPh>
    <rPh sb="319" eb="321">
      <t>ジョウホウ</t>
    </rPh>
    <phoneticPr fontId="1"/>
  </si>
  <si>
    <t>・AI等を活用した新しいビジネスモデル(シェアリングエコノミー、商品のレコメンデーションなど)「教養科目特別講義（情報リテラシー）」（第7回、第8回）
・AI最新技術の活用例（深層生成モデル、敵対的生成ネットワーク、強化学習、転移学習など）「教養科目特別講義（情報リテラシー）」（第8回）</t>
    <rPh sb="48" eb="50">
      <t>キョウヨウ</t>
    </rPh>
    <rPh sb="50" eb="52">
      <t>カモク</t>
    </rPh>
    <rPh sb="52" eb="54">
      <t>トクベツ</t>
    </rPh>
    <rPh sb="54" eb="56">
      <t>コウギ</t>
    </rPh>
    <rPh sb="57" eb="59">
      <t>ジョウホウ</t>
    </rPh>
    <rPh sb="71" eb="72">
      <t>ダイ</t>
    </rPh>
    <rPh sb="73" eb="74">
      <t>カイ</t>
    </rPh>
    <phoneticPr fontId="1"/>
  </si>
  <si>
    <t>・AI等を活用した新しいビジネスモデル(シェアリングエコノミー、商品のレコメンデーションなど) 「情報リテラシー」（第6回）
・AI等を活用した新しいビジネスモデル(シェアリングエコノミー、商品のレコメンデーションなど)「経営統計学概論Ⅰ」（第14回）
・AI等を活用した新しいビジネスモデル(シェアリングエコノミー、商品のレコメンデーションなど)「教養科目特別講義（情報リテラシー）」（第7回、第8回）
・AI最新技術の活用例（深層生成モデル、敵対的生成ネットワーク、強化学習、転移学習など）「教養科目特別講義（情報リテラシー）」（第8回）</t>
    <phoneticPr fontId="1"/>
  </si>
  <si>
    <t>・データの種類（量的変数、質的変数）「教養科目特別講義（情報リテラシー）」（第9回）
・データの分布(ヒストグラム)と代表値（平均値、中央値、最頻値）「教養科目特別講義（情報リテラシー）」（第9回）
・代表値の性質の違い（実社会では平均値＝最頻値でないことが多い）「教養科目特別講義（情報リテラシー）」（第9回）
・データのばらつき（分散、標準偏差、偏差値）「教養科目特別講義（情報リテラシー）」（第9回）
・打ち切りや脱落を含むデータ、層別の必要なデータ「教養科目特別講義（情報リテラシー）」（第9回）
・相関と因果（相関係数、擬似相関、交絡）「教養科目特別講義（情報リテラシー）」（第10回）
・母集団と標本抽出（国勢調査、アンケート調査、全数調査、単純無作為抽出、層別抽出、多段抽出）「教養科目特別講義（情報リテラシー）」（第10回）
・クロス集計表、分割表、相関係数行列、散布図行列「教養科目特別講義（情報リテラシー）」（第10回）
・統計情報の正しい理解（誇張表現に惑わされない）「教養科目特別講義（情報リテラシー）」（第10回）</t>
    <phoneticPr fontId="1"/>
  </si>
  <si>
    <t>・データの種類（量的変数、質的変数）「経営統計学概論Ⅱ」（第1回）　　　
・データの分布(ヒストグラム)と代表値（平均値、中央値、最頻値）「経営統計学概論Ⅰ」（第2回）
・代表値の性質の違い（実社会では平均値＝最頻値でないことが多い）「経営統計学概論Ⅰ」（第3回）
・データのばらつき（分散、標準偏差、偏差値）「経営統計学概論Ⅰ」（第4回）
・相関と因果（相関係数、擬似相関、交絡）「経営統計学概論Ⅰ」（第10・11回）
・母集団と標本抽出（国勢調査、アンケート調査、全数調査、単純無作為抽出、層別抽出、多段抽出）「経営統計学概論Ⅱ」（第5回）　
・クロス集計表、分割表、相関係数行列、散布図行列「経営統計学概論Ⅱ」（第2・3回）
・データの種類（量的変数、質的変数）「教養科目特別講義（情報リテラシー）」（第9回）
・データの分布(ヒストグラム)と代表値（平均値、中央値、最頻値）「教養科目特別講義（情報リテラシー）」（第9回）
・代表値の性質の違い（実社会では平均値＝最頻値でないことが多い）「教養科目特別講義（情報リテラシー）」（第9回）
・データのばらつき（分散、標準偏差、偏差値）「教養科目特別講義（情報リテラシー）」（第9回）
・打ち切りや脱落を含むデータ、層別の必要なデータ「教養科目特別講義（情報リテラシー）」（第9回）
・相関と因果（相関係数、擬似相関、交絡）「教養科目特別講義（情報リテラシー）」（第10回）
・母集団と標本抽出（国勢調査、アンケート調査、全数調査、単純無作為抽出、層別抽出、多段抽出）「教養科目特別講義（情報リテラシー）」（第10回）
・クロス集計表、分割表、相関係数行列、散布図行列「教養科目特別講義（情報リテラシー）」（第10回）
・統計情報の正しい理解（誇張表現に惑わされない）「教養科目特別講義（情報リテラシー）」（第10回）</t>
    <phoneticPr fontId="1"/>
  </si>
  <si>
    <t>HGU数理・データサイエンス教育プログラム運営委員会は、本学の「HGU数理・データサイエンス教育プログラム」の全学的な実施、並びにプログラムの改善・向上及び自己点検・評価を行うことを目的としている。</t>
  </si>
  <si>
    <t>プログラムのお知らせを学内ポータルサイトG-PLUS!で新年度ガイダンスの告知と併せてしており、全学生に周知している。また、履修登録開始時にも再度告知をし、プログラムの希望者を募っている。</t>
    <rPh sb="7" eb="8">
      <t>シ</t>
    </rPh>
    <rPh sb="11" eb="13">
      <t>ガクナイ</t>
    </rPh>
    <rPh sb="28" eb="31">
      <t>シンネンド</t>
    </rPh>
    <rPh sb="37" eb="39">
      <t>コクチ</t>
    </rPh>
    <rPh sb="40" eb="41">
      <t>アワ</t>
    </rPh>
    <rPh sb="48" eb="49">
      <t>ゼン</t>
    </rPh>
    <rPh sb="49" eb="51">
      <t>ガクセイ</t>
    </rPh>
    <rPh sb="52" eb="54">
      <t>シュウチ</t>
    </rPh>
    <rPh sb="62" eb="64">
      <t>リシュウ</t>
    </rPh>
    <rPh sb="64" eb="66">
      <t>トウロク</t>
    </rPh>
    <rPh sb="66" eb="68">
      <t>カイシ</t>
    </rPh>
    <rPh sb="68" eb="69">
      <t>ジ</t>
    </rPh>
    <rPh sb="71" eb="73">
      <t>サイド</t>
    </rPh>
    <rPh sb="73" eb="75">
      <t>コクチ</t>
    </rPh>
    <rPh sb="84" eb="87">
      <t>キボウシャ</t>
    </rPh>
    <rPh sb="88" eb="89">
      <t>ツノ</t>
    </rPh>
    <phoneticPr fontId="1"/>
  </si>
  <si>
    <t>経済学部、法学部、人文学部、工学部の必修科目である「教養科目特別講義（情報リテラシー）」は、オンデマンドの遠隔授業として実施した。履修者数は322名（プログラムに参加していない学生を含む全履修者数）、合格率は84%となった。経営学部必修科目「情報リテラシー」の履修者数は469名（同上）、合格率は96％、「経営統計学概論Ⅰ、Ⅱ」はそれぞれ、339名、269名（同上）、合格率は69%、72%となった。これらの科目の学修目標、合否の状況、成績分布はHGU数理・データサイエンス教育プログラム運営委員会に報告され、科目実施体制の見直しなど、教育プログラムの改善・自己点検に活用されている。</t>
    <rPh sb="65" eb="67">
      <t>リシュウ</t>
    </rPh>
    <rPh sb="67" eb="68">
      <t>シャ</t>
    </rPh>
    <rPh sb="68" eb="69">
      <t>スウ</t>
    </rPh>
    <rPh sb="100" eb="102">
      <t>ゴウカク</t>
    </rPh>
    <rPh sb="102" eb="103">
      <t>リツ</t>
    </rPh>
    <rPh sb="130" eb="132">
      <t>リシュウ</t>
    </rPh>
    <rPh sb="132" eb="133">
      <t>シャ</t>
    </rPh>
    <rPh sb="133" eb="134">
      <t>スウ</t>
    </rPh>
    <rPh sb="138" eb="139">
      <t>メイ</t>
    </rPh>
    <rPh sb="140" eb="142">
      <t>ドウジョウ</t>
    </rPh>
    <rPh sb="144" eb="146">
      <t>ゴウカク</t>
    </rPh>
    <rPh sb="146" eb="147">
      <t>リツ</t>
    </rPh>
    <rPh sb="173" eb="174">
      <t>メイ</t>
    </rPh>
    <rPh sb="178" eb="179">
      <t>メイ</t>
    </rPh>
    <rPh sb="204" eb="206">
      <t>カモク</t>
    </rPh>
    <rPh sb="207" eb="209">
      <t>ガクシュウ</t>
    </rPh>
    <rPh sb="209" eb="211">
      <t>モクヒョウ</t>
    </rPh>
    <rPh sb="212" eb="214">
      <t>ゴウヒ</t>
    </rPh>
    <rPh sb="215" eb="217">
      <t>ジョウキョウ</t>
    </rPh>
    <rPh sb="218" eb="220">
      <t>セイセキ</t>
    </rPh>
    <rPh sb="220" eb="222">
      <t>ブンプ</t>
    </rPh>
    <rPh sb="250" eb="252">
      <t>ホウコク</t>
    </rPh>
    <rPh sb="255" eb="257">
      <t>カモク</t>
    </rPh>
    <rPh sb="257" eb="259">
      <t>ジッシ</t>
    </rPh>
    <rPh sb="259" eb="261">
      <t>タイセイ</t>
    </rPh>
    <rPh sb="262" eb="264">
      <t>ミナオ</t>
    </rPh>
    <rPh sb="268" eb="270">
      <t>キョウイク</t>
    </rPh>
    <rPh sb="276" eb="278">
      <t>カイゼン</t>
    </rPh>
    <rPh sb="279" eb="281">
      <t>ジコ</t>
    </rPh>
    <rPh sb="281" eb="283">
      <t>テンケン</t>
    </rPh>
    <rPh sb="284" eb="286">
      <t>カツヨウ</t>
    </rPh>
    <phoneticPr fontId="1"/>
  </si>
  <si>
    <t>経済学部、法学部、人文学部、工学部は、一般教育科目の「教養科目特別講義（情報リテラシー）」（２単位）を必修科目とし、数学、情報、統計関係の科目を選択科目として、合計４単位以上をプログラムの修了要件としている。また、経営学部は、専門教育科目の「情報リテラシー」（４単位）、「経営統計学概論Ⅰ、Ⅱ」（各２単位）を必修科目とし、必修８単位をプログラムの修了要件としている。2023年度のプログラムの履修登録者は、合計１６２名となった。過年度の学生のプログラムへの参加を認めており、４年生の８名は修了要件を満たしており、2023年度のプログラム修了者となった。</t>
    <rPh sb="148" eb="149">
      <t>カク</t>
    </rPh>
    <phoneticPr fontId="1"/>
  </si>
  <si>
    <t>経済学部・法学部・人文学部・工学部のプログラム構成科目の必修科目「教養科目特別講義（情報リテラシー）」は、一般教育科目に位置づけており、すべての学生が履修することが可能である。なお、経済学部と工学部の選択科目の一部に専門科目を配置しているが、それ以外の選択科目は、一般教育科目に位置づけているため、履修することが可能である。
経営学部のプログラム構成科目の必修科目は、専門科目である「情報リテラシー」、「経営統計学概論Ⅰ」、「経営統計学概論Ⅱ」であるが、一般教育科目も受講可能としているため、学生の選択肢を閉ざすことのないように展開している。</t>
    <phoneticPr fontId="1"/>
  </si>
  <si>
    <t>データ分析の基礎的な能力を身に付けることができます。統計情報の意味を正しく理解して、数理的思考に基づいた意思決定に役立てることができます。AIの特徴を理解して、AIを活用するために必要な素養を身に付けることができます。</t>
    <phoneticPr fontId="1"/>
  </si>
  <si>
    <t>令和5</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</si>
</sst>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8"/>
      <color theme="1"/>
      <name val="ＭＳ Ｐゴシック"/>
      <family val="3"/>
      <charset val="128"/>
      <scheme val="minor"/>
    </font>
    <font>
      <sz val="4"/>
      <color theme="1"/>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1" xfId="0" applyFont="1" applyBorder="1" applyAlignment="1">
      <alignment horizontal="center" vertical="center"/>
    </xf>
    <xf numFmtId="0" fontId="13" fillId="0" borderId="0" xfId="0" applyFont="1" applyAlignment="1">
      <alignment horizontal="center" vertical="center" shrinkToFit="1"/>
    </xf>
    <xf numFmtId="0" fontId="2" fillId="0" borderId="48" xfId="0" applyFont="1" applyBorder="1" applyAlignment="1">
      <alignment horizontal="center" vertical="center" shrinkToFit="1"/>
    </xf>
    <xf numFmtId="9" fontId="2" fillId="0" borderId="14" xfId="0" applyNumberFormat="1" applyFont="1" applyBorder="1" applyAlignment="1">
      <alignment vertical="center" shrinkToFit="1"/>
    </xf>
    <xf numFmtId="0" fontId="13" fillId="0" borderId="1" xfId="0" applyFont="1" applyBorder="1" applyAlignment="1">
      <alignment horizontal="center" vertical="center"/>
    </xf>
    <xf numFmtId="0" fontId="13" fillId="3" borderId="0" xfId="0" applyFont="1" applyFill="1" applyAlignment="1">
      <alignment horizontal="center" vertical="center"/>
    </xf>
    <xf numFmtId="0" fontId="13" fillId="3" borderId="1" xfId="0" applyFont="1" applyFill="1" applyBorder="1" applyAlignment="1">
      <alignment horizontal="center" vertical="center" wrapText="1" shrinkToFit="1"/>
    </xf>
    <xf numFmtId="9" fontId="13" fillId="3" borderId="1" xfId="0" applyNumberFormat="1" applyFont="1" applyFill="1" applyBorder="1" applyAlignment="1">
      <alignment horizontal="center" vertical="center" wrapText="1" shrinkToFit="1"/>
    </xf>
    <xf numFmtId="0" fontId="13" fillId="3" borderId="0" xfId="0" applyFont="1" applyFill="1">
      <alignment vertical="center"/>
    </xf>
    <xf numFmtId="9" fontId="13" fillId="3" borderId="0" xfId="1" applyFont="1" applyFill="1" applyAlignment="1">
      <alignment horizontal="center" vertical="center"/>
    </xf>
    <xf numFmtId="0" fontId="13" fillId="3" borderId="1" xfId="0" applyFont="1" applyFill="1" applyBorder="1" applyAlignment="1">
      <alignment horizontal="center" vertical="center" shrinkToFit="1"/>
    </xf>
    <xf numFmtId="176" fontId="13" fillId="3" borderId="1" xfId="0" applyNumberFormat="1" applyFont="1" applyFill="1" applyBorder="1" applyAlignment="1">
      <alignment horizontal="center" vertical="center" shrinkToFit="1"/>
    </xf>
    <xf numFmtId="0" fontId="2" fillId="0" borderId="0" xfId="0" applyFont="1" applyFill="1">
      <alignment vertical="center"/>
    </xf>
    <xf numFmtId="0" fontId="13" fillId="0" borderId="0" xfId="0" applyFont="1" applyFill="1">
      <alignment vertical="center"/>
    </xf>
    <xf numFmtId="0" fontId="10" fillId="0" borderId="0" xfId="0" applyFont="1" applyFill="1">
      <alignment vertical="center"/>
    </xf>
    <xf numFmtId="0" fontId="13" fillId="0" borderId="0" xfId="0" applyFont="1" applyFill="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3" fillId="0" borderId="0" xfId="0" applyFont="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17" fillId="0" borderId="29" xfId="0" applyNumberFormat="1" applyFont="1" applyBorder="1" applyAlignment="1">
      <alignment horizontal="left" vertical="center" wrapText="1"/>
    </xf>
    <xf numFmtId="49" fontId="17" fillId="0" borderId="31" xfId="0" applyNumberFormat="1" applyFont="1" applyBorder="1" applyAlignment="1">
      <alignment horizontal="left" vertical="center"/>
    </xf>
    <xf numFmtId="49" fontId="17" fillId="0" borderId="30" xfId="0" applyNumberFormat="1" applyFont="1" applyBorder="1" applyAlignment="1">
      <alignment horizontal="left" vertical="center"/>
    </xf>
    <xf numFmtId="0" fontId="3" fillId="0" borderId="27" xfId="0" applyFont="1" applyBorder="1" applyAlignment="1">
      <alignment vertical="center" wrapTex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0" borderId="1" xfId="0" applyFont="1" applyBorder="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12" fillId="0" borderId="0" xfId="0" applyFont="1" applyAlignment="1">
      <alignment horizontal="left" vertical="center" wrapTex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49" fontId="9" fillId="0" borderId="29" xfId="0" applyNumberFormat="1" applyFont="1" applyBorder="1" applyAlignment="1">
      <alignment horizontal="left" vertical="center" wrapText="1"/>
    </xf>
    <xf numFmtId="49" fontId="9" fillId="0" borderId="31" xfId="0" applyNumberFormat="1" applyFont="1" applyBorder="1" applyAlignment="1">
      <alignment horizontal="left" vertical="center"/>
    </xf>
    <xf numFmtId="49" fontId="9" fillId="0" borderId="30" xfId="0" applyNumberFormat="1" applyFont="1" applyBorder="1" applyAlignment="1">
      <alignment horizontal="left" vertical="center"/>
    </xf>
    <xf numFmtId="49" fontId="18" fillId="0" borderId="32" xfId="0" applyNumberFormat="1" applyFont="1" applyBorder="1" applyAlignment="1">
      <alignment horizontal="left" vertical="center" wrapText="1"/>
    </xf>
    <xf numFmtId="49" fontId="18" fillId="0" borderId="33" xfId="0" applyNumberFormat="1" applyFont="1" applyBorder="1" applyAlignment="1">
      <alignment horizontal="left" vertical="center"/>
    </xf>
    <xf numFmtId="49" fontId="18" fillId="0" borderId="34" xfId="0" applyNumberFormat="1" applyFont="1" applyBorder="1" applyAlignment="1">
      <alignment horizontal="left" vertical="center"/>
    </xf>
    <xf numFmtId="49" fontId="17" fillId="0" borderId="18" xfId="0" applyNumberFormat="1" applyFont="1" applyBorder="1" applyAlignment="1">
      <alignment horizontal="left" vertical="center" wrapText="1"/>
    </xf>
    <xf numFmtId="49" fontId="17" fillId="0" borderId="19" xfId="0" applyNumberFormat="1" applyFont="1" applyBorder="1" applyAlignment="1">
      <alignment horizontal="left" vertical="center"/>
    </xf>
    <xf numFmtId="49" fontId="17" fillId="0" borderId="17" xfId="0" applyNumberFormat="1" applyFont="1" applyBorder="1" applyAlignment="1">
      <alignment horizontal="left" vertical="center"/>
    </xf>
    <xf numFmtId="0" fontId="13" fillId="3" borderId="0" xfId="0" applyFont="1" applyFill="1" applyAlignment="1">
      <alignment horizontal="right" vertical="center"/>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3" fillId="3" borderId="7" xfId="0" applyFont="1" applyFill="1" applyBorder="1" applyAlignment="1">
      <alignment vertical="top" wrapText="1" shrinkToFit="1"/>
    </xf>
    <xf numFmtId="0" fontId="13" fillId="3" borderId="8" xfId="0" applyFont="1" applyFill="1" applyBorder="1" applyAlignment="1">
      <alignment vertical="top" wrapText="1" shrinkToFit="1"/>
    </xf>
    <xf numFmtId="0" fontId="13" fillId="3" borderId="9" xfId="0" applyFont="1" applyFill="1" applyBorder="1" applyAlignment="1">
      <alignment vertical="top" shrinkToFit="1"/>
    </xf>
    <xf numFmtId="0" fontId="13" fillId="3" borderId="5" xfId="0" applyFont="1" applyFill="1" applyBorder="1" applyAlignment="1">
      <alignment vertical="top" wrapText="1" shrinkToFit="1"/>
    </xf>
    <xf numFmtId="0" fontId="13" fillId="3" borderId="0" xfId="0" applyFont="1" applyFill="1" applyAlignment="1">
      <alignment vertical="top" wrapText="1" shrinkToFit="1"/>
    </xf>
    <xf numFmtId="0" fontId="13" fillId="3" borderId="10" xfId="0" applyFont="1" applyFill="1" applyBorder="1" applyAlignment="1">
      <alignment vertical="top" shrinkToFit="1"/>
    </xf>
    <xf numFmtId="0" fontId="13" fillId="3" borderId="5" xfId="0" applyFont="1" applyFill="1" applyBorder="1" applyAlignment="1">
      <alignment vertical="top" shrinkToFit="1"/>
    </xf>
    <xf numFmtId="0" fontId="13" fillId="3" borderId="0" xfId="0" applyFont="1" applyFill="1" applyAlignment="1">
      <alignment vertical="top" shrinkToFit="1"/>
    </xf>
    <xf numFmtId="0" fontId="13" fillId="3" borderId="11" xfId="0" applyFont="1" applyFill="1" applyBorder="1" applyAlignment="1">
      <alignment vertical="top" shrinkToFit="1"/>
    </xf>
    <xf numFmtId="0" fontId="13" fillId="3" borderId="6" xfId="0" applyFont="1" applyFill="1" applyBorder="1" applyAlignment="1">
      <alignment vertical="top" shrinkToFit="1"/>
    </xf>
    <xf numFmtId="0" fontId="13" fillId="3" borderId="12" xfId="0" applyFont="1" applyFill="1" applyBorder="1" applyAlignment="1">
      <alignment vertical="top"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13" fillId="0" borderId="2" xfId="0" applyFont="1" applyBorder="1" applyAlignment="1">
      <alignment horizontal="left" vertical="center"/>
    </xf>
    <xf numFmtId="0" fontId="12"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13" fillId="3" borderId="1" xfId="0" applyNumberFormat="1" applyFont="1" applyFill="1" applyBorder="1" applyAlignment="1">
      <alignment horizontal="center" vertical="center" wrapText="1" shrinkToFit="1"/>
    </xf>
    <xf numFmtId="0" fontId="2" fillId="0" borderId="7" xfId="0" applyFont="1" applyFill="1" applyBorder="1" applyAlignment="1">
      <alignment vertical="top" wrapText="1"/>
    </xf>
    <xf numFmtId="0" fontId="2" fillId="0" borderId="8" xfId="0" applyFont="1" applyFill="1" applyBorder="1" applyAlignment="1">
      <alignment vertical="top" wrapText="1"/>
    </xf>
    <xf numFmtId="0" fontId="2" fillId="0" borderId="9" xfId="0" applyFont="1" applyFill="1" applyBorder="1" applyAlignment="1">
      <alignment vertical="top" wrapText="1"/>
    </xf>
    <xf numFmtId="0" fontId="2" fillId="0" borderId="5" xfId="0" applyFont="1" applyFill="1" applyBorder="1" applyAlignment="1">
      <alignment vertical="top" wrapText="1"/>
    </xf>
    <xf numFmtId="0" fontId="2" fillId="0" borderId="0" xfId="0" applyFont="1" applyFill="1" applyAlignment="1">
      <alignment vertical="top" wrapText="1"/>
    </xf>
    <xf numFmtId="0" fontId="2" fillId="0" borderId="10" xfId="0" applyFont="1" applyFill="1" applyBorder="1" applyAlignment="1">
      <alignment vertical="top" wrapText="1"/>
    </xf>
    <xf numFmtId="0" fontId="2" fillId="0" borderId="11" xfId="0" applyFont="1" applyFill="1" applyBorder="1" applyAlignment="1">
      <alignment vertical="top" wrapText="1"/>
    </xf>
    <xf numFmtId="0" fontId="2" fillId="0" borderId="6" xfId="0" applyFont="1" applyFill="1" applyBorder="1" applyAlignment="1">
      <alignment vertical="top" wrapText="1"/>
    </xf>
    <xf numFmtId="0" fontId="2" fillId="0" borderId="12" xfId="0" applyFont="1" applyFill="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13" fillId="3" borderId="1" xfId="0" applyNumberFormat="1" applyFont="1" applyFill="1" applyBorder="1" applyAlignment="1">
      <alignment horizontal="center" vertical="center" shrinkToFit="1"/>
    </xf>
    <xf numFmtId="0" fontId="13" fillId="3" borderId="7" xfId="0" applyFont="1" applyFill="1" applyBorder="1" applyAlignment="1">
      <alignment horizontal="left" vertical="top" wrapText="1"/>
    </xf>
    <xf numFmtId="0" fontId="13" fillId="3" borderId="8" xfId="0" applyFont="1" applyFill="1" applyBorder="1" applyAlignment="1">
      <alignment horizontal="left" vertical="top" wrapText="1"/>
    </xf>
    <xf numFmtId="0" fontId="13" fillId="3" borderId="9" xfId="0" applyFont="1" applyFill="1" applyBorder="1" applyAlignment="1">
      <alignment horizontal="left" vertical="top" wrapText="1"/>
    </xf>
    <xf numFmtId="0" fontId="13" fillId="3" borderId="5"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10" xfId="0" applyFont="1" applyFill="1" applyBorder="1" applyAlignment="1">
      <alignment horizontal="left" vertical="top" wrapText="1"/>
    </xf>
    <xf numFmtId="0" fontId="13" fillId="3" borderId="11" xfId="0" applyFont="1" applyFill="1" applyBorder="1" applyAlignment="1">
      <alignment horizontal="left" vertical="top" wrapText="1"/>
    </xf>
    <xf numFmtId="0" fontId="13" fillId="3" borderId="6" xfId="0" applyFont="1" applyFill="1" applyBorder="1" applyAlignment="1">
      <alignment horizontal="left" vertical="top" wrapText="1"/>
    </xf>
    <xf numFmtId="0" fontId="13" fillId="3" borderId="12" xfId="0" applyFont="1" applyFill="1" applyBorder="1" applyAlignment="1">
      <alignment horizontal="left" vertical="top"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3" fillId="3" borderId="18" xfId="0" applyFont="1" applyFill="1" applyBorder="1" applyAlignment="1">
      <alignment vertical="top" wrapText="1" shrinkToFit="1"/>
    </xf>
    <xf numFmtId="0" fontId="13" fillId="3" borderId="19" xfId="0" applyFont="1" applyFill="1" applyBorder="1" applyAlignment="1">
      <alignment vertical="top" wrapText="1" shrinkToFit="1"/>
    </xf>
    <xf numFmtId="0" fontId="13" fillId="3" borderId="17" xfId="0" applyFont="1" applyFill="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3" fillId="3" borderId="33" xfId="0" applyFont="1" applyFill="1" applyBorder="1" applyAlignment="1">
      <alignment vertical="top" wrapText="1" shrinkToFit="1"/>
    </xf>
    <xf numFmtId="0" fontId="13" fillId="3" borderId="34" xfId="0" applyFont="1" applyFill="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3" fillId="0" borderId="37" xfId="0" applyFont="1" applyBorder="1" applyAlignment="1">
      <alignment vertical="top" wrapText="1" shrinkToFit="1"/>
    </xf>
    <xf numFmtId="0" fontId="13" fillId="0" borderId="38" xfId="0" applyFont="1" applyBorder="1" applyAlignment="1">
      <alignment vertical="top" wrapText="1" shrinkToFit="1"/>
    </xf>
    <xf numFmtId="0" fontId="2" fillId="0" borderId="18" xfId="0" applyFont="1" applyBorder="1" applyAlignment="1">
      <alignment vertical="top" wrapText="1" shrinkToFit="1"/>
    </xf>
  </cellXfs>
  <cellStyles count="3">
    <cellStyle name="パーセント" xfId="1" builtinId="5"/>
    <cellStyle name="桁区切り" xfId="2" builtinId="6"/>
    <cellStyle name="標準" xfId="0" builtinId="0"/>
  </cellStyles>
  <dxfs count="8">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85E96-23E5-4238-81FF-38DA11E96295}">
  <sheetPr>
    <pageSetUpPr fitToPage="1"/>
  </sheetPr>
  <dimension ref="A1:AG114"/>
  <sheetViews>
    <sheetView tabSelected="1" zoomScaleNormal="100" workbookViewId="0">
      <selection activeCell="T106" sqref="T106"/>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1"/>
      <c r="B1" s="71"/>
      <c r="C1" s="71"/>
      <c r="D1" s="71"/>
      <c r="E1" s="71"/>
      <c r="F1" s="71"/>
      <c r="G1" s="71"/>
      <c r="H1" s="71"/>
      <c r="I1" s="71"/>
      <c r="J1" s="71"/>
      <c r="K1" s="71"/>
      <c r="L1" s="71"/>
      <c r="M1" s="71"/>
      <c r="N1" s="71"/>
      <c r="O1" s="71"/>
      <c r="P1" s="71"/>
      <c r="Q1" s="71"/>
      <c r="R1" s="71"/>
      <c r="S1" s="71"/>
      <c r="T1" s="95" t="s">
        <v>216</v>
      </c>
      <c r="U1" s="95"/>
      <c r="V1" s="2" t="s">
        <v>99</v>
      </c>
    </row>
    <row r="2" spans="1:24" ht="18.75" customHeight="1" x14ac:dyDescent="0.15">
      <c r="A2" s="71"/>
      <c r="B2" s="80" t="s">
        <v>98</v>
      </c>
      <c r="C2" s="96" t="s">
        <v>136</v>
      </c>
      <c r="D2" s="97"/>
      <c r="E2" s="97"/>
      <c r="F2" s="97"/>
      <c r="G2" s="97"/>
      <c r="H2" s="97"/>
      <c r="I2" s="97"/>
      <c r="J2" s="98"/>
      <c r="K2" s="72"/>
      <c r="L2" s="73"/>
      <c r="M2" s="73"/>
      <c r="N2" s="73"/>
      <c r="O2" s="73"/>
      <c r="P2" s="73"/>
      <c r="Q2" s="73"/>
      <c r="R2" s="73"/>
      <c r="S2" s="73"/>
      <c r="T2" s="73"/>
      <c r="U2" s="73"/>
    </row>
    <row r="3" spans="1:24" ht="18.75" customHeight="1" x14ac:dyDescent="0.15">
      <c r="A3" s="71"/>
      <c r="B3" s="80" t="s">
        <v>93</v>
      </c>
      <c r="C3" s="96" t="s">
        <v>137</v>
      </c>
      <c r="D3" s="97"/>
      <c r="E3" s="97"/>
      <c r="F3" s="97"/>
      <c r="G3" s="97"/>
      <c r="H3" s="97"/>
      <c r="I3" s="97"/>
      <c r="J3" s="98"/>
      <c r="K3" s="72"/>
      <c r="L3" s="73"/>
      <c r="M3" s="73"/>
      <c r="N3" s="73"/>
      <c r="O3" s="73"/>
      <c r="P3" s="73"/>
      <c r="Q3" s="73"/>
      <c r="R3" s="73"/>
      <c r="S3" s="73"/>
      <c r="T3" s="73"/>
      <c r="U3" s="73"/>
    </row>
    <row r="4" spans="1:24" ht="15" customHeight="1" x14ac:dyDescent="0.15">
      <c r="A4" s="71"/>
      <c r="B4" s="71"/>
      <c r="C4" s="71"/>
      <c r="D4" s="71"/>
      <c r="E4" s="71"/>
      <c r="F4" s="71"/>
      <c r="G4" s="71"/>
      <c r="H4" s="71"/>
      <c r="I4" s="71"/>
      <c r="J4" s="71"/>
      <c r="K4" s="71"/>
      <c r="L4" s="72"/>
      <c r="M4" s="74"/>
      <c r="N4" s="74"/>
      <c r="O4" s="74"/>
      <c r="P4" s="74"/>
      <c r="Q4" s="74"/>
      <c r="R4" s="74"/>
      <c r="S4" s="74"/>
      <c r="T4" s="74"/>
      <c r="U4" s="74"/>
    </row>
    <row r="5" spans="1:24" ht="18" customHeight="1" x14ac:dyDescent="0.15">
      <c r="A5" s="99" t="s">
        <v>37</v>
      </c>
      <c r="B5" s="99"/>
      <c r="C5" s="99"/>
      <c r="D5" s="99"/>
      <c r="E5" s="99"/>
      <c r="F5" s="99"/>
      <c r="G5" s="99"/>
      <c r="H5" s="99"/>
      <c r="I5" s="99"/>
      <c r="J5" s="99"/>
      <c r="K5" s="99"/>
      <c r="L5" s="99"/>
      <c r="M5" s="99"/>
      <c r="N5" s="99"/>
      <c r="O5" s="99"/>
      <c r="P5" s="99"/>
      <c r="Q5" s="99"/>
      <c r="R5" s="99"/>
      <c r="S5" s="99"/>
      <c r="T5" s="99"/>
      <c r="U5" s="99"/>
    </row>
    <row r="6" spans="1:24" ht="15" customHeight="1" x14ac:dyDescent="0.15">
      <c r="A6" s="71"/>
      <c r="B6" s="75"/>
      <c r="C6" s="75"/>
      <c r="D6" s="75"/>
      <c r="E6" s="75"/>
      <c r="F6" s="75"/>
      <c r="G6" s="75"/>
      <c r="H6" s="75"/>
      <c r="I6" s="75"/>
      <c r="J6" s="75"/>
      <c r="K6" s="75"/>
      <c r="L6" s="75"/>
      <c r="M6" s="75"/>
      <c r="N6" s="75"/>
      <c r="O6" s="75"/>
      <c r="P6" s="75"/>
      <c r="Q6" s="75"/>
      <c r="R6" s="75"/>
      <c r="S6" s="75"/>
      <c r="T6" s="75"/>
      <c r="U6" s="75"/>
    </row>
    <row r="7" spans="1:24" ht="15" customHeight="1" x14ac:dyDescent="0.15">
      <c r="A7" s="71" t="s">
        <v>131</v>
      </c>
      <c r="B7" s="75"/>
      <c r="C7" s="75"/>
      <c r="D7" s="75"/>
      <c r="E7" s="75"/>
      <c r="F7" s="70"/>
      <c r="G7" s="70"/>
      <c r="H7" s="70"/>
      <c r="I7" s="70"/>
      <c r="J7" s="70"/>
      <c r="K7" s="70"/>
      <c r="L7" s="100" t="s">
        <v>129</v>
      </c>
      <c r="M7" s="101"/>
      <c r="N7" s="101"/>
      <c r="O7" s="101"/>
      <c r="P7" s="101"/>
      <c r="Q7" s="101"/>
      <c r="R7" s="101"/>
      <c r="S7" s="101"/>
      <c r="T7" s="101"/>
      <c r="U7" s="102"/>
    </row>
    <row r="8" spans="1:24" ht="6" customHeight="1" x14ac:dyDescent="0.15">
      <c r="A8" s="71"/>
      <c r="B8" s="75"/>
      <c r="C8" s="75"/>
      <c r="D8" s="75"/>
      <c r="E8" s="75"/>
      <c r="F8" s="75"/>
      <c r="G8" s="75"/>
      <c r="H8" s="75"/>
      <c r="I8" s="75"/>
      <c r="J8" s="75"/>
      <c r="K8" s="75"/>
      <c r="L8" s="75"/>
      <c r="M8" s="75"/>
      <c r="N8" s="75"/>
      <c r="O8" s="75"/>
      <c r="P8" s="75"/>
      <c r="Q8" s="75"/>
      <c r="R8" s="75"/>
      <c r="S8" s="75"/>
      <c r="T8" s="75"/>
      <c r="U8" s="75"/>
    </row>
    <row r="9" spans="1:24" ht="18" customHeight="1" x14ac:dyDescent="0.15">
      <c r="A9" s="71" t="s">
        <v>132</v>
      </c>
      <c r="B9" s="71"/>
      <c r="C9" s="75"/>
      <c r="D9" s="75"/>
      <c r="E9" s="71"/>
      <c r="F9" s="71"/>
      <c r="G9" s="71"/>
      <c r="H9" s="71"/>
      <c r="I9" s="71"/>
      <c r="J9" s="71"/>
      <c r="K9" s="72"/>
      <c r="L9" s="70"/>
      <c r="M9" s="70"/>
      <c r="N9" s="70"/>
      <c r="O9" s="70"/>
      <c r="P9" s="70"/>
      <c r="Q9" s="70"/>
      <c r="R9" s="70"/>
      <c r="S9" s="70"/>
      <c r="T9" s="70"/>
      <c r="U9" s="70"/>
    </row>
    <row r="10" spans="1:24" ht="6" customHeight="1" x14ac:dyDescent="0.15">
      <c r="A10" s="71"/>
      <c r="B10" s="75"/>
      <c r="C10" s="75"/>
      <c r="D10" s="75"/>
      <c r="E10" s="75"/>
      <c r="F10" s="75"/>
      <c r="G10" s="75"/>
      <c r="H10" s="75"/>
      <c r="I10" s="75"/>
      <c r="J10" s="75"/>
      <c r="K10" s="75"/>
      <c r="L10" s="76"/>
      <c r="M10" s="75"/>
      <c r="N10" s="75"/>
      <c r="O10" s="75"/>
      <c r="P10" s="75"/>
      <c r="Q10" s="75"/>
      <c r="R10" s="75"/>
      <c r="S10" s="75"/>
      <c r="T10" s="75"/>
      <c r="U10" s="75"/>
    </row>
    <row r="11" spans="1:24" ht="18" customHeight="1" x14ac:dyDescent="0.15">
      <c r="A11" s="71"/>
      <c r="B11" s="103" t="s">
        <v>187</v>
      </c>
      <c r="C11" s="104"/>
      <c r="D11" s="104"/>
      <c r="E11" s="104"/>
      <c r="F11" s="104"/>
      <c r="G11" s="104"/>
      <c r="H11" s="104"/>
      <c r="I11" s="104"/>
      <c r="J11" s="104"/>
      <c r="K11" s="104"/>
      <c r="L11" s="104"/>
      <c r="M11" s="104"/>
      <c r="N11" s="104"/>
      <c r="O11" s="104"/>
      <c r="P11" s="104"/>
      <c r="Q11" s="104"/>
      <c r="R11" s="104"/>
      <c r="S11" s="104"/>
      <c r="T11" s="104"/>
      <c r="U11" s="105"/>
    </row>
    <row r="12" spans="1:24" ht="18" customHeight="1" x14ac:dyDescent="0.15">
      <c r="A12" s="71"/>
      <c r="B12" s="106"/>
      <c r="C12" s="107"/>
      <c r="D12" s="107"/>
      <c r="E12" s="107"/>
      <c r="F12" s="107"/>
      <c r="G12" s="107"/>
      <c r="H12" s="107"/>
      <c r="I12" s="107"/>
      <c r="J12" s="107"/>
      <c r="K12" s="107"/>
      <c r="L12" s="107"/>
      <c r="M12" s="107"/>
      <c r="N12" s="107"/>
      <c r="O12" s="107"/>
      <c r="P12" s="107"/>
      <c r="Q12" s="107"/>
      <c r="R12" s="107"/>
      <c r="S12" s="107"/>
      <c r="T12" s="107"/>
      <c r="U12" s="108"/>
    </row>
    <row r="13" spans="1:24" ht="6" customHeight="1" x14ac:dyDescent="0.15">
      <c r="A13" s="71"/>
      <c r="B13" s="75"/>
      <c r="C13" s="75"/>
      <c r="D13" s="75"/>
      <c r="E13" s="75"/>
      <c r="F13" s="75"/>
      <c r="G13" s="75"/>
      <c r="H13" s="75"/>
      <c r="I13" s="75"/>
      <c r="J13" s="75"/>
      <c r="K13" s="75"/>
      <c r="L13" s="76"/>
      <c r="M13" s="75"/>
      <c r="N13" s="75"/>
      <c r="O13" s="75"/>
      <c r="P13" s="75"/>
      <c r="Q13" s="75"/>
      <c r="R13" s="75"/>
      <c r="S13" s="75"/>
      <c r="T13" s="75"/>
      <c r="U13" s="75"/>
    </row>
    <row r="14" spans="1:24" ht="18" customHeight="1" x14ac:dyDescent="0.15">
      <c r="A14" s="71" t="s">
        <v>100</v>
      </c>
      <c r="B14" s="75"/>
      <c r="C14" s="75"/>
      <c r="D14" s="75"/>
      <c r="E14" s="72"/>
      <c r="F14" s="72"/>
      <c r="G14" s="72"/>
      <c r="H14" s="72"/>
      <c r="I14" s="72"/>
      <c r="J14" s="72"/>
      <c r="K14" s="72"/>
      <c r="L14" s="77"/>
      <c r="M14" s="77"/>
      <c r="N14" s="77"/>
      <c r="O14" s="77"/>
      <c r="P14" s="77"/>
      <c r="Q14" s="77"/>
      <c r="R14" s="77"/>
      <c r="S14" s="77"/>
      <c r="T14" s="77"/>
      <c r="U14" s="77"/>
    </row>
    <row r="15" spans="1:24" ht="18" customHeight="1" x14ac:dyDescent="0.15">
      <c r="A15" s="71"/>
      <c r="B15" s="112" t="s">
        <v>188</v>
      </c>
      <c r="C15" s="113"/>
      <c r="D15" s="113"/>
      <c r="E15" s="113"/>
      <c r="F15" s="113"/>
      <c r="G15" s="113"/>
      <c r="H15" s="113"/>
      <c r="I15" s="113"/>
      <c r="J15" s="113"/>
      <c r="K15" s="113"/>
      <c r="L15" s="113"/>
      <c r="M15" s="113"/>
      <c r="N15" s="113"/>
      <c r="O15" s="113"/>
      <c r="P15" s="113"/>
      <c r="Q15" s="113"/>
      <c r="R15" s="113"/>
      <c r="S15" s="113"/>
      <c r="T15" s="113"/>
      <c r="U15" s="114"/>
      <c r="X15" s="1" t="s">
        <v>94</v>
      </c>
    </row>
    <row r="16" spans="1:24" ht="18" customHeight="1" x14ac:dyDescent="0.15">
      <c r="A16" s="71"/>
      <c r="B16" s="115"/>
      <c r="C16" s="116"/>
      <c r="D16" s="116"/>
      <c r="E16" s="116"/>
      <c r="F16" s="116"/>
      <c r="G16" s="116"/>
      <c r="H16" s="116"/>
      <c r="I16" s="116"/>
      <c r="J16" s="116"/>
      <c r="K16" s="116"/>
      <c r="L16" s="116"/>
      <c r="M16" s="116"/>
      <c r="N16" s="116"/>
      <c r="O16" s="116"/>
      <c r="P16" s="116"/>
      <c r="Q16" s="116"/>
      <c r="R16" s="116"/>
      <c r="S16" s="116"/>
      <c r="T16" s="116"/>
      <c r="U16" s="117"/>
      <c r="X16" s="1" t="s">
        <v>114</v>
      </c>
    </row>
    <row r="17" spans="1:24" ht="18" customHeight="1" x14ac:dyDescent="0.15">
      <c r="A17" s="71"/>
      <c r="B17" s="115"/>
      <c r="C17" s="116"/>
      <c r="D17" s="116"/>
      <c r="E17" s="116"/>
      <c r="F17" s="116"/>
      <c r="G17" s="116"/>
      <c r="H17" s="116"/>
      <c r="I17" s="116"/>
      <c r="J17" s="116"/>
      <c r="K17" s="116"/>
      <c r="L17" s="116"/>
      <c r="M17" s="116"/>
      <c r="N17" s="116"/>
      <c r="O17" s="116"/>
      <c r="P17" s="116"/>
      <c r="Q17" s="116"/>
      <c r="R17" s="116"/>
      <c r="S17" s="116"/>
      <c r="T17" s="116"/>
      <c r="U17" s="117"/>
      <c r="X17" s="1" t="s">
        <v>115</v>
      </c>
    </row>
    <row r="18" spans="1:24" ht="18" customHeight="1" x14ac:dyDescent="0.15">
      <c r="A18" s="71"/>
      <c r="B18" s="115"/>
      <c r="C18" s="116"/>
      <c r="D18" s="116"/>
      <c r="E18" s="116"/>
      <c r="F18" s="116"/>
      <c r="G18" s="116"/>
      <c r="H18" s="116"/>
      <c r="I18" s="116"/>
      <c r="J18" s="116"/>
      <c r="K18" s="116"/>
      <c r="L18" s="116"/>
      <c r="M18" s="116"/>
      <c r="N18" s="116"/>
      <c r="O18" s="116"/>
      <c r="P18" s="116"/>
      <c r="Q18" s="116"/>
      <c r="R18" s="116"/>
      <c r="S18" s="116"/>
      <c r="T18" s="116"/>
      <c r="U18" s="117"/>
      <c r="X18" s="1" t="s">
        <v>116</v>
      </c>
    </row>
    <row r="19" spans="1:24" ht="18" customHeight="1" x14ac:dyDescent="0.15">
      <c r="A19" s="71"/>
      <c r="B19" s="115"/>
      <c r="C19" s="116"/>
      <c r="D19" s="116"/>
      <c r="E19" s="116"/>
      <c r="F19" s="116"/>
      <c r="G19" s="116"/>
      <c r="H19" s="116"/>
      <c r="I19" s="116"/>
      <c r="J19" s="116"/>
      <c r="K19" s="116"/>
      <c r="L19" s="116"/>
      <c r="M19" s="116"/>
      <c r="N19" s="116"/>
      <c r="O19" s="116"/>
      <c r="P19" s="116"/>
      <c r="Q19" s="116"/>
      <c r="R19" s="116"/>
      <c r="S19" s="116"/>
      <c r="T19" s="116"/>
      <c r="U19" s="117"/>
    </row>
    <row r="20" spans="1:24" ht="18" customHeight="1" x14ac:dyDescent="0.15">
      <c r="A20" s="71"/>
      <c r="B20" s="118"/>
      <c r="C20" s="119"/>
      <c r="D20" s="119"/>
      <c r="E20" s="119"/>
      <c r="F20" s="119"/>
      <c r="G20" s="119"/>
      <c r="H20" s="119"/>
      <c r="I20" s="119"/>
      <c r="J20" s="119"/>
      <c r="K20" s="119"/>
      <c r="L20" s="119"/>
      <c r="M20" s="119"/>
      <c r="N20" s="119"/>
      <c r="O20" s="119"/>
      <c r="P20" s="119"/>
      <c r="Q20" s="119"/>
      <c r="R20" s="119"/>
      <c r="S20" s="119"/>
      <c r="T20" s="119"/>
      <c r="U20" s="120"/>
    </row>
    <row r="21" spans="1:24" ht="7.5" customHeight="1" x14ac:dyDescent="0.15">
      <c r="A21" s="71"/>
      <c r="B21" s="75"/>
      <c r="C21" s="75"/>
      <c r="D21" s="75"/>
      <c r="E21" s="75"/>
      <c r="F21" s="75"/>
      <c r="G21" s="75"/>
      <c r="H21" s="75"/>
      <c r="I21" s="75"/>
      <c r="J21" s="75"/>
      <c r="K21" s="75"/>
      <c r="L21" s="75"/>
      <c r="M21" s="75"/>
      <c r="N21" s="75"/>
      <c r="O21" s="75"/>
      <c r="P21" s="75"/>
      <c r="Q21" s="75"/>
      <c r="R21" s="75"/>
      <c r="S21" s="75"/>
      <c r="T21" s="75"/>
      <c r="U21" s="75"/>
    </row>
    <row r="22" spans="1:24" ht="19.899999999999999" customHeight="1" x14ac:dyDescent="0.15">
      <c r="A22" s="71"/>
      <c r="B22" s="71" t="s">
        <v>133</v>
      </c>
      <c r="C22" s="71"/>
      <c r="D22" s="71"/>
      <c r="E22" s="78">
        <v>2</v>
      </c>
      <c r="F22" s="71" t="s">
        <v>112</v>
      </c>
      <c r="G22" s="71"/>
      <c r="H22" s="79">
        <v>4</v>
      </c>
      <c r="I22" s="75" t="s">
        <v>113</v>
      </c>
      <c r="J22" s="75"/>
      <c r="K22" s="72"/>
      <c r="L22" s="71"/>
      <c r="M22" s="72" t="s">
        <v>109</v>
      </c>
      <c r="N22" s="121" t="s">
        <v>116</v>
      </c>
      <c r="O22" s="122"/>
      <c r="P22" s="122"/>
      <c r="Q22" s="122"/>
      <c r="R22" s="122"/>
      <c r="S22" s="122"/>
      <c r="T22" s="122"/>
      <c r="U22" s="123"/>
    </row>
    <row r="23" spans="1:24" ht="7.5" customHeight="1" x14ac:dyDescent="0.15">
      <c r="A23" s="71"/>
      <c r="B23" s="75"/>
      <c r="C23" s="75"/>
      <c r="D23" s="75"/>
      <c r="E23" s="75"/>
      <c r="F23" s="75"/>
      <c r="G23" s="75"/>
      <c r="H23" s="75"/>
      <c r="I23" s="75"/>
      <c r="J23" s="75"/>
      <c r="K23" s="75"/>
      <c r="L23" s="75"/>
      <c r="M23" s="75"/>
      <c r="N23" s="75"/>
      <c r="O23" s="75"/>
      <c r="P23" s="75"/>
      <c r="Q23" s="75"/>
      <c r="R23" s="75"/>
      <c r="S23" s="75"/>
      <c r="T23" s="75"/>
      <c r="U23" s="75"/>
    </row>
    <row r="24" spans="1:24" ht="18" customHeight="1" x14ac:dyDescent="0.15">
      <c r="A24" s="124" t="s">
        <v>101</v>
      </c>
      <c r="B24" s="124"/>
      <c r="C24" s="124"/>
      <c r="D24" s="124"/>
      <c r="E24" s="124"/>
      <c r="F24" s="124"/>
      <c r="G24" s="124"/>
      <c r="H24" s="124"/>
      <c r="I24" s="124"/>
      <c r="J24" s="124"/>
      <c r="K24" s="124"/>
      <c r="L24" s="124"/>
      <c r="M24" s="124"/>
      <c r="N24" s="124"/>
      <c r="O24" s="124"/>
      <c r="P24" s="124"/>
      <c r="Q24" s="124"/>
      <c r="R24" s="124"/>
      <c r="S24" s="124"/>
      <c r="T24" s="124"/>
      <c r="U24" s="124"/>
    </row>
    <row r="25" spans="1:24" ht="18" customHeight="1" x14ac:dyDescent="0.15">
      <c r="A25" s="124"/>
      <c r="B25" s="124"/>
      <c r="C25" s="124"/>
      <c r="D25" s="124"/>
      <c r="E25" s="124"/>
      <c r="F25" s="124"/>
      <c r="G25" s="124"/>
      <c r="H25" s="124"/>
      <c r="I25" s="124"/>
      <c r="J25" s="124"/>
      <c r="K25" s="124"/>
      <c r="L25" s="124"/>
      <c r="M25" s="124"/>
      <c r="N25" s="124"/>
      <c r="O25" s="124"/>
      <c r="P25" s="124"/>
      <c r="Q25" s="124"/>
      <c r="R25" s="124"/>
      <c r="S25" s="124"/>
      <c r="T25" s="124"/>
      <c r="U25" s="124"/>
    </row>
    <row r="26" spans="1:24" ht="18" customHeight="1" x14ac:dyDescent="0.15">
      <c r="B26" s="125" t="s">
        <v>51</v>
      </c>
      <c r="C26" s="126"/>
      <c r="D26" s="126"/>
      <c r="E26" s="126"/>
      <c r="F26" s="127"/>
      <c r="G26" s="47" t="s">
        <v>77</v>
      </c>
      <c r="H26" s="46" t="s">
        <v>80</v>
      </c>
      <c r="I26" s="17" t="s">
        <v>54</v>
      </c>
      <c r="J26" s="17" t="s">
        <v>57</v>
      </c>
      <c r="K26" s="125" t="s">
        <v>51</v>
      </c>
      <c r="L26" s="126"/>
      <c r="M26" s="126"/>
      <c r="N26" s="126"/>
      <c r="O26" s="126"/>
      <c r="P26" s="126"/>
      <c r="Q26" s="127"/>
      <c r="R26" s="47" t="s">
        <v>77</v>
      </c>
      <c r="S26" s="46" t="s">
        <v>80</v>
      </c>
      <c r="T26" s="17" t="s">
        <v>54</v>
      </c>
      <c r="U26" s="17" t="s">
        <v>57</v>
      </c>
    </row>
    <row r="27" spans="1:24" ht="18" customHeight="1" x14ac:dyDescent="0.15">
      <c r="B27" s="128" t="s">
        <v>139</v>
      </c>
      <c r="C27" s="129"/>
      <c r="D27" s="129"/>
      <c r="E27" s="129"/>
      <c r="F27" s="130"/>
      <c r="G27" s="18">
        <v>2</v>
      </c>
      <c r="H27" s="18" t="s">
        <v>140</v>
      </c>
      <c r="I27" s="18" t="s">
        <v>140</v>
      </c>
      <c r="J27" s="18" t="s">
        <v>140</v>
      </c>
      <c r="K27" s="128"/>
      <c r="L27" s="129"/>
      <c r="M27" s="129"/>
      <c r="N27" s="129"/>
      <c r="O27" s="129"/>
      <c r="P27" s="129"/>
      <c r="Q27" s="130"/>
      <c r="R27" s="18"/>
      <c r="S27" s="18"/>
      <c r="T27" s="18"/>
      <c r="U27" s="18"/>
    </row>
    <row r="28" spans="1:24" ht="18" customHeight="1" x14ac:dyDescent="0.15">
      <c r="B28" s="109"/>
      <c r="C28" s="110"/>
      <c r="D28" s="110"/>
      <c r="E28" s="110"/>
      <c r="F28" s="111"/>
      <c r="G28" s="19"/>
      <c r="H28" s="19"/>
      <c r="I28" s="19"/>
      <c r="J28" s="19"/>
      <c r="K28" s="109"/>
      <c r="L28" s="110"/>
      <c r="M28" s="110"/>
      <c r="N28" s="110"/>
      <c r="O28" s="110"/>
      <c r="P28" s="110"/>
      <c r="Q28" s="111"/>
      <c r="R28" s="19"/>
      <c r="S28" s="19"/>
      <c r="T28" s="19"/>
      <c r="U28" s="19"/>
    </row>
    <row r="29" spans="1:24" ht="18" customHeight="1" x14ac:dyDescent="0.15">
      <c r="B29" s="109"/>
      <c r="C29" s="110"/>
      <c r="D29" s="110"/>
      <c r="E29" s="110"/>
      <c r="F29" s="111"/>
      <c r="G29" s="19"/>
      <c r="H29" s="19"/>
      <c r="I29" s="19"/>
      <c r="J29" s="19"/>
      <c r="K29" s="109"/>
      <c r="L29" s="110"/>
      <c r="M29" s="110"/>
      <c r="N29" s="110"/>
      <c r="O29" s="110"/>
      <c r="P29" s="110"/>
      <c r="Q29" s="111"/>
      <c r="R29" s="19"/>
      <c r="S29" s="19"/>
      <c r="T29" s="19"/>
      <c r="U29" s="19"/>
    </row>
    <row r="30" spans="1:24" ht="18" customHeight="1" x14ac:dyDescent="0.15">
      <c r="B30" s="109"/>
      <c r="C30" s="110"/>
      <c r="D30" s="110"/>
      <c r="E30" s="110"/>
      <c r="F30" s="111"/>
      <c r="G30" s="19"/>
      <c r="H30" s="19"/>
      <c r="I30" s="19"/>
      <c r="J30" s="19"/>
      <c r="K30" s="109"/>
      <c r="L30" s="110"/>
      <c r="M30" s="110"/>
      <c r="N30" s="110"/>
      <c r="O30" s="110"/>
      <c r="P30" s="110"/>
      <c r="Q30" s="111"/>
      <c r="R30" s="19"/>
      <c r="S30" s="19"/>
      <c r="T30" s="19"/>
      <c r="U30" s="19"/>
    </row>
    <row r="31" spans="1:24" ht="18" customHeight="1" x14ac:dyDescent="0.15">
      <c r="B31" s="109"/>
      <c r="C31" s="110"/>
      <c r="D31" s="110"/>
      <c r="E31" s="110"/>
      <c r="F31" s="111"/>
      <c r="G31" s="19"/>
      <c r="H31" s="19"/>
      <c r="I31" s="19"/>
      <c r="J31" s="19"/>
      <c r="K31" s="109"/>
      <c r="L31" s="110"/>
      <c r="M31" s="110"/>
      <c r="N31" s="110"/>
      <c r="O31" s="110"/>
      <c r="P31" s="110"/>
      <c r="Q31" s="111"/>
      <c r="R31" s="19"/>
      <c r="S31" s="19"/>
      <c r="T31" s="19"/>
      <c r="U31" s="19"/>
    </row>
    <row r="32" spans="1:24" ht="18" customHeight="1" x14ac:dyDescent="0.15">
      <c r="A32" s="3"/>
      <c r="B32" s="109"/>
      <c r="C32" s="110"/>
      <c r="D32" s="110"/>
      <c r="E32" s="110"/>
      <c r="F32" s="111"/>
      <c r="G32" s="19"/>
      <c r="H32" s="19"/>
      <c r="I32" s="19"/>
      <c r="J32" s="19"/>
      <c r="K32" s="109"/>
      <c r="L32" s="110"/>
      <c r="M32" s="110"/>
      <c r="N32" s="110"/>
      <c r="O32" s="110"/>
      <c r="P32" s="110"/>
      <c r="Q32" s="111"/>
      <c r="R32" s="19"/>
      <c r="S32" s="19"/>
      <c r="T32" s="19"/>
      <c r="U32" s="19"/>
    </row>
    <row r="33" spans="1:21" ht="18" customHeight="1" x14ac:dyDescent="0.15">
      <c r="A33" s="3"/>
      <c r="B33" s="132"/>
      <c r="C33" s="133"/>
      <c r="D33" s="133"/>
      <c r="E33" s="133"/>
      <c r="F33" s="134"/>
      <c r="G33" s="20"/>
      <c r="H33" s="20"/>
      <c r="I33" s="21"/>
      <c r="J33" s="21"/>
      <c r="K33" s="132"/>
      <c r="L33" s="133"/>
      <c r="M33" s="133"/>
      <c r="N33" s="133"/>
      <c r="O33" s="133"/>
      <c r="P33" s="133"/>
      <c r="Q33" s="134"/>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31" t="s">
        <v>102</v>
      </c>
      <c r="B35" s="131"/>
      <c r="C35" s="131"/>
      <c r="D35" s="131"/>
      <c r="E35" s="131"/>
      <c r="F35" s="131"/>
      <c r="G35" s="131"/>
      <c r="H35" s="131"/>
      <c r="I35" s="131"/>
      <c r="J35" s="131"/>
      <c r="K35" s="131"/>
      <c r="L35" s="131"/>
      <c r="M35" s="131"/>
      <c r="N35" s="131"/>
      <c r="O35" s="131"/>
      <c r="P35" s="131"/>
      <c r="Q35" s="131"/>
      <c r="R35" s="131"/>
      <c r="S35" s="131"/>
      <c r="T35" s="131"/>
      <c r="U35" s="131"/>
    </row>
    <row r="36" spans="1:21" ht="18" customHeight="1" x14ac:dyDescent="0.15">
      <c r="A36" s="131"/>
      <c r="B36" s="131"/>
      <c r="C36" s="131"/>
      <c r="D36" s="131"/>
      <c r="E36" s="131"/>
      <c r="F36" s="131"/>
      <c r="G36" s="131"/>
      <c r="H36" s="131"/>
      <c r="I36" s="131"/>
      <c r="J36" s="131"/>
      <c r="K36" s="131"/>
      <c r="L36" s="131"/>
      <c r="M36" s="131"/>
      <c r="N36" s="131"/>
      <c r="O36" s="131"/>
      <c r="P36" s="131"/>
      <c r="Q36" s="131"/>
      <c r="R36" s="131"/>
      <c r="S36" s="131"/>
      <c r="T36" s="131"/>
      <c r="U36" s="131"/>
    </row>
    <row r="37" spans="1:21" ht="18" customHeight="1" x14ac:dyDescent="0.15">
      <c r="B37" s="125" t="s">
        <v>51</v>
      </c>
      <c r="C37" s="126"/>
      <c r="D37" s="126"/>
      <c r="E37" s="126"/>
      <c r="F37" s="127"/>
      <c r="G37" s="47" t="s">
        <v>77</v>
      </c>
      <c r="H37" s="46" t="s">
        <v>80</v>
      </c>
      <c r="I37" s="17" t="s">
        <v>68</v>
      </c>
      <c r="J37" s="17" t="s">
        <v>69</v>
      </c>
      <c r="K37" s="125" t="s">
        <v>51</v>
      </c>
      <c r="L37" s="126"/>
      <c r="M37" s="126"/>
      <c r="N37" s="126"/>
      <c r="O37" s="126"/>
      <c r="P37" s="126"/>
      <c r="Q37" s="127"/>
      <c r="R37" s="47" t="s">
        <v>77</v>
      </c>
      <c r="S37" s="46" t="s">
        <v>80</v>
      </c>
      <c r="T37" s="17" t="s">
        <v>68</v>
      </c>
      <c r="U37" s="17" t="s">
        <v>69</v>
      </c>
    </row>
    <row r="38" spans="1:21" ht="18" customHeight="1" x14ac:dyDescent="0.15">
      <c r="B38" s="128" t="s">
        <v>139</v>
      </c>
      <c r="C38" s="129"/>
      <c r="D38" s="129"/>
      <c r="E38" s="129"/>
      <c r="F38" s="130"/>
      <c r="G38" s="18">
        <v>2</v>
      </c>
      <c r="H38" s="18" t="s">
        <v>140</v>
      </c>
      <c r="I38" s="18" t="s">
        <v>140</v>
      </c>
      <c r="J38" s="18" t="s">
        <v>140</v>
      </c>
      <c r="K38" s="128"/>
      <c r="L38" s="129"/>
      <c r="M38" s="129"/>
      <c r="N38" s="129"/>
      <c r="O38" s="129"/>
      <c r="P38" s="129"/>
      <c r="Q38" s="130"/>
      <c r="R38" s="18"/>
      <c r="S38" s="18"/>
      <c r="T38" s="18"/>
      <c r="U38" s="18"/>
    </row>
    <row r="39" spans="1:21" ht="18" customHeight="1" x14ac:dyDescent="0.15">
      <c r="B39" s="109" t="s">
        <v>141</v>
      </c>
      <c r="C39" s="110"/>
      <c r="D39" s="110"/>
      <c r="E39" s="110"/>
      <c r="F39" s="111"/>
      <c r="G39" s="19">
        <v>2</v>
      </c>
      <c r="H39" s="19"/>
      <c r="I39" s="19" t="s">
        <v>140</v>
      </c>
      <c r="J39" s="19"/>
      <c r="K39" s="109"/>
      <c r="L39" s="110"/>
      <c r="M39" s="110"/>
      <c r="N39" s="110"/>
      <c r="O39" s="110"/>
      <c r="P39" s="110"/>
      <c r="Q39" s="111"/>
      <c r="R39" s="19"/>
      <c r="S39" s="19"/>
      <c r="T39" s="19"/>
      <c r="U39" s="19"/>
    </row>
    <row r="40" spans="1:21" ht="18" customHeight="1" x14ac:dyDescent="0.15">
      <c r="B40" s="109"/>
      <c r="C40" s="110"/>
      <c r="D40" s="110"/>
      <c r="E40" s="110"/>
      <c r="F40" s="111"/>
      <c r="G40" s="19"/>
      <c r="H40" s="19"/>
      <c r="I40" s="19"/>
      <c r="J40" s="19"/>
      <c r="K40" s="109"/>
      <c r="L40" s="110"/>
      <c r="M40" s="110"/>
      <c r="N40" s="110"/>
      <c r="O40" s="110"/>
      <c r="P40" s="110"/>
      <c r="Q40" s="111"/>
      <c r="R40" s="19"/>
      <c r="S40" s="19"/>
      <c r="T40" s="19"/>
      <c r="U40" s="19"/>
    </row>
    <row r="41" spans="1:21" ht="18" customHeight="1" x14ac:dyDescent="0.15">
      <c r="B41" s="109"/>
      <c r="C41" s="110"/>
      <c r="D41" s="110"/>
      <c r="E41" s="110"/>
      <c r="F41" s="111"/>
      <c r="G41" s="19"/>
      <c r="H41" s="19"/>
      <c r="I41" s="19"/>
      <c r="J41" s="19"/>
      <c r="K41" s="109"/>
      <c r="L41" s="110"/>
      <c r="M41" s="110"/>
      <c r="N41" s="110"/>
      <c r="O41" s="110"/>
      <c r="P41" s="110"/>
      <c r="Q41" s="111"/>
      <c r="R41" s="19"/>
      <c r="S41" s="19"/>
      <c r="T41" s="19"/>
      <c r="U41" s="19"/>
    </row>
    <row r="42" spans="1:21" ht="18" customHeight="1" x14ac:dyDescent="0.15">
      <c r="B42" s="109"/>
      <c r="C42" s="110"/>
      <c r="D42" s="110"/>
      <c r="E42" s="110"/>
      <c r="F42" s="111"/>
      <c r="G42" s="19"/>
      <c r="H42" s="19"/>
      <c r="I42" s="19"/>
      <c r="J42" s="19"/>
      <c r="K42" s="109"/>
      <c r="L42" s="110"/>
      <c r="M42" s="110"/>
      <c r="N42" s="110"/>
      <c r="O42" s="110"/>
      <c r="P42" s="110"/>
      <c r="Q42" s="111"/>
      <c r="R42" s="19"/>
      <c r="S42" s="19"/>
      <c r="T42" s="19"/>
      <c r="U42" s="19"/>
    </row>
    <row r="43" spans="1:21" ht="18" customHeight="1" x14ac:dyDescent="0.15">
      <c r="B43" s="109"/>
      <c r="C43" s="110"/>
      <c r="D43" s="110"/>
      <c r="E43" s="110"/>
      <c r="F43" s="111"/>
      <c r="G43" s="19"/>
      <c r="H43" s="19"/>
      <c r="I43" s="19"/>
      <c r="J43" s="19"/>
      <c r="K43" s="109"/>
      <c r="L43" s="110"/>
      <c r="M43" s="110"/>
      <c r="N43" s="110"/>
      <c r="O43" s="110"/>
      <c r="P43" s="110"/>
      <c r="Q43" s="111"/>
      <c r="R43" s="19"/>
      <c r="S43" s="19"/>
      <c r="T43" s="19"/>
      <c r="U43" s="19"/>
    </row>
    <row r="44" spans="1:21" ht="18" customHeight="1" x14ac:dyDescent="0.15">
      <c r="B44" s="132"/>
      <c r="C44" s="133"/>
      <c r="D44" s="133"/>
      <c r="E44" s="133"/>
      <c r="F44" s="134"/>
      <c r="G44" s="20"/>
      <c r="H44" s="20"/>
      <c r="I44" s="21"/>
      <c r="J44" s="21"/>
      <c r="K44" s="132"/>
      <c r="L44" s="133"/>
      <c r="M44" s="133"/>
      <c r="N44" s="133"/>
      <c r="O44" s="133"/>
      <c r="P44" s="133"/>
      <c r="Q44" s="134"/>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31" t="s">
        <v>103</v>
      </c>
      <c r="B46" s="131"/>
      <c r="C46" s="131"/>
      <c r="D46" s="131"/>
      <c r="E46" s="131"/>
      <c r="F46" s="131"/>
      <c r="G46" s="131"/>
      <c r="H46" s="131"/>
      <c r="I46" s="131"/>
      <c r="J46" s="131"/>
      <c r="K46" s="131"/>
      <c r="L46" s="131"/>
      <c r="M46" s="131"/>
      <c r="N46" s="131"/>
      <c r="O46" s="131"/>
      <c r="P46" s="131"/>
      <c r="Q46" s="131"/>
      <c r="R46" s="131"/>
      <c r="S46" s="131"/>
      <c r="T46" s="131"/>
      <c r="U46" s="131"/>
    </row>
    <row r="47" spans="1:21" ht="18" customHeight="1" x14ac:dyDescent="0.15">
      <c r="A47" s="131"/>
      <c r="B47" s="131"/>
      <c r="C47" s="131"/>
      <c r="D47" s="131"/>
      <c r="E47" s="131"/>
      <c r="F47" s="131"/>
      <c r="G47" s="131"/>
      <c r="H47" s="131"/>
      <c r="I47" s="131"/>
      <c r="J47" s="131"/>
      <c r="K47" s="131"/>
      <c r="L47" s="131"/>
      <c r="M47" s="131"/>
      <c r="N47" s="131"/>
      <c r="O47" s="131"/>
      <c r="P47" s="131"/>
      <c r="Q47" s="131"/>
      <c r="R47" s="131"/>
      <c r="S47" s="131"/>
      <c r="T47" s="131"/>
      <c r="U47" s="131"/>
    </row>
    <row r="48" spans="1:21" ht="18" customHeight="1" x14ac:dyDescent="0.15">
      <c r="B48" s="125" t="s">
        <v>51</v>
      </c>
      <c r="C48" s="126"/>
      <c r="D48" s="126"/>
      <c r="E48" s="126"/>
      <c r="F48" s="127"/>
      <c r="G48" s="47" t="s">
        <v>77</v>
      </c>
      <c r="H48" s="46" t="s">
        <v>80</v>
      </c>
      <c r="I48" s="17" t="s">
        <v>70</v>
      </c>
      <c r="J48" s="17" t="s">
        <v>71</v>
      </c>
      <c r="K48" s="125" t="s">
        <v>51</v>
      </c>
      <c r="L48" s="126"/>
      <c r="M48" s="126"/>
      <c r="N48" s="126"/>
      <c r="O48" s="126"/>
      <c r="P48" s="126"/>
      <c r="Q48" s="127"/>
      <c r="R48" s="47" t="s">
        <v>77</v>
      </c>
      <c r="S48" s="46" t="s">
        <v>80</v>
      </c>
      <c r="T48" s="17" t="s">
        <v>70</v>
      </c>
      <c r="U48" s="17" t="s">
        <v>71</v>
      </c>
    </row>
    <row r="49" spans="1:21" ht="18" customHeight="1" x14ac:dyDescent="0.15">
      <c r="A49" s="3"/>
      <c r="B49" s="128" t="s">
        <v>139</v>
      </c>
      <c r="C49" s="129"/>
      <c r="D49" s="129"/>
      <c r="E49" s="129"/>
      <c r="F49" s="130"/>
      <c r="G49" s="18">
        <v>2</v>
      </c>
      <c r="H49" s="18" t="s">
        <v>140</v>
      </c>
      <c r="I49" s="18" t="s">
        <v>140</v>
      </c>
      <c r="J49" s="18" t="s">
        <v>140</v>
      </c>
      <c r="K49" s="128"/>
      <c r="L49" s="129"/>
      <c r="M49" s="129"/>
      <c r="N49" s="129"/>
      <c r="O49" s="129"/>
      <c r="P49" s="129"/>
      <c r="Q49" s="130"/>
      <c r="R49" s="18"/>
      <c r="S49" s="18"/>
      <c r="T49" s="18"/>
      <c r="U49" s="18"/>
    </row>
    <row r="50" spans="1:21" ht="18" customHeight="1" x14ac:dyDescent="0.15">
      <c r="A50" s="3"/>
      <c r="B50" s="109"/>
      <c r="C50" s="110"/>
      <c r="D50" s="110"/>
      <c r="E50" s="110"/>
      <c r="F50" s="111"/>
      <c r="G50" s="19"/>
      <c r="H50" s="19"/>
      <c r="I50" s="19"/>
      <c r="J50" s="19"/>
      <c r="K50" s="109"/>
      <c r="L50" s="110"/>
      <c r="M50" s="110"/>
      <c r="N50" s="110"/>
      <c r="O50" s="110"/>
      <c r="P50" s="110"/>
      <c r="Q50" s="111"/>
      <c r="R50" s="19"/>
      <c r="S50" s="19"/>
      <c r="T50" s="19"/>
      <c r="U50" s="19"/>
    </row>
    <row r="51" spans="1:21" ht="18" customHeight="1" x14ac:dyDescent="0.15">
      <c r="A51" s="3"/>
      <c r="B51" s="109"/>
      <c r="C51" s="110"/>
      <c r="D51" s="110"/>
      <c r="E51" s="110"/>
      <c r="F51" s="111"/>
      <c r="G51" s="19"/>
      <c r="H51" s="19"/>
      <c r="I51" s="19"/>
      <c r="J51" s="19"/>
      <c r="K51" s="109"/>
      <c r="L51" s="110"/>
      <c r="M51" s="110"/>
      <c r="N51" s="110"/>
      <c r="O51" s="110"/>
      <c r="P51" s="110"/>
      <c r="Q51" s="111"/>
      <c r="R51" s="19"/>
      <c r="S51" s="19"/>
      <c r="T51" s="19"/>
      <c r="U51" s="19"/>
    </row>
    <row r="52" spans="1:21" ht="18" customHeight="1" x14ac:dyDescent="0.15">
      <c r="A52" s="3"/>
      <c r="B52" s="109"/>
      <c r="C52" s="110"/>
      <c r="D52" s="110"/>
      <c r="E52" s="110"/>
      <c r="F52" s="111"/>
      <c r="G52" s="19"/>
      <c r="H52" s="19"/>
      <c r="I52" s="19"/>
      <c r="J52" s="19"/>
      <c r="K52" s="109"/>
      <c r="L52" s="110"/>
      <c r="M52" s="110"/>
      <c r="N52" s="110"/>
      <c r="O52" s="110"/>
      <c r="P52" s="110"/>
      <c r="Q52" s="111"/>
      <c r="R52" s="19"/>
      <c r="S52" s="19"/>
      <c r="T52" s="19"/>
      <c r="U52" s="19"/>
    </row>
    <row r="53" spans="1:21" ht="18" customHeight="1" x14ac:dyDescent="0.15">
      <c r="A53" s="3"/>
      <c r="B53" s="109"/>
      <c r="C53" s="110"/>
      <c r="D53" s="110"/>
      <c r="E53" s="110"/>
      <c r="F53" s="111"/>
      <c r="G53" s="19"/>
      <c r="H53" s="19"/>
      <c r="I53" s="19"/>
      <c r="J53" s="19"/>
      <c r="K53" s="109"/>
      <c r="L53" s="110"/>
      <c r="M53" s="110"/>
      <c r="N53" s="110"/>
      <c r="O53" s="110"/>
      <c r="P53" s="110"/>
      <c r="Q53" s="111"/>
      <c r="R53" s="19"/>
      <c r="S53" s="19"/>
      <c r="T53" s="19"/>
      <c r="U53" s="19"/>
    </row>
    <row r="54" spans="1:21" ht="18" customHeight="1" x14ac:dyDescent="0.15">
      <c r="A54" s="3"/>
      <c r="B54" s="109"/>
      <c r="C54" s="110"/>
      <c r="D54" s="110"/>
      <c r="E54" s="110"/>
      <c r="F54" s="111"/>
      <c r="G54" s="19"/>
      <c r="H54" s="19"/>
      <c r="I54" s="19"/>
      <c r="J54" s="19"/>
      <c r="K54" s="109"/>
      <c r="L54" s="110"/>
      <c r="M54" s="110"/>
      <c r="N54" s="110"/>
      <c r="O54" s="110"/>
      <c r="P54" s="110"/>
      <c r="Q54" s="111"/>
      <c r="R54" s="19"/>
      <c r="S54" s="19"/>
      <c r="T54" s="19"/>
      <c r="U54" s="19"/>
    </row>
    <row r="55" spans="1:21" ht="18" customHeight="1" x14ac:dyDescent="0.15">
      <c r="A55" s="3"/>
      <c r="B55" s="132"/>
      <c r="C55" s="133"/>
      <c r="D55" s="133"/>
      <c r="E55" s="133"/>
      <c r="F55" s="134"/>
      <c r="G55" s="20"/>
      <c r="H55" s="20"/>
      <c r="I55" s="21"/>
      <c r="J55" s="21"/>
      <c r="K55" s="132"/>
      <c r="L55" s="133"/>
      <c r="M55" s="133"/>
      <c r="N55" s="133"/>
      <c r="O55" s="133"/>
      <c r="P55" s="133"/>
      <c r="Q55" s="134"/>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31" t="s">
        <v>104</v>
      </c>
      <c r="B57" s="131"/>
      <c r="C57" s="131"/>
      <c r="D57" s="131"/>
      <c r="E57" s="131"/>
      <c r="F57" s="131"/>
      <c r="G57" s="131"/>
      <c r="H57" s="131"/>
      <c r="I57" s="131"/>
      <c r="J57" s="131"/>
      <c r="K57" s="131"/>
      <c r="L57" s="131"/>
      <c r="M57" s="131"/>
      <c r="N57" s="131"/>
      <c r="O57" s="131"/>
      <c r="P57" s="131"/>
      <c r="Q57" s="131"/>
      <c r="R57" s="131"/>
      <c r="S57" s="131"/>
      <c r="T57" s="131"/>
      <c r="U57" s="131"/>
    </row>
    <row r="58" spans="1:21" ht="18" customHeight="1" x14ac:dyDescent="0.15">
      <c r="A58" s="131"/>
      <c r="B58" s="131"/>
      <c r="C58" s="131"/>
      <c r="D58" s="131"/>
      <c r="E58" s="131"/>
      <c r="F58" s="131"/>
      <c r="G58" s="131"/>
      <c r="H58" s="131"/>
      <c r="I58" s="131"/>
      <c r="J58" s="131"/>
      <c r="K58" s="131"/>
      <c r="L58" s="131"/>
      <c r="M58" s="131"/>
      <c r="N58" s="131"/>
      <c r="O58" s="131"/>
      <c r="P58" s="131"/>
      <c r="Q58" s="131"/>
      <c r="R58" s="131"/>
      <c r="S58" s="131"/>
      <c r="T58" s="131"/>
      <c r="U58" s="131"/>
    </row>
    <row r="59" spans="1:21" ht="18" customHeight="1" x14ac:dyDescent="0.15">
      <c r="B59" s="125" t="s">
        <v>51</v>
      </c>
      <c r="C59" s="126"/>
      <c r="D59" s="126"/>
      <c r="E59" s="126"/>
      <c r="F59" s="127"/>
      <c r="G59" s="47" t="s">
        <v>77</v>
      </c>
      <c r="H59" s="46" t="s">
        <v>80</v>
      </c>
      <c r="I59" s="17" t="s">
        <v>56</v>
      </c>
      <c r="J59" s="17" t="s">
        <v>58</v>
      </c>
      <c r="K59" s="125" t="s">
        <v>51</v>
      </c>
      <c r="L59" s="126"/>
      <c r="M59" s="126"/>
      <c r="N59" s="126"/>
      <c r="O59" s="126"/>
      <c r="P59" s="126"/>
      <c r="Q59" s="127"/>
      <c r="R59" s="47" t="s">
        <v>77</v>
      </c>
      <c r="S59" s="46" t="s">
        <v>80</v>
      </c>
      <c r="T59" s="17" t="s">
        <v>56</v>
      </c>
      <c r="U59" s="17" t="s">
        <v>58</v>
      </c>
    </row>
    <row r="60" spans="1:21" ht="18" customHeight="1" x14ac:dyDescent="0.15">
      <c r="A60" s="3"/>
      <c r="B60" s="128" t="s">
        <v>139</v>
      </c>
      <c r="C60" s="129"/>
      <c r="D60" s="129"/>
      <c r="E60" s="129"/>
      <c r="F60" s="130"/>
      <c r="G60" s="18">
        <v>2</v>
      </c>
      <c r="H60" s="18" t="s">
        <v>140</v>
      </c>
      <c r="I60" s="18" t="s">
        <v>140</v>
      </c>
      <c r="J60" s="18" t="s">
        <v>140</v>
      </c>
      <c r="K60" s="128"/>
      <c r="L60" s="129"/>
      <c r="M60" s="129"/>
      <c r="N60" s="129"/>
      <c r="O60" s="129"/>
      <c r="P60" s="129"/>
      <c r="Q60" s="130"/>
      <c r="R60" s="18"/>
      <c r="S60" s="18"/>
      <c r="T60" s="18"/>
      <c r="U60" s="18"/>
    </row>
    <row r="61" spans="1:21" ht="18" customHeight="1" x14ac:dyDescent="0.15">
      <c r="A61" s="3"/>
      <c r="B61" s="109" t="s">
        <v>141</v>
      </c>
      <c r="C61" s="110"/>
      <c r="D61" s="110"/>
      <c r="E61" s="110"/>
      <c r="F61" s="111"/>
      <c r="G61" s="19">
        <v>2</v>
      </c>
      <c r="H61" s="19"/>
      <c r="I61" s="19"/>
      <c r="J61" s="19" t="s">
        <v>140</v>
      </c>
      <c r="K61" s="109"/>
      <c r="L61" s="110"/>
      <c r="M61" s="110"/>
      <c r="N61" s="110"/>
      <c r="O61" s="110"/>
      <c r="P61" s="110"/>
      <c r="Q61" s="111"/>
      <c r="R61" s="19"/>
      <c r="S61" s="19"/>
      <c r="T61" s="19"/>
      <c r="U61" s="19"/>
    </row>
    <row r="62" spans="1:21" ht="18" customHeight="1" x14ac:dyDescent="0.15">
      <c r="A62" s="3"/>
      <c r="B62" s="109" t="s">
        <v>142</v>
      </c>
      <c r="C62" s="110"/>
      <c r="D62" s="110"/>
      <c r="E62" s="110"/>
      <c r="F62" s="111"/>
      <c r="G62" s="19">
        <v>2</v>
      </c>
      <c r="H62" s="19"/>
      <c r="I62" s="19" t="s">
        <v>140</v>
      </c>
      <c r="J62" s="19" t="s">
        <v>140</v>
      </c>
      <c r="K62" s="109"/>
      <c r="L62" s="110"/>
      <c r="M62" s="110"/>
      <c r="N62" s="110"/>
      <c r="O62" s="110"/>
      <c r="P62" s="110"/>
      <c r="Q62" s="111"/>
      <c r="R62" s="19"/>
      <c r="S62" s="19"/>
      <c r="T62" s="19"/>
      <c r="U62" s="19"/>
    </row>
    <row r="63" spans="1:21" ht="18" customHeight="1" x14ac:dyDescent="0.15">
      <c r="A63" s="3"/>
      <c r="B63" s="109"/>
      <c r="C63" s="110"/>
      <c r="D63" s="110"/>
      <c r="E63" s="110"/>
      <c r="F63" s="111"/>
      <c r="G63" s="19"/>
      <c r="H63" s="19"/>
      <c r="I63" s="19"/>
      <c r="J63" s="19"/>
      <c r="K63" s="109"/>
      <c r="L63" s="110"/>
      <c r="M63" s="110"/>
      <c r="N63" s="110"/>
      <c r="O63" s="110"/>
      <c r="P63" s="110"/>
      <c r="Q63" s="111"/>
      <c r="R63" s="19"/>
      <c r="S63" s="19"/>
      <c r="T63" s="19"/>
      <c r="U63" s="19"/>
    </row>
    <row r="64" spans="1:21" ht="18" customHeight="1" x14ac:dyDescent="0.15">
      <c r="A64" s="3"/>
      <c r="B64" s="109"/>
      <c r="C64" s="110"/>
      <c r="D64" s="110"/>
      <c r="E64" s="110"/>
      <c r="F64" s="111"/>
      <c r="G64" s="19"/>
      <c r="H64" s="19"/>
      <c r="I64" s="19"/>
      <c r="J64" s="19"/>
      <c r="K64" s="109"/>
      <c r="L64" s="110"/>
      <c r="M64" s="110"/>
      <c r="N64" s="110"/>
      <c r="O64" s="110"/>
      <c r="P64" s="110"/>
      <c r="Q64" s="111"/>
      <c r="R64" s="19"/>
      <c r="S64" s="19"/>
      <c r="T64" s="19"/>
      <c r="U64" s="19"/>
    </row>
    <row r="65" spans="1:21" ht="18" customHeight="1" x14ac:dyDescent="0.15">
      <c r="A65" s="3"/>
      <c r="B65" s="109"/>
      <c r="C65" s="110"/>
      <c r="D65" s="110"/>
      <c r="E65" s="110"/>
      <c r="F65" s="111"/>
      <c r="G65" s="19"/>
      <c r="H65" s="19"/>
      <c r="I65" s="19"/>
      <c r="J65" s="19"/>
      <c r="K65" s="109"/>
      <c r="L65" s="110"/>
      <c r="M65" s="110"/>
      <c r="N65" s="110"/>
      <c r="O65" s="110"/>
      <c r="P65" s="110"/>
      <c r="Q65" s="111"/>
      <c r="R65" s="19"/>
      <c r="S65" s="19"/>
      <c r="T65" s="19"/>
      <c r="U65" s="19"/>
    </row>
    <row r="66" spans="1:21" ht="18" customHeight="1" x14ac:dyDescent="0.15">
      <c r="A66" s="3"/>
      <c r="B66" s="132"/>
      <c r="C66" s="133"/>
      <c r="D66" s="133"/>
      <c r="E66" s="133"/>
      <c r="F66" s="134"/>
      <c r="G66" s="20"/>
      <c r="H66" s="20"/>
      <c r="I66" s="21"/>
      <c r="J66" s="21"/>
      <c r="K66" s="132"/>
      <c r="L66" s="133"/>
      <c r="M66" s="133"/>
      <c r="N66" s="133"/>
      <c r="O66" s="133"/>
      <c r="P66" s="133"/>
      <c r="Q66" s="134"/>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31" t="s">
        <v>105</v>
      </c>
      <c r="B68" s="131"/>
      <c r="C68" s="131"/>
      <c r="D68" s="131"/>
      <c r="E68" s="131"/>
      <c r="F68" s="131"/>
      <c r="G68" s="131"/>
      <c r="H68" s="131"/>
      <c r="I68" s="131"/>
      <c r="J68" s="131"/>
      <c r="K68" s="131"/>
      <c r="L68" s="131"/>
      <c r="M68" s="131"/>
      <c r="N68" s="131"/>
      <c r="O68" s="131"/>
      <c r="P68" s="131"/>
      <c r="Q68" s="131"/>
      <c r="R68" s="131"/>
      <c r="S68" s="131"/>
      <c r="T68" s="131"/>
      <c r="U68" s="131"/>
    </row>
    <row r="69" spans="1:21" ht="18" customHeight="1" x14ac:dyDescent="0.15">
      <c r="A69" s="131"/>
      <c r="B69" s="131"/>
      <c r="C69" s="131"/>
      <c r="D69" s="131"/>
      <c r="E69" s="131"/>
      <c r="F69" s="131"/>
      <c r="G69" s="131"/>
      <c r="H69" s="131"/>
      <c r="I69" s="131"/>
      <c r="J69" s="131"/>
      <c r="K69" s="131"/>
      <c r="L69" s="131"/>
      <c r="M69" s="131"/>
      <c r="N69" s="131"/>
      <c r="O69" s="131"/>
      <c r="P69" s="131"/>
      <c r="Q69" s="131"/>
      <c r="R69" s="131"/>
      <c r="S69" s="131"/>
      <c r="T69" s="131"/>
      <c r="U69" s="131"/>
    </row>
    <row r="70" spans="1:21" ht="18" customHeight="1" x14ac:dyDescent="0.15">
      <c r="B70" s="125" t="s">
        <v>51</v>
      </c>
      <c r="C70" s="126"/>
      <c r="D70" s="126"/>
      <c r="E70" s="126"/>
      <c r="F70" s="47" t="s">
        <v>77</v>
      </c>
      <c r="G70" s="46" t="s">
        <v>80</v>
      </c>
      <c r="H70" s="17" t="s">
        <v>92</v>
      </c>
      <c r="I70" s="17" t="s">
        <v>72</v>
      </c>
      <c r="J70" s="17" t="s">
        <v>73</v>
      </c>
      <c r="K70" s="125" t="s">
        <v>51</v>
      </c>
      <c r="L70" s="126"/>
      <c r="M70" s="126"/>
      <c r="N70" s="126"/>
      <c r="O70" s="126"/>
      <c r="P70" s="127"/>
      <c r="Q70" s="47" t="s">
        <v>77</v>
      </c>
      <c r="R70" s="46" t="s">
        <v>80</v>
      </c>
      <c r="S70" s="17" t="s">
        <v>92</v>
      </c>
      <c r="T70" s="17" t="s">
        <v>72</v>
      </c>
      <c r="U70" s="17" t="s">
        <v>73</v>
      </c>
    </row>
    <row r="71" spans="1:21" ht="18" customHeight="1" x14ac:dyDescent="0.15">
      <c r="A71" s="3"/>
      <c r="B71" s="128" t="s">
        <v>139</v>
      </c>
      <c r="C71" s="129"/>
      <c r="D71" s="129"/>
      <c r="E71" s="129"/>
      <c r="F71" s="18">
        <v>2</v>
      </c>
      <c r="G71" s="18" t="s">
        <v>140</v>
      </c>
      <c r="H71" s="18" t="s">
        <v>140</v>
      </c>
      <c r="I71" s="18" t="s">
        <v>140</v>
      </c>
      <c r="J71" s="18" t="s">
        <v>140</v>
      </c>
      <c r="K71" s="128"/>
      <c r="L71" s="129"/>
      <c r="M71" s="129"/>
      <c r="N71" s="129"/>
      <c r="O71" s="129"/>
      <c r="P71" s="130"/>
      <c r="Q71" s="18"/>
      <c r="R71" s="18"/>
      <c r="S71" s="18"/>
      <c r="T71" s="18"/>
      <c r="U71" s="18"/>
    </row>
    <row r="72" spans="1:21" ht="18" customHeight="1" x14ac:dyDescent="0.15">
      <c r="A72" s="3"/>
      <c r="B72" s="109" t="s">
        <v>164</v>
      </c>
      <c r="C72" s="110"/>
      <c r="D72" s="110"/>
      <c r="E72" s="110"/>
      <c r="F72" s="19">
        <v>4</v>
      </c>
      <c r="G72" s="19"/>
      <c r="H72" s="19"/>
      <c r="I72" s="19"/>
      <c r="J72" s="19" t="s">
        <v>140</v>
      </c>
      <c r="K72" s="109"/>
      <c r="L72" s="110"/>
      <c r="M72" s="110"/>
      <c r="N72" s="110"/>
      <c r="O72" s="110"/>
      <c r="P72" s="111"/>
      <c r="Q72" s="19"/>
      <c r="R72" s="19"/>
      <c r="S72" s="19"/>
      <c r="T72" s="19"/>
      <c r="U72" s="19"/>
    </row>
    <row r="73" spans="1:21" ht="18" customHeight="1" x14ac:dyDescent="0.15">
      <c r="A73" s="3"/>
      <c r="B73" s="109"/>
      <c r="C73" s="110"/>
      <c r="D73" s="110"/>
      <c r="E73" s="110"/>
      <c r="F73" s="19"/>
      <c r="G73" s="19"/>
      <c r="H73" s="19"/>
      <c r="I73" s="19"/>
      <c r="J73" s="19"/>
      <c r="K73" s="109"/>
      <c r="L73" s="110"/>
      <c r="M73" s="110"/>
      <c r="N73" s="110"/>
      <c r="O73" s="110"/>
      <c r="P73" s="111"/>
      <c r="Q73" s="19"/>
      <c r="R73" s="19"/>
      <c r="S73" s="19"/>
      <c r="T73" s="19"/>
      <c r="U73" s="19"/>
    </row>
    <row r="74" spans="1:21" ht="18" customHeight="1" x14ac:dyDescent="0.15">
      <c r="A74" s="3"/>
      <c r="B74" s="109"/>
      <c r="C74" s="110"/>
      <c r="D74" s="110"/>
      <c r="E74" s="110"/>
      <c r="F74" s="19"/>
      <c r="G74" s="19"/>
      <c r="H74" s="19"/>
      <c r="I74" s="19"/>
      <c r="J74" s="19"/>
      <c r="K74" s="109"/>
      <c r="L74" s="110"/>
      <c r="M74" s="110"/>
      <c r="N74" s="110"/>
      <c r="O74" s="110"/>
      <c r="P74" s="111"/>
      <c r="Q74" s="19"/>
      <c r="R74" s="19"/>
      <c r="S74" s="19"/>
      <c r="T74" s="19"/>
      <c r="U74" s="19"/>
    </row>
    <row r="75" spans="1:21" ht="18" customHeight="1" x14ac:dyDescent="0.15">
      <c r="A75" s="3"/>
      <c r="B75" s="109"/>
      <c r="C75" s="110"/>
      <c r="D75" s="110"/>
      <c r="E75" s="110"/>
      <c r="F75" s="19"/>
      <c r="G75" s="19"/>
      <c r="H75" s="19"/>
      <c r="I75" s="19"/>
      <c r="J75" s="19"/>
      <c r="K75" s="109"/>
      <c r="L75" s="110"/>
      <c r="M75" s="110"/>
      <c r="N75" s="110"/>
      <c r="O75" s="110"/>
      <c r="P75" s="111"/>
      <c r="Q75" s="19"/>
      <c r="R75" s="19"/>
      <c r="S75" s="19"/>
      <c r="T75" s="19"/>
      <c r="U75" s="19"/>
    </row>
    <row r="76" spans="1:21" ht="18" customHeight="1" x14ac:dyDescent="0.15">
      <c r="A76" s="3"/>
      <c r="B76" s="109"/>
      <c r="C76" s="110"/>
      <c r="D76" s="110"/>
      <c r="E76" s="110"/>
      <c r="F76" s="19"/>
      <c r="G76" s="19"/>
      <c r="H76" s="19"/>
      <c r="I76" s="19"/>
      <c r="J76" s="19"/>
      <c r="K76" s="109"/>
      <c r="L76" s="110"/>
      <c r="M76" s="110"/>
      <c r="N76" s="110"/>
      <c r="O76" s="110"/>
      <c r="P76" s="111"/>
      <c r="Q76" s="19"/>
      <c r="R76" s="19"/>
      <c r="S76" s="19"/>
      <c r="T76" s="19"/>
      <c r="U76" s="19"/>
    </row>
    <row r="77" spans="1:21" ht="18" customHeight="1" x14ac:dyDescent="0.15">
      <c r="A77" s="3"/>
      <c r="B77" s="132"/>
      <c r="C77" s="133"/>
      <c r="D77" s="133"/>
      <c r="E77" s="133"/>
      <c r="F77" s="20"/>
      <c r="G77" s="20"/>
      <c r="H77" s="21"/>
      <c r="I77" s="21"/>
      <c r="J77" s="21"/>
      <c r="K77" s="132"/>
      <c r="L77" s="133"/>
      <c r="M77" s="133"/>
      <c r="N77" s="133"/>
      <c r="O77" s="133"/>
      <c r="P77" s="134"/>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125" t="s">
        <v>51</v>
      </c>
      <c r="C80" s="126"/>
      <c r="D80" s="126"/>
      <c r="E80" s="126"/>
      <c r="F80" s="127"/>
      <c r="G80" s="125" t="s">
        <v>78</v>
      </c>
      <c r="H80" s="126"/>
      <c r="I80" s="126"/>
      <c r="J80" s="127"/>
      <c r="K80" s="135" t="s">
        <v>51</v>
      </c>
      <c r="L80" s="136"/>
      <c r="M80" s="136"/>
      <c r="N80" s="136"/>
      <c r="O80" s="136"/>
      <c r="P80" s="136"/>
      <c r="Q80" s="137"/>
      <c r="R80" s="125" t="s">
        <v>78</v>
      </c>
      <c r="S80" s="126"/>
      <c r="T80" s="126"/>
      <c r="U80" s="127"/>
    </row>
    <row r="81" spans="1:21" ht="18" customHeight="1" x14ac:dyDescent="0.15">
      <c r="A81" s="3"/>
      <c r="B81" s="128" t="s">
        <v>161</v>
      </c>
      <c r="C81" s="129"/>
      <c r="D81" s="129"/>
      <c r="E81" s="129"/>
      <c r="F81" s="130"/>
      <c r="G81" s="141" t="s">
        <v>147</v>
      </c>
      <c r="H81" s="142"/>
      <c r="I81" s="142"/>
      <c r="J81" s="143"/>
      <c r="K81" s="128"/>
      <c r="L81" s="129"/>
      <c r="M81" s="129"/>
      <c r="N81" s="129"/>
      <c r="O81" s="129"/>
      <c r="P81" s="129"/>
      <c r="Q81" s="130"/>
      <c r="R81" s="141"/>
      <c r="S81" s="142"/>
      <c r="T81" s="142"/>
      <c r="U81" s="143"/>
    </row>
    <row r="82" spans="1:21" ht="18" customHeight="1" x14ac:dyDescent="0.15">
      <c r="A82" s="3"/>
      <c r="B82" s="109" t="s">
        <v>162</v>
      </c>
      <c r="C82" s="110"/>
      <c r="D82" s="110"/>
      <c r="E82" s="110"/>
      <c r="F82" s="111"/>
      <c r="G82" s="138" t="s">
        <v>147</v>
      </c>
      <c r="H82" s="139"/>
      <c r="I82" s="139"/>
      <c r="J82" s="140"/>
      <c r="K82" s="109"/>
      <c r="L82" s="110"/>
      <c r="M82" s="110"/>
      <c r="N82" s="110"/>
      <c r="O82" s="110"/>
      <c r="P82" s="110"/>
      <c r="Q82" s="111"/>
      <c r="R82" s="138"/>
      <c r="S82" s="139"/>
      <c r="T82" s="139"/>
      <c r="U82" s="140"/>
    </row>
    <row r="83" spans="1:21" ht="18" customHeight="1" x14ac:dyDescent="0.15">
      <c r="A83" s="3"/>
      <c r="B83" s="109" t="s">
        <v>163</v>
      </c>
      <c r="C83" s="110"/>
      <c r="D83" s="110"/>
      <c r="E83" s="110"/>
      <c r="F83" s="111"/>
      <c r="G83" s="138" t="s">
        <v>147</v>
      </c>
      <c r="H83" s="139"/>
      <c r="I83" s="139"/>
      <c r="J83" s="140"/>
      <c r="K83" s="109"/>
      <c r="L83" s="110"/>
      <c r="M83" s="110"/>
      <c r="N83" s="110"/>
      <c r="O83" s="110"/>
      <c r="P83" s="110"/>
      <c r="Q83" s="111"/>
      <c r="R83" s="138"/>
      <c r="S83" s="139"/>
      <c r="T83" s="139"/>
      <c r="U83" s="140"/>
    </row>
    <row r="84" spans="1:21" ht="18" customHeight="1" x14ac:dyDescent="0.15">
      <c r="A84" s="3"/>
      <c r="B84" s="109"/>
      <c r="C84" s="110"/>
      <c r="D84" s="110"/>
      <c r="E84" s="110"/>
      <c r="F84" s="111"/>
      <c r="G84" s="138"/>
      <c r="H84" s="139"/>
      <c r="I84" s="139"/>
      <c r="J84" s="140"/>
      <c r="K84" s="109"/>
      <c r="L84" s="110"/>
      <c r="M84" s="110"/>
      <c r="N84" s="110"/>
      <c r="O84" s="110"/>
      <c r="P84" s="110"/>
      <c r="Q84" s="111"/>
      <c r="R84" s="138"/>
      <c r="S84" s="139"/>
      <c r="T84" s="139"/>
      <c r="U84" s="140"/>
    </row>
    <row r="85" spans="1:21" ht="18" customHeight="1" x14ac:dyDescent="0.15">
      <c r="A85" s="3"/>
      <c r="B85" s="109"/>
      <c r="C85" s="110"/>
      <c r="D85" s="110"/>
      <c r="E85" s="110"/>
      <c r="F85" s="111"/>
      <c r="G85" s="138"/>
      <c r="H85" s="139"/>
      <c r="I85" s="139"/>
      <c r="J85" s="140"/>
      <c r="K85" s="109"/>
      <c r="L85" s="110"/>
      <c r="M85" s="110"/>
      <c r="N85" s="110"/>
      <c r="O85" s="110"/>
      <c r="P85" s="110"/>
      <c r="Q85" s="111"/>
      <c r="R85" s="138"/>
      <c r="S85" s="139"/>
      <c r="T85" s="139"/>
      <c r="U85" s="140"/>
    </row>
    <row r="86" spans="1:21" ht="18" customHeight="1" x14ac:dyDescent="0.15">
      <c r="A86" s="3"/>
      <c r="B86" s="109"/>
      <c r="C86" s="110"/>
      <c r="D86" s="110"/>
      <c r="E86" s="110"/>
      <c r="F86" s="111"/>
      <c r="G86" s="138"/>
      <c r="H86" s="139"/>
      <c r="I86" s="139"/>
      <c r="J86" s="140"/>
      <c r="K86" s="109"/>
      <c r="L86" s="110"/>
      <c r="M86" s="110"/>
      <c r="N86" s="110"/>
      <c r="O86" s="110"/>
      <c r="P86" s="110"/>
      <c r="Q86" s="111"/>
      <c r="R86" s="138"/>
      <c r="S86" s="139"/>
      <c r="T86" s="139"/>
      <c r="U86" s="140"/>
    </row>
    <row r="87" spans="1:21" ht="18" customHeight="1" x14ac:dyDescent="0.15">
      <c r="A87" s="3"/>
      <c r="B87" s="132"/>
      <c r="C87" s="133"/>
      <c r="D87" s="133"/>
      <c r="E87" s="133"/>
      <c r="F87" s="134"/>
      <c r="G87" s="144"/>
      <c r="H87" s="145"/>
      <c r="I87" s="145"/>
      <c r="J87" s="146"/>
      <c r="K87" s="132"/>
      <c r="L87" s="133"/>
      <c r="M87" s="133"/>
      <c r="N87" s="133"/>
      <c r="O87" s="133"/>
      <c r="P87" s="133"/>
      <c r="Q87" s="134"/>
      <c r="R87" s="144"/>
      <c r="S87" s="145"/>
      <c r="T87" s="145"/>
      <c r="U87" s="146"/>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47" t="s">
        <v>52</v>
      </c>
      <c r="C90" s="148"/>
      <c r="D90" s="125" t="s">
        <v>53</v>
      </c>
      <c r="E90" s="126"/>
      <c r="F90" s="126"/>
      <c r="G90" s="126"/>
      <c r="H90" s="126"/>
      <c r="I90" s="126"/>
      <c r="J90" s="126"/>
      <c r="K90" s="126"/>
      <c r="L90" s="126"/>
      <c r="M90" s="126"/>
      <c r="N90" s="126"/>
      <c r="O90" s="126"/>
      <c r="P90" s="126"/>
      <c r="Q90" s="126"/>
      <c r="R90" s="126"/>
      <c r="S90" s="126"/>
      <c r="T90" s="126"/>
      <c r="U90" s="127"/>
    </row>
    <row r="91" spans="1:21" ht="97.5" customHeight="1" x14ac:dyDescent="0.15">
      <c r="B91" s="149" t="s">
        <v>59</v>
      </c>
      <c r="C91" s="23" t="s">
        <v>54</v>
      </c>
      <c r="D91" s="151" t="s">
        <v>195</v>
      </c>
      <c r="E91" s="152"/>
      <c r="F91" s="152"/>
      <c r="G91" s="152"/>
      <c r="H91" s="152"/>
      <c r="I91" s="152"/>
      <c r="J91" s="152"/>
      <c r="K91" s="152"/>
      <c r="L91" s="152"/>
      <c r="M91" s="152"/>
      <c r="N91" s="152"/>
      <c r="O91" s="152"/>
      <c r="P91" s="152"/>
      <c r="Q91" s="152"/>
      <c r="R91" s="152"/>
      <c r="S91" s="152"/>
      <c r="T91" s="152"/>
      <c r="U91" s="153"/>
    </row>
    <row r="92" spans="1:21" ht="97.5" customHeight="1" x14ac:dyDescent="0.15">
      <c r="B92" s="160"/>
      <c r="C92" s="24" t="s">
        <v>74</v>
      </c>
      <c r="D92" s="154" t="s">
        <v>222</v>
      </c>
      <c r="E92" s="155"/>
      <c r="F92" s="155"/>
      <c r="G92" s="155"/>
      <c r="H92" s="155"/>
      <c r="I92" s="155"/>
      <c r="J92" s="155"/>
      <c r="K92" s="155"/>
      <c r="L92" s="155"/>
      <c r="M92" s="155"/>
      <c r="N92" s="155"/>
      <c r="O92" s="155"/>
      <c r="P92" s="155"/>
      <c r="Q92" s="155"/>
      <c r="R92" s="155"/>
      <c r="S92" s="155"/>
      <c r="T92" s="155"/>
      <c r="U92" s="156"/>
    </row>
    <row r="93" spans="1:21" ht="97.5" customHeight="1" x14ac:dyDescent="0.15">
      <c r="B93" s="149" t="s">
        <v>60</v>
      </c>
      <c r="C93" s="25" t="s">
        <v>68</v>
      </c>
      <c r="D93" s="151" t="s">
        <v>201</v>
      </c>
      <c r="E93" s="152"/>
      <c r="F93" s="152"/>
      <c r="G93" s="152"/>
      <c r="H93" s="152"/>
      <c r="I93" s="152"/>
      <c r="J93" s="152"/>
      <c r="K93" s="152"/>
      <c r="L93" s="152"/>
      <c r="M93" s="152"/>
      <c r="N93" s="152"/>
      <c r="O93" s="152"/>
      <c r="P93" s="152"/>
      <c r="Q93" s="152"/>
      <c r="R93" s="152"/>
      <c r="S93" s="152"/>
      <c r="T93" s="152"/>
      <c r="U93" s="153"/>
    </row>
    <row r="94" spans="1:21" ht="97.5" customHeight="1" x14ac:dyDescent="0.15">
      <c r="B94" s="150"/>
      <c r="C94" s="26" t="s">
        <v>69</v>
      </c>
      <c r="D94" s="154" t="s">
        <v>196</v>
      </c>
      <c r="E94" s="155"/>
      <c r="F94" s="155"/>
      <c r="G94" s="155"/>
      <c r="H94" s="155"/>
      <c r="I94" s="155"/>
      <c r="J94" s="155"/>
      <c r="K94" s="155"/>
      <c r="L94" s="155"/>
      <c r="M94" s="155"/>
      <c r="N94" s="155"/>
      <c r="O94" s="155"/>
      <c r="P94" s="155"/>
      <c r="Q94" s="155"/>
      <c r="R94" s="155"/>
      <c r="S94" s="155"/>
      <c r="T94" s="155"/>
      <c r="U94" s="156"/>
    </row>
    <row r="95" spans="1:21" ht="97.5" customHeight="1" x14ac:dyDescent="0.15">
      <c r="B95" s="149" t="s">
        <v>61</v>
      </c>
      <c r="C95" s="25" t="s">
        <v>70</v>
      </c>
      <c r="D95" s="151" t="s">
        <v>221</v>
      </c>
      <c r="E95" s="152"/>
      <c r="F95" s="152"/>
      <c r="G95" s="152"/>
      <c r="H95" s="152"/>
      <c r="I95" s="152"/>
      <c r="J95" s="152"/>
      <c r="K95" s="152"/>
      <c r="L95" s="152"/>
      <c r="M95" s="152"/>
      <c r="N95" s="152"/>
      <c r="O95" s="152"/>
      <c r="P95" s="152"/>
      <c r="Q95" s="152"/>
      <c r="R95" s="152"/>
      <c r="S95" s="152"/>
      <c r="T95" s="152"/>
      <c r="U95" s="153"/>
    </row>
    <row r="96" spans="1:21" ht="97.5" customHeight="1" x14ac:dyDescent="0.15">
      <c r="B96" s="150"/>
      <c r="C96" s="27" t="s">
        <v>71</v>
      </c>
      <c r="D96" s="154" t="s">
        <v>198</v>
      </c>
      <c r="E96" s="155"/>
      <c r="F96" s="155"/>
      <c r="G96" s="155"/>
      <c r="H96" s="155"/>
      <c r="I96" s="155"/>
      <c r="J96" s="155"/>
      <c r="K96" s="155"/>
      <c r="L96" s="155"/>
      <c r="M96" s="155"/>
      <c r="N96" s="155"/>
      <c r="O96" s="155"/>
      <c r="P96" s="155"/>
      <c r="Q96" s="155"/>
      <c r="R96" s="155"/>
      <c r="S96" s="155"/>
      <c r="T96" s="155"/>
      <c r="U96" s="156"/>
    </row>
    <row r="97" spans="1:33" ht="97.5" customHeight="1" x14ac:dyDescent="0.15">
      <c r="B97" s="149" t="s">
        <v>75</v>
      </c>
      <c r="C97" s="23" t="s">
        <v>56</v>
      </c>
      <c r="D97" s="157" t="s">
        <v>202</v>
      </c>
      <c r="E97" s="158"/>
      <c r="F97" s="158"/>
      <c r="G97" s="158"/>
      <c r="H97" s="158"/>
      <c r="I97" s="158"/>
      <c r="J97" s="158"/>
      <c r="K97" s="158"/>
      <c r="L97" s="158"/>
      <c r="M97" s="158"/>
      <c r="N97" s="158"/>
      <c r="O97" s="158"/>
      <c r="P97" s="158"/>
      <c r="Q97" s="158"/>
      <c r="R97" s="158"/>
      <c r="S97" s="158"/>
      <c r="T97" s="158"/>
      <c r="U97" s="159"/>
    </row>
    <row r="98" spans="1:33" ht="97.5" customHeight="1" x14ac:dyDescent="0.15">
      <c r="B98" s="150"/>
      <c r="C98" s="26" t="s">
        <v>58</v>
      </c>
      <c r="D98" s="154" t="s">
        <v>203</v>
      </c>
      <c r="E98" s="155"/>
      <c r="F98" s="155"/>
      <c r="G98" s="155"/>
      <c r="H98" s="155"/>
      <c r="I98" s="155"/>
      <c r="J98" s="155"/>
      <c r="K98" s="155"/>
      <c r="L98" s="155"/>
      <c r="M98" s="155"/>
      <c r="N98" s="155"/>
      <c r="O98" s="155"/>
      <c r="P98" s="155"/>
      <c r="Q98" s="155"/>
      <c r="R98" s="155"/>
      <c r="S98" s="155"/>
      <c r="T98" s="155"/>
      <c r="U98" s="156"/>
    </row>
    <row r="99" spans="1:33" ht="97.5" customHeight="1" x14ac:dyDescent="0.15">
      <c r="B99" s="149" t="s">
        <v>76</v>
      </c>
      <c r="C99" s="25" t="s">
        <v>55</v>
      </c>
      <c r="D99" s="157" t="s">
        <v>224</v>
      </c>
      <c r="E99" s="158"/>
      <c r="F99" s="158"/>
      <c r="G99" s="158"/>
      <c r="H99" s="158"/>
      <c r="I99" s="158"/>
      <c r="J99" s="158"/>
      <c r="K99" s="158"/>
      <c r="L99" s="158"/>
      <c r="M99" s="158"/>
      <c r="N99" s="158"/>
      <c r="O99" s="158"/>
      <c r="P99" s="158"/>
      <c r="Q99" s="158"/>
      <c r="R99" s="158"/>
      <c r="S99" s="158"/>
      <c r="T99" s="158"/>
      <c r="U99" s="159"/>
    </row>
    <row r="100" spans="1:33" ht="97.5" customHeight="1" x14ac:dyDescent="0.15">
      <c r="B100" s="160"/>
      <c r="C100" s="28" t="s">
        <v>72</v>
      </c>
      <c r="D100" s="164" t="s">
        <v>213</v>
      </c>
      <c r="E100" s="165"/>
      <c r="F100" s="165"/>
      <c r="G100" s="165"/>
      <c r="H100" s="165"/>
      <c r="I100" s="165"/>
      <c r="J100" s="165"/>
      <c r="K100" s="165"/>
      <c r="L100" s="165"/>
      <c r="M100" s="165"/>
      <c r="N100" s="165"/>
      <c r="O100" s="165"/>
      <c r="P100" s="165"/>
      <c r="Q100" s="165"/>
      <c r="R100" s="165"/>
      <c r="S100" s="165"/>
      <c r="T100" s="165"/>
      <c r="U100" s="166"/>
    </row>
    <row r="101" spans="1:33" ht="97.5" customHeight="1" x14ac:dyDescent="0.15">
      <c r="B101" s="150"/>
      <c r="C101" s="27" t="s">
        <v>73</v>
      </c>
      <c r="D101" s="154" t="s">
        <v>214</v>
      </c>
      <c r="E101" s="155"/>
      <c r="F101" s="155"/>
      <c r="G101" s="155"/>
      <c r="H101" s="155"/>
      <c r="I101" s="155"/>
      <c r="J101" s="155"/>
      <c r="K101" s="155"/>
      <c r="L101" s="155"/>
      <c r="M101" s="155"/>
      <c r="N101" s="155"/>
      <c r="O101" s="155"/>
      <c r="P101" s="155"/>
      <c r="Q101" s="155"/>
      <c r="R101" s="155"/>
      <c r="S101" s="155"/>
      <c r="T101" s="155"/>
      <c r="U101" s="156"/>
    </row>
    <row r="102" spans="1:33" ht="6" customHeight="1" x14ac:dyDescent="0.15"/>
    <row r="103" spans="1:33" ht="18.75" customHeight="1" x14ac:dyDescent="0.15">
      <c r="A103" s="1" t="s">
        <v>108</v>
      </c>
    </row>
    <row r="104" spans="1:33" ht="81.75" customHeight="1" x14ac:dyDescent="0.15">
      <c r="B104" s="167" t="s">
        <v>231</v>
      </c>
      <c r="C104" s="168"/>
      <c r="D104" s="168"/>
      <c r="E104" s="168"/>
      <c r="F104" s="168"/>
      <c r="G104" s="168"/>
      <c r="H104" s="168"/>
      <c r="I104" s="168"/>
      <c r="J104" s="168"/>
      <c r="K104" s="168"/>
      <c r="L104" s="168"/>
      <c r="M104" s="168"/>
      <c r="N104" s="168"/>
      <c r="O104" s="168"/>
      <c r="P104" s="168"/>
      <c r="Q104" s="168"/>
      <c r="R104" s="168"/>
      <c r="S104" s="168"/>
      <c r="T104" s="168"/>
      <c r="U104" s="169"/>
    </row>
    <row r="106" spans="1:33" ht="18.75" customHeight="1" x14ac:dyDescent="0.15">
      <c r="A106" s="70" t="s">
        <v>124</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x14ac:dyDescent="0.15">
      <c r="A107" s="70" t="s">
        <v>126</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x14ac:dyDescent="0.15">
      <c r="A108" s="70"/>
      <c r="B108" s="170" t="s">
        <v>130</v>
      </c>
      <c r="C108" s="170"/>
      <c r="D108" s="170"/>
      <c r="E108" s="170"/>
      <c r="F108" s="170"/>
      <c r="G108" s="170"/>
      <c r="H108" s="170"/>
      <c r="I108" s="170"/>
      <c r="J108" s="170"/>
      <c r="K108" s="170"/>
      <c r="L108" s="170"/>
      <c r="M108" s="170"/>
      <c r="N108" s="170"/>
      <c r="O108" s="170"/>
      <c r="P108" s="170"/>
      <c r="Q108" s="170"/>
      <c r="R108" s="170"/>
      <c r="S108" s="170"/>
      <c r="T108" s="170"/>
      <c r="U108" s="170"/>
      <c r="V108" s="66"/>
      <c r="W108" s="66"/>
      <c r="X108" s="66"/>
      <c r="Y108" s="66"/>
      <c r="Z108" s="66"/>
      <c r="AA108" s="66"/>
      <c r="AB108" s="66"/>
      <c r="AC108" s="66"/>
      <c r="AD108" s="66"/>
      <c r="AE108" s="66"/>
      <c r="AF108" s="66"/>
      <c r="AG108" s="66"/>
    </row>
    <row r="109" spans="1:33" ht="37.15" customHeight="1" x14ac:dyDescent="0.15">
      <c r="A109" s="70"/>
      <c r="B109" s="170"/>
      <c r="C109" s="170"/>
      <c r="D109" s="170"/>
      <c r="E109" s="170"/>
      <c r="F109" s="170"/>
      <c r="G109" s="170"/>
      <c r="H109" s="170"/>
      <c r="I109" s="170"/>
      <c r="J109" s="170"/>
      <c r="K109" s="170"/>
      <c r="L109" s="170"/>
      <c r="M109" s="170"/>
      <c r="N109" s="170"/>
      <c r="O109" s="170"/>
      <c r="P109" s="170"/>
      <c r="Q109" s="170"/>
      <c r="R109" s="170"/>
      <c r="S109" s="170"/>
      <c r="T109" s="170"/>
      <c r="U109" s="170"/>
      <c r="V109" s="66"/>
      <c r="W109" s="66"/>
      <c r="X109" s="66"/>
      <c r="Y109" s="66"/>
      <c r="Z109" s="66"/>
      <c r="AA109" s="66"/>
      <c r="AB109" s="66"/>
      <c r="AC109" s="66"/>
      <c r="AD109" s="66"/>
      <c r="AE109" s="66"/>
      <c r="AF109" s="66"/>
      <c r="AG109" s="66"/>
    </row>
    <row r="110" spans="1:33" ht="18.75" customHeight="1" x14ac:dyDescent="0.15">
      <c r="A110" s="70"/>
      <c r="B110" s="161" t="s">
        <v>125</v>
      </c>
      <c r="C110" s="161"/>
      <c r="D110" s="161"/>
      <c r="E110" s="161"/>
      <c r="F110" s="161"/>
      <c r="G110" s="161"/>
      <c r="H110" s="161"/>
      <c r="I110" s="161"/>
      <c r="J110" s="161"/>
      <c r="K110" s="161"/>
      <c r="L110" s="161"/>
      <c r="M110" s="161"/>
      <c r="N110" s="161"/>
      <c r="O110" s="161"/>
      <c r="P110" s="161"/>
      <c r="Q110" s="161"/>
      <c r="R110" s="161"/>
      <c r="S110" s="161"/>
      <c r="T110" s="161"/>
      <c r="U110" s="161"/>
      <c r="V110" s="66"/>
      <c r="W110" s="66"/>
      <c r="X110" s="66"/>
      <c r="Y110" s="66"/>
      <c r="Z110" s="66"/>
      <c r="AA110" s="66"/>
      <c r="AB110" s="66"/>
      <c r="AC110" s="66"/>
      <c r="AD110" s="66"/>
      <c r="AE110" s="66"/>
      <c r="AF110" s="66"/>
      <c r="AG110" s="66"/>
    </row>
    <row r="111" spans="1:33" ht="18.75" customHeight="1" x14ac:dyDescent="0.15">
      <c r="A111" s="70"/>
      <c r="B111" s="162" t="s">
        <v>53</v>
      </c>
      <c r="C111" s="162"/>
      <c r="D111" s="162"/>
      <c r="E111" s="162"/>
      <c r="F111" s="162"/>
      <c r="G111" s="162"/>
      <c r="H111" s="162"/>
      <c r="I111" s="162"/>
      <c r="J111" s="162"/>
      <c r="K111" s="162"/>
      <c r="L111" s="162"/>
      <c r="M111" s="162"/>
      <c r="N111" s="162"/>
      <c r="O111" s="162"/>
      <c r="P111" s="162"/>
      <c r="Q111" s="162"/>
      <c r="R111" s="162"/>
      <c r="S111" s="162"/>
      <c r="T111" s="162"/>
      <c r="U111" s="162"/>
      <c r="V111" s="65"/>
      <c r="W111" s="65"/>
      <c r="X111" s="65"/>
      <c r="Y111" s="65"/>
      <c r="Z111" s="65"/>
      <c r="AA111" s="65"/>
      <c r="AB111" s="65"/>
      <c r="AC111" s="65"/>
      <c r="AD111" s="65"/>
      <c r="AE111" s="65"/>
      <c r="AF111" s="65"/>
      <c r="AG111" s="65"/>
    </row>
    <row r="112" spans="1:33" ht="132" customHeight="1" x14ac:dyDescent="0.15">
      <c r="A112" s="70"/>
      <c r="B112" s="163"/>
      <c r="C112" s="163"/>
      <c r="D112" s="163"/>
      <c r="E112" s="163"/>
      <c r="F112" s="163"/>
      <c r="G112" s="163"/>
      <c r="H112" s="163"/>
      <c r="I112" s="163"/>
      <c r="J112" s="163"/>
      <c r="K112" s="163"/>
      <c r="L112" s="163"/>
      <c r="M112" s="163"/>
      <c r="N112" s="163"/>
      <c r="O112" s="163"/>
      <c r="P112" s="163"/>
      <c r="Q112" s="163"/>
      <c r="R112" s="163"/>
      <c r="S112" s="163"/>
      <c r="T112" s="163"/>
      <c r="U112" s="163"/>
      <c r="V112" s="67"/>
      <c r="W112" s="67"/>
      <c r="X112" s="67"/>
      <c r="Y112" s="67"/>
      <c r="Z112" s="67"/>
      <c r="AA112" s="67"/>
      <c r="AB112" s="67"/>
      <c r="AC112" s="67"/>
      <c r="AD112" s="67"/>
      <c r="AE112" s="67"/>
      <c r="AF112" s="67"/>
      <c r="AG112" s="67"/>
    </row>
    <row r="114"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7" priority="1">
      <formula>$L$7="学部・学科によって、修了要件は相違しない"</formula>
    </cfRule>
    <cfRule type="expression" dxfId="6" priority="2">
      <formula>$L$9="学部・学科によって、修了要件は相違しない"</formula>
    </cfRule>
  </conditionalFormatting>
  <dataValidations count="5">
    <dataValidation type="list" allowBlank="1" showInputMessage="1" showErrorMessage="1" sqref="H27:J33 S27:U33 H38:J44 S38:U44 H49:J55 S49:U55 R71:U77 S60:U66 G71:J77 H60:J66" xr:uid="{7AD796A0-DAB3-4561-8BCF-A6C296086B47}">
      <formula1>"○"</formula1>
    </dataValidation>
    <dataValidation type="list" allowBlank="1" showInputMessage="1" showErrorMessage="1" sqref="U34 U45 E34:H34 E45:H45" xr:uid="{2BE75840-9794-46F3-AEEE-28D0376B0E66}">
      <formula1>"全学開講,一部開講"</formula1>
    </dataValidation>
    <dataValidation type="list" allowBlank="1" showInputMessage="1" showErrorMessage="1" sqref="L14 L7:U7" xr:uid="{863C7490-6921-4B03-BB08-4CAB211242EC}">
      <formula1>"学部・学科によって、修了要件は相違する,学部・学科によって、修了要件は相違しない"</formula1>
    </dataValidation>
    <dataValidation type="list" allowBlank="1" showInputMessage="1" showErrorMessage="1" sqref="G81:G88 R81:R88 H81:J82 H85:J88 S85:U88 S81:U82" xr:uid="{4D5D6647-6722-4603-95C5-375C52BA2FE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1298521D-30D6-4D69-B01F-CD3DED6E009A}">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84A6B-4704-4006-927A-D8618852A26B}">
  <sheetPr>
    <pageSetUpPr fitToPage="1"/>
  </sheetPr>
  <dimension ref="A1:AG114"/>
  <sheetViews>
    <sheetView view="pageBreakPreview" topLeftCell="A100" zoomScale="96" zoomScaleNormal="100" zoomScaleSheetLayoutView="96" workbookViewId="0">
      <selection activeCell="N107" sqref="N107"/>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1"/>
      <c r="B1" s="71"/>
      <c r="C1" s="71"/>
      <c r="D1" s="71"/>
      <c r="E1" s="71"/>
      <c r="F1" s="71"/>
      <c r="G1" s="71"/>
      <c r="H1" s="71"/>
      <c r="I1" s="71"/>
      <c r="J1" s="71"/>
      <c r="K1" s="71"/>
      <c r="L1" s="71"/>
      <c r="M1" s="71"/>
      <c r="N1" s="71"/>
      <c r="O1" s="71"/>
      <c r="P1" s="71"/>
      <c r="Q1" s="71"/>
      <c r="R1" s="71"/>
      <c r="S1" s="71"/>
      <c r="T1" s="95" t="s">
        <v>219</v>
      </c>
      <c r="U1" s="95"/>
      <c r="V1" s="2" t="s">
        <v>99</v>
      </c>
    </row>
    <row r="2" spans="1:24" ht="18.75" customHeight="1" x14ac:dyDescent="0.15">
      <c r="A2" s="71"/>
      <c r="B2" s="80" t="s">
        <v>98</v>
      </c>
      <c r="C2" s="96" t="s">
        <v>136</v>
      </c>
      <c r="D2" s="97"/>
      <c r="E2" s="97"/>
      <c r="F2" s="97"/>
      <c r="G2" s="97"/>
      <c r="H2" s="97"/>
      <c r="I2" s="97"/>
      <c r="J2" s="98"/>
      <c r="K2" s="72"/>
      <c r="L2" s="73"/>
      <c r="M2" s="73"/>
      <c r="N2" s="73"/>
      <c r="O2" s="73"/>
      <c r="P2" s="73"/>
      <c r="Q2" s="73"/>
      <c r="R2" s="73"/>
      <c r="S2" s="73"/>
      <c r="T2" s="73"/>
      <c r="U2" s="73"/>
    </row>
    <row r="3" spans="1:24" ht="18.75" customHeight="1" x14ac:dyDescent="0.15">
      <c r="A3" s="71"/>
      <c r="B3" s="80" t="s">
        <v>93</v>
      </c>
      <c r="C3" s="96" t="s">
        <v>137</v>
      </c>
      <c r="D3" s="97"/>
      <c r="E3" s="97"/>
      <c r="F3" s="97"/>
      <c r="G3" s="97"/>
      <c r="H3" s="97"/>
      <c r="I3" s="97"/>
      <c r="J3" s="98"/>
      <c r="K3" s="72"/>
      <c r="L3" s="73"/>
      <c r="M3" s="73"/>
      <c r="N3" s="73"/>
      <c r="O3" s="73"/>
      <c r="P3" s="73"/>
      <c r="Q3" s="73"/>
      <c r="R3" s="73"/>
      <c r="S3" s="73"/>
      <c r="T3" s="73"/>
      <c r="U3" s="73"/>
    </row>
    <row r="4" spans="1:24" ht="15" customHeight="1" x14ac:dyDescent="0.15">
      <c r="A4" s="71"/>
      <c r="B4" s="71"/>
      <c r="C4" s="71"/>
      <c r="D4" s="71"/>
      <c r="E4" s="71"/>
      <c r="F4" s="71"/>
      <c r="G4" s="71"/>
      <c r="H4" s="71"/>
      <c r="I4" s="71"/>
      <c r="J4" s="71"/>
      <c r="K4" s="71"/>
      <c r="L4" s="72"/>
      <c r="M4" s="74"/>
      <c r="N4" s="74"/>
      <c r="O4" s="74"/>
      <c r="P4" s="74"/>
      <c r="Q4" s="74"/>
      <c r="R4" s="74"/>
      <c r="S4" s="74"/>
      <c r="T4" s="74"/>
      <c r="U4" s="74"/>
    </row>
    <row r="5" spans="1:24" ht="18" customHeight="1" x14ac:dyDescent="0.15">
      <c r="A5" s="99" t="s">
        <v>37</v>
      </c>
      <c r="B5" s="99"/>
      <c r="C5" s="99"/>
      <c r="D5" s="99"/>
      <c r="E5" s="99"/>
      <c r="F5" s="99"/>
      <c r="G5" s="99"/>
      <c r="H5" s="99"/>
      <c r="I5" s="99"/>
      <c r="J5" s="99"/>
      <c r="K5" s="99"/>
      <c r="L5" s="99"/>
      <c r="M5" s="99"/>
      <c r="N5" s="99"/>
      <c r="O5" s="99"/>
      <c r="P5" s="99"/>
      <c r="Q5" s="99"/>
      <c r="R5" s="99"/>
      <c r="S5" s="99"/>
      <c r="T5" s="99"/>
      <c r="U5" s="99"/>
    </row>
    <row r="6" spans="1:24" ht="15" customHeight="1" x14ac:dyDescent="0.15">
      <c r="A6" s="71"/>
      <c r="B6" s="75"/>
      <c r="C6" s="75"/>
      <c r="D6" s="75"/>
      <c r="E6" s="75"/>
      <c r="F6" s="75"/>
      <c r="G6" s="75"/>
      <c r="H6" s="75"/>
      <c r="I6" s="75"/>
      <c r="J6" s="75"/>
      <c r="K6" s="75"/>
      <c r="L6" s="75"/>
      <c r="M6" s="75"/>
      <c r="N6" s="75"/>
      <c r="O6" s="75"/>
      <c r="P6" s="75"/>
      <c r="Q6" s="75"/>
      <c r="R6" s="75"/>
      <c r="S6" s="75"/>
      <c r="T6" s="75"/>
      <c r="U6" s="75"/>
    </row>
    <row r="7" spans="1:24" ht="15" customHeight="1" x14ac:dyDescent="0.15">
      <c r="A7" s="71" t="s">
        <v>131</v>
      </c>
      <c r="B7" s="75"/>
      <c r="C7" s="75"/>
      <c r="D7" s="75"/>
      <c r="E7" s="75"/>
      <c r="F7" s="70"/>
      <c r="G7" s="70"/>
      <c r="H7" s="70"/>
      <c r="I7" s="70"/>
      <c r="J7" s="70"/>
      <c r="K7" s="70"/>
      <c r="L7" s="100" t="s">
        <v>129</v>
      </c>
      <c r="M7" s="101"/>
      <c r="N7" s="101"/>
      <c r="O7" s="101"/>
      <c r="P7" s="101"/>
      <c r="Q7" s="101"/>
      <c r="R7" s="101"/>
      <c r="S7" s="101"/>
      <c r="T7" s="101"/>
      <c r="U7" s="102"/>
    </row>
    <row r="8" spans="1:24" ht="6" customHeight="1" x14ac:dyDescent="0.15">
      <c r="A8" s="71"/>
      <c r="B8" s="75"/>
      <c r="C8" s="75"/>
      <c r="D8" s="75"/>
      <c r="E8" s="75"/>
      <c r="F8" s="75"/>
      <c r="G8" s="75"/>
      <c r="H8" s="75"/>
      <c r="I8" s="75"/>
      <c r="J8" s="75"/>
      <c r="K8" s="75"/>
      <c r="L8" s="75"/>
      <c r="M8" s="75"/>
      <c r="N8" s="75"/>
      <c r="O8" s="75"/>
      <c r="P8" s="75"/>
      <c r="Q8" s="75"/>
      <c r="R8" s="75"/>
      <c r="S8" s="75"/>
      <c r="T8" s="75"/>
      <c r="U8" s="75"/>
    </row>
    <row r="9" spans="1:24" ht="18" customHeight="1" x14ac:dyDescent="0.15">
      <c r="A9" s="71" t="s">
        <v>132</v>
      </c>
      <c r="B9" s="71"/>
      <c r="C9" s="75"/>
      <c r="D9" s="75"/>
      <c r="E9" s="71"/>
      <c r="F9" s="71"/>
      <c r="G9" s="71"/>
      <c r="H9" s="71"/>
      <c r="I9" s="71"/>
      <c r="J9" s="71"/>
      <c r="K9" s="72"/>
      <c r="L9" s="70"/>
      <c r="M9" s="70"/>
      <c r="N9" s="70"/>
      <c r="O9" s="70"/>
      <c r="P9" s="70"/>
      <c r="Q9" s="70"/>
      <c r="R9" s="70"/>
      <c r="S9" s="70"/>
      <c r="T9" s="70"/>
      <c r="U9" s="70"/>
    </row>
    <row r="10" spans="1:24" ht="6" customHeight="1" x14ac:dyDescent="0.15">
      <c r="A10" s="71"/>
      <c r="B10" s="75"/>
      <c r="C10" s="75"/>
      <c r="D10" s="75"/>
      <c r="E10" s="75"/>
      <c r="F10" s="75"/>
      <c r="G10" s="75"/>
      <c r="H10" s="75"/>
      <c r="I10" s="75"/>
      <c r="J10" s="75"/>
      <c r="K10" s="75"/>
      <c r="L10" s="76"/>
      <c r="M10" s="75"/>
      <c r="N10" s="75"/>
      <c r="O10" s="75"/>
      <c r="P10" s="75"/>
      <c r="Q10" s="75"/>
      <c r="R10" s="75"/>
      <c r="S10" s="75"/>
      <c r="T10" s="75"/>
      <c r="U10" s="75"/>
    </row>
    <row r="11" spans="1:24" ht="18" customHeight="1" x14ac:dyDescent="0.15">
      <c r="A11" s="71"/>
      <c r="B11" s="103" t="s">
        <v>191</v>
      </c>
      <c r="C11" s="104"/>
      <c r="D11" s="104"/>
      <c r="E11" s="104"/>
      <c r="F11" s="104"/>
      <c r="G11" s="104"/>
      <c r="H11" s="104"/>
      <c r="I11" s="104"/>
      <c r="J11" s="104"/>
      <c r="K11" s="104"/>
      <c r="L11" s="104"/>
      <c r="M11" s="104"/>
      <c r="N11" s="104"/>
      <c r="O11" s="104"/>
      <c r="P11" s="104"/>
      <c r="Q11" s="104"/>
      <c r="R11" s="104"/>
      <c r="S11" s="104"/>
      <c r="T11" s="104"/>
      <c r="U11" s="105"/>
    </row>
    <row r="12" spans="1:24" ht="18" customHeight="1" x14ac:dyDescent="0.15">
      <c r="A12" s="71"/>
      <c r="B12" s="106"/>
      <c r="C12" s="107"/>
      <c r="D12" s="107"/>
      <c r="E12" s="107"/>
      <c r="F12" s="107"/>
      <c r="G12" s="107"/>
      <c r="H12" s="107"/>
      <c r="I12" s="107"/>
      <c r="J12" s="107"/>
      <c r="K12" s="107"/>
      <c r="L12" s="107"/>
      <c r="M12" s="107"/>
      <c r="N12" s="107"/>
      <c r="O12" s="107"/>
      <c r="P12" s="107"/>
      <c r="Q12" s="107"/>
      <c r="R12" s="107"/>
      <c r="S12" s="107"/>
      <c r="T12" s="107"/>
      <c r="U12" s="108"/>
    </row>
    <row r="13" spans="1:24" ht="6" customHeight="1" x14ac:dyDescent="0.15">
      <c r="A13" s="71"/>
      <c r="B13" s="75"/>
      <c r="C13" s="75"/>
      <c r="D13" s="75"/>
      <c r="E13" s="75"/>
      <c r="F13" s="75"/>
      <c r="G13" s="75"/>
      <c r="H13" s="75"/>
      <c r="I13" s="75"/>
      <c r="J13" s="75"/>
      <c r="K13" s="75"/>
      <c r="L13" s="76"/>
      <c r="M13" s="75"/>
      <c r="N13" s="75"/>
      <c r="O13" s="75"/>
      <c r="P13" s="75"/>
      <c r="Q13" s="75"/>
      <c r="R13" s="75"/>
      <c r="S13" s="75"/>
      <c r="T13" s="75"/>
      <c r="U13" s="75"/>
    </row>
    <row r="14" spans="1:24" ht="18" customHeight="1" x14ac:dyDescent="0.15">
      <c r="A14" s="71" t="s">
        <v>100</v>
      </c>
      <c r="B14" s="75"/>
      <c r="C14" s="75"/>
      <c r="D14" s="75"/>
      <c r="E14" s="72"/>
      <c r="F14" s="72"/>
      <c r="G14" s="72"/>
      <c r="H14" s="72"/>
      <c r="I14" s="72"/>
      <c r="J14" s="72"/>
      <c r="K14" s="72"/>
      <c r="L14" s="77"/>
      <c r="M14" s="77"/>
      <c r="N14" s="77"/>
      <c r="O14" s="77"/>
      <c r="P14" s="77"/>
      <c r="Q14" s="77"/>
      <c r="R14" s="77"/>
      <c r="S14" s="77"/>
      <c r="T14" s="77"/>
      <c r="U14" s="77"/>
    </row>
    <row r="15" spans="1:24" ht="18" customHeight="1" x14ac:dyDescent="0.15">
      <c r="A15" s="71"/>
      <c r="B15" s="112" t="s">
        <v>193</v>
      </c>
      <c r="C15" s="113"/>
      <c r="D15" s="113"/>
      <c r="E15" s="113"/>
      <c r="F15" s="113"/>
      <c r="G15" s="113"/>
      <c r="H15" s="113"/>
      <c r="I15" s="113"/>
      <c r="J15" s="113"/>
      <c r="K15" s="113"/>
      <c r="L15" s="113"/>
      <c r="M15" s="113"/>
      <c r="N15" s="113"/>
      <c r="O15" s="113"/>
      <c r="P15" s="113"/>
      <c r="Q15" s="113"/>
      <c r="R15" s="113"/>
      <c r="S15" s="113"/>
      <c r="T15" s="113"/>
      <c r="U15" s="114"/>
      <c r="X15" s="1" t="s">
        <v>94</v>
      </c>
    </row>
    <row r="16" spans="1:24" ht="18" customHeight="1" x14ac:dyDescent="0.15">
      <c r="A16" s="71"/>
      <c r="B16" s="115"/>
      <c r="C16" s="116"/>
      <c r="D16" s="116"/>
      <c r="E16" s="116"/>
      <c r="F16" s="116"/>
      <c r="G16" s="116"/>
      <c r="H16" s="116"/>
      <c r="I16" s="116"/>
      <c r="J16" s="116"/>
      <c r="K16" s="116"/>
      <c r="L16" s="116"/>
      <c r="M16" s="116"/>
      <c r="N16" s="116"/>
      <c r="O16" s="116"/>
      <c r="P16" s="116"/>
      <c r="Q16" s="116"/>
      <c r="R16" s="116"/>
      <c r="S16" s="116"/>
      <c r="T16" s="116"/>
      <c r="U16" s="117"/>
      <c r="X16" s="1" t="s">
        <v>114</v>
      </c>
    </row>
    <row r="17" spans="1:24" ht="18" customHeight="1" x14ac:dyDescent="0.15">
      <c r="A17" s="71"/>
      <c r="B17" s="115"/>
      <c r="C17" s="116"/>
      <c r="D17" s="116"/>
      <c r="E17" s="116"/>
      <c r="F17" s="116"/>
      <c r="G17" s="116"/>
      <c r="H17" s="116"/>
      <c r="I17" s="116"/>
      <c r="J17" s="116"/>
      <c r="K17" s="116"/>
      <c r="L17" s="116"/>
      <c r="M17" s="116"/>
      <c r="N17" s="116"/>
      <c r="O17" s="116"/>
      <c r="P17" s="116"/>
      <c r="Q17" s="116"/>
      <c r="R17" s="116"/>
      <c r="S17" s="116"/>
      <c r="T17" s="116"/>
      <c r="U17" s="117"/>
      <c r="X17" s="1" t="s">
        <v>115</v>
      </c>
    </row>
    <row r="18" spans="1:24" ht="18" customHeight="1" x14ac:dyDescent="0.15">
      <c r="A18" s="71"/>
      <c r="B18" s="115"/>
      <c r="C18" s="116"/>
      <c r="D18" s="116"/>
      <c r="E18" s="116"/>
      <c r="F18" s="116"/>
      <c r="G18" s="116"/>
      <c r="H18" s="116"/>
      <c r="I18" s="116"/>
      <c r="J18" s="116"/>
      <c r="K18" s="116"/>
      <c r="L18" s="116"/>
      <c r="M18" s="116"/>
      <c r="N18" s="116"/>
      <c r="O18" s="116"/>
      <c r="P18" s="116"/>
      <c r="Q18" s="116"/>
      <c r="R18" s="116"/>
      <c r="S18" s="116"/>
      <c r="T18" s="116"/>
      <c r="U18" s="117"/>
      <c r="X18" s="1" t="s">
        <v>116</v>
      </c>
    </row>
    <row r="19" spans="1:24" ht="18" customHeight="1" x14ac:dyDescent="0.15">
      <c r="A19" s="71"/>
      <c r="B19" s="115"/>
      <c r="C19" s="116"/>
      <c r="D19" s="116"/>
      <c r="E19" s="116"/>
      <c r="F19" s="116"/>
      <c r="G19" s="116"/>
      <c r="H19" s="116"/>
      <c r="I19" s="116"/>
      <c r="J19" s="116"/>
      <c r="K19" s="116"/>
      <c r="L19" s="116"/>
      <c r="M19" s="116"/>
      <c r="N19" s="116"/>
      <c r="O19" s="116"/>
      <c r="P19" s="116"/>
      <c r="Q19" s="116"/>
      <c r="R19" s="116"/>
      <c r="S19" s="116"/>
      <c r="T19" s="116"/>
      <c r="U19" s="117"/>
    </row>
    <row r="20" spans="1:24" ht="18" customHeight="1" x14ac:dyDescent="0.15">
      <c r="A20" s="71"/>
      <c r="B20" s="118"/>
      <c r="C20" s="119"/>
      <c r="D20" s="119"/>
      <c r="E20" s="119"/>
      <c r="F20" s="119"/>
      <c r="G20" s="119"/>
      <c r="H20" s="119"/>
      <c r="I20" s="119"/>
      <c r="J20" s="119"/>
      <c r="K20" s="119"/>
      <c r="L20" s="119"/>
      <c r="M20" s="119"/>
      <c r="N20" s="119"/>
      <c r="O20" s="119"/>
      <c r="P20" s="119"/>
      <c r="Q20" s="119"/>
      <c r="R20" s="119"/>
      <c r="S20" s="119"/>
      <c r="T20" s="119"/>
      <c r="U20" s="120"/>
    </row>
    <row r="21" spans="1:24" ht="7.5" customHeight="1" x14ac:dyDescent="0.15">
      <c r="A21" s="71"/>
      <c r="B21" s="75"/>
      <c r="C21" s="75"/>
      <c r="D21" s="75"/>
      <c r="E21" s="75"/>
      <c r="F21" s="75"/>
      <c r="G21" s="75"/>
      <c r="H21" s="75"/>
      <c r="I21" s="75"/>
      <c r="J21" s="75"/>
      <c r="K21" s="75"/>
      <c r="L21" s="75"/>
      <c r="M21" s="75"/>
      <c r="N21" s="75"/>
      <c r="O21" s="75"/>
      <c r="P21" s="75"/>
      <c r="Q21" s="75"/>
      <c r="R21" s="75"/>
      <c r="S21" s="75"/>
      <c r="T21" s="75"/>
      <c r="U21" s="75"/>
    </row>
    <row r="22" spans="1:24" ht="19.899999999999999" customHeight="1" x14ac:dyDescent="0.15">
      <c r="A22" s="71"/>
      <c r="B22" s="71" t="s">
        <v>133</v>
      </c>
      <c r="C22" s="71"/>
      <c r="D22" s="71"/>
      <c r="E22" s="78">
        <v>3</v>
      </c>
      <c r="F22" s="71" t="s">
        <v>112</v>
      </c>
      <c r="G22" s="71"/>
      <c r="H22" s="79">
        <v>8</v>
      </c>
      <c r="I22" s="75" t="s">
        <v>113</v>
      </c>
      <c r="J22" s="75"/>
      <c r="K22" s="72"/>
      <c r="L22" s="71"/>
      <c r="M22" s="72" t="s">
        <v>109</v>
      </c>
      <c r="N22" s="121" t="s">
        <v>114</v>
      </c>
      <c r="O22" s="122"/>
      <c r="P22" s="122"/>
      <c r="Q22" s="122"/>
      <c r="R22" s="122"/>
      <c r="S22" s="122"/>
      <c r="T22" s="122"/>
      <c r="U22" s="123"/>
    </row>
    <row r="23" spans="1:24" ht="7.5" customHeight="1" x14ac:dyDescent="0.15">
      <c r="A23" s="71"/>
      <c r="B23" s="75"/>
      <c r="C23" s="75"/>
      <c r="D23" s="75"/>
      <c r="E23" s="75"/>
      <c r="F23" s="75"/>
      <c r="G23" s="75"/>
      <c r="H23" s="75"/>
      <c r="I23" s="75"/>
      <c r="J23" s="75"/>
      <c r="K23" s="75"/>
      <c r="L23" s="75"/>
      <c r="M23" s="75"/>
      <c r="N23" s="75"/>
      <c r="O23" s="75"/>
      <c r="P23" s="75"/>
      <c r="Q23" s="75"/>
      <c r="R23" s="75"/>
      <c r="S23" s="75"/>
      <c r="T23" s="75"/>
      <c r="U23" s="75"/>
    </row>
    <row r="24" spans="1:24" ht="18" customHeight="1" x14ac:dyDescent="0.15">
      <c r="A24" s="124" t="s">
        <v>101</v>
      </c>
      <c r="B24" s="124"/>
      <c r="C24" s="124"/>
      <c r="D24" s="124"/>
      <c r="E24" s="124"/>
      <c r="F24" s="124"/>
      <c r="G24" s="124"/>
      <c r="H24" s="124"/>
      <c r="I24" s="124"/>
      <c r="J24" s="124"/>
      <c r="K24" s="124"/>
      <c r="L24" s="124"/>
      <c r="M24" s="124"/>
      <c r="N24" s="124"/>
      <c r="O24" s="124"/>
      <c r="P24" s="124"/>
      <c r="Q24" s="124"/>
      <c r="R24" s="124"/>
      <c r="S24" s="124"/>
      <c r="T24" s="124"/>
      <c r="U24" s="124"/>
    </row>
    <row r="25" spans="1:24" ht="18" customHeight="1" x14ac:dyDescent="0.15">
      <c r="A25" s="124"/>
      <c r="B25" s="124"/>
      <c r="C25" s="124"/>
      <c r="D25" s="124"/>
      <c r="E25" s="124"/>
      <c r="F25" s="124"/>
      <c r="G25" s="124"/>
      <c r="H25" s="124"/>
      <c r="I25" s="124"/>
      <c r="J25" s="124"/>
      <c r="K25" s="124"/>
      <c r="L25" s="124"/>
      <c r="M25" s="124"/>
      <c r="N25" s="124"/>
      <c r="O25" s="124"/>
      <c r="P25" s="124"/>
      <c r="Q25" s="124"/>
      <c r="R25" s="124"/>
      <c r="S25" s="124"/>
      <c r="T25" s="124"/>
      <c r="U25" s="124"/>
    </row>
    <row r="26" spans="1:24" ht="18" customHeight="1" x14ac:dyDescent="0.15">
      <c r="B26" s="125" t="s">
        <v>51</v>
      </c>
      <c r="C26" s="126"/>
      <c r="D26" s="126"/>
      <c r="E26" s="126"/>
      <c r="F26" s="127"/>
      <c r="G26" s="47" t="s">
        <v>77</v>
      </c>
      <c r="H26" s="46" t="s">
        <v>80</v>
      </c>
      <c r="I26" s="17" t="s">
        <v>54</v>
      </c>
      <c r="J26" s="17" t="s">
        <v>57</v>
      </c>
      <c r="K26" s="125" t="s">
        <v>51</v>
      </c>
      <c r="L26" s="126"/>
      <c r="M26" s="126"/>
      <c r="N26" s="126"/>
      <c r="O26" s="126"/>
      <c r="P26" s="126"/>
      <c r="Q26" s="127"/>
      <c r="R26" s="47" t="s">
        <v>77</v>
      </c>
      <c r="S26" s="46" t="s">
        <v>80</v>
      </c>
      <c r="T26" s="17" t="s">
        <v>54</v>
      </c>
      <c r="U26" s="17" t="s">
        <v>57</v>
      </c>
    </row>
    <row r="27" spans="1:24" ht="18" customHeight="1" x14ac:dyDescent="0.15">
      <c r="B27" s="171" t="s">
        <v>160</v>
      </c>
      <c r="C27" s="172"/>
      <c r="D27" s="172"/>
      <c r="E27" s="172"/>
      <c r="F27" s="173"/>
      <c r="G27" s="82">
        <v>4</v>
      </c>
      <c r="H27" s="82" t="s">
        <v>140</v>
      </c>
      <c r="I27" s="82"/>
      <c r="J27" s="19" t="s">
        <v>140</v>
      </c>
      <c r="K27" s="128"/>
      <c r="L27" s="129"/>
      <c r="M27" s="129"/>
      <c r="N27" s="129"/>
      <c r="O27" s="129"/>
      <c r="P27" s="129"/>
      <c r="Q27" s="130"/>
      <c r="R27" s="18"/>
      <c r="S27" s="18"/>
      <c r="T27" s="18"/>
      <c r="U27" s="18"/>
    </row>
    <row r="28" spans="1:24" ht="18" customHeight="1" x14ac:dyDescent="0.15">
      <c r="B28" s="171" t="s">
        <v>148</v>
      </c>
      <c r="C28" s="172"/>
      <c r="D28" s="172"/>
      <c r="E28" s="172"/>
      <c r="F28" s="173"/>
      <c r="G28" s="82">
        <v>2</v>
      </c>
      <c r="H28" s="82" t="s">
        <v>140</v>
      </c>
      <c r="I28" s="82" t="s">
        <v>200</v>
      </c>
      <c r="J28" s="19" t="s">
        <v>140</v>
      </c>
      <c r="K28" s="109"/>
      <c r="L28" s="110"/>
      <c r="M28" s="110"/>
      <c r="N28" s="110"/>
      <c r="O28" s="110"/>
      <c r="P28" s="110"/>
      <c r="Q28" s="111"/>
      <c r="R28" s="19"/>
      <c r="S28" s="19"/>
      <c r="T28" s="19"/>
      <c r="U28" s="19"/>
    </row>
    <row r="29" spans="1:24" ht="18" customHeight="1" x14ac:dyDescent="0.15">
      <c r="B29" s="109" t="s">
        <v>139</v>
      </c>
      <c r="C29" s="110"/>
      <c r="D29" s="110"/>
      <c r="E29" s="110"/>
      <c r="F29" s="111"/>
      <c r="G29" s="82">
        <v>2</v>
      </c>
      <c r="H29" s="82"/>
      <c r="I29" s="82" t="s">
        <v>140</v>
      </c>
      <c r="J29" s="19" t="s">
        <v>140</v>
      </c>
      <c r="K29" s="109"/>
      <c r="L29" s="110"/>
      <c r="M29" s="110"/>
      <c r="N29" s="110"/>
      <c r="O29" s="110"/>
      <c r="P29" s="110"/>
      <c r="Q29" s="111"/>
      <c r="R29" s="19"/>
      <c r="S29" s="19"/>
      <c r="T29" s="19"/>
      <c r="U29" s="19"/>
    </row>
    <row r="30" spans="1:24" ht="18" customHeight="1" x14ac:dyDescent="0.15">
      <c r="B30" s="109"/>
      <c r="C30" s="110"/>
      <c r="D30" s="110"/>
      <c r="E30" s="110"/>
      <c r="F30" s="111"/>
      <c r="G30" s="19"/>
      <c r="H30" s="19"/>
      <c r="I30" s="19"/>
      <c r="J30" s="19"/>
      <c r="K30" s="109"/>
      <c r="L30" s="110"/>
      <c r="M30" s="110"/>
      <c r="N30" s="110"/>
      <c r="O30" s="110"/>
      <c r="P30" s="110"/>
      <c r="Q30" s="111"/>
      <c r="R30" s="19"/>
      <c r="S30" s="19"/>
      <c r="T30" s="19"/>
      <c r="U30" s="19"/>
    </row>
    <row r="31" spans="1:24" ht="18" customHeight="1" x14ac:dyDescent="0.15">
      <c r="B31" s="109"/>
      <c r="C31" s="110"/>
      <c r="D31" s="110"/>
      <c r="E31" s="110"/>
      <c r="F31" s="111"/>
      <c r="G31" s="19"/>
      <c r="H31" s="19"/>
      <c r="I31" s="19"/>
      <c r="J31" s="19"/>
      <c r="K31" s="109"/>
      <c r="L31" s="110"/>
      <c r="M31" s="110"/>
      <c r="N31" s="110"/>
      <c r="O31" s="110"/>
      <c r="P31" s="110"/>
      <c r="Q31" s="111"/>
      <c r="R31" s="19"/>
      <c r="S31" s="19"/>
      <c r="T31" s="19"/>
      <c r="U31" s="19"/>
    </row>
    <row r="32" spans="1:24" ht="18" customHeight="1" x14ac:dyDescent="0.15">
      <c r="A32" s="3"/>
      <c r="B32" s="109"/>
      <c r="C32" s="110"/>
      <c r="D32" s="110"/>
      <c r="E32" s="110"/>
      <c r="F32" s="111"/>
      <c r="G32" s="19"/>
      <c r="H32" s="19"/>
      <c r="I32" s="19"/>
      <c r="J32" s="19"/>
      <c r="K32" s="109"/>
      <c r="L32" s="110"/>
      <c r="M32" s="110"/>
      <c r="N32" s="110"/>
      <c r="O32" s="110"/>
      <c r="P32" s="110"/>
      <c r="Q32" s="111"/>
      <c r="R32" s="19"/>
      <c r="S32" s="19"/>
      <c r="T32" s="19"/>
      <c r="U32" s="19"/>
    </row>
    <row r="33" spans="1:21" ht="18" customHeight="1" x14ac:dyDescent="0.15">
      <c r="A33" s="3"/>
      <c r="B33" s="132"/>
      <c r="C33" s="133"/>
      <c r="D33" s="133"/>
      <c r="E33" s="133"/>
      <c r="F33" s="134"/>
      <c r="G33" s="20"/>
      <c r="H33" s="20"/>
      <c r="I33" s="21"/>
      <c r="J33" s="21"/>
      <c r="K33" s="132"/>
      <c r="L33" s="133"/>
      <c r="M33" s="133"/>
      <c r="N33" s="133"/>
      <c r="O33" s="133"/>
      <c r="P33" s="133"/>
      <c r="Q33" s="134"/>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31" t="s">
        <v>102</v>
      </c>
      <c r="B35" s="131"/>
      <c r="C35" s="131"/>
      <c r="D35" s="131"/>
      <c r="E35" s="131"/>
      <c r="F35" s="131"/>
      <c r="G35" s="131"/>
      <c r="H35" s="131"/>
      <c r="I35" s="131"/>
      <c r="J35" s="131"/>
      <c r="K35" s="131"/>
      <c r="L35" s="131"/>
      <c r="M35" s="131"/>
      <c r="N35" s="131"/>
      <c r="O35" s="131"/>
      <c r="P35" s="131"/>
      <c r="Q35" s="131"/>
      <c r="R35" s="131"/>
      <c r="S35" s="131"/>
      <c r="T35" s="131"/>
      <c r="U35" s="131"/>
    </row>
    <row r="36" spans="1:21" ht="18" customHeight="1" x14ac:dyDescent="0.15">
      <c r="A36" s="131"/>
      <c r="B36" s="131"/>
      <c r="C36" s="131"/>
      <c r="D36" s="131"/>
      <c r="E36" s="131"/>
      <c r="F36" s="131"/>
      <c r="G36" s="131"/>
      <c r="H36" s="131"/>
      <c r="I36" s="131"/>
      <c r="J36" s="131"/>
      <c r="K36" s="131"/>
      <c r="L36" s="131"/>
      <c r="M36" s="131"/>
      <c r="N36" s="131"/>
      <c r="O36" s="131"/>
      <c r="P36" s="131"/>
      <c r="Q36" s="131"/>
      <c r="R36" s="131"/>
      <c r="S36" s="131"/>
      <c r="T36" s="131"/>
      <c r="U36" s="131"/>
    </row>
    <row r="37" spans="1:21" ht="18" customHeight="1" x14ac:dyDescent="0.15">
      <c r="B37" s="125" t="s">
        <v>51</v>
      </c>
      <c r="C37" s="126"/>
      <c r="D37" s="126"/>
      <c r="E37" s="126"/>
      <c r="F37" s="127"/>
      <c r="G37" s="47" t="s">
        <v>77</v>
      </c>
      <c r="H37" s="46" t="s">
        <v>80</v>
      </c>
      <c r="I37" s="17" t="s">
        <v>68</v>
      </c>
      <c r="J37" s="17" t="s">
        <v>69</v>
      </c>
      <c r="K37" s="125" t="s">
        <v>51</v>
      </c>
      <c r="L37" s="126"/>
      <c r="M37" s="126"/>
      <c r="N37" s="126"/>
      <c r="O37" s="126"/>
      <c r="P37" s="126"/>
      <c r="Q37" s="127"/>
      <c r="R37" s="47" t="s">
        <v>77</v>
      </c>
      <c r="S37" s="46" t="s">
        <v>80</v>
      </c>
      <c r="T37" s="17" t="s">
        <v>68</v>
      </c>
      <c r="U37" s="17" t="s">
        <v>69</v>
      </c>
    </row>
    <row r="38" spans="1:21" ht="18" customHeight="1" x14ac:dyDescent="0.15">
      <c r="B38" s="128" t="s">
        <v>199</v>
      </c>
      <c r="C38" s="129"/>
      <c r="D38" s="129"/>
      <c r="E38" s="129"/>
      <c r="F38" s="130"/>
      <c r="G38" s="18">
        <v>2</v>
      </c>
      <c r="H38" s="18" t="s">
        <v>140</v>
      </c>
      <c r="I38" s="18"/>
      <c r="J38" s="18" t="s">
        <v>140</v>
      </c>
      <c r="K38" s="128"/>
      <c r="L38" s="129"/>
      <c r="M38" s="129"/>
      <c r="N38" s="129"/>
      <c r="O38" s="129"/>
      <c r="P38" s="129"/>
      <c r="Q38" s="130"/>
      <c r="R38" s="18"/>
      <c r="S38" s="18"/>
      <c r="T38" s="18"/>
      <c r="U38" s="18"/>
    </row>
    <row r="39" spans="1:21" ht="18" customHeight="1" x14ac:dyDescent="0.15">
      <c r="B39" s="109" t="s">
        <v>149</v>
      </c>
      <c r="C39" s="110"/>
      <c r="D39" s="110"/>
      <c r="E39" s="110"/>
      <c r="F39" s="111"/>
      <c r="G39" s="19">
        <v>2</v>
      </c>
      <c r="H39" s="19" t="s">
        <v>140</v>
      </c>
      <c r="I39" s="19" t="s">
        <v>140</v>
      </c>
      <c r="J39" s="19"/>
      <c r="K39" s="109"/>
      <c r="L39" s="110"/>
      <c r="M39" s="110"/>
      <c r="N39" s="110"/>
      <c r="O39" s="110"/>
      <c r="P39" s="110"/>
      <c r="Q39" s="111"/>
      <c r="R39" s="19"/>
      <c r="S39" s="19"/>
      <c r="T39" s="19"/>
      <c r="U39" s="19"/>
    </row>
    <row r="40" spans="1:21" ht="18" customHeight="1" x14ac:dyDescent="0.15">
      <c r="B40" s="171" t="s">
        <v>139</v>
      </c>
      <c r="C40" s="172"/>
      <c r="D40" s="172"/>
      <c r="E40" s="172"/>
      <c r="F40" s="173"/>
      <c r="G40" s="82">
        <v>2</v>
      </c>
      <c r="H40" s="82"/>
      <c r="I40" s="82" t="s">
        <v>140</v>
      </c>
      <c r="J40" s="82" t="s">
        <v>140</v>
      </c>
      <c r="K40" s="109"/>
      <c r="L40" s="110"/>
      <c r="M40" s="110"/>
      <c r="N40" s="110"/>
      <c r="O40" s="110"/>
      <c r="P40" s="110"/>
      <c r="Q40" s="111"/>
      <c r="R40" s="19"/>
      <c r="S40" s="19"/>
      <c r="T40" s="19"/>
      <c r="U40" s="19"/>
    </row>
    <row r="41" spans="1:21" ht="18" customHeight="1" x14ac:dyDescent="0.15">
      <c r="B41" s="109" t="s">
        <v>141</v>
      </c>
      <c r="C41" s="110"/>
      <c r="D41" s="110"/>
      <c r="E41" s="110"/>
      <c r="F41" s="111"/>
      <c r="G41" s="19">
        <v>2</v>
      </c>
      <c r="H41" s="19"/>
      <c r="I41" s="19" t="s">
        <v>140</v>
      </c>
      <c r="J41" s="19"/>
      <c r="K41" s="109"/>
      <c r="L41" s="110"/>
      <c r="M41" s="110"/>
      <c r="N41" s="110"/>
      <c r="O41" s="110"/>
      <c r="P41" s="110"/>
      <c r="Q41" s="111"/>
      <c r="R41" s="19"/>
      <c r="S41" s="19"/>
      <c r="T41" s="19"/>
      <c r="U41" s="19"/>
    </row>
    <row r="42" spans="1:21" ht="18" customHeight="1" x14ac:dyDescent="0.15">
      <c r="B42" s="109"/>
      <c r="C42" s="110"/>
      <c r="D42" s="110"/>
      <c r="E42" s="110"/>
      <c r="F42" s="111"/>
      <c r="G42" s="19"/>
      <c r="H42" s="19"/>
      <c r="I42" s="19"/>
      <c r="J42" s="19"/>
      <c r="K42" s="109"/>
      <c r="L42" s="110"/>
      <c r="M42" s="110"/>
      <c r="N42" s="110"/>
      <c r="O42" s="110"/>
      <c r="P42" s="110"/>
      <c r="Q42" s="111"/>
      <c r="R42" s="19"/>
      <c r="S42" s="19"/>
      <c r="T42" s="19"/>
      <c r="U42" s="19"/>
    </row>
    <row r="43" spans="1:21" ht="18" customHeight="1" x14ac:dyDescent="0.15">
      <c r="B43" s="109"/>
      <c r="C43" s="110"/>
      <c r="D43" s="110"/>
      <c r="E43" s="110"/>
      <c r="F43" s="111"/>
      <c r="G43" s="19"/>
      <c r="H43" s="19"/>
      <c r="I43" s="19"/>
      <c r="J43" s="19"/>
      <c r="K43" s="109"/>
      <c r="L43" s="110"/>
      <c r="M43" s="110"/>
      <c r="N43" s="110"/>
      <c r="O43" s="110"/>
      <c r="P43" s="110"/>
      <c r="Q43" s="111"/>
      <c r="R43" s="19"/>
      <c r="S43" s="19"/>
      <c r="T43" s="19"/>
      <c r="U43" s="19"/>
    </row>
    <row r="44" spans="1:21" ht="18" customHeight="1" x14ac:dyDescent="0.15">
      <c r="B44" s="132"/>
      <c r="C44" s="133"/>
      <c r="D44" s="133"/>
      <c r="E44" s="133"/>
      <c r="F44" s="134"/>
      <c r="G44" s="20"/>
      <c r="H44" s="20"/>
      <c r="I44" s="21"/>
      <c r="J44" s="21"/>
      <c r="K44" s="132"/>
      <c r="L44" s="133"/>
      <c r="M44" s="133"/>
      <c r="N44" s="133"/>
      <c r="O44" s="133"/>
      <c r="P44" s="133"/>
      <c r="Q44" s="134"/>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31" t="s">
        <v>103</v>
      </c>
      <c r="B46" s="131"/>
      <c r="C46" s="131"/>
      <c r="D46" s="131"/>
      <c r="E46" s="131"/>
      <c r="F46" s="131"/>
      <c r="G46" s="131"/>
      <c r="H46" s="131"/>
      <c r="I46" s="131"/>
      <c r="J46" s="131"/>
      <c r="K46" s="131"/>
      <c r="L46" s="131"/>
      <c r="M46" s="131"/>
      <c r="N46" s="131"/>
      <c r="O46" s="131"/>
      <c r="P46" s="131"/>
      <c r="Q46" s="131"/>
      <c r="R46" s="131"/>
      <c r="S46" s="131"/>
      <c r="T46" s="131"/>
      <c r="U46" s="131"/>
    </row>
    <row r="47" spans="1:21" ht="18" customHeight="1" x14ac:dyDescent="0.15">
      <c r="A47" s="131"/>
      <c r="B47" s="131"/>
      <c r="C47" s="131"/>
      <c r="D47" s="131"/>
      <c r="E47" s="131"/>
      <c r="F47" s="131"/>
      <c r="G47" s="131"/>
      <c r="H47" s="131"/>
      <c r="I47" s="131"/>
      <c r="J47" s="131"/>
      <c r="K47" s="131"/>
      <c r="L47" s="131"/>
      <c r="M47" s="131"/>
      <c r="N47" s="131"/>
      <c r="O47" s="131"/>
      <c r="P47" s="131"/>
      <c r="Q47" s="131"/>
      <c r="R47" s="131"/>
      <c r="S47" s="131"/>
      <c r="T47" s="131"/>
      <c r="U47" s="131"/>
    </row>
    <row r="48" spans="1:21" ht="18" customHeight="1" x14ac:dyDescent="0.15">
      <c r="B48" s="125" t="s">
        <v>51</v>
      </c>
      <c r="C48" s="126"/>
      <c r="D48" s="126"/>
      <c r="E48" s="126"/>
      <c r="F48" s="127"/>
      <c r="G48" s="47" t="s">
        <v>77</v>
      </c>
      <c r="H48" s="46" t="s">
        <v>80</v>
      </c>
      <c r="I48" s="17" t="s">
        <v>70</v>
      </c>
      <c r="J48" s="17" t="s">
        <v>71</v>
      </c>
      <c r="K48" s="125" t="s">
        <v>51</v>
      </c>
      <c r="L48" s="126"/>
      <c r="M48" s="126"/>
      <c r="N48" s="126"/>
      <c r="O48" s="126"/>
      <c r="P48" s="126"/>
      <c r="Q48" s="127"/>
      <c r="R48" s="47" t="s">
        <v>77</v>
      </c>
      <c r="S48" s="46" t="s">
        <v>80</v>
      </c>
      <c r="T48" s="17" t="s">
        <v>70</v>
      </c>
      <c r="U48" s="17" t="s">
        <v>71</v>
      </c>
    </row>
    <row r="49" spans="1:21" ht="18" customHeight="1" x14ac:dyDescent="0.15">
      <c r="A49" s="3"/>
      <c r="B49" s="128" t="s">
        <v>148</v>
      </c>
      <c r="C49" s="129"/>
      <c r="D49" s="129"/>
      <c r="E49" s="129"/>
      <c r="F49" s="130"/>
      <c r="G49" s="18">
        <v>2</v>
      </c>
      <c r="H49" s="18" t="s">
        <v>140</v>
      </c>
      <c r="I49" s="18" t="s">
        <v>140</v>
      </c>
      <c r="J49" s="18"/>
      <c r="K49" s="128"/>
      <c r="L49" s="129"/>
      <c r="M49" s="129"/>
      <c r="N49" s="129"/>
      <c r="O49" s="129"/>
      <c r="P49" s="129"/>
      <c r="Q49" s="130"/>
      <c r="R49" s="18"/>
      <c r="S49" s="18"/>
      <c r="T49" s="18"/>
      <c r="U49" s="18"/>
    </row>
    <row r="50" spans="1:21" ht="18" customHeight="1" x14ac:dyDescent="0.15">
      <c r="A50" s="3"/>
      <c r="B50" s="109" t="s">
        <v>149</v>
      </c>
      <c r="C50" s="110"/>
      <c r="D50" s="110"/>
      <c r="E50" s="110"/>
      <c r="F50" s="111"/>
      <c r="G50" s="19">
        <v>2</v>
      </c>
      <c r="H50" s="19" t="s">
        <v>140</v>
      </c>
      <c r="I50" s="19"/>
      <c r="J50" s="19" t="s">
        <v>140</v>
      </c>
      <c r="K50" s="109"/>
      <c r="L50" s="110"/>
      <c r="M50" s="110"/>
      <c r="N50" s="110"/>
      <c r="O50" s="110"/>
      <c r="P50" s="110"/>
      <c r="Q50" s="111"/>
      <c r="R50" s="19"/>
      <c r="S50" s="19"/>
      <c r="T50" s="19"/>
      <c r="U50" s="19"/>
    </row>
    <row r="51" spans="1:21" ht="18" customHeight="1" x14ac:dyDescent="0.15">
      <c r="A51" s="3"/>
      <c r="B51" s="109" t="s">
        <v>139</v>
      </c>
      <c r="C51" s="110"/>
      <c r="D51" s="110"/>
      <c r="E51" s="110"/>
      <c r="F51" s="111"/>
      <c r="G51" s="19">
        <v>2</v>
      </c>
      <c r="H51" s="19"/>
      <c r="I51" s="19" t="s">
        <v>140</v>
      </c>
      <c r="J51" s="19" t="s">
        <v>140</v>
      </c>
      <c r="K51" s="109"/>
      <c r="L51" s="110"/>
      <c r="M51" s="110"/>
      <c r="N51" s="110"/>
      <c r="O51" s="110"/>
      <c r="P51" s="110"/>
      <c r="Q51" s="111"/>
      <c r="R51" s="19"/>
      <c r="S51" s="19"/>
      <c r="T51" s="19"/>
      <c r="U51" s="19"/>
    </row>
    <row r="52" spans="1:21" ht="18" customHeight="1" x14ac:dyDescent="0.15">
      <c r="A52" s="3"/>
      <c r="B52" s="109"/>
      <c r="C52" s="110"/>
      <c r="D52" s="110"/>
      <c r="E52" s="110"/>
      <c r="F52" s="111"/>
      <c r="G52" s="19"/>
      <c r="H52" s="19"/>
      <c r="I52" s="19"/>
      <c r="J52" s="19"/>
      <c r="K52" s="109"/>
      <c r="L52" s="110"/>
      <c r="M52" s="110"/>
      <c r="N52" s="110"/>
      <c r="O52" s="110"/>
      <c r="P52" s="110"/>
      <c r="Q52" s="111"/>
      <c r="R52" s="19"/>
      <c r="S52" s="19"/>
      <c r="T52" s="19"/>
      <c r="U52" s="19"/>
    </row>
    <row r="53" spans="1:21" ht="18" customHeight="1" x14ac:dyDescent="0.15">
      <c r="A53" s="3"/>
      <c r="B53" s="109"/>
      <c r="C53" s="110"/>
      <c r="D53" s="110"/>
      <c r="E53" s="110"/>
      <c r="F53" s="111"/>
      <c r="G53" s="19"/>
      <c r="H53" s="19"/>
      <c r="I53" s="19"/>
      <c r="J53" s="19"/>
      <c r="K53" s="109"/>
      <c r="L53" s="110"/>
      <c r="M53" s="110"/>
      <c r="N53" s="110"/>
      <c r="O53" s="110"/>
      <c r="P53" s="110"/>
      <c r="Q53" s="111"/>
      <c r="R53" s="19"/>
      <c r="S53" s="19"/>
      <c r="T53" s="19"/>
      <c r="U53" s="19"/>
    </row>
    <row r="54" spans="1:21" ht="18" customHeight="1" x14ac:dyDescent="0.15">
      <c r="A54" s="3"/>
      <c r="B54" s="109"/>
      <c r="C54" s="110"/>
      <c r="D54" s="110"/>
      <c r="E54" s="110"/>
      <c r="F54" s="111"/>
      <c r="G54" s="19"/>
      <c r="H54" s="19"/>
      <c r="I54" s="19"/>
      <c r="J54" s="19"/>
      <c r="K54" s="109"/>
      <c r="L54" s="110"/>
      <c r="M54" s="110"/>
      <c r="N54" s="110"/>
      <c r="O54" s="110"/>
      <c r="P54" s="110"/>
      <c r="Q54" s="111"/>
      <c r="R54" s="19"/>
      <c r="S54" s="19"/>
      <c r="T54" s="19"/>
      <c r="U54" s="19"/>
    </row>
    <row r="55" spans="1:21" ht="18" customHeight="1" x14ac:dyDescent="0.15">
      <c r="A55" s="3"/>
      <c r="B55" s="132"/>
      <c r="C55" s="133"/>
      <c r="D55" s="133"/>
      <c r="E55" s="133"/>
      <c r="F55" s="134"/>
      <c r="G55" s="20"/>
      <c r="H55" s="20"/>
      <c r="I55" s="21"/>
      <c r="J55" s="21"/>
      <c r="K55" s="132"/>
      <c r="L55" s="133"/>
      <c r="M55" s="133"/>
      <c r="N55" s="133"/>
      <c r="O55" s="133"/>
      <c r="P55" s="133"/>
      <c r="Q55" s="134"/>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31" t="s">
        <v>104</v>
      </c>
      <c r="B57" s="131"/>
      <c r="C57" s="131"/>
      <c r="D57" s="131"/>
      <c r="E57" s="131"/>
      <c r="F57" s="131"/>
      <c r="G57" s="131"/>
      <c r="H57" s="131"/>
      <c r="I57" s="131"/>
      <c r="J57" s="131"/>
      <c r="K57" s="131"/>
      <c r="L57" s="131"/>
      <c r="M57" s="131"/>
      <c r="N57" s="131"/>
      <c r="O57" s="131"/>
      <c r="P57" s="131"/>
      <c r="Q57" s="131"/>
      <c r="R57" s="131"/>
      <c r="S57" s="131"/>
      <c r="T57" s="131"/>
      <c r="U57" s="131"/>
    </row>
    <row r="58" spans="1:21" ht="18" customHeight="1" x14ac:dyDescent="0.15">
      <c r="A58" s="131"/>
      <c r="B58" s="131"/>
      <c r="C58" s="131"/>
      <c r="D58" s="131"/>
      <c r="E58" s="131"/>
      <c r="F58" s="131"/>
      <c r="G58" s="131"/>
      <c r="H58" s="131"/>
      <c r="I58" s="131"/>
      <c r="J58" s="131"/>
      <c r="K58" s="131"/>
      <c r="L58" s="131"/>
      <c r="M58" s="131"/>
      <c r="N58" s="131"/>
      <c r="O58" s="131"/>
      <c r="P58" s="131"/>
      <c r="Q58" s="131"/>
      <c r="R58" s="131"/>
      <c r="S58" s="131"/>
      <c r="T58" s="131"/>
      <c r="U58" s="131"/>
    </row>
    <row r="59" spans="1:21" ht="18" customHeight="1" x14ac:dyDescent="0.15">
      <c r="B59" s="125" t="s">
        <v>51</v>
      </c>
      <c r="C59" s="126"/>
      <c r="D59" s="126"/>
      <c r="E59" s="126"/>
      <c r="F59" s="127"/>
      <c r="G59" s="47" t="s">
        <v>77</v>
      </c>
      <c r="H59" s="46" t="s">
        <v>80</v>
      </c>
      <c r="I59" s="17" t="s">
        <v>56</v>
      </c>
      <c r="J59" s="17" t="s">
        <v>58</v>
      </c>
      <c r="K59" s="125" t="s">
        <v>51</v>
      </c>
      <c r="L59" s="126"/>
      <c r="M59" s="126"/>
      <c r="N59" s="126"/>
      <c r="O59" s="126"/>
      <c r="P59" s="126"/>
      <c r="Q59" s="127"/>
      <c r="R59" s="47" t="s">
        <v>77</v>
      </c>
      <c r="S59" s="46" t="s">
        <v>80</v>
      </c>
      <c r="T59" s="17" t="s">
        <v>56</v>
      </c>
      <c r="U59" s="17" t="s">
        <v>58</v>
      </c>
    </row>
    <row r="60" spans="1:21" ht="18" customHeight="1" x14ac:dyDescent="0.15">
      <c r="A60" s="3"/>
      <c r="B60" s="128" t="s">
        <v>160</v>
      </c>
      <c r="C60" s="129"/>
      <c r="D60" s="129"/>
      <c r="E60" s="129"/>
      <c r="F60" s="130"/>
      <c r="G60" s="18">
        <v>4</v>
      </c>
      <c r="H60" s="18" t="s">
        <v>140</v>
      </c>
      <c r="I60" s="18"/>
      <c r="J60" s="18" t="s">
        <v>140</v>
      </c>
      <c r="K60" s="128"/>
      <c r="L60" s="129"/>
      <c r="M60" s="129"/>
      <c r="N60" s="129"/>
      <c r="O60" s="129"/>
      <c r="P60" s="129"/>
      <c r="Q60" s="130"/>
      <c r="R60" s="18"/>
      <c r="S60" s="18"/>
      <c r="T60" s="18"/>
      <c r="U60" s="18"/>
    </row>
    <row r="61" spans="1:21" ht="18" customHeight="1" x14ac:dyDescent="0.15">
      <c r="A61" s="3"/>
      <c r="B61" s="109" t="s">
        <v>149</v>
      </c>
      <c r="C61" s="110"/>
      <c r="D61" s="110"/>
      <c r="E61" s="110"/>
      <c r="F61" s="111"/>
      <c r="G61" s="19">
        <v>2</v>
      </c>
      <c r="H61" s="19" t="s">
        <v>140</v>
      </c>
      <c r="I61" s="19" t="s">
        <v>140</v>
      </c>
      <c r="J61" s="19"/>
      <c r="K61" s="109"/>
      <c r="L61" s="110"/>
      <c r="M61" s="110"/>
      <c r="N61" s="110"/>
      <c r="O61" s="110"/>
      <c r="P61" s="110"/>
      <c r="Q61" s="111"/>
      <c r="R61" s="19"/>
      <c r="S61" s="19"/>
      <c r="T61" s="19"/>
      <c r="U61" s="19"/>
    </row>
    <row r="62" spans="1:21" ht="18" customHeight="1" x14ac:dyDescent="0.15">
      <c r="A62" s="3"/>
      <c r="B62" s="109" t="s">
        <v>139</v>
      </c>
      <c r="C62" s="110"/>
      <c r="D62" s="110"/>
      <c r="E62" s="110"/>
      <c r="F62" s="111"/>
      <c r="G62" s="19">
        <v>2</v>
      </c>
      <c r="H62" s="19"/>
      <c r="I62" s="19" t="s">
        <v>140</v>
      </c>
      <c r="J62" s="19" t="s">
        <v>140</v>
      </c>
      <c r="K62" s="109"/>
      <c r="L62" s="110"/>
      <c r="M62" s="110"/>
      <c r="N62" s="110"/>
      <c r="O62" s="110"/>
      <c r="P62" s="110"/>
      <c r="Q62" s="111"/>
      <c r="R62" s="19"/>
      <c r="S62" s="19"/>
      <c r="T62" s="19"/>
      <c r="U62" s="19"/>
    </row>
    <row r="63" spans="1:21" ht="18" customHeight="1" x14ac:dyDescent="0.15">
      <c r="A63" s="3"/>
      <c r="B63" s="109" t="s">
        <v>141</v>
      </c>
      <c r="C63" s="110"/>
      <c r="D63" s="110"/>
      <c r="E63" s="110"/>
      <c r="F63" s="111"/>
      <c r="G63" s="19">
        <v>2</v>
      </c>
      <c r="H63" s="19"/>
      <c r="I63" s="19"/>
      <c r="J63" s="19" t="s">
        <v>140</v>
      </c>
      <c r="K63" s="109"/>
      <c r="L63" s="110"/>
      <c r="M63" s="110"/>
      <c r="N63" s="110"/>
      <c r="O63" s="110"/>
      <c r="P63" s="110"/>
      <c r="Q63" s="111"/>
      <c r="R63" s="19"/>
      <c r="S63" s="19"/>
      <c r="T63" s="19"/>
      <c r="U63" s="19"/>
    </row>
    <row r="64" spans="1:21" ht="18" customHeight="1" x14ac:dyDescent="0.15">
      <c r="A64" s="3"/>
      <c r="B64" s="109" t="s">
        <v>142</v>
      </c>
      <c r="C64" s="110"/>
      <c r="D64" s="110"/>
      <c r="E64" s="110"/>
      <c r="F64" s="111"/>
      <c r="G64" s="19">
        <v>2</v>
      </c>
      <c r="H64" s="19"/>
      <c r="I64" s="19" t="s">
        <v>140</v>
      </c>
      <c r="J64" s="19" t="s">
        <v>140</v>
      </c>
      <c r="K64" s="109"/>
      <c r="L64" s="110"/>
      <c r="M64" s="110"/>
      <c r="N64" s="110"/>
      <c r="O64" s="110"/>
      <c r="P64" s="110"/>
      <c r="Q64" s="111"/>
      <c r="R64" s="19"/>
      <c r="S64" s="19"/>
      <c r="T64" s="19"/>
      <c r="U64" s="19"/>
    </row>
    <row r="65" spans="1:21" ht="18" customHeight="1" x14ac:dyDescent="0.15">
      <c r="A65" s="3"/>
      <c r="B65" s="109"/>
      <c r="C65" s="110"/>
      <c r="D65" s="110"/>
      <c r="E65" s="110"/>
      <c r="F65" s="111"/>
      <c r="G65" s="19"/>
      <c r="H65" s="19"/>
      <c r="I65" s="19"/>
      <c r="J65" s="19"/>
      <c r="K65" s="109"/>
      <c r="L65" s="110"/>
      <c r="M65" s="110"/>
      <c r="N65" s="110"/>
      <c r="O65" s="110"/>
      <c r="P65" s="110"/>
      <c r="Q65" s="111"/>
      <c r="R65" s="19"/>
      <c r="S65" s="19"/>
      <c r="T65" s="19"/>
      <c r="U65" s="19"/>
    </row>
    <row r="66" spans="1:21" ht="18" customHeight="1" x14ac:dyDescent="0.15">
      <c r="A66" s="3"/>
      <c r="B66" s="132"/>
      <c r="C66" s="133"/>
      <c r="D66" s="133"/>
      <c r="E66" s="133"/>
      <c r="F66" s="134"/>
      <c r="G66" s="20"/>
      <c r="H66" s="20"/>
      <c r="I66" s="21"/>
      <c r="J66" s="21"/>
      <c r="K66" s="132"/>
      <c r="L66" s="133"/>
      <c r="M66" s="133"/>
      <c r="N66" s="133"/>
      <c r="O66" s="133"/>
      <c r="P66" s="133"/>
      <c r="Q66" s="134"/>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31" t="s">
        <v>105</v>
      </c>
      <c r="B68" s="131"/>
      <c r="C68" s="131"/>
      <c r="D68" s="131"/>
      <c r="E68" s="131"/>
      <c r="F68" s="131"/>
      <c r="G68" s="131"/>
      <c r="H68" s="131"/>
      <c r="I68" s="131"/>
      <c r="J68" s="131"/>
      <c r="K68" s="131"/>
      <c r="L68" s="131"/>
      <c r="M68" s="131"/>
      <c r="N68" s="131"/>
      <c r="O68" s="131"/>
      <c r="P68" s="131"/>
      <c r="Q68" s="131"/>
      <c r="R68" s="131"/>
      <c r="S68" s="131"/>
      <c r="T68" s="131"/>
      <c r="U68" s="131"/>
    </row>
    <row r="69" spans="1:21" ht="18" customHeight="1" x14ac:dyDescent="0.15">
      <c r="A69" s="131"/>
      <c r="B69" s="131"/>
      <c r="C69" s="131"/>
      <c r="D69" s="131"/>
      <c r="E69" s="131"/>
      <c r="F69" s="131"/>
      <c r="G69" s="131"/>
      <c r="H69" s="131"/>
      <c r="I69" s="131"/>
      <c r="J69" s="131"/>
      <c r="K69" s="131"/>
      <c r="L69" s="131"/>
      <c r="M69" s="131"/>
      <c r="N69" s="131"/>
      <c r="O69" s="131"/>
      <c r="P69" s="131"/>
      <c r="Q69" s="131"/>
      <c r="R69" s="131"/>
      <c r="S69" s="131"/>
      <c r="T69" s="131"/>
      <c r="U69" s="131"/>
    </row>
    <row r="70" spans="1:21" ht="18" customHeight="1" x14ac:dyDescent="0.15">
      <c r="B70" s="125" t="s">
        <v>51</v>
      </c>
      <c r="C70" s="126"/>
      <c r="D70" s="126"/>
      <c r="E70" s="126"/>
      <c r="F70" s="47" t="s">
        <v>77</v>
      </c>
      <c r="G70" s="46" t="s">
        <v>80</v>
      </c>
      <c r="H70" s="17" t="s">
        <v>92</v>
      </c>
      <c r="I70" s="17" t="s">
        <v>72</v>
      </c>
      <c r="J70" s="17" t="s">
        <v>73</v>
      </c>
      <c r="K70" s="125" t="s">
        <v>51</v>
      </c>
      <c r="L70" s="126"/>
      <c r="M70" s="126"/>
      <c r="N70" s="126"/>
      <c r="O70" s="126"/>
      <c r="P70" s="127"/>
      <c r="Q70" s="47" t="s">
        <v>77</v>
      </c>
      <c r="R70" s="46" t="s">
        <v>80</v>
      </c>
      <c r="S70" s="17" t="s">
        <v>92</v>
      </c>
      <c r="T70" s="17" t="s">
        <v>72</v>
      </c>
      <c r="U70" s="17" t="s">
        <v>73</v>
      </c>
    </row>
    <row r="71" spans="1:21" ht="18" customHeight="1" x14ac:dyDescent="0.15">
      <c r="A71" s="3"/>
      <c r="B71" s="128" t="s">
        <v>160</v>
      </c>
      <c r="C71" s="129"/>
      <c r="D71" s="129"/>
      <c r="E71" s="129"/>
      <c r="F71" s="18">
        <v>4</v>
      </c>
      <c r="G71" s="18" t="s">
        <v>140</v>
      </c>
      <c r="H71" s="18"/>
      <c r="I71" s="18" t="s">
        <v>140</v>
      </c>
      <c r="J71" s="18" t="s">
        <v>140</v>
      </c>
      <c r="K71" s="128"/>
      <c r="L71" s="129"/>
      <c r="M71" s="129"/>
      <c r="N71" s="129"/>
      <c r="O71" s="129"/>
      <c r="P71" s="130"/>
      <c r="Q71" s="18"/>
      <c r="R71" s="18"/>
      <c r="S71" s="18"/>
      <c r="T71" s="18"/>
      <c r="U71" s="18"/>
    </row>
    <row r="72" spans="1:21" ht="18" customHeight="1" x14ac:dyDescent="0.15">
      <c r="A72" s="3"/>
      <c r="B72" s="109" t="s">
        <v>148</v>
      </c>
      <c r="C72" s="110"/>
      <c r="D72" s="110"/>
      <c r="E72" s="110"/>
      <c r="F72" s="19">
        <v>2</v>
      </c>
      <c r="G72" s="19" t="s">
        <v>140</v>
      </c>
      <c r="H72" s="19" t="s">
        <v>140</v>
      </c>
      <c r="I72" s="19" t="s">
        <v>140</v>
      </c>
      <c r="J72" s="19" t="s">
        <v>140</v>
      </c>
      <c r="K72" s="109"/>
      <c r="L72" s="110"/>
      <c r="M72" s="110"/>
      <c r="N72" s="110"/>
      <c r="O72" s="110"/>
      <c r="P72" s="111"/>
      <c r="Q72" s="19"/>
      <c r="R72" s="19"/>
      <c r="S72" s="19"/>
      <c r="T72" s="19"/>
      <c r="U72" s="19"/>
    </row>
    <row r="73" spans="1:21" ht="18" customHeight="1" x14ac:dyDescent="0.15">
      <c r="A73" s="3"/>
      <c r="B73" s="109" t="s">
        <v>149</v>
      </c>
      <c r="C73" s="110"/>
      <c r="D73" s="110"/>
      <c r="E73" s="110"/>
      <c r="F73" s="19">
        <v>2</v>
      </c>
      <c r="G73" s="19" t="s">
        <v>140</v>
      </c>
      <c r="H73" s="19" t="s">
        <v>140</v>
      </c>
      <c r="I73" s="19"/>
      <c r="J73" s="19"/>
      <c r="K73" s="109"/>
      <c r="L73" s="110"/>
      <c r="M73" s="110"/>
      <c r="N73" s="110"/>
      <c r="O73" s="110"/>
      <c r="P73" s="111"/>
      <c r="Q73" s="19"/>
      <c r="R73" s="19"/>
      <c r="S73" s="19"/>
      <c r="T73" s="19"/>
      <c r="U73" s="19"/>
    </row>
    <row r="74" spans="1:21" ht="18" customHeight="1" x14ac:dyDescent="0.15">
      <c r="A74" s="3"/>
      <c r="B74" s="109" t="s">
        <v>139</v>
      </c>
      <c r="C74" s="110"/>
      <c r="D74" s="110"/>
      <c r="E74" s="110"/>
      <c r="F74" s="19">
        <v>2</v>
      </c>
      <c r="G74" s="19"/>
      <c r="H74" s="19" t="s">
        <v>140</v>
      </c>
      <c r="I74" s="19" t="s">
        <v>140</v>
      </c>
      <c r="J74" s="19" t="s">
        <v>140</v>
      </c>
      <c r="K74" s="109"/>
      <c r="L74" s="110"/>
      <c r="M74" s="110"/>
      <c r="N74" s="110"/>
      <c r="O74" s="110"/>
      <c r="P74" s="111"/>
      <c r="Q74" s="19"/>
      <c r="R74" s="19"/>
      <c r="S74" s="19"/>
      <c r="T74" s="19"/>
      <c r="U74" s="19"/>
    </row>
    <row r="75" spans="1:21" ht="18" customHeight="1" x14ac:dyDescent="0.15">
      <c r="A75" s="3"/>
      <c r="B75" s="109"/>
      <c r="C75" s="110"/>
      <c r="D75" s="110"/>
      <c r="E75" s="110"/>
      <c r="F75" s="19"/>
      <c r="G75" s="19"/>
      <c r="H75" s="19"/>
      <c r="I75" s="19"/>
      <c r="J75" s="19"/>
      <c r="K75" s="109"/>
      <c r="L75" s="110"/>
      <c r="M75" s="110"/>
      <c r="N75" s="110"/>
      <c r="O75" s="110"/>
      <c r="P75" s="111"/>
      <c r="Q75" s="19"/>
      <c r="R75" s="19"/>
      <c r="S75" s="19"/>
      <c r="T75" s="19"/>
      <c r="U75" s="19"/>
    </row>
    <row r="76" spans="1:21" ht="18" customHeight="1" x14ac:dyDescent="0.15">
      <c r="A76" s="3"/>
      <c r="B76" s="109"/>
      <c r="C76" s="110"/>
      <c r="D76" s="110"/>
      <c r="E76" s="110"/>
      <c r="F76" s="19"/>
      <c r="G76" s="19"/>
      <c r="H76" s="19"/>
      <c r="I76" s="19"/>
      <c r="J76" s="19"/>
      <c r="K76" s="109"/>
      <c r="L76" s="110"/>
      <c r="M76" s="110"/>
      <c r="N76" s="110"/>
      <c r="O76" s="110"/>
      <c r="P76" s="111"/>
      <c r="Q76" s="19"/>
      <c r="R76" s="19"/>
      <c r="S76" s="19"/>
      <c r="T76" s="19"/>
      <c r="U76" s="19"/>
    </row>
    <row r="77" spans="1:21" ht="18" customHeight="1" x14ac:dyDescent="0.15">
      <c r="A77" s="3"/>
      <c r="B77" s="132"/>
      <c r="C77" s="133"/>
      <c r="D77" s="133"/>
      <c r="E77" s="133"/>
      <c r="F77" s="20"/>
      <c r="G77" s="20"/>
      <c r="H77" s="21"/>
      <c r="I77" s="21"/>
      <c r="J77" s="21"/>
      <c r="K77" s="132"/>
      <c r="L77" s="133"/>
      <c r="M77" s="133"/>
      <c r="N77" s="133"/>
      <c r="O77" s="133"/>
      <c r="P77" s="134"/>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125" t="s">
        <v>51</v>
      </c>
      <c r="C80" s="126"/>
      <c r="D80" s="126"/>
      <c r="E80" s="126"/>
      <c r="F80" s="127"/>
      <c r="G80" s="125" t="s">
        <v>78</v>
      </c>
      <c r="H80" s="126"/>
      <c r="I80" s="126"/>
      <c r="J80" s="127"/>
      <c r="K80" s="135" t="s">
        <v>51</v>
      </c>
      <c r="L80" s="136"/>
      <c r="M80" s="136"/>
      <c r="N80" s="136"/>
      <c r="O80" s="136"/>
      <c r="P80" s="136"/>
      <c r="Q80" s="137"/>
      <c r="R80" s="125" t="s">
        <v>78</v>
      </c>
      <c r="S80" s="126"/>
      <c r="T80" s="126"/>
      <c r="U80" s="127"/>
    </row>
    <row r="81" spans="1:21" ht="18" customHeight="1" x14ac:dyDescent="0.15">
      <c r="A81" s="3"/>
      <c r="B81" s="128" t="s">
        <v>148</v>
      </c>
      <c r="C81" s="129"/>
      <c r="D81" s="129"/>
      <c r="E81" s="129"/>
      <c r="F81" s="130"/>
      <c r="G81" s="141" t="s">
        <v>176</v>
      </c>
      <c r="H81" s="142"/>
      <c r="I81" s="142"/>
      <c r="J81" s="143"/>
      <c r="K81" s="128"/>
      <c r="L81" s="129"/>
      <c r="M81" s="129"/>
      <c r="N81" s="129"/>
      <c r="O81" s="129"/>
      <c r="P81" s="129"/>
      <c r="Q81" s="130"/>
      <c r="R81" s="141"/>
      <c r="S81" s="142"/>
      <c r="T81" s="142"/>
      <c r="U81" s="143"/>
    </row>
    <row r="82" spans="1:21" ht="18" customHeight="1" x14ac:dyDescent="0.15">
      <c r="A82" s="3"/>
      <c r="B82" s="109" t="s">
        <v>148</v>
      </c>
      <c r="C82" s="110"/>
      <c r="D82" s="110"/>
      <c r="E82" s="110"/>
      <c r="F82" s="111"/>
      <c r="G82" s="138" t="s">
        <v>177</v>
      </c>
      <c r="H82" s="139"/>
      <c r="I82" s="139"/>
      <c r="J82" s="140"/>
      <c r="K82" s="109"/>
      <c r="L82" s="110"/>
      <c r="M82" s="110"/>
      <c r="N82" s="110"/>
      <c r="O82" s="110"/>
      <c r="P82" s="110"/>
      <c r="Q82" s="111"/>
      <c r="R82" s="138"/>
      <c r="S82" s="139"/>
      <c r="T82" s="139"/>
      <c r="U82" s="140"/>
    </row>
    <row r="83" spans="1:21" ht="18" customHeight="1" x14ac:dyDescent="0.15">
      <c r="A83" s="3"/>
      <c r="B83" s="109" t="s">
        <v>149</v>
      </c>
      <c r="C83" s="110"/>
      <c r="D83" s="110"/>
      <c r="E83" s="110"/>
      <c r="F83" s="111"/>
      <c r="G83" s="138" t="s">
        <v>178</v>
      </c>
      <c r="H83" s="139"/>
      <c r="I83" s="139"/>
      <c r="J83" s="140"/>
      <c r="K83" s="109"/>
      <c r="L83" s="110"/>
      <c r="M83" s="110"/>
      <c r="N83" s="110"/>
      <c r="O83" s="110"/>
      <c r="P83" s="110"/>
      <c r="Q83" s="111"/>
      <c r="R83" s="138"/>
      <c r="S83" s="139"/>
      <c r="T83" s="139"/>
      <c r="U83" s="140"/>
    </row>
    <row r="84" spans="1:21" ht="18" customHeight="1" x14ac:dyDescent="0.15">
      <c r="A84" s="3"/>
      <c r="B84" s="171" t="s">
        <v>144</v>
      </c>
      <c r="C84" s="172"/>
      <c r="D84" s="172"/>
      <c r="E84" s="172"/>
      <c r="F84" s="173"/>
      <c r="G84" s="174" t="s">
        <v>147</v>
      </c>
      <c r="H84" s="175"/>
      <c r="I84" s="175"/>
      <c r="J84" s="176"/>
      <c r="K84" s="171"/>
      <c r="L84" s="172"/>
      <c r="M84" s="172"/>
      <c r="N84" s="172"/>
      <c r="O84" s="172"/>
      <c r="P84" s="172"/>
      <c r="Q84" s="173"/>
      <c r="R84" s="138"/>
      <c r="S84" s="139"/>
      <c r="T84" s="139"/>
      <c r="U84" s="140"/>
    </row>
    <row r="85" spans="1:21" ht="18" customHeight="1" x14ac:dyDescent="0.15">
      <c r="A85" s="3"/>
      <c r="B85" s="109" t="s">
        <v>145</v>
      </c>
      <c r="C85" s="110"/>
      <c r="D85" s="110"/>
      <c r="E85" s="110"/>
      <c r="F85" s="111"/>
      <c r="G85" s="138" t="s">
        <v>147</v>
      </c>
      <c r="H85" s="139"/>
      <c r="I85" s="139"/>
      <c r="J85" s="140"/>
      <c r="K85" s="109"/>
      <c r="L85" s="110"/>
      <c r="M85" s="110"/>
      <c r="N85" s="110"/>
      <c r="O85" s="110"/>
      <c r="P85" s="110"/>
      <c r="Q85" s="111"/>
      <c r="R85" s="138"/>
      <c r="S85" s="139"/>
      <c r="T85" s="139"/>
      <c r="U85" s="140"/>
    </row>
    <row r="86" spans="1:21" ht="18" customHeight="1" x14ac:dyDescent="0.15">
      <c r="A86" s="3"/>
      <c r="B86" s="109" t="s">
        <v>146</v>
      </c>
      <c r="C86" s="110"/>
      <c r="D86" s="110"/>
      <c r="E86" s="110"/>
      <c r="F86" s="111"/>
      <c r="G86" s="138" t="s">
        <v>147</v>
      </c>
      <c r="H86" s="139"/>
      <c r="I86" s="139"/>
      <c r="J86" s="140"/>
      <c r="K86" s="109"/>
      <c r="L86" s="110"/>
      <c r="M86" s="110"/>
      <c r="N86" s="110"/>
      <c r="O86" s="110"/>
      <c r="P86" s="110"/>
      <c r="Q86" s="111"/>
      <c r="R86" s="138"/>
      <c r="S86" s="139"/>
      <c r="T86" s="139"/>
      <c r="U86" s="140"/>
    </row>
    <row r="87" spans="1:21" ht="18" customHeight="1" x14ac:dyDescent="0.15">
      <c r="A87" s="3"/>
      <c r="B87" s="132"/>
      <c r="C87" s="133"/>
      <c r="D87" s="133"/>
      <c r="E87" s="133"/>
      <c r="F87" s="134"/>
      <c r="G87" s="144"/>
      <c r="H87" s="145"/>
      <c r="I87" s="145"/>
      <c r="J87" s="146"/>
      <c r="K87" s="132"/>
      <c r="L87" s="133"/>
      <c r="M87" s="133"/>
      <c r="N87" s="133"/>
      <c r="O87" s="133"/>
      <c r="P87" s="133"/>
      <c r="Q87" s="134"/>
      <c r="R87" s="144"/>
      <c r="S87" s="145"/>
      <c r="T87" s="145"/>
      <c r="U87" s="146"/>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47" t="s">
        <v>52</v>
      </c>
      <c r="C90" s="148"/>
      <c r="D90" s="125" t="s">
        <v>53</v>
      </c>
      <c r="E90" s="126"/>
      <c r="F90" s="126"/>
      <c r="G90" s="126"/>
      <c r="H90" s="126"/>
      <c r="I90" s="126"/>
      <c r="J90" s="126"/>
      <c r="K90" s="126"/>
      <c r="L90" s="126"/>
      <c r="M90" s="126"/>
      <c r="N90" s="126"/>
      <c r="O90" s="126"/>
      <c r="P90" s="126"/>
      <c r="Q90" s="126"/>
      <c r="R90" s="126"/>
      <c r="S90" s="126"/>
      <c r="T90" s="126"/>
      <c r="U90" s="127"/>
    </row>
    <row r="91" spans="1:21" ht="97.5" customHeight="1" x14ac:dyDescent="0.15">
      <c r="B91" s="149" t="s">
        <v>59</v>
      </c>
      <c r="C91" s="23" t="s">
        <v>54</v>
      </c>
      <c r="D91" s="157" t="s">
        <v>205</v>
      </c>
      <c r="E91" s="158"/>
      <c r="F91" s="158"/>
      <c r="G91" s="158"/>
      <c r="H91" s="158"/>
      <c r="I91" s="158"/>
      <c r="J91" s="158"/>
      <c r="K91" s="158"/>
      <c r="L91" s="158"/>
      <c r="M91" s="158"/>
      <c r="N91" s="158"/>
      <c r="O91" s="158"/>
      <c r="P91" s="158"/>
      <c r="Q91" s="158"/>
      <c r="R91" s="158"/>
      <c r="S91" s="158"/>
      <c r="T91" s="158"/>
      <c r="U91" s="159"/>
    </row>
    <row r="92" spans="1:21" ht="97.5" customHeight="1" x14ac:dyDescent="0.15">
      <c r="B92" s="160"/>
      <c r="C92" s="24" t="s">
        <v>74</v>
      </c>
      <c r="D92" s="154" t="s">
        <v>223</v>
      </c>
      <c r="E92" s="155"/>
      <c r="F92" s="155"/>
      <c r="G92" s="155"/>
      <c r="H92" s="155"/>
      <c r="I92" s="155"/>
      <c r="J92" s="155"/>
      <c r="K92" s="155"/>
      <c r="L92" s="155"/>
      <c r="M92" s="155"/>
      <c r="N92" s="155"/>
      <c r="O92" s="155"/>
      <c r="P92" s="155"/>
      <c r="Q92" s="155"/>
      <c r="R92" s="155"/>
      <c r="S92" s="155"/>
      <c r="T92" s="155"/>
      <c r="U92" s="156"/>
    </row>
    <row r="93" spans="1:21" ht="97.5" customHeight="1" x14ac:dyDescent="0.15">
      <c r="B93" s="149" t="s">
        <v>60</v>
      </c>
      <c r="C93" s="25" t="s">
        <v>68</v>
      </c>
      <c r="D93" s="151" t="s">
        <v>206</v>
      </c>
      <c r="E93" s="152"/>
      <c r="F93" s="152"/>
      <c r="G93" s="152"/>
      <c r="H93" s="152"/>
      <c r="I93" s="152"/>
      <c r="J93" s="152"/>
      <c r="K93" s="152"/>
      <c r="L93" s="152"/>
      <c r="M93" s="152"/>
      <c r="N93" s="152"/>
      <c r="O93" s="152"/>
      <c r="P93" s="152"/>
      <c r="Q93" s="152"/>
      <c r="R93" s="152"/>
      <c r="S93" s="152"/>
      <c r="T93" s="152"/>
      <c r="U93" s="153"/>
    </row>
    <row r="94" spans="1:21" ht="97.5" customHeight="1" x14ac:dyDescent="0.15">
      <c r="B94" s="150"/>
      <c r="C94" s="26" t="s">
        <v>69</v>
      </c>
      <c r="D94" s="154" t="s">
        <v>207</v>
      </c>
      <c r="E94" s="155"/>
      <c r="F94" s="155"/>
      <c r="G94" s="155"/>
      <c r="H94" s="155"/>
      <c r="I94" s="155"/>
      <c r="J94" s="155"/>
      <c r="K94" s="155"/>
      <c r="L94" s="155"/>
      <c r="M94" s="155"/>
      <c r="N94" s="155"/>
      <c r="O94" s="155"/>
      <c r="P94" s="155"/>
      <c r="Q94" s="155"/>
      <c r="R94" s="155"/>
      <c r="S94" s="155"/>
      <c r="T94" s="155"/>
      <c r="U94" s="156"/>
    </row>
    <row r="95" spans="1:21" ht="97.5" customHeight="1" x14ac:dyDescent="0.15">
      <c r="B95" s="149" t="s">
        <v>61</v>
      </c>
      <c r="C95" s="25" t="s">
        <v>70</v>
      </c>
      <c r="D95" s="157" t="s">
        <v>220</v>
      </c>
      <c r="E95" s="158"/>
      <c r="F95" s="158"/>
      <c r="G95" s="158"/>
      <c r="H95" s="158"/>
      <c r="I95" s="158"/>
      <c r="J95" s="158"/>
      <c r="K95" s="158"/>
      <c r="L95" s="158"/>
      <c r="M95" s="158"/>
      <c r="N95" s="158"/>
      <c r="O95" s="158"/>
      <c r="P95" s="158"/>
      <c r="Q95" s="158"/>
      <c r="R95" s="158"/>
      <c r="S95" s="158"/>
      <c r="T95" s="158"/>
      <c r="U95" s="159"/>
    </row>
    <row r="96" spans="1:21" ht="97.5" customHeight="1" x14ac:dyDescent="0.15">
      <c r="B96" s="150"/>
      <c r="C96" s="27" t="s">
        <v>71</v>
      </c>
      <c r="D96" s="154" t="s">
        <v>208</v>
      </c>
      <c r="E96" s="155"/>
      <c r="F96" s="155"/>
      <c r="G96" s="155"/>
      <c r="H96" s="155"/>
      <c r="I96" s="155"/>
      <c r="J96" s="155"/>
      <c r="K96" s="155"/>
      <c r="L96" s="155"/>
      <c r="M96" s="155"/>
      <c r="N96" s="155"/>
      <c r="O96" s="155"/>
      <c r="P96" s="155"/>
      <c r="Q96" s="155"/>
      <c r="R96" s="155"/>
      <c r="S96" s="155"/>
      <c r="T96" s="155"/>
      <c r="U96" s="156"/>
    </row>
    <row r="97" spans="1:33" ht="97.5" customHeight="1" x14ac:dyDescent="0.15">
      <c r="B97" s="149" t="s">
        <v>75</v>
      </c>
      <c r="C97" s="23" t="s">
        <v>56</v>
      </c>
      <c r="D97" s="177" t="s">
        <v>209</v>
      </c>
      <c r="E97" s="178"/>
      <c r="F97" s="178"/>
      <c r="G97" s="178"/>
      <c r="H97" s="178"/>
      <c r="I97" s="178"/>
      <c r="J97" s="178"/>
      <c r="K97" s="178"/>
      <c r="L97" s="178"/>
      <c r="M97" s="178"/>
      <c r="N97" s="178"/>
      <c r="O97" s="178"/>
      <c r="P97" s="178"/>
      <c r="Q97" s="178"/>
      <c r="R97" s="178"/>
      <c r="S97" s="178"/>
      <c r="T97" s="178"/>
      <c r="U97" s="179"/>
    </row>
    <row r="98" spans="1:33" ht="97.5" customHeight="1" x14ac:dyDescent="0.15">
      <c r="B98" s="150"/>
      <c r="C98" s="26" t="s">
        <v>58</v>
      </c>
      <c r="D98" s="154" t="s">
        <v>210</v>
      </c>
      <c r="E98" s="155"/>
      <c r="F98" s="155"/>
      <c r="G98" s="155"/>
      <c r="H98" s="155"/>
      <c r="I98" s="155"/>
      <c r="J98" s="155"/>
      <c r="K98" s="155"/>
      <c r="L98" s="155"/>
      <c r="M98" s="155"/>
      <c r="N98" s="155"/>
      <c r="O98" s="155"/>
      <c r="P98" s="155"/>
      <c r="Q98" s="155"/>
      <c r="R98" s="155"/>
      <c r="S98" s="155"/>
      <c r="T98" s="155"/>
      <c r="U98" s="156"/>
    </row>
    <row r="99" spans="1:33" ht="97.5" customHeight="1" x14ac:dyDescent="0.15">
      <c r="B99" s="149" t="s">
        <v>76</v>
      </c>
      <c r="C99" s="25" t="s">
        <v>55</v>
      </c>
      <c r="D99" s="180" t="s">
        <v>225</v>
      </c>
      <c r="E99" s="181"/>
      <c r="F99" s="181"/>
      <c r="G99" s="181"/>
      <c r="H99" s="181"/>
      <c r="I99" s="181"/>
      <c r="J99" s="181"/>
      <c r="K99" s="181"/>
      <c r="L99" s="181"/>
      <c r="M99" s="181"/>
      <c r="N99" s="181"/>
      <c r="O99" s="181"/>
      <c r="P99" s="181"/>
      <c r="Q99" s="181"/>
      <c r="R99" s="181"/>
      <c r="S99" s="181"/>
      <c r="T99" s="181"/>
      <c r="U99" s="182"/>
    </row>
    <row r="100" spans="1:33" ht="97.5" customHeight="1" x14ac:dyDescent="0.15">
      <c r="B100" s="160"/>
      <c r="C100" s="28" t="s">
        <v>72</v>
      </c>
      <c r="D100" s="183" t="s">
        <v>211</v>
      </c>
      <c r="E100" s="184"/>
      <c r="F100" s="184"/>
      <c r="G100" s="184"/>
      <c r="H100" s="184"/>
      <c r="I100" s="184"/>
      <c r="J100" s="184"/>
      <c r="K100" s="184"/>
      <c r="L100" s="184"/>
      <c r="M100" s="184"/>
      <c r="N100" s="184"/>
      <c r="O100" s="184"/>
      <c r="P100" s="184"/>
      <c r="Q100" s="184"/>
      <c r="R100" s="184"/>
      <c r="S100" s="184"/>
      <c r="T100" s="184"/>
      <c r="U100" s="185"/>
    </row>
    <row r="101" spans="1:33" ht="97.5" customHeight="1" x14ac:dyDescent="0.15">
      <c r="B101" s="150"/>
      <c r="C101" s="27" t="s">
        <v>73</v>
      </c>
      <c r="D101" s="154" t="s">
        <v>212</v>
      </c>
      <c r="E101" s="155"/>
      <c r="F101" s="155"/>
      <c r="G101" s="155"/>
      <c r="H101" s="155"/>
      <c r="I101" s="155"/>
      <c r="J101" s="155"/>
      <c r="K101" s="155"/>
      <c r="L101" s="155"/>
      <c r="M101" s="155"/>
      <c r="N101" s="155"/>
      <c r="O101" s="155"/>
      <c r="P101" s="155"/>
      <c r="Q101" s="155"/>
      <c r="R101" s="155"/>
      <c r="S101" s="155"/>
      <c r="T101" s="155"/>
      <c r="U101" s="156"/>
    </row>
    <row r="102" spans="1:33" ht="6" customHeight="1" x14ac:dyDescent="0.15"/>
    <row r="103" spans="1:33" ht="18.75" customHeight="1" x14ac:dyDescent="0.15">
      <c r="A103" s="1" t="s">
        <v>108</v>
      </c>
    </row>
    <row r="104" spans="1:33" ht="81.75" customHeight="1" x14ac:dyDescent="0.15">
      <c r="B104" s="167" t="s">
        <v>231</v>
      </c>
      <c r="C104" s="168"/>
      <c r="D104" s="168"/>
      <c r="E104" s="168"/>
      <c r="F104" s="168"/>
      <c r="G104" s="168"/>
      <c r="H104" s="168"/>
      <c r="I104" s="168"/>
      <c r="J104" s="168"/>
      <c r="K104" s="168"/>
      <c r="L104" s="168"/>
      <c r="M104" s="168"/>
      <c r="N104" s="168"/>
      <c r="O104" s="168"/>
      <c r="P104" s="168"/>
      <c r="Q104" s="168"/>
      <c r="R104" s="168"/>
      <c r="S104" s="168"/>
      <c r="T104" s="168"/>
      <c r="U104" s="169"/>
    </row>
    <row r="106" spans="1:33" ht="18.75" customHeight="1" x14ac:dyDescent="0.15">
      <c r="A106" s="70" t="s">
        <v>124</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x14ac:dyDescent="0.15">
      <c r="A107" s="70" t="s">
        <v>126</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x14ac:dyDescent="0.15">
      <c r="A108" s="70"/>
      <c r="B108" s="170" t="s">
        <v>130</v>
      </c>
      <c r="C108" s="170"/>
      <c r="D108" s="170"/>
      <c r="E108" s="170"/>
      <c r="F108" s="170"/>
      <c r="G108" s="170"/>
      <c r="H108" s="170"/>
      <c r="I108" s="170"/>
      <c r="J108" s="170"/>
      <c r="K108" s="170"/>
      <c r="L108" s="170"/>
      <c r="M108" s="170"/>
      <c r="N108" s="170"/>
      <c r="O108" s="170"/>
      <c r="P108" s="170"/>
      <c r="Q108" s="170"/>
      <c r="R108" s="170"/>
      <c r="S108" s="170"/>
      <c r="T108" s="170"/>
      <c r="U108" s="170"/>
      <c r="V108" s="66"/>
      <c r="W108" s="66"/>
      <c r="X108" s="66"/>
      <c r="Y108" s="66"/>
      <c r="Z108" s="66"/>
      <c r="AA108" s="66"/>
      <c r="AB108" s="66"/>
      <c r="AC108" s="66"/>
      <c r="AD108" s="66"/>
      <c r="AE108" s="66"/>
      <c r="AF108" s="66"/>
      <c r="AG108" s="66"/>
    </row>
    <row r="109" spans="1:33" ht="37.15" customHeight="1" x14ac:dyDescent="0.15">
      <c r="A109" s="70"/>
      <c r="B109" s="170"/>
      <c r="C109" s="170"/>
      <c r="D109" s="170"/>
      <c r="E109" s="170"/>
      <c r="F109" s="170"/>
      <c r="G109" s="170"/>
      <c r="H109" s="170"/>
      <c r="I109" s="170"/>
      <c r="J109" s="170"/>
      <c r="K109" s="170"/>
      <c r="L109" s="170"/>
      <c r="M109" s="170"/>
      <c r="N109" s="170"/>
      <c r="O109" s="170"/>
      <c r="P109" s="170"/>
      <c r="Q109" s="170"/>
      <c r="R109" s="170"/>
      <c r="S109" s="170"/>
      <c r="T109" s="170"/>
      <c r="U109" s="170"/>
      <c r="V109" s="66"/>
      <c r="W109" s="66"/>
      <c r="X109" s="66"/>
      <c r="Y109" s="66"/>
      <c r="Z109" s="66"/>
      <c r="AA109" s="66"/>
      <c r="AB109" s="66"/>
      <c r="AC109" s="66"/>
      <c r="AD109" s="66"/>
      <c r="AE109" s="66"/>
      <c r="AF109" s="66"/>
      <c r="AG109" s="66"/>
    </row>
    <row r="110" spans="1:33" ht="18.75" customHeight="1" x14ac:dyDescent="0.15">
      <c r="A110" s="70"/>
      <c r="B110" s="161" t="s">
        <v>125</v>
      </c>
      <c r="C110" s="161"/>
      <c r="D110" s="161"/>
      <c r="E110" s="161"/>
      <c r="F110" s="161"/>
      <c r="G110" s="161"/>
      <c r="H110" s="161"/>
      <c r="I110" s="161"/>
      <c r="J110" s="161"/>
      <c r="K110" s="161"/>
      <c r="L110" s="161"/>
      <c r="M110" s="161"/>
      <c r="N110" s="161"/>
      <c r="O110" s="161"/>
      <c r="P110" s="161"/>
      <c r="Q110" s="161"/>
      <c r="R110" s="161"/>
      <c r="S110" s="161"/>
      <c r="T110" s="161"/>
      <c r="U110" s="161"/>
      <c r="V110" s="66"/>
      <c r="W110" s="66"/>
      <c r="X110" s="66"/>
      <c r="Y110" s="66"/>
      <c r="Z110" s="66"/>
      <c r="AA110" s="66"/>
      <c r="AB110" s="66"/>
      <c r="AC110" s="66"/>
      <c r="AD110" s="66"/>
      <c r="AE110" s="66"/>
      <c r="AF110" s="66"/>
      <c r="AG110" s="66"/>
    </row>
    <row r="111" spans="1:33" ht="18.75" customHeight="1" x14ac:dyDescent="0.15">
      <c r="A111" s="70"/>
      <c r="B111" s="162" t="s">
        <v>53</v>
      </c>
      <c r="C111" s="162"/>
      <c r="D111" s="162"/>
      <c r="E111" s="162"/>
      <c r="F111" s="162"/>
      <c r="G111" s="162"/>
      <c r="H111" s="162"/>
      <c r="I111" s="162"/>
      <c r="J111" s="162"/>
      <c r="K111" s="162"/>
      <c r="L111" s="162"/>
      <c r="M111" s="162"/>
      <c r="N111" s="162"/>
      <c r="O111" s="162"/>
      <c r="P111" s="162"/>
      <c r="Q111" s="162"/>
      <c r="R111" s="162"/>
      <c r="S111" s="162"/>
      <c r="T111" s="162"/>
      <c r="U111" s="162"/>
      <c r="V111" s="65"/>
      <c r="W111" s="65"/>
      <c r="X111" s="65"/>
      <c r="Y111" s="65"/>
      <c r="Z111" s="65"/>
      <c r="AA111" s="65"/>
      <c r="AB111" s="65"/>
      <c r="AC111" s="65"/>
      <c r="AD111" s="65"/>
      <c r="AE111" s="65"/>
      <c r="AF111" s="65"/>
      <c r="AG111" s="65"/>
    </row>
    <row r="112" spans="1:33" ht="132" customHeight="1" x14ac:dyDescent="0.15">
      <c r="A112" s="70"/>
      <c r="B112" s="163"/>
      <c r="C112" s="163"/>
      <c r="D112" s="163"/>
      <c r="E112" s="163"/>
      <c r="F112" s="163"/>
      <c r="G112" s="163"/>
      <c r="H112" s="163"/>
      <c r="I112" s="163"/>
      <c r="J112" s="163"/>
      <c r="K112" s="163"/>
      <c r="L112" s="163"/>
      <c r="M112" s="163"/>
      <c r="N112" s="163"/>
      <c r="O112" s="163"/>
      <c r="P112" s="163"/>
      <c r="Q112" s="163"/>
      <c r="R112" s="163"/>
      <c r="S112" s="163"/>
      <c r="T112" s="163"/>
      <c r="U112" s="163"/>
      <c r="V112" s="67"/>
      <c r="W112" s="67"/>
      <c r="X112" s="67"/>
      <c r="Y112" s="67"/>
      <c r="Z112" s="67"/>
      <c r="AA112" s="67"/>
      <c r="AB112" s="67"/>
      <c r="AC112" s="67"/>
      <c r="AD112" s="67"/>
      <c r="AE112" s="67"/>
      <c r="AF112" s="67"/>
      <c r="AG112" s="67"/>
    </row>
    <row r="114"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5">
    <dataValidation type="list" allowBlank="1" showInputMessage="1" showErrorMessage="1" sqref="N22:U22" xr:uid="{F4F39927-E498-4206-AFA2-FB4657ACC8C8}">
      <formula1>$X$16:$X$18</formula1>
    </dataValidation>
    <dataValidation type="list" allowBlank="1" showInputMessage="1" showErrorMessage="1" sqref="S81:U82 R81:R88 G81:G88 S85:U88 H87:J88 H84:J85 H81:J82" xr:uid="{27D3FAA7-942E-4C90-B93C-611384B0260D}">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F7745B38-0198-4336-9FD5-1D3B895DBE02}">
      <formula1>"学部・学科によって、修了要件は相違する,学部・学科によって、修了要件は相違しない"</formula1>
    </dataValidation>
    <dataValidation type="list" allowBlank="1" showInputMessage="1" showErrorMessage="1" sqref="U34 U45 E34:H34 E45:H45" xr:uid="{CDE94103-DC9F-4298-8520-F5BBE708FE6E}">
      <formula1>"全学開講,一部開講"</formula1>
    </dataValidation>
    <dataValidation type="list" allowBlank="1" showInputMessage="1" showErrorMessage="1" sqref="G71:J77 S27:U33 H38:J44 S38:U44 H49:J55 S49:U55 R71:U77 S60:U66 H60:J66 H27:J33" xr:uid="{59514602-7D9A-4BB6-B6EC-49BB806C39DB}">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DB4D0-C539-4876-BC93-3AF2F7C873EF}">
  <sheetPr>
    <pageSetUpPr fitToPage="1"/>
  </sheetPr>
  <dimension ref="A1:AG114"/>
  <sheetViews>
    <sheetView topLeftCell="A100" zoomScaleNormal="100" workbookViewId="0">
      <selection activeCell="K107" sqref="K107"/>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1"/>
      <c r="B1" s="71"/>
      <c r="C1" s="71"/>
      <c r="D1" s="71"/>
      <c r="E1" s="71"/>
      <c r="F1" s="71"/>
      <c r="G1" s="71"/>
      <c r="H1" s="71"/>
      <c r="I1" s="71"/>
      <c r="J1" s="71"/>
      <c r="K1" s="71"/>
      <c r="L1" s="71"/>
      <c r="M1" s="71"/>
      <c r="N1" s="71"/>
      <c r="O1" s="71"/>
      <c r="P1" s="71"/>
      <c r="Q1" s="71"/>
      <c r="R1" s="71"/>
      <c r="S1" s="71"/>
      <c r="T1" s="186" t="s">
        <v>218</v>
      </c>
      <c r="U1" s="186"/>
      <c r="V1" s="2" t="s">
        <v>99</v>
      </c>
    </row>
    <row r="2" spans="1:24" ht="18.75" customHeight="1" x14ac:dyDescent="0.15">
      <c r="A2" s="71"/>
      <c r="B2" s="80" t="s">
        <v>98</v>
      </c>
      <c r="C2" s="96" t="s">
        <v>136</v>
      </c>
      <c r="D2" s="97"/>
      <c r="E2" s="97"/>
      <c r="F2" s="97"/>
      <c r="G2" s="97"/>
      <c r="H2" s="97"/>
      <c r="I2" s="97"/>
      <c r="J2" s="98"/>
      <c r="K2" s="72"/>
      <c r="L2" s="73"/>
      <c r="M2" s="73"/>
      <c r="N2" s="73"/>
      <c r="O2" s="73"/>
      <c r="P2" s="73"/>
      <c r="Q2" s="73"/>
      <c r="R2" s="73"/>
      <c r="S2" s="73"/>
      <c r="T2" s="73"/>
      <c r="U2" s="73"/>
    </row>
    <row r="3" spans="1:24" ht="18.75" customHeight="1" x14ac:dyDescent="0.15">
      <c r="A3" s="71"/>
      <c r="B3" s="80" t="s">
        <v>93</v>
      </c>
      <c r="C3" s="96" t="s">
        <v>137</v>
      </c>
      <c r="D3" s="97"/>
      <c r="E3" s="97"/>
      <c r="F3" s="97"/>
      <c r="G3" s="97"/>
      <c r="H3" s="97"/>
      <c r="I3" s="97"/>
      <c r="J3" s="98"/>
      <c r="K3" s="72"/>
      <c r="L3" s="73"/>
      <c r="M3" s="73"/>
      <c r="N3" s="73"/>
      <c r="O3" s="73"/>
      <c r="P3" s="73"/>
      <c r="Q3" s="73"/>
      <c r="R3" s="73"/>
      <c r="S3" s="73"/>
      <c r="T3" s="73"/>
      <c r="U3" s="73"/>
    </row>
    <row r="4" spans="1:24" ht="15" customHeight="1" x14ac:dyDescent="0.15">
      <c r="A4" s="71"/>
      <c r="B4" s="71"/>
      <c r="C4" s="71"/>
      <c r="D4" s="71"/>
      <c r="E4" s="71"/>
      <c r="F4" s="71"/>
      <c r="G4" s="71"/>
      <c r="H4" s="71"/>
      <c r="I4" s="71"/>
      <c r="J4" s="71"/>
      <c r="K4" s="71"/>
      <c r="L4" s="72"/>
      <c r="M4" s="74"/>
      <c r="N4" s="74"/>
      <c r="O4" s="74"/>
      <c r="P4" s="74"/>
      <c r="Q4" s="74"/>
      <c r="R4" s="74"/>
      <c r="S4" s="74"/>
      <c r="T4" s="74"/>
      <c r="U4" s="74"/>
    </row>
    <row r="5" spans="1:24" ht="18" customHeight="1" x14ac:dyDescent="0.15">
      <c r="A5" s="99" t="s">
        <v>37</v>
      </c>
      <c r="B5" s="99"/>
      <c r="C5" s="99"/>
      <c r="D5" s="99"/>
      <c r="E5" s="99"/>
      <c r="F5" s="99"/>
      <c r="G5" s="99"/>
      <c r="H5" s="99"/>
      <c r="I5" s="99"/>
      <c r="J5" s="99"/>
      <c r="K5" s="99"/>
      <c r="L5" s="99"/>
      <c r="M5" s="99"/>
      <c r="N5" s="99"/>
      <c r="O5" s="99"/>
      <c r="P5" s="99"/>
      <c r="Q5" s="99"/>
      <c r="R5" s="99"/>
      <c r="S5" s="99"/>
      <c r="T5" s="99"/>
      <c r="U5" s="99"/>
    </row>
    <row r="6" spans="1:24" ht="15" customHeight="1" x14ac:dyDescent="0.15">
      <c r="A6" s="71"/>
      <c r="B6" s="75"/>
      <c r="C6" s="75"/>
      <c r="D6" s="75"/>
      <c r="E6" s="75"/>
      <c r="F6" s="75"/>
      <c r="G6" s="75"/>
      <c r="H6" s="75"/>
      <c r="I6" s="75"/>
      <c r="J6" s="75"/>
      <c r="K6" s="75"/>
      <c r="L6" s="75"/>
      <c r="M6" s="75"/>
      <c r="N6" s="75"/>
      <c r="O6" s="75"/>
      <c r="P6" s="75"/>
      <c r="Q6" s="75"/>
      <c r="R6" s="75"/>
      <c r="S6" s="75"/>
      <c r="T6" s="75"/>
      <c r="U6" s="75"/>
    </row>
    <row r="7" spans="1:24" ht="15" customHeight="1" x14ac:dyDescent="0.15">
      <c r="A7" s="71" t="s">
        <v>131</v>
      </c>
      <c r="B7" s="75"/>
      <c r="C7" s="75"/>
      <c r="D7" s="75"/>
      <c r="E7" s="75"/>
      <c r="F7" s="70"/>
      <c r="G7" s="70"/>
      <c r="H7" s="70"/>
      <c r="I7" s="70"/>
      <c r="J7" s="70"/>
      <c r="K7" s="70"/>
      <c r="L7" s="100" t="s">
        <v>129</v>
      </c>
      <c r="M7" s="101"/>
      <c r="N7" s="101"/>
      <c r="O7" s="101"/>
      <c r="P7" s="101"/>
      <c r="Q7" s="101"/>
      <c r="R7" s="101"/>
      <c r="S7" s="101"/>
      <c r="T7" s="101"/>
      <c r="U7" s="102"/>
    </row>
    <row r="8" spans="1:24" ht="6" customHeight="1" x14ac:dyDescent="0.15">
      <c r="A8" s="71"/>
      <c r="B8" s="75"/>
      <c r="C8" s="75"/>
      <c r="D8" s="75"/>
      <c r="E8" s="75"/>
      <c r="F8" s="75"/>
      <c r="G8" s="75"/>
      <c r="H8" s="75"/>
      <c r="I8" s="75"/>
      <c r="J8" s="75"/>
      <c r="K8" s="75"/>
      <c r="L8" s="75"/>
      <c r="M8" s="75"/>
      <c r="N8" s="75"/>
      <c r="O8" s="75"/>
      <c r="P8" s="75"/>
      <c r="Q8" s="75"/>
      <c r="R8" s="75"/>
      <c r="S8" s="75"/>
      <c r="T8" s="75"/>
      <c r="U8" s="75"/>
    </row>
    <row r="9" spans="1:24" ht="18" customHeight="1" x14ac:dyDescent="0.15">
      <c r="A9" s="71" t="s">
        <v>132</v>
      </c>
      <c r="B9" s="71"/>
      <c r="C9" s="75"/>
      <c r="D9" s="75"/>
      <c r="E9" s="71"/>
      <c r="F9" s="71"/>
      <c r="G9" s="71"/>
      <c r="H9" s="71"/>
      <c r="I9" s="71"/>
      <c r="J9" s="71"/>
      <c r="K9" s="72"/>
      <c r="L9" s="70"/>
      <c r="M9" s="70"/>
      <c r="N9" s="70"/>
      <c r="O9" s="70"/>
      <c r="P9" s="70"/>
      <c r="Q9" s="70"/>
      <c r="R9" s="70"/>
      <c r="S9" s="70"/>
      <c r="T9" s="70"/>
      <c r="U9" s="70"/>
    </row>
    <row r="10" spans="1:24" ht="6" customHeight="1" x14ac:dyDescent="0.15">
      <c r="A10" s="71"/>
      <c r="B10" s="75"/>
      <c r="C10" s="75"/>
      <c r="D10" s="75"/>
      <c r="E10" s="75"/>
      <c r="F10" s="75"/>
      <c r="G10" s="75"/>
      <c r="H10" s="75"/>
      <c r="I10" s="75"/>
      <c r="J10" s="75"/>
      <c r="K10" s="75"/>
      <c r="L10" s="76"/>
      <c r="M10" s="75"/>
      <c r="N10" s="75"/>
      <c r="O10" s="75"/>
      <c r="P10" s="75"/>
      <c r="Q10" s="75"/>
      <c r="R10" s="75"/>
      <c r="S10" s="75"/>
      <c r="T10" s="75"/>
      <c r="U10" s="75"/>
    </row>
    <row r="11" spans="1:24" ht="18" customHeight="1" x14ac:dyDescent="0.15">
      <c r="A11" s="71"/>
      <c r="B11" s="103" t="s">
        <v>192</v>
      </c>
      <c r="C11" s="104"/>
      <c r="D11" s="104"/>
      <c r="E11" s="104"/>
      <c r="F11" s="104"/>
      <c r="G11" s="104"/>
      <c r="H11" s="104"/>
      <c r="I11" s="104"/>
      <c r="J11" s="104"/>
      <c r="K11" s="104"/>
      <c r="L11" s="104"/>
      <c r="M11" s="104"/>
      <c r="N11" s="104"/>
      <c r="O11" s="104"/>
      <c r="P11" s="104"/>
      <c r="Q11" s="104"/>
      <c r="R11" s="104"/>
      <c r="S11" s="104"/>
      <c r="T11" s="104"/>
      <c r="U11" s="105"/>
    </row>
    <row r="12" spans="1:24" ht="18" customHeight="1" x14ac:dyDescent="0.15">
      <c r="A12" s="71"/>
      <c r="B12" s="106"/>
      <c r="C12" s="107"/>
      <c r="D12" s="107"/>
      <c r="E12" s="107"/>
      <c r="F12" s="107"/>
      <c r="G12" s="107"/>
      <c r="H12" s="107"/>
      <c r="I12" s="107"/>
      <c r="J12" s="107"/>
      <c r="K12" s="107"/>
      <c r="L12" s="107"/>
      <c r="M12" s="107"/>
      <c r="N12" s="107"/>
      <c r="O12" s="107"/>
      <c r="P12" s="107"/>
      <c r="Q12" s="107"/>
      <c r="R12" s="107"/>
      <c r="S12" s="107"/>
      <c r="T12" s="107"/>
      <c r="U12" s="108"/>
    </row>
    <row r="13" spans="1:24" ht="6" customHeight="1" x14ac:dyDescent="0.15">
      <c r="A13" s="71"/>
      <c r="B13" s="75"/>
      <c r="C13" s="75"/>
      <c r="D13" s="75"/>
      <c r="E13" s="75"/>
      <c r="F13" s="75"/>
      <c r="G13" s="75"/>
      <c r="H13" s="75"/>
      <c r="I13" s="75"/>
      <c r="J13" s="75"/>
      <c r="K13" s="75"/>
      <c r="L13" s="76"/>
      <c r="M13" s="75"/>
      <c r="N13" s="75"/>
      <c r="O13" s="75"/>
      <c r="P13" s="75"/>
      <c r="Q13" s="75"/>
      <c r="R13" s="75"/>
      <c r="S13" s="75"/>
      <c r="T13" s="75"/>
      <c r="U13" s="75"/>
    </row>
    <row r="14" spans="1:24" ht="18" customHeight="1" x14ac:dyDescent="0.15">
      <c r="A14" s="71" t="s">
        <v>100</v>
      </c>
      <c r="B14" s="75"/>
      <c r="C14" s="75"/>
      <c r="D14" s="75"/>
      <c r="E14" s="72"/>
      <c r="F14" s="72"/>
      <c r="G14" s="72"/>
      <c r="H14" s="72"/>
      <c r="I14" s="72"/>
      <c r="J14" s="72"/>
      <c r="K14" s="72"/>
      <c r="L14" s="77"/>
      <c r="M14" s="77"/>
      <c r="N14" s="77"/>
      <c r="O14" s="77"/>
      <c r="P14" s="77"/>
      <c r="Q14" s="77"/>
      <c r="R14" s="77"/>
      <c r="S14" s="77"/>
      <c r="T14" s="77"/>
      <c r="U14" s="77"/>
    </row>
    <row r="15" spans="1:24" ht="18" customHeight="1" x14ac:dyDescent="0.15">
      <c r="A15" s="71"/>
      <c r="B15" s="112" t="s">
        <v>189</v>
      </c>
      <c r="C15" s="113"/>
      <c r="D15" s="113"/>
      <c r="E15" s="113"/>
      <c r="F15" s="113"/>
      <c r="G15" s="113"/>
      <c r="H15" s="113"/>
      <c r="I15" s="113"/>
      <c r="J15" s="113"/>
      <c r="K15" s="113"/>
      <c r="L15" s="113"/>
      <c r="M15" s="113"/>
      <c r="N15" s="113"/>
      <c r="O15" s="113"/>
      <c r="P15" s="113"/>
      <c r="Q15" s="113"/>
      <c r="R15" s="113"/>
      <c r="S15" s="113"/>
      <c r="T15" s="113"/>
      <c r="U15" s="114"/>
      <c r="X15" s="1" t="s">
        <v>94</v>
      </c>
    </row>
    <row r="16" spans="1:24" ht="18" customHeight="1" x14ac:dyDescent="0.15">
      <c r="A16" s="71"/>
      <c r="B16" s="115"/>
      <c r="C16" s="116"/>
      <c r="D16" s="116"/>
      <c r="E16" s="116"/>
      <c r="F16" s="116"/>
      <c r="G16" s="116"/>
      <c r="H16" s="116"/>
      <c r="I16" s="116"/>
      <c r="J16" s="116"/>
      <c r="K16" s="116"/>
      <c r="L16" s="116"/>
      <c r="M16" s="116"/>
      <c r="N16" s="116"/>
      <c r="O16" s="116"/>
      <c r="P16" s="116"/>
      <c r="Q16" s="116"/>
      <c r="R16" s="116"/>
      <c r="S16" s="116"/>
      <c r="T16" s="116"/>
      <c r="U16" s="117"/>
      <c r="X16" s="1" t="s">
        <v>114</v>
      </c>
    </row>
    <row r="17" spans="1:24" ht="18" customHeight="1" x14ac:dyDescent="0.15">
      <c r="A17" s="71"/>
      <c r="B17" s="115"/>
      <c r="C17" s="116"/>
      <c r="D17" s="116"/>
      <c r="E17" s="116"/>
      <c r="F17" s="116"/>
      <c r="G17" s="116"/>
      <c r="H17" s="116"/>
      <c r="I17" s="116"/>
      <c r="J17" s="116"/>
      <c r="K17" s="116"/>
      <c r="L17" s="116"/>
      <c r="M17" s="116"/>
      <c r="N17" s="116"/>
      <c r="O17" s="116"/>
      <c r="P17" s="116"/>
      <c r="Q17" s="116"/>
      <c r="R17" s="116"/>
      <c r="S17" s="116"/>
      <c r="T17" s="116"/>
      <c r="U17" s="117"/>
      <c r="X17" s="1" t="s">
        <v>115</v>
      </c>
    </row>
    <row r="18" spans="1:24" ht="18" customHeight="1" x14ac:dyDescent="0.15">
      <c r="A18" s="71"/>
      <c r="B18" s="115"/>
      <c r="C18" s="116"/>
      <c r="D18" s="116"/>
      <c r="E18" s="116"/>
      <c r="F18" s="116"/>
      <c r="G18" s="116"/>
      <c r="H18" s="116"/>
      <c r="I18" s="116"/>
      <c r="J18" s="116"/>
      <c r="K18" s="116"/>
      <c r="L18" s="116"/>
      <c r="M18" s="116"/>
      <c r="N18" s="116"/>
      <c r="O18" s="116"/>
      <c r="P18" s="116"/>
      <c r="Q18" s="116"/>
      <c r="R18" s="116"/>
      <c r="S18" s="116"/>
      <c r="T18" s="116"/>
      <c r="U18" s="117"/>
      <c r="X18" s="1" t="s">
        <v>116</v>
      </c>
    </row>
    <row r="19" spans="1:24" ht="18" customHeight="1" x14ac:dyDescent="0.15">
      <c r="A19" s="71"/>
      <c r="B19" s="115"/>
      <c r="C19" s="116"/>
      <c r="D19" s="116"/>
      <c r="E19" s="116"/>
      <c r="F19" s="116"/>
      <c r="G19" s="116"/>
      <c r="H19" s="116"/>
      <c r="I19" s="116"/>
      <c r="J19" s="116"/>
      <c r="K19" s="116"/>
      <c r="L19" s="116"/>
      <c r="M19" s="116"/>
      <c r="N19" s="116"/>
      <c r="O19" s="116"/>
      <c r="P19" s="116"/>
      <c r="Q19" s="116"/>
      <c r="R19" s="116"/>
      <c r="S19" s="116"/>
      <c r="T19" s="116"/>
      <c r="U19" s="117"/>
    </row>
    <row r="20" spans="1:24" ht="18" customHeight="1" x14ac:dyDescent="0.15">
      <c r="A20" s="71"/>
      <c r="B20" s="118"/>
      <c r="C20" s="119"/>
      <c r="D20" s="119"/>
      <c r="E20" s="119"/>
      <c r="F20" s="119"/>
      <c r="G20" s="119"/>
      <c r="H20" s="119"/>
      <c r="I20" s="119"/>
      <c r="J20" s="119"/>
      <c r="K20" s="119"/>
      <c r="L20" s="119"/>
      <c r="M20" s="119"/>
      <c r="N20" s="119"/>
      <c r="O20" s="119"/>
      <c r="P20" s="119"/>
      <c r="Q20" s="119"/>
      <c r="R20" s="119"/>
      <c r="S20" s="119"/>
      <c r="T20" s="119"/>
      <c r="U20" s="120"/>
    </row>
    <row r="21" spans="1:24" ht="7.5" customHeight="1" x14ac:dyDescent="0.15">
      <c r="A21" s="71"/>
      <c r="B21" s="75"/>
      <c r="C21" s="75"/>
      <c r="D21" s="75"/>
      <c r="E21" s="75"/>
      <c r="F21" s="75"/>
      <c r="G21" s="75"/>
      <c r="H21" s="75"/>
      <c r="I21" s="75"/>
      <c r="J21" s="75"/>
      <c r="K21" s="75"/>
      <c r="L21" s="75"/>
      <c r="M21" s="75"/>
      <c r="N21" s="75"/>
      <c r="O21" s="75"/>
      <c r="P21" s="75"/>
      <c r="Q21" s="75"/>
      <c r="R21" s="75"/>
      <c r="S21" s="75"/>
      <c r="T21" s="75"/>
      <c r="U21" s="75"/>
    </row>
    <row r="22" spans="1:24" ht="19.899999999999999" customHeight="1" x14ac:dyDescent="0.15">
      <c r="A22" s="71"/>
      <c r="B22" s="71" t="s">
        <v>133</v>
      </c>
      <c r="C22" s="71"/>
      <c r="D22" s="71"/>
      <c r="E22" s="78">
        <v>2</v>
      </c>
      <c r="F22" s="71" t="s">
        <v>112</v>
      </c>
      <c r="G22" s="71"/>
      <c r="H22" s="79">
        <v>4</v>
      </c>
      <c r="I22" s="75" t="s">
        <v>113</v>
      </c>
      <c r="J22" s="75"/>
      <c r="K22" s="72"/>
      <c r="L22" s="71"/>
      <c r="M22" s="72" t="s">
        <v>109</v>
      </c>
      <c r="N22" s="121" t="s">
        <v>116</v>
      </c>
      <c r="O22" s="122"/>
      <c r="P22" s="122"/>
      <c r="Q22" s="122"/>
      <c r="R22" s="122"/>
      <c r="S22" s="122"/>
      <c r="T22" s="122"/>
      <c r="U22" s="123"/>
    </row>
    <row r="23" spans="1:24" ht="7.5" customHeight="1" x14ac:dyDescent="0.15">
      <c r="A23" s="71"/>
      <c r="B23" s="75"/>
      <c r="C23" s="75"/>
      <c r="D23" s="75"/>
      <c r="E23" s="75"/>
      <c r="F23" s="75"/>
      <c r="G23" s="75"/>
      <c r="H23" s="75"/>
      <c r="I23" s="75"/>
      <c r="J23" s="75"/>
      <c r="K23" s="75"/>
      <c r="L23" s="75"/>
      <c r="M23" s="75"/>
      <c r="N23" s="75"/>
      <c r="O23" s="75"/>
      <c r="P23" s="75"/>
      <c r="Q23" s="75"/>
      <c r="R23" s="75"/>
      <c r="S23" s="75"/>
      <c r="T23" s="75"/>
      <c r="U23" s="75"/>
    </row>
    <row r="24" spans="1:24" ht="18" customHeight="1" x14ac:dyDescent="0.15">
      <c r="A24" s="124" t="s">
        <v>101</v>
      </c>
      <c r="B24" s="124"/>
      <c r="C24" s="124"/>
      <c r="D24" s="124"/>
      <c r="E24" s="124"/>
      <c r="F24" s="124"/>
      <c r="G24" s="124"/>
      <c r="H24" s="124"/>
      <c r="I24" s="124"/>
      <c r="J24" s="124"/>
      <c r="K24" s="124"/>
      <c r="L24" s="124"/>
      <c r="M24" s="124"/>
      <c r="N24" s="124"/>
      <c r="O24" s="124"/>
      <c r="P24" s="124"/>
      <c r="Q24" s="124"/>
      <c r="R24" s="124"/>
      <c r="S24" s="124"/>
      <c r="T24" s="124"/>
      <c r="U24" s="124"/>
    </row>
    <row r="25" spans="1:24" ht="18" customHeight="1" x14ac:dyDescent="0.15">
      <c r="A25" s="124"/>
      <c r="B25" s="124"/>
      <c r="C25" s="124"/>
      <c r="D25" s="124"/>
      <c r="E25" s="124"/>
      <c r="F25" s="124"/>
      <c r="G25" s="124"/>
      <c r="H25" s="124"/>
      <c r="I25" s="124"/>
      <c r="J25" s="124"/>
      <c r="K25" s="124"/>
      <c r="L25" s="124"/>
      <c r="M25" s="124"/>
      <c r="N25" s="124"/>
      <c r="O25" s="124"/>
      <c r="P25" s="124"/>
      <c r="Q25" s="124"/>
      <c r="R25" s="124"/>
      <c r="S25" s="124"/>
      <c r="T25" s="124"/>
      <c r="U25" s="124"/>
    </row>
    <row r="26" spans="1:24" ht="18" customHeight="1" x14ac:dyDescent="0.15">
      <c r="B26" s="125" t="s">
        <v>51</v>
      </c>
      <c r="C26" s="126"/>
      <c r="D26" s="126"/>
      <c r="E26" s="126"/>
      <c r="F26" s="127"/>
      <c r="G26" s="47" t="s">
        <v>77</v>
      </c>
      <c r="H26" s="46" t="s">
        <v>80</v>
      </c>
      <c r="I26" s="17" t="s">
        <v>54</v>
      </c>
      <c r="J26" s="17" t="s">
        <v>57</v>
      </c>
      <c r="K26" s="125" t="s">
        <v>51</v>
      </c>
      <c r="L26" s="126"/>
      <c r="M26" s="126"/>
      <c r="N26" s="126"/>
      <c r="O26" s="126"/>
      <c r="P26" s="126"/>
      <c r="Q26" s="127"/>
      <c r="R26" s="47" t="s">
        <v>77</v>
      </c>
      <c r="S26" s="46" t="s">
        <v>80</v>
      </c>
      <c r="T26" s="17" t="s">
        <v>54</v>
      </c>
      <c r="U26" s="17" t="s">
        <v>57</v>
      </c>
    </row>
    <row r="27" spans="1:24" ht="18" customHeight="1" x14ac:dyDescent="0.15">
      <c r="B27" s="128" t="s">
        <v>139</v>
      </c>
      <c r="C27" s="129"/>
      <c r="D27" s="129"/>
      <c r="E27" s="129"/>
      <c r="F27" s="130"/>
      <c r="G27" s="18">
        <v>2</v>
      </c>
      <c r="H27" s="18" t="s">
        <v>140</v>
      </c>
      <c r="I27" s="18" t="s">
        <v>140</v>
      </c>
      <c r="J27" s="18" t="s">
        <v>140</v>
      </c>
      <c r="K27" s="128"/>
      <c r="L27" s="129"/>
      <c r="M27" s="129"/>
      <c r="N27" s="129"/>
      <c r="O27" s="129"/>
      <c r="P27" s="129"/>
      <c r="Q27" s="130"/>
      <c r="R27" s="18"/>
      <c r="S27" s="18"/>
      <c r="T27" s="18"/>
      <c r="U27" s="18"/>
    </row>
    <row r="28" spans="1:24" ht="18" customHeight="1" x14ac:dyDescent="0.15">
      <c r="B28" s="109"/>
      <c r="C28" s="110"/>
      <c r="D28" s="110"/>
      <c r="E28" s="110"/>
      <c r="F28" s="111"/>
      <c r="G28" s="19"/>
      <c r="H28" s="19"/>
      <c r="I28" s="19"/>
      <c r="J28" s="19"/>
      <c r="K28" s="109"/>
      <c r="L28" s="110"/>
      <c r="M28" s="110"/>
      <c r="N28" s="110"/>
      <c r="O28" s="110"/>
      <c r="P28" s="110"/>
      <c r="Q28" s="111"/>
      <c r="R28" s="19"/>
      <c r="S28" s="19"/>
      <c r="T28" s="19"/>
      <c r="U28" s="19"/>
    </row>
    <row r="29" spans="1:24" ht="18" customHeight="1" x14ac:dyDescent="0.15">
      <c r="B29" s="109"/>
      <c r="C29" s="110"/>
      <c r="D29" s="110"/>
      <c r="E29" s="110"/>
      <c r="F29" s="111"/>
      <c r="G29" s="19"/>
      <c r="H29" s="19"/>
      <c r="I29" s="19"/>
      <c r="J29" s="19"/>
      <c r="K29" s="109"/>
      <c r="L29" s="110"/>
      <c r="M29" s="110"/>
      <c r="N29" s="110"/>
      <c r="O29" s="110"/>
      <c r="P29" s="110"/>
      <c r="Q29" s="111"/>
      <c r="R29" s="19"/>
      <c r="S29" s="19"/>
      <c r="T29" s="19"/>
      <c r="U29" s="19"/>
    </row>
    <row r="30" spans="1:24" ht="18" customHeight="1" x14ac:dyDescent="0.15">
      <c r="B30" s="109"/>
      <c r="C30" s="110"/>
      <c r="D30" s="110"/>
      <c r="E30" s="110"/>
      <c r="F30" s="111"/>
      <c r="G30" s="19"/>
      <c r="H30" s="19"/>
      <c r="I30" s="19"/>
      <c r="J30" s="19"/>
      <c r="K30" s="109"/>
      <c r="L30" s="110"/>
      <c r="M30" s="110"/>
      <c r="N30" s="110"/>
      <c r="O30" s="110"/>
      <c r="P30" s="110"/>
      <c r="Q30" s="111"/>
      <c r="R30" s="19"/>
      <c r="S30" s="19"/>
      <c r="T30" s="19"/>
      <c r="U30" s="19"/>
    </row>
    <row r="31" spans="1:24" ht="18" customHeight="1" x14ac:dyDescent="0.15">
      <c r="B31" s="109"/>
      <c r="C31" s="110"/>
      <c r="D31" s="110"/>
      <c r="E31" s="110"/>
      <c r="F31" s="111"/>
      <c r="G31" s="19"/>
      <c r="H31" s="19"/>
      <c r="I31" s="19"/>
      <c r="J31" s="19"/>
      <c r="K31" s="109"/>
      <c r="L31" s="110"/>
      <c r="M31" s="110"/>
      <c r="N31" s="110"/>
      <c r="O31" s="110"/>
      <c r="P31" s="110"/>
      <c r="Q31" s="111"/>
      <c r="R31" s="19"/>
      <c r="S31" s="19"/>
      <c r="T31" s="19"/>
      <c r="U31" s="19"/>
    </row>
    <row r="32" spans="1:24" ht="18" customHeight="1" x14ac:dyDescent="0.15">
      <c r="A32" s="3"/>
      <c r="B32" s="109"/>
      <c r="C32" s="110"/>
      <c r="D32" s="110"/>
      <c r="E32" s="110"/>
      <c r="F32" s="111"/>
      <c r="G32" s="19"/>
      <c r="H32" s="19"/>
      <c r="I32" s="19"/>
      <c r="J32" s="19"/>
      <c r="K32" s="109"/>
      <c r="L32" s="110"/>
      <c r="M32" s="110"/>
      <c r="N32" s="110"/>
      <c r="O32" s="110"/>
      <c r="P32" s="110"/>
      <c r="Q32" s="111"/>
      <c r="R32" s="19"/>
      <c r="S32" s="19"/>
      <c r="T32" s="19"/>
      <c r="U32" s="19"/>
    </row>
    <row r="33" spans="1:21" ht="18" customHeight="1" x14ac:dyDescent="0.15">
      <c r="A33" s="3"/>
      <c r="B33" s="132"/>
      <c r="C33" s="133"/>
      <c r="D33" s="133"/>
      <c r="E33" s="133"/>
      <c r="F33" s="134"/>
      <c r="G33" s="20"/>
      <c r="H33" s="20"/>
      <c r="I33" s="21"/>
      <c r="J33" s="21"/>
      <c r="K33" s="132"/>
      <c r="L33" s="133"/>
      <c r="M33" s="133"/>
      <c r="N33" s="133"/>
      <c r="O33" s="133"/>
      <c r="P33" s="133"/>
      <c r="Q33" s="134"/>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31" t="s">
        <v>102</v>
      </c>
      <c r="B35" s="131"/>
      <c r="C35" s="131"/>
      <c r="D35" s="131"/>
      <c r="E35" s="131"/>
      <c r="F35" s="131"/>
      <c r="G35" s="131"/>
      <c r="H35" s="131"/>
      <c r="I35" s="131"/>
      <c r="J35" s="131"/>
      <c r="K35" s="131"/>
      <c r="L35" s="131"/>
      <c r="M35" s="131"/>
      <c r="N35" s="131"/>
      <c r="O35" s="131"/>
      <c r="P35" s="131"/>
      <c r="Q35" s="131"/>
      <c r="R35" s="131"/>
      <c r="S35" s="131"/>
      <c r="T35" s="131"/>
      <c r="U35" s="131"/>
    </row>
    <row r="36" spans="1:21" ht="18" customHeight="1" x14ac:dyDescent="0.15">
      <c r="A36" s="131"/>
      <c r="B36" s="131"/>
      <c r="C36" s="131"/>
      <c r="D36" s="131"/>
      <c r="E36" s="131"/>
      <c r="F36" s="131"/>
      <c r="G36" s="131"/>
      <c r="H36" s="131"/>
      <c r="I36" s="131"/>
      <c r="J36" s="131"/>
      <c r="K36" s="131"/>
      <c r="L36" s="131"/>
      <c r="M36" s="131"/>
      <c r="N36" s="131"/>
      <c r="O36" s="131"/>
      <c r="P36" s="131"/>
      <c r="Q36" s="131"/>
      <c r="R36" s="131"/>
      <c r="S36" s="131"/>
      <c r="T36" s="131"/>
      <c r="U36" s="131"/>
    </row>
    <row r="37" spans="1:21" ht="18" customHeight="1" x14ac:dyDescent="0.15">
      <c r="B37" s="125" t="s">
        <v>51</v>
      </c>
      <c r="C37" s="126"/>
      <c r="D37" s="126"/>
      <c r="E37" s="126"/>
      <c r="F37" s="127"/>
      <c r="G37" s="47" t="s">
        <v>77</v>
      </c>
      <c r="H37" s="46" t="s">
        <v>80</v>
      </c>
      <c r="I37" s="17" t="s">
        <v>68</v>
      </c>
      <c r="J37" s="17" t="s">
        <v>69</v>
      </c>
      <c r="K37" s="125" t="s">
        <v>51</v>
      </c>
      <c r="L37" s="126"/>
      <c r="M37" s="126"/>
      <c r="N37" s="126"/>
      <c r="O37" s="126"/>
      <c r="P37" s="126"/>
      <c r="Q37" s="127"/>
      <c r="R37" s="47" t="s">
        <v>77</v>
      </c>
      <c r="S37" s="46" t="s">
        <v>80</v>
      </c>
      <c r="T37" s="17" t="s">
        <v>68</v>
      </c>
      <c r="U37" s="17" t="s">
        <v>69</v>
      </c>
    </row>
    <row r="38" spans="1:21" ht="18" customHeight="1" x14ac:dyDescent="0.15">
      <c r="B38" s="128" t="s">
        <v>139</v>
      </c>
      <c r="C38" s="129"/>
      <c r="D38" s="129"/>
      <c r="E38" s="129"/>
      <c r="F38" s="130"/>
      <c r="G38" s="18">
        <v>2</v>
      </c>
      <c r="H38" s="18" t="s">
        <v>140</v>
      </c>
      <c r="I38" s="18" t="s">
        <v>140</v>
      </c>
      <c r="J38" s="18" t="s">
        <v>140</v>
      </c>
      <c r="K38" s="128"/>
      <c r="L38" s="129"/>
      <c r="M38" s="129"/>
      <c r="N38" s="129"/>
      <c r="O38" s="129"/>
      <c r="P38" s="129"/>
      <c r="Q38" s="130"/>
      <c r="R38" s="18"/>
      <c r="S38" s="18"/>
      <c r="T38" s="18"/>
      <c r="U38" s="18"/>
    </row>
    <row r="39" spans="1:21" ht="18" customHeight="1" x14ac:dyDescent="0.15">
      <c r="B39" s="109" t="s">
        <v>141</v>
      </c>
      <c r="C39" s="110"/>
      <c r="D39" s="110"/>
      <c r="E39" s="110"/>
      <c r="F39" s="111"/>
      <c r="G39" s="19">
        <v>2</v>
      </c>
      <c r="H39" s="19"/>
      <c r="I39" s="19" t="s">
        <v>140</v>
      </c>
      <c r="J39" s="19"/>
      <c r="K39" s="109"/>
      <c r="L39" s="110"/>
      <c r="M39" s="110"/>
      <c r="N39" s="110"/>
      <c r="O39" s="110"/>
      <c r="P39" s="110"/>
      <c r="Q39" s="111"/>
      <c r="R39" s="19"/>
      <c r="S39" s="19"/>
      <c r="T39" s="19"/>
      <c r="U39" s="19"/>
    </row>
    <row r="40" spans="1:21" ht="18" customHeight="1" x14ac:dyDescent="0.15">
      <c r="B40" s="109"/>
      <c r="C40" s="110"/>
      <c r="D40" s="110"/>
      <c r="E40" s="110"/>
      <c r="F40" s="111"/>
      <c r="G40" s="19"/>
      <c r="H40" s="19"/>
      <c r="I40" s="19"/>
      <c r="J40" s="19"/>
      <c r="K40" s="109"/>
      <c r="L40" s="110"/>
      <c r="M40" s="110"/>
      <c r="N40" s="110"/>
      <c r="O40" s="110"/>
      <c r="P40" s="110"/>
      <c r="Q40" s="111"/>
      <c r="R40" s="19"/>
      <c r="S40" s="19"/>
      <c r="T40" s="19"/>
      <c r="U40" s="19"/>
    </row>
    <row r="41" spans="1:21" ht="18" customHeight="1" x14ac:dyDescent="0.15">
      <c r="B41" s="109"/>
      <c r="C41" s="110"/>
      <c r="D41" s="110"/>
      <c r="E41" s="110"/>
      <c r="F41" s="111"/>
      <c r="G41" s="19"/>
      <c r="H41" s="19"/>
      <c r="I41" s="19"/>
      <c r="J41" s="19"/>
      <c r="K41" s="109"/>
      <c r="L41" s="110"/>
      <c r="M41" s="110"/>
      <c r="N41" s="110"/>
      <c r="O41" s="110"/>
      <c r="P41" s="110"/>
      <c r="Q41" s="111"/>
      <c r="R41" s="19"/>
      <c r="S41" s="19"/>
      <c r="T41" s="19"/>
      <c r="U41" s="19"/>
    </row>
    <row r="42" spans="1:21" ht="18" customHeight="1" x14ac:dyDescent="0.15">
      <c r="B42" s="109"/>
      <c r="C42" s="110"/>
      <c r="D42" s="110"/>
      <c r="E42" s="110"/>
      <c r="F42" s="111"/>
      <c r="G42" s="19"/>
      <c r="H42" s="19"/>
      <c r="I42" s="19"/>
      <c r="J42" s="19"/>
      <c r="K42" s="109"/>
      <c r="L42" s="110"/>
      <c r="M42" s="110"/>
      <c r="N42" s="110"/>
      <c r="O42" s="110"/>
      <c r="P42" s="110"/>
      <c r="Q42" s="111"/>
      <c r="R42" s="19"/>
      <c r="S42" s="19"/>
      <c r="T42" s="19"/>
      <c r="U42" s="19"/>
    </row>
    <row r="43" spans="1:21" ht="18" customHeight="1" x14ac:dyDescent="0.15">
      <c r="B43" s="109"/>
      <c r="C43" s="110"/>
      <c r="D43" s="110"/>
      <c r="E43" s="110"/>
      <c r="F43" s="111"/>
      <c r="G43" s="19"/>
      <c r="H43" s="19"/>
      <c r="I43" s="19"/>
      <c r="J43" s="19"/>
      <c r="K43" s="109"/>
      <c r="L43" s="110"/>
      <c r="M43" s="110"/>
      <c r="N43" s="110"/>
      <c r="O43" s="110"/>
      <c r="P43" s="110"/>
      <c r="Q43" s="111"/>
      <c r="R43" s="19"/>
      <c r="S43" s="19"/>
      <c r="T43" s="19"/>
      <c r="U43" s="19"/>
    </row>
    <row r="44" spans="1:21" ht="18" customHeight="1" x14ac:dyDescent="0.15">
      <c r="B44" s="132"/>
      <c r="C44" s="133"/>
      <c r="D44" s="133"/>
      <c r="E44" s="133"/>
      <c r="F44" s="134"/>
      <c r="G44" s="20"/>
      <c r="H44" s="20"/>
      <c r="I44" s="21"/>
      <c r="J44" s="21"/>
      <c r="K44" s="132"/>
      <c r="L44" s="133"/>
      <c r="M44" s="133"/>
      <c r="N44" s="133"/>
      <c r="O44" s="133"/>
      <c r="P44" s="133"/>
      <c r="Q44" s="134"/>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31" t="s">
        <v>103</v>
      </c>
      <c r="B46" s="131"/>
      <c r="C46" s="131"/>
      <c r="D46" s="131"/>
      <c r="E46" s="131"/>
      <c r="F46" s="131"/>
      <c r="G46" s="131"/>
      <c r="H46" s="131"/>
      <c r="I46" s="131"/>
      <c r="J46" s="131"/>
      <c r="K46" s="131"/>
      <c r="L46" s="131"/>
      <c r="M46" s="131"/>
      <c r="N46" s="131"/>
      <c r="O46" s="131"/>
      <c r="P46" s="131"/>
      <c r="Q46" s="131"/>
      <c r="R46" s="131"/>
      <c r="S46" s="131"/>
      <c r="T46" s="131"/>
      <c r="U46" s="131"/>
    </row>
    <row r="47" spans="1:21" ht="18" customHeight="1" x14ac:dyDescent="0.15">
      <c r="A47" s="131"/>
      <c r="B47" s="131"/>
      <c r="C47" s="131"/>
      <c r="D47" s="131"/>
      <c r="E47" s="131"/>
      <c r="F47" s="131"/>
      <c r="G47" s="131"/>
      <c r="H47" s="131"/>
      <c r="I47" s="131"/>
      <c r="J47" s="131"/>
      <c r="K47" s="131"/>
      <c r="L47" s="131"/>
      <c r="M47" s="131"/>
      <c r="N47" s="131"/>
      <c r="O47" s="131"/>
      <c r="P47" s="131"/>
      <c r="Q47" s="131"/>
      <c r="R47" s="131"/>
      <c r="S47" s="131"/>
      <c r="T47" s="131"/>
      <c r="U47" s="131"/>
    </row>
    <row r="48" spans="1:21" ht="18" customHeight="1" x14ac:dyDescent="0.15">
      <c r="B48" s="125" t="s">
        <v>51</v>
      </c>
      <c r="C48" s="126"/>
      <c r="D48" s="126"/>
      <c r="E48" s="126"/>
      <c r="F48" s="127"/>
      <c r="G48" s="47" t="s">
        <v>77</v>
      </c>
      <c r="H48" s="46" t="s">
        <v>80</v>
      </c>
      <c r="I48" s="17" t="s">
        <v>70</v>
      </c>
      <c r="J48" s="17" t="s">
        <v>71</v>
      </c>
      <c r="K48" s="125" t="s">
        <v>51</v>
      </c>
      <c r="L48" s="126"/>
      <c r="M48" s="126"/>
      <c r="N48" s="126"/>
      <c r="O48" s="126"/>
      <c r="P48" s="126"/>
      <c r="Q48" s="127"/>
      <c r="R48" s="47" t="s">
        <v>77</v>
      </c>
      <c r="S48" s="46" t="s">
        <v>80</v>
      </c>
      <c r="T48" s="17" t="s">
        <v>70</v>
      </c>
      <c r="U48" s="17" t="s">
        <v>71</v>
      </c>
    </row>
    <row r="49" spans="1:21" ht="18" customHeight="1" x14ac:dyDescent="0.15">
      <c r="A49" s="3"/>
      <c r="B49" s="128" t="s">
        <v>139</v>
      </c>
      <c r="C49" s="129"/>
      <c r="D49" s="129"/>
      <c r="E49" s="129"/>
      <c r="F49" s="130"/>
      <c r="G49" s="18">
        <v>2</v>
      </c>
      <c r="H49" s="18" t="s">
        <v>140</v>
      </c>
      <c r="I49" s="18" t="s">
        <v>140</v>
      </c>
      <c r="J49" s="18" t="s">
        <v>140</v>
      </c>
      <c r="K49" s="128"/>
      <c r="L49" s="129"/>
      <c r="M49" s="129"/>
      <c r="N49" s="129"/>
      <c r="O49" s="129"/>
      <c r="P49" s="129"/>
      <c r="Q49" s="130"/>
      <c r="R49" s="18"/>
      <c r="S49" s="18"/>
      <c r="T49" s="18"/>
      <c r="U49" s="18"/>
    </row>
    <row r="50" spans="1:21" ht="18" customHeight="1" x14ac:dyDescent="0.15">
      <c r="A50" s="3"/>
      <c r="B50" s="109"/>
      <c r="C50" s="110"/>
      <c r="D50" s="110"/>
      <c r="E50" s="110"/>
      <c r="F50" s="111"/>
      <c r="G50" s="19"/>
      <c r="H50" s="19"/>
      <c r="I50" s="19"/>
      <c r="J50" s="19"/>
      <c r="K50" s="109"/>
      <c r="L50" s="110"/>
      <c r="M50" s="110"/>
      <c r="N50" s="110"/>
      <c r="O50" s="110"/>
      <c r="P50" s="110"/>
      <c r="Q50" s="111"/>
      <c r="R50" s="19"/>
      <c r="S50" s="19"/>
      <c r="T50" s="19"/>
      <c r="U50" s="19"/>
    </row>
    <row r="51" spans="1:21" ht="18" customHeight="1" x14ac:dyDescent="0.15">
      <c r="A51" s="3"/>
      <c r="B51" s="109"/>
      <c r="C51" s="110"/>
      <c r="D51" s="110"/>
      <c r="E51" s="110"/>
      <c r="F51" s="111"/>
      <c r="G51" s="19"/>
      <c r="H51" s="19"/>
      <c r="I51" s="19"/>
      <c r="J51" s="19"/>
      <c r="K51" s="109"/>
      <c r="L51" s="110"/>
      <c r="M51" s="110"/>
      <c r="N51" s="110"/>
      <c r="O51" s="110"/>
      <c r="P51" s="110"/>
      <c r="Q51" s="111"/>
      <c r="R51" s="19"/>
      <c r="S51" s="19"/>
      <c r="T51" s="19"/>
      <c r="U51" s="19"/>
    </row>
    <row r="52" spans="1:21" ht="18" customHeight="1" x14ac:dyDescent="0.15">
      <c r="A52" s="3"/>
      <c r="B52" s="109"/>
      <c r="C52" s="110"/>
      <c r="D52" s="110"/>
      <c r="E52" s="110"/>
      <c r="F52" s="111"/>
      <c r="G52" s="19"/>
      <c r="H52" s="19"/>
      <c r="I52" s="19"/>
      <c r="J52" s="19"/>
      <c r="K52" s="109"/>
      <c r="L52" s="110"/>
      <c r="M52" s="110"/>
      <c r="N52" s="110"/>
      <c r="O52" s="110"/>
      <c r="P52" s="110"/>
      <c r="Q52" s="111"/>
      <c r="R52" s="19"/>
      <c r="S52" s="19"/>
      <c r="T52" s="19"/>
      <c r="U52" s="19"/>
    </row>
    <row r="53" spans="1:21" ht="18" customHeight="1" x14ac:dyDescent="0.15">
      <c r="A53" s="3"/>
      <c r="B53" s="109"/>
      <c r="C53" s="110"/>
      <c r="D53" s="110"/>
      <c r="E53" s="110"/>
      <c r="F53" s="111"/>
      <c r="G53" s="19"/>
      <c r="H53" s="19"/>
      <c r="I53" s="19"/>
      <c r="J53" s="19"/>
      <c r="K53" s="109"/>
      <c r="L53" s="110"/>
      <c r="M53" s="110"/>
      <c r="N53" s="110"/>
      <c r="O53" s="110"/>
      <c r="P53" s="110"/>
      <c r="Q53" s="111"/>
      <c r="R53" s="19"/>
      <c r="S53" s="19"/>
      <c r="T53" s="19"/>
      <c r="U53" s="19"/>
    </row>
    <row r="54" spans="1:21" ht="18" customHeight="1" x14ac:dyDescent="0.15">
      <c r="A54" s="3"/>
      <c r="B54" s="109"/>
      <c r="C54" s="110"/>
      <c r="D54" s="110"/>
      <c r="E54" s="110"/>
      <c r="F54" s="111"/>
      <c r="G54" s="19"/>
      <c r="H54" s="19"/>
      <c r="I54" s="19"/>
      <c r="J54" s="19"/>
      <c r="K54" s="109"/>
      <c r="L54" s="110"/>
      <c r="M54" s="110"/>
      <c r="N54" s="110"/>
      <c r="O54" s="110"/>
      <c r="P54" s="110"/>
      <c r="Q54" s="111"/>
      <c r="R54" s="19"/>
      <c r="S54" s="19"/>
      <c r="T54" s="19"/>
      <c r="U54" s="19"/>
    </row>
    <row r="55" spans="1:21" ht="18" customHeight="1" x14ac:dyDescent="0.15">
      <c r="A55" s="3"/>
      <c r="B55" s="132"/>
      <c r="C55" s="133"/>
      <c r="D55" s="133"/>
      <c r="E55" s="133"/>
      <c r="F55" s="134"/>
      <c r="G55" s="20"/>
      <c r="H55" s="20"/>
      <c r="I55" s="21"/>
      <c r="J55" s="21"/>
      <c r="K55" s="132"/>
      <c r="L55" s="133"/>
      <c r="M55" s="133"/>
      <c r="N55" s="133"/>
      <c r="O55" s="133"/>
      <c r="P55" s="133"/>
      <c r="Q55" s="134"/>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31" t="s">
        <v>104</v>
      </c>
      <c r="B57" s="131"/>
      <c r="C57" s="131"/>
      <c r="D57" s="131"/>
      <c r="E57" s="131"/>
      <c r="F57" s="131"/>
      <c r="G57" s="131"/>
      <c r="H57" s="131"/>
      <c r="I57" s="131"/>
      <c r="J57" s="131"/>
      <c r="K57" s="131"/>
      <c r="L57" s="131"/>
      <c r="M57" s="131"/>
      <c r="N57" s="131"/>
      <c r="O57" s="131"/>
      <c r="P57" s="131"/>
      <c r="Q57" s="131"/>
      <c r="R57" s="131"/>
      <c r="S57" s="131"/>
      <c r="T57" s="131"/>
      <c r="U57" s="131"/>
    </row>
    <row r="58" spans="1:21" ht="18" customHeight="1" x14ac:dyDescent="0.15">
      <c r="A58" s="131"/>
      <c r="B58" s="131"/>
      <c r="C58" s="131"/>
      <c r="D58" s="131"/>
      <c r="E58" s="131"/>
      <c r="F58" s="131"/>
      <c r="G58" s="131"/>
      <c r="H58" s="131"/>
      <c r="I58" s="131"/>
      <c r="J58" s="131"/>
      <c r="K58" s="131"/>
      <c r="L58" s="131"/>
      <c r="M58" s="131"/>
      <c r="N58" s="131"/>
      <c r="O58" s="131"/>
      <c r="P58" s="131"/>
      <c r="Q58" s="131"/>
      <c r="R58" s="131"/>
      <c r="S58" s="131"/>
      <c r="T58" s="131"/>
      <c r="U58" s="131"/>
    </row>
    <row r="59" spans="1:21" ht="18" customHeight="1" x14ac:dyDescent="0.15">
      <c r="B59" s="125" t="s">
        <v>51</v>
      </c>
      <c r="C59" s="126"/>
      <c r="D59" s="126"/>
      <c r="E59" s="126"/>
      <c r="F59" s="127"/>
      <c r="G59" s="47" t="s">
        <v>77</v>
      </c>
      <c r="H59" s="46" t="s">
        <v>80</v>
      </c>
      <c r="I59" s="17" t="s">
        <v>56</v>
      </c>
      <c r="J59" s="17" t="s">
        <v>58</v>
      </c>
      <c r="K59" s="125" t="s">
        <v>51</v>
      </c>
      <c r="L59" s="126"/>
      <c r="M59" s="126"/>
      <c r="N59" s="126"/>
      <c r="O59" s="126"/>
      <c r="P59" s="126"/>
      <c r="Q59" s="127"/>
      <c r="R59" s="47" t="s">
        <v>77</v>
      </c>
      <c r="S59" s="46" t="s">
        <v>80</v>
      </c>
      <c r="T59" s="17" t="s">
        <v>56</v>
      </c>
      <c r="U59" s="17" t="s">
        <v>58</v>
      </c>
    </row>
    <row r="60" spans="1:21" ht="18" customHeight="1" x14ac:dyDescent="0.15">
      <c r="A60" s="3"/>
      <c r="B60" s="128" t="s">
        <v>139</v>
      </c>
      <c r="C60" s="129"/>
      <c r="D60" s="129"/>
      <c r="E60" s="129"/>
      <c r="F60" s="130"/>
      <c r="G60" s="18">
        <v>2</v>
      </c>
      <c r="H60" s="18" t="s">
        <v>140</v>
      </c>
      <c r="I60" s="18" t="s">
        <v>140</v>
      </c>
      <c r="J60" s="18" t="s">
        <v>140</v>
      </c>
      <c r="K60" s="128"/>
      <c r="L60" s="129"/>
      <c r="M60" s="129"/>
      <c r="N60" s="129"/>
      <c r="O60" s="129"/>
      <c r="P60" s="129"/>
      <c r="Q60" s="130"/>
      <c r="R60" s="18"/>
      <c r="S60" s="18"/>
      <c r="T60" s="18"/>
      <c r="U60" s="18"/>
    </row>
    <row r="61" spans="1:21" ht="18" customHeight="1" x14ac:dyDescent="0.15">
      <c r="A61" s="3"/>
      <c r="B61" s="109" t="s">
        <v>141</v>
      </c>
      <c r="C61" s="110"/>
      <c r="D61" s="110"/>
      <c r="E61" s="110"/>
      <c r="F61" s="111"/>
      <c r="G61" s="19">
        <v>2</v>
      </c>
      <c r="H61" s="19"/>
      <c r="I61" s="19"/>
      <c r="J61" s="19" t="s">
        <v>140</v>
      </c>
      <c r="K61" s="109"/>
      <c r="L61" s="110"/>
      <c r="M61" s="110"/>
      <c r="N61" s="110"/>
      <c r="O61" s="110"/>
      <c r="P61" s="110"/>
      <c r="Q61" s="111"/>
      <c r="R61" s="19"/>
      <c r="S61" s="19"/>
      <c r="T61" s="19"/>
      <c r="U61" s="19"/>
    </row>
    <row r="62" spans="1:21" ht="18" customHeight="1" x14ac:dyDescent="0.15">
      <c r="A62" s="3"/>
      <c r="B62" s="109" t="s">
        <v>142</v>
      </c>
      <c r="C62" s="110"/>
      <c r="D62" s="110"/>
      <c r="E62" s="110"/>
      <c r="F62" s="111"/>
      <c r="G62" s="19">
        <v>2</v>
      </c>
      <c r="H62" s="19"/>
      <c r="I62" s="19" t="s">
        <v>140</v>
      </c>
      <c r="J62" s="19" t="s">
        <v>140</v>
      </c>
      <c r="K62" s="109"/>
      <c r="L62" s="110"/>
      <c r="M62" s="110"/>
      <c r="N62" s="110"/>
      <c r="O62" s="110"/>
      <c r="P62" s="110"/>
      <c r="Q62" s="111"/>
      <c r="R62" s="19"/>
      <c r="S62" s="19"/>
      <c r="T62" s="19"/>
      <c r="U62" s="19"/>
    </row>
    <row r="63" spans="1:21" ht="18" customHeight="1" x14ac:dyDescent="0.15">
      <c r="A63" s="3"/>
      <c r="B63" s="109"/>
      <c r="C63" s="110"/>
      <c r="D63" s="110"/>
      <c r="E63" s="110"/>
      <c r="F63" s="111"/>
      <c r="G63" s="19"/>
      <c r="H63" s="19"/>
      <c r="I63" s="19"/>
      <c r="J63" s="19"/>
      <c r="K63" s="109"/>
      <c r="L63" s="110"/>
      <c r="M63" s="110"/>
      <c r="N63" s="110"/>
      <c r="O63" s="110"/>
      <c r="P63" s="110"/>
      <c r="Q63" s="111"/>
      <c r="R63" s="19"/>
      <c r="S63" s="19"/>
      <c r="T63" s="19"/>
      <c r="U63" s="19"/>
    </row>
    <row r="64" spans="1:21" ht="18" customHeight="1" x14ac:dyDescent="0.15">
      <c r="A64" s="3"/>
      <c r="B64" s="109"/>
      <c r="C64" s="110"/>
      <c r="D64" s="110"/>
      <c r="E64" s="110"/>
      <c r="F64" s="111"/>
      <c r="G64" s="19"/>
      <c r="H64" s="19"/>
      <c r="I64" s="19"/>
      <c r="J64" s="19"/>
      <c r="K64" s="109"/>
      <c r="L64" s="110"/>
      <c r="M64" s="110"/>
      <c r="N64" s="110"/>
      <c r="O64" s="110"/>
      <c r="P64" s="110"/>
      <c r="Q64" s="111"/>
      <c r="R64" s="19"/>
      <c r="S64" s="19"/>
      <c r="T64" s="19"/>
      <c r="U64" s="19"/>
    </row>
    <row r="65" spans="1:21" ht="18" customHeight="1" x14ac:dyDescent="0.15">
      <c r="A65" s="3"/>
      <c r="B65" s="109"/>
      <c r="C65" s="110"/>
      <c r="D65" s="110"/>
      <c r="E65" s="110"/>
      <c r="F65" s="111"/>
      <c r="G65" s="19"/>
      <c r="H65" s="19"/>
      <c r="I65" s="19"/>
      <c r="J65" s="19"/>
      <c r="K65" s="109"/>
      <c r="L65" s="110"/>
      <c r="M65" s="110"/>
      <c r="N65" s="110"/>
      <c r="O65" s="110"/>
      <c r="P65" s="110"/>
      <c r="Q65" s="111"/>
      <c r="R65" s="19"/>
      <c r="S65" s="19"/>
      <c r="T65" s="19"/>
      <c r="U65" s="19"/>
    </row>
    <row r="66" spans="1:21" ht="18" customHeight="1" x14ac:dyDescent="0.15">
      <c r="A66" s="3"/>
      <c r="B66" s="132"/>
      <c r="C66" s="133"/>
      <c r="D66" s="133"/>
      <c r="E66" s="133"/>
      <c r="F66" s="134"/>
      <c r="G66" s="20"/>
      <c r="H66" s="20"/>
      <c r="I66" s="21"/>
      <c r="J66" s="21"/>
      <c r="K66" s="132"/>
      <c r="L66" s="133"/>
      <c r="M66" s="133"/>
      <c r="N66" s="133"/>
      <c r="O66" s="133"/>
      <c r="P66" s="133"/>
      <c r="Q66" s="134"/>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31" t="s">
        <v>105</v>
      </c>
      <c r="B68" s="131"/>
      <c r="C68" s="131"/>
      <c r="D68" s="131"/>
      <c r="E68" s="131"/>
      <c r="F68" s="131"/>
      <c r="G68" s="131"/>
      <c r="H68" s="131"/>
      <c r="I68" s="131"/>
      <c r="J68" s="131"/>
      <c r="K68" s="131"/>
      <c r="L68" s="131"/>
      <c r="M68" s="131"/>
      <c r="N68" s="131"/>
      <c r="O68" s="131"/>
      <c r="P68" s="131"/>
      <c r="Q68" s="131"/>
      <c r="R68" s="131"/>
      <c r="S68" s="131"/>
      <c r="T68" s="131"/>
      <c r="U68" s="131"/>
    </row>
    <row r="69" spans="1:21" ht="18" customHeight="1" x14ac:dyDescent="0.15">
      <c r="A69" s="131"/>
      <c r="B69" s="131"/>
      <c r="C69" s="131"/>
      <c r="D69" s="131"/>
      <c r="E69" s="131"/>
      <c r="F69" s="131"/>
      <c r="G69" s="131"/>
      <c r="H69" s="131"/>
      <c r="I69" s="131"/>
      <c r="J69" s="131"/>
      <c r="K69" s="131"/>
      <c r="L69" s="131"/>
      <c r="M69" s="131"/>
      <c r="N69" s="131"/>
      <c r="O69" s="131"/>
      <c r="P69" s="131"/>
      <c r="Q69" s="131"/>
      <c r="R69" s="131"/>
      <c r="S69" s="131"/>
      <c r="T69" s="131"/>
      <c r="U69" s="131"/>
    </row>
    <row r="70" spans="1:21" ht="18" customHeight="1" x14ac:dyDescent="0.15">
      <c r="B70" s="125" t="s">
        <v>51</v>
      </c>
      <c r="C70" s="126"/>
      <c r="D70" s="126"/>
      <c r="E70" s="126"/>
      <c r="F70" s="47" t="s">
        <v>77</v>
      </c>
      <c r="G70" s="46" t="s">
        <v>80</v>
      </c>
      <c r="H70" s="17" t="s">
        <v>92</v>
      </c>
      <c r="I70" s="17" t="s">
        <v>72</v>
      </c>
      <c r="J70" s="17" t="s">
        <v>73</v>
      </c>
      <c r="K70" s="125" t="s">
        <v>51</v>
      </c>
      <c r="L70" s="126"/>
      <c r="M70" s="126"/>
      <c r="N70" s="126"/>
      <c r="O70" s="126"/>
      <c r="P70" s="127"/>
      <c r="Q70" s="47" t="s">
        <v>77</v>
      </c>
      <c r="R70" s="46" t="s">
        <v>80</v>
      </c>
      <c r="S70" s="17" t="s">
        <v>92</v>
      </c>
      <c r="T70" s="17" t="s">
        <v>72</v>
      </c>
      <c r="U70" s="17" t="s">
        <v>73</v>
      </c>
    </row>
    <row r="71" spans="1:21" ht="18" customHeight="1" x14ac:dyDescent="0.15">
      <c r="A71" s="3"/>
      <c r="B71" s="128" t="s">
        <v>139</v>
      </c>
      <c r="C71" s="129"/>
      <c r="D71" s="129"/>
      <c r="E71" s="129"/>
      <c r="F71" s="18">
        <v>2</v>
      </c>
      <c r="G71" s="18" t="s">
        <v>140</v>
      </c>
      <c r="H71" s="18" t="s">
        <v>140</v>
      </c>
      <c r="I71" s="18" t="s">
        <v>140</v>
      </c>
      <c r="J71" s="18" t="s">
        <v>140</v>
      </c>
      <c r="K71" s="128"/>
      <c r="L71" s="129"/>
      <c r="M71" s="129"/>
      <c r="N71" s="129"/>
      <c r="O71" s="129"/>
      <c r="P71" s="130"/>
      <c r="Q71" s="18"/>
      <c r="R71" s="18"/>
      <c r="S71" s="18"/>
      <c r="T71" s="18"/>
      <c r="U71" s="18"/>
    </row>
    <row r="72" spans="1:21" ht="18" customHeight="1" x14ac:dyDescent="0.15">
      <c r="A72" s="3"/>
      <c r="B72" s="109" t="s">
        <v>143</v>
      </c>
      <c r="C72" s="110"/>
      <c r="D72" s="110"/>
      <c r="E72" s="110"/>
      <c r="F72" s="19">
        <v>2</v>
      </c>
      <c r="G72" s="19"/>
      <c r="H72" s="19"/>
      <c r="I72" s="19" t="s">
        <v>140</v>
      </c>
      <c r="J72" s="19"/>
      <c r="K72" s="109"/>
      <c r="L72" s="110"/>
      <c r="M72" s="110"/>
      <c r="N72" s="110"/>
      <c r="O72" s="110"/>
      <c r="P72" s="111"/>
      <c r="Q72" s="19"/>
      <c r="R72" s="19"/>
      <c r="S72" s="19"/>
      <c r="T72" s="19"/>
      <c r="U72" s="19"/>
    </row>
    <row r="73" spans="1:21" ht="18" customHeight="1" x14ac:dyDescent="0.15">
      <c r="A73" s="3"/>
      <c r="B73" s="109"/>
      <c r="C73" s="110"/>
      <c r="D73" s="110"/>
      <c r="E73" s="110"/>
      <c r="F73" s="19"/>
      <c r="G73" s="19"/>
      <c r="H73" s="19"/>
      <c r="I73" s="19"/>
      <c r="J73" s="19"/>
      <c r="K73" s="109"/>
      <c r="L73" s="110"/>
      <c r="M73" s="110"/>
      <c r="N73" s="110"/>
      <c r="O73" s="110"/>
      <c r="P73" s="111"/>
      <c r="Q73" s="19"/>
      <c r="R73" s="19"/>
      <c r="S73" s="19"/>
      <c r="T73" s="19"/>
      <c r="U73" s="19"/>
    </row>
    <row r="74" spans="1:21" ht="18" customHeight="1" x14ac:dyDescent="0.15">
      <c r="A74" s="3"/>
      <c r="B74" s="109"/>
      <c r="C74" s="110"/>
      <c r="D74" s="110"/>
      <c r="E74" s="110"/>
      <c r="F74" s="19"/>
      <c r="G74" s="19"/>
      <c r="H74" s="19"/>
      <c r="I74" s="19"/>
      <c r="J74" s="19"/>
      <c r="K74" s="109"/>
      <c r="L74" s="110"/>
      <c r="M74" s="110"/>
      <c r="N74" s="110"/>
      <c r="O74" s="110"/>
      <c r="P74" s="111"/>
      <c r="Q74" s="19"/>
      <c r="R74" s="19"/>
      <c r="S74" s="19"/>
      <c r="T74" s="19"/>
      <c r="U74" s="19"/>
    </row>
    <row r="75" spans="1:21" ht="18" customHeight="1" x14ac:dyDescent="0.15">
      <c r="A75" s="3"/>
      <c r="B75" s="109"/>
      <c r="C75" s="110"/>
      <c r="D75" s="110"/>
      <c r="E75" s="110"/>
      <c r="F75" s="19"/>
      <c r="G75" s="19"/>
      <c r="H75" s="19"/>
      <c r="I75" s="19"/>
      <c r="J75" s="19"/>
      <c r="K75" s="109"/>
      <c r="L75" s="110"/>
      <c r="M75" s="110"/>
      <c r="N75" s="110"/>
      <c r="O75" s="110"/>
      <c r="P75" s="111"/>
      <c r="Q75" s="19"/>
      <c r="R75" s="19"/>
      <c r="S75" s="19"/>
      <c r="T75" s="19"/>
      <c r="U75" s="19"/>
    </row>
    <row r="76" spans="1:21" ht="18" customHeight="1" x14ac:dyDescent="0.15">
      <c r="A76" s="3"/>
      <c r="B76" s="109"/>
      <c r="C76" s="110"/>
      <c r="D76" s="110"/>
      <c r="E76" s="110"/>
      <c r="F76" s="19"/>
      <c r="G76" s="19"/>
      <c r="H76" s="19"/>
      <c r="I76" s="19"/>
      <c r="J76" s="19"/>
      <c r="K76" s="109"/>
      <c r="L76" s="110"/>
      <c r="M76" s="110"/>
      <c r="N76" s="110"/>
      <c r="O76" s="110"/>
      <c r="P76" s="111"/>
      <c r="Q76" s="19"/>
      <c r="R76" s="19"/>
      <c r="S76" s="19"/>
      <c r="T76" s="19"/>
      <c r="U76" s="19"/>
    </row>
    <row r="77" spans="1:21" ht="18" customHeight="1" x14ac:dyDescent="0.15">
      <c r="A77" s="3"/>
      <c r="B77" s="132"/>
      <c r="C77" s="133"/>
      <c r="D77" s="133"/>
      <c r="E77" s="133"/>
      <c r="F77" s="20"/>
      <c r="G77" s="20"/>
      <c r="H77" s="21"/>
      <c r="I77" s="21"/>
      <c r="J77" s="21"/>
      <c r="K77" s="132"/>
      <c r="L77" s="133"/>
      <c r="M77" s="133"/>
      <c r="N77" s="133"/>
      <c r="O77" s="133"/>
      <c r="P77" s="134"/>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125" t="s">
        <v>51</v>
      </c>
      <c r="C80" s="126"/>
      <c r="D80" s="126"/>
      <c r="E80" s="126"/>
      <c r="F80" s="127"/>
      <c r="G80" s="125" t="s">
        <v>78</v>
      </c>
      <c r="H80" s="126"/>
      <c r="I80" s="126"/>
      <c r="J80" s="127"/>
      <c r="K80" s="135" t="s">
        <v>51</v>
      </c>
      <c r="L80" s="136"/>
      <c r="M80" s="136"/>
      <c r="N80" s="136"/>
      <c r="O80" s="136"/>
      <c r="P80" s="136"/>
      <c r="Q80" s="137"/>
      <c r="R80" s="125" t="s">
        <v>78</v>
      </c>
      <c r="S80" s="126"/>
      <c r="T80" s="126"/>
      <c r="U80" s="127"/>
    </row>
    <row r="81" spans="1:21" ht="18" customHeight="1" x14ac:dyDescent="0.15">
      <c r="A81" s="3"/>
      <c r="B81" s="128" t="s">
        <v>144</v>
      </c>
      <c r="C81" s="129"/>
      <c r="D81" s="129"/>
      <c r="E81" s="129"/>
      <c r="F81" s="130"/>
      <c r="G81" s="141" t="s">
        <v>147</v>
      </c>
      <c r="H81" s="142"/>
      <c r="I81" s="142"/>
      <c r="J81" s="143"/>
      <c r="K81" s="128"/>
      <c r="L81" s="129"/>
      <c r="M81" s="129"/>
      <c r="N81" s="129"/>
      <c r="O81" s="129"/>
      <c r="P81" s="129"/>
      <c r="Q81" s="130"/>
      <c r="R81" s="141"/>
      <c r="S81" s="142"/>
      <c r="T81" s="142"/>
      <c r="U81" s="143"/>
    </row>
    <row r="82" spans="1:21" ht="18" customHeight="1" x14ac:dyDescent="0.15">
      <c r="A82" s="3"/>
      <c r="B82" s="109" t="s">
        <v>145</v>
      </c>
      <c r="C82" s="110"/>
      <c r="D82" s="110"/>
      <c r="E82" s="110"/>
      <c r="F82" s="111"/>
      <c r="G82" s="138" t="s">
        <v>147</v>
      </c>
      <c r="H82" s="139"/>
      <c r="I82" s="139"/>
      <c r="J82" s="140"/>
      <c r="K82" s="109"/>
      <c r="L82" s="110"/>
      <c r="M82" s="110"/>
      <c r="N82" s="110"/>
      <c r="O82" s="110"/>
      <c r="P82" s="110"/>
      <c r="Q82" s="111"/>
      <c r="R82" s="138"/>
      <c r="S82" s="139"/>
      <c r="T82" s="139"/>
      <c r="U82" s="140"/>
    </row>
    <row r="83" spans="1:21" ht="18" customHeight="1" x14ac:dyDescent="0.15">
      <c r="A83" s="3"/>
      <c r="B83" s="109" t="s">
        <v>146</v>
      </c>
      <c r="C83" s="110"/>
      <c r="D83" s="110"/>
      <c r="E83" s="110"/>
      <c r="F83" s="111"/>
      <c r="G83" s="138" t="s">
        <v>147</v>
      </c>
      <c r="H83" s="139"/>
      <c r="I83" s="139"/>
      <c r="J83" s="140"/>
      <c r="K83" s="109"/>
      <c r="L83" s="110"/>
      <c r="M83" s="110"/>
      <c r="N83" s="110"/>
      <c r="O83" s="110"/>
      <c r="P83" s="110"/>
      <c r="Q83" s="111"/>
      <c r="R83" s="138"/>
      <c r="S83" s="139"/>
      <c r="T83" s="139"/>
      <c r="U83" s="140"/>
    </row>
    <row r="84" spans="1:21" ht="18" customHeight="1" x14ac:dyDescent="0.15">
      <c r="A84" s="3"/>
      <c r="B84" s="109"/>
      <c r="C84" s="110"/>
      <c r="D84" s="110"/>
      <c r="E84" s="110"/>
      <c r="F84" s="111"/>
      <c r="G84" s="138"/>
      <c r="H84" s="139"/>
      <c r="I84" s="139"/>
      <c r="J84" s="140"/>
      <c r="K84" s="109"/>
      <c r="L84" s="110"/>
      <c r="M84" s="110"/>
      <c r="N84" s="110"/>
      <c r="O84" s="110"/>
      <c r="P84" s="110"/>
      <c r="Q84" s="111"/>
      <c r="R84" s="138"/>
      <c r="S84" s="139"/>
      <c r="T84" s="139"/>
      <c r="U84" s="140"/>
    </row>
    <row r="85" spans="1:21" ht="18" customHeight="1" x14ac:dyDescent="0.15">
      <c r="A85" s="3"/>
      <c r="B85" s="109"/>
      <c r="C85" s="110"/>
      <c r="D85" s="110"/>
      <c r="E85" s="110"/>
      <c r="F85" s="111"/>
      <c r="G85" s="138"/>
      <c r="H85" s="139"/>
      <c r="I85" s="139"/>
      <c r="J85" s="140"/>
      <c r="K85" s="109"/>
      <c r="L85" s="110"/>
      <c r="M85" s="110"/>
      <c r="N85" s="110"/>
      <c r="O85" s="110"/>
      <c r="P85" s="110"/>
      <c r="Q85" s="111"/>
      <c r="R85" s="138"/>
      <c r="S85" s="139"/>
      <c r="T85" s="139"/>
      <c r="U85" s="140"/>
    </row>
    <row r="86" spans="1:21" ht="18" customHeight="1" x14ac:dyDescent="0.15">
      <c r="A86" s="3"/>
      <c r="B86" s="109"/>
      <c r="C86" s="110"/>
      <c r="D86" s="110"/>
      <c r="E86" s="110"/>
      <c r="F86" s="111"/>
      <c r="G86" s="138"/>
      <c r="H86" s="139"/>
      <c r="I86" s="139"/>
      <c r="J86" s="140"/>
      <c r="K86" s="109"/>
      <c r="L86" s="110"/>
      <c r="M86" s="110"/>
      <c r="N86" s="110"/>
      <c r="O86" s="110"/>
      <c r="P86" s="110"/>
      <c r="Q86" s="111"/>
      <c r="R86" s="138"/>
      <c r="S86" s="139"/>
      <c r="T86" s="139"/>
      <c r="U86" s="140"/>
    </row>
    <row r="87" spans="1:21" ht="18" customHeight="1" x14ac:dyDescent="0.15">
      <c r="A87" s="3"/>
      <c r="B87" s="132"/>
      <c r="C87" s="133"/>
      <c r="D87" s="133"/>
      <c r="E87" s="133"/>
      <c r="F87" s="134"/>
      <c r="G87" s="144"/>
      <c r="H87" s="145"/>
      <c r="I87" s="145"/>
      <c r="J87" s="146"/>
      <c r="K87" s="132"/>
      <c r="L87" s="133"/>
      <c r="M87" s="133"/>
      <c r="N87" s="133"/>
      <c r="O87" s="133"/>
      <c r="P87" s="133"/>
      <c r="Q87" s="134"/>
      <c r="R87" s="144"/>
      <c r="S87" s="145"/>
      <c r="T87" s="145"/>
      <c r="U87" s="146"/>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47" t="s">
        <v>52</v>
      </c>
      <c r="C90" s="148"/>
      <c r="D90" s="125" t="s">
        <v>53</v>
      </c>
      <c r="E90" s="126"/>
      <c r="F90" s="126"/>
      <c r="G90" s="126"/>
      <c r="H90" s="126"/>
      <c r="I90" s="126"/>
      <c r="J90" s="126"/>
      <c r="K90" s="126"/>
      <c r="L90" s="126"/>
      <c r="M90" s="126"/>
      <c r="N90" s="126"/>
      <c r="O90" s="126"/>
      <c r="P90" s="126"/>
      <c r="Q90" s="126"/>
      <c r="R90" s="126"/>
      <c r="S90" s="126"/>
      <c r="T90" s="126"/>
      <c r="U90" s="127"/>
    </row>
    <row r="91" spans="1:21" ht="97.5" customHeight="1" x14ac:dyDescent="0.15">
      <c r="B91" s="149" t="s">
        <v>59</v>
      </c>
      <c r="C91" s="23" t="s">
        <v>54</v>
      </c>
      <c r="D91" s="151" t="s">
        <v>195</v>
      </c>
      <c r="E91" s="152"/>
      <c r="F91" s="152"/>
      <c r="G91" s="152"/>
      <c r="H91" s="152"/>
      <c r="I91" s="152"/>
      <c r="J91" s="152"/>
      <c r="K91" s="152"/>
      <c r="L91" s="152"/>
      <c r="M91" s="152"/>
      <c r="N91" s="152"/>
      <c r="O91" s="152"/>
      <c r="P91" s="152"/>
      <c r="Q91" s="152"/>
      <c r="R91" s="152"/>
      <c r="S91" s="152"/>
      <c r="T91" s="152"/>
      <c r="U91" s="153"/>
    </row>
    <row r="92" spans="1:21" ht="97.5" customHeight="1" x14ac:dyDescent="0.15">
      <c r="B92" s="160"/>
      <c r="C92" s="24" t="s">
        <v>74</v>
      </c>
      <c r="D92" s="154" t="s">
        <v>222</v>
      </c>
      <c r="E92" s="155"/>
      <c r="F92" s="155"/>
      <c r="G92" s="155"/>
      <c r="H92" s="155"/>
      <c r="I92" s="155"/>
      <c r="J92" s="155"/>
      <c r="K92" s="155"/>
      <c r="L92" s="155"/>
      <c r="M92" s="155"/>
      <c r="N92" s="155"/>
      <c r="O92" s="155"/>
      <c r="P92" s="155"/>
      <c r="Q92" s="155"/>
      <c r="R92" s="155"/>
      <c r="S92" s="155"/>
      <c r="T92" s="155"/>
      <c r="U92" s="156"/>
    </row>
    <row r="93" spans="1:21" ht="97.5" customHeight="1" x14ac:dyDescent="0.15">
      <c r="B93" s="149" t="s">
        <v>60</v>
      </c>
      <c r="C93" s="25" t="s">
        <v>68</v>
      </c>
      <c r="D93" s="151" t="s">
        <v>201</v>
      </c>
      <c r="E93" s="152"/>
      <c r="F93" s="152"/>
      <c r="G93" s="152"/>
      <c r="H93" s="152"/>
      <c r="I93" s="152"/>
      <c r="J93" s="152"/>
      <c r="K93" s="152"/>
      <c r="L93" s="152"/>
      <c r="M93" s="152"/>
      <c r="N93" s="152"/>
      <c r="O93" s="152"/>
      <c r="P93" s="152"/>
      <c r="Q93" s="152"/>
      <c r="R93" s="152"/>
      <c r="S93" s="152"/>
      <c r="T93" s="152"/>
      <c r="U93" s="153"/>
    </row>
    <row r="94" spans="1:21" ht="97.5" customHeight="1" x14ac:dyDescent="0.15">
      <c r="B94" s="150"/>
      <c r="C94" s="26" t="s">
        <v>69</v>
      </c>
      <c r="D94" s="154" t="s">
        <v>196</v>
      </c>
      <c r="E94" s="155"/>
      <c r="F94" s="155"/>
      <c r="G94" s="155"/>
      <c r="H94" s="155"/>
      <c r="I94" s="155"/>
      <c r="J94" s="155"/>
      <c r="K94" s="155"/>
      <c r="L94" s="155"/>
      <c r="M94" s="155"/>
      <c r="N94" s="155"/>
      <c r="O94" s="155"/>
      <c r="P94" s="155"/>
      <c r="Q94" s="155"/>
      <c r="R94" s="155"/>
      <c r="S94" s="155"/>
      <c r="T94" s="155"/>
      <c r="U94" s="156"/>
    </row>
    <row r="95" spans="1:21" ht="97.5" customHeight="1" x14ac:dyDescent="0.15">
      <c r="B95" s="149" t="s">
        <v>61</v>
      </c>
      <c r="C95" s="25" t="s">
        <v>70</v>
      </c>
      <c r="D95" s="151" t="s">
        <v>221</v>
      </c>
      <c r="E95" s="152"/>
      <c r="F95" s="152"/>
      <c r="G95" s="152"/>
      <c r="H95" s="152"/>
      <c r="I95" s="152"/>
      <c r="J95" s="152"/>
      <c r="K95" s="152"/>
      <c r="L95" s="152"/>
      <c r="M95" s="152"/>
      <c r="N95" s="152"/>
      <c r="O95" s="152"/>
      <c r="P95" s="152"/>
      <c r="Q95" s="152"/>
      <c r="R95" s="152"/>
      <c r="S95" s="152"/>
      <c r="T95" s="152"/>
      <c r="U95" s="153"/>
    </row>
    <row r="96" spans="1:21" ht="97.5" customHeight="1" x14ac:dyDescent="0.15">
      <c r="B96" s="150"/>
      <c r="C96" s="27" t="s">
        <v>71</v>
      </c>
      <c r="D96" s="154" t="s">
        <v>150</v>
      </c>
      <c r="E96" s="155"/>
      <c r="F96" s="155"/>
      <c r="G96" s="155"/>
      <c r="H96" s="155"/>
      <c r="I96" s="155"/>
      <c r="J96" s="155"/>
      <c r="K96" s="155"/>
      <c r="L96" s="155"/>
      <c r="M96" s="155"/>
      <c r="N96" s="155"/>
      <c r="O96" s="155"/>
      <c r="P96" s="155"/>
      <c r="Q96" s="155"/>
      <c r="R96" s="155"/>
      <c r="S96" s="155"/>
      <c r="T96" s="155"/>
      <c r="U96" s="156"/>
    </row>
    <row r="97" spans="1:33" ht="97.5" customHeight="1" x14ac:dyDescent="0.15">
      <c r="B97" s="149" t="s">
        <v>75</v>
      </c>
      <c r="C97" s="23" t="s">
        <v>56</v>
      </c>
      <c r="D97" s="157" t="s">
        <v>202</v>
      </c>
      <c r="E97" s="158"/>
      <c r="F97" s="158"/>
      <c r="G97" s="158"/>
      <c r="H97" s="158"/>
      <c r="I97" s="158"/>
      <c r="J97" s="158"/>
      <c r="K97" s="158"/>
      <c r="L97" s="158"/>
      <c r="M97" s="158"/>
      <c r="N97" s="158"/>
      <c r="O97" s="158"/>
      <c r="P97" s="158"/>
      <c r="Q97" s="158"/>
      <c r="R97" s="158"/>
      <c r="S97" s="158"/>
      <c r="T97" s="158"/>
      <c r="U97" s="159"/>
    </row>
    <row r="98" spans="1:33" ht="97.5" customHeight="1" x14ac:dyDescent="0.15">
      <c r="B98" s="150"/>
      <c r="C98" s="26" t="s">
        <v>58</v>
      </c>
      <c r="D98" s="154" t="s">
        <v>203</v>
      </c>
      <c r="E98" s="155"/>
      <c r="F98" s="155"/>
      <c r="G98" s="155"/>
      <c r="H98" s="155"/>
      <c r="I98" s="155"/>
      <c r="J98" s="155"/>
      <c r="K98" s="155"/>
      <c r="L98" s="155"/>
      <c r="M98" s="155"/>
      <c r="N98" s="155"/>
      <c r="O98" s="155"/>
      <c r="P98" s="155"/>
      <c r="Q98" s="155"/>
      <c r="R98" s="155"/>
      <c r="S98" s="155"/>
      <c r="T98" s="155"/>
      <c r="U98" s="156"/>
    </row>
    <row r="99" spans="1:33" ht="97.5" customHeight="1" x14ac:dyDescent="0.15">
      <c r="B99" s="149" t="s">
        <v>76</v>
      </c>
      <c r="C99" s="25" t="s">
        <v>55</v>
      </c>
      <c r="D99" s="157" t="s">
        <v>224</v>
      </c>
      <c r="E99" s="158"/>
      <c r="F99" s="158"/>
      <c r="G99" s="158"/>
      <c r="H99" s="158"/>
      <c r="I99" s="158"/>
      <c r="J99" s="158"/>
      <c r="K99" s="158"/>
      <c r="L99" s="158"/>
      <c r="M99" s="158"/>
      <c r="N99" s="158"/>
      <c r="O99" s="158"/>
      <c r="P99" s="158"/>
      <c r="Q99" s="158"/>
      <c r="R99" s="158"/>
      <c r="S99" s="158"/>
      <c r="T99" s="158"/>
      <c r="U99" s="159"/>
    </row>
    <row r="100" spans="1:33" ht="97.5" customHeight="1" x14ac:dyDescent="0.15">
      <c r="B100" s="160"/>
      <c r="C100" s="28" t="s">
        <v>72</v>
      </c>
      <c r="D100" s="164" t="s">
        <v>204</v>
      </c>
      <c r="E100" s="165"/>
      <c r="F100" s="165"/>
      <c r="G100" s="165"/>
      <c r="H100" s="165"/>
      <c r="I100" s="165"/>
      <c r="J100" s="165"/>
      <c r="K100" s="165"/>
      <c r="L100" s="165"/>
      <c r="M100" s="165"/>
      <c r="N100" s="165"/>
      <c r="O100" s="165"/>
      <c r="P100" s="165"/>
      <c r="Q100" s="165"/>
      <c r="R100" s="165"/>
      <c r="S100" s="165"/>
      <c r="T100" s="165"/>
      <c r="U100" s="166"/>
    </row>
    <row r="101" spans="1:33" ht="97.5" customHeight="1" x14ac:dyDescent="0.15">
      <c r="B101" s="150"/>
      <c r="C101" s="27" t="s">
        <v>73</v>
      </c>
      <c r="D101" s="154" t="s">
        <v>197</v>
      </c>
      <c r="E101" s="155"/>
      <c r="F101" s="155"/>
      <c r="G101" s="155"/>
      <c r="H101" s="155"/>
      <c r="I101" s="155"/>
      <c r="J101" s="155"/>
      <c r="K101" s="155"/>
      <c r="L101" s="155"/>
      <c r="M101" s="155"/>
      <c r="N101" s="155"/>
      <c r="O101" s="155"/>
      <c r="P101" s="155"/>
      <c r="Q101" s="155"/>
      <c r="R101" s="155"/>
      <c r="S101" s="155"/>
      <c r="T101" s="155"/>
      <c r="U101" s="156"/>
    </row>
    <row r="102" spans="1:33" ht="6" customHeight="1" x14ac:dyDescent="0.15"/>
    <row r="103" spans="1:33" ht="18.75" customHeight="1" x14ac:dyDescent="0.15">
      <c r="A103" s="1" t="s">
        <v>108</v>
      </c>
    </row>
    <row r="104" spans="1:33" ht="81.75" customHeight="1" x14ac:dyDescent="0.15">
      <c r="B104" s="167" t="s">
        <v>231</v>
      </c>
      <c r="C104" s="168"/>
      <c r="D104" s="168"/>
      <c r="E104" s="168"/>
      <c r="F104" s="168"/>
      <c r="G104" s="168"/>
      <c r="H104" s="168"/>
      <c r="I104" s="168"/>
      <c r="J104" s="168"/>
      <c r="K104" s="168"/>
      <c r="L104" s="168"/>
      <c r="M104" s="168"/>
      <c r="N104" s="168"/>
      <c r="O104" s="168"/>
      <c r="P104" s="168"/>
      <c r="Q104" s="168"/>
      <c r="R104" s="168"/>
      <c r="S104" s="168"/>
      <c r="T104" s="168"/>
      <c r="U104" s="169"/>
    </row>
    <row r="106" spans="1:33" ht="18.75" customHeight="1" x14ac:dyDescent="0.15">
      <c r="A106" s="70" t="s">
        <v>124</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x14ac:dyDescent="0.15">
      <c r="A107" s="70" t="s">
        <v>126</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x14ac:dyDescent="0.15">
      <c r="A108" s="70"/>
      <c r="B108" s="170" t="s">
        <v>130</v>
      </c>
      <c r="C108" s="170"/>
      <c r="D108" s="170"/>
      <c r="E108" s="170"/>
      <c r="F108" s="170"/>
      <c r="G108" s="170"/>
      <c r="H108" s="170"/>
      <c r="I108" s="170"/>
      <c r="J108" s="170"/>
      <c r="K108" s="170"/>
      <c r="L108" s="170"/>
      <c r="M108" s="170"/>
      <c r="N108" s="170"/>
      <c r="O108" s="170"/>
      <c r="P108" s="170"/>
      <c r="Q108" s="170"/>
      <c r="R108" s="170"/>
      <c r="S108" s="170"/>
      <c r="T108" s="170"/>
      <c r="U108" s="170"/>
      <c r="V108" s="66"/>
      <c r="W108" s="66"/>
      <c r="X108" s="66"/>
      <c r="Y108" s="66"/>
      <c r="Z108" s="66"/>
      <c r="AA108" s="66"/>
      <c r="AB108" s="66"/>
      <c r="AC108" s="66"/>
      <c r="AD108" s="66"/>
      <c r="AE108" s="66"/>
      <c r="AF108" s="66"/>
      <c r="AG108" s="66"/>
    </row>
    <row r="109" spans="1:33" ht="37.15" customHeight="1" x14ac:dyDescent="0.15">
      <c r="A109" s="70"/>
      <c r="B109" s="170"/>
      <c r="C109" s="170"/>
      <c r="D109" s="170"/>
      <c r="E109" s="170"/>
      <c r="F109" s="170"/>
      <c r="G109" s="170"/>
      <c r="H109" s="170"/>
      <c r="I109" s="170"/>
      <c r="J109" s="170"/>
      <c r="K109" s="170"/>
      <c r="L109" s="170"/>
      <c r="M109" s="170"/>
      <c r="N109" s="170"/>
      <c r="O109" s="170"/>
      <c r="P109" s="170"/>
      <c r="Q109" s="170"/>
      <c r="R109" s="170"/>
      <c r="S109" s="170"/>
      <c r="T109" s="170"/>
      <c r="U109" s="170"/>
      <c r="V109" s="66"/>
      <c r="W109" s="66"/>
      <c r="X109" s="66"/>
      <c r="Y109" s="66"/>
      <c r="Z109" s="66"/>
      <c r="AA109" s="66"/>
      <c r="AB109" s="66"/>
      <c r="AC109" s="66"/>
      <c r="AD109" s="66"/>
      <c r="AE109" s="66"/>
      <c r="AF109" s="66"/>
      <c r="AG109" s="66"/>
    </row>
    <row r="110" spans="1:33" ht="18.75" customHeight="1" x14ac:dyDescent="0.15">
      <c r="A110" s="70"/>
      <c r="B110" s="161" t="s">
        <v>125</v>
      </c>
      <c r="C110" s="161"/>
      <c r="D110" s="161"/>
      <c r="E110" s="161"/>
      <c r="F110" s="161"/>
      <c r="G110" s="161"/>
      <c r="H110" s="161"/>
      <c r="I110" s="161"/>
      <c r="J110" s="161"/>
      <c r="K110" s="161"/>
      <c r="L110" s="161"/>
      <c r="M110" s="161"/>
      <c r="N110" s="161"/>
      <c r="O110" s="161"/>
      <c r="P110" s="161"/>
      <c r="Q110" s="161"/>
      <c r="R110" s="161"/>
      <c r="S110" s="161"/>
      <c r="T110" s="161"/>
      <c r="U110" s="161"/>
      <c r="V110" s="66"/>
      <c r="W110" s="66"/>
      <c r="X110" s="66"/>
      <c r="Y110" s="66"/>
      <c r="Z110" s="66"/>
      <c r="AA110" s="66"/>
      <c r="AB110" s="66"/>
      <c r="AC110" s="66"/>
      <c r="AD110" s="66"/>
      <c r="AE110" s="66"/>
      <c r="AF110" s="66"/>
      <c r="AG110" s="66"/>
    </row>
    <row r="111" spans="1:33" ht="18.75" customHeight="1" x14ac:dyDescent="0.15">
      <c r="A111" s="70"/>
      <c r="B111" s="162" t="s">
        <v>53</v>
      </c>
      <c r="C111" s="162"/>
      <c r="D111" s="162"/>
      <c r="E111" s="162"/>
      <c r="F111" s="162"/>
      <c r="G111" s="162"/>
      <c r="H111" s="162"/>
      <c r="I111" s="162"/>
      <c r="J111" s="162"/>
      <c r="K111" s="162"/>
      <c r="L111" s="162"/>
      <c r="M111" s="162"/>
      <c r="N111" s="162"/>
      <c r="O111" s="162"/>
      <c r="P111" s="162"/>
      <c r="Q111" s="162"/>
      <c r="R111" s="162"/>
      <c r="S111" s="162"/>
      <c r="T111" s="162"/>
      <c r="U111" s="162"/>
      <c r="V111" s="65"/>
      <c r="W111" s="65"/>
      <c r="X111" s="65"/>
      <c r="Y111" s="65"/>
      <c r="Z111" s="65"/>
      <c r="AA111" s="65"/>
      <c r="AB111" s="65"/>
      <c r="AC111" s="65"/>
      <c r="AD111" s="65"/>
      <c r="AE111" s="65"/>
      <c r="AF111" s="65"/>
      <c r="AG111" s="65"/>
    </row>
    <row r="112" spans="1:33" ht="132" customHeight="1" x14ac:dyDescent="0.15">
      <c r="A112" s="70"/>
      <c r="B112" s="163"/>
      <c r="C112" s="163"/>
      <c r="D112" s="163"/>
      <c r="E112" s="163"/>
      <c r="F112" s="163"/>
      <c r="G112" s="163"/>
      <c r="H112" s="163"/>
      <c r="I112" s="163"/>
      <c r="J112" s="163"/>
      <c r="K112" s="163"/>
      <c r="L112" s="163"/>
      <c r="M112" s="163"/>
      <c r="N112" s="163"/>
      <c r="O112" s="163"/>
      <c r="P112" s="163"/>
      <c r="Q112" s="163"/>
      <c r="R112" s="163"/>
      <c r="S112" s="163"/>
      <c r="T112" s="163"/>
      <c r="U112" s="163"/>
      <c r="V112" s="67"/>
      <c r="W112" s="67"/>
      <c r="X112" s="67"/>
      <c r="Y112" s="67"/>
      <c r="Z112" s="67"/>
      <c r="AA112" s="67"/>
      <c r="AB112" s="67"/>
      <c r="AC112" s="67"/>
      <c r="AD112" s="67"/>
      <c r="AE112" s="67"/>
      <c r="AF112" s="67"/>
      <c r="AG112" s="67"/>
    </row>
    <row r="114"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H27:J33 S27:U33 H38:J44 S38:U44 H49:J55 S49:U55 R71:U77 S60:U66 G71:J77 H60:J66" xr:uid="{03486B83-EF4F-492A-99E6-54DF3455A86D}">
      <formula1>"○"</formula1>
    </dataValidation>
    <dataValidation type="list" allowBlank="1" showInputMessage="1" showErrorMessage="1" sqref="U34 U45 E34:H34 E45:H45" xr:uid="{14F9C241-FD64-43D9-B72C-84A3ABC3004B}">
      <formula1>"全学開講,一部開講"</formula1>
    </dataValidation>
    <dataValidation type="list" allowBlank="1" showInputMessage="1" showErrorMessage="1" sqref="L14 L7:U7" xr:uid="{1438C651-9AF8-47AD-868B-A796F91658A8}">
      <formula1>"学部・学科によって、修了要件は相違する,学部・学科によって、修了要件は相違しない"</formula1>
    </dataValidation>
    <dataValidation type="list" allowBlank="1" showInputMessage="1" showErrorMessage="1" sqref="G81:G88 R81:R88 H81:J82 H85:J88 S85:U88 S81:U82" xr:uid="{BCEF56BB-8F74-4737-A6D7-7311894715A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A78BF98E-EECE-4A8F-BC8A-71531EE54329}">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2C9B-77E9-498A-8932-97590700FF21}">
  <sheetPr>
    <pageSetUpPr fitToPage="1"/>
  </sheetPr>
  <dimension ref="A1:AG114"/>
  <sheetViews>
    <sheetView topLeftCell="A100" workbookViewId="0">
      <selection activeCell="D101" sqref="D101:U10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1"/>
      <c r="B1" s="71"/>
      <c r="C1" s="71"/>
      <c r="D1" s="71"/>
      <c r="E1" s="71"/>
      <c r="F1" s="71"/>
      <c r="G1" s="71"/>
      <c r="H1" s="71"/>
      <c r="I1" s="71"/>
      <c r="J1" s="71"/>
      <c r="K1" s="71"/>
      <c r="L1" s="71"/>
      <c r="M1" s="71"/>
      <c r="N1" s="71"/>
      <c r="O1" s="71"/>
      <c r="P1" s="71"/>
      <c r="Q1" s="71"/>
      <c r="R1" s="71"/>
      <c r="S1" s="71"/>
      <c r="T1" s="95" t="s">
        <v>217</v>
      </c>
      <c r="U1" s="95"/>
      <c r="V1" s="2" t="s">
        <v>99</v>
      </c>
    </row>
    <row r="2" spans="1:24" ht="18.75" customHeight="1" x14ac:dyDescent="0.15">
      <c r="A2" s="71"/>
      <c r="B2" s="80" t="s">
        <v>98</v>
      </c>
      <c r="C2" s="96" t="s">
        <v>136</v>
      </c>
      <c r="D2" s="97"/>
      <c r="E2" s="97"/>
      <c r="F2" s="97"/>
      <c r="G2" s="97"/>
      <c r="H2" s="97"/>
      <c r="I2" s="97"/>
      <c r="J2" s="98"/>
      <c r="K2" s="72"/>
      <c r="L2" s="73"/>
      <c r="M2" s="73"/>
      <c r="N2" s="73"/>
      <c r="O2" s="73"/>
      <c r="P2" s="73"/>
      <c r="Q2" s="73"/>
      <c r="R2" s="73"/>
      <c r="S2" s="73"/>
      <c r="T2" s="73"/>
      <c r="U2" s="73"/>
    </row>
    <row r="3" spans="1:24" ht="18.75" customHeight="1" x14ac:dyDescent="0.15">
      <c r="A3" s="71"/>
      <c r="B3" s="80" t="s">
        <v>93</v>
      </c>
      <c r="C3" s="96" t="s">
        <v>137</v>
      </c>
      <c r="D3" s="97"/>
      <c r="E3" s="97"/>
      <c r="F3" s="97"/>
      <c r="G3" s="97"/>
      <c r="H3" s="97"/>
      <c r="I3" s="97"/>
      <c r="J3" s="98"/>
      <c r="K3" s="72"/>
      <c r="L3" s="73"/>
      <c r="M3" s="73"/>
      <c r="N3" s="73"/>
      <c r="O3" s="73"/>
      <c r="P3" s="73"/>
      <c r="Q3" s="73"/>
      <c r="R3" s="73"/>
      <c r="S3" s="73"/>
      <c r="T3" s="73"/>
      <c r="U3" s="73"/>
    </row>
    <row r="4" spans="1:24" ht="15" customHeight="1" x14ac:dyDescent="0.15">
      <c r="A4" s="71"/>
      <c r="B4" s="71"/>
      <c r="C4" s="71"/>
      <c r="D4" s="71"/>
      <c r="E4" s="71"/>
      <c r="F4" s="71"/>
      <c r="G4" s="71"/>
      <c r="H4" s="71"/>
      <c r="I4" s="71"/>
      <c r="J4" s="71"/>
      <c r="K4" s="71"/>
      <c r="L4" s="72"/>
      <c r="M4" s="74"/>
      <c r="N4" s="74"/>
      <c r="O4" s="74"/>
      <c r="P4" s="74"/>
      <c r="Q4" s="74"/>
      <c r="R4" s="74"/>
      <c r="S4" s="74"/>
      <c r="T4" s="74"/>
      <c r="U4" s="74"/>
    </row>
    <row r="5" spans="1:24" ht="18" customHeight="1" x14ac:dyDescent="0.15">
      <c r="A5" s="99" t="s">
        <v>37</v>
      </c>
      <c r="B5" s="99"/>
      <c r="C5" s="99"/>
      <c r="D5" s="99"/>
      <c r="E5" s="99"/>
      <c r="F5" s="99"/>
      <c r="G5" s="99"/>
      <c r="H5" s="99"/>
      <c r="I5" s="99"/>
      <c r="J5" s="99"/>
      <c r="K5" s="99"/>
      <c r="L5" s="99"/>
      <c r="M5" s="99"/>
      <c r="N5" s="99"/>
      <c r="O5" s="99"/>
      <c r="P5" s="99"/>
      <c r="Q5" s="99"/>
      <c r="R5" s="99"/>
      <c r="S5" s="99"/>
      <c r="T5" s="99"/>
      <c r="U5" s="99"/>
    </row>
    <row r="6" spans="1:24" ht="15" customHeight="1" x14ac:dyDescent="0.15">
      <c r="A6" s="71"/>
      <c r="B6" s="75"/>
      <c r="C6" s="75"/>
      <c r="D6" s="75"/>
      <c r="E6" s="75"/>
      <c r="F6" s="75"/>
      <c r="G6" s="75"/>
      <c r="H6" s="75"/>
      <c r="I6" s="75"/>
      <c r="J6" s="75"/>
      <c r="K6" s="75"/>
      <c r="L6" s="75"/>
      <c r="M6" s="75"/>
      <c r="N6" s="75"/>
      <c r="O6" s="75"/>
      <c r="P6" s="75"/>
      <c r="Q6" s="75"/>
      <c r="R6" s="75"/>
      <c r="S6" s="75"/>
      <c r="T6" s="75"/>
      <c r="U6" s="75"/>
    </row>
    <row r="7" spans="1:24" ht="15" customHeight="1" x14ac:dyDescent="0.15">
      <c r="A7" s="71" t="s">
        <v>131</v>
      </c>
      <c r="B7" s="75"/>
      <c r="C7" s="75"/>
      <c r="D7" s="75"/>
      <c r="E7" s="75"/>
      <c r="F7" s="70"/>
      <c r="G7" s="70"/>
      <c r="H7" s="70"/>
      <c r="I7" s="70"/>
      <c r="J7" s="70"/>
      <c r="K7" s="70"/>
      <c r="L7" s="100" t="s">
        <v>129</v>
      </c>
      <c r="M7" s="101"/>
      <c r="N7" s="101"/>
      <c r="O7" s="101"/>
      <c r="P7" s="101"/>
      <c r="Q7" s="101"/>
      <c r="R7" s="101"/>
      <c r="S7" s="101"/>
      <c r="T7" s="101"/>
      <c r="U7" s="102"/>
    </row>
    <row r="8" spans="1:24" ht="6" customHeight="1" x14ac:dyDescent="0.15">
      <c r="A8" s="71"/>
      <c r="B8" s="75"/>
      <c r="C8" s="75"/>
      <c r="D8" s="75"/>
      <c r="E8" s="75"/>
      <c r="F8" s="75"/>
      <c r="G8" s="75"/>
      <c r="H8" s="75"/>
      <c r="I8" s="75"/>
      <c r="J8" s="75"/>
      <c r="K8" s="75"/>
      <c r="L8" s="75"/>
      <c r="M8" s="75"/>
      <c r="N8" s="75"/>
      <c r="O8" s="75"/>
      <c r="P8" s="75"/>
      <c r="Q8" s="75"/>
      <c r="R8" s="75"/>
      <c r="S8" s="75"/>
      <c r="T8" s="75"/>
      <c r="U8" s="75"/>
    </row>
    <row r="9" spans="1:24" ht="18" customHeight="1" x14ac:dyDescent="0.15">
      <c r="A9" s="71" t="s">
        <v>132</v>
      </c>
      <c r="B9" s="71"/>
      <c r="C9" s="75"/>
      <c r="D9" s="75"/>
      <c r="E9" s="71"/>
      <c r="F9" s="71"/>
      <c r="G9" s="71"/>
      <c r="H9" s="71"/>
      <c r="I9" s="71"/>
      <c r="J9" s="71"/>
      <c r="K9" s="72"/>
      <c r="L9" s="70"/>
      <c r="M9" s="70"/>
      <c r="N9" s="70"/>
      <c r="O9" s="70"/>
      <c r="P9" s="70"/>
      <c r="Q9" s="70"/>
      <c r="R9" s="70"/>
      <c r="S9" s="70"/>
      <c r="T9" s="70"/>
      <c r="U9" s="70"/>
    </row>
    <row r="10" spans="1:24" ht="6" customHeight="1" x14ac:dyDescent="0.15">
      <c r="A10" s="71"/>
      <c r="B10" s="75"/>
      <c r="C10" s="75"/>
      <c r="D10" s="75"/>
      <c r="E10" s="75"/>
      <c r="F10" s="75"/>
      <c r="G10" s="75"/>
      <c r="H10" s="75"/>
      <c r="I10" s="75"/>
      <c r="J10" s="75"/>
      <c r="K10" s="75"/>
      <c r="L10" s="76"/>
      <c r="M10" s="75"/>
      <c r="N10" s="75"/>
      <c r="O10" s="75"/>
      <c r="P10" s="75"/>
      <c r="Q10" s="75"/>
      <c r="R10" s="75"/>
      <c r="S10" s="75"/>
      <c r="T10" s="75"/>
      <c r="U10" s="75"/>
    </row>
    <row r="11" spans="1:24" ht="18" customHeight="1" x14ac:dyDescent="0.15">
      <c r="A11" s="71"/>
      <c r="B11" s="103" t="s">
        <v>138</v>
      </c>
      <c r="C11" s="104"/>
      <c r="D11" s="104"/>
      <c r="E11" s="104"/>
      <c r="F11" s="104"/>
      <c r="G11" s="104"/>
      <c r="H11" s="104"/>
      <c r="I11" s="104"/>
      <c r="J11" s="104"/>
      <c r="K11" s="104"/>
      <c r="L11" s="104"/>
      <c r="M11" s="104"/>
      <c r="N11" s="104"/>
      <c r="O11" s="104"/>
      <c r="P11" s="104"/>
      <c r="Q11" s="104"/>
      <c r="R11" s="104"/>
      <c r="S11" s="104"/>
      <c r="T11" s="104"/>
      <c r="U11" s="105"/>
    </row>
    <row r="12" spans="1:24" ht="18" customHeight="1" x14ac:dyDescent="0.15">
      <c r="A12" s="71"/>
      <c r="B12" s="106"/>
      <c r="C12" s="107"/>
      <c r="D12" s="107"/>
      <c r="E12" s="107"/>
      <c r="F12" s="107"/>
      <c r="G12" s="107"/>
      <c r="H12" s="107"/>
      <c r="I12" s="107"/>
      <c r="J12" s="107"/>
      <c r="K12" s="107"/>
      <c r="L12" s="107"/>
      <c r="M12" s="107"/>
      <c r="N12" s="107"/>
      <c r="O12" s="107"/>
      <c r="P12" s="107"/>
      <c r="Q12" s="107"/>
      <c r="R12" s="107"/>
      <c r="S12" s="107"/>
      <c r="T12" s="107"/>
      <c r="U12" s="108"/>
    </row>
    <row r="13" spans="1:24" ht="6" customHeight="1" x14ac:dyDescent="0.15">
      <c r="A13" s="71"/>
      <c r="B13" s="75"/>
      <c r="C13" s="75"/>
      <c r="D13" s="75"/>
      <c r="E13" s="75"/>
      <c r="F13" s="75"/>
      <c r="G13" s="75"/>
      <c r="H13" s="75"/>
      <c r="I13" s="75"/>
      <c r="J13" s="75"/>
      <c r="K13" s="75"/>
      <c r="L13" s="76"/>
      <c r="M13" s="75"/>
      <c r="N13" s="75"/>
      <c r="O13" s="75"/>
      <c r="P13" s="75"/>
      <c r="Q13" s="75"/>
      <c r="R13" s="75"/>
      <c r="S13" s="75"/>
      <c r="T13" s="75"/>
      <c r="U13" s="75"/>
    </row>
    <row r="14" spans="1:24" ht="18" customHeight="1" x14ac:dyDescent="0.15">
      <c r="A14" s="71" t="s">
        <v>100</v>
      </c>
      <c r="B14" s="75"/>
      <c r="C14" s="75"/>
      <c r="D14" s="75"/>
      <c r="E14" s="72"/>
      <c r="F14" s="72"/>
      <c r="G14" s="72"/>
      <c r="H14" s="72"/>
      <c r="I14" s="72"/>
      <c r="J14" s="72"/>
      <c r="K14" s="72"/>
      <c r="L14" s="77"/>
      <c r="M14" s="77"/>
      <c r="N14" s="77"/>
      <c r="O14" s="77"/>
      <c r="P14" s="77"/>
      <c r="Q14" s="77"/>
      <c r="R14" s="77"/>
      <c r="S14" s="77"/>
      <c r="T14" s="77"/>
      <c r="U14" s="77"/>
    </row>
    <row r="15" spans="1:24" ht="18" customHeight="1" x14ac:dyDescent="0.15">
      <c r="A15" s="71"/>
      <c r="B15" s="112" t="s">
        <v>190</v>
      </c>
      <c r="C15" s="113"/>
      <c r="D15" s="113"/>
      <c r="E15" s="113"/>
      <c r="F15" s="113"/>
      <c r="G15" s="113"/>
      <c r="H15" s="113"/>
      <c r="I15" s="113"/>
      <c r="J15" s="113"/>
      <c r="K15" s="113"/>
      <c r="L15" s="113"/>
      <c r="M15" s="113"/>
      <c r="N15" s="113"/>
      <c r="O15" s="113"/>
      <c r="P15" s="113"/>
      <c r="Q15" s="113"/>
      <c r="R15" s="113"/>
      <c r="S15" s="113"/>
      <c r="T15" s="113"/>
      <c r="U15" s="114"/>
      <c r="X15" s="1" t="s">
        <v>94</v>
      </c>
    </row>
    <row r="16" spans="1:24" ht="18" customHeight="1" x14ac:dyDescent="0.15">
      <c r="A16" s="71"/>
      <c r="B16" s="115"/>
      <c r="C16" s="116"/>
      <c r="D16" s="116"/>
      <c r="E16" s="116"/>
      <c r="F16" s="116"/>
      <c r="G16" s="116"/>
      <c r="H16" s="116"/>
      <c r="I16" s="116"/>
      <c r="J16" s="116"/>
      <c r="K16" s="116"/>
      <c r="L16" s="116"/>
      <c r="M16" s="116"/>
      <c r="N16" s="116"/>
      <c r="O16" s="116"/>
      <c r="P16" s="116"/>
      <c r="Q16" s="116"/>
      <c r="R16" s="116"/>
      <c r="S16" s="116"/>
      <c r="T16" s="116"/>
      <c r="U16" s="117"/>
      <c r="X16" s="1" t="s">
        <v>114</v>
      </c>
    </row>
    <row r="17" spans="1:24" ht="18" customHeight="1" x14ac:dyDescent="0.15">
      <c r="A17" s="71"/>
      <c r="B17" s="115"/>
      <c r="C17" s="116"/>
      <c r="D17" s="116"/>
      <c r="E17" s="116"/>
      <c r="F17" s="116"/>
      <c r="G17" s="116"/>
      <c r="H17" s="116"/>
      <c r="I17" s="116"/>
      <c r="J17" s="116"/>
      <c r="K17" s="116"/>
      <c r="L17" s="116"/>
      <c r="M17" s="116"/>
      <c r="N17" s="116"/>
      <c r="O17" s="116"/>
      <c r="P17" s="116"/>
      <c r="Q17" s="116"/>
      <c r="R17" s="116"/>
      <c r="S17" s="116"/>
      <c r="T17" s="116"/>
      <c r="U17" s="117"/>
      <c r="X17" s="1" t="s">
        <v>115</v>
      </c>
    </row>
    <row r="18" spans="1:24" ht="18" customHeight="1" x14ac:dyDescent="0.15">
      <c r="A18" s="71"/>
      <c r="B18" s="115"/>
      <c r="C18" s="116"/>
      <c r="D18" s="116"/>
      <c r="E18" s="116"/>
      <c r="F18" s="116"/>
      <c r="G18" s="116"/>
      <c r="H18" s="116"/>
      <c r="I18" s="116"/>
      <c r="J18" s="116"/>
      <c r="K18" s="116"/>
      <c r="L18" s="116"/>
      <c r="M18" s="116"/>
      <c r="N18" s="116"/>
      <c r="O18" s="116"/>
      <c r="P18" s="116"/>
      <c r="Q18" s="116"/>
      <c r="R18" s="116"/>
      <c r="S18" s="116"/>
      <c r="T18" s="116"/>
      <c r="U18" s="117"/>
      <c r="X18" s="1" t="s">
        <v>116</v>
      </c>
    </row>
    <row r="19" spans="1:24" ht="18" customHeight="1" x14ac:dyDescent="0.15">
      <c r="A19" s="71"/>
      <c r="B19" s="115"/>
      <c r="C19" s="116"/>
      <c r="D19" s="116"/>
      <c r="E19" s="116"/>
      <c r="F19" s="116"/>
      <c r="G19" s="116"/>
      <c r="H19" s="116"/>
      <c r="I19" s="116"/>
      <c r="J19" s="116"/>
      <c r="K19" s="116"/>
      <c r="L19" s="116"/>
      <c r="M19" s="116"/>
      <c r="N19" s="116"/>
      <c r="O19" s="116"/>
      <c r="P19" s="116"/>
      <c r="Q19" s="116"/>
      <c r="R19" s="116"/>
      <c r="S19" s="116"/>
      <c r="T19" s="116"/>
      <c r="U19" s="117"/>
    </row>
    <row r="20" spans="1:24" ht="18" customHeight="1" x14ac:dyDescent="0.15">
      <c r="A20" s="71"/>
      <c r="B20" s="118"/>
      <c r="C20" s="119"/>
      <c r="D20" s="119"/>
      <c r="E20" s="119"/>
      <c r="F20" s="119"/>
      <c r="G20" s="119"/>
      <c r="H20" s="119"/>
      <c r="I20" s="119"/>
      <c r="J20" s="119"/>
      <c r="K20" s="119"/>
      <c r="L20" s="119"/>
      <c r="M20" s="119"/>
      <c r="N20" s="119"/>
      <c r="O20" s="119"/>
      <c r="P20" s="119"/>
      <c r="Q20" s="119"/>
      <c r="R20" s="119"/>
      <c r="S20" s="119"/>
      <c r="T20" s="119"/>
      <c r="U20" s="120"/>
    </row>
    <row r="21" spans="1:24" ht="7.5" customHeight="1" x14ac:dyDescent="0.15">
      <c r="A21" s="71"/>
      <c r="B21" s="75"/>
      <c r="C21" s="75"/>
      <c r="D21" s="75"/>
      <c r="E21" s="75"/>
      <c r="F21" s="75"/>
      <c r="G21" s="75"/>
      <c r="H21" s="75"/>
      <c r="I21" s="75"/>
      <c r="J21" s="75"/>
      <c r="K21" s="75"/>
      <c r="L21" s="75"/>
      <c r="M21" s="75"/>
      <c r="N21" s="75"/>
      <c r="O21" s="75"/>
      <c r="P21" s="75"/>
      <c r="Q21" s="75"/>
      <c r="R21" s="75"/>
      <c r="S21" s="75"/>
      <c r="T21" s="75"/>
      <c r="U21" s="75"/>
    </row>
    <row r="22" spans="1:24" ht="19.899999999999999" customHeight="1" x14ac:dyDescent="0.15">
      <c r="A22" s="71"/>
      <c r="B22" s="71" t="s">
        <v>133</v>
      </c>
      <c r="C22" s="71"/>
      <c r="D22" s="71"/>
      <c r="E22" s="78">
        <v>2</v>
      </c>
      <c r="F22" s="71" t="s">
        <v>112</v>
      </c>
      <c r="G22" s="71"/>
      <c r="H22" s="79">
        <v>4</v>
      </c>
      <c r="I22" s="75" t="s">
        <v>113</v>
      </c>
      <c r="J22" s="75"/>
      <c r="K22" s="72"/>
      <c r="L22" s="71"/>
      <c r="M22" s="72" t="s">
        <v>109</v>
      </c>
      <c r="N22" s="121" t="s">
        <v>116</v>
      </c>
      <c r="O22" s="122"/>
      <c r="P22" s="122"/>
      <c r="Q22" s="122"/>
      <c r="R22" s="122"/>
      <c r="S22" s="122"/>
      <c r="T22" s="122"/>
      <c r="U22" s="123"/>
    </row>
    <row r="23" spans="1:24" ht="7.5" customHeight="1" x14ac:dyDescent="0.15">
      <c r="A23" s="71"/>
      <c r="B23" s="75"/>
      <c r="C23" s="75"/>
      <c r="D23" s="75"/>
      <c r="E23" s="75"/>
      <c r="F23" s="75"/>
      <c r="G23" s="75"/>
      <c r="H23" s="75"/>
      <c r="I23" s="75"/>
      <c r="J23" s="75"/>
      <c r="K23" s="75"/>
      <c r="L23" s="75"/>
      <c r="M23" s="75"/>
      <c r="N23" s="75"/>
      <c r="O23" s="75"/>
      <c r="P23" s="75"/>
      <c r="Q23" s="75"/>
      <c r="R23" s="75"/>
      <c r="S23" s="75"/>
      <c r="T23" s="75"/>
      <c r="U23" s="75"/>
    </row>
    <row r="24" spans="1:24" ht="18" customHeight="1" x14ac:dyDescent="0.15">
      <c r="A24" s="124" t="s">
        <v>101</v>
      </c>
      <c r="B24" s="124"/>
      <c r="C24" s="124"/>
      <c r="D24" s="124"/>
      <c r="E24" s="124"/>
      <c r="F24" s="124"/>
      <c r="G24" s="124"/>
      <c r="H24" s="124"/>
      <c r="I24" s="124"/>
      <c r="J24" s="124"/>
      <c r="K24" s="124"/>
      <c r="L24" s="124"/>
      <c r="M24" s="124"/>
      <c r="N24" s="124"/>
      <c r="O24" s="124"/>
      <c r="P24" s="124"/>
      <c r="Q24" s="124"/>
      <c r="R24" s="124"/>
      <c r="S24" s="124"/>
      <c r="T24" s="124"/>
      <c r="U24" s="124"/>
    </row>
    <row r="25" spans="1:24" ht="18" customHeight="1" x14ac:dyDescent="0.15">
      <c r="A25" s="124"/>
      <c r="B25" s="124"/>
      <c r="C25" s="124"/>
      <c r="D25" s="124"/>
      <c r="E25" s="124"/>
      <c r="F25" s="124"/>
      <c r="G25" s="124"/>
      <c r="H25" s="124"/>
      <c r="I25" s="124"/>
      <c r="J25" s="124"/>
      <c r="K25" s="124"/>
      <c r="L25" s="124"/>
      <c r="M25" s="124"/>
      <c r="N25" s="124"/>
      <c r="O25" s="124"/>
      <c r="P25" s="124"/>
      <c r="Q25" s="124"/>
      <c r="R25" s="124"/>
      <c r="S25" s="124"/>
      <c r="T25" s="124"/>
      <c r="U25" s="124"/>
    </row>
    <row r="26" spans="1:24" ht="18" customHeight="1" x14ac:dyDescent="0.15">
      <c r="B26" s="125" t="s">
        <v>51</v>
      </c>
      <c r="C26" s="126"/>
      <c r="D26" s="126"/>
      <c r="E26" s="126"/>
      <c r="F26" s="127"/>
      <c r="G26" s="47" t="s">
        <v>77</v>
      </c>
      <c r="H26" s="46" t="s">
        <v>80</v>
      </c>
      <c r="I26" s="17" t="s">
        <v>54</v>
      </c>
      <c r="J26" s="17" t="s">
        <v>57</v>
      </c>
      <c r="K26" s="125" t="s">
        <v>51</v>
      </c>
      <c r="L26" s="126"/>
      <c r="M26" s="126"/>
      <c r="N26" s="126"/>
      <c r="O26" s="126"/>
      <c r="P26" s="126"/>
      <c r="Q26" s="127"/>
      <c r="R26" s="47" t="s">
        <v>77</v>
      </c>
      <c r="S26" s="46" t="s">
        <v>80</v>
      </c>
      <c r="T26" s="17" t="s">
        <v>54</v>
      </c>
      <c r="U26" s="17" t="s">
        <v>57</v>
      </c>
    </row>
    <row r="27" spans="1:24" ht="18" customHeight="1" x14ac:dyDescent="0.15">
      <c r="B27" s="128" t="s">
        <v>139</v>
      </c>
      <c r="C27" s="129"/>
      <c r="D27" s="129"/>
      <c r="E27" s="129"/>
      <c r="F27" s="130"/>
      <c r="G27" s="18">
        <v>2</v>
      </c>
      <c r="H27" s="18" t="s">
        <v>140</v>
      </c>
      <c r="I27" s="18" t="s">
        <v>140</v>
      </c>
      <c r="J27" s="18" t="s">
        <v>140</v>
      </c>
      <c r="K27" s="128"/>
      <c r="L27" s="129"/>
      <c r="M27" s="129"/>
      <c r="N27" s="129"/>
      <c r="O27" s="129"/>
      <c r="P27" s="129"/>
      <c r="Q27" s="130"/>
      <c r="R27" s="18"/>
      <c r="S27" s="18"/>
      <c r="T27" s="18"/>
      <c r="U27" s="18"/>
    </row>
    <row r="28" spans="1:24" ht="18" customHeight="1" x14ac:dyDescent="0.15">
      <c r="B28" s="109"/>
      <c r="C28" s="110"/>
      <c r="D28" s="110"/>
      <c r="E28" s="110"/>
      <c r="F28" s="111"/>
      <c r="G28" s="19"/>
      <c r="H28" s="19"/>
      <c r="I28" s="19"/>
      <c r="J28" s="19"/>
      <c r="K28" s="109"/>
      <c r="L28" s="110"/>
      <c r="M28" s="110"/>
      <c r="N28" s="110"/>
      <c r="O28" s="110"/>
      <c r="P28" s="110"/>
      <c r="Q28" s="111"/>
      <c r="R28" s="19"/>
      <c r="S28" s="19"/>
      <c r="T28" s="19"/>
      <c r="U28" s="19"/>
    </row>
    <row r="29" spans="1:24" ht="18" customHeight="1" x14ac:dyDescent="0.15">
      <c r="B29" s="109"/>
      <c r="C29" s="110"/>
      <c r="D29" s="110"/>
      <c r="E29" s="110"/>
      <c r="F29" s="111"/>
      <c r="G29" s="19"/>
      <c r="H29" s="19"/>
      <c r="I29" s="19"/>
      <c r="J29" s="19"/>
      <c r="K29" s="109"/>
      <c r="L29" s="110"/>
      <c r="M29" s="110"/>
      <c r="N29" s="110"/>
      <c r="O29" s="110"/>
      <c r="P29" s="110"/>
      <c r="Q29" s="111"/>
      <c r="R29" s="19"/>
      <c r="S29" s="19"/>
      <c r="T29" s="19"/>
      <c r="U29" s="19"/>
    </row>
    <row r="30" spans="1:24" ht="18" customHeight="1" x14ac:dyDescent="0.15">
      <c r="B30" s="109"/>
      <c r="C30" s="110"/>
      <c r="D30" s="110"/>
      <c r="E30" s="110"/>
      <c r="F30" s="111"/>
      <c r="G30" s="19"/>
      <c r="H30" s="19"/>
      <c r="I30" s="19"/>
      <c r="J30" s="19"/>
      <c r="K30" s="109"/>
      <c r="L30" s="110"/>
      <c r="M30" s="110"/>
      <c r="N30" s="110"/>
      <c r="O30" s="110"/>
      <c r="P30" s="110"/>
      <c r="Q30" s="111"/>
      <c r="R30" s="19"/>
      <c r="S30" s="19"/>
      <c r="T30" s="19"/>
      <c r="U30" s="19"/>
    </row>
    <row r="31" spans="1:24" ht="18" customHeight="1" x14ac:dyDescent="0.15">
      <c r="B31" s="109"/>
      <c r="C31" s="110"/>
      <c r="D31" s="110"/>
      <c r="E31" s="110"/>
      <c r="F31" s="111"/>
      <c r="G31" s="19"/>
      <c r="H31" s="19"/>
      <c r="I31" s="19"/>
      <c r="J31" s="19"/>
      <c r="K31" s="109"/>
      <c r="L31" s="110"/>
      <c r="M31" s="110"/>
      <c r="N31" s="110"/>
      <c r="O31" s="110"/>
      <c r="P31" s="110"/>
      <c r="Q31" s="111"/>
      <c r="R31" s="19"/>
      <c r="S31" s="19"/>
      <c r="T31" s="19"/>
      <c r="U31" s="19"/>
    </row>
    <row r="32" spans="1:24" ht="18" customHeight="1" x14ac:dyDescent="0.15">
      <c r="A32" s="3"/>
      <c r="B32" s="109"/>
      <c r="C32" s="110"/>
      <c r="D32" s="110"/>
      <c r="E32" s="110"/>
      <c r="F32" s="111"/>
      <c r="G32" s="19"/>
      <c r="H32" s="19"/>
      <c r="I32" s="19"/>
      <c r="J32" s="19"/>
      <c r="K32" s="109"/>
      <c r="L32" s="110"/>
      <c r="M32" s="110"/>
      <c r="N32" s="110"/>
      <c r="O32" s="110"/>
      <c r="P32" s="110"/>
      <c r="Q32" s="111"/>
      <c r="R32" s="19"/>
      <c r="S32" s="19"/>
      <c r="T32" s="19"/>
      <c r="U32" s="19"/>
    </row>
    <row r="33" spans="1:21" ht="18" customHeight="1" x14ac:dyDescent="0.15">
      <c r="A33" s="3"/>
      <c r="B33" s="132"/>
      <c r="C33" s="133"/>
      <c r="D33" s="133"/>
      <c r="E33" s="133"/>
      <c r="F33" s="134"/>
      <c r="G33" s="20"/>
      <c r="H33" s="20"/>
      <c r="I33" s="21"/>
      <c r="J33" s="21"/>
      <c r="K33" s="132"/>
      <c r="L33" s="133"/>
      <c r="M33" s="133"/>
      <c r="N33" s="133"/>
      <c r="O33" s="133"/>
      <c r="P33" s="133"/>
      <c r="Q33" s="134"/>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31" t="s">
        <v>102</v>
      </c>
      <c r="B35" s="131"/>
      <c r="C35" s="131"/>
      <c r="D35" s="131"/>
      <c r="E35" s="131"/>
      <c r="F35" s="131"/>
      <c r="G35" s="131"/>
      <c r="H35" s="131"/>
      <c r="I35" s="131"/>
      <c r="J35" s="131"/>
      <c r="K35" s="131"/>
      <c r="L35" s="131"/>
      <c r="M35" s="131"/>
      <c r="N35" s="131"/>
      <c r="O35" s="131"/>
      <c r="P35" s="131"/>
      <c r="Q35" s="131"/>
      <c r="R35" s="131"/>
      <c r="S35" s="131"/>
      <c r="T35" s="131"/>
      <c r="U35" s="131"/>
    </row>
    <row r="36" spans="1:21" ht="18" customHeight="1" x14ac:dyDescent="0.15">
      <c r="A36" s="131"/>
      <c r="B36" s="131"/>
      <c r="C36" s="131"/>
      <c r="D36" s="131"/>
      <c r="E36" s="131"/>
      <c r="F36" s="131"/>
      <c r="G36" s="131"/>
      <c r="H36" s="131"/>
      <c r="I36" s="131"/>
      <c r="J36" s="131"/>
      <c r="K36" s="131"/>
      <c r="L36" s="131"/>
      <c r="M36" s="131"/>
      <c r="N36" s="131"/>
      <c r="O36" s="131"/>
      <c r="P36" s="131"/>
      <c r="Q36" s="131"/>
      <c r="R36" s="131"/>
      <c r="S36" s="131"/>
      <c r="T36" s="131"/>
      <c r="U36" s="131"/>
    </row>
    <row r="37" spans="1:21" ht="18" customHeight="1" x14ac:dyDescent="0.15">
      <c r="B37" s="125" t="s">
        <v>51</v>
      </c>
      <c r="C37" s="126"/>
      <c r="D37" s="126"/>
      <c r="E37" s="126"/>
      <c r="F37" s="127"/>
      <c r="G37" s="47" t="s">
        <v>77</v>
      </c>
      <c r="H37" s="46" t="s">
        <v>80</v>
      </c>
      <c r="I37" s="17" t="s">
        <v>68</v>
      </c>
      <c r="J37" s="17" t="s">
        <v>69</v>
      </c>
      <c r="K37" s="125" t="s">
        <v>51</v>
      </c>
      <c r="L37" s="126"/>
      <c r="M37" s="126"/>
      <c r="N37" s="126"/>
      <c r="O37" s="126"/>
      <c r="P37" s="126"/>
      <c r="Q37" s="127"/>
      <c r="R37" s="47" t="s">
        <v>77</v>
      </c>
      <c r="S37" s="46" t="s">
        <v>80</v>
      </c>
      <c r="T37" s="17" t="s">
        <v>68</v>
      </c>
      <c r="U37" s="17" t="s">
        <v>69</v>
      </c>
    </row>
    <row r="38" spans="1:21" ht="18" customHeight="1" x14ac:dyDescent="0.15">
      <c r="B38" s="128" t="s">
        <v>139</v>
      </c>
      <c r="C38" s="129"/>
      <c r="D38" s="129"/>
      <c r="E38" s="129"/>
      <c r="F38" s="130"/>
      <c r="G38" s="18">
        <v>2</v>
      </c>
      <c r="H38" s="18" t="s">
        <v>140</v>
      </c>
      <c r="I38" s="18" t="s">
        <v>140</v>
      </c>
      <c r="J38" s="18" t="s">
        <v>140</v>
      </c>
      <c r="K38" s="128"/>
      <c r="L38" s="129"/>
      <c r="M38" s="129"/>
      <c r="N38" s="129"/>
      <c r="O38" s="129"/>
      <c r="P38" s="129"/>
      <c r="Q38" s="130"/>
      <c r="R38" s="18"/>
      <c r="S38" s="18"/>
      <c r="T38" s="18"/>
      <c r="U38" s="18"/>
    </row>
    <row r="39" spans="1:21" ht="18" customHeight="1" x14ac:dyDescent="0.15">
      <c r="B39" s="109" t="s">
        <v>141</v>
      </c>
      <c r="C39" s="110"/>
      <c r="D39" s="110"/>
      <c r="E39" s="110"/>
      <c r="F39" s="111"/>
      <c r="G39" s="19">
        <v>2</v>
      </c>
      <c r="H39" s="19"/>
      <c r="I39" s="19" t="s">
        <v>140</v>
      </c>
      <c r="J39" s="19"/>
      <c r="K39" s="109"/>
      <c r="L39" s="110"/>
      <c r="M39" s="110"/>
      <c r="N39" s="110"/>
      <c r="O39" s="110"/>
      <c r="P39" s="110"/>
      <c r="Q39" s="111"/>
      <c r="R39" s="19"/>
      <c r="S39" s="19"/>
      <c r="T39" s="19"/>
      <c r="U39" s="19"/>
    </row>
    <row r="40" spans="1:21" ht="18" customHeight="1" x14ac:dyDescent="0.15">
      <c r="B40" s="109"/>
      <c r="C40" s="110"/>
      <c r="D40" s="110"/>
      <c r="E40" s="110"/>
      <c r="F40" s="111"/>
      <c r="G40" s="19"/>
      <c r="H40" s="19"/>
      <c r="I40" s="19"/>
      <c r="J40" s="19"/>
      <c r="K40" s="109"/>
      <c r="L40" s="110"/>
      <c r="M40" s="110"/>
      <c r="N40" s="110"/>
      <c r="O40" s="110"/>
      <c r="P40" s="110"/>
      <c r="Q40" s="111"/>
      <c r="R40" s="19"/>
      <c r="S40" s="19"/>
      <c r="T40" s="19"/>
      <c r="U40" s="19"/>
    </row>
    <row r="41" spans="1:21" ht="18" customHeight="1" x14ac:dyDescent="0.15">
      <c r="B41" s="109"/>
      <c r="C41" s="110"/>
      <c r="D41" s="110"/>
      <c r="E41" s="110"/>
      <c r="F41" s="111"/>
      <c r="G41" s="19"/>
      <c r="H41" s="19"/>
      <c r="I41" s="19"/>
      <c r="J41" s="19"/>
      <c r="K41" s="109"/>
      <c r="L41" s="110"/>
      <c r="M41" s="110"/>
      <c r="N41" s="110"/>
      <c r="O41" s="110"/>
      <c r="P41" s="110"/>
      <c r="Q41" s="111"/>
      <c r="R41" s="19"/>
      <c r="S41" s="19"/>
      <c r="T41" s="19"/>
      <c r="U41" s="19"/>
    </row>
    <row r="42" spans="1:21" ht="18" customHeight="1" x14ac:dyDescent="0.15">
      <c r="B42" s="109"/>
      <c r="C42" s="110"/>
      <c r="D42" s="110"/>
      <c r="E42" s="110"/>
      <c r="F42" s="111"/>
      <c r="G42" s="19"/>
      <c r="H42" s="19"/>
      <c r="I42" s="19"/>
      <c r="J42" s="19"/>
      <c r="K42" s="109"/>
      <c r="L42" s="110"/>
      <c r="M42" s="110"/>
      <c r="N42" s="110"/>
      <c r="O42" s="110"/>
      <c r="P42" s="110"/>
      <c r="Q42" s="111"/>
      <c r="R42" s="19"/>
      <c r="S42" s="19"/>
      <c r="T42" s="19"/>
      <c r="U42" s="19"/>
    </row>
    <row r="43" spans="1:21" ht="18" customHeight="1" x14ac:dyDescent="0.15">
      <c r="B43" s="109"/>
      <c r="C43" s="110"/>
      <c r="D43" s="110"/>
      <c r="E43" s="110"/>
      <c r="F43" s="111"/>
      <c r="G43" s="19"/>
      <c r="H43" s="19"/>
      <c r="I43" s="19"/>
      <c r="J43" s="19"/>
      <c r="K43" s="109"/>
      <c r="L43" s="110"/>
      <c r="M43" s="110"/>
      <c r="N43" s="110"/>
      <c r="O43" s="110"/>
      <c r="P43" s="110"/>
      <c r="Q43" s="111"/>
      <c r="R43" s="19"/>
      <c r="S43" s="19"/>
      <c r="T43" s="19"/>
      <c r="U43" s="19"/>
    </row>
    <row r="44" spans="1:21" ht="18" customHeight="1" x14ac:dyDescent="0.15">
      <c r="B44" s="132"/>
      <c r="C44" s="133"/>
      <c r="D44" s="133"/>
      <c r="E44" s="133"/>
      <c r="F44" s="134"/>
      <c r="G44" s="20"/>
      <c r="H44" s="20"/>
      <c r="I44" s="21"/>
      <c r="J44" s="21"/>
      <c r="K44" s="132"/>
      <c r="L44" s="133"/>
      <c r="M44" s="133"/>
      <c r="N44" s="133"/>
      <c r="O44" s="133"/>
      <c r="P44" s="133"/>
      <c r="Q44" s="134"/>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31" t="s">
        <v>103</v>
      </c>
      <c r="B46" s="131"/>
      <c r="C46" s="131"/>
      <c r="D46" s="131"/>
      <c r="E46" s="131"/>
      <c r="F46" s="131"/>
      <c r="G46" s="131"/>
      <c r="H46" s="131"/>
      <c r="I46" s="131"/>
      <c r="J46" s="131"/>
      <c r="K46" s="131"/>
      <c r="L46" s="131"/>
      <c r="M46" s="131"/>
      <c r="N46" s="131"/>
      <c r="O46" s="131"/>
      <c r="P46" s="131"/>
      <c r="Q46" s="131"/>
      <c r="R46" s="131"/>
      <c r="S46" s="131"/>
      <c r="T46" s="131"/>
      <c r="U46" s="131"/>
    </row>
    <row r="47" spans="1:21" ht="18" customHeight="1" x14ac:dyDescent="0.15">
      <c r="A47" s="131"/>
      <c r="B47" s="131"/>
      <c r="C47" s="131"/>
      <c r="D47" s="131"/>
      <c r="E47" s="131"/>
      <c r="F47" s="131"/>
      <c r="G47" s="131"/>
      <c r="H47" s="131"/>
      <c r="I47" s="131"/>
      <c r="J47" s="131"/>
      <c r="K47" s="131"/>
      <c r="L47" s="131"/>
      <c r="M47" s="131"/>
      <c r="N47" s="131"/>
      <c r="O47" s="131"/>
      <c r="P47" s="131"/>
      <c r="Q47" s="131"/>
      <c r="R47" s="131"/>
      <c r="S47" s="131"/>
      <c r="T47" s="131"/>
      <c r="U47" s="131"/>
    </row>
    <row r="48" spans="1:21" ht="18" customHeight="1" x14ac:dyDescent="0.15">
      <c r="B48" s="125" t="s">
        <v>51</v>
      </c>
      <c r="C48" s="126"/>
      <c r="D48" s="126"/>
      <c r="E48" s="126"/>
      <c r="F48" s="127"/>
      <c r="G48" s="47" t="s">
        <v>77</v>
      </c>
      <c r="H48" s="46" t="s">
        <v>80</v>
      </c>
      <c r="I48" s="17" t="s">
        <v>70</v>
      </c>
      <c r="J48" s="17" t="s">
        <v>71</v>
      </c>
      <c r="K48" s="125" t="s">
        <v>51</v>
      </c>
      <c r="L48" s="126"/>
      <c r="M48" s="126"/>
      <c r="N48" s="126"/>
      <c r="O48" s="126"/>
      <c r="P48" s="126"/>
      <c r="Q48" s="127"/>
      <c r="R48" s="47" t="s">
        <v>77</v>
      </c>
      <c r="S48" s="46" t="s">
        <v>80</v>
      </c>
      <c r="T48" s="17" t="s">
        <v>70</v>
      </c>
      <c r="U48" s="17" t="s">
        <v>71</v>
      </c>
    </row>
    <row r="49" spans="1:21" ht="18" customHeight="1" x14ac:dyDescent="0.15">
      <c r="A49" s="3"/>
      <c r="B49" s="128" t="s">
        <v>139</v>
      </c>
      <c r="C49" s="129"/>
      <c r="D49" s="129"/>
      <c r="E49" s="129"/>
      <c r="F49" s="130"/>
      <c r="G49" s="18">
        <v>2</v>
      </c>
      <c r="H49" s="18" t="s">
        <v>140</v>
      </c>
      <c r="I49" s="18" t="s">
        <v>140</v>
      </c>
      <c r="J49" s="18" t="s">
        <v>140</v>
      </c>
      <c r="K49" s="128"/>
      <c r="L49" s="129"/>
      <c r="M49" s="129"/>
      <c r="N49" s="129"/>
      <c r="O49" s="129"/>
      <c r="P49" s="129"/>
      <c r="Q49" s="130"/>
      <c r="R49" s="18"/>
      <c r="S49" s="18"/>
      <c r="T49" s="18"/>
      <c r="U49" s="18"/>
    </row>
    <row r="50" spans="1:21" ht="18" customHeight="1" x14ac:dyDescent="0.15">
      <c r="A50" s="3"/>
      <c r="B50" s="109"/>
      <c r="C50" s="110"/>
      <c r="D50" s="110"/>
      <c r="E50" s="110"/>
      <c r="F50" s="111"/>
      <c r="G50" s="19"/>
      <c r="H50" s="19"/>
      <c r="I50" s="19"/>
      <c r="J50" s="19"/>
      <c r="K50" s="109"/>
      <c r="L50" s="110"/>
      <c r="M50" s="110"/>
      <c r="N50" s="110"/>
      <c r="O50" s="110"/>
      <c r="P50" s="110"/>
      <c r="Q50" s="111"/>
      <c r="R50" s="19"/>
      <c r="S50" s="19"/>
      <c r="T50" s="19"/>
      <c r="U50" s="19"/>
    </row>
    <row r="51" spans="1:21" ht="18" customHeight="1" x14ac:dyDescent="0.15">
      <c r="A51" s="3"/>
      <c r="B51" s="109"/>
      <c r="C51" s="110"/>
      <c r="D51" s="110"/>
      <c r="E51" s="110"/>
      <c r="F51" s="111"/>
      <c r="G51" s="19"/>
      <c r="H51" s="19"/>
      <c r="I51" s="19"/>
      <c r="J51" s="19"/>
      <c r="K51" s="109"/>
      <c r="L51" s="110"/>
      <c r="M51" s="110"/>
      <c r="N51" s="110"/>
      <c r="O51" s="110"/>
      <c r="P51" s="110"/>
      <c r="Q51" s="111"/>
      <c r="R51" s="19"/>
      <c r="S51" s="19"/>
      <c r="T51" s="19"/>
      <c r="U51" s="19"/>
    </row>
    <row r="52" spans="1:21" ht="18" customHeight="1" x14ac:dyDescent="0.15">
      <c r="A52" s="3"/>
      <c r="B52" s="109"/>
      <c r="C52" s="110"/>
      <c r="D52" s="110"/>
      <c r="E52" s="110"/>
      <c r="F52" s="111"/>
      <c r="G52" s="19"/>
      <c r="H52" s="19"/>
      <c r="I52" s="19"/>
      <c r="J52" s="19"/>
      <c r="K52" s="109"/>
      <c r="L52" s="110"/>
      <c r="M52" s="110"/>
      <c r="N52" s="110"/>
      <c r="O52" s="110"/>
      <c r="P52" s="110"/>
      <c r="Q52" s="111"/>
      <c r="R52" s="19"/>
      <c r="S52" s="19"/>
      <c r="T52" s="19"/>
      <c r="U52" s="19"/>
    </row>
    <row r="53" spans="1:21" ht="18" customHeight="1" x14ac:dyDescent="0.15">
      <c r="A53" s="3"/>
      <c r="B53" s="109"/>
      <c r="C53" s="110"/>
      <c r="D53" s="110"/>
      <c r="E53" s="110"/>
      <c r="F53" s="111"/>
      <c r="G53" s="19"/>
      <c r="H53" s="19"/>
      <c r="I53" s="19"/>
      <c r="J53" s="19"/>
      <c r="K53" s="109"/>
      <c r="L53" s="110"/>
      <c r="M53" s="110"/>
      <c r="N53" s="110"/>
      <c r="O53" s="110"/>
      <c r="P53" s="110"/>
      <c r="Q53" s="111"/>
      <c r="R53" s="19"/>
      <c r="S53" s="19"/>
      <c r="T53" s="19"/>
      <c r="U53" s="19"/>
    </row>
    <row r="54" spans="1:21" ht="18" customHeight="1" x14ac:dyDescent="0.15">
      <c r="A54" s="3"/>
      <c r="B54" s="109"/>
      <c r="C54" s="110"/>
      <c r="D54" s="110"/>
      <c r="E54" s="110"/>
      <c r="F54" s="111"/>
      <c r="G54" s="19"/>
      <c r="H54" s="19"/>
      <c r="I54" s="19"/>
      <c r="J54" s="19"/>
      <c r="K54" s="109"/>
      <c r="L54" s="110"/>
      <c r="M54" s="110"/>
      <c r="N54" s="110"/>
      <c r="O54" s="110"/>
      <c r="P54" s="110"/>
      <c r="Q54" s="111"/>
      <c r="R54" s="19"/>
      <c r="S54" s="19"/>
      <c r="T54" s="19"/>
      <c r="U54" s="19"/>
    </row>
    <row r="55" spans="1:21" ht="18" customHeight="1" x14ac:dyDescent="0.15">
      <c r="A55" s="3"/>
      <c r="B55" s="132"/>
      <c r="C55" s="133"/>
      <c r="D55" s="133"/>
      <c r="E55" s="133"/>
      <c r="F55" s="134"/>
      <c r="G55" s="20"/>
      <c r="H55" s="20"/>
      <c r="I55" s="21"/>
      <c r="J55" s="21"/>
      <c r="K55" s="132"/>
      <c r="L55" s="133"/>
      <c r="M55" s="133"/>
      <c r="N55" s="133"/>
      <c r="O55" s="133"/>
      <c r="P55" s="133"/>
      <c r="Q55" s="134"/>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31" t="s">
        <v>104</v>
      </c>
      <c r="B57" s="131"/>
      <c r="C57" s="131"/>
      <c r="D57" s="131"/>
      <c r="E57" s="131"/>
      <c r="F57" s="131"/>
      <c r="G57" s="131"/>
      <c r="H57" s="131"/>
      <c r="I57" s="131"/>
      <c r="J57" s="131"/>
      <c r="K57" s="131"/>
      <c r="L57" s="131"/>
      <c r="M57" s="131"/>
      <c r="N57" s="131"/>
      <c r="O57" s="131"/>
      <c r="P57" s="131"/>
      <c r="Q57" s="131"/>
      <c r="R57" s="131"/>
      <c r="S57" s="131"/>
      <c r="T57" s="131"/>
      <c r="U57" s="131"/>
    </row>
    <row r="58" spans="1:21" ht="18" customHeight="1" x14ac:dyDescent="0.15">
      <c r="A58" s="131"/>
      <c r="B58" s="131"/>
      <c r="C58" s="131"/>
      <c r="D58" s="131"/>
      <c r="E58" s="131"/>
      <c r="F58" s="131"/>
      <c r="G58" s="131"/>
      <c r="H58" s="131"/>
      <c r="I58" s="131"/>
      <c r="J58" s="131"/>
      <c r="K58" s="131"/>
      <c r="L58" s="131"/>
      <c r="M58" s="131"/>
      <c r="N58" s="131"/>
      <c r="O58" s="131"/>
      <c r="P58" s="131"/>
      <c r="Q58" s="131"/>
      <c r="R58" s="131"/>
      <c r="S58" s="131"/>
      <c r="T58" s="131"/>
      <c r="U58" s="131"/>
    </row>
    <row r="59" spans="1:21" ht="18" customHeight="1" x14ac:dyDescent="0.15">
      <c r="B59" s="125" t="s">
        <v>51</v>
      </c>
      <c r="C59" s="126"/>
      <c r="D59" s="126"/>
      <c r="E59" s="126"/>
      <c r="F59" s="127"/>
      <c r="G59" s="47" t="s">
        <v>77</v>
      </c>
      <c r="H59" s="46" t="s">
        <v>80</v>
      </c>
      <c r="I59" s="17" t="s">
        <v>56</v>
      </c>
      <c r="J59" s="17" t="s">
        <v>58</v>
      </c>
      <c r="K59" s="125" t="s">
        <v>51</v>
      </c>
      <c r="L59" s="126"/>
      <c r="M59" s="126"/>
      <c r="N59" s="126"/>
      <c r="O59" s="126"/>
      <c r="P59" s="126"/>
      <c r="Q59" s="127"/>
      <c r="R59" s="47" t="s">
        <v>77</v>
      </c>
      <c r="S59" s="46" t="s">
        <v>80</v>
      </c>
      <c r="T59" s="17" t="s">
        <v>56</v>
      </c>
      <c r="U59" s="17" t="s">
        <v>58</v>
      </c>
    </row>
    <row r="60" spans="1:21" ht="18" customHeight="1" x14ac:dyDescent="0.15">
      <c r="A60" s="3"/>
      <c r="B60" s="128" t="s">
        <v>139</v>
      </c>
      <c r="C60" s="129"/>
      <c r="D60" s="129"/>
      <c r="E60" s="129"/>
      <c r="F60" s="130"/>
      <c r="G60" s="18">
        <v>2</v>
      </c>
      <c r="H60" s="18" t="s">
        <v>140</v>
      </c>
      <c r="I60" s="18" t="s">
        <v>140</v>
      </c>
      <c r="J60" s="18" t="s">
        <v>140</v>
      </c>
      <c r="K60" s="128"/>
      <c r="L60" s="129"/>
      <c r="M60" s="129"/>
      <c r="N60" s="129"/>
      <c r="O60" s="129"/>
      <c r="P60" s="129"/>
      <c r="Q60" s="130"/>
      <c r="R60" s="18"/>
      <c r="S60" s="18"/>
      <c r="T60" s="18"/>
      <c r="U60" s="18"/>
    </row>
    <row r="61" spans="1:21" ht="18" customHeight="1" x14ac:dyDescent="0.15">
      <c r="A61" s="3"/>
      <c r="B61" s="109" t="s">
        <v>141</v>
      </c>
      <c r="C61" s="110"/>
      <c r="D61" s="110"/>
      <c r="E61" s="110"/>
      <c r="F61" s="111"/>
      <c r="G61" s="19">
        <v>2</v>
      </c>
      <c r="H61" s="19"/>
      <c r="I61" s="19"/>
      <c r="J61" s="19" t="s">
        <v>140</v>
      </c>
      <c r="K61" s="109"/>
      <c r="L61" s="110"/>
      <c r="M61" s="110"/>
      <c r="N61" s="110"/>
      <c r="O61" s="110"/>
      <c r="P61" s="110"/>
      <c r="Q61" s="111"/>
      <c r="R61" s="19"/>
      <c r="S61" s="19"/>
      <c r="T61" s="19"/>
      <c r="U61" s="19"/>
    </row>
    <row r="62" spans="1:21" ht="18" customHeight="1" x14ac:dyDescent="0.15">
      <c r="A62" s="3"/>
      <c r="B62" s="109" t="s">
        <v>142</v>
      </c>
      <c r="C62" s="110"/>
      <c r="D62" s="110"/>
      <c r="E62" s="110"/>
      <c r="F62" s="111"/>
      <c r="G62" s="19">
        <v>2</v>
      </c>
      <c r="H62" s="19"/>
      <c r="I62" s="19" t="s">
        <v>140</v>
      </c>
      <c r="J62" s="19" t="s">
        <v>140</v>
      </c>
      <c r="K62" s="109"/>
      <c r="L62" s="110"/>
      <c r="M62" s="110"/>
      <c r="N62" s="110"/>
      <c r="O62" s="110"/>
      <c r="P62" s="110"/>
      <c r="Q62" s="111"/>
      <c r="R62" s="19"/>
      <c r="S62" s="19"/>
      <c r="T62" s="19"/>
      <c r="U62" s="19"/>
    </row>
    <row r="63" spans="1:21" ht="18" customHeight="1" x14ac:dyDescent="0.15">
      <c r="A63" s="3"/>
      <c r="B63" s="109"/>
      <c r="C63" s="110"/>
      <c r="D63" s="110"/>
      <c r="E63" s="110"/>
      <c r="F63" s="111"/>
      <c r="G63" s="19"/>
      <c r="H63" s="19"/>
      <c r="I63" s="19"/>
      <c r="J63" s="19"/>
      <c r="K63" s="109"/>
      <c r="L63" s="110"/>
      <c r="M63" s="110"/>
      <c r="N63" s="110"/>
      <c r="O63" s="110"/>
      <c r="P63" s="110"/>
      <c r="Q63" s="111"/>
      <c r="R63" s="19"/>
      <c r="S63" s="19"/>
      <c r="T63" s="19"/>
      <c r="U63" s="19"/>
    </row>
    <row r="64" spans="1:21" ht="18" customHeight="1" x14ac:dyDescent="0.15">
      <c r="A64" s="3"/>
      <c r="B64" s="109"/>
      <c r="C64" s="110"/>
      <c r="D64" s="110"/>
      <c r="E64" s="110"/>
      <c r="F64" s="111"/>
      <c r="G64" s="19"/>
      <c r="H64" s="19"/>
      <c r="I64" s="19"/>
      <c r="J64" s="19"/>
      <c r="K64" s="109"/>
      <c r="L64" s="110"/>
      <c r="M64" s="110"/>
      <c r="N64" s="110"/>
      <c r="O64" s="110"/>
      <c r="P64" s="110"/>
      <c r="Q64" s="111"/>
      <c r="R64" s="19"/>
      <c r="S64" s="19"/>
      <c r="T64" s="19"/>
      <c r="U64" s="19"/>
    </row>
    <row r="65" spans="1:21" ht="18" customHeight="1" x14ac:dyDescent="0.15">
      <c r="A65" s="3"/>
      <c r="B65" s="109"/>
      <c r="C65" s="110"/>
      <c r="D65" s="110"/>
      <c r="E65" s="110"/>
      <c r="F65" s="111"/>
      <c r="G65" s="19"/>
      <c r="H65" s="19"/>
      <c r="I65" s="19"/>
      <c r="J65" s="19"/>
      <c r="K65" s="109"/>
      <c r="L65" s="110"/>
      <c r="M65" s="110"/>
      <c r="N65" s="110"/>
      <c r="O65" s="110"/>
      <c r="P65" s="110"/>
      <c r="Q65" s="111"/>
      <c r="R65" s="19"/>
      <c r="S65" s="19"/>
      <c r="T65" s="19"/>
      <c r="U65" s="19"/>
    </row>
    <row r="66" spans="1:21" ht="18" customHeight="1" x14ac:dyDescent="0.15">
      <c r="A66" s="3"/>
      <c r="B66" s="132"/>
      <c r="C66" s="133"/>
      <c r="D66" s="133"/>
      <c r="E66" s="133"/>
      <c r="F66" s="134"/>
      <c r="G66" s="20"/>
      <c r="H66" s="20"/>
      <c r="I66" s="21"/>
      <c r="J66" s="21"/>
      <c r="K66" s="132"/>
      <c r="L66" s="133"/>
      <c r="M66" s="133"/>
      <c r="N66" s="133"/>
      <c r="O66" s="133"/>
      <c r="P66" s="133"/>
      <c r="Q66" s="134"/>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31" t="s">
        <v>105</v>
      </c>
      <c r="B68" s="131"/>
      <c r="C68" s="131"/>
      <c r="D68" s="131"/>
      <c r="E68" s="131"/>
      <c r="F68" s="131"/>
      <c r="G68" s="131"/>
      <c r="H68" s="131"/>
      <c r="I68" s="131"/>
      <c r="J68" s="131"/>
      <c r="K68" s="131"/>
      <c r="L68" s="131"/>
      <c r="M68" s="131"/>
      <c r="N68" s="131"/>
      <c r="O68" s="131"/>
      <c r="P68" s="131"/>
      <c r="Q68" s="131"/>
      <c r="R68" s="131"/>
      <c r="S68" s="131"/>
      <c r="T68" s="131"/>
      <c r="U68" s="131"/>
    </row>
    <row r="69" spans="1:21" ht="18" customHeight="1" x14ac:dyDescent="0.15">
      <c r="A69" s="131"/>
      <c r="B69" s="131"/>
      <c r="C69" s="131"/>
      <c r="D69" s="131"/>
      <c r="E69" s="131"/>
      <c r="F69" s="131"/>
      <c r="G69" s="131"/>
      <c r="H69" s="131"/>
      <c r="I69" s="131"/>
      <c r="J69" s="131"/>
      <c r="K69" s="131"/>
      <c r="L69" s="131"/>
      <c r="M69" s="131"/>
      <c r="N69" s="131"/>
      <c r="O69" s="131"/>
      <c r="P69" s="131"/>
      <c r="Q69" s="131"/>
      <c r="R69" s="131"/>
      <c r="S69" s="131"/>
      <c r="T69" s="131"/>
      <c r="U69" s="131"/>
    </row>
    <row r="70" spans="1:21" ht="18" customHeight="1" x14ac:dyDescent="0.15">
      <c r="B70" s="125" t="s">
        <v>51</v>
      </c>
      <c r="C70" s="126"/>
      <c r="D70" s="126"/>
      <c r="E70" s="126"/>
      <c r="F70" s="47" t="s">
        <v>77</v>
      </c>
      <c r="G70" s="46" t="s">
        <v>80</v>
      </c>
      <c r="H70" s="17" t="s">
        <v>92</v>
      </c>
      <c r="I70" s="17" t="s">
        <v>72</v>
      </c>
      <c r="J70" s="17" t="s">
        <v>73</v>
      </c>
      <c r="K70" s="125" t="s">
        <v>51</v>
      </c>
      <c r="L70" s="126"/>
      <c r="M70" s="126"/>
      <c r="N70" s="126"/>
      <c r="O70" s="126"/>
      <c r="P70" s="127"/>
      <c r="Q70" s="47" t="s">
        <v>77</v>
      </c>
      <c r="R70" s="46" t="s">
        <v>80</v>
      </c>
      <c r="S70" s="17" t="s">
        <v>92</v>
      </c>
      <c r="T70" s="17" t="s">
        <v>72</v>
      </c>
      <c r="U70" s="17" t="s">
        <v>73</v>
      </c>
    </row>
    <row r="71" spans="1:21" ht="18" customHeight="1" x14ac:dyDescent="0.15">
      <c r="A71" s="3"/>
      <c r="B71" s="128" t="s">
        <v>139</v>
      </c>
      <c r="C71" s="129"/>
      <c r="D71" s="129"/>
      <c r="E71" s="129"/>
      <c r="F71" s="18">
        <v>2</v>
      </c>
      <c r="G71" s="18" t="s">
        <v>140</v>
      </c>
      <c r="H71" s="18" t="s">
        <v>140</v>
      </c>
      <c r="I71" s="18" t="s">
        <v>140</v>
      </c>
      <c r="J71" s="18" t="s">
        <v>140</v>
      </c>
      <c r="K71" s="128"/>
      <c r="L71" s="129"/>
      <c r="M71" s="129"/>
      <c r="N71" s="129"/>
      <c r="O71" s="129"/>
      <c r="P71" s="130"/>
      <c r="Q71" s="18"/>
      <c r="R71" s="18"/>
      <c r="S71" s="18"/>
      <c r="T71" s="18"/>
      <c r="U71" s="18"/>
    </row>
    <row r="72" spans="1:21" ht="18" customHeight="1" x14ac:dyDescent="0.15">
      <c r="A72" s="3"/>
      <c r="B72" s="109" t="s">
        <v>143</v>
      </c>
      <c r="C72" s="110"/>
      <c r="D72" s="110"/>
      <c r="E72" s="110"/>
      <c r="F72" s="19">
        <v>2</v>
      </c>
      <c r="G72" s="19"/>
      <c r="H72" s="19"/>
      <c r="I72" s="19" t="s">
        <v>140</v>
      </c>
      <c r="J72" s="19"/>
      <c r="K72" s="109"/>
      <c r="L72" s="110"/>
      <c r="M72" s="110"/>
      <c r="N72" s="110"/>
      <c r="O72" s="110"/>
      <c r="P72" s="111"/>
      <c r="Q72" s="19"/>
      <c r="R72" s="19"/>
      <c r="S72" s="19"/>
      <c r="T72" s="19"/>
      <c r="U72" s="19"/>
    </row>
    <row r="73" spans="1:21" ht="18" customHeight="1" x14ac:dyDescent="0.15">
      <c r="A73" s="3"/>
      <c r="B73" s="109"/>
      <c r="C73" s="110"/>
      <c r="D73" s="110"/>
      <c r="E73" s="110"/>
      <c r="F73" s="19"/>
      <c r="G73" s="19"/>
      <c r="H73" s="19"/>
      <c r="I73" s="19"/>
      <c r="J73" s="19"/>
      <c r="K73" s="109"/>
      <c r="L73" s="110"/>
      <c r="M73" s="110"/>
      <c r="N73" s="110"/>
      <c r="O73" s="110"/>
      <c r="P73" s="111"/>
      <c r="Q73" s="19"/>
      <c r="R73" s="19"/>
      <c r="S73" s="19"/>
      <c r="T73" s="19"/>
      <c r="U73" s="19"/>
    </row>
    <row r="74" spans="1:21" ht="18" customHeight="1" x14ac:dyDescent="0.15">
      <c r="A74" s="3"/>
      <c r="B74" s="109"/>
      <c r="C74" s="110"/>
      <c r="D74" s="110"/>
      <c r="E74" s="110"/>
      <c r="F74" s="19"/>
      <c r="G74" s="19"/>
      <c r="H74" s="19"/>
      <c r="I74" s="19"/>
      <c r="J74" s="19"/>
      <c r="K74" s="109"/>
      <c r="L74" s="110"/>
      <c r="M74" s="110"/>
      <c r="N74" s="110"/>
      <c r="O74" s="110"/>
      <c r="P74" s="111"/>
      <c r="Q74" s="19"/>
      <c r="R74" s="19"/>
      <c r="S74" s="19"/>
      <c r="T74" s="19"/>
      <c r="U74" s="19"/>
    </row>
    <row r="75" spans="1:21" ht="18" customHeight="1" x14ac:dyDescent="0.15">
      <c r="A75" s="3"/>
      <c r="B75" s="109"/>
      <c r="C75" s="110"/>
      <c r="D75" s="110"/>
      <c r="E75" s="110"/>
      <c r="F75" s="19"/>
      <c r="G75" s="19"/>
      <c r="H75" s="19"/>
      <c r="I75" s="19"/>
      <c r="J75" s="19"/>
      <c r="K75" s="109"/>
      <c r="L75" s="110"/>
      <c r="M75" s="110"/>
      <c r="N75" s="110"/>
      <c r="O75" s="110"/>
      <c r="P75" s="111"/>
      <c r="Q75" s="19"/>
      <c r="R75" s="19"/>
      <c r="S75" s="19"/>
      <c r="T75" s="19"/>
      <c r="U75" s="19"/>
    </row>
    <row r="76" spans="1:21" ht="18" customHeight="1" x14ac:dyDescent="0.15">
      <c r="A76" s="3"/>
      <c r="B76" s="109"/>
      <c r="C76" s="110"/>
      <c r="D76" s="110"/>
      <c r="E76" s="110"/>
      <c r="F76" s="19"/>
      <c r="G76" s="19"/>
      <c r="H76" s="19"/>
      <c r="I76" s="19"/>
      <c r="J76" s="19"/>
      <c r="K76" s="109"/>
      <c r="L76" s="110"/>
      <c r="M76" s="110"/>
      <c r="N76" s="110"/>
      <c r="O76" s="110"/>
      <c r="P76" s="111"/>
      <c r="Q76" s="19"/>
      <c r="R76" s="19"/>
      <c r="S76" s="19"/>
      <c r="T76" s="19"/>
      <c r="U76" s="19"/>
    </row>
    <row r="77" spans="1:21" ht="18" customHeight="1" x14ac:dyDescent="0.15">
      <c r="A77" s="3"/>
      <c r="B77" s="132"/>
      <c r="C77" s="133"/>
      <c r="D77" s="133"/>
      <c r="E77" s="133"/>
      <c r="F77" s="20"/>
      <c r="G77" s="20"/>
      <c r="H77" s="21"/>
      <c r="I77" s="21"/>
      <c r="J77" s="21"/>
      <c r="K77" s="132"/>
      <c r="L77" s="133"/>
      <c r="M77" s="133"/>
      <c r="N77" s="133"/>
      <c r="O77" s="133"/>
      <c r="P77" s="134"/>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125" t="s">
        <v>51</v>
      </c>
      <c r="C80" s="126"/>
      <c r="D80" s="126"/>
      <c r="E80" s="126"/>
      <c r="F80" s="127"/>
      <c r="G80" s="125" t="s">
        <v>78</v>
      </c>
      <c r="H80" s="126"/>
      <c r="I80" s="126"/>
      <c r="J80" s="127"/>
      <c r="K80" s="135" t="s">
        <v>51</v>
      </c>
      <c r="L80" s="136"/>
      <c r="M80" s="136"/>
      <c r="N80" s="136"/>
      <c r="O80" s="136"/>
      <c r="P80" s="136"/>
      <c r="Q80" s="137"/>
      <c r="R80" s="125" t="s">
        <v>78</v>
      </c>
      <c r="S80" s="126"/>
      <c r="T80" s="126"/>
      <c r="U80" s="127"/>
    </row>
    <row r="81" spans="1:21" ht="18" customHeight="1" x14ac:dyDescent="0.15">
      <c r="A81" s="3"/>
      <c r="B81" s="109" t="s">
        <v>145</v>
      </c>
      <c r="C81" s="110"/>
      <c r="D81" s="110"/>
      <c r="E81" s="110"/>
      <c r="F81" s="111"/>
      <c r="G81" s="141" t="s">
        <v>147</v>
      </c>
      <c r="H81" s="142"/>
      <c r="I81" s="142"/>
      <c r="J81" s="143"/>
      <c r="K81" s="128"/>
      <c r="L81" s="129"/>
      <c r="M81" s="129"/>
      <c r="N81" s="129"/>
      <c r="O81" s="129"/>
      <c r="P81" s="129"/>
      <c r="Q81" s="130"/>
      <c r="R81" s="141"/>
      <c r="S81" s="142"/>
      <c r="T81" s="142"/>
      <c r="U81" s="143"/>
    </row>
    <row r="82" spans="1:21" ht="18" customHeight="1" x14ac:dyDescent="0.15">
      <c r="A82" s="3"/>
      <c r="B82" s="109" t="s">
        <v>146</v>
      </c>
      <c r="C82" s="110"/>
      <c r="D82" s="110"/>
      <c r="E82" s="110"/>
      <c r="F82" s="111"/>
      <c r="G82" s="174" t="s">
        <v>147</v>
      </c>
      <c r="H82" s="175"/>
      <c r="I82" s="175"/>
      <c r="J82" s="176"/>
      <c r="K82" s="109"/>
      <c r="L82" s="110"/>
      <c r="M82" s="110"/>
      <c r="N82" s="110"/>
      <c r="O82" s="110"/>
      <c r="P82" s="110"/>
      <c r="Q82" s="111"/>
      <c r="R82" s="138"/>
      <c r="S82" s="139"/>
      <c r="T82" s="139"/>
      <c r="U82" s="140"/>
    </row>
    <row r="83" spans="1:21" ht="18" customHeight="1" x14ac:dyDescent="0.15">
      <c r="A83" s="3"/>
      <c r="B83" s="171" t="s">
        <v>185</v>
      </c>
      <c r="C83" s="172"/>
      <c r="D83" s="172"/>
      <c r="E83" s="172"/>
      <c r="F83" s="173"/>
      <c r="G83" s="174" t="s">
        <v>147</v>
      </c>
      <c r="H83" s="175"/>
      <c r="I83" s="175"/>
      <c r="J83" s="176"/>
      <c r="K83" s="109"/>
      <c r="L83" s="110"/>
      <c r="M83" s="110"/>
      <c r="N83" s="110"/>
      <c r="O83" s="110"/>
      <c r="P83" s="110"/>
      <c r="Q83" s="111"/>
      <c r="R83" s="138"/>
      <c r="S83" s="139"/>
      <c r="T83" s="139"/>
      <c r="U83" s="140"/>
    </row>
    <row r="84" spans="1:21" ht="18" customHeight="1" x14ac:dyDescent="0.15">
      <c r="A84" s="3"/>
      <c r="B84" s="171"/>
      <c r="C84" s="172"/>
      <c r="D84" s="172"/>
      <c r="E84" s="172"/>
      <c r="F84" s="173"/>
      <c r="G84" s="174"/>
      <c r="H84" s="175"/>
      <c r="I84" s="175"/>
      <c r="J84" s="176"/>
      <c r="K84" s="109"/>
      <c r="L84" s="110"/>
      <c r="M84" s="110"/>
      <c r="N84" s="110"/>
      <c r="O84" s="110"/>
      <c r="P84" s="110"/>
      <c r="Q84" s="111"/>
      <c r="R84" s="138"/>
      <c r="S84" s="139"/>
      <c r="T84" s="139"/>
      <c r="U84" s="140"/>
    </row>
    <row r="85" spans="1:21" ht="18" customHeight="1" x14ac:dyDescent="0.15">
      <c r="A85" s="3"/>
      <c r="B85" s="109"/>
      <c r="C85" s="110"/>
      <c r="D85" s="110"/>
      <c r="E85" s="110"/>
      <c r="F85" s="111"/>
      <c r="G85" s="138"/>
      <c r="H85" s="139"/>
      <c r="I85" s="139"/>
      <c r="J85" s="140"/>
      <c r="K85" s="109"/>
      <c r="L85" s="110"/>
      <c r="M85" s="110"/>
      <c r="N85" s="110"/>
      <c r="O85" s="110"/>
      <c r="P85" s="110"/>
      <c r="Q85" s="111"/>
      <c r="R85" s="138"/>
      <c r="S85" s="139"/>
      <c r="T85" s="139"/>
      <c r="U85" s="140"/>
    </row>
    <row r="86" spans="1:21" ht="18" customHeight="1" x14ac:dyDescent="0.15">
      <c r="A86" s="3"/>
      <c r="B86" s="109"/>
      <c r="C86" s="110"/>
      <c r="D86" s="110"/>
      <c r="E86" s="110"/>
      <c r="F86" s="111"/>
      <c r="G86" s="138"/>
      <c r="H86" s="139"/>
      <c r="I86" s="139"/>
      <c r="J86" s="140"/>
      <c r="K86" s="109"/>
      <c r="L86" s="110"/>
      <c r="M86" s="110"/>
      <c r="N86" s="110"/>
      <c r="O86" s="110"/>
      <c r="P86" s="110"/>
      <c r="Q86" s="111"/>
      <c r="R86" s="138"/>
      <c r="S86" s="139"/>
      <c r="T86" s="139"/>
      <c r="U86" s="140"/>
    </row>
    <row r="87" spans="1:21" ht="18" customHeight="1" x14ac:dyDescent="0.15">
      <c r="A87" s="3"/>
      <c r="B87" s="132"/>
      <c r="C87" s="133"/>
      <c r="D87" s="133"/>
      <c r="E87" s="133"/>
      <c r="F87" s="134"/>
      <c r="G87" s="144"/>
      <c r="H87" s="145"/>
      <c r="I87" s="145"/>
      <c r="J87" s="146"/>
      <c r="K87" s="132"/>
      <c r="L87" s="133"/>
      <c r="M87" s="133"/>
      <c r="N87" s="133"/>
      <c r="O87" s="133"/>
      <c r="P87" s="133"/>
      <c r="Q87" s="134"/>
      <c r="R87" s="144"/>
      <c r="S87" s="145"/>
      <c r="T87" s="145"/>
      <c r="U87" s="146"/>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47" t="s">
        <v>52</v>
      </c>
      <c r="C90" s="148"/>
      <c r="D90" s="125" t="s">
        <v>53</v>
      </c>
      <c r="E90" s="126"/>
      <c r="F90" s="126"/>
      <c r="G90" s="126"/>
      <c r="H90" s="126"/>
      <c r="I90" s="126"/>
      <c r="J90" s="126"/>
      <c r="K90" s="126"/>
      <c r="L90" s="126"/>
      <c r="M90" s="126"/>
      <c r="N90" s="126"/>
      <c r="O90" s="126"/>
      <c r="P90" s="126"/>
      <c r="Q90" s="126"/>
      <c r="R90" s="126"/>
      <c r="S90" s="126"/>
      <c r="T90" s="126"/>
      <c r="U90" s="127"/>
    </row>
    <row r="91" spans="1:21" ht="97.5" customHeight="1" x14ac:dyDescent="0.15">
      <c r="B91" s="149" t="s">
        <v>59</v>
      </c>
      <c r="C91" s="23" t="s">
        <v>54</v>
      </c>
      <c r="D91" s="151" t="s">
        <v>215</v>
      </c>
      <c r="E91" s="152"/>
      <c r="F91" s="152"/>
      <c r="G91" s="152"/>
      <c r="H91" s="152"/>
      <c r="I91" s="152"/>
      <c r="J91" s="152"/>
      <c r="K91" s="152"/>
      <c r="L91" s="152"/>
      <c r="M91" s="152"/>
      <c r="N91" s="152"/>
      <c r="O91" s="152"/>
      <c r="P91" s="152"/>
      <c r="Q91" s="152"/>
      <c r="R91" s="152"/>
      <c r="S91" s="152"/>
      <c r="T91" s="152"/>
      <c r="U91" s="153"/>
    </row>
    <row r="92" spans="1:21" ht="97.5" customHeight="1" x14ac:dyDescent="0.15">
      <c r="B92" s="160"/>
      <c r="C92" s="24" t="s">
        <v>74</v>
      </c>
      <c r="D92" s="154" t="s">
        <v>222</v>
      </c>
      <c r="E92" s="155"/>
      <c r="F92" s="155"/>
      <c r="G92" s="155"/>
      <c r="H92" s="155"/>
      <c r="I92" s="155"/>
      <c r="J92" s="155"/>
      <c r="K92" s="155"/>
      <c r="L92" s="155"/>
      <c r="M92" s="155"/>
      <c r="N92" s="155"/>
      <c r="O92" s="155"/>
      <c r="P92" s="155"/>
      <c r="Q92" s="155"/>
      <c r="R92" s="155"/>
      <c r="S92" s="155"/>
      <c r="T92" s="155"/>
      <c r="U92" s="156"/>
    </row>
    <row r="93" spans="1:21" ht="97.5" customHeight="1" x14ac:dyDescent="0.15">
      <c r="B93" s="149" t="s">
        <v>60</v>
      </c>
      <c r="C93" s="25" t="s">
        <v>68</v>
      </c>
      <c r="D93" s="151" t="s">
        <v>201</v>
      </c>
      <c r="E93" s="152"/>
      <c r="F93" s="152"/>
      <c r="G93" s="152"/>
      <c r="H93" s="152"/>
      <c r="I93" s="152"/>
      <c r="J93" s="152"/>
      <c r="K93" s="152"/>
      <c r="L93" s="152"/>
      <c r="M93" s="152"/>
      <c r="N93" s="152"/>
      <c r="O93" s="152"/>
      <c r="P93" s="152"/>
      <c r="Q93" s="152"/>
      <c r="R93" s="152"/>
      <c r="S93" s="152"/>
      <c r="T93" s="152"/>
      <c r="U93" s="153"/>
    </row>
    <row r="94" spans="1:21" ht="97.5" customHeight="1" x14ac:dyDescent="0.15">
      <c r="B94" s="150"/>
      <c r="C94" s="26" t="s">
        <v>69</v>
      </c>
      <c r="D94" s="154" t="s">
        <v>196</v>
      </c>
      <c r="E94" s="155"/>
      <c r="F94" s="155"/>
      <c r="G94" s="155"/>
      <c r="H94" s="155"/>
      <c r="I94" s="155"/>
      <c r="J94" s="155"/>
      <c r="K94" s="155"/>
      <c r="L94" s="155"/>
      <c r="M94" s="155"/>
      <c r="N94" s="155"/>
      <c r="O94" s="155"/>
      <c r="P94" s="155"/>
      <c r="Q94" s="155"/>
      <c r="R94" s="155"/>
      <c r="S94" s="155"/>
      <c r="T94" s="155"/>
      <c r="U94" s="156"/>
    </row>
    <row r="95" spans="1:21" ht="97.5" customHeight="1" x14ac:dyDescent="0.15">
      <c r="B95" s="149" t="s">
        <v>61</v>
      </c>
      <c r="C95" s="25" t="s">
        <v>70</v>
      </c>
      <c r="D95" s="151" t="s">
        <v>221</v>
      </c>
      <c r="E95" s="152"/>
      <c r="F95" s="152"/>
      <c r="G95" s="152"/>
      <c r="H95" s="152"/>
      <c r="I95" s="152"/>
      <c r="J95" s="152"/>
      <c r="K95" s="152"/>
      <c r="L95" s="152"/>
      <c r="M95" s="152"/>
      <c r="N95" s="152"/>
      <c r="O95" s="152"/>
      <c r="P95" s="152"/>
      <c r="Q95" s="152"/>
      <c r="R95" s="152"/>
      <c r="S95" s="152"/>
      <c r="T95" s="152"/>
      <c r="U95" s="153"/>
    </row>
    <row r="96" spans="1:21" ht="97.5" customHeight="1" x14ac:dyDescent="0.15">
      <c r="B96" s="150"/>
      <c r="C96" s="27" t="s">
        <v>71</v>
      </c>
      <c r="D96" s="154" t="s">
        <v>150</v>
      </c>
      <c r="E96" s="155"/>
      <c r="F96" s="155"/>
      <c r="G96" s="155"/>
      <c r="H96" s="155"/>
      <c r="I96" s="155"/>
      <c r="J96" s="155"/>
      <c r="K96" s="155"/>
      <c r="L96" s="155"/>
      <c r="M96" s="155"/>
      <c r="N96" s="155"/>
      <c r="O96" s="155"/>
      <c r="P96" s="155"/>
      <c r="Q96" s="155"/>
      <c r="R96" s="155"/>
      <c r="S96" s="155"/>
      <c r="T96" s="155"/>
      <c r="U96" s="156"/>
    </row>
    <row r="97" spans="1:33" ht="97.5" customHeight="1" x14ac:dyDescent="0.15">
      <c r="B97" s="149" t="s">
        <v>75</v>
      </c>
      <c r="C97" s="23" t="s">
        <v>56</v>
      </c>
      <c r="D97" s="157" t="s">
        <v>202</v>
      </c>
      <c r="E97" s="158"/>
      <c r="F97" s="158"/>
      <c r="G97" s="158"/>
      <c r="H97" s="158"/>
      <c r="I97" s="158"/>
      <c r="J97" s="158"/>
      <c r="K97" s="158"/>
      <c r="L97" s="158"/>
      <c r="M97" s="158"/>
      <c r="N97" s="158"/>
      <c r="O97" s="158"/>
      <c r="P97" s="158"/>
      <c r="Q97" s="158"/>
      <c r="R97" s="158"/>
      <c r="S97" s="158"/>
      <c r="T97" s="158"/>
      <c r="U97" s="159"/>
    </row>
    <row r="98" spans="1:33" ht="97.5" customHeight="1" x14ac:dyDescent="0.15">
      <c r="B98" s="150"/>
      <c r="C98" s="26" t="s">
        <v>58</v>
      </c>
      <c r="D98" s="154" t="s">
        <v>203</v>
      </c>
      <c r="E98" s="155"/>
      <c r="F98" s="155"/>
      <c r="G98" s="155"/>
      <c r="H98" s="155"/>
      <c r="I98" s="155"/>
      <c r="J98" s="155"/>
      <c r="K98" s="155"/>
      <c r="L98" s="155"/>
      <c r="M98" s="155"/>
      <c r="N98" s="155"/>
      <c r="O98" s="155"/>
      <c r="P98" s="155"/>
      <c r="Q98" s="155"/>
      <c r="R98" s="155"/>
      <c r="S98" s="155"/>
      <c r="T98" s="155"/>
      <c r="U98" s="156"/>
    </row>
    <row r="99" spans="1:33" ht="97.5" customHeight="1" x14ac:dyDescent="0.15">
      <c r="B99" s="149" t="s">
        <v>76</v>
      </c>
      <c r="C99" s="25" t="s">
        <v>55</v>
      </c>
      <c r="D99" s="157" t="s">
        <v>224</v>
      </c>
      <c r="E99" s="158"/>
      <c r="F99" s="158"/>
      <c r="G99" s="158"/>
      <c r="H99" s="158"/>
      <c r="I99" s="158"/>
      <c r="J99" s="158"/>
      <c r="K99" s="158"/>
      <c r="L99" s="158"/>
      <c r="M99" s="158"/>
      <c r="N99" s="158"/>
      <c r="O99" s="158"/>
      <c r="P99" s="158"/>
      <c r="Q99" s="158"/>
      <c r="R99" s="158"/>
      <c r="S99" s="158"/>
      <c r="T99" s="158"/>
      <c r="U99" s="159"/>
    </row>
    <row r="100" spans="1:33" ht="97.5" customHeight="1" x14ac:dyDescent="0.15">
      <c r="B100" s="160"/>
      <c r="C100" s="28" t="s">
        <v>72</v>
      </c>
      <c r="D100" s="164" t="s">
        <v>204</v>
      </c>
      <c r="E100" s="165"/>
      <c r="F100" s="165"/>
      <c r="G100" s="165"/>
      <c r="H100" s="165"/>
      <c r="I100" s="165"/>
      <c r="J100" s="165"/>
      <c r="K100" s="165"/>
      <c r="L100" s="165"/>
      <c r="M100" s="165"/>
      <c r="N100" s="165"/>
      <c r="O100" s="165"/>
      <c r="P100" s="165"/>
      <c r="Q100" s="165"/>
      <c r="R100" s="165"/>
      <c r="S100" s="165"/>
      <c r="T100" s="165"/>
      <c r="U100" s="166"/>
    </row>
    <row r="101" spans="1:33" ht="97.5" customHeight="1" x14ac:dyDescent="0.15">
      <c r="B101" s="150"/>
      <c r="C101" s="27" t="s">
        <v>73</v>
      </c>
      <c r="D101" s="154" t="s">
        <v>197</v>
      </c>
      <c r="E101" s="155"/>
      <c r="F101" s="155"/>
      <c r="G101" s="155"/>
      <c r="H101" s="155"/>
      <c r="I101" s="155"/>
      <c r="J101" s="155"/>
      <c r="K101" s="155"/>
      <c r="L101" s="155"/>
      <c r="M101" s="155"/>
      <c r="N101" s="155"/>
      <c r="O101" s="155"/>
      <c r="P101" s="155"/>
      <c r="Q101" s="155"/>
      <c r="R101" s="155"/>
      <c r="S101" s="155"/>
      <c r="T101" s="155"/>
      <c r="U101" s="156"/>
    </row>
    <row r="102" spans="1:33" ht="6" customHeight="1" x14ac:dyDescent="0.15"/>
    <row r="103" spans="1:33" ht="18.75" customHeight="1" x14ac:dyDescent="0.15">
      <c r="A103" s="1" t="s">
        <v>108</v>
      </c>
    </row>
    <row r="104" spans="1:33" ht="81.75" customHeight="1" x14ac:dyDescent="0.15">
      <c r="B104" s="167" t="s">
        <v>231</v>
      </c>
      <c r="C104" s="168"/>
      <c r="D104" s="168"/>
      <c r="E104" s="168"/>
      <c r="F104" s="168"/>
      <c r="G104" s="168"/>
      <c r="H104" s="168"/>
      <c r="I104" s="168"/>
      <c r="J104" s="168"/>
      <c r="K104" s="168"/>
      <c r="L104" s="168"/>
      <c r="M104" s="168"/>
      <c r="N104" s="168"/>
      <c r="O104" s="168"/>
      <c r="P104" s="168"/>
      <c r="Q104" s="168"/>
      <c r="R104" s="168"/>
      <c r="S104" s="168"/>
      <c r="T104" s="168"/>
      <c r="U104" s="169"/>
    </row>
    <row r="106" spans="1:33" ht="18.75" customHeight="1" x14ac:dyDescent="0.15">
      <c r="A106" s="70" t="s">
        <v>124</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x14ac:dyDescent="0.15">
      <c r="A107" s="70" t="s">
        <v>126</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x14ac:dyDescent="0.15">
      <c r="A108" s="70"/>
      <c r="B108" s="170" t="s">
        <v>130</v>
      </c>
      <c r="C108" s="170"/>
      <c r="D108" s="170"/>
      <c r="E108" s="170"/>
      <c r="F108" s="170"/>
      <c r="G108" s="170"/>
      <c r="H108" s="170"/>
      <c r="I108" s="170"/>
      <c r="J108" s="170"/>
      <c r="K108" s="170"/>
      <c r="L108" s="170"/>
      <c r="M108" s="170"/>
      <c r="N108" s="170"/>
      <c r="O108" s="170"/>
      <c r="P108" s="170"/>
      <c r="Q108" s="170"/>
      <c r="R108" s="170"/>
      <c r="S108" s="170"/>
      <c r="T108" s="170"/>
      <c r="U108" s="170"/>
      <c r="V108" s="66"/>
      <c r="W108" s="66"/>
      <c r="X108" s="66"/>
      <c r="Y108" s="66"/>
      <c r="Z108" s="66"/>
      <c r="AA108" s="66"/>
      <c r="AB108" s="66"/>
      <c r="AC108" s="66"/>
      <c r="AD108" s="66"/>
      <c r="AE108" s="66"/>
      <c r="AF108" s="66"/>
      <c r="AG108" s="66"/>
    </row>
    <row r="109" spans="1:33" ht="37.15" customHeight="1" x14ac:dyDescent="0.15">
      <c r="A109" s="70"/>
      <c r="B109" s="170"/>
      <c r="C109" s="170"/>
      <c r="D109" s="170"/>
      <c r="E109" s="170"/>
      <c r="F109" s="170"/>
      <c r="G109" s="170"/>
      <c r="H109" s="170"/>
      <c r="I109" s="170"/>
      <c r="J109" s="170"/>
      <c r="K109" s="170"/>
      <c r="L109" s="170"/>
      <c r="M109" s="170"/>
      <c r="N109" s="170"/>
      <c r="O109" s="170"/>
      <c r="P109" s="170"/>
      <c r="Q109" s="170"/>
      <c r="R109" s="170"/>
      <c r="S109" s="170"/>
      <c r="T109" s="170"/>
      <c r="U109" s="170"/>
      <c r="V109" s="66"/>
      <c r="W109" s="66"/>
      <c r="X109" s="66"/>
      <c r="Y109" s="66"/>
      <c r="Z109" s="66"/>
      <c r="AA109" s="66"/>
      <c r="AB109" s="66"/>
      <c r="AC109" s="66"/>
      <c r="AD109" s="66"/>
      <c r="AE109" s="66"/>
      <c r="AF109" s="66"/>
      <c r="AG109" s="66"/>
    </row>
    <row r="110" spans="1:33" ht="18.75" customHeight="1" x14ac:dyDescent="0.15">
      <c r="A110" s="70"/>
      <c r="B110" s="161" t="s">
        <v>125</v>
      </c>
      <c r="C110" s="161"/>
      <c r="D110" s="161"/>
      <c r="E110" s="161"/>
      <c r="F110" s="161"/>
      <c r="G110" s="161"/>
      <c r="H110" s="161"/>
      <c r="I110" s="161"/>
      <c r="J110" s="161"/>
      <c r="K110" s="161"/>
      <c r="L110" s="161"/>
      <c r="M110" s="161"/>
      <c r="N110" s="161"/>
      <c r="O110" s="161"/>
      <c r="P110" s="161"/>
      <c r="Q110" s="161"/>
      <c r="R110" s="161"/>
      <c r="S110" s="161"/>
      <c r="T110" s="161"/>
      <c r="U110" s="161"/>
      <c r="V110" s="66"/>
      <c r="W110" s="66"/>
      <c r="X110" s="66"/>
      <c r="Y110" s="66"/>
      <c r="Z110" s="66"/>
      <c r="AA110" s="66"/>
      <c r="AB110" s="66"/>
      <c r="AC110" s="66"/>
      <c r="AD110" s="66"/>
      <c r="AE110" s="66"/>
      <c r="AF110" s="66"/>
      <c r="AG110" s="66"/>
    </row>
    <row r="111" spans="1:33" ht="18.75" customHeight="1" x14ac:dyDescent="0.15">
      <c r="A111" s="70"/>
      <c r="B111" s="162" t="s">
        <v>53</v>
      </c>
      <c r="C111" s="162"/>
      <c r="D111" s="162"/>
      <c r="E111" s="162"/>
      <c r="F111" s="162"/>
      <c r="G111" s="162"/>
      <c r="H111" s="162"/>
      <c r="I111" s="162"/>
      <c r="J111" s="162"/>
      <c r="K111" s="162"/>
      <c r="L111" s="162"/>
      <c r="M111" s="162"/>
      <c r="N111" s="162"/>
      <c r="O111" s="162"/>
      <c r="P111" s="162"/>
      <c r="Q111" s="162"/>
      <c r="R111" s="162"/>
      <c r="S111" s="162"/>
      <c r="T111" s="162"/>
      <c r="U111" s="162"/>
      <c r="V111" s="65"/>
      <c r="W111" s="65"/>
      <c r="X111" s="65"/>
      <c r="Y111" s="65"/>
      <c r="Z111" s="65"/>
      <c r="AA111" s="65"/>
      <c r="AB111" s="65"/>
      <c r="AC111" s="65"/>
      <c r="AD111" s="65"/>
      <c r="AE111" s="65"/>
      <c r="AF111" s="65"/>
      <c r="AG111" s="65"/>
    </row>
    <row r="112" spans="1:33" ht="132" customHeight="1" x14ac:dyDescent="0.15">
      <c r="A112" s="70"/>
      <c r="B112" s="163"/>
      <c r="C112" s="163"/>
      <c r="D112" s="163"/>
      <c r="E112" s="163"/>
      <c r="F112" s="163"/>
      <c r="G112" s="163"/>
      <c r="H112" s="163"/>
      <c r="I112" s="163"/>
      <c r="J112" s="163"/>
      <c r="K112" s="163"/>
      <c r="L112" s="163"/>
      <c r="M112" s="163"/>
      <c r="N112" s="163"/>
      <c r="O112" s="163"/>
      <c r="P112" s="163"/>
      <c r="Q112" s="163"/>
      <c r="R112" s="163"/>
      <c r="S112" s="163"/>
      <c r="T112" s="163"/>
      <c r="U112" s="163"/>
      <c r="V112" s="67"/>
      <c r="W112" s="67"/>
      <c r="X112" s="67"/>
      <c r="Y112" s="67"/>
      <c r="Z112" s="67"/>
      <c r="AA112" s="67"/>
      <c r="AB112" s="67"/>
      <c r="AC112" s="67"/>
      <c r="AD112" s="67"/>
      <c r="AE112" s="67"/>
      <c r="AF112" s="67"/>
      <c r="AG112" s="67"/>
    </row>
    <row r="114" ht="18" customHeight="1" x14ac:dyDescent="0.15"/>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R71:U77 S60:U66 G71:J77 H60:J66" xr:uid="{E7B54713-4B5A-4BAF-98DA-ED3E6CE46EEF}">
      <formula1>"○"</formula1>
    </dataValidation>
    <dataValidation type="list" allowBlank="1" showInputMessage="1" showErrorMessage="1" sqref="U34 U45 E34:H34 E45:H45" xr:uid="{681E8D22-0F3D-4798-B2B3-806FB7793EB7}">
      <formula1>"全学開講,一部開講"</formula1>
    </dataValidation>
    <dataValidation type="list" allowBlank="1" showInputMessage="1" showErrorMessage="1" sqref="L14 L7:U7" xr:uid="{04ED115E-EE14-4C6F-B583-CB721A5BB568}">
      <formula1>"学部・学科によって、修了要件は相違する,学部・学科によって、修了要件は相違しない"</formula1>
    </dataValidation>
    <dataValidation type="list" allowBlank="1" showInputMessage="1" showErrorMessage="1" sqref="S81:U82 R81:R88 G81:J88 S85:U88" xr:uid="{DC9EA149-DE14-4252-AC2E-7FACF36A197A}">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206B0F59-CEBD-4800-8D29-1B0B21813CAC}">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workbookViewId="0">
      <selection activeCell="C5" sqref="C5:D5"/>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1"/>
      <c r="B1" s="71"/>
      <c r="C1" s="71"/>
      <c r="D1" s="71"/>
      <c r="E1" s="71"/>
      <c r="F1" s="71"/>
      <c r="G1" s="71"/>
      <c r="H1" s="71"/>
      <c r="I1" s="71"/>
      <c r="J1" s="71"/>
      <c r="K1" s="71"/>
      <c r="L1" s="71"/>
      <c r="M1" s="71"/>
      <c r="N1" s="71"/>
      <c r="O1" s="71"/>
      <c r="P1" s="71"/>
      <c r="Q1" s="71"/>
      <c r="R1" s="71"/>
      <c r="S1" s="71" t="s">
        <v>97</v>
      </c>
    </row>
    <row r="2" spans="1:21" ht="18" customHeight="1" x14ac:dyDescent="0.15">
      <c r="A2" s="71"/>
      <c r="B2" s="71"/>
      <c r="C2" s="71"/>
      <c r="D2" s="71"/>
      <c r="E2" s="71"/>
      <c r="F2" s="71"/>
      <c r="G2" s="71"/>
      <c r="H2" s="71"/>
      <c r="I2" s="71"/>
      <c r="J2" s="71"/>
      <c r="K2" s="71"/>
      <c r="L2" s="71"/>
      <c r="M2" s="71"/>
      <c r="N2" s="71"/>
      <c r="O2" s="71"/>
      <c r="P2" s="71"/>
      <c r="Q2" s="188" t="str">
        <f>'様式１－１　プログラムを構成する授業科目'!C2</f>
        <v>北海学園大学</v>
      </c>
      <c r="R2" s="188"/>
      <c r="S2" s="188"/>
    </row>
    <row r="3" spans="1:21" ht="18" customHeight="1" x14ac:dyDescent="0.15">
      <c r="A3" s="99" t="s">
        <v>46</v>
      </c>
      <c r="B3" s="99"/>
      <c r="C3" s="99"/>
      <c r="D3" s="99"/>
      <c r="E3" s="99"/>
      <c r="F3" s="99"/>
      <c r="G3" s="99"/>
      <c r="H3" s="99"/>
      <c r="I3" s="99"/>
      <c r="J3" s="99"/>
      <c r="K3" s="99"/>
      <c r="L3" s="99"/>
      <c r="M3" s="99"/>
      <c r="N3" s="99"/>
      <c r="O3" s="99"/>
      <c r="P3" s="99"/>
      <c r="Q3" s="99"/>
      <c r="R3" s="99"/>
      <c r="S3" s="99"/>
    </row>
    <row r="4" spans="1:21" ht="7.5" customHeight="1" x14ac:dyDescent="0.15">
      <c r="A4" s="75"/>
      <c r="B4" s="75"/>
      <c r="C4" s="75"/>
      <c r="D4" s="75"/>
      <c r="E4" s="75"/>
      <c r="F4" s="75"/>
      <c r="G4" s="75"/>
      <c r="H4" s="75"/>
      <c r="I4" s="75"/>
      <c r="J4" s="75"/>
      <c r="K4" s="75"/>
      <c r="L4" s="75"/>
      <c r="M4" s="75"/>
      <c r="N4" s="75"/>
      <c r="O4" s="75"/>
      <c r="P4" s="75"/>
      <c r="Q4" s="75"/>
      <c r="R4" s="75"/>
      <c r="S4" s="75"/>
    </row>
    <row r="5" spans="1:21" ht="18" customHeight="1" x14ac:dyDescent="0.15">
      <c r="A5" s="71" t="s">
        <v>79</v>
      </c>
      <c r="B5" s="71"/>
      <c r="C5" s="189" t="s">
        <v>232</v>
      </c>
      <c r="D5" s="190"/>
      <c r="E5" s="75" t="s">
        <v>50</v>
      </c>
      <c r="F5" s="75"/>
      <c r="G5" s="75"/>
      <c r="H5" s="75"/>
      <c r="I5" s="75"/>
      <c r="J5" s="75"/>
      <c r="K5" s="75"/>
      <c r="L5" s="75"/>
      <c r="M5" s="75"/>
      <c r="N5" s="75"/>
      <c r="O5" s="75"/>
      <c r="P5" s="75"/>
      <c r="Q5" s="75"/>
      <c r="R5" s="73"/>
      <c r="S5" s="73"/>
    </row>
    <row r="6" spans="1:21" ht="7.15" customHeight="1" x14ac:dyDescent="0.15">
      <c r="A6" s="71"/>
      <c r="B6" s="71"/>
      <c r="C6" s="81"/>
      <c r="D6" s="81"/>
      <c r="E6" s="75"/>
      <c r="F6" s="75"/>
      <c r="G6" s="75"/>
      <c r="H6" s="75"/>
      <c r="I6" s="75"/>
      <c r="J6" s="75"/>
      <c r="K6" s="75"/>
      <c r="L6" s="75"/>
      <c r="M6" s="75"/>
      <c r="N6" s="75"/>
      <c r="O6" s="75"/>
      <c r="P6" s="75"/>
      <c r="Q6" s="75"/>
      <c r="R6" s="73"/>
      <c r="S6" s="73"/>
    </row>
    <row r="7" spans="1:21" ht="18" customHeight="1" x14ac:dyDescent="0.15">
      <c r="A7" s="71" t="s">
        <v>117</v>
      </c>
      <c r="B7" s="71"/>
      <c r="C7" s="81"/>
      <c r="D7" s="81"/>
      <c r="E7" s="75" t="s">
        <v>118</v>
      </c>
      <c r="F7" s="78">
        <v>5412</v>
      </c>
      <c r="G7" s="76" t="s">
        <v>119</v>
      </c>
      <c r="H7" s="75" t="s">
        <v>120</v>
      </c>
      <c r="I7" s="78">
        <v>2483</v>
      </c>
      <c r="J7" s="76" t="s">
        <v>119</v>
      </c>
      <c r="K7" s="72" t="s">
        <v>121</v>
      </c>
      <c r="L7" s="75" t="s">
        <v>122</v>
      </c>
      <c r="M7" s="78">
        <f>F7+I7</f>
        <v>7895</v>
      </c>
      <c r="N7" s="75" t="s">
        <v>1</v>
      </c>
      <c r="O7" s="76" t="s">
        <v>123</v>
      </c>
      <c r="P7" s="75"/>
      <c r="Q7" s="75"/>
      <c r="R7" s="73"/>
      <c r="S7" s="73"/>
    </row>
    <row r="8" spans="1:21" ht="6" customHeight="1" x14ac:dyDescent="0.15">
      <c r="A8" s="75"/>
      <c r="B8" s="75"/>
      <c r="C8" s="75"/>
      <c r="D8" s="75"/>
      <c r="E8" s="75"/>
      <c r="F8" s="75"/>
      <c r="G8" s="75"/>
      <c r="H8" s="75"/>
      <c r="I8" s="75"/>
      <c r="J8" s="75"/>
      <c r="K8" s="75"/>
      <c r="L8" s="75"/>
      <c r="M8" s="75"/>
      <c r="N8" s="75"/>
      <c r="O8" s="75"/>
      <c r="P8" s="75"/>
      <c r="Q8" s="75"/>
      <c r="R8" s="75"/>
      <c r="S8" s="75"/>
    </row>
    <row r="9" spans="1:21" ht="18" customHeight="1" x14ac:dyDescent="0.15">
      <c r="A9" s="71" t="s">
        <v>134</v>
      </c>
      <c r="B9" s="75"/>
      <c r="C9" s="75"/>
      <c r="D9" s="75"/>
      <c r="E9" s="75"/>
      <c r="F9" s="75"/>
      <c r="G9" s="75"/>
      <c r="H9" s="75"/>
      <c r="I9" s="75"/>
      <c r="J9" s="75"/>
      <c r="K9" s="75"/>
      <c r="L9" s="75"/>
      <c r="M9" s="75"/>
      <c r="N9" s="75"/>
      <c r="O9" s="75"/>
      <c r="P9" s="75"/>
      <c r="Q9" s="75"/>
      <c r="R9" s="75"/>
      <c r="S9" s="75"/>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91" t="s">
        <v>43</v>
      </c>
      <c r="C11" s="201" t="s">
        <v>82</v>
      </c>
      <c r="D11" s="193" t="s">
        <v>45</v>
      </c>
      <c r="E11" s="195" t="s">
        <v>38</v>
      </c>
      <c r="F11" s="187" t="s">
        <v>111</v>
      </c>
      <c r="G11" s="187"/>
      <c r="H11" s="187" t="s">
        <v>81</v>
      </c>
      <c r="I11" s="187"/>
      <c r="J11" s="187" t="s">
        <v>47</v>
      </c>
      <c r="K11" s="187"/>
      <c r="L11" s="187" t="s">
        <v>48</v>
      </c>
      <c r="M11" s="187"/>
      <c r="N11" s="187" t="s">
        <v>91</v>
      </c>
      <c r="O11" s="187"/>
      <c r="P11" s="187" t="s">
        <v>49</v>
      </c>
      <c r="Q11" s="187"/>
      <c r="R11" s="197" t="s">
        <v>34</v>
      </c>
      <c r="S11" s="199" t="s">
        <v>31</v>
      </c>
      <c r="U11" s="2"/>
    </row>
    <row r="12" spans="1:21" ht="16.899999999999999" customHeight="1" x14ac:dyDescent="0.15">
      <c r="B12" s="192"/>
      <c r="C12" s="202"/>
      <c r="D12" s="194"/>
      <c r="E12" s="196"/>
      <c r="F12" s="60" t="s">
        <v>90</v>
      </c>
      <c r="G12" s="60" t="s">
        <v>28</v>
      </c>
      <c r="H12" s="60" t="s">
        <v>90</v>
      </c>
      <c r="I12" s="60" t="s">
        <v>28</v>
      </c>
      <c r="J12" s="60" t="s">
        <v>90</v>
      </c>
      <c r="K12" s="60" t="s">
        <v>28</v>
      </c>
      <c r="L12" s="60" t="s">
        <v>90</v>
      </c>
      <c r="M12" s="60" t="s">
        <v>28</v>
      </c>
      <c r="N12" s="60" t="s">
        <v>90</v>
      </c>
      <c r="O12" s="60" t="s">
        <v>28</v>
      </c>
      <c r="P12" s="60" t="s">
        <v>90</v>
      </c>
      <c r="Q12" s="61" t="s">
        <v>28</v>
      </c>
      <c r="R12" s="198"/>
      <c r="S12" s="200"/>
      <c r="U12" s="2"/>
    </row>
    <row r="13" spans="1:21" ht="18" customHeight="1" x14ac:dyDescent="0.15">
      <c r="A13" s="6"/>
      <c r="B13" s="62" t="s">
        <v>152</v>
      </c>
      <c r="C13" s="48">
        <v>1257</v>
      </c>
      <c r="D13" s="49">
        <v>300</v>
      </c>
      <c r="E13" s="50">
        <v>1200</v>
      </c>
      <c r="F13" s="50">
        <v>3</v>
      </c>
      <c r="G13" s="50"/>
      <c r="H13" s="50"/>
      <c r="I13" s="50"/>
      <c r="J13" s="50"/>
      <c r="K13" s="50"/>
      <c r="L13" s="50"/>
      <c r="M13" s="50"/>
      <c r="N13" s="50"/>
      <c r="O13" s="50"/>
      <c r="P13" s="50"/>
      <c r="Q13" s="63"/>
      <c r="R13" s="49">
        <f t="shared" ref="R13:R32" si="0">F13+H13+J13+L13+N13+P13</f>
        <v>3</v>
      </c>
      <c r="S13" s="83">
        <f t="shared" ref="S13:S33" si="1">R13/E13</f>
        <v>2.5000000000000001E-3</v>
      </c>
    </row>
    <row r="14" spans="1:21" ht="18" customHeight="1" x14ac:dyDescent="0.15">
      <c r="A14" s="6"/>
      <c r="B14" s="11" t="s">
        <v>153</v>
      </c>
      <c r="C14" s="51">
        <v>1323</v>
      </c>
      <c r="D14" s="52">
        <v>300</v>
      </c>
      <c r="E14" s="53">
        <v>1200</v>
      </c>
      <c r="F14" s="54">
        <v>21</v>
      </c>
      <c r="G14" s="54">
        <v>7</v>
      </c>
      <c r="H14" s="54"/>
      <c r="I14" s="54"/>
      <c r="J14" s="54"/>
      <c r="K14" s="54"/>
      <c r="L14" s="54"/>
      <c r="M14" s="54"/>
      <c r="N14" s="54"/>
      <c r="O14" s="54"/>
      <c r="P14" s="54"/>
      <c r="Q14" s="51"/>
      <c r="R14" s="52">
        <f t="shared" si="0"/>
        <v>21</v>
      </c>
      <c r="S14" s="16">
        <f t="shared" si="1"/>
        <v>1.7500000000000002E-2</v>
      </c>
    </row>
    <row r="15" spans="1:21" ht="18" customHeight="1" x14ac:dyDescent="0.15">
      <c r="A15" s="6"/>
      <c r="B15" s="11" t="s">
        <v>154</v>
      </c>
      <c r="C15" s="51">
        <v>1134</v>
      </c>
      <c r="D15" s="52">
        <v>255</v>
      </c>
      <c r="E15" s="53">
        <v>1020</v>
      </c>
      <c r="F15" s="54">
        <v>6</v>
      </c>
      <c r="G15" s="54"/>
      <c r="H15" s="54"/>
      <c r="I15" s="54"/>
      <c r="J15" s="54"/>
      <c r="K15" s="54"/>
      <c r="L15" s="54"/>
      <c r="M15" s="54"/>
      <c r="N15" s="54"/>
      <c r="O15" s="54"/>
      <c r="P15" s="54"/>
      <c r="Q15" s="51"/>
      <c r="R15" s="52">
        <f t="shared" si="0"/>
        <v>6</v>
      </c>
      <c r="S15" s="8">
        <f t="shared" si="1"/>
        <v>5.8823529411764705E-3</v>
      </c>
    </row>
    <row r="16" spans="1:21" ht="18" customHeight="1" x14ac:dyDescent="0.15">
      <c r="A16" s="6"/>
      <c r="B16" s="11" t="s">
        <v>155</v>
      </c>
      <c r="C16" s="51">
        <v>853</v>
      </c>
      <c r="D16" s="52">
        <v>195</v>
      </c>
      <c r="E16" s="53">
        <v>780</v>
      </c>
      <c r="F16" s="54">
        <v>4</v>
      </c>
      <c r="G16" s="54"/>
      <c r="H16" s="54"/>
      <c r="I16" s="54"/>
      <c r="J16" s="54"/>
      <c r="K16" s="54"/>
      <c r="L16" s="54"/>
      <c r="M16" s="54"/>
      <c r="N16" s="54"/>
      <c r="O16" s="54"/>
      <c r="P16" s="54"/>
      <c r="Q16" s="51"/>
      <c r="R16" s="52">
        <f t="shared" si="0"/>
        <v>4</v>
      </c>
      <c r="S16" s="8">
        <f t="shared" si="1"/>
        <v>5.1282051282051282E-3</v>
      </c>
    </row>
    <row r="17" spans="1:19" ht="18" customHeight="1" x14ac:dyDescent="0.15">
      <c r="A17" s="6"/>
      <c r="B17" s="11" t="s">
        <v>151</v>
      </c>
      <c r="C17" s="51">
        <v>1144</v>
      </c>
      <c r="D17" s="52">
        <v>260</v>
      </c>
      <c r="E17" s="53">
        <v>1040</v>
      </c>
      <c r="F17" s="54">
        <v>118</v>
      </c>
      <c r="G17" s="54"/>
      <c r="H17" s="54"/>
      <c r="I17" s="54"/>
      <c r="J17" s="54"/>
      <c r="K17" s="54"/>
      <c r="L17" s="54"/>
      <c r="M17" s="54"/>
      <c r="N17" s="54"/>
      <c r="O17" s="54"/>
      <c r="P17" s="54"/>
      <c r="Q17" s="51"/>
      <c r="R17" s="52">
        <f t="shared" si="0"/>
        <v>118</v>
      </c>
      <c r="S17" s="8">
        <f t="shared" si="1"/>
        <v>0.11346153846153846</v>
      </c>
    </row>
    <row r="18" spans="1:19" ht="18" customHeight="1" x14ac:dyDescent="0.15">
      <c r="A18" s="6"/>
      <c r="B18" s="11" t="s">
        <v>156</v>
      </c>
      <c r="C18" s="51">
        <v>569</v>
      </c>
      <c r="D18" s="52">
        <v>120</v>
      </c>
      <c r="E18" s="53">
        <v>480</v>
      </c>
      <c r="F18" s="54">
        <v>1</v>
      </c>
      <c r="G18" s="54"/>
      <c r="H18" s="54"/>
      <c r="I18" s="54"/>
      <c r="J18" s="54"/>
      <c r="K18" s="54"/>
      <c r="L18" s="54"/>
      <c r="M18" s="54"/>
      <c r="N18" s="54"/>
      <c r="O18" s="54"/>
      <c r="P18" s="54"/>
      <c r="Q18" s="51"/>
      <c r="R18" s="52">
        <f t="shared" si="0"/>
        <v>1</v>
      </c>
      <c r="S18" s="8">
        <f t="shared" si="1"/>
        <v>2.0833333333333333E-3</v>
      </c>
    </row>
    <row r="19" spans="1:19" ht="18" customHeight="1" x14ac:dyDescent="0.15">
      <c r="A19" s="6"/>
      <c r="B19" s="11" t="s">
        <v>157</v>
      </c>
      <c r="C19" s="51">
        <v>475</v>
      </c>
      <c r="D19" s="52">
        <v>100</v>
      </c>
      <c r="E19" s="53">
        <v>400</v>
      </c>
      <c r="F19" s="54">
        <v>6</v>
      </c>
      <c r="G19" s="54">
        <v>1</v>
      </c>
      <c r="H19" s="54"/>
      <c r="I19" s="54"/>
      <c r="J19" s="54"/>
      <c r="K19" s="54"/>
      <c r="L19" s="54"/>
      <c r="M19" s="54"/>
      <c r="N19" s="54"/>
      <c r="O19" s="54"/>
      <c r="P19" s="54"/>
      <c r="Q19" s="51"/>
      <c r="R19" s="52">
        <f t="shared" si="0"/>
        <v>6</v>
      </c>
      <c r="S19" s="8">
        <f t="shared" si="1"/>
        <v>1.4999999999999999E-2</v>
      </c>
    </row>
    <row r="20" spans="1:19" ht="18" customHeight="1" x14ac:dyDescent="0.15">
      <c r="A20" s="6"/>
      <c r="B20" s="11" t="s">
        <v>158</v>
      </c>
      <c r="C20" s="51">
        <v>802</v>
      </c>
      <c r="D20" s="52">
        <v>180</v>
      </c>
      <c r="E20" s="53">
        <v>720</v>
      </c>
      <c r="F20" s="54">
        <v>3</v>
      </c>
      <c r="G20" s="54"/>
      <c r="H20" s="54"/>
      <c r="I20" s="54"/>
      <c r="J20" s="54"/>
      <c r="K20" s="54"/>
      <c r="L20" s="54"/>
      <c r="M20" s="54"/>
      <c r="N20" s="54"/>
      <c r="O20" s="54"/>
      <c r="P20" s="54"/>
      <c r="Q20" s="51"/>
      <c r="R20" s="52">
        <f t="shared" si="0"/>
        <v>3</v>
      </c>
      <c r="S20" s="8">
        <f t="shared" si="1"/>
        <v>4.1666666666666666E-3</v>
      </c>
    </row>
    <row r="21" spans="1:19" ht="18" customHeight="1" x14ac:dyDescent="0.15">
      <c r="A21" s="6"/>
      <c r="B21" s="11" t="s">
        <v>159</v>
      </c>
      <c r="C21" s="51">
        <v>338</v>
      </c>
      <c r="D21" s="52">
        <v>70</v>
      </c>
      <c r="E21" s="53">
        <v>280</v>
      </c>
      <c r="F21" s="54">
        <v>0</v>
      </c>
      <c r="G21" s="54"/>
      <c r="H21" s="54"/>
      <c r="I21" s="54"/>
      <c r="J21" s="54"/>
      <c r="K21" s="54"/>
      <c r="L21" s="54"/>
      <c r="M21" s="54"/>
      <c r="N21" s="54"/>
      <c r="O21" s="54"/>
      <c r="P21" s="54"/>
      <c r="Q21" s="51"/>
      <c r="R21" s="52">
        <f t="shared" si="0"/>
        <v>0</v>
      </c>
      <c r="S21" s="8">
        <f t="shared" si="1"/>
        <v>0</v>
      </c>
    </row>
    <row r="22" spans="1:19" ht="18" customHeight="1" x14ac:dyDescent="0.15">
      <c r="A22" s="6"/>
      <c r="B22" s="11"/>
      <c r="C22" s="51"/>
      <c r="D22" s="52"/>
      <c r="E22" s="53"/>
      <c r="F22" s="54"/>
      <c r="G22" s="54"/>
      <c r="H22" s="54"/>
      <c r="I22" s="54"/>
      <c r="J22" s="54"/>
      <c r="K22" s="54"/>
      <c r="L22" s="54"/>
      <c r="M22" s="54"/>
      <c r="N22" s="54"/>
      <c r="O22" s="54"/>
      <c r="P22" s="54"/>
      <c r="Q22" s="51"/>
      <c r="R22" s="52">
        <f t="shared" si="0"/>
        <v>0</v>
      </c>
      <c r="S22" s="8" t="e">
        <f t="shared" si="1"/>
        <v>#DIV/0!</v>
      </c>
    </row>
    <row r="23" spans="1:19" ht="18" customHeight="1" x14ac:dyDescent="0.15">
      <c r="A23" s="6"/>
      <c r="B23" s="11"/>
      <c r="C23" s="51"/>
      <c r="D23" s="52"/>
      <c r="E23" s="53"/>
      <c r="F23" s="54"/>
      <c r="G23" s="54"/>
      <c r="H23" s="54"/>
      <c r="I23" s="54"/>
      <c r="J23" s="54"/>
      <c r="K23" s="54"/>
      <c r="L23" s="54"/>
      <c r="M23" s="54"/>
      <c r="N23" s="54"/>
      <c r="O23" s="54"/>
      <c r="P23" s="54"/>
      <c r="Q23" s="51"/>
      <c r="R23" s="52">
        <f t="shared" si="0"/>
        <v>0</v>
      </c>
      <c r="S23" s="8" t="e">
        <f t="shared" si="1"/>
        <v>#DIV/0!</v>
      </c>
    </row>
    <row r="24" spans="1:19" ht="18" customHeight="1" x14ac:dyDescent="0.15">
      <c r="A24" s="6"/>
      <c r="B24" s="11"/>
      <c r="C24" s="51"/>
      <c r="D24" s="52"/>
      <c r="E24" s="53"/>
      <c r="F24" s="54"/>
      <c r="G24" s="54"/>
      <c r="H24" s="54"/>
      <c r="I24" s="54"/>
      <c r="J24" s="54"/>
      <c r="K24" s="54"/>
      <c r="L24" s="54"/>
      <c r="M24" s="54"/>
      <c r="N24" s="54"/>
      <c r="O24" s="54"/>
      <c r="P24" s="54"/>
      <c r="Q24" s="51"/>
      <c r="R24" s="52">
        <f t="shared" si="0"/>
        <v>0</v>
      </c>
      <c r="S24" s="8" t="e">
        <f t="shared" si="1"/>
        <v>#DIV/0!</v>
      </c>
    </row>
    <row r="25" spans="1:19" ht="18" customHeight="1" x14ac:dyDescent="0.15">
      <c r="A25" s="6"/>
      <c r="B25" s="11"/>
      <c r="C25" s="51"/>
      <c r="D25" s="52"/>
      <c r="E25" s="53"/>
      <c r="F25" s="54"/>
      <c r="G25" s="54"/>
      <c r="H25" s="54"/>
      <c r="I25" s="54"/>
      <c r="J25" s="54"/>
      <c r="K25" s="54"/>
      <c r="L25" s="54"/>
      <c r="M25" s="54"/>
      <c r="N25" s="54"/>
      <c r="O25" s="54"/>
      <c r="P25" s="54"/>
      <c r="Q25" s="51"/>
      <c r="R25" s="52">
        <f t="shared" si="0"/>
        <v>0</v>
      </c>
      <c r="S25" s="8" t="e">
        <f t="shared" si="1"/>
        <v>#DIV/0!</v>
      </c>
    </row>
    <row r="26" spans="1:19" ht="18" customHeight="1" x14ac:dyDescent="0.15">
      <c r="A26" s="6"/>
      <c r="B26" s="11"/>
      <c r="C26" s="51"/>
      <c r="D26" s="52"/>
      <c r="E26" s="53"/>
      <c r="F26" s="54"/>
      <c r="G26" s="54"/>
      <c r="H26" s="54"/>
      <c r="I26" s="54"/>
      <c r="J26" s="54"/>
      <c r="K26" s="54"/>
      <c r="L26" s="54"/>
      <c r="M26" s="54"/>
      <c r="N26" s="54"/>
      <c r="O26" s="54"/>
      <c r="P26" s="54"/>
      <c r="Q26" s="51"/>
      <c r="R26" s="52">
        <f t="shared" si="0"/>
        <v>0</v>
      </c>
      <c r="S26" s="8" t="e">
        <f t="shared" si="1"/>
        <v>#DIV/0!</v>
      </c>
    </row>
    <row r="27" spans="1:19" ht="18" customHeight="1" x14ac:dyDescent="0.15">
      <c r="A27" s="6"/>
      <c r="B27" s="11"/>
      <c r="C27" s="51"/>
      <c r="D27" s="52"/>
      <c r="E27" s="53"/>
      <c r="F27" s="54"/>
      <c r="G27" s="54"/>
      <c r="H27" s="54"/>
      <c r="I27" s="54"/>
      <c r="J27" s="54"/>
      <c r="K27" s="54"/>
      <c r="L27" s="54"/>
      <c r="M27" s="54"/>
      <c r="N27" s="54"/>
      <c r="O27" s="54"/>
      <c r="P27" s="54"/>
      <c r="Q27" s="51"/>
      <c r="R27" s="52">
        <f t="shared" si="0"/>
        <v>0</v>
      </c>
      <c r="S27" s="8" t="e">
        <f t="shared" si="1"/>
        <v>#DIV/0!</v>
      </c>
    </row>
    <row r="28" spans="1:19" ht="18" customHeight="1" x14ac:dyDescent="0.15">
      <c r="A28" s="6"/>
      <c r="B28" s="11"/>
      <c r="C28" s="51"/>
      <c r="D28" s="52"/>
      <c r="E28" s="53"/>
      <c r="F28" s="54"/>
      <c r="G28" s="54"/>
      <c r="H28" s="54"/>
      <c r="I28" s="54"/>
      <c r="J28" s="54"/>
      <c r="K28" s="54"/>
      <c r="L28" s="54"/>
      <c r="M28" s="54"/>
      <c r="N28" s="54"/>
      <c r="O28" s="54"/>
      <c r="P28" s="54"/>
      <c r="Q28" s="51"/>
      <c r="R28" s="52">
        <f t="shared" si="0"/>
        <v>0</v>
      </c>
      <c r="S28" s="8" t="e">
        <f t="shared" si="1"/>
        <v>#DIV/0!</v>
      </c>
    </row>
    <row r="29" spans="1:19" ht="18" customHeight="1" x14ac:dyDescent="0.15">
      <c r="A29" s="6"/>
      <c r="B29" s="11"/>
      <c r="C29" s="51"/>
      <c r="D29" s="52"/>
      <c r="E29" s="53"/>
      <c r="F29" s="54"/>
      <c r="G29" s="54"/>
      <c r="H29" s="54"/>
      <c r="I29" s="54"/>
      <c r="J29" s="54"/>
      <c r="K29" s="54"/>
      <c r="L29" s="54"/>
      <c r="M29" s="54"/>
      <c r="N29" s="54"/>
      <c r="O29" s="54"/>
      <c r="P29" s="54"/>
      <c r="Q29" s="51"/>
      <c r="R29" s="52">
        <f t="shared" si="0"/>
        <v>0</v>
      </c>
      <c r="S29" s="8" t="e">
        <f t="shared" si="1"/>
        <v>#DIV/0!</v>
      </c>
    </row>
    <row r="30" spans="1:19" ht="18" customHeight="1" x14ac:dyDescent="0.15">
      <c r="A30" s="6"/>
      <c r="B30" s="11"/>
      <c r="C30" s="51"/>
      <c r="D30" s="55"/>
      <c r="E30" s="53"/>
      <c r="F30" s="54"/>
      <c r="G30" s="54"/>
      <c r="H30" s="54"/>
      <c r="I30" s="54"/>
      <c r="J30" s="54"/>
      <c r="K30" s="54"/>
      <c r="L30" s="54"/>
      <c r="M30" s="54"/>
      <c r="N30" s="54"/>
      <c r="O30" s="54"/>
      <c r="P30" s="54"/>
      <c r="Q30" s="51"/>
      <c r="R30" s="55">
        <f t="shared" si="0"/>
        <v>0</v>
      </c>
      <c r="S30" s="8" t="e">
        <f t="shared" si="1"/>
        <v>#DIV/0!</v>
      </c>
    </row>
    <row r="31" spans="1:19" ht="18" customHeight="1" x14ac:dyDescent="0.15">
      <c r="A31" s="6"/>
      <c r="B31" s="11"/>
      <c r="C31" s="51"/>
      <c r="D31" s="55"/>
      <c r="E31" s="53"/>
      <c r="F31" s="54"/>
      <c r="G31" s="54"/>
      <c r="H31" s="54"/>
      <c r="I31" s="54"/>
      <c r="J31" s="54"/>
      <c r="K31" s="54"/>
      <c r="L31" s="54"/>
      <c r="M31" s="54"/>
      <c r="N31" s="54"/>
      <c r="O31" s="54"/>
      <c r="P31" s="54"/>
      <c r="Q31" s="51"/>
      <c r="R31" s="55">
        <f t="shared" si="0"/>
        <v>0</v>
      </c>
      <c r="S31" s="8" t="e">
        <f t="shared" si="1"/>
        <v>#DIV/0!</v>
      </c>
    </row>
    <row r="32" spans="1:19" ht="18" customHeight="1" thickBot="1" x14ac:dyDescent="0.2">
      <c r="A32" s="6"/>
      <c r="B32" s="12"/>
      <c r="C32" s="48"/>
      <c r="D32" s="56"/>
      <c r="E32" s="50"/>
      <c r="F32" s="50"/>
      <c r="G32" s="50"/>
      <c r="H32" s="50"/>
      <c r="I32" s="50"/>
      <c r="J32" s="50"/>
      <c r="K32" s="50"/>
      <c r="L32" s="50"/>
      <c r="M32" s="50"/>
      <c r="N32" s="50"/>
      <c r="O32" s="50"/>
      <c r="P32" s="50"/>
      <c r="Q32" s="51"/>
      <c r="R32" s="56">
        <f t="shared" si="0"/>
        <v>0</v>
      </c>
      <c r="S32" s="7" t="e">
        <f t="shared" si="1"/>
        <v>#DIV/0!</v>
      </c>
    </row>
    <row r="33" spans="2:19" ht="18" customHeight="1" thickTop="1" x14ac:dyDescent="0.15">
      <c r="B33" s="13" t="s">
        <v>32</v>
      </c>
      <c r="C33" s="57">
        <f t="shared" ref="C33" si="2">SUM(C13:C32)</f>
        <v>7895</v>
      </c>
      <c r="D33" s="58">
        <f t="shared" ref="D33:R33" si="3">SUM(D13:D32)</f>
        <v>1780</v>
      </c>
      <c r="E33" s="59">
        <f t="shared" si="3"/>
        <v>7120</v>
      </c>
      <c r="F33" s="59">
        <f t="shared" si="3"/>
        <v>162</v>
      </c>
      <c r="G33" s="59">
        <f t="shared" ref="G33:H33" si="4">SUM(G13:G32)</f>
        <v>8</v>
      </c>
      <c r="H33" s="59">
        <f t="shared" si="4"/>
        <v>0</v>
      </c>
      <c r="I33" s="59">
        <f t="shared" ref="I33:J33" si="5">SUM(I13:I32)</f>
        <v>0</v>
      </c>
      <c r="J33" s="59">
        <f t="shared" si="5"/>
        <v>0</v>
      </c>
      <c r="K33" s="59">
        <f t="shared" ref="K33:O33" si="6">SUM(K13:K32)</f>
        <v>0</v>
      </c>
      <c r="L33" s="59">
        <f t="shared" si="6"/>
        <v>0</v>
      </c>
      <c r="M33" s="59">
        <f t="shared" si="6"/>
        <v>0</v>
      </c>
      <c r="N33" s="59">
        <f t="shared" si="6"/>
        <v>0</v>
      </c>
      <c r="O33" s="59">
        <f t="shared" si="6"/>
        <v>0</v>
      </c>
      <c r="P33" s="59">
        <f t="shared" ref="P33:Q33" si="7">SUM(P13:P32)</f>
        <v>0</v>
      </c>
      <c r="Q33" s="57">
        <f t="shared" si="7"/>
        <v>0</v>
      </c>
      <c r="R33" s="58">
        <f t="shared" si="3"/>
        <v>162</v>
      </c>
      <c r="S33" s="9">
        <f t="shared" si="1"/>
        <v>2.2752808988764046E-2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3"/>
  <sheetViews>
    <sheetView zoomScaleNormal="100" workbookViewId="0">
      <selection activeCell="I5" sqref="I5"/>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0" width="11.375" style="92"/>
    <col min="11" max="16384" width="11.375" style="1"/>
  </cols>
  <sheetData>
    <row r="1" spans="1:9" ht="18.75" customHeight="1" x14ac:dyDescent="0.15">
      <c r="A1" s="32" t="s">
        <v>62</v>
      </c>
      <c r="I1" s="30" t="s">
        <v>96</v>
      </c>
    </row>
    <row r="2" spans="1:9" ht="18.75" customHeight="1" x14ac:dyDescent="0.15">
      <c r="G2" s="30" t="s">
        <v>98</v>
      </c>
      <c r="H2" s="125" t="str">
        <f>'様式１－１　プログラムを構成する授業科目'!C2</f>
        <v>北海学園大学</v>
      </c>
      <c r="I2" s="127"/>
    </row>
    <row r="3" spans="1:9" ht="18.75" customHeight="1" x14ac:dyDescent="0.15">
      <c r="G3" s="30"/>
      <c r="H3" s="10"/>
      <c r="I3" s="10"/>
    </row>
    <row r="4" spans="1:9" ht="18.600000000000001" customHeight="1" x14ac:dyDescent="0.15">
      <c r="A4" s="204" t="s">
        <v>35</v>
      </c>
      <c r="B4" s="204"/>
      <c r="C4" s="204"/>
      <c r="D4" s="204"/>
      <c r="E4" s="204"/>
      <c r="F4" s="204"/>
      <c r="G4" s="204"/>
      <c r="H4" s="204"/>
      <c r="I4" s="204"/>
    </row>
    <row r="5" spans="1:9" ht="13.15" customHeight="1" x14ac:dyDescent="0.15">
      <c r="B5" s="3"/>
      <c r="C5" s="3"/>
      <c r="D5" s="3"/>
      <c r="E5" s="3"/>
      <c r="F5" s="3"/>
      <c r="G5" s="3"/>
      <c r="H5" s="3"/>
      <c r="I5" s="3"/>
    </row>
    <row r="6" spans="1:9" ht="18" customHeight="1" x14ac:dyDescent="0.15">
      <c r="A6" s="1" t="s">
        <v>0</v>
      </c>
      <c r="B6" s="10" t="s">
        <v>85</v>
      </c>
      <c r="C6" s="235" t="s">
        <v>86</v>
      </c>
      <c r="D6" s="235"/>
      <c r="E6" s="29">
        <v>214</v>
      </c>
      <c r="F6" s="3" t="s">
        <v>1</v>
      </c>
      <c r="G6" s="3" t="s">
        <v>2</v>
      </c>
      <c r="H6" s="29">
        <v>284</v>
      </c>
      <c r="I6" s="10" t="s">
        <v>1</v>
      </c>
    </row>
    <row r="7" spans="1:9" ht="12" customHeight="1" x14ac:dyDescent="0.15">
      <c r="C7" s="2"/>
      <c r="D7" s="2"/>
      <c r="E7" s="2"/>
      <c r="F7" s="2"/>
      <c r="G7" s="2"/>
      <c r="H7" s="2"/>
      <c r="I7" s="33"/>
    </row>
    <row r="8" spans="1:9" ht="18" customHeight="1" x14ac:dyDescent="0.15">
      <c r="A8" s="1" t="s">
        <v>3</v>
      </c>
      <c r="B8" s="10" t="s">
        <v>87</v>
      </c>
      <c r="E8" s="3"/>
      <c r="F8" s="3"/>
      <c r="G8" s="3"/>
      <c r="H8" s="84">
        <v>25</v>
      </c>
      <c r="I8" s="10" t="s">
        <v>1</v>
      </c>
    </row>
    <row r="9" spans="1:9" ht="9" customHeight="1" x14ac:dyDescent="0.15">
      <c r="B9" s="3"/>
      <c r="C9" s="3"/>
      <c r="D9" s="3"/>
      <c r="E9" s="3"/>
      <c r="F9" s="3"/>
      <c r="G9" s="3"/>
      <c r="H9" s="3"/>
      <c r="I9" s="3"/>
    </row>
    <row r="10" spans="1:9" ht="18" customHeight="1" x14ac:dyDescent="0.15">
      <c r="A10" s="1" t="s">
        <v>4</v>
      </c>
      <c r="B10" s="10" t="s">
        <v>88</v>
      </c>
      <c r="C10" s="3"/>
      <c r="D10" s="3"/>
      <c r="E10" s="3"/>
      <c r="F10" s="3"/>
      <c r="G10" s="3"/>
      <c r="H10" s="3"/>
      <c r="I10" s="3"/>
    </row>
    <row r="11" spans="1:9" ht="18" customHeight="1" x14ac:dyDescent="0.15">
      <c r="B11" s="30" t="s">
        <v>41</v>
      </c>
      <c r="C11" s="228" t="s">
        <v>165</v>
      </c>
      <c r="D11" s="231"/>
      <c r="E11" s="232"/>
      <c r="F11" s="33"/>
      <c r="G11" s="30" t="s">
        <v>10</v>
      </c>
      <c r="H11" s="228" t="s">
        <v>166</v>
      </c>
      <c r="I11" s="232"/>
    </row>
    <row r="12" spans="1:9" ht="10.15" customHeight="1" x14ac:dyDescent="0.15">
      <c r="B12" s="30"/>
      <c r="C12" s="10"/>
      <c r="D12" s="33"/>
      <c r="E12" s="33"/>
      <c r="F12" s="33"/>
      <c r="G12" s="30"/>
      <c r="H12" s="10"/>
      <c r="I12" s="33"/>
    </row>
    <row r="13" spans="1:9" ht="18" customHeight="1" x14ac:dyDescent="0.15">
      <c r="A13" s="1" t="s">
        <v>7</v>
      </c>
      <c r="B13" s="10" t="s">
        <v>83</v>
      </c>
      <c r="C13" s="3"/>
      <c r="D13" s="3"/>
      <c r="E13" s="3"/>
      <c r="F13" s="3"/>
      <c r="G13" s="3"/>
      <c r="H13" s="3"/>
      <c r="I13" s="3"/>
    </row>
    <row r="14" spans="1:9" ht="18" customHeight="1" x14ac:dyDescent="0.15">
      <c r="B14" s="228" t="s">
        <v>167</v>
      </c>
      <c r="C14" s="229"/>
      <c r="D14" s="229"/>
      <c r="E14" s="229"/>
      <c r="F14" s="229"/>
      <c r="G14" s="229"/>
      <c r="H14" s="229"/>
      <c r="I14" s="230"/>
    </row>
    <row r="15" spans="1:9" ht="9" customHeight="1" x14ac:dyDescent="0.15">
      <c r="B15" s="3"/>
      <c r="C15" s="3"/>
      <c r="D15" s="3"/>
      <c r="E15" s="3"/>
      <c r="F15" s="3"/>
      <c r="G15" s="3"/>
      <c r="H15" s="3"/>
      <c r="I15" s="3"/>
    </row>
    <row r="16" spans="1:9" ht="18" customHeight="1" x14ac:dyDescent="0.15">
      <c r="B16" s="30" t="s">
        <v>41</v>
      </c>
      <c r="C16" s="228" t="s">
        <v>168</v>
      </c>
      <c r="D16" s="231"/>
      <c r="E16" s="232"/>
      <c r="F16" s="33"/>
      <c r="G16" s="30" t="s">
        <v>10</v>
      </c>
      <c r="H16" s="233" t="s">
        <v>186</v>
      </c>
      <c r="I16" s="234"/>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05" t="s">
        <v>169</v>
      </c>
      <c r="C19" s="206"/>
      <c r="D19" s="206"/>
      <c r="E19" s="206"/>
      <c r="F19" s="206"/>
      <c r="G19" s="206"/>
      <c r="H19" s="206"/>
      <c r="I19" s="207"/>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208" t="s">
        <v>226</v>
      </c>
      <c r="C22" s="209"/>
      <c r="D22" s="209"/>
      <c r="E22" s="209"/>
      <c r="F22" s="209"/>
      <c r="G22" s="209"/>
      <c r="H22" s="209"/>
      <c r="I22" s="210"/>
    </row>
    <row r="23" spans="1:9" ht="18.75" customHeight="1" x14ac:dyDescent="0.15">
      <c r="A23" s="14"/>
      <c r="B23" s="211"/>
      <c r="C23" s="212"/>
      <c r="D23" s="212"/>
      <c r="E23" s="212"/>
      <c r="F23" s="212"/>
      <c r="G23" s="212"/>
      <c r="H23" s="212"/>
      <c r="I23" s="213"/>
    </row>
    <row r="24" spans="1:9" ht="18.75" customHeight="1" x14ac:dyDescent="0.15">
      <c r="A24" s="14"/>
      <c r="B24" s="211"/>
      <c r="C24" s="212"/>
      <c r="D24" s="212"/>
      <c r="E24" s="212"/>
      <c r="F24" s="212"/>
      <c r="G24" s="212"/>
      <c r="H24" s="212"/>
      <c r="I24" s="213"/>
    </row>
    <row r="25" spans="1:9" ht="18.75" customHeight="1" x14ac:dyDescent="0.15">
      <c r="A25" s="14"/>
      <c r="B25" s="211"/>
      <c r="C25" s="212"/>
      <c r="D25" s="212"/>
      <c r="E25" s="212"/>
      <c r="F25" s="212"/>
      <c r="G25" s="212"/>
      <c r="H25" s="212"/>
      <c r="I25" s="213"/>
    </row>
    <row r="26" spans="1:9" ht="18.75" customHeight="1" x14ac:dyDescent="0.15">
      <c r="A26" s="14"/>
      <c r="B26" s="211"/>
      <c r="C26" s="212"/>
      <c r="D26" s="212"/>
      <c r="E26" s="212"/>
      <c r="F26" s="212"/>
      <c r="G26" s="212"/>
      <c r="H26" s="212"/>
      <c r="I26" s="213"/>
    </row>
    <row r="27" spans="1:9" ht="18.75" customHeight="1" x14ac:dyDescent="0.15">
      <c r="A27" s="14"/>
      <c r="B27" s="211"/>
      <c r="C27" s="212"/>
      <c r="D27" s="212"/>
      <c r="E27" s="212"/>
      <c r="F27" s="212"/>
      <c r="G27" s="212"/>
      <c r="H27" s="212"/>
      <c r="I27" s="213"/>
    </row>
    <row r="28" spans="1:9" ht="18.75" customHeight="1" x14ac:dyDescent="0.15">
      <c r="A28" s="14"/>
      <c r="B28" s="211"/>
      <c r="C28" s="212"/>
      <c r="D28" s="212"/>
      <c r="E28" s="212"/>
      <c r="F28" s="212"/>
      <c r="G28" s="212"/>
      <c r="H28" s="212"/>
      <c r="I28" s="213"/>
    </row>
    <row r="29" spans="1:9" ht="18.75" customHeight="1" x14ac:dyDescent="0.15">
      <c r="A29" s="14"/>
      <c r="B29" s="211"/>
      <c r="C29" s="212"/>
      <c r="D29" s="212"/>
      <c r="E29" s="212"/>
      <c r="F29" s="212"/>
      <c r="G29" s="212"/>
      <c r="H29" s="212"/>
      <c r="I29" s="213"/>
    </row>
    <row r="30" spans="1:9" ht="18.75" customHeight="1" x14ac:dyDescent="0.15">
      <c r="A30" s="14"/>
      <c r="B30" s="214"/>
      <c r="C30" s="215"/>
      <c r="D30" s="215"/>
      <c r="E30" s="215"/>
      <c r="F30" s="215"/>
      <c r="G30" s="215"/>
      <c r="H30" s="215"/>
      <c r="I30" s="213"/>
    </row>
    <row r="31" spans="1:9" ht="18.75" customHeight="1" x14ac:dyDescent="0.15">
      <c r="A31" s="14"/>
      <c r="B31" s="214"/>
      <c r="C31" s="215"/>
      <c r="D31" s="215"/>
      <c r="E31" s="215"/>
      <c r="F31" s="215"/>
      <c r="G31" s="215"/>
      <c r="H31" s="215"/>
      <c r="I31" s="213"/>
    </row>
    <row r="32" spans="1:9" ht="18.75" customHeight="1" x14ac:dyDescent="0.15">
      <c r="A32" s="14"/>
      <c r="B32" s="216"/>
      <c r="C32" s="217"/>
      <c r="D32" s="217"/>
      <c r="E32" s="217"/>
      <c r="F32" s="217"/>
      <c r="G32" s="217"/>
      <c r="H32" s="217"/>
      <c r="I32" s="218"/>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19" t="s">
        <v>194</v>
      </c>
      <c r="C35" s="220"/>
      <c r="D35" s="220"/>
      <c r="E35" s="220"/>
      <c r="F35" s="220"/>
      <c r="G35" s="220"/>
      <c r="H35" s="220"/>
      <c r="I35" s="221"/>
    </row>
    <row r="36" spans="1:9" ht="18.75" customHeight="1" x14ac:dyDescent="0.15">
      <c r="A36" s="14"/>
      <c r="B36" s="222"/>
      <c r="C36" s="223"/>
      <c r="D36" s="223"/>
      <c r="E36" s="223"/>
      <c r="F36" s="223"/>
      <c r="G36" s="223"/>
      <c r="H36" s="223"/>
      <c r="I36" s="224"/>
    </row>
    <row r="37" spans="1:9" ht="18.75" customHeight="1" x14ac:dyDescent="0.15">
      <c r="A37" s="14"/>
      <c r="B37" s="222"/>
      <c r="C37" s="223"/>
      <c r="D37" s="223"/>
      <c r="E37" s="223"/>
      <c r="F37" s="223"/>
      <c r="G37" s="223"/>
      <c r="H37" s="223"/>
      <c r="I37" s="224"/>
    </row>
    <row r="38" spans="1:9" ht="18.75" customHeight="1" x14ac:dyDescent="0.15">
      <c r="A38" s="14"/>
      <c r="B38" s="222"/>
      <c r="C38" s="223"/>
      <c r="D38" s="223"/>
      <c r="E38" s="223"/>
      <c r="F38" s="223"/>
      <c r="G38" s="223"/>
      <c r="H38" s="223"/>
      <c r="I38" s="224"/>
    </row>
    <row r="39" spans="1:9" ht="18.75" customHeight="1" x14ac:dyDescent="0.15">
      <c r="A39" s="14"/>
      <c r="B39" s="222"/>
      <c r="C39" s="223"/>
      <c r="D39" s="223"/>
      <c r="E39" s="223"/>
      <c r="F39" s="223"/>
      <c r="G39" s="223"/>
      <c r="H39" s="223"/>
      <c r="I39" s="224"/>
    </row>
    <row r="40" spans="1:9" ht="18.75" customHeight="1" x14ac:dyDescent="0.15">
      <c r="A40" s="14"/>
      <c r="B40" s="222"/>
      <c r="C40" s="223"/>
      <c r="D40" s="223"/>
      <c r="E40" s="223"/>
      <c r="F40" s="223"/>
      <c r="G40" s="223"/>
      <c r="H40" s="223"/>
      <c r="I40" s="224"/>
    </row>
    <row r="41" spans="1:9" ht="18.75" customHeight="1" x14ac:dyDescent="0.15">
      <c r="A41" s="14"/>
      <c r="B41" s="222"/>
      <c r="C41" s="223"/>
      <c r="D41" s="223"/>
      <c r="E41" s="223"/>
      <c r="F41" s="223"/>
      <c r="G41" s="223"/>
      <c r="H41" s="223"/>
      <c r="I41" s="224"/>
    </row>
    <row r="42" spans="1:9" ht="18.75" customHeight="1" x14ac:dyDescent="0.15">
      <c r="A42" s="14"/>
      <c r="B42" s="222"/>
      <c r="C42" s="223"/>
      <c r="D42" s="223"/>
      <c r="E42" s="223"/>
      <c r="F42" s="223"/>
      <c r="G42" s="223"/>
      <c r="H42" s="223"/>
      <c r="I42" s="224"/>
    </row>
    <row r="43" spans="1:9" ht="18.75" customHeight="1" x14ac:dyDescent="0.15">
      <c r="A43" s="14"/>
      <c r="B43" s="222"/>
      <c r="C43" s="223"/>
      <c r="D43" s="223"/>
      <c r="E43" s="223"/>
      <c r="F43" s="223"/>
      <c r="G43" s="223"/>
      <c r="H43" s="223"/>
      <c r="I43" s="224"/>
    </row>
    <row r="44" spans="1:9" ht="18.75" customHeight="1" x14ac:dyDescent="0.15">
      <c r="A44" s="14"/>
      <c r="B44" s="222"/>
      <c r="C44" s="223"/>
      <c r="D44" s="223"/>
      <c r="E44" s="223"/>
      <c r="F44" s="223"/>
      <c r="G44" s="223"/>
      <c r="H44" s="223"/>
      <c r="I44" s="224"/>
    </row>
    <row r="45" spans="1:9" ht="18.75" customHeight="1" x14ac:dyDescent="0.15">
      <c r="A45" s="14"/>
      <c r="B45" s="222"/>
      <c r="C45" s="223"/>
      <c r="D45" s="223"/>
      <c r="E45" s="223"/>
      <c r="F45" s="223"/>
      <c r="G45" s="223"/>
      <c r="H45" s="223"/>
      <c r="I45" s="224"/>
    </row>
    <row r="46" spans="1:9" ht="18.75" customHeight="1" x14ac:dyDescent="0.15">
      <c r="A46" s="14"/>
      <c r="B46" s="225"/>
      <c r="C46" s="226"/>
      <c r="D46" s="226"/>
      <c r="E46" s="226"/>
      <c r="F46" s="226"/>
      <c r="G46" s="226"/>
      <c r="H46" s="226"/>
      <c r="I46" s="227"/>
    </row>
    <row r="47" spans="1:9" ht="7.5" customHeight="1" x14ac:dyDescent="0.15">
      <c r="A47" s="4"/>
      <c r="B47" s="4"/>
      <c r="C47" s="4"/>
      <c r="D47" s="4"/>
      <c r="E47" s="4"/>
      <c r="F47" s="4"/>
      <c r="G47" s="4"/>
      <c r="H47" s="4"/>
      <c r="I47" s="4"/>
    </row>
    <row r="48" spans="1:9" ht="18.75" customHeight="1" x14ac:dyDescent="0.15">
      <c r="A48" s="1" t="s">
        <v>30</v>
      </c>
      <c r="B48" s="1" t="s">
        <v>110</v>
      </c>
    </row>
    <row r="49" spans="1:15" s="85" customFormat="1" ht="18.75" customHeight="1" x14ac:dyDescent="0.15">
      <c r="B49" s="86" t="s">
        <v>127</v>
      </c>
      <c r="C49" s="240">
        <f>'様式２ 履修者等数の実績'!S33</f>
        <v>2.2752808988764046E-2</v>
      </c>
      <c r="D49" s="240"/>
      <c r="E49" s="86" t="s">
        <v>63</v>
      </c>
      <c r="F49" s="240">
        <v>0.06</v>
      </c>
      <c r="G49" s="240"/>
      <c r="H49" s="86" t="s">
        <v>64</v>
      </c>
      <c r="I49" s="87">
        <v>0.12</v>
      </c>
      <c r="J49" s="93"/>
      <c r="M49" s="88"/>
      <c r="N49" s="89"/>
    </row>
    <row r="50" spans="1:15" s="85" customFormat="1" ht="18.75" customHeight="1" x14ac:dyDescent="0.15">
      <c r="B50" s="90" t="s">
        <v>84</v>
      </c>
      <c r="C50" s="259">
        <v>0.2</v>
      </c>
      <c r="D50" s="259"/>
      <c r="E50" s="90" t="s">
        <v>128</v>
      </c>
      <c r="F50" s="240">
        <v>0.3</v>
      </c>
      <c r="G50" s="240"/>
      <c r="H50" s="90" t="s">
        <v>65</v>
      </c>
      <c r="I50" s="91">
        <f>'様式２ 履修者等数の実績'!E33</f>
        <v>7120</v>
      </c>
      <c r="J50" s="93"/>
      <c r="M50" s="88"/>
      <c r="N50" s="89"/>
    </row>
    <row r="51" spans="1:15" ht="18.75" customHeight="1" x14ac:dyDescent="0.15">
      <c r="A51" s="1"/>
      <c r="B51" s="237" t="s">
        <v>66</v>
      </c>
      <c r="C51" s="238"/>
      <c r="D51" s="238"/>
      <c r="E51" s="238"/>
      <c r="F51" s="238"/>
      <c r="G51" s="238"/>
      <c r="H51" s="238"/>
      <c r="I51" s="239"/>
      <c r="N51" s="34"/>
      <c r="O51" s="3"/>
    </row>
    <row r="52" spans="1:15" ht="18.75" customHeight="1" x14ac:dyDescent="0.15">
      <c r="A52" s="1"/>
      <c r="B52" s="260" t="s">
        <v>179</v>
      </c>
      <c r="C52" s="261"/>
      <c r="D52" s="261"/>
      <c r="E52" s="261"/>
      <c r="F52" s="261"/>
      <c r="G52" s="261"/>
      <c r="H52" s="261"/>
      <c r="I52" s="262"/>
      <c r="N52" s="34"/>
      <c r="O52" s="3"/>
    </row>
    <row r="53" spans="1:15" ht="18.75" customHeight="1" x14ac:dyDescent="0.15">
      <c r="A53" s="1"/>
      <c r="B53" s="263"/>
      <c r="C53" s="264"/>
      <c r="D53" s="264"/>
      <c r="E53" s="264"/>
      <c r="F53" s="264"/>
      <c r="G53" s="264"/>
      <c r="H53" s="264"/>
      <c r="I53" s="265"/>
      <c r="N53" s="34"/>
      <c r="O53" s="3"/>
    </row>
    <row r="54" spans="1:15" ht="18.75" customHeight="1" x14ac:dyDescent="0.15">
      <c r="A54" s="1"/>
      <c r="B54" s="263"/>
      <c r="C54" s="264"/>
      <c r="D54" s="264"/>
      <c r="E54" s="264"/>
      <c r="F54" s="264"/>
      <c r="G54" s="264"/>
      <c r="H54" s="264"/>
      <c r="I54" s="265"/>
    </row>
    <row r="55" spans="1:15" ht="18.75" customHeight="1" x14ac:dyDescent="0.15">
      <c r="A55" s="1"/>
      <c r="B55" s="263"/>
      <c r="C55" s="264"/>
      <c r="D55" s="264"/>
      <c r="E55" s="264"/>
      <c r="F55" s="264"/>
      <c r="G55" s="264"/>
      <c r="H55" s="264"/>
      <c r="I55" s="265"/>
    </row>
    <row r="56" spans="1:15" ht="18.75" customHeight="1" x14ac:dyDescent="0.15">
      <c r="A56" s="1"/>
      <c r="B56" s="263"/>
      <c r="C56" s="264"/>
      <c r="D56" s="264"/>
      <c r="E56" s="264"/>
      <c r="F56" s="264"/>
      <c r="G56" s="264"/>
      <c r="H56" s="264"/>
      <c r="I56" s="265"/>
    </row>
    <row r="57" spans="1:15" ht="18.75" customHeight="1" x14ac:dyDescent="0.15">
      <c r="A57" s="1"/>
      <c r="B57" s="263"/>
      <c r="C57" s="264"/>
      <c r="D57" s="264"/>
      <c r="E57" s="264"/>
      <c r="F57" s="264"/>
      <c r="G57" s="264"/>
      <c r="H57" s="264"/>
      <c r="I57" s="265"/>
    </row>
    <row r="58" spans="1:15" ht="18.75" customHeight="1" x14ac:dyDescent="0.15">
      <c r="A58" s="1"/>
      <c r="B58" s="263"/>
      <c r="C58" s="264"/>
      <c r="D58" s="264"/>
      <c r="E58" s="264"/>
      <c r="F58" s="264"/>
      <c r="G58" s="264"/>
      <c r="H58" s="264"/>
      <c r="I58" s="265"/>
    </row>
    <row r="59" spans="1:15" ht="18.75" customHeight="1" x14ac:dyDescent="0.15">
      <c r="A59" s="1"/>
      <c r="B59" s="263"/>
      <c r="C59" s="264"/>
      <c r="D59" s="264"/>
      <c r="E59" s="264"/>
      <c r="F59" s="264"/>
      <c r="G59" s="264"/>
      <c r="H59" s="264"/>
      <c r="I59" s="265"/>
    </row>
    <row r="60" spans="1:15" ht="18.75" customHeight="1" x14ac:dyDescent="0.15">
      <c r="A60" s="1"/>
      <c r="B60" s="263"/>
      <c r="C60" s="264"/>
      <c r="D60" s="264"/>
      <c r="E60" s="264"/>
      <c r="F60" s="264"/>
      <c r="G60" s="264"/>
      <c r="H60" s="264"/>
      <c r="I60" s="265"/>
    </row>
    <row r="61" spans="1:15" ht="18.75" customHeight="1" x14ac:dyDescent="0.15">
      <c r="A61" s="1"/>
      <c r="B61" s="263"/>
      <c r="C61" s="264"/>
      <c r="D61" s="264"/>
      <c r="E61" s="264"/>
      <c r="F61" s="264"/>
      <c r="G61" s="264"/>
      <c r="H61" s="264"/>
      <c r="I61" s="265"/>
    </row>
    <row r="62" spans="1:15" ht="18.75" customHeight="1" x14ac:dyDescent="0.15">
      <c r="A62" s="1"/>
      <c r="B62" s="263"/>
      <c r="C62" s="264"/>
      <c r="D62" s="264"/>
      <c r="E62" s="264"/>
      <c r="F62" s="264"/>
      <c r="G62" s="264"/>
      <c r="H62" s="264"/>
      <c r="I62" s="265"/>
    </row>
    <row r="63" spans="1:15" ht="18.75" customHeight="1" x14ac:dyDescent="0.15">
      <c r="A63" s="1"/>
      <c r="B63" s="266"/>
      <c r="C63" s="267"/>
      <c r="D63" s="267"/>
      <c r="E63" s="267"/>
      <c r="F63" s="267"/>
      <c r="G63" s="267"/>
      <c r="H63" s="267"/>
      <c r="I63" s="268"/>
    </row>
    <row r="64" spans="1:15" ht="7.5" customHeight="1" x14ac:dyDescent="0.15">
      <c r="A64" s="14"/>
      <c r="B64" s="14"/>
      <c r="C64" s="14"/>
      <c r="D64" s="14"/>
      <c r="E64" s="14"/>
      <c r="F64" s="14"/>
      <c r="G64" s="14"/>
      <c r="H64" s="14"/>
      <c r="I64" s="14"/>
    </row>
    <row r="65" spans="1:9" ht="18.75" customHeight="1" x14ac:dyDescent="0.15">
      <c r="A65" s="15" t="s">
        <v>33</v>
      </c>
      <c r="B65" s="1" t="s">
        <v>36</v>
      </c>
      <c r="I65" s="15"/>
    </row>
    <row r="66" spans="1:9" ht="18.75" customHeight="1" x14ac:dyDescent="0.15">
      <c r="A66" s="4"/>
      <c r="B66" s="241" t="s">
        <v>230</v>
      </c>
      <c r="C66" s="242"/>
      <c r="D66" s="242"/>
      <c r="E66" s="242"/>
      <c r="F66" s="242"/>
      <c r="G66" s="242"/>
      <c r="H66" s="242"/>
      <c r="I66" s="243"/>
    </row>
    <row r="67" spans="1:9" ht="18.75" customHeight="1" x14ac:dyDescent="0.15">
      <c r="A67" s="4"/>
      <c r="B67" s="244"/>
      <c r="C67" s="245"/>
      <c r="D67" s="245"/>
      <c r="E67" s="245"/>
      <c r="F67" s="245"/>
      <c r="G67" s="245"/>
      <c r="H67" s="245"/>
      <c r="I67" s="246"/>
    </row>
    <row r="68" spans="1:9" ht="18.75" customHeight="1" x14ac:dyDescent="0.15">
      <c r="A68" s="4"/>
      <c r="B68" s="244"/>
      <c r="C68" s="245"/>
      <c r="D68" s="245"/>
      <c r="E68" s="245"/>
      <c r="F68" s="245"/>
      <c r="G68" s="245"/>
      <c r="H68" s="245"/>
      <c r="I68" s="246"/>
    </row>
    <row r="69" spans="1:9" ht="18.75" customHeight="1" x14ac:dyDescent="0.15">
      <c r="A69" s="4"/>
      <c r="B69" s="244"/>
      <c r="C69" s="245"/>
      <c r="D69" s="245"/>
      <c r="E69" s="245"/>
      <c r="F69" s="245"/>
      <c r="G69" s="245"/>
      <c r="H69" s="245"/>
      <c r="I69" s="246"/>
    </row>
    <row r="70" spans="1:9" ht="18.75" customHeight="1" x14ac:dyDescent="0.15">
      <c r="A70" s="4"/>
      <c r="B70" s="244"/>
      <c r="C70" s="245"/>
      <c r="D70" s="245"/>
      <c r="E70" s="245"/>
      <c r="F70" s="245"/>
      <c r="G70" s="245"/>
      <c r="H70" s="245"/>
      <c r="I70" s="246"/>
    </row>
    <row r="71" spans="1:9" ht="18.75" customHeight="1" x14ac:dyDescent="0.15">
      <c r="A71" s="4"/>
      <c r="B71" s="244"/>
      <c r="C71" s="245"/>
      <c r="D71" s="245"/>
      <c r="E71" s="245"/>
      <c r="F71" s="245"/>
      <c r="G71" s="245"/>
      <c r="H71" s="245"/>
      <c r="I71" s="246"/>
    </row>
    <row r="72" spans="1:9" ht="18.75" customHeight="1" x14ac:dyDescent="0.15">
      <c r="A72" s="4"/>
      <c r="B72" s="244"/>
      <c r="C72" s="245"/>
      <c r="D72" s="245"/>
      <c r="E72" s="245"/>
      <c r="F72" s="245"/>
      <c r="G72" s="245"/>
      <c r="H72" s="245"/>
      <c r="I72" s="246"/>
    </row>
    <row r="73" spans="1:9" ht="18.75" customHeight="1" x14ac:dyDescent="0.15">
      <c r="A73" s="4"/>
      <c r="B73" s="244"/>
      <c r="C73" s="245"/>
      <c r="D73" s="245"/>
      <c r="E73" s="245"/>
      <c r="F73" s="245"/>
      <c r="G73" s="245"/>
      <c r="H73" s="245"/>
      <c r="I73" s="246"/>
    </row>
    <row r="74" spans="1:9" ht="18.75" customHeight="1" x14ac:dyDescent="0.15">
      <c r="A74" s="4"/>
      <c r="B74" s="244"/>
      <c r="C74" s="245"/>
      <c r="D74" s="245"/>
      <c r="E74" s="245"/>
      <c r="F74" s="245"/>
      <c r="G74" s="245"/>
      <c r="H74" s="245"/>
      <c r="I74" s="246"/>
    </row>
    <row r="75" spans="1:9" ht="18.75" customHeight="1" x14ac:dyDescent="0.15">
      <c r="A75" s="4"/>
      <c r="B75" s="244"/>
      <c r="C75" s="245"/>
      <c r="D75" s="245"/>
      <c r="E75" s="245"/>
      <c r="F75" s="245"/>
      <c r="G75" s="245"/>
      <c r="H75" s="245"/>
      <c r="I75" s="246"/>
    </row>
    <row r="76" spans="1:9" ht="18.75" customHeight="1" x14ac:dyDescent="0.15">
      <c r="A76" s="4"/>
      <c r="B76" s="244"/>
      <c r="C76" s="245"/>
      <c r="D76" s="245"/>
      <c r="E76" s="245"/>
      <c r="F76" s="245"/>
      <c r="G76" s="245"/>
      <c r="H76" s="245"/>
      <c r="I76" s="246"/>
    </row>
    <row r="77" spans="1:9" ht="18.75" customHeight="1" x14ac:dyDescent="0.15">
      <c r="A77" s="4"/>
      <c r="B77" s="247"/>
      <c r="C77" s="248"/>
      <c r="D77" s="248"/>
      <c r="E77" s="248"/>
      <c r="F77" s="248"/>
      <c r="G77" s="248"/>
      <c r="H77" s="248"/>
      <c r="I77" s="249"/>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50" t="s">
        <v>227</v>
      </c>
      <c r="C80" s="251"/>
      <c r="D80" s="251"/>
      <c r="E80" s="251"/>
      <c r="F80" s="251"/>
      <c r="G80" s="251"/>
      <c r="H80" s="251"/>
      <c r="I80" s="252"/>
    </row>
    <row r="81" spans="1:9" ht="18.75" customHeight="1" x14ac:dyDescent="0.15">
      <c r="A81" s="1"/>
      <c r="B81" s="253"/>
      <c r="C81" s="254"/>
      <c r="D81" s="254"/>
      <c r="E81" s="254"/>
      <c r="F81" s="254"/>
      <c r="G81" s="254"/>
      <c r="H81" s="254"/>
      <c r="I81" s="255"/>
    </row>
    <row r="82" spans="1:9" ht="18.75" customHeight="1" x14ac:dyDescent="0.15">
      <c r="A82" s="1"/>
      <c r="B82" s="253"/>
      <c r="C82" s="254"/>
      <c r="D82" s="254"/>
      <c r="E82" s="254"/>
      <c r="F82" s="254"/>
      <c r="G82" s="254"/>
      <c r="H82" s="254"/>
      <c r="I82" s="255"/>
    </row>
    <row r="83" spans="1:9" ht="18.75" customHeight="1" x14ac:dyDescent="0.15">
      <c r="A83" s="1"/>
      <c r="B83" s="253"/>
      <c r="C83" s="254"/>
      <c r="D83" s="254"/>
      <c r="E83" s="254"/>
      <c r="F83" s="254"/>
      <c r="G83" s="254"/>
      <c r="H83" s="254"/>
      <c r="I83" s="255"/>
    </row>
    <row r="84" spans="1:9" ht="18.75" customHeight="1" x14ac:dyDescent="0.15">
      <c r="A84" s="1"/>
      <c r="B84" s="253"/>
      <c r="C84" s="254"/>
      <c r="D84" s="254"/>
      <c r="E84" s="254"/>
      <c r="F84" s="254"/>
      <c r="G84" s="254"/>
      <c r="H84" s="254"/>
      <c r="I84" s="255"/>
    </row>
    <row r="85" spans="1:9" ht="18.75" customHeight="1" x14ac:dyDescent="0.15">
      <c r="A85" s="1"/>
      <c r="B85" s="253"/>
      <c r="C85" s="254"/>
      <c r="D85" s="254"/>
      <c r="E85" s="254"/>
      <c r="F85" s="254"/>
      <c r="G85" s="254"/>
      <c r="H85" s="254"/>
      <c r="I85" s="255"/>
    </row>
    <row r="86" spans="1:9" ht="18.75" customHeight="1" x14ac:dyDescent="0.15">
      <c r="A86" s="1"/>
      <c r="B86" s="253"/>
      <c r="C86" s="254"/>
      <c r="D86" s="254"/>
      <c r="E86" s="254"/>
      <c r="F86" s="254"/>
      <c r="G86" s="254"/>
      <c r="H86" s="254"/>
      <c r="I86" s="255"/>
    </row>
    <row r="87" spans="1:9" ht="18.75" customHeight="1" x14ac:dyDescent="0.15">
      <c r="A87" s="1"/>
      <c r="B87" s="253"/>
      <c r="C87" s="254"/>
      <c r="D87" s="254"/>
      <c r="E87" s="254"/>
      <c r="F87" s="254"/>
      <c r="G87" s="254"/>
      <c r="H87" s="254"/>
      <c r="I87" s="255"/>
    </row>
    <row r="88" spans="1:9" ht="18.75" customHeight="1" x14ac:dyDescent="0.15">
      <c r="A88" s="1"/>
      <c r="B88" s="253"/>
      <c r="C88" s="254"/>
      <c r="D88" s="254"/>
      <c r="E88" s="254"/>
      <c r="F88" s="254"/>
      <c r="G88" s="254"/>
      <c r="H88" s="254"/>
      <c r="I88" s="255"/>
    </row>
    <row r="89" spans="1:9" ht="18.75" customHeight="1" x14ac:dyDescent="0.15">
      <c r="A89" s="1"/>
      <c r="B89" s="253"/>
      <c r="C89" s="254"/>
      <c r="D89" s="254"/>
      <c r="E89" s="254"/>
      <c r="F89" s="254"/>
      <c r="G89" s="254"/>
      <c r="H89" s="254"/>
      <c r="I89" s="255"/>
    </row>
    <row r="90" spans="1:9" ht="18.75" customHeight="1" x14ac:dyDescent="0.15">
      <c r="A90" s="4"/>
      <c r="B90" s="253"/>
      <c r="C90" s="254"/>
      <c r="D90" s="254"/>
      <c r="E90" s="254"/>
      <c r="F90" s="254"/>
      <c r="G90" s="254"/>
      <c r="H90" s="254"/>
      <c r="I90" s="255"/>
    </row>
    <row r="91" spans="1:9" ht="18.75" customHeight="1" x14ac:dyDescent="0.15">
      <c r="A91" s="4"/>
      <c r="B91" s="256"/>
      <c r="C91" s="257"/>
      <c r="D91" s="257"/>
      <c r="E91" s="257"/>
      <c r="F91" s="257"/>
      <c r="G91" s="257"/>
      <c r="H91" s="257"/>
      <c r="I91" s="258"/>
    </row>
    <row r="92" spans="1:9" ht="18.75" customHeight="1" x14ac:dyDescent="0.15">
      <c r="A92" s="1" t="s">
        <v>42</v>
      </c>
      <c r="B92" s="1" t="s">
        <v>12</v>
      </c>
    </row>
    <row r="93" spans="1:9" ht="18.75" customHeight="1" x14ac:dyDescent="0.15">
      <c r="A93" s="1"/>
      <c r="B93" s="208" t="s">
        <v>180</v>
      </c>
      <c r="C93" s="209"/>
      <c r="D93" s="209"/>
      <c r="E93" s="209"/>
      <c r="F93" s="209"/>
      <c r="G93" s="209"/>
      <c r="H93" s="209"/>
      <c r="I93" s="210"/>
    </row>
    <row r="94" spans="1:9" ht="18.75" customHeight="1" x14ac:dyDescent="0.15">
      <c r="A94" s="1"/>
      <c r="B94" s="214"/>
      <c r="C94" s="215"/>
      <c r="D94" s="215"/>
      <c r="E94" s="215"/>
      <c r="F94" s="215"/>
      <c r="G94" s="215"/>
      <c r="H94" s="215"/>
      <c r="I94" s="213"/>
    </row>
    <row r="95" spans="1:9" ht="18.75" customHeight="1" x14ac:dyDescent="0.15">
      <c r="A95" s="1"/>
      <c r="B95" s="214"/>
      <c r="C95" s="215"/>
      <c r="D95" s="215"/>
      <c r="E95" s="215"/>
      <c r="F95" s="215"/>
      <c r="G95" s="215"/>
      <c r="H95" s="215"/>
      <c r="I95" s="213"/>
    </row>
    <row r="96" spans="1:9" ht="18.75" customHeight="1" x14ac:dyDescent="0.15">
      <c r="A96" s="1"/>
      <c r="B96" s="214"/>
      <c r="C96" s="215"/>
      <c r="D96" s="215"/>
      <c r="E96" s="215"/>
      <c r="F96" s="215"/>
      <c r="G96" s="215"/>
      <c r="H96" s="215"/>
      <c r="I96" s="213"/>
    </row>
    <row r="97" spans="1:9" ht="18.75" customHeight="1" x14ac:dyDescent="0.15">
      <c r="A97" s="1"/>
      <c r="B97" s="214"/>
      <c r="C97" s="215"/>
      <c r="D97" s="215"/>
      <c r="E97" s="215"/>
      <c r="F97" s="215"/>
      <c r="G97" s="215"/>
      <c r="H97" s="215"/>
      <c r="I97" s="213"/>
    </row>
    <row r="98" spans="1:9" ht="18.75" customHeight="1" x14ac:dyDescent="0.15">
      <c r="A98" s="1"/>
      <c r="B98" s="214"/>
      <c r="C98" s="215"/>
      <c r="D98" s="215"/>
      <c r="E98" s="215"/>
      <c r="F98" s="215"/>
      <c r="G98" s="215"/>
      <c r="H98" s="215"/>
      <c r="I98" s="213"/>
    </row>
    <row r="99" spans="1:9" ht="18.75" customHeight="1" x14ac:dyDescent="0.15">
      <c r="A99" s="1"/>
      <c r="B99" s="214"/>
      <c r="C99" s="215"/>
      <c r="D99" s="215"/>
      <c r="E99" s="215"/>
      <c r="F99" s="215"/>
      <c r="G99" s="215"/>
      <c r="H99" s="215"/>
      <c r="I99" s="213"/>
    </row>
    <row r="100" spans="1:9" ht="18.75" customHeight="1" x14ac:dyDescent="0.15">
      <c r="A100" s="1"/>
      <c r="B100" s="214"/>
      <c r="C100" s="215"/>
      <c r="D100" s="215"/>
      <c r="E100" s="215"/>
      <c r="F100" s="215"/>
      <c r="G100" s="215"/>
      <c r="H100" s="215"/>
      <c r="I100" s="213"/>
    </row>
    <row r="101" spans="1:9" ht="18.75" customHeight="1" x14ac:dyDescent="0.15">
      <c r="A101" s="1"/>
      <c r="B101" s="214"/>
      <c r="C101" s="215"/>
      <c r="D101" s="215"/>
      <c r="E101" s="215"/>
      <c r="F101" s="215"/>
      <c r="G101" s="215"/>
      <c r="H101" s="215"/>
      <c r="I101" s="213"/>
    </row>
    <row r="102" spans="1:9" ht="18.75" customHeight="1" x14ac:dyDescent="0.15">
      <c r="A102" s="1"/>
      <c r="B102" s="214"/>
      <c r="C102" s="215"/>
      <c r="D102" s="215"/>
      <c r="E102" s="215"/>
      <c r="F102" s="215"/>
      <c r="G102" s="215"/>
      <c r="H102" s="215"/>
      <c r="I102" s="213"/>
    </row>
    <row r="103" spans="1:9" ht="18.75" customHeight="1" x14ac:dyDescent="0.15">
      <c r="A103" s="1"/>
      <c r="B103" s="214"/>
      <c r="C103" s="215"/>
      <c r="D103" s="215"/>
      <c r="E103" s="215"/>
      <c r="F103" s="215"/>
      <c r="G103" s="215"/>
      <c r="H103" s="215"/>
      <c r="I103" s="213"/>
    </row>
    <row r="104" spans="1:9" ht="18.75" customHeight="1" x14ac:dyDescent="0.15">
      <c r="A104" s="4"/>
      <c r="B104" s="216"/>
      <c r="C104" s="217"/>
      <c r="D104" s="217"/>
      <c r="E104" s="217"/>
      <c r="F104" s="217"/>
      <c r="G104" s="217"/>
      <c r="H104" s="217"/>
      <c r="I104" s="218"/>
    </row>
    <row r="105" spans="1:9" ht="7.5" customHeight="1" x14ac:dyDescent="0.15">
      <c r="A105" s="4"/>
      <c r="B105" s="4"/>
      <c r="C105" s="4"/>
      <c r="D105" s="4"/>
      <c r="E105" s="4"/>
      <c r="F105" s="4"/>
      <c r="G105" s="4"/>
      <c r="H105" s="4"/>
      <c r="I105" s="4"/>
    </row>
    <row r="106" spans="1:9" ht="18.75" customHeight="1" x14ac:dyDescent="0.15">
      <c r="A106" s="1" t="s">
        <v>29</v>
      </c>
      <c r="B106" s="236" t="s">
        <v>44</v>
      </c>
      <c r="C106" s="236"/>
      <c r="D106" s="236"/>
      <c r="E106" s="236"/>
      <c r="F106" s="236"/>
      <c r="G106" s="236"/>
      <c r="H106" s="236"/>
      <c r="I106" s="236"/>
    </row>
    <row r="107" spans="1:9" ht="18.75" customHeight="1" x14ac:dyDescent="0.15">
      <c r="A107" s="4"/>
      <c r="B107" s="208" t="s">
        <v>181</v>
      </c>
      <c r="C107" s="209"/>
      <c r="D107" s="209"/>
      <c r="E107" s="209"/>
      <c r="F107" s="209"/>
      <c r="G107" s="209"/>
      <c r="H107" s="209"/>
      <c r="I107" s="210"/>
    </row>
    <row r="108" spans="1:9" ht="18.75" customHeight="1" x14ac:dyDescent="0.15">
      <c r="A108" s="4"/>
      <c r="B108" s="214"/>
      <c r="C108" s="215"/>
      <c r="D108" s="215"/>
      <c r="E108" s="215"/>
      <c r="F108" s="215"/>
      <c r="G108" s="215"/>
      <c r="H108" s="215"/>
      <c r="I108" s="213"/>
    </row>
    <row r="109" spans="1:9" ht="18.75" customHeight="1" x14ac:dyDescent="0.15">
      <c r="A109" s="4"/>
      <c r="B109" s="214"/>
      <c r="C109" s="215"/>
      <c r="D109" s="215"/>
      <c r="E109" s="215"/>
      <c r="F109" s="215"/>
      <c r="G109" s="215"/>
      <c r="H109" s="215"/>
      <c r="I109" s="213"/>
    </row>
    <row r="110" spans="1:9" ht="18.75" customHeight="1" x14ac:dyDescent="0.15">
      <c r="A110" s="4"/>
      <c r="B110" s="214"/>
      <c r="C110" s="215"/>
      <c r="D110" s="215"/>
      <c r="E110" s="215"/>
      <c r="F110" s="215"/>
      <c r="G110" s="215"/>
      <c r="H110" s="215"/>
      <c r="I110" s="213"/>
    </row>
    <row r="111" spans="1:9" ht="18.75" customHeight="1" x14ac:dyDescent="0.15">
      <c r="A111" s="4"/>
      <c r="B111" s="214"/>
      <c r="C111" s="215"/>
      <c r="D111" s="215"/>
      <c r="E111" s="215"/>
      <c r="F111" s="215"/>
      <c r="G111" s="215"/>
      <c r="H111" s="215"/>
      <c r="I111" s="213"/>
    </row>
    <row r="112" spans="1:9" ht="18.75" customHeight="1" x14ac:dyDescent="0.15">
      <c r="A112" s="4"/>
      <c r="B112" s="214"/>
      <c r="C112" s="215"/>
      <c r="D112" s="215"/>
      <c r="E112" s="215"/>
      <c r="F112" s="215"/>
      <c r="G112" s="215"/>
      <c r="H112" s="215"/>
      <c r="I112" s="213"/>
    </row>
    <row r="113" spans="1:9" ht="18.75" customHeight="1" x14ac:dyDescent="0.15">
      <c r="A113" s="4"/>
      <c r="B113" s="214"/>
      <c r="C113" s="215"/>
      <c r="D113" s="215"/>
      <c r="E113" s="215"/>
      <c r="F113" s="215"/>
      <c r="G113" s="215"/>
      <c r="H113" s="215"/>
      <c r="I113" s="213"/>
    </row>
    <row r="114" spans="1:9" ht="18.75" customHeight="1" x14ac:dyDescent="0.15">
      <c r="A114" s="4"/>
      <c r="B114" s="214"/>
      <c r="C114" s="215"/>
      <c r="D114" s="215"/>
      <c r="E114" s="215"/>
      <c r="F114" s="215"/>
      <c r="G114" s="215"/>
      <c r="H114" s="215"/>
      <c r="I114" s="213"/>
    </row>
    <row r="115" spans="1:9" ht="18.75" customHeight="1" x14ac:dyDescent="0.15">
      <c r="A115" s="4"/>
      <c r="B115" s="214"/>
      <c r="C115" s="215"/>
      <c r="D115" s="215"/>
      <c r="E115" s="215"/>
      <c r="F115" s="215"/>
      <c r="G115" s="215"/>
      <c r="H115" s="215"/>
      <c r="I115" s="213"/>
    </row>
    <row r="116" spans="1:9" ht="18.75" customHeight="1" x14ac:dyDescent="0.15">
      <c r="A116" s="4"/>
      <c r="B116" s="214"/>
      <c r="C116" s="215"/>
      <c r="D116" s="215"/>
      <c r="E116" s="215"/>
      <c r="F116" s="215"/>
      <c r="G116" s="215"/>
      <c r="H116" s="215"/>
      <c r="I116" s="213"/>
    </row>
    <row r="117" spans="1:9" ht="18.75" customHeight="1" x14ac:dyDescent="0.15">
      <c r="A117" s="4"/>
      <c r="B117" s="214"/>
      <c r="C117" s="215"/>
      <c r="D117" s="215"/>
      <c r="E117" s="215"/>
      <c r="F117" s="215"/>
      <c r="G117" s="215"/>
      <c r="H117" s="215"/>
      <c r="I117" s="213"/>
    </row>
    <row r="118" spans="1:9" ht="18.75" customHeight="1" x14ac:dyDescent="0.15">
      <c r="A118" s="4"/>
      <c r="B118" s="216"/>
      <c r="C118" s="217"/>
      <c r="D118" s="217"/>
      <c r="E118" s="217"/>
      <c r="F118" s="217"/>
      <c r="G118" s="217"/>
      <c r="H118" s="217"/>
      <c r="I118" s="218"/>
    </row>
    <row r="119" spans="1:9" ht="7.5" customHeight="1" x14ac:dyDescent="0.15">
      <c r="A119" s="4"/>
      <c r="B119" s="35"/>
      <c r="C119" s="35"/>
      <c r="D119" s="35"/>
      <c r="E119" s="35"/>
      <c r="F119" s="35"/>
      <c r="G119" s="35"/>
      <c r="H119" s="35"/>
      <c r="I119" s="35"/>
    </row>
    <row r="120" spans="1:9" ht="18.75" customHeight="1" x14ac:dyDescent="0.15">
      <c r="A120" s="64"/>
      <c r="B120" s="203"/>
      <c r="C120" s="203"/>
      <c r="D120" s="203"/>
      <c r="E120" s="203"/>
      <c r="F120" s="203"/>
      <c r="G120" s="203"/>
      <c r="H120" s="203"/>
      <c r="I120" s="203"/>
    </row>
    <row r="121" spans="1:9" ht="18.75" customHeight="1" x14ac:dyDescent="0.15">
      <c r="A121" s="64"/>
      <c r="B121" s="203"/>
      <c r="C121" s="203"/>
      <c r="D121" s="203"/>
      <c r="E121" s="203"/>
      <c r="F121" s="203"/>
      <c r="G121" s="203"/>
      <c r="H121" s="203"/>
      <c r="I121" s="203"/>
    </row>
    <row r="122" spans="1:9" ht="18.75" customHeight="1" x14ac:dyDescent="0.15">
      <c r="A122" s="4"/>
      <c r="B122" s="68"/>
      <c r="C122" s="68"/>
      <c r="D122" s="68"/>
      <c r="E122" s="68"/>
      <c r="F122" s="68"/>
      <c r="G122" s="68"/>
      <c r="H122" s="68"/>
      <c r="I122" s="69"/>
    </row>
    <row r="123" spans="1:9" ht="18.75" customHeight="1" x14ac:dyDescent="0.15">
      <c r="A123" s="4"/>
      <c r="B123" s="69"/>
      <c r="C123" s="69"/>
      <c r="D123" s="69"/>
      <c r="E123" s="69"/>
      <c r="F123" s="69"/>
      <c r="G123" s="69"/>
      <c r="H123" s="69"/>
      <c r="I123" s="69"/>
    </row>
    <row r="124" spans="1:9" ht="18.75" customHeight="1" x14ac:dyDescent="0.15">
      <c r="A124" s="4"/>
      <c r="B124" s="69"/>
      <c r="C124" s="69"/>
      <c r="D124" s="69"/>
      <c r="E124" s="69"/>
      <c r="F124" s="69"/>
      <c r="G124" s="69"/>
      <c r="H124" s="69"/>
      <c r="I124" s="69"/>
    </row>
    <row r="125" spans="1:9" ht="18.75" customHeight="1" x14ac:dyDescent="0.15">
      <c r="A125" s="4"/>
      <c r="B125" s="69"/>
      <c r="C125" s="69"/>
      <c r="D125" s="69"/>
      <c r="E125" s="69"/>
      <c r="F125" s="69"/>
      <c r="G125" s="69"/>
      <c r="H125" s="69"/>
      <c r="I125" s="69"/>
    </row>
    <row r="126" spans="1:9" ht="18.75" customHeight="1" x14ac:dyDescent="0.15">
      <c r="A126" s="4"/>
      <c r="B126" s="69"/>
      <c r="C126" s="69"/>
      <c r="D126" s="69"/>
      <c r="E126" s="69"/>
      <c r="F126" s="69"/>
      <c r="G126" s="69"/>
      <c r="H126" s="69"/>
      <c r="I126" s="69"/>
    </row>
    <row r="127" spans="1:9" ht="18.75" customHeight="1" x14ac:dyDescent="0.15">
      <c r="A127" s="4"/>
      <c r="B127" s="69"/>
      <c r="C127" s="69"/>
      <c r="D127" s="69"/>
      <c r="E127" s="69"/>
      <c r="F127" s="69"/>
      <c r="G127" s="69"/>
      <c r="H127" s="69"/>
      <c r="I127" s="69"/>
    </row>
    <row r="128" spans="1:9" ht="18.75" customHeight="1" x14ac:dyDescent="0.15">
      <c r="A128" s="4"/>
      <c r="B128" s="69"/>
      <c r="C128" s="69"/>
      <c r="D128" s="69"/>
      <c r="E128" s="69"/>
      <c r="F128" s="69"/>
      <c r="G128" s="69"/>
      <c r="H128" s="69"/>
      <c r="I128" s="69"/>
    </row>
    <row r="129" spans="1:9" ht="18.75" customHeight="1" x14ac:dyDescent="0.15">
      <c r="A129" s="4"/>
      <c r="B129" s="69"/>
      <c r="C129" s="69"/>
      <c r="D129" s="69"/>
      <c r="E129" s="69"/>
      <c r="F129" s="69"/>
      <c r="G129" s="69"/>
      <c r="H129" s="69"/>
      <c r="I129" s="69"/>
    </row>
    <row r="130" spans="1:9" ht="18.75" customHeight="1" x14ac:dyDescent="0.15">
      <c r="A130" s="4"/>
      <c r="B130" s="69"/>
      <c r="C130" s="69"/>
      <c r="D130" s="69"/>
      <c r="E130" s="69"/>
      <c r="F130" s="69"/>
      <c r="G130" s="69"/>
      <c r="H130" s="69"/>
      <c r="I130" s="69"/>
    </row>
    <row r="131" spans="1:9" ht="18.75" customHeight="1" x14ac:dyDescent="0.15">
      <c r="A131" s="4"/>
      <c r="B131" s="69"/>
      <c r="C131" s="69"/>
      <c r="D131" s="69"/>
      <c r="E131" s="69"/>
      <c r="F131" s="69"/>
      <c r="G131" s="69"/>
      <c r="H131" s="69"/>
      <c r="I131" s="69"/>
    </row>
    <row r="132" spans="1:9" ht="14.25" x14ac:dyDescent="0.15">
      <c r="A132" s="4"/>
      <c r="B132" s="69"/>
      <c r="C132" s="69"/>
      <c r="D132" s="69"/>
      <c r="E132" s="69"/>
      <c r="F132" s="69"/>
      <c r="G132" s="69"/>
      <c r="H132" s="69"/>
      <c r="I132" s="69"/>
    </row>
    <row r="133" spans="1:9" ht="7.5" customHeight="1" x14ac:dyDescent="0.15">
      <c r="A133" s="4"/>
      <c r="B133" s="69"/>
      <c r="C133" s="69"/>
      <c r="D133" s="69"/>
      <c r="E133" s="69"/>
      <c r="F133" s="69"/>
      <c r="G133" s="69"/>
      <c r="H133" s="69"/>
      <c r="I133" s="69"/>
    </row>
  </sheetData>
  <mergeCells count="23">
    <mergeCell ref="F50:G50"/>
    <mergeCell ref="B66:I77"/>
    <mergeCell ref="B80:I91"/>
    <mergeCell ref="C49:D49"/>
    <mergeCell ref="C50:D50"/>
    <mergeCell ref="F49:G49"/>
    <mergeCell ref="B52:I63"/>
    <mergeCell ref="B120:I121"/>
    <mergeCell ref="H2:I2"/>
    <mergeCell ref="A4:I4"/>
    <mergeCell ref="B19:I19"/>
    <mergeCell ref="B22:I32"/>
    <mergeCell ref="B35:I46"/>
    <mergeCell ref="B14:I14"/>
    <mergeCell ref="C16:E16"/>
    <mergeCell ref="H16:I16"/>
    <mergeCell ref="C11:E11"/>
    <mergeCell ref="H11:I11"/>
    <mergeCell ref="C6:D6"/>
    <mergeCell ref="B93:I104"/>
    <mergeCell ref="B106:I106"/>
    <mergeCell ref="B107:I118"/>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1" max="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J30"/>
  <sheetViews>
    <sheetView topLeftCell="B1" zoomScaleNormal="100" workbookViewId="0">
      <selection activeCell="A3" sqref="A3:I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11" style="92" customWidth="1"/>
    <col min="11" max="16384" width="11.375" style="1"/>
  </cols>
  <sheetData>
    <row r="1" spans="1:10" ht="18.75" customHeight="1" x14ac:dyDescent="0.15">
      <c r="A1" s="1" t="s">
        <v>67</v>
      </c>
      <c r="I1" s="30" t="s">
        <v>95</v>
      </c>
    </row>
    <row r="2" spans="1:10" ht="18.75" customHeight="1" x14ac:dyDescent="0.15">
      <c r="H2" s="30" t="s">
        <v>98</v>
      </c>
      <c r="I2" s="29" t="str">
        <f>'様式１－１　プログラムを構成する授業科目'!C2</f>
        <v>北海学園大学</v>
      </c>
    </row>
    <row r="3" spans="1:10" ht="18.75" customHeight="1" x14ac:dyDescent="0.15">
      <c r="A3" s="204" t="s">
        <v>27</v>
      </c>
      <c r="B3" s="204"/>
      <c r="C3" s="204"/>
      <c r="D3" s="204"/>
      <c r="E3" s="204"/>
      <c r="F3" s="204"/>
      <c r="G3" s="204"/>
      <c r="H3" s="204"/>
      <c r="I3" s="204"/>
    </row>
    <row r="4" spans="1:10" ht="18.75" customHeight="1" x14ac:dyDescent="0.15">
      <c r="A4" s="5"/>
      <c r="B4" s="5"/>
      <c r="C4" s="5"/>
      <c r="D4" s="5"/>
      <c r="E4" s="5"/>
      <c r="F4" s="5"/>
      <c r="G4" s="5"/>
      <c r="H4" s="5"/>
      <c r="I4" s="5"/>
    </row>
    <row r="5" spans="1:10" ht="18.75" customHeight="1" x14ac:dyDescent="0.15">
      <c r="A5" s="1" t="s">
        <v>0</v>
      </c>
      <c r="B5" s="10" t="s">
        <v>89</v>
      </c>
      <c r="C5" s="5"/>
      <c r="D5" s="5"/>
      <c r="E5" s="5"/>
      <c r="F5" s="5"/>
      <c r="G5" s="5"/>
      <c r="H5" s="5"/>
      <c r="I5" s="5"/>
    </row>
    <row r="6" spans="1:10" ht="26.25" customHeight="1" x14ac:dyDescent="0.15">
      <c r="A6" s="5"/>
      <c r="B6" s="228" t="s">
        <v>171</v>
      </c>
      <c r="C6" s="279"/>
      <c r="D6" s="279"/>
      <c r="E6" s="279"/>
      <c r="F6" s="279"/>
      <c r="G6" s="279"/>
      <c r="H6" s="280"/>
      <c r="I6" s="3"/>
    </row>
    <row r="7" spans="1:10" ht="9" customHeight="1" x14ac:dyDescent="0.15">
      <c r="A7" s="5"/>
      <c r="B7" s="10"/>
      <c r="C7" s="10"/>
      <c r="D7" s="10"/>
      <c r="E7" s="10"/>
      <c r="F7" s="10"/>
      <c r="G7" s="10"/>
      <c r="H7" s="10"/>
      <c r="I7" s="3"/>
    </row>
    <row r="8" spans="1:10" ht="18.75" customHeight="1" x14ac:dyDescent="0.15">
      <c r="A8" s="5"/>
      <c r="B8" s="3"/>
      <c r="C8" s="3"/>
      <c r="D8" s="30" t="s">
        <v>41</v>
      </c>
      <c r="E8" s="31" t="s">
        <v>170</v>
      </c>
      <c r="F8" s="3"/>
      <c r="G8" s="30" t="s">
        <v>10</v>
      </c>
      <c r="H8" s="79" t="s">
        <v>186</v>
      </c>
      <c r="I8" s="3"/>
    </row>
    <row r="9" spans="1:10" ht="7.5" customHeight="1" x14ac:dyDescent="0.15">
      <c r="A9" s="5"/>
      <c r="B9" s="5"/>
      <c r="C9" s="5"/>
      <c r="D9" s="5"/>
      <c r="E9" s="5"/>
      <c r="F9" s="5"/>
      <c r="G9" s="5"/>
      <c r="H9" s="5"/>
      <c r="I9" s="5"/>
    </row>
    <row r="10" spans="1:10" ht="18.75" customHeight="1" x14ac:dyDescent="0.15">
      <c r="A10" s="1" t="s">
        <v>3</v>
      </c>
      <c r="B10" s="1" t="s">
        <v>26</v>
      </c>
      <c r="C10" s="4"/>
      <c r="D10" s="4"/>
      <c r="E10" s="4"/>
      <c r="F10" s="4"/>
      <c r="G10" s="4"/>
      <c r="H10" s="4"/>
      <c r="I10" s="4"/>
    </row>
    <row r="11" spans="1:10" ht="18.75" customHeight="1" x14ac:dyDescent="0.15">
      <c r="B11" s="125" t="s">
        <v>23</v>
      </c>
      <c r="C11" s="126"/>
      <c r="D11" s="127"/>
      <c r="E11" s="126" t="s">
        <v>25</v>
      </c>
      <c r="F11" s="126"/>
      <c r="G11" s="126"/>
      <c r="H11" s="126"/>
      <c r="I11" s="127"/>
    </row>
    <row r="12" spans="1:10" ht="26.25" customHeight="1" x14ac:dyDescent="0.15">
      <c r="B12" s="36" t="s">
        <v>13</v>
      </c>
      <c r="C12" s="43"/>
      <c r="D12" s="37"/>
      <c r="E12" s="44"/>
      <c r="F12" s="44"/>
      <c r="G12" s="44"/>
      <c r="H12" s="44"/>
      <c r="I12" s="37"/>
      <c r="J12" s="94"/>
    </row>
    <row r="13" spans="1:10" ht="210.75" customHeight="1" x14ac:dyDescent="0.15">
      <c r="B13" s="38"/>
      <c r="C13" s="277" t="s">
        <v>14</v>
      </c>
      <c r="D13" s="278"/>
      <c r="E13" s="274" t="s">
        <v>229</v>
      </c>
      <c r="F13" s="275"/>
      <c r="G13" s="275"/>
      <c r="H13" s="275"/>
      <c r="I13" s="276"/>
    </row>
    <row r="14" spans="1:10" ht="210.75" customHeight="1" x14ac:dyDescent="0.15">
      <c r="B14" s="38"/>
      <c r="C14" s="272" t="s">
        <v>15</v>
      </c>
      <c r="D14" s="273"/>
      <c r="E14" s="274" t="s">
        <v>228</v>
      </c>
      <c r="F14" s="275"/>
      <c r="G14" s="275"/>
      <c r="H14" s="275"/>
      <c r="I14" s="276"/>
    </row>
    <row r="15" spans="1:10" ht="210.75" customHeight="1" x14ac:dyDescent="0.15">
      <c r="B15" s="38"/>
      <c r="C15" s="277" t="s">
        <v>16</v>
      </c>
      <c r="D15" s="278"/>
      <c r="E15" s="274" t="s">
        <v>184</v>
      </c>
      <c r="F15" s="275"/>
      <c r="G15" s="275"/>
      <c r="H15" s="275"/>
      <c r="I15" s="276"/>
    </row>
    <row r="16" spans="1:10" ht="210.75" customHeight="1" x14ac:dyDescent="0.15">
      <c r="B16" s="38"/>
      <c r="C16" s="277" t="s">
        <v>17</v>
      </c>
      <c r="D16" s="278"/>
      <c r="E16" s="297" t="s">
        <v>172</v>
      </c>
      <c r="F16" s="286"/>
      <c r="G16" s="286"/>
      <c r="H16" s="286"/>
      <c r="I16" s="287"/>
    </row>
    <row r="17" spans="2:9" ht="210.75" customHeight="1" x14ac:dyDescent="0.15">
      <c r="B17" s="39"/>
      <c r="C17" s="288" t="s">
        <v>18</v>
      </c>
      <c r="D17" s="289"/>
      <c r="E17" s="269" t="s">
        <v>173</v>
      </c>
      <c r="F17" s="270"/>
      <c r="G17" s="270"/>
      <c r="H17" s="270"/>
      <c r="I17" s="271"/>
    </row>
    <row r="18" spans="2:9" ht="24" customHeight="1" x14ac:dyDescent="0.15">
      <c r="B18" s="36" t="s">
        <v>19</v>
      </c>
      <c r="C18" s="40"/>
      <c r="D18" s="41"/>
      <c r="E18" s="42"/>
      <c r="F18" s="42"/>
      <c r="G18" s="42"/>
      <c r="H18" s="42"/>
      <c r="I18" s="45"/>
    </row>
    <row r="19" spans="2:9" ht="218.25" customHeight="1" x14ac:dyDescent="0.15">
      <c r="B19" s="38"/>
      <c r="C19" s="277" t="s">
        <v>20</v>
      </c>
      <c r="D19" s="278"/>
      <c r="E19" s="286" t="s">
        <v>174</v>
      </c>
      <c r="F19" s="286"/>
      <c r="G19" s="286"/>
      <c r="H19" s="286"/>
      <c r="I19" s="287"/>
    </row>
    <row r="20" spans="2:9" ht="218.25" customHeight="1" x14ac:dyDescent="0.15">
      <c r="B20" s="39"/>
      <c r="C20" s="288" t="s">
        <v>21</v>
      </c>
      <c r="D20" s="289"/>
      <c r="E20" s="290" t="s">
        <v>182</v>
      </c>
      <c r="F20" s="290"/>
      <c r="G20" s="290"/>
      <c r="H20" s="290"/>
      <c r="I20" s="291"/>
    </row>
    <row r="21" spans="2:9" ht="218.25" customHeight="1" x14ac:dyDescent="0.15">
      <c r="B21" s="292" t="s">
        <v>22</v>
      </c>
      <c r="C21" s="293"/>
      <c r="D21" s="294"/>
      <c r="E21" s="295" t="s">
        <v>183</v>
      </c>
      <c r="F21" s="295"/>
      <c r="G21" s="295"/>
      <c r="H21" s="295"/>
      <c r="I21" s="296"/>
    </row>
    <row r="22" spans="2:9" ht="218.25" customHeight="1" x14ac:dyDescent="0.15">
      <c r="B22" s="281" t="s">
        <v>135</v>
      </c>
      <c r="C22" s="282"/>
      <c r="D22" s="283"/>
      <c r="E22" s="284" t="s">
        <v>175</v>
      </c>
      <c r="F22" s="284"/>
      <c r="G22" s="284"/>
      <c r="H22" s="284"/>
      <c r="I22" s="28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E17:I17"/>
    <mergeCell ref="C14:D14"/>
    <mergeCell ref="E14:I14"/>
    <mergeCell ref="A3:I3"/>
    <mergeCell ref="B11:D11"/>
    <mergeCell ref="E11:I11"/>
    <mergeCell ref="C13:D13"/>
    <mergeCell ref="E13:I13"/>
    <mergeCell ref="B6:H6"/>
    <mergeCell ref="C15:D15"/>
    <mergeCell ref="E15:I15"/>
    <mergeCell ref="C16:D16"/>
    <mergeCell ref="E16:I16"/>
    <mergeCell ref="C17:D17"/>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92B05-887F-411F-8DDB-13CD494D1390}">
  <dimension ref="A1"/>
  <sheetViews>
    <sheetView workbookViewId="0"/>
  </sheetViews>
  <sheetFormatPr defaultRowHeight="13.5" x14ac:dyDescent="0.15"/>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様式１－１　プログラムを構成する授業科目</vt:lpstr>
      <vt:lpstr>様式１－2　プログラムを構成する授業科目 </vt:lpstr>
      <vt:lpstr>様式１－3　プログラムを構成する授業科目</vt:lpstr>
      <vt:lpstr>様式１－4　プログラムを構成する授業科目</vt:lpstr>
      <vt:lpstr>様式２ 履修者等数の実績</vt:lpstr>
      <vt:lpstr>様式３ 教育の質・履修者数を向上させるための体制・計画</vt:lpstr>
      <vt:lpstr>様式４　自己点検・評価</vt:lpstr>
      <vt:lpstr>Sheet1</vt:lpstr>
      <vt:lpstr>'様式１－１　プログラムを構成する授業科目'!Print_Area</vt:lpstr>
      <vt:lpstr>'様式１－2　プログラムを構成する授業科目 '!Print_Area</vt:lpstr>
      <vt:lpstr>'様式１－3　プログラムを構成する授業科目'!Print_Area</vt:lpstr>
      <vt:lpstr>'様式１－4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中山 知幸</cp:lastModifiedBy>
  <cp:lastPrinted>2024-05-07T07:41:58Z</cp:lastPrinted>
  <dcterms:created xsi:type="dcterms:W3CDTF">2011-06-14T05:32:50Z</dcterms:created>
  <dcterms:modified xsi:type="dcterms:W3CDTF">2024-06-12T02:36:21Z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