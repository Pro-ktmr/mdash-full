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C:\Users\Satoshi Akuzawa\Documents\AI教育推進室_個人フォルダ(阿久澤)\04_AI教育推進室業務\03_MADASH_リテラシー申請準備\04_申請書類正式版\20210713提示ファイル\01_申請様式\"/>
    </mc:Choice>
  </mc:AlternateContent>
  <xr:revisionPtr revIDLastSave="0" documentId="13_ncr:1_{F2886E8C-C169-487D-8846-12F77E635486}" xr6:coauthVersionLast="36" xr6:coauthVersionMax="46" xr10:uidLastSave="{00000000-0000-0000-0000-000000000000}"/>
  <bookViews>
    <workbookView xWindow="1860" yWindow="1188" windowWidth="22716" windowHeight="14148" tabRatio="885" xr2:uid="{00000000-000D-0000-FFFF-FFFF00000000}"/>
  </bookViews>
  <sheets>
    <sheet name="様式１　大学等概要" sheetId="37" r:id="rId1"/>
    <sheet name="様式２－1　プログラムを構成する授業科目" sheetId="38" r:id="rId2"/>
    <sheet name="様式３　履修者等数の実績" sheetId="31" r:id="rId3"/>
    <sheet name="様式4－1　プログラムの授業内容・概要" sheetId="34" r:id="rId4"/>
    <sheet name="様式５　教育の質・履修者数を向上させるための体制・計画" sheetId="39" r:id="rId5"/>
    <sheet name="様式６　自己点検・評価" sheetId="41" r:id="rId6"/>
  </sheets>
  <definedNames>
    <definedName name="_xlnm._FilterDatabase" localSheetId="1" hidden="1">'様式２－1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9"/>
</workbook>
</file>

<file path=xl/calcChain.xml><?xml version="1.0" encoding="utf-8"?>
<calcChain xmlns="http://schemas.openxmlformats.org/spreadsheetml/2006/main">
  <c r="D108" i="34" l="1"/>
  <c r="D83" i="34"/>
  <c r="D58" i="34"/>
  <c r="D33" i="34"/>
  <c r="P28" i="31"/>
  <c r="O28" i="31"/>
  <c r="N28" i="31"/>
  <c r="M28" i="31"/>
  <c r="L28" i="31"/>
  <c r="K28" i="31"/>
  <c r="J28" i="31"/>
  <c r="I28" i="31"/>
  <c r="H28" i="31"/>
  <c r="G28" i="31"/>
  <c r="F28" i="31"/>
  <c r="E28" i="31"/>
  <c r="D28" i="3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<sst xmlns="http://schemas.openxmlformats.org/spreadsheetml/2006/main" count="248" uniqueCount="183">
  <si>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</si>
  <si>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</si>
  <si>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</si>
  <si>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</si>
  <si>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</si>
  <si>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</si>
  <si>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</si>
  <si>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</si>
  <si>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</si>
  <si>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</si>
  <si>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</si>
  <si>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</si>
  <si>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</si>
  <si>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</si>
  <si>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</si>
  <si>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</si>
  <si>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</si>
  <si>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</si>
  <si>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</si>
  <si>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</si>
  <si>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</si>
  <si>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</si>
  <si>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</si>
  <si>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</si>
  <si>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</si>
  <si>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</si>
  <si>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</si>
  <si>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</si>
  <si>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</si>
  <si>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</si>
  <si>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</si>
  <si>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</si>
  <si>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</si>
  <si>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</si>
  <si>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</si>
  <si>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</si>
  <si>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</si>
  <si>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</si>
  <si>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</si>
  <si>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</si>
  <si>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</si>
  <si>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</si>
  <si>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</si>
  <si>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</si>
  <si>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</si>
  <si>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</si>
  <si>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</si>
  <si>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</si>
  <si>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</si>
  <si>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</si>
  <si>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</si>
  <si>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</si>
  <si>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</si>
  <si>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</si>
  <si>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</si>
  <si>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</si>
  <si>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</si>
  <si>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</si>
  <si>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</si>
  <si>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</si>
  <si>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</si>
  <si>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</si>
  <si>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</si>
  <si>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</si>
  <si>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</si>
  <si>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</si>
  <si>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</si>
  <si>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</si>
  <si>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</si>
  <si>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</si>
  <si>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</si>
  <si>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</si>
  <si>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</si>
  <si>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</si>
  <si>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</si>
  <si>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</si>
  <si>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</si>
  <si>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</si>
  <si>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</si>
  <si>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</si>
  <si>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</si>
  <si>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</si>
  <si>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</si>
  <si>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</si>
  <si>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</si>
  <si>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</si>
  <si>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</si>
  <si>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</si>
  <si>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</si>
  <si>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</si>
  <si>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</si>
  <si>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</si>
  <si>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</si>
  <si>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</si>
  <si>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</si>
  <si>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</si>
  <si>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</si>
  <si>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</si>
  <si>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</si>
  <si>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</si>
  <si>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</si>
  <si>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</si>
  <si>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</si>
  <si>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</si>
  <si>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</si>
  <si>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</si>
  <si>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</si>
  <si>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</si>
  <si>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</si>
  <si>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</si>
  <si>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</si>
  <si>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</si>
  <si>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</si>
  <si>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</si>
  <si>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</si>
  <si>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</si>
  <si>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</si>
  <si>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</si>
  <si>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</si>
  <si>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</si>
  <si>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</si>
  <si>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</si>
  <si>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</si>
  <si>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</si>
  <si>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</si>
  <si>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</si>
  <si>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情報リテラシー</t>
    <rPh sb="0" eb="2">
      <t>ジョウホウ</t>
    </rPh>
    <phoneticPr fontId="1"/>
  </si>
  <si>
    <t>神奈川工科大学</t>
    <rPh sb="0" eb="7">
      <t>カナガワコウカダイガク</t>
    </rPh>
    <phoneticPr fontId="1"/>
  </si>
  <si>
    <t>工学部（工学）</t>
    <rPh sb="0" eb="3">
      <t>コウガクブ</t>
    </rPh>
    <rPh sb="4" eb="6">
      <t>コウガク</t>
    </rPh>
    <phoneticPr fontId="1"/>
  </si>
  <si>
    <t>情報学部（工学）</t>
    <phoneticPr fontId="1"/>
  </si>
  <si>
    <t>創造工学部（工学）</t>
    <rPh sb="0" eb="2">
      <t>ソウゾウ</t>
    </rPh>
    <rPh sb="2" eb="5">
      <t>コウガクブ</t>
    </rPh>
    <rPh sb="6" eb="8">
      <t>コウガク</t>
    </rPh>
    <phoneticPr fontId="1"/>
  </si>
  <si>
    <t>応用バイオ科学部（工学）</t>
    <rPh sb="0" eb="2">
      <t>オウヨウ</t>
    </rPh>
    <rPh sb="5" eb="8">
      <t>カガクブ</t>
    </rPh>
    <rPh sb="9" eb="11">
      <t>コウガク</t>
    </rPh>
    <phoneticPr fontId="1"/>
  </si>
  <si>
    <t>健康医療科学部（保健・家政・工学）</t>
    <rPh sb="0" eb="4">
      <t>ケンコウイリョウ</t>
    </rPh>
    <rPh sb="4" eb="7">
      <t>カガクブ</t>
    </rPh>
    <rPh sb="8" eb="10">
      <t>ホケン</t>
    </rPh>
    <rPh sb="11" eb="13">
      <t>カセイ</t>
    </rPh>
    <rPh sb="14" eb="16">
      <t>コウガク</t>
    </rPh>
    <phoneticPr fontId="1"/>
  </si>
  <si>
    <t>私立大学</t>
  </si>
  <si>
    <t>認定教育プログラム</t>
  </si>
  <si>
    <t>様式４－１</t>
    <rPh sb="0" eb="2">
      <t>ヨウシキ</t>
    </rPh>
    <phoneticPr fontId="1"/>
  </si>
  <si>
    <t>様式２－１</t>
    <rPh sb="0" eb="2">
      <t>ヨウシキ</t>
    </rPh>
    <phoneticPr fontId="1"/>
  </si>
  <si>
    <t>データがどのように集められ、どのように分析され、社会で活用されているかを事例を交えて解説している。
特に、本学ではそれぞれの学科に合わせた学習を進めており、
専門分野の今後の学びと関連づけたデータ活用事例を解説している。</t>
    <rPh sb="9" eb="10">
      <t>アツ</t>
    </rPh>
    <rPh sb="19" eb="21">
      <t>ブンセキ</t>
    </rPh>
    <rPh sb="24" eb="26">
      <t>シャカイ</t>
    </rPh>
    <rPh sb="27" eb="29">
      <t>カツヨウ</t>
    </rPh>
    <rPh sb="36" eb="38">
      <t>ジレイ</t>
    </rPh>
    <rPh sb="39" eb="40">
      <t>マジ</t>
    </rPh>
    <rPh sb="42" eb="44">
      <t>カイセツ</t>
    </rPh>
    <rPh sb="91" eb="93">
      <t>カンレン</t>
    </rPh>
    <rPh sb="99" eb="101">
      <t>カツヨウ</t>
    </rPh>
    <rPh sb="101" eb="103">
      <t>ジレイ</t>
    </rPh>
    <phoneticPr fontId="1"/>
  </si>
  <si>
    <t>学部・学科によって、修了要件は相違しない</t>
  </si>
  <si>
    <t>倫理教育として、データ・AI活用における留意事項やセキュリティの大切さなどを解説している。
各学科の専門教育を担当する教員が中心に「情報リテラシ」の講義運営を行っており、
各学科の専門の学びを見据えた形で倫理教育を多くの講義回の中に織り交ぜて教育している。</t>
    <rPh sb="0" eb="2">
      <t>リンリ</t>
    </rPh>
    <rPh sb="2" eb="4">
      <t>キョウイク</t>
    </rPh>
    <rPh sb="14" eb="16">
      <t>カツヨウ</t>
    </rPh>
    <rPh sb="20" eb="22">
      <t>リュウイ</t>
    </rPh>
    <rPh sb="22" eb="24">
      <t>ジコウ</t>
    </rPh>
    <rPh sb="32" eb="34">
      <t>タイセツ</t>
    </rPh>
    <rPh sb="38" eb="40">
      <t>カイセツ</t>
    </rPh>
    <rPh sb="47" eb="50">
      <t>カクガッカ</t>
    </rPh>
    <rPh sb="51" eb="53">
      <t>センモン</t>
    </rPh>
    <rPh sb="53" eb="55">
      <t>キョウイク</t>
    </rPh>
    <rPh sb="56" eb="58">
      <t>タントウ</t>
    </rPh>
    <rPh sb="60" eb="62">
      <t>キョウイン</t>
    </rPh>
    <rPh sb="63" eb="65">
      <t>チュウシン</t>
    </rPh>
    <rPh sb="67" eb="69">
      <t>ジョウホウ</t>
    </rPh>
    <rPh sb="75" eb="77">
      <t>コウギ</t>
    </rPh>
    <rPh sb="77" eb="79">
      <t>ウンエイ</t>
    </rPh>
    <rPh sb="80" eb="81">
      <t>オコナ</t>
    </rPh>
    <rPh sb="87" eb="90">
      <t>カクガッカ</t>
    </rPh>
    <rPh sb="91" eb="93">
      <t>センモン</t>
    </rPh>
    <rPh sb="94" eb="95">
      <t>マナ</t>
    </rPh>
    <rPh sb="97" eb="99">
      <t>ミス</t>
    </rPh>
    <rPh sb="101" eb="102">
      <t>カタチ</t>
    </rPh>
    <rPh sb="103" eb="105">
      <t>リンリ</t>
    </rPh>
    <rPh sb="105" eb="107">
      <t>キョウイク</t>
    </rPh>
    <rPh sb="108" eb="109">
      <t>オオ</t>
    </rPh>
    <rPh sb="111" eb="114">
      <t>コウギカイ</t>
    </rPh>
    <rPh sb="115" eb="116">
      <t>ナカ</t>
    </rPh>
    <rPh sb="117" eb="118">
      <t>オ</t>
    </rPh>
    <rPh sb="119" eb="120">
      <t>マ</t>
    </rPh>
    <rPh sb="122" eb="124">
      <t>キョウイク</t>
    </rPh>
    <phoneticPr fontId="1"/>
  </si>
  <si>
    <t>学長</t>
    <rPh sb="0" eb="2">
      <t>ガクチョウ</t>
    </rPh>
    <phoneticPr fontId="1"/>
  </si>
  <si>
    <t>小宮一三</t>
    <rPh sb="0" eb="2">
      <t>コミヤ</t>
    </rPh>
    <rPh sb="2" eb="4">
      <t>カズミ</t>
    </rPh>
    <phoneticPr fontId="1"/>
  </si>
  <si>
    <t>自己評価委員会</t>
    <rPh sb="0" eb="2">
      <t>ジコ</t>
    </rPh>
    <rPh sb="2" eb="4">
      <t>ヒョウカ</t>
    </rPh>
    <rPh sb="4" eb="7">
      <t>イインカイ</t>
    </rPh>
    <phoneticPr fontId="1"/>
  </si>
  <si>
    <t>西村 広光</t>
    <rPh sb="0" eb="2">
      <t>ニシムラ</t>
    </rPh>
    <rPh sb="3" eb="5">
      <t>ヒロミツ</t>
    </rPh>
    <phoneticPr fontId="1"/>
  </si>
  <si>
    <t>学校法人 幾徳学園</t>
    <rPh sb="0" eb="2">
      <t>ガッコウ</t>
    </rPh>
    <rPh sb="2" eb="4">
      <t>ホウジン</t>
    </rPh>
    <rPh sb="5" eb="6">
      <t>イク</t>
    </rPh>
    <rPh sb="6" eb="7">
      <t>トク</t>
    </rPh>
    <rPh sb="7" eb="9">
      <t>ガクエン</t>
    </rPh>
    <phoneticPr fontId="1"/>
  </si>
  <si>
    <t>神奈川工科大学</t>
    <rPh sb="0" eb="3">
      <t>カナガワ</t>
    </rPh>
    <rPh sb="3" eb="5">
      <t>コウカ</t>
    </rPh>
    <rPh sb="5" eb="7">
      <t>ダイガク</t>
    </rPh>
    <phoneticPr fontId="1"/>
  </si>
  <si>
    <t>阿久澤 慧</t>
    <rPh sb="0" eb="3">
      <t>アクザワ</t>
    </rPh>
    <rPh sb="4" eb="5">
      <t>サトシ</t>
    </rPh>
    <phoneticPr fontId="1"/>
  </si>
  <si>
    <t>aioffice@cco.kanagawa-it.ac.jp</t>
    <phoneticPr fontId="1"/>
  </si>
  <si>
    <t>046-291-3224</t>
    <phoneticPr fontId="1"/>
  </si>
  <si>
    <t>神奈川工科大学</t>
    <phoneticPr fontId="1"/>
  </si>
  <si>
    <t xml:space="preserve">  本プログラムを構成する科目（情報リテラシー）では、Society5.0社会で実現される先進的な技術について説明しているが（審査項目の①）、技術が我々にもたらすメリットについて教授し、技術が人間の豊かで幸福な生活に貢献することを教えている。このような指導を通じて、データサイエンスやAIを学ぶことが、結局は人間の幸せと豊かさにつながる「楽しい」ことであることを教えている。 このような指導の結果については、授業アンケートにより教員にフィードバックされるので、逐次改善していくPDCAサイクルも整っている。</t>
    <rPh sb="2" eb="3">
      <t>ホン</t>
    </rPh>
    <rPh sb="9" eb="11">
      <t>コウセイ</t>
    </rPh>
    <rPh sb="13" eb="15">
      <t>カモク</t>
    </rPh>
    <rPh sb="16" eb="18">
      <t>ジョウホウ</t>
    </rPh>
    <rPh sb="37" eb="39">
      <t>シャカイ</t>
    </rPh>
    <rPh sb="40" eb="42">
      <t>ジツゲン</t>
    </rPh>
    <rPh sb="45" eb="48">
      <t>センシンテキ</t>
    </rPh>
    <rPh sb="49" eb="51">
      <t>ギジュツ</t>
    </rPh>
    <rPh sb="55" eb="57">
      <t>セツメイ</t>
    </rPh>
    <rPh sb="63" eb="65">
      <t>シンサ</t>
    </rPh>
    <rPh sb="65" eb="67">
      <t>コウモク</t>
    </rPh>
    <rPh sb="71" eb="73">
      <t>ギジュツ</t>
    </rPh>
    <rPh sb="74" eb="76">
      <t>ワレワレ</t>
    </rPh>
    <rPh sb="89" eb="91">
      <t>キョウジュ</t>
    </rPh>
    <rPh sb="93" eb="95">
      <t>ギジュツ</t>
    </rPh>
    <rPh sb="96" eb="98">
      <t>ニンゲン</t>
    </rPh>
    <rPh sb="99" eb="100">
      <t>ユタ</t>
    </rPh>
    <rPh sb="102" eb="104">
      <t>コウフク</t>
    </rPh>
    <rPh sb="105" eb="107">
      <t>セイカツ</t>
    </rPh>
    <rPh sb="108" eb="110">
      <t>コウケン</t>
    </rPh>
    <rPh sb="115" eb="116">
      <t>オシ</t>
    </rPh>
    <rPh sb="126" eb="128">
      <t>シドウ</t>
    </rPh>
    <rPh sb="129" eb="130">
      <t>ツウ</t>
    </rPh>
    <rPh sb="145" eb="146">
      <t>マナ</t>
    </rPh>
    <rPh sb="151" eb="153">
      <t>ケッキョク</t>
    </rPh>
    <rPh sb="154" eb="156">
      <t>ニンゲン</t>
    </rPh>
    <rPh sb="157" eb="158">
      <t>シアワ</t>
    </rPh>
    <rPh sb="160" eb="161">
      <t>ユタ</t>
    </rPh>
    <rPh sb="169" eb="170">
      <t>タノ</t>
    </rPh>
    <rPh sb="181" eb="182">
      <t>オシ</t>
    </rPh>
    <rPh sb="193" eb="195">
      <t>シドウ</t>
    </rPh>
    <rPh sb="196" eb="198">
      <t>ケッカ</t>
    </rPh>
    <rPh sb="204" eb="206">
      <t>ジュギョウ</t>
    </rPh>
    <rPh sb="214" eb="216">
      <t>キョウイン</t>
    </rPh>
    <rPh sb="230" eb="232">
      <t>チクジ</t>
    </rPh>
    <rPh sb="232" eb="234">
      <t>カイゼン</t>
    </rPh>
    <rPh sb="247" eb="248">
      <t>トトノ</t>
    </rPh>
    <phoneticPr fontId="1"/>
  </si>
  <si>
    <t>有</t>
  </si>
  <si>
    <t>https://www.kait.jp/about/pdf/R1houkoku.pdf</t>
    <phoneticPr fontId="1"/>
  </si>
  <si>
    <t>Society5.0時代に向けて、データサイエンスやAIを使いこなすためのリテラシーを総合的に習得する。データサイエンスの基礎となる統計学を学び、さらに機械学習などAIの基礎も習得する。エクセルなどのツールも使った演習も行って、データのための実務的な技術も習得する。セキュリティや個人情報に関する基礎に加えて、Society5.0時代に求められる社会倫理や技術者倫理も身に付ける。</t>
    <rPh sb="10" eb="12">
      <t>ジダイ</t>
    </rPh>
    <rPh sb="13" eb="14">
      <t>ム</t>
    </rPh>
    <rPh sb="29" eb="30">
      <t>ツカ</t>
    </rPh>
    <rPh sb="43" eb="46">
      <t>ソウゴウテキ</t>
    </rPh>
    <rPh sb="47" eb="49">
      <t>シュウトク</t>
    </rPh>
    <rPh sb="61" eb="63">
      <t>キソ</t>
    </rPh>
    <rPh sb="66" eb="69">
      <t>トウケイガク</t>
    </rPh>
    <rPh sb="70" eb="71">
      <t>マナ</t>
    </rPh>
    <rPh sb="76" eb="78">
      <t>キカイ</t>
    </rPh>
    <rPh sb="78" eb="80">
      <t>ガクシュウ</t>
    </rPh>
    <rPh sb="85" eb="87">
      <t>キソ</t>
    </rPh>
    <rPh sb="88" eb="90">
      <t>シュウトク</t>
    </rPh>
    <rPh sb="104" eb="105">
      <t>ツカ</t>
    </rPh>
    <rPh sb="107" eb="109">
      <t>エンシュウ</t>
    </rPh>
    <rPh sb="110" eb="111">
      <t>オコナ</t>
    </rPh>
    <rPh sb="121" eb="124">
      <t>ジツムテキ</t>
    </rPh>
    <rPh sb="125" eb="127">
      <t>ギジュツ</t>
    </rPh>
    <rPh sb="128" eb="130">
      <t>シュウトク</t>
    </rPh>
    <rPh sb="140" eb="142">
      <t>コジン</t>
    </rPh>
    <rPh sb="142" eb="144">
      <t>ジョウホウ</t>
    </rPh>
    <rPh sb="145" eb="146">
      <t>カン</t>
    </rPh>
    <rPh sb="148" eb="150">
      <t>キソ</t>
    </rPh>
    <rPh sb="151" eb="152">
      <t>クワ</t>
    </rPh>
    <rPh sb="165" eb="167">
      <t>ジダイ</t>
    </rPh>
    <rPh sb="168" eb="169">
      <t>モト</t>
    </rPh>
    <rPh sb="173" eb="175">
      <t>シャカイ</t>
    </rPh>
    <rPh sb="175" eb="177">
      <t>リンリ</t>
    </rPh>
    <rPh sb="178" eb="181">
      <t>ギジュツシャ</t>
    </rPh>
    <rPh sb="181" eb="183">
      <t>リンリ</t>
    </rPh>
    <rPh sb="184" eb="185">
      <t>ミ</t>
    </rPh>
    <rPh sb="186" eb="187">
      <t>ツ</t>
    </rPh>
    <phoneticPr fontId="1"/>
  </si>
  <si>
    <t xml:space="preserve">室長：
西村 広光 教授（情報メディア学科）
副室長 ：
藤村 陽 教授（基礎・教養教育センター）、高尾 秀伸 教授 （ロボット・メカトロニクス学科）
所員：
小机　わかえ 教授(機械工学科)、工藤　嗣友 准教授(電気電子情報工学科)、井上 英樹 准教授(応用バイオ科学科)、大庭　武泰 准教授(応用化学科)、吉野 和芳 教授(ロボット・メカトロニクス学科)、澤井 淳 教授(管理栄養学科)、杉村 博 准教授(ホームエレクトロニクス開発学科)、脇田 敏裕 教授(自動車システム開発工学科)、鈴木 孝幸 助教(情報工学科)、塩川 茂樹 教授(情報ﾈｯﾄﾜｰｸ･ｺﾐｭﾆｹｰｼｮﾝ学科)、春日 秀雄 教授(情報メディア学科)、田代 誠 講師(看護学科)
</t>
    <rPh sb="24" eb="27">
      <t>フクシツチョウ</t>
    </rPh>
    <rPh sb="84" eb="86">
      <t>ショイン</t>
    </rPh>
    <phoneticPr fontId="1"/>
  </si>
  <si>
    <t xml:space="preserve">　データサイエンスおよびAI教育の推進を目的として、情報教育研究センター内にデータサイエンス・AI教育推進室を置く。
  本推進室は全学の共同施設として、データサイエンスおよびAI教育に関するカリキュラムを検討し、教育を進めるための教材を整備して提供する。また、教育方法や教育技術に関する情報を収集して提供するほか、学内教員へのFDも担当する。
</t>
    <phoneticPr fontId="1"/>
  </si>
  <si>
    <t xml:space="preserve">　本学では、自己評価委員会・内部質保証委員会・外部評価委員会・理事会の役割とその体制を整備し、理事会による基本計画に基づく実施計画を展開する部局の役割を開示した上で内部質保証システムを運用している。自己評価委員会及び外部評価委員会による点検･評価を経て理事会に事業における達成度評価を行っている。さらに次年度以降の長中期計画も含め事業計画の策定を同時に進めており、事業計画に対して達成度評価に基づき適切に実施されているかの検証を行っており、インターネット上に事業報告書として公開している。
　本申請のプログラムに関しても、このような自己評価委員会・内部質保証委員会・外部評価委員会・理事会による点検評価の中に組み込まれており、プログラムの質向上ためのPDCAサイクルを確保している。
</t>
    <rPh sb="1" eb="3">
      <t>ホンガク</t>
    </rPh>
    <rPh sb="142" eb="143">
      <t>オコナ</t>
    </rPh>
    <rPh sb="211" eb="213">
      <t>ケンショウ</t>
    </rPh>
    <rPh sb="214" eb="215">
      <t>オコナ</t>
    </rPh>
    <rPh sb="227" eb="228">
      <t>ジョウ</t>
    </rPh>
    <rPh sb="229" eb="231">
      <t>ジギョウ</t>
    </rPh>
    <rPh sb="231" eb="234">
      <t>ホウコクショ</t>
    </rPh>
    <rPh sb="237" eb="239">
      <t>コウカイ</t>
    </rPh>
    <rPh sb="246" eb="247">
      <t>ホン</t>
    </rPh>
    <rPh sb="247" eb="249">
      <t>シンセイ</t>
    </rPh>
    <rPh sb="256" eb="257">
      <t>カン</t>
    </rPh>
    <rPh sb="297" eb="299">
      <t>テンケン</t>
    </rPh>
    <rPh sb="299" eb="301">
      <t>ヒョウカ</t>
    </rPh>
    <rPh sb="302" eb="303">
      <t>ナカ</t>
    </rPh>
    <rPh sb="304" eb="305">
      <t>ク</t>
    </rPh>
    <rPh sb="306" eb="307">
      <t>コ</t>
    </rPh>
    <rPh sb="319" eb="320">
      <t>シツ</t>
    </rPh>
    <rPh sb="320" eb="322">
      <t>コウジョウ</t>
    </rPh>
    <rPh sb="334" eb="336">
      <t>カクホ</t>
    </rPh>
    <phoneticPr fontId="1"/>
  </si>
  <si>
    <t xml:space="preserve">　本学の共通基盤教育では、系列毎に担当教員および各学科の教務委員等との系列会議を学期毎に開催している。本プログラムを構成する科目である情報リテラシーについても、共通基盤教育の数理系列に所属しており、系列会議の中で学修に関して様々な観点から議論している。議論の結果を翌年からの授業内容に反映できるようにしている。
</t>
    <rPh sb="1" eb="3">
      <t>ホンガク</t>
    </rPh>
    <rPh sb="4" eb="6">
      <t>キョウツウ</t>
    </rPh>
    <rPh sb="6" eb="8">
      <t>キバン</t>
    </rPh>
    <rPh sb="8" eb="10">
      <t>キョウイク</t>
    </rPh>
    <rPh sb="13" eb="15">
      <t>ケイレツ</t>
    </rPh>
    <rPh sb="15" eb="16">
      <t>ゴト</t>
    </rPh>
    <rPh sb="17" eb="19">
      <t>タントウ</t>
    </rPh>
    <rPh sb="19" eb="21">
      <t>キョウイン</t>
    </rPh>
    <rPh sb="40" eb="42">
      <t>ガッキ</t>
    </rPh>
    <rPh sb="42" eb="43">
      <t>ゴト</t>
    </rPh>
    <rPh sb="51" eb="52">
      <t>ホン</t>
    </rPh>
    <rPh sb="58" eb="60">
      <t>コウセイ</t>
    </rPh>
    <rPh sb="62" eb="64">
      <t>カモク</t>
    </rPh>
    <rPh sb="67" eb="69">
      <t>ジョウホウ</t>
    </rPh>
    <rPh sb="80" eb="82">
      <t>キョウツウ</t>
    </rPh>
    <rPh sb="82" eb="84">
      <t>キバン</t>
    </rPh>
    <rPh sb="84" eb="86">
      <t>キョウイク</t>
    </rPh>
    <rPh sb="87" eb="89">
      <t>スウリ</t>
    </rPh>
    <rPh sb="89" eb="91">
      <t>ケイレツ</t>
    </rPh>
    <rPh sb="92" eb="94">
      <t>ショゾク</t>
    </rPh>
    <rPh sb="99" eb="101">
      <t>ケイレツ</t>
    </rPh>
    <rPh sb="101" eb="103">
      <t>カイギ</t>
    </rPh>
    <rPh sb="104" eb="105">
      <t>ナカ</t>
    </rPh>
    <rPh sb="106" eb="108">
      <t>ガクシュウ</t>
    </rPh>
    <rPh sb="109" eb="110">
      <t>カン</t>
    </rPh>
    <rPh sb="112" eb="114">
      <t>サマザマ</t>
    </rPh>
    <rPh sb="115" eb="117">
      <t>カンテン</t>
    </rPh>
    <rPh sb="119" eb="121">
      <t>ギロン</t>
    </rPh>
    <rPh sb="126" eb="128">
      <t>ギロン</t>
    </rPh>
    <rPh sb="129" eb="131">
      <t>ケッカ</t>
    </rPh>
    <rPh sb="132" eb="134">
      <t>ヨクトシ</t>
    </rPh>
    <rPh sb="137" eb="139">
      <t>ジュギョウ</t>
    </rPh>
    <rPh sb="139" eb="141">
      <t>ナイヨウ</t>
    </rPh>
    <rPh sb="142" eb="144">
      <t>ハンエイ</t>
    </rPh>
    <phoneticPr fontId="1"/>
  </si>
  <si>
    <t>　非常勤を含む全教員に対して、担当授業のアンケートを実施している。アンケートの内容が、自己点検・評価ならびに教員教育評価に適切に反映され、改善につながるようにするための評価検討を実施している。 とくに、１科目に対して当該期に1回だけのアンケートではなく、当該期に2回実施（3回目と15回目の授業）する方法の実現に向けて検討を行っている。これ実施できるようになれば、アンケート結果にもとづいて、当該期の中で授業改善を役立てることができるようになっている。そのほか、全学のデータを集計して分析した結果を年に１回DATA BOOKとして発行しており、教員がデータに基づいて自己改善ができるようにしている。</t>
    <phoneticPr fontId="1"/>
  </si>
  <si>
    <t>　全学での授業アンケート結果を集約した結果を製本して、学内の多くの場所で自由に閲覧できるようにしている。これは、授業に対する先輩からのコメントとなり、多くの学生が自らの履修選択の参考としている。
　ピアサポートの体制を整えており、先輩学生による入学前指導、個別相談などを行っている。また、一部の学部ではピアサポートに所属する学生をクラス担任教員の補助要員として配置している。このような制度により、先輩学生からのアドバイスを後輩学生が受け取る仕組みができている。</t>
    <rPh sb="1" eb="3">
      <t>ゼンガク</t>
    </rPh>
    <rPh sb="5" eb="7">
      <t>ジュギョウ</t>
    </rPh>
    <rPh sb="12" eb="14">
      <t>ケッカ</t>
    </rPh>
    <rPh sb="15" eb="17">
      <t>シュウヤク</t>
    </rPh>
    <rPh sb="19" eb="21">
      <t>ケッカ</t>
    </rPh>
    <rPh sb="22" eb="24">
      <t>セイホン</t>
    </rPh>
    <rPh sb="27" eb="29">
      <t>ガクナイ</t>
    </rPh>
    <rPh sb="30" eb="31">
      <t>オオ</t>
    </rPh>
    <rPh sb="33" eb="35">
      <t>バショ</t>
    </rPh>
    <rPh sb="36" eb="38">
      <t>ジユウ</t>
    </rPh>
    <rPh sb="39" eb="41">
      <t>エツラン</t>
    </rPh>
    <rPh sb="56" eb="58">
      <t>ジュギョウ</t>
    </rPh>
    <rPh sb="59" eb="60">
      <t>タイ</t>
    </rPh>
    <rPh sb="62" eb="64">
      <t>センパイ</t>
    </rPh>
    <rPh sb="75" eb="76">
      <t>オオ</t>
    </rPh>
    <rPh sb="78" eb="80">
      <t>ガクセイ</t>
    </rPh>
    <rPh sb="81" eb="82">
      <t>ミズカ</t>
    </rPh>
    <rPh sb="84" eb="86">
      <t>リシュウ</t>
    </rPh>
    <rPh sb="86" eb="88">
      <t>センタク</t>
    </rPh>
    <rPh sb="89" eb="91">
      <t>サンコウ</t>
    </rPh>
    <rPh sb="106" eb="108">
      <t>タイセイ</t>
    </rPh>
    <rPh sb="109" eb="110">
      <t>トトノ</t>
    </rPh>
    <rPh sb="115" eb="117">
      <t>センパイ</t>
    </rPh>
    <rPh sb="117" eb="119">
      <t>ガクセイ</t>
    </rPh>
    <rPh sb="122" eb="125">
      <t>ニュウガクマエ</t>
    </rPh>
    <rPh sb="125" eb="127">
      <t>シドウ</t>
    </rPh>
    <rPh sb="128" eb="130">
      <t>コベツ</t>
    </rPh>
    <rPh sb="130" eb="132">
      <t>ソウダン</t>
    </rPh>
    <rPh sb="135" eb="136">
      <t>オコナ</t>
    </rPh>
    <rPh sb="144" eb="146">
      <t>イチブ</t>
    </rPh>
    <rPh sb="147" eb="149">
      <t>ガクブ</t>
    </rPh>
    <rPh sb="158" eb="160">
      <t>ショゾク</t>
    </rPh>
    <rPh sb="162" eb="164">
      <t>ガクセイ</t>
    </rPh>
    <rPh sb="168" eb="170">
      <t>タンニン</t>
    </rPh>
    <rPh sb="170" eb="172">
      <t>キョウイン</t>
    </rPh>
    <rPh sb="173" eb="175">
      <t>ホジョ</t>
    </rPh>
    <rPh sb="175" eb="177">
      <t>ヨウイン</t>
    </rPh>
    <rPh sb="180" eb="182">
      <t>ハイチ</t>
    </rPh>
    <rPh sb="192" eb="194">
      <t>セイド</t>
    </rPh>
    <rPh sb="198" eb="200">
      <t>センパイ</t>
    </rPh>
    <rPh sb="200" eb="202">
      <t>ガクセイ</t>
    </rPh>
    <rPh sb="211" eb="213">
      <t>コウハイ</t>
    </rPh>
    <rPh sb="213" eb="215">
      <t>ガクセイ</t>
    </rPh>
    <rPh sb="216" eb="217">
      <t>ウ</t>
    </rPh>
    <rPh sb="218" eb="219">
      <t>ト</t>
    </rPh>
    <rPh sb="220" eb="222">
      <t>シク</t>
    </rPh>
    <phoneticPr fontId="1"/>
  </si>
  <si>
    <t>令和元年度</t>
    <rPh sb="0" eb="2">
      <t>レイワ</t>
    </rPh>
    <rPh sb="2" eb="5">
      <t>ガンネンド</t>
    </rPh>
    <phoneticPr fontId="1"/>
  </si>
  <si>
    <t>データサイエンス・AI教育推進室</t>
    <rPh sb="11" eb="13">
      <t>キョウイク</t>
    </rPh>
    <rPh sb="13" eb="15">
      <t>スイシン</t>
    </rPh>
    <rPh sb="15" eb="16">
      <t>シツ</t>
    </rPh>
    <phoneticPr fontId="1"/>
  </si>
  <si>
    <t>データサイエンス・AIリテラシー教育プログラム</t>
    <rPh sb="16" eb="18">
      <t>キョウイク</t>
    </rPh>
    <phoneticPr fontId="1"/>
  </si>
  <si>
    <t>データサイエンス・AI教育推進室長</t>
    <rPh sb="11" eb="13">
      <t>キョウイク</t>
    </rPh>
    <rPh sb="13" eb="15">
      <t>スイシン</t>
    </rPh>
    <rPh sb="15" eb="17">
      <t>シツチョウ</t>
    </rPh>
    <phoneticPr fontId="1"/>
  </si>
  <si>
    <t>データサイエンス・AI教育推進室</t>
    <phoneticPr fontId="1"/>
  </si>
  <si>
    <t>全学で開講している共通基盤教育において、数理情報系科目である「情報リテラシー」を取得すること。
※本学の「情報リテラシー」は全学開講を行っているが、学科・クラスの詳細な実施形態に合わせ18シラバスがある。</t>
    <rPh sb="0" eb="2">
      <t>ゼンガク</t>
    </rPh>
    <rPh sb="3" eb="5">
      <t>カイコウ</t>
    </rPh>
    <rPh sb="9" eb="11">
      <t>キョウツウ</t>
    </rPh>
    <rPh sb="11" eb="13">
      <t>キバン</t>
    </rPh>
    <rPh sb="13" eb="15">
      <t>キョウイク</t>
    </rPh>
    <rPh sb="20" eb="22">
      <t>スウリ</t>
    </rPh>
    <rPh sb="22" eb="24">
      <t>ジョウホウ</t>
    </rPh>
    <rPh sb="24" eb="25">
      <t>ケイ</t>
    </rPh>
    <rPh sb="25" eb="27">
      <t>カモク</t>
    </rPh>
    <rPh sb="31" eb="33">
      <t>ジョウホウ</t>
    </rPh>
    <rPh sb="40" eb="42">
      <t>シュトク</t>
    </rPh>
    <rPh sb="50" eb="52">
      <t>ホンガク</t>
    </rPh>
    <rPh sb="54" eb="56">
      <t>ジョウホウ</t>
    </rPh>
    <rPh sb="63" eb="67">
      <t>ゼンガクカイコウ</t>
    </rPh>
    <rPh sb="68" eb="69">
      <t>オコナ</t>
    </rPh>
    <rPh sb="75" eb="77">
      <t>ガッカ</t>
    </rPh>
    <rPh sb="82" eb="84">
      <t>ショウサイ</t>
    </rPh>
    <rPh sb="85" eb="89">
      <t>ジッシケイタイ</t>
    </rPh>
    <rPh sb="90" eb="91">
      <t>ア</t>
    </rPh>
    <phoneticPr fontId="1"/>
  </si>
  <si>
    <t>学科ごとに実施講義回が異なるため各シラバスの後に別資料（シラバス等）でまとめて記載する。</t>
    <rPh sb="32" eb="33">
      <t>ナド</t>
    </rPh>
    <phoneticPr fontId="1"/>
  </si>
  <si>
    <t>深層学習などのAI技術が何をできるものなのかを、各学科の視点でわかりやすく事例を挙げた解説をしている。
実際に手を動かしてAI技術、特に深層学習に関連した動作体験なども交えて理解を深めている。</t>
    <rPh sb="0" eb="2">
      <t>シンソウ</t>
    </rPh>
    <rPh sb="2" eb="4">
      <t>ガクシュウ</t>
    </rPh>
    <rPh sb="9" eb="11">
      <t>ギジュツ</t>
    </rPh>
    <rPh sb="12" eb="13">
      <t>ナニ</t>
    </rPh>
    <rPh sb="24" eb="27">
      <t>カクガッカ</t>
    </rPh>
    <rPh sb="28" eb="30">
      <t>シテン</t>
    </rPh>
    <rPh sb="37" eb="39">
      <t>ジレイ</t>
    </rPh>
    <rPh sb="40" eb="41">
      <t>ア</t>
    </rPh>
    <rPh sb="43" eb="45">
      <t>カイセツ</t>
    </rPh>
    <rPh sb="52" eb="54">
      <t>ジッサイ</t>
    </rPh>
    <rPh sb="55" eb="56">
      <t>テ</t>
    </rPh>
    <rPh sb="57" eb="58">
      <t>ウゴ</t>
    </rPh>
    <rPh sb="63" eb="65">
      <t>ギジュツ</t>
    </rPh>
    <rPh sb="66" eb="67">
      <t>トク</t>
    </rPh>
    <rPh sb="68" eb="70">
      <t>シンソウ</t>
    </rPh>
    <rPh sb="70" eb="72">
      <t>ガクシュウ</t>
    </rPh>
    <rPh sb="73" eb="75">
      <t>カンレン</t>
    </rPh>
    <rPh sb="77" eb="79">
      <t>ドウサ</t>
    </rPh>
    <rPh sb="79" eb="81">
      <t>タイケン</t>
    </rPh>
    <rPh sb="84" eb="85">
      <t>マジ</t>
    </rPh>
    <rPh sb="87" eb="89">
      <t>リカイ</t>
    </rPh>
    <rPh sb="90" eb="91">
      <t>フカ</t>
    </rPh>
    <phoneticPr fontId="1"/>
  </si>
  <si>
    <t>データサイエンス教育は下記内容を全学科の情報リテラシーで最低限実施することとし解説・演習を行っている。
・表やグラフによるデータ表現
・平均値・中央値・最頻値の理解
・データ分布の読み取り、ばらつきの指標（分散、標準偏差）
・四分位、箱ひげ図
・データ相関の読み取り、相関係数、みかけの相関、因果関係の理解
・公的統計を使ったデータを可視化</t>
    <rPh sb="8" eb="10">
      <t>キョウイク</t>
    </rPh>
    <rPh sb="11" eb="13">
      <t>カキ</t>
    </rPh>
    <rPh sb="13" eb="15">
      <t>ナイヨウ</t>
    </rPh>
    <rPh sb="16" eb="19">
      <t>ゼンガッカ</t>
    </rPh>
    <rPh sb="20" eb="22">
      <t>ジョウホウ</t>
    </rPh>
    <rPh sb="28" eb="31">
      <t>サイテイゲン</t>
    </rPh>
    <rPh sb="31" eb="33">
      <t>ジッシ</t>
    </rPh>
    <rPh sb="39" eb="41">
      <t>カイセツ</t>
    </rPh>
    <rPh sb="42" eb="44">
      <t>エンシュウ</t>
    </rPh>
    <rPh sb="45" eb="46">
      <t>オコナ</t>
    </rPh>
    <phoneticPr fontId="1"/>
  </si>
  <si>
    <t>　授業時間内外で学習指導や質問を受け付けるために、以下の仕組みを整備して運営している。
(1)  本プログラムを構成する科目（情報リテラシー）の授業資料はLMS上に公開しているので、学生はいつでも自習することができる。
(2)  担当教員のオフィスアワーを公開し、学生がいつでも質問できるサポート体制も整備している。
(3)  データサイエンス・AI教育推進室に参考図書や参考資料を整備したディスカッションスペースを設けている。オープン時間中は教員・学生が自由に利用できるようにしているほか、大学院生などが担当する相談員も配置しており、質問したりアドバイスを受けられる体制を整えている。 
(4)  MathWorks社と契約を締結しており、同社が提供している有償の教育教材を本学学生は全て無料で利用できる。データサイエンスやAIに関する広範な内容をカバーしており、24時間いつでも、自宅からでもオンライン受講できるようになっている。</t>
    <rPh sb="1" eb="3">
      <t>ジュギョウ</t>
    </rPh>
    <rPh sb="3" eb="5">
      <t>ジカン</t>
    </rPh>
    <rPh sb="5" eb="6">
      <t>ナイ</t>
    </rPh>
    <rPh sb="6" eb="7">
      <t>ガイ</t>
    </rPh>
    <rPh sb="8" eb="10">
      <t>ガクシュウ</t>
    </rPh>
    <rPh sb="10" eb="12">
      <t>シドウ</t>
    </rPh>
    <rPh sb="13" eb="15">
      <t>シツモン</t>
    </rPh>
    <rPh sb="16" eb="17">
      <t>ウ</t>
    </rPh>
    <rPh sb="18" eb="19">
      <t>ツ</t>
    </rPh>
    <rPh sb="25" eb="27">
      <t>イカ</t>
    </rPh>
    <rPh sb="28" eb="30">
      <t>シク</t>
    </rPh>
    <rPh sb="32" eb="34">
      <t>セイビ</t>
    </rPh>
    <rPh sb="36" eb="38">
      <t>ウンエイ</t>
    </rPh>
    <rPh sb="50" eb="51">
      <t>ホン</t>
    </rPh>
    <rPh sb="57" eb="59">
      <t>コウセイ</t>
    </rPh>
    <rPh sb="61" eb="63">
      <t>カモク</t>
    </rPh>
    <rPh sb="64" eb="66">
      <t>ジョウホウ</t>
    </rPh>
    <rPh sb="73" eb="75">
      <t>ジュギョウ</t>
    </rPh>
    <rPh sb="75" eb="77">
      <t>シリョウ</t>
    </rPh>
    <rPh sb="81" eb="82">
      <t>ジョウ</t>
    </rPh>
    <rPh sb="83" eb="85">
      <t>コウカイ</t>
    </rPh>
    <rPh sb="92" eb="94">
      <t>ガクセイ</t>
    </rPh>
    <rPh sb="99" eb="101">
      <t>ジシュウ</t>
    </rPh>
    <rPh sb="176" eb="178">
      <t>キョウイク</t>
    </rPh>
    <rPh sb="178" eb="180">
      <t>スイシン</t>
    </rPh>
    <rPh sb="180" eb="181">
      <t>シツ</t>
    </rPh>
    <rPh sb="219" eb="222">
      <t>ジカンチュウ</t>
    </rPh>
    <rPh sb="223" eb="225">
      <t>キョウイン</t>
    </rPh>
    <rPh sb="226" eb="228">
      <t>ガクセイ</t>
    </rPh>
    <rPh sb="229" eb="231">
      <t>ジユウ</t>
    </rPh>
    <rPh sb="232" eb="234">
      <t>リヨウ</t>
    </rPh>
    <rPh sb="247" eb="249">
      <t>ダイガク</t>
    </rPh>
    <rPh sb="249" eb="251">
      <t>インセイ</t>
    </rPh>
    <rPh sb="254" eb="256">
      <t>タントウ</t>
    </rPh>
    <rPh sb="258" eb="261">
      <t>ソウダンイン</t>
    </rPh>
    <rPh sb="262" eb="264">
      <t>ハイチ</t>
    </rPh>
    <rPh sb="269" eb="271">
      <t>シツモン</t>
    </rPh>
    <rPh sb="280" eb="281">
      <t>ウ</t>
    </rPh>
    <rPh sb="285" eb="287">
      <t>タイセイ</t>
    </rPh>
    <rPh sb="288" eb="289">
      <t>トトノ</t>
    </rPh>
    <rPh sb="310" eb="311">
      <t>シャ</t>
    </rPh>
    <rPh sb="312" eb="314">
      <t>ケイヤク</t>
    </rPh>
    <rPh sb="315" eb="317">
      <t>テイケツ</t>
    </rPh>
    <rPh sb="322" eb="324">
      <t>ドウシャ</t>
    </rPh>
    <rPh sb="325" eb="327">
      <t>テイキョウ</t>
    </rPh>
    <rPh sb="331" eb="333">
      <t>ユウショウ</t>
    </rPh>
    <rPh sb="334" eb="336">
      <t>キョウイク</t>
    </rPh>
    <rPh sb="336" eb="338">
      <t>キョウザイ</t>
    </rPh>
    <rPh sb="339" eb="341">
      <t>ホンガク</t>
    </rPh>
    <rPh sb="341" eb="343">
      <t>ガクセイ</t>
    </rPh>
    <rPh sb="344" eb="345">
      <t>スベ</t>
    </rPh>
    <rPh sb="346" eb="348">
      <t>ムリョウ</t>
    </rPh>
    <rPh sb="349" eb="351">
      <t>リヨウ</t>
    </rPh>
    <rPh sb="367" eb="368">
      <t>カン</t>
    </rPh>
    <rPh sb="370" eb="372">
      <t>コウハン</t>
    </rPh>
    <rPh sb="373" eb="375">
      <t>ナイヨウ</t>
    </rPh>
    <rPh sb="386" eb="388">
      <t>ジカン</t>
    </rPh>
    <rPh sb="393" eb="395">
      <t>ジタク</t>
    </rPh>
    <rPh sb="404" eb="406">
      <t>ジュコウ</t>
    </rPh>
    <phoneticPr fontId="1"/>
  </si>
  <si>
    <t>　平成30年度に採択された私立大学研究ブランディング事業に関連して、厚木商工会議所、さがみはら産業創造センターの会員企業、などとの連携体制を確立している。このような大学と企業との連携の場を通じて、本学卒業生の状況を収集している。また、IT業界の団体である（一財）IT産業懇話会には本学教員および職員が理事として参加しており、会員企業から本学卒業生の活躍状況を直接把握している。 IT産業懇話会に加えて、（一財）IT検証産業協会、（一財）神奈川県情報サービス産業協会とも密接な関係を構築しており、定期的な意見交換会の中で、本学卒業生の活躍状況を把握している。
　このような企業との連携を通じて、本学卒業者の活躍状況を把握するとともに、企業からの意見を教育改善に取り入れて行くようにしている。</t>
    <rPh sb="98" eb="100">
      <t>ホンガク</t>
    </rPh>
    <rPh sb="100" eb="103">
      <t>ソツギョウセイ</t>
    </rPh>
    <rPh sb="104" eb="106">
      <t>ジョウキョウ</t>
    </rPh>
    <rPh sb="107" eb="109">
      <t>シュウシュウ</t>
    </rPh>
    <rPh sb="169" eb="170">
      <t>ガク</t>
    </rPh>
    <rPh sb="170" eb="172">
      <t>ソツギョウ</t>
    </rPh>
    <rPh sb="172" eb="173">
      <t>セイ</t>
    </rPh>
    <rPh sb="174" eb="176">
      <t>カツヤク</t>
    </rPh>
    <rPh sb="176" eb="178">
      <t>ジョウキョウ</t>
    </rPh>
    <rPh sb="179" eb="181">
      <t>チョクセツ</t>
    </rPh>
    <rPh sb="181" eb="183">
      <t>ハアク</t>
    </rPh>
    <rPh sb="260" eb="262">
      <t>ホンガク</t>
    </rPh>
    <rPh sb="262" eb="265">
      <t>ソツギョウセイ</t>
    </rPh>
    <rPh sb="266" eb="268">
      <t>カツヤク</t>
    </rPh>
    <rPh sb="268" eb="270">
      <t>ジョウキョウ</t>
    </rPh>
    <rPh sb="271" eb="273">
      <t>ハアク</t>
    </rPh>
    <rPh sb="285" eb="287">
      <t>キギョウ</t>
    </rPh>
    <rPh sb="289" eb="291">
      <t>レンケイ</t>
    </rPh>
    <rPh sb="292" eb="293">
      <t>ツウ</t>
    </rPh>
    <rPh sb="296" eb="298">
      <t>ホンガク</t>
    </rPh>
    <rPh sb="298" eb="301">
      <t>ソツギョウシャ</t>
    </rPh>
    <rPh sb="302" eb="304">
      <t>カツヤク</t>
    </rPh>
    <rPh sb="304" eb="306">
      <t>ジョウキョウ</t>
    </rPh>
    <rPh sb="307" eb="309">
      <t>ハアク</t>
    </rPh>
    <rPh sb="316" eb="318">
      <t>キギョウ</t>
    </rPh>
    <rPh sb="321" eb="323">
      <t>イケン</t>
    </rPh>
    <rPh sb="324" eb="326">
      <t>キョウイク</t>
    </rPh>
    <rPh sb="326" eb="328">
      <t>カイゼン</t>
    </rPh>
    <rPh sb="329" eb="330">
      <t>ト</t>
    </rPh>
    <rPh sb="331" eb="332">
      <t>イ</t>
    </rPh>
    <rPh sb="334" eb="335">
      <t>イ</t>
    </rPh>
    <phoneticPr fontId="1"/>
  </si>
  <si>
    <t xml:space="preserve">  平成30年度に採択された私立大学研究ブランディング事業に関連して、厚木商工会議所、さがみはら産業創造センターの会員企業、などとの連携体制を確立している。このような大学と企業との連携の場を通じて、本プログラムを含む本学での教育に対する意見を求めている。
　また、IT業界の団体である（一財）IT産業懇話会には本学教員および職員が理事として参加しており、会員企業から本プログラムに対する意見を直接的に求めている。 IT産業懇話会に加えて、（一財）IT検証産業協会、（一財）神奈川県情報サービス産業協会とも密接な関係を構築しており、定期的な意見交換会の中で、本プログラムへの意見を得ている。
</t>
    <rPh sb="2" eb="4">
      <t>ヘイセイ</t>
    </rPh>
    <rPh sb="6" eb="8">
      <t>ネンド</t>
    </rPh>
    <rPh sb="9" eb="11">
      <t>サイタク</t>
    </rPh>
    <rPh sb="14" eb="16">
      <t>シリツ</t>
    </rPh>
    <rPh sb="16" eb="18">
      <t>ダイガク</t>
    </rPh>
    <rPh sb="66" eb="68">
      <t>レンケイ</t>
    </rPh>
    <rPh sb="68" eb="70">
      <t>タイセイ</t>
    </rPh>
    <rPh sb="71" eb="73">
      <t>カクリツ</t>
    </rPh>
    <rPh sb="83" eb="85">
      <t>ダイガク</t>
    </rPh>
    <rPh sb="86" eb="88">
      <t>キギョウ</t>
    </rPh>
    <rPh sb="90" eb="92">
      <t>レンケイ</t>
    </rPh>
    <rPh sb="93" eb="94">
      <t>バ</t>
    </rPh>
    <rPh sb="95" eb="96">
      <t>ツウ</t>
    </rPh>
    <rPh sb="99" eb="100">
      <t>ホン</t>
    </rPh>
    <rPh sb="106" eb="107">
      <t>フク</t>
    </rPh>
    <rPh sb="108" eb="110">
      <t>ホンガク</t>
    </rPh>
    <rPh sb="112" eb="114">
      <t>キョウイク</t>
    </rPh>
    <rPh sb="115" eb="116">
      <t>タイ</t>
    </rPh>
    <rPh sb="118" eb="120">
      <t>イケン</t>
    </rPh>
    <rPh sb="121" eb="122">
      <t>モト</t>
    </rPh>
    <rPh sb="134" eb="136">
      <t>ギョウカイ</t>
    </rPh>
    <rPh sb="137" eb="139">
      <t>ダンタイ</t>
    </rPh>
    <rPh sb="143" eb="145">
      <t>イチザイ</t>
    </rPh>
    <rPh sb="148" eb="150">
      <t>サンギョウ</t>
    </rPh>
    <rPh sb="150" eb="153">
      <t>コンワカイ</t>
    </rPh>
    <rPh sb="155" eb="157">
      <t>ホンガク</t>
    </rPh>
    <rPh sb="157" eb="159">
      <t>キョウイン</t>
    </rPh>
    <rPh sb="162" eb="164">
      <t>ショクイン</t>
    </rPh>
    <rPh sb="165" eb="167">
      <t>リジ</t>
    </rPh>
    <rPh sb="170" eb="172">
      <t>サンカ</t>
    </rPh>
    <rPh sb="177" eb="179">
      <t>カイイン</t>
    </rPh>
    <rPh sb="179" eb="181">
      <t>キギョウ</t>
    </rPh>
    <rPh sb="183" eb="184">
      <t>ホン</t>
    </rPh>
    <rPh sb="190" eb="191">
      <t>タイ</t>
    </rPh>
    <rPh sb="193" eb="195">
      <t>イケン</t>
    </rPh>
    <rPh sb="196" eb="198">
      <t>チョクセツ</t>
    </rPh>
    <rPh sb="198" eb="199">
      <t>テキ</t>
    </rPh>
    <rPh sb="200" eb="201">
      <t>モト</t>
    </rPh>
    <rPh sb="209" eb="211">
      <t>サンギョウ</t>
    </rPh>
    <rPh sb="211" eb="214">
      <t>コンワカイ</t>
    </rPh>
    <rPh sb="215" eb="216">
      <t>クワ</t>
    </rPh>
    <rPh sb="220" eb="222">
      <t>イチザイ</t>
    </rPh>
    <rPh sb="225" eb="227">
      <t>ケンショウ</t>
    </rPh>
    <rPh sb="227" eb="229">
      <t>サンギョウ</t>
    </rPh>
    <rPh sb="229" eb="231">
      <t>キョウカイ</t>
    </rPh>
    <rPh sb="233" eb="235">
      <t>イチザイ</t>
    </rPh>
    <rPh sb="236" eb="240">
      <t>カナガワケン</t>
    </rPh>
    <rPh sb="240" eb="242">
      <t>ジョウホウ</t>
    </rPh>
    <rPh sb="246" eb="248">
      <t>サンギョウ</t>
    </rPh>
    <rPh sb="248" eb="250">
      <t>キョウカイ</t>
    </rPh>
    <rPh sb="252" eb="254">
      <t>ミッセツ</t>
    </rPh>
    <rPh sb="255" eb="257">
      <t>カンケイ</t>
    </rPh>
    <rPh sb="258" eb="260">
      <t>コウチク</t>
    </rPh>
    <rPh sb="278" eb="279">
      <t>ホン</t>
    </rPh>
    <rPh sb="286" eb="288">
      <t>イケン</t>
    </rPh>
    <rPh sb="289" eb="290">
      <t>エ</t>
    </rPh>
    <phoneticPr fontId="1"/>
  </si>
  <si>
    <t xml:space="preserve">   全学的な組織である教育開発センターにおいて、学習成果評価方法に関する議論を継続しており、学習成果評価を通じて、学生にとってより分かりやすい授業とする方法の検討を行っている。また、FD プログラム「教育力向上ワークショップ」を開催しており、とくに2020年度をオンラインでのFDとして開催した。加えて、オンライン授業の理解・改善を目的とした「オンライン授業研究会」も2020 年度から定期的に開催しており、オンライン授業での分かりやすさ確保のためのノウハウを全学の教員が共同で研究して、直ちに自らの授業に反映できる仕組みを整えている。
</t>
    <rPh sb="3" eb="6">
      <t>ゼンガクテキ</t>
    </rPh>
    <rPh sb="7" eb="9">
      <t>ソシキ</t>
    </rPh>
    <rPh sb="12" eb="14">
      <t>キョウイク</t>
    </rPh>
    <rPh sb="14" eb="16">
      <t>カイハツ</t>
    </rPh>
    <rPh sb="25" eb="27">
      <t>ガクシュウ</t>
    </rPh>
    <rPh sb="27" eb="29">
      <t>セイカ</t>
    </rPh>
    <rPh sb="29" eb="31">
      <t>ヒョウカ</t>
    </rPh>
    <rPh sb="31" eb="33">
      <t>ホウホウ</t>
    </rPh>
    <rPh sb="34" eb="35">
      <t>カン</t>
    </rPh>
    <rPh sb="37" eb="39">
      <t>ギロン</t>
    </rPh>
    <rPh sb="40" eb="42">
      <t>ケイゾク</t>
    </rPh>
    <rPh sb="47" eb="49">
      <t>ガクシュウ</t>
    </rPh>
    <rPh sb="49" eb="51">
      <t>セイカ</t>
    </rPh>
    <rPh sb="51" eb="53">
      <t>ヒョウカ</t>
    </rPh>
    <rPh sb="54" eb="55">
      <t>ツウ</t>
    </rPh>
    <rPh sb="58" eb="60">
      <t>ガクセイ</t>
    </rPh>
    <rPh sb="66" eb="67">
      <t>ワ</t>
    </rPh>
    <rPh sb="72" eb="74">
      <t>ジュギョウ</t>
    </rPh>
    <rPh sb="77" eb="79">
      <t>ホウホウ</t>
    </rPh>
    <rPh sb="80" eb="82">
      <t>ケントウ</t>
    </rPh>
    <rPh sb="83" eb="84">
      <t>オコナ</t>
    </rPh>
    <rPh sb="115" eb="117">
      <t>カイサイ</t>
    </rPh>
    <rPh sb="129" eb="131">
      <t>ネンド</t>
    </rPh>
    <rPh sb="144" eb="146">
      <t>カイサイ</t>
    </rPh>
    <rPh sb="149" eb="150">
      <t>クワ</t>
    </rPh>
    <rPh sb="190" eb="192">
      <t>ネンド</t>
    </rPh>
    <rPh sb="194" eb="197">
      <t>テイキテキ</t>
    </rPh>
    <rPh sb="210" eb="212">
      <t>ジュギョウ</t>
    </rPh>
    <rPh sb="214" eb="215">
      <t>ワ</t>
    </rPh>
    <rPh sb="220" eb="222">
      <t>カクホ</t>
    </rPh>
    <rPh sb="231" eb="233">
      <t>ゼンガク</t>
    </rPh>
    <rPh sb="234" eb="236">
      <t>キョウイン</t>
    </rPh>
    <rPh sb="237" eb="239">
      <t>キョウドウ</t>
    </rPh>
    <rPh sb="240" eb="242">
      <t>ケンキュウ</t>
    </rPh>
    <rPh sb="245" eb="246">
      <t>タダ</t>
    </rPh>
    <rPh sb="248" eb="249">
      <t>ミズカ</t>
    </rPh>
    <rPh sb="251" eb="253">
      <t>ジュギョウ</t>
    </rPh>
    <rPh sb="254" eb="256">
      <t>ハンエイ</t>
    </rPh>
    <rPh sb="259" eb="261">
      <t>シク</t>
    </rPh>
    <rPh sb="263" eb="264">
      <t>トトノ</t>
    </rPh>
    <phoneticPr fontId="1"/>
  </si>
  <si>
    <t xml:space="preserve">  本プログラムを構成する科目（情報リテラシー）は、全学の全学科で開講しているだけでなく、1つの学科（臨床工学科）と１学科の学科内コース（機械工学科航空宇宙学コース）を除く、全学科全コースにおいて必修科目としている。必修化していない１学科と１コースに対しては、この科目の履修を強く推奨しており、履修ガイダンスで徹底的に指導しているため、令和元年度・令和2年度において100%の学生が履修している。 したがって、本プログラム開始後にておいは、すでに履修率100%を達成している。
　2022年度末には、全学生が本プログラムを修了する計画である。</t>
    <rPh sb="244" eb="246">
      <t>ネンド</t>
    </rPh>
    <rPh sb="246" eb="247">
      <t>マツ</t>
    </rPh>
    <rPh sb="254" eb="255">
      <t>ホン</t>
    </rPh>
    <rPh sb="261" eb="263">
      <t>シュウリョウ</t>
    </rPh>
    <rPh sb="265" eb="267">
      <t>ケイカク</t>
    </rPh>
    <phoneticPr fontId="1"/>
  </si>
  <si>
    <t>松本 一教</t>
    <rPh sb="0" eb="2">
      <t>マツモト</t>
    </rPh>
    <rPh sb="3" eb="4">
      <t>ハジメ</t>
    </rPh>
    <rPh sb="4" eb="5">
      <t>キョウ</t>
    </rPh>
    <phoneticPr fontId="1"/>
  </si>
  <si>
    <t>学長補佐</t>
    <rPh sb="0" eb="2">
      <t>ガクチョウ</t>
    </rPh>
    <rPh sb="2" eb="4">
      <t>ホサ</t>
    </rPh>
    <phoneticPr fontId="1"/>
  </si>
  <si>
    <t xml:space="preserve">　上記の④で説明しているように、1学科と1コースを除く全学科において必修化している。必修化していない1学科と1コースでは履修指導を徹底しているため、本プログラム開始後においては、全学100%の履修が既に達成されている。
　なお、本プログラムの質向上や教材整備、学生の自習支援、学生からの質問対応、などのために、データサイエンス・AI教育推進室を設置している。
  </t>
    <rPh sb="1" eb="3">
      <t>ジョウキ</t>
    </rPh>
    <rPh sb="6" eb="8">
      <t>セツメイ</t>
    </rPh>
    <rPh sb="17" eb="19">
      <t>ガッカ</t>
    </rPh>
    <rPh sb="25" eb="26">
      <t>ノゾ</t>
    </rPh>
    <rPh sb="27" eb="28">
      <t>ゼン</t>
    </rPh>
    <rPh sb="28" eb="30">
      <t>ガッカ</t>
    </rPh>
    <rPh sb="34" eb="37">
      <t>ヒッシュウカ</t>
    </rPh>
    <rPh sb="42" eb="45">
      <t>ヒッシュウカ</t>
    </rPh>
    <rPh sb="51" eb="53">
      <t>ガッカ</t>
    </rPh>
    <rPh sb="60" eb="62">
      <t>リシュウ</t>
    </rPh>
    <rPh sb="62" eb="64">
      <t>シドウ</t>
    </rPh>
    <rPh sb="65" eb="67">
      <t>テッテイ</t>
    </rPh>
    <rPh sb="89" eb="91">
      <t>ゼンガク</t>
    </rPh>
    <rPh sb="96" eb="98">
      <t>リシュウ</t>
    </rPh>
    <rPh sb="99" eb="100">
      <t>スデ</t>
    </rPh>
    <rPh sb="101" eb="103">
      <t>タッセイ</t>
    </rPh>
    <rPh sb="114" eb="115">
      <t>ホン</t>
    </rPh>
    <rPh sb="121" eb="122">
      <t>シツ</t>
    </rPh>
    <rPh sb="122" eb="124">
      <t>コウジョウ</t>
    </rPh>
    <rPh sb="125" eb="127">
      <t>キョウザイ</t>
    </rPh>
    <rPh sb="127" eb="129">
      <t>セイビ</t>
    </rPh>
    <rPh sb="130" eb="132">
      <t>ガクセイ</t>
    </rPh>
    <rPh sb="133" eb="135">
      <t>ジシュウ</t>
    </rPh>
    <rPh sb="135" eb="137">
      <t>シエン</t>
    </rPh>
    <rPh sb="138" eb="140">
      <t>ガクセイ</t>
    </rPh>
    <rPh sb="143" eb="145">
      <t>シツモン</t>
    </rPh>
    <rPh sb="145" eb="147">
      <t>タイオウ</t>
    </rPh>
    <rPh sb="166" eb="168">
      <t>キョウイク</t>
    </rPh>
    <rPh sb="168" eb="170">
      <t>スイシン</t>
    </rPh>
    <rPh sb="170" eb="171">
      <t>シツ</t>
    </rPh>
    <rPh sb="172" eb="174">
      <t>セッチ</t>
    </rPh>
    <phoneticPr fontId="1"/>
  </si>
  <si>
    <t xml:space="preserve">　上記の④で説明しているように、1学科と1コースを除く全学科において必修化している。必修化していない1学科と1コースでは履修指導を徹底しているため、本プログラム開始後においては、全学100%の履修が既に達成されている。
　なお、本プログラムの質向上や教材整備、学生の自習支援、学生からの質問対応、などのために、データサイエンス・AI教育推進室を設置している。
　また、データサイエンス・AI教育推進室には、参考図書や参考資料を整備したディスカッションスペースを設けている。担当教員のオフィスアワーを公開し、学生がいつでも質問できるサポート体制も整備している。
  </t>
    <rPh sb="195" eb="197">
      <t>キョウイク</t>
    </rPh>
    <rPh sb="197" eb="199">
      <t>スイシン</t>
    </rPh>
    <rPh sb="199" eb="200">
      <t>シツ</t>
    </rPh>
    <rPh sb="203" eb="205">
      <t>サンコウ</t>
    </rPh>
    <rPh sb="205" eb="207">
      <t>トショ</t>
    </rPh>
    <rPh sb="208" eb="210">
      <t>サンコウ</t>
    </rPh>
    <rPh sb="210" eb="212">
      <t>シリョウ</t>
    </rPh>
    <rPh sb="213" eb="215">
      <t>セイビ</t>
    </rPh>
    <rPh sb="230" eb="231">
      <t>モウ</t>
    </rPh>
    <rPh sb="236" eb="240">
      <t>タントウキョウイン</t>
    </rPh>
    <rPh sb="249" eb="251">
      <t>コウカイ</t>
    </rPh>
    <rPh sb="253" eb="255">
      <t>ガクセイ</t>
    </rPh>
    <rPh sb="260" eb="262">
      <t>シツモン</t>
    </rPh>
    <rPh sb="269" eb="271">
      <t>タイセイ</t>
    </rPh>
    <rPh sb="272" eb="274">
      <t>セイビ</t>
    </rPh>
    <phoneticPr fontId="1"/>
  </si>
  <si>
    <t>データサイエンス・AI教育推進室 規程</t>
    <rPh sb="11" eb="13">
      <t>キョウイク</t>
    </rPh>
    <rPh sb="13" eb="15">
      <t>スイシン</t>
    </rPh>
    <rPh sb="15" eb="16">
      <t>シツ</t>
    </rPh>
    <rPh sb="17" eb="19">
      <t>キテイ</t>
    </rPh>
    <phoneticPr fontId="1"/>
  </si>
  <si>
    <t>今の社会においてコンピュータ活用の大切さ、データ・AI技術の大切さを解説している。
データ・AIが現在の幅広い社会で広く活用されていることを最新事例などを紹介しながら解説している。
特に、本学ではそれぞれの学科に合わせた学修を進めており、
専門分野の今後の学びにつながるデータやAIの技術について解説している。</t>
    <rPh sb="0" eb="1">
      <t>イマ</t>
    </rPh>
    <rPh sb="2" eb="4">
      <t>シャカイ</t>
    </rPh>
    <rPh sb="14" eb="16">
      <t>カツヨウ</t>
    </rPh>
    <rPh sb="17" eb="19">
      <t>タイセツ</t>
    </rPh>
    <rPh sb="27" eb="29">
      <t>ギジュツ</t>
    </rPh>
    <rPh sb="30" eb="32">
      <t>タイセツ</t>
    </rPh>
    <rPh sb="34" eb="36">
      <t>カイセツ</t>
    </rPh>
    <rPh sb="49" eb="51">
      <t>ゲンザイ</t>
    </rPh>
    <rPh sb="52" eb="54">
      <t>ハバヒロ</t>
    </rPh>
    <rPh sb="55" eb="57">
      <t>シャカイ</t>
    </rPh>
    <rPh sb="58" eb="59">
      <t>ヒロ</t>
    </rPh>
    <rPh sb="60" eb="62">
      <t>カツヨウ</t>
    </rPh>
    <rPh sb="70" eb="72">
      <t>サイシン</t>
    </rPh>
    <rPh sb="72" eb="74">
      <t>ジレイ</t>
    </rPh>
    <rPh sb="77" eb="79">
      <t>ショウカイ</t>
    </rPh>
    <rPh sb="83" eb="85">
      <t>カイセツ</t>
    </rPh>
    <rPh sb="92" eb="93">
      <t>トク</t>
    </rPh>
    <rPh sb="95" eb="97">
      <t>ホンガク</t>
    </rPh>
    <rPh sb="104" eb="106">
      <t>ガッカ</t>
    </rPh>
    <rPh sb="107" eb="108">
      <t>ア</t>
    </rPh>
    <rPh sb="111" eb="113">
      <t>ガクシュウ</t>
    </rPh>
    <rPh sb="114" eb="115">
      <t>スス</t>
    </rPh>
    <rPh sb="121" eb="123">
      <t>センモン</t>
    </rPh>
    <rPh sb="123" eb="125">
      <t>ブンヤ</t>
    </rPh>
    <rPh sb="126" eb="128">
      <t>コンゴ</t>
    </rPh>
    <rPh sb="129" eb="130">
      <t>マナ</t>
    </rPh>
    <rPh sb="143" eb="145">
      <t>ギジュツ</t>
    </rPh>
    <rPh sb="149" eb="151">
      <t>カイセツ</t>
    </rPh>
    <phoneticPr fontId="1"/>
  </si>
  <si>
    <t xml:space="preserve">  本プログラムを構成する科目（情報リテラシー）は、全学の全学科で開講しているだけでなく、1つの学科（臨床工学科）と１学科の学科内コース（機械工学科航空宇宙学コース）を除く、全学科全コースにおいて必修科目としている。必修化していない１学科と１コースに対しては、この科目の履修を強く推奨しており、履修ガイダンスで徹底的に指導しているため、令和元年度・令和2年度において100%の学生が履修している。 したがって、本プログラム開始後においては、すでに履修率100%を達成している。
  今後も、必修化していない１学科および１コースでの履修指導を継続するほか、全学必修化についても検討していく。全学での履修率100%の維持を目標として、本プログラムを継続推進する。</t>
    <rPh sb="174" eb="176">
      <t>レイワ</t>
    </rPh>
    <rPh sb="177" eb="179">
      <t>ネンド</t>
    </rPh>
    <rPh sb="205" eb="206">
      <t>ホン</t>
    </rPh>
    <rPh sb="211" eb="214">
      <t>カイシゴ</t>
    </rPh>
    <rPh sb="231" eb="233">
      <t>タッセイ</t>
    </rPh>
    <rPh sb="241" eb="243">
      <t>コンゴ</t>
    </rPh>
    <rPh sb="245" eb="247">
      <t>ヒッシュウ</t>
    </rPh>
    <rPh sb="247" eb="248">
      <t>カ</t>
    </rPh>
    <rPh sb="254" eb="256">
      <t>ガッカ</t>
    </rPh>
    <rPh sb="265" eb="267">
      <t>リシュウ</t>
    </rPh>
    <rPh sb="267" eb="269">
      <t>シドウ</t>
    </rPh>
    <rPh sb="270" eb="272">
      <t>ケイゾク</t>
    </rPh>
    <rPh sb="277" eb="279">
      <t>ゼンガク</t>
    </rPh>
    <rPh sb="279" eb="282">
      <t>ヒッシュウカ</t>
    </rPh>
    <rPh sb="287" eb="289">
      <t>ケントウ</t>
    </rPh>
    <rPh sb="294" eb="296">
      <t>ゼンガク</t>
    </rPh>
    <rPh sb="298" eb="300">
      <t>リシュウ</t>
    </rPh>
    <rPh sb="300" eb="301">
      <t>リツ</t>
    </rPh>
    <rPh sb="306" eb="308">
      <t>イジ</t>
    </rPh>
    <rPh sb="309" eb="311">
      <t>モクヒョウ</t>
    </rPh>
    <rPh sb="315" eb="316">
      <t>ホン</t>
    </rPh>
    <rPh sb="322" eb="324">
      <t>ケイゾク</t>
    </rPh>
    <rPh sb="324" eb="326">
      <t>スイシン</t>
    </rPh>
    <phoneticPr fontId="1"/>
  </si>
  <si>
    <t>神奈川県厚木市下荻野1030</t>
    <rPh sb="0" eb="4">
      <t>カナガワケン</t>
    </rPh>
    <rPh sb="4" eb="7">
      <t>アツギシ</t>
    </rPh>
    <phoneticPr fontId="1"/>
  </si>
  <si>
    <t>https://www.kait.jp/about/datascience/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</si>
</sst>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name val="ＭＳ Ｐゴシック"/>
      <family val="2"/>
      <charset val="128"/>
      <scheme val="minor"/>
    </font>
    <font>
      <sz val="11"/>
      <color rgb="FFFF0000"/>
      <name val="ＭＳ Ｐゴシック"/>
      <family val="2"/>
      <charset val="128"/>
      <scheme val="minor"/>
    </font>
    <font>
      <sz val="11"/>
      <color rgb="FFFF000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11" fillId="0" borderId="0" xfId="0" applyFont="1">
      <alignment vertical="center"/>
    </xf>
    <xf numFmtId="0" fontId="11" fillId="0" borderId="1" xfId="0" applyFont="1" applyBorder="1" applyAlignment="1">
      <alignment vertical="center" wrapText="1"/>
    </xf>
    <xf numFmtId="0" fontId="13" fillId="0" borderId="21" xfId="0" applyFont="1" applyBorder="1" applyAlignment="1">
      <alignment vertical="top" shrinkToFit="1"/>
    </xf>
    <xf numFmtId="0" fontId="13" fillId="0" borderId="19" xfId="0" applyFont="1" applyBorder="1" applyAlignment="1">
      <alignment vertical="top"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4" fillId="0" borderId="0" xfId="2" applyNumberFormat="1"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5"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3" fillId="0" borderId="20" xfId="0" applyFont="1" applyBorder="1" applyAlignment="1">
      <alignment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11" xfId="0" applyFont="1" applyBorder="1" applyAlignment="1">
      <alignment horizontal="center" vertical="center"/>
    </xf>
    <xf numFmtId="0" fontId="9" fillId="0" borderId="2" xfId="0" applyFont="1" applyBorder="1" applyAlignment="1">
      <alignment horizontal="center" vertical="center" shrinkToFit="1"/>
    </xf>
    <xf numFmtId="0" fontId="9" fillId="0" borderId="1" xfId="0" applyFont="1" applyBorder="1" applyAlignment="1">
      <alignment vertical="center" wrapText="1"/>
    </xf>
    <xf numFmtId="0" fontId="9" fillId="0" borderId="0" xfId="0" applyFont="1" applyBorder="1" applyAlignment="1">
      <alignment horizontal="center" vertical="center"/>
    </xf>
    <xf numFmtId="0" fontId="9"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16" fillId="0" borderId="0" xfId="0" applyFont="1">
      <alignment vertical="center"/>
    </xf>
    <xf numFmtId="0" fontId="16" fillId="0" borderId="10" xfId="0" applyFont="1" applyBorder="1" applyAlignment="1">
      <alignment vertical="center" shrinkToFit="1"/>
    </xf>
    <xf numFmtId="0" fontId="16" fillId="0" borderId="0" xfId="0" applyFont="1" applyFill="1">
      <alignment vertical="center"/>
    </xf>
    <xf numFmtId="0" fontId="12" fillId="0" borderId="10" xfId="0" applyFont="1" applyBorder="1" applyAlignment="1">
      <alignment vertical="center" shrinkToFit="1"/>
    </xf>
    <xf numFmtId="0" fontId="12" fillId="0" borderId="0" xfId="0" applyFont="1" applyBorder="1" applyAlignment="1">
      <alignment vertical="center" shrinkToFit="1"/>
    </xf>
    <xf numFmtId="0" fontId="16" fillId="0" borderId="0" xfId="0" applyFont="1" applyAlignment="1">
      <alignment horizontal="right" vertical="center"/>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12" fillId="0" borderId="2" xfId="0" applyFont="1" applyBorder="1" applyAlignment="1">
      <alignment horizontal="center" vertical="center" shrinkToFit="1"/>
    </xf>
    <xf numFmtId="176" fontId="12" fillId="0" borderId="2" xfId="0" applyNumberFormat="1" applyFont="1" applyBorder="1" applyAlignment="1">
      <alignment horizontal="center" vertical="center" shrinkToFit="1"/>
    </xf>
    <xf numFmtId="176" fontId="12" fillId="0" borderId="4" xfId="0" applyNumberFormat="1"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right"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2" fillId="0" borderId="2" xfId="0" applyFont="1" applyBorder="1" applyAlignment="1">
      <alignment vertical="center" shrinkToFit="1"/>
    </xf>
    <xf numFmtId="0" fontId="12" fillId="0" borderId="3" xfId="0" applyFont="1" applyBorder="1" applyAlignment="1">
      <alignment vertical="center" shrinkToFit="1"/>
    </xf>
    <xf numFmtId="0" fontId="12" fillId="0" borderId="4" xfId="0" applyFont="1" applyBorder="1" applyAlignment="1">
      <alignment vertical="center" shrinkToFit="1"/>
    </xf>
    <xf numFmtId="0" fontId="9" fillId="0" borderId="0" xfId="0" applyFont="1" applyBorder="1" applyAlignment="1">
      <alignment vertical="center" shrinkToFit="1"/>
    </xf>
    <xf numFmtId="0" fontId="12" fillId="0" borderId="4" xfId="0" applyFont="1" applyBorder="1" applyAlignment="1">
      <alignment horizontal="center" vertical="center" shrinkToFit="1"/>
    </xf>
    <xf numFmtId="0" fontId="16"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2"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7" fillId="0" borderId="2" xfId="0" applyFont="1" applyFill="1" applyBorder="1">
      <alignment vertical="center"/>
    </xf>
    <xf numFmtId="0" fontId="18" fillId="0" borderId="3" xfId="0" applyFont="1" applyFill="1" applyBorder="1">
      <alignment vertical="center"/>
    </xf>
    <xf numFmtId="0" fontId="18" fillId="0" borderId="4" xfId="0" applyFont="1" applyFill="1" applyBorder="1">
      <alignment vertical="center"/>
    </xf>
    <xf numFmtId="49" fontId="12" fillId="0" borderId="2" xfId="1" applyNumberFormat="1" applyFont="1" applyBorder="1" applyAlignment="1">
      <alignment horizontal="center" vertical="center" shrinkToFit="1"/>
    </xf>
    <xf numFmtId="49" fontId="12" fillId="0" borderId="3" xfId="1" applyNumberFormat="1" applyFont="1" applyBorder="1" applyAlignment="1">
      <alignment horizontal="center" vertical="center" shrinkToFit="1"/>
    </xf>
    <xf numFmtId="49" fontId="12" fillId="0" borderId="4" xfId="1"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11"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5" xfId="0" applyFont="1" applyBorder="1" applyAlignment="1">
      <alignment vertical="top" wrapText="1"/>
    </xf>
    <xf numFmtId="0" fontId="12" fillId="0" borderId="0" xfId="0" applyFont="1" applyBorder="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6" xfId="0" applyFont="1" applyBorder="1" applyAlignment="1">
      <alignment vertical="top" wrapText="1"/>
    </xf>
    <xf numFmtId="0" fontId="12"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12" fillId="0" borderId="4" xfId="0" applyFont="1" applyBorder="1" applyAlignment="1">
      <alignment horizontal="lef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5" xfId="0" applyFont="1" applyBorder="1" applyAlignment="1">
      <alignment horizontal="left" vertical="top" wrapText="1"/>
    </xf>
    <xf numFmtId="0" fontId="12" fillId="0" borderId="0"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2" xfId="0" applyFont="1" applyBorder="1" applyAlignment="1">
      <alignment horizontal="left" vertical="top" wrapText="1"/>
    </xf>
    <xf numFmtId="0" fontId="11"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wrapText="1" shrinkToFit="1"/>
    </xf>
    <xf numFmtId="0" fontId="12" fillId="0" borderId="5" xfId="0" applyFont="1" applyBorder="1" applyAlignment="1">
      <alignment vertical="top" wrapText="1" shrinkToFit="1"/>
    </xf>
    <xf numFmtId="0" fontId="12" fillId="0" borderId="0" xfId="0" applyFont="1" applyBorder="1" applyAlignment="1">
      <alignment vertical="top" wrapText="1" shrinkToFit="1"/>
    </xf>
    <xf numFmtId="0" fontId="12" fillId="0" borderId="10" xfId="0" applyFont="1" applyBorder="1" applyAlignment="1">
      <alignment vertical="top" wrapText="1" shrinkToFit="1"/>
    </xf>
    <xf numFmtId="0" fontId="12" fillId="0" borderId="11" xfId="0" applyFont="1" applyBorder="1" applyAlignment="1">
      <alignment vertical="top" wrapText="1" shrinkToFi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7" fillId="0" borderId="3" xfId="2" applyFill="1" applyBorder="1">
      <alignment vertical="center"/>
    </xf>
    <xf numFmtId="0" fontId="7" fillId="0" borderId="4" xfId="2" applyFill="1" applyBorder="1">
      <alignment vertical="center"/>
    </xf>
    <xf numFmtId="0" fontId="9" fillId="0" borderId="16" xfId="0" applyFont="1" applyBorder="1" applyAlignment="1">
      <alignment vertical="center" wrapText="1"/>
    </xf>
    <xf numFmtId="0" fontId="9" fillId="0" borderId="42" xfId="0" applyFont="1" applyBorder="1" applyAlignment="1">
      <alignment vertical="center" wrapText="1"/>
    </xf>
    <xf numFmtId="0" fontId="3" fillId="0" borderId="42" xfId="0" applyFont="1" applyBorder="1" applyAlignment="1">
      <alignment vertical="center" wrapText="1"/>
    </xf>
    <xf numFmtId="0" fontId="9" fillId="0" borderId="13" xfId="0" applyFont="1" applyBorder="1" applyAlignment="1">
      <alignment vertical="center" wrapText="1"/>
    </xf>
    <xf numFmtId="0" fontId="12" fillId="0" borderId="7" xfId="0" applyFont="1" applyBorder="1" applyAlignment="1">
      <alignment horizontal="left" vertical="top" wrapText="1" shrinkToFit="1"/>
    </xf>
    <xf numFmtId="0" fontId="12" fillId="0" borderId="8" xfId="0" applyFont="1" applyBorder="1" applyAlignment="1">
      <alignment horizontal="left" vertical="top" shrinkToFit="1"/>
    </xf>
    <xf numFmtId="0" fontId="12" fillId="0" borderId="9" xfId="0" applyFont="1" applyBorder="1" applyAlignment="1">
      <alignment horizontal="left" vertical="top" shrinkToFit="1"/>
    </xf>
    <xf numFmtId="0" fontId="12" fillId="0" borderId="5" xfId="0" applyFont="1" applyBorder="1" applyAlignment="1">
      <alignment horizontal="left" vertical="top" shrinkToFit="1"/>
    </xf>
    <xf numFmtId="0" fontId="12" fillId="0" borderId="0" xfId="0" applyFont="1" applyBorder="1" applyAlignment="1">
      <alignment horizontal="left" vertical="top" shrinkToFit="1"/>
    </xf>
    <xf numFmtId="0" fontId="12" fillId="0" borderId="10" xfId="0" applyFont="1" applyBorder="1" applyAlignment="1">
      <alignment horizontal="left" vertical="top" shrinkToFit="1"/>
    </xf>
    <xf numFmtId="0" fontId="12" fillId="0" borderId="11" xfId="0" applyFont="1" applyBorder="1" applyAlignment="1">
      <alignment horizontal="left" vertical="top" shrinkToFit="1"/>
    </xf>
    <xf numFmtId="0" fontId="12" fillId="0" borderId="6" xfId="0" applyFont="1" applyBorder="1" applyAlignment="1">
      <alignment horizontal="left" vertical="top" shrinkToFit="1"/>
    </xf>
    <xf numFmtId="0" fontId="12" fillId="0" borderId="12" xfId="0" applyFont="1" applyBorder="1" applyAlignment="1">
      <alignment horizontal="left" vertical="top"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Border="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2"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9" xfId="0" applyFont="1" applyBorder="1" applyAlignment="1">
      <alignment vertical="center" wrapText="1"/>
    </xf>
    <xf numFmtId="0" fontId="12" fillId="0" borderId="21" xfId="0" applyFont="1" applyBorder="1" applyAlignment="1">
      <alignment vertical="top" wrapText="1" shrinkToFit="1"/>
    </xf>
    <xf numFmtId="0" fontId="12" fillId="0" borderId="1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wrapText="1"/>
    </xf>
    <xf numFmtId="0" fontId="12" fillId="0" borderId="20"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2" fillId="0" borderId="24" xfId="0" applyFont="1" applyBorder="1" applyAlignment="1">
      <alignment vertical="top" wrapText="1" shrinkToFit="1"/>
    </xf>
    <xf numFmtId="0" fontId="12" fillId="0" borderId="23" xfId="0" applyFont="1" applyBorder="1" applyAlignment="1">
      <alignment vertical="top" wrapText="1" shrinkToFit="1"/>
    </xf>
    <xf numFmtId="0" fontId="2" fillId="0" borderId="18" xfId="0" applyFont="1" applyBorder="1" applyAlignment="1">
      <alignment vertical="center"/>
    </xf>
    <xf numFmtId="0" fontId="0" fillId="0" borderId="19" xfId="0" applyBorder="1" applyAlignment="1">
      <alignment vertical="center"/>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1AD1-133F-4968-865A-E0330369DAA5}">
  <sheetPr>
    <pageSetUpPr fitToPage="1"/>
  </sheetPr>
  <dimension ref="A1:O47"/>
  <sheetViews>
    <sheetView tabSelected="1" zoomScaleNormal="100" workbookViewId="0"/>
  </sheetViews>
  <sheetFormatPr defaultColWidth="9" defaultRowHeight="18.75" customHeight="1" x14ac:dyDescent="0.2"/>
  <cols>
    <col min="1" max="1" width="2.44140625" style="96" customWidth="1"/>
    <col min="2" max="2" width="12.44140625" style="96" customWidth="1"/>
    <col min="3" max="8" width="6.21875" style="96" customWidth="1"/>
    <col min="9" max="9" width="2.44140625" style="96" customWidth="1"/>
    <col min="10" max="10" width="10" style="96" customWidth="1"/>
    <col min="11" max="11" width="2.44140625" style="96" customWidth="1"/>
    <col min="12" max="12" width="7.44140625" style="96" customWidth="1"/>
    <col min="13" max="13" width="2.44140625" style="96" customWidth="1"/>
    <col min="14" max="14" width="7.44140625" style="96" customWidth="1"/>
    <col min="15" max="16384" width="9" style="96"/>
  </cols>
  <sheetData>
    <row r="1" spans="1:14" ht="22.5" customHeight="1" x14ac:dyDescent="0.2">
      <c r="M1" s="122" t="s">
        <v>27</v>
      </c>
      <c r="N1" s="122"/>
    </row>
    <row r="2" spans="1:14" ht="22.5" customHeight="1" x14ac:dyDescent="0.2">
      <c r="A2" s="127" t="s">
        <v>125</v>
      </c>
      <c r="B2" s="127"/>
      <c r="C2" s="127"/>
      <c r="D2" s="127"/>
      <c r="E2" s="127"/>
      <c r="F2" s="127"/>
      <c r="G2" s="127"/>
      <c r="H2" s="127"/>
      <c r="I2" s="127"/>
      <c r="J2" s="127"/>
      <c r="K2" s="127"/>
      <c r="L2" s="127"/>
      <c r="M2" s="127"/>
      <c r="N2" s="127"/>
    </row>
    <row r="3" spans="1:14" ht="22.5" customHeight="1" x14ac:dyDescent="0.2"/>
    <row r="4" spans="1:14" ht="22.5" customHeight="1" x14ac:dyDescent="0.2">
      <c r="A4" s="96" t="s">
        <v>7</v>
      </c>
      <c r="B4" s="24" t="s">
        <v>19</v>
      </c>
      <c r="C4" s="113" t="s">
        <v>145</v>
      </c>
      <c r="D4" s="114"/>
      <c r="E4" s="114"/>
      <c r="F4" s="114"/>
      <c r="G4" s="114"/>
      <c r="H4" s="114"/>
      <c r="I4" s="114"/>
      <c r="J4" s="114"/>
      <c r="K4" s="114"/>
      <c r="L4" s="114"/>
      <c r="M4" s="114"/>
      <c r="N4" s="121"/>
    </row>
    <row r="5" spans="1:14" ht="7.5" customHeight="1" x14ac:dyDescent="0.2">
      <c r="B5" s="24"/>
      <c r="C5" s="24"/>
      <c r="D5" s="24"/>
      <c r="E5" s="25"/>
      <c r="F5" s="92"/>
      <c r="G5" s="92"/>
      <c r="H5" s="92"/>
      <c r="I5" s="92"/>
      <c r="J5" s="92"/>
      <c r="K5" s="92"/>
      <c r="L5" s="92"/>
      <c r="M5" s="92"/>
      <c r="N5" s="92"/>
    </row>
    <row r="6" spans="1:14" ht="22.5" customHeight="1" x14ac:dyDescent="0.2">
      <c r="A6" s="96" t="s">
        <v>12</v>
      </c>
      <c r="B6" s="24" t="s">
        <v>53</v>
      </c>
      <c r="C6" s="24"/>
      <c r="D6" s="113" t="s">
        <v>144</v>
      </c>
      <c r="E6" s="114"/>
      <c r="F6" s="114"/>
      <c r="G6" s="114"/>
      <c r="H6" s="114"/>
      <c r="I6" s="114"/>
      <c r="J6" s="114"/>
      <c r="K6" s="114"/>
      <c r="L6" s="114"/>
      <c r="M6" s="114"/>
      <c r="N6" s="121"/>
    </row>
    <row r="7" spans="1:14" ht="7.5" customHeight="1" x14ac:dyDescent="0.2">
      <c r="B7" s="24"/>
      <c r="C7" s="24"/>
      <c r="D7" s="24"/>
      <c r="E7" s="25"/>
      <c r="F7" s="92"/>
      <c r="G7" s="92"/>
      <c r="H7" s="92"/>
      <c r="I7" s="92"/>
      <c r="J7" s="92"/>
      <c r="K7" s="92"/>
      <c r="L7" s="92"/>
      <c r="M7" s="92"/>
      <c r="N7" s="92"/>
    </row>
    <row r="8" spans="1:14" ht="22.5" customHeight="1" x14ac:dyDescent="0.2">
      <c r="A8" s="26" t="s">
        <v>13</v>
      </c>
      <c r="B8" s="27" t="s">
        <v>54</v>
      </c>
      <c r="C8" s="113" t="s">
        <v>133</v>
      </c>
      <c r="D8" s="114"/>
      <c r="E8" s="121"/>
      <c r="F8" s="92"/>
      <c r="G8" s="126"/>
      <c r="H8" s="126"/>
      <c r="I8" s="126"/>
      <c r="J8" s="92"/>
      <c r="K8" s="92"/>
      <c r="L8" s="92"/>
      <c r="M8" s="92"/>
      <c r="N8" s="92"/>
    </row>
    <row r="9" spans="1:14" ht="7.5" customHeight="1" x14ac:dyDescent="0.2">
      <c r="B9" s="24"/>
      <c r="C9" s="24"/>
      <c r="D9" s="24"/>
      <c r="E9" s="25"/>
      <c r="F9" s="92"/>
      <c r="G9" s="92"/>
      <c r="H9" s="92"/>
      <c r="I9" s="92"/>
      <c r="J9" s="92"/>
      <c r="K9" s="92"/>
      <c r="L9" s="92"/>
      <c r="M9" s="92"/>
      <c r="N9" s="92"/>
    </row>
    <row r="10" spans="1:14" ht="22.5" customHeight="1" x14ac:dyDescent="0.2">
      <c r="A10" s="96" t="s">
        <v>16</v>
      </c>
      <c r="B10" s="24" t="s">
        <v>50</v>
      </c>
      <c r="C10" s="113" t="s">
        <v>181</v>
      </c>
      <c r="D10" s="114"/>
      <c r="E10" s="114"/>
      <c r="F10" s="114"/>
      <c r="G10" s="114"/>
      <c r="H10" s="114"/>
      <c r="I10" s="114"/>
      <c r="J10" s="114"/>
      <c r="K10" s="114"/>
      <c r="L10" s="114"/>
      <c r="M10" s="114"/>
      <c r="N10" s="121"/>
    </row>
    <row r="11" spans="1:14" ht="7.5" customHeight="1" x14ac:dyDescent="0.2">
      <c r="B11" s="24"/>
      <c r="C11" s="24"/>
      <c r="D11" s="24"/>
      <c r="E11" s="25"/>
      <c r="F11" s="92"/>
      <c r="G11" s="92"/>
      <c r="H11" s="92"/>
      <c r="I11" s="92"/>
      <c r="J11" s="92"/>
      <c r="K11" s="92"/>
      <c r="L11" s="92"/>
      <c r="M11" s="92"/>
      <c r="N11" s="92"/>
    </row>
    <row r="12" spans="1:14" ht="22.5" customHeight="1" x14ac:dyDescent="0.2">
      <c r="A12" s="96" t="s">
        <v>14</v>
      </c>
      <c r="B12" s="24" t="s">
        <v>121</v>
      </c>
      <c r="C12" s="24"/>
      <c r="D12" s="24"/>
      <c r="E12" s="100"/>
      <c r="F12" s="99"/>
      <c r="G12" s="117" t="s">
        <v>162</v>
      </c>
      <c r="H12" s="118"/>
      <c r="I12" s="118"/>
      <c r="J12" s="118"/>
      <c r="K12" s="118"/>
      <c r="L12" s="118"/>
      <c r="M12" s="118"/>
      <c r="N12" s="119"/>
    </row>
    <row r="13" spans="1:14" ht="7.5" customHeight="1" x14ac:dyDescent="0.2">
      <c r="B13" s="25"/>
      <c r="C13" s="25"/>
      <c r="D13" s="25"/>
      <c r="E13" s="25"/>
      <c r="F13" s="92"/>
      <c r="G13" s="92"/>
      <c r="H13" s="92"/>
      <c r="I13" s="92"/>
      <c r="J13" s="92"/>
      <c r="K13" s="92"/>
      <c r="L13" s="92"/>
      <c r="M13" s="92"/>
      <c r="N13" s="92"/>
    </row>
    <row r="14" spans="1:14" ht="22.5" customHeight="1" x14ac:dyDescent="0.2">
      <c r="A14" s="96" t="s">
        <v>17</v>
      </c>
      <c r="B14" s="25" t="s">
        <v>62</v>
      </c>
      <c r="C14" s="25"/>
      <c r="D14" s="25"/>
      <c r="E14" s="25"/>
      <c r="F14" s="113" t="s">
        <v>160</v>
      </c>
      <c r="G14" s="114"/>
      <c r="H14" s="121"/>
      <c r="I14" s="92"/>
      <c r="J14" s="92"/>
      <c r="K14" s="92"/>
      <c r="L14" s="92"/>
      <c r="M14" s="92"/>
      <c r="N14" s="92"/>
    </row>
    <row r="15" spans="1:14" ht="7.5" customHeight="1" x14ac:dyDescent="0.2">
      <c r="B15" s="25"/>
      <c r="C15" s="25"/>
      <c r="D15" s="25"/>
      <c r="E15" s="25"/>
      <c r="F15" s="92"/>
      <c r="G15" s="92"/>
      <c r="H15" s="92"/>
      <c r="I15" s="92"/>
      <c r="J15" s="92"/>
      <c r="K15" s="92"/>
      <c r="L15" s="92"/>
      <c r="M15" s="92"/>
      <c r="N15" s="92"/>
    </row>
    <row r="16" spans="1:14" ht="22.5" customHeight="1" x14ac:dyDescent="0.2">
      <c r="A16" s="96" t="s">
        <v>15</v>
      </c>
      <c r="B16" s="96" t="s">
        <v>0</v>
      </c>
      <c r="C16" s="123" t="s">
        <v>6</v>
      </c>
      <c r="D16" s="124"/>
      <c r="E16" s="106">
        <v>217</v>
      </c>
      <c r="F16" s="107"/>
      <c r="G16" s="28" t="s">
        <v>10</v>
      </c>
      <c r="I16" s="123" t="s">
        <v>11</v>
      </c>
      <c r="J16" s="124"/>
      <c r="K16" s="106">
        <v>260</v>
      </c>
      <c r="L16" s="125"/>
      <c r="M16" s="107"/>
      <c r="N16" s="29" t="s">
        <v>10</v>
      </c>
    </row>
    <row r="17" spans="1:15" ht="7.5" customHeight="1" x14ac:dyDescent="0.2">
      <c r="F17" s="30"/>
      <c r="G17" s="30"/>
      <c r="H17" s="30"/>
      <c r="I17" s="30"/>
      <c r="J17" s="30"/>
      <c r="K17" s="30"/>
      <c r="L17" s="30"/>
      <c r="M17" s="29"/>
      <c r="N17" s="29"/>
    </row>
    <row r="18" spans="1:15" ht="22.5" customHeight="1" x14ac:dyDescent="0.2">
      <c r="A18" s="96" t="s">
        <v>57</v>
      </c>
      <c r="B18" s="96" t="s">
        <v>85</v>
      </c>
      <c r="F18" s="30"/>
      <c r="G18" s="30"/>
      <c r="H18" s="30"/>
      <c r="I18" s="30"/>
      <c r="J18" s="30"/>
      <c r="K18" s="108">
        <v>26</v>
      </c>
      <c r="L18" s="109"/>
      <c r="M18" s="110"/>
      <c r="N18" s="29" t="s">
        <v>10</v>
      </c>
    </row>
    <row r="19" spans="1:15" ht="7.5" customHeight="1" x14ac:dyDescent="0.2">
      <c r="F19" s="30"/>
      <c r="G19" s="30"/>
      <c r="H19" s="30"/>
      <c r="I19" s="30"/>
      <c r="J19" s="30"/>
      <c r="K19" s="30"/>
      <c r="L19" s="30"/>
      <c r="M19" s="29"/>
      <c r="N19" s="29"/>
    </row>
    <row r="20" spans="1:15" ht="22.5" customHeight="1" x14ac:dyDescent="0.2">
      <c r="A20" s="96" t="s">
        <v>63</v>
      </c>
      <c r="B20" s="96" t="s">
        <v>118</v>
      </c>
      <c r="E20" s="106">
        <v>1148</v>
      </c>
      <c r="F20" s="107"/>
      <c r="G20" s="31" t="s">
        <v>24</v>
      </c>
      <c r="H20" s="30"/>
      <c r="K20" s="120"/>
      <c r="L20" s="120"/>
      <c r="M20" s="120"/>
      <c r="N20" s="120"/>
    </row>
    <row r="21" spans="1:15" ht="7.5" customHeight="1" x14ac:dyDescent="0.2">
      <c r="E21" s="21"/>
      <c r="F21" s="30"/>
      <c r="G21" s="30"/>
      <c r="L21" s="88"/>
      <c r="M21" s="88"/>
      <c r="N21" s="32"/>
    </row>
    <row r="22" spans="1:15" ht="22.5" customHeight="1" x14ac:dyDescent="0.2">
      <c r="A22" s="96" t="s">
        <v>26</v>
      </c>
      <c r="B22" s="96" t="s">
        <v>119</v>
      </c>
      <c r="E22" s="21"/>
      <c r="F22" s="30"/>
      <c r="G22" s="30"/>
      <c r="H22" s="96" t="s">
        <v>56</v>
      </c>
      <c r="J22" s="108">
        <v>4734</v>
      </c>
      <c r="K22" s="109"/>
      <c r="L22" s="110"/>
      <c r="M22" s="88" t="s">
        <v>10</v>
      </c>
      <c r="N22" s="32"/>
    </row>
    <row r="23" spans="1:15" ht="7.5" customHeight="1" x14ac:dyDescent="0.2">
      <c r="E23" s="21"/>
      <c r="F23" s="30"/>
      <c r="G23" s="30"/>
      <c r="L23" s="88"/>
      <c r="M23" s="88"/>
      <c r="N23" s="32"/>
    </row>
    <row r="24" spans="1:15" ht="22.5" customHeight="1" x14ac:dyDescent="0.2">
      <c r="B24" s="91" t="s">
        <v>20</v>
      </c>
      <c r="C24" s="106">
        <v>1195</v>
      </c>
      <c r="D24" s="107"/>
      <c r="E24" s="21" t="s">
        <v>10</v>
      </c>
      <c r="F24" s="30"/>
      <c r="G24" s="111" t="s">
        <v>21</v>
      </c>
      <c r="H24" s="111"/>
      <c r="I24" s="106">
        <v>1214</v>
      </c>
      <c r="J24" s="107"/>
      <c r="K24" s="26" t="s">
        <v>10</v>
      </c>
      <c r="M24" s="88"/>
      <c r="N24" s="32"/>
      <c r="O24" s="23"/>
    </row>
    <row r="25" spans="1:15" ht="7.5" customHeight="1" x14ac:dyDescent="0.2">
      <c r="B25" s="91"/>
      <c r="C25" s="22"/>
      <c r="D25" s="22"/>
      <c r="E25" s="21"/>
      <c r="F25" s="30"/>
      <c r="G25" s="88"/>
      <c r="H25" s="88"/>
      <c r="I25" s="22"/>
      <c r="J25" s="22"/>
      <c r="K25" s="26"/>
      <c r="M25" s="88"/>
      <c r="N25" s="32"/>
      <c r="O25" s="23"/>
    </row>
    <row r="26" spans="1:15" ht="22.5" customHeight="1" x14ac:dyDescent="0.2">
      <c r="B26" s="91" t="s">
        <v>22</v>
      </c>
      <c r="C26" s="106">
        <v>1199</v>
      </c>
      <c r="D26" s="107"/>
      <c r="E26" s="21" t="s">
        <v>10</v>
      </c>
      <c r="F26" s="30"/>
      <c r="G26" s="111" t="s">
        <v>23</v>
      </c>
      <c r="H26" s="111"/>
      <c r="I26" s="106">
        <v>1126</v>
      </c>
      <c r="J26" s="107"/>
      <c r="K26" s="26" t="s">
        <v>10</v>
      </c>
      <c r="M26" s="88"/>
      <c r="N26" s="32"/>
    </row>
    <row r="27" spans="1:15" ht="7.5" customHeight="1" x14ac:dyDescent="0.2">
      <c r="B27" s="91"/>
      <c r="C27" s="22"/>
      <c r="D27" s="22"/>
      <c r="E27" s="21"/>
      <c r="F27" s="30"/>
      <c r="G27" s="88"/>
      <c r="H27" s="88"/>
      <c r="I27" s="22"/>
      <c r="J27" s="22"/>
      <c r="K27" s="26"/>
      <c r="M27" s="88"/>
      <c r="N27" s="32"/>
    </row>
    <row r="28" spans="1:15" ht="22.5" customHeight="1" x14ac:dyDescent="0.2">
      <c r="B28" s="91" t="s">
        <v>51</v>
      </c>
      <c r="C28" s="106"/>
      <c r="D28" s="107"/>
      <c r="E28" s="21" t="s">
        <v>10</v>
      </c>
      <c r="F28" s="30"/>
      <c r="G28" s="111" t="s">
        <v>52</v>
      </c>
      <c r="H28" s="111"/>
      <c r="I28" s="106"/>
      <c r="J28" s="107"/>
      <c r="K28" s="26" t="s">
        <v>10</v>
      </c>
      <c r="M28" s="88"/>
      <c r="N28" s="32"/>
    </row>
    <row r="29" spans="1:15" ht="7.5" customHeight="1" x14ac:dyDescent="0.2">
      <c r="F29" s="30"/>
      <c r="G29" s="30"/>
      <c r="M29" s="33"/>
      <c r="N29" s="33"/>
    </row>
    <row r="30" spans="1:15" ht="22.5" customHeight="1" x14ac:dyDescent="0.2">
      <c r="A30" s="96" t="s">
        <v>117</v>
      </c>
      <c r="B30" s="24" t="s">
        <v>109</v>
      </c>
      <c r="C30" s="24"/>
      <c r="D30" s="24"/>
      <c r="E30" s="24"/>
      <c r="F30" s="26"/>
      <c r="G30" s="92"/>
      <c r="H30" s="92"/>
      <c r="I30" s="92"/>
      <c r="J30" s="35"/>
      <c r="K30" s="35"/>
      <c r="L30" s="35"/>
      <c r="M30" s="35"/>
      <c r="N30" s="35"/>
    </row>
    <row r="31" spans="1:15" s="23" customFormat="1" ht="22.5" customHeight="1" x14ac:dyDescent="0.2">
      <c r="B31" s="112" t="s">
        <v>108</v>
      </c>
      <c r="C31" s="112"/>
      <c r="D31" s="113" t="s">
        <v>174</v>
      </c>
      <c r="E31" s="114"/>
      <c r="F31" s="114"/>
      <c r="G31" s="115" t="s">
        <v>25</v>
      </c>
      <c r="H31" s="112"/>
      <c r="I31" s="116"/>
      <c r="J31" s="113" t="s">
        <v>175</v>
      </c>
      <c r="K31" s="114"/>
      <c r="L31" s="114"/>
      <c r="M31" s="114"/>
      <c r="N31" s="121"/>
    </row>
    <row r="32" spans="1:15" ht="7.5" customHeight="1" x14ac:dyDescent="0.2">
      <c r="F32" s="30"/>
      <c r="G32" s="30"/>
      <c r="M32" s="33"/>
      <c r="N32" s="33"/>
    </row>
    <row r="33" spans="1:14" ht="22.5" customHeight="1" x14ac:dyDescent="0.2">
      <c r="A33" s="96" t="s">
        <v>55</v>
      </c>
      <c r="B33" s="24" t="s">
        <v>122</v>
      </c>
      <c r="C33" s="24"/>
      <c r="D33" s="24"/>
      <c r="E33" s="24"/>
      <c r="F33" s="26"/>
      <c r="G33" s="35"/>
      <c r="H33" s="35"/>
      <c r="I33" s="35"/>
      <c r="J33" s="35"/>
      <c r="K33" s="35"/>
      <c r="L33" s="35"/>
      <c r="M33" s="35"/>
      <c r="N33" s="35"/>
    </row>
    <row r="34" spans="1:14" ht="22.5" customHeight="1" x14ac:dyDescent="0.2">
      <c r="B34" s="113" t="s">
        <v>161</v>
      </c>
      <c r="C34" s="114"/>
      <c r="D34" s="114"/>
      <c r="E34" s="114"/>
      <c r="F34" s="114"/>
      <c r="G34" s="114"/>
      <c r="H34" s="114"/>
      <c r="I34" s="114"/>
      <c r="J34" s="114"/>
      <c r="K34" s="114"/>
      <c r="L34" s="114"/>
      <c r="M34" s="114"/>
      <c r="N34" s="121"/>
    </row>
    <row r="35" spans="1:14" ht="7.5" customHeight="1" x14ac:dyDescent="0.2">
      <c r="B35" s="90"/>
      <c r="C35" s="90"/>
      <c r="D35" s="90"/>
      <c r="E35" s="90"/>
      <c r="F35" s="90"/>
      <c r="G35" s="90"/>
      <c r="H35" s="90"/>
      <c r="I35" s="90"/>
      <c r="J35" s="90"/>
      <c r="K35" s="90"/>
      <c r="L35" s="90"/>
      <c r="M35" s="90"/>
      <c r="N35" s="90"/>
    </row>
    <row r="36" spans="1:14" s="23" customFormat="1" ht="22.5" customHeight="1" x14ac:dyDescent="0.2">
      <c r="B36" s="112" t="s">
        <v>108</v>
      </c>
      <c r="C36" s="112"/>
      <c r="D36" s="113" t="s">
        <v>143</v>
      </c>
      <c r="E36" s="114"/>
      <c r="F36" s="114"/>
      <c r="G36" s="115" t="s">
        <v>25</v>
      </c>
      <c r="H36" s="112"/>
      <c r="I36" s="116"/>
      <c r="J36" s="113" t="s">
        <v>163</v>
      </c>
      <c r="K36" s="114"/>
      <c r="L36" s="114"/>
      <c r="M36" s="114"/>
      <c r="N36" s="121"/>
    </row>
    <row r="37" spans="1:14" ht="7.5" customHeight="1" x14ac:dyDescent="0.2">
      <c r="F37" s="92"/>
      <c r="G37" s="92"/>
      <c r="H37" s="92"/>
      <c r="I37" s="92"/>
      <c r="J37" s="92"/>
      <c r="K37" s="92"/>
      <c r="L37" s="92"/>
      <c r="M37" s="92"/>
      <c r="N37" s="92"/>
    </row>
    <row r="38" spans="1:14" ht="22.5" customHeight="1" x14ac:dyDescent="0.2">
      <c r="A38" s="96" t="s">
        <v>58</v>
      </c>
      <c r="B38" s="96" t="s">
        <v>123</v>
      </c>
      <c r="M38" s="33"/>
      <c r="N38" s="33"/>
    </row>
    <row r="39" spans="1:14" ht="22.5" customHeight="1" x14ac:dyDescent="0.2">
      <c r="B39" s="113" t="s">
        <v>142</v>
      </c>
      <c r="C39" s="114"/>
      <c r="D39" s="114"/>
      <c r="E39" s="114"/>
      <c r="F39" s="114"/>
      <c r="G39" s="114"/>
      <c r="H39" s="114"/>
      <c r="I39" s="114"/>
      <c r="J39" s="114"/>
      <c r="K39" s="114"/>
      <c r="L39" s="114"/>
      <c r="M39" s="114"/>
      <c r="N39" s="121"/>
    </row>
    <row r="40" spans="1:14" ht="7.5" customHeight="1" x14ac:dyDescent="0.2">
      <c r="F40" s="92"/>
      <c r="G40" s="92"/>
      <c r="H40" s="92"/>
      <c r="I40" s="92"/>
      <c r="J40" s="92"/>
      <c r="K40" s="92"/>
      <c r="L40" s="92"/>
      <c r="M40" s="92"/>
      <c r="N40" s="92"/>
    </row>
    <row r="41" spans="1:14" s="23" customFormat="1" ht="22.5" customHeight="1" x14ac:dyDescent="0.2">
      <c r="B41" s="112" t="s">
        <v>108</v>
      </c>
      <c r="C41" s="112"/>
      <c r="D41" s="113" t="s">
        <v>141</v>
      </c>
      <c r="E41" s="114"/>
      <c r="F41" s="114"/>
      <c r="G41" s="115" t="s">
        <v>25</v>
      </c>
      <c r="H41" s="112"/>
      <c r="I41" s="116"/>
      <c r="J41" s="113" t="s">
        <v>140</v>
      </c>
      <c r="K41" s="114"/>
      <c r="L41" s="114"/>
      <c r="M41" s="114"/>
      <c r="N41" s="121"/>
    </row>
    <row r="42" spans="1:14" ht="7.5" customHeight="1" x14ac:dyDescent="0.2">
      <c r="F42" s="92"/>
      <c r="G42" s="92"/>
      <c r="H42" s="92"/>
      <c r="I42" s="92"/>
      <c r="J42" s="92"/>
      <c r="K42" s="92"/>
      <c r="L42" s="92"/>
      <c r="M42" s="92"/>
      <c r="N42" s="92"/>
    </row>
    <row r="43" spans="1:14" ht="22.5" customHeight="1" x14ac:dyDescent="0.2">
      <c r="A43" s="96" t="s">
        <v>64</v>
      </c>
      <c r="B43" s="98" t="s">
        <v>84</v>
      </c>
      <c r="E43" s="97"/>
      <c r="F43" s="113" t="s">
        <v>134</v>
      </c>
      <c r="G43" s="114"/>
      <c r="H43" s="114"/>
      <c r="I43" s="114"/>
      <c r="J43" s="114"/>
      <c r="K43" s="114"/>
      <c r="L43" s="114"/>
      <c r="M43" s="114"/>
      <c r="N43" s="121"/>
    </row>
    <row r="44" spans="1:14" ht="7.5" customHeight="1" x14ac:dyDescent="0.2">
      <c r="F44" s="92"/>
      <c r="G44" s="92"/>
      <c r="H44" s="92"/>
      <c r="I44" s="92"/>
      <c r="J44" s="92"/>
      <c r="K44" s="92"/>
      <c r="L44" s="92"/>
      <c r="M44" s="92"/>
      <c r="N44" s="92"/>
    </row>
    <row r="45" spans="1:14" ht="22.5" customHeight="1" x14ac:dyDescent="0.2">
      <c r="A45" s="96" t="s">
        <v>3</v>
      </c>
    </row>
    <row r="46" spans="1:14" ht="22.5" customHeight="1" x14ac:dyDescent="0.2">
      <c r="B46" s="36" t="s">
        <v>1</v>
      </c>
      <c r="C46" s="117" t="s">
        <v>164</v>
      </c>
      <c r="D46" s="118"/>
      <c r="E46" s="118"/>
      <c r="F46" s="118"/>
      <c r="G46" s="118"/>
      <c r="H46" s="118"/>
      <c r="I46" s="37" t="s">
        <v>2</v>
      </c>
      <c r="J46" s="38"/>
      <c r="K46" s="113" t="s">
        <v>146</v>
      </c>
      <c r="L46" s="114"/>
      <c r="M46" s="114"/>
      <c r="N46" s="121"/>
    </row>
    <row r="47" spans="1:14" ht="22.5" customHeight="1" x14ac:dyDescent="0.2">
      <c r="B47" s="36" t="s">
        <v>5</v>
      </c>
      <c r="C47" s="128" t="s">
        <v>147</v>
      </c>
      <c r="D47" s="129"/>
      <c r="E47" s="129"/>
      <c r="F47" s="129"/>
      <c r="G47" s="129"/>
      <c r="H47" s="130"/>
      <c r="I47" s="37" t="s">
        <v>4</v>
      </c>
      <c r="J47" s="38"/>
      <c r="K47" s="131" t="s">
        <v>148</v>
      </c>
      <c r="L47" s="132"/>
      <c r="M47" s="132"/>
      <c r="N47" s="133"/>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J41:N41"/>
    <mergeCell ref="B34:N34"/>
    <mergeCell ref="B39:N39"/>
    <mergeCell ref="G28:H28"/>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E20:F20"/>
    <mergeCell ref="K18:M18"/>
    <mergeCell ref="I24:J24"/>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F43" xr:uid="{00000000-0002-0000-0000-000001000000}">
      <formula1>"認定教育プログラム,認定教育プログラムと認定教育プログラム+（プラス）"</formula1>
    </dataValidation>
    <dataValidation type="list" allowBlank="1" showInputMessage="1" showErrorMessage="1" sqref="C8" xr:uid="{00000000-0002-0000-0000-000000000000}">
      <formula1>"国立大学, 公立大学, 私立大学, 短期大学, 高等専門学校, その他"</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A730-AFB7-44AC-98CF-817FCD4FFDA4}">
  <dimension ref="A1:J44"/>
  <sheetViews>
    <sheetView showZeros="0" zoomScaleNormal="100" workbookViewId="0"/>
  </sheetViews>
  <sheetFormatPr defaultColWidth="9" defaultRowHeight="18.75" customHeight="1" x14ac:dyDescent="0.2"/>
  <cols>
    <col min="1" max="2" width="2.44140625" style="96" customWidth="1"/>
    <col min="3" max="3" width="20" style="96" customWidth="1"/>
    <col min="4" max="4" width="8.77734375" style="96" customWidth="1"/>
    <col min="5" max="5" width="7.44140625" style="96" customWidth="1"/>
    <col min="6" max="6" width="2.44140625" style="96" customWidth="1"/>
    <col min="7" max="7" width="15" style="96" customWidth="1"/>
    <col min="8" max="8" width="12.44140625" style="96" customWidth="1"/>
    <col min="9" max="9" width="11.21875" style="96" customWidth="1"/>
    <col min="10" max="16384" width="9" style="96"/>
  </cols>
  <sheetData>
    <row r="1" spans="1:9" ht="18.75" customHeight="1" x14ac:dyDescent="0.2">
      <c r="I1" s="101" t="s">
        <v>136</v>
      </c>
    </row>
    <row r="2" spans="1:9" ht="18.75" customHeight="1" x14ac:dyDescent="0.2">
      <c r="G2" s="89" t="s">
        <v>30</v>
      </c>
      <c r="H2" s="137" t="s">
        <v>145</v>
      </c>
      <c r="I2" s="137"/>
    </row>
    <row r="3" spans="1:9" ht="7.5" customHeight="1" x14ac:dyDescent="0.2"/>
    <row r="4" spans="1:9" ht="18.75" customHeight="1" x14ac:dyDescent="0.2">
      <c r="A4" s="127" t="s">
        <v>82</v>
      </c>
      <c r="B4" s="127"/>
      <c r="C4" s="127"/>
      <c r="D4" s="127"/>
      <c r="E4" s="127"/>
      <c r="F4" s="127"/>
      <c r="G4" s="127"/>
      <c r="H4" s="127"/>
      <c r="I4" s="127"/>
    </row>
    <row r="5" spans="1:9" ht="7.5" customHeight="1" x14ac:dyDescent="0.2">
      <c r="C5" s="91"/>
      <c r="D5" s="91"/>
      <c r="E5" s="91"/>
      <c r="F5" s="91"/>
      <c r="G5" s="91"/>
      <c r="H5" s="91"/>
      <c r="I5" s="91"/>
    </row>
    <row r="6" spans="1:9" ht="18.75" customHeight="1" x14ac:dyDescent="0.2">
      <c r="A6" s="96" t="s">
        <v>7</v>
      </c>
      <c r="B6" s="96" t="s">
        <v>94</v>
      </c>
      <c r="C6" s="91"/>
      <c r="D6" s="91"/>
      <c r="E6" s="108" t="s">
        <v>138</v>
      </c>
      <c r="F6" s="109"/>
      <c r="G6" s="109"/>
      <c r="H6" s="109"/>
      <c r="I6" s="110"/>
    </row>
    <row r="7" spans="1:9" ht="7.5" customHeight="1" x14ac:dyDescent="0.2">
      <c r="C7" s="91"/>
      <c r="D7" s="91"/>
      <c r="F7" s="88"/>
      <c r="G7" s="88"/>
      <c r="H7" s="88"/>
      <c r="I7" s="88"/>
    </row>
    <row r="8" spans="1:9" ht="18.75" customHeight="1" x14ac:dyDescent="0.2">
      <c r="A8" s="96" t="s">
        <v>12</v>
      </c>
      <c r="B8" s="96" t="s">
        <v>95</v>
      </c>
      <c r="C8" s="91"/>
      <c r="D8" s="91"/>
      <c r="E8" s="91"/>
      <c r="F8" s="91"/>
      <c r="G8" s="91"/>
      <c r="H8" s="91"/>
      <c r="I8" s="91"/>
    </row>
    <row r="9" spans="1:9" ht="18.75" customHeight="1" x14ac:dyDescent="0.2">
      <c r="B9" s="138" t="s">
        <v>165</v>
      </c>
      <c r="C9" s="139"/>
      <c r="D9" s="139"/>
      <c r="E9" s="139"/>
      <c r="F9" s="139"/>
      <c r="G9" s="139"/>
      <c r="H9" s="139"/>
      <c r="I9" s="140"/>
    </row>
    <row r="10" spans="1:9" ht="18.75" customHeight="1" x14ac:dyDescent="0.2">
      <c r="B10" s="141"/>
      <c r="C10" s="142"/>
      <c r="D10" s="142"/>
      <c r="E10" s="142"/>
      <c r="F10" s="142"/>
      <c r="G10" s="142"/>
      <c r="H10" s="142"/>
      <c r="I10" s="143"/>
    </row>
    <row r="11" spans="1:9" ht="18.75" customHeight="1" x14ac:dyDescent="0.2">
      <c r="B11" s="141"/>
      <c r="C11" s="142"/>
      <c r="D11" s="142"/>
      <c r="E11" s="142"/>
      <c r="F11" s="142"/>
      <c r="G11" s="142"/>
      <c r="H11" s="142"/>
      <c r="I11" s="143"/>
    </row>
    <row r="12" spans="1:9" ht="18.75" customHeight="1" x14ac:dyDescent="0.2">
      <c r="B12" s="141"/>
      <c r="C12" s="142"/>
      <c r="D12" s="142"/>
      <c r="E12" s="142"/>
      <c r="F12" s="142"/>
      <c r="G12" s="142"/>
      <c r="H12" s="142"/>
      <c r="I12" s="143"/>
    </row>
    <row r="13" spans="1:9" ht="18.75" customHeight="1" x14ac:dyDescent="0.2">
      <c r="B13" s="141"/>
      <c r="C13" s="142"/>
      <c r="D13" s="142"/>
      <c r="E13" s="142"/>
      <c r="F13" s="142"/>
      <c r="G13" s="142"/>
      <c r="H13" s="142"/>
      <c r="I13" s="143"/>
    </row>
    <row r="14" spans="1:9" ht="18.75" customHeight="1" x14ac:dyDescent="0.2">
      <c r="B14" s="141"/>
      <c r="C14" s="142"/>
      <c r="D14" s="142"/>
      <c r="E14" s="142"/>
      <c r="F14" s="142"/>
      <c r="G14" s="142"/>
      <c r="H14" s="142"/>
      <c r="I14" s="143"/>
    </row>
    <row r="15" spans="1:9" ht="18.75" customHeight="1" x14ac:dyDescent="0.2">
      <c r="B15" s="141"/>
      <c r="C15" s="142"/>
      <c r="D15" s="142"/>
      <c r="E15" s="142"/>
      <c r="F15" s="142"/>
      <c r="G15" s="142"/>
      <c r="H15" s="142"/>
      <c r="I15" s="143"/>
    </row>
    <row r="16" spans="1:9" ht="18.75" customHeight="1" x14ac:dyDescent="0.2">
      <c r="B16" s="144"/>
      <c r="C16" s="145"/>
      <c r="D16" s="145"/>
      <c r="E16" s="145"/>
      <c r="F16" s="145"/>
      <c r="G16" s="145"/>
      <c r="H16" s="145"/>
      <c r="I16" s="146"/>
    </row>
    <row r="17" spans="1:10" ht="7.5" customHeight="1" x14ac:dyDescent="0.2">
      <c r="C17" s="91"/>
      <c r="D17" s="91"/>
      <c r="E17" s="91"/>
      <c r="F17" s="91"/>
      <c r="G17" s="91"/>
      <c r="H17" s="91"/>
      <c r="I17" s="91"/>
    </row>
    <row r="18" spans="1:10" ht="18.75" customHeight="1" x14ac:dyDescent="0.2">
      <c r="A18" s="91" t="s">
        <v>13</v>
      </c>
      <c r="B18" s="24" t="s">
        <v>96</v>
      </c>
      <c r="C18" s="24"/>
      <c r="D18" s="24"/>
      <c r="E18" s="24"/>
      <c r="F18" s="91"/>
      <c r="G18" s="91"/>
      <c r="H18" s="91"/>
      <c r="I18" s="91"/>
      <c r="J18" s="91"/>
    </row>
    <row r="19" spans="1:10" ht="18.75" customHeight="1" x14ac:dyDescent="0.2">
      <c r="A19" s="147" t="s">
        <v>96</v>
      </c>
      <c r="B19" s="147"/>
      <c r="C19" s="147"/>
      <c r="D19" s="147"/>
      <c r="E19" s="147"/>
      <c r="F19" s="148" t="s">
        <v>96</v>
      </c>
      <c r="G19" s="148"/>
      <c r="H19" s="148"/>
      <c r="I19" s="148"/>
    </row>
    <row r="20" spans="1:10" ht="18.75" customHeight="1" x14ac:dyDescent="0.2">
      <c r="A20" s="45">
        <v>1</v>
      </c>
      <c r="B20" s="117" t="s">
        <v>126</v>
      </c>
      <c r="C20" s="118"/>
      <c r="D20" s="118"/>
      <c r="E20" s="119"/>
      <c r="F20" s="45">
        <v>26</v>
      </c>
      <c r="G20" s="134"/>
      <c r="H20" s="135"/>
      <c r="I20" s="136"/>
    </row>
    <row r="21" spans="1:10" ht="18.75" customHeight="1" x14ac:dyDescent="0.2">
      <c r="A21" s="45">
        <v>2</v>
      </c>
      <c r="B21" s="117"/>
      <c r="C21" s="118"/>
      <c r="D21" s="118"/>
      <c r="E21" s="119"/>
      <c r="F21" s="45">
        <v>27</v>
      </c>
      <c r="G21" s="134"/>
      <c r="H21" s="135"/>
      <c r="I21" s="136"/>
    </row>
    <row r="22" spans="1:10" ht="18.75" customHeight="1" x14ac:dyDescent="0.2">
      <c r="A22" s="45">
        <v>3</v>
      </c>
      <c r="B22" s="117"/>
      <c r="C22" s="118"/>
      <c r="D22" s="118"/>
      <c r="E22" s="119"/>
      <c r="F22" s="45">
        <v>28</v>
      </c>
      <c r="G22" s="134"/>
      <c r="H22" s="135"/>
      <c r="I22" s="136"/>
    </row>
    <row r="23" spans="1:10" ht="18.75" customHeight="1" x14ac:dyDescent="0.2">
      <c r="A23" s="45">
        <v>4</v>
      </c>
      <c r="B23" s="117"/>
      <c r="C23" s="118"/>
      <c r="D23" s="118"/>
      <c r="E23" s="119"/>
      <c r="F23" s="45">
        <v>29</v>
      </c>
      <c r="G23" s="134"/>
      <c r="H23" s="135"/>
      <c r="I23" s="136"/>
    </row>
    <row r="24" spans="1:10" ht="18.75" customHeight="1" x14ac:dyDescent="0.2">
      <c r="A24" s="45">
        <v>5</v>
      </c>
      <c r="B24" s="117"/>
      <c r="C24" s="118"/>
      <c r="D24" s="118"/>
      <c r="E24" s="119"/>
      <c r="F24" s="45">
        <v>30</v>
      </c>
      <c r="G24" s="134"/>
      <c r="H24" s="135"/>
      <c r="I24" s="136"/>
    </row>
    <row r="25" spans="1:10" ht="18.75" customHeight="1" x14ac:dyDescent="0.2">
      <c r="A25" s="45">
        <v>6</v>
      </c>
      <c r="B25" s="117"/>
      <c r="C25" s="118"/>
      <c r="D25" s="118"/>
      <c r="E25" s="119"/>
      <c r="F25" s="45">
        <v>31</v>
      </c>
      <c r="G25" s="134"/>
      <c r="H25" s="135"/>
      <c r="I25" s="136"/>
    </row>
    <row r="26" spans="1:10" ht="18.75" customHeight="1" x14ac:dyDescent="0.2">
      <c r="A26" s="45">
        <v>7</v>
      </c>
      <c r="B26" s="117"/>
      <c r="C26" s="118"/>
      <c r="D26" s="118"/>
      <c r="E26" s="119"/>
      <c r="F26" s="45">
        <v>32</v>
      </c>
      <c r="G26" s="134"/>
      <c r="H26" s="135"/>
      <c r="I26" s="136"/>
    </row>
    <row r="27" spans="1:10" ht="18.75" customHeight="1" x14ac:dyDescent="0.2">
      <c r="A27" s="45">
        <v>8</v>
      </c>
      <c r="B27" s="117"/>
      <c r="C27" s="118"/>
      <c r="D27" s="118"/>
      <c r="E27" s="119"/>
      <c r="F27" s="45">
        <v>33</v>
      </c>
      <c r="G27" s="134"/>
      <c r="H27" s="135"/>
      <c r="I27" s="136"/>
    </row>
    <row r="28" spans="1:10" ht="18.75" customHeight="1" x14ac:dyDescent="0.2">
      <c r="A28" s="45">
        <v>9</v>
      </c>
      <c r="B28" s="117"/>
      <c r="C28" s="118"/>
      <c r="D28" s="118"/>
      <c r="E28" s="119"/>
      <c r="F28" s="45">
        <v>34</v>
      </c>
      <c r="G28" s="134"/>
      <c r="H28" s="135"/>
      <c r="I28" s="136"/>
    </row>
    <row r="29" spans="1:10" ht="18.75" customHeight="1" x14ac:dyDescent="0.2">
      <c r="A29" s="45">
        <v>10</v>
      </c>
      <c r="B29" s="117"/>
      <c r="C29" s="118"/>
      <c r="D29" s="118"/>
      <c r="E29" s="119"/>
      <c r="F29" s="45">
        <v>35</v>
      </c>
      <c r="G29" s="134"/>
      <c r="H29" s="135"/>
      <c r="I29" s="136"/>
    </row>
    <row r="30" spans="1:10" ht="18.75" customHeight="1" x14ac:dyDescent="0.2">
      <c r="A30" s="45">
        <v>11</v>
      </c>
      <c r="B30" s="134"/>
      <c r="C30" s="135"/>
      <c r="D30" s="135"/>
      <c r="E30" s="136"/>
      <c r="F30" s="45">
        <v>36</v>
      </c>
      <c r="G30" s="134"/>
      <c r="H30" s="135"/>
      <c r="I30" s="136"/>
    </row>
    <row r="31" spans="1:10" ht="18.75" customHeight="1" x14ac:dyDescent="0.2">
      <c r="A31" s="45">
        <v>12</v>
      </c>
      <c r="B31" s="134"/>
      <c r="C31" s="135"/>
      <c r="D31" s="135"/>
      <c r="E31" s="136"/>
      <c r="F31" s="45">
        <v>37</v>
      </c>
      <c r="G31" s="134"/>
      <c r="H31" s="135"/>
      <c r="I31" s="136"/>
    </row>
    <row r="32" spans="1:10" ht="18.75" customHeight="1" x14ac:dyDescent="0.2">
      <c r="A32" s="45">
        <v>13</v>
      </c>
      <c r="B32" s="134"/>
      <c r="C32" s="135"/>
      <c r="D32" s="135"/>
      <c r="E32" s="136"/>
      <c r="F32" s="45">
        <v>38</v>
      </c>
      <c r="G32" s="134"/>
      <c r="H32" s="135"/>
      <c r="I32" s="136"/>
    </row>
    <row r="33" spans="1:9" ht="18.75" customHeight="1" x14ac:dyDescent="0.2">
      <c r="A33" s="45">
        <v>14</v>
      </c>
      <c r="B33" s="134"/>
      <c r="C33" s="135"/>
      <c r="D33" s="135"/>
      <c r="E33" s="136"/>
      <c r="F33" s="45">
        <v>39</v>
      </c>
      <c r="G33" s="134"/>
      <c r="H33" s="135"/>
      <c r="I33" s="136"/>
    </row>
    <row r="34" spans="1:9" ht="18.75" customHeight="1" x14ac:dyDescent="0.2">
      <c r="A34" s="45">
        <v>15</v>
      </c>
      <c r="B34" s="134"/>
      <c r="C34" s="135"/>
      <c r="D34" s="135"/>
      <c r="E34" s="136"/>
      <c r="F34" s="45">
        <v>40</v>
      </c>
      <c r="G34" s="134"/>
      <c r="H34" s="135"/>
      <c r="I34" s="136"/>
    </row>
    <row r="35" spans="1:9" ht="18.75" customHeight="1" x14ac:dyDescent="0.2">
      <c r="A35" s="45">
        <v>16</v>
      </c>
      <c r="B35" s="134"/>
      <c r="C35" s="135"/>
      <c r="D35" s="135"/>
      <c r="E35" s="136"/>
      <c r="F35" s="45">
        <v>41</v>
      </c>
      <c r="G35" s="134"/>
      <c r="H35" s="135"/>
      <c r="I35" s="136"/>
    </row>
    <row r="36" spans="1:9" ht="18.75" customHeight="1" x14ac:dyDescent="0.2">
      <c r="A36" s="45">
        <v>17</v>
      </c>
      <c r="B36" s="134"/>
      <c r="C36" s="135"/>
      <c r="D36" s="135"/>
      <c r="E36" s="136"/>
      <c r="F36" s="45">
        <v>42</v>
      </c>
      <c r="G36" s="134"/>
      <c r="H36" s="135"/>
      <c r="I36" s="136"/>
    </row>
    <row r="37" spans="1:9" ht="18.75" customHeight="1" x14ac:dyDescent="0.2">
      <c r="A37" s="45">
        <v>18</v>
      </c>
      <c r="B37" s="134"/>
      <c r="C37" s="135"/>
      <c r="D37" s="135"/>
      <c r="E37" s="136"/>
      <c r="F37" s="45">
        <v>43</v>
      </c>
      <c r="G37" s="134"/>
      <c r="H37" s="135"/>
      <c r="I37" s="136"/>
    </row>
    <row r="38" spans="1:9" ht="18.75" customHeight="1" x14ac:dyDescent="0.2">
      <c r="A38" s="45">
        <v>19</v>
      </c>
      <c r="B38" s="134"/>
      <c r="C38" s="135"/>
      <c r="D38" s="135"/>
      <c r="E38" s="136"/>
      <c r="F38" s="45">
        <v>44</v>
      </c>
      <c r="G38" s="134"/>
      <c r="H38" s="135"/>
      <c r="I38" s="136"/>
    </row>
    <row r="39" spans="1:9" ht="18.75" customHeight="1" x14ac:dyDescent="0.2">
      <c r="A39" s="45">
        <v>20</v>
      </c>
      <c r="B39" s="134"/>
      <c r="C39" s="135"/>
      <c r="D39" s="135"/>
      <c r="E39" s="136"/>
      <c r="F39" s="45">
        <v>45</v>
      </c>
      <c r="G39" s="134"/>
      <c r="H39" s="135"/>
      <c r="I39" s="136"/>
    </row>
    <row r="40" spans="1:9" ht="18.75" customHeight="1" x14ac:dyDescent="0.2">
      <c r="A40" s="45">
        <v>21</v>
      </c>
      <c r="B40" s="134"/>
      <c r="C40" s="135"/>
      <c r="D40" s="135"/>
      <c r="E40" s="136"/>
      <c r="F40" s="45">
        <v>46</v>
      </c>
      <c r="G40" s="134"/>
      <c r="H40" s="135"/>
      <c r="I40" s="136"/>
    </row>
    <row r="41" spans="1:9" ht="18.75" customHeight="1" x14ac:dyDescent="0.2">
      <c r="A41" s="45">
        <v>22</v>
      </c>
      <c r="B41" s="134"/>
      <c r="C41" s="135"/>
      <c r="D41" s="135"/>
      <c r="E41" s="136"/>
      <c r="F41" s="45">
        <v>47</v>
      </c>
      <c r="G41" s="134"/>
      <c r="H41" s="135"/>
      <c r="I41" s="136"/>
    </row>
    <row r="42" spans="1:9" ht="18.75" customHeight="1" x14ac:dyDescent="0.2">
      <c r="A42" s="45">
        <v>23</v>
      </c>
      <c r="B42" s="134"/>
      <c r="C42" s="135"/>
      <c r="D42" s="135"/>
      <c r="E42" s="136"/>
      <c r="F42" s="45">
        <v>48</v>
      </c>
      <c r="G42" s="134"/>
      <c r="H42" s="135"/>
      <c r="I42" s="136"/>
    </row>
    <row r="43" spans="1:9" ht="18.75" customHeight="1" x14ac:dyDescent="0.2">
      <c r="A43" s="45">
        <v>24</v>
      </c>
      <c r="B43" s="134"/>
      <c r="C43" s="135"/>
      <c r="D43" s="135"/>
      <c r="E43" s="136"/>
      <c r="F43" s="45">
        <v>49</v>
      </c>
      <c r="G43" s="134"/>
      <c r="H43" s="135"/>
      <c r="I43" s="136"/>
    </row>
    <row r="44" spans="1:9" ht="18.75" customHeight="1" x14ac:dyDescent="0.2">
      <c r="A44" s="45">
        <v>25</v>
      </c>
      <c r="B44" s="134"/>
      <c r="C44" s="135"/>
      <c r="D44" s="135"/>
      <c r="E44" s="136"/>
      <c r="F44" s="45">
        <v>50</v>
      </c>
      <c r="G44" s="134"/>
      <c r="H44" s="135"/>
      <c r="I44" s="136"/>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xr:uid="{261D3656-A1A6-4876-B4B4-BA6AD3BC5700}">
      <formula1>"学部・学科によって、修了要件は相違する,学部・学科によって、修了要件は相違しない"</formula1>
    </dataValidation>
    <dataValidation type="list" allowBlank="1" showInputMessage="1" showErrorMessage="1" sqref="F7:I7" xr:uid="{AAF1B7C8-12DD-4807-969E-B40D63B5772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heetViews>
  <sheetFormatPr defaultColWidth="9" defaultRowHeight="18.75" customHeight="1" x14ac:dyDescent="0.2"/>
  <cols>
    <col min="1" max="1" width="2.44140625" style="1" customWidth="1"/>
    <col min="2" max="2" width="12.44140625" style="1" customWidth="1"/>
    <col min="3" max="3" width="21" style="1" customWidth="1"/>
    <col min="4" max="18" width="6.21875" style="1" customWidth="1"/>
    <col min="19" max="16384" width="9" style="1"/>
  </cols>
  <sheetData>
    <row r="1" spans="1:20" ht="18.75" customHeight="1" x14ac:dyDescent="0.2">
      <c r="F1" s="149" t="s">
        <v>66</v>
      </c>
      <c r="G1" s="149"/>
      <c r="H1" s="149"/>
      <c r="I1" s="149"/>
      <c r="J1" s="149"/>
      <c r="K1" s="149"/>
      <c r="L1" s="149"/>
      <c r="M1" s="149"/>
      <c r="N1" s="149"/>
      <c r="O1" s="149"/>
      <c r="P1" s="149"/>
      <c r="Q1" s="149"/>
      <c r="R1" s="149"/>
    </row>
    <row r="2" spans="1:20" ht="18.75" customHeight="1" x14ac:dyDescent="0.2">
      <c r="D2" s="57"/>
      <c r="E2" s="57"/>
      <c r="F2" s="57"/>
      <c r="G2" s="57"/>
      <c r="H2" s="57"/>
      <c r="I2" s="57"/>
      <c r="J2" s="57"/>
      <c r="K2" s="149" t="s">
        <v>59</v>
      </c>
      <c r="L2" s="149"/>
      <c r="M2" s="160" t="s">
        <v>127</v>
      </c>
      <c r="N2" s="160"/>
      <c r="O2" s="160"/>
      <c r="P2" s="160"/>
      <c r="Q2" s="160"/>
      <c r="R2" s="160"/>
    </row>
    <row r="3" spans="1:20" ht="7.5" customHeight="1" x14ac:dyDescent="0.2"/>
    <row r="4" spans="1:20" ht="18.75" customHeight="1" x14ac:dyDescent="0.2">
      <c r="A4" s="159" t="s">
        <v>116</v>
      </c>
      <c r="B4" s="159"/>
      <c r="C4" s="159"/>
      <c r="D4" s="159"/>
      <c r="E4" s="159"/>
      <c r="F4" s="159"/>
      <c r="G4" s="159"/>
      <c r="H4" s="159"/>
      <c r="I4" s="159"/>
      <c r="J4" s="159"/>
      <c r="K4" s="159"/>
      <c r="L4" s="159"/>
      <c r="M4" s="159"/>
      <c r="N4" s="159"/>
      <c r="O4" s="159"/>
      <c r="P4" s="159"/>
      <c r="Q4" s="159"/>
      <c r="R4" s="159"/>
      <c r="S4" s="5"/>
    </row>
    <row r="5" spans="1:20" ht="7.5" customHeight="1" x14ac:dyDescent="0.2">
      <c r="A5" s="56"/>
      <c r="B5" s="56"/>
      <c r="C5" s="56"/>
      <c r="D5" s="56"/>
      <c r="E5" s="56"/>
      <c r="F5" s="56"/>
      <c r="G5" s="56"/>
      <c r="H5" s="56"/>
      <c r="I5" s="56"/>
      <c r="J5" s="56"/>
      <c r="K5" s="56"/>
      <c r="L5" s="56"/>
      <c r="M5" s="56"/>
      <c r="N5" s="56"/>
      <c r="O5" s="56"/>
      <c r="P5" s="56"/>
      <c r="Q5" s="56"/>
      <c r="R5" s="56"/>
    </row>
    <row r="6" spans="1:20" ht="18.75" customHeight="1" x14ac:dyDescent="0.2">
      <c r="B6" s="163" t="s">
        <v>120</v>
      </c>
      <c r="C6" s="164"/>
      <c r="D6" s="150" t="s">
        <v>83</v>
      </c>
      <c r="E6" s="152" t="s">
        <v>110</v>
      </c>
      <c r="F6" s="152"/>
      <c r="G6" s="152" t="s">
        <v>111</v>
      </c>
      <c r="H6" s="152"/>
      <c r="I6" s="153" t="s">
        <v>112</v>
      </c>
      <c r="J6" s="154"/>
      <c r="K6" s="153" t="s">
        <v>113</v>
      </c>
      <c r="L6" s="154"/>
      <c r="M6" s="153" t="s">
        <v>114</v>
      </c>
      <c r="N6" s="154"/>
      <c r="O6" s="153" t="s">
        <v>115</v>
      </c>
      <c r="P6" s="154"/>
      <c r="Q6" s="155" t="s">
        <v>65</v>
      </c>
      <c r="R6" s="157" t="s">
        <v>60</v>
      </c>
      <c r="T6" s="58"/>
    </row>
    <row r="7" spans="1:20" ht="18.75" customHeight="1" x14ac:dyDescent="0.2">
      <c r="B7" s="165"/>
      <c r="C7" s="166"/>
      <c r="D7" s="151"/>
      <c r="E7" s="39" t="s">
        <v>49</v>
      </c>
      <c r="F7" s="41" t="s">
        <v>48</v>
      </c>
      <c r="G7" s="42" t="s">
        <v>49</v>
      </c>
      <c r="H7" s="40" t="s">
        <v>48</v>
      </c>
      <c r="I7" s="39" t="s">
        <v>49</v>
      </c>
      <c r="J7" s="41" t="s">
        <v>48</v>
      </c>
      <c r="K7" s="42" t="s">
        <v>49</v>
      </c>
      <c r="L7" s="40" t="s">
        <v>48</v>
      </c>
      <c r="M7" s="39" t="s">
        <v>49</v>
      </c>
      <c r="N7" s="41" t="s">
        <v>48</v>
      </c>
      <c r="O7" s="42" t="s">
        <v>49</v>
      </c>
      <c r="P7" s="40" t="s">
        <v>48</v>
      </c>
      <c r="Q7" s="156"/>
      <c r="R7" s="158"/>
      <c r="T7" s="58"/>
    </row>
    <row r="8" spans="1:20" ht="18.75" customHeight="1" x14ac:dyDescent="0.2">
      <c r="A8" s="59"/>
      <c r="B8" s="171" t="s">
        <v>128</v>
      </c>
      <c r="C8" s="172"/>
      <c r="D8" s="60">
        <v>1032</v>
      </c>
      <c r="E8" s="61">
        <v>288</v>
      </c>
      <c r="F8" s="62">
        <v>257</v>
      </c>
      <c r="G8" s="63">
        <v>292</v>
      </c>
      <c r="H8" s="64">
        <v>272</v>
      </c>
      <c r="I8" s="61"/>
      <c r="J8" s="62"/>
      <c r="K8" s="63"/>
      <c r="L8" s="64"/>
      <c r="M8" s="61"/>
      <c r="N8" s="62"/>
      <c r="O8" s="63"/>
      <c r="P8" s="64"/>
      <c r="Q8" s="65">
        <f>E8+G8+I8+K8+M8+O8</f>
        <v>580</v>
      </c>
      <c r="R8" s="66">
        <f>Q8/D8</f>
        <v>0.56201550387596899</v>
      </c>
    </row>
    <row r="9" spans="1:20" ht="18.75" customHeight="1" x14ac:dyDescent="0.2">
      <c r="A9" s="59"/>
      <c r="B9" s="167" t="s">
        <v>129</v>
      </c>
      <c r="C9" s="168"/>
      <c r="D9" s="67">
        <v>1680</v>
      </c>
      <c r="E9" s="68">
        <v>435</v>
      </c>
      <c r="F9" s="69">
        <v>398</v>
      </c>
      <c r="G9" s="70">
        <v>454</v>
      </c>
      <c r="H9" s="71">
        <v>426</v>
      </c>
      <c r="I9" s="68"/>
      <c r="J9" s="69"/>
      <c r="K9" s="70"/>
      <c r="L9" s="71"/>
      <c r="M9" s="68"/>
      <c r="N9" s="69"/>
      <c r="O9" s="70"/>
      <c r="P9" s="71"/>
      <c r="Q9" s="72">
        <f t="shared" ref="Q9:Q12" si="0">E9+G9+I9+K9+M9+O9</f>
        <v>889</v>
      </c>
      <c r="R9" s="66">
        <f t="shared" ref="R9:R12" si="1">Q9/D9</f>
        <v>0.52916666666666667</v>
      </c>
    </row>
    <row r="10" spans="1:20" ht="18.75" customHeight="1" x14ac:dyDescent="0.2">
      <c r="A10" s="59"/>
      <c r="B10" s="167" t="s">
        <v>130</v>
      </c>
      <c r="C10" s="168"/>
      <c r="D10" s="67">
        <v>580</v>
      </c>
      <c r="E10" s="68">
        <v>173</v>
      </c>
      <c r="F10" s="69">
        <v>165</v>
      </c>
      <c r="G10" s="70">
        <v>164</v>
      </c>
      <c r="H10" s="71">
        <v>152</v>
      </c>
      <c r="I10" s="68"/>
      <c r="J10" s="69"/>
      <c r="K10" s="70"/>
      <c r="L10" s="71"/>
      <c r="M10" s="68"/>
      <c r="N10" s="69"/>
      <c r="O10" s="70"/>
      <c r="P10" s="71"/>
      <c r="Q10" s="72">
        <f t="shared" si="0"/>
        <v>337</v>
      </c>
      <c r="R10" s="66">
        <f t="shared" si="1"/>
        <v>0.58103448275862069</v>
      </c>
    </row>
    <row r="11" spans="1:20" ht="18.75" customHeight="1" x14ac:dyDescent="0.2">
      <c r="A11" s="59"/>
      <c r="B11" s="167" t="s">
        <v>131</v>
      </c>
      <c r="C11" s="168"/>
      <c r="D11" s="82">
        <v>500</v>
      </c>
      <c r="E11" s="68">
        <v>125</v>
      </c>
      <c r="F11" s="69">
        <v>114</v>
      </c>
      <c r="G11" s="70">
        <v>110</v>
      </c>
      <c r="H11" s="71">
        <v>107</v>
      </c>
      <c r="I11" s="68"/>
      <c r="J11" s="69"/>
      <c r="K11" s="70"/>
      <c r="L11" s="71"/>
      <c r="M11" s="68"/>
      <c r="N11" s="69"/>
      <c r="O11" s="70"/>
      <c r="P11" s="71"/>
      <c r="Q11" s="72">
        <f t="shared" si="0"/>
        <v>235</v>
      </c>
      <c r="R11" s="66">
        <f t="shared" si="1"/>
        <v>0.47</v>
      </c>
    </row>
    <row r="12" spans="1:20" ht="18.75" customHeight="1" x14ac:dyDescent="0.2">
      <c r="A12" s="59"/>
      <c r="B12" s="167" t="s">
        <v>132</v>
      </c>
      <c r="C12" s="168"/>
      <c r="D12" s="67">
        <v>800</v>
      </c>
      <c r="E12" s="68">
        <v>170</v>
      </c>
      <c r="F12" s="69">
        <v>166</v>
      </c>
      <c r="G12" s="70">
        <v>183</v>
      </c>
      <c r="H12" s="71">
        <v>183</v>
      </c>
      <c r="I12" s="68"/>
      <c r="J12" s="69"/>
      <c r="K12" s="70"/>
      <c r="L12" s="71"/>
      <c r="M12" s="68"/>
      <c r="N12" s="69"/>
      <c r="O12" s="70"/>
      <c r="P12" s="71"/>
      <c r="Q12" s="72">
        <f t="shared" si="0"/>
        <v>353</v>
      </c>
      <c r="R12" s="66">
        <f t="shared" si="1"/>
        <v>0.44124999999999998</v>
      </c>
    </row>
    <row r="13" spans="1:20" ht="18.75" customHeight="1" x14ac:dyDescent="0.2">
      <c r="A13" s="59"/>
      <c r="B13" s="167"/>
      <c r="C13" s="168"/>
      <c r="D13" s="67"/>
      <c r="E13" s="68"/>
      <c r="F13" s="69"/>
      <c r="G13" s="70"/>
      <c r="H13" s="71"/>
      <c r="I13" s="68"/>
      <c r="J13" s="69"/>
      <c r="K13" s="70"/>
      <c r="L13" s="71"/>
      <c r="M13" s="68"/>
      <c r="N13" s="69"/>
      <c r="O13" s="70"/>
      <c r="P13" s="71"/>
      <c r="Q13" s="72"/>
      <c r="R13" s="66"/>
    </row>
    <row r="14" spans="1:20" ht="18.75" customHeight="1" x14ac:dyDescent="0.2">
      <c r="A14" s="59"/>
      <c r="B14" s="167"/>
      <c r="C14" s="168"/>
      <c r="D14" s="67"/>
      <c r="E14" s="68"/>
      <c r="F14" s="69"/>
      <c r="G14" s="70"/>
      <c r="H14" s="71"/>
      <c r="I14" s="68"/>
      <c r="J14" s="69"/>
      <c r="K14" s="70"/>
      <c r="L14" s="71"/>
      <c r="M14" s="68"/>
      <c r="N14" s="69"/>
      <c r="O14" s="70"/>
      <c r="P14" s="71"/>
      <c r="Q14" s="72"/>
      <c r="R14" s="66"/>
    </row>
    <row r="15" spans="1:20" ht="18.75" customHeight="1" x14ac:dyDescent="0.2">
      <c r="A15" s="59"/>
      <c r="B15" s="167"/>
      <c r="C15" s="168"/>
      <c r="D15" s="67"/>
      <c r="E15" s="68"/>
      <c r="F15" s="69"/>
      <c r="G15" s="70"/>
      <c r="H15" s="71"/>
      <c r="I15" s="68"/>
      <c r="J15" s="69"/>
      <c r="K15" s="70"/>
      <c r="L15" s="71"/>
      <c r="M15" s="68"/>
      <c r="N15" s="69"/>
      <c r="O15" s="70"/>
      <c r="P15" s="71"/>
      <c r="Q15" s="72"/>
      <c r="R15" s="66"/>
    </row>
    <row r="16" spans="1:20" ht="18.75" customHeight="1" x14ac:dyDescent="0.2">
      <c r="A16" s="59"/>
      <c r="B16" s="167"/>
      <c r="C16" s="168"/>
      <c r="D16" s="67"/>
      <c r="E16" s="68"/>
      <c r="F16" s="69"/>
      <c r="G16" s="70"/>
      <c r="H16" s="71"/>
      <c r="I16" s="68"/>
      <c r="J16" s="69"/>
      <c r="K16" s="70"/>
      <c r="L16" s="71"/>
      <c r="M16" s="68"/>
      <c r="N16" s="69"/>
      <c r="O16" s="70"/>
      <c r="P16" s="71"/>
      <c r="Q16" s="72"/>
      <c r="R16" s="66"/>
    </row>
    <row r="17" spans="1:18" ht="18.75" customHeight="1" x14ac:dyDescent="0.2">
      <c r="A17" s="59"/>
      <c r="B17" s="167"/>
      <c r="C17" s="168"/>
      <c r="D17" s="67"/>
      <c r="E17" s="68"/>
      <c r="F17" s="69"/>
      <c r="G17" s="70"/>
      <c r="H17" s="71"/>
      <c r="I17" s="68"/>
      <c r="J17" s="69"/>
      <c r="K17" s="70"/>
      <c r="L17" s="71"/>
      <c r="M17" s="68"/>
      <c r="N17" s="69"/>
      <c r="O17" s="70"/>
      <c r="P17" s="71"/>
      <c r="Q17" s="72"/>
      <c r="R17" s="66"/>
    </row>
    <row r="18" spans="1:18" ht="18.75" customHeight="1" x14ac:dyDescent="0.2">
      <c r="A18" s="59"/>
      <c r="B18" s="167"/>
      <c r="C18" s="168"/>
      <c r="D18" s="67"/>
      <c r="E18" s="68"/>
      <c r="F18" s="69"/>
      <c r="G18" s="70"/>
      <c r="H18" s="71"/>
      <c r="I18" s="68"/>
      <c r="J18" s="69"/>
      <c r="K18" s="70"/>
      <c r="L18" s="71"/>
      <c r="M18" s="68"/>
      <c r="N18" s="69"/>
      <c r="O18" s="70"/>
      <c r="P18" s="71"/>
      <c r="Q18" s="72"/>
      <c r="R18" s="66"/>
    </row>
    <row r="19" spans="1:18" ht="18.75" customHeight="1" x14ac:dyDescent="0.2">
      <c r="A19" s="59"/>
      <c r="B19" s="167"/>
      <c r="C19" s="168"/>
      <c r="D19" s="67"/>
      <c r="E19" s="68"/>
      <c r="F19" s="69"/>
      <c r="G19" s="70"/>
      <c r="H19" s="71"/>
      <c r="I19" s="68"/>
      <c r="J19" s="69"/>
      <c r="K19" s="70"/>
      <c r="L19" s="71"/>
      <c r="M19" s="68"/>
      <c r="N19" s="69"/>
      <c r="O19" s="70"/>
      <c r="P19" s="71"/>
      <c r="Q19" s="72"/>
      <c r="R19" s="66"/>
    </row>
    <row r="20" spans="1:18" ht="18.75" customHeight="1" x14ac:dyDescent="0.2">
      <c r="A20" s="59"/>
      <c r="B20" s="167"/>
      <c r="C20" s="168"/>
      <c r="D20" s="67"/>
      <c r="E20" s="68"/>
      <c r="F20" s="69"/>
      <c r="G20" s="70"/>
      <c r="H20" s="71"/>
      <c r="I20" s="68"/>
      <c r="J20" s="69"/>
      <c r="K20" s="70"/>
      <c r="L20" s="71"/>
      <c r="M20" s="68"/>
      <c r="N20" s="69"/>
      <c r="O20" s="70"/>
      <c r="P20" s="71"/>
      <c r="Q20" s="72"/>
      <c r="R20" s="66"/>
    </row>
    <row r="21" spans="1:18" ht="18.75" customHeight="1" x14ac:dyDescent="0.2">
      <c r="A21" s="59"/>
      <c r="B21" s="167"/>
      <c r="C21" s="168"/>
      <c r="D21" s="67"/>
      <c r="E21" s="68"/>
      <c r="F21" s="69"/>
      <c r="G21" s="70"/>
      <c r="H21" s="71"/>
      <c r="I21" s="68"/>
      <c r="J21" s="69"/>
      <c r="K21" s="70"/>
      <c r="L21" s="71"/>
      <c r="M21" s="68"/>
      <c r="N21" s="69"/>
      <c r="O21" s="70"/>
      <c r="P21" s="71"/>
      <c r="Q21" s="72"/>
      <c r="R21" s="66"/>
    </row>
    <row r="22" spans="1:18" ht="18.75" customHeight="1" x14ac:dyDescent="0.2">
      <c r="A22" s="59"/>
      <c r="B22" s="167"/>
      <c r="C22" s="168"/>
      <c r="D22" s="67"/>
      <c r="E22" s="68"/>
      <c r="F22" s="69"/>
      <c r="G22" s="70"/>
      <c r="H22" s="71"/>
      <c r="I22" s="68"/>
      <c r="J22" s="69"/>
      <c r="K22" s="70"/>
      <c r="L22" s="71"/>
      <c r="M22" s="68"/>
      <c r="N22" s="69"/>
      <c r="O22" s="70"/>
      <c r="P22" s="71"/>
      <c r="Q22" s="72"/>
      <c r="R22" s="66"/>
    </row>
    <row r="23" spans="1:18" ht="18.75" customHeight="1" x14ac:dyDescent="0.2">
      <c r="A23" s="59"/>
      <c r="B23" s="167"/>
      <c r="C23" s="168"/>
      <c r="D23" s="67"/>
      <c r="E23" s="68"/>
      <c r="F23" s="69"/>
      <c r="G23" s="70"/>
      <c r="H23" s="71"/>
      <c r="I23" s="68"/>
      <c r="J23" s="69"/>
      <c r="K23" s="70"/>
      <c r="L23" s="71"/>
      <c r="M23" s="68"/>
      <c r="N23" s="69"/>
      <c r="O23" s="70"/>
      <c r="P23" s="71"/>
      <c r="Q23" s="72"/>
      <c r="R23" s="66"/>
    </row>
    <row r="24" spans="1:18" ht="18.75" customHeight="1" x14ac:dyDescent="0.2">
      <c r="A24" s="59"/>
      <c r="B24" s="167"/>
      <c r="C24" s="168"/>
      <c r="D24" s="67"/>
      <c r="E24" s="68"/>
      <c r="F24" s="69"/>
      <c r="G24" s="70"/>
      <c r="H24" s="71"/>
      <c r="I24" s="68"/>
      <c r="J24" s="69"/>
      <c r="K24" s="70"/>
      <c r="L24" s="71"/>
      <c r="M24" s="68"/>
      <c r="N24" s="69"/>
      <c r="O24" s="70"/>
      <c r="P24" s="71"/>
      <c r="Q24" s="72"/>
      <c r="R24" s="66"/>
    </row>
    <row r="25" spans="1:18" ht="18.75" customHeight="1" x14ac:dyDescent="0.2">
      <c r="A25" s="59"/>
      <c r="B25" s="167"/>
      <c r="C25" s="168"/>
      <c r="D25" s="67"/>
      <c r="E25" s="68"/>
      <c r="F25" s="69"/>
      <c r="G25" s="70"/>
      <c r="H25" s="71"/>
      <c r="I25" s="68"/>
      <c r="J25" s="69"/>
      <c r="K25" s="70"/>
      <c r="L25" s="71"/>
      <c r="M25" s="68"/>
      <c r="N25" s="69"/>
      <c r="O25" s="70"/>
      <c r="P25" s="71"/>
      <c r="Q25" s="72"/>
      <c r="R25" s="66"/>
    </row>
    <row r="26" spans="1:18" ht="18.75" customHeight="1" x14ac:dyDescent="0.2">
      <c r="A26" s="59"/>
      <c r="B26" s="167"/>
      <c r="C26" s="168"/>
      <c r="D26" s="67"/>
      <c r="E26" s="68"/>
      <c r="F26" s="69"/>
      <c r="G26" s="70"/>
      <c r="H26" s="71"/>
      <c r="I26" s="68"/>
      <c r="J26" s="69"/>
      <c r="K26" s="70"/>
      <c r="L26" s="71"/>
      <c r="M26" s="68"/>
      <c r="N26" s="69"/>
      <c r="O26" s="70"/>
      <c r="P26" s="71"/>
      <c r="Q26" s="72"/>
      <c r="R26" s="66"/>
    </row>
    <row r="27" spans="1:18" ht="18.75" customHeight="1" thickBot="1" x14ac:dyDescent="0.25">
      <c r="A27" s="59"/>
      <c r="B27" s="169"/>
      <c r="C27" s="170"/>
      <c r="D27" s="60"/>
      <c r="E27" s="61"/>
      <c r="F27" s="62"/>
      <c r="G27" s="63"/>
      <c r="H27" s="64"/>
      <c r="I27" s="61"/>
      <c r="J27" s="62"/>
      <c r="K27" s="63"/>
      <c r="L27" s="64"/>
      <c r="M27" s="61"/>
      <c r="N27" s="62"/>
      <c r="O27" s="63"/>
      <c r="P27" s="64"/>
      <c r="Q27" s="73"/>
      <c r="R27" s="66"/>
    </row>
    <row r="28" spans="1:18" ht="18.75" customHeight="1" thickTop="1" x14ac:dyDescent="0.2">
      <c r="A28" s="59"/>
      <c r="B28" s="161" t="s">
        <v>61</v>
      </c>
      <c r="C28" s="162"/>
      <c r="D28" s="74">
        <f t="shared" ref="D28:Q28" si="2">SUM(D8:D27)</f>
        <v>4592</v>
      </c>
      <c r="E28" s="75">
        <f t="shared" si="2"/>
        <v>1191</v>
      </c>
      <c r="F28" s="76">
        <f t="shared" si="2"/>
        <v>1100</v>
      </c>
      <c r="G28" s="77">
        <f t="shared" si="2"/>
        <v>1203</v>
      </c>
      <c r="H28" s="78">
        <f t="shared" si="2"/>
        <v>1140</v>
      </c>
      <c r="I28" s="75">
        <f t="shared" si="2"/>
        <v>0</v>
      </c>
      <c r="J28" s="76">
        <f t="shared" si="2"/>
        <v>0</v>
      </c>
      <c r="K28" s="77">
        <f t="shared" si="2"/>
        <v>0</v>
      </c>
      <c r="L28" s="78">
        <f t="shared" si="2"/>
        <v>0</v>
      </c>
      <c r="M28" s="75">
        <f t="shared" si="2"/>
        <v>0</v>
      </c>
      <c r="N28" s="76">
        <f t="shared" si="2"/>
        <v>0</v>
      </c>
      <c r="O28" s="77">
        <f t="shared" si="2"/>
        <v>0</v>
      </c>
      <c r="P28" s="78">
        <f t="shared" si="2"/>
        <v>0</v>
      </c>
      <c r="Q28" s="79">
        <f t="shared" si="2"/>
        <v>2394</v>
      </c>
      <c r="R28" s="80">
        <f>Q28/D28</f>
        <v>0.52134146341463417</v>
      </c>
    </row>
    <row r="29" spans="1:18" ht="6.75" customHeight="1" x14ac:dyDescent="0.2">
      <c r="A29" s="59"/>
      <c r="B29" s="59"/>
      <c r="C29" s="59"/>
      <c r="D29" s="81"/>
      <c r="E29" s="81"/>
      <c r="F29" s="81"/>
      <c r="G29" s="81"/>
      <c r="H29" s="81"/>
      <c r="I29" s="81"/>
      <c r="J29" s="81"/>
      <c r="K29" s="81"/>
      <c r="L29" s="81"/>
      <c r="M29" s="81"/>
      <c r="N29" s="81"/>
      <c r="O29" s="81"/>
      <c r="P29" s="81"/>
      <c r="Q29" s="81"/>
      <c r="R29" s="81"/>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R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workbookViewId="0"/>
  </sheetViews>
  <sheetFormatPr defaultColWidth="9" defaultRowHeight="14.4" x14ac:dyDescent="0.2"/>
  <cols>
    <col min="1" max="1" width="2.44140625" style="23" customWidth="1"/>
    <col min="2" max="2" width="19" style="23" customWidth="1"/>
    <col min="3" max="3" width="25" style="23" customWidth="1"/>
    <col min="4" max="4" width="10" style="23" customWidth="1"/>
    <col min="5" max="7" width="25" style="23" customWidth="1"/>
    <col min="8" max="16384" width="9" style="23"/>
  </cols>
  <sheetData>
    <row r="1" spans="1:7" ht="18.75" customHeight="1" x14ac:dyDescent="0.2">
      <c r="G1" s="34" t="s">
        <v>135</v>
      </c>
    </row>
    <row r="2" spans="1:7" ht="18.75" customHeight="1" x14ac:dyDescent="0.2">
      <c r="F2" s="34" t="s">
        <v>68</v>
      </c>
      <c r="G2" s="23" t="s">
        <v>127</v>
      </c>
    </row>
    <row r="3" spans="1:7" ht="18.75" customHeight="1" x14ac:dyDescent="0.2">
      <c r="A3" s="127" t="s">
        <v>87</v>
      </c>
      <c r="B3" s="127"/>
      <c r="C3" s="127"/>
      <c r="D3" s="127"/>
      <c r="E3" s="127"/>
      <c r="F3" s="127"/>
      <c r="G3" s="127"/>
    </row>
    <row r="4" spans="1:7" ht="18.75" customHeight="1" x14ac:dyDescent="0.2">
      <c r="A4" s="23" t="s">
        <v>7</v>
      </c>
      <c r="B4" s="23" t="s">
        <v>86</v>
      </c>
    </row>
    <row r="5" spans="1:7" s="83" customFormat="1" ht="18.75" customHeight="1" x14ac:dyDescent="0.2">
      <c r="B5" s="84" t="s">
        <v>67</v>
      </c>
      <c r="C5" s="179" t="s">
        <v>99</v>
      </c>
      <c r="D5" s="180"/>
      <c r="E5" s="180"/>
      <c r="F5" s="180"/>
      <c r="G5" s="181"/>
    </row>
    <row r="6" spans="1:7" s="83" customFormat="1" ht="45" customHeight="1" x14ac:dyDescent="0.2">
      <c r="B6" s="202" t="s">
        <v>102</v>
      </c>
      <c r="C6" s="182" t="s">
        <v>179</v>
      </c>
      <c r="D6" s="183"/>
      <c r="E6" s="183"/>
      <c r="F6" s="183"/>
      <c r="G6" s="184"/>
    </row>
    <row r="7" spans="1:7" s="83" customFormat="1" ht="45" customHeight="1" x14ac:dyDescent="0.2">
      <c r="B7" s="203"/>
      <c r="C7" s="185"/>
      <c r="D7" s="186"/>
      <c r="E7" s="186"/>
      <c r="F7" s="186"/>
      <c r="G7" s="187"/>
    </row>
    <row r="8" spans="1:7" s="83" customFormat="1" ht="45" customHeight="1" x14ac:dyDescent="0.2">
      <c r="B8" s="203"/>
      <c r="C8" s="185"/>
      <c r="D8" s="186"/>
      <c r="E8" s="186"/>
      <c r="F8" s="186"/>
      <c r="G8" s="187"/>
    </row>
    <row r="9" spans="1:7" s="83" customFormat="1" ht="45" customHeight="1" x14ac:dyDescent="0.2">
      <c r="B9" s="203"/>
      <c r="C9" s="188"/>
      <c r="D9" s="189"/>
      <c r="E9" s="189"/>
      <c r="F9" s="189"/>
      <c r="G9" s="190"/>
    </row>
    <row r="10" spans="1:7" s="83" customFormat="1" ht="18.75" customHeight="1" x14ac:dyDescent="0.2">
      <c r="B10" s="203"/>
      <c r="C10" s="85" t="s">
        <v>100</v>
      </c>
      <c r="D10" s="215" t="s">
        <v>101</v>
      </c>
      <c r="E10" s="216"/>
      <c r="F10" s="216"/>
      <c r="G10" s="217"/>
    </row>
    <row r="11" spans="1:7" s="83" customFormat="1" ht="18.75" customHeight="1" x14ac:dyDescent="0.2">
      <c r="B11" s="203"/>
      <c r="C11" s="105" t="s">
        <v>126</v>
      </c>
      <c r="D11" s="176" t="s">
        <v>166</v>
      </c>
      <c r="E11" s="177"/>
      <c r="F11" s="177"/>
      <c r="G11" s="178"/>
    </row>
    <row r="12" spans="1:7" s="83" customFormat="1" ht="18.75" customHeight="1" x14ac:dyDescent="0.2">
      <c r="B12" s="203"/>
      <c r="C12" s="86"/>
      <c r="D12" s="173"/>
      <c r="E12" s="174"/>
      <c r="F12" s="174"/>
      <c r="G12" s="175"/>
    </row>
    <row r="13" spans="1:7" s="83" customFormat="1" ht="18.75" customHeight="1" x14ac:dyDescent="0.2">
      <c r="B13" s="203"/>
      <c r="C13" s="86"/>
      <c r="D13" s="173"/>
      <c r="E13" s="174"/>
      <c r="F13" s="174"/>
      <c r="G13" s="175"/>
    </row>
    <row r="14" spans="1:7" s="83" customFormat="1" ht="18.75" customHeight="1" x14ac:dyDescent="0.2">
      <c r="B14" s="203"/>
      <c r="C14" s="86"/>
      <c r="D14" s="173"/>
      <c r="E14" s="174"/>
      <c r="F14" s="174"/>
      <c r="G14" s="175"/>
    </row>
    <row r="15" spans="1:7" s="83" customFormat="1" ht="18.75" customHeight="1" x14ac:dyDescent="0.2">
      <c r="B15" s="203"/>
      <c r="C15" s="84"/>
      <c r="D15" s="179"/>
      <c r="E15" s="180"/>
      <c r="F15" s="180"/>
      <c r="G15" s="181"/>
    </row>
    <row r="16" spans="1:7" s="83" customFormat="1" ht="18.75" customHeight="1" x14ac:dyDescent="0.2">
      <c r="B16" s="203"/>
      <c r="C16" s="84"/>
      <c r="D16" s="179"/>
      <c r="E16" s="180"/>
      <c r="F16" s="180"/>
      <c r="G16" s="181"/>
    </row>
    <row r="17" spans="2:7" s="83" customFormat="1" ht="18.75" customHeight="1" x14ac:dyDescent="0.2">
      <c r="B17" s="203"/>
      <c r="C17" s="84"/>
      <c r="D17" s="179"/>
      <c r="E17" s="180"/>
      <c r="F17" s="180"/>
      <c r="G17" s="181"/>
    </row>
    <row r="18" spans="2:7" s="83" customFormat="1" ht="18.75" customHeight="1" x14ac:dyDescent="0.2">
      <c r="B18" s="203"/>
      <c r="C18" s="84"/>
      <c r="D18" s="179"/>
      <c r="E18" s="180"/>
      <c r="F18" s="180"/>
      <c r="G18" s="181"/>
    </row>
    <row r="19" spans="2:7" s="83" customFormat="1" ht="18.75" customHeight="1" x14ac:dyDescent="0.2">
      <c r="B19" s="203"/>
      <c r="C19" s="84"/>
      <c r="D19" s="179"/>
      <c r="E19" s="180"/>
      <c r="F19" s="180"/>
      <c r="G19" s="181"/>
    </row>
    <row r="20" spans="2:7" s="83" customFormat="1" ht="18.75" customHeight="1" x14ac:dyDescent="0.2">
      <c r="B20" s="203"/>
      <c r="C20" s="84"/>
      <c r="D20" s="179"/>
      <c r="E20" s="180"/>
      <c r="F20" s="180"/>
      <c r="G20" s="181"/>
    </row>
    <row r="21" spans="2:7" s="83" customFormat="1" ht="18.75" customHeight="1" x14ac:dyDescent="0.2">
      <c r="B21" s="203"/>
      <c r="C21" s="84"/>
      <c r="D21" s="179"/>
      <c r="E21" s="180"/>
      <c r="F21" s="180"/>
      <c r="G21" s="181"/>
    </row>
    <row r="22" spans="2:7" s="83" customFormat="1" ht="18.75" customHeight="1" x14ac:dyDescent="0.2">
      <c r="B22" s="203"/>
      <c r="C22" s="84"/>
      <c r="D22" s="218"/>
      <c r="E22" s="219"/>
      <c r="F22" s="219"/>
      <c r="G22" s="220"/>
    </row>
    <row r="23" spans="2:7" s="83" customFormat="1" ht="18.75" customHeight="1" x14ac:dyDescent="0.2">
      <c r="B23" s="204"/>
      <c r="C23" s="84"/>
      <c r="D23" s="179"/>
      <c r="E23" s="180"/>
      <c r="F23" s="180"/>
      <c r="G23" s="181"/>
    </row>
    <row r="24" spans="2:7" s="83" customFormat="1" ht="18.75" customHeight="1" x14ac:dyDescent="0.2">
      <c r="B24" s="204"/>
      <c r="C24" s="84"/>
      <c r="D24" s="179"/>
      <c r="E24" s="180"/>
      <c r="F24" s="180"/>
      <c r="G24" s="181"/>
    </row>
    <row r="25" spans="2:7" s="83" customFormat="1" ht="18.75" customHeight="1" x14ac:dyDescent="0.2">
      <c r="B25" s="204"/>
      <c r="C25" s="84"/>
      <c r="D25" s="179"/>
      <c r="E25" s="180"/>
      <c r="F25" s="180"/>
      <c r="G25" s="181"/>
    </row>
    <row r="26" spans="2:7" ht="18.75" customHeight="1" x14ac:dyDescent="0.2">
      <c r="B26" s="202" t="s">
        <v>103</v>
      </c>
      <c r="C26" s="179" t="s">
        <v>99</v>
      </c>
      <c r="D26" s="180"/>
      <c r="E26" s="180"/>
      <c r="F26" s="180"/>
      <c r="G26" s="181"/>
    </row>
    <row r="27" spans="2:7" ht="37.5" customHeight="1" x14ac:dyDescent="0.2">
      <c r="B27" s="203"/>
      <c r="C27" s="206" t="s">
        <v>137</v>
      </c>
      <c r="D27" s="207"/>
      <c r="E27" s="207"/>
      <c r="F27" s="207"/>
      <c r="G27" s="208"/>
    </row>
    <row r="28" spans="2:7" ht="37.5" customHeight="1" x14ac:dyDescent="0.2">
      <c r="B28" s="203"/>
      <c r="C28" s="209"/>
      <c r="D28" s="210"/>
      <c r="E28" s="210"/>
      <c r="F28" s="210"/>
      <c r="G28" s="211"/>
    </row>
    <row r="29" spans="2:7" ht="37.5" customHeight="1" x14ac:dyDescent="0.2">
      <c r="B29" s="203"/>
      <c r="C29" s="209"/>
      <c r="D29" s="210"/>
      <c r="E29" s="210"/>
      <c r="F29" s="210"/>
      <c r="G29" s="211"/>
    </row>
    <row r="30" spans="2:7" ht="37.5" customHeight="1" x14ac:dyDescent="0.2">
      <c r="B30" s="203"/>
      <c r="C30" s="209"/>
      <c r="D30" s="210"/>
      <c r="E30" s="210"/>
      <c r="F30" s="210"/>
      <c r="G30" s="211"/>
    </row>
    <row r="31" spans="2:7" ht="37.5" customHeight="1" x14ac:dyDescent="0.2">
      <c r="B31" s="203"/>
      <c r="C31" s="212"/>
      <c r="D31" s="213"/>
      <c r="E31" s="213"/>
      <c r="F31" s="213"/>
      <c r="G31" s="214"/>
    </row>
    <row r="32" spans="2:7" ht="18.75" customHeight="1" x14ac:dyDescent="0.2">
      <c r="B32" s="203"/>
      <c r="C32" s="85" t="s">
        <v>100</v>
      </c>
      <c r="D32" s="179" t="s">
        <v>101</v>
      </c>
      <c r="E32" s="180"/>
      <c r="F32" s="180"/>
      <c r="G32" s="181"/>
    </row>
    <row r="33" spans="2:7" ht="18.75" customHeight="1" x14ac:dyDescent="0.2">
      <c r="B33" s="203"/>
      <c r="C33" s="105" t="s">
        <v>126</v>
      </c>
      <c r="D33" s="176" t="str">
        <f>D11</f>
        <v>学科ごとに実施講義回が異なるため各シラバスの後に別資料（シラバス等）でまとめて記載する。</v>
      </c>
      <c r="E33" s="177"/>
      <c r="F33" s="177"/>
      <c r="G33" s="178"/>
    </row>
    <row r="34" spans="2:7" ht="18.75" customHeight="1" x14ac:dyDescent="0.2">
      <c r="B34" s="203"/>
      <c r="C34" s="84"/>
      <c r="D34" s="173"/>
      <c r="E34" s="174"/>
      <c r="F34" s="174"/>
      <c r="G34" s="175"/>
    </row>
    <row r="35" spans="2:7" ht="18.75" customHeight="1" x14ac:dyDescent="0.2">
      <c r="B35" s="203"/>
      <c r="C35" s="84"/>
      <c r="D35" s="173"/>
      <c r="E35" s="174"/>
      <c r="F35" s="174"/>
      <c r="G35" s="175"/>
    </row>
    <row r="36" spans="2:7" ht="18.75" customHeight="1" x14ac:dyDescent="0.2">
      <c r="B36" s="203"/>
      <c r="C36" s="84"/>
      <c r="D36" s="173"/>
      <c r="E36" s="174"/>
      <c r="F36" s="174"/>
      <c r="G36" s="175"/>
    </row>
    <row r="37" spans="2:7" ht="18.75" customHeight="1" x14ac:dyDescent="0.2">
      <c r="B37" s="203"/>
      <c r="C37" s="84"/>
      <c r="D37" s="173"/>
      <c r="E37" s="174"/>
      <c r="F37" s="174"/>
      <c r="G37" s="175"/>
    </row>
    <row r="38" spans="2:7" ht="18.75" customHeight="1" x14ac:dyDescent="0.2">
      <c r="B38" s="203"/>
      <c r="C38" s="84"/>
      <c r="D38" s="173"/>
      <c r="E38" s="174"/>
      <c r="F38" s="174"/>
      <c r="G38" s="175"/>
    </row>
    <row r="39" spans="2:7" ht="18.75" customHeight="1" x14ac:dyDescent="0.2">
      <c r="B39" s="203"/>
      <c r="C39" s="84"/>
      <c r="D39" s="173"/>
      <c r="E39" s="174"/>
      <c r="F39" s="174"/>
      <c r="G39" s="175"/>
    </row>
    <row r="40" spans="2:7" ht="18.75" customHeight="1" x14ac:dyDescent="0.2">
      <c r="B40" s="203"/>
      <c r="C40" s="84"/>
      <c r="D40" s="173"/>
      <c r="E40" s="174"/>
      <c r="F40" s="174"/>
      <c r="G40" s="175"/>
    </row>
    <row r="41" spans="2:7" ht="18.75" customHeight="1" x14ac:dyDescent="0.2">
      <c r="B41" s="203"/>
      <c r="C41" s="84"/>
      <c r="D41" s="173"/>
      <c r="E41" s="174"/>
      <c r="F41" s="174"/>
      <c r="G41" s="175"/>
    </row>
    <row r="42" spans="2:7" ht="18.75" customHeight="1" x14ac:dyDescent="0.2">
      <c r="B42" s="203"/>
      <c r="C42" s="84"/>
      <c r="D42" s="173"/>
      <c r="E42" s="174"/>
      <c r="F42" s="174"/>
      <c r="G42" s="175"/>
    </row>
    <row r="43" spans="2:7" ht="18.75" customHeight="1" x14ac:dyDescent="0.2">
      <c r="B43" s="203"/>
      <c r="C43" s="84"/>
      <c r="D43" s="173"/>
      <c r="E43" s="174"/>
      <c r="F43" s="174"/>
      <c r="G43" s="175"/>
    </row>
    <row r="44" spans="2:7" ht="18.75" customHeight="1" x14ac:dyDescent="0.2">
      <c r="B44" s="203"/>
      <c r="C44" s="84"/>
      <c r="D44" s="173"/>
      <c r="E44" s="174"/>
      <c r="F44" s="174"/>
      <c r="G44" s="175"/>
    </row>
    <row r="45" spans="2:7" ht="18.75" customHeight="1" x14ac:dyDescent="0.2">
      <c r="B45" s="203"/>
      <c r="C45" s="84"/>
      <c r="D45" s="173"/>
      <c r="E45" s="174"/>
      <c r="F45" s="174"/>
      <c r="G45" s="175"/>
    </row>
    <row r="46" spans="2:7" ht="18.75" customHeight="1" x14ac:dyDescent="0.2">
      <c r="B46" s="203"/>
      <c r="C46" s="84"/>
      <c r="D46" s="173"/>
      <c r="E46" s="174"/>
      <c r="F46" s="174"/>
      <c r="G46" s="175"/>
    </row>
    <row r="47" spans="2:7" ht="18.75" customHeight="1" x14ac:dyDescent="0.2">
      <c r="B47" s="203"/>
      <c r="C47" s="84"/>
      <c r="D47" s="173"/>
      <c r="E47" s="174"/>
      <c r="F47" s="174"/>
      <c r="G47" s="175"/>
    </row>
    <row r="48" spans="2:7" ht="18.75" customHeight="1" x14ac:dyDescent="0.2">
      <c r="B48" s="203"/>
      <c r="C48" s="84"/>
      <c r="D48" s="173"/>
      <c r="E48" s="174"/>
      <c r="F48" s="174"/>
      <c r="G48" s="175"/>
    </row>
    <row r="49" spans="2:7" ht="18.75" customHeight="1" x14ac:dyDescent="0.2">
      <c r="B49" s="203"/>
      <c r="C49" s="84"/>
      <c r="D49" s="173"/>
      <c r="E49" s="174"/>
      <c r="F49" s="174"/>
      <c r="G49" s="175"/>
    </row>
    <row r="50" spans="2:7" ht="18.75" customHeight="1" x14ac:dyDescent="0.2">
      <c r="B50" s="205"/>
      <c r="C50" s="84"/>
      <c r="D50" s="173"/>
      <c r="E50" s="174"/>
      <c r="F50" s="174"/>
      <c r="G50" s="175"/>
    </row>
    <row r="51" spans="2:7" ht="18.75" customHeight="1" x14ac:dyDescent="0.2">
      <c r="B51" s="202" t="s">
        <v>105</v>
      </c>
      <c r="C51" s="179" t="s">
        <v>99</v>
      </c>
      <c r="D51" s="180"/>
      <c r="E51" s="180"/>
      <c r="F51" s="180"/>
      <c r="G51" s="181"/>
    </row>
    <row r="52" spans="2:7" ht="37.5" customHeight="1" x14ac:dyDescent="0.2">
      <c r="B52" s="203"/>
      <c r="C52" s="206" t="s">
        <v>167</v>
      </c>
      <c r="D52" s="207"/>
      <c r="E52" s="207"/>
      <c r="F52" s="207"/>
      <c r="G52" s="208"/>
    </row>
    <row r="53" spans="2:7" ht="37.5" customHeight="1" x14ac:dyDescent="0.2">
      <c r="B53" s="203"/>
      <c r="C53" s="209"/>
      <c r="D53" s="210"/>
      <c r="E53" s="210"/>
      <c r="F53" s="210"/>
      <c r="G53" s="211"/>
    </row>
    <row r="54" spans="2:7" ht="37.5" customHeight="1" x14ac:dyDescent="0.2">
      <c r="B54" s="203"/>
      <c r="C54" s="209"/>
      <c r="D54" s="210"/>
      <c r="E54" s="210"/>
      <c r="F54" s="210"/>
      <c r="G54" s="211"/>
    </row>
    <row r="55" spans="2:7" ht="37.5" customHeight="1" x14ac:dyDescent="0.2">
      <c r="B55" s="203"/>
      <c r="C55" s="209"/>
      <c r="D55" s="210"/>
      <c r="E55" s="210"/>
      <c r="F55" s="210"/>
      <c r="G55" s="211"/>
    </row>
    <row r="56" spans="2:7" ht="37.5" customHeight="1" x14ac:dyDescent="0.2">
      <c r="B56" s="203"/>
      <c r="C56" s="212"/>
      <c r="D56" s="213"/>
      <c r="E56" s="213"/>
      <c r="F56" s="213"/>
      <c r="G56" s="214"/>
    </row>
    <row r="57" spans="2:7" ht="18.75" customHeight="1" x14ac:dyDescent="0.2">
      <c r="B57" s="203"/>
      <c r="C57" s="85" t="s">
        <v>100</v>
      </c>
      <c r="D57" s="179" t="s">
        <v>101</v>
      </c>
      <c r="E57" s="180"/>
      <c r="F57" s="180"/>
      <c r="G57" s="181"/>
    </row>
    <row r="58" spans="2:7" ht="18.75" customHeight="1" x14ac:dyDescent="0.2">
      <c r="B58" s="203"/>
      <c r="C58" s="105" t="s">
        <v>126</v>
      </c>
      <c r="D58" s="176" t="str">
        <f>D11</f>
        <v>学科ごとに実施講義回が異なるため各シラバスの後に別資料（シラバス等）でまとめて記載する。</v>
      </c>
      <c r="E58" s="177"/>
      <c r="F58" s="177"/>
      <c r="G58" s="178"/>
    </row>
    <row r="59" spans="2:7" ht="18.75" customHeight="1" x14ac:dyDescent="0.2">
      <c r="B59" s="203"/>
      <c r="C59" s="84"/>
      <c r="D59" s="173"/>
      <c r="E59" s="174"/>
      <c r="F59" s="174"/>
      <c r="G59" s="175"/>
    </row>
    <row r="60" spans="2:7" ht="18.75" customHeight="1" x14ac:dyDescent="0.2">
      <c r="B60" s="203"/>
      <c r="C60" s="84"/>
      <c r="D60" s="173"/>
      <c r="E60" s="174"/>
      <c r="F60" s="174"/>
      <c r="G60" s="175"/>
    </row>
    <row r="61" spans="2:7" ht="18.75" customHeight="1" x14ac:dyDescent="0.2">
      <c r="B61" s="203"/>
      <c r="C61" s="84"/>
      <c r="D61" s="173"/>
      <c r="E61" s="174"/>
      <c r="F61" s="174"/>
      <c r="G61" s="175"/>
    </row>
    <row r="62" spans="2:7" ht="18.75" customHeight="1" x14ac:dyDescent="0.2">
      <c r="B62" s="203"/>
      <c r="C62" s="84"/>
      <c r="D62" s="173"/>
      <c r="E62" s="174"/>
      <c r="F62" s="174"/>
      <c r="G62" s="175"/>
    </row>
    <row r="63" spans="2:7" ht="18.75" customHeight="1" x14ac:dyDescent="0.2">
      <c r="B63" s="203"/>
      <c r="C63" s="84"/>
      <c r="D63" s="173"/>
      <c r="E63" s="174"/>
      <c r="F63" s="174"/>
      <c r="G63" s="175"/>
    </row>
    <row r="64" spans="2:7" ht="18.75" customHeight="1" x14ac:dyDescent="0.2">
      <c r="B64" s="203"/>
      <c r="C64" s="84"/>
      <c r="D64" s="173"/>
      <c r="E64" s="174"/>
      <c r="F64" s="174"/>
      <c r="G64" s="175"/>
    </row>
    <row r="65" spans="2:7" ht="18.75" customHeight="1" x14ac:dyDescent="0.2">
      <c r="B65" s="203"/>
      <c r="C65" s="84"/>
      <c r="D65" s="173"/>
      <c r="E65" s="174"/>
      <c r="F65" s="174"/>
      <c r="G65" s="175"/>
    </row>
    <row r="66" spans="2:7" ht="18.75" customHeight="1" x14ac:dyDescent="0.2">
      <c r="B66" s="203"/>
      <c r="C66" s="84"/>
      <c r="D66" s="173"/>
      <c r="E66" s="174"/>
      <c r="F66" s="174"/>
      <c r="G66" s="175"/>
    </row>
    <row r="67" spans="2:7" ht="18.75" customHeight="1" x14ac:dyDescent="0.2">
      <c r="B67" s="203"/>
      <c r="C67" s="84"/>
      <c r="D67" s="173"/>
      <c r="E67" s="174"/>
      <c r="F67" s="174"/>
      <c r="G67" s="175"/>
    </row>
    <row r="68" spans="2:7" ht="18.75" customHeight="1" x14ac:dyDescent="0.2">
      <c r="B68" s="203"/>
      <c r="C68" s="84"/>
      <c r="D68" s="173"/>
      <c r="E68" s="174"/>
      <c r="F68" s="174"/>
      <c r="G68" s="175"/>
    </row>
    <row r="69" spans="2:7" ht="18.75" customHeight="1" x14ac:dyDescent="0.2">
      <c r="B69" s="203"/>
      <c r="C69" s="84"/>
      <c r="D69" s="173"/>
      <c r="E69" s="174"/>
      <c r="F69" s="174"/>
      <c r="G69" s="175"/>
    </row>
    <row r="70" spans="2:7" ht="18.75" customHeight="1" x14ac:dyDescent="0.2">
      <c r="B70" s="203"/>
      <c r="C70" s="84"/>
      <c r="D70" s="173"/>
      <c r="E70" s="174"/>
      <c r="F70" s="174"/>
      <c r="G70" s="175"/>
    </row>
    <row r="71" spans="2:7" ht="18.75" customHeight="1" x14ac:dyDescent="0.2">
      <c r="B71" s="203"/>
      <c r="C71" s="84"/>
      <c r="D71" s="173"/>
      <c r="E71" s="174"/>
      <c r="F71" s="174"/>
      <c r="G71" s="175"/>
    </row>
    <row r="72" spans="2:7" ht="18.75" customHeight="1" x14ac:dyDescent="0.2">
      <c r="B72" s="203"/>
      <c r="C72" s="84"/>
      <c r="D72" s="173"/>
      <c r="E72" s="174"/>
      <c r="F72" s="174"/>
      <c r="G72" s="175"/>
    </row>
    <row r="73" spans="2:7" ht="18.75" customHeight="1" x14ac:dyDescent="0.2">
      <c r="B73" s="203"/>
      <c r="C73" s="84"/>
      <c r="D73" s="173"/>
      <c r="E73" s="174"/>
      <c r="F73" s="174"/>
      <c r="G73" s="175"/>
    </row>
    <row r="74" spans="2:7" ht="18.75" customHeight="1" x14ac:dyDescent="0.2">
      <c r="B74" s="203"/>
      <c r="C74" s="84"/>
      <c r="D74" s="173"/>
      <c r="E74" s="174"/>
      <c r="F74" s="174"/>
      <c r="G74" s="175"/>
    </row>
    <row r="75" spans="2:7" ht="18.75" customHeight="1" x14ac:dyDescent="0.2">
      <c r="B75" s="203"/>
      <c r="C75" s="84"/>
      <c r="D75" s="173"/>
      <c r="E75" s="174"/>
      <c r="F75" s="174"/>
      <c r="G75" s="175"/>
    </row>
    <row r="76" spans="2:7" ht="18.75" customHeight="1" x14ac:dyDescent="0.2">
      <c r="B76" s="202" t="s">
        <v>104</v>
      </c>
      <c r="C76" s="179" t="s">
        <v>99</v>
      </c>
      <c r="D76" s="180"/>
      <c r="E76" s="180"/>
      <c r="F76" s="180"/>
      <c r="G76" s="181"/>
    </row>
    <row r="77" spans="2:7" ht="37.5" customHeight="1" x14ac:dyDescent="0.2">
      <c r="B77" s="203"/>
      <c r="C77" s="206" t="s">
        <v>139</v>
      </c>
      <c r="D77" s="207"/>
      <c r="E77" s="207"/>
      <c r="F77" s="207"/>
      <c r="G77" s="208"/>
    </row>
    <row r="78" spans="2:7" ht="37.5" customHeight="1" x14ac:dyDescent="0.2">
      <c r="B78" s="203"/>
      <c r="C78" s="209"/>
      <c r="D78" s="210"/>
      <c r="E78" s="210"/>
      <c r="F78" s="210"/>
      <c r="G78" s="211"/>
    </row>
    <row r="79" spans="2:7" ht="37.5" customHeight="1" x14ac:dyDescent="0.2">
      <c r="B79" s="203"/>
      <c r="C79" s="209"/>
      <c r="D79" s="210"/>
      <c r="E79" s="210"/>
      <c r="F79" s="210"/>
      <c r="G79" s="211"/>
    </row>
    <row r="80" spans="2:7" ht="37.5" customHeight="1" x14ac:dyDescent="0.2">
      <c r="B80" s="203"/>
      <c r="C80" s="209"/>
      <c r="D80" s="210"/>
      <c r="E80" s="210"/>
      <c r="F80" s="210"/>
      <c r="G80" s="211"/>
    </row>
    <row r="81" spans="2:7" ht="37.5" customHeight="1" x14ac:dyDescent="0.2">
      <c r="B81" s="203"/>
      <c r="C81" s="212"/>
      <c r="D81" s="213"/>
      <c r="E81" s="213"/>
      <c r="F81" s="213"/>
      <c r="G81" s="214"/>
    </row>
    <row r="82" spans="2:7" ht="18.75" customHeight="1" x14ac:dyDescent="0.2">
      <c r="B82" s="203"/>
      <c r="C82" s="85" t="s">
        <v>100</v>
      </c>
      <c r="D82" s="179" t="s">
        <v>101</v>
      </c>
      <c r="E82" s="180"/>
      <c r="F82" s="180"/>
      <c r="G82" s="181"/>
    </row>
    <row r="83" spans="2:7" ht="18.75" customHeight="1" x14ac:dyDescent="0.2">
      <c r="B83" s="203"/>
      <c r="C83" s="105" t="s">
        <v>126</v>
      </c>
      <c r="D83" s="176" t="str">
        <f>D11</f>
        <v>学科ごとに実施講義回が異なるため各シラバスの後に別資料（シラバス等）でまとめて記載する。</v>
      </c>
      <c r="E83" s="177"/>
      <c r="F83" s="177"/>
      <c r="G83" s="178"/>
    </row>
    <row r="84" spans="2:7" ht="18.75" customHeight="1" x14ac:dyDescent="0.2">
      <c r="B84" s="203"/>
      <c r="C84" s="84"/>
      <c r="D84" s="173"/>
      <c r="E84" s="174"/>
      <c r="F84" s="174"/>
      <c r="G84" s="175"/>
    </row>
    <row r="85" spans="2:7" ht="18.75" customHeight="1" x14ac:dyDescent="0.2">
      <c r="B85" s="203"/>
      <c r="C85" s="84"/>
      <c r="D85" s="173"/>
      <c r="E85" s="174"/>
      <c r="F85" s="174"/>
      <c r="G85" s="175"/>
    </row>
    <row r="86" spans="2:7" ht="18.75" customHeight="1" x14ac:dyDescent="0.2">
      <c r="B86" s="203"/>
      <c r="C86" s="84"/>
      <c r="D86" s="173"/>
      <c r="E86" s="174"/>
      <c r="F86" s="174"/>
      <c r="G86" s="175"/>
    </row>
    <row r="87" spans="2:7" ht="18.75" customHeight="1" x14ac:dyDescent="0.2">
      <c r="B87" s="203"/>
      <c r="C87" s="84"/>
      <c r="D87" s="173"/>
      <c r="E87" s="174"/>
      <c r="F87" s="174"/>
      <c r="G87" s="175"/>
    </row>
    <row r="88" spans="2:7" ht="18.75" customHeight="1" x14ac:dyDescent="0.2">
      <c r="B88" s="203"/>
      <c r="C88" s="84"/>
      <c r="D88" s="173"/>
      <c r="E88" s="174"/>
      <c r="F88" s="174"/>
      <c r="G88" s="175"/>
    </row>
    <row r="89" spans="2:7" ht="18.75" customHeight="1" x14ac:dyDescent="0.2">
      <c r="B89" s="203"/>
      <c r="C89" s="84"/>
      <c r="D89" s="173"/>
      <c r="E89" s="174"/>
      <c r="F89" s="174"/>
      <c r="G89" s="175"/>
    </row>
    <row r="90" spans="2:7" ht="18.75" customHeight="1" x14ac:dyDescent="0.2">
      <c r="B90" s="203"/>
      <c r="C90" s="84"/>
      <c r="D90" s="173"/>
      <c r="E90" s="174"/>
      <c r="F90" s="174"/>
      <c r="G90" s="175"/>
    </row>
    <row r="91" spans="2:7" ht="18.75" customHeight="1" x14ac:dyDescent="0.2">
      <c r="B91" s="203"/>
      <c r="C91" s="84"/>
      <c r="D91" s="173"/>
      <c r="E91" s="174"/>
      <c r="F91" s="174"/>
      <c r="G91" s="175"/>
    </row>
    <row r="92" spans="2:7" ht="18.75" customHeight="1" x14ac:dyDescent="0.2">
      <c r="B92" s="203"/>
      <c r="C92" s="84"/>
      <c r="D92" s="173"/>
      <c r="E92" s="174"/>
      <c r="F92" s="174"/>
      <c r="G92" s="175"/>
    </row>
    <row r="93" spans="2:7" ht="18.75" customHeight="1" x14ac:dyDescent="0.2">
      <c r="B93" s="203"/>
      <c r="C93" s="84"/>
      <c r="D93" s="173"/>
      <c r="E93" s="174"/>
      <c r="F93" s="174"/>
      <c r="G93" s="175"/>
    </row>
    <row r="94" spans="2:7" ht="18.75" customHeight="1" x14ac:dyDescent="0.2">
      <c r="B94" s="203"/>
      <c r="C94" s="84"/>
      <c r="D94" s="173"/>
      <c r="E94" s="174"/>
      <c r="F94" s="174"/>
      <c r="G94" s="175"/>
    </row>
    <row r="95" spans="2:7" ht="18.75" customHeight="1" x14ac:dyDescent="0.2">
      <c r="B95" s="203"/>
      <c r="C95" s="84"/>
      <c r="D95" s="173"/>
      <c r="E95" s="174"/>
      <c r="F95" s="174"/>
      <c r="G95" s="175"/>
    </row>
    <row r="96" spans="2:7" ht="18.75" customHeight="1" x14ac:dyDescent="0.2">
      <c r="B96" s="203"/>
      <c r="C96" s="84"/>
      <c r="D96" s="173"/>
      <c r="E96" s="174"/>
      <c r="F96" s="174"/>
      <c r="G96" s="175"/>
    </row>
    <row r="97" spans="2:7" ht="18.75" customHeight="1" x14ac:dyDescent="0.2">
      <c r="B97" s="203"/>
      <c r="C97" s="84"/>
      <c r="D97" s="173"/>
      <c r="E97" s="174"/>
      <c r="F97" s="174"/>
      <c r="G97" s="175"/>
    </row>
    <row r="98" spans="2:7" ht="18.75" customHeight="1" x14ac:dyDescent="0.2">
      <c r="B98" s="203"/>
      <c r="C98" s="84"/>
      <c r="D98" s="173"/>
      <c r="E98" s="174"/>
      <c r="F98" s="174"/>
      <c r="G98" s="175"/>
    </row>
    <row r="99" spans="2:7" ht="18.75" customHeight="1" x14ac:dyDescent="0.2">
      <c r="B99" s="203"/>
      <c r="C99" s="84"/>
      <c r="D99" s="173"/>
      <c r="E99" s="174"/>
      <c r="F99" s="174"/>
      <c r="G99" s="175"/>
    </row>
    <row r="100" spans="2:7" ht="18.75" customHeight="1" x14ac:dyDescent="0.2">
      <c r="B100" s="203"/>
      <c r="C100" s="84"/>
      <c r="D100" s="173"/>
      <c r="E100" s="174"/>
      <c r="F100" s="174"/>
      <c r="G100" s="175"/>
    </row>
    <row r="101" spans="2:7" ht="18.75" customHeight="1" x14ac:dyDescent="0.2">
      <c r="B101" s="202" t="s">
        <v>106</v>
      </c>
      <c r="C101" s="179" t="s">
        <v>99</v>
      </c>
      <c r="D101" s="180"/>
      <c r="E101" s="180"/>
      <c r="F101" s="180"/>
      <c r="G101" s="181"/>
    </row>
    <row r="102" spans="2:7" ht="37.5" customHeight="1" x14ac:dyDescent="0.2">
      <c r="B102" s="203"/>
      <c r="C102" s="206" t="s">
        <v>168</v>
      </c>
      <c r="D102" s="207"/>
      <c r="E102" s="207"/>
      <c r="F102" s="207"/>
      <c r="G102" s="208"/>
    </row>
    <row r="103" spans="2:7" ht="37.5" customHeight="1" x14ac:dyDescent="0.2">
      <c r="B103" s="203"/>
      <c r="C103" s="209"/>
      <c r="D103" s="210"/>
      <c r="E103" s="210"/>
      <c r="F103" s="210"/>
      <c r="G103" s="211"/>
    </row>
    <row r="104" spans="2:7" ht="37.5" customHeight="1" x14ac:dyDescent="0.2">
      <c r="B104" s="203"/>
      <c r="C104" s="209"/>
      <c r="D104" s="210"/>
      <c r="E104" s="210"/>
      <c r="F104" s="210"/>
      <c r="G104" s="211"/>
    </row>
    <row r="105" spans="2:7" ht="37.5" customHeight="1" x14ac:dyDescent="0.2">
      <c r="B105" s="203"/>
      <c r="C105" s="209"/>
      <c r="D105" s="210"/>
      <c r="E105" s="210"/>
      <c r="F105" s="210"/>
      <c r="G105" s="211"/>
    </row>
    <row r="106" spans="2:7" ht="37.5" customHeight="1" x14ac:dyDescent="0.2">
      <c r="B106" s="203"/>
      <c r="C106" s="212"/>
      <c r="D106" s="213"/>
      <c r="E106" s="213"/>
      <c r="F106" s="213"/>
      <c r="G106" s="214"/>
    </row>
    <row r="107" spans="2:7" ht="18.75" customHeight="1" x14ac:dyDescent="0.2">
      <c r="B107" s="203"/>
      <c r="C107" s="85" t="s">
        <v>100</v>
      </c>
      <c r="D107" s="179" t="s">
        <v>101</v>
      </c>
      <c r="E107" s="180"/>
      <c r="F107" s="180"/>
      <c r="G107" s="181"/>
    </row>
    <row r="108" spans="2:7" ht="18.75" customHeight="1" x14ac:dyDescent="0.2">
      <c r="B108" s="203"/>
      <c r="C108" s="105" t="s">
        <v>126</v>
      </c>
      <c r="D108" s="176" t="str">
        <f>D11</f>
        <v>学科ごとに実施講義回が異なるため各シラバスの後に別資料（シラバス等）でまとめて記載する。</v>
      </c>
      <c r="E108" s="177"/>
      <c r="F108" s="177"/>
      <c r="G108" s="178"/>
    </row>
    <row r="109" spans="2:7" ht="18.75" customHeight="1" x14ac:dyDescent="0.2">
      <c r="B109" s="203"/>
      <c r="C109" s="84"/>
      <c r="D109" s="173"/>
      <c r="E109" s="174"/>
      <c r="F109" s="174"/>
      <c r="G109" s="175"/>
    </row>
    <row r="110" spans="2:7" ht="18.75" customHeight="1" x14ac:dyDescent="0.2">
      <c r="B110" s="203"/>
      <c r="C110" s="84"/>
      <c r="D110" s="173"/>
      <c r="E110" s="174"/>
      <c r="F110" s="174"/>
      <c r="G110" s="175"/>
    </row>
    <row r="111" spans="2:7" ht="18.75" customHeight="1" x14ac:dyDescent="0.2">
      <c r="B111" s="203"/>
      <c r="C111" s="84"/>
      <c r="D111" s="173"/>
      <c r="E111" s="174"/>
      <c r="F111" s="174"/>
      <c r="G111" s="175"/>
    </row>
    <row r="112" spans="2:7" ht="18.75" customHeight="1" x14ac:dyDescent="0.2">
      <c r="B112" s="203"/>
      <c r="C112" s="84"/>
      <c r="D112" s="173"/>
      <c r="E112" s="174"/>
      <c r="F112" s="174"/>
      <c r="G112" s="175"/>
    </row>
    <row r="113" spans="1:7" ht="18.75" customHeight="1" x14ac:dyDescent="0.2">
      <c r="B113" s="203"/>
      <c r="C113" s="84"/>
      <c r="D113" s="173"/>
      <c r="E113" s="174"/>
      <c r="F113" s="174"/>
      <c r="G113" s="175"/>
    </row>
    <row r="114" spans="1:7" ht="18.75" customHeight="1" x14ac:dyDescent="0.2">
      <c r="B114" s="203"/>
      <c r="C114" s="84"/>
      <c r="D114" s="173"/>
      <c r="E114" s="174"/>
      <c r="F114" s="174"/>
      <c r="G114" s="175"/>
    </row>
    <row r="115" spans="1:7" ht="18.75" customHeight="1" x14ac:dyDescent="0.2">
      <c r="B115" s="203"/>
      <c r="C115" s="84"/>
      <c r="D115" s="173"/>
      <c r="E115" s="174"/>
      <c r="F115" s="174"/>
      <c r="G115" s="175"/>
    </row>
    <row r="116" spans="1:7" ht="18.75" customHeight="1" x14ac:dyDescent="0.2">
      <c r="B116" s="203"/>
      <c r="C116" s="84"/>
      <c r="D116" s="173"/>
      <c r="E116" s="174"/>
      <c r="F116" s="174"/>
      <c r="G116" s="175"/>
    </row>
    <row r="117" spans="1:7" ht="18.75" customHeight="1" x14ac:dyDescent="0.2">
      <c r="B117" s="203"/>
      <c r="C117" s="84"/>
      <c r="D117" s="173"/>
      <c r="E117" s="174"/>
      <c r="F117" s="174"/>
      <c r="G117" s="175"/>
    </row>
    <row r="118" spans="1:7" ht="18.75" customHeight="1" x14ac:dyDescent="0.2">
      <c r="B118" s="203"/>
      <c r="C118" s="84"/>
      <c r="D118" s="173"/>
      <c r="E118" s="174"/>
      <c r="F118" s="174"/>
      <c r="G118" s="175"/>
    </row>
    <row r="119" spans="1:7" ht="18.75" customHeight="1" x14ac:dyDescent="0.2">
      <c r="B119" s="203"/>
      <c r="C119" s="84"/>
      <c r="D119" s="173"/>
      <c r="E119" s="174"/>
      <c r="F119" s="174"/>
      <c r="G119" s="175"/>
    </row>
    <row r="120" spans="1:7" ht="18.75" customHeight="1" x14ac:dyDescent="0.2">
      <c r="B120" s="203"/>
      <c r="C120" s="84"/>
      <c r="D120" s="173"/>
      <c r="E120" s="174"/>
      <c r="F120" s="174"/>
      <c r="G120" s="175"/>
    </row>
    <row r="121" spans="1:7" ht="18.75" customHeight="1" x14ac:dyDescent="0.2">
      <c r="B121" s="203"/>
      <c r="C121" s="84"/>
      <c r="D121" s="173"/>
      <c r="E121" s="174"/>
      <c r="F121" s="174"/>
      <c r="G121" s="175"/>
    </row>
    <row r="122" spans="1:7" ht="18.75" customHeight="1" x14ac:dyDescent="0.2">
      <c r="B122" s="203"/>
      <c r="C122" s="84"/>
      <c r="D122" s="173"/>
      <c r="E122" s="174"/>
      <c r="F122" s="174"/>
      <c r="G122" s="175"/>
    </row>
    <row r="123" spans="1:7" ht="18.75" customHeight="1" x14ac:dyDescent="0.2">
      <c r="B123" s="203"/>
      <c r="C123" s="84"/>
      <c r="D123" s="173"/>
      <c r="E123" s="174"/>
      <c r="F123" s="174"/>
      <c r="G123" s="175"/>
    </row>
    <row r="124" spans="1:7" ht="18.75" customHeight="1" x14ac:dyDescent="0.2">
      <c r="B124" s="203"/>
      <c r="C124" s="84"/>
      <c r="D124" s="173"/>
      <c r="E124" s="174"/>
      <c r="F124" s="174"/>
      <c r="G124" s="175"/>
    </row>
    <row r="125" spans="1:7" ht="18.75" customHeight="1" x14ac:dyDescent="0.2">
      <c r="B125" s="203"/>
      <c r="C125" s="84"/>
      <c r="D125" s="173"/>
      <c r="E125" s="174"/>
      <c r="F125" s="174"/>
      <c r="G125" s="175"/>
    </row>
    <row r="126" spans="1:7" ht="18.75" customHeight="1" x14ac:dyDescent="0.2">
      <c r="A126" s="23" t="s">
        <v>12</v>
      </c>
      <c r="B126" s="23" t="s">
        <v>97</v>
      </c>
    </row>
    <row r="127" spans="1:7" ht="22.5" customHeight="1" x14ac:dyDescent="0.2">
      <c r="B127" s="84" t="s">
        <v>67</v>
      </c>
      <c r="C127" s="179" t="s">
        <v>96</v>
      </c>
      <c r="D127" s="180"/>
      <c r="E127" s="180"/>
      <c r="F127" s="180"/>
      <c r="G127" s="181"/>
    </row>
    <row r="128" spans="1:7" ht="45" customHeight="1" x14ac:dyDescent="0.2">
      <c r="B128" s="87" t="s">
        <v>69</v>
      </c>
      <c r="C128" s="117" t="s">
        <v>126</v>
      </c>
      <c r="D128" s="118"/>
      <c r="E128" s="118"/>
      <c r="F128" s="118"/>
      <c r="G128" s="119"/>
    </row>
    <row r="129" spans="1:7" ht="45" customHeight="1" x14ac:dyDescent="0.2">
      <c r="B129" s="87" t="s">
        <v>70</v>
      </c>
      <c r="C129" s="134"/>
      <c r="D129" s="135"/>
      <c r="E129" s="135"/>
      <c r="F129" s="135"/>
      <c r="G129" s="136"/>
    </row>
    <row r="130" spans="1:7" ht="45" customHeight="1" x14ac:dyDescent="0.2">
      <c r="B130" s="87" t="s">
        <v>71</v>
      </c>
      <c r="C130" s="134"/>
      <c r="D130" s="135"/>
      <c r="E130" s="135"/>
      <c r="F130" s="135"/>
      <c r="G130" s="136"/>
    </row>
    <row r="131" spans="1:7" ht="45" customHeight="1" x14ac:dyDescent="0.2">
      <c r="B131" s="87" t="s">
        <v>72</v>
      </c>
      <c r="C131" s="134"/>
      <c r="D131" s="135"/>
      <c r="E131" s="135"/>
      <c r="F131" s="135"/>
      <c r="G131" s="136"/>
    </row>
    <row r="132" spans="1:7" ht="45" customHeight="1" x14ac:dyDescent="0.2">
      <c r="B132" s="87" t="s">
        <v>73</v>
      </c>
      <c r="C132" s="134"/>
      <c r="D132" s="135"/>
      <c r="E132" s="135"/>
      <c r="F132" s="135"/>
      <c r="G132" s="136"/>
    </row>
    <row r="133" spans="1:7" ht="45" customHeight="1" x14ac:dyDescent="0.2">
      <c r="B133" s="87" t="s">
        <v>74</v>
      </c>
      <c r="C133" s="134"/>
      <c r="D133" s="135"/>
      <c r="E133" s="135"/>
      <c r="F133" s="135"/>
      <c r="G133" s="136"/>
    </row>
    <row r="134" spans="1:7" ht="45" customHeight="1" x14ac:dyDescent="0.2">
      <c r="B134" s="87" t="s">
        <v>75</v>
      </c>
      <c r="C134" s="117" t="s">
        <v>126</v>
      </c>
      <c r="D134" s="118"/>
      <c r="E134" s="118"/>
      <c r="F134" s="118"/>
      <c r="G134" s="119"/>
    </row>
    <row r="135" spans="1:7" ht="45" customHeight="1" x14ac:dyDescent="0.2">
      <c r="B135" s="87" t="s">
        <v>76</v>
      </c>
      <c r="C135" s="134"/>
      <c r="D135" s="135"/>
      <c r="E135" s="135"/>
      <c r="F135" s="135"/>
      <c r="G135" s="136"/>
    </row>
    <row r="136" spans="1:7" ht="45" customHeight="1" x14ac:dyDescent="0.2">
      <c r="B136" s="87" t="s">
        <v>77</v>
      </c>
      <c r="C136" s="134"/>
      <c r="D136" s="135"/>
      <c r="E136" s="135"/>
      <c r="F136" s="135"/>
      <c r="G136" s="136"/>
    </row>
    <row r="137" spans="1:7" ht="7.5" customHeight="1" x14ac:dyDescent="0.2"/>
    <row r="138" spans="1:7" ht="18.75" customHeight="1" x14ac:dyDescent="0.2">
      <c r="A138" s="23" t="s">
        <v>90</v>
      </c>
      <c r="B138" s="23" t="s">
        <v>91</v>
      </c>
      <c r="E138" s="128" t="s">
        <v>182</v>
      </c>
      <c r="F138" s="200"/>
      <c r="G138" s="201"/>
    </row>
    <row r="139" spans="1:7" ht="7.5" customHeight="1" x14ac:dyDescent="0.2"/>
    <row r="140" spans="1:7" ht="18.75" customHeight="1" x14ac:dyDescent="0.2">
      <c r="A140" s="23" t="s">
        <v>92</v>
      </c>
      <c r="B140" s="23" t="s">
        <v>93</v>
      </c>
    </row>
    <row r="141" spans="1:7" ht="18.75" customHeight="1" x14ac:dyDescent="0.2">
      <c r="B141" s="191" t="s">
        <v>153</v>
      </c>
      <c r="C141" s="192"/>
      <c r="D141" s="192"/>
      <c r="E141" s="192"/>
      <c r="F141" s="192"/>
      <c r="G141" s="193"/>
    </row>
    <row r="142" spans="1:7" ht="18.75" customHeight="1" x14ac:dyDescent="0.2">
      <c r="B142" s="194"/>
      <c r="C142" s="195"/>
      <c r="D142" s="195"/>
      <c r="E142" s="195"/>
      <c r="F142" s="195"/>
      <c r="G142" s="196"/>
    </row>
    <row r="143" spans="1:7" ht="18.75" customHeight="1" x14ac:dyDescent="0.2">
      <c r="B143" s="194"/>
      <c r="C143" s="195"/>
      <c r="D143" s="195"/>
      <c r="E143" s="195"/>
      <c r="F143" s="195"/>
      <c r="G143" s="196"/>
    </row>
    <row r="144" spans="1:7" ht="18.75" customHeight="1" x14ac:dyDescent="0.2">
      <c r="B144" s="197"/>
      <c r="C144" s="198"/>
      <c r="D144" s="198"/>
      <c r="E144" s="198"/>
      <c r="F144" s="198"/>
      <c r="G144" s="199"/>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7DA9-B49D-42F7-B0B4-4E114278352F}">
  <dimension ref="A1:E148"/>
  <sheetViews>
    <sheetView showZeros="0" zoomScaleNormal="100" workbookViewId="0"/>
  </sheetViews>
  <sheetFormatPr defaultColWidth="11.33203125" defaultRowHeight="18.75" customHeight="1" x14ac:dyDescent="0.2"/>
  <cols>
    <col min="1" max="1" width="2.77734375" style="2" customWidth="1"/>
    <col min="2" max="2" width="54.21875" style="1" customWidth="1"/>
    <col min="3" max="3" width="1.21875" style="1" customWidth="1"/>
    <col min="4" max="4" width="22.44140625" style="1" customWidth="1"/>
    <col min="5" max="5" width="6.21875" style="1" customWidth="1"/>
    <col min="6" max="16384" width="11.33203125" style="1"/>
  </cols>
  <sheetData>
    <row r="1" spans="1:5" ht="18.75" customHeight="1" x14ac:dyDescent="0.2">
      <c r="E1" s="93" t="s">
        <v>98</v>
      </c>
    </row>
    <row r="2" spans="1:5" ht="18.75" customHeight="1" x14ac:dyDescent="0.2">
      <c r="B2" s="93" t="s">
        <v>81</v>
      </c>
      <c r="C2" s="93" t="s">
        <v>8</v>
      </c>
      <c r="D2" s="230" t="s">
        <v>149</v>
      </c>
      <c r="E2" s="230"/>
    </row>
    <row r="3" spans="1:5" ht="7.5" customHeight="1" x14ac:dyDescent="0.2">
      <c r="B3" s="93"/>
      <c r="C3" s="93"/>
      <c r="D3" s="95"/>
      <c r="E3" s="95"/>
    </row>
    <row r="4" spans="1:5" ht="18.75" customHeight="1" x14ac:dyDescent="0.2">
      <c r="B4" s="159" t="s">
        <v>78</v>
      </c>
      <c r="C4" s="159"/>
      <c r="D4" s="159"/>
      <c r="E4" s="159"/>
    </row>
    <row r="5" spans="1:5" ht="7.5" customHeight="1" x14ac:dyDescent="0.2">
      <c r="B5" s="94"/>
      <c r="C5" s="94"/>
      <c r="D5" s="94"/>
      <c r="E5" s="94"/>
    </row>
    <row r="6" spans="1:5" ht="18.75" customHeight="1" x14ac:dyDescent="0.2">
      <c r="A6" s="14" t="s">
        <v>7</v>
      </c>
      <c r="B6" s="5" t="s">
        <v>89</v>
      </c>
      <c r="C6" s="94"/>
      <c r="D6" s="94"/>
      <c r="E6" s="94"/>
    </row>
    <row r="7" spans="1:5" ht="18.75" customHeight="1" x14ac:dyDescent="0.2">
      <c r="A7" s="14"/>
      <c r="B7" s="117" t="s">
        <v>178</v>
      </c>
      <c r="C7" s="118"/>
      <c r="D7" s="118"/>
      <c r="E7" s="119"/>
    </row>
    <row r="8" spans="1:5" ht="7.5" customHeight="1" x14ac:dyDescent="0.2">
      <c r="B8" s="94"/>
      <c r="C8" s="94"/>
      <c r="D8" s="94"/>
      <c r="E8" s="94"/>
    </row>
    <row r="9" spans="1:5" s="5" customFormat="1" ht="18.75" customHeight="1" x14ac:dyDescent="0.2">
      <c r="A9" s="14" t="s">
        <v>12</v>
      </c>
      <c r="B9" s="14" t="s">
        <v>43</v>
      </c>
      <c r="C9" s="14"/>
      <c r="D9" s="14"/>
      <c r="E9" s="14"/>
    </row>
    <row r="10" spans="1:5" s="10" customFormat="1" ht="18.75" customHeight="1" x14ac:dyDescent="0.2">
      <c r="A10" s="9"/>
      <c r="B10" s="231" t="s">
        <v>155</v>
      </c>
      <c r="C10" s="221"/>
      <c r="D10" s="221"/>
      <c r="E10" s="222"/>
    </row>
    <row r="11" spans="1:5" s="10" customFormat="1" ht="18.75" customHeight="1" x14ac:dyDescent="0.2">
      <c r="A11" s="9"/>
      <c r="B11" s="223"/>
      <c r="C11" s="224"/>
      <c r="D11" s="224"/>
      <c r="E11" s="225"/>
    </row>
    <row r="12" spans="1:5" s="10" customFormat="1" ht="18.75" customHeight="1" x14ac:dyDescent="0.2">
      <c r="A12" s="9"/>
      <c r="B12" s="223"/>
      <c r="C12" s="224"/>
      <c r="D12" s="224"/>
      <c r="E12" s="225"/>
    </row>
    <row r="13" spans="1:5" s="10" customFormat="1" ht="18.75" customHeight="1" x14ac:dyDescent="0.2">
      <c r="A13" s="9"/>
      <c r="B13" s="223"/>
      <c r="C13" s="224"/>
      <c r="D13" s="224"/>
      <c r="E13" s="225"/>
    </row>
    <row r="14" spans="1:5" s="10" customFormat="1" ht="18.75" customHeight="1" x14ac:dyDescent="0.2">
      <c r="A14" s="9"/>
      <c r="B14" s="226"/>
      <c r="C14" s="227"/>
      <c r="D14" s="227"/>
      <c r="E14" s="228"/>
    </row>
    <row r="15" spans="1:5" s="10" customFormat="1" ht="7.5" customHeight="1" x14ac:dyDescent="0.2">
      <c r="A15" s="9"/>
      <c r="B15" s="9"/>
      <c r="C15" s="9"/>
      <c r="D15" s="9"/>
      <c r="E15" s="9"/>
    </row>
    <row r="16" spans="1:5" s="5" customFormat="1" ht="18.75" customHeight="1" x14ac:dyDescent="0.2">
      <c r="A16" s="11" t="s">
        <v>13</v>
      </c>
      <c r="B16" s="11" t="s">
        <v>18</v>
      </c>
      <c r="C16" s="11"/>
      <c r="D16" s="11"/>
      <c r="E16" s="11"/>
    </row>
    <row r="17" spans="1:5" s="10" customFormat="1" ht="18.75" customHeight="1" x14ac:dyDescent="0.2">
      <c r="A17" s="9"/>
      <c r="B17" s="231" t="s">
        <v>154</v>
      </c>
      <c r="C17" s="232"/>
      <c r="D17" s="232"/>
      <c r="E17" s="233"/>
    </row>
    <row r="18" spans="1:5" s="10" customFormat="1" ht="18.75" customHeight="1" x14ac:dyDescent="0.2">
      <c r="A18" s="9"/>
      <c r="B18" s="234"/>
      <c r="C18" s="235"/>
      <c r="D18" s="235"/>
      <c r="E18" s="236"/>
    </row>
    <row r="19" spans="1:5" s="10" customFormat="1" ht="18.75" customHeight="1" x14ac:dyDescent="0.2">
      <c r="A19" s="9"/>
      <c r="B19" s="234"/>
      <c r="C19" s="235"/>
      <c r="D19" s="235"/>
      <c r="E19" s="236"/>
    </row>
    <row r="20" spans="1:5" s="10" customFormat="1" ht="18.75" customHeight="1" x14ac:dyDescent="0.2">
      <c r="A20" s="9"/>
      <c r="B20" s="234"/>
      <c r="C20" s="235"/>
      <c r="D20" s="235"/>
      <c r="E20" s="236"/>
    </row>
    <row r="21" spans="1:5" s="10" customFormat="1" ht="18.75" customHeight="1" x14ac:dyDescent="0.2">
      <c r="A21" s="9"/>
      <c r="B21" s="234"/>
      <c r="C21" s="235"/>
      <c r="D21" s="235"/>
      <c r="E21" s="236"/>
    </row>
    <row r="22" spans="1:5" s="10" customFormat="1" ht="18.75" customHeight="1" x14ac:dyDescent="0.2">
      <c r="A22" s="9"/>
      <c r="B22" s="234"/>
      <c r="C22" s="235"/>
      <c r="D22" s="235"/>
      <c r="E22" s="236"/>
    </row>
    <row r="23" spans="1:5" s="10" customFormat="1" ht="18.75" customHeight="1" x14ac:dyDescent="0.2">
      <c r="A23" s="9"/>
      <c r="B23" s="234"/>
      <c r="C23" s="235"/>
      <c r="D23" s="235"/>
      <c r="E23" s="236"/>
    </row>
    <row r="24" spans="1:5" s="10" customFormat="1" ht="18.75" customHeight="1" x14ac:dyDescent="0.2">
      <c r="A24" s="9"/>
      <c r="B24" s="234"/>
      <c r="C24" s="235"/>
      <c r="D24" s="235"/>
      <c r="E24" s="236"/>
    </row>
    <row r="25" spans="1:5" s="10" customFormat="1" ht="18.75" customHeight="1" x14ac:dyDescent="0.2">
      <c r="A25" s="9"/>
      <c r="B25" s="234"/>
      <c r="C25" s="235"/>
      <c r="D25" s="235"/>
      <c r="E25" s="236"/>
    </row>
    <row r="26" spans="1:5" s="10" customFormat="1" ht="18.75" customHeight="1" x14ac:dyDescent="0.2">
      <c r="A26" s="9"/>
      <c r="B26" s="234"/>
      <c r="C26" s="235"/>
      <c r="D26" s="235"/>
      <c r="E26" s="236"/>
    </row>
    <row r="27" spans="1:5" s="10" customFormat="1" ht="18.75" customHeight="1" x14ac:dyDescent="0.2">
      <c r="A27" s="9"/>
      <c r="B27" s="234"/>
      <c r="C27" s="235"/>
      <c r="D27" s="235"/>
      <c r="E27" s="236"/>
    </row>
    <row r="28" spans="1:5" s="10" customFormat="1" ht="18.75" customHeight="1" x14ac:dyDescent="0.2">
      <c r="A28" s="9"/>
      <c r="B28" s="237"/>
      <c r="C28" s="238"/>
      <c r="D28" s="238"/>
      <c r="E28" s="239"/>
    </row>
    <row r="29" spans="1:5" ht="7.5" customHeight="1" x14ac:dyDescent="0.2">
      <c r="A29" s="8"/>
      <c r="B29" s="8"/>
      <c r="C29" s="8"/>
      <c r="D29" s="8"/>
      <c r="E29" s="8"/>
    </row>
    <row r="30" spans="1:5" s="5" customFormat="1" ht="18.75" customHeight="1" x14ac:dyDescent="0.2">
      <c r="A30" s="14" t="s">
        <v>16</v>
      </c>
      <c r="B30" s="14" t="s">
        <v>28</v>
      </c>
      <c r="C30" s="14"/>
      <c r="D30" s="14"/>
      <c r="E30" s="14"/>
    </row>
    <row r="31" spans="1:5" s="5" customFormat="1" ht="18.75" customHeight="1" x14ac:dyDescent="0.2">
      <c r="A31" s="14"/>
      <c r="B31" s="191" t="s">
        <v>180</v>
      </c>
      <c r="C31" s="221"/>
      <c r="D31" s="221"/>
      <c r="E31" s="222"/>
    </row>
    <row r="32" spans="1:5" s="5" customFormat="1" ht="18.75" customHeight="1" x14ac:dyDescent="0.2">
      <c r="A32" s="14"/>
      <c r="B32" s="223"/>
      <c r="C32" s="224"/>
      <c r="D32" s="224"/>
      <c r="E32" s="225"/>
    </row>
    <row r="33" spans="1:5" s="5" customFormat="1" ht="18.75" customHeight="1" x14ac:dyDescent="0.2">
      <c r="A33" s="14"/>
      <c r="B33" s="223"/>
      <c r="C33" s="224"/>
      <c r="D33" s="224"/>
      <c r="E33" s="225"/>
    </row>
    <row r="34" spans="1:5" s="5" customFormat="1" ht="18.75" customHeight="1" x14ac:dyDescent="0.2">
      <c r="A34" s="14"/>
      <c r="B34" s="223"/>
      <c r="C34" s="224"/>
      <c r="D34" s="224"/>
      <c r="E34" s="225"/>
    </row>
    <row r="35" spans="1:5" s="5" customFormat="1" ht="18.75" customHeight="1" x14ac:dyDescent="0.2">
      <c r="A35" s="14"/>
      <c r="B35" s="223"/>
      <c r="C35" s="224"/>
      <c r="D35" s="224"/>
      <c r="E35" s="225"/>
    </row>
    <row r="36" spans="1:5" s="5" customFormat="1" ht="18.75" customHeight="1" x14ac:dyDescent="0.2">
      <c r="A36" s="14"/>
      <c r="B36" s="223"/>
      <c r="C36" s="224"/>
      <c r="D36" s="224"/>
      <c r="E36" s="225"/>
    </row>
    <row r="37" spans="1:5" s="5" customFormat="1" ht="18.75" customHeight="1" x14ac:dyDescent="0.2">
      <c r="A37" s="14"/>
      <c r="B37" s="223"/>
      <c r="C37" s="224"/>
      <c r="D37" s="224"/>
      <c r="E37" s="225"/>
    </row>
    <row r="38" spans="1:5" s="5" customFormat="1" ht="18.75" customHeight="1" x14ac:dyDescent="0.2">
      <c r="A38" s="14"/>
      <c r="B38" s="223"/>
      <c r="C38" s="224"/>
      <c r="D38" s="224"/>
      <c r="E38" s="225"/>
    </row>
    <row r="39" spans="1:5" s="5" customFormat="1" ht="18.75" customHeight="1" x14ac:dyDescent="0.2">
      <c r="A39" s="14"/>
      <c r="B39" s="223"/>
      <c r="C39" s="224"/>
      <c r="D39" s="224"/>
      <c r="E39" s="225"/>
    </row>
    <row r="40" spans="1:5" s="5" customFormat="1" ht="18.75" customHeight="1" x14ac:dyDescent="0.2">
      <c r="A40" s="14"/>
      <c r="B40" s="223"/>
      <c r="C40" s="224"/>
      <c r="D40" s="224"/>
      <c r="E40" s="225"/>
    </row>
    <row r="41" spans="1:5" s="5" customFormat="1" ht="18.75" customHeight="1" x14ac:dyDescent="0.2">
      <c r="A41" s="14"/>
      <c r="B41" s="223"/>
      <c r="C41" s="224"/>
      <c r="D41" s="224"/>
      <c r="E41" s="225"/>
    </row>
    <row r="42" spans="1:5" s="5" customFormat="1" ht="18.75" customHeight="1" x14ac:dyDescent="0.2">
      <c r="A42" s="14"/>
      <c r="B42" s="223"/>
      <c r="C42" s="224"/>
      <c r="D42" s="224"/>
      <c r="E42" s="225"/>
    </row>
    <row r="43" spans="1:5" s="5" customFormat="1" ht="18.75" customHeight="1" x14ac:dyDescent="0.2">
      <c r="A43" s="14"/>
      <c r="B43" s="223"/>
      <c r="C43" s="224"/>
      <c r="D43" s="224"/>
      <c r="E43" s="225"/>
    </row>
    <row r="44" spans="1:5" s="5" customFormat="1" ht="18.75" customHeight="1" x14ac:dyDescent="0.2">
      <c r="A44" s="14"/>
      <c r="B44" s="223"/>
      <c r="C44" s="224"/>
      <c r="D44" s="224"/>
      <c r="E44" s="225"/>
    </row>
    <row r="45" spans="1:5" ht="18.75" customHeight="1" x14ac:dyDescent="0.2">
      <c r="A45" s="8"/>
      <c r="B45" s="223"/>
      <c r="C45" s="224"/>
      <c r="D45" s="224"/>
      <c r="E45" s="225"/>
    </row>
    <row r="46" spans="1:5" ht="18.75" customHeight="1" x14ac:dyDescent="0.2">
      <c r="A46" s="8"/>
      <c r="B46" s="226"/>
      <c r="C46" s="227"/>
      <c r="D46" s="227"/>
      <c r="E46" s="228"/>
    </row>
    <row r="47" spans="1:5" s="5" customFormat="1" ht="18.75" customHeight="1" x14ac:dyDescent="0.2">
      <c r="A47" s="7" t="s">
        <v>14</v>
      </c>
      <c r="B47" s="14" t="s">
        <v>79</v>
      </c>
      <c r="C47" s="7"/>
      <c r="D47" s="7"/>
      <c r="E47" s="7"/>
    </row>
    <row r="48" spans="1:5" ht="18.75" customHeight="1" x14ac:dyDescent="0.2">
      <c r="A48" s="8"/>
      <c r="B48" s="191" t="s">
        <v>176</v>
      </c>
      <c r="C48" s="192"/>
      <c r="D48" s="192"/>
      <c r="E48" s="193"/>
    </row>
    <row r="49" spans="1:5" ht="18.75" customHeight="1" x14ac:dyDescent="0.2">
      <c r="A49" s="8"/>
      <c r="B49" s="194"/>
      <c r="C49" s="195"/>
      <c r="D49" s="195"/>
      <c r="E49" s="196"/>
    </row>
    <row r="50" spans="1:5" ht="18.75" customHeight="1" x14ac:dyDescent="0.2">
      <c r="A50" s="8"/>
      <c r="B50" s="194"/>
      <c r="C50" s="195"/>
      <c r="D50" s="195"/>
      <c r="E50" s="196"/>
    </row>
    <row r="51" spans="1:5" ht="18.75" customHeight="1" x14ac:dyDescent="0.2">
      <c r="A51" s="8"/>
      <c r="B51" s="194"/>
      <c r="C51" s="195"/>
      <c r="D51" s="195"/>
      <c r="E51" s="196"/>
    </row>
    <row r="52" spans="1:5" ht="18.75" customHeight="1" x14ac:dyDescent="0.2">
      <c r="A52" s="8"/>
      <c r="B52" s="194"/>
      <c r="C52" s="195"/>
      <c r="D52" s="195"/>
      <c r="E52" s="196"/>
    </row>
    <row r="53" spans="1:5" ht="18.75" customHeight="1" x14ac:dyDescent="0.2">
      <c r="A53" s="8"/>
      <c r="B53" s="194"/>
      <c r="C53" s="195"/>
      <c r="D53" s="195"/>
      <c r="E53" s="196"/>
    </row>
    <row r="54" spans="1:5" ht="18.75" customHeight="1" x14ac:dyDescent="0.2">
      <c r="A54" s="8"/>
      <c r="B54" s="194"/>
      <c r="C54" s="195"/>
      <c r="D54" s="195"/>
      <c r="E54" s="196"/>
    </row>
    <row r="55" spans="1:5" ht="18.75" customHeight="1" x14ac:dyDescent="0.2">
      <c r="A55" s="8"/>
      <c r="B55" s="194"/>
      <c r="C55" s="195"/>
      <c r="D55" s="195"/>
      <c r="E55" s="196"/>
    </row>
    <row r="56" spans="1:5" ht="18.75" customHeight="1" x14ac:dyDescent="0.2">
      <c r="A56" s="8"/>
      <c r="B56" s="194"/>
      <c r="C56" s="195"/>
      <c r="D56" s="195"/>
      <c r="E56" s="196"/>
    </row>
    <row r="57" spans="1:5" ht="18.75" customHeight="1" x14ac:dyDescent="0.2">
      <c r="A57" s="8"/>
      <c r="B57" s="194"/>
      <c r="C57" s="195"/>
      <c r="D57" s="195"/>
      <c r="E57" s="196"/>
    </row>
    <row r="58" spans="1:5" ht="18.75" customHeight="1" x14ac:dyDescent="0.2">
      <c r="A58" s="8"/>
      <c r="B58" s="194"/>
      <c r="C58" s="195"/>
      <c r="D58" s="195"/>
      <c r="E58" s="196"/>
    </row>
    <row r="59" spans="1:5" ht="18.75" customHeight="1" x14ac:dyDescent="0.2">
      <c r="A59" s="8"/>
      <c r="B59" s="194"/>
      <c r="C59" s="195"/>
      <c r="D59" s="195"/>
      <c r="E59" s="196"/>
    </row>
    <row r="60" spans="1:5" ht="18.75" customHeight="1" x14ac:dyDescent="0.2">
      <c r="A60" s="8"/>
      <c r="B60" s="194"/>
      <c r="C60" s="195"/>
      <c r="D60" s="195"/>
      <c r="E60" s="196"/>
    </row>
    <row r="61" spans="1:5" ht="18.75" customHeight="1" x14ac:dyDescent="0.2">
      <c r="A61" s="8"/>
      <c r="B61" s="194"/>
      <c r="C61" s="195"/>
      <c r="D61" s="195"/>
      <c r="E61" s="196"/>
    </row>
    <row r="62" spans="1:5" ht="18.75" customHeight="1" x14ac:dyDescent="0.2">
      <c r="A62" s="8"/>
      <c r="B62" s="194"/>
      <c r="C62" s="195"/>
      <c r="D62" s="195"/>
      <c r="E62" s="196"/>
    </row>
    <row r="63" spans="1:5" ht="18.75" customHeight="1" x14ac:dyDescent="0.2">
      <c r="A63" s="8"/>
      <c r="B63" s="194"/>
      <c r="C63" s="195"/>
      <c r="D63" s="195"/>
      <c r="E63" s="196"/>
    </row>
    <row r="64" spans="1:5" ht="18.75" customHeight="1" x14ac:dyDescent="0.2">
      <c r="A64" s="8"/>
      <c r="B64" s="194"/>
      <c r="C64" s="195"/>
      <c r="D64" s="195"/>
      <c r="E64" s="196"/>
    </row>
    <row r="65" spans="1:5" ht="18.75" customHeight="1" x14ac:dyDescent="0.2">
      <c r="A65" s="8"/>
      <c r="B65" s="194"/>
      <c r="C65" s="195"/>
      <c r="D65" s="195"/>
      <c r="E65" s="196"/>
    </row>
    <row r="66" spans="1:5" ht="18.75" customHeight="1" x14ac:dyDescent="0.2">
      <c r="A66" s="8"/>
      <c r="B66" s="194"/>
      <c r="C66" s="195"/>
      <c r="D66" s="195"/>
      <c r="E66" s="196"/>
    </row>
    <row r="67" spans="1:5" ht="18.75" customHeight="1" x14ac:dyDescent="0.2">
      <c r="A67" s="8"/>
      <c r="B67" s="194"/>
      <c r="C67" s="195"/>
      <c r="D67" s="195"/>
      <c r="E67" s="196"/>
    </row>
    <row r="68" spans="1:5" ht="18.75" customHeight="1" x14ac:dyDescent="0.2">
      <c r="A68" s="8"/>
      <c r="B68" s="197"/>
      <c r="C68" s="198"/>
      <c r="D68" s="198"/>
      <c r="E68" s="199"/>
    </row>
    <row r="69" spans="1:5" ht="7.5" customHeight="1" x14ac:dyDescent="0.2">
      <c r="A69" s="8"/>
      <c r="B69" s="8"/>
      <c r="C69" s="8"/>
      <c r="D69" s="8"/>
      <c r="E69" s="8"/>
    </row>
    <row r="70" spans="1:5" s="5" customFormat="1" ht="18.75" customHeight="1" x14ac:dyDescent="0.2">
      <c r="A70" s="14" t="s">
        <v>17</v>
      </c>
      <c r="B70" s="14" t="s">
        <v>88</v>
      </c>
      <c r="C70" s="14"/>
      <c r="D70" s="14"/>
      <c r="E70" s="14"/>
    </row>
    <row r="71" spans="1:5" s="5" customFormat="1" ht="18.75" customHeight="1" x14ac:dyDescent="0.2">
      <c r="A71" s="14"/>
      <c r="B71" s="191" t="s">
        <v>176</v>
      </c>
      <c r="C71" s="221"/>
      <c r="D71" s="221"/>
      <c r="E71" s="222"/>
    </row>
    <row r="72" spans="1:5" s="5" customFormat="1" ht="18.75" customHeight="1" x14ac:dyDescent="0.2">
      <c r="A72" s="14"/>
      <c r="B72" s="223"/>
      <c r="C72" s="224"/>
      <c r="D72" s="224"/>
      <c r="E72" s="225"/>
    </row>
    <row r="73" spans="1:5" s="5" customFormat="1" ht="18.75" customHeight="1" x14ac:dyDescent="0.2">
      <c r="A73" s="14"/>
      <c r="B73" s="223"/>
      <c r="C73" s="224"/>
      <c r="D73" s="224"/>
      <c r="E73" s="225"/>
    </row>
    <row r="74" spans="1:5" s="5" customFormat="1" ht="18.75" customHeight="1" x14ac:dyDescent="0.2">
      <c r="A74" s="14"/>
      <c r="B74" s="223"/>
      <c r="C74" s="224"/>
      <c r="D74" s="224"/>
      <c r="E74" s="225"/>
    </row>
    <row r="75" spans="1:5" s="5" customFormat="1" ht="18.75" customHeight="1" x14ac:dyDescent="0.2">
      <c r="A75" s="14"/>
      <c r="B75" s="223"/>
      <c r="C75" s="224"/>
      <c r="D75" s="224"/>
      <c r="E75" s="225"/>
    </row>
    <row r="76" spans="1:5" s="5" customFormat="1" ht="18.75" customHeight="1" x14ac:dyDescent="0.2">
      <c r="A76" s="14"/>
      <c r="B76" s="223"/>
      <c r="C76" s="224"/>
      <c r="D76" s="224"/>
      <c r="E76" s="225"/>
    </row>
    <row r="77" spans="1:5" s="5" customFormat="1" ht="18.75" customHeight="1" x14ac:dyDescent="0.2">
      <c r="A77" s="14"/>
      <c r="B77" s="223"/>
      <c r="C77" s="224"/>
      <c r="D77" s="224"/>
      <c r="E77" s="225"/>
    </row>
    <row r="78" spans="1:5" s="5" customFormat="1" ht="18.75" customHeight="1" x14ac:dyDescent="0.2">
      <c r="A78" s="14"/>
      <c r="B78" s="223"/>
      <c r="C78" s="224"/>
      <c r="D78" s="224"/>
      <c r="E78" s="225"/>
    </row>
    <row r="79" spans="1:5" s="5" customFormat="1" ht="18.75" customHeight="1" x14ac:dyDescent="0.2">
      <c r="A79" s="14"/>
      <c r="B79" s="223"/>
      <c r="C79" s="224"/>
      <c r="D79" s="224"/>
      <c r="E79" s="225"/>
    </row>
    <row r="80" spans="1:5" s="5" customFormat="1" ht="18.75" customHeight="1" x14ac:dyDescent="0.2">
      <c r="A80" s="14"/>
      <c r="B80" s="223"/>
      <c r="C80" s="224"/>
      <c r="D80" s="224"/>
      <c r="E80" s="225"/>
    </row>
    <row r="81" spans="1:5" s="5" customFormat="1" ht="18.75" customHeight="1" x14ac:dyDescent="0.2">
      <c r="A81" s="14"/>
      <c r="B81" s="223"/>
      <c r="C81" s="224"/>
      <c r="D81" s="224"/>
      <c r="E81" s="225"/>
    </row>
    <row r="82" spans="1:5" s="5" customFormat="1" ht="18.75" customHeight="1" x14ac:dyDescent="0.2">
      <c r="A82" s="14"/>
      <c r="B82" s="223"/>
      <c r="C82" s="224"/>
      <c r="D82" s="224"/>
      <c r="E82" s="225"/>
    </row>
    <row r="83" spans="1:5" s="5" customFormat="1" ht="18.75" customHeight="1" x14ac:dyDescent="0.2">
      <c r="A83" s="14"/>
      <c r="B83" s="223"/>
      <c r="C83" s="224"/>
      <c r="D83" s="224"/>
      <c r="E83" s="225"/>
    </row>
    <row r="84" spans="1:5" s="5" customFormat="1" ht="18.75" customHeight="1" x14ac:dyDescent="0.2">
      <c r="A84" s="14"/>
      <c r="B84" s="223"/>
      <c r="C84" s="224"/>
      <c r="D84" s="224"/>
      <c r="E84" s="225"/>
    </row>
    <row r="85" spans="1:5" s="5" customFormat="1" ht="18.75" customHeight="1" x14ac:dyDescent="0.2">
      <c r="A85" s="14"/>
      <c r="B85" s="223"/>
      <c r="C85" s="224"/>
      <c r="D85" s="224"/>
      <c r="E85" s="225"/>
    </row>
    <row r="86" spans="1:5" s="5" customFormat="1" ht="18.75" customHeight="1" x14ac:dyDescent="0.2">
      <c r="A86" s="14"/>
      <c r="B86" s="223"/>
      <c r="C86" s="224"/>
      <c r="D86" s="224"/>
      <c r="E86" s="225"/>
    </row>
    <row r="87" spans="1:5" s="5" customFormat="1" ht="18.75" customHeight="1" x14ac:dyDescent="0.2">
      <c r="A87" s="14"/>
      <c r="B87" s="223"/>
      <c r="C87" s="224"/>
      <c r="D87" s="224"/>
      <c r="E87" s="225"/>
    </row>
    <row r="88" spans="1:5" ht="18.75" customHeight="1" x14ac:dyDescent="0.2">
      <c r="A88" s="8"/>
      <c r="B88" s="223"/>
      <c r="C88" s="224"/>
      <c r="D88" s="224"/>
      <c r="E88" s="225"/>
    </row>
    <row r="89" spans="1:5" ht="18.75" customHeight="1" x14ac:dyDescent="0.2">
      <c r="A89" s="8"/>
      <c r="B89" s="226"/>
      <c r="C89" s="227"/>
      <c r="D89" s="227"/>
      <c r="E89" s="228"/>
    </row>
    <row r="90" spans="1:5" ht="7.5" customHeight="1" x14ac:dyDescent="0.2">
      <c r="A90" s="8"/>
      <c r="B90" s="8"/>
      <c r="C90" s="8"/>
      <c r="D90" s="8"/>
      <c r="E90" s="8"/>
    </row>
    <row r="91" spans="1:5" s="5" customFormat="1" ht="18.75" customHeight="1" x14ac:dyDescent="0.2">
      <c r="A91" s="14" t="s">
        <v>15</v>
      </c>
      <c r="B91" s="14" t="s">
        <v>31</v>
      </c>
      <c r="C91" s="14"/>
      <c r="D91" s="14"/>
      <c r="E91" s="14"/>
    </row>
    <row r="92" spans="1:5" s="5" customFormat="1" ht="18.75" customHeight="1" x14ac:dyDescent="0.2">
      <c r="A92" s="14"/>
      <c r="B92" s="191" t="s">
        <v>177</v>
      </c>
      <c r="C92" s="221"/>
      <c r="D92" s="221"/>
      <c r="E92" s="222"/>
    </row>
    <row r="93" spans="1:5" s="5" customFormat="1" ht="18.75" customHeight="1" x14ac:dyDescent="0.2">
      <c r="A93" s="14"/>
      <c r="B93" s="223"/>
      <c r="C93" s="224"/>
      <c r="D93" s="224"/>
      <c r="E93" s="225"/>
    </row>
    <row r="94" spans="1:5" s="5" customFormat="1" ht="18.75" customHeight="1" x14ac:dyDescent="0.2">
      <c r="A94" s="14"/>
      <c r="B94" s="223"/>
      <c r="C94" s="224"/>
      <c r="D94" s="224"/>
      <c r="E94" s="225"/>
    </row>
    <row r="95" spans="1:5" s="5" customFormat="1" ht="18.75" customHeight="1" x14ac:dyDescent="0.2">
      <c r="A95" s="14"/>
      <c r="B95" s="223"/>
      <c r="C95" s="224"/>
      <c r="D95" s="224"/>
      <c r="E95" s="225"/>
    </row>
    <row r="96" spans="1:5" s="5" customFormat="1" ht="18.75" customHeight="1" x14ac:dyDescent="0.2">
      <c r="A96" s="14"/>
      <c r="B96" s="223"/>
      <c r="C96" s="224"/>
      <c r="D96" s="224"/>
      <c r="E96" s="225"/>
    </row>
    <row r="97" spans="1:5" s="5" customFormat="1" ht="18.75" customHeight="1" x14ac:dyDescent="0.2">
      <c r="A97" s="14"/>
      <c r="B97" s="223"/>
      <c r="C97" s="224"/>
      <c r="D97" s="224"/>
      <c r="E97" s="225"/>
    </row>
    <row r="98" spans="1:5" s="5" customFormat="1" ht="18.75" customHeight="1" x14ac:dyDescent="0.2">
      <c r="A98" s="14"/>
      <c r="B98" s="223"/>
      <c r="C98" s="224"/>
      <c r="D98" s="224"/>
      <c r="E98" s="225"/>
    </row>
    <row r="99" spans="1:5" s="5" customFormat="1" ht="18.75" customHeight="1" x14ac:dyDescent="0.2">
      <c r="A99" s="14"/>
      <c r="B99" s="223"/>
      <c r="C99" s="224"/>
      <c r="D99" s="224"/>
      <c r="E99" s="225"/>
    </row>
    <row r="100" spans="1:5" s="5" customFormat="1" ht="18.75" customHeight="1" x14ac:dyDescent="0.2">
      <c r="A100" s="14"/>
      <c r="B100" s="223"/>
      <c r="C100" s="224"/>
      <c r="D100" s="224"/>
      <c r="E100" s="225"/>
    </row>
    <row r="101" spans="1:5" s="5" customFormat="1" ht="18.75" customHeight="1" x14ac:dyDescent="0.2">
      <c r="A101" s="14"/>
      <c r="B101" s="223"/>
      <c r="C101" s="224"/>
      <c r="D101" s="224"/>
      <c r="E101" s="225"/>
    </row>
    <row r="102" spans="1:5" s="5" customFormat="1" ht="18.75" customHeight="1" x14ac:dyDescent="0.2">
      <c r="A102" s="14"/>
      <c r="B102" s="223"/>
      <c r="C102" s="224"/>
      <c r="D102" s="224"/>
      <c r="E102" s="225"/>
    </row>
    <row r="103" spans="1:5" s="5" customFormat="1" ht="18.75" customHeight="1" x14ac:dyDescent="0.2">
      <c r="A103" s="14"/>
      <c r="B103" s="223"/>
      <c r="C103" s="224"/>
      <c r="D103" s="224"/>
      <c r="E103" s="225"/>
    </row>
    <row r="104" spans="1:5" s="5" customFormat="1" ht="18.75" customHeight="1" x14ac:dyDescent="0.2">
      <c r="A104" s="14"/>
      <c r="B104" s="223"/>
      <c r="C104" s="224"/>
      <c r="D104" s="224"/>
      <c r="E104" s="225"/>
    </row>
    <row r="105" spans="1:5" s="5" customFormat="1" ht="18.75" customHeight="1" x14ac:dyDescent="0.2">
      <c r="A105" s="14"/>
      <c r="B105" s="223"/>
      <c r="C105" s="224"/>
      <c r="D105" s="224"/>
      <c r="E105" s="225"/>
    </row>
    <row r="106" spans="1:5" s="5" customFormat="1" ht="18.75" customHeight="1" x14ac:dyDescent="0.2">
      <c r="A106" s="14"/>
      <c r="B106" s="223"/>
      <c r="C106" s="224"/>
      <c r="D106" s="224"/>
      <c r="E106" s="225"/>
    </row>
    <row r="107" spans="1:5" s="5" customFormat="1" ht="18.75" customHeight="1" x14ac:dyDescent="0.2">
      <c r="A107" s="14"/>
      <c r="B107" s="223"/>
      <c r="C107" s="224"/>
      <c r="D107" s="224"/>
      <c r="E107" s="225"/>
    </row>
    <row r="108" spans="1:5" s="5" customFormat="1" ht="18.75" customHeight="1" x14ac:dyDescent="0.2">
      <c r="A108" s="14"/>
      <c r="B108" s="223"/>
      <c r="C108" s="224"/>
      <c r="D108" s="224"/>
      <c r="E108" s="225"/>
    </row>
    <row r="109" spans="1:5" s="5" customFormat="1" ht="18.75" customHeight="1" x14ac:dyDescent="0.2">
      <c r="A109" s="14"/>
      <c r="B109" s="223"/>
      <c r="C109" s="224"/>
      <c r="D109" s="224"/>
      <c r="E109" s="225"/>
    </row>
    <row r="110" spans="1:5" ht="18.75" customHeight="1" x14ac:dyDescent="0.2">
      <c r="A110" s="8"/>
      <c r="B110" s="223"/>
      <c r="C110" s="224"/>
      <c r="D110" s="224"/>
      <c r="E110" s="225"/>
    </row>
    <row r="111" spans="1:5" ht="18.75" customHeight="1" x14ac:dyDescent="0.2">
      <c r="A111" s="8"/>
      <c r="B111" s="226"/>
      <c r="C111" s="227"/>
      <c r="D111" s="227"/>
      <c r="E111" s="228"/>
    </row>
    <row r="112" spans="1:5" ht="7.5" customHeight="1" x14ac:dyDescent="0.2">
      <c r="A112" s="8"/>
      <c r="B112" s="8"/>
      <c r="C112" s="8"/>
      <c r="D112" s="8"/>
      <c r="E112" s="8"/>
    </row>
    <row r="113" spans="1:5" s="5" customFormat="1" ht="18.75" customHeight="1" x14ac:dyDescent="0.2">
      <c r="A113" s="14" t="s">
        <v>57</v>
      </c>
      <c r="B113" s="229" t="s">
        <v>124</v>
      </c>
      <c r="C113" s="229"/>
      <c r="D113" s="229"/>
      <c r="E113" s="229"/>
    </row>
    <row r="114" spans="1:5" ht="18.75" customHeight="1" x14ac:dyDescent="0.2">
      <c r="A114" s="8"/>
      <c r="B114" s="191" t="s">
        <v>169</v>
      </c>
      <c r="C114" s="221"/>
      <c r="D114" s="221"/>
      <c r="E114" s="222"/>
    </row>
    <row r="115" spans="1:5" ht="18.75" customHeight="1" x14ac:dyDescent="0.2">
      <c r="A115" s="8"/>
      <c r="B115" s="223"/>
      <c r="C115" s="224"/>
      <c r="D115" s="224"/>
      <c r="E115" s="225"/>
    </row>
    <row r="116" spans="1:5" ht="18.75" customHeight="1" x14ac:dyDescent="0.2">
      <c r="A116" s="8"/>
      <c r="B116" s="223"/>
      <c r="C116" s="224"/>
      <c r="D116" s="224"/>
      <c r="E116" s="225"/>
    </row>
    <row r="117" spans="1:5" ht="18.75" customHeight="1" x14ac:dyDescent="0.2">
      <c r="A117" s="8"/>
      <c r="B117" s="223"/>
      <c r="C117" s="224"/>
      <c r="D117" s="224"/>
      <c r="E117" s="225"/>
    </row>
    <row r="118" spans="1:5" ht="18.75" customHeight="1" x14ac:dyDescent="0.2">
      <c r="A118" s="8"/>
      <c r="B118" s="223"/>
      <c r="C118" s="224"/>
      <c r="D118" s="224"/>
      <c r="E118" s="225"/>
    </row>
    <row r="119" spans="1:5" ht="18.75" customHeight="1" x14ac:dyDescent="0.2">
      <c r="A119" s="8"/>
      <c r="B119" s="223"/>
      <c r="C119" s="224"/>
      <c r="D119" s="224"/>
      <c r="E119" s="225"/>
    </row>
    <row r="120" spans="1:5" ht="18.75" customHeight="1" x14ac:dyDescent="0.2">
      <c r="A120" s="8"/>
      <c r="B120" s="223"/>
      <c r="C120" s="224"/>
      <c r="D120" s="224"/>
      <c r="E120" s="225"/>
    </row>
    <row r="121" spans="1:5" ht="18.75" customHeight="1" x14ac:dyDescent="0.2">
      <c r="A121" s="8"/>
      <c r="B121" s="223"/>
      <c r="C121" s="224"/>
      <c r="D121" s="224"/>
      <c r="E121" s="225"/>
    </row>
    <row r="122" spans="1:5" ht="18.75" customHeight="1" x14ac:dyDescent="0.2">
      <c r="A122" s="8"/>
      <c r="B122" s="223"/>
      <c r="C122" s="224"/>
      <c r="D122" s="224"/>
      <c r="E122" s="225"/>
    </row>
    <row r="123" spans="1:5" ht="18.75" customHeight="1" x14ac:dyDescent="0.2">
      <c r="A123" s="8"/>
      <c r="B123" s="223"/>
      <c r="C123" s="224"/>
      <c r="D123" s="224"/>
      <c r="E123" s="225"/>
    </row>
    <row r="124" spans="1:5" ht="18.75" customHeight="1" x14ac:dyDescent="0.2">
      <c r="A124" s="8"/>
      <c r="B124" s="223"/>
      <c r="C124" s="224"/>
      <c r="D124" s="224"/>
      <c r="E124" s="225"/>
    </row>
    <row r="125" spans="1:5" ht="18.75" customHeight="1" x14ac:dyDescent="0.2">
      <c r="A125" s="8"/>
      <c r="B125" s="223"/>
      <c r="C125" s="224"/>
      <c r="D125" s="224"/>
      <c r="E125" s="225"/>
    </row>
    <row r="126" spans="1:5" ht="18.75" customHeight="1" x14ac:dyDescent="0.2">
      <c r="A126" s="8"/>
      <c r="B126" s="223"/>
      <c r="C126" s="224"/>
      <c r="D126" s="224"/>
      <c r="E126" s="225"/>
    </row>
    <row r="127" spans="1:5" ht="18.75" customHeight="1" x14ac:dyDescent="0.2">
      <c r="A127" s="8"/>
      <c r="B127" s="223"/>
      <c r="C127" s="224"/>
      <c r="D127" s="224"/>
      <c r="E127" s="225"/>
    </row>
    <row r="128" spans="1:5" ht="18.75" customHeight="1" x14ac:dyDescent="0.2">
      <c r="A128" s="8"/>
      <c r="B128" s="223"/>
      <c r="C128" s="224"/>
      <c r="D128" s="224"/>
      <c r="E128" s="225"/>
    </row>
    <row r="129" spans="1:5" ht="18.75" customHeight="1" x14ac:dyDescent="0.2">
      <c r="A129" s="8"/>
      <c r="B129" s="223"/>
      <c r="C129" s="224"/>
      <c r="D129" s="224"/>
      <c r="E129" s="225"/>
    </row>
    <row r="130" spans="1:5" ht="18.75" customHeight="1" x14ac:dyDescent="0.2">
      <c r="A130" s="8"/>
      <c r="B130" s="223"/>
      <c r="C130" s="224"/>
      <c r="D130" s="224"/>
      <c r="E130" s="225"/>
    </row>
    <row r="131" spans="1:5" ht="18.75" customHeight="1" x14ac:dyDescent="0.2">
      <c r="A131" s="8"/>
      <c r="B131" s="223"/>
      <c r="C131" s="224"/>
      <c r="D131" s="224"/>
      <c r="E131" s="225"/>
    </row>
    <row r="132" spans="1:5" ht="18.75" customHeight="1" x14ac:dyDescent="0.2">
      <c r="A132" s="8"/>
      <c r="B132" s="223"/>
      <c r="C132" s="224"/>
      <c r="D132" s="224"/>
      <c r="E132" s="225"/>
    </row>
    <row r="133" spans="1:5" ht="18.75" customHeight="1" x14ac:dyDescent="0.2">
      <c r="A133" s="8"/>
      <c r="B133" s="226"/>
      <c r="C133" s="227"/>
      <c r="D133" s="227"/>
      <c r="E133" s="228"/>
    </row>
    <row r="134" spans="1:5" ht="7.5" customHeight="1" x14ac:dyDescent="0.2">
      <c r="A134" s="8"/>
      <c r="B134" s="12"/>
      <c r="C134" s="12"/>
      <c r="D134" s="12"/>
      <c r="E134" s="12"/>
    </row>
    <row r="135" spans="1:5" ht="18.75" customHeight="1" x14ac:dyDescent="0.2">
      <c r="A135" s="8"/>
      <c r="B135" s="8"/>
      <c r="C135" s="8"/>
      <c r="D135" s="8"/>
      <c r="E135" s="8"/>
    </row>
    <row r="136" spans="1:5" ht="18.75" customHeight="1" x14ac:dyDescent="0.2">
      <c r="A136" s="8"/>
      <c r="B136" s="8"/>
      <c r="C136" s="8"/>
      <c r="D136" s="8"/>
      <c r="E136" s="8"/>
    </row>
    <row r="137" spans="1:5" ht="18.75" customHeight="1" x14ac:dyDescent="0.2">
      <c r="A137" s="8"/>
      <c r="B137" s="8"/>
      <c r="C137" s="8"/>
      <c r="D137" s="8"/>
      <c r="E137" s="8"/>
    </row>
    <row r="138" spans="1:5" ht="18.75" customHeight="1" x14ac:dyDescent="0.2">
      <c r="A138" s="8"/>
      <c r="B138" s="8"/>
      <c r="C138" s="8"/>
      <c r="D138" s="8"/>
      <c r="E138" s="8"/>
    </row>
    <row r="139" spans="1:5" ht="18.75" customHeight="1" x14ac:dyDescent="0.2">
      <c r="A139" s="8"/>
      <c r="B139" s="8"/>
      <c r="C139" s="8"/>
      <c r="D139" s="8"/>
      <c r="E139" s="8"/>
    </row>
    <row r="140" spans="1:5" ht="18.75" customHeight="1" x14ac:dyDescent="0.2">
      <c r="A140" s="8"/>
      <c r="B140" s="8"/>
      <c r="C140" s="8"/>
      <c r="D140" s="8"/>
      <c r="E140" s="8"/>
    </row>
    <row r="141" spans="1:5" ht="18.75" customHeight="1" x14ac:dyDescent="0.2">
      <c r="A141" s="8"/>
      <c r="B141" s="8"/>
      <c r="C141" s="8"/>
      <c r="D141" s="8"/>
      <c r="E141" s="8"/>
    </row>
    <row r="142" spans="1:5" ht="18.75" customHeight="1" x14ac:dyDescent="0.2">
      <c r="A142" s="8"/>
      <c r="B142" s="8"/>
      <c r="C142" s="8"/>
      <c r="D142" s="8"/>
      <c r="E142" s="8"/>
    </row>
    <row r="143" spans="1:5" ht="18.75" customHeight="1" x14ac:dyDescent="0.2">
      <c r="A143" s="8"/>
      <c r="B143" s="8"/>
      <c r="C143" s="8"/>
      <c r="D143" s="8"/>
      <c r="E143" s="8"/>
    </row>
    <row r="144" spans="1:5" ht="18.75" customHeight="1" x14ac:dyDescent="0.2">
      <c r="A144" s="8"/>
      <c r="B144" s="8"/>
      <c r="C144" s="8"/>
      <c r="D144" s="8"/>
      <c r="E144" s="8"/>
    </row>
    <row r="145" spans="1:5" ht="18.75" customHeight="1" x14ac:dyDescent="0.2">
      <c r="A145" s="8"/>
      <c r="B145" s="8"/>
      <c r="C145" s="8"/>
      <c r="D145" s="8"/>
      <c r="E145" s="8"/>
    </row>
    <row r="146" spans="1:5" ht="18.75" customHeight="1" x14ac:dyDescent="0.2">
      <c r="A146" s="8"/>
      <c r="B146" s="8"/>
      <c r="C146" s="8"/>
      <c r="D146" s="8"/>
      <c r="E146" s="8"/>
    </row>
    <row r="147" spans="1:5" ht="14.4" x14ac:dyDescent="0.2">
      <c r="A147" s="8"/>
      <c r="B147" s="8"/>
      <c r="C147" s="8"/>
      <c r="D147" s="8"/>
      <c r="E147" s="8"/>
    </row>
    <row r="148" spans="1:5" ht="7.5" customHeight="1" x14ac:dyDescent="0.2">
      <c r="A148" s="4"/>
      <c r="B148" s="4"/>
      <c r="C148" s="4"/>
      <c r="D148" s="4"/>
      <c r="E148" s="4"/>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F927-35D0-428C-A0FF-CEAFFF9D1B87}">
  <dimension ref="A1:J28"/>
  <sheetViews>
    <sheetView showZeros="0" topLeftCell="C1" zoomScaleNormal="100" workbookViewId="0">
      <selection activeCell="C1" sqref="C1"/>
    </sheetView>
  </sheetViews>
  <sheetFormatPr defaultColWidth="11.33203125" defaultRowHeight="22.5" customHeight="1" x14ac:dyDescent="0.2"/>
  <cols>
    <col min="1" max="3" width="2.44140625" style="1" customWidth="1"/>
    <col min="4" max="4" width="22.44140625" style="1" customWidth="1"/>
    <col min="5" max="5" width="21.21875" style="1" customWidth="1"/>
    <col min="6" max="7" width="7.44140625" style="1" customWidth="1"/>
    <col min="8" max="8" width="32.44140625" style="1" customWidth="1"/>
    <col min="9" max="9" width="24.88671875" style="1" customWidth="1"/>
    <col min="10" max="10" width="6.21875" style="1" customWidth="1"/>
    <col min="11" max="11" width="4.109375" style="1" customWidth="1"/>
    <col min="12" max="16384" width="11.33203125" style="1"/>
  </cols>
  <sheetData>
    <row r="1" spans="1:10" ht="18.75" customHeight="1" x14ac:dyDescent="0.2">
      <c r="J1" s="102" t="s">
        <v>9</v>
      </c>
    </row>
    <row r="2" spans="1:10" ht="18.75" customHeight="1" x14ac:dyDescent="0.2">
      <c r="D2" s="102"/>
      <c r="H2" s="102" t="s">
        <v>29</v>
      </c>
      <c r="I2" s="230" t="s">
        <v>149</v>
      </c>
      <c r="J2" s="230"/>
    </row>
    <row r="3" spans="1:10" ht="18.75" customHeight="1" x14ac:dyDescent="0.2">
      <c r="A3" s="159" t="s">
        <v>47</v>
      </c>
      <c r="B3" s="159"/>
      <c r="C3" s="159"/>
      <c r="D3" s="159"/>
      <c r="E3" s="159"/>
      <c r="F3" s="159"/>
      <c r="G3" s="159"/>
      <c r="H3" s="159"/>
      <c r="I3" s="159"/>
      <c r="J3" s="159"/>
    </row>
    <row r="4" spans="1:10" ht="7.5" customHeight="1" x14ac:dyDescent="0.2">
      <c r="B4" s="103"/>
      <c r="C4" s="103"/>
      <c r="D4" s="256"/>
      <c r="E4" s="257"/>
      <c r="F4" s="257"/>
      <c r="G4" s="257"/>
      <c r="H4" s="257"/>
      <c r="I4" s="257"/>
      <c r="J4" s="257"/>
    </row>
    <row r="5" spans="1:10" ht="18.75" customHeight="1" x14ac:dyDescent="0.2">
      <c r="A5" s="1" t="s">
        <v>7</v>
      </c>
      <c r="B5" s="5" t="s">
        <v>45</v>
      </c>
      <c r="C5" s="103"/>
      <c r="D5" s="103"/>
      <c r="E5" s="104"/>
      <c r="F5" s="104"/>
      <c r="G5" s="104"/>
      <c r="H5" s="104"/>
      <c r="I5" s="104"/>
      <c r="J5" s="104"/>
    </row>
    <row r="6" spans="1:10" ht="18.75" customHeight="1" x14ac:dyDescent="0.2">
      <c r="B6" s="218" t="s">
        <v>42</v>
      </c>
      <c r="C6" s="219"/>
      <c r="D6" s="220"/>
      <c r="E6" s="258" t="s">
        <v>44</v>
      </c>
      <c r="F6" s="258"/>
      <c r="G6" s="258"/>
      <c r="H6" s="258"/>
      <c r="I6" s="258"/>
      <c r="J6" s="259"/>
    </row>
    <row r="7" spans="1:10" ht="18.75" customHeight="1" x14ac:dyDescent="0.2">
      <c r="B7" s="6" t="s">
        <v>32</v>
      </c>
      <c r="C7" s="8"/>
      <c r="D7" s="18"/>
      <c r="E7" s="3"/>
      <c r="F7" s="3"/>
      <c r="G7" s="3"/>
      <c r="H7" s="3"/>
      <c r="I7" s="15"/>
      <c r="J7" s="16"/>
    </row>
    <row r="8" spans="1:10" ht="202.5" customHeight="1" x14ac:dyDescent="0.2">
      <c r="B8" s="17"/>
      <c r="C8" s="248" t="s">
        <v>33</v>
      </c>
      <c r="D8" s="242"/>
      <c r="E8" s="249" t="s">
        <v>156</v>
      </c>
      <c r="F8" s="243"/>
      <c r="G8" s="243"/>
      <c r="H8" s="243"/>
      <c r="I8" s="243"/>
      <c r="J8" s="244"/>
    </row>
    <row r="9" spans="1:10" ht="202.5" customHeight="1" x14ac:dyDescent="0.2">
      <c r="B9" s="17"/>
      <c r="C9" s="254" t="s">
        <v>34</v>
      </c>
      <c r="D9" s="255"/>
      <c r="E9" s="249" t="s">
        <v>157</v>
      </c>
      <c r="F9" s="243"/>
      <c r="G9" s="243"/>
      <c r="H9" s="243"/>
      <c r="I9" s="243"/>
      <c r="J9" s="244"/>
    </row>
    <row r="10" spans="1:10" ht="172.5" customHeight="1" x14ac:dyDescent="0.2">
      <c r="B10" s="17"/>
      <c r="C10" s="248" t="s">
        <v>35</v>
      </c>
      <c r="D10" s="242"/>
      <c r="E10" s="249" t="s">
        <v>158</v>
      </c>
      <c r="F10" s="243"/>
      <c r="G10" s="243"/>
      <c r="H10" s="243"/>
      <c r="I10" s="243"/>
      <c r="J10" s="244"/>
    </row>
    <row r="11" spans="1:10" ht="172.5" customHeight="1" x14ac:dyDescent="0.2">
      <c r="B11" s="17"/>
      <c r="C11" s="248" t="s">
        <v>36</v>
      </c>
      <c r="D11" s="242"/>
      <c r="E11" s="249" t="s">
        <v>159</v>
      </c>
      <c r="F11" s="243"/>
      <c r="G11" s="243"/>
      <c r="H11" s="243"/>
      <c r="I11" s="243"/>
      <c r="J11" s="244"/>
    </row>
    <row r="12" spans="1:10" ht="172.5" customHeight="1" x14ac:dyDescent="0.2">
      <c r="B12" s="17"/>
      <c r="C12" s="248" t="s">
        <v>37</v>
      </c>
      <c r="D12" s="242"/>
      <c r="E12" s="249" t="s">
        <v>173</v>
      </c>
      <c r="F12" s="243"/>
      <c r="G12" s="243"/>
      <c r="H12" s="243"/>
      <c r="I12" s="243"/>
      <c r="J12" s="244"/>
    </row>
    <row r="13" spans="1:10" ht="18.75" customHeight="1" x14ac:dyDescent="0.2">
      <c r="B13" s="20" t="s">
        <v>38</v>
      </c>
      <c r="C13" s="43"/>
      <c r="D13" s="19"/>
      <c r="E13" s="48"/>
      <c r="F13" s="48"/>
      <c r="G13" s="48"/>
      <c r="H13" s="48"/>
      <c r="I13" s="48"/>
      <c r="J13" s="49"/>
    </row>
    <row r="14" spans="1:10" ht="255" customHeight="1" x14ac:dyDescent="0.2">
      <c r="B14" s="17"/>
      <c r="C14" s="248" t="s">
        <v>39</v>
      </c>
      <c r="D14" s="242"/>
      <c r="E14" s="243" t="s">
        <v>170</v>
      </c>
      <c r="F14" s="243"/>
      <c r="G14" s="243"/>
      <c r="H14" s="243"/>
      <c r="I14" s="243"/>
      <c r="J14" s="244"/>
    </row>
    <row r="15" spans="1:10" ht="255" customHeight="1" x14ac:dyDescent="0.2">
      <c r="B15" s="17"/>
      <c r="C15" s="250" t="s">
        <v>40</v>
      </c>
      <c r="D15" s="251"/>
      <c r="E15" s="252" t="s">
        <v>171</v>
      </c>
      <c r="F15" s="252"/>
      <c r="G15" s="252"/>
      <c r="H15" s="252"/>
      <c r="I15" s="252"/>
      <c r="J15" s="253"/>
    </row>
    <row r="16" spans="1:10" ht="232.5" customHeight="1" x14ac:dyDescent="0.2">
      <c r="B16" s="240" t="s">
        <v>41</v>
      </c>
      <c r="C16" s="241"/>
      <c r="D16" s="242"/>
      <c r="E16" s="243" t="s">
        <v>150</v>
      </c>
      <c r="F16" s="243"/>
      <c r="G16" s="243"/>
      <c r="H16" s="243"/>
      <c r="I16" s="243"/>
      <c r="J16" s="244"/>
    </row>
    <row r="17" spans="1:10" ht="232.5" customHeight="1" x14ac:dyDescent="0.2">
      <c r="A17" s="46"/>
      <c r="B17" s="245" t="s">
        <v>80</v>
      </c>
      <c r="C17" s="246"/>
      <c r="D17" s="247"/>
      <c r="E17" s="198" t="s">
        <v>172</v>
      </c>
      <c r="F17" s="198"/>
      <c r="G17" s="198"/>
      <c r="H17" s="198"/>
      <c r="I17" s="198"/>
      <c r="J17" s="199"/>
    </row>
    <row r="18" spans="1:10" ht="7.5" customHeight="1" x14ac:dyDescent="0.2">
      <c r="B18" s="103"/>
      <c r="C18" s="103"/>
      <c r="D18" s="103"/>
      <c r="E18" s="104"/>
      <c r="F18" s="104"/>
      <c r="G18" s="104"/>
      <c r="H18" s="104"/>
      <c r="I18" s="104"/>
      <c r="J18" s="104"/>
    </row>
    <row r="19" spans="1:10" ht="18.75" customHeight="1" x14ac:dyDescent="0.2">
      <c r="B19" s="5"/>
      <c r="C19" s="103"/>
      <c r="D19" s="103"/>
      <c r="E19" s="104"/>
      <c r="F19" s="44"/>
      <c r="G19" s="44"/>
      <c r="H19" s="55" t="s">
        <v>107</v>
      </c>
      <c r="I19" s="50"/>
      <c r="J19" s="51"/>
    </row>
    <row r="20" spans="1:10" ht="18.75" customHeight="1" x14ac:dyDescent="0.2">
      <c r="A20" s="3" t="s">
        <v>12</v>
      </c>
      <c r="B20" s="52" t="s">
        <v>46</v>
      </c>
      <c r="C20" s="53"/>
      <c r="D20" s="53"/>
      <c r="E20" s="54"/>
      <c r="F20" s="47" t="s">
        <v>151</v>
      </c>
      <c r="G20" s="44"/>
      <c r="H20" s="128" t="s">
        <v>152</v>
      </c>
      <c r="I20" s="129"/>
      <c r="J20" s="130"/>
    </row>
    <row r="21" spans="1:10" ht="22.5" customHeight="1" x14ac:dyDescent="0.2">
      <c r="B21" s="103"/>
      <c r="C21" s="103"/>
      <c r="D21" s="103"/>
      <c r="E21" s="104"/>
      <c r="F21" s="104"/>
      <c r="G21" s="104"/>
      <c r="H21" s="104"/>
      <c r="I21" s="104"/>
      <c r="J21" s="104"/>
    </row>
    <row r="22" spans="1:10" ht="22.5" customHeight="1" x14ac:dyDescent="0.2">
      <c r="B22" s="103"/>
      <c r="C22" s="103"/>
      <c r="D22" s="103"/>
      <c r="E22" s="104"/>
      <c r="F22" s="104"/>
      <c r="G22" s="104"/>
      <c r="H22" s="104"/>
      <c r="I22" s="104"/>
      <c r="J22" s="104"/>
    </row>
    <row r="23" spans="1:10" ht="22.5" customHeight="1" x14ac:dyDescent="0.2">
      <c r="B23" s="103"/>
      <c r="C23" s="103"/>
      <c r="D23" s="103"/>
      <c r="E23" s="104"/>
      <c r="F23" s="104"/>
      <c r="G23" s="104"/>
      <c r="H23" s="104"/>
      <c r="I23" s="104"/>
      <c r="J23" s="104"/>
    </row>
    <row r="24" spans="1:10" ht="22.5" customHeight="1" x14ac:dyDescent="0.2">
      <c r="B24" s="103"/>
      <c r="C24" s="103"/>
      <c r="D24" s="103"/>
      <c r="E24" s="104"/>
      <c r="F24" s="104"/>
      <c r="G24" s="104"/>
      <c r="H24" s="104"/>
      <c r="I24" s="104"/>
      <c r="J24" s="104"/>
    </row>
    <row r="25" spans="1:10" ht="22.5" customHeight="1" x14ac:dyDescent="0.2">
      <c r="B25" s="103"/>
      <c r="C25" s="103"/>
      <c r="D25" s="103"/>
      <c r="E25" s="104"/>
      <c r="F25" s="104"/>
      <c r="G25" s="104"/>
      <c r="H25" s="104"/>
      <c r="I25" s="104"/>
      <c r="J25" s="104"/>
    </row>
    <row r="26" spans="1:10" ht="22.5" customHeight="1" x14ac:dyDescent="0.2">
      <c r="B26" s="13"/>
      <c r="C26" s="13"/>
      <c r="D26" s="13"/>
      <c r="E26" s="13"/>
      <c r="F26" s="13"/>
      <c r="G26" s="13"/>
      <c r="H26" s="13"/>
      <c r="I26" s="13"/>
      <c r="J26" s="13"/>
    </row>
    <row r="27" spans="1:10" ht="22.5" customHeight="1" x14ac:dyDescent="0.2">
      <c r="B27" s="13"/>
      <c r="C27" s="13"/>
      <c r="D27" s="13"/>
      <c r="E27" s="13"/>
      <c r="F27" s="13"/>
      <c r="G27" s="13"/>
      <c r="H27" s="13"/>
      <c r="I27" s="13"/>
      <c r="J27" s="13"/>
    </row>
    <row r="28" spans="1:10" ht="22.5" customHeight="1" x14ac:dyDescent="0.2">
      <c r="B28" s="13"/>
      <c r="C28" s="13"/>
      <c r="D28" s="13"/>
      <c r="E28" s="13"/>
      <c r="F28" s="13"/>
      <c r="G28" s="13"/>
      <c r="H28" s="13"/>
      <c r="I28" s="13"/>
      <c r="J28" s="13"/>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1"/>
  <dataValidations count="2">
    <dataValidation type="list" allowBlank="1" showInputMessage="1" showErrorMessage="1" sqref="F20" xr:uid="{75B81FA5-3455-435E-8284-6814F1D07A38}">
      <formula1>"有,無,予定"</formula1>
    </dataValidation>
    <dataValidation type="list" allowBlank="1" showInputMessage="1" showErrorMessage="1" sqref="F19:G19" xr:uid="{C1DE212E-16FE-4B2A-AF9F-8A6C3B7B45BF}">
      <formula1>#REF!</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09E592929D42049A0D596508565EB59" ma:contentTypeVersion="12" ma:contentTypeDescription="新しいドキュメントを作成します。" ma:contentTypeScope="" ma:versionID="205a6d0f0f27882681fcac3dda6fca75">
  <xsd:schema xmlns:xsd="http://www.w3.org/2001/XMLSchema" xmlns:xs="http://www.w3.org/2001/XMLSchema" xmlns:p="http://schemas.microsoft.com/office/2006/metadata/properties" xmlns:ns2="70ced711-2ff3-4610-9628-26d9fcace280" xmlns:ns3="f92ba8ca-73ac-438e-a302-f7220a1db0e4" targetNamespace="http://schemas.microsoft.com/office/2006/metadata/properties" ma:root="true" ma:fieldsID="c7bc8e1b9c06dea430041739dc7559a7" ns2:_="" ns3:_="">
    <xsd:import namespace="70ced711-2ff3-4610-9628-26d9fcace280"/>
    <xsd:import namespace="f92ba8ca-73ac-438e-a302-f7220a1db0e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ced711-2ff3-4610-9628-26d9fcace280"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2ba8ca-73ac-438e-a302-f7220a1db0e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58F9D8-4A74-4DD7-BE88-B192734A1B0C}">
  <ds:schemaRefs>
    <ds:schemaRef ds:uri="http://purl.org/dc/terms/"/>
    <ds:schemaRef ds:uri="f92ba8ca-73ac-438e-a302-f7220a1db0e4"/>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office/2006/documentManagement/types"/>
    <ds:schemaRef ds:uri="70ced711-2ff3-4610-9628-26d9fcace280"/>
    <ds:schemaRef ds:uri="http://www.w3.org/XML/1998/namespace"/>
    <ds:schemaRef ds:uri="http://purl.org/dc/dcmitype/"/>
  </ds:schemaRefs>
</ds:datastoreItem>
</file>

<file path=customXml/itemProps2.xml><?xml version="1.0" encoding="utf-8"?>
<ds:datastoreItem xmlns:ds="http://schemas.openxmlformats.org/officeDocument/2006/customXml" ds:itemID="{B7D6DBD5-FF63-4E55-BF51-B63348B84EF7}">
  <ds:schemaRefs>
    <ds:schemaRef ds:uri="http://schemas.microsoft.com/sharepoint/v3/contenttype/forms"/>
  </ds:schemaRefs>
</ds:datastoreItem>
</file>

<file path=customXml/itemProps3.xml><?xml version="1.0" encoding="utf-8"?>
<ds:datastoreItem xmlns:ds="http://schemas.openxmlformats.org/officeDocument/2006/customXml" ds:itemID="{D622BAE8-26A0-4D60-A1C9-92275A9369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ced711-2ff3-4610-9628-26d9fcace280"/>
    <ds:schemaRef ds:uri="f92ba8ca-73ac-438e-a302-f7220a1db0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様式２－1　プログラムを構成する授業科目</vt:lpstr>
      <vt:lpstr>様式３　履修者等数の実績</vt:lpstr>
      <vt:lpstr>様式4－1　プログラムの授業内容・概要</vt:lpstr>
      <vt:lpstr>様式５　教育の質・履修者数を向上させるための体制・計画</vt:lpstr>
      <vt:lpstr>様式６　自己点検・評価</vt:lpstr>
      <vt:lpstr>'様式１　大学等概要'!Print_Area</vt:lpstr>
      <vt:lpstr>'様式２－1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Satoshi Akuzawa</cp:lastModifiedBy>
  <cp:lastPrinted>2021-04-28T02:01:50Z</cp:lastPrinted>
  <dcterms:created xsi:type="dcterms:W3CDTF">2011-06-14T05:32:50Z</dcterms:created>
  <dcterms:modified xsi:type="dcterms:W3CDTF">2021-07-12T05:24:03Z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0x010100709E592929D42049A0D596508565EB59</vt:lpwstr>
  </property>
</Properties>
</file>