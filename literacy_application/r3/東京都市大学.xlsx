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K:\60-10　教育・学生支援センター\02-22　世田谷Ｃ教務　　｜学校認定｜教職関係｜各種資格｜\03　MDASH-Literacy　33　令和03(2021)年05月　新規申請の検討\■確認事項への対応案提出\"/>
    </mc:Choice>
  </mc:AlternateContent>
  <bookViews>
    <workbookView xWindow="0" yWindow="0" windowWidth="20490" windowHeight="7530" tabRatio="773" firstSheet="9" activeTab="11"/>
  </bookViews>
  <sheets>
    <sheet name="様式１　大学等概要" sheetId="8" r:id="rId1"/>
    <sheet name="様式２－１　プログラムを構成する授業科目" sheetId="9" r:id="rId2"/>
    <sheet name="様式２－２　プログラムを構成する授業科目" sheetId="37" r:id="rId3"/>
    <sheet name="様式２－３　プログラムを構成する授業科目" sheetId="39" r:id="rId4"/>
    <sheet name="様式２－４　プログラムを構成する授業科目" sheetId="38" r:id="rId5"/>
    <sheet name="様式３　履修者等数の実績" sheetId="31" r:id="rId6"/>
    <sheet name="様式4－１　プログラムの授業内容・概要" sheetId="34" r:id="rId7"/>
    <sheet name="様式4－２　プログラムの授業内容・概要" sheetId="40" r:id="rId8"/>
    <sheet name="様式4－３　プログラムの授業内容・概要" sheetId="41" r:id="rId9"/>
    <sheet name="様式4－４　プログラムの授業内容・概要" sheetId="42" r:id="rId10"/>
    <sheet name="様式５　教育の質・履修者数を向上させるための体制・計画" sheetId="35" r:id="rId11"/>
    <sheet name="様式６　自己点検・評価" sheetId="36" r:id="rId12"/>
    <sheet name="様式７　特色ある取組" sheetId="29" r:id="rId13"/>
  </sheets>
  <definedNames>
    <definedName name="_xlnm._FilterDatabase" localSheetId="1" hidden="1">'様式２－１　プログラムを構成する授業科目'!#REF!</definedName>
    <definedName name="_xlnm._FilterDatabase" localSheetId="2" hidden="1">'様式２－２　プログラムを構成する授業科目'!#REF!</definedName>
    <definedName name="_xlnm._FilterDatabase" localSheetId="3" hidden="1">'様式２－３　プログラムを構成する授業科目'!#REF!</definedName>
    <definedName name="_xlnm._FilterDatabase" localSheetId="4" hidden="1">'様式２－４　プログラムを構成する授業科目'!#REF!</definedName>
    <definedName name="_xlnm._FilterDatabase" localSheetId="5" hidden="1">'様式３　履修者等数の実績'!#REF!</definedName>
    <definedName name="_xlnm.Print_Area" localSheetId="0">'様式１　大学等概要'!$A$1:$N$47</definedName>
    <definedName name="_xlnm.Print_Area" localSheetId="1">'様式２－１　プログラムを構成する授業科目'!$A$1:$I$44</definedName>
    <definedName name="_xlnm.Print_Area" localSheetId="2">'様式２－２　プログラムを構成する授業科目'!$A$1:$I$44</definedName>
    <definedName name="_xlnm.Print_Area" localSheetId="3">'様式２－３　プログラムを構成する授業科目'!$A$1:$I$44</definedName>
    <definedName name="_xlnm.Print_Area" localSheetId="4">'様式２－４　プログラムを構成する授業科目'!$A$1:$I$44</definedName>
    <definedName name="_xlnm.Print_Area" localSheetId="5">'様式３　履修者等数の実績'!$A$1:$R$29</definedName>
    <definedName name="_xlnm.Print_Area" localSheetId="10">'様式５　教育の質・履修者数を向上させるための体制・計画'!$A$1:$E$134</definedName>
    <definedName name="_xlnm.Print_Area" localSheetId="11">'様式６　自己点検・評価'!$A$1:$J$20</definedName>
    <definedName name="_xlnm.Print_Area" localSheetId="12">'様式７　特色ある取組'!$A$1:$F$130</definedName>
  </definedNames>
  <calcPr calcId="162913"/>
</workbook>
</file>

<file path=xl/calcChain.xml><?xml version="1.0" encoding="utf-8"?>
<calcChain xmlns="http://schemas.openxmlformats.org/spreadsheetml/2006/main">
  <c r="E10" i="31" l="1"/>
  <c r="F10" i="31"/>
  <c r="F14" i="31" l="1"/>
  <c r="E14" i="31"/>
  <c r="R15" i="31" l="1"/>
  <c r="R16" i="31"/>
  <c r="R17" i="31"/>
  <c r="R18" i="31"/>
  <c r="R19" i="31"/>
  <c r="R20" i="31"/>
  <c r="R21" i="31"/>
  <c r="R22" i="31"/>
  <c r="R23" i="31"/>
  <c r="R24" i="31"/>
  <c r="R25" i="31"/>
  <c r="R26" i="31"/>
  <c r="R27" i="31"/>
  <c r="Q16" i="31" l="1"/>
  <c r="P28" i="31" l="1"/>
  <c r="O28" i="31"/>
  <c r="N28" i="31"/>
  <c r="M28" i="31"/>
  <c r="L28" i="31"/>
  <c r="K28" i="31"/>
  <c r="J28" i="31"/>
  <c r="I28" i="31"/>
  <c r="H28" i="31"/>
  <c r="G28" i="31"/>
  <c r="F28" i="31"/>
  <c r="E28" i="31"/>
  <c r="D28" i="31"/>
  <c r="Q27" i="31"/>
  <c r="Q26" i="31"/>
  <c r="Q25" i="31"/>
  <c r="Q24" i="31"/>
  <c r="Q23" i="31"/>
  <c r="Q22" i="31"/>
  <c r="Q21" i="31"/>
  <c r="Q20" i="31"/>
  <c r="Q19" i="31"/>
  <c r="Q18" i="31"/>
  <c r="Q17" i="31"/>
  <c r="Q15" i="31"/>
  <c r="Q14" i="31"/>
  <c r="R14" i="31" s="1"/>
  <c r="Q13" i="31"/>
  <c r="R13" i="31" s="1"/>
  <c r="Q12" i="31"/>
  <c r="R12" i="31" s="1"/>
  <c r="Q11" i="31"/>
  <c r="R11" i="31" s="1"/>
  <c r="Q10" i="31"/>
  <c r="R10" i="31" s="1"/>
  <c r="Q9" i="31"/>
  <c r="R9" i="31" s="1"/>
  <c r="Q8" i="31"/>
  <c r="Q28" i="31" l="1"/>
  <c r="R28" i="31" s="1"/>
  <c r="R8" i="31"/>
</calcChain>
</file>

<file path=xl/sharedStrings.xml><?xml version="1.0" encoding="utf-8"?>
<sst xmlns="http://schemas.openxmlformats.org/spreadsheetml/2006/main" count="519" uniqueCount="268">
  <si>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</si>
  <si>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</si>
  <si>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</si>
  <si>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連絡先</t>
    <rPh sb="0" eb="3">
      <t>レンラクサキ</t>
    </rPh>
    <phoneticPr fontId="1"/>
  </si>
  <si>
    <t>電話番号</t>
  </si>
  <si>
    <t>E-mail</t>
  </si>
  <si>
    <t>（常勤）</t>
    <rPh sb="1" eb="3">
      <t>ジョウキン</t>
    </rPh>
    <phoneticPr fontId="1"/>
  </si>
  <si>
    <t>①</t>
    <phoneticPr fontId="1"/>
  </si>
  <si>
    <t>：</t>
    <phoneticPr fontId="1"/>
  </si>
  <si>
    <t>様式６</t>
    <rPh sb="0" eb="2">
      <t>ヨウシキ</t>
    </rPh>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</si>
  <si>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</si>
  <si>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</si>
  <si>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</si>
  <si>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</si>
  <si>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</si>
  <si>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</si>
  <si>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様式７</t>
    <rPh sb="0" eb="2">
      <t>ヨウシキ</t>
    </rPh>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</si>
  <si>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</si>
  <si>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</si>
  <si>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</si>
  <si>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</si>
  <si>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</si>
  <si>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</si>
  <si>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</si>
  <si>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</si>
  <si>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</si>
  <si>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人</t>
    <rPh sb="0" eb="1">
      <t>ニン</t>
    </rPh>
    <phoneticPr fontId="1"/>
  </si>
  <si>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</si>
  <si>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</si>
  <si>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</si>
  <si>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</si>
  <si>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学校名：</t>
    <rPh sb="0" eb="3">
      <t>ガッコウメイ</t>
    </rPh>
    <phoneticPr fontId="1"/>
  </si>
  <si>
    <t>学校名：</t>
    <rPh sb="0" eb="2">
      <t>ガッコウ</t>
    </rPh>
    <rPh sb="2" eb="3">
      <t>メイ</t>
    </rPh>
    <phoneticPr fontId="1"/>
  </si>
  <si>
    <t>授業内容</t>
    <rPh sb="0" eb="2">
      <t>ジュギョウ</t>
    </rPh>
    <rPh sb="2" eb="4">
      <t>ナイヨウ</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</si>
  <si>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</si>
  <si>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</si>
  <si>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</si>
  <si>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</si>
  <si>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</si>
  <si>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</si>
  <si>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</si>
  <si>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</si>
  <si>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</si>
  <si>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</si>
  <si>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</si>
  <si>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</si>
  <si>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</si>
  <si>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</si>
  <si>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</si>
  <si>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自己点検・評価体制における意見等の公表の有無</t>
    <rPh sb="17" eb="19">
      <t>コウヒョウ</t>
    </rPh>
    <rPh sb="20" eb="22">
      <t>ウム</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</si>
  <si>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</si>
  <si>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</si>
  <si>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</si>
  <si>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</si>
  <si>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</si>
  <si>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</si>
  <si>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</si>
  <si>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大学等の設置者</t>
  </si>
  <si>
    <t>設置形態</t>
  </si>
  <si>
    <t>⑫</t>
    <phoneticPr fontId="1"/>
  </si>
  <si>
    <t>人</t>
    <rPh sb="0" eb="1">
      <t>ニン</t>
    </rPh>
    <phoneticPr fontId="1"/>
  </si>
  <si>
    <t>総数</t>
    <rPh sb="0" eb="2">
      <t>ソウスウ</t>
    </rPh>
    <phoneticPr fontId="1"/>
  </si>
  <si>
    <t>⑧</t>
    <phoneticPr fontId="1"/>
  </si>
  <si>
    <t>⑬</t>
    <phoneticPr fontId="1"/>
  </si>
  <si>
    <t>（役職名）</t>
    <rPh sb="1" eb="4">
      <t>ヤクショクメイ</t>
    </rPh>
    <phoneticPr fontId="1"/>
  </si>
  <si>
    <t>学校名：</t>
    <rPh sb="0" eb="2">
      <t>ガッコウ</t>
    </rPh>
    <phoneticPr fontId="1"/>
  </si>
  <si>
    <t>履修率</t>
    <rPh sb="0" eb="2">
      <t>リシュウ</t>
    </rPh>
    <rPh sb="2" eb="3">
      <t>リツ</t>
    </rPh>
    <phoneticPr fontId="1"/>
  </si>
  <si>
    <t>合　計</t>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</si>
  <si>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</si>
  <si>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</si>
  <si>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</si>
  <si>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</si>
  <si>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</si>
  <si>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</si>
  <si>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授業に含まれている内容・要素</t>
    <rPh sb="0" eb="2">
      <t>ジュギョウ</t>
    </rPh>
    <rPh sb="3" eb="4">
      <t>フク</t>
    </rPh>
    <rPh sb="9" eb="11">
      <t>ナイヨウ</t>
    </rPh>
    <rPh sb="12" eb="14">
      <t>ヨウソ</t>
    </rPh>
    <phoneticPr fontId="1"/>
  </si>
  <si>
    <t>学校名：</t>
    <rPh sb="0" eb="2">
      <t>ガッコウ</t>
    </rPh>
    <rPh sb="2" eb="3">
      <t>メイ</t>
    </rPh>
    <phoneticPr fontId="1"/>
  </si>
  <si>
    <t>統計及び数理基礎</t>
    <rPh sb="0" eb="2">
      <t>トウケイ</t>
    </rPh>
    <rPh sb="2" eb="3">
      <t>オヨ</t>
    </rPh>
    <rPh sb="4" eb="6">
      <t>スウリ</t>
    </rPh>
    <rPh sb="6" eb="8">
      <t>キソ</t>
    </rPh>
    <phoneticPr fontId="1"/>
  </si>
  <si>
    <t>アルゴリズム基礎</t>
    <rPh sb="6" eb="8">
      <t>キソ</t>
    </rPh>
    <phoneticPr fontId="1"/>
  </si>
  <si>
    <t>データ構造とプログラミング基礎</t>
    <rPh sb="3" eb="5">
      <t>コウゾウ</t>
    </rPh>
    <rPh sb="13" eb="15">
      <t>キソ</t>
    </rPh>
    <phoneticPr fontId="1"/>
  </si>
  <si>
    <t>時系列データ解析</t>
    <rPh sb="0" eb="3">
      <t>ジケイレツ</t>
    </rPh>
    <rPh sb="6" eb="8">
      <t>カイセキ</t>
    </rPh>
    <phoneticPr fontId="1"/>
  </si>
  <si>
    <t>テキスト解析</t>
    <rPh sb="4" eb="6">
      <t>カイセキ</t>
    </rPh>
    <phoneticPr fontId="1"/>
  </si>
  <si>
    <t>画像解析</t>
    <rPh sb="0" eb="2">
      <t>ガゾウ</t>
    </rPh>
    <rPh sb="2" eb="4">
      <t>カイセキ</t>
    </rPh>
    <phoneticPr fontId="1"/>
  </si>
  <si>
    <t>データハンドリング</t>
    <phoneticPr fontId="1"/>
  </si>
  <si>
    <t>データ活用実践（教師あり学習）</t>
    <rPh sb="3" eb="5">
      <t>カツヨウ</t>
    </rPh>
    <rPh sb="5" eb="7">
      <t>ジッセン</t>
    </rPh>
    <rPh sb="8" eb="10">
      <t>キョウシ</t>
    </rPh>
    <rPh sb="12" eb="14">
      <t>ガクシュウ</t>
    </rPh>
    <phoneticPr fontId="1"/>
  </si>
  <si>
    <t>その他</t>
    <rPh sb="2" eb="3">
      <t>タ</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</si>
  <si>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</si>
  <si>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</si>
  <si>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</si>
  <si>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学校名</t>
    <rPh sb="0" eb="3">
      <t>ガッコウメイ</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</si>
  <si>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</si>
  <si>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</si>
  <si>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</si>
  <si>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</si>
  <si>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学生への学習支援</t>
    <rPh sb="0" eb="2">
      <t>ガクセイ</t>
    </rPh>
    <rPh sb="4" eb="6">
      <t>ガクシュウ</t>
    </rPh>
    <rPh sb="6" eb="8">
      <t>シエン</t>
    </rPh>
    <phoneticPr fontId="1"/>
  </si>
  <si>
    <t>その他の取組（地域連携、産業界との連携、海外の大学等との連携等）</t>
    <rPh sb="2" eb="3">
      <t>タ</t>
    </rPh>
    <rPh sb="4" eb="5">
      <t>ト</t>
    </rPh>
    <rPh sb="5" eb="6">
      <t>ク</t>
    </rPh>
    <rPh sb="7" eb="9">
      <t>チイキ</t>
    </rPh>
    <rPh sb="9" eb="11">
      <t>レンケイ</t>
    </rPh>
    <rPh sb="12" eb="14">
      <t>サンギョウ</t>
    </rPh>
    <rPh sb="14" eb="15">
      <t>カイ</t>
    </rPh>
    <rPh sb="17" eb="19">
      <t>レンケイ</t>
    </rPh>
    <rPh sb="20" eb="22">
      <t>カイガイ</t>
    </rPh>
    <rPh sb="23" eb="25">
      <t>ダイガク</t>
    </rPh>
    <rPh sb="25" eb="26">
      <t>トウ</t>
    </rPh>
    <rPh sb="28" eb="30">
      <t>レンケイ</t>
    </rPh>
    <rPh sb="30" eb="31">
      <t>トウ</t>
    </rPh>
    <phoneticPr fontId="1"/>
  </si>
  <si>
    <t>プログラムを構成する授業の内容・概要（数理・データサイエンス・AI（リテラシーレベル）モデルカリキュラムの「導入」、「基礎」、「心得」に相当）</t>
    <rPh sb="6" eb="8">
      <t>コウセイ</t>
    </rPh>
    <rPh sb="10" eb="12">
      <t>ジュギョウ</t>
    </rPh>
    <rPh sb="13" eb="15">
      <t>ナイヨウ</t>
    </rPh>
    <rPh sb="16" eb="18">
      <t>ガイヨウ</t>
    </rPh>
    <rPh sb="54" eb="56">
      <t>ドウニュウ</t>
    </rPh>
    <rPh sb="59" eb="61">
      <t>キソ</t>
    </rPh>
    <rPh sb="64" eb="66">
      <t>ココロエ</t>
    </rPh>
    <phoneticPr fontId="1"/>
  </si>
  <si>
    <t>プログラムの授業内容・概要</t>
    <rPh sb="6" eb="8">
      <t>ジュギョウ</t>
    </rPh>
    <rPh sb="8" eb="10">
      <t>ナイヨウ</t>
    </rPh>
    <rPh sb="11" eb="13">
      <t>ガイヨウ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</si>
  <si>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</si>
  <si>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</si>
  <si>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③</t>
    <phoneticPr fontId="1"/>
  </si>
  <si>
    <t>プログラムの授業内容等を公表しているアドレス</t>
    <rPh sb="6" eb="8">
      <t>ジュギョウ</t>
    </rPh>
    <rPh sb="8" eb="10">
      <t>ナイヨウ</t>
    </rPh>
    <rPh sb="10" eb="11">
      <t>トウ</t>
    </rPh>
    <rPh sb="12" eb="14">
      <t>コウヒョウ</t>
    </rPh>
    <phoneticPr fontId="1"/>
  </si>
  <si>
    <t>④</t>
    <phoneticPr fontId="1"/>
  </si>
  <si>
    <t>プログラムの学修成果（学生等が身に付けられる能力等）</t>
  </si>
  <si>
    <t>教育プログラムの修了要件</t>
    <rPh sb="8" eb="10">
      <t>シュウリョウ</t>
    </rPh>
    <phoneticPr fontId="1"/>
  </si>
  <si>
    <t>具体的な修了要件</t>
    <rPh sb="0" eb="3">
      <t>グタイテキ</t>
    </rPh>
    <rPh sb="4" eb="6">
      <t>シュウリョウ</t>
    </rPh>
    <rPh sb="6" eb="8">
      <t>ヨウケン</t>
    </rPh>
    <phoneticPr fontId="1"/>
  </si>
  <si>
    <t>授業科目名称</t>
    <rPh sb="0" eb="2">
      <t>ジュギョウ</t>
    </rPh>
    <rPh sb="2" eb="4">
      <t>カモク</t>
    </rPh>
    <rPh sb="4" eb="6">
      <t>メイショウ</t>
    </rPh>
    <phoneticPr fontId="1"/>
  </si>
  <si>
    <t>プログラムを構成する授業の内容・概要（数理・データサイエンス・AI（リテラシーレベル）モデルカリキュラムの「選択」に相当）</t>
    <rPh sb="6" eb="8">
      <t>コウセイ</t>
    </rPh>
    <rPh sb="10" eb="12">
      <t>ジュギョウ</t>
    </rPh>
    <rPh sb="13" eb="15">
      <t>ナイヨウ</t>
    </rPh>
    <rPh sb="16" eb="18">
      <t>ガイヨウ</t>
    </rPh>
    <rPh sb="19" eb="21">
      <t>スウリ</t>
    </rPh>
    <rPh sb="54" eb="56">
      <t>センタク</t>
    </rPh>
    <rPh sb="58" eb="60">
      <t>ソウトウ</t>
    </rPh>
    <phoneticPr fontId="1"/>
  </si>
  <si>
    <t>様式５</t>
    <rPh sb="0" eb="2">
      <t>ヨウシキ</t>
    </rPh>
    <phoneticPr fontId="1"/>
  </si>
  <si>
    <t>授業概要</t>
    <rPh sb="0" eb="2">
      <t>ジュギョウ</t>
    </rPh>
    <rPh sb="2" eb="4">
      <t>ガイヨウ</t>
    </rPh>
    <phoneticPr fontId="1"/>
  </si>
  <si>
    <t>授業科目名称</t>
    <rPh sb="0" eb="2">
      <t>ジュギョウ</t>
    </rPh>
    <rPh sb="2" eb="6">
      <t>カモクメイショウ</t>
    </rPh>
    <phoneticPr fontId="1"/>
  </si>
  <si>
    <t>講義テーマ</t>
    <rPh sb="0" eb="2">
      <t>コウギ</t>
    </rPh>
    <phoneticPr fontId="1"/>
  </si>
  <si>
    <t>（１）現在進行中の社会変化（第４次産業革命、Society 5.0、データ駆動型社会等）に深く寄与しているものであり、それが自らの生活と密接に結びついている
※モデルカリキュラム導入１－１、導入１－６が該当</t>
    <phoneticPr fontId="1"/>
  </si>
  <si>
    <t>（２）「社会で活用されているデータ」や「データの活用領域」は非常に広範囲であって、日常生活や社会の課題を解決する有用なツールになり得るもの
※モデルカリキュラム導入１－２、導入１－３が該当</t>
    <phoneticPr fontId="1"/>
  </si>
  <si>
    <t>（４）活用に当たっての様々な留意事項（ELSI、個人情報、データ倫理、ＡＩ社会原則等）を考慮し、情報セキュリティや情報漏洩等、データを守る上での留意事項への理解をする
※モデルカリキュラム心得３－１、心得３－２が該当</t>
    <phoneticPr fontId="1"/>
  </si>
  <si>
    <t>（３）様々なデータ利活用の現場におけるデータ利活用事例が示され、様々な適用領域（流通、製造、金融、サービス、インフラ、公共、ヘルスケア等）の知見と組み合わせることで価値を創出するもの
※モデルカリキュラム導入１－４、導入１－５が該当</t>
    <phoneticPr fontId="1"/>
  </si>
  <si>
    <t xml:space="preserve">（５）実データ・実課題（学術データ等を含む）を用いた演習など、社会での実例を題材として、「データを読む、説明する、扱う」といった数理・データサイエンス・ＡＩの基本的な活用法に関するもの
※モデルカリキュラム基礎２－１、基礎２－２、基礎２－３が該当
</t>
    <phoneticPr fontId="1"/>
  </si>
  <si>
    <t>※公表している場合のアドレス</t>
    <rPh sb="1" eb="3">
      <t>コウヒョウ</t>
    </rPh>
    <rPh sb="7" eb="9">
      <t>バアイ</t>
    </rPh>
    <phoneticPr fontId="1"/>
  </si>
  <si>
    <t>（責任者名）</t>
    <rPh sb="1" eb="4">
      <t>セキニンシャ</t>
    </rPh>
    <rPh sb="4" eb="5">
      <t>メイ</t>
    </rPh>
    <phoneticPr fontId="1"/>
  </si>
  <si>
    <t>プログラムの運営責任者</t>
    <phoneticPr fontId="1"/>
  </si>
  <si>
    <t>令和2年度</t>
    <rPh sb="0" eb="2">
      <t>レイワ</t>
    </rPh>
    <rPh sb="3" eb="5">
      <t>ネンド</t>
    </rPh>
    <phoneticPr fontId="1"/>
  </si>
  <si>
    <t>令和元年度</t>
    <rPh sb="0" eb="2">
      <t>レイワ</t>
    </rPh>
    <rPh sb="2" eb="3">
      <t>ゲン</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</si>
  <si>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</si>
  <si>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</si>
  <si>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</si>
  <si>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平成27年度</t>
    <rPh sb="0" eb="2">
      <t>ヘイセイ</t>
    </rPh>
    <rPh sb="4" eb="6">
      <t>ネンド</t>
    </rPh>
    <phoneticPr fontId="1"/>
  </si>
  <si>
    <t>プログラムの履修者数等の実績について</t>
    <phoneticPr fontId="1"/>
  </si>
  <si>
    <t>数理・データサイエンス・AI教育プログラム認定制度（リテラシーレベル）プラス　申請書</t>
    <rPh sb="0" eb="2">
      <t>スウリ</t>
    </rPh>
    <rPh sb="14" eb="16">
      <t>キョウイク</t>
    </rPh>
    <rPh sb="21" eb="23">
      <t>ニンテイ</t>
    </rPh>
    <rPh sb="23" eb="25">
      <t>セイド</t>
    </rPh>
    <rPh sb="39" eb="42">
      <t>シンセイショ</t>
    </rPh>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</si>
  <si>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</si>
  <si>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</si>
  <si>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</si>
  <si>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</si>
  <si>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申請するプログラム又は授業科目名称</t>
    <rPh sb="0" eb="2">
      <t>シンセイ</t>
    </rPh>
    <rPh sb="9" eb="10">
      <t>マタ</t>
    </rPh>
    <rPh sb="11" eb="13">
      <t>ジュギョウ</t>
    </rPh>
    <rPh sb="13" eb="15">
      <t>カモク</t>
    </rPh>
    <rPh sb="15" eb="1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</si>
  <si>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</si>
  <si>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</si>
  <si>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</si>
  <si>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</si>
  <si>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東京都市大学</t>
    <rPh sb="0" eb="6">
      <t>トウキョウトシダイガク</t>
    </rPh>
    <phoneticPr fontId="1"/>
  </si>
  <si>
    <t>学校法人五島育英会</t>
    <rPh sb="0" eb="4">
      <t>ガッコウホウジン</t>
    </rPh>
    <rPh sb="4" eb="9">
      <t>ゴトウイクエイ</t>
    </rPh>
    <phoneticPr fontId="1"/>
  </si>
  <si>
    <t>私立大学</t>
  </si>
  <si>
    <t>東京都世田谷区玉堤１－２８－１</t>
    <rPh sb="0" eb="3">
      <t>トウキョウト</t>
    </rPh>
    <rPh sb="3" eb="7">
      <t>セタガヤク</t>
    </rPh>
    <rPh sb="7" eb="9">
      <t>タマヅツミ</t>
    </rPh>
    <phoneticPr fontId="1"/>
  </si>
  <si>
    <t>令和２年度</t>
    <rPh sb="0" eb="2">
      <t>レイワ</t>
    </rPh>
    <rPh sb="3" eb="5">
      <t>ネンド</t>
    </rPh>
    <phoneticPr fontId="1"/>
  </si>
  <si>
    <t>認定教育プログラム</t>
  </si>
  <si>
    <t>情報工学部（工学）</t>
    <rPh sb="0" eb="5">
      <t>ジョウホウコウガクブ</t>
    </rPh>
    <rPh sb="6" eb="8">
      <t>コウガク</t>
    </rPh>
    <phoneticPr fontId="1"/>
  </si>
  <si>
    <t>環境学部（その他）</t>
    <rPh sb="0" eb="4">
      <t>カンキョウガクブ</t>
    </rPh>
    <rPh sb="7" eb="8">
      <t>タ</t>
    </rPh>
    <phoneticPr fontId="1"/>
  </si>
  <si>
    <t>都市生活学部（社会科学）</t>
    <rPh sb="0" eb="4">
      <t>トシ</t>
    </rPh>
    <rPh sb="4" eb="6">
      <t>ガクブ</t>
    </rPh>
    <rPh sb="7" eb="11">
      <t>シャカイカガク</t>
    </rPh>
    <phoneticPr fontId="1"/>
  </si>
  <si>
    <t>人間科学部（教育）</t>
    <rPh sb="0" eb="5">
      <t>ニンゲンカガクブ</t>
    </rPh>
    <rPh sb="6" eb="8">
      <t>キョウイク</t>
    </rPh>
    <phoneticPr fontId="1"/>
  </si>
  <si>
    <t>東京都市大学</t>
    <rPh sb="0" eb="6">
      <t>トウキョウトシダイガク</t>
    </rPh>
    <phoneticPr fontId="1"/>
  </si>
  <si>
    <t>学部・学科によって、修了要件は相違する</t>
  </si>
  <si>
    <t>データサイエンスリテラシー(1)</t>
    <phoneticPr fontId="1"/>
  </si>
  <si>
    <t>データサイエンスリテラシー(2)</t>
    <phoneticPr fontId="1"/>
  </si>
  <si>
    <t>様式２－１</t>
    <rPh sb="0" eb="2">
      <t>ヨウシキ</t>
    </rPh>
    <phoneticPr fontId="1"/>
  </si>
  <si>
    <t>様式２－２</t>
    <rPh sb="0" eb="2">
      <t>ヨウシキ</t>
    </rPh>
    <phoneticPr fontId="1"/>
  </si>
  <si>
    <t>様式２－３</t>
    <rPh sb="0" eb="2">
      <t>ヨウシキ</t>
    </rPh>
    <phoneticPr fontId="1"/>
  </si>
  <si>
    <t>パターン認識</t>
    <rPh sb="4" eb="6">
      <t>ニンシキ</t>
    </rPh>
    <phoneticPr fontId="1"/>
  </si>
  <si>
    <t>様式２－４</t>
    <rPh sb="0" eb="2">
      <t>ヨウシキ</t>
    </rPh>
    <phoneticPr fontId="1"/>
  </si>
  <si>
    <t>東京都市大学</t>
    <rPh sb="0" eb="6">
      <t>トウキョウトシダイガク</t>
    </rPh>
    <phoneticPr fontId="1"/>
  </si>
  <si>
    <t>様式４－１</t>
    <rPh sb="0" eb="2">
      <t>ヨウシキ</t>
    </rPh>
    <phoneticPr fontId="1"/>
  </si>
  <si>
    <t>様式４－２</t>
    <rPh sb="0" eb="2">
      <t>ヨウシキ</t>
    </rPh>
    <phoneticPr fontId="1"/>
  </si>
  <si>
    <t>様式４－３</t>
    <rPh sb="0" eb="2">
      <t>ヨウシキ</t>
    </rPh>
    <phoneticPr fontId="1"/>
  </si>
  <si>
    <t>様式４－４</t>
    <rPh sb="0" eb="2">
      <t>ヨウシキ</t>
    </rPh>
    <phoneticPr fontId="1"/>
  </si>
  <si>
    <t>センター長</t>
    <rPh sb="4" eb="5">
      <t>チョウ</t>
    </rPh>
    <phoneticPr fontId="1"/>
  </si>
  <si>
    <t>教育開発機構</t>
    <rPh sb="0" eb="4">
      <t>キョウイクカイハツ</t>
    </rPh>
    <rPh sb="4" eb="6">
      <t>キコウ</t>
    </rPh>
    <phoneticPr fontId="1"/>
  </si>
  <si>
    <t>機構長</t>
    <rPh sb="0" eb="3">
      <t>キコウチョウ</t>
    </rPh>
    <phoneticPr fontId="1"/>
  </si>
  <si>
    <t>事務局教育支援センター</t>
    <rPh sb="0" eb="3">
      <t>ジムキョク</t>
    </rPh>
    <rPh sb="3" eb="7">
      <t>キョウイクシエン</t>
    </rPh>
    <phoneticPr fontId="1"/>
  </si>
  <si>
    <t>03-5707-0104</t>
    <phoneticPr fontId="1"/>
  </si>
  <si>
    <t>係長　岩田　優</t>
    <rPh sb="0" eb="2">
      <t>カカリチョウ</t>
    </rPh>
    <rPh sb="3" eb="5">
      <t>イワタ</t>
    </rPh>
    <rPh sb="6" eb="7">
      <t>ユウ</t>
    </rPh>
    <phoneticPr fontId="1"/>
  </si>
  <si>
    <t>大上　浩</t>
    <phoneticPr fontId="1"/>
  </si>
  <si>
    <t>向井　信彦</t>
    <phoneticPr fontId="1"/>
  </si>
  <si>
    <t>向井　信彦</t>
    <phoneticPr fontId="1"/>
  </si>
  <si>
    <t>情報セキュリティ</t>
    <rPh sb="0" eb="8">
      <t>ジョウ</t>
    </rPh>
    <phoneticPr fontId="1"/>
  </si>
  <si>
    <t>データサイエンス基礎</t>
    <phoneticPr fontId="1"/>
  </si>
  <si>
    <t>データ解析演習</t>
    <phoneticPr fontId="1"/>
  </si>
  <si>
    <t>大規模データ解析応用事例</t>
    <phoneticPr fontId="1"/>
  </si>
  <si>
    <t>パターン認識</t>
    <rPh sb="4" eb="6">
      <t>ニンシキ</t>
    </rPh>
    <phoneticPr fontId="1"/>
  </si>
  <si>
    <t>大規模データ解析応用事例</t>
    <rPh sb="0" eb="3">
      <t>ダイキボ</t>
    </rPh>
    <rPh sb="6" eb="8">
      <t>カイセキ</t>
    </rPh>
    <rPh sb="8" eb="10">
      <t>オウヨウ</t>
    </rPh>
    <rPh sb="10" eb="12">
      <t>ジレイ</t>
    </rPh>
    <phoneticPr fontId="1"/>
  </si>
  <si>
    <t>データ解析演習</t>
    <rPh sb="3" eb="5">
      <t>カイセキ</t>
    </rPh>
    <rPh sb="5" eb="7">
      <t>エンシュウ</t>
    </rPh>
    <phoneticPr fontId="1"/>
  </si>
  <si>
    <t>データサイエンス基礎</t>
    <rPh sb="8" eb="10">
      <t>キソ</t>
    </rPh>
    <phoneticPr fontId="1"/>
  </si>
  <si>
    <t>東京都市大学</t>
    <rPh sb="0" eb="6">
      <t>トウキョウトシダイガク</t>
    </rPh>
    <phoneticPr fontId="1"/>
  </si>
  <si>
    <t>東京都市大学</t>
    <rPh sb="0" eb="6">
      <t>トウキョウ</t>
    </rPh>
    <phoneticPr fontId="1"/>
  </si>
  <si>
    <t>東京都市大学教育開発機構規程</t>
    <rPh sb="0" eb="6">
      <t>トウキョウトシダイガク</t>
    </rPh>
    <rPh sb="6" eb="12">
      <t>キョウイク</t>
    </rPh>
    <rPh sb="12" eb="14">
      <t>キテイ</t>
    </rPh>
    <phoneticPr fontId="1"/>
  </si>
  <si>
    <t>教育開発機構 数理・ﾃﾞｰﾀｻｲｴﾝｽ教育ｾﾝﾀｰ ｾﾝﾀｰ長</t>
    <rPh sb="19" eb="21">
      <t>キョウイク</t>
    </rPh>
    <rPh sb="30" eb="31">
      <t>チョウ</t>
    </rPh>
    <phoneticPr fontId="1"/>
  </si>
  <si>
    <t>教育開発機構 数理・データサイエンス教育センター</t>
    <rPh sb="0" eb="6">
      <t>キョウイクカイハツ</t>
    </rPh>
    <rPh sb="7" eb="9">
      <t>スウリ</t>
    </rPh>
    <phoneticPr fontId="1"/>
  </si>
  <si>
    <t>kyoumu-post@tcu.ac.jp</t>
    <phoneticPr fontId="1"/>
  </si>
  <si>
    <t>データサイエンスリテラシー(1)</t>
  </si>
  <si>
    <t>データサイエンスリテラシー(1)</t>
    <phoneticPr fontId="1"/>
  </si>
  <si>
    <t>データサイエンスリテラシー(1)</t>
    <phoneticPr fontId="1"/>
  </si>
  <si>
    <t>データサイエンスリテラシー(2)</t>
  </si>
  <si>
    <t>データサイエンスリテラシー(2)</t>
    <phoneticPr fontId="1"/>
  </si>
  <si>
    <t>情報セキュリティ</t>
    <rPh sb="0" eb="2">
      <t>ジョウホウ</t>
    </rPh>
    <phoneticPr fontId="1"/>
  </si>
  <si>
    <t>ルールベースに基づくAIから学習に基づくAIへ(1)，多数のセンサから得られるデータを融合して学習する最近の認識システム(1)，現在の深層学習に基づく人工知能の能力と限界(1,13)，目的や技術によって異なる教師データの種類(4,7,13)，機械学習システムの再帰的な開発サイクル（データ取得，特徴抽出，モデル選択，学習，認識，評価）(2)</t>
    <phoneticPr fontId="1"/>
  </si>
  <si>
    <t>多センサや異種センサ情報の統合学習から推論される個人性情報(1)，学習データが決める認識システムの能力(2,5)，教師データが産む論理矛盾とその解決策(4,7)，認識結果に基づく行動によって社会環境から被る損害(9,13)</t>
    <phoneticPr fontId="1"/>
  </si>
  <si>
    <t>学習データのヒストグラムによる簡略的なモデル化(2)，学習データのクラス依存確率分布のモデル化(10)，事前知識とパターンから得られる知識の統合による認識(10)，最尤推定法とベイズ推定法による識別器の設計(10,11)</t>
    <phoneticPr fontId="1"/>
  </si>
  <si>
    <t>パターン認識</t>
    <phoneticPr fontId="1"/>
  </si>
  <si>
    <t>現代社会におけるパターン認識・AI技術(1)，人間が常に行っている認識処理をコンピュータ上での実現(1,2)，ルールベースモデルから確率統計モデルへ(1,2)，ニューラルネットワーク技術の発展の歴史と挫折(4,5,8)，認識結果に基づく行動によるリスク(13)</t>
    <phoneticPr fontId="1"/>
  </si>
  <si>
    <t>数理データサイエンス基盤教育プログラム</t>
    <rPh sb="0" eb="2">
      <t>スウリ</t>
    </rPh>
    <rPh sb="10" eb="12">
      <t>キバン</t>
    </rPh>
    <rPh sb="12" eb="14">
      <t>キョウイク</t>
    </rPh>
    <phoneticPr fontId="1"/>
  </si>
  <si>
    <t xml:space="preserve">教育開発機構 数理・データサイエンス教育センター
センター長　教授　向井　信彦（情報工学部情報科学科）
副センター長　教授　河合　孝純（教育開発機構）
教授　　髙橋　弘毅（教育開発機構）
教授　　山口　敦子（教育開発機構）
教授　　大鳥　靖樹（理工学部原子力安全工学科）
准教授 関屋　英彦（建築都市デザイン学部都市工学科）
教授　　中野　秀洋（情報工学部情報科学科）
教授　　岡田　公治（環境学部環境経営システム学科）
教授　　広田　すみれ（メディア情報学部社会メディア学科）
准教授 西山　敏樹（都市生活学部都市生活学科）
准教授 松橋　圭子（人間科学部児童学科）
</t>
    <rPh sb="0" eb="2">
      <t>キョウイク</t>
    </rPh>
    <rPh sb="2" eb="4">
      <t>カイハツ</t>
    </rPh>
    <rPh sb="4" eb="6">
      <t>キコウ</t>
    </rPh>
    <rPh sb="7" eb="9">
      <t>スウリ</t>
    </rPh>
    <rPh sb="18" eb="20">
      <t>キョウイク</t>
    </rPh>
    <rPh sb="29" eb="30">
      <t>チョウ</t>
    </rPh>
    <rPh sb="40" eb="45">
      <t>ジョウホウコウガクブ</t>
    </rPh>
    <rPh sb="45" eb="50">
      <t>ジョウホウカガクカ</t>
    </rPh>
    <rPh sb="52" eb="53">
      <t>フク</t>
    </rPh>
    <rPh sb="57" eb="58">
      <t>チョウ</t>
    </rPh>
    <rPh sb="59" eb="61">
      <t>キョウジュ</t>
    </rPh>
    <rPh sb="62" eb="64">
      <t>カワイ</t>
    </rPh>
    <rPh sb="65" eb="67">
      <t>コウジュン</t>
    </rPh>
    <rPh sb="68" eb="72">
      <t>キョウイクカイハツ</t>
    </rPh>
    <rPh sb="72" eb="74">
      <t>キコウ</t>
    </rPh>
    <rPh sb="76" eb="78">
      <t>キョウジュ</t>
    </rPh>
    <rPh sb="80" eb="82">
      <t>タカハシ</t>
    </rPh>
    <rPh sb="83" eb="85">
      <t>コウキ</t>
    </rPh>
    <rPh sb="94" eb="96">
      <t>キョウジュ</t>
    </rPh>
    <rPh sb="98" eb="100">
      <t>ヤマグチ</t>
    </rPh>
    <rPh sb="101" eb="103">
      <t>アツコキョウイクカイハツキコウスウリチョウキョウジュ</t>
    </rPh>
    <phoneticPr fontId="1"/>
  </si>
  <si>
    <t>建築都市デザイン学部（工学）</t>
    <rPh sb="0" eb="2">
      <t>ケンチク</t>
    </rPh>
    <rPh sb="2" eb="4">
      <t>トシ</t>
    </rPh>
    <rPh sb="11" eb="13">
      <t>コウガク</t>
    </rPh>
    <phoneticPr fontId="1"/>
  </si>
  <si>
    <t>理工学部（工学，理学）</t>
    <rPh sb="0" eb="4">
      <t>リコウガクブ</t>
    </rPh>
    <rPh sb="5" eb="7">
      <t>コウガク</t>
    </rPh>
    <rPh sb="8" eb="10">
      <t>リガク</t>
    </rPh>
    <phoneticPr fontId="1"/>
  </si>
  <si>
    <t>メディア情報学部（社会科学，工学）</t>
    <rPh sb="9" eb="11">
      <t>シャカイ</t>
    </rPh>
    <rPh sb="11" eb="13">
      <t>カガク</t>
    </rPh>
    <rPh sb="14" eb="16">
      <t>コウガク</t>
    </rPh>
    <phoneticPr fontId="1"/>
  </si>
  <si>
    <t>データの種類(1)，数値データ(2)，テキストデータ(3)，画像データ(4)</t>
    <phoneticPr fontId="1"/>
  </si>
  <si>
    <t>ニューラルネットワーク(9)，ディープラーニング(10)，遺伝的アルゴリズム(11)，確率モデルに基づく機械学習(12)</t>
    <phoneticPr fontId="1"/>
  </si>
  <si>
    <t>データ解析演習</t>
    <rPh sb="3" eb="7">
      <t>カイセキエンシュウ</t>
    </rPh>
    <phoneticPr fontId="1"/>
  </si>
  <si>
    <t>データの分析と可視化(5-7,12,13)</t>
    <phoneticPr fontId="1"/>
  </si>
  <si>
    <t>大規模データ解析応用事例</t>
  </si>
  <si>
    <r>
      <t>データの分析と可視化</t>
    </r>
    <r>
      <rPr>
        <sz val="12"/>
        <rFont val="ＭＳ Ｐゴシック"/>
        <family val="3"/>
        <charset val="128"/>
        <scheme val="minor"/>
      </rPr>
      <t>(5-7,12,13)</t>
    </r>
    <rPh sb="4" eb="6">
      <t>ブンセキ</t>
    </rPh>
    <rPh sb="7" eb="10">
      <t>カシカ</t>
    </rPh>
    <phoneticPr fontId="1"/>
  </si>
  <si>
    <t>講義概要とMATLABのインストール(1)，MATLAB入門 変数 ベクトル 行列 プログラミング(2,6)</t>
    <phoneticPr fontId="1"/>
  </si>
  <si>
    <t>https://www.tcu.ac.jp/tcucms/wp-content/uploads/2021/05/20210511-609a230510f2b.pdf</t>
    <phoneticPr fontId="1"/>
  </si>
  <si>
    <t>https://www.tcu.ac.jp/tcucms/wp-content/uploads/2021/05/20210511-609a230510f2b.pdf</t>
    <phoneticPr fontId="1"/>
  </si>
  <si>
    <t>身近な生活でのデータサイエンス活用（生産・流通・小売など）(4)，社会・公共システムでのデータサイエンス活用（物流最適化など）(5)，事業効率化へのデータサイエンス活用(プラントや製造機器)(6)</t>
  </si>
  <si>
    <t>データの収集（様々なデータ収集，オープンデータの紹介）(7)，データの可視化（データ変換方法，可視化の技術と注意点）(8)，データサイエンスを取り巻く課題と展望(データ倫理)(14)</t>
  </si>
  <si>
    <t>データの収集（様々なデータ収集）(7)，データの可視化（グループワーク： データ可視化トライアル）(8)，データを収集・可視化してみる（グループワーク： データ可視化トライアル，プレゼン資料作成）(9)，データの収集・可視化のまとめ（発表・評価）(10)</t>
  </si>
  <si>
    <t>データサイエンスリテラシー(2)の概要（社会変化とデータサイエンスの重要性）(1)</t>
    <rPh sb="20" eb="22">
      <t>シャカ</t>
    </rPh>
    <rPh sb="22" eb="24">
      <t>ヘンカ</t>
    </rPh>
    <phoneticPr fontId="4"/>
  </si>
  <si>
    <t>データ収集基礎(ダッシュボードを使ったデータ活用事例)(3)</t>
    <rPh sb="16" eb="17">
      <t>ツカッタ</t>
    </rPh>
    <phoneticPr fontId="4"/>
  </si>
  <si>
    <t>課題探索のための実事例の紹介(2)，統計ダッシュボードの事例紹介とアイディア出し(5)</t>
  </si>
  <si>
    <t>数理・データサイエンスに関する倫理（著作権，ライセンス，個人情報保護）(4)</t>
  </si>
  <si>
    <t>データ収集基礎（オープンデータ，クローリング，スクレイピングなどの収集方法，メタデータの確認，名寄せ等の前処理）(3)，データ探索的解析・可視化演習・アイディア修正（ダッシュボード作成）(5-9)，データの機械学習による処理方法とその演習(10-13)，ダッシュボードを用いた分析結果の発表(14)</t>
  </si>
  <si>
    <t>理工学部・建築都市デザイン学部・環境学部・メディア情報学部・都市生活学部については，下記1科目の単位を修得すること。</t>
    <rPh sb="0" eb="4">
      <t>リコウガクブ</t>
    </rPh>
    <rPh sb="5" eb="7">
      <t>ケンチク</t>
    </rPh>
    <rPh sb="7" eb="9">
      <t>トシ</t>
    </rPh>
    <rPh sb="13" eb="15">
      <t>ガクブ</t>
    </rPh>
    <rPh sb="16" eb="20">
      <t>カンキョウガクブ</t>
    </rPh>
    <rPh sb="30" eb="34">
      <t>トシセイカツ</t>
    </rPh>
    <rPh sb="34" eb="36">
      <t>ガクブ</t>
    </rPh>
    <rPh sb="42" eb="44">
      <t>カキ</t>
    </rPh>
    <rPh sb="45" eb="47">
      <t>カモク</t>
    </rPh>
    <rPh sb="48" eb="50">
      <t>タンイ</t>
    </rPh>
    <rPh sb="51" eb="53">
      <t>シュウトク</t>
    </rPh>
    <phoneticPr fontId="1"/>
  </si>
  <si>
    <t>情報工学部情報科学科については，下記2科目とも単位を修得すること。</t>
    <rPh sb="0" eb="5">
      <t>ジョウホウコウガクブ</t>
    </rPh>
    <rPh sb="5" eb="10">
      <t>ジョウホウカガクカ</t>
    </rPh>
    <rPh sb="16" eb="18">
      <t>カキ</t>
    </rPh>
    <rPh sb="23" eb="25">
      <t>タンイ</t>
    </rPh>
    <rPh sb="26" eb="28">
      <t>シュウトク</t>
    </rPh>
    <phoneticPr fontId="1"/>
  </si>
  <si>
    <t>情報工学部知能情報工学科については，下記3科目とも単位を修得すること。</t>
    <rPh sb="0" eb="5">
      <t>ジョウホウコウガクブ</t>
    </rPh>
    <rPh sb="5" eb="7">
      <t>チノウ</t>
    </rPh>
    <rPh sb="7" eb="9">
      <t>ジョウホウ</t>
    </rPh>
    <rPh sb="9" eb="12">
      <t>コウガクカ</t>
    </rPh>
    <rPh sb="18" eb="20">
      <t>カキ</t>
    </rPh>
    <rPh sb="25" eb="27">
      <t>タンイ</t>
    </rPh>
    <rPh sb="28" eb="30">
      <t>シュウトク</t>
    </rPh>
    <phoneticPr fontId="1"/>
  </si>
  <si>
    <t>人間科学部については，下記2科目のうち，いずれかの単位を修得すること。</t>
    <rPh sb="0" eb="5">
      <t>ニンゲンカガクブ</t>
    </rPh>
    <rPh sb="11" eb="13">
      <t>カキ</t>
    </rPh>
    <rPh sb="14" eb="16">
      <t>カモク</t>
    </rPh>
    <rPh sb="25" eb="27">
      <t>タンイ</t>
    </rPh>
    <rPh sb="28" eb="30">
      <t>シュウトク</t>
    </rPh>
    <phoneticPr fontId="1"/>
  </si>
  <si>
    <t>なぜデータサイエンスリテラシーを学ぶのか？(1)，グループワーク：データサイエンス・AI・データ分析で興味を持っている話題について議論(1)，データ分析が我々の暮らしにどう生かされているか？(2,3)，データサイエンスを取り巻く課題と展望(14)</t>
    <phoneticPr fontId="1"/>
  </si>
  <si>
    <t>身近な生活でのデータサイエンス活用(4)，グループワーク：身近なデータ活用事例での利用データと解決したこと・しないこと(4)，社会・公共システムでのデータサイエンス活用(5)，事業効率化へのデータサイエンス活用(6)</t>
    <phoneticPr fontId="1"/>
  </si>
  <si>
    <t>1. データサイエンスの様々な応用事例を学習し，活用のポイント・考え方を身につける。
2. データサイエンス活用における課題解決プロセスとそれぞれの基本的な技術の特徴を説明できる。
3. データサイエンスの技術を体験し，実際の活用の足がかりを得る。</t>
  </si>
  <si>
    <t>サイバーセキュリティ領域における犯罪者の特徴，データの状態とサイバーセキュリティ対策に関して機密性・完全性・可用性の原理，機密性の保護，完全性の保証(4-6)</t>
    <rPh sb="20" eb="22">
      <t>トクチョウ</t>
    </rPh>
    <rPh sb="68" eb="70">
      <t>カンゼン</t>
    </rPh>
    <rPh sb="70" eb="71">
      <t>セイ</t>
    </rPh>
    <rPh sb="72" eb="74">
      <t>ホショウ</t>
    </rPh>
    <phoneticPr fontId="1"/>
  </si>
  <si>
    <t>超スマート社会においては，ビッグデータ（数値，テキスト，画像など様々な種類のデータ）が集まり，それらを解析する必要がある。そのため，データ解析演習ではデータ解析の意義に関する概説において，様々な情報を取り扱えるようになり，それらの解析を通じて様々なサービスや意思決定などが行われるようになってきている現状を説明し，データ解析の基礎演習を行っている。また，データを可視化することにより人間の知的活動を拡大するための演習も行っている。
大規模データ解析応用事例では数理的手法に基づき，画像や音声などの大規模データの背後にある規則性を抽出する方法を学び，データ駆動型解析法を習得させる。</t>
  </si>
  <si>
    <t>行列分解：主成分分析 固有値問題 固有顔 ，次元打ち切り ランダム化SVD，回帰分析：数値最適化(8, 9, 14)</t>
  </si>
  <si>
    <t>これらの講義では，様々なツールを使ってデータ解析の演習を行っている。データ解析演習では，ビッグデータの特徴である様々な構造化データ・非構造化データの双方についてデータ解析演習を行っており，毎回の講義・演習は特定の解析手法やデータ種別に特化して行われているが，それらを総体として眺めたとき，データの多様性や活用領域の広がりが理解できる。また大規模データ解析応用事例ではMATLABを導入し，プログラミングを通してデータ解析を自在に行う能力を身に着けさせている。さらにデータサイエンス応用では，解析後のグループディスカッションを通して，それらが社会でどのように活用されるのかを理解させている。</t>
  </si>
  <si>
    <t>大規模データ解析応用事例では，線形代数や数値最適化の基礎の理論的理解とプログラミング演習による調査データやログデータなどの実データ応用を通して，多種多様なデータに柔軟に対応できる能力を養う。また，データ解析演習ではデータの可視化を通じて，人間との協調について理解させている。データサイエンス基礎では，毎回の講義で紹介される「解析手法」の利活用分野について，製造・サービスなどの実例の紹介に続き，それによる課題解決に向けた提案と意思決定やサービスの提供などに関する話題にも触れる。</t>
  </si>
  <si>
    <t>毎回の講義で紹介される「解析手法」の利活用分野について，製造・サービスなどの実例の紹介に続き，それによる課題解決に向けた提案と意思決定やサービスの提供などに関する話題にも触れる(1-14, 各講義で行われる手法それぞれについて毎回）</t>
  </si>
  <si>
    <t>行列分解:：特異値分解， 最小二乗法 擬逆行列回帰分析2 非線形回帰 回帰分析1 線形回帰 (8, 9)，スパース性と圧縮センシング：フーリエ変換  圧縮センシング, スパース回帰 スパース分類(10, 11, 12)</t>
  </si>
  <si>
    <t>データサイエンス基礎では，毎回の講義で紹介される「解析手法」に関し，手法そのものの限界や留意点だけではなく，情報セキュリティなどに関する留意事項について，個人情報保護・プライバシー保護・匿名加工情報などの観点から触れる。また，大規模データ解析応用事例では，ビッグデータの問題点や事例紹介を取り上げている。</t>
  </si>
  <si>
    <t>毎回の講義で紹介される「解析手法」に関し，データバイアスやアルゴリズムバイアスなど手法そのものの限界や留意点だけではなく，情報セキュリティなどに関する留意事項について，個人情報保護・プライバシー保護・匿名加工情報などの観点から触れる。(1-14, 各講義で用いられるデータの種類に基づいて毎回）</t>
    <rPh sb="0" eb="2">
      <t xml:space="preserve">マイカイノコウギデショウカイサレル「カイセキシュホウ」ニカンシ、 </t>
    </rPh>
    <rPh sb="41" eb="43">
      <t xml:space="preserve">シュホウソノモノノ </t>
    </rPh>
    <rPh sb="48" eb="50">
      <t xml:space="preserve">ゲンカイヤリュウイテンダケデハナク、 </t>
    </rPh>
    <rPh sb="61" eb="63">
      <t xml:space="preserve">ジョウホウソノモノノ </t>
    </rPh>
    <rPh sb="84" eb="90">
      <t>コジンジョウホウホゴ</t>
    </rPh>
    <rPh sb="97" eb="99">
      <t>ホゴ</t>
    </rPh>
    <rPh sb="100" eb="106">
      <t>トクメイカコウジョウホウ</t>
    </rPh>
    <rPh sb="109" eb="111">
      <t>カンテン</t>
    </rPh>
    <rPh sb="128" eb="129">
      <t>モチ</t>
    </rPh>
    <rPh sb="137" eb="139">
      <t>シュルイ</t>
    </rPh>
    <rPh sb="140" eb="141">
      <t>モト</t>
    </rPh>
    <phoneticPr fontId="1"/>
  </si>
  <si>
    <t>ビッグデータの問題点(2)，事例紹介と総合演習(13)</t>
    <rPh sb="7" eb="9">
      <t>モンダイ</t>
    </rPh>
    <rPh sb="9" eb="10">
      <t>テン</t>
    </rPh>
    <rPh sb="14" eb="18">
      <t>ジレイショウカイ</t>
    </rPh>
    <rPh sb="19" eb="21">
      <t>ソウゴウ</t>
    </rPh>
    <rPh sb="21" eb="23">
      <t>エンシュウ</t>
    </rPh>
    <phoneticPr fontId="1"/>
  </si>
  <si>
    <t>データサイエンス基礎では，散布図などのグラフを用いてデータの特性を把握すると同時に，主に統計学や主成分分析を使ってデータを分析し，データの持つ意味を考えさせている。データ解析演習では様々な数値，テキスト，画像など，様々な実データを利用してそれを解析し，その意味を理解させている。これらすべての科目において様々なオープンデータを対象として，すでに学んだ解析手法などに関する演習を行なっている。それらのオープンデータは，行政に関するデータ，経営管理や企業会計に関するデータ，ソフトウェア開発に関するデータなど，実際の社会での実例を題材としている。</t>
  </si>
  <si>
    <t>身近な生活でのデータサイエンス活用(4)，グループワーク：身近なデータ活用事例での利用データと解決したこと・しないこと(4)，社会・公共システムでのデータサイエンス活用(5)，事業効率化へのデータサイエンス活用(6)</t>
    <phoneticPr fontId="1"/>
  </si>
  <si>
    <t>本学における教育改革を推進し，教育の質的向上及び発展に資することを目的として設置した教育開発機構の下に，数理・データサイエンス教育センターを置いている。同センターでは，理系・文系を問わず全学生が，数理及びデータサイエンスの知識を習得し活用することを目的に，人工知能などの基礎的な学習及び体験ができる講義・演習を全学的に展開している。</t>
    <rPh sb="38" eb="40">
      <t>セッチ</t>
    </rPh>
    <rPh sb="42" eb="46">
      <t>キョウイクカイハツ</t>
    </rPh>
    <rPh sb="46" eb="48">
      <t>キコウ</t>
    </rPh>
    <rPh sb="49" eb="50">
      <t>モト</t>
    </rPh>
    <rPh sb="70" eb="71">
      <t>オ</t>
    </rPh>
    <rPh sb="76" eb="77">
      <t>ドウ</t>
    </rPh>
    <phoneticPr fontId="1"/>
  </si>
  <si>
    <t>令和２年度入学生より環境学部・メディア情報学部・都市生活学部・人間科学部が，令和３年度よりこれらに加え，理工学部・建築都市デザイン学部・情報工学部が，本プログラムの中核をなすデータサイエンスリテラシー(1)，または，データサイエンスリテラシー(2)，若しくはこれに代替し得る学科指定の科目の単位修得を卒業要件とすることで，数理・データサイエンス・AI教育を全学的に推進している。</t>
    <rPh sb="0" eb="2">
      <t>レイワ</t>
    </rPh>
    <rPh sb="3" eb="5">
      <t>ネンド</t>
    </rPh>
    <rPh sb="5" eb="8">
      <t>ニュウガクセイ</t>
    </rPh>
    <rPh sb="10" eb="14">
      <t>カンキョウガクブ</t>
    </rPh>
    <rPh sb="24" eb="28">
      <t>トシセイカツ</t>
    </rPh>
    <rPh sb="28" eb="30">
      <t>ガクブ</t>
    </rPh>
    <rPh sb="31" eb="36">
      <t>ニンゲンカガクブ</t>
    </rPh>
    <rPh sb="38" eb="40">
      <t>レイワ</t>
    </rPh>
    <rPh sb="41" eb="43">
      <t>ネンド</t>
    </rPh>
    <rPh sb="49" eb="50">
      <t>クワ</t>
    </rPh>
    <rPh sb="52" eb="56">
      <t>リコウガクブ</t>
    </rPh>
    <rPh sb="57" eb="59">
      <t>ケンチク</t>
    </rPh>
    <rPh sb="59" eb="61">
      <t>トシ</t>
    </rPh>
    <rPh sb="65" eb="67">
      <t>ガクブ</t>
    </rPh>
    <rPh sb="68" eb="73">
      <t>ジョウホウコウガクブ</t>
    </rPh>
    <rPh sb="75" eb="76">
      <t>ホン</t>
    </rPh>
    <rPh sb="82" eb="85">
      <t>ch</t>
    </rPh>
    <rPh sb="125" eb="126">
      <t>モ</t>
    </rPh>
    <rPh sb="132" eb="134">
      <t>ダイタイ</t>
    </rPh>
    <rPh sb="135" eb="136">
      <t>ウ</t>
    </rPh>
    <rPh sb="137" eb="139">
      <t>ガッカ</t>
    </rPh>
    <rPh sb="139" eb="141">
      <t>シテイ</t>
    </rPh>
    <rPh sb="142" eb="144">
      <t>カモク</t>
    </rPh>
    <rPh sb="145" eb="147">
      <t>タンイ</t>
    </rPh>
    <rPh sb="147" eb="149">
      <t>シュウトク</t>
    </rPh>
    <rPh sb="150" eb="154">
      <t>ソツギョウヨウケン</t>
    </rPh>
    <rPh sb="178" eb="180">
      <t>ゼンガク</t>
    </rPh>
    <rPh sb="180" eb="181">
      <t>テキ</t>
    </rPh>
    <rPh sb="182" eb="184">
      <t>スイシン</t>
    </rPh>
    <phoneticPr fontId="1"/>
  </si>
  <si>
    <t>IoT機器やSNSなどを通じて得られるデータが溢れる中，それらのデータから如何に情報・知識を引き出し，行動するかが分野を問わず普段の生活にも非常に重要になってきている。このような世界の状況を統計などのデータをもとに理解する。また，それに伴う，データ量の増加，計算機の処理性能向上，AIの非連続的進化などの社会変化によって可能となる社会課題の解決が求められていることを学習する。さらに学生自ら，身近にあるデータサイエンスの活用事例を見つけ，グループでそのメリット・デメリットを議論することによって，生活と密接に関係していることに気づきを得る。</t>
  </si>
  <si>
    <t>IoT機器やSNSなどを通じて得られるデータが溢れる中，それらのデータから如何に情報・知識を引き出し，行動するかが分野を問わず普段の生活にも非常に重要になってきている。このような世界の状況を統計などのデータをもとに理解する。また，それに伴う，データ量の増加，計算機の処理性能向上，AIの非連続的進化などの社会変化によって可能となる社会課題の解決が求められていることを学習する。さらに学生自ら，身近にあるデータサイエンスの活用事例を見つけ，グループでそのメリット・デメリットを議論することによって，生活と密接に関係していることに気づきを得る。</t>
    <rPh sb="160" eb="162">
      <t>カノウ</t>
    </rPh>
    <rPh sb="267" eb="268">
      <t>エル</t>
    </rPh>
    <phoneticPr fontId="2"/>
  </si>
  <si>
    <t>機械翻訳やペットロボットのような身近にある事例から始まり，スーパー・コンビニでの発注予測などの社会・公共システムでの活用事例など，データサイエンス・AIが様々な分野で活用されていることを紹介する。また，グループワークでは，これらから学習したフレームワークを応用して，身近な課題を例に機械学習を用いた解決方法について検討・議論し，その有用性やデータ収集における課題等についても意識して考える。</t>
    <rPh sb="181" eb="182">
      <t xml:space="preserve">トウ </t>
    </rPh>
    <rPh sb="191" eb="192">
      <t>カンガエ</t>
    </rPh>
    <phoneticPr fontId="2"/>
  </si>
  <si>
    <t>事例紹介にあたって，課題解決において現場のエキスパートによる課題の明確化が非常に重要であることを述べ，エキスパートの知見とデータサイエンスの組み合わせで真の課題解決が可能になることを理解する。その上で，様々なデータサイエンスの事例紹介において，新たなデータを追加するなど組み合わせや広範なシステムに適用することによって新たな課題解決の可能性があることを学習する。さらに，課題解決に特徴的な分析技術についても学習し，技術の転用など活用の幅を広げる考え方を涵養する。</t>
  </si>
  <si>
    <t xml:space="preserve">オープンデータ・オープンソースソフトウェアなどの考え方を学ぶことで，情報の開示によるメリット・デメリットについて理解する。また，ELSIをはじめ様々なデータを利活用するときの課題や留意事項について学習すると共に，個人情報保護法やEU一般データ保護規則(GDPR)など，データに関する世界的な取組みや学習データに含まれるバイアスの影響など，残っている課題についても議論を展開する。 </t>
  </si>
  <si>
    <t>オープンデータを用いたテキストマイニングによってオリジナルデータが持つ特徴や分析結果の解釈に取り組む。また，e-Statの統計データを用いて，身近なデータの可視化・分析をスプレッドシートを用いて行うことで，可視化結果の解釈や特徴の読み取り，相関など，可視化によるデータ利活用の技術を学ぶ。また，グループワークにおいて分析結果のプレゼンテーションを実施し，他者へデータから得られる情報や知識を伝える体験をする。</t>
    <rPh sb="46" eb="47">
      <t>トリクム</t>
    </rPh>
    <rPh sb="189" eb="191">
      <t>ジョウホウ</t>
    </rPh>
    <rPh sb="192" eb="194">
      <t>チシキ</t>
    </rPh>
    <rPh sb="195" eb="196">
      <t>ツタエ</t>
    </rPh>
    <phoneticPr fontId="2"/>
  </si>
  <si>
    <t>我々が日々経験している社会生活に浸透しつつあるロボット，自動運転，顔認証などのシステムが，パターン認識技術をもとに構築されていることを紹介し，最近の社会で人工知能と言われている多くは，大量のデータをもとに学習する機械学習によって実現されていることを学ぶ。我々人間が日々当たり前のように実行していることがパターン認識や人工知能で実現したい目標であることを知り，この実現を目指して人工知能分野が歩んできた歴史を知ることで，この授業で扱っている個々の技術の関係性を理解する。さらに，人工知能や認識器が出力した結果に基づいて行動することが社会でのシステムには不可欠であり，それによって社会環境から被る損失まで考慮してシステムを設計する手法を学ぶ。</t>
  </si>
  <si>
    <t>コンピュータ技術の発展により生活のあらゆる箇所にコンピュータが利用され，多様なセンサー技術の発展と共にコンピュータは計算機からセンサーデータ処理装置へと変化してきたことを学ぶ。さらに得られたセンサーデータや処理データはネットワークを介して有機的に接続されているのが現代社会であり，それらの大量のデータをいかにして利活用するのかを具体的に示しているのが確率統計的な学習に基づく機械学習であることを学ぶ。</t>
  </si>
  <si>
    <t>従来の専門家の知識を直接埋め込む人工知能から，大量のデータを用いた学習に基づく人工知能には変わったが，学習する内容は人間には不得意な大量の記憶に基づくものと，単なる記憶ではなくより抽象度の高い情報へと変換する必要があるものとに分類され，後者のような人間に近い学習は現在でも難しいことを学ぶ。目的別の学習データと教師データが必要であることを理解し，構築できる人工知能も学習データ以上の情報の生成は極めて難しいことを理解する。そのうえで，現在の機械学習システムの構築手順を理解し，その手順を繰り返しつつ徐々に目的の性能まで改善していく必要があることを学ぶ。</t>
  </si>
  <si>
    <t>「パターン認識」では，同一事象を表す多くのセンサからの情報を統合することで様々な認識が可能になることと，その悪影響として個人性情報や機密情報が推論できる可能性を排除できないことも理解する。また，認識システムの性能はあくまで学習データが定めるのであって，その正誤は学習データの量と質で左右されること，さらに，認識システムの判断結果は，それが社会システムへの影響度に応じて大きな損害を生む可能性があり，その損失をリスクとして定式化し，認識システムに用いる方法を学ぶ。
「情報セキュリティ」では，情報セキュリティに関わる事件・事故が頻発していることを念頭に，守るべきものはCIA Triadと呼ばれる機密性，完全性，可用性であることや，情報を不法に搾取する方法について，それを検出して防衛するための方法の概略，パスワードの選び方や多要素認証といったデータを守る上での留意事項について言及している。</t>
  </si>
  <si>
    <t>パターン認識する対象のカテゴリごとに学習データのヒストグラムを作成することで簡易的にパターンの性質を見ることができることを学ぶ。その後，学習データのばらつきが正規分布に従うという条件を付けてカテゴリごとにモデル化することで確率に基づいた認識法を配布プログラムを用いた演習を通して具体的に学ぶ。さらに，人間の常識にあたる事前確率の考えを導入することで事後確率最大化基準で認識器をモデル化できることを学ぶ。そのモデル化パラメタを学習データから推定する方法には，最尤推定法とベイズ推定法があることを理解し，各々の推定法に基づく認識手法を具体的な例題を通して学ぶ。</t>
  </si>
  <si>
    <t>機械翻訳やペットロボットのような身近にある事例から始まり，スーパー・コンビニでの発注予測などの社会・公共システムでの活用事例など，データサイエンス・AIが様々な分野で活用されていることを紹介する。また，グループワークでは，これらから学習したフレームワークを応用して，身近な課題を例に機械学習を用いた解決方法について検討・議論し，その有用性やデータ収集における課題等についても意識して考える。
データサイエンスリテラシー(2)では，上記のような事例に加えて，特に統計ダッシュボードを用いた可視化による課題解決について学ぶ。</t>
  </si>
  <si>
    <t>事例紹介にあたって，課題解決において現場のエキスパートによる課題の明確化が非常に重要であることを述べ，エキスパートの知見とデータサイエンスの組み合わせで真の課題解決が可能になることを理解する。その上で，様々なデータサイエンスの事例紹介において，新たなデータを追加するなど組み合わせや広範なシステムに適用することによって新たな課題解決の可能性があることを学習する。さらに，課題解決に特徴的な分析技術についても学習し，技術の転用など活用の幅を広げる考え方を涵養する。
データサイエンスリテラシー(2)では，上記のような事例に加えて現場の知見を可視化することによる新たな価値について事例を示す。</t>
  </si>
  <si>
    <t>オープンデータを用いたテキストマイニングによってオリジナルデータが持つ特徴や分析結果の解釈に取り組む。また，e-Statの統計データを用いて，身近なデータの可視化・分析をスプレッドシートを用いて行うことで，可視化結果の解釈や特徴の読み取り，相関など，可視化によるデータ利活用の技術を学ぶ。また，グループワークにおいて分析結果のプレゼンテーションを実施し，他者へデータから得られる情報や知識を伝える体験をする。
データサイエンスリテラシー(2)では，上記に加えて自ら課題を設定し，データ収集から可視化，統計ダッシュボードを作成，発表することを通じて，データの読み方や利用方法の技術について学ぶ。</t>
  </si>
  <si>
    <t>本プログラムの中核をなす授業科目であるデータサイエンスリテラシー(1)および(2)について，LMSに講義資料および講義動画のアーカイブを蓄積し，全ての学生がいつでも講義の資料および講義動画を閲覧可能な環境を構築している。また，令和2年度についてはオンラインでの講義参加も認めており，ノートパソコン端末の貸与やインターネット環境が不十分な学生のための教室の確保など，学生の状況に合わせた履修方法を選択できる体制を整えている。</t>
    <rPh sb="113" eb="115">
      <t>レイワ</t>
    </rPh>
    <phoneticPr fontId="1"/>
  </si>
  <si>
    <t xml:space="preserve">本プログラムについての履修をLMSにて管理し，学生は授業時間以外に不明点等をシステムを通じて確認することができ，質問は教育開発機構 数理・データサイエンス教育センターの教員もしくは各科目の担当教員を通じて返答する体制を整備している。また，担当教員が質問等に対応する時間帯をシラバスに科目ごとに明記している。
さらに，同センターが直接提供しているデータサイエンスリテラシー(1)および(2)では講義後に質問できる時間を設けるとともに，講義回ごとに任意のアンケートを実施し，質問や分かりにくかった内容，印象に残った内容等の情報を収集し，次回以降の講義に反映している。
</t>
    <rPh sb="59" eb="63">
      <t>キョウイクカイハツ</t>
    </rPh>
    <rPh sb="63" eb="65">
      <t>キコウ</t>
    </rPh>
    <rPh sb="66" eb="68">
      <t>スウリ</t>
    </rPh>
    <rPh sb="77" eb="79">
      <t>キョウイク</t>
    </rPh>
    <rPh sb="158" eb="159">
      <t>ドウ</t>
    </rPh>
    <phoneticPr fontId="1"/>
  </si>
  <si>
    <t>コンピュータとネットワークとセンサーで埋め尽くされた社会が生む大量のデータ(1)，大量のデータを用いた確率統計的な学習(2-5,8,9,11,13)，生活に浸透するAI(1,13)</t>
    <phoneticPr fontId="1"/>
  </si>
  <si>
    <r>
      <t>クラスタ分析</t>
    </r>
    <r>
      <rPr>
        <sz val="12"/>
        <rFont val="ＭＳ Ｐゴシック"/>
        <family val="3"/>
        <charset val="128"/>
        <scheme val="minor"/>
      </rPr>
      <t>(1,12)，主成分分析(2,13)，因子分析等の多変量解析などの総合演習(3-11,13,14)</t>
    </r>
    <rPh sb="4" eb="6">
      <t>ブンセキ</t>
    </rPh>
    <rPh sb="13" eb="18">
      <t>シュセイブンブンセキ</t>
    </rPh>
    <rPh sb="25" eb="29">
      <t>インシブンセキ</t>
    </rPh>
    <rPh sb="29" eb="30">
      <t>トウ</t>
    </rPh>
    <rPh sb="31" eb="36">
      <t>タヘンリョウカイセキ</t>
    </rPh>
    <rPh sb="39" eb="43">
      <t>ソウゴウエンシュウ</t>
    </rPh>
    <phoneticPr fontId="1"/>
  </si>
  <si>
    <t>各年度の履修者数の目標を以下のとおりとする。（（　）内は履修率。）
令和３年度　1,300名　（２０％）
令和４年度　2,600名　（４０％）
令和５年度　3,900名　（６０％）
令和６年度　5,000名　（７５％）
令和７年度　5,000名　（７５％）
本プログラムの中核をなす授業科目であるデータサイエンスリテラシー(1)，データサイエンスリテラシー(2)は，令和３年度入学生より全学に共通して開講する教養科目にすることを既に決めており，実行している。これにより，学年進行により履修率が上昇していくものと考えている。また，各キャンパスに各担当者が赴き，当該科目の授業を行うことで，学部・学科に関係なく希望する学生全員が受講可能となる体制を整えている。</t>
    <rPh sb="142" eb="144">
      <t>ジュギョウ</t>
    </rPh>
    <rPh sb="184" eb="186">
      <t>レイワ</t>
    </rPh>
    <phoneticPr fontId="1"/>
  </si>
  <si>
    <t>本プログラムの中核をなす授業科目であるデータサイエンスリテラシー(1)，データサイエンスリテラシー(2)は，2021年度入学生より全学に共通して開講する教養科目にすることを，既に決めており，実行している。各キャンパスに各担当者が赴き，当該科目の授業を行うことで，学部・学科に関係なく希望する学生全員が受講可能となる体制を整えている。</t>
    <rPh sb="0" eb="1">
      <t>ホン</t>
    </rPh>
    <rPh sb="7" eb="9">
      <t>チュウカク</t>
    </rPh>
    <rPh sb="12" eb="14">
      <t>ジュギョウ</t>
    </rPh>
    <rPh sb="14" eb="16">
      <t>カモク</t>
    </rPh>
    <rPh sb="58" eb="60">
      <t>ネンド</t>
    </rPh>
    <rPh sb="60" eb="63">
      <t>ニュウガクセイ</t>
    </rPh>
    <rPh sb="65" eb="67">
      <t>ゼンガク</t>
    </rPh>
    <rPh sb="68" eb="70">
      <t>キョウツウ</t>
    </rPh>
    <rPh sb="72" eb="74">
      <t>カイコウ</t>
    </rPh>
    <rPh sb="76" eb="80">
      <t>キョウヨウカモク</t>
    </rPh>
    <rPh sb="87" eb="88">
      <t>スデ</t>
    </rPh>
    <rPh sb="89" eb="90">
      <t>キ</t>
    </rPh>
    <rPh sb="95" eb="97">
      <t>ジッコウ</t>
    </rPh>
    <rPh sb="102" eb="103">
      <t>カク</t>
    </rPh>
    <rPh sb="109" eb="110">
      <t>カク</t>
    </rPh>
    <rPh sb="110" eb="113">
      <t>タントウシャ</t>
    </rPh>
    <rPh sb="114" eb="115">
      <t>オモム</t>
    </rPh>
    <rPh sb="117" eb="119">
      <t>トウガイ</t>
    </rPh>
    <rPh sb="119" eb="121">
      <t>カモク</t>
    </rPh>
    <rPh sb="122" eb="124">
      <t>ジュギョウ</t>
    </rPh>
    <rPh sb="125" eb="126">
      <t>オコナ</t>
    </rPh>
    <rPh sb="131" eb="133">
      <t>ガクブ</t>
    </rPh>
    <rPh sb="134" eb="136">
      <t>ガッカ</t>
    </rPh>
    <rPh sb="137" eb="139">
      <t>カンケイ</t>
    </rPh>
    <rPh sb="141" eb="143">
      <t>キボウ</t>
    </rPh>
    <rPh sb="145" eb="149">
      <t>ガクセイゼンイン</t>
    </rPh>
    <rPh sb="150" eb="154">
      <t>ジュコウカノウ</t>
    </rPh>
    <rPh sb="157" eb="159">
      <t>タイセイ</t>
    </rPh>
    <rPh sb="160" eb="161">
      <t>トトノ</t>
    </rPh>
    <phoneticPr fontId="1"/>
  </si>
  <si>
    <t>教育開発機構において，本教育プログラムの履修・修得状況の分析を定期的に実施している。その結果は，教育開発機構が発行するニュースレターに記載し，学内に周知している。また，講義への出席状況はLMSや出席管理システムを通じて学生ごとに把握することができる。これらの結果をもとに，授業の実施形態などの改善に役立てている。</t>
    <rPh sb="11" eb="12">
      <t>ホン</t>
    </rPh>
    <rPh sb="12" eb="14">
      <t>キョウイク</t>
    </rPh>
    <rPh sb="23" eb="25">
      <t>シュウトク</t>
    </rPh>
    <rPh sb="31" eb="34">
      <t>テイキテキ</t>
    </rPh>
    <rPh sb="44" eb="46">
      <t>ケッカ</t>
    </rPh>
    <rPh sb="55" eb="57">
      <t>ハッコウ</t>
    </rPh>
    <rPh sb="67" eb="69">
      <t>キサイ</t>
    </rPh>
    <rPh sb="97" eb="99">
      <t>シュッセキ</t>
    </rPh>
    <rPh sb="99" eb="101">
      <t>カンリ</t>
    </rPh>
    <rPh sb="129" eb="131">
      <t>ケッカ</t>
    </rPh>
    <rPh sb="136" eb="138">
      <t>ジュギョウ</t>
    </rPh>
    <rPh sb="139" eb="143">
      <t>ジッシケイタイ</t>
    </rPh>
    <rPh sb="146" eb="148">
      <t>カイゼン</t>
    </rPh>
    <rPh sb="149" eb="151">
      <t>ヤクダ</t>
    </rPh>
    <phoneticPr fontId="1"/>
  </si>
  <si>
    <t>本教育プログラムの授業内容と学修成果に関する点検・評価は，教育開発機構が担っている。教育開発機構の下部組織である数理・データサイエンス教育センターでは講義の初日と最終日にデータサイエンス・AIに対する意識調査を実施しており，講義による意識の変化を調査している。その結果を用いて，教育開発機構が講義の成績や意識が否定的に変化した学生の特性などの観点で分析を進めており，本教育プログラムの評価・改善に役立てている。</t>
    <rPh sb="49" eb="53">
      <t>カブソシキ</t>
    </rPh>
    <rPh sb="132" eb="134">
      <t>ケッカ</t>
    </rPh>
    <rPh sb="135" eb="136">
      <t>モチ</t>
    </rPh>
    <rPh sb="139" eb="143">
      <t>キョウイクカイハツ</t>
    </rPh>
    <rPh sb="143" eb="145">
      <t>キコウ</t>
    </rPh>
    <phoneticPr fontId="1"/>
  </si>
  <si>
    <t>本教育プログラム受講者全員に対して，授業改善及び修学行動等の把握を目的として，各授業の授業評価アンケートを実施しており，各授業担当者が理解度の分析や講義の改善に役立てている。また，教育開発機構が，本教育プログラムの中核をなす授業科目であるデータサイエンスリテラシー(1)にフォーカスして，理解度の分析を行った。また同科目では，座学のパートに対して小テストを実施し，内容の理解度の把握に努めている。これらの情報を，授業内容や授業方法の改善に役立てている。</t>
    <rPh sb="90" eb="94">
      <t>キョウイクカイハツ</t>
    </rPh>
    <rPh sb="94" eb="96">
      <t>キコウ</t>
    </rPh>
    <rPh sb="99" eb="101">
      <t>キョウイク</t>
    </rPh>
    <rPh sb="151" eb="152">
      <t>オコナ</t>
    </rPh>
    <rPh sb="157" eb="158">
      <t>ドウ</t>
    </rPh>
    <rPh sb="158" eb="160">
      <t>カモク</t>
    </rPh>
    <rPh sb="189" eb="191">
      <t>ハアク</t>
    </rPh>
    <rPh sb="192" eb="193">
      <t>ツト</t>
    </rPh>
    <rPh sb="202" eb="204">
      <t>ジョウホウ</t>
    </rPh>
    <rPh sb="206" eb="210">
      <t>ジュギョウナイヨウ</t>
    </rPh>
    <rPh sb="211" eb="213">
      <t>ジュギョウ</t>
    </rPh>
    <rPh sb="213" eb="215">
      <t>ホウホウ</t>
    </rPh>
    <rPh sb="216" eb="218">
      <t>カイゼン</t>
    </rPh>
    <rPh sb="219" eb="221">
      <t>ヤクダ</t>
    </rPh>
    <phoneticPr fontId="1"/>
  </si>
  <si>
    <t>全授業を対象とした授業評価アンケートにおいて，後輩学生や他の学生への推奨度を直接的に問う設問はないものの，規模の１番大きい世田谷キャンパスにおける設問「総合的にみてこの授業で力は付きましたか」でもって，確認できるものと考えている。選択肢は5段階で，5が「そう思う」，4が「まあそう思う」，3が「どちらともいえない」，2が「あまりそう思わない」，1が「そう思わない」である。本プログラムの中核を担う授業科目「データサイエンスリテラシー(1)」の令和２年度の平均は，4.1であった。すなわち，「まあそう思う」相当と考えられる。よって，教育開発機構では，本教育プログラムについて後輩等他の学生への推奨度は，高いものと考えている。今後も，教育開発機構において授業評価アンケートを分析し，本教育プログラムについて後輩等他の学生への推奨度が向上するよう改善していく。</t>
    <rPh sb="0" eb="3">
      <t>ゼンジュギョウ</t>
    </rPh>
    <rPh sb="4" eb="6">
      <t>タイショウ</t>
    </rPh>
    <rPh sb="9" eb="13">
      <t>ジュギョウヒョウカ</t>
    </rPh>
    <rPh sb="36" eb="37">
      <t>ド</t>
    </rPh>
    <rPh sb="38" eb="41">
      <t>チョクセツテキ</t>
    </rPh>
    <rPh sb="42" eb="43">
      <t>ト</t>
    </rPh>
    <rPh sb="44" eb="46">
      <t>セツモン</t>
    </rPh>
    <rPh sb="53" eb="55">
      <t>キボ</t>
    </rPh>
    <rPh sb="57" eb="58">
      <t>バン</t>
    </rPh>
    <rPh sb="58" eb="59">
      <t>オオ</t>
    </rPh>
    <rPh sb="61" eb="64">
      <t>セタガヤ</t>
    </rPh>
    <rPh sb="73" eb="75">
      <t>セツモン</t>
    </rPh>
    <rPh sb="76" eb="79">
      <t>ソウゴウテキ</t>
    </rPh>
    <rPh sb="84" eb="86">
      <t>ジュギョウ</t>
    </rPh>
    <rPh sb="87" eb="88">
      <t>チカラ</t>
    </rPh>
    <rPh sb="89" eb="90">
      <t>ツ</t>
    </rPh>
    <rPh sb="101" eb="103">
      <t>カクニン</t>
    </rPh>
    <rPh sb="109" eb="110">
      <t>カンガ</t>
    </rPh>
    <rPh sb="115" eb="118">
      <t>センタクシ</t>
    </rPh>
    <rPh sb="120" eb="122">
      <t>ダンカイ</t>
    </rPh>
    <rPh sb="129" eb="130">
      <t>オモ</t>
    </rPh>
    <rPh sb="140" eb="141">
      <t>オモ</t>
    </rPh>
    <rPh sb="166" eb="167">
      <t>オモ</t>
    </rPh>
    <rPh sb="177" eb="178">
      <t>オモ</t>
    </rPh>
    <rPh sb="186" eb="187">
      <t>ホン</t>
    </rPh>
    <rPh sb="193" eb="195">
      <t>チュウカク</t>
    </rPh>
    <rPh sb="196" eb="197">
      <t>ニナ</t>
    </rPh>
    <rPh sb="198" eb="202">
      <t>ジュギョウカモク</t>
    </rPh>
    <rPh sb="221" eb="223">
      <t>レイワ</t>
    </rPh>
    <rPh sb="224" eb="225">
      <t>ネン</t>
    </rPh>
    <rPh sb="225" eb="226">
      <t>ド</t>
    </rPh>
    <rPh sb="227" eb="229">
      <t>ヘイキン</t>
    </rPh>
    <rPh sb="252" eb="254">
      <t>ソウトウ</t>
    </rPh>
    <rPh sb="255" eb="256">
      <t>カンガ</t>
    </rPh>
    <rPh sb="265" eb="269">
      <t>キョウイクカイハツ</t>
    </rPh>
    <rPh sb="269" eb="271">
      <t>キコウ</t>
    </rPh>
    <rPh sb="275" eb="277">
      <t>キョウイク</t>
    </rPh>
    <rPh sb="286" eb="288">
      <t>コウハイ</t>
    </rPh>
    <rPh sb="288" eb="289">
      <t>トウ</t>
    </rPh>
    <rPh sb="289" eb="290">
      <t>タ</t>
    </rPh>
    <rPh sb="291" eb="293">
      <t>ガクセイ</t>
    </rPh>
    <rPh sb="295" eb="298">
      <t>スイショウド</t>
    </rPh>
    <rPh sb="300" eb="301">
      <t>タカ</t>
    </rPh>
    <rPh sb="305" eb="306">
      <t>カンガ</t>
    </rPh>
    <rPh sb="311" eb="313">
      <t>コンゴ</t>
    </rPh>
    <rPh sb="325" eb="329">
      <t>ジュギョウヒョウカ</t>
    </rPh>
    <rPh sb="335" eb="337">
      <t>ブンセキ</t>
    </rPh>
    <rPh sb="339" eb="340">
      <t>ホン</t>
    </rPh>
    <rPh sb="340" eb="342">
      <t>キョウイク</t>
    </rPh>
    <rPh sb="364" eb="366">
      <t>コウジョウ</t>
    </rPh>
    <rPh sb="370" eb="372">
      <t>カイゼン</t>
    </rPh>
    <phoneticPr fontId="1"/>
  </si>
  <si>
    <t>本教育プログラムの中核をなす授業科目であるデータサイエンスリテラシー(1)・データサイエンスリテラシー(2)は，令和３年度入学生より全学に共通して開講する教養科目とすることを既に決めており，実行している。これに伴い，学年進行により履修率が上昇していくものと考えている。また，学部ごとにプログラムを構成する科目が異なる現況を是正し，全学で共通化して，データサイエンスリテラシー(1)またはデータサイエンスリテラシー(2)のいずれかの単位修得を修了要件に変更することで，プログラムの内容をわかりやすくすることを検討している。</t>
    <rPh sb="1" eb="3">
      <t>キョウイク</t>
    </rPh>
    <rPh sb="14" eb="18">
      <t>ジュギョウカモク</t>
    </rPh>
    <rPh sb="56" eb="58">
      <t>レイワ</t>
    </rPh>
    <rPh sb="95" eb="97">
      <t>ジッコウ</t>
    </rPh>
    <rPh sb="137" eb="139">
      <t>ガクブ</t>
    </rPh>
    <rPh sb="148" eb="150">
      <t>コウセイ</t>
    </rPh>
    <rPh sb="152" eb="154">
      <t>カモク</t>
    </rPh>
    <rPh sb="155" eb="156">
      <t>コト</t>
    </rPh>
    <rPh sb="158" eb="160">
      <t>ゲンキョウ</t>
    </rPh>
    <rPh sb="161" eb="163">
      <t>ゼセイ</t>
    </rPh>
    <rPh sb="165" eb="167">
      <t>ゼンガク</t>
    </rPh>
    <rPh sb="168" eb="171">
      <t>キョウツウカ</t>
    </rPh>
    <rPh sb="215" eb="217">
      <t>タンイ</t>
    </rPh>
    <rPh sb="217" eb="219">
      <t>シュウトク</t>
    </rPh>
    <rPh sb="220" eb="222">
      <t>シュウリョウ</t>
    </rPh>
    <rPh sb="222" eb="224">
      <t>ヨウケン</t>
    </rPh>
    <rPh sb="225" eb="227">
      <t>ヘンコウ</t>
    </rPh>
    <rPh sb="239" eb="241">
      <t>ナイヨウ</t>
    </rPh>
    <rPh sb="253" eb="255">
      <t>ケントウ</t>
    </rPh>
    <phoneticPr fontId="1"/>
  </si>
  <si>
    <t>本教育プログラム修了者は，未だ卒業していないため，進路，活躍状況，企業等の評価を得ることはできない。しかし，本学では従前から卒業生アンケートを卒後５年，１５年に実施しているため，やがては本プログラム修了者の活躍状況を把握できるようになるものと考えている。</t>
    <rPh sb="0" eb="1">
      <t>ホン</t>
    </rPh>
    <rPh sb="1" eb="3">
      <t>キョウイク</t>
    </rPh>
    <rPh sb="8" eb="10">
      <t>シュウリョウ</t>
    </rPh>
    <rPh sb="10" eb="11">
      <t>シャ</t>
    </rPh>
    <rPh sb="13" eb="14">
      <t>イマ</t>
    </rPh>
    <rPh sb="15" eb="17">
      <t>ソツギョウ</t>
    </rPh>
    <rPh sb="25" eb="27">
      <t>シンロ</t>
    </rPh>
    <rPh sb="28" eb="30">
      <t>カツヤク</t>
    </rPh>
    <rPh sb="30" eb="32">
      <t>ジョウキョウ</t>
    </rPh>
    <rPh sb="33" eb="35">
      <t>キギョウ</t>
    </rPh>
    <rPh sb="35" eb="36">
      <t>トウ</t>
    </rPh>
    <rPh sb="37" eb="39">
      <t>ヒョウカ</t>
    </rPh>
    <rPh sb="40" eb="41">
      <t>エ</t>
    </rPh>
    <rPh sb="54" eb="56">
      <t>ホンガク</t>
    </rPh>
    <rPh sb="58" eb="60">
      <t>ジュウゼン</t>
    </rPh>
    <rPh sb="62" eb="65">
      <t>ソツギョウセイ</t>
    </rPh>
    <rPh sb="71" eb="73">
      <t>ソツゴ</t>
    </rPh>
    <rPh sb="74" eb="75">
      <t>ネン</t>
    </rPh>
    <rPh sb="78" eb="79">
      <t>ネン</t>
    </rPh>
    <rPh sb="80" eb="82">
      <t>ジッシ</t>
    </rPh>
    <rPh sb="93" eb="94">
      <t>ホン</t>
    </rPh>
    <rPh sb="99" eb="101">
      <t>シュウリョウ</t>
    </rPh>
    <rPh sb="101" eb="102">
      <t>シャ</t>
    </rPh>
    <rPh sb="103" eb="105">
      <t>カツヤク</t>
    </rPh>
    <rPh sb="105" eb="107">
      <t>ジョウキョウ</t>
    </rPh>
    <rPh sb="108" eb="110">
      <t>ハアク</t>
    </rPh>
    <rPh sb="121" eb="122">
      <t>カンガ</t>
    </rPh>
    <phoneticPr fontId="1"/>
  </si>
  <si>
    <t>本教育プログラムの中核をなす授業科目であるデータサイエンスリテラシー(1)では，ソニーのニューラルネットワークコンソールを活用しており，教材開発にあたっては，ソニーネットワークコミュニケーションズ（SNC）との共同研究のもとに進めてきた。特にディープラーニングに関連する演習講義ではSNCで実施しているハンズオン資料をもとに，本講義における学習内容のみを前提として文系学生でも実施できるような内容を新たに検討していただいた。さらに，資料を分かりやすいものにするために教員がSNC担当者と議論しながら随時資料の追加や改訂を行っているため，産業界の視点を取り入れた教育プログラムとなっている。</t>
    <rPh sb="1" eb="3">
      <t>キョウイク</t>
    </rPh>
    <phoneticPr fontId="1"/>
  </si>
  <si>
    <t>本教育プログラムの中核をなすデータサイエンスリテラシー(1)では，モデルカリキュラムリテラシーレベルの「導入」に準じた内容を起点として，身近なデータ・AI活用事例を学生が持ち寄り，グループディスカッションで興味や好奇心を高めるように講義を構成している。また，SDGsの解決に向けたデータサイエンスの取組事例調査を行う際に，学生が興味を持っているSDGsのゴールによってグループを分けることで，積極的に議論を行えるよう工夫している。また，ウェブツールを積極的に用いることでテキストマイニングやディープラーニングによる分析を簡単に体験でき。バグ探しなどで意気を削がれず，興味を持続できるように配慮している。</t>
    <rPh sb="1" eb="3">
      <t>キョウイク</t>
    </rPh>
    <phoneticPr fontId="1"/>
  </si>
  <si>
    <t>関連する全ての科目について，定期的にアンケートを実施し，科目ごとに他の教員が講義内容・実施方法の見直しを検討している。また，教員が担当以外の講義を参観できるような期間を設け，講義内容・実施方法について他の講義から気づきを得る機会としている。さらに数理・データサイエンス教育センターが実施するデータサイエンスリテラシー(1)および(2)では，講義回ごとにアンケートを行い，講義でわかりにくかった点や改善のアイデアについても意見を集め，改善の参考にしている。これらの情報を教育開発機構で集約するとともに，他大学の授業内容や企業からのご意見を参考に，授業の内容，実施方法の見直しや改善に役立てている。</t>
    <rPh sb="33" eb="34">
      <t>タ</t>
    </rPh>
    <rPh sb="172" eb="173">
      <t>カイ</t>
    </rPh>
    <rPh sb="231" eb="233">
      <t>ジョウホウ</t>
    </rPh>
    <rPh sb="234" eb="238">
      <t>キョウイクカイハツ</t>
    </rPh>
    <rPh sb="238" eb="240">
      <t>キコウ</t>
    </rPh>
    <rPh sb="241" eb="243">
      <t>シュウヤク</t>
    </rPh>
    <rPh sb="290" eb="292">
      <t>ヤクダ</t>
    </rPh>
    <phoneticPr fontId="1"/>
  </si>
  <si>
    <t>有</t>
  </si>
  <si>
    <t>https://www.tcu.ac.jp/tcucms/wp-content/uploads/2021/06/20210629-60da7ac15794d.pdf</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</si>
</sst>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0_ "/>
    <numFmt numFmtId="177" formatCode="#,##0;&quot;△ &quot;#,##0"/>
  </numFmts>
  <fonts count="17"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0"/>
      <color theme="1"/>
      <name val="ＭＳ Ｐゴシック"/>
      <family val="3"/>
      <charset val="128"/>
      <scheme val="minor"/>
    </font>
    <font>
      <sz val="12"/>
      <name val="ＭＳ Ｐゴシック"/>
      <family val="3"/>
      <charset val="128"/>
      <scheme val="minor"/>
    </font>
    <font>
      <sz val="12"/>
      <name val="ＭＳ Ｐゴシック"/>
      <family val="2"/>
      <charset val="128"/>
      <scheme val="minor"/>
    </font>
    <font>
      <sz val="7"/>
      <color theme="1"/>
      <name val="ＭＳ Ｐゴシック"/>
      <family val="3"/>
      <charset val="128"/>
      <scheme val="minor"/>
    </font>
    <font>
      <sz val="12"/>
      <color rgb="FFFF0000"/>
      <name val="ＭＳ Ｐゴシック"/>
      <family val="2"/>
      <charset val="128"/>
      <scheme val="minor"/>
    </font>
    <font>
      <sz val="12"/>
      <color rgb="FFFF0000"/>
      <name val="ＭＳ Ｐゴシック"/>
      <family val="3"/>
      <charset val="128"/>
      <scheme val="minor"/>
    </font>
    <font>
      <sz val="9"/>
      <color rgb="FFFF0000"/>
      <name val="ＭＳ Ｐゴシック"/>
      <family val="3"/>
      <charset val="128"/>
      <scheme val="minor"/>
    </font>
    <font>
      <sz val="11"/>
      <name val="ＭＳ Ｐゴシック"/>
      <family val="2"/>
      <charset val="128"/>
      <scheme val="minor"/>
    </font>
    <font>
      <sz val="11"/>
      <color theme="1"/>
      <name val="ＭＳ Ｐゴシック"/>
      <family val="3"/>
      <charset val="128"/>
      <scheme val="minor"/>
    </font>
  </fonts>
  <fills count="2">
    <fill>
      <patternFill patternType="none"/>
    </fill>
    <fill>
      <patternFill patternType="gray125"/>
    </fill>
  </fills>
  <borders count="4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right style="thin">
        <color auto="1"/>
      </right>
      <top style="thin">
        <color auto="1"/>
      </top>
      <bottom style="hair">
        <color auto="1"/>
      </bottom>
      <diagonal/>
    </border>
    <border>
      <left style="thin">
        <color auto="1"/>
      </left>
      <right/>
      <top style="hair">
        <color auto="1"/>
      </top>
      <bottom style="double">
        <color auto="1"/>
      </bottom>
      <diagonal/>
    </border>
    <border>
      <left/>
      <right style="thin">
        <color auto="1"/>
      </right>
      <top style="hair">
        <color auto="1"/>
      </top>
      <bottom style="double">
        <color auto="1"/>
      </bottom>
      <diagonal/>
    </border>
    <border>
      <left style="thin">
        <color auto="1"/>
      </left>
      <right/>
      <top/>
      <bottom style="hair">
        <color auto="1"/>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366">
    <xf numFmtId="0" fontId="0" fillId="0" borderId="0" xfId="0">
      <alignment vertical="center"/>
    </xf>
    <xf numFmtId="0" fontId="2" fillId="0" borderId="0" xfId="0" applyFont="1">
      <alignment vertical="center"/>
    </xf>
    <xf numFmtId="0" fontId="4" fillId="0" borderId="0" xfId="0" applyFont="1">
      <alignment vertical="center"/>
    </xf>
    <xf numFmtId="0" fontId="2" fillId="0" borderId="0" xfId="0" applyFont="1" applyBorder="1">
      <alignment vertical="center"/>
    </xf>
    <xf numFmtId="0" fontId="4" fillId="0" borderId="0" xfId="0" applyFont="1" applyBorder="1" applyAlignment="1">
      <alignment vertical="center" wrapText="1"/>
    </xf>
    <xf numFmtId="0" fontId="3" fillId="0" borderId="0" xfId="0" applyFont="1" applyAlignment="1">
      <alignment vertical="center"/>
    </xf>
    <xf numFmtId="0" fontId="2" fillId="0" borderId="5" xfId="0" applyFont="1" applyBorder="1">
      <alignment vertical="center"/>
    </xf>
    <xf numFmtId="0" fontId="2" fillId="0" borderId="0" xfId="0" applyFont="1" applyBorder="1" applyAlignment="1">
      <alignment vertical="center" wrapText="1"/>
    </xf>
    <xf numFmtId="0" fontId="4" fillId="0" borderId="0" xfId="0" applyFont="1" applyBorder="1" applyAlignment="1">
      <alignment vertical="top" wrapText="1"/>
    </xf>
    <xf numFmtId="0" fontId="3" fillId="0" borderId="0" xfId="0" applyFont="1" applyBorder="1" applyAlignment="1">
      <alignment vertical="top" wrapText="1"/>
    </xf>
    <xf numFmtId="0" fontId="3" fillId="0" borderId="0" xfId="0" applyFont="1">
      <alignment vertical="center"/>
    </xf>
    <xf numFmtId="0" fontId="3" fillId="0" borderId="0" xfId="0" applyFont="1" applyBorder="1" applyAlignment="1">
      <alignment vertical="center" wrapText="1"/>
    </xf>
    <xf numFmtId="0" fontId="4" fillId="0" borderId="0" xfId="0" applyFont="1" applyBorder="1" applyAlignment="1">
      <alignment vertical="top" shrinkToFit="1"/>
    </xf>
    <xf numFmtId="0" fontId="2" fillId="0" borderId="0" xfId="0" applyFont="1" applyAlignment="1">
      <alignment vertical="center"/>
    </xf>
    <xf numFmtId="0" fontId="2" fillId="0" borderId="0" xfId="0" applyFont="1" applyBorder="1" applyAlignment="1">
      <alignment vertical="top" wrapText="1"/>
    </xf>
    <xf numFmtId="0" fontId="2" fillId="0" borderId="0" xfId="0" applyFont="1" applyBorder="1" applyAlignment="1">
      <alignment vertical="center"/>
    </xf>
    <xf numFmtId="0" fontId="5" fillId="0" borderId="0" xfId="0" applyFont="1" applyBorder="1" applyAlignment="1">
      <alignment vertical="top" wrapText="1"/>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9" xfId="0" applyFont="1" applyBorder="1" applyAlignment="1">
      <alignment vertical="top" wrapText="1"/>
    </xf>
    <xf numFmtId="0" fontId="2" fillId="0" borderId="17" xfId="0" applyFont="1" applyBorder="1">
      <alignment vertical="center"/>
    </xf>
    <xf numFmtId="0" fontId="2" fillId="0" borderId="0" xfId="0" applyFont="1" applyAlignment="1">
      <alignment horizontal="center" vertical="center"/>
    </xf>
    <xf numFmtId="0" fontId="2" fillId="0" borderId="0" xfId="0" applyFont="1" applyAlignment="1">
      <alignment horizontal="right" vertical="center"/>
    </xf>
    <xf numFmtId="0" fontId="3" fillId="0" borderId="0" xfId="0" applyFont="1" applyAlignment="1">
      <alignment horizontal="center" vertical="center"/>
    </xf>
    <xf numFmtId="176" fontId="9" fillId="0" borderId="0" xfId="0" applyNumberFormat="1" applyFont="1" applyBorder="1">
      <alignment vertical="center"/>
    </xf>
    <xf numFmtId="176" fontId="9" fillId="0" borderId="3" xfId="0" applyNumberFormat="1" applyFont="1" applyBorder="1" applyAlignment="1">
      <alignment vertical="center" shrinkToFit="1"/>
    </xf>
    <xf numFmtId="0" fontId="9" fillId="0" borderId="0" xfId="0" applyFont="1" applyBorder="1" applyAlignment="1">
      <alignment horizontal="center" vertical="center" shrinkToFit="1"/>
    </xf>
    <xf numFmtId="0" fontId="10" fillId="0" borderId="0" xfId="0" applyFont="1">
      <alignment vertical="center"/>
    </xf>
    <xf numFmtId="0" fontId="9" fillId="0" borderId="0" xfId="0" applyFont="1" applyBorder="1" applyAlignment="1">
      <alignment vertical="center" shrinkToFit="1"/>
    </xf>
    <xf numFmtId="0" fontId="9" fillId="0" borderId="0" xfId="0" applyFont="1">
      <alignment vertical="center"/>
    </xf>
    <xf numFmtId="0" fontId="9" fillId="0" borderId="0" xfId="0" applyFont="1" applyAlignment="1">
      <alignment vertical="center"/>
    </xf>
    <xf numFmtId="0" fontId="9" fillId="0" borderId="0" xfId="0" applyFont="1" applyAlignment="1">
      <alignment horizontal="left" vertical="center"/>
    </xf>
    <xf numFmtId="0" fontId="9" fillId="0" borderId="0" xfId="0" applyFont="1" applyBorder="1" applyAlignment="1">
      <alignment vertical="center"/>
    </xf>
    <xf numFmtId="0" fontId="9" fillId="0" borderId="10" xfId="0" applyFont="1" applyBorder="1" applyAlignment="1">
      <alignment vertical="center"/>
    </xf>
    <xf numFmtId="0" fontId="9" fillId="0" borderId="5" xfId="0" applyFont="1" applyBorder="1">
      <alignment vertical="center"/>
    </xf>
    <xf numFmtId="176" fontId="9" fillId="0" borderId="0" xfId="0" applyNumberFormat="1" applyFont="1" applyBorder="1" applyAlignment="1">
      <alignment vertical="center" wrapText="1"/>
    </xf>
    <xf numFmtId="0" fontId="9" fillId="0" borderId="0" xfId="0" applyFont="1" applyBorder="1">
      <alignment vertical="center"/>
    </xf>
    <xf numFmtId="176" fontId="9" fillId="0" borderId="5" xfId="0" applyNumberFormat="1" applyFont="1" applyBorder="1" applyAlignment="1">
      <alignment vertical="center"/>
    </xf>
    <xf numFmtId="0" fontId="9" fillId="0" borderId="0" xfId="0" applyFont="1" applyBorder="1" applyAlignment="1">
      <alignment horizontal="center" vertical="center"/>
    </xf>
    <xf numFmtId="176" fontId="9" fillId="0" borderId="0" xfId="0" applyNumberFormat="1" applyFont="1" applyAlignment="1">
      <alignment vertical="center" wrapText="1"/>
    </xf>
    <xf numFmtId="0" fontId="9" fillId="0" borderId="0" xfId="0" applyFont="1" applyAlignment="1">
      <alignment horizontal="center" vertical="center"/>
    </xf>
    <xf numFmtId="176" fontId="9" fillId="0" borderId="0" xfId="0" applyNumberFormat="1" applyFont="1" applyAlignment="1">
      <alignment horizontal="left" vertical="center" wrapText="1"/>
    </xf>
    <xf numFmtId="0" fontId="9" fillId="0" borderId="0" xfId="0" applyFont="1" applyAlignment="1">
      <alignment horizontal="right" vertical="center"/>
    </xf>
    <xf numFmtId="0" fontId="9" fillId="0" borderId="6" xfId="0" applyFont="1" applyBorder="1" applyAlignment="1">
      <alignment vertical="center" shrinkToFit="1"/>
    </xf>
    <xf numFmtId="0" fontId="9" fillId="0" borderId="1" xfId="0" applyFont="1" applyBorder="1">
      <alignment vertical="center"/>
    </xf>
    <xf numFmtId="0" fontId="9" fillId="0" borderId="2" xfId="0" applyFont="1" applyBorder="1">
      <alignment vertical="center"/>
    </xf>
    <xf numFmtId="0" fontId="9" fillId="0" borderId="4" xfId="0" applyFont="1" applyBorder="1">
      <alignment vertical="center"/>
    </xf>
    <xf numFmtId="0" fontId="9" fillId="0" borderId="0" xfId="0" applyFont="1" applyBorder="1" applyAlignment="1">
      <alignment vertical="center" shrinkToFit="1"/>
    </xf>
    <xf numFmtId="0" fontId="9" fillId="0" borderId="0" xfId="0" applyFont="1" applyAlignment="1">
      <alignment horizontal="center" vertical="center"/>
    </xf>
    <xf numFmtId="0" fontId="11" fillId="0" borderId="11" xfId="0" applyFont="1" applyBorder="1" applyAlignment="1">
      <alignment horizontal="center" vertical="center"/>
    </xf>
    <xf numFmtId="0" fontId="11" fillId="0" borderId="12" xfId="0" applyFont="1" applyBorder="1" applyAlignment="1">
      <alignment horizontal="center" vertical="center" wrapText="1"/>
    </xf>
    <xf numFmtId="0" fontId="11" fillId="0" borderId="28" xfId="0" applyFont="1" applyBorder="1" applyAlignment="1">
      <alignment horizontal="center" vertical="center" wrapText="1"/>
    </xf>
    <xf numFmtId="0" fontId="11" fillId="0" borderId="29" xfId="0" applyFont="1" applyBorder="1" applyAlignment="1">
      <alignment horizontal="center" vertical="center"/>
    </xf>
    <xf numFmtId="0" fontId="2" fillId="0" borderId="0" xfId="0" applyFont="1" applyAlignment="1">
      <alignment horizontal="center" vertical="center"/>
    </xf>
    <xf numFmtId="0" fontId="2" fillId="0" borderId="0" xfId="0" applyFont="1" applyAlignment="1">
      <alignment horizontal="right" vertical="center"/>
    </xf>
    <xf numFmtId="0" fontId="2" fillId="0" borderId="0" xfId="0" applyFont="1" applyAlignment="1">
      <alignment horizontal="right" vertical="center"/>
    </xf>
    <xf numFmtId="0" fontId="2" fillId="0" borderId="0" xfId="0" applyFont="1" applyAlignment="1">
      <alignment horizontal="center" vertical="center"/>
    </xf>
    <xf numFmtId="0" fontId="3"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4" fillId="0" borderId="21" xfId="0" applyFont="1" applyBorder="1" applyAlignment="1">
      <alignment vertical="top" wrapText="1"/>
    </xf>
    <xf numFmtId="0" fontId="9" fillId="0" borderId="0" xfId="0" applyFont="1" applyAlignment="1">
      <alignment horizontal="center" vertical="center"/>
    </xf>
    <xf numFmtId="0" fontId="9" fillId="0" borderId="0" xfId="0" applyFont="1" applyBorder="1" applyAlignment="1">
      <alignment vertical="center" shrinkToFit="1"/>
    </xf>
    <xf numFmtId="0" fontId="5" fillId="0" borderId="0" xfId="0" applyFont="1" applyAlignment="1">
      <alignment vertical="top" wrapText="1"/>
    </xf>
    <xf numFmtId="0" fontId="10" fillId="0" borderId="10" xfId="0" applyFont="1" applyBorder="1" applyAlignment="1">
      <alignment vertical="center" shrinkToFit="1"/>
    </xf>
    <xf numFmtId="0" fontId="3" fillId="0" borderId="0" xfId="0" applyFont="1" applyAlignment="1">
      <alignment horizontal="center" vertical="center"/>
    </xf>
    <xf numFmtId="0" fontId="5" fillId="0" borderId="0" xfId="0" applyFont="1" applyAlignment="1">
      <alignment vertical="top" wrapText="1"/>
    </xf>
    <xf numFmtId="0" fontId="3" fillId="0" borderId="0" xfId="0" applyFont="1" applyAlignment="1">
      <alignment vertical="center" wrapText="1"/>
    </xf>
    <xf numFmtId="0" fontId="9" fillId="0" borderId="0" xfId="0" applyFont="1" applyBorder="1" applyAlignment="1">
      <alignment horizontal="center" vertical="center"/>
    </xf>
    <xf numFmtId="0" fontId="9" fillId="0" borderId="0" xfId="0" applyFont="1" applyAlignment="1">
      <alignment horizontal="center" vertical="center"/>
    </xf>
    <xf numFmtId="0" fontId="10" fillId="0" borderId="0" xfId="0" applyFont="1" applyAlignment="1">
      <alignment horizontal="right" vertical="center"/>
    </xf>
    <xf numFmtId="0" fontId="9" fillId="0" borderId="1" xfId="0" applyFont="1" applyBorder="1" applyAlignment="1">
      <alignment vertical="center" shrinkToFit="1"/>
    </xf>
    <xf numFmtId="0" fontId="2" fillId="0" borderId="0" xfId="0" applyFont="1" applyAlignment="1">
      <alignment horizontal="center" vertical="center"/>
    </xf>
    <xf numFmtId="0" fontId="2" fillId="0" borderId="11" xfId="0" applyFont="1" applyBorder="1" applyAlignment="1">
      <alignment horizontal="center" vertical="center"/>
    </xf>
    <xf numFmtId="0" fontId="2" fillId="0" borderId="0" xfId="0" applyFont="1" applyAlignment="1">
      <alignment horizontal="center" vertical="center"/>
    </xf>
    <xf numFmtId="0" fontId="2" fillId="0" borderId="2" xfId="0" applyFont="1" applyBorder="1" applyAlignment="1">
      <alignment vertical="center" shrinkToFit="1"/>
    </xf>
    <xf numFmtId="0" fontId="2" fillId="0" borderId="1" xfId="0" applyFont="1" applyBorder="1" applyAlignment="1">
      <alignment vertical="center" wrapText="1"/>
    </xf>
    <xf numFmtId="0" fontId="13" fillId="0" borderId="2" xfId="0" applyFont="1" applyBorder="1" applyAlignment="1">
      <alignment horizontal="center" vertical="center" shrinkToFit="1"/>
    </xf>
    <xf numFmtId="0" fontId="10" fillId="0" borderId="0" xfId="0" applyFont="1" applyFill="1">
      <alignment vertical="center"/>
    </xf>
    <xf numFmtId="0" fontId="2" fillId="0" borderId="0" xfId="0" applyFont="1" applyAlignment="1">
      <alignment horizontal="center" vertical="center"/>
    </xf>
    <xf numFmtId="0" fontId="2" fillId="0" borderId="2" xfId="0" applyFont="1" applyBorder="1" applyAlignment="1">
      <alignment vertical="center" shrinkToFit="1"/>
    </xf>
    <xf numFmtId="0" fontId="4" fillId="0" borderId="0" xfId="0" applyFont="1" applyAlignment="1">
      <alignment vertical="top" wrapText="1"/>
    </xf>
    <xf numFmtId="0" fontId="5" fillId="0" borderId="0" xfId="0" applyFont="1" applyAlignment="1">
      <alignment vertical="top" wrapText="1"/>
    </xf>
    <xf numFmtId="0" fontId="12" fillId="0" borderId="0" xfId="0" applyFont="1">
      <alignment vertical="center"/>
    </xf>
    <xf numFmtId="0" fontId="14" fillId="0" borderId="21" xfId="0" applyFont="1" applyBorder="1" applyAlignment="1">
      <alignment vertical="top" shrinkToFit="1"/>
    </xf>
    <xf numFmtId="0" fontId="14" fillId="0" borderId="19" xfId="0" applyFont="1" applyBorder="1" applyAlignment="1">
      <alignment vertical="top" shrinkToFit="1"/>
    </xf>
    <xf numFmtId="0" fontId="2" fillId="0" borderId="2" xfId="0" applyFont="1" applyBorder="1" applyAlignment="1">
      <alignment vertical="center" shrinkToFit="1"/>
    </xf>
    <xf numFmtId="0" fontId="14" fillId="0" borderId="0" xfId="0" applyFont="1" applyBorder="1" applyAlignment="1">
      <alignment vertical="center" shrinkToFit="1"/>
    </xf>
    <xf numFmtId="0" fontId="14" fillId="0" borderId="10" xfId="0" applyFont="1" applyBorder="1" applyAlignment="1">
      <alignment vertical="center" shrinkToFit="1"/>
    </xf>
    <xf numFmtId="0" fontId="3" fillId="0" borderId="0" xfId="0" applyFont="1" applyFill="1" applyBorder="1" applyAlignment="1">
      <alignment vertical="center"/>
    </xf>
    <xf numFmtId="0" fontId="4" fillId="0" borderId="0" xfId="0" applyFont="1" applyFill="1" applyBorder="1" applyAlignment="1">
      <alignment vertical="top" wrapText="1"/>
    </xf>
    <xf numFmtId="0" fontId="5" fillId="0" borderId="0" xfId="0" applyFont="1" applyFill="1" applyBorder="1" applyAlignment="1">
      <alignment vertical="top" wrapText="1"/>
    </xf>
    <xf numFmtId="0" fontId="15" fillId="0" borderId="0" xfId="2" applyNumberFormat="1" applyFont="1" applyBorder="1" applyAlignment="1">
      <alignment vertical="center" shrinkToFit="1"/>
    </xf>
    <xf numFmtId="0" fontId="9" fillId="0" borderId="0" xfId="0" applyFont="1" applyBorder="1" applyAlignment="1">
      <alignment vertical="center" shrinkToFit="1"/>
    </xf>
    <xf numFmtId="0" fontId="3" fillId="0" borderId="0" xfId="0" applyFont="1" applyAlignment="1">
      <alignment horizontal="center" vertical="center"/>
    </xf>
    <xf numFmtId="0" fontId="3" fillId="0" borderId="0" xfId="0" applyFont="1" applyAlignment="1">
      <alignment vertical="center" shrinkToFit="1"/>
    </xf>
    <xf numFmtId="0" fontId="16" fillId="0" borderId="0" xfId="0" applyFont="1">
      <alignment vertical="center"/>
    </xf>
    <xf numFmtId="0" fontId="3" fillId="0" borderId="0" xfId="0" applyFont="1" applyBorder="1" applyAlignment="1">
      <alignment vertical="center" shrinkToFit="1"/>
    </xf>
    <xf numFmtId="176" fontId="3" fillId="0" borderId="5" xfId="0" applyNumberFormat="1" applyFont="1" applyBorder="1" applyAlignment="1">
      <alignment vertical="center" shrinkToFit="1"/>
    </xf>
    <xf numFmtId="176" fontId="3" fillId="0" borderId="30" xfId="0" applyNumberFormat="1" applyFont="1" applyBorder="1" applyAlignment="1">
      <alignment vertical="center" shrinkToFit="1"/>
    </xf>
    <xf numFmtId="176" fontId="3" fillId="0" borderId="31"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176" fontId="3" fillId="0" borderId="20"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19" xfId="0" applyNumberFormat="1" applyFont="1" applyBorder="1" applyAlignment="1">
      <alignment vertical="center" shrinkToFit="1"/>
    </xf>
    <xf numFmtId="176" fontId="3" fillId="0" borderId="22" xfId="0" applyNumberFormat="1" applyFont="1" applyBorder="1" applyAlignment="1">
      <alignment vertical="center" shrinkToFit="1"/>
    </xf>
    <xf numFmtId="176" fontId="3" fillId="0" borderId="23" xfId="0" applyNumberFormat="1" applyFont="1" applyBorder="1" applyAlignment="1">
      <alignment vertical="center" shrinkToFit="1"/>
    </xf>
    <xf numFmtId="176" fontId="3" fillId="0" borderId="24"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26" xfId="0" applyNumberFormat="1" applyFont="1" applyBorder="1" applyAlignment="1">
      <alignment vertical="center" shrinkToFit="1"/>
    </xf>
    <xf numFmtId="176" fontId="3" fillId="0" borderId="27" xfId="0" applyNumberFormat="1" applyFont="1" applyBorder="1" applyAlignment="1">
      <alignment vertical="center" shrinkToFit="1"/>
    </xf>
    <xf numFmtId="9" fontId="3" fillId="0" borderId="26" xfId="0" applyNumberFormat="1" applyFont="1" applyBorder="1" applyAlignment="1">
      <alignment vertical="center" shrinkToFit="1"/>
    </xf>
    <xf numFmtId="176" fontId="5" fillId="0" borderId="0" xfId="0" applyNumberFormat="1" applyFont="1" applyBorder="1" applyAlignment="1">
      <alignment vertical="center" shrinkToFit="1"/>
    </xf>
    <xf numFmtId="0" fontId="13" fillId="0" borderId="0" xfId="0" applyFont="1" applyBorder="1" applyAlignment="1">
      <alignment vertical="center" shrinkToFit="1"/>
    </xf>
    <xf numFmtId="0" fontId="13" fillId="0" borderId="10" xfId="0" applyFont="1" applyBorder="1" applyAlignment="1">
      <alignment vertical="center" shrinkToFit="1"/>
    </xf>
    <xf numFmtId="0" fontId="9" fillId="0" borderId="0" xfId="0" applyFont="1" applyBorder="1" applyAlignment="1">
      <alignment horizontal="center" vertical="center"/>
    </xf>
    <xf numFmtId="0" fontId="10" fillId="0" borderId="0" xfId="0" applyFont="1" applyAlignment="1">
      <alignment horizontal="right" vertical="center"/>
    </xf>
    <xf numFmtId="0" fontId="9" fillId="0" borderId="0" xfId="0" applyFont="1" applyAlignment="1">
      <alignment horizontal="center" vertical="center"/>
    </xf>
    <xf numFmtId="0" fontId="9" fillId="0" borderId="0" xfId="0" applyFont="1" applyBorder="1" applyAlignment="1">
      <alignment horizontal="center" vertical="center"/>
    </xf>
    <xf numFmtId="0" fontId="10" fillId="0" borderId="0" xfId="0" applyFont="1" applyAlignment="1">
      <alignment horizontal="right" vertical="center"/>
    </xf>
    <xf numFmtId="0" fontId="9" fillId="0" borderId="0" xfId="0" applyFont="1" applyAlignment="1">
      <alignment horizontal="center" vertical="center"/>
    </xf>
    <xf numFmtId="0" fontId="9" fillId="0" borderId="0" xfId="0" applyFont="1" applyBorder="1" applyAlignment="1">
      <alignment horizontal="center" vertical="center"/>
    </xf>
    <xf numFmtId="0" fontId="13" fillId="0" borderId="2" xfId="0" applyFont="1" applyBorder="1" applyAlignment="1">
      <alignment horizontal="center" vertical="center" shrinkToFit="1"/>
    </xf>
    <xf numFmtId="0" fontId="10" fillId="0" borderId="0" xfId="0" applyFont="1" applyAlignment="1">
      <alignment horizontal="right" vertical="center"/>
    </xf>
    <xf numFmtId="0" fontId="9" fillId="0" borderId="0" xfId="0" applyFont="1" applyAlignment="1">
      <alignment horizontal="center" vertical="center"/>
    </xf>
    <xf numFmtId="0" fontId="2" fillId="0" borderId="0" xfId="0" applyFont="1" applyAlignment="1">
      <alignment horizontal="right" vertical="center"/>
    </xf>
    <xf numFmtId="0" fontId="2" fillId="0" borderId="0" xfId="0" applyFont="1" applyAlignment="1">
      <alignment horizontal="center" vertical="center"/>
    </xf>
    <xf numFmtId="0" fontId="2" fillId="0" borderId="2" xfId="0" applyFont="1" applyBorder="1" applyAlignment="1">
      <alignment vertical="center" shrinkToFit="1"/>
    </xf>
    <xf numFmtId="0" fontId="10" fillId="0" borderId="2" xfId="0" applyFont="1" applyBorder="1" applyAlignment="1">
      <alignment horizontal="center" vertical="center" shrinkToFit="1"/>
    </xf>
    <xf numFmtId="0" fontId="10" fillId="0" borderId="2" xfId="0" applyFont="1" applyBorder="1" applyAlignment="1">
      <alignment horizontal="left" vertical="center" shrinkToFit="1"/>
    </xf>
    <xf numFmtId="0" fontId="9" fillId="0" borderId="2" xfId="0" applyFont="1" applyBorder="1" applyAlignment="1">
      <alignment horizontal="left" vertical="center" shrinkToFit="1"/>
    </xf>
    <xf numFmtId="176" fontId="3" fillId="0" borderId="20" xfId="0" applyNumberFormat="1" applyFont="1" applyFill="1" applyBorder="1" applyAlignment="1">
      <alignment vertical="center" shrinkToFit="1"/>
    </xf>
    <xf numFmtId="176" fontId="3" fillId="0" borderId="32" xfId="0" applyNumberFormat="1" applyFont="1" applyFill="1" applyBorder="1" applyAlignment="1">
      <alignment vertical="center" shrinkToFit="1"/>
    </xf>
    <xf numFmtId="0" fontId="10" fillId="0" borderId="1" xfId="0" applyFont="1" applyBorder="1" applyAlignment="1">
      <alignment vertical="center" wrapText="1"/>
    </xf>
    <xf numFmtId="0" fontId="2" fillId="0" borderId="0" xfId="0" applyFont="1" applyAlignment="1">
      <alignment horizontal="center" vertical="center"/>
    </xf>
    <xf numFmtId="177" fontId="3" fillId="0" borderId="5" xfId="0" applyNumberFormat="1" applyFont="1" applyBorder="1" applyAlignment="1">
      <alignment vertical="center" shrinkToFit="1"/>
    </xf>
    <xf numFmtId="177" fontId="3" fillId="0" borderId="20" xfId="0" applyNumberFormat="1" applyFont="1" applyBorder="1" applyAlignment="1">
      <alignment vertical="center" shrinkToFit="1"/>
    </xf>
    <xf numFmtId="177" fontId="3" fillId="0" borderId="24" xfId="0" applyNumberFormat="1" applyFont="1" applyBorder="1" applyAlignment="1">
      <alignment vertical="center" shrinkToFit="1"/>
    </xf>
    <xf numFmtId="9" fontId="3" fillId="0" borderId="14" xfId="0" applyNumberFormat="1" applyFont="1" applyBorder="1" applyAlignment="1">
      <alignment vertical="center" shrinkToFit="1"/>
    </xf>
    <xf numFmtId="9" fontId="3" fillId="0" borderId="22" xfId="0" applyNumberFormat="1" applyFont="1" applyBorder="1" applyAlignment="1">
      <alignment vertical="center" shrinkToFit="1"/>
    </xf>
    <xf numFmtId="9" fontId="3" fillId="0" borderId="23" xfId="0" applyNumberFormat="1" applyFont="1" applyBorder="1" applyAlignment="1">
      <alignment vertical="center" shrinkToFit="1"/>
    </xf>
    <xf numFmtId="0" fontId="4" fillId="0" borderId="39" xfId="0" applyFont="1" applyBorder="1" applyAlignment="1">
      <alignment vertical="top" wrapText="1"/>
    </xf>
    <xf numFmtId="49" fontId="7" fillId="0" borderId="2" xfId="2" applyNumberFormat="1" applyBorder="1" applyAlignment="1">
      <alignment vertical="center" shrinkToFit="1"/>
    </xf>
    <xf numFmtId="49" fontId="13" fillId="0" borderId="3" xfId="0" applyNumberFormat="1" applyFont="1" applyBorder="1" applyAlignment="1">
      <alignment vertical="center" shrinkToFit="1"/>
    </xf>
    <xf numFmtId="49" fontId="13" fillId="0" borderId="4" xfId="0" applyNumberFormat="1" applyFont="1" applyBorder="1" applyAlignment="1">
      <alignment vertical="center" shrinkToFit="1"/>
    </xf>
    <xf numFmtId="49" fontId="9" fillId="0" borderId="2" xfId="1" applyNumberFormat="1" applyFont="1" applyBorder="1" applyAlignment="1">
      <alignment horizontal="center" vertical="center" shrinkToFit="1"/>
    </xf>
    <xf numFmtId="49" fontId="9" fillId="0" borderId="3" xfId="1" applyNumberFormat="1" applyFont="1" applyBorder="1" applyAlignment="1">
      <alignment horizontal="center" vertical="center" shrinkToFit="1"/>
    </xf>
    <xf numFmtId="49" fontId="9" fillId="0" borderId="4" xfId="1" applyNumberFormat="1" applyFont="1" applyBorder="1" applyAlignment="1">
      <alignment horizontal="center" vertical="center" shrinkToFit="1"/>
    </xf>
    <xf numFmtId="0" fontId="9" fillId="0" borderId="0" xfId="0" applyFont="1" applyBorder="1" applyAlignment="1">
      <alignment horizontal="center" vertical="center"/>
    </xf>
    <xf numFmtId="0" fontId="9" fillId="0" borderId="2" xfId="0" applyFont="1" applyBorder="1" applyAlignment="1">
      <alignment horizontal="center" vertical="center" shrinkToFit="1"/>
    </xf>
    <xf numFmtId="0" fontId="9" fillId="0" borderId="3" xfId="0" applyFont="1" applyBorder="1" applyAlignment="1">
      <alignment horizontal="center" vertical="center" shrinkToFit="1"/>
    </xf>
    <xf numFmtId="0" fontId="9" fillId="0" borderId="4" xfId="0" applyFont="1" applyBorder="1" applyAlignment="1">
      <alignment horizontal="center" vertical="center" shrinkToFit="1"/>
    </xf>
    <xf numFmtId="176" fontId="9" fillId="0" borderId="2" xfId="0" applyNumberFormat="1" applyFont="1" applyBorder="1" applyAlignment="1">
      <alignment horizontal="center" vertical="center" shrinkToFit="1"/>
    </xf>
    <xf numFmtId="176" fontId="9" fillId="0" borderId="4" xfId="0" applyNumberFormat="1" applyFont="1" applyBorder="1" applyAlignment="1">
      <alignment horizontal="center" vertical="center" shrinkToFit="1"/>
    </xf>
    <xf numFmtId="0" fontId="9" fillId="0" borderId="2" xfId="0" applyFont="1" applyBorder="1" applyAlignment="1">
      <alignment vertical="center" shrinkToFit="1"/>
    </xf>
    <xf numFmtId="0" fontId="9" fillId="0" borderId="3" xfId="0" applyFont="1" applyBorder="1" applyAlignment="1">
      <alignment vertical="center" shrinkToFit="1"/>
    </xf>
    <xf numFmtId="0" fontId="9" fillId="0" borderId="0" xfId="0" applyFont="1" applyBorder="1" applyAlignment="1">
      <alignment horizontal="right" vertical="center" shrinkToFit="1"/>
    </xf>
    <xf numFmtId="0" fontId="9" fillId="0" borderId="5" xfId="0" applyFont="1" applyBorder="1" applyAlignment="1">
      <alignment horizontal="right" vertical="center" shrinkToFit="1"/>
    </xf>
    <xf numFmtId="0" fontId="9" fillId="0" borderId="10" xfId="0" applyFont="1" applyBorder="1" applyAlignment="1">
      <alignment horizontal="right" vertical="center" shrinkToFit="1"/>
    </xf>
    <xf numFmtId="0" fontId="9"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10" fillId="0" borderId="0" xfId="0" applyFont="1" applyAlignment="1">
      <alignment horizontal="right" vertical="center"/>
    </xf>
    <xf numFmtId="0" fontId="9" fillId="0" borderId="0" xfId="0" applyFont="1" applyBorder="1" applyAlignment="1">
      <alignment horizontal="right" vertical="center"/>
    </xf>
    <xf numFmtId="0" fontId="9" fillId="0" borderId="10" xfId="0" applyFont="1" applyBorder="1" applyAlignment="1">
      <alignment horizontal="right" vertical="center"/>
    </xf>
    <xf numFmtId="176" fontId="9" fillId="0" borderId="3" xfId="0" applyNumberFormat="1" applyFont="1" applyBorder="1" applyAlignment="1">
      <alignment horizontal="center" vertical="center" shrinkToFit="1"/>
    </xf>
    <xf numFmtId="0" fontId="9" fillId="0" borderId="0" xfId="0" applyFont="1" applyBorder="1" applyAlignment="1">
      <alignment horizontal="center" vertical="center" shrinkToFit="1"/>
    </xf>
    <xf numFmtId="0" fontId="9" fillId="0" borderId="0" xfId="0" applyFont="1" applyAlignment="1">
      <alignment horizontal="center" vertical="center"/>
    </xf>
    <xf numFmtId="0" fontId="9" fillId="0" borderId="4" xfId="0" applyFont="1" applyBorder="1" applyAlignment="1">
      <alignment vertical="center" shrinkToFit="1"/>
    </xf>
    <xf numFmtId="0" fontId="9" fillId="0" borderId="0" xfId="0" applyFont="1" applyBorder="1" applyAlignment="1">
      <alignment vertical="center" shrinkToFit="1"/>
    </xf>
    <xf numFmtId="176" fontId="13" fillId="0" borderId="2" xfId="0" applyNumberFormat="1" applyFont="1" applyBorder="1" applyAlignment="1">
      <alignment horizontal="center" vertical="center" shrinkToFit="1"/>
    </xf>
    <xf numFmtId="176" fontId="13" fillId="0" borderId="4" xfId="0" applyNumberFormat="1" applyFont="1" applyBorder="1" applyAlignment="1">
      <alignment horizontal="center" vertical="center" shrinkToFit="1"/>
    </xf>
    <xf numFmtId="177" fontId="9" fillId="0" borderId="2" xfId="0" applyNumberFormat="1" applyFont="1" applyBorder="1" applyAlignment="1">
      <alignment horizontal="center" vertical="center"/>
    </xf>
    <xf numFmtId="177" fontId="9" fillId="0" borderId="3" xfId="0" applyNumberFormat="1" applyFont="1" applyBorder="1" applyAlignment="1">
      <alignment horizontal="center" vertical="center"/>
    </xf>
    <xf numFmtId="177" fontId="9" fillId="0" borderId="4" xfId="0" applyNumberFormat="1" applyFont="1" applyBorder="1" applyAlignment="1">
      <alignment horizontal="center" vertical="center"/>
    </xf>
    <xf numFmtId="0" fontId="13" fillId="0" borderId="2" xfId="0" applyFont="1" applyBorder="1" applyAlignment="1">
      <alignment vertical="center" shrinkToFit="1"/>
    </xf>
    <xf numFmtId="0" fontId="13" fillId="0" borderId="3" xfId="0" applyFont="1" applyBorder="1" applyAlignment="1">
      <alignment vertical="center" shrinkToFit="1"/>
    </xf>
    <xf numFmtId="0" fontId="13" fillId="0" borderId="4" xfId="0" applyFont="1" applyBorder="1" applyAlignment="1">
      <alignment vertical="center" shrinkToFit="1"/>
    </xf>
    <xf numFmtId="0" fontId="9" fillId="0" borderId="0" xfId="0" applyFont="1" applyAlignment="1">
      <alignment vertical="center" shrinkToFit="1"/>
    </xf>
    <xf numFmtId="0" fontId="9" fillId="0" borderId="1" xfId="0" applyFont="1" applyBorder="1" applyAlignment="1">
      <alignment horizontal="center" vertical="center"/>
    </xf>
    <xf numFmtId="0" fontId="9" fillId="0" borderId="1" xfId="0" applyFont="1" applyBorder="1" applyAlignment="1">
      <alignment horizontal="center" vertical="center" shrinkToFit="1"/>
    </xf>
    <xf numFmtId="0" fontId="10" fillId="0" borderId="7" xfId="0" applyFont="1" applyBorder="1" applyAlignment="1">
      <alignment vertical="top" wrapText="1"/>
    </xf>
    <xf numFmtId="0" fontId="9" fillId="0" borderId="8" xfId="0" applyFont="1" applyBorder="1" applyAlignment="1">
      <alignment vertical="top" wrapText="1"/>
    </xf>
    <xf numFmtId="0" fontId="9" fillId="0" borderId="9" xfId="0" applyFont="1" applyBorder="1" applyAlignment="1">
      <alignment vertical="top" wrapText="1"/>
    </xf>
    <xf numFmtId="0" fontId="9" fillId="0" borderId="5" xfId="0" applyFont="1" applyBorder="1" applyAlignment="1">
      <alignment vertical="top" wrapText="1"/>
    </xf>
    <xf numFmtId="0" fontId="9" fillId="0" borderId="0" xfId="0" applyFont="1" applyBorder="1" applyAlignment="1">
      <alignment vertical="top" wrapText="1"/>
    </xf>
    <xf numFmtId="0" fontId="9" fillId="0" borderId="10" xfId="0" applyFont="1" applyBorder="1" applyAlignment="1">
      <alignment vertical="top" wrapText="1"/>
    </xf>
    <xf numFmtId="0" fontId="9" fillId="0" borderId="11" xfId="0" applyFont="1" applyBorder="1" applyAlignment="1">
      <alignment vertical="top" wrapText="1"/>
    </xf>
    <xf numFmtId="0" fontId="9" fillId="0" borderId="6" xfId="0" applyFont="1" applyBorder="1" applyAlignment="1">
      <alignment vertical="top" wrapText="1"/>
    </xf>
    <xf numFmtId="0" fontId="9" fillId="0" borderId="12" xfId="0" applyFont="1" applyBorder="1" applyAlignment="1">
      <alignment vertical="top" wrapText="1"/>
    </xf>
    <xf numFmtId="0" fontId="2" fillId="0" borderId="0" xfId="0" applyFont="1" applyAlignment="1">
      <alignment horizontal="right" vertical="center"/>
    </xf>
    <xf numFmtId="0" fontId="8" fillId="0" borderId="7" xfId="0" applyFont="1" applyBorder="1" applyAlignment="1">
      <alignment horizontal="center" vertical="center" wrapText="1"/>
    </xf>
    <xf numFmtId="0" fontId="8" fillId="0" borderId="11" xfId="0" applyFont="1" applyBorder="1" applyAlignment="1">
      <alignment horizontal="center" vertical="center"/>
    </xf>
    <xf numFmtId="0" fontId="3" fillId="0" borderId="14" xfId="0" applyFont="1" applyBorder="1" applyAlignment="1">
      <alignment horizontal="center" vertical="center"/>
    </xf>
    <xf numFmtId="0" fontId="3" fillId="0" borderId="15" xfId="0" applyFont="1" applyBorder="1" applyAlignment="1">
      <alignment horizontal="center" vertical="center"/>
    </xf>
    <xf numFmtId="0" fontId="3" fillId="0" borderId="36" xfId="0" applyFont="1" applyBorder="1" applyAlignment="1">
      <alignment horizontal="center" vertical="center"/>
    </xf>
    <xf numFmtId="0" fontId="11" fillId="0" borderId="16" xfId="0" applyFont="1" applyBorder="1" applyAlignment="1">
      <alignment horizontal="center" vertical="center" wrapText="1"/>
    </xf>
    <xf numFmtId="0" fontId="11" fillId="0" borderId="13" xfId="0" applyFont="1" applyBorder="1" applyAlignment="1">
      <alignment horizontal="center" vertical="center"/>
    </xf>
    <xf numFmtId="0" fontId="8" fillId="0" borderId="9" xfId="0" applyFont="1" applyBorder="1" applyAlignment="1">
      <alignment horizontal="center" vertical="center"/>
    </xf>
    <xf numFmtId="0" fontId="8" fillId="0" borderId="12" xfId="0" applyFont="1" applyBorder="1" applyAlignment="1">
      <alignment horizontal="center" vertical="center"/>
    </xf>
    <xf numFmtId="0" fontId="3" fillId="0" borderId="0" xfId="0" applyFont="1" applyAlignment="1">
      <alignment horizontal="center" vertical="center"/>
    </xf>
    <xf numFmtId="0" fontId="3" fillId="0" borderId="24" xfId="0" applyFont="1" applyBorder="1" applyAlignment="1">
      <alignment horizontal="center" vertical="center" shrinkToFit="1"/>
    </xf>
    <xf numFmtId="0" fontId="3" fillId="0" borderId="25" xfId="0" applyFont="1" applyBorder="1" applyAlignment="1">
      <alignment horizontal="center" vertical="center" shrinkToFit="1"/>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11" xfId="0" applyFont="1" applyBorder="1" applyAlignment="1">
      <alignment horizontal="center" vertical="center"/>
    </xf>
    <xf numFmtId="0" fontId="3" fillId="0" borderId="6" xfId="0" applyFont="1" applyBorder="1" applyAlignment="1">
      <alignment horizontal="center" vertical="center"/>
    </xf>
    <xf numFmtId="0" fontId="3" fillId="0" borderId="20" xfId="0" applyFont="1" applyBorder="1" applyAlignment="1">
      <alignment vertical="center" shrinkToFit="1"/>
    </xf>
    <xf numFmtId="0" fontId="3" fillId="0" borderId="19" xfId="0" applyFont="1" applyBorder="1" applyAlignment="1">
      <alignment vertical="center" shrinkToFit="1"/>
    </xf>
    <xf numFmtId="0" fontId="3" fillId="0" borderId="37" xfId="0" applyFont="1" applyBorder="1" applyAlignment="1">
      <alignment vertical="center" shrinkToFit="1"/>
    </xf>
    <xf numFmtId="0" fontId="3" fillId="0" borderId="38" xfId="0" applyFont="1" applyBorder="1" applyAlignment="1">
      <alignment vertical="center" shrinkToFit="1"/>
    </xf>
    <xf numFmtId="0" fontId="3" fillId="0" borderId="15" xfId="0" applyFont="1" applyBorder="1" applyAlignment="1">
      <alignment vertical="center" shrinkToFit="1"/>
    </xf>
    <xf numFmtId="0" fontId="3" fillId="0" borderId="36" xfId="0" applyFont="1" applyBorder="1" applyAlignment="1">
      <alignment vertical="center" shrinkToFit="1"/>
    </xf>
    <xf numFmtId="0" fontId="2" fillId="0" borderId="2" xfId="0" applyFont="1" applyBorder="1" applyAlignment="1">
      <alignment horizontal="center" vertical="center" shrinkToFit="1"/>
    </xf>
    <xf numFmtId="0" fontId="2" fillId="0" borderId="3"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2" xfId="0" applyFont="1" applyBorder="1" applyAlignment="1">
      <alignment horizontal="left" vertical="center" wrapText="1" shrinkToFit="1"/>
    </xf>
    <xf numFmtId="0" fontId="2" fillId="0" borderId="3" xfId="0" applyFont="1" applyBorder="1" applyAlignment="1">
      <alignment horizontal="left" vertical="center" wrapText="1" shrinkToFit="1"/>
    </xf>
    <xf numFmtId="0" fontId="2" fillId="0" borderId="4" xfId="0" applyFont="1" applyBorder="1" applyAlignment="1">
      <alignment horizontal="left" vertical="center" wrapText="1" shrinkToFit="1"/>
    </xf>
    <xf numFmtId="0" fontId="2" fillId="0" borderId="0" xfId="0" applyFont="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10" fillId="0" borderId="7" xfId="0" applyFont="1" applyFill="1" applyBorder="1" applyAlignment="1">
      <alignment horizontal="left" vertical="top" wrapText="1"/>
    </xf>
    <xf numFmtId="0" fontId="10" fillId="0" borderId="8" xfId="0" applyFont="1" applyFill="1" applyBorder="1" applyAlignment="1">
      <alignment horizontal="left" vertical="top" wrapText="1"/>
    </xf>
    <xf numFmtId="0" fontId="10" fillId="0" borderId="9" xfId="0" applyFont="1" applyFill="1" applyBorder="1" applyAlignment="1">
      <alignment horizontal="left" vertical="top" wrapText="1"/>
    </xf>
    <xf numFmtId="0" fontId="10" fillId="0" borderId="5" xfId="0" applyFont="1" applyFill="1" applyBorder="1" applyAlignment="1">
      <alignment horizontal="left" vertical="top" wrapText="1"/>
    </xf>
    <xf numFmtId="0" fontId="10" fillId="0" borderId="0" xfId="0" applyFont="1" applyFill="1" applyBorder="1" applyAlignment="1">
      <alignment horizontal="left" vertical="top" wrapText="1"/>
    </xf>
    <xf numFmtId="0" fontId="10" fillId="0" borderId="10" xfId="0" applyFont="1" applyFill="1" applyBorder="1" applyAlignment="1">
      <alignment horizontal="left" vertical="top" wrapText="1"/>
    </xf>
    <xf numFmtId="0" fontId="10" fillId="0" borderId="11" xfId="0" applyFont="1" applyFill="1" applyBorder="1" applyAlignment="1">
      <alignment horizontal="left" vertical="top" wrapText="1"/>
    </xf>
    <xf numFmtId="0" fontId="10" fillId="0" borderId="6" xfId="0" applyFont="1" applyFill="1" applyBorder="1" applyAlignment="1">
      <alignment horizontal="left" vertical="top" wrapText="1"/>
    </xf>
    <xf numFmtId="0" fontId="10" fillId="0" borderId="12" xfId="0" applyFont="1" applyFill="1" applyBorder="1" applyAlignment="1">
      <alignment horizontal="left" vertical="top" wrapText="1"/>
    </xf>
    <xf numFmtId="0" fontId="10" fillId="0" borderId="7" xfId="0" applyFont="1" applyFill="1" applyBorder="1" applyAlignment="1">
      <alignment vertical="top" wrapText="1" shrinkToFit="1"/>
    </xf>
    <xf numFmtId="0" fontId="9" fillId="0" borderId="8" xfId="0" applyFont="1" applyFill="1" applyBorder="1" applyAlignment="1">
      <alignment vertical="top" shrinkToFit="1"/>
    </xf>
    <xf numFmtId="0" fontId="9" fillId="0" borderId="9" xfId="0" applyFont="1" applyFill="1" applyBorder="1" applyAlignment="1">
      <alignment vertical="top" shrinkToFit="1"/>
    </xf>
    <xf numFmtId="0" fontId="9" fillId="0" borderId="5" xfId="0" applyFont="1" applyFill="1" applyBorder="1" applyAlignment="1">
      <alignment vertical="top" shrinkToFit="1"/>
    </xf>
    <xf numFmtId="0" fontId="9" fillId="0" borderId="0" xfId="0" applyFont="1" applyFill="1" applyBorder="1" applyAlignment="1">
      <alignment vertical="top" shrinkToFit="1"/>
    </xf>
    <xf numFmtId="0" fontId="9" fillId="0" borderId="10" xfId="0" applyFont="1" applyFill="1" applyBorder="1" applyAlignment="1">
      <alignment vertical="top" shrinkToFit="1"/>
    </xf>
    <xf numFmtId="0" fontId="9" fillId="0" borderId="11" xfId="0" applyFont="1" applyFill="1" applyBorder="1" applyAlignment="1">
      <alignment vertical="top" shrinkToFit="1"/>
    </xf>
    <xf numFmtId="0" fontId="9" fillId="0" borderId="6" xfId="0" applyFont="1" applyFill="1" applyBorder="1" applyAlignment="1">
      <alignment vertical="top" shrinkToFit="1"/>
    </xf>
    <xf numFmtId="0" fontId="9" fillId="0" borderId="12" xfId="0" applyFont="1" applyFill="1" applyBorder="1" applyAlignment="1">
      <alignment vertical="top" shrinkToFit="1"/>
    </xf>
    <xf numFmtId="0" fontId="7" fillId="0" borderId="2" xfId="2" applyFill="1" applyBorder="1" applyAlignment="1">
      <alignment vertical="center" shrinkToFit="1"/>
    </xf>
    <xf numFmtId="0" fontId="13" fillId="0" borderId="3" xfId="0" applyFont="1" applyFill="1" applyBorder="1" applyAlignment="1">
      <alignment vertical="center" shrinkToFit="1"/>
    </xf>
    <xf numFmtId="0" fontId="13" fillId="0" borderId="4" xfId="0" applyFont="1" applyFill="1" applyBorder="1" applyAlignment="1">
      <alignment vertical="center" shrinkToFit="1"/>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3" fillId="0" borderId="1" xfId="0" applyFont="1" applyBorder="1" applyAlignment="1">
      <alignment vertical="center" wrapText="1"/>
    </xf>
    <xf numFmtId="0" fontId="2" fillId="0" borderId="7" xfId="0" applyFont="1" applyFill="1" applyBorder="1" applyAlignment="1">
      <alignment horizontal="left" vertical="top" wrapText="1" shrinkToFit="1"/>
    </xf>
    <xf numFmtId="0" fontId="2" fillId="0" borderId="8" xfId="0" applyFont="1" applyFill="1" applyBorder="1" applyAlignment="1">
      <alignment horizontal="left" vertical="top" wrapText="1" shrinkToFit="1"/>
    </xf>
    <xf numFmtId="0" fontId="2" fillId="0" borderId="9" xfId="0" applyFont="1" applyFill="1" applyBorder="1" applyAlignment="1">
      <alignment horizontal="left" vertical="top" wrapText="1" shrinkToFit="1"/>
    </xf>
    <xf numFmtId="0" fontId="2" fillId="0" borderId="5" xfId="0" applyFont="1" applyFill="1" applyBorder="1" applyAlignment="1">
      <alignment horizontal="left" vertical="top" wrapText="1" shrinkToFit="1"/>
    </xf>
    <xf numFmtId="0" fontId="2" fillId="0" borderId="0" xfId="0" applyFont="1" applyFill="1" applyBorder="1" applyAlignment="1">
      <alignment horizontal="left" vertical="top" wrapText="1" shrinkToFit="1"/>
    </xf>
    <xf numFmtId="0" fontId="2" fillId="0" borderId="10" xfId="0" applyFont="1" applyFill="1" applyBorder="1" applyAlignment="1">
      <alignment horizontal="left" vertical="top" wrapText="1" shrinkToFit="1"/>
    </xf>
    <xf numFmtId="0" fontId="2" fillId="0" borderId="11" xfId="0" applyFont="1" applyFill="1" applyBorder="1" applyAlignment="1">
      <alignment horizontal="left" vertical="top" wrapText="1" shrinkToFit="1"/>
    </xf>
    <xf numFmtId="0" fontId="2" fillId="0" borderId="6" xfId="0" applyFont="1" applyFill="1" applyBorder="1" applyAlignment="1">
      <alignment horizontal="left" vertical="top" wrapText="1" shrinkToFit="1"/>
    </xf>
    <xf numFmtId="0" fontId="2" fillId="0" borderId="12" xfId="0" applyFont="1" applyFill="1" applyBorder="1" applyAlignment="1">
      <alignment horizontal="left" vertical="top" wrapText="1" shrinkToFit="1"/>
    </xf>
    <xf numFmtId="0" fontId="2" fillId="0" borderId="2" xfId="0" applyFont="1" applyFill="1" applyBorder="1" applyAlignment="1">
      <alignment horizontal="center" vertical="center" shrinkToFit="1"/>
    </xf>
    <xf numFmtId="0" fontId="2" fillId="0" borderId="3" xfId="0" applyFont="1" applyFill="1" applyBorder="1" applyAlignment="1">
      <alignment horizontal="center" vertical="center" shrinkToFit="1"/>
    </xf>
    <xf numFmtId="0" fontId="2" fillId="0" borderId="4" xfId="0" applyFont="1" applyFill="1" applyBorder="1" applyAlignment="1">
      <alignment horizontal="center" vertical="center" shrinkToFit="1"/>
    </xf>
    <xf numFmtId="0" fontId="9" fillId="0" borderId="2" xfId="0" applyFont="1" applyBorder="1" applyAlignment="1">
      <alignment horizontal="left" vertical="center" wrapText="1" shrinkToFit="1"/>
    </xf>
    <xf numFmtId="0" fontId="9" fillId="0" borderId="3" xfId="0" applyFont="1" applyBorder="1" applyAlignment="1">
      <alignment horizontal="left" vertical="center" wrapText="1" shrinkToFit="1"/>
    </xf>
    <xf numFmtId="0" fontId="9" fillId="0" borderId="4" xfId="0" applyFont="1" applyBorder="1" applyAlignment="1">
      <alignment horizontal="left" vertical="center" wrapText="1" shrinkToFit="1"/>
    </xf>
    <xf numFmtId="0" fontId="13" fillId="0" borderId="2" xfId="0" applyFont="1" applyBorder="1" applyAlignment="1">
      <alignment horizontal="center" vertical="center" shrinkToFit="1"/>
    </xf>
    <xf numFmtId="0" fontId="13" fillId="0" borderId="3" xfId="0" applyFont="1" applyBorder="1" applyAlignment="1">
      <alignment horizontal="center" vertical="center" shrinkToFit="1"/>
    </xf>
    <xf numFmtId="0" fontId="13" fillId="0" borderId="4" xfId="0" applyFont="1" applyBorder="1" applyAlignment="1">
      <alignment horizontal="center" vertical="center" shrinkToFit="1"/>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Border="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2" fillId="0" borderId="8" xfId="0" applyFont="1" applyBorder="1" applyAlignment="1">
      <alignment horizontal="left" vertical="top" shrinkToFit="1"/>
    </xf>
    <xf numFmtId="0" fontId="2" fillId="0" borderId="9" xfId="0" applyFont="1" applyBorder="1" applyAlignment="1">
      <alignment horizontal="left" vertical="top" shrinkToFit="1"/>
    </xf>
    <xf numFmtId="0" fontId="2" fillId="0" borderId="5" xfId="0" applyFont="1" applyBorder="1" applyAlignment="1">
      <alignment horizontal="left" vertical="top" shrinkToFit="1"/>
    </xf>
    <xf numFmtId="0" fontId="2" fillId="0" borderId="0" xfId="0" applyFont="1" applyBorder="1" applyAlignment="1">
      <alignment horizontal="left" vertical="top" shrinkToFit="1"/>
    </xf>
    <xf numFmtId="0" fontId="2" fillId="0" borderId="10" xfId="0" applyFont="1" applyBorder="1" applyAlignment="1">
      <alignment horizontal="left" vertical="top" shrinkToFit="1"/>
    </xf>
    <xf numFmtId="0" fontId="2" fillId="0" borderId="11" xfId="0" applyFont="1" applyBorder="1" applyAlignment="1">
      <alignment horizontal="left" vertical="top" shrinkToFit="1"/>
    </xf>
    <xf numFmtId="0" fontId="2" fillId="0" borderId="6" xfId="0" applyFont="1" applyBorder="1" applyAlignment="1">
      <alignment horizontal="left" vertical="top" shrinkToFit="1"/>
    </xf>
    <xf numFmtId="0" fontId="2" fillId="0" borderId="12" xfId="0" applyFont="1" applyBorder="1" applyAlignment="1">
      <alignment horizontal="left" vertical="top" shrinkToFit="1"/>
    </xf>
    <xf numFmtId="0" fontId="10" fillId="0" borderId="7" xfId="0" applyFont="1" applyBorder="1" applyAlignment="1">
      <alignment horizontal="left" vertical="top" wrapText="1"/>
    </xf>
    <xf numFmtId="0" fontId="9" fillId="0" borderId="8" xfId="0" applyFont="1" applyBorder="1" applyAlignment="1">
      <alignment horizontal="left" vertical="top" wrapText="1"/>
    </xf>
    <xf numFmtId="0" fontId="9" fillId="0" borderId="9" xfId="0" applyFont="1" applyBorder="1" applyAlignment="1">
      <alignment horizontal="left" vertical="top" wrapText="1"/>
    </xf>
    <xf numFmtId="0" fontId="9" fillId="0" borderId="5" xfId="0" applyFont="1" applyBorder="1" applyAlignment="1">
      <alignment horizontal="left" vertical="top" wrapText="1"/>
    </xf>
    <xf numFmtId="0" fontId="9" fillId="0" borderId="0" xfId="0" applyFont="1" applyBorder="1" applyAlignment="1">
      <alignment horizontal="left" vertical="top" wrapText="1"/>
    </xf>
    <xf numFmtId="0" fontId="9" fillId="0" borderId="10" xfId="0" applyFont="1" applyBorder="1" applyAlignment="1">
      <alignment horizontal="left" vertical="top" wrapText="1"/>
    </xf>
    <xf numFmtId="0" fontId="9" fillId="0" borderId="11" xfId="0" applyFont="1" applyBorder="1" applyAlignment="1">
      <alignment horizontal="left" vertical="top" wrapText="1"/>
    </xf>
    <xf numFmtId="0" fontId="9" fillId="0" borderId="6" xfId="0" applyFont="1" applyBorder="1" applyAlignment="1">
      <alignment horizontal="left" vertical="top" wrapText="1"/>
    </xf>
    <xf numFmtId="0" fontId="9" fillId="0" borderId="12" xfId="0" applyFont="1" applyBorder="1" applyAlignment="1">
      <alignment horizontal="left" vertical="top" wrapText="1"/>
    </xf>
    <xf numFmtId="0" fontId="12"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0" fillId="0" borderId="7" xfId="0" applyFont="1" applyBorder="1" applyAlignment="1">
      <alignment vertical="top" wrapText="1" shrinkToFit="1"/>
    </xf>
    <xf numFmtId="0" fontId="9" fillId="0" borderId="8" xfId="0" applyFont="1" applyBorder="1" applyAlignment="1">
      <alignment vertical="top" shrinkToFit="1"/>
    </xf>
    <xf numFmtId="0" fontId="9" fillId="0" borderId="9" xfId="0" applyFont="1" applyBorder="1" applyAlignment="1">
      <alignment vertical="top" shrinkToFit="1"/>
    </xf>
    <xf numFmtId="0" fontId="9" fillId="0" borderId="5" xfId="0" applyFont="1" applyBorder="1" applyAlignment="1">
      <alignment vertical="top" shrinkToFit="1"/>
    </xf>
    <xf numFmtId="0" fontId="9" fillId="0" borderId="0" xfId="0" applyFont="1" applyBorder="1" applyAlignment="1">
      <alignment vertical="top" shrinkToFit="1"/>
    </xf>
    <xf numFmtId="0" fontId="9" fillId="0" borderId="10" xfId="0" applyFont="1" applyBorder="1" applyAlignment="1">
      <alignment vertical="top" shrinkToFit="1"/>
    </xf>
    <xf numFmtId="0" fontId="9" fillId="0" borderId="11" xfId="0" applyFont="1" applyBorder="1" applyAlignment="1">
      <alignment vertical="top" shrinkToFit="1"/>
    </xf>
    <xf numFmtId="0" fontId="9" fillId="0" borderId="6" xfId="0" applyFont="1" applyBorder="1" applyAlignment="1">
      <alignment vertical="top" shrinkToFit="1"/>
    </xf>
    <xf numFmtId="0" fontId="9" fillId="0" borderId="12" xfId="0" applyFont="1" applyBorder="1" applyAlignment="1">
      <alignment vertical="top" shrinkToFit="1"/>
    </xf>
    <xf numFmtId="0" fontId="10" fillId="0" borderId="2" xfId="0" applyFont="1" applyBorder="1" applyAlignment="1">
      <alignment horizontal="left" vertical="center" wrapText="1" shrinkToFit="1"/>
    </xf>
    <xf numFmtId="0" fontId="2" fillId="0" borderId="2" xfId="0" applyFont="1" applyBorder="1" applyAlignment="1">
      <alignment horizontal="left" vertical="center" shrinkToFit="1"/>
    </xf>
    <xf numFmtId="0" fontId="2" fillId="0" borderId="3" xfId="0" applyFont="1" applyBorder="1" applyAlignment="1">
      <alignment horizontal="left" vertical="center" shrinkToFit="1"/>
    </xf>
    <xf numFmtId="0" fontId="2" fillId="0" borderId="4" xfId="0" applyFont="1" applyBorder="1" applyAlignment="1">
      <alignment horizontal="left" vertical="center" shrinkToFit="1"/>
    </xf>
    <xf numFmtId="0" fontId="13" fillId="0" borderId="2" xfId="0" applyFont="1" applyBorder="1" applyAlignment="1">
      <alignment horizontal="center" vertical="center"/>
    </xf>
    <xf numFmtId="0" fontId="9" fillId="0" borderId="2" xfId="0" applyFont="1" applyBorder="1" applyAlignment="1">
      <alignment horizontal="left" vertical="center" shrinkToFit="1"/>
    </xf>
    <xf numFmtId="0" fontId="9" fillId="0" borderId="3" xfId="0" applyFont="1" applyBorder="1" applyAlignment="1">
      <alignment horizontal="left" vertical="center" shrinkToFit="1"/>
    </xf>
    <xf numFmtId="0" fontId="9" fillId="0" borderId="4" xfId="0" applyFont="1" applyBorder="1" applyAlignment="1">
      <alignment horizontal="left" vertical="center" shrinkToFit="1"/>
    </xf>
    <xf numFmtId="0" fontId="9" fillId="0" borderId="2" xfId="0" applyFont="1" applyFill="1" applyBorder="1" applyAlignment="1">
      <alignment horizontal="left" vertical="center" wrapText="1" shrinkToFit="1"/>
    </xf>
    <xf numFmtId="0" fontId="9" fillId="0" borderId="3" xfId="0" applyFont="1" applyFill="1" applyBorder="1" applyAlignment="1">
      <alignment horizontal="left" vertical="center" wrapText="1" shrinkToFit="1"/>
    </xf>
    <xf numFmtId="0" fontId="9" fillId="0" borderId="4" xfId="0" applyFont="1" applyFill="1" applyBorder="1" applyAlignment="1">
      <alignment horizontal="left" vertical="center" wrapText="1" shrinkToFit="1"/>
    </xf>
    <xf numFmtId="0" fontId="9" fillId="0" borderId="8" xfId="0" applyFont="1" applyFill="1" applyBorder="1" applyAlignment="1">
      <alignment horizontal="left" vertical="top" wrapText="1"/>
    </xf>
    <xf numFmtId="0" fontId="9" fillId="0" borderId="9" xfId="0" applyFont="1" applyFill="1" applyBorder="1" applyAlignment="1">
      <alignment horizontal="left" vertical="top" wrapText="1"/>
    </xf>
    <xf numFmtId="0" fontId="9" fillId="0" borderId="5" xfId="0" applyFont="1" applyFill="1" applyBorder="1" applyAlignment="1">
      <alignment horizontal="left" vertical="top" wrapText="1"/>
    </xf>
    <xf numFmtId="0" fontId="9" fillId="0" borderId="0" xfId="0" applyFont="1" applyFill="1" applyBorder="1" applyAlignment="1">
      <alignment horizontal="left" vertical="top" wrapText="1"/>
    </xf>
    <xf numFmtId="0" fontId="9" fillId="0" borderId="10" xfId="0" applyFont="1" applyFill="1" applyBorder="1" applyAlignment="1">
      <alignment horizontal="left" vertical="top" wrapText="1"/>
    </xf>
    <xf numFmtId="0" fontId="9" fillId="0" borderId="11" xfId="0" applyFont="1" applyFill="1" applyBorder="1" applyAlignment="1">
      <alignment horizontal="left" vertical="top" wrapText="1"/>
    </xf>
    <xf numFmtId="0" fontId="9" fillId="0" borderId="6" xfId="0" applyFont="1" applyFill="1" applyBorder="1" applyAlignment="1">
      <alignment horizontal="left" vertical="top" wrapText="1"/>
    </xf>
    <xf numFmtId="0" fontId="9" fillId="0" borderId="12" xfId="0" applyFont="1" applyFill="1" applyBorder="1" applyAlignment="1">
      <alignment horizontal="left" vertical="top" wrapText="1"/>
    </xf>
    <xf numFmtId="0" fontId="2" fillId="0" borderId="6" xfId="0" applyFont="1" applyBorder="1" applyAlignment="1">
      <alignment vertical="center"/>
    </xf>
    <xf numFmtId="0" fontId="2" fillId="0" borderId="0" xfId="0" applyFont="1" applyAlignment="1">
      <alignment vertical="center" shrinkToFit="1"/>
    </xf>
    <xf numFmtId="0" fontId="9" fillId="0" borderId="7" xfId="0" applyFont="1" applyBorder="1" applyAlignment="1">
      <alignment vertical="top" wrapText="1" shrinkToFit="1"/>
    </xf>
    <xf numFmtId="0" fontId="9" fillId="0" borderId="8" xfId="0" applyFont="1" applyBorder="1" applyAlignment="1">
      <alignment vertical="top" wrapText="1" shrinkToFit="1"/>
    </xf>
    <xf numFmtId="0" fontId="9" fillId="0" borderId="9" xfId="0" applyFont="1" applyBorder="1" applyAlignment="1">
      <alignment vertical="top" wrapText="1" shrinkToFit="1"/>
    </xf>
    <xf numFmtId="0" fontId="9" fillId="0" borderId="5" xfId="0" applyFont="1" applyBorder="1" applyAlignment="1">
      <alignment vertical="top" wrapText="1" shrinkToFit="1"/>
    </xf>
    <xf numFmtId="0" fontId="9" fillId="0" borderId="0" xfId="0" applyFont="1" applyBorder="1" applyAlignment="1">
      <alignment vertical="top" wrapText="1" shrinkToFit="1"/>
    </xf>
    <xf numFmtId="0" fontId="9" fillId="0" borderId="10" xfId="0" applyFont="1" applyBorder="1" applyAlignment="1">
      <alignment vertical="top" wrapText="1" shrinkToFit="1"/>
    </xf>
    <xf numFmtId="0" fontId="9" fillId="0" borderId="11" xfId="0" applyFont="1" applyBorder="1" applyAlignment="1">
      <alignment vertical="top" wrapText="1" shrinkToFit="1"/>
    </xf>
    <xf numFmtId="0" fontId="9" fillId="0" borderId="6" xfId="0" applyFont="1" applyBorder="1" applyAlignment="1">
      <alignment vertical="top" wrapText="1" shrinkToFit="1"/>
    </xf>
    <xf numFmtId="0" fontId="9" fillId="0" borderId="12" xfId="0" applyFont="1" applyBorder="1" applyAlignment="1">
      <alignment vertical="top" wrapText="1" shrinkToFit="1"/>
    </xf>
    <xf numFmtId="0" fontId="14" fillId="0" borderId="3" xfId="0" applyFont="1" applyBorder="1" applyAlignment="1">
      <alignment horizontal="left" vertical="center" shrinkToFit="1"/>
    </xf>
    <xf numFmtId="0" fontId="14" fillId="0" borderId="4" xfId="0" applyFont="1" applyBorder="1" applyAlignment="1">
      <alignment horizontal="left" vertical="center" shrinkToFit="1"/>
    </xf>
    <xf numFmtId="0" fontId="2" fillId="0" borderId="18" xfId="0" applyFont="1" applyBorder="1" applyAlignment="1">
      <alignment vertical="center" wrapText="1"/>
    </xf>
    <xf numFmtId="0" fontId="2" fillId="0" borderId="19" xfId="0" applyFont="1" applyBorder="1" applyAlignment="1">
      <alignment vertical="center" wrapText="1"/>
    </xf>
    <xf numFmtId="0" fontId="9" fillId="0" borderId="20" xfId="0" applyFont="1" applyBorder="1" applyAlignment="1">
      <alignment vertical="top" wrapText="1" shrinkToFit="1"/>
    </xf>
    <xf numFmtId="0" fontId="9" fillId="0" borderId="21" xfId="0" applyFont="1" applyBorder="1" applyAlignment="1">
      <alignment vertical="top" wrapText="1" shrinkToFit="1"/>
    </xf>
    <xf numFmtId="0" fontId="9" fillId="0" borderId="19" xfId="0" applyFont="1" applyBorder="1" applyAlignment="1">
      <alignment vertical="top" wrapText="1" shrinkToFit="1"/>
    </xf>
    <xf numFmtId="0" fontId="4" fillId="0" borderId="0" xfId="0" applyFont="1" applyAlignment="1">
      <alignment vertical="top" wrapText="1"/>
    </xf>
    <xf numFmtId="0" fontId="5" fillId="0" borderId="0" xfId="0" applyFont="1" applyAlignment="1">
      <alignment vertical="top" wrapText="1"/>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18" xfId="0" applyFont="1" applyBorder="1" applyAlignment="1">
      <alignment vertical="center"/>
    </xf>
    <xf numFmtId="0" fontId="0" fillId="0" borderId="19" xfId="0" applyBorder="1" applyAlignment="1">
      <alignment vertical="center"/>
    </xf>
    <xf numFmtId="0" fontId="2" fillId="0" borderId="20" xfId="0" applyFont="1" applyBorder="1" applyAlignment="1">
      <alignment vertical="center" wrapText="1"/>
    </xf>
    <xf numFmtId="0" fontId="2" fillId="0" borderId="21" xfId="0" applyFont="1" applyBorder="1" applyAlignment="1">
      <alignment vertical="center" wrapText="1"/>
    </xf>
    <xf numFmtId="0" fontId="3" fillId="0" borderId="7" xfId="0" applyFont="1" applyBorder="1" applyAlignment="1">
      <alignment vertical="top" shrinkToFit="1"/>
    </xf>
    <xf numFmtId="0" fontId="3" fillId="0" borderId="8" xfId="0" applyFont="1" applyBorder="1" applyAlignment="1">
      <alignment vertical="top" shrinkToFit="1"/>
    </xf>
    <xf numFmtId="0" fontId="3" fillId="0" borderId="9" xfId="0" applyFont="1" applyBorder="1" applyAlignment="1">
      <alignment vertical="top" shrinkToFit="1"/>
    </xf>
    <xf numFmtId="0" fontId="3" fillId="0" borderId="5" xfId="0" applyFont="1" applyBorder="1" applyAlignment="1">
      <alignment vertical="top" shrinkToFit="1"/>
    </xf>
    <xf numFmtId="0" fontId="3" fillId="0" borderId="0" xfId="0" applyFont="1" applyBorder="1" applyAlignment="1">
      <alignment vertical="top" shrinkToFit="1"/>
    </xf>
    <xf numFmtId="0" fontId="3" fillId="0" borderId="10" xfId="0" applyFont="1" applyBorder="1" applyAlignment="1">
      <alignment vertical="top" shrinkToFit="1"/>
    </xf>
    <xf numFmtId="0" fontId="3" fillId="0" borderId="11" xfId="0" applyFont="1" applyBorder="1" applyAlignment="1">
      <alignment vertical="top" shrinkToFit="1"/>
    </xf>
    <xf numFmtId="0" fontId="3" fillId="0" borderId="6" xfId="0" applyFont="1" applyBorder="1" applyAlignment="1">
      <alignment vertical="top" shrinkToFit="1"/>
    </xf>
    <xf numFmtId="0" fontId="3" fillId="0" borderId="12" xfId="0" applyFont="1" applyBorder="1" applyAlignment="1">
      <alignment vertical="top" shrinkToFit="1"/>
    </xf>
    <xf numFmtId="0" fontId="7" fillId="0" borderId="2" xfId="2" applyBorder="1" applyAlignment="1">
      <alignment horizontal="left" vertical="center" shrinkToFit="1"/>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kyoumu-post@tcu.ac.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www.tcu.ac.jp/tcucms/wp-content/uploads/2021/05/20210511-609a230510f2b.pdf"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s://www.tcu.ac.jp/tcucms/wp-content/uploads/2021/05/20210511-609a230510f2b.pdf"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s://www.tcu.ac.jp/tcucms/wp-content/uploads/2021/05/20210511-609a230510f2b.pdf"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s://www.tcu.ac.jp/tcucms/wp-content/uploads/2021/05/20210511-609a230510f2b.pdf"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https://www.tcu.ac.jp/tcucms/wp-content/uploads/2021/06/20210629-60da7ac15794d.pdf" TargetMode="Externa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47"/>
  <sheetViews>
    <sheetView zoomScaleNormal="100" workbookViewId="0"/>
  </sheetViews>
  <sheetFormatPr defaultColWidth="9" defaultRowHeight="18.75" customHeight="1" x14ac:dyDescent="0.15"/>
  <cols>
    <col min="1" max="1" width="2.5" style="28" customWidth="1"/>
    <col min="2" max="2" width="12.5" style="28" customWidth="1"/>
    <col min="3" max="8" width="6.25" style="28" customWidth="1"/>
    <col min="9" max="9" width="2.5" style="28" customWidth="1"/>
    <col min="10" max="10" width="10" style="28" customWidth="1"/>
    <col min="11" max="11" width="2.5" style="28" customWidth="1"/>
    <col min="12" max="12" width="7.5" style="28" customWidth="1"/>
    <col min="13" max="13" width="2.5" style="28" customWidth="1"/>
    <col min="14" max="14" width="7.5" style="28" customWidth="1"/>
    <col min="15" max="16384" width="9" style="28"/>
  </cols>
  <sheetData>
    <row r="1" spans="1:14" ht="22.5" customHeight="1" x14ac:dyDescent="0.15">
      <c r="M1" s="166" t="s">
        <v>29</v>
      </c>
      <c r="N1" s="166"/>
    </row>
    <row r="2" spans="1:14" ht="22.5" customHeight="1" x14ac:dyDescent="0.15">
      <c r="A2" s="171" t="s">
        <v>135</v>
      </c>
      <c r="B2" s="171"/>
      <c r="C2" s="171"/>
      <c r="D2" s="171"/>
      <c r="E2" s="171"/>
      <c r="F2" s="171"/>
      <c r="G2" s="171"/>
      <c r="H2" s="171"/>
      <c r="I2" s="171"/>
      <c r="J2" s="171"/>
      <c r="K2" s="171"/>
      <c r="L2" s="171"/>
      <c r="M2" s="171"/>
      <c r="N2" s="171"/>
    </row>
    <row r="3" spans="1:14" ht="22.5" customHeight="1" x14ac:dyDescent="0.15"/>
    <row r="4" spans="1:14" ht="22.5" customHeight="1" x14ac:dyDescent="0.15">
      <c r="A4" s="28" t="s">
        <v>7</v>
      </c>
      <c r="B4" s="31" t="s">
        <v>20</v>
      </c>
      <c r="C4" s="153" t="s">
        <v>136</v>
      </c>
      <c r="D4" s="154"/>
      <c r="E4" s="154"/>
      <c r="F4" s="154"/>
      <c r="G4" s="154"/>
      <c r="H4" s="154"/>
      <c r="I4" s="154"/>
      <c r="J4" s="154"/>
      <c r="K4" s="154"/>
      <c r="L4" s="154"/>
      <c r="M4" s="154"/>
      <c r="N4" s="155"/>
    </row>
    <row r="5" spans="1:14" ht="7.5" customHeight="1" x14ac:dyDescent="0.15">
      <c r="B5" s="31"/>
      <c r="C5" s="31"/>
      <c r="D5" s="31"/>
      <c r="E5" s="32"/>
      <c r="F5" s="29"/>
      <c r="G5" s="29"/>
      <c r="H5" s="29"/>
      <c r="I5" s="29"/>
      <c r="J5" s="29"/>
      <c r="K5" s="29"/>
      <c r="L5" s="29"/>
      <c r="M5" s="29"/>
      <c r="N5" s="29"/>
    </row>
    <row r="6" spans="1:14" ht="22.5" customHeight="1" x14ac:dyDescent="0.15">
      <c r="A6" s="28" t="s">
        <v>56</v>
      </c>
      <c r="B6" s="31" t="s">
        <v>57</v>
      </c>
      <c r="C6" s="31"/>
      <c r="D6" s="153" t="s">
        <v>137</v>
      </c>
      <c r="E6" s="154"/>
      <c r="F6" s="154"/>
      <c r="G6" s="154"/>
      <c r="H6" s="154"/>
      <c r="I6" s="154"/>
      <c r="J6" s="154"/>
      <c r="K6" s="154"/>
      <c r="L6" s="154"/>
      <c r="M6" s="154"/>
      <c r="N6" s="155"/>
    </row>
    <row r="7" spans="1:14" ht="7.5" customHeight="1" x14ac:dyDescent="0.15">
      <c r="B7" s="31"/>
      <c r="C7" s="31"/>
      <c r="D7" s="31"/>
      <c r="E7" s="32"/>
      <c r="F7" s="29"/>
      <c r="G7" s="29"/>
      <c r="H7" s="29"/>
      <c r="I7" s="29"/>
      <c r="J7" s="29"/>
      <c r="K7" s="29"/>
      <c r="L7" s="29"/>
      <c r="M7" s="29"/>
      <c r="N7" s="29"/>
    </row>
    <row r="8" spans="1:14" ht="22.5" customHeight="1" x14ac:dyDescent="0.15">
      <c r="A8" s="33" t="s">
        <v>13</v>
      </c>
      <c r="B8" s="34" t="s">
        <v>58</v>
      </c>
      <c r="C8" s="153" t="s">
        <v>138</v>
      </c>
      <c r="D8" s="154"/>
      <c r="E8" s="155"/>
      <c r="F8" s="29"/>
      <c r="G8" s="170"/>
      <c r="H8" s="170"/>
      <c r="I8" s="170"/>
      <c r="J8" s="29"/>
      <c r="K8" s="29"/>
      <c r="L8" s="29"/>
      <c r="M8" s="29"/>
      <c r="N8" s="29"/>
    </row>
    <row r="9" spans="1:14" ht="7.5" customHeight="1" x14ac:dyDescent="0.15">
      <c r="B9" s="31"/>
      <c r="C9" s="31"/>
      <c r="D9" s="31"/>
      <c r="E9" s="32"/>
      <c r="F9" s="29"/>
      <c r="G9" s="29"/>
      <c r="H9" s="29"/>
      <c r="I9" s="29"/>
      <c r="J9" s="29"/>
      <c r="K9" s="29"/>
      <c r="L9" s="29"/>
      <c r="M9" s="29"/>
      <c r="N9" s="29"/>
    </row>
    <row r="10" spans="1:14" ht="22.5" customHeight="1" x14ac:dyDescent="0.15">
      <c r="A10" s="28" t="s">
        <v>17</v>
      </c>
      <c r="B10" s="31" t="s">
        <v>53</v>
      </c>
      <c r="C10" s="153" t="s">
        <v>139</v>
      </c>
      <c r="D10" s="154"/>
      <c r="E10" s="154"/>
      <c r="F10" s="154"/>
      <c r="G10" s="154"/>
      <c r="H10" s="154"/>
      <c r="I10" s="154"/>
      <c r="J10" s="154"/>
      <c r="K10" s="154"/>
      <c r="L10" s="154"/>
      <c r="M10" s="154"/>
      <c r="N10" s="155"/>
    </row>
    <row r="11" spans="1:14" ht="7.5" customHeight="1" x14ac:dyDescent="0.15">
      <c r="B11" s="31"/>
      <c r="C11" s="31"/>
      <c r="D11" s="31"/>
      <c r="E11" s="32"/>
      <c r="F11" s="29"/>
      <c r="G11" s="29"/>
      <c r="H11" s="29"/>
      <c r="I11" s="29"/>
      <c r="J11" s="29"/>
      <c r="K11" s="29"/>
      <c r="L11" s="29"/>
      <c r="M11" s="29"/>
      <c r="N11" s="29"/>
    </row>
    <row r="12" spans="1:14" ht="22.5" customHeight="1" x14ac:dyDescent="0.15">
      <c r="A12" s="28" t="s">
        <v>14</v>
      </c>
      <c r="B12" s="31" t="s">
        <v>131</v>
      </c>
      <c r="C12" s="31"/>
      <c r="D12" s="31"/>
      <c r="E12" s="117"/>
      <c r="F12" s="118"/>
      <c r="G12" s="158" t="s">
        <v>194</v>
      </c>
      <c r="H12" s="159"/>
      <c r="I12" s="159"/>
      <c r="J12" s="159"/>
      <c r="K12" s="159"/>
      <c r="L12" s="159"/>
      <c r="M12" s="159"/>
      <c r="N12" s="172"/>
    </row>
    <row r="13" spans="1:14" ht="7.5" customHeight="1" x14ac:dyDescent="0.15">
      <c r="B13" s="32"/>
      <c r="C13" s="32"/>
      <c r="D13" s="32"/>
      <c r="E13" s="32"/>
      <c r="F13" s="29"/>
      <c r="G13" s="29"/>
      <c r="H13" s="29"/>
      <c r="I13" s="29"/>
      <c r="J13" s="29"/>
      <c r="K13" s="29"/>
      <c r="L13" s="29"/>
      <c r="M13" s="29"/>
      <c r="N13" s="29"/>
    </row>
    <row r="14" spans="1:14" ht="22.5" customHeight="1" x14ac:dyDescent="0.15">
      <c r="A14" s="28" t="s">
        <v>68</v>
      </c>
      <c r="B14" s="32" t="s">
        <v>69</v>
      </c>
      <c r="C14" s="32"/>
      <c r="D14" s="32"/>
      <c r="E14" s="32"/>
      <c r="F14" s="153" t="s">
        <v>140</v>
      </c>
      <c r="G14" s="154"/>
      <c r="H14" s="155"/>
      <c r="I14" s="48"/>
      <c r="J14" s="48"/>
      <c r="K14" s="48"/>
      <c r="L14" s="48"/>
      <c r="M14" s="48"/>
      <c r="N14" s="48"/>
    </row>
    <row r="15" spans="1:14" ht="7.5" customHeight="1" x14ac:dyDescent="0.15">
      <c r="B15" s="32"/>
      <c r="C15" s="32"/>
      <c r="D15" s="32"/>
      <c r="E15" s="32"/>
      <c r="F15" s="48"/>
      <c r="G15" s="48"/>
      <c r="H15" s="48"/>
      <c r="I15" s="48"/>
      <c r="J15" s="48"/>
      <c r="K15" s="48"/>
      <c r="L15" s="48"/>
      <c r="M15" s="48"/>
      <c r="N15" s="48"/>
    </row>
    <row r="16" spans="1:14" ht="22.5" customHeight="1" x14ac:dyDescent="0.15">
      <c r="A16" s="28" t="s">
        <v>15</v>
      </c>
      <c r="B16" s="28" t="s">
        <v>0</v>
      </c>
      <c r="C16" s="167" t="s">
        <v>6</v>
      </c>
      <c r="D16" s="168"/>
      <c r="E16" s="156">
        <v>279</v>
      </c>
      <c r="F16" s="157"/>
      <c r="G16" s="35" t="s">
        <v>10</v>
      </c>
      <c r="I16" s="167" t="s">
        <v>11</v>
      </c>
      <c r="J16" s="168"/>
      <c r="K16" s="156">
        <v>293</v>
      </c>
      <c r="L16" s="169"/>
      <c r="M16" s="157"/>
      <c r="N16" s="36" t="s">
        <v>10</v>
      </c>
    </row>
    <row r="17" spans="1:15" ht="7.5" customHeight="1" x14ac:dyDescent="0.15">
      <c r="F17" s="37"/>
      <c r="G17" s="37"/>
      <c r="H17" s="37"/>
      <c r="I17" s="37"/>
      <c r="J17" s="37"/>
      <c r="K17" s="37"/>
      <c r="L17" s="37"/>
      <c r="M17" s="36"/>
      <c r="N17" s="36"/>
    </row>
    <row r="18" spans="1:15" ht="22.5" customHeight="1" x14ac:dyDescent="0.15">
      <c r="A18" s="28" t="s">
        <v>62</v>
      </c>
      <c r="B18" s="28" t="s">
        <v>92</v>
      </c>
      <c r="F18" s="37"/>
      <c r="G18" s="37"/>
      <c r="H18" s="37"/>
      <c r="I18" s="37"/>
      <c r="J18" s="37"/>
      <c r="K18" s="163">
        <v>8</v>
      </c>
      <c r="L18" s="164"/>
      <c r="M18" s="165"/>
      <c r="N18" s="36" t="s">
        <v>60</v>
      </c>
    </row>
    <row r="19" spans="1:15" ht="7.5" customHeight="1" x14ac:dyDescent="0.15">
      <c r="F19" s="37"/>
      <c r="G19" s="37"/>
      <c r="H19" s="37"/>
      <c r="I19" s="37"/>
      <c r="J19" s="37"/>
      <c r="K19" s="37"/>
      <c r="L19" s="37"/>
      <c r="M19" s="36"/>
      <c r="N19" s="36"/>
    </row>
    <row r="20" spans="1:15" ht="22.5" customHeight="1" x14ac:dyDescent="0.15">
      <c r="A20" s="28" t="s">
        <v>70</v>
      </c>
      <c r="B20" s="28" t="s">
        <v>128</v>
      </c>
      <c r="E20" s="156">
        <v>1620</v>
      </c>
      <c r="F20" s="157"/>
      <c r="G20" s="38" t="s">
        <v>25</v>
      </c>
      <c r="H20" s="37"/>
      <c r="K20" s="173"/>
      <c r="L20" s="173"/>
      <c r="M20" s="173"/>
      <c r="N20" s="173"/>
    </row>
    <row r="21" spans="1:15" ht="7.5" customHeight="1" x14ac:dyDescent="0.15">
      <c r="E21" s="25"/>
      <c r="F21" s="37"/>
      <c r="G21" s="37"/>
      <c r="L21" s="39"/>
      <c r="M21" s="39"/>
      <c r="N21" s="40"/>
    </row>
    <row r="22" spans="1:15" ht="22.5" customHeight="1" x14ac:dyDescent="0.15">
      <c r="A22" s="28" t="s">
        <v>28</v>
      </c>
      <c r="B22" s="28" t="s">
        <v>129</v>
      </c>
      <c r="E22" s="25"/>
      <c r="F22" s="37"/>
      <c r="G22" s="37"/>
      <c r="H22" s="28" t="s">
        <v>61</v>
      </c>
      <c r="J22" s="176">
        <v>6932</v>
      </c>
      <c r="K22" s="177"/>
      <c r="L22" s="178"/>
      <c r="M22" s="39" t="s">
        <v>60</v>
      </c>
      <c r="N22" s="40"/>
    </row>
    <row r="23" spans="1:15" ht="7.5" customHeight="1" x14ac:dyDescent="0.15">
      <c r="E23" s="25"/>
      <c r="F23" s="37"/>
      <c r="G23" s="37"/>
      <c r="L23" s="39"/>
      <c r="M23" s="39"/>
      <c r="N23" s="40"/>
    </row>
    <row r="24" spans="1:15" ht="22.5" customHeight="1" x14ac:dyDescent="0.15">
      <c r="B24" s="41" t="s">
        <v>21</v>
      </c>
      <c r="C24" s="156">
        <v>1623</v>
      </c>
      <c r="D24" s="157"/>
      <c r="E24" s="25" t="s">
        <v>26</v>
      </c>
      <c r="F24" s="37"/>
      <c r="G24" s="152" t="s">
        <v>22</v>
      </c>
      <c r="H24" s="152"/>
      <c r="I24" s="156">
        <v>1827</v>
      </c>
      <c r="J24" s="157"/>
      <c r="K24" s="33" t="s">
        <v>26</v>
      </c>
      <c r="M24" s="39"/>
      <c r="N24" s="40"/>
      <c r="O24" s="30"/>
    </row>
    <row r="25" spans="1:15" ht="7.5" customHeight="1" x14ac:dyDescent="0.15">
      <c r="B25" s="41"/>
      <c r="C25" s="26"/>
      <c r="D25" s="26"/>
      <c r="E25" s="25"/>
      <c r="F25" s="37"/>
      <c r="G25" s="39"/>
      <c r="H25" s="39"/>
      <c r="I25" s="26"/>
      <c r="J25" s="26"/>
      <c r="K25" s="33"/>
      <c r="M25" s="39"/>
      <c r="N25" s="40"/>
      <c r="O25" s="30"/>
    </row>
    <row r="26" spans="1:15" ht="22.5" customHeight="1" x14ac:dyDescent="0.15">
      <c r="B26" s="41" t="s">
        <v>23</v>
      </c>
      <c r="C26" s="156">
        <v>1745</v>
      </c>
      <c r="D26" s="157"/>
      <c r="E26" s="25" t="s">
        <v>26</v>
      </c>
      <c r="F26" s="37"/>
      <c r="G26" s="152" t="s">
        <v>24</v>
      </c>
      <c r="H26" s="152"/>
      <c r="I26" s="156">
        <v>1737</v>
      </c>
      <c r="J26" s="157"/>
      <c r="K26" s="33" t="s">
        <v>26</v>
      </c>
      <c r="M26" s="39"/>
      <c r="N26" s="40"/>
    </row>
    <row r="27" spans="1:15" ht="7.5" customHeight="1" x14ac:dyDescent="0.15">
      <c r="B27" s="41"/>
      <c r="C27" s="26"/>
      <c r="D27" s="26"/>
      <c r="E27" s="25"/>
      <c r="F27" s="37"/>
      <c r="G27" s="39"/>
      <c r="H27" s="39"/>
      <c r="I27" s="26"/>
      <c r="J27" s="26"/>
      <c r="K27" s="33"/>
      <c r="M27" s="39"/>
      <c r="N27" s="40"/>
    </row>
    <row r="28" spans="1:15" ht="22.5" customHeight="1" x14ac:dyDescent="0.15">
      <c r="B28" s="41" t="s">
        <v>54</v>
      </c>
      <c r="C28" s="174"/>
      <c r="D28" s="175"/>
      <c r="E28" s="25" t="s">
        <v>10</v>
      </c>
      <c r="F28" s="37"/>
      <c r="G28" s="152" t="s">
        <v>55</v>
      </c>
      <c r="H28" s="152"/>
      <c r="I28" s="174"/>
      <c r="J28" s="175"/>
      <c r="K28" s="33" t="s">
        <v>10</v>
      </c>
      <c r="M28" s="39"/>
      <c r="N28" s="40"/>
    </row>
    <row r="29" spans="1:15" ht="7.5" customHeight="1" x14ac:dyDescent="0.15">
      <c r="F29" s="37"/>
      <c r="G29" s="37"/>
      <c r="M29" s="42"/>
      <c r="N29" s="42"/>
    </row>
    <row r="30" spans="1:15" ht="22.5" customHeight="1" x14ac:dyDescent="0.15">
      <c r="A30" s="28" t="s">
        <v>127</v>
      </c>
      <c r="B30" s="31" t="s">
        <v>118</v>
      </c>
      <c r="C30" s="31"/>
      <c r="D30" s="31"/>
      <c r="E30" s="31"/>
      <c r="F30" s="33"/>
      <c r="G30" s="94"/>
      <c r="H30" s="94"/>
      <c r="I30" s="94"/>
      <c r="J30" s="44"/>
      <c r="K30" s="44"/>
      <c r="L30" s="44"/>
      <c r="M30" s="44"/>
      <c r="N30" s="44"/>
    </row>
    <row r="31" spans="1:15" s="30" customFormat="1" ht="22.5" customHeight="1" x14ac:dyDescent="0.15">
      <c r="B31" s="160" t="s">
        <v>117</v>
      </c>
      <c r="C31" s="160"/>
      <c r="D31" s="153" t="s">
        <v>168</v>
      </c>
      <c r="E31" s="154"/>
      <c r="F31" s="154"/>
      <c r="G31" s="161" t="s">
        <v>27</v>
      </c>
      <c r="H31" s="160"/>
      <c r="I31" s="162"/>
      <c r="J31" s="153" t="s">
        <v>180</v>
      </c>
      <c r="K31" s="154"/>
      <c r="L31" s="154"/>
      <c r="M31" s="154"/>
      <c r="N31" s="155"/>
    </row>
    <row r="32" spans="1:15" ht="7.5" customHeight="1" x14ac:dyDescent="0.15">
      <c r="F32" s="37"/>
      <c r="G32" s="37"/>
      <c r="M32" s="42"/>
      <c r="N32" s="42"/>
    </row>
    <row r="33" spans="1:14" ht="22.5" customHeight="1" x14ac:dyDescent="0.15">
      <c r="A33" s="28" t="s">
        <v>59</v>
      </c>
      <c r="B33" s="31" t="s">
        <v>132</v>
      </c>
      <c r="C33" s="31"/>
      <c r="D33" s="31"/>
      <c r="E33" s="31"/>
      <c r="F33" s="33"/>
      <c r="G33" s="44"/>
      <c r="H33" s="44"/>
      <c r="I33" s="44"/>
      <c r="J33" s="44"/>
      <c r="K33" s="44"/>
      <c r="L33" s="44"/>
      <c r="M33" s="44"/>
      <c r="N33" s="44"/>
    </row>
    <row r="34" spans="1:14" ht="22.5" customHeight="1" x14ac:dyDescent="0.15">
      <c r="B34" s="153" t="s">
        <v>181</v>
      </c>
      <c r="C34" s="154"/>
      <c r="D34" s="154"/>
      <c r="E34" s="154"/>
      <c r="F34" s="154"/>
      <c r="G34" s="154"/>
      <c r="H34" s="154"/>
      <c r="I34" s="154"/>
      <c r="J34" s="154"/>
      <c r="K34" s="154"/>
      <c r="L34" s="154"/>
      <c r="M34" s="154"/>
      <c r="N34" s="155"/>
    </row>
    <row r="35" spans="1:14" ht="7.5" customHeight="1" x14ac:dyDescent="0.15">
      <c r="B35" s="27"/>
      <c r="C35" s="27"/>
      <c r="D35" s="27"/>
      <c r="E35" s="27"/>
      <c r="F35" s="27"/>
      <c r="G35" s="27"/>
      <c r="H35" s="27"/>
      <c r="I35" s="27"/>
      <c r="J35" s="27"/>
      <c r="K35" s="27"/>
      <c r="L35" s="27"/>
      <c r="M35" s="27"/>
      <c r="N35" s="27"/>
    </row>
    <row r="36" spans="1:14" s="30" customFormat="1" ht="22.5" customHeight="1" x14ac:dyDescent="0.15">
      <c r="B36" s="160" t="s">
        <v>117</v>
      </c>
      <c r="C36" s="160"/>
      <c r="D36" s="153" t="s">
        <v>167</v>
      </c>
      <c r="E36" s="154"/>
      <c r="F36" s="154"/>
      <c r="G36" s="161" t="s">
        <v>64</v>
      </c>
      <c r="H36" s="160"/>
      <c r="I36" s="162"/>
      <c r="J36" s="153" t="s">
        <v>160</v>
      </c>
      <c r="K36" s="154"/>
      <c r="L36" s="154"/>
      <c r="M36" s="154"/>
      <c r="N36" s="155"/>
    </row>
    <row r="37" spans="1:14" ht="7.5" customHeight="1" x14ac:dyDescent="0.15">
      <c r="F37" s="29"/>
      <c r="G37" s="29"/>
      <c r="H37" s="29"/>
      <c r="I37" s="29"/>
      <c r="J37" s="29"/>
      <c r="K37" s="29"/>
      <c r="L37" s="29"/>
      <c r="M37" s="29"/>
      <c r="N37" s="29"/>
    </row>
    <row r="38" spans="1:14" ht="22.5" customHeight="1" x14ac:dyDescent="0.15">
      <c r="A38" s="28" t="s">
        <v>63</v>
      </c>
      <c r="B38" s="28" t="s">
        <v>133</v>
      </c>
      <c r="M38" s="42"/>
      <c r="N38" s="42"/>
    </row>
    <row r="39" spans="1:14" ht="22.5" customHeight="1" x14ac:dyDescent="0.15">
      <c r="B39" s="153" t="s">
        <v>161</v>
      </c>
      <c r="C39" s="154"/>
      <c r="D39" s="154"/>
      <c r="E39" s="154"/>
      <c r="F39" s="154"/>
      <c r="G39" s="154"/>
      <c r="H39" s="154"/>
      <c r="I39" s="154"/>
      <c r="J39" s="154"/>
      <c r="K39" s="154"/>
      <c r="L39" s="154"/>
      <c r="M39" s="154"/>
      <c r="N39" s="155"/>
    </row>
    <row r="40" spans="1:14" ht="7.5" customHeight="1" x14ac:dyDescent="0.15">
      <c r="F40" s="29"/>
      <c r="G40" s="29"/>
      <c r="H40" s="29"/>
      <c r="I40" s="29"/>
      <c r="J40" s="29"/>
      <c r="K40" s="29"/>
      <c r="L40" s="29"/>
      <c r="M40" s="29"/>
      <c r="N40" s="29"/>
    </row>
    <row r="41" spans="1:14" s="30" customFormat="1" ht="22.5" customHeight="1" x14ac:dyDescent="0.15">
      <c r="B41" s="160" t="s">
        <v>117</v>
      </c>
      <c r="C41" s="160"/>
      <c r="D41" s="153" t="s">
        <v>166</v>
      </c>
      <c r="E41" s="154"/>
      <c r="F41" s="154"/>
      <c r="G41" s="161" t="s">
        <v>64</v>
      </c>
      <c r="H41" s="160"/>
      <c r="I41" s="162"/>
      <c r="J41" s="153" t="s">
        <v>162</v>
      </c>
      <c r="K41" s="154"/>
      <c r="L41" s="154"/>
      <c r="M41" s="154"/>
      <c r="N41" s="155"/>
    </row>
    <row r="42" spans="1:14" ht="7.5" customHeight="1" x14ac:dyDescent="0.15">
      <c r="F42" s="29"/>
      <c r="G42" s="29"/>
      <c r="H42" s="29"/>
      <c r="I42" s="29"/>
      <c r="J42" s="29"/>
      <c r="K42" s="29"/>
      <c r="L42" s="29"/>
      <c r="M42" s="29"/>
      <c r="N42" s="29"/>
    </row>
    <row r="43" spans="1:14" ht="22.5" customHeight="1" x14ac:dyDescent="0.15">
      <c r="A43" s="28" t="s">
        <v>71</v>
      </c>
      <c r="B43" s="79" t="s">
        <v>91</v>
      </c>
      <c r="E43" s="65"/>
      <c r="F43" s="153" t="s">
        <v>141</v>
      </c>
      <c r="G43" s="154"/>
      <c r="H43" s="154"/>
      <c r="I43" s="154"/>
      <c r="J43" s="154"/>
      <c r="K43" s="154"/>
      <c r="L43" s="154"/>
      <c r="M43" s="154"/>
      <c r="N43" s="155"/>
    </row>
    <row r="44" spans="1:14" ht="7.5" customHeight="1" x14ac:dyDescent="0.15">
      <c r="F44" s="63"/>
      <c r="G44" s="63"/>
      <c r="H44" s="63"/>
      <c r="I44" s="63"/>
      <c r="J44" s="63"/>
      <c r="K44" s="63"/>
      <c r="L44" s="63"/>
      <c r="M44" s="63"/>
      <c r="N44" s="63"/>
    </row>
    <row r="45" spans="1:14" ht="22.5" customHeight="1" x14ac:dyDescent="0.15">
      <c r="A45" s="28" t="s">
        <v>3</v>
      </c>
    </row>
    <row r="46" spans="1:14" ht="22.5" customHeight="1" x14ac:dyDescent="0.15">
      <c r="B46" s="45" t="s">
        <v>1</v>
      </c>
      <c r="C46" s="158" t="s">
        <v>163</v>
      </c>
      <c r="D46" s="159"/>
      <c r="E46" s="159"/>
      <c r="F46" s="159"/>
      <c r="G46" s="159"/>
      <c r="H46" s="159"/>
      <c r="I46" s="46" t="s">
        <v>2</v>
      </c>
      <c r="J46" s="47"/>
      <c r="K46" s="153" t="s">
        <v>165</v>
      </c>
      <c r="L46" s="154"/>
      <c r="M46" s="154"/>
      <c r="N46" s="155"/>
    </row>
    <row r="47" spans="1:14" ht="22.5" customHeight="1" x14ac:dyDescent="0.15">
      <c r="B47" s="45" t="s">
        <v>5</v>
      </c>
      <c r="C47" s="146" t="s">
        <v>182</v>
      </c>
      <c r="D47" s="147"/>
      <c r="E47" s="147"/>
      <c r="F47" s="147"/>
      <c r="G47" s="147"/>
      <c r="H47" s="148"/>
      <c r="I47" s="46" t="s">
        <v>4</v>
      </c>
      <c r="J47" s="47"/>
      <c r="K47" s="149" t="s">
        <v>164</v>
      </c>
      <c r="L47" s="150"/>
      <c r="M47" s="150"/>
      <c r="N47" s="151"/>
    </row>
  </sheetData>
  <mergeCells count="45">
    <mergeCell ref="K20:N20"/>
    <mergeCell ref="E20:F20"/>
    <mergeCell ref="J41:N41"/>
    <mergeCell ref="B34:N34"/>
    <mergeCell ref="B39:N39"/>
    <mergeCell ref="G28:H28"/>
    <mergeCell ref="I28:J28"/>
    <mergeCell ref="J22:L22"/>
    <mergeCell ref="G24:H24"/>
    <mergeCell ref="B31:C31"/>
    <mergeCell ref="D31:F31"/>
    <mergeCell ref="G31:I31"/>
    <mergeCell ref="C28:D28"/>
    <mergeCell ref="K18:M18"/>
    <mergeCell ref="I24:J24"/>
    <mergeCell ref="M1:N1"/>
    <mergeCell ref="C16:D16"/>
    <mergeCell ref="C8:E8"/>
    <mergeCell ref="C10:N10"/>
    <mergeCell ref="K16:M16"/>
    <mergeCell ref="G8:I8"/>
    <mergeCell ref="C4:N4"/>
    <mergeCell ref="D6:N6"/>
    <mergeCell ref="F14:H14"/>
    <mergeCell ref="A2:N2"/>
    <mergeCell ref="E16:F16"/>
    <mergeCell ref="I16:J16"/>
    <mergeCell ref="C24:D24"/>
    <mergeCell ref="G12:N12"/>
    <mergeCell ref="C47:H47"/>
    <mergeCell ref="K47:N47"/>
    <mergeCell ref="G26:H26"/>
    <mergeCell ref="K46:N46"/>
    <mergeCell ref="I26:J26"/>
    <mergeCell ref="C46:H46"/>
    <mergeCell ref="B36:C36"/>
    <mergeCell ref="J36:N36"/>
    <mergeCell ref="D36:F36"/>
    <mergeCell ref="G36:I36"/>
    <mergeCell ref="B41:C41"/>
    <mergeCell ref="D41:F41"/>
    <mergeCell ref="C26:D26"/>
    <mergeCell ref="G41:I41"/>
    <mergeCell ref="F43:N43"/>
    <mergeCell ref="J31:N31"/>
  </mergeCells>
  <phoneticPr fontId="1"/>
  <dataValidations count="2">
    <dataValidation type="list" allowBlank="1" showInputMessage="1" showErrorMessage="1" sqref="C8">
      <formula1>"国立大学, 公立大学, 私立大学, 短期大学, 高等専門学校, その他"</formula1>
    </dataValidation>
    <dataValidation type="list" allowBlank="1" showInputMessage="1" showErrorMessage="1" sqref="F43">
      <formula1>"認定教育プログラム,認定教育プログラムと認定教育プログラム+（プラス）"</formula1>
    </dataValidation>
  </dataValidations>
  <hyperlinks>
    <hyperlink ref="C47" r:id="rId1"/>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
  <sheetViews>
    <sheetView showZeros="0" zoomScaleNormal="100" workbookViewId="0"/>
  </sheetViews>
  <sheetFormatPr defaultColWidth="9" defaultRowHeight="18.75" customHeight="1" x14ac:dyDescent="0.15"/>
  <cols>
    <col min="1" max="2" width="2.5" style="28" customWidth="1"/>
    <col min="3" max="3" width="20" style="28" customWidth="1"/>
    <col min="4" max="4" width="8.75" style="28" customWidth="1"/>
    <col min="5" max="5" width="7.5" style="28" customWidth="1"/>
    <col min="6" max="6" width="2.5" style="28" customWidth="1"/>
    <col min="7" max="7" width="15" style="28" customWidth="1"/>
    <col min="8" max="8" width="12.5" style="28" customWidth="1"/>
    <col min="9" max="9" width="11.25" style="28" customWidth="1"/>
    <col min="10" max="16384" width="9" style="28"/>
  </cols>
  <sheetData>
    <row r="1" spans="1:9" ht="18.75" customHeight="1" x14ac:dyDescent="0.15">
      <c r="I1" s="71" t="s">
        <v>150</v>
      </c>
    </row>
    <row r="2" spans="1:9" ht="18.75" customHeight="1" x14ac:dyDescent="0.15">
      <c r="G2" s="43" t="s">
        <v>32</v>
      </c>
      <c r="H2" s="182" t="s">
        <v>146</v>
      </c>
      <c r="I2" s="182"/>
    </row>
    <row r="3" spans="1:9" ht="7.5" customHeight="1" x14ac:dyDescent="0.15"/>
    <row r="4" spans="1:9" ht="18.75" customHeight="1" x14ac:dyDescent="0.15">
      <c r="A4" s="171" t="s">
        <v>89</v>
      </c>
      <c r="B4" s="171"/>
      <c r="C4" s="171"/>
      <c r="D4" s="171"/>
      <c r="E4" s="171"/>
      <c r="F4" s="171"/>
      <c r="G4" s="171"/>
      <c r="H4" s="171"/>
      <c r="I4" s="171"/>
    </row>
    <row r="5" spans="1:9" ht="7.5" customHeight="1" x14ac:dyDescent="0.15">
      <c r="C5" s="41"/>
      <c r="D5" s="49"/>
      <c r="E5" s="62"/>
      <c r="F5" s="41"/>
      <c r="G5" s="49"/>
      <c r="H5" s="41"/>
      <c r="I5" s="41"/>
    </row>
    <row r="6" spans="1:9" ht="18.75" customHeight="1" x14ac:dyDescent="0.15">
      <c r="A6" s="28" t="s">
        <v>7</v>
      </c>
      <c r="B6" s="28" t="s">
        <v>103</v>
      </c>
      <c r="C6" s="70"/>
      <c r="D6" s="70"/>
      <c r="E6" s="163" t="s">
        <v>147</v>
      </c>
      <c r="F6" s="164"/>
      <c r="G6" s="164"/>
      <c r="H6" s="164"/>
      <c r="I6" s="165"/>
    </row>
    <row r="7" spans="1:9" ht="7.5" customHeight="1" x14ac:dyDescent="0.15">
      <c r="C7" s="70"/>
      <c r="D7" s="70"/>
      <c r="F7" s="69"/>
      <c r="G7" s="69"/>
      <c r="H7" s="69"/>
      <c r="I7" s="69"/>
    </row>
    <row r="8" spans="1:9" ht="18.75" customHeight="1" x14ac:dyDescent="0.15">
      <c r="A8" s="28" t="s">
        <v>12</v>
      </c>
      <c r="B8" s="28" t="s">
        <v>104</v>
      </c>
      <c r="C8" s="70"/>
      <c r="D8" s="70"/>
      <c r="E8" s="70"/>
      <c r="F8" s="70"/>
      <c r="G8" s="70"/>
      <c r="H8" s="70"/>
      <c r="I8" s="70"/>
    </row>
    <row r="9" spans="1:9" ht="18.75" customHeight="1" x14ac:dyDescent="0.15">
      <c r="B9" s="185" t="s">
        <v>216</v>
      </c>
      <c r="C9" s="186"/>
      <c r="D9" s="186"/>
      <c r="E9" s="186"/>
      <c r="F9" s="186"/>
      <c r="G9" s="186"/>
      <c r="H9" s="186"/>
      <c r="I9" s="187"/>
    </row>
    <row r="10" spans="1:9" ht="18.75" customHeight="1" x14ac:dyDescent="0.15">
      <c r="B10" s="188"/>
      <c r="C10" s="189"/>
      <c r="D10" s="189"/>
      <c r="E10" s="189"/>
      <c r="F10" s="189"/>
      <c r="G10" s="189"/>
      <c r="H10" s="189"/>
      <c r="I10" s="190"/>
    </row>
    <row r="11" spans="1:9" ht="18.75" customHeight="1" x14ac:dyDescent="0.15">
      <c r="B11" s="188"/>
      <c r="C11" s="189"/>
      <c r="D11" s="189"/>
      <c r="E11" s="189"/>
      <c r="F11" s="189"/>
      <c r="G11" s="189"/>
      <c r="H11" s="189"/>
      <c r="I11" s="190"/>
    </row>
    <row r="12" spans="1:9" ht="18.75" customHeight="1" x14ac:dyDescent="0.15">
      <c r="B12" s="188"/>
      <c r="C12" s="189"/>
      <c r="D12" s="189"/>
      <c r="E12" s="189"/>
      <c r="F12" s="189"/>
      <c r="G12" s="189"/>
      <c r="H12" s="189"/>
      <c r="I12" s="190"/>
    </row>
    <row r="13" spans="1:9" ht="18.75" customHeight="1" x14ac:dyDescent="0.15">
      <c r="B13" s="188"/>
      <c r="C13" s="189"/>
      <c r="D13" s="189"/>
      <c r="E13" s="189"/>
      <c r="F13" s="189"/>
      <c r="G13" s="189"/>
      <c r="H13" s="189"/>
      <c r="I13" s="190"/>
    </row>
    <row r="14" spans="1:9" ht="18.75" customHeight="1" x14ac:dyDescent="0.15">
      <c r="B14" s="188"/>
      <c r="C14" s="189"/>
      <c r="D14" s="189"/>
      <c r="E14" s="189"/>
      <c r="F14" s="189"/>
      <c r="G14" s="189"/>
      <c r="H14" s="189"/>
      <c r="I14" s="190"/>
    </row>
    <row r="15" spans="1:9" ht="18.75" customHeight="1" x14ac:dyDescent="0.15">
      <c r="B15" s="188"/>
      <c r="C15" s="189"/>
      <c r="D15" s="189"/>
      <c r="E15" s="189"/>
      <c r="F15" s="189"/>
      <c r="G15" s="189"/>
      <c r="H15" s="189"/>
      <c r="I15" s="190"/>
    </row>
    <row r="16" spans="1:9" ht="18.75" customHeight="1" x14ac:dyDescent="0.15">
      <c r="B16" s="191"/>
      <c r="C16" s="192"/>
      <c r="D16" s="192"/>
      <c r="E16" s="192"/>
      <c r="F16" s="192"/>
      <c r="G16" s="192"/>
      <c r="H16" s="192"/>
      <c r="I16" s="193"/>
    </row>
    <row r="17" spans="1:10" ht="7.5" customHeight="1" x14ac:dyDescent="0.15">
      <c r="C17" s="70"/>
      <c r="D17" s="70"/>
      <c r="E17" s="70"/>
      <c r="F17" s="70"/>
      <c r="G17" s="70"/>
      <c r="H17" s="70"/>
      <c r="I17" s="70"/>
    </row>
    <row r="18" spans="1:10" ht="18.75" customHeight="1" x14ac:dyDescent="0.15">
      <c r="A18" s="41" t="s">
        <v>13</v>
      </c>
      <c r="B18" s="31" t="s">
        <v>105</v>
      </c>
      <c r="C18" s="31"/>
      <c r="D18" s="31"/>
      <c r="E18" s="31"/>
      <c r="F18" s="41"/>
      <c r="G18" s="49"/>
      <c r="H18" s="41"/>
      <c r="I18" s="41"/>
      <c r="J18" s="41"/>
    </row>
    <row r="19" spans="1:10" ht="18.75" customHeight="1" x14ac:dyDescent="0.15">
      <c r="A19" s="183" t="s">
        <v>105</v>
      </c>
      <c r="B19" s="183"/>
      <c r="C19" s="183"/>
      <c r="D19" s="183"/>
      <c r="E19" s="183"/>
      <c r="F19" s="184" t="s">
        <v>105</v>
      </c>
      <c r="G19" s="184"/>
      <c r="H19" s="184"/>
      <c r="I19" s="184"/>
    </row>
    <row r="20" spans="1:10" ht="18.75" customHeight="1" x14ac:dyDescent="0.15">
      <c r="A20" s="72">
        <v>1</v>
      </c>
      <c r="B20" s="158" t="s">
        <v>148</v>
      </c>
      <c r="C20" s="159"/>
      <c r="D20" s="159"/>
      <c r="E20" s="172"/>
      <c r="F20" s="72">
        <v>26</v>
      </c>
      <c r="G20" s="158"/>
      <c r="H20" s="159"/>
      <c r="I20" s="172"/>
    </row>
    <row r="21" spans="1:10" ht="18.75" customHeight="1" x14ac:dyDescent="0.15">
      <c r="A21" s="72">
        <v>2</v>
      </c>
      <c r="B21" s="179"/>
      <c r="C21" s="180"/>
      <c r="D21" s="180"/>
      <c r="E21" s="181"/>
      <c r="F21" s="72">
        <v>27</v>
      </c>
      <c r="G21" s="158"/>
      <c r="H21" s="159"/>
      <c r="I21" s="172"/>
    </row>
    <row r="22" spans="1:10" ht="18.75" customHeight="1" x14ac:dyDescent="0.15">
      <c r="A22" s="72">
        <v>3</v>
      </c>
      <c r="B22" s="179"/>
      <c r="C22" s="180"/>
      <c r="D22" s="180"/>
      <c r="E22" s="181"/>
      <c r="F22" s="72">
        <v>28</v>
      </c>
      <c r="G22" s="158"/>
      <c r="H22" s="159"/>
      <c r="I22" s="172"/>
    </row>
    <row r="23" spans="1:10" ht="18.75" customHeight="1" x14ac:dyDescent="0.15">
      <c r="A23" s="72">
        <v>4</v>
      </c>
      <c r="B23" s="179"/>
      <c r="C23" s="180"/>
      <c r="D23" s="180"/>
      <c r="E23" s="181"/>
      <c r="F23" s="72">
        <v>29</v>
      </c>
      <c r="G23" s="158"/>
      <c r="H23" s="159"/>
      <c r="I23" s="172"/>
    </row>
    <row r="24" spans="1:10" ht="18.75" customHeight="1" x14ac:dyDescent="0.15">
      <c r="A24" s="72">
        <v>5</v>
      </c>
      <c r="B24" s="179"/>
      <c r="C24" s="180"/>
      <c r="D24" s="180"/>
      <c r="E24" s="181"/>
      <c r="F24" s="72">
        <v>30</v>
      </c>
      <c r="G24" s="158"/>
      <c r="H24" s="159"/>
      <c r="I24" s="172"/>
    </row>
    <row r="25" spans="1:10" ht="18.75" customHeight="1" x14ac:dyDescent="0.15">
      <c r="A25" s="72">
        <v>6</v>
      </c>
      <c r="B25" s="179"/>
      <c r="C25" s="180"/>
      <c r="D25" s="180"/>
      <c r="E25" s="181"/>
      <c r="F25" s="72">
        <v>31</v>
      </c>
      <c r="G25" s="158"/>
      <c r="H25" s="159"/>
      <c r="I25" s="172"/>
    </row>
    <row r="26" spans="1:10" ht="18.75" customHeight="1" x14ac:dyDescent="0.15">
      <c r="A26" s="72">
        <v>7</v>
      </c>
      <c r="B26" s="179"/>
      <c r="C26" s="180"/>
      <c r="D26" s="180"/>
      <c r="E26" s="181"/>
      <c r="F26" s="72">
        <v>32</v>
      </c>
      <c r="G26" s="158"/>
      <c r="H26" s="159"/>
      <c r="I26" s="172"/>
    </row>
    <row r="27" spans="1:10" ht="18.75" customHeight="1" x14ac:dyDescent="0.15">
      <c r="A27" s="72">
        <v>8</v>
      </c>
      <c r="B27" s="179"/>
      <c r="C27" s="180"/>
      <c r="D27" s="180"/>
      <c r="E27" s="181"/>
      <c r="F27" s="72">
        <v>33</v>
      </c>
      <c r="G27" s="158"/>
      <c r="H27" s="159"/>
      <c r="I27" s="172"/>
    </row>
    <row r="28" spans="1:10" ht="18.75" customHeight="1" x14ac:dyDescent="0.15">
      <c r="A28" s="72">
        <v>9</v>
      </c>
      <c r="B28" s="179"/>
      <c r="C28" s="180"/>
      <c r="D28" s="180"/>
      <c r="E28" s="181"/>
      <c r="F28" s="72">
        <v>34</v>
      </c>
      <c r="G28" s="158"/>
      <c r="H28" s="159"/>
      <c r="I28" s="172"/>
    </row>
    <row r="29" spans="1:10" ht="18.75" customHeight="1" x14ac:dyDescent="0.15">
      <c r="A29" s="72">
        <v>10</v>
      </c>
      <c r="B29" s="179"/>
      <c r="C29" s="180"/>
      <c r="D29" s="180"/>
      <c r="E29" s="181"/>
      <c r="F29" s="72">
        <v>35</v>
      </c>
      <c r="G29" s="158"/>
      <c r="H29" s="159"/>
      <c r="I29" s="172"/>
    </row>
    <row r="30" spans="1:10" ht="18.75" customHeight="1" x14ac:dyDescent="0.15">
      <c r="A30" s="72">
        <v>11</v>
      </c>
      <c r="B30" s="158"/>
      <c r="C30" s="159"/>
      <c r="D30" s="159"/>
      <c r="E30" s="172"/>
      <c r="F30" s="72">
        <v>36</v>
      </c>
      <c r="G30" s="158"/>
      <c r="H30" s="159"/>
      <c r="I30" s="172"/>
    </row>
    <row r="31" spans="1:10" ht="18.75" customHeight="1" x14ac:dyDescent="0.15">
      <c r="A31" s="72">
        <v>12</v>
      </c>
      <c r="B31" s="158"/>
      <c r="C31" s="159"/>
      <c r="D31" s="159"/>
      <c r="E31" s="172"/>
      <c r="F31" s="72">
        <v>37</v>
      </c>
      <c r="G31" s="158"/>
      <c r="H31" s="159"/>
      <c r="I31" s="172"/>
    </row>
    <row r="32" spans="1:10" ht="18.75" customHeight="1" x14ac:dyDescent="0.15">
      <c r="A32" s="72">
        <v>13</v>
      </c>
      <c r="B32" s="158"/>
      <c r="C32" s="159"/>
      <c r="D32" s="159"/>
      <c r="E32" s="172"/>
      <c r="F32" s="72">
        <v>38</v>
      </c>
      <c r="G32" s="158"/>
      <c r="H32" s="159"/>
      <c r="I32" s="172"/>
    </row>
    <row r="33" spans="1:9" ht="18.75" customHeight="1" x14ac:dyDescent="0.15">
      <c r="A33" s="72">
        <v>14</v>
      </c>
      <c r="B33" s="158"/>
      <c r="C33" s="159"/>
      <c r="D33" s="159"/>
      <c r="E33" s="172"/>
      <c r="F33" s="72">
        <v>39</v>
      </c>
      <c r="G33" s="158"/>
      <c r="H33" s="159"/>
      <c r="I33" s="172"/>
    </row>
    <row r="34" spans="1:9" ht="18.75" customHeight="1" x14ac:dyDescent="0.15">
      <c r="A34" s="72">
        <v>15</v>
      </c>
      <c r="B34" s="158"/>
      <c r="C34" s="159"/>
      <c r="D34" s="159"/>
      <c r="E34" s="172"/>
      <c r="F34" s="72">
        <v>40</v>
      </c>
      <c r="G34" s="158"/>
      <c r="H34" s="159"/>
      <c r="I34" s="172"/>
    </row>
    <row r="35" spans="1:9" ht="18.75" customHeight="1" x14ac:dyDescent="0.15">
      <c r="A35" s="72">
        <v>16</v>
      </c>
      <c r="B35" s="158"/>
      <c r="C35" s="159"/>
      <c r="D35" s="159"/>
      <c r="E35" s="172"/>
      <c r="F35" s="72">
        <v>41</v>
      </c>
      <c r="G35" s="158"/>
      <c r="H35" s="159"/>
      <c r="I35" s="172"/>
    </row>
    <row r="36" spans="1:9" ht="18.75" customHeight="1" x14ac:dyDescent="0.15">
      <c r="A36" s="72">
        <v>17</v>
      </c>
      <c r="B36" s="158"/>
      <c r="C36" s="159"/>
      <c r="D36" s="159"/>
      <c r="E36" s="172"/>
      <c r="F36" s="72">
        <v>42</v>
      </c>
      <c r="G36" s="158"/>
      <c r="H36" s="159"/>
      <c r="I36" s="172"/>
    </row>
    <row r="37" spans="1:9" ht="18.75" customHeight="1" x14ac:dyDescent="0.15">
      <c r="A37" s="72">
        <v>18</v>
      </c>
      <c r="B37" s="158"/>
      <c r="C37" s="159"/>
      <c r="D37" s="159"/>
      <c r="E37" s="172"/>
      <c r="F37" s="72">
        <v>43</v>
      </c>
      <c r="G37" s="158"/>
      <c r="H37" s="159"/>
      <c r="I37" s="172"/>
    </row>
    <row r="38" spans="1:9" ht="18.75" customHeight="1" x14ac:dyDescent="0.15">
      <c r="A38" s="72">
        <v>19</v>
      </c>
      <c r="B38" s="158"/>
      <c r="C38" s="159"/>
      <c r="D38" s="159"/>
      <c r="E38" s="172"/>
      <c r="F38" s="72">
        <v>44</v>
      </c>
      <c r="G38" s="158"/>
      <c r="H38" s="159"/>
      <c r="I38" s="172"/>
    </row>
    <row r="39" spans="1:9" ht="18.75" customHeight="1" x14ac:dyDescent="0.15">
      <c r="A39" s="72">
        <v>20</v>
      </c>
      <c r="B39" s="158"/>
      <c r="C39" s="159"/>
      <c r="D39" s="159"/>
      <c r="E39" s="172"/>
      <c r="F39" s="72">
        <v>45</v>
      </c>
      <c r="G39" s="158"/>
      <c r="H39" s="159"/>
      <c r="I39" s="172"/>
    </row>
    <row r="40" spans="1:9" ht="18.75" customHeight="1" x14ac:dyDescent="0.15">
      <c r="A40" s="72">
        <v>21</v>
      </c>
      <c r="B40" s="158"/>
      <c r="C40" s="159"/>
      <c r="D40" s="159"/>
      <c r="E40" s="172"/>
      <c r="F40" s="72">
        <v>46</v>
      </c>
      <c r="G40" s="158"/>
      <c r="H40" s="159"/>
      <c r="I40" s="172"/>
    </row>
    <row r="41" spans="1:9" ht="18.75" customHeight="1" x14ac:dyDescent="0.15">
      <c r="A41" s="72">
        <v>22</v>
      </c>
      <c r="B41" s="158"/>
      <c r="C41" s="159"/>
      <c r="D41" s="159"/>
      <c r="E41" s="172"/>
      <c r="F41" s="72">
        <v>47</v>
      </c>
      <c r="G41" s="158"/>
      <c r="H41" s="159"/>
      <c r="I41" s="172"/>
    </row>
    <row r="42" spans="1:9" ht="18.75" customHeight="1" x14ac:dyDescent="0.15">
      <c r="A42" s="72">
        <v>23</v>
      </c>
      <c r="B42" s="158"/>
      <c r="C42" s="159"/>
      <c r="D42" s="159"/>
      <c r="E42" s="172"/>
      <c r="F42" s="72">
        <v>48</v>
      </c>
      <c r="G42" s="158"/>
      <c r="H42" s="159"/>
      <c r="I42" s="172"/>
    </row>
    <row r="43" spans="1:9" ht="18.75" customHeight="1" x14ac:dyDescent="0.15">
      <c r="A43" s="72">
        <v>24</v>
      </c>
      <c r="B43" s="158"/>
      <c r="C43" s="159"/>
      <c r="D43" s="159"/>
      <c r="E43" s="172"/>
      <c r="F43" s="72">
        <v>49</v>
      </c>
      <c r="G43" s="158"/>
      <c r="H43" s="159"/>
      <c r="I43" s="172"/>
    </row>
    <row r="44" spans="1:9" ht="18.75" customHeight="1" x14ac:dyDescent="0.15">
      <c r="A44" s="72">
        <v>25</v>
      </c>
      <c r="B44" s="158"/>
      <c r="C44" s="159"/>
      <c r="D44" s="159"/>
      <c r="E44" s="172"/>
      <c r="F44" s="72">
        <v>50</v>
      </c>
      <c r="G44" s="158"/>
      <c r="H44" s="159"/>
      <c r="I44" s="172"/>
    </row>
  </sheetData>
  <mergeCells count="56">
    <mergeCell ref="B25:E25"/>
    <mergeCell ref="B26:E26"/>
    <mergeCell ref="B27:E27"/>
    <mergeCell ref="B28:E28"/>
    <mergeCell ref="B9:I16"/>
    <mergeCell ref="B20:E20"/>
    <mergeCell ref="B21:E21"/>
    <mergeCell ref="B22:E22"/>
    <mergeCell ref="B23:E23"/>
    <mergeCell ref="B24:E24"/>
    <mergeCell ref="G20:I20"/>
    <mergeCell ref="G25:I25"/>
    <mergeCell ref="G26:I26"/>
    <mergeCell ref="G27:I27"/>
    <mergeCell ref="G28:I28"/>
    <mergeCell ref="E6:I6"/>
    <mergeCell ref="H2:I2"/>
    <mergeCell ref="A4:I4"/>
    <mergeCell ref="A19:E19"/>
    <mergeCell ref="F19:I19"/>
    <mergeCell ref="B35:E35"/>
    <mergeCell ref="B36:E36"/>
    <mergeCell ref="B37:E37"/>
    <mergeCell ref="B38:E38"/>
    <mergeCell ref="B29:E29"/>
    <mergeCell ref="B30:E30"/>
    <mergeCell ref="B31:E31"/>
    <mergeCell ref="B32:E32"/>
    <mergeCell ref="B33:E33"/>
    <mergeCell ref="B44:E44"/>
    <mergeCell ref="G21:I21"/>
    <mergeCell ref="G22:I22"/>
    <mergeCell ref="G23:I23"/>
    <mergeCell ref="G24:I24"/>
    <mergeCell ref="G29:I29"/>
    <mergeCell ref="G30:I30"/>
    <mergeCell ref="G31:I31"/>
    <mergeCell ref="G32:I32"/>
    <mergeCell ref="G33:I33"/>
    <mergeCell ref="B39:E39"/>
    <mergeCell ref="B40:E40"/>
    <mergeCell ref="B41:E41"/>
    <mergeCell ref="B42:E42"/>
    <mergeCell ref="B43:E43"/>
    <mergeCell ref="B34:E34"/>
    <mergeCell ref="G34:I34"/>
    <mergeCell ref="G35:I35"/>
    <mergeCell ref="G36:I36"/>
    <mergeCell ref="G37:I37"/>
    <mergeCell ref="G38:I38"/>
    <mergeCell ref="G44:I44"/>
    <mergeCell ref="G39:I39"/>
    <mergeCell ref="G40:I40"/>
    <mergeCell ref="G41:I41"/>
    <mergeCell ref="G42:I42"/>
    <mergeCell ref="G43:I43"/>
  </mergeCells>
  <phoneticPr fontId="1"/>
  <dataValidations count="2">
    <dataValidation type="list" allowBlank="1" showInputMessage="1" showErrorMessage="1" sqref="F7:I7">
      <formula1>"学部等によって、認定要件は相違する,学部等によって、認定要件は相違しない"</formula1>
    </dataValidation>
    <dataValidation type="list" allowBlank="1" showInputMessage="1" showErrorMessage="1" sqref="E6:I6">
      <formula1>"学部・学科によって、修了要件は相違する,学部・学科によって、修了要件は相違しない"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
  <sheetViews>
    <sheetView showZeros="0" zoomScaleNormal="100" workbookViewId="0"/>
  </sheetViews>
  <sheetFormatPr defaultColWidth="9" defaultRowHeight="18.75" customHeight="1" x14ac:dyDescent="0.15"/>
  <cols>
    <col min="1" max="2" width="2.5" style="28" customWidth="1"/>
    <col min="3" max="3" width="20" style="28" customWidth="1"/>
    <col min="4" max="4" width="8.75" style="28" customWidth="1"/>
    <col min="5" max="5" width="7.5" style="28" customWidth="1"/>
    <col min="6" max="6" width="2.5" style="28" customWidth="1"/>
    <col min="7" max="7" width="15" style="28" customWidth="1"/>
    <col min="8" max="8" width="12.5" style="28" customWidth="1"/>
    <col min="9" max="9" width="11.25" style="28" customWidth="1"/>
    <col min="10" max="16384" width="9" style="28"/>
  </cols>
  <sheetData>
    <row r="1" spans="1:9" ht="18.75" customHeight="1" x14ac:dyDescent="0.15">
      <c r="I1" s="120" t="s">
        <v>151</v>
      </c>
    </row>
    <row r="2" spans="1:9" ht="18.75" customHeight="1" x14ac:dyDescent="0.15">
      <c r="G2" s="43" t="s">
        <v>32</v>
      </c>
      <c r="H2" s="182" t="s">
        <v>146</v>
      </c>
      <c r="I2" s="182"/>
    </row>
    <row r="3" spans="1:9" ht="7.5" customHeight="1" x14ac:dyDescent="0.15"/>
    <row r="4" spans="1:9" ht="18.75" customHeight="1" x14ac:dyDescent="0.15">
      <c r="A4" s="171" t="s">
        <v>89</v>
      </c>
      <c r="B4" s="171"/>
      <c r="C4" s="171"/>
      <c r="D4" s="171"/>
      <c r="E4" s="171"/>
      <c r="F4" s="171"/>
      <c r="G4" s="171"/>
      <c r="H4" s="171"/>
      <c r="I4" s="171"/>
    </row>
    <row r="5" spans="1:9" ht="7.5" customHeight="1" x14ac:dyDescent="0.15">
      <c r="C5" s="121"/>
      <c r="D5" s="121"/>
      <c r="E5" s="121"/>
      <c r="F5" s="121"/>
      <c r="G5" s="121"/>
      <c r="H5" s="121"/>
      <c r="I5" s="121"/>
    </row>
    <row r="6" spans="1:9" ht="18.75" customHeight="1" x14ac:dyDescent="0.15">
      <c r="A6" s="28" t="s">
        <v>7</v>
      </c>
      <c r="B6" s="28" t="s">
        <v>103</v>
      </c>
      <c r="C6" s="121"/>
      <c r="D6" s="121"/>
      <c r="E6" s="163" t="s">
        <v>147</v>
      </c>
      <c r="F6" s="164"/>
      <c r="G6" s="164"/>
      <c r="H6" s="164"/>
      <c r="I6" s="165"/>
    </row>
    <row r="7" spans="1:9" ht="7.5" customHeight="1" x14ac:dyDescent="0.15">
      <c r="C7" s="121"/>
      <c r="D7" s="121"/>
      <c r="F7" s="119"/>
      <c r="G7" s="119"/>
      <c r="H7" s="119"/>
      <c r="I7" s="119"/>
    </row>
    <row r="8" spans="1:9" ht="18.75" customHeight="1" x14ac:dyDescent="0.15">
      <c r="A8" s="28" t="s">
        <v>12</v>
      </c>
      <c r="B8" s="28" t="s">
        <v>104</v>
      </c>
      <c r="C8" s="121"/>
      <c r="D8" s="121"/>
      <c r="E8" s="121"/>
      <c r="F8" s="121"/>
      <c r="G8" s="121"/>
      <c r="H8" s="121"/>
      <c r="I8" s="121"/>
    </row>
    <row r="9" spans="1:9" ht="18.75" customHeight="1" x14ac:dyDescent="0.15">
      <c r="B9" s="185" t="s">
        <v>217</v>
      </c>
      <c r="C9" s="186"/>
      <c r="D9" s="186"/>
      <c r="E9" s="186"/>
      <c r="F9" s="186"/>
      <c r="G9" s="186"/>
      <c r="H9" s="186"/>
      <c r="I9" s="187"/>
    </row>
    <row r="10" spans="1:9" ht="18.75" customHeight="1" x14ac:dyDescent="0.15">
      <c r="B10" s="188"/>
      <c r="C10" s="189"/>
      <c r="D10" s="189"/>
      <c r="E10" s="189"/>
      <c r="F10" s="189"/>
      <c r="G10" s="189"/>
      <c r="H10" s="189"/>
      <c r="I10" s="190"/>
    </row>
    <row r="11" spans="1:9" ht="18.75" customHeight="1" x14ac:dyDescent="0.15">
      <c r="B11" s="188"/>
      <c r="C11" s="189"/>
      <c r="D11" s="189"/>
      <c r="E11" s="189"/>
      <c r="F11" s="189"/>
      <c r="G11" s="189"/>
      <c r="H11" s="189"/>
      <c r="I11" s="190"/>
    </row>
    <row r="12" spans="1:9" ht="18.75" customHeight="1" x14ac:dyDescent="0.15">
      <c r="B12" s="188"/>
      <c r="C12" s="189"/>
      <c r="D12" s="189"/>
      <c r="E12" s="189"/>
      <c r="F12" s="189"/>
      <c r="G12" s="189"/>
      <c r="H12" s="189"/>
      <c r="I12" s="190"/>
    </row>
    <row r="13" spans="1:9" ht="18.75" customHeight="1" x14ac:dyDescent="0.15">
      <c r="B13" s="188"/>
      <c r="C13" s="189"/>
      <c r="D13" s="189"/>
      <c r="E13" s="189"/>
      <c r="F13" s="189"/>
      <c r="G13" s="189"/>
      <c r="H13" s="189"/>
      <c r="I13" s="190"/>
    </row>
    <row r="14" spans="1:9" ht="18.75" customHeight="1" x14ac:dyDescent="0.15">
      <c r="B14" s="188"/>
      <c r="C14" s="189"/>
      <c r="D14" s="189"/>
      <c r="E14" s="189"/>
      <c r="F14" s="189"/>
      <c r="G14" s="189"/>
      <c r="H14" s="189"/>
      <c r="I14" s="190"/>
    </row>
    <row r="15" spans="1:9" ht="18.75" customHeight="1" x14ac:dyDescent="0.15">
      <c r="B15" s="188"/>
      <c r="C15" s="189"/>
      <c r="D15" s="189"/>
      <c r="E15" s="189"/>
      <c r="F15" s="189"/>
      <c r="G15" s="189"/>
      <c r="H15" s="189"/>
      <c r="I15" s="190"/>
    </row>
    <row r="16" spans="1:9" ht="18.75" customHeight="1" x14ac:dyDescent="0.15">
      <c r="B16" s="191"/>
      <c r="C16" s="192"/>
      <c r="D16" s="192"/>
      <c r="E16" s="192"/>
      <c r="F16" s="192"/>
      <c r="G16" s="192"/>
      <c r="H16" s="192"/>
      <c r="I16" s="193"/>
    </row>
    <row r="17" spans="1:10" ht="7.5" customHeight="1" x14ac:dyDescent="0.15">
      <c r="C17" s="121"/>
      <c r="D17" s="121"/>
      <c r="E17" s="121"/>
      <c r="F17" s="121"/>
      <c r="G17" s="121"/>
      <c r="H17" s="121"/>
      <c r="I17" s="121"/>
    </row>
    <row r="18" spans="1:10" ht="18.75" customHeight="1" x14ac:dyDescent="0.15">
      <c r="A18" s="121" t="s">
        <v>13</v>
      </c>
      <c r="B18" s="31" t="s">
        <v>105</v>
      </c>
      <c r="C18" s="31"/>
      <c r="D18" s="31"/>
      <c r="E18" s="31"/>
      <c r="F18" s="121"/>
      <c r="G18" s="121"/>
      <c r="H18" s="121"/>
      <c r="I18" s="121"/>
      <c r="J18" s="121"/>
    </row>
    <row r="19" spans="1:10" ht="18.75" customHeight="1" x14ac:dyDescent="0.15">
      <c r="A19" s="183" t="s">
        <v>105</v>
      </c>
      <c r="B19" s="183"/>
      <c r="C19" s="183"/>
      <c r="D19" s="183"/>
      <c r="E19" s="183"/>
      <c r="F19" s="184" t="s">
        <v>105</v>
      </c>
      <c r="G19" s="184"/>
      <c r="H19" s="184"/>
      <c r="I19" s="184"/>
    </row>
    <row r="20" spans="1:10" ht="18.75" customHeight="1" x14ac:dyDescent="0.15">
      <c r="A20" s="72">
        <v>1</v>
      </c>
      <c r="B20" s="158" t="s">
        <v>153</v>
      </c>
      <c r="C20" s="159"/>
      <c r="D20" s="159"/>
      <c r="E20" s="172"/>
      <c r="F20" s="72">
        <v>26</v>
      </c>
      <c r="G20" s="158"/>
      <c r="H20" s="159"/>
      <c r="I20" s="172"/>
    </row>
    <row r="21" spans="1:10" ht="18.75" customHeight="1" x14ac:dyDescent="0.15">
      <c r="A21" s="72">
        <v>2</v>
      </c>
      <c r="B21" s="158" t="s">
        <v>169</v>
      </c>
      <c r="C21" s="159"/>
      <c r="D21" s="159"/>
      <c r="E21" s="172"/>
      <c r="F21" s="72">
        <v>27</v>
      </c>
      <c r="G21" s="158"/>
      <c r="H21" s="159"/>
      <c r="I21" s="172"/>
    </row>
    <row r="22" spans="1:10" ht="18.75" customHeight="1" x14ac:dyDescent="0.15">
      <c r="A22" s="72">
        <v>3</v>
      </c>
      <c r="B22" s="179"/>
      <c r="C22" s="180"/>
      <c r="D22" s="180"/>
      <c r="E22" s="181"/>
      <c r="F22" s="72">
        <v>28</v>
      </c>
      <c r="G22" s="158"/>
      <c r="H22" s="159"/>
      <c r="I22" s="172"/>
    </row>
    <row r="23" spans="1:10" ht="18.75" customHeight="1" x14ac:dyDescent="0.15">
      <c r="A23" s="72">
        <v>4</v>
      </c>
      <c r="B23" s="179"/>
      <c r="C23" s="180"/>
      <c r="D23" s="180"/>
      <c r="E23" s="181"/>
      <c r="F23" s="72">
        <v>29</v>
      </c>
      <c r="G23" s="158"/>
      <c r="H23" s="159"/>
      <c r="I23" s="172"/>
    </row>
    <row r="24" spans="1:10" ht="18.75" customHeight="1" x14ac:dyDescent="0.15">
      <c r="A24" s="72">
        <v>5</v>
      </c>
      <c r="B24" s="179"/>
      <c r="C24" s="180"/>
      <c r="D24" s="180"/>
      <c r="E24" s="181"/>
      <c r="F24" s="72">
        <v>30</v>
      </c>
      <c r="G24" s="158"/>
      <c r="H24" s="159"/>
      <c r="I24" s="172"/>
    </row>
    <row r="25" spans="1:10" ht="18.75" customHeight="1" x14ac:dyDescent="0.15">
      <c r="A25" s="72">
        <v>6</v>
      </c>
      <c r="B25" s="179"/>
      <c r="C25" s="180"/>
      <c r="D25" s="180"/>
      <c r="E25" s="181"/>
      <c r="F25" s="72">
        <v>31</v>
      </c>
      <c r="G25" s="158"/>
      <c r="H25" s="159"/>
      <c r="I25" s="172"/>
    </row>
    <row r="26" spans="1:10" ht="18.75" customHeight="1" x14ac:dyDescent="0.15">
      <c r="A26" s="72">
        <v>7</v>
      </c>
      <c r="B26" s="179"/>
      <c r="C26" s="180"/>
      <c r="D26" s="180"/>
      <c r="E26" s="181"/>
      <c r="F26" s="72">
        <v>32</v>
      </c>
      <c r="G26" s="158"/>
      <c r="H26" s="159"/>
      <c r="I26" s="172"/>
    </row>
    <row r="27" spans="1:10" ht="18.75" customHeight="1" x14ac:dyDescent="0.15">
      <c r="A27" s="72">
        <v>8</v>
      </c>
      <c r="B27" s="179"/>
      <c r="C27" s="180"/>
      <c r="D27" s="180"/>
      <c r="E27" s="181"/>
      <c r="F27" s="72">
        <v>33</v>
      </c>
      <c r="G27" s="158"/>
      <c r="H27" s="159"/>
      <c r="I27" s="172"/>
    </row>
    <row r="28" spans="1:10" ht="18.75" customHeight="1" x14ac:dyDescent="0.15">
      <c r="A28" s="72">
        <v>9</v>
      </c>
      <c r="B28" s="179"/>
      <c r="C28" s="180"/>
      <c r="D28" s="180"/>
      <c r="E28" s="181"/>
      <c r="F28" s="72">
        <v>34</v>
      </c>
      <c r="G28" s="158"/>
      <c r="H28" s="159"/>
      <c r="I28" s="172"/>
    </row>
    <row r="29" spans="1:10" ht="18.75" customHeight="1" x14ac:dyDescent="0.15">
      <c r="A29" s="72">
        <v>10</v>
      </c>
      <c r="B29" s="179"/>
      <c r="C29" s="180"/>
      <c r="D29" s="180"/>
      <c r="E29" s="181"/>
      <c r="F29" s="72">
        <v>35</v>
      </c>
      <c r="G29" s="158"/>
      <c r="H29" s="159"/>
      <c r="I29" s="172"/>
    </row>
    <row r="30" spans="1:10" ht="18.75" customHeight="1" x14ac:dyDescent="0.15">
      <c r="A30" s="72">
        <v>11</v>
      </c>
      <c r="B30" s="158"/>
      <c r="C30" s="159"/>
      <c r="D30" s="159"/>
      <c r="E30" s="172"/>
      <c r="F30" s="72">
        <v>36</v>
      </c>
      <c r="G30" s="158"/>
      <c r="H30" s="159"/>
      <c r="I30" s="172"/>
    </row>
    <row r="31" spans="1:10" ht="18.75" customHeight="1" x14ac:dyDescent="0.15">
      <c r="A31" s="72">
        <v>12</v>
      </c>
      <c r="B31" s="158"/>
      <c r="C31" s="159"/>
      <c r="D31" s="159"/>
      <c r="E31" s="172"/>
      <c r="F31" s="72">
        <v>37</v>
      </c>
      <c r="G31" s="158"/>
      <c r="H31" s="159"/>
      <c r="I31" s="172"/>
    </row>
    <row r="32" spans="1:10" ht="18.75" customHeight="1" x14ac:dyDescent="0.15">
      <c r="A32" s="72">
        <v>13</v>
      </c>
      <c r="B32" s="158"/>
      <c r="C32" s="159"/>
      <c r="D32" s="159"/>
      <c r="E32" s="172"/>
      <c r="F32" s="72">
        <v>38</v>
      </c>
      <c r="G32" s="158"/>
      <c r="H32" s="159"/>
      <c r="I32" s="172"/>
    </row>
    <row r="33" spans="1:9" ht="18.75" customHeight="1" x14ac:dyDescent="0.15">
      <c r="A33" s="72">
        <v>14</v>
      </c>
      <c r="B33" s="158"/>
      <c r="C33" s="159"/>
      <c r="D33" s="159"/>
      <c r="E33" s="172"/>
      <c r="F33" s="72">
        <v>39</v>
      </c>
      <c r="G33" s="158"/>
      <c r="H33" s="159"/>
      <c r="I33" s="172"/>
    </row>
    <row r="34" spans="1:9" ht="18.75" customHeight="1" x14ac:dyDescent="0.15">
      <c r="A34" s="72">
        <v>15</v>
      </c>
      <c r="B34" s="158"/>
      <c r="C34" s="159"/>
      <c r="D34" s="159"/>
      <c r="E34" s="172"/>
      <c r="F34" s="72">
        <v>40</v>
      </c>
      <c r="G34" s="158"/>
      <c r="H34" s="159"/>
      <c r="I34" s="172"/>
    </row>
    <row r="35" spans="1:9" ht="18.75" customHeight="1" x14ac:dyDescent="0.15">
      <c r="A35" s="72">
        <v>16</v>
      </c>
      <c r="B35" s="158"/>
      <c r="C35" s="159"/>
      <c r="D35" s="159"/>
      <c r="E35" s="172"/>
      <c r="F35" s="72">
        <v>41</v>
      </c>
      <c r="G35" s="158"/>
      <c r="H35" s="159"/>
      <c r="I35" s="172"/>
    </row>
    <row r="36" spans="1:9" ht="18.75" customHeight="1" x14ac:dyDescent="0.15">
      <c r="A36" s="72">
        <v>17</v>
      </c>
      <c r="B36" s="158"/>
      <c r="C36" s="159"/>
      <c r="D36" s="159"/>
      <c r="E36" s="172"/>
      <c r="F36" s="72">
        <v>42</v>
      </c>
      <c r="G36" s="158"/>
      <c r="H36" s="159"/>
      <c r="I36" s="172"/>
    </row>
    <row r="37" spans="1:9" ht="18.75" customHeight="1" x14ac:dyDescent="0.15">
      <c r="A37" s="72">
        <v>18</v>
      </c>
      <c r="B37" s="158"/>
      <c r="C37" s="159"/>
      <c r="D37" s="159"/>
      <c r="E37" s="172"/>
      <c r="F37" s="72">
        <v>43</v>
      </c>
      <c r="G37" s="158"/>
      <c r="H37" s="159"/>
      <c r="I37" s="172"/>
    </row>
    <row r="38" spans="1:9" ht="18.75" customHeight="1" x14ac:dyDescent="0.15">
      <c r="A38" s="72">
        <v>19</v>
      </c>
      <c r="B38" s="158"/>
      <c r="C38" s="159"/>
      <c r="D38" s="159"/>
      <c r="E38" s="172"/>
      <c r="F38" s="72">
        <v>44</v>
      </c>
      <c r="G38" s="158"/>
      <c r="H38" s="159"/>
      <c r="I38" s="172"/>
    </row>
    <row r="39" spans="1:9" ht="18.75" customHeight="1" x14ac:dyDescent="0.15">
      <c r="A39" s="72">
        <v>20</v>
      </c>
      <c r="B39" s="158"/>
      <c r="C39" s="159"/>
      <c r="D39" s="159"/>
      <c r="E39" s="172"/>
      <c r="F39" s="72">
        <v>45</v>
      </c>
      <c r="G39" s="158"/>
      <c r="H39" s="159"/>
      <c r="I39" s="172"/>
    </row>
    <row r="40" spans="1:9" ht="18.75" customHeight="1" x14ac:dyDescent="0.15">
      <c r="A40" s="72">
        <v>21</v>
      </c>
      <c r="B40" s="158"/>
      <c r="C40" s="159"/>
      <c r="D40" s="159"/>
      <c r="E40" s="172"/>
      <c r="F40" s="72">
        <v>46</v>
      </c>
      <c r="G40" s="158"/>
      <c r="H40" s="159"/>
      <c r="I40" s="172"/>
    </row>
    <row r="41" spans="1:9" ht="18.75" customHeight="1" x14ac:dyDescent="0.15">
      <c r="A41" s="72">
        <v>22</v>
      </c>
      <c r="B41" s="158"/>
      <c r="C41" s="159"/>
      <c r="D41" s="159"/>
      <c r="E41" s="172"/>
      <c r="F41" s="72">
        <v>47</v>
      </c>
      <c r="G41" s="158"/>
      <c r="H41" s="159"/>
      <c r="I41" s="172"/>
    </row>
    <row r="42" spans="1:9" ht="18.75" customHeight="1" x14ac:dyDescent="0.15">
      <c r="A42" s="72">
        <v>23</v>
      </c>
      <c r="B42" s="158"/>
      <c r="C42" s="159"/>
      <c r="D42" s="159"/>
      <c r="E42" s="172"/>
      <c r="F42" s="72">
        <v>48</v>
      </c>
      <c r="G42" s="158"/>
      <c r="H42" s="159"/>
      <c r="I42" s="172"/>
    </row>
    <row r="43" spans="1:9" ht="18.75" customHeight="1" x14ac:dyDescent="0.15">
      <c r="A43" s="72">
        <v>24</v>
      </c>
      <c r="B43" s="158"/>
      <c r="C43" s="159"/>
      <c r="D43" s="159"/>
      <c r="E43" s="172"/>
      <c r="F43" s="72">
        <v>49</v>
      </c>
      <c r="G43" s="158"/>
      <c r="H43" s="159"/>
      <c r="I43" s="172"/>
    </row>
    <row r="44" spans="1:9" ht="18.75" customHeight="1" x14ac:dyDescent="0.15">
      <c r="A44" s="72">
        <v>25</v>
      </c>
      <c r="B44" s="158"/>
      <c r="C44" s="159"/>
      <c r="D44" s="159"/>
      <c r="E44" s="172"/>
      <c r="F44" s="72">
        <v>50</v>
      </c>
      <c r="G44" s="158"/>
      <c r="H44" s="159"/>
      <c r="I44" s="172"/>
    </row>
  </sheetData>
  <mergeCells count="56">
    <mergeCell ref="H2:I2"/>
    <mergeCell ref="A4:I4"/>
    <mergeCell ref="E6:I6"/>
    <mergeCell ref="B9:I16"/>
    <mergeCell ref="A19:E19"/>
    <mergeCell ref="F19:I19"/>
    <mergeCell ref="B20:E20"/>
    <mergeCell ref="G20:I20"/>
    <mergeCell ref="B21:E21"/>
    <mergeCell ref="G21:I21"/>
    <mergeCell ref="B22:E22"/>
    <mergeCell ref="G22:I22"/>
    <mergeCell ref="B23:E23"/>
    <mergeCell ref="G23:I23"/>
    <mergeCell ref="B24:E24"/>
    <mergeCell ref="G24:I24"/>
    <mergeCell ref="B25:E25"/>
    <mergeCell ref="G25:I25"/>
    <mergeCell ref="B26:E26"/>
    <mergeCell ref="G26:I26"/>
    <mergeCell ref="B27:E27"/>
    <mergeCell ref="G27:I27"/>
    <mergeCell ref="B28:E28"/>
    <mergeCell ref="G28:I28"/>
    <mergeCell ref="B29:E29"/>
    <mergeCell ref="G29:I29"/>
    <mergeCell ref="B30:E30"/>
    <mergeCell ref="G30:I30"/>
    <mergeCell ref="B31:E31"/>
    <mergeCell ref="G31:I31"/>
    <mergeCell ref="B32:E32"/>
    <mergeCell ref="G32:I32"/>
    <mergeCell ref="B33:E33"/>
    <mergeCell ref="G33:I33"/>
    <mergeCell ref="B34:E34"/>
    <mergeCell ref="G34:I34"/>
    <mergeCell ref="B35:E35"/>
    <mergeCell ref="G35:I35"/>
    <mergeCell ref="B36:E36"/>
    <mergeCell ref="G36:I36"/>
    <mergeCell ref="B37:E37"/>
    <mergeCell ref="G37:I37"/>
    <mergeCell ref="B38:E38"/>
    <mergeCell ref="G38:I38"/>
    <mergeCell ref="B39:E39"/>
    <mergeCell ref="G39:I39"/>
    <mergeCell ref="B40:E40"/>
    <mergeCell ref="G40:I40"/>
    <mergeCell ref="B44:E44"/>
    <mergeCell ref="G44:I44"/>
    <mergeCell ref="B41:E41"/>
    <mergeCell ref="G41:I41"/>
    <mergeCell ref="B42:E42"/>
    <mergeCell ref="G42:I42"/>
    <mergeCell ref="B43:E43"/>
    <mergeCell ref="G43:I43"/>
  </mergeCells>
  <phoneticPr fontId="1"/>
  <dataValidations count="2">
    <dataValidation type="list" allowBlank="1" showInputMessage="1" showErrorMessage="1" sqref="E6:I6">
      <formula1>"学部・学科によって、修了要件は相違する,学部・学科によって、修了要件は相違しない"</formula1>
    </dataValidation>
    <dataValidation type="list" allowBlank="1" showInputMessage="1" showErrorMessage="1" sqref="F7:I7">
      <formula1>"学部等によって、認定要件は相違する,学部等によって、認定要件は相違しない"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
  <sheetViews>
    <sheetView showZeros="0" zoomScaleNormal="100" workbookViewId="0"/>
  </sheetViews>
  <sheetFormatPr defaultColWidth="9" defaultRowHeight="18.75" customHeight="1" x14ac:dyDescent="0.15"/>
  <cols>
    <col min="1" max="2" width="2.5" style="28" customWidth="1"/>
    <col min="3" max="3" width="20" style="28" customWidth="1"/>
    <col min="4" max="4" width="8.75" style="28" customWidth="1"/>
    <col min="5" max="5" width="7.5" style="28" customWidth="1"/>
    <col min="6" max="6" width="2.5" style="28" customWidth="1"/>
    <col min="7" max="7" width="15" style="28" customWidth="1"/>
    <col min="8" max="8" width="12.5" style="28" customWidth="1"/>
    <col min="9" max="9" width="11.25" style="28" customWidth="1"/>
    <col min="10" max="16384" width="9" style="28"/>
  </cols>
  <sheetData>
    <row r="1" spans="1:9" ht="18.75" customHeight="1" x14ac:dyDescent="0.15">
      <c r="I1" s="127" t="s">
        <v>152</v>
      </c>
    </row>
    <row r="2" spans="1:9" ht="18.75" customHeight="1" x14ac:dyDescent="0.15">
      <c r="G2" s="43" t="s">
        <v>32</v>
      </c>
      <c r="H2" s="182" t="s">
        <v>136</v>
      </c>
      <c r="I2" s="182"/>
    </row>
    <row r="3" spans="1:9" ht="7.5" customHeight="1" x14ac:dyDescent="0.15"/>
    <row r="4" spans="1:9" ht="18.75" customHeight="1" x14ac:dyDescent="0.15">
      <c r="A4" s="171" t="s">
        <v>89</v>
      </c>
      <c r="B4" s="171"/>
      <c r="C4" s="171"/>
      <c r="D4" s="171"/>
      <c r="E4" s="171"/>
      <c r="F4" s="171"/>
      <c r="G4" s="171"/>
      <c r="H4" s="171"/>
      <c r="I4" s="171"/>
    </row>
    <row r="5" spans="1:9" ht="7.5" customHeight="1" x14ac:dyDescent="0.15">
      <c r="C5" s="128"/>
      <c r="D5" s="128"/>
      <c r="E5" s="128"/>
      <c r="F5" s="128"/>
      <c r="G5" s="128"/>
      <c r="H5" s="128"/>
      <c r="I5" s="128"/>
    </row>
    <row r="6" spans="1:9" ht="18.75" customHeight="1" x14ac:dyDescent="0.15">
      <c r="A6" s="28" t="s">
        <v>7</v>
      </c>
      <c r="B6" s="28" t="s">
        <v>103</v>
      </c>
      <c r="C6" s="128"/>
      <c r="D6" s="128"/>
      <c r="E6" s="163" t="s">
        <v>147</v>
      </c>
      <c r="F6" s="164"/>
      <c r="G6" s="164"/>
      <c r="H6" s="164"/>
      <c r="I6" s="165"/>
    </row>
    <row r="7" spans="1:9" ht="7.5" customHeight="1" x14ac:dyDescent="0.15">
      <c r="C7" s="128"/>
      <c r="D7" s="128"/>
      <c r="F7" s="125"/>
      <c r="G7" s="125"/>
      <c r="H7" s="125"/>
      <c r="I7" s="125"/>
    </row>
    <row r="8" spans="1:9" ht="18.75" customHeight="1" x14ac:dyDescent="0.15">
      <c r="A8" s="28" t="s">
        <v>12</v>
      </c>
      <c r="B8" s="28" t="s">
        <v>104</v>
      </c>
      <c r="C8" s="128"/>
      <c r="D8" s="128"/>
      <c r="E8" s="128"/>
      <c r="F8" s="128"/>
      <c r="G8" s="128"/>
      <c r="H8" s="128"/>
      <c r="I8" s="128"/>
    </row>
    <row r="9" spans="1:9" ht="18.75" customHeight="1" x14ac:dyDescent="0.15">
      <c r="B9" s="185" t="s">
        <v>218</v>
      </c>
      <c r="C9" s="186"/>
      <c r="D9" s="186"/>
      <c r="E9" s="186"/>
      <c r="F9" s="186"/>
      <c r="G9" s="186"/>
      <c r="H9" s="186"/>
      <c r="I9" s="187"/>
    </row>
    <row r="10" spans="1:9" ht="18.75" customHeight="1" x14ac:dyDescent="0.15">
      <c r="B10" s="188"/>
      <c r="C10" s="189"/>
      <c r="D10" s="189"/>
      <c r="E10" s="189"/>
      <c r="F10" s="189"/>
      <c r="G10" s="189"/>
      <c r="H10" s="189"/>
      <c r="I10" s="190"/>
    </row>
    <row r="11" spans="1:9" ht="18.75" customHeight="1" x14ac:dyDescent="0.15">
      <c r="B11" s="188"/>
      <c r="C11" s="189"/>
      <c r="D11" s="189"/>
      <c r="E11" s="189"/>
      <c r="F11" s="189"/>
      <c r="G11" s="189"/>
      <c r="H11" s="189"/>
      <c r="I11" s="190"/>
    </row>
    <row r="12" spans="1:9" ht="18.75" customHeight="1" x14ac:dyDescent="0.15">
      <c r="B12" s="188"/>
      <c r="C12" s="189"/>
      <c r="D12" s="189"/>
      <c r="E12" s="189"/>
      <c r="F12" s="189"/>
      <c r="G12" s="189"/>
      <c r="H12" s="189"/>
      <c r="I12" s="190"/>
    </row>
    <row r="13" spans="1:9" ht="18.75" customHeight="1" x14ac:dyDescent="0.15">
      <c r="B13" s="188"/>
      <c r="C13" s="189"/>
      <c r="D13" s="189"/>
      <c r="E13" s="189"/>
      <c r="F13" s="189"/>
      <c r="G13" s="189"/>
      <c r="H13" s="189"/>
      <c r="I13" s="190"/>
    </row>
    <row r="14" spans="1:9" ht="18.75" customHeight="1" x14ac:dyDescent="0.15">
      <c r="B14" s="188"/>
      <c r="C14" s="189"/>
      <c r="D14" s="189"/>
      <c r="E14" s="189"/>
      <c r="F14" s="189"/>
      <c r="G14" s="189"/>
      <c r="H14" s="189"/>
      <c r="I14" s="190"/>
    </row>
    <row r="15" spans="1:9" ht="18.75" customHeight="1" x14ac:dyDescent="0.15">
      <c r="B15" s="188"/>
      <c r="C15" s="189"/>
      <c r="D15" s="189"/>
      <c r="E15" s="189"/>
      <c r="F15" s="189"/>
      <c r="G15" s="189"/>
      <c r="H15" s="189"/>
      <c r="I15" s="190"/>
    </row>
    <row r="16" spans="1:9" ht="18.75" customHeight="1" x14ac:dyDescent="0.15">
      <c r="B16" s="191"/>
      <c r="C16" s="192"/>
      <c r="D16" s="192"/>
      <c r="E16" s="192"/>
      <c r="F16" s="192"/>
      <c r="G16" s="192"/>
      <c r="H16" s="192"/>
      <c r="I16" s="193"/>
    </row>
    <row r="17" spans="1:10" ht="7.5" customHeight="1" x14ac:dyDescent="0.15">
      <c r="C17" s="128"/>
      <c r="D17" s="128"/>
      <c r="E17" s="128"/>
      <c r="F17" s="128"/>
      <c r="G17" s="128"/>
      <c r="H17" s="128"/>
      <c r="I17" s="128"/>
    </row>
    <row r="18" spans="1:10" ht="18.75" customHeight="1" x14ac:dyDescent="0.15">
      <c r="A18" s="128" t="s">
        <v>13</v>
      </c>
      <c r="B18" s="31" t="s">
        <v>105</v>
      </c>
      <c r="C18" s="31"/>
      <c r="D18" s="31"/>
      <c r="E18" s="31"/>
      <c r="F18" s="128"/>
      <c r="G18" s="128"/>
      <c r="H18" s="128"/>
      <c r="I18" s="128"/>
      <c r="J18" s="128"/>
    </row>
    <row r="19" spans="1:10" ht="18.75" customHeight="1" x14ac:dyDescent="0.15">
      <c r="A19" s="183" t="s">
        <v>105</v>
      </c>
      <c r="B19" s="183"/>
      <c r="C19" s="183"/>
      <c r="D19" s="183"/>
      <c r="E19" s="183"/>
      <c r="F19" s="184" t="s">
        <v>105</v>
      </c>
      <c r="G19" s="184"/>
      <c r="H19" s="184"/>
      <c r="I19" s="184"/>
    </row>
    <row r="20" spans="1:10" ht="18.75" customHeight="1" x14ac:dyDescent="0.15">
      <c r="A20" s="72">
        <v>1</v>
      </c>
      <c r="B20" s="158" t="s">
        <v>170</v>
      </c>
      <c r="C20" s="159"/>
      <c r="D20" s="159"/>
      <c r="E20" s="172"/>
      <c r="F20" s="72">
        <v>26</v>
      </c>
      <c r="G20" s="158"/>
      <c r="H20" s="159"/>
      <c r="I20" s="172"/>
    </row>
    <row r="21" spans="1:10" ht="18.75" customHeight="1" x14ac:dyDescent="0.15">
      <c r="A21" s="72">
        <v>2</v>
      </c>
      <c r="B21" s="158" t="s">
        <v>171</v>
      </c>
      <c r="C21" s="159"/>
      <c r="D21" s="159"/>
      <c r="E21" s="172"/>
      <c r="F21" s="72">
        <v>27</v>
      </c>
      <c r="G21" s="158"/>
      <c r="H21" s="159"/>
      <c r="I21" s="172"/>
    </row>
    <row r="22" spans="1:10" ht="18.75" customHeight="1" x14ac:dyDescent="0.15">
      <c r="A22" s="72">
        <v>3</v>
      </c>
      <c r="B22" s="158" t="s">
        <v>172</v>
      </c>
      <c r="C22" s="159"/>
      <c r="D22" s="159"/>
      <c r="E22" s="172"/>
      <c r="F22" s="72">
        <v>28</v>
      </c>
      <c r="G22" s="158"/>
      <c r="H22" s="159"/>
      <c r="I22" s="172"/>
    </row>
    <row r="23" spans="1:10" ht="18.75" customHeight="1" x14ac:dyDescent="0.15">
      <c r="A23" s="72">
        <v>4</v>
      </c>
      <c r="B23" s="179"/>
      <c r="C23" s="180"/>
      <c r="D23" s="180"/>
      <c r="E23" s="181"/>
      <c r="F23" s="72">
        <v>29</v>
      </c>
      <c r="G23" s="158"/>
      <c r="H23" s="159"/>
      <c r="I23" s="172"/>
    </row>
    <row r="24" spans="1:10" ht="18.75" customHeight="1" x14ac:dyDescent="0.15">
      <c r="A24" s="72">
        <v>5</v>
      </c>
      <c r="B24" s="179"/>
      <c r="C24" s="180"/>
      <c r="D24" s="180"/>
      <c r="E24" s="181"/>
      <c r="F24" s="72">
        <v>30</v>
      </c>
      <c r="G24" s="158"/>
      <c r="H24" s="159"/>
      <c r="I24" s="172"/>
    </row>
    <row r="25" spans="1:10" ht="18.75" customHeight="1" x14ac:dyDescent="0.15">
      <c r="A25" s="72">
        <v>6</v>
      </c>
      <c r="B25" s="179"/>
      <c r="C25" s="180"/>
      <c r="D25" s="180"/>
      <c r="E25" s="181"/>
      <c r="F25" s="72">
        <v>31</v>
      </c>
      <c r="G25" s="158"/>
      <c r="H25" s="159"/>
      <c r="I25" s="172"/>
    </row>
    <row r="26" spans="1:10" ht="18.75" customHeight="1" x14ac:dyDescent="0.15">
      <c r="A26" s="72">
        <v>7</v>
      </c>
      <c r="B26" s="179"/>
      <c r="C26" s="180"/>
      <c r="D26" s="180"/>
      <c r="E26" s="181"/>
      <c r="F26" s="72">
        <v>32</v>
      </c>
      <c r="G26" s="158"/>
      <c r="H26" s="159"/>
      <c r="I26" s="172"/>
    </row>
    <row r="27" spans="1:10" ht="18.75" customHeight="1" x14ac:dyDescent="0.15">
      <c r="A27" s="72">
        <v>8</v>
      </c>
      <c r="B27" s="179"/>
      <c r="C27" s="180"/>
      <c r="D27" s="180"/>
      <c r="E27" s="181"/>
      <c r="F27" s="72">
        <v>33</v>
      </c>
      <c r="G27" s="158"/>
      <c r="H27" s="159"/>
      <c r="I27" s="172"/>
    </row>
    <row r="28" spans="1:10" ht="18.75" customHeight="1" x14ac:dyDescent="0.15">
      <c r="A28" s="72">
        <v>9</v>
      </c>
      <c r="B28" s="179"/>
      <c r="C28" s="180"/>
      <c r="D28" s="180"/>
      <c r="E28" s="181"/>
      <c r="F28" s="72">
        <v>34</v>
      </c>
      <c r="G28" s="158"/>
      <c r="H28" s="159"/>
      <c r="I28" s="172"/>
    </row>
    <row r="29" spans="1:10" ht="18.75" customHeight="1" x14ac:dyDescent="0.15">
      <c r="A29" s="72">
        <v>10</v>
      </c>
      <c r="B29" s="179"/>
      <c r="C29" s="180"/>
      <c r="D29" s="180"/>
      <c r="E29" s="181"/>
      <c r="F29" s="72">
        <v>35</v>
      </c>
      <c r="G29" s="158"/>
      <c r="H29" s="159"/>
      <c r="I29" s="172"/>
    </row>
    <row r="30" spans="1:10" ht="18.75" customHeight="1" x14ac:dyDescent="0.15">
      <c r="A30" s="72">
        <v>11</v>
      </c>
      <c r="B30" s="158"/>
      <c r="C30" s="159"/>
      <c r="D30" s="159"/>
      <c r="E30" s="172"/>
      <c r="F30" s="72">
        <v>36</v>
      </c>
      <c r="G30" s="158"/>
      <c r="H30" s="159"/>
      <c r="I30" s="172"/>
    </row>
    <row r="31" spans="1:10" ht="18.75" customHeight="1" x14ac:dyDescent="0.15">
      <c r="A31" s="72">
        <v>12</v>
      </c>
      <c r="B31" s="158"/>
      <c r="C31" s="159"/>
      <c r="D31" s="159"/>
      <c r="E31" s="172"/>
      <c r="F31" s="72">
        <v>37</v>
      </c>
      <c r="G31" s="158"/>
      <c r="H31" s="159"/>
      <c r="I31" s="172"/>
    </row>
    <row r="32" spans="1:10" ht="18.75" customHeight="1" x14ac:dyDescent="0.15">
      <c r="A32" s="72">
        <v>13</v>
      </c>
      <c r="B32" s="158"/>
      <c r="C32" s="159"/>
      <c r="D32" s="159"/>
      <c r="E32" s="172"/>
      <c r="F32" s="72">
        <v>38</v>
      </c>
      <c r="G32" s="158"/>
      <c r="H32" s="159"/>
      <c r="I32" s="172"/>
    </row>
    <row r="33" spans="1:9" ht="18.75" customHeight="1" x14ac:dyDescent="0.15">
      <c r="A33" s="72">
        <v>14</v>
      </c>
      <c r="B33" s="158"/>
      <c r="C33" s="159"/>
      <c r="D33" s="159"/>
      <c r="E33" s="172"/>
      <c r="F33" s="72">
        <v>39</v>
      </c>
      <c r="G33" s="158"/>
      <c r="H33" s="159"/>
      <c r="I33" s="172"/>
    </row>
    <row r="34" spans="1:9" ht="18.75" customHeight="1" x14ac:dyDescent="0.15">
      <c r="A34" s="72">
        <v>15</v>
      </c>
      <c r="B34" s="158"/>
      <c r="C34" s="159"/>
      <c r="D34" s="159"/>
      <c r="E34" s="172"/>
      <c r="F34" s="72">
        <v>40</v>
      </c>
      <c r="G34" s="158"/>
      <c r="H34" s="159"/>
      <c r="I34" s="172"/>
    </row>
    <row r="35" spans="1:9" ht="18.75" customHeight="1" x14ac:dyDescent="0.15">
      <c r="A35" s="72">
        <v>16</v>
      </c>
      <c r="B35" s="158"/>
      <c r="C35" s="159"/>
      <c r="D35" s="159"/>
      <c r="E35" s="172"/>
      <c r="F35" s="72">
        <v>41</v>
      </c>
      <c r="G35" s="158"/>
      <c r="H35" s="159"/>
      <c r="I35" s="172"/>
    </row>
    <row r="36" spans="1:9" ht="18.75" customHeight="1" x14ac:dyDescent="0.15">
      <c r="A36" s="72">
        <v>17</v>
      </c>
      <c r="B36" s="158"/>
      <c r="C36" s="159"/>
      <c r="D36" s="159"/>
      <c r="E36" s="172"/>
      <c r="F36" s="72">
        <v>42</v>
      </c>
      <c r="G36" s="158"/>
      <c r="H36" s="159"/>
      <c r="I36" s="172"/>
    </row>
    <row r="37" spans="1:9" ht="18.75" customHeight="1" x14ac:dyDescent="0.15">
      <c r="A37" s="72">
        <v>18</v>
      </c>
      <c r="B37" s="158"/>
      <c r="C37" s="159"/>
      <c r="D37" s="159"/>
      <c r="E37" s="172"/>
      <c r="F37" s="72">
        <v>43</v>
      </c>
      <c r="G37" s="158"/>
      <c r="H37" s="159"/>
      <c r="I37" s="172"/>
    </row>
    <row r="38" spans="1:9" ht="18.75" customHeight="1" x14ac:dyDescent="0.15">
      <c r="A38" s="72">
        <v>19</v>
      </c>
      <c r="B38" s="158"/>
      <c r="C38" s="159"/>
      <c r="D38" s="159"/>
      <c r="E38" s="172"/>
      <c r="F38" s="72">
        <v>44</v>
      </c>
      <c r="G38" s="158"/>
      <c r="H38" s="159"/>
      <c r="I38" s="172"/>
    </row>
    <row r="39" spans="1:9" ht="18.75" customHeight="1" x14ac:dyDescent="0.15">
      <c r="A39" s="72">
        <v>20</v>
      </c>
      <c r="B39" s="158"/>
      <c r="C39" s="159"/>
      <c r="D39" s="159"/>
      <c r="E39" s="172"/>
      <c r="F39" s="72">
        <v>45</v>
      </c>
      <c r="G39" s="158"/>
      <c r="H39" s="159"/>
      <c r="I39" s="172"/>
    </row>
    <row r="40" spans="1:9" ht="18.75" customHeight="1" x14ac:dyDescent="0.15">
      <c r="A40" s="72">
        <v>21</v>
      </c>
      <c r="B40" s="158"/>
      <c r="C40" s="159"/>
      <c r="D40" s="159"/>
      <c r="E40" s="172"/>
      <c r="F40" s="72">
        <v>46</v>
      </c>
      <c r="G40" s="158"/>
      <c r="H40" s="159"/>
      <c r="I40" s="172"/>
    </row>
    <row r="41" spans="1:9" ht="18.75" customHeight="1" x14ac:dyDescent="0.15">
      <c r="A41" s="72">
        <v>22</v>
      </c>
      <c r="B41" s="158"/>
      <c r="C41" s="159"/>
      <c r="D41" s="159"/>
      <c r="E41" s="172"/>
      <c r="F41" s="72">
        <v>47</v>
      </c>
      <c r="G41" s="158"/>
      <c r="H41" s="159"/>
      <c r="I41" s="172"/>
    </row>
    <row r="42" spans="1:9" ht="18.75" customHeight="1" x14ac:dyDescent="0.15">
      <c r="A42" s="72">
        <v>23</v>
      </c>
      <c r="B42" s="158"/>
      <c r="C42" s="159"/>
      <c r="D42" s="159"/>
      <c r="E42" s="172"/>
      <c r="F42" s="72">
        <v>48</v>
      </c>
      <c r="G42" s="158"/>
      <c r="H42" s="159"/>
      <c r="I42" s="172"/>
    </row>
    <row r="43" spans="1:9" ht="18.75" customHeight="1" x14ac:dyDescent="0.15">
      <c r="A43" s="72">
        <v>24</v>
      </c>
      <c r="B43" s="158"/>
      <c r="C43" s="159"/>
      <c r="D43" s="159"/>
      <c r="E43" s="172"/>
      <c r="F43" s="72">
        <v>49</v>
      </c>
      <c r="G43" s="158"/>
      <c r="H43" s="159"/>
      <c r="I43" s="172"/>
    </row>
    <row r="44" spans="1:9" ht="18.75" customHeight="1" x14ac:dyDescent="0.15">
      <c r="A44" s="72">
        <v>25</v>
      </c>
      <c r="B44" s="158"/>
      <c r="C44" s="159"/>
      <c r="D44" s="159"/>
      <c r="E44" s="172"/>
      <c r="F44" s="72">
        <v>50</v>
      </c>
      <c r="G44" s="158"/>
      <c r="H44" s="159"/>
      <c r="I44" s="172"/>
    </row>
  </sheetData>
  <mergeCells count="56">
    <mergeCell ref="H2:I2"/>
    <mergeCell ref="A4:I4"/>
    <mergeCell ref="E6:I6"/>
    <mergeCell ref="B9:I16"/>
    <mergeCell ref="A19:E19"/>
    <mergeCell ref="F19:I19"/>
    <mergeCell ref="B20:E20"/>
    <mergeCell ref="G20:I20"/>
    <mergeCell ref="B21:E21"/>
    <mergeCell ref="G21:I21"/>
    <mergeCell ref="B22:E22"/>
    <mergeCell ref="G22:I22"/>
    <mergeCell ref="B23:E23"/>
    <mergeCell ref="G23:I23"/>
    <mergeCell ref="B24:E24"/>
    <mergeCell ref="G24:I24"/>
    <mergeCell ref="B25:E25"/>
    <mergeCell ref="G25:I25"/>
    <mergeCell ref="B26:E26"/>
    <mergeCell ref="G26:I26"/>
    <mergeCell ref="B27:E27"/>
    <mergeCell ref="G27:I27"/>
    <mergeCell ref="B28:E28"/>
    <mergeCell ref="G28:I28"/>
    <mergeCell ref="B29:E29"/>
    <mergeCell ref="G29:I29"/>
    <mergeCell ref="B30:E30"/>
    <mergeCell ref="G30:I30"/>
    <mergeCell ref="B31:E31"/>
    <mergeCell ref="G31:I31"/>
    <mergeCell ref="B32:E32"/>
    <mergeCell ref="G32:I32"/>
    <mergeCell ref="B33:E33"/>
    <mergeCell ref="G33:I33"/>
    <mergeCell ref="B34:E34"/>
    <mergeCell ref="G34:I34"/>
    <mergeCell ref="B35:E35"/>
    <mergeCell ref="G35:I35"/>
    <mergeCell ref="B36:E36"/>
    <mergeCell ref="G36:I36"/>
    <mergeCell ref="B37:E37"/>
    <mergeCell ref="G37:I37"/>
    <mergeCell ref="B38:E38"/>
    <mergeCell ref="G38:I38"/>
    <mergeCell ref="B39:E39"/>
    <mergeCell ref="G39:I39"/>
    <mergeCell ref="B40:E40"/>
    <mergeCell ref="G40:I40"/>
    <mergeCell ref="B44:E44"/>
    <mergeCell ref="G44:I44"/>
    <mergeCell ref="B41:E41"/>
    <mergeCell ref="G41:I41"/>
    <mergeCell ref="B42:E42"/>
    <mergeCell ref="G42:I42"/>
    <mergeCell ref="B43:E43"/>
    <mergeCell ref="G43:I43"/>
  </mergeCells>
  <phoneticPr fontId="1"/>
  <dataValidations count="2">
    <dataValidation type="list" allowBlank="1" showInputMessage="1" showErrorMessage="1" sqref="F7:I7">
      <formula1>"学部等によって、認定要件は相違する,学部等によって、認定要件は相違しない"</formula1>
    </dataValidation>
    <dataValidation type="list" allowBlank="1" showInputMessage="1" showErrorMessage="1" sqref="E6:I6">
      <formula1>"学部・学科によって、修了要件は相違する,学部・学科によって、修了要件は相違しない"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
  <sheetViews>
    <sheetView showZeros="0" zoomScaleNormal="100" workbookViewId="0"/>
  </sheetViews>
  <sheetFormatPr defaultColWidth="9" defaultRowHeight="18.75" customHeight="1" x14ac:dyDescent="0.15"/>
  <cols>
    <col min="1" max="2" width="2.5" style="28" customWidth="1"/>
    <col min="3" max="3" width="20" style="28" customWidth="1"/>
    <col min="4" max="4" width="8.75" style="28" customWidth="1"/>
    <col min="5" max="5" width="7.5" style="28" customWidth="1"/>
    <col min="6" max="6" width="2.5" style="28" customWidth="1"/>
    <col min="7" max="7" width="15" style="28" customWidth="1"/>
    <col min="8" max="8" width="12.5" style="28" customWidth="1"/>
    <col min="9" max="9" width="11.25" style="28" customWidth="1"/>
    <col min="10" max="16384" width="9" style="28"/>
  </cols>
  <sheetData>
    <row r="1" spans="1:9" ht="18.75" customHeight="1" x14ac:dyDescent="0.15">
      <c r="I1" s="123" t="s">
        <v>154</v>
      </c>
    </row>
    <row r="2" spans="1:9" ht="18.75" customHeight="1" x14ac:dyDescent="0.15">
      <c r="G2" s="43" t="s">
        <v>32</v>
      </c>
      <c r="H2" s="182" t="s">
        <v>136</v>
      </c>
      <c r="I2" s="182"/>
    </row>
    <row r="3" spans="1:9" ht="7.5" customHeight="1" x14ac:dyDescent="0.15"/>
    <row r="4" spans="1:9" ht="18.75" customHeight="1" x14ac:dyDescent="0.15">
      <c r="A4" s="171" t="s">
        <v>89</v>
      </c>
      <c r="B4" s="171"/>
      <c r="C4" s="171"/>
      <c r="D4" s="171"/>
      <c r="E4" s="171"/>
      <c r="F4" s="171"/>
      <c r="G4" s="171"/>
      <c r="H4" s="171"/>
      <c r="I4" s="171"/>
    </row>
    <row r="5" spans="1:9" ht="7.5" customHeight="1" x14ac:dyDescent="0.15">
      <c r="C5" s="124"/>
      <c r="D5" s="124"/>
      <c r="E5" s="124"/>
      <c r="F5" s="124"/>
      <c r="G5" s="124"/>
      <c r="H5" s="124"/>
      <c r="I5" s="124"/>
    </row>
    <row r="6" spans="1:9" ht="18.75" customHeight="1" x14ac:dyDescent="0.15">
      <c r="A6" s="28" t="s">
        <v>7</v>
      </c>
      <c r="B6" s="28" t="s">
        <v>103</v>
      </c>
      <c r="C6" s="124"/>
      <c r="D6" s="124"/>
      <c r="E6" s="163" t="s">
        <v>147</v>
      </c>
      <c r="F6" s="164"/>
      <c r="G6" s="164"/>
      <c r="H6" s="164"/>
      <c r="I6" s="165"/>
    </row>
    <row r="7" spans="1:9" ht="7.5" customHeight="1" x14ac:dyDescent="0.15">
      <c r="C7" s="124"/>
      <c r="D7" s="124"/>
      <c r="F7" s="122"/>
      <c r="G7" s="122"/>
      <c r="H7" s="122"/>
      <c r="I7" s="122"/>
    </row>
    <row r="8" spans="1:9" ht="18.75" customHeight="1" x14ac:dyDescent="0.15">
      <c r="A8" s="28" t="s">
        <v>12</v>
      </c>
      <c r="B8" s="28" t="s">
        <v>104</v>
      </c>
      <c r="C8" s="124"/>
      <c r="D8" s="124"/>
      <c r="E8" s="124"/>
      <c r="F8" s="124"/>
      <c r="G8" s="124"/>
      <c r="H8" s="124"/>
      <c r="I8" s="124"/>
    </row>
    <row r="9" spans="1:9" ht="18.75" customHeight="1" x14ac:dyDescent="0.15">
      <c r="B9" s="185" t="s">
        <v>219</v>
      </c>
      <c r="C9" s="186"/>
      <c r="D9" s="186"/>
      <c r="E9" s="186"/>
      <c r="F9" s="186"/>
      <c r="G9" s="186"/>
      <c r="H9" s="186"/>
      <c r="I9" s="187"/>
    </row>
    <row r="10" spans="1:9" ht="18.75" customHeight="1" x14ac:dyDescent="0.15">
      <c r="B10" s="188"/>
      <c r="C10" s="189"/>
      <c r="D10" s="189"/>
      <c r="E10" s="189"/>
      <c r="F10" s="189"/>
      <c r="G10" s="189"/>
      <c r="H10" s="189"/>
      <c r="I10" s="190"/>
    </row>
    <row r="11" spans="1:9" ht="18.75" customHeight="1" x14ac:dyDescent="0.15">
      <c r="B11" s="188"/>
      <c r="C11" s="189"/>
      <c r="D11" s="189"/>
      <c r="E11" s="189"/>
      <c r="F11" s="189"/>
      <c r="G11" s="189"/>
      <c r="H11" s="189"/>
      <c r="I11" s="190"/>
    </row>
    <row r="12" spans="1:9" ht="18.75" customHeight="1" x14ac:dyDescent="0.15">
      <c r="B12" s="188"/>
      <c r="C12" s="189"/>
      <c r="D12" s="189"/>
      <c r="E12" s="189"/>
      <c r="F12" s="189"/>
      <c r="G12" s="189"/>
      <c r="H12" s="189"/>
      <c r="I12" s="190"/>
    </row>
    <row r="13" spans="1:9" ht="18.75" customHeight="1" x14ac:dyDescent="0.15">
      <c r="B13" s="188"/>
      <c r="C13" s="189"/>
      <c r="D13" s="189"/>
      <c r="E13" s="189"/>
      <c r="F13" s="189"/>
      <c r="G13" s="189"/>
      <c r="H13" s="189"/>
      <c r="I13" s="190"/>
    </row>
    <row r="14" spans="1:9" ht="18.75" customHeight="1" x14ac:dyDescent="0.15">
      <c r="B14" s="188"/>
      <c r="C14" s="189"/>
      <c r="D14" s="189"/>
      <c r="E14" s="189"/>
      <c r="F14" s="189"/>
      <c r="G14" s="189"/>
      <c r="H14" s="189"/>
      <c r="I14" s="190"/>
    </row>
    <row r="15" spans="1:9" ht="18.75" customHeight="1" x14ac:dyDescent="0.15">
      <c r="B15" s="188"/>
      <c r="C15" s="189"/>
      <c r="D15" s="189"/>
      <c r="E15" s="189"/>
      <c r="F15" s="189"/>
      <c r="G15" s="189"/>
      <c r="H15" s="189"/>
      <c r="I15" s="190"/>
    </row>
    <row r="16" spans="1:9" ht="18.75" customHeight="1" x14ac:dyDescent="0.15">
      <c r="B16" s="191"/>
      <c r="C16" s="192"/>
      <c r="D16" s="192"/>
      <c r="E16" s="192"/>
      <c r="F16" s="192"/>
      <c r="G16" s="192"/>
      <c r="H16" s="192"/>
      <c r="I16" s="193"/>
    </row>
    <row r="17" spans="1:10" ht="7.5" customHeight="1" x14ac:dyDescent="0.15">
      <c r="C17" s="124"/>
      <c r="D17" s="124"/>
      <c r="E17" s="124"/>
      <c r="F17" s="124"/>
      <c r="G17" s="124"/>
      <c r="H17" s="124"/>
      <c r="I17" s="124"/>
    </row>
    <row r="18" spans="1:10" ht="18.75" customHeight="1" x14ac:dyDescent="0.15">
      <c r="A18" s="124" t="s">
        <v>13</v>
      </c>
      <c r="B18" s="31" t="s">
        <v>105</v>
      </c>
      <c r="C18" s="31"/>
      <c r="D18" s="31"/>
      <c r="E18" s="31"/>
      <c r="F18" s="124"/>
      <c r="G18" s="124"/>
      <c r="H18" s="124"/>
      <c r="I18" s="124"/>
      <c r="J18" s="124"/>
    </row>
    <row r="19" spans="1:10" ht="18.75" customHeight="1" x14ac:dyDescent="0.15">
      <c r="A19" s="183" t="s">
        <v>105</v>
      </c>
      <c r="B19" s="183"/>
      <c r="C19" s="183"/>
      <c r="D19" s="183"/>
      <c r="E19" s="183"/>
      <c r="F19" s="184" t="s">
        <v>105</v>
      </c>
      <c r="G19" s="184"/>
      <c r="H19" s="184"/>
      <c r="I19" s="184"/>
    </row>
    <row r="20" spans="1:10" ht="18.75" customHeight="1" x14ac:dyDescent="0.15">
      <c r="A20" s="72">
        <v>1</v>
      </c>
      <c r="B20" s="158" t="s">
        <v>148</v>
      </c>
      <c r="C20" s="159"/>
      <c r="D20" s="159"/>
      <c r="E20" s="172"/>
      <c r="F20" s="72">
        <v>26</v>
      </c>
      <c r="G20" s="158"/>
      <c r="H20" s="159"/>
      <c r="I20" s="172"/>
    </row>
    <row r="21" spans="1:10" ht="18.75" customHeight="1" x14ac:dyDescent="0.15">
      <c r="A21" s="72">
        <v>2</v>
      </c>
      <c r="B21" s="158" t="s">
        <v>149</v>
      </c>
      <c r="C21" s="159"/>
      <c r="D21" s="159"/>
      <c r="E21" s="172"/>
      <c r="F21" s="72">
        <v>27</v>
      </c>
      <c r="G21" s="158"/>
      <c r="H21" s="159"/>
      <c r="I21" s="172"/>
    </row>
    <row r="22" spans="1:10" ht="18.75" customHeight="1" x14ac:dyDescent="0.15">
      <c r="A22" s="72">
        <v>3</v>
      </c>
      <c r="B22" s="179"/>
      <c r="C22" s="180"/>
      <c r="D22" s="180"/>
      <c r="E22" s="181"/>
      <c r="F22" s="72">
        <v>28</v>
      </c>
      <c r="G22" s="158"/>
      <c r="H22" s="159"/>
      <c r="I22" s="172"/>
    </row>
    <row r="23" spans="1:10" ht="18.75" customHeight="1" x14ac:dyDescent="0.15">
      <c r="A23" s="72">
        <v>4</v>
      </c>
      <c r="B23" s="179"/>
      <c r="C23" s="180"/>
      <c r="D23" s="180"/>
      <c r="E23" s="181"/>
      <c r="F23" s="72">
        <v>29</v>
      </c>
      <c r="G23" s="158"/>
      <c r="H23" s="159"/>
      <c r="I23" s="172"/>
    </row>
    <row r="24" spans="1:10" ht="18.75" customHeight="1" x14ac:dyDescent="0.15">
      <c r="A24" s="72">
        <v>5</v>
      </c>
      <c r="B24" s="179"/>
      <c r="C24" s="180"/>
      <c r="D24" s="180"/>
      <c r="E24" s="181"/>
      <c r="F24" s="72">
        <v>30</v>
      </c>
      <c r="G24" s="158"/>
      <c r="H24" s="159"/>
      <c r="I24" s="172"/>
    </row>
    <row r="25" spans="1:10" ht="18.75" customHeight="1" x14ac:dyDescent="0.15">
      <c r="A25" s="72">
        <v>6</v>
      </c>
      <c r="B25" s="179"/>
      <c r="C25" s="180"/>
      <c r="D25" s="180"/>
      <c r="E25" s="181"/>
      <c r="F25" s="72">
        <v>31</v>
      </c>
      <c r="G25" s="158"/>
      <c r="H25" s="159"/>
      <c r="I25" s="172"/>
    </row>
    <row r="26" spans="1:10" ht="18.75" customHeight="1" x14ac:dyDescent="0.15">
      <c r="A26" s="72">
        <v>7</v>
      </c>
      <c r="B26" s="179"/>
      <c r="C26" s="180"/>
      <c r="D26" s="180"/>
      <c r="E26" s="181"/>
      <c r="F26" s="72">
        <v>32</v>
      </c>
      <c r="G26" s="158"/>
      <c r="H26" s="159"/>
      <c r="I26" s="172"/>
    </row>
    <row r="27" spans="1:10" ht="18.75" customHeight="1" x14ac:dyDescent="0.15">
      <c r="A27" s="72">
        <v>8</v>
      </c>
      <c r="B27" s="179"/>
      <c r="C27" s="180"/>
      <c r="D27" s="180"/>
      <c r="E27" s="181"/>
      <c r="F27" s="72">
        <v>33</v>
      </c>
      <c r="G27" s="158"/>
      <c r="H27" s="159"/>
      <c r="I27" s="172"/>
    </row>
    <row r="28" spans="1:10" ht="18.75" customHeight="1" x14ac:dyDescent="0.15">
      <c r="A28" s="72">
        <v>9</v>
      </c>
      <c r="B28" s="179"/>
      <c r="C28" s="180"/>
      <c r="D28" s="180"/>
      <c r="E28" s="181"/>
      <c r="F28" s="72">
        <v>34</v>
      </c>
      <c r="G28" s="158"/>
      <c r="H28" s="159"/>
      <c r="I28" s="172"/>
    </row>
    <row r="29" spans="1:10" ht="18.75" customHeight="1" x14ac:dyDescent="0.15">
      <c r="A29" s="72">
        <v>10</v>
      </c>
      <c r="B29" s="179"/>
      <c r="C29" s="180"/>
      <c r="D29" s="180"/>
      <c r="E29" s="181"/>
      <c r="F29" s="72">
        <v>35</v>
      </c>
      <c r="G29" s="158"/>
      <c r="H29" s="159"/>
      <c r="I29" s="172"/>
    </row>
    <row r="30" spans="1:10" ht="18.75" customHeight="1" x14ac:dyDescent="0.15">
      <c r="A30" s="72">
        <v>11</v>
      </c>
      <c r="B30" s="158"/>
      <c r="C30" s="159"/>
      <c r="D30" s="159"/>
      <c r="E30" s="172"/>
      <c r="F30" s="72">
        <v>36</v>
      </c>
      <c r="G30" s="158"/>
      <c r="H30" s="159"/>
      <c r="I30" s="172"/>
    </row>
    <row r="31" spans="1:10" ht="18.75" customHeight="1" x14ac:dyDescent="0.15">
      <c r="A31" s="72">
        <v>12</v>
      </c>
      <c r="B31" s="158"/>
      <c r="C31" s="159"/>
      <c r="D31" s="159"/>
      <c r="E31" s="172"/>
      <c r="F31" s="72">
        <v>37</v>
      </c>
      <c r="G31" s="158"/>
      <c r="H31" s="159"/>
      <c r="I31" s="172"/>
    </row>
    <row r="32" spans="1:10" ht="18.75" customHeight="1" x14ac:dyDescent="0.15">
      <c r="A32" s="72">
        <v>13</v>
      </c>
      <c r="B32" s="158"/>
      <c r="C32" s="159"/>
      <c r="D32" s="159"/>
      <c r="E32" s="172"/>
      <c r="F32" s="72">
        <v>38</v>
      </c>
      <c r="G32" s="158"/>
      <c r="H32" s="159"/>
      <c r="I32" s="172"/>
    </row>
    <row r="33" spans="1:9" ht="18.75" customHeight="1" x14ac:dyDescent="0.15">
      <c r="A33" s="72">
        <v>14</v>
      </c>
      <c r="B33" s="158"/>
      <c r="C33" s="159"/>
      <c r="D33" s="159"/>
      <c r="E33" s="172"/>
      <c r="F33" s="72">
        <v>39</v>
      </c>
      <c r="G33" s="158"/>
      <c r="H33" s="159"/>
      <c r="I33" s="172"/>
    </row>
    <row r="34" spans="1:9" ht="18.75" customHeight="1" x14ac:dyDescent="0.15">
      <c r="A34" s="72">
        <v>15</v>
      </c>
      <c r="B34" s="158"/>
      <c r="C34" s="159"/>
      <c r="D34" s="159"/>
      <c r="E34" s="172"/>
      <c r="F34" s="72">
        <v>40</v>
      </c>
      <c r="G34" s="158"/>
      <c r="H34" s="159"/>
      <c r="I34" s="172"/>
    </row>
    <row r="35" spans="1:9" ht="18.75" customHeight="1" x14ac:dyDescent="0.15">
      <c r="A35" s="72">
        <v>16</v>
      </c>
      <c r="B35" s="158"/>
      <c r="C35" s="159"/>
      <c r="D35" s="159"/>
      <c r="E35" s="172"/>
      <c r="F35" s="72">
        <v>41</v>
      </c>
      <c r="G35" s="158"/>
      <c r="H35" s="159"/>
      <c r="I35" s="172"/>
    </row>
    <row r="36" spans="1:9" ht="18.75" customHeight="1" x14ac:dyDescent="0.15">
      <c r="A36" s="72">
        <v>17</v>
      </c>
      <c r="B36" s="158"/>
      <c r="C36" s="159"/>
      <c r="D36" s="159"/>
      <c r="E36" s="172"/>
      <c r="F36" s="72">
        <v>42</v>
      </c>
      <c r="G36" s="158"/>
      <c r="H36" s="159"/>
      <c r="I36" s="172"/>
    </row>
    <row r="37" spans="1:9" ht="18.75" customHeight="1" x14ac:dyDescent="0.15">
      <c r="A37" s="72">
        <v>18</v>
      </c>
      <c r="B37" s="158"/>
      <c r="C37" s="159"/>
      <c r="D37" s="159"/>
      <c r="E37" s="172"/>
      <c r="F37" s="72">
        <v>43</v>
      </c>
      <c r="G37" s="158"/>
      <c r="H37" s="159"/>
      <c r="I37" s="172"/>
    </row>
    <row r="38" spans="1:9" ht="18.75" customHeight="1" x14ac:dyDescent="0.15">
      <c r="A38" s="72">
        <v>19</v>
      </c>
      <c r="B38" s="158"/>
      <c r="C38" s="159"/>
      <c r="D38" s="159"/>
      <c r="E38" s="172"/>
      <c r="F38" s="72">
        <v>44</v>
      </c>
      <c r="G38" s="158"/>
      <c r="H38" s="159"/>
      <c r="I38" s="172"/>
    </row>
    <row r="39" spans="1:9" ht="18.75" customHeight="1" x14ac:dyDescent="0.15">
      <c r="A39" s="72">
        <v>20</v>
      </c>
      <c r="B39" s="158"/>
      <c r="C39" s="159"/>
      <c r="D39" s="159"/>
      <c r="E39" s="172"/>
      <c r="F39" s="72">
        <v>45</v>
      </c>
      <c r="G39" s="158"/>
      <c r="H39" s="159"/>
      <c r="I39" s="172"/>
    </row>
    <row r="40" spans="1:9" ht="18.75" customHeight="1" x14ac:dyDescent="0.15">
      <c r="A40" s="72">
        <v>21</v>
      </c>
      <c r="B40" s="158"/>
      <c r="C40" s="159"/>
      <c r="D40" s="159"/>
      <c r="E40" s="172"/>
      <c r="F40" s="72">
        <v>46</v>
      </c>
      <c r="G40" s="158"/>
      <c r="H40" s="159"/>
      <c r="I40" s="172"/>
    </row>
    <row r="41" spans="1:9" ht="18.75" customHeight="1" x14ac:dyDescent="0.15">
      <c r="A41" s="72">
        <v>22</v>
      </c>
      <c r="B41" s="158"/>
      <c r="C41" s="159"/>
      <c r="D41" s="159"/>
      <c r="E41" s="172"/>
      <c r="F41" s="72">
        <v>47</v>
      </c>
      <c r="G41" s="158"/>
      <c r="H41" s="159"/>
      <c r="I41" s="172"/>
    </row>
    <row r="42" spans="1:9" ht="18.75" customHeight="1" x14ac:dyDescent="0.15">
      <c r="A42" s="72">
        <v>23</v>
      </c>
      <c r="B42" s="158"/>
      <c r="C42" s="159"/>
      <c r="D42" s="159"/>
      <c r="E42" s="172"/>
      <c r="F42" s="72">
        <v>48</v>
      </c>
      <c r="G42" s="158"/>
      <c r="H42" s="159"/>
      <c r="I42" s="172"/>
    </row>
    <row r="43" spans="1:9" ht="18.75" customHeight="1" x14ac:dyDescent="0.15">
      <c r="A43" s="72">
        <v>24</v>
      </c>
      <c r="B43" s="158"/>
      <c r="C43" s="159"/>
      <c r="D43" s="159"/>
      <c r="E43" s="172"/>
      <c r="F43" s="72">
        <v>49</v>
      </c>
      <c r="G43" s="158"/>
      <c r="H43" s="159"/>
      <c r="I43" s="172"/>
    </row>
    <row r="44" spans="1:9" ht="18.75" customHeight="1" x14ac:dyDescent="0.15">
      <c r="A44" s="72">
        <v>25</v>
      </c>
      <c r="B44" s="158"/>
      <c r="C44" s="159"/>
      <c r="D44" s="159"/>
      <c r="E44" s="172"/>
      <c r="F44" s="72">
        <v>50</v>
      </c>
      <c r="G44" s="158"/>
      <c r="H44" s="159"/>
      <c r="I44" s="172"/>
    </row>
  </sheetData>
  <mergeCells count="56">
    <mergeCell ref="B44:E44"/>
    <mergeCell ref="G44:I44"/>
    <mergeCell ref="B41:E41"/>
    <mergeCell ref="G41:I41"/>
    <mergeCell ref="B42:E42"/>
    <mergeCell ref="G42:I42"/>
    <mergeCell ref="B43:E43"/>
    <mergeCell ref="G43:I43"/>
    <mergeCell ref="B38:E38"/>
    <mergeCell ref="G38:I38"/>
    <mergeCell ref="B39:E39"/>
    <mergeCell ref="G39:I39"/>
    <mergeCell ref="B40:E40"/>
    <mergeCell ref="G40:I40"/>
    <mergeCell ref="B35:E35"/>
    <mergeCell ref="G35:I35"/>
    <mergeCell ref="B36:E36"/>
    <mergeCell ref="G36:I36"/>
    <mergeCell ref="B37:E37"/>
    <mergeCell ref="G37:I37"/>
    <mergeCell ref="B32:E32"/>
    <mergeCell ref="G32:I32"/>
    <mergeCell ref="B33:E33"/>
    <mergeCell ref="G33:I33"/>
    <mergeCell ref="B34:E34"/>
    <mergeCell ref="G34:I34"/>
    <mergeCell ref="B29:E29"/>
    <mergeCell ref="G29:I29"/>
    <mergeCell ref="B30:E30"/>
    <mergeCell ref="G30:I30"/>
    <mergeCell ref="B31:E31"/>
    <mergeCell ref="G31:I31"/>
    <mergeCell ref="B26:E26"/>
    <mergeCell ref="G26:I26"/>
    <mergeCell ref="B27:E27"/>
    <mergeCell ref="G27:I27"/>
    <mergeCell ref="B28:E28"/>
    <mergeCell ref="G28:I28"/>
    <mergeCell ref="B23:E23"/>
    <mergeCell ref="G23:I23"/>
    <mergeCell ref="B24:E24"/>
    <mergeCell ref="G24:I24"/>
    <mergeCell ref="B25:E25"/>
    <mergeCell ref="G25:I25"/>
    <mergeCell ref="B20:E20"/>
    <mergeCell ref="G20:I20"/>
    <mergeCell ref="B21:E21"/>
    <mergeCell ref="G21:I21"/>
    <mergeCell ref="B22:E22"/>
    <mergeCell ref="G22:I22"/>
    <mergeCell ref="H2:I2"/>
    <mergeCell ref="A4:I4"/>
    <mergeCell ref="E6:I6"/>
    <mergeCell ref="B9:I16"/>
    <mergeCell ref="A19:E19"/>
    <mergeCell ref="F19:I19"/>
  </mergeCells>
  <phoneticPr fontId="1"/>
  <dataValidations count="2">
    <dataValidation type="list" allowBlank="1" showInputMessage="1" showErrorMessage="1" sqref="E6:I6">
      <formula1>"学部・学科によって、修了要件は相違する,学部・学科によって、修了要件は相違しない"</formula1>
    </dataValidation>
    <dataValidation type="list" allowBlank="1" showInputMessage="1" showErrorMessage="1" sqref="F7:I7">
      <formula1>"学部等によって、認定要件は相違する,学部等によって、認定要件は相違しない"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9"/>
  <sheetViews>
    <sheetView workbookViewId="0"/>
  </sheetViews>
  <sheetFormatPr defaultRowHeight="18.75" customHeight="1" x14ac:dyDescent="0.15"/>
  <cols>
    <col min="1" max="1" width="2.5" style="1" customWidth="1"/>
    <col min="2" max="2" width="12.5" style="1" customWidth="1"/>
    <col min="3" max="3" width="21" style="1" customWidth="1"/>
    <col min="4" max="18" width="6.25" style="1" customWidth="1"/>
    <col min="19" max="16384" width="9" style="1"/>
  </cols>
  <sheetData>
    <row r="1" spans="1:20" ht="18.75" customHeight="1" x14ac:dyDescent="0.15">
      <c r="F1" s="194" t="s">
        <v>73</v>
      </c>
      <c r="G1" s="194"/>
      <c r="H1" s="194"/>
      <c r="I1" s="194"/>
      <c r="J1" s="194"/>
      <c r="K1" s="194"/>
      <c r="L1" s="194"/>
      <c r="M1" s="194"/>
      <c r="N1" s="194"/>
      <c r="O1" s="194"/>
      <c r="P1" s="194"/>
      <c r="Q1" s="194"/>
      <c r="R1" s="194"/>
    </row>
    <row r="2" spans="1:20" ht="18.75" customHeight="1" x14ac:dyDescent="0.15">
      <c r="D2" s="96"/>
      <c r="E2" s="96"/>
      <c r="F2" s="96"/>
      <c r="G2" s="96"/>
      <c r="H2" s="96"/>
      <c r="I2" s="96"/>
      <c r="J2" s="96"/>
      <c r="K2" s="194" t="s">
        <v>65</v>
      </c>
      <c r="L2" s="194"/>
      <c r="M2" s="5" t="s">
        <v>136</v>
      </c>
      <c r="N2" s="96"/>
      <c r="O2" s="96"/>
      <c r="P2" s="96"/>
      <c r="Q2" s="96"/>
      <c r="R2" s="96"/>
    </row>
    <row r="3" spans="1:20" ht="7.5" customHeight="1" x14ac:dyDescent="0.15"/>
    <row r="4" spans="1:20" ht="18.75" customHeight="1" x14ac:dyDescent="0.15">
      <c r="A4" s="204" t="s">
        <v>125</v>
      </c>
      <c r="B4" s="204"/>
      <c r="C4" s="204"/>
      <c r="D4" s="204"/>
      <c r="E4" s="204"/>
      <c r="F4" s="204"/>
      <c r="G4" s="204"/>
      <c r="H4" s="204"/>
      <c r="I4" s="204"/>
      <c r="J4" s="204"/>
      <c r="K4" s="204"/>
      <c r="L4" s="204"/>
      <c r="M4" s="204"/>
      <c r="N4" s="204"/>
      <c r="O4" s="204"/>
      <c r="P4" s="204"/>
      <c r="Q4" s="204"/>
      <c r="R4" s="204"/>
      <c r="S4" s="5"/>
    </row>
    <row r="5" spans="1:20" ht="7.5" customHeight="1" x14ac:dyDescent="0.15">
      <c r="A5" s="95"/>
      <c r="B5" s="95"/>
      <c r="C5" s="95"/>
      <c r="D5" s="95"/>
      <c r="E5" s="95"/>
      <c r="F5" s="95"/>
      <c r="G5" s="95"/>
      <c r="H5" s="95"/>
      <c r="I5" s="95"/>
      <c r="J5" s="95"/>
      <c r="K5" s="95"/>
      <c r="L5" s="95"/>
      <c r="M5" s="95"/>
      <c r="N5" s="95"/>
      <c r="O5" s="95"/>
      <c r="P5" s="95"/>
      <c r="Q5" s="95"/>
      <c r="R5" s="95"/>
    </row>
    <row r="6" spans="1:20" ht="18.75" customHeight="1" x14ac:dyDescent="0.15">
      <c r="B6" s="207" t="s">
        <v>130</v>
      </c>
      <c r="C6" s="208"/>
      <c r="D6" s="195" t="s">
        <v>90</v>
      </c>
      <c r="E6" s="197" t="s">
        <v>119</v>
      </c>
      <c r="F6" s="197"/>
      <c r="G6" s="197" t="s">
        <v>120</v>
      </c>
      <c r="H6" s="197"/>
      <c r="I6" s="198" t="s">
        <v>121</v>
      </c>
      <c r="J6" s="199"/>
      <c r="K6" s="198" t="s">
        <v>122</v>
      </c>
      <c r="L6" s="199"/>
      <c r="M6" s="198" t="s">
        <v>123</v>
      </c>
      <c r="N6" s="199"/>
      <c r="O6" s="198" t="s">
        <v>124</v>
      </c>
      <c r="P6" s="199"/>
      <c r="Q6" s="200" t="s">
        <v>72</v>
      </c>
      <c r="R6" s="202" t="s">
        <v>66</v>
      </c>
      <c r="T6" s="97"/>
    </row>
    <row r="7" spans="1:20" ht="18.75" customHeight="1" x14ac:dyDescent="0.15">
      <c r="B7" s="209"/>
      <c r="C7" s="210"/>
      <c r="D7" s="196"/>
      <c r="E7" s="50" t="s">
        <v>52</v>
      </c>
      <c r="F7" s="52" t="s">
        <v>51</v>
      </c>
      <c r="G7" s="53" t="s">
        <v>52</v>
      </c>
      <c r="H7" s="51" t="s">
        <v>51</v>
      </c>
      <c r="I7" s="50" t="s">
        <v>52</v>
      </c>
      <c r="J7" s="52" t="s">
        <v>51</v>
      </c>
      <c r="K7" s="53" t="s">
        <v>52</v>
      </c>
      <c r="L7" s="51" t="s">
        <v>51</v>
      </c>
      <c r="M7" s="50" t="s">
        <v>52</v>
      </c>
      <c r="N7" s="52" t="s">
        <v>51</v>
      </c>
      <c r="O7" s="53" t="s">
        <v>52</v>
      </c>
      <c r="P7" s="51" t="s">
        <v>51</v>
      </c>
      <c r="Q7" s="201"/>
      <c r="R7" s="203"/>
      <c r="T7" s="97"/>
    </row>
    <row r="8" spans="1:20" ht="18.75" customHeight="1" x14ac:dyDescent="0.15">
      <c r="A8" s="98"/>
      <c r="B8" s="215" t="s">
        <v>197</v>
      </c>
      <c r="C8" s="216"/>
      <c r="D8" s="139">
        <v>2850</v>
      </c>
      <c r="E8" s="99">
        <v>409</v>
      </c>
      <c r="F8" s="100">
        <v>395</v>
      </c>
      <c r="G8" s="101"/>
      <c r="H8" s="102"/>
      <c r="I8" s="99"/>
      <c r="J8" s="100"/>
      <c r="K8" s="101"/>
      <c r="L8" s="102"/>
      <c r="M8" s="99"/>
      <c r="N8" s="100"/>
      <c r="O8" s="101"/>
      <c r="P8" s="102"/>
      <c r="Q8" s="103">
        <f>E8+G8+I8+K8+M8+O8</f>
        <v>409</v>
      </c>
      <c r="R8" s="142">
        <f>Q8/D8</f>
        <v>0.14350877192982456</v>
      </c>
    </row>
    <row r="9" spans="1:20" ht="18.75" customHeight="1" x14ac:dyDescent="0.15">
      <c r="A9" s="98"/>
      <c r="B9" s="211" t="s">
        <v>196</v>
      </c>
      <c r="C9" s="212"/>
      <c r="D9" s="140">
        <v>220</v>
      </c>
      <c r="E9" s="104">
        <v>65</v>
      </c>
      <c r="F9" s="105">
        <v>64</v>
      </c>
      <c r="G9" s="106"/>
      <c r="H9" s="107"/>
      <c r="I9" s="104"/>
      <c r="J9" s="105"/>
      <c r="K9" s="106"/>
      <c r="L9" s="107"/>
      <c r="M9" s="104"/>
      <c r="N9" s="105"/>
      <c r="O9" s="106"/>
      <c r="P9" s="107"/>
      <c r="Q9" s="108">
        <f t="shared" ref="Q9:Q27" si="0">E9+G9+I9+K9+M9+O9</f>
        <v>65</v>
      </c>
      <c r="R9" s="143">
        <f t="shared" ref="R9:R27" si="1">Q9/D9</f>
        <v>0.29545454545454547</v>
      </c>
    </row>
    <row r="10" spans="1:20" ht="18.75" customHeight="1" x14ac:dyDescent="0.15">
      <c r="A10" s="98"/>
      <c r="B10" s="211" t="s">
        <v>142</v>
      </c>
      <c r="C10" s="212"/>
      <c r="D10" s="140">
        <v>1010</v>
      </c>
      <c r="E10" s="135">
        <f>182+81</f>
        <v>263</v>
      </c>
      <c r="F10" s="136">
        <f>37+43</f>
        <v>80</v>
      </c>
      <c r="G10" s="106"/>
      <c r="H10" s="107"/>
      <c r="I10" s="104"/>
      <c r="J10" s="105"/>
      <c r="K10" s="106"/>
      <c r="L10" s="107"/>
      <c r="M10" s="104"/>
      <c r="N10" s="105"/>
      <c r="O10" s="106"/>
      <c r="P10" s="107"/>
      <c r="Q10" s="108">
        <f t="shared" si="0"/>
        <v>263</v>
      </c>
      <c r="R10" s="143">
        <f t="shared" si="1"/>
        <v>0.26039603960396041</v>
      </c>
    </row>
    <row r="11" spans="1:20" ht="18.75" customHeight="1" x14ac:dyDescent="0.15">
      <c r="A11" s="98"/>
      <c r="B11" s="211" t="s">
        <v>143</v>
      </c>
      <c r="C11" s="212"/>
      <c r="D11" s="140">
        <v>640</v>
      </c>
      <c r="E11" s="104">
        <v>97</v>
      </c>
      <c r="F11" s="105">
        <v>93</v>
      </c>
      <c r="G11" s="106"/>
      <c r="H11" s="107"/>
      <c r="I11" s="104"/>
      <c r="J11" s="105"/>
      <c r="K11" s="106"/>
      <c r="L11" s="107"/>
      <c r="M11" s="104"/>
      <c r="N11" s="105"/>
      <c r="O11" s="106"/>
      <c r="P11" s="107"/>
      <c r="Q11" s="108">
        <f t="shared" si="0"/>
        <v>97</v>
      </c>
      <c r="R11" s="143">
        <f t="shared" si="1"/>
        <v>0.15156249999999999</v>
      </c>
    </row>
    <row r="12" spans="1:20" ht="18.75" customHeight="1" x14ac:dyDescent="0.15">
      <c r="A12" s="98"/>
      <c r="B12" s="211" t="s">
        <v>198</v>
      </c>
      <c r="C12" s="212"/>
      <c r="D12" s="140">
        <v>720</v>
      </c>
      <c r="E12" s="104">
        <v>74</v>
      </c>
      <c r="F12" s="105">
        <v>73</v>
      </c>
      <c r="G12" s="106"/>
      <c r="H12" s="107"/>
      <c r="I12" s="104"/>
      <c r="J12" s="105"/>
      <c r="K12" s="106"/>
      <c r="L12" s="107"/>
      <c r="M12" s="104"/>
      <c r="N12" s="105"/>
      <c r="O12" s="106"/>
      <c r="P12" s="107"/>
      <c r="Q12" s="108">
        <f t="shared" si="0"/>
        <v>74</v>
      </c>
      <c r="R12" s="143">
        <f t="shared" si="1"/>
        <v>0.10277777777777777</v>
      </c>
    </row>
    <row r="13" spans="1:20" ht="18.75" customHeight="1" x14ac:dyDescent="0.15">
      <c r="A13" s="98"/>
      <c r="B13" s="211" t="s">
        <v>144</v>
      </c>
      <c r="C13" s="212"/>
      <c r="D13" s="140">
        <v>640</v>
      </c>
      <c r="E13" s="104">
        <v>153</v>
      </c>
      <c r="F13" s="105">
        <v>153</v>
      </c>
      <c r="G13" s="106"/>
      <c r="H13" s="107"/>
      <c r="I13" s="104"/>
      <c r="J13" s="105"/>
      <c r="K13" s="106"/>
      <c r="L13" s="107"/>
      <c r="M13" s="104"/>
      <c r="N13" s="105"/>
      <c r="O13" s="106"/>
      <c r="P13" s="107"/>
      <c r="Q13" s="108">
        <f t="shared" si="0"/>
        <v>153</v>
      </c>
      <c r="R13" s="143">
        <f t="shared" si="1"/>
        <v>0.23906250000000001</v>
      </c>
    </row>
    <row r="14" spans="1:20" ht="18.75" customHeight="1" x14ac:dyDescent="0.15">
      <c r="A14" s="98"/>
      <c r="B14" s="211" t="s">
        <v>145</v>
      </c>
      <c r="C14" s="212"/>
      <c r="D14" s="140">
        <v>400</v>
      </c>
      <c r="E14" s="104">
        <f>172/2+20</f>
        <v>106</v>
      </c>
      <c r="F14" s="105">
        <f>172/2+19</f>
        <v>105</v>
      </c>
      <c r="G14" s="106"/>
      <c r="H14" s="107"/>
      <c r="I14" s="104"/>
      <c r="J14" s="105"/>
      <c r="K14" s="106"/>
      <c r="L14" s="107"/>
      <c r="M14" s="104"/>
      <c r="N14" s="105"/>
      <c r="O14" s="106"/>
      <c r="P14" s="107"/>
      <c r="Q14" s="108">
        <f t="shared" si="0"/>
        <v>106</v>
      </c>
      <c r="R14" s="143">
        <f t="shared" si="1"/>
        <v>0.26500000000000001</v>
      </c>
    </row>
    <row r="15" spans="1:20" ht="18.75" customHeight="1" x14ac:dyDescent="0.15">
      <c r="A15" s="98"/>
      <c r="B15" s="211"/>
      <c r="C15" s="212"/>
      <c r="D15" s="140"/>
      <c r="E15" s="104"/>
      <c r="F15" s="105"/>
      <c r="G15" s="106"/>
      <c r="H15" s="107"/>
      <c r="I15" s="104"/>
      <c r="J15" s="105"/>
      <c r="K15" s="106"/>
      <c r="L15" s="107"/>
      <c r="M15" s="104"/>
      <c r="N15" s="105"/>
      <c r="O15" s="106"/>
      <c r="P15" s="107"/>
      <c r="Q15" s="108">
        <f t="shared" si="0"/>
        <v>0</v>
      </c>
      <c r="R15" s="143" t="e">
        <f t="shared" si="1"/>
        <v>#DIV/0!</v>
      </c>
    </row>
    <row r="16" spans="1:20" ht="18.75" customHeight="1" x14ac:dyDescent="0.15">
      <c r="A16" s="98"/>
      <c r="B16" s="211"/>
      <c r="C16" s="212"/>
      <c r="D16" s="140"/>
      <c r="E16" s="104"/>
      <c r="F16" s="105"/>
      <c r="G16" s="106"/>
      <c r="H16" s="107"/>
      <c r="I16" s="104"/>
      <c r="J16" s="105"/>
      <c r="K16" s="106"/>
      <c r="L16" s="107"/>
      <c r="M16" s="104"/>
      <c r="N16" s="105"/>
      <c r="O16" s="106"/>
      <c r="P16" s="107"/>
      <c r="Q16" s="108">
        <f>E16+G16+I16+K16+M16+O16</f>
        <v>0</v>
      </c>
      <c r="R16" s="143" t="e">
        <f t="shared" si="1"/>
        <v>#DIV/0!</v>
      </c>
    </row>
    <row r="17" spans="1:18" ht="18.75" customHeight="1" x14ac:dyDescent="0.15">
      <c r="A17" s="98"/>
      <c r="B17" s="211"/>
      <c r="C17" s="212"/>
      <c r="D17" s="140"/>
      <c r="E17" s="104"/>
      <c r="F17" s="105"/>
      <c r="G17" s="106"/>
      <c r="H17" s="107"/>
      <c r="I17" s="104"/>
      <c r="J17" s="105"/>
      <c r="K17" s="106"/>
      <c r="L17" s="107"/>
      <c r="M17" s="104"/>
      <c r="N17" s="105"/>
      <c r="O17" s="106"/>
      <c r="P17" s="107"/>
      <c r="Q17" s="108">
        <f t="shared" si="0"/>
        <v>0</v>
      </c>
      <c r="R17" s="143" t="e">
        <f t="shared" si="1"/>
        <v>#DIV/0!</v>
      </c>
    </row>
    <row r="18" spans="1:18" ht="18.75" customHeight="1" x14ac:dyDescent="0.15">
      <c r="A18" s="98"/>
      <c r="B18" s="211"/>
      <c r="C18" s="212"/>
      <c r="D18" s="140"/>
      <c r="E18" s="104"/>
      <c r="F18" s="105"/>
      <c r="G18" s="106"/>
      <c r="H18" s="107"/>
      <c r="I18" s="104"/>
      <c r="J18" s="105"/>
      <c r="K18" s="106"/>
      <c r="L18" s="107"/>
      <c r="M18" s="104"/>
      <c r="N18" s="105"/>
      <c r="O18" s="106"/>
      <c r="P18" s="107"/>
      <c r="Q18" s="108">
        <f t="shared" si="0"/>
        <v>0</v>
      </c>
      <c r="R18" s="143" t="e">
        <f t="shared" si="1"/>
        <v>#DIV/0!</v>
      </c>
    </row>
    <row r="19" spans="1:18" ht="18.75" customHeight="1" x14ac:dyDescent="0.15">
      <c r="A19" s="98"/>
      <c r="B19" s="211"/>
      <c r="C19" s="212"/>
      <c r="D19" s="140"/>
      <c r="E19" s="104"/>
      <c r="F19" s="105"/>
      <c r="G19" s="106"/>
      <c r="H19" s="107"/>
      <c r="I19" s="104"/>
      <c r="J19" s="105"/>
      <c r="K19" s="106"/>
      <c r="L19" s="107"/>
      <c r="M19" s="104"/>
      <c r="N19" s="105"/>
      <c r="O19" s="106"/>
      <c r="P19" s="107"/>
      <c r="Q19" s="108">
        <f t="shared" si="0"/>
        <v>0</v>
      </c>
      <c r="R19" s="143" t="e">
        <f t="shared" si="1"/>
        <v>#DIV/0!</v>
      </c>
    </row>
    <row r="20" spans="1:18" ht="18.75" customHeight="1" x14ac:dyDescent="0.15">
      <c r="A20" s="98"/>
      <c r="B20" s="211"/>
      <c r="C20" s="212"/>
      <c r="D20" s="140"/>
      <c r="E20" s="104"/>
      <c r="F20" s="105"/>
      <c r="G20" s="106"/>
      <c r="H20" s="107"/>
      <c r="I20" s="104"/>
      <c r="J20" s="105"/>
      <c r="K20" s="106"/>
      <c r="L20" s="107"/>
      <c r="M20" s="104"/>
      <c r="N20" s="105"/>
      <c r="O20" s="106"/>
      <c r="P20" s="107"/>
      <c r="Q20" s="108">
        <f t="shared" si="0"/>
        <v>0</v>
      </c>
      <c r="R20" s="143" t="e">
        <f t="shared" si="1"/>
        <v>#DIV/0!</v>
      </c>
    </row>
    <row r="21" spans="1:18" ht="18.75" customHeight="1" x14ac:dyDescent="0.15">
      <c r="A21" s="98"/>
      <c r="B21" s="211"/>
      <c r="C21" s="212"/>
      <c r="D21" s="140"/>
      <c r="E21" s="104"/>
      <c r="F21" s="105"/>
      <c r="G21" s="106"/>
      <c r="H21" s="107"/>
      <c r="I21" s="104"/>
      <c r="J21" s="105"/>
      <c r="K21" s="106"/>
      <c r="L21" s="107"/>
      <c r="M21" s="104"/>
      <c r="N21" s="105"/>
      <c r="O21" s="106"/>
      <c r="P21" s="107"/>
      <c r="Q21" s="108">
        <f t="shared" si="0"/>
        <v>0</v>
      </c>
      <c r="R21" s="143" t="e">
        <f t="shared" si="1"/>
        <v>#DIV/0!</v>
      </c>
    </row>
    <row r="22" spans="1:18" ht="18.75" customHeight="1" x14ac:dyDescent="0.15">
      <c r="A22" s="98"/>
      <c r="B22" s="211"/>
      <c r="C22" s="212"/>
      <c r="D22" s="140"/>
      <c r="E22" s="104"/>
      <c r="F22" s="105"/>
      <c r="G22" s="106"/>
      <c r="H22" s="107"/>
      <c r="I22" s="104"/>
      <c r="J22" s="105"/>
      <c r="K22" s="106"/>
      <c r="L22" s="107"/>
      <c r="M22" s="104"/>
      <c r="N22" s="105"/>
      <c r="O22" s="106"/>
      <c r="P22" s="107"/>
      <c r="Q22" s="108">
        <f t="shared" si="0"/>
        <v>0</v>
      </c>
      <c r="R22" s="143" t="e">
        <f t="shared" si="1"/>
        <v>#DIV/0!</v>
      </c>
    </row>
    <row r="23" spans="1:18" ht="18.75" customHeight="1" x14ac:dyDescent="0.15">
      <c r="A23" s="98"/>
      <c r="B23" s="211"/>
      <c r="C23" s="212"/>
      <c r="D23" s="140"/>
      <c r="E23" s="104"/>
      <c r="F23" s="105"/>
      <c r="G23" s="106"/>
      <c r="H23" s="107"/>
      <c r="I23" s="104"/>
      <c r="J23" s="105"/>
      <c r="K23" s="106"/>
      <c r="L23" s="107"/>
      <c r="M23" s="104"/>
      <c r="N23" s="105"/>
      <c r="O23" s="106"/>
      <c r="P23" s="107"/>
      <c r="Q23" s="108">
        <f t="shared" si="0"/>
        <v>0</v>
      </c>
      <c r="R23" s="143" t="e">
        <f t="shared" si="1"/>
        <v>#DIV/0!</v>
      </c>
    </row>
    <row r="24" spans="1:18" ht="18.75" customHeight="1" x14ac:dyDescent="0.15">
      <c r="A24" s="98"/>
      <c r="B24" s="211"/>
      <c r="C24" s="212"/>
      <c r="D24" s="140"/>
      <c r="E24" s="104"/>
      <c r="F24" s="105"/>
      <c r="G24" s="106"/>
      <c r="H24" s="107"/>
      <c r="I24" s="104"/>
      <c r="J24" s="105"/>
      <c r="K24" s="106"/>
      <c r="L24" s="107"/>
      <c r="M24" s="104"/>
      <c r="N24" s="105"/>
      <c r="O24" s="106"/>
      <c r="P24" s="107"/>
      <c r="Q24" s="108">
        <f t="shared" si="0"/>
        <v>0</v>
      </c>
      <c r="R24" s="143" t="e">
        <f t="shared" si="1"/>
        <v>#DIV/0!</v>
      </c>
    </row>
    <row r="25" spans="1:18" ht="18.75" customHeight="1" x14ac:dyDescent="0.15">
      <c r="A25" s="98"/>
      <c r="B25" s="211"/>
      <c r="C25" s="212"/>
      <c r="D25" s="140"/>
      <c r="E25" s="104"/>
      <c r="F25" s="105"/>
      <c r="G25" s="106"/>
      <c r="H25" s="107"/>
      <c r="I25" s="104"/>
      <c r="J25" s="105"/>
      <c r="K25" s="106"/>
      <c r="L25" s="107"/>
      <c r="M25" s="104"/>
      <c r="N25" s="105"/>
      <c r="O25" s="106"/>
      <c r="P25" s="107"/>
      <c r="Q25" s="108">
        <f t="shared" si="0"/>
        <v>0</v>
      </c>
      <c r="R25" s="143" t="e">
        <f t="shared" si="1"/>
        <v>#DIV/0!</v>
      </c>
    </row>
    <row r="26" spans="1:18" ht="18.75" customHeight="1" x14ac:dyDescent="0.15">
      <c r="A26" s="98"/>
      <c r="B26" s="211"/>
      <c r="C26" s="212"/>
      <c r="D26" s="140"/>
      <c r="E26" s="104"/>
      <c r="F26" s="105"/>
      <c r="G26" s="106"/>
      <c r="H26" s="107"/>
      <c r="I26" s="104"/>
      <c r="J26" s="105"/>
      <c r="K26" s="106"/>
      <c r="L26" s="107"/>
      <c r="M26" s="104"/>
      <c r="N26" s="105"/>
      <c r="O26" s="106"/>
      <c r="P26" s="107"/>
      <c r="Q26" s="108">
        <f t="shared" si="0"/>
        <v>0</v>
      </c>
      <c r="R26" s="143" t="e">
        <f t="shared" si="1"/>
        <v>#DIV/0!</v>
      </c>
    </row>
    <row r="27" spans="1:18" ht="18.75" customHeight="1" thickBot="1" x14ac:dyDescent="0.2">
      <c r="A27" s="98"/>
      <c r="B27" s="213"/>
      <c r="C27" s="214"/>
      <c r="D27" s="139"/>
      <c r="E27" s="99"/>
      <c r="F27" s="100"/>
      <c r="G27" s="101"/>
      <c r="H27" s="102"/>
      <c r="I27" s="99"/>
      <c r="J27" s="100"/>
      <c r="K27" s="101"/>
      <c r="L27" s="102"/>
      <c r="M27" s="99"/>
      <c r="N27" s="100"/>
      <c r="O27" s="101"/>
      <c r="P27" s="102"/>
      <c r="Q27" s="109">
        <f t="shared" si="0"/>
        <v>0</v>
      </c>
      <c r="R27" s="144" t="e">
        <f t="shared" si="1"/>
        <v>#DIV/0!</v>
      </c>
    </row>
    <row r="28" spans="1:18" ht="18.75" customHeight="1" thickTop="1" x14ac:dyDescent="0.15">
      <c r="A28" s="98"/>
      <c r="B28" s="205" t="s">
        <v>67</v>
      </c>
      <c r="C28" s="206"/>
      <c r="D28" s="141">
        <f t="shared" ref="D28:Q28" si="2">SUM(D8:D27)</f>
        <v>6480</v>
      </c>
      <c r="E28" s="110">
        <f t="shared" si="2"/>
        <v>1167</v>
      </c>
      <c r="F28" s="111">
        <f t="shared" si="2"/>
        <v>963</v>
      </c>
      <c r="G28" s="112">
        <f t="shared" si="2"/>
        <v>0</v>
      </c>
      <c r="H28" s="113">
        <f t="shared" si="2"/>
        <v>0</v>
      </c>
      <c r="I28" s="110">
        <f t="shared" si="2"/>
        <v>0</v>
      </c>
      <c r="J28" s="111">
        <f t="shared" si="2"/>
        <v>0</v>
      </c>
      <c r="K28" s="112">
        <f t="shared" si="2"/>
        <v>0</v>
      </c>
      <c r="L28" s="113">
        <f t="shared" si="2"/>
        <v>0</v>
      </c>
      <c r="M28" s="110">
        <f t="shared" si="2"/>
        <v>0</v>
      </c>
      <c r="N28" s="111">
        <f t="shared" si="2"/>
        <v>0</v>
      </c>
      <c r="O28" s="112">
        <f t="shared" si="2"/>
        <v>0</v>
      </c>
      <c r="P28" s="113">
        <f t="shared" si="2"/>
        <v>0</v>
      </c>
      <c r="Q28" s="114">
        <f t="shared" si="2"/>
        <v>1167</v>
      </c>
      <c r="R28" s="115">
        <f>Q28/D28</f>
        <v>0.18009259259259258</v>
      </c>
    </row>
    <row r="29" spans="1:18" ht="6.75" customHeight="1" x14ac:dyDescent="0.15">
      <c r="A29" s="98"/>
      <c r="B29" s="98"/>
      <c r="C29" s="98"/>
      <c r="D29" s="116"/>
      <c r="E29" s="116"/>
      <c r="F29" s="116"/>
      <c r="G29" s="116"/>
      <c r="H29" s="116"/>
      <c r="I29" s="116"/>
      <c r="J29" s="116"/>
      <c r="K29" s="116"/>
      <c r="L29" s="116"/>
      <c r="M29" s="116"/>
      <c r="N29" s="116"/>
      <c r="O29" s="116"/>
      <c r="P29" s="116"/>
      <c r="Q29" s="116"/>
      <c r="R29" s="116"/>
    </row>
  </sheetData>
  <mergeCells count="34">
    <mergeCell ref="B18:C18"/>
    <mergeCell ref="B8:C8"/>
    <mergeCell ref="B9:C9"/>
    <mergeCell ref="B10:C10"/>
    <mergeCell ref="B11:C11"/>
    <mergeCell ref="B12:C12"/>
    <mergeCell ref="B28:C28"/>
    <mergeCell ref="B6:C7"/>
    <mergeCell ref="B23:C23"/>
    <mergeCell ref="B24:C24"/>
    <mergeCell ref="B25:C25"/>
    <mergeCell ref="B26:C26"/>
    <mergeCell ref="B16:C16"/>
    <mergeCell ref="B19:C19"/>
    <mergeCell ref="B20:C20"/>
    <mergeCell ref="B21:C21"/>
    <mergeCell ref="B27:C27"/>
    <mergeCell ref="B22:C22"/>
    <mergeCell ref="B13:C13"/>
    <mergeCell ref="B14:C14"/>
    <mergeCell ref="B15:C15"/>
    <mergeCell ref="B17:C17"/>
    <mergeCell ref="F1:R1"/>
    <mergeCell ref="K2:L2"/>
    <mergeCell ref="D6:D7"/>
    <mergeCell ref="E6:F6"/>
    <mergeCell ref="G6:H6"/>
    <mergeCell ref="I6:J6"/>
    <mergeCell ref="K6:L6"/>
    <mergeCell ref="M6:N6"/>
    <mergeCell ref="O6:P6"/>
    <mergeCell ref="Q6:Q7"/>
    <mergeCell ref="R6:R7"/>
    <mergeCell ref="A4:R4"/>
  </mergeCells>
  <phoneticPr fontId="1"/>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0"/>
  <sheetViews>
    <sheetView workbookViewId="0"/>
  </sheetViews>
  <sheetFormatPr defaultRowHeight="14.25" x14ac:dyDescent="0.15"/>
  <cols>
    <col min="1" max="1" width="2.5" style="1" customWidth="1"/>
    <col min="2" max="2" width="19" style="1" customWidth="1"/>
    <col min="3" max="3" width="25" style="1" customWidth="1"/>
    <col min="4" max="4" width="10" style="1" customWidth="1"/>
    <col min="5" max="7" width="25" style="1" customWidth="1"/>
    <col min="8" max="16384" width="9" style="1"/>
  </cols>
  <sheetData>
    <row r="1" spans="1:7" ht="18.75" customHeight="1" x14ac:dyDescent="0.15">
      <c r="G1" s="55" t="s">
        <v>156</v>
      </c>
    </row>
    <row r="2" spans="1:7" ht="18.75" customHeight="1" x14ac:dyDescent="0.15">
      <c r="F2" s="55" t="s">
        <v>75</v>
      </c>
      <c r="G2" s="1" t="s">
        <v>155</v>
      </c>
    </row>
    <row r="3" spans="1:7" ht="18.75" customHeight="1" x14ac:dyDescent="0.15">
      <c r="A3" s="223" t="s">
        <v>96</v>
      </c>
      <c r="B3" s="223"/>
      <c r="C3" s="223"/>
      <c r="D3" s="223"/>
      <c r="E3" s="223"/>
      <c r="F3" s="223"/>
      <c r="G3" s="223"/>
    </row>
    <row r="4" spans="1:7" ht="18.75" customHeight="1" x14ac:dyDescent="0.15">
      <c r="A4" s="1" t="s">
        <v>7</v>
      </c>
      <c r="B4" s="1" t="s">
        <v>95</v>
      </c>
    </row>
    <row r="5" spans="1:7" s="54" customFormat="1" ht="18.75" customHeight="1" x14ac:dyDescent="0.15">
      <c r="B5" s="76" t="s">
        <v>74</v>
      </c>
      <c r="C5" s="224" t="s">
        <v>108</v>
      </c>
      <c r="D5" s="225"/>
      <c r="E5" s="225"/>
      <c r="F5" s="225"/>
      <c r="G5" s="226"/>
    </row>
    <row r="6" spans="1:7" s="73" customFormat="1" ht="45" customHeight="1" x14ac:dyDescent="0.15">
      <c r="B6" s="251" t="s">
        <v>111</v>
      </c>
      <c r="C6" s="227" t="s">
        <v>238</v>
      </c>
      <c r="D6" s="228"/>
      <c r="E6" s="228"/>
      <c r="F6" s="228"/>
      <c r="G6" s="229"/>
    </row>
    <row r="7" spans="1:7" s="73" customFormat="1" ht="45" customHeight="1" x14ac:dyDescent="0.15">
      <c r="B7" s="251"/>
      <c r="C7" s="230"/>
      <c r="D7" s="231"/>
      <c r="E7" s="231"/>
      <c r="F7" s="231"/>
      <c r="G7" s="232"/>
    </row>
    <row r="8" spans="1:7" s="73" customFormat="1" ht="45" customHeight="1" x14ac:dyDescent="0.15">
      <c r="B8" s="251"/>
      <c r="C8" s="230"/>
      <c r="D8" s="231"/>
      <c r="E8" s="231"/>
      <c r="F8" s="231"/>
      <c r="G8" s="232"/>
    </row>
    <row r="9" spans="1:7" s="73" customFormat="1" ht="45" customHeight="1" x14ac:dyDescent="0.15">
      <c r="B9" s="251"/>
      <c r="C9" s="233"/>
      <c r="D9" s="234"/>
      <c r="E9" s="234"/>
      <c r="F9" s="234"/>
      <c r="G9" s="235"/>
    </row>
    <row r="10" spans="1:7" s="75" customFormat="1" ht="18.75" customHeight="1" x14ac:dyDescent="0.15">
      <c r="B10" s="251"/>
      <c r="C10" s="74" t="s">
        <v>109</v>
      </c>
      <c r="D10" s="261" t="s">
        <v>110</v>
      </c>
      <c r="E10" s="262"/>
      <c r="F10" s="262"/>
      <c r="G10" s="263"/>
    </row>
    <row r="11" spans="1:7" s="73" customFormat="1" ht="56.25" customHeight="1" x14ac:dyDescent="0.15">
      <c r="B11" s="251"/>
      <c r="C11" s="133" t="s">
        <v>184</v>
      </c>
      <c r="D11" s="264" t="s">
        <v>220</v>
      </c>
      <c r="E11" s="265"/>
      <c r="F11" s="265"/>
      <c r="G11" s="266"/>
    </row>
    <row r="12" spans="1:7" s="75" customFormat="1" ht="18.75" customHeight="1" x14ac:dyDescent="0.15">
      <c r="B12" s="251"/>
      <c r="C12" s="78"/>
      <c r="D12" s="267"/>
      <c r="E12" s="268"/>
      <c r="F12" s="268"/>
      <c r="G12" s="269"/>
    </row>
    <row r="13" spans="1:7" s="75" customFormat="1" ht="18.75" customHeight="1" x14ac:dyDescent="0.15">
      <c r="B13" s="251"/>
      <c r="C13" s="78"/>
      <c r="D13" s="267"/>
      <c r="E13" s="268"/>
      <c r="F13" s="268"/>
      <c r="G13" s="269"/>
    </row>
    <row r="14" spans="1:7" s="75" customFormat="1" ht="18.75" customHeight="1" x14ac:dyDescent="0.15">
      <c r="B14" s="251"/>
      <c r="C14" s="78"/>
      <c r="D14" s="267"/>
      <c r="E14" s="268"/>
      <c r="F14" s="268"/>
      <c r="G14" s="269"/>
    </row>
    <row r="15" spans="1:7" s="80" customFormat="1" ht="18.75" customHeight="1" x14ac:dyDescent="0.15">
      <c r="B15" s="251"/>
      <c r="C15" s="81"/>
      <c r="D15" s="224"/>
      <c r="E15" s="225"/>
      <c r="F15" s="225"/>
      <c r="G15" s="226"/>
    </row>
    <row r="16" spans="1:7" s="80" customFormat="1" ht="15" customHeight="1" x14ac:dyDescent="0.15">
      <c r="B16" s="251"/>
      <c r="C16" s="81"/>
      <c r="D16" s="224"/>
      <c r="E16" s="225"/>
      <c r="F16" s="225"/>
      <c r="G16" s="226"/>
    </row>
    <row r="17" spans="2:7" s="80" customFormat="1" ht="15" customHeight="1" x14ac:dyDescent="0.15">
      <c r="B17" s="251"/>
      <c r="C17" s="81"/>
      <c r="D17" s="224"/>
      <c r="E17" s="225"/>
      <c r="F17" s="225"/>
      <c r="G17" s="226"/>
    </row>
    <row r="18" spans="2:7" s="80" customFormat="1" ht="15" customHeight="1" x14ac:dyDescent="0.15">
      <c r="B18" s="251"/>
      <c r="C18" s="81"/>
      <c r="D18" s="224"/>
      <c r="E18" s="225"/>
      <c r="F18" s="225"/>
      <c r="G18" s="226"/>
    </row>
    <row r="19" spans="2:7" s="80" customFormat="1" ht="15" customHeight="1" x14ac:dyDescent="0.15">
      <c r="B19" s="251"/>
      <c r="C19" s="81"/>
      <c r="D19" s="224"/>
      <c r="E19" s="225"/>
      <c r="F19" s="225"/>
      <c r="G19" s="226"/>
    </row>
    <row r="20" spans="2:7" s="80" customFormat="1" ht="15" customHeight="1" x14ac:dyDescent="0.15">
      <c r="B20" s="251"/>
      <c r="C20" s="81"/>
      <c r="D20" s="224"/>
      <c r="E20" s="225"/>
      <c r="F20" s="225"/>
      <c r="G20" s="226"/>
    </row>
    <row r="21" spans="2:7" s="80" customFormat="1" ht="15" customHeight="1" x14ac:dyDescent="0.15">
      <c r="B21" s="251"/>
      <c r="C21" s="81"/>
      <c r="D21" s="224"/>
      <c r="E21" s="225"/>
      <c r="F21" s="225"/>
      <c r="G21" s="226"/>
    </row>
    <row r="22" spans="2:7" s="80" customFormat="1" ht="15" customHeight="1" x14ac:dyDescent="0.15">
      <c r="B22" s="251"/>
      <c r="C22" s="81"/>
      <c r="D22" s="224"/>
      <c r="E22" s="225"/>
      <c r="F22" s="225"/>
      <c r="G22" s="226"/>
    </row>
    <row r="23" spans="2:7" s="80" customFormat="1" ht="15" customHeight="1" x14ac:dyDescent="0.15">
      <c r="B23" s="251"/>
      <c r="C23" s="81"/>
      <c r="D23" s="224"/>
      <c r="E23" s="225"/>
      <c r="F23" s="225"/>
      <c r="G23" s="226"/>
    </row>
    <row r="24" spans="2:7" s="80" customFormat="1" ht="15" customHeight="1" x14ac:dyDescent="0.15">
      <c r="B24" s="251"/>
      <c r="C24" s="81"/>
      <c r="D24" s="224"/>
      <c r="E24" s="225"/>
      <c r="F24" s="225"/>
      <c r="G24" s="226"/>
    </row>
    <row r="25" spans="2:7" s="75" customFormat="1" ht="15" customHeight="1" x14ac:dyDescent="0.15">
      <c r="B25" s="251"/>
      <c r="C25" s="76"/>
      <c r="D25" s="224"/>
      <c r="E25" s="225"/>
      <c r="F25" s="225"/>
      <c r="G25" s="226"/>
    </row>
    <row r="26" spans="2:7" ht="18.75" customHeight="1" x14ac:dyDescent="0.15">
      <c r="B26" s="251" t="s">
        <v>112</v>
      </c>
      <c r="C26" s="224" t="s">
        <v>108</v>
      </c>
      <c r="D26" s="225"/>
      <c r="E26" s="225"/>
      <c r="F26" s="225"/>
      <c r="G26" s="226"/>
    </row>
    <row r="27" spans="2:7" ht="37.5" customHeight="1" x14ac:dyDescent="0.15">
      <c r="B27" s="251"/>
      <c r="C27" s="252" t="s">
        <v>239</v>
      </c>
      <c r="D27" s="253"/>
      <c r="E27" s="253"/>
      <c r="F27" s="253"/>
      <c r="G27" s="254"/>
    </row>
    <row r="28" spans="2:7" ht="37.5" customHeight="1" x14ac:dyDescent="0.15">
      <c r="B28" s="251"/>
      <c r="C28" s="255"/>
      <c r="D28" s="256"/>
      <c r="E28" s="256"/>
      <c r="F28" s="256"/>
      <c r="G28" s="257"/>
    </row>
    <row r="29" spans="2:7" ht="37.5" customHeight="1" x14ac:dyDescent="0.15">
      <c r="B29" s="251"/>
      <c r="C29" s="255"/>
      <c r="D29" s="256"/>
      <c r="E29" s="256"/>
      <c r="F29" s="256"/>
      <c r="G29" s="257"/>
    </row>
    <row r="30" spans="2:7" ht="37.5" customHeight="1" x14ac:dyDescent="0.15">
      <c r="B30" s="251"/>
      <c r="C30" s="255"/>
      <c r="D30" s="256"/>
      <c r="E30" s="256"/>
      <c r="F30" s="256"/>
      <c r="G30" s="257"/>
    </row>
    <row r="31" spans="2:7" ht="37.5" customHeight="1" x14ac:dyDescent="0.15">
      <c r="B31" s="251"/>
      <c r="C31" s="258"/>
      <c r="D31" s="259"/>
      <c r="E31" s="259"/>
      <c r="F31" s="259"/>
      <c r="G31" s="260"/>
    </row>
    <row r="32" spans="2:7" ht="18.75" customHeight="1" x14ac:dyDescent="0.15">
      <c r="B32" s="251"/>
      <c r="C32" s="74" t="s">
        <v>109</v>
      </c>
      <c r="D32" s="224" t="s">
        <v>110</v>
      </c>
      <c r="E32" s="225"/>
      <c r="F32" s="225"/>
      <c r="G32" s="226"/>
    </row>
    <row r="33" spans="2:7" ht="56.25" customHeight="1" x14ac:dyDescent="0.15">
      <c r="B33" s="251"/>
      <c r="C33" s="76" t="s">
        <v>183</v>
      </c>
      <c r="D33" s="220" t="s">
        <v>221</v>
      </c>
      <c r="E33" s="221"/>
      <c r="F33" s="221"/>
      <c r="G33" s="222"/>
    </row>
    <row r="34" spans="2:7" ht="18.75" customHeight="1" x14ac:dyDescent="0.15">
      <c r="B34" s="251"/>
      <c r="C34" s="76"/>
      <c r="D34" s="217"/>
      <c r="E34" s="218"/>
      <c r="F34" s="218"/>
      <c r="G34" s="219"/>
    </row>
    <row r="35" spans="2:7" ht="18.75" customHeight="1" x14ac:dyDescent="0.15">
      <c r="B35" s="251"/>
      <c r="C35" s="76"/>
      <c r="D35" s="217"/>
      <c r="E35" s="218"/>
      <c r="F35" s="218"/>
      <c r="G35" s="219"/>
    </row>
    <row r="36" spans="2:7" ht="18.75" customHeight="1" x14ac:dyDescent="0.15">
      <c r="B36" s="251"/>
      <c r="C36" s="76"/>
      <c r="D36" s="217"/>
      <c r="E36" s="218"/>
      <c r="F36" s="218"/>
      <c r="G36" s="219"/>
    </row>
    <row r="37" spans="2:7" ht="18.75" customHeight="1" x14ac:dyDescent="0.15">
      <c r="B37" s="251"/>
      <c r="C37" s="76"/>
      <c r="D37" s="217"/>
      <c r="E37" s="218"/>
      <c r="F37" s="218"/>
      <c r="G37" s="219"/>
    </row>
    <row r="38" spans="2:7" ht="18.75" customHeight="1" x14ac:dyDescent="0.15">
      <c r="B38" s="251"/>
      <c r="C38" s="76"/>
      <c r="D38" s="217"/>
      <c r="E38" s="218"/>
      <c r="F38" s="218"/>
      <c r="G38" s="219"/>
    </row>
    <row r="39" spans="2:7" ht="18.75" customHeight="1" x14ac:dyDescent="0.15">
      <c r="B39" s="251"/>
      <c r="C39" s="76"/>
      <c r="D39" s="217"/>
      <c r="E39" s="218"/>
      <c r="F39" s="218"/>
      <c r="G39" s="219"/>
    </row>
    <row r="40" spans="2:7" ht="18.75" customHeight="1" x14ac:dyDescent="0.15">
      <c r="B40" s="251"/>
      <c r="C40" s="76"/>
      <c r="D40" s="217"/>
      <c r="E40" s="218"/>
      <c r="F40" s="218"/>
      <c r="G40" s="219"/>
    </row>
    <row r="41" spans="2:7" ht="15" customHeight="1" x14ac:dyDescent="0.15">
      <c r="B41" s="251"/>
      <c r="C41" s="76"/>
      <c r="D41" s="217"/>
      <c r="E41" s="218"/>
      <c r="F41" s="218"/>
      <c r="G41" s="219"/>
    </row>
    <row r="42" spans="2:7" ht="15" customHeight="1" x14ac:dyDescent="0.15">
      <c r="B42" s="251"/>
      <c r="C42" s="76"/>
      <c r="D42" s="217"/>
      <c r="E42" s="218"/>
      <c r="F42" s="218"/>
      <c r="G42" s="219"/>
    </row>
    <row r="43" spans="2:7" ht="15" customHeight="1" x14ac:dyDescent="0.15">
      <c r="B43" s="251"/>
      <c r="C43" s="76"/>
      <c r="D43" s="217"/>
      <c r="E43" s="218"/>
      <c r="F43" s="218"/>
      <c r="G43" s="219"/>
    </row>
    <row r="44" spans="2:7" ht="15" customHeight="1" x14ac:dyDescent="0.15">
      <c r="B44" s="251"/>
      <c r="C44" s="76"/>
      <c r="D44" s="217"/>
      <c r="E44" s="218"/>
      <c r="F44" s="218"/>
      <c r="G44" s="219"/>
    </row>
    <row r="45" spans="2:7" ht="15" customHeight="1" x14ac:dyDescent="0.15">
      <c r="B45" s="251"/>
      <c r="C45" s="76"/>
      <c r="D45" s="217"/>
      <c r="E45" s="218"/>
      <c r="F45" s="218"/>
      <c r="G45" s="219"/>
    </row>
    <row r="46" spans="2:7" ht="15" customHeight="1" x14ac:dyDescent="0.15">
      <c r="B46" s="251"/>
      <c r="C46" s="76"/>
      <c r="D46" s="217"/>
      <c r="E46" s="218"/>
      <c r="F46" s="218"/>
      <c r="G46" s="219"/>
    </row>
    <row r="47" spans="2:7" ht="15" customHeight="1" x14ac:dyDescent="0.15">
      <c r="B47" s="251"/>
      <c r="C47" s="76"/>
      <c r="D47" s="217"/>
      <c r="E47" s="218"/>
      <c r="F47" s="218"/>
      <c r="G47" s="219"/>
    </row>
    <row r="48" spans="2:7" ht="15" customHeight="1" x14ac:dyDescent="0.15">
      <c r="B48" s="251"/>
      <c r="C48" s="76"/>
      <c r="D48" s="217"/>
      <c r="E48" s="218"/>
      <c r="F48" s="218"/>
      <c r="G48" s="219"/>
    </row>
    <row r="49" spans="2:7" ht="15" customHeight="1" x14ac:dyDescent="0.15">
      <c r="B49" s="251"/>
      <c r="C49" s="76"/>
      <c r="D49" s="217"/>
      <c r="E49" s="218"/>
      <c r="F49" s="218"/>
      <c r="G49" s="219"/>
    </row>
    <row r="50" spans="2:7" ht="15" customHeight="1" x14ac:dyDescent="0.15">
      <c r="B50" s="251"/>
      <c r="C50" s="76"/>
      <c r="D50" s="217"/>
      <c r="E50" s="218"/>
      <c r="F50" s="218"/>
      <c r="G50" s="219"/>
    </row>
    <row r="51" spans="2:7" ht="18.75" customHeight="1" x14ac:dyDescent="0.15">
      <c r="B51" s="251" t="s">
        <v>114</v>
      </c>
      <c r="C51" s="224" t="s">
        <v>108</v>
      </c>
      <c r="D51" s="225"/>
      <c r="E51" s="225"/>
      <c r="F51" s="225"/>
      <c r="G51" s="226"/>
    </row>
    <row r="52" spans="2:7" ht="37.5" customHeight="1" x14ac:dyDescent="0.15">
      <c r="B52" s="251"/>
      <c r="C52" s="252" t="s">
        <v>240</v>
      </c>
      <c r="D52" s="253"/>
      <c r="E52" s="253"/>
      <c r="F52" s="253"/>
      <c r="G52" s="254"/>
    </row>
    <row r="53" spans="2:7" ht="37.5" customHeight="1" x14ac:dyDescent="0.15">
      <c r="B53" s="251"/>
      <c r="C53" s="255"/>
      <c r="D53" s="256"/>
      <c r="E53" s="256"/>
      <c r="F53" s="256"/>
      <c r="G53" s="257"/>
    </row>
    <row r="54" spans="2:7" ht="37.5" customHeight="1" x14ac:dyDescent="0.15">
      <c r="B54" s="251"/>
      <c r="C54" s="255"/>
      <c r="D54" s="256"/>
      <c r="E54" s="256"/>
      <c r="F54" s="256"/>
      <c r="G54" s="257"/>
    </row>
    <row r="55" spans="2:7" ht="37.5" customHeight="1" x14ac:dyDescent="0.15">
      <c r="B55" s="251"/>
      <c r="C55" s="255"/>
      <c r="D55" s="256"/>
      <c r="E55" s="256"/>
      <c r="F55" s="256"/>
      <c r="G55" s="257"/>
    </row>
    <row r="56" spans="2:7" ht="37.5" customHeight="1" x14ac:dyDescent="0.15">
      <c r="B56" s="251"/>
      <c r="C56" s="258"/>
      <c r="D56" s="259"/>
      <c r="E56" s="259"/>
      <c r="F56" s="259"/>
      <c r="G56" s="260"/>
    </row>
    <row r="57" spans="2:7" ht="18.75" customHeight="1" x14ac:dyDescent="0.15">
      <c r="B57" s="251"/>
      <c r="C57" s="74" t="s">
        <v>109</v>
      </c>
      <c r="D57" s="224" t="s">
        <v>110</v>
      </c>
      <c r="E57" s="225"/>
      <c r="F57" s="225"/>
      <c r="G57" s="226"/>
    </row>
    <row r="58" spans="2:7" ht="56.25" customHeight="1" x14ac:dyDescent="0.15">
      <c r="B58" s="251"/>
      <c r="C58" s="87" t="s">
        <v>183</v>
      </c>
      <c r="D58" s="220" t="s">
        <v>208</v>
      </c>
      <c r="E58" s="221"/>
      <c r="F58" s="221"/>
      <c r="G58" s="222"/>
    </row>
    <row r="59" spans="2:7" ht="18.75" customHeight="1" x14ac:dyDescent="0.15">
      <c r="B59" s="251"/>
      <c r="C59" s="87"/>
      <c r="D59" s="217"/>
      <c r="E59" s="218"/>
      <c r="F59" s="218"/>
      <c r="G59" s="219"/>
    </row>
    <row r="60" spans="2:7" ht="18.75" customHeight="1" x14ac:dyDescent="0.15">
      <c r="B60" s="251"/>
      <c r="C60" s="87"/>
      <c r="D60" s="217"/>
      <c r="E60" s="218"/>
      <c r="F60" s="218"/>
      <c r="G60" s="219"/>
    </row>
    <row r="61" spans="2:7" ht="18.75" customHeight="1" x14ac:dyDescent="0.15">
      <c r="B61" s="251"/>
      <c r="C61" s="87"/>
      <c r="D61" s="217"/>
      <c r="E61" s="218"/>
      <c r="F61" s="218"/>
      <c r="G61" s="219"/>
    </row>
    <row r="62" spans="2:7" ht="18.75" customHeight="1" x14ac:dyDescent="0.15">
      <c r="B62" s="251"/>
      <c r="C62" s="87"/>
      <c r="D62" s="217"/>
      <c r="E62" s="218"/>
      <c r="F62" s="218"/>
      <c r="G62" s="219"/>
    </row>
    <row r="63" spans="2:7" ht="18.75" customHeight="1" x14ac:dyDescent="0.15">
      <c r="B63" s="251"/>
      <c r="C63" s="87"/>
      <c r="D63" s="217"/>
      <c r="E63" s="218"/>
      <c r="F63" s="218"/>
      <c r="G63" s="219"/>
    </row>
    <row r="64" spans="2:7" ht="18.75" customHeight="1" x14ac:dyDescent="0.15">
      <c r="B64" s="251"/>
      <c r="C64" s="87"/>
      <c r="D64" s="217"/>
      <c r="E64" s="218"/>
      <c r="F64" s="218"/>
      <c r="G64" s="219"/>
    </row>
    <row r="65" spans="2:7" ht="18.75" customHeight="1" x14ac:dyDescent="0.15">
      <c r="B65" s="251"/>
      <c r="C65" s="87"/>
      <c r="D65" s="217"/>
      <c r="E65" s="218"/>
      <c r="F65" s="218"/>
      <c r="G65" s="219"/>
    </row>
    <row r="66" spans="2:7" ht="15" customHeight="1" x14ac:dyDescent="0.15">
      <c r="B66" s="251"/>
      <c r="C66" s="87"/>
      <c r="D66" s="217"/>
      <c r="E66" s="218"/>
      <c r="F66" s="218"/>
      <c r="G66" s="219"/>
    </row>
    <row r="67" spans="2:7" ht="15" customHeight="1" x14ac:dyDescent="0.15">
      <c r="B67" s="251"/>
      <c r="C67" s="87"/>
      <c r="D67" s="217"/>
      <c r="E67" s="218"/>
      <c r="F67" s="218"/>
      <c r="G67" s="219"/>
    </row>
    <row r="68" spans="2:7" ht="15" customHeight="1" x14ac:dyDescent="0.15">
      <c r="B68" s="251"/>
      <c r="C68" s="87"/>
      <c r="D68" s="217"/>
      <c r="E68" s="218"/>
      <c r="F68" s="218"/>
      <c r="G68" s="219"/>
    </row>
    <row r="69" spans="2:7" ht="15" customHeight="1" x14ac:dyDescent="0.15">
      <c r="B69" s="251"/>
      <c r="C69" s="87"/>
      <c r="D69" s="217"/>
      <c r="E69" s="218"/>
      <c r="F69" s="218"/>
      <c r="G69" s="219"/>
    </row>
    <row r="70" spans="2:7" ht="15" customHeight="1" x14ac:dyDescent="0.15">
      <c r="B70" s="251"/>
      <c r="C70" s="87"/>
      <c r="D70" s="217"/>
      <c r="E70" s="218"/>
      <c r="F70" s="218"/>
      <c r="G70" s="219"/>
    </row>
    <row r="71" spans="2:7" ht="15" customHeight="1" x14ac:dyDescent="0.15">
      <c r="B71" s="251"/>
      <c r="C71" s="87"/>
      <c r="D71" s="217"/>
      <c r="E71" s="218"/>
      <c r="F71" s="218"/>
      <c r="G71" s="219"/>
    </row>
    <row r="72" spans="2:7" ht="15" customHeight="1" x14ac:dyDescent="0.15">
      <c r="B72" s="251"/>
      <c r="C72" s="87"/>
      <c r="D72" s="217"/>
      <c r="E72" s="218"/>
      <c r="F72" s="218"/>
      <c r="G72" s="219"/>
    </row>
    <row r="73" spans="2:7" ht="15" customHeight="1" x14ac:dyDescent="0.15">
      <c r="B73" s="251"/>
      <c r="C73" s="87"/>
      <c r="D73" s="217"/>
      <c r="E73" s="218"/>
      <c r="F73" s="218"/>
      <c r="G73" s="219"/>
    </row>
    <row r="74" spans="2:7" ht="15" customHeight="1" x14ac:dyDescent="0.15">
      <c r="B74" s="251"/>
      <c r="C74" s="76"/>
      <c r="D74" s="217"/>
      <c r="E74" s="218"/>
      <c r="F74" s="218"/>
      <c r="G74" s="219"/>
    </row>
    <row r="75" spans="2:7" ht="15" customHeight="1" x14ac:dyDescent="0.15">
      <c r="B75" s="251"/>
      <c r="C75" s="76"/>
      <c r="D75" s="217"/>
      <c r="E75" s="218"/>
      <c r="F75" s="218"/>
      <c r="G75" s="219"/>
    </row>
    <row r="76" spans="2:7" ht="18.75" customHeight="1" x14ac:dyDescent="0.15">
      <c r="B76" s="251" t="s">
        <v>113</v>
      </c>
      <c r="C76" s="224" t="s">
        <v>108</v>
      </c>
      <c r="D76" s="225"/>
      <c r="E76" s="225"/>
      <c r="F76" s="225"/>
      <c r="G76" s="226"/>
    </row>
    <row r="77" spans="2:7" ht="37.5" customHeight="1" x14ac:dyDescent="0.15">
      <c r="B77" s="251"/>
      <c r="C77" s="252" t="s">
        <v>241</v>
      </c>
      <c r="D77" s="253"/>
      <c r="E77" s="253"/>
      <c r="F77" s="253"/>
      <c r="G77" s="254"/>
    </row>
    <row r="78" spans="2:7" ht="37.5" customHeight="1" x14ac:dyDescent="0.15">
      <c r="B78" s="251"/>
      <c r="C78" s="255"/>
      <c r="D78" s="256"/>
      <c r="E78" s="256"/>
      <c r="F78" s="256"/>
      <c r="G78" s="257"/>
    </row>
    <row r="79" spans="2:7" ht="37.5" customHeight="1" x14ac:dyDescent="0.15">
      <c r="B79" s="251"/>
      <c r="C79" s="255"/>
      <c r="D79" s="256"/>
      <c r="E79" s="256"/>
      <c r="F79" s="256"/>
      <c r="G79" s="257"/>
    </row>
    <row r="80" spans="2:7" ht="37.5" customHeight="1" x14ac:dyDescent="0.15">
      <c r="B80" s="251"/>
      <c r="C80" s="255"/>
      <c r="D80" s="256"/>
      <c r="E80" s="256"/>
      <c r="F80" s="256"/>
      <c r="G80" s="257"/>
    </row>
    <row r="81" spans="2:7" ht="37.5" customHeight="1" x14ac:dyDescent="0.15">
      <c r="B81" s="251"/>
      <c r="C81" s="258"/>
      <c r="D81" s="259"/>
      <c r="E81" s="259"/>
      <c r="F81" s="259"/>
      <c r="G81" s="260"/>
    </row>
    <row r="82" spans="2:7" ht="18.75" customHeight="1" x14ac:dyDescent="0.15">
      <c r="B82" s="251"/>
      <c r="C82" s="74" t="s">
        <v>109</v>
      </c>
      <c r="D82" s="224" t="s">
        <v>110</v>
      </c>
      <c r="E82" s="225"/>
      <c r="F82" s="225"/>
      <c r="G82" s="226"/>
    </row>
    <row r="83" spans="2:7" ht="56.25" customHeight="1" x14ac:dyDescent="0.15">
      <c r="B83" s="251"/>
      <c r="C83" s="87" t="s">
        <v>183</v>
      </c>
      <c r="D83" s="220" t="s">
        <v>209</v>
      </c>
      <c r="E83" s="221"/>
      <c r="F83" s="221"/>
      <c r="G83" s="222"/>
    </row>
    <row r="84" spans="2:7" ht="18.75" customHeight="1" x14ac:dyDescent="0.15">
      <c r="B84" s="251"/>
      <c r="C84" s="87"/>
      <c r="D84" s="217"/>
      <c r="E84" s="218"/>
      <c r="F84" s="218"/>
      <c r="G84" s="219"/>
    </row>
    <row r="85" spans="2:7" ht="18.75" customHeight="1" x14ac:dyDescent="0.15">
      <c r="B85" s="251"/>
      <c r="C85" s="87"/>
      <c r="D85" s="217"/>
      <c r="E85" s="218"/>
      <c r="F85" s="218"/>
      <c r="G85" s="219"/>
    </row>
    <row r="86" spans="2:7" ht="18.75" customHeight="1" x14ac:dyDescent="0.15">
      <c r="B86" s="251"/>
      <c r="C86" s="87"/>
      <c r="D86" s="217"/>
      <c r="E86" s="218"/>
      <c r="F86" s="218"/>
      <c r="G86" s="219"/>
    </row>
    <row r="87" spans="2:7" ht="18.75" customHeight="1" x14ac:dyDescent="0.15">
      <c r="B87" s="251"/>
      <c r="C87" s="87"/>
      <c r="D87" s="217"/>
      <c r="E87" s="218"/>
      <c r="F87" s="218"/>
      <c r="G87" s="219"/>
    </row>
    <row r="88" spans="2:7" ht="18.75" customHeight="1" x14ac:dyDescent="0.15">
      <c r="B88" s="251"/>
      <c r="C88" s="87"/>
      <c r="D88" s="217"/>
      <c r="E88" s="218"/>
      <c r="F88" s="218"/>
      <c r="G88" s="219"/>
    </row>
    <row r="89" spans="2:7" ht="18.75" customHeight="1" x14ac:dyDescent="0.15">
      <c r="B89" s="251"/>
      <c r="C89" s="87"/>
      <c r="D89" s="217"/>
      <c r="E89" s="218"/>
      <c r="F89" s="218"/>
      <c r="G89" s="219"/>
    </row>
    <row r="90" spans="2:7" ht="18.75" customHeight="1" x14ac:dyDescent="0.15">
      <c r="B90" s="251"/>
      <c r="C90" s="87"/>
      <c r="D90" s="217"/>
      <c r="E90" s="218"/>
      <c r="F90" s="218"/>
      <c r="G90" s="219"/>
    </row>
    <row r="91" spans="2:7" ht="15" customHeight="1" x14ac:dyDescent="0.15">
      <c r="B91" s="251"/>
      <c r="C91" s="87"/>
      <c r="D91" s="217"/>
      <c r="E91" s="218"/>
      <c r="F91" s="218"/>
      <c r="G91" s="219"/>
    </row>
    <row r="92" spans="2:7" ht="15" customHeight="1" x14ac:dyDescent="0.15">
      <c r="B92" s="251"/>
      <c r="C92" s="87"/>
      <c r="D92" s="217"/>
      <c r="E92" s="218"/>
      <c r="F92" s="218"/>
      <c r="G92" s="219"/>
    </row>
    <row r="93" spans="2:7" ht="15" customHeight="1" x14ac:dyDescent="0.15">
      <c r="B93" s="251"/>
      <c r="C93" s="87"/>
      <c r="D93" s="217"/>
      <c r="E93" s="218"/>
      <c r="F93" s="218"/>
      <c r="G93" s="219"/>
    </row>
    <row r="94" spans="2:7" ht="15" customHeight="1" x14ac:dyDescent="0.15">
      <c r="B94" s="251"/>
      <c r="C94" s="87"/>
      <c r="D94" s="217"/>
      <c r="E94" s="218"/>
      <c r="F94" s="218"/>
      <c r="G94" s="219"/>
    </row>
    <row r="95" spans="2:7" ht="15" customHeight="1" x14ac:dyDescent="0.15">
      <c r="B95" s="251"/>
      <c r="C95" s="87"/>
      <c r="D95" s="217"/>
      <c r="E95" s="218"/>
      <c r="F95" s="218"/>
      <c r="G95" s="219"/>
    </row>
    <row r="96" spans="2:7" ht="15" customHeight="1" x14ac:dyDescent="0.15">
      <c r="B96" s="251"/>
      <c r="C96" s="87"/>
      <c r="D96" s="217"/>
      <c r="E96" s="218"/>
      <c r="F96" s="218"/>
      <c r="G96" s="219"/>
    </row>
    <row r="97" spans="2:7" ht="15" customHeight="1" x14ac:dyDescent="0.15">
      <c r="B97" s="251"/>
      <c r="C97" s="87"/>
      <c r="D97" s="217"/>
      <c r="E97" s="218"/>
      <c r="F97" s="218"/>
      <c r="G97" s="219"/>
    </row>
    <row r="98" spans="2:7" ht="15" customHeight="1" x14ac:dyDescent="0.15">
      <c r="B98" s="251"/>
      <c r="C98" s="87"/>
      <c r="D98" s="217"/>
      <c r="E98" s="218"/>
      <c r="F98" s="218"/>
      <c r="G98" s="219"/>
    </row>
    <row r="99" spans="2:7" ht="15" customHeight="1" x14ac:dyDescent="0.15">
      <c r="B99" s="251"/>
      <c r="C99" s="87"/>
      <c r="D99" s="217"/>
      <c r="E99" s="218"/>
      <c r="F99" s="218"/>
      <c r="G99" s="219"/>
    </row>
    <row r="100" spans="2:7" ht="15" customHeight="1" x14ac:dyDescent="0.15">
      <c r="B100" s="251"/>
      <c r="C100" s="76"/>
      <c r="D100" s="217"/>
      <c r="E100" s="218"/>
      <c r="F100" s="218"/>
      <c r="G100" s="219"/>
    </row>
    <row r="101" spans="2:7" ht="18.75" customHeight="1" x14ac:dyDescent="0.15">
      <c r="B101" s="251" t="s">
        <v>115</v>
      </c>
      <c r="C101" s="224" t="s">
        <v>108</v>
      </c>
      <c r="D101" s="225"/>
      <c r="E101" s="225"/>
      <c r="F101" s="225"/>
      <c r="G101" s="226"/>
    </row>
    <row r="102" spans="2:7" ht="37.5" customHeight="1" x14ac:dyDescent="0.15">
      <c r="B102" s="251"/>
      <c r="C102" s="252" t="s">
        <v>242</v>
      </c>
      <c r="D102" s="253"/>
      <c r="E102" s="253"/>
      <c r="F102" s="253"/>
      <c r="G102" s="254"/>
    </row>
    <row r="103" spans="2:7" ht="37.5" customHeight="1" x14ac:dyDescent="0.15">
      <c r="B103" s="251"/>
      <c r="C103" s="255"/>
      <c r="D103" s="256"/>
      <c r="E103" s="256"/>
      <c r="F103" s="256"/>
      <c r="G103" s="257"/>
    </row>
    <row r="104" spans="2:7" ht="37.5" customHeight="1" x14ac:dyDescent="0.15">
      <c r="B104" s="251"/>
      <c r="C104" s="255"/>
      <c r="D104" s="256"/>
      <c r="E104" s="256"/>
      <c r="F104" s="256"/>
      <c r="G104" s="257"/>
    </row>
    <row r="105" spans="2:7" ht="37.5" customHeight="1" x14ac:dyDescent="0.15">
      <c r="B105" s="251"/>
      <c r="C105" s="255"/>
      <c r="D105" s="256"/>
      <c r="E105" s="256"/>
      <c r="F105" s="256"/>
      <c r="G105" s="257"/>
    </row>
    <row r="106" spans="2:7" ht="37.5" customHeight="1" x14ac:dyDescent="0.15">
      <c r="B106" s="251"/>
      <c r="C106" s="258"/>
      <c r="D106" s="259"/>
      <c r="E106" s="259"/>
      <c r="F106" s="259"/>
      <c r="G106" s="260"/>
    </row>
    <row r="107" spans="2:7" ht="18.75" customHeight="1" x14ac:dyDescent="0.15">
      <c r="B107" s="251"/>
      <c r="C107" s="74" t="s">
        <v>109</v>
      </c>
      <c r="D107" s="224" t="s">
        <v>110</v>
      </c>
      <c r="E107" s="225"/>
      <c r="F107" s="225"/>
      <c r="G107" s="226"/>
    </row>
    <row r="108" spans="2:7" ht="56.25" customHeight="1" x14ac:dyDescent="0.15">
      <c r="B108" s="251"/>
      <c r="C108" s="87" t="s">
        <v>183</v>
      </c>
      <c r="D108" s="220" t="s">
        <v>210</v>
      </c>
      <c r="E108" s="221"/>
      <c r="F108" s="221"/>
      <c r="G108" s="222"/>
    </row>
    <row r="109" spans="2:7" ht="18.75" customHeight="1" x14ac:dyDescent="0.15">
      <c r="B109" s="251"/>
      <c r="C109" s="87"/>
      <c r="D109" s="217"/>
      <c r="E109" s="218"/>
      <c r="F109" s="218"/>
      <c r="G109" s="219"/>
    </row>
    <row r="110" spans="2:7" ht="18.75" customHeight="1" x14ac:dyDescent="0.15">
      <c r="B110" s="251"/>
      <c r="C110" s="87"/>
      <c r="D110" s="217"/>
      <c r="E110" s="218"/>
      <c r="F110" s="218"/>
      <c r="G110" s="219"/>
    </row>
    <row r="111" spans="2:7" ht="18.75" customHeight="1" x14ac:dyDescent="0.15">
      <c r="B111" s="251"/>
      <c r="C111" s="87"/>
      <c r="D111" s="217"/>
      <c r="E111" s="218"/>
      <c r="F111" s="218"/>
      <c r="G111" s="219"/>
    </row>
    <row r="112" spans="2:7" ht="18.75" customHeight="1" x14ac:dyDescent="0.15">
      <c r="B112" s="251"/>
      <c r="C112" s="87"/>
      <c r="D112" s="217"/>
      <c r="E112" s="218"/>
      <c r="F112" s="218"/>
      <c r="G112" s="219"/>
    </row>
    <row r="113" spans="1:7" ht="18.75" customHeight="1" x14ac:dyDescent="0.15">
      <c r="B113" s="251"/>
      <c r="C113" s="87"/>
      <c r="D113" s="217"/>
      <c r="E113" s="218"/>
      <c r="F113" s="218"/>
      <c r="G113" s="219"/>
    </row>
    <row r="114" spans="1:7" ht="18.75" customHeight="1" x14ac:dyDescent="0.15">
      <c r="B114" s="251"/>
      <c r="C114" s="87"/>
      <c r="D114" s="217"/>
      <c r="E114" s="218"/>
      <c r="F114" s="218"/>
      <c r="G114" s="219"/>
    </row>
    <row r="115" spans="1:7" ht="18.75" customHeight="1" x14ac:dyDescent="0.15">
      <c r="B115" s="251"/>
      <c r="C115" s="87"/>
      <c r="D115" s="217"/>
      <c r="E115" s="218"/>
      <c r="F115" s="218"/>
      <c r="G115" s="219"/>
    </row>
    <row r="116" spans="1:7" ht="15" customHeight="1" x14ac:dyDescent="0.15">
      <c r="B116" s="251"/>
      <c r="C116" s="87"/>
      <c r="D116" s="217"/>
      <c r="E116" s="218"/>
      <c r="F116" s="218"/>
      <c r="G116" s="219"/>
    </row>
    <row r="117" spans="1:7" ht="15" customHeight="1" x14ac:dyDescent="0.15">
      <c r="B117" s="251"/>
      <c r="C117" s="87"/>
      <c r="D117" s="217"/>
      <c r="E117" s="218"/>
      <c r="F117" s="218"/>
      <c r="G117" s="219"/>
    </row>
    <row r="118" spans="1:7" ht="15" customHeight="1" x14ac:dyDescent="0.15">
      <c r="B118" s="251"/>
      <c r="C118" s="87"/>
      <c r="D118" s="217"/>
      <c r="E118" s="218"/>
      <c r="F118" s="218"/>
      <c r="G118" s="219"/>
    </row>
    <row r="119" spans="1:7" ht="15" customHeight="1" x14ac:dyDescent="0.15">
      <c r="B119" s="251"/>
      <c r="C119" s="87"/>
      <c r="D119" s="217"/>
      <c r="E119" s="218"/>
      <c r="F119" s="218"/>
      <c r="G119" s="219"/>
    </row>
    <row r="120" spans="1:7" ht="15" customHeight="1" x14ac:dyDescent="0.15">
      <c r="B120" s="251"/>
      <c r="C120" s="87"/>
      <c r="D120" s="217"/>
      <c r="E120" s="218"/>
      <c r="F120" s="218"/>
      <c r="G120" s="219"/>
    </row>
    <row r="121" spans="1:7" ht="15" customHeight="1" x14ac:dyDescent="0.15">
      <c r="B121" s="251"/>
      <c r="C121" s="87"/>
      <c r="D121" s="217"/>
      <c r="E121" s="218"/>
      <c r="F121" s="218"/>
      <c r="G121" s="219"/>
    </row>
    <row r="122" spans="1:7" ht="15" customHeight="1" x14ac:dyDescent="0.15">
      <c r="B122" s="251"/>
      <c r="C122" s="87"/>
      <c r="D122" s="217"/>
      <c r="E122" s="218"/>
      <c r="F122" s="218"/>
      <c r="G122" s="219"/>
    </row>
    <row r="123" spans="1:7" ht="15" customHeight="1" x14ac:dyDescent="0.15">
      <c r="B123" s="251"/>
      <c r="C123" s="87"/>
      <c r="D123" s="217"/>
      <c r="E123" s="218"/>
      <c r="F123" s="218"/>
      <c r="G123" s="219"/>
    </row>
    <row r="124" spans="1:7" ht="15" customHeight="1" x14ac:dyDescent="0.15">
      <c r="B124" s="251"/>
      <c r="C124" s="87"/>
      <c r="D124" s="217"/>
      <c r="E124" s="218"/>
      <c r="F124" s="218"/>
      <c r="G124" s="219"/>
    </row>
    <row r="125" spans="1:7" ht="15" customHeight="1" x14ac:dyDescent="0.15">
      <c r="B125" s="251"/>
      <c r="C125" s="76"/>
      <c r="D125" s="217"/>
      <c r="E125" s="218"/>
      <c r="F125" s="218"/>
      <c r="G125" s="219"/>
    </row>
    <row r="126" spans="1:7" ht="18.75" customHeight="1" x14ac:dyDescent="0.15">
      <c r="A126" s="1" t="s">
        <v>12</v>
      </c>
      <c r="B126" s="1" t="s">
        <v>106</v>
      </c>
    </row>
    <row r="127" spans="1:7" ht="22.5" customHeight="1" x14ac:dyDescent="0.15">
      <c r="B127" s="76" t="s">
        <v>74</v>
      </c>
      <c r="C127" s="224" t="s">
        <v>105</v>
      </c>
      <c r="D127" s="225"/>
      <c r="E127" s="225"/>
      <c r="F127" s="225"/>
      <c r="G127" s="226"/>
    </row>
    <row r="128" spans="1:7" ht="45" customHeight="1" x14ac:dyDescent="0.15">
      <c r="B128" s="77" t="s">
        <v>76</v>
      </c>
      <c r="C128" s="248"/>
      <c r="D128" s="249"/>
      <c r="E128" s="249"/>
      <c r="F128" s="249"/>
      <c r="G128" s="250"/>
    </row>
    <row r="129" spans="1:7" ht="45" customHeight="1" x14ac:dyDescent="0.15">
      <c r="B129" s="77" t="s">
        <v>77</v>
      </c>
      <c r="C129" s="248"/>
      <c r="D129" s="249"/>
      <c r="E129" s="249"/>
      <c r="F129" s="249"/>
      <c r="G129" s="250"/>
    </row>
    <row r="130" spans="1:7" ht="45" customHeight="1" x14ac:dyDescent="0.15">
      <c r="B130" s="77" t="s">
        <v>78</v>
      </c>
      <c r="C130" s="248"/>
      <c r="D130" s="249"/>
      <c r="E130" s="249"/>
      <c r="F130" s="249"/>
      <c r="G130" s="250"/>
    </row>
    <row r="131" spans="1:7" ht="45" customHeight="1" x14ac:dyDescent="0.15">
      <c r="B131" s="77" t="s">
        <v>79</v>
      </c>
      <c r="C131" s="248"/>
      <c r="D131" s="249"/>
      <c r="E131" s="249"/>
      <c r="F131" s="249"/>
      <c r="G131" s="250"/>
    </row>
    <row r="132" spans="1:7" ht="45" customHeight="1" x14ac:dyDescent="0.15">
      <c r="B132" s="77" t="s">
        <v>80</v>
      </c>
      <c r="C132" s="248"/>
      <c r="D132" s="249"/>
      <c r="E132" s="249"/>
      <c r="F132" s="249"/>
      <c r="G132" s="250"/>
    </row>
    <row r="133" spans="1:7" ht="45" customHeight="1" x14ac:dyDescent="0.15">
      <c r="B133" s="77" t="s">
        <v>81</v>
      </c>
      <c r="C133" s="248"/>
      <c r="D133" s="249"/>
      <c r="E133" s="249"/>
      <c r="F133" s="249"/>
      <c r="G133" s="250"/>
    </row>
    <row r="134" spans="1:7" ht="45" customHeight="1" x14ac:dyDescent="0.15">
      <c r="B134" s="77" t="s">
        <v>82</v>
      </c>
      <c r="C134" s="248"/>
      <c r="D134" s="249"/>
      <c r="E134" s="249"/>
      <c r="F134" s="249"/>
      <c r="G134" s="250"/>
    </row>
    <row r="135" spans="1:7" ht="45" customHeight="1" x14ac:dyDescent="0.15">
      <c r="B135" s="77" t="s">
        <v>83</v>
      </c>
      <c r="C135" s="248"/>
      <c r="D135" s="249"/>
      <c r="E135" s="249"/>
      <c r="F135" s="249"/>
      <c r="G135" s="250"/>
    </row>
    <row r="136" spans="1:7" ht="45" customHeight="1" x14ac:dyDescent="0.15">
      <c r="B136" s="77" t="s">
        <v>84</v>
      </c>
      <c r="C136" s="248"/>
      <c r="D136" s="249"/>
      <c r="E136" s="249"/>
      <c r="F136" s="249"/>
      <c r="G136" s="250"/>
    </row>
    <row r="137" spans="1:7" ht="7.5" customHeight="1" x14ac:dyDescent="0.15"/>
    <row r="138" spans="1:7" ht="18.75" customHeight="1" x14ac:dyDescent="0.15">
      <c r="A138" s="1" t="s">
        <v>99</v>
      </c>
      <c r="B138" s="1" t="s">
        <v>100</v>
      </c>
      <c r="E138" s="245" t="s">
        <v>206</v>
      </c>
      <c r="F138" s="246"/>
      <c r="G138" s="247"/>
    </row>
    <row r="139" spans="1:7" ht="7.5" customHeight="1" x14ac:dyDescent="0.15"/>
    <row r="140" spans="1:7" ht="18.75" customHeight="1" x14ac:dyDescent="0.15">
      <c r="A140" s="1" t="s">
        <v>101</v>
      </c>
      <c r="B140" s="1" t="s">
        <v>102</v>
      </c>
    </row>
    <row r="141" spans="1:7" ht="18.75" customHeight="1" x14ac:dyDescent="0.15">
      <c r="B141" s="236" t="s">
        <v>222</v>
      </c>
      <c r="C141" s="237"/>
      <c r="D141" s="237"/>
      <c r="E141" s="237"/>
      <c r="F141" s="237"/>
      <c r="G141" s="238"/>
    </row>
    <row r="142" spans="1:7" ht="18.75" customHeight="1" x14ac:dyDescent="0.15">
      <c r="B142" s="239"/>
      <c r="C142" s="240"/>
      <c r="D142" s="240"/>
      <c r="E142" s="240"/>
      <c r="F142" s="240"/>
      <c r="G142" s="241"/>
    </row>
    <row r="143" spans="1:7" ht="18.75" customHeight="1" x14ac:dyDescent="0.15">
      <c r="B143" s="239"/>
      <c r="C143" s="240"/>
      <c r="D143" s="240"/>
      <c r="E143" s="240"/>
      <c r="F143" s="240"/>
      <c r="G143" s="241"/>
    </row>
    <row r="144" spans="1:7" ht="18.75" customHeight="1" x14ac:dyDescent="0.15">
      <c r="B144" s="242"/>
      <c r="C144" s="243"/>
      <c r="D144" s="243"/>
      <c r="E144" s="243"/>
      <c r="F144" s="243"/>
      <c r="G144" s="244"/>
    </row>
    <row r="145" ht="18.75" customHeight="1" x14ac:dyDescent="0.15"/>
    <row r="146" ht="18.75" customHeight="1" x14ac:dyDescent="0.15"/>
    <row r="147" ht="18.75" customHeight="1" x14ac:dyDescent="0.15"/>
    <row r="148" ht="18.75" customHeight="1" x14ac:dyDescent="0.15"/>
    <row r="149" ht="18.75" customHeight="1" x14ac:dyDescent="0.15"/>
    <row r="150" ht="18.75" customHeight="1" x14ac:dyDescent="0.15"/>
  </sheetData>
  <mergeCells count="120">
    <mergeCell ref="D10:G10"/>
    <mergeCell ref="D11:G11"/>
    <mergeCell ref="D12:G12"/>
    <mergeCell ref="D13:G13"/>
    <mergeCell ref="D14:G14"/>
    <mergeCell ref="D25:G25"/>
    <mergeCell ref="D24:G24"/>
    <mergeCell ref="D17:G17"/>
    <mergeCell ref="D18:G18"/>
    <mergeCell ref="D15:G15"/>
    <mergeCell ref="D16:G16"/>
    <mergeCell ref="D22:G22"/>
    <mergeCell ref="D23:G23"/>
    <mergeCell ref="D19:G19"/>
    <mergeCell ref="D20:G20"/>
    <mergeCell ref="D21:G21"/>
    <mergeCell ref="B51:B75"/>
    <mergeCell ref="C51:G51"/>
    <mergeCell ref="C52:G56"/>
    <mergeCell ref="B76:B100"/>
    <mergeCell ref="C76:G76"/>
    <mergeCell ref="C77:G81"/>
    <mergeCell ref="D82:G82"/>
    <mergeCell ref="D100:G100"/>
    <mergeCell ref="B101:B125"/>
    <mergeCell ref="C101:G101"/>
    <mergeCell ref="C102:G106"/>
    <mergeCell ref="D107:G107"/>
    <mergeCell ref="D125:G125"/>
    <mergeCell ref="D57:G57"/>
    <mergeCell ref="D74:G74"/>
    <mergeCell ref="D75:G75"/>
    <mergeCell ref="D70:G70"/>
    <mergeCell ref="D71:G71"/>
    <mergeCell ref="D66:G66"/>
    <mergeCell ref="D67:G67"/>
    <mergeCell ref="D68:G68"/>
    <mergeCell ref="D69:G69"/>
    <mergeCell ref="D58:G58"/>
    <mergeCell ref="D59:G59"/>
    <mergeCell ref="B26:B50"/>
    <mergeCell ref="C26:G26"/>
    <mergeCell ref="C27:G31"/>
    <mergeCell ref="D32:G32"/>
    <mergeCell ref="D33:G33"/>
    <mergeCell ref="D42:G42"/>
    <mergeCell ref="D43:G43"/>
    <mergeCell ref="D44:G44"/>
    <mergeCell ref="D45:G45"/>
    <mergeCell ref="D46:G46"/>
    <mergeCell ref="D47:G47"/>
    <mergeCell ref="D48:G48"/>
    <mergeCell ref="D49:G49"/>
    <mergeCell ref="D50:G50"/>
    <mergeCell ref="A3:G3"/>
    <mergeCell ref="C5:G5"/>
    <mergeCell ref="C6:G9"/>
    <mergeCell ref="B141:G144"/>
    <mergeCell ref="E138:G138"/>
    <mergeCell ref="C127:G127"/>
    <mergeCell ref="C133:G133"/>
    <mergeCell ref="C134:G134"/>
    <mergeCell ref="C135:G135"/>
    <mergeCell ref="C136:G136"/>
    <mergeCell ref="C128:G128"/>
    <mergeCell ref="B6:B25"/>
    <mergeCell ref="C129:G129"/>
    <mergeCell ref="C130:G130"/>
    <mergeCell ref="C131:G131"/>
    <mergeCell ref="C132:G132"/>
    <mergeCell ref="D34:G34"/>
    <mergeCell ref="D35:G35"/>
    <mergeCell ref="D36:G36"/>
    <mergeCell ref="D37:G37"/>
    <mergeCell ref="D38:G38"/>
    <mergeCell ref="D39:G39"/>
    <mergeCell ref="D40:G40"/>
    <mergeCell ref="D41:G41"/>
    <mergeCell ref="D60:G60"/>
    <mergeCell ref="D61:G61"/>
    <mergeCell ref="D62:G62"/>
    <mergeCell ref="D63:G63"/>
    <mergeCell ref="D64:G64"/>
    <mergeCell ref="D65:G65"/>
    <mergeCell ref="D73:G73"/>
    <mergeCell ref="D72:G72"/>
    <mergeCell ref="D99:G99"/>
    <mergeCell ref="D95:G95"/>
    <mergeCell ref="D96:G96"/>
    <mergeCell ref="D91:G91"/>
    <mergeCell ref="D92:G92"/>
    <mergeCell ref="D93:G93"/>
    <mergeCell ref="D94:G94"/>
    <mergeCell ref="D83:G83"/>
    <mergeCell ref="D84:G84"/>
    <mergeCell ref="D85:G85"/>
    <mergeCell ref="D86:G86"/>
    <mergeCell ref="D87:G87"/>
    <mergeCell ref="D88:G88"/>
    <mergeCell ref="D89:G89"/>
    <mergeCell ref="D90:G90"/>
    <mergeCell ref="D98:G98"/>
    <mergeCell ref="D97:G97"/>
    <mergeCell ref="D124:G124"/>
    <mergeCell ref="D120:G120"/>
    <mergeCell ref="D123:G123"/>
    <mergeCell ref="D116:G116"/>
    <mergeCell ref="D117:G117"/>
    <mergeCell ref="D118:G118"/>
    <mergeCell ref="D119:G119"/>
    <mergeCell ref="D108:G108"/>
    <mergeCell ref="D109:G109"/>
    <mergeCell ref="D110:G110"/>
    <mergeCell ref="D111:G111"/>
    <mergeCell ref="D112:G112"/>
    <mergeCell ref="D113:G113"/>
    <mergeCell ref="D114:G114"/>
    <mergeCell ref="D115:G115"/>
    <mergeCell ref="D121:G121"/>
    <mergeCell ref="D122:G122"/>
  </mergeCells>
  <phoneticPr fontId="1"/>
  <hyperlinks>
    <hyperlink ref="E138" r:id="rId1"/>
  </hyperlinks>
  <printOptions horizontalCentered="1"/>
  <pageMargins left="0.78740157480314965" right="0.78740157480314965" top="0.59055118110236227" bottom="0.39370078740157483" header="0.31496062992125984" footer="0.31496062992125984"/>
  <pageSetup paperSize="9" orientation="landscape"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0"/>
  <sheetViews>
    <sheetView workbookViewId="0"/>
  </sheetViews>
  <sheetFormatPr defaultRowHeight="14.25" x14ac:dyDescent="0.15"/>
  <cols>
    <col min="1" max="1" width="2.5" style="1" customWidth="1"/>
    <col min="2" max="2" width="19" style="1" customWidth="1"/>
    <col min="3" max="3" width="25" style="1" customWidth="1"/>
    <col min="4" max="4" width="10" style="1" customWidth="1"/>
    <col min="5" max="7" width="25" style="1" customWidth="1"/>
    <col min="8" max="16384" width="9" style="1"/>
  </cols>
  <sheetData>
    <row r="1" spans="1:7" ht="18.75" customHeight="1" x14ac:dyDescent="0.15">
      <c r="G1" s="129" t="s">
        <v>157</v>
      </c>
    </row>
    <row r="2" spans="1:7" ht="18.75" customHeight="1" x14ac:dyDescent="0.15">
      <c r="F2" s="129" t="s">
        <v>32</v>
      </c>
      <c r="G2" s="1" t="s">
        <v>155</v>
      </c>
    </row>
    <row r="3" spans="1:7" ht="18.75" customHeight="1" x14ac:dyDescent="0.15">
      <c r="A3" s="223" t="s">
        <v>96</v>
      </c>
      <c r="B3" s="223"/>
      <c r="C3" s="223"/>
      <c r="D3" s="223"/>
      <c r="E3" s="223"/>
      <c r="F3" s="223"/>
      <c r="G3" s="223"/>
    </row>
    <row r="4" spans="1:7" ht="18.75" customHeight="1" x14ac:dyDescent="0.15">
      <c r="A4" s="1" t="s">
        <v>7</v>
      </c>
      <c r="B4" s="1" t="s">
        <v>95</v>
      </c>
    </row>
    <row r="5" spans="1:7" s="130" customFormat="1" ht="18.75" customHeight="1" x14ac:dyDescent="0.15">
      <c r="B5" s="131" t="s">
        <v>74</v>
      </c>
      <c r="C5" s="224" t="s">
        <v>108</v>
      </c>
      <c r="D5" s="225"/>
      <c r="E5" s="225"/>
      <c r="F5" s="225"/>
      <c r="G5" s="226"/>
    </row>
    <row r="6" spans="1:7" s="130" customFormat="1" ht="45" customHeight="1" x14ac:dyDescent="0.15">
      <c r="B6" s="251" t="s">
        <v>111</v>
      </c>
      <c r="C6" s="287" t="s">
        <v>243</v>
      </c>
      <c r="D6" s="288"/>
      <c r="E6" s="288"/>
      <c r="F6" s="288"/>
      <c r="G6" s="289"/>
    </row>
    <row r="7" spans="1:7" s="130" customFormat="1" ht="45" customHeight="1" x14ac:dyDescent="0.15">
      <c r="B7" s="251"/>
      <c r="C7" s="290"/>
      <c r="D7" s="291"/>
      <c r="E7" s="291"/>
      <c r="F7" s="291"/>
      <c r="G7" s="292"/>
    </row>
    <row r="8" spans="1:7" s="130" customFormat="1" ht="45" customHeight="1" x14ac:dyDescent="0.15">
      <c r="B8" s="251"/>
      <c r="C8" s="290"/>
      <c r="D8" s="291"/>
      <c r="E8" s="291"/>
      <c r="F8" s="291"/>
      <c r="G8" s="292"/>
    </row>
    <row r="9" spans="1:7" s="130" customFormat="1" ht="45" customHeight="1" x14ac:dyDescent="0.15">
      <c r="B9" s="251"/>
      <c r="C9" s="293"/>
      <c r="D9" s="294"/>
      <c r="E9" s="294"/>
      <c r="F9" s="294"/>
      <c r="G9" s="295"/>
    </row>
    <row r="10" spans="1:7" s="130" customFormat="1" ht="18.75" customHeight="1" x14ac:dyDescent="0.15">
      <c r="B10" s="251"/>
      <c r="C10" s="74" t="s">
        <v>109</v>
      </c>
      <c r="D10" s="261" t="s">
        <v>110</v>
      </c>
      <c r="E10" s="262"/>
      <c r="F10" s="262"/>
      <c r="G10" s="263"/>
    </row>
    <row r="11" spans="1:7" s="130" customFormat="1" ht="56.25" customHeight="1" x14ac:dyDescent="0.15">
      <c r="B11" s="251"/>
      <c r="C11" s="132" t="s">
        <v>173</v>
      </c>
      <c r="D11" s="264" t="s">
        <v>193</v>
      </c>
      <c r="E11" s="265"/>
      <c r="F11" s="265"/>
      <c r="G11" s="266"/>
    </row>
    <row r="12" spans="1:7" s="130" customFormat="1" ht="18.75" customHeight="1" x14ac:dyDescent="0.15">
      <c r="B12" s="251"/>
      <c r="C12" s="126"/>
      <c r="D12" s="267"/>
      <c r="E12" s="268"/>
      <c r="F12" s="268"/>
      <c r="G12" s="269"/>
    </row>
    <row r="13" spans="1:7" s="130" customFormat="1" ht="18.75" customHeight="1" x14ac:dyDescent="0.15">
      <c r="B13" s="251"/>
      <c r="C13" s="126"/>
      <c r="D13" s="267"/>
      <c r="E13" s="268"/>
      <c r="F13" s="268"/>
      <c r="G13" s="269"/>
    </row>
    <row r="14" spans="1:7" s="130" customFormat="1" ht="18.75" customHeight="1" x14ac:dyDescent="0.15">
      <c r="B14" s="251"/>
      <c r="C14" s="126"/>
      <c r="D14" s="267"/>
      <c r="E14" s="268"/>
      <c r="F14" s="268"/>
      <c r="G14" s="269"/>
    </row>
    <row r="15" spans="1:7" s="130" customFormat="1" ht="18.75" customHeight="1" x14ac:dyDescent="0.15">
      <c r="B15" s="251"/>
      <c r="C15" s="131"/>
      <c r="D15" s="296"/>
      <c r="E15" s="297"/>
      <c r="F15" s="297"/>
      <c r="G15" s="298"/>
    </row>
    <row r="16" spans="1:7" s="130" customFormat="1" ht="15" customHeight="1" x14ac:dyDescent="0.15">
      <c r="B16" s="251"/>
      <c r="C16" s="131"/>
      <c r="D16" s="224"/>
      <c r="E16" s="225"/>
      <c r="F16" s="225"/>
      <c r="G16" s="226"/>
    </row>
    <row r="17" spans="2:7" s="130" customFormat="1" ht="15" customHeight="1" x14ac:dyDescent="0.15">
      <c r="B17" s="251"/>
      <c r="C17" s="131"/>
      <c r="D17" s="224"/>
      <c r="E17" s="225"/>
      <c r="F17" s="225"/>
      <c r="G17" s="226"/>
    </row>
    <row r="18" spans="2:7" s="130" customFormat="1" ht="15" customHeight="1" x14ac:dyDescent="0.15">
      <c r="B18" s="251"/>
      <c r="C18" s="131"/>
      <c r="D18" s="224"/>
      <c r="E18" s="225"/>
      <c r="F18" s="225"/>
      <c r="G18" s="226"/>
    </row>
    <row r="19" spans="2:7" s="130" customFormat="1" ht="15" customHeight="1" x14ac:dyDescent="0.15">
      <c r="B19" s="251"/>
      <c r="C19" s="131"/>
      <c r="D19" s="224"/>
      <c r="E19" s="225"/>
      <c r="F19" s="225"/>
      <c r="G19" s="226"/>
    </row>
    <row r="20" spans="2:7" s="130" customFormat="1" ht="15" customHeight="1" x14ac:dyDescent="0.15">
      <c r="B20" s="251"/>
      <c r="C20" s="131"/>
      <c r="D20" s="224"/>
      <c r="E20" s="225"/>
      <c r="F20" s="225"/>
      <c r="G20" s="226"/>
    </row>
    <row r="21" spans="2:7" s="130" customFormat="1" ht="15" customHeight="1" x14ac:dyDescent="0.15">
      <c r="B21" s="251"/>
      <c r="C21" s="131"/>
      <c r="D21" s="224"/>
      <c r="E21" s="225"/>
      <c r="F21" s="225"/>
      <c r="G21" s="226"/>
    </row>
    <row r="22" spans="2:7" s="130" customFormat="1" ht="15" customHeight="1" x14ac:dyDescent="0.15">
      <c r="B22" s="251"/>
      <c r="C22" s="131"/>
      <c r="D22" s="224"/>
      <c r="E22" s="225"/>
      <c r="F22" s="225"/>
      <c r="G22" s="226"/>
    </row>
    <row r="23" spans="2:7" s="130" customFormat="1" ht="15" customHeight="1" x14ac:dyDescent="0.15">
      <c r="B23" s="251"/>
      <c r="C23" s="131"/>
      <c r="D23" s="224"/>
      <c r="E23" s="225"/>
      <c r="F23" s="225"/>
      <c r="G23" s="226"/>
    </row>
    <row r="24" spans="2:7" s="130" customFormat="1" ht="15" customHeight="1" x14ac:dyDescent="0.15">
      <c r="B24" s="251"/>
      <c r="C24" s="131"/>
      <c r="D24" s="224"/>
      <c r="E24" s="225"/>
      <c r="F24" s="225"/>
      <c r="G24" s="226"/>
    </row>
    <row r="25" spans="2:7" s="130" customFormat="1" ht="15" customHeight="1" x14ac:dyDescent="0.15">
      <c r="B25" s="251"/>
      <c r="C25" s="131"/>
      <c r="D25" s="224"/>
      <c r="E25" s="225"/>
      <c r="F25" s="225"/>
      <c r="G25" s="226"/>
    </row>
    <row r="26" spans="2:7" ht="18.75" customHeight="1" x14ac:dyDescent="0.15">
      <c r="B26" s="251" t="s">
        <v>112</v>
      </c>
      <c r="C26" s="224" t="s">
        <v>108</v>
      </c>
      <c r="D26" s="225"/>
      <c r="E26" s="225"/>
      <c r="F26" s="225"/>
      <c r="G26" s="226"/>
    </row>
    <row r="27" spans="2:7" ht="37.5" customHeight="1" x14ac:dyDescent="0.15">
      <c r="B27" s="251"/>
      <c r="C27" s="270" t="s">
        <v>244</v>
      </c>
      <c r="D27" s="271"/>
      <c r="E27" s="271"/>
      <c r="F27" s="271"/>
      <c r="G27" s="272"/>
    </row>
    <row r="28" spans="2:7" ht="37.5" customHeight="1" x14ac:dyDescent="0.15">
      <c r="B28" s="251"/>
      <c r="C28" s="273"/>
      <c r="D28" s="274"/>
      <c r="E28" s="274"/>
      <c r="F28" s="274"/>
      <c r="G28" s="275"/>
    </row>
    <row r="29" spans="2:7" ht="37.5" customHeight="1" x14ac:dyDescent="0.15">
      <c r="B29" s="251"/>
      <c r="C29" s="273"/>
      <c r="D29" s="274"/>
      <c r="E29" s="274"/>
      <c r="F29" s="274"/>
      <c r="G29" s="275"/>
    </row>
    <row r="30" spans="2:7" ht="37.5" customHeight="1" x14ac:dyDescent="0.15">
      <c r="B30" s="251"/>
      <c r="C30" s="273"/>
      <c r="D30" s="274"/>
      <c r="E30" s="274"/>
      <c r="F30" s="274"/>
      <c r="G30" s="275"/>
    </row>
    <row r="31" spans="2:7" ht="37.5" customHeight="1" x14ac:dyDescent="0.15">
      <c r="B31" s="251"/>
      <c r="C31" s="276"/>
      <c r="D31" s="277"/>
      <c r="E31" s="277"/>
      <c r="F31" s="277"/>
      <c r="G31" s="278"/>
    </row>
    <row r="32" spans="2:7" ht="18.75" customHeight="1" x14ac:dyDescent="0.15">
      <c r="B32" s="251"/>
      <c r="C32" s="74" t="s">
        <v>109</v>
      </c>
      <c r="D32" s="224" t="s">
        <v>110</v>
      </c>
      <c r="E32" s="225"/>
      <c r="F32" s="225"/>
      <c r="G32" s="226"/>
    </row>
    <row r="33" spans="2:7" ht="56.25" customHeight="1" x14ac:dyDescent="0.15">
      <c r="B33" s="251"/>
      <c r="C33" s="131" t="s">
        <v>173</v>
      </c>
      <c r="D33" s="220" t="s">
        <v>253</v>
      </c>
      <c r="E33" s="221"/>
      <c r="F33" s="221"/>
      <c r="G33" s="222"/>
    </row>
    <row r="34" spans="2:7" ht="18.75" customHeight="1" x14ac:dyDescent="0.15">
      <c r="B34" s="251"/>
      <c r="C34" s="131"/>
      <c r="D34" s="217"/>
      <c r="E34" s="218"/>
      <c r="F34" s="218"/>
      <c r="G34" s="219"/>
    </row>
    <row r="35" spans="2:7" ht="18.75" customHeight="1" x14ac:dyDescent="0.15">
      <c r="B35" s="251"/>
      <c r="C35" s="131"/>
      <c r="D35" s="217"/>
      <c r="E35" s="218"/>
      <c r="F35" s="218"/>
      <c r="G35" s="219"/>
    </row>
    <row r="36" spans="2:7" ht="18.75" customHeight="1" x14ac:dyDescent="0.15">
      <c r="B36" s="251"/>
      <c r="C36" s="131"/>
      <c r="D36" s="217"/>
      <c r="E36" s="218"/>
      <c r="F36" s="218"/>
      <c r="G36" s="219"/>
    </row>
    <row r="37" spans="2:7" ht="18.75" customHeight="1" x14ac:dyDescent="0.15">
      <c r="B37" s="251"/>
      <c r="C37" s="131"/>
      <c r="D37" s="217"/>
      <c r="E37" s="218"/>
      <c r="F37" s="218"/>
      <c r="G37" s="219"/>
    </row>
    <row r="38" spans="2:7" ht="18.75" customHeight="1" x14ac:dyDescent="0.15">
      <c r="B38" s="251"/>
      <c r="C38" s="131"/>
      <c r="D38" s="217"/>
      <c r="E38" s="218"/>
      <c r="F38" s="218"/>
      <c r="G38" s="219"/>
    </row>
    <row r="39" spans="2:7" ht="18.75" customHeight="1" x14ac:dyDescent="0.15">
      <c r="B39" s="251"/>
      <c r="C39" s="131"/>
      <c r="D39" s="217"/>
      <c r="E39" s="218"/>
      <c r="F39" s="218"/>
      <c r="G39" s="219"/>
    </row>
    <row r="40" spans="2:7" ht="18.75" customHeight="1" x14ac:dyDescent="0.15">
      <c r="B40" s="251"/>
      <c r="C40" s="131"/>
      <c r="D40" s="217"/>
      <c r="E40" s="218"/>
      <c r="F40" s="218"/>
      <c r="G40" s="219"/>
    </row>
    <row r="41" spans="2:7" ht="15" customHeight="1" x14ac:dyDescent="0.15">
      <c r="B41" s="251"/>
      <c r="C41" s="131"/>
      <c r="D41" s="217"/>
      <c r="E41" s="218"/>
      <c r="F41" s="218"/>
      <c r="G41" s="219"/>
    </row>
    <row r="42" spans="2:7" ht="15" customHeight="1" x14ac:dyDescent="0.15">
      <c r="B42" s="251"/>
      <c r="C42" s="131"/>
      <c r="D42" s="217"/>
      <c r="E42" s="218"/>
      <c r="F42" s="218"/>
      <c r="G42" s="219"/>
    </row>
    <row r="43" spans="2:7" ht="15" customHeight="1" x14ac:dyDescent="0.15">
      <c r="B43" s="251"/>
      <c r="C43" s="131"/>
      <c r="D43" s="217"/>
      <c r="E43" s="218"/>
      <c r="F43" s="218"/>
      <c r="G43" s="219"/>
    </row>
    <row r="44" spans="2:7" ht="15" customHeight="1" x14ac:dyDescent="0.15">
      <c r="B44" s="251"/>
      <c r="C44" s="131"/>
      <c r="D44" s="217"/>
      <c r="E44" s="218"/>
      <c r="F44" s="218"/>
      <c r="G44" s="219"/>
    </row>
    <row r="45" spans="2:7" ht="15" customHeight="1" x14ac:dyDescent="0.15">
      <c r="B45" s="251"/>
      <c r="C45" s="131"/>
      <c r="D45" s="217"/>
      <c r="E45" s="218"/>
      <c r="F45" s="218"/>
      <c r="G45" s="219"/>
    </row>
    <row r="46" spans="2:7" ht="15" customHeight="1" x14ac:dyDescent="0.15">
      <c r="B46" s="251"/>
      <c r="C46" s="131"/>
      <c r="D46" s="217"/>
      <c r="E46" s="218"/>
      <c r="F46" s="218"/>
      <c r="G46" s="219"/>
    </row>
    <row r="47" spans="2:7" ht="15" customHeight="1" x14ac:dyDescent="0.15">
      <c r="B47" s="251"/>
      <c r="C47" s="131"/>
      <c r="D47" s="217"/>
      <c r="E47" s="218"/>
      <c r="F47" s="218"/>
      <c r="G47" s="219"/>
    </row>
    <row r="48" spans="2:7" ht="15" customHeight="1" x14ac:dyDescent="0.15">
      <c r="B48" s="251"/>
      <c r="C48" s="131"/>
      <c r="D48" s="217"/>
      <c r="E48" s="218"/>
      <c r="F48" s="218"/>
      <c r="G48" s="219"/>
    </row>
    <row r="49" spans="2:7" ht="15" customHeight="1" x14ac:dyDescent="0.15">
      <c r="B49" s="251"/>
      <c r="C49" s="131"/>
      <c r="D49" s="217"/>
      <c r="E49" s="218"/>
      <c r="F49" s="218"/>
      <c r="G49" s="219"/>
    </row>
    <row r="50" spans="2:7" ht="15" customHeight="1" x14ac:dyDescent="0.15">
      <c r="B50" s="251"/>
      <c r="C50" s="131"/>
      <c r="D50" s="217"/>
      <c r="E50" s="218"/>
      <c r="F50" s="218"/>
      <c r="G50" s="219"/>
    </row>
    <row r="51" spans="2:7" ht="18.75" customHeight="1" x14ac:dyDescent="0.15">
      <c r="B51" s="251" t="s">
        <v>114</v>
      </c>
      <c r="C51" s="224" t="s">
        <v>108</v>
      </c>
      <c r="D51" s="225"/>
      <c r="E51" s="225"/>
      <c r="F51" s="225"/>
      <c r="G51" s="226"/>
    </row>
    <row r="52" spans="2:7" ht="37.5" customHeight="1" x14ac:dyDescent="0.15">
      <c r="B52" s="251"/>
      <c r="C52" s="270" t="s">
        <v>245</v>
      </c>
      <c r="D52" s="271"/>
      <c r="E52" s="271"/>
      <c r="F52" s="271"/>
      <c r="G52" s="272"/>
    </row>
    <row r="53" spans="2:7" ht="37.5" customHeight="1" x14ac:dyDescent="0.15">
      <c r="B53" s="251"/>
      <c r="C53" s="273"/>
      <c r="D53" s="274"/>
      <c r="E53" s="274"/>
      <c r="F53" s="274"/>
      <c r="G53" s="275"/>
    </row>
    <row r="54" spans="2:7" ht="37.5" customHeight="1" x14ac:dyDescent="0.15">
      <c r="B54" s="251"/>
      <c r="C54" s="273"/>
      <c r="D54" s="274"/>
      <c r="E54" s="274"/>
      <c r="F54" s="274"/>
      <c r="G54" s="275"/>
    </row>
    <row r="55" spans="2:7" ht="37.5" customHeight="1" x14ac:dyDescent="0.15">
      <c r="B55" s="251"/>
      <c r="C55" s="273"/>
      <c r="D55" s="274"/>
      <c r="E55" s="274"/>
      <c r="F55" s="274"/>
      <c r="G55" s="275"/>
    </row>
    <row r="56" spans="2:7" ht="37.5" customHeight="1" x14ac:dyDescent="0.15">
      <c r="B56" s="251"/>
      <c r="C56" s="276"/>
      <c r="D56" s="277"/>
      <c r="E56" s="277"/>
      <c r="F56" s="277"/>
      <c r="G56" s="278"/>
    </row>
    <row r="57" spans="2:7" ht="18.75" customHeight="1" x14ac:dyDescent="0.15">
      <c r="B57" s="251"/>
      <c r="C57" s="74" t="s">
        <v>109</v>
      </c>
      <c r="D57" s="224" t="s">
        <v>110</v>
      </c>
      <c r="E57" s="225"/>
      <c r="F57" s="225"/>
      <c r="G57" s="226"/>
    </row>
    <row r="58" spans="2:7" ht="75" customHeight="1" x14ac:dyDescent="0.15">
      <c r="B58" s="251"/>
      <c r="C58" s="131" t="s">
        <v>173</v>
      </c>
      <c r="D58" s="220" t="s">
        <v>189</v>
      </c>
      <c r="E58" s="221"/>
      <c r="F58" s="221"/>
      <c r="G58" s="222"/>
    </row>
    <row r="59" spans="2:7" ht="18.75" customHeight="1" x14ac:dyDescent="0.15">
      <c r="B59" s="251"/>
      <c r="C59" s="131"/>
      <c r="D59" s="217"/>
      <c r="E59" s="218"/>
      <c r="F59" s="218"/>
      <c r="G59" s="219"/>
    </row>
    <row r="60" spans="2:7" ht="18.75" customHeight="1" x14ac:dyDescent="0.15">
      <c r="B60" s="251"/>
      <c r="C60" s="131"/>
      <c r="D60" s="217"/>
      <c r="E60" s="218"/>
      <c r="F60" s="218"/>
      <c r="G60" s="219"/>
    </row>
    <row r="61" spans="2:7" ht="15" customHeight="1" x14ac:dyDescent="0.15">
      <c r="B61" s="251"/>
      <c r="C61" s="131"/>
      <c r="D61" s="217"/>
      <c r="E61" s="218"/>
      <c r="F61" s="218"/>
      <c r="G61" s="219"/>
    </row>
    <row r="62" spans="2:7" ht="15" customHeight="1" x14ac:dyDescent="0.15">
      <c r="B62" s="251"/>
      <c r="C62" s="131"/>
      <c r="D62" s="217"/>
      <c r="E62" s="218"/>
      <c r="F62" s="218"/>
      <c r="G62" s="219"/>
    </row>
    <row r="63" spans="2:7" ht="15" customHeight="1" x14ac:dyDescent="0.15">
      <c r="B63" s="251"/>
      <c r="C63" s="131"/>
      <c r="D63" s="217"/>
      <c r="E63" s="218"/>
      <c r="F63" s="218"/>
      <c r="G63" s="219"/>
    </row>
    <row r="64" spans="2:7" ht="15" customHeight="1" x14ac:dyDescent="0.15">
      <c r="B64" s="251"/>
      <c r="C64" s="131"/>
      <c r="D64" s="217"/>
      <c r="E64" s="218"/>
      <c r="F64" s="218"/>
      <c r="G64" s="219"/>
    </row>
    <row r="65" spans="2:7" ht="15" customHeight="1" x14ac:dyDescent="0.15">
      <c r="B65" s="251"/>
      <c r="C65" s="131"/>
      <c r="D65" s="217"/>
      <c r="E65" s="218"/>
      <c r="F65" s="218"/>
      <c r="G65" s="219"/>
    </row>
    <row r="66" spans="2:7" ht="15" customHeight="1" x14ac:dyDescent="0.15">
      <c r="B66" s="251"/>
      <c r="C66" s="131"/>
      <c r="D66" s="217"/>
      <c r="E66" s="218"/>
      <c r="F66" s="218"/>
      <c r="G66" s="219"/>
    </row>
    <row r="67" spans="2:7" ht="15" customHeight="1" x14ac:dyDescent="0.15">
      <c r="B67" s="251"/>
      <c r="C67" s="131"/>
      <c r="D67" s="217"/>
      <c r="E67" s="218"/>
      <c r="F67" s="218"/>
      <c r="G67" s="219"/>
    </row>
    <row r="68" spans="2:7" ht="15" customHeight="1" x14ac:dyDescent="0.15">
      <c r="B68" s="251"/>
      <c r="C68" s="131"/>
      <c r="D68" s="217"/>
      <c r="E68" s="218"/>
      <c r="F68" s="218"/>
      <c r="G68" s="219"/>
    </row>
    <row r="69" spans="2:7" ht="15" customHeight="1" x14ac:dyDescent="0.15">
      <c r="B69" s="251"/>
      <c r="C69" s="131"/>
      <c r="D69" s="217"/>
      <c r="E69" s="218"/>
      <c r="F69" s="218"/>
      <c r="G69" s="219"/>
    </row>
    <row r="70" spans="2:7" ht="15" customHeight="1" x14ac:dyDescent="0.15">
      <c r="B70" s="251"/>
      <c r="C70" s="131"/>
      <c r="D70" s="217"/>
      <c r="E70" s="218"/>
      <c r="F70" s="218"/>
      <c r="G70" s="219"/>
    </row>
    <row r="71" spans="2:7" ht="15" customHeight="1" x14ac:dyDescent="0.15">
      <c r="B71" s="251"/>
      <c r="C71" s="131"/>
      <c r="D71" s="217"/>
      <c r="E71" s="218"/>
      <c r="F71" s="218"/>
      <c r="G71" s="219"/>
    </row>
    <row r="72" spans="2:7" ht="15" customHeight="1" x14ac:dyDescent="0.15">
      <c r="B72" s="251"/>
      <c r="C72" s="131"/>
      <c r="D72" s="217"/>
      <c r="E72" s="218"/>
      <c r="F72" s="218"/>
      <c r="G72" s="219"/>
    </row>
    <row r="73" spans="2:7" ht="15" customHeight="1" x14ac:dyDescent="0.15">
      <c r="B73" s="251"/>
      <c r="C73" s="131"/>
      <c r="D73" s="217"/>
      <c r="E73" s="218"/>
      <c r="F73" s="218"/>
      <c r="G73" s="219"/>
    </row>
    <row r="74" spans="2:7" ht="15" customHeight="1" x14ac:dyDescent="0.15">
      <c r="B74" s="251"/>
      <c r="C74" s="131"/>
      <c r="D74" s="217"/>
      <c r="E74" s="218"/>
      <c r="F74" s="218"/>
      <c r="G74" s="219"/>
    </row>
    <row r="75" spans="2:7" ht="15" customHeight="1" x14ac:dyDescent="0.15">
      <c r="B75" s="251"/>
      <c r="C75" s="131"/>
      <c r="D75" s="217"/>
      <c r="E75" s="218"/>
      <c r="F75" s="218"/>
      <c r="G75" s="219"/>
    </row>
    <row r="76" spans="2:7" ht="18.75" customHeight="1" x14ac:dyDescent="0.15">
      <c r="B76" s="251" t="s">
        <v>113</v>
      </c>
      <c r="C76" s="224" t="s">
        <v>108</v>
      </c>
      <c r="D76" s="225"/>
      <c r="E76" s="225"/>
      <c r="F76" s="225"/>
      <c r="G76" s="226"/>
    </row>
    <row r="77" spans="2:7" ht="37.5" customHeight="1" x14ac:dyDescent="0.15">
      <c r="B77" s="251"/>
      <c r="C77" s="270" t="s">
        <v>246</v>
      </c>
      <c r="D77" s="279"/>
      <c r="E77" s="279"/>
      <c r="F77" s="279"/>
      <c r="G77" s="280"/>
    </row>
    <row r="78" spans="2:7" ht="37.5" customHeight="1" x14ac:dyDescent="0.15">
      <c r="B78" s="251"/>
      <c r="C78" s="281"/>
      <c r="D78" s="282"/>
      <c r="E78" s="282"/>
      <c r="F78" s="282"/>
      <c r="G78" s="283"/>
    </row>
    <row r="79" spans="2:7" ht="37.5" customHeight="1" x14ac:dyDescent="0.15">
      <c r="B79" s="251"/>
      <c r="C79" s="281"/>
      <c r="D79" s="282"/>
      <c r="E79" s="282"/>
      <c r="F79" s="282"/>
      <c r="G79" s="283"/>
    </row>
    <row r="80" spans="2:7" ht="37.5" customHeight="1" x14ac:dyDescent="0.15">
      <c r="B80" s="251"/>
      <c r="C80" s="281"/>
      <c r="D80" s="282"/>
      <c r="E80" s="282"/>
      <c r="F80" s="282"/>
      <c r="G80" s="283"/>
    </row>
    <row r="81" spans="2:7" ht="37.5" customHeight="1" x14ac:dyDescent="0.15">
      <c r="B81" s="251"/>
      <c r="C81" s="284"/>
      <c r="D81" s="285"/>
      <c r="E81" s="285"/>
      <c r="F81" s="285"/>
      <c r="G81" s="286"/>
    </row>
    <row r="82" spans="2:7" ht="18.75" customHeight="1" x14ac:dyDescent="0.15">
      <c r="B82" s="251"/>
      <c r="C82" s="74" t="s">
        <v>109</v>
      </c>
      <c r="D82" s="224" t="s">
        <v>110</v>
      </c>
      <c r="E82" s="225"/>
      <c r="F82" s="225"/>
      <c r="G82" s="226"/>
    </row>
    <row r="83" spans="2:7" ht="56.25" customHeight="1" x14ac:dyDescent="0.15">
      <c r="B83" s="251"/>
      <c r="C83" s="131" t="s">
        <v>173</v>
      </c>
      <c r="D83" s="220" t="s">
        <v>190</v>
      </c>
      <c r="E83" s="221"/>
      <c r="F83" s="221"/>
      <c r="G83" s="222"/>
    </row>
    <row r="84" spans="2:7" ht="37.5" customHeight="1" x14ac:dyDescent="0.15">
      <c r="B84" s="251"/>
      <c r="C84" s="131" t="s">
        <v>188</v>
      </c>
      <c r="D84" s="220" t="s">
        <v>223</v>
      </c>
      <c r="E84" s="221"/>
      <c r="F84" s="221"/>
      <c r="G84" s="222"/>
    </row>
    <row r="85" spans="2:7" ht="18.75" customHeight="1" x14ac:dyDescent="0.15">
      <c r="B85" s="251"/>
      <c r="C85" s="131"/>
      <c r="D85" s="217"/>
      <c r="E85" s="218"/>
      <c r="F85" s="218"/>
      <c r="G85" s="219"/>
    </row>
    <row r="86" spans="2:7" ht="15" customHeight="1" x14ac:dyDescent="0.15">
      <c r="B86" s="251"/>
      <c r="C86" s="131"/>
      <c r="D86" s="217"/>
      <c r="E86" s="218"/>
      <c r="F86" s="218"/>
      <c r="G86" s="219"/>
    </row>
    <row r="87" spans="2:7" ht="15" customHeight="1" x14ac:dyDescent="0.15">
      <c r="B87" s="251"/>
      <c r="C87" s="131"/>
      <c r="D87" s="217"/>
      <c r="E87" s="218"/>
      <c r="F87" s="218"/>
      <c r="G87" s="219"/>
    </row>
    <row r="88" spans="2:7" ht="15" customHeight="1" x14ac:dyDescent="0.15">
      <c r="B88" s="251"/>
      <c r="C88" s="131"/>
      <c r="D88" s="217"/>
      <c r="E88" s="218"/>
      <c r="F88" s="218"/>
      <c r="G88" s="219"/>
    </row>
    <row r="89" spans="2:7" ht="15" customHeight="1" x14ac:dyDescent="0.15">
      <c r="B89" s="251"/>
      <c r="C89" s="131"/>
      <c r="D89" s="217"/>
      <c r="E89" s="218"/>
      <c r="F89" s="218"/>
      <c r="G89" s="219"/>
    </row>
    <row r="90" spans="2:7" ht="15" customHeight="1" x14ac:dyDescent="0.15">
      <c r="B90" s="251"/>
      <c r="C90" s="131"/>
      <c r="D90" s="217"/>
      <c r="E90" s="218"/>
      <c r="F90" s="218"/>
      <c r="G90" s="219"/>
    </row>
    <row r="91" spans="2:7" ht="15" customHeight="1" x14ac:dyDescent="0.15">
      <c r="B91" s="251"/>
      <c r="C91" s="131"/>
      <c r="D91" s="217"/>
      <c r="E91" s="218"/>
      <c r="F91" s="218"/>
      <c r="G91" s="219"/>
    </row>
    <row r="92" spans="2:7" ht="15" customHeight="1" x14ac:dyDescent="0.15">
      <c r="B92" s="251"/>
      <c r="C92" s="131"/>
      <c r="D92" s="217"/>
      <c r="E92" s="218"/>
      <c r="F92" s="218"/>
      <c r="G92" s="219"/>
    </row>
    <row r="93" spans="2:7" ht="15" customHeight="1" x14ac:dyDescent="0.15">
      <c r="B93" s="251"/>
      <c r="C93" s="131"/>
      <c r="D93" s="217"/>
      <c r="E93" s="218"/>
      <c r="F93" s="218"/>
      <c r="G93" s="219"/>
    </row>
    <row r="94" spans="2:7" ht="15" customHeight="1" x14ac:dyDescent="0.15">
      <c r="B94" s="251"/>
      <c r="C94" s="131"/>
      <c r="D94" s="217"/>
      <c r="E94" s="218"/>
      <c r="F94" s="218"/>
      <c r="G94" s="219"/>
    </row>
    <row r="95" spans="2:7" ht="15" customHeight="1" x14ac:dyDescent="0.15">
      <c r="B95" s="251"/>
      <c r="C95" s="131"/>
      <c r="D95" s="217"/>
      <c r="E95" s="218"/>
      <c r="F95" s="218"/>
      <c r="G95" s="219"/>
    </row>
    <row r="96" spans="2:7" ht="15" customHeight="1" x14ac:dyDescent="0.15">
      <c r="B96" s="251"/>
      <c r="C96" s="131"/>
      <c r="D96" s="217"/>
      <c r="E96" s="218"/>
      <c r="F96" s="218"/>
      <c r="G96" s="219"/>
    </row>
    <row r="97" spans="2:7" ht="15" customHeight="1" x14ac:dyDescent="0.15">
      <c r="B97" s="251"/>
      <c r="C97" s="131"/>
      <c r="D97" s="217"/>
      <c r="E97" s="218"/>
      <c r="F97" s="218"/>
      <c r="G97" s="219"/>
    </row>
    <row r="98" spans="2:7" ht="15" customHeight="1" x14ac:dyDescent="0.15">
      <c r="B98" s="251"/>
      <c r="C98" s="131"/>
      <c r="D98" s="217"/>
      <c r="E98" s="218"/>
      <c r="F98" s="218"/>
      <c r="G98" s="219"/>
    </row>
    <row r="99" spans="2:7" ht="15" customHeight="1" x14ac:dyDescent="0.15">
      <c r="B99" s="251"/>
      <c r="C99" s="131"/>
      <c r="D99" s="217"/>
      <c r="E99" s="218"/>
      <c r="F99" s="218"/>
      <c r="G99" s="219"/>
    </row>
    <row r="100" spans="2:7" ht="15" customHeight="1" x14ac:dyDescent="0.15">
      <c r="B100" s="251"/>
      <c r="C100" s="131"/>
      <c r="D100" s="217"/>
      <c r="E100" s="218"/>
      <c r="F100" s="218"/>
      <c r="G100" s="219"/>
    </row>
    <row r="101" spans="2:7" ht="18.75" customHeight="1" x14ac:dyDescent="0.15">
      <c r="B101" s="251" t="s">
        <v>115</v>
      </c>
      <c r="C101" s="224" t="s">
        <v>108</v>
      </c>
      <c r="D101" s="225"/>
      <c r="E101" s="225"/>
      <c r="F101" s="225"/>
      <c r="G101" s="226"/>
    </row>
    <row r="102" spans="2:7" ht="37.5" customHeight="1" x14ac:dyDescent="0.15">
      <c r="B102" s="251"/>
      <c r="C102" s="270" t="s">
        <v>247</v>
      </c>
      <c r="D102" s="271"/>
      <c r="E102" s="271"/>
      <c r="F102" s="271"/>
      <c r="G102" s="272"/>
    </row>
    <row r="103" spans="2:7" ht="37.5" customHeight="1" x14ac:dyDescent="0.15">
      <c r="B103" s="251"/>
      <c r="C103" s="273"/>
      <c r="D103" s="274"/>
      <c r="E103" s="274"/>
      <c r="F103" s="274"/>
      <c r="G103" s="275"/>
    </row>
    <row r="104" spans="2:7" ht="37.5" customHeight="1" x14ac:dyDescent="0.15">
      <c r="B104" s="251"/>
      <c r="C104" s="273"/>
      <c r="D104" s="274"/>
      <c r="E104" s="274"/>
      <c r="F104" s="274"/>
      <c r="G104" s="275"/>
    </row>
    <row r="105" spans="2:7" ht="37.5" customHeight="1" x14ac:dyDescent="0.15">
      <c r="B105" s="251"/>
      <c r="C105" s="273"/>
      <c r="D105" s="274"/>
      <c r="E105" s="274"/>
      <c r="F105" s="274"/>
      <c r="G105" s="275"/>
    </row>
    <row r="106" spans="2:7" ht="37.5" customHeight="1" x14ac:dyDescent="0.15">
      <c r="B106" s="251"/>
      <c r="C106" s="276"/>
      <c r="D106" s="277"/>
      <c r="E106" s="277"/>
      <c r="F106" s="277"/>
      <c r="G106" s="278"/>
    </row>
    <row r="107" spans="2:7" ht="18.75" customHeight="1" x14ac:dyDescent="0.15">
      <c r="B107" s="251"/>
      <c r="C107" s="74" t="s">
        <v>109</v>
      </c>
      <c r="D107" s="224" t="s">
        <v>110</v>
      </c>
      <c r="E107" s="225"/>
      <c r="F107" s="225"/>
      <c r="G107" s="226"/>
    </row>
    <row r="108" spans="2:7" ht="56.25" customHeight="1" x14ac:dyDescent="0.15">
      <c r="B108" s="251"/>
      <c r="C108" s="131" t="s">
        <v>173</v>
      </c>
      <c r="D108" s="220" t="s">
        <v>191</v>
      </c>
      <c r="E108" s="221"/>
      <c r="F108" s="221"/>
      <c r="G108" s="222"/>
    </row>
    <row r="109" spans="2:7" ht="18.75" customHeight="1" x14ac:dyDescent="0.15">
      <c r="B109" s="251"/>
      <c r="C109" s="131"/>
      <c r="D109" s="217"/>
      <c r="E109" s="218"/>
      <c r="F109" s="218"/>
      <c r="G109" s="219"/>
    </row>
    <row r="110" spans="2:7" ht="18.75" customHeight="1" x14ac:dyDescent="0.15">
      <c r="B110" s="251"/>
      <c r="C110" s="131"/>
      <c r="D110" s="217"/>
      <c r="E110" s="218"/>
      <c r="F110" s="218"/>
      <c r="G110" s="219"/>
    </row>
    <row r="111" spans="2:7" ht="18.75" customHeight="1" x14ac:dyDescent="0.15">
      <c r="B111" s="251"/>
      <c r="C111" s="131"/>
      <c r="D111" s="217"/>
      <c r="E111" s="218"/>
      <c r="F111" s="218"/>
      <c r="G111" s="219"/>
    </row>
    <row r="112" spans="2:7" ht="18.75" customHeight="1" x14ac:dyDescent="0.15">
      <c r="B112" s="251"/>
      <c r="C112" s="131"/>
      <c r="D112" s="217"/>
      <c r="E112" s="218"/>
      <c r="F112" s="218"/>
      <c r="G112" s="219"/>
    </row>
    <row r="113" spans="1:7" ht="18.75" customHeight="1" x14ac:dyDescent="0.15">
      <c r="B113" s="251"/>
      <c r="C113" s="131"/>
      <c r="D113" s="217"/>
      <c r="E113" s="218"/>
      <c r="F113" s="218"/>
      <c r="G113" s="219"/>
    </row>
    <row r="114" spans="1:7" ht="18.75" customHeight="1" x14ac:dyDescent="0.15">
      <c r="B114" s="251"/>
      <c r="C114" s="131"/>
      <c r="D114" s="217"/>
      <c r="E114" s="218"/>
      <c r="F114" s="218"/>
      <c r="G114" s="219"/>
    </row>
    <row r="115" spans="1:7" ht="18.75" customHeight="1" x14ac:dyDescent="0.15">
      <c r="B115" s="251"/>
      <c r="C115" s="131"/>
      <c r="D115" s="217"/>
      <c r="E115" s="218"/>
      <c r="F115" s="218"/>
      <c r="G115" s="219"/>
    </row>
    <row r="116" spans="1:7" ht="15" customHeight="1" x14ac:dyDescent="0.15">
      <c r="B116" s="251"/>
      <c r="C116" s="131"/>
      <c r="D116" s="217"/>
      <c r="E116" s="218"/>
      <c r="F116" s="218"/>
      <c r="G116" s="219"/>
    </row>
    <row r="117" spans="1:7" ht="15" customHeight="1" x14ac:dyDescent="0.15">
      <c r="B117" s="251"/>
      <c r="C117" s="131"/>
      <c r="D117" s="217"/>
      <c r="E117" s="218"/>
      <c r="F117" s="218"/>
      <c r="G117" s="219"/>
    </row>
    <row r="118" spans="1:7" ht="15" customHeight="1" x14ac:dyDescent="0.15">
      <c r="B118" s="251"/>
      <c r="C118" s="131"/>
      <c r="D118" s="217"/>
      <c r="E118" s="218"/>
      <c r="F118" s="218"/>
      <c r="G118" s="219"/>
    </row>
    <row r="119" spans="1:7" ht="15" customHeight="1" x14ac:dyDescent="0.15">
      <c r="B119" s="251"/>
      <c r="C119" s="131"/>
      <c r="D119" s="217"/>
      <c r="E119" s="218"/>
      <c r="F119" s="218"/>
      <c r="G119" s="219"/>
    </row>
    <row r="120" spans="1:7" ht="15" customHeight="1" x14ac:dyDescent="0.15">
      <c r="B120" s="251"/>
      <c r="C120" s="131"/>
      <c r="D120" s="217"/>
      <c r="E120" s="218"/>
      <c r="F120" s="218"/>
      <c r="G120" s="219"/>
    </row>
    <row r="121" spans="1:7" ht="15" customHeight="1" x14ac:dyDescent="0.15">
      <c r="B121" s="251"/>
      <c r="C121" s="131"/>
      <c r="D121" s="217"/>
      <c r="E121" s="218"/>
      <c r="F121" s="218"/>
      <c r="G121" s="219"/>
    </row>
    <row r="122" spans="1:7" ht="15" customHeight="1" x14ac:dyDescent="0.15">
      <c r="B122" s="251"/>
      <c r="C122" s="131"/>
      <c r="D122" s="217"/>
      <c r="E122" s="218"/>
      <c r="F122" s="218"/>
      <c r="G122" s="219"/>
    </row>
    <row r="123" spans="1:7" ht="15" customHeight="1" x14ac:dyDescent="0.15">
      <c r="B123" s="251"/>
      <c r="C123" s="131"/>
      <c r="D123" s="217"/>
      <c r="E123" s="218"/>
      <c r="F123" s="218"/>
      <c r="G123" s="219"/>
    </row>
    <row r="124" spans="1:7" ht="15" customHeight="1" x14ac:dyDescent="0.15">
      <c r="B124" s="251"/>
      <c r="C124" s="131"/>
      <c r="D124" s="217"/>
      <c r="E124" s="218"/>
      <c r="F124" s="218"/>
      <c r="G124" s="219"/>
    </row>
    <row r="125" spans="1:7" ht="15" customHeight="1" x14ac:dyDescent="0.15">
      <c r="B125" s="251"/>
      <c r="C125" s="131"/>
      <c r="D125" s="217"/>
      <c r="E125" s="218"/>
      <c r="F125" s="218"/>
      <c r="G125" s="219"/>
    </row>
    <row r="126" spans="1:7" ht="18.75" customHeight="1" x14ac:dyDescent="0.15">
      <c r="A126" s="1" t="s">
        <v>12</v>
      </c>
      <c r="B126" s="1" t="s">
        <v>106</v>
      </c>
    </row>
    <row r="127" spans="1:7" ht="22.5" customHeight="1" x14ac:dyDescent="0.15">
      <c r="B127" s="131" t="s">
        <v>74</v>
      </c>
      <c r="C127" s="224" t="s">
        <v>105</v>
      </c>
      <c r="D127" s="225"/>
      <c r="E127" s="225"/>
      <c r="F127" s="225"/>
      <c r="G127" s="226"/>
    </row>
    <row r="128" spans="1:7" ht="45" customHeight="1" x14ac:dyDescent="0.15">
      <c r="B128" s="77" t="s">
        <v>76</v>
      </c>
      <c r="C128" s="248"/>
      <c r="D128" s="249"/>
      <c r="E128" s="249"/>
      <c r="F128" s="249"/>
      <c r="G128" s="250"/>
    </row>
    <row r="129" spans="1:7" ht="45" customHeight="1" x14ac:dyDescent="0.15">
      <c r="B129" s="77" t="s">
        <v>77</v>
      </c>
      <c r="C129" s="248"/>
      <c r="D129" s="249"/>
      <c r="E129" s="249"/>
      <c r="F129" s="249"/>
      <c r="G129" s="250"/>
    </row>
    <row r="130" spans="1:7" ht="45" customHeight="1" x14ac:dyDescent="0.15">
      <c r="B130" s="77" t="s">
        <v>78</v>
      </c>
      <c r="C130" s="248"/>
      <c r="D130" s="249"/>
      <c r="E130" s="249"/>
      <c r="F130" s="249"/>
      <c r="G130" s="250"/>
    </row>
    <row r="131" spans="1:7" ht="45" customHeight="1" x14ac:dyDescent="0.15">
      <c r="B131" s="77" t="s">
        <v>79</v>
      </c>
      <c r="C131" s="248"/>
      <c r="D131" s="249"/>
      <c r="E131" s="249"/>
      <c r="F131" s="249"/>
      <c r="G131" s="250"/>
    </row>
    <row r="132" spans="1:7" ht="45" customHeight="1" x14ac:dyDescent="0.15">
      <c r="B132" s="77" t="s">
        <v>80</v>
      </c>
      <c r="C132" s="248"/>
      <c r="D132" s="249"/>
      <c r="E132" s="249"/>
      <c r="F132" s="249"/>
      <c r="G132" s="250"/>
    </row>
    <row r="133" spans="1:7" ht="45" customHeight="1" x14ac:dyDescent="0.15">
      <c r="B133" s="77" t="s">
        <v>81</v>
      </c>
      <c r="C133" s="248"/>
      <c r="D133" s="249"/>
      <c r="E133" s="249"/>
      <c r="F133" s="249"/>
      <c r="G133" s="250"/>
    </row>
    <row r="134" spans="1:7" ht="45" customHeight="1" x14ac:dyDescent="0.15">
      <c r="B134" s="77" t="s">
        <v>82</v>
      </c>
      <c r="C134" s="248"/>
      <c r="D134" s="249"/>
      <c r="E134" s="249"/>
      <c r="F134" s="249"/>
      <c r="G134" s="250"/>
    </row>
    <row r="135" spans="1:7" ht="45" customHeight="1" x14ac:dyDescent="0.15">
      <c r="B135" s="77" t="s">
        <v>83</v>
      </c>
      <c r="C135" s="248" t="s">
        <v>192</v>
      </c>
      <c r="D135" s="249"/>
      <c r="E135" s="249"/>
      <c r="F135" s="249"/>
      <c r="G135" s="250"/>
    </row>
    <row r="136" spans="1:7" ht="45" customHeight="1" x14ac:dyDescent="0.15">
      <c r="B136" s="77" t="s">
        <v>84</v>
      </c>
      <c r="C136" s="248"/>
      <c r="D136" s="249"/>
      <c r="E136" s="249"/>
      <c r="F136" s="249"/>
      <c r="G136" s="250"/>
    </row>
    <row r="137" spans="1:7" ht="7.5" customHeight="1" x14ac:dyDescent="0.15"/>
    <row r="138" spans="1:7" ht="18.75" customHeight="1" x14ac:dyDescent="0.15">
      <c r="A138" s="1" t="s">
        <v>13</v>
      </c>
      <c r="B138" s="1" t="s">
        <v>100</v>
      </c>
      <c r="E138" s="245" t="s">
        <v>206</v>
      </c>
      <c r="F138" s="246"/>
      <c r="G138" s="247"/>
    </row>
    <row r="139" spans="1:7" ht="7.5" customHeight="1" x14ac:dyDescent="0.15"/>
    <row r="140" spans="1:7" ht="18.75" customHeight="1" x14ac:dyDescent="0.15">
      <c r="A140" s="1" t="s">
        <v>17</v>
      </c>
      <c r="B140" s="1" t="s">
        <v>102</v>
      </c>
    </row>
    <row r="141" spans="1:7" ht="18.75" customHeight="1" x14ac:dyDescent="0.15">
      <c r="B141" s="236" t="s">
        <v>222</v>
      </c>
      <c r="C141" s="237"/>
      <c r="D141" s="237"/>
      <c r="E141" s="237"/>
      <c r="F141" s="237"/>
      <c r="G141" s="238"/>
    </row>
    <row r="142" spans="1:7" ht="18.75" customHeight="1" x14ac:dyDescent="0.15">
      <c r="B142" s="239"/>
      <c r="C142" s="240"/>
      <c r="D142" s="240"/>
      <c r="E142" s="240"/>
      <c r="F142" s="240"/>
      <c r="G142" s="241"/>
    </row>
    <row r="143" spans="1:7" ht="18.75" customHeight="1" x14ac:dyDescent="0.15">
      <c r="B143" s="239"/>
      <c r="C143" s="240"/>
      <c r="D143" s="240"/>
      <c r="E143" s="240"/>
      <c r="F143" s="240"/>
      <c r="G143" s="241"/>
    </row>
    <row r="144" spans="1:7" ht="18.75" customHeight="1" x14ac:dyDescent="0.15">
      <c r="B144" s="242"/>
      <c r="C144" s="243"/>
      <c r="D144" s="243"/>
      <c r="E144" s="243"/>
      <c r="F144" s="243"/>
      <c r="G144" s="244"/>
    </row>
    <row r="145" ht="18.75" customHeight="1" x14ac:dyDescent="0.15"/>
    <row r="146" ht="18.75" customHeight="1" x14ac:dyDescent="0.15"/>
    <row r="147" ht="18.75" customHeight="1" x14ac:dyDescent="0.15"/>
    <row r="148" ht="18.75" customHeight="1" x14ac:dyDescent="0.15"/>
    <row r="149" ht="18.75" customHeight="1" x14ac:dyDescent="0.15"/>
    <row r="150" ht="18.75" customHeight="1" x14ac:dyDescent="0.15"/>
  </sheetData>
  <mergeCells count="120">
    <mergeCell ref="D16:G16"/>
    <mergeCell ref="D17:G17"/>
    <mergeCell ref="D18:G18"/>
    <mergeCell ref="D19:G19"/>
    <mergeCell ref="D20:G20"/>
    <mergeCell ref="D21:G21"/>
    <mergeCell ref="A3:G3"/>
    <mergeCell ref="C5:G5"/>
    <mergeCell ref="B6:B25"/>
    <mergeCell ref="C6:G9"/>
    <mergeCell ref="D10:G10"/>
    <mergeCell ref="D11:G11"/>
    <mergeCell ref="D12:G12"/>
    <mergeCell ref="D13:G13"/>
    <mergeCell ref="D14:G14"/>
    <mergeCell ref="D15:G15"/>
    <mergeCell ref="D22:G22"/>
    <mergeCell ref="D23:G23"/>
    <mergeCell ref="D24:G24"/>
    <mergeCell ref="D25:G25"/>
    <mergeCell ref="B26:B50"/>
    <mergeCell ref="C26:G26"/>
    <mergeCell ref="C27:G31"/>
    <mergeCell ref="D32:G32"/>
    <mergeCell ref="D33:G33"/>
    <mergeCell ref="D34:G34"/>
    <mergeCell ref="D41:G41"/>
    <mergeCell ref="D42:G42"/>
    <mergeCell ref="D43:G43"/>
    <mergeCell ref="D44:G44"/>
    <mergeCell ref="D45:G45"/>
    <mergeCell ref="D46:G46"/>
    <mergeCell ref="D35:G35"/>
    <mergeCell ref="D36:G36"/>
    <mergeCell ref="D37:G37"/>
    <mergeCell ref="D38:G38"/>
    <mergeCell ref="D39:G39"/>
    <mergeCell ref="D40:G40"/>
    <mergeCell ref="D47:G47"/>
    <mergeCell ref="D48:G48"/>
    <mergeCell ref="D49:G49"/>
    <mergeCell ref="D50:G50"/>
    <mergeCell ref="B51:B75"/>
    <mergeCell ref="C51:G51"/>
    <mergeCell ref="C52:G56"/>
    <mergeCell ref="D57:G57"/>
    <mergeCell ref="D58:G58"/>
    <mergeCell ref="D59:G59"/>
    <mergeCell ref="D66:G66"/>
    <mergeCell ref="D67:G67"/>
    <mergeCell ref="D68:G68"/>
    <mergeCell ref="D69:G69"/>
    <mergeCell ref="D70:G70"/>
    <mergeCell ref="D71:G71"/>
    <mergeCell ref="D60:G60"/>
    <mergeCell ref="D61:G61"/>
    <mergeCell ref="D62:G62"/>
    <mergeCell ref="D63:G63"/>
    <mergeCell ref="D64:G64"/>
    <mergeCell ref="D65:G65"/>
    <mergeCell ref="D85:G85"/>
    <mergeCell ref="D86:G86"/>
    <mergeCell ref="D87:G87"/>
    <mergeCell ref="D88:G88"/>
    <mergeCell ref="D89:G89"/>
    <mergeCell ref="D90:G90"/>
    <mergeCell ref="D72:G72"/>
    <mergeCell ref="D73:G73"/>
    <mergeCell ref="D74:G74"/>
    <mergeCell ref="D75:G75"/>
    <mergeCell ref="C76:G76"/>
    <mergeCell ref="C77:G81"/>
    <mergeCell ref="D82:G82"/>
    <mergeCell ref="D83:G83"/>
    <mergeCell ref="D84:G84"/>
    <mergeCell ref="B101:B125"/>
    <mergeCell ref="C101:G101"/>
    <mergeCell ref="C102:G106"/>
    <mergeCell ref="D107:G107"/>
    <mergeCell ref="D108:G108"/>
    <mergeCell ref="D109:G109"/>
    <mergeCell ref="D91:G91"/>
    <mergeCell ref="D92:G92"/>
    <mergeCell ref="D93:G93"/>
    <mergeCell ref="D94:G94"/>
    <mergeCell ref="D95:G95"/>
    <mergeCell ref="D96:G96"/>
    <mergeCell ref="B76:B100"/>
    <mergeCell ref="D110:G110"/>
    <mergeCell ref="D111:G111"/>
    <mergeCell ref="D112:G112"/>
    <mergeCell ref="D113:G113"/>
    <mergeCell ref="D114:G114"/>
    <mergeCell ref="D115:G115"/>
    <mergeCell ref="D97:G97"/>
    <mergeCell ref="D98:G98"/>
    <mergeCell ref="D99:G99"/>
    <mergeCell ref="D100:G100"/>
    <mergeCell ref="D122:G122"/>
    <mergeCell ref="D123:G123"/>
    <mergeCell ref="D124:G124"/>
    <mergeCell ref="D125:G125"/>
    <mergeCell ref="C127:G127"/>
    <mergeCell ref="C128:G128"/>
    <mergeCell ref="D116:G116"/>
    <mergeCell ref="D117:G117"/>
    <mergeCell ref="D118:G118"/>
    <mergeCell ref="D119:G119"/>
    <mergeCell ref="D120:G120"/>
    <mergeCell ref="D121:G121"/>
    <mergeCell ref="C135:G135"/>
    <mergeCell ref="C136:G136"/>
    <mergeCell ref="E138:G138"/>
    <mergeCell ref="B141:G144"/>
    <mergeCell ref="C129:G129"/>
    <mergeCell ref="C130:G130"/>
    <mergeCell ref="C131:G131"/>
    <mergeCell ref="C132:G132"/>
    <mergeCell ref="C133:G133"/>
    <mergeCell ref="C134:G134"/>
  </mergeCells>
  <phoneticPr fontId="1"/>
  <hyperlinks>
    <hyperlink ref="E138" r:id="rId1"/>
  </hyperlinks>
  <printOptions horizontalCentered="1"/>
  <pageMargins left="0.78740157480314965" right="0.78740157480314965" top="0.59055118110236227" bottom="0.39370078740157483" header="0.31496062992125984" footer="0.31496062992125984"/>
  <pageSetup paperSize="9" orientation="landscape"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0"/>
  <sheetViews>
    <sheetView workbookViewId="0"/>
  </sheetViews>
  <sheetFormatPr defaultRowHeight="14.25" x14ac:dyDescent="0.15"/>
  <cols>
    <col min="1" max="1" width="2.5" style="1" customWidth="1"/>
    <col min="2" max="2" width="19" style="1" customWidth="1"/>
    <col min="3" max="3" width="25" style="1" customWidth="1"/>
    <col min="4" max="4" width="10" style="1" customWidth="1"/>
    <col min="5" max="7" width="25" style="1" customWidth="1"/>
    <col min="8" max="16384" width="9" style="1"/>
  </cols>
  <sheetData>
    <row r="1" spans="1:7" ht="18.75" customHeight="1" x14ac:dyDescent="0.15">
      <c r="G1" s="129" t="s">
        <v>158</v>
      </c>
    </row>
    <row r="2" spans="1:7" ht="18.75" customHeight="1" x14ac:dyDescent="0.15">
      <c r="F2" s="129" t="s">
        <v>32</v>
      </c>
      <c r="G2" s="1" t="s">
        <v>155</v>
      </c>
    </row>
    <row r="3" spans="1:7" ht="18.75" customHeight="1" x14ac:dyDescent="0.15">
      <c r="A3" s="223" t="s">
        <v>96</v>
      </c>
      <c r="B3" s="223"/>
      <c r="C3" s="223"/>
      <c r="D3" s="223"/>
      <c r="E3" s="223"/>
      <c r="F3" s="223"/>
      <c r="G3" s="223"/>
    </row>
    <row r="4" spans="1:7" ht="18.75" customHeight="1" x14ac:dyDescent="0.15">
      <c r="A4" s="1" t="s">
        <v>7</v>
      </c>
      <c r="B4" s="1" t="s">
        <v>95</v>
      </c>
    </row>
    <row r="5" spans="1:7" s="130" customFormat="1" ht="18.75" customHeight="1" x14ac:dyDescent="0.15">
      <c r="B5" s="131" t="s">
        <v>74</v>
      </c>
      <c r="C5" s="224" t="s">
        <v>108</v>
      </c>
      <c r="D5" s="225"/>
      <c r="E5" s="225"/>
      <c r="F5" s="225"/>
      <c r="G5" s="226"/>
    </row>
    <row r="6" spans="1:7" s="130" customFormat="1" ht="45" customHeight="1" x14ac:dyDescent="0.15">
      <c r="B6" s="251" t="s">
        <v>111</v>
      </c>
      <c r="C6" s="287" t="s">
        <v>224</v>
      </c>
      <c r="D6" s="288"/>
      <c r="E6" s="288"/>
      <c r="F6" s="288"/>
      <c r="G6" s="289"/>
    </row>
    <row r="7" spans="1:7" s="130" customFormat="1" ht="45" customHeight="1" x14ac:dyDescent="0.15">
      <c r="B7" s="251"/>
      <c r="C7" s="290"/>
      <c r="D7" s="291"/>
      <c r="E7" s="291"/>
      <c r="F7" s="291"/>
      <c r="G7" s="292"/>
    </row>
    <row r="8" spans="1:7" s="130" customFormat="1" ht="45" customHeight="1" x14ac:dyDescent="0.15">
      <c r="B8" s="251"/>
      <c r="C8" s="290"/>
      <c r="D8" s="291"/>
      <c r="E8" s="291"/>
      <c r="F8" s="291"/>
      <c r="G8" s="292"/>
    </row>
    <row r="9" spans="1:7" s="130" customFormat="1" ht="45" customHeight="1" x14ac:dyDescent="0.15">
      <c r="B9" s="251"/>
      <c r="C9" s="293"/>
      <c r="D9" s="294"/>
      <c r="E9" s="294"/>
      <c r="F9" s="294"/>
      <c r="G9" s="295"/>
    </row>
    <row r="10" spans="1:7" s="130" customFormat="1" ht="18.75" customHeight="1" x14ac:dyDescent="0.15">
      <c r="B10" s="251"/>
      <c r="C10" s="74" t="s">
        <v>109</v>
      </c>
      <c r="D10" s="261" t="s">
        <v>110</v>
      </c>
      <c r="E10" s="262"/>
      <c r="F10" s="262"/>
      <c r="G10" s="263"/>
    </row>
    <row r="11" spans="1:7" s="130" customFormat="1" ht="18.75" customHeight="1" x14ac:dyDescent="0.15">
      <c r="B11" s="251"/>
      <c r="C11" s="133" t="s">
        <v>175</v>
      </c>
      <c r="D11" s="313" t="s">
        <v>199</v>
      </c>
      <c r="E11" s="314"/>
      <c r="F11" s="314"/>
      <c r="G11" s="315"/>
    </row>
    <row r="12" spans="1:7" s="130" customFormat="1" ht="37.5" customHeight="1" x14ac:dyDescent="0.15">
      <c r="B12" s="251"/>
      <c r="C12" s="134" t="s">
        <v>174</v>
      </c>
      <c r="D12" s="316" t="s">
        <v>225</v>
      </c>
      <c r="E12" s="317"/>
      <c r="F12" s="317"/>
      <c r="G12" s="318"/>
    </row>
    <row r="13" spans="1:7" s="130" customFormat="1" ht="18.75" customHeight="1" x14ac:dyDescent="0.15">
      <c r="B13" s="251"/>
      <c r="C13" s="126"/>
      <c r="D13" s="267"/>
      <c r="E13" s="268"/>
      <c r="F13" s="268"/>
      <c r="G13" s="269"/>
    </row>
    <row r="14" spans="1:7" s="130" customFormat="1" ht="18.75" customHeight="1" x14ac:dyDescent="0.15">
      <c r="B14" s="251"/>
      <c r="C14" s="126"/>
      <c r="D14" s="267"/>
      <c r="E14" s="268"/>
      <c r="F14" s="268"/>
      <c r="G14" s="269"/>
    </row>
    <row r="15" spans="1:7" s="130" customFormat="1" ht="18.75" customHeight="1" x14ac:dyDescent="0.15">
      <c r="B15" s="251"/>
      <c r="C15" s="131"/>
      <c r="D15" s="296"/>
      <c r="E15" s="297"/>
      <c r="F15" s="297"/>
      <c r="G15" s="298"/>
    </row>
    <row r="16" spans="1:7" s="130" customFormat="1" ht="18.75" customHeight="1" x14ac:dyDescent="0.15">
      <c r="B16" s="251"/>
      <c r="C16" s="131"/>
      <c r="D16" s="312"/>
      <c r="E16" s="297"/>
      <c r="F16" s="297"/>
      <c r="G16" s="298"/>
    </row>
    <row r="17" spans="2:7" s="130" customFormat="1" ht="18.75" customHeight="1" x14ac:dyDescent="0.15">
      <c r="B17" s="251"/>
      <c r="C17" s="131"/>
      <c r="D17" s="224"/>
      <c r="E17" s="225"/>
      <c r="F17" s="225"/>
      <c r="G17" s="226"/>
    </row>
    <row r="18" spans="2:7" s="130" customFormat="1" ht="18.75" customHeight="1" x14ac:dyDescent="0.15">
      <c r="B18" s="251"/>
      <c r="C18" s="131"/>
      <c r="D18" s="224"/>
      <c r="E18" s="225"/>
      <c r="F18" s="225"/>
      <c r="G18" s="226"/>
    </row>
    <row r="19" spans="2:7" s="130" customFormat="1" ht="18.75" customHeight="1" x14ac:dyDescent="0.15">
      <c r="B19" s="251"/>
      <c r="C19" s="131"/>
      <c r="D19" s="224"/>
      <c r="E19" s="225"/>
      <c r="F19" s="225"/>
      <c r="G19" s="226"/>
    </row>
    <row r="20" spans="2:7" s="130" customFormat="1" ht="18.75" customHeight="1" x14ac:dyDescent="0.15">
      <c r="B20" s="251"/>
      <c r="C20" s="131"/>
      <c r="D20" s="224"/>
      <c r="E20" s="225"/>
      <c r="F20" s="225"/>
      <c r="G20" s="226"/>
    </row>
    <row r="21" spans="2:7" s="130" customFormat="1" ht="15" customHeight="1" x14ac:dyDescent="0.15">
      <c r="B21" s="251"/>
      <c r="C21" s="131"/>
      <c r="D21" s="224"/>
      <c r="E21" s="225"/>
      <c r="F21" s="225"/>
      <c r="G21" s="226"/>
    </row>
    <row r="22" spans="2:7" s="130" customFormat="1" ht="15" customHeight="1" x14ac:dyDescent="0.15">
      <c r="B22" s="251"/>
      <c r="C22" s="131"/>
      <c r="D22" s="224"/>
      <c r="E22" s="225"/>
      <c r="F22" s="225"/>
      <c r="G22" s="226"/>
    </row>
    <row r="23" spans="2:7" s="130" customFormat="1" ht="15" customHeight="1" x14ac:dyDescent="0.15">
      <c r="B23" s="251"/>
      <c r="C23" s="131"/>
      <c r="D23" s="224"/>
      <c r="E23" s="225"/>
      <c r="F23" s="225"/>
      <c r="G23" s="226"/>
    </row>
    <row r="24" spans="2:7" s="130" customFormat="1" ht="15" customHeight="1" x14ac:dyDescent="0.15">
      <c r="B24" s="251"/>
      <c r="C24" s="131"/>
      <c r="D24" s="224"/>
      <c r="E24" s="225"/>
      <c r="F24" s="225"/>
      <c r="G24" s="226"/>
    </row>
    <row r="25" spans="2:7" s="130" customFormat="1" ht="15" customHeight="1" x14ac:dyDescent="0.15">
      <c r="B25" s="251"/>
      <c r="C25" s="131"/>
      <c r="D25" s="224"/>
      <c r="E25" s="225"/>
      <c r="F25" s="225"/>
      <c r="G25" s="226"/>
    </row>
    <row r="26" spans="2:7" ht="18.75" customHeight="1" x14ac:dyDescent="0.15">
      <c r="B26" s="251" t="s">
        <v>112</v>
      </c>
      <c r="C26" s="224" t="s">
        <v>108</v>
      </c>
      <c r="D26" s="225"/>
      <c r="E26" s="225"/>
      <c r="F26" s="225"/>
      <c r="G26" s="226"/>
    </row>
    <row r="27" spans="2:7" ht="37.5" customHeight="1" x14ac:dyDescent="0.15">
      <c r="B27" s="251"/>
      <c r="C27" s="270" t="s">
        <v>226</v>
      </c>
      <c r="D27" s="271"/>
      <c r="E27" s="271"/>
      <c r="F27" s="271"/>
      <c r="G27" s="272"/>
    </row>
    <row r="28" spans="2:7" ht="37.5" customHeight="1" x14ac:dyDescent="0.15">
      <c r="B28" s="251"/>
      <c r="C28" s="273"/>
      <c r="D28" s="274"/>
      <c r="E28" s="274"/>
      <c r="F28" s="274"/>
      <c r="G28" s="275"/>
    </row>
    <row r="29" spans="2:7" ht="37.5" customHeight="1" x14ac:dyDescent="0.15">
      <c r="B29" s="251"/>
      <c r="C29" s="273"/>
      <c r="D29" s="274"/>
      <c r="E29" s="274"/>
      <c r="F29" s="274"/>
      <c r="G29" s="275"/>
    </row>
    <row r="30" spans="2:7" ht="37.5" customHeight="1" x14ac:dyDescent="0.15">
      <c r="B30" s="251"/>
      <c r="C30" s="273"/>
      <c r="D30" s="274"/>
      <c r="E30" s="274"/>
      <c r="F30" s="274"/>
      <c r="G30" s="275"/>
    </row>
    <row r="31" spans="2:7" ht="37.5" customHeight="1" x14ac:dyDescent="0.15">
      <c r="B31" s="251"/>
      <c r="C31" s="276"/>
      <c r="D31" s="277"/>
      <c r="E31" s="277"/>
      <c r="F31" s="277"/>
      <c r="G31" s="278"/>
    </row>
    <row r="32" spans="2:7" ht="18.75" customHeight="1" x14ac:dyDescent="0.15">
      <c r="B32" s="251"/>
      <c r="C32" s="74" t="s">
        <v>109</v>
      </c>
      <c r="D32" s="224" t="s">
        <v>110</v>
      </c>
      <c r="E32" s="225"/>
      <c r="F32" s="225"/>
      <c r="G32" s="226"/>
    </row>
    <row r="33" spans="2:7" ht="37.5" customHeight="1" x14ac:dyDescent="0.15">
      <c r="B33" s="251"/>
      <c r="C33" s="131" t="s">
        <v>175</v>
      </c>
      <c r="D33" s="220" t="s">
        <v>200</v>
      </c>
      <c r="E33" s="221"/>
      <c r="F33" s="221"/>
      <c r="G33" s="222"/>
    </row>
    <row r="34" spans="2:7" ht="37.5" customHeight="1" x14ac:dyDescent="0.15">
      <c r="B34" s="251"/>
      <c r="C34" s="131" t="s">
        <v>174</v>
      </c>
      <c r="D34" s="220" t="s">
        <v>205</v>
      </c>
      <c r="E34" s="221"/>
      <c r="F34" s="221"/>
      <c r="G34" s="222"/>
    </row>
    <row r="35" spans="2:7" ht="18.75" customHeight="1" x14ac:dyDescent="0.15">
      <c r="B35" s="251"/>
      <c r="C35" s="131"/>
      <c r="D35" s="217"/>
      <c r="E35" s="218"/>
      <c r="F35" s="218"/>
      <c r="G35" s="219"/>
    </row>
    <row r="36" spans="2:7" ht="18.75" customHeight="1" x14ac:dyDescent="0.15">
      <c r="B36" s="251"/>
      <c r="C36" s="131"/>
      <c r="D36" s="217"/>
      <c r="E36" s="218"/>
      <c r="F36" s="218"/>
      <c r="G36" s="219"/>
    </row>
    <row r="37" spans="2:7" ht="18.75" customHeight="1" x14ac:dyDescent="0.15">
      <c r="B37" s="251"/>
      <c r="C37" s="131"/>
      <c r="D37" s="217"/>
      <c r="E37" s="218"/>
      <c r="F37" s="218"/>
      <c r="G37" s="219"/>
    </row>
    <row r="38" spans="2:7" ht="18.75" customHeight="1" x14ac:dyDescent="0.15">
      <c r="B38" s="251"/>
      <c r="C38" s="131"/>
      <c r="D38" s="217"/>
      <c r="E38" s="218"/>
      <c r="F38" s="218"/>
      <c r="G38" s="219"/>
    </row>
    <row r="39" spans="2:7" ht="18.75" customHeight="1" x14ac:dyDescent="0.15">
      <c r="B39" s="251"/>
      <c r="C39" s="131"/>
      <c r="D39" s="217"/>
      <c r="E39" s="218"/>
      <c r="F39" s="218"/>
      <c r="G39" s="219"/>
    </row>
    <row r="40" spans="2:7" ht="18.75" customHeight="1" x14ac:dyDescent="0.15">
      <c r="B40" s="251"/>
      <c r="C40" s="131"/>
      <c r="D40" s="217"/>
      <c r="E40" s="218"/>
      <c r="F40" s="218"/>
      <c r="G40" s="219"/>
    </row>
    <row r="41" spans="2:7" ht="15" customHeight="1" x14ac:dyDescent="0.15">
      <c r="B41" s="251"/>
      <c r="C41" s="131"/>
      <c r="D41" s="217"/>
      <c r="E41" s="218"/>
      <c r="F41" s="218"/>
      <c r="G41" s="219"/>
    </row>
    <row r="42" spans="2:7" ht="15" customHeight="1" x14ac:dyDescent="0.15">
      <c r="B42" s="251"/>
      <c r="C42" s="131"/>
      <c r="D42" s="217"/>
      <c r="E42" s="218"/>
      <c r="F42" s="218"/>
      <c r="G42" s="219"/>
    </row>
    <row r="43" spans="2:7" ht="15" customHeight="1" x14ac:dyDescent="0.15">
      <c r="B43" s="251"/>
      <c r="C43" s="131"/>
      <c r="D43" s="217"/>
      <c r="E43" s="218"/>
      <c r="F43" s="218"/>
      <c r="G43" s="219"/>
    </row>
    <row r="44" spans="2:7" ht="15" customHeight="1" x14ac:dyDescent="0.15">
      <c r="B44" s="251"/>
      <c r="C44" s="131"/>
      <c r="D44" s="217"/>
      <c r="E44" s="218"/>
      <c r="F44" s="218"/>
      <c r="G44" s="219"/>
    </row>
    <row r="45" spans="2:7" ht="15" customHeight="1" x14ac:dyDescent="0.15">
      <c r="B45" s="251"/>
      <c r="C45" s="131"/>
      <c r="D45" s="217"/>
      <c r="E45" s="218"/>
      <c r="F45" s="218"/>
      <c r="G45" s="219"/>
    </row>
    <row r="46" spans="2:7" ht="15" customHeight="1" x14ac:dyDescent="0.15">
      <c r="B46" s="251"/>
      <c r="C46" s="131"/>
      <c r="D46" s="217"/>
      <c r="E46" s="218"/>
      <c r="F46" s="218"/>
      <c r="G46" s="219"/>
    </row>
    <row r="47" spans="2:7" ht="15" customHeight="1" x14ac:dyDescent="0.15">
      <c r="B47" s="251"/>
      <c r="C47" s="131"/>
      <c r="D47" s="217"/>
      <c r="E47" s="218"/>
      <c r="F47" s="218"/>
      <c r="G47" s="219"/>
    </row>
    <row r="48" spans="2:7" ht="15" customHeight="1" x14ac:dyDescent="0.15">
      <c r="B48" s="251"/>
      <c r="C48" s="131"/>
      <c r="D48" s="217"/>
      <c r="E48" s="218"/>
      <c r="F48" s="218"/>
      <c r="G48" s="219"/>
    </row>
    <row r="49" spans="2:7" ht="15" customHeight="1" x14ac:dyDescent="0.15">
      <c r="B49" s="251"/>
      <c r="C49" s="131"/>
      <c r="D49" s="217"/>
      <c r="E49" s="218"/>
      <c r="F49" s="218"/>
      <c r="G49" s="219"/>
    </row>
    <row r="50" spans="2:7" ht="15" customHeight="1" x14ac:dyDescent="0.15">
      <c r="B50" s="251"/>
      <c r="C50" s="131"/>
      <c r="D50" s="217"/>
      <c r="E50" s="218"/>
      <c r="F50" s="218"/>
      <c r="G50" s="219"/>
    </row>
    <row r="51" spans="2:7" ht="18.75" customHeight="1" x14ac:dyDescent="0.15">
      <c r="B51" s="251" t="s">
        <v>114</v>
      </c>
      <c r="C51" s="224" t="s">
        <v>108</v>
      </c>
      <c r="D51" s="225"/>
      <c r="E51" s="225"/>
      <c r="F51" s="225"/>
      <c r="G51" s="226"/>
    </row>
    <row r="52" spans="2:7" ht="37.5" customHeight="1" x14ac:dyDescent="0.15">
      <c r="B52" s="251"/>
      <c r="C52" s="270" t="s">
        <v>227</v>
      </c>
      <c r="D52" s="271"/>
      <c r="E52" s="271"/>
      <c r="F52" s="271"/>
      <c r="G52" s="272"/>
    </row>
    <row r="53" spans="2:7" ht="37.5" customHeight="1" x14ac:dyDescent="0.15">
      <c r="B53" s="251"/>
      <c r="C53" s="273"/>
      <c r="D53" s="274"/>
      <c r="E53" s="274"/>
      <c r="F53" s="274"/>
      <c r="G53" s="275"/>
    </row>
    <row r="54" spans="2:7" ht="37.5" customHeight="1" x14ac:dyDescent="0.15">
      <c r="B54" s="251"/>
      <c r="C54" s="273"/>
      <c r="D54" s="274"/>
      <c r="E54" s="274"/>
      <c r="F54" s="274"/>
      <c r="G54" s="275"/>
    </row>
    <row r="55" spans="2:7" ht="37.5" customHeight="1" x14ac:dyDescent="0.15">
      <c r="B55" s="251"/>
      <c r="C55" s="273"/>
      <c r="D55" s="274"/>
      <c r="E55" s="274"/>
      <c r="F55" s="274"/>
      <c r="G55" s="275"/>
    </row>
    <row r="56" spans="2:7" ht="37.5" customHeight="1" x14ac:dyDescent="0.15">
      <c r="B56" s="251"/>
      <c r="C56" s="276"/>
      <c r="D56" s="277"/>
      <c r="E56" s="277"/>
      <c r="F56" s="277"/>
      <c r="G56" s="278"/>
    </row>
    <row r="57" spans="2:7" ht="18.75" customHeight="1" x14ac:dyDescent="0.15">
      <c r="B57" s="251"/>
      <c r="C57" s="74" t="s">
        <v>109</v>
      </c>
      <c r="D57" s="224" t="s">
        <v>110</v>
      </c>
      <c r="E57" s="225"/>
      <c r="F57" s="225"/>
      <c r="G57" s="226"/>
    </row>
    <row r="58" spans="2:7" ht="52.5" customHeight="1" x14ac:dyDescent="0.15">
      <c r="B58" s="251"/>
      <c r="C58" s="131" t="s">
        <v>176</v>
      </c>
      <c r="D58" s="220" t="s">
        <v>228</v>
      </c>
      <c r="E58" s="221"/>
      <c r="F58" s="221"/>
      <c r="G58" s="222"/>
    </row>
    <row r="59" spans="2:7" ht="52.5" customHeight="1" x14ac:dyDescent="0.15">
      <c r="B59" s="251"/>
      <c r="C59" s="131" t="s">
        <v>174</v>
      </c>
      <c r="D59" s="220" t="s">
        <v>229</v>
      </c>
      <c r="E59" s="221"/>
      <c r="F59" s="221"/>
      <c r="G59" s="222"/>
    </row>
    <row r="60" spans="2:7" ht="18.75" customHeight="1" x14ac:dyDescent="0.15">
      <c r="B60" s="251"/>
      <c r="C60" s="131" t="s">
        <v>201</v>
      </c>
      <c r="D60" s="309" t="s">
        <v>202</v>
      </c>
      <c r="E60" s="310"/>
      <c r="F60" s="310"/>
      <c r="G60" s="311"/>
    </row>
    <row r="61" spans="2:7" ht="14.25" customHeight="1" x14ac:dyDescent="0.15">
      <c r="B61" s="251"/>
      <c r="C61" s="131"/>
      <c r="D61" s="217"/>
      <c r="E61" s="218"/>
      <c r="F61" s="218"/>
      <c r="G61" s="219"/>
    </row>
    <row r="62" spans="2:7" ht="14.25" customHeight="1" x14ac:dyDescent="0.15">
      <c r="B62" s="251"/>
      <c r="C62" s="131"/>
      <c r="D62" s="217"/>
      <c r="E62" s="218"/>
      <c r="F62" s="218"/>
      <c r="G62" s="219"/>
    </row>
    <row r="63" spans="2:7" ht="14.25" customHeight="1" x14ac:dyDescent="0.15">
      <c r="B63" s="251"/>
      <c r="C63" s="131"/>
      <c r="D63" s="217"/>
      <c r="E63" s="218"/>
      <c r="F63" s="218"/>
      <c r="G63" s="219"/>
    </row>
    <row r="64" spans="2:7" ht="14.25" customHeight="1" x14ac:dyDescent="0.15">
      <c r="B64" s="251"/>
      <c r="C64" s="131"/>
      <c r="D64" s="217"/>
      <c r="E64" s="218"/>
      <c r="F64" s="218"/>
      <c r="G64" s="219"/>
    </row>
    <row r="65" spans="2:7" ht="14.25" customHeight="1" x14ac:dyDescent="0.15">
      <c r="B65" s="251"/>
      <c r="C65" s="131"/>
      <c r="D65" s="217"/>
      <c r="E65" s="218"/>
      <c r="F65" s="218"/>
      <c r="G65" s="219"/>
    </row>
    <row r="66" spans="2:7" ht="14.25" customHeight="1" x14ac:dyDescent="0.15">
      <c r="B66" s="251"/>
      <c r="C66" s="131"/>
      <c r="D66" s="217"/>
      <c r="E66" s="218"/>
      <c r="F66" s="218"/>
      <c r="G66" s="219"/>
    </row>
    <row r="67" spans="2:7" ht="14.25" customHeight="1" x14ac:dyDescent="0.15">
      <c r="B67" s="251"/>
      <c r="C67" s="131"/>
      <c r="D67" s="217"/>
      <c r="E67" s="218"/>
      <c r="F67" s="218"/>
      <c r="G67" s="219"/>
    </row>
    <row r="68" spans="2:7" ht="14.25" customHeight="1" x14ac:dyDescent="0.15">
      <c r="B68" s="251"/>
      <c r="C68" s="131"/>
      <c r="D68" s="217"/>
      <c r="E68" s="218"/>
      <c r="F68" s="218"/>
      <c r="G68" s="219"/>
    </row>
    <row r="69" spans="2:7" ht="14.25" customHeight="1" x14ac:dyDescent="0.15">
      <c r="B69" s="251"/>
      <c r="C69" s="131"/>
      <c r="D69" s="217"/>
      <c r="E69" s="218"/>
      <c r="F69" s="218"/>
      <c r="G69" s="219"/>
    </row>
    <row r="70" spans="2:7" ht="14.25" customHeight="1" x14ac:dyDescent="0.15">
      <c r="B70" s="251"/>
      <c r="C70" s="131"/>
      <c r="D70" s="217"/>
      <c r="E70" s="218"/>
      <c r="F70" s="218"/>
      <c r="G70" s="219"/>
    </row>
    <row r="71" spans="2:7" ht="14.25" customHeight="1" x14ac:dyDescent="0.15">
      <c r="B71" s="251"/>
      <c r="C71" s="131"/>
      <c r="D71" s="217"/>
      <c r="E71" s="218"/>
      <c r="F71" s="218"/>
      <c r="G71" s="219"/>
    </row>
    <row r="72" spans="2:7" ht="14.25" customHeight="1" x14ac:dyDescent="0.15">
      <c r="B72" s="251"/>
      <c r="C72" s="131"/>
      <c r="D72" s="217"/>
      <c r="E72" s="218"/>
      <c r="F72" s="218"/>
      <c r="G72" s="219"/>
    </row>
    <row r="73" spans="2:7" ht="14.25" customHeight="1" x14ac:dyDescent="0.15">
      <c r="B73" s="251"/>
      <c r="C73" s="131"/>
      <c r="D73" s="217"/>
      <c r="E73" s="218"/>
      <c r="F73" s="218"/>
      <c r="G73" s="219"/>
    </row>
    <row r="74" spans="2:7" ht="14.25" customHeight="1" x14ac:dyDescent="0.15">
      <c r="B74" s="251"/>
      <c r="C74" s="131"/>
      <c r="D74" s="217"/>
      <c r="E74" s="218"/>
      <c r="F74" s="218"/>
      <c r="G74" s="219"/>
    </row>
    <row r="75" spans="2:7" ht="14.25" customHeight="1" x14ac:dyDescent="0.15">
      <c r="B75" s="251"/>
      <c r="C75" s="131"/>
      <c r="D75" s="217"/>
      <c r="E75" s="218"/>
      <c r="F75" s="218"/>
      <c r="G75" s="219"/>
    </row>
    <row r="76" spans="2:7" ht="18.75" customHeight="1" x14ac:dyDescent="0.15">
      <c r="B76" s="251" t="s">
        <v>113</v>
      </c>
      <c r="C76" s="224" t="s">
        <v>108</v>
      </c>
      <c r="D76" s="225"/>
      <c r="E76" s="225"/>
      <c r="F76" s="225"/>
      <c r="G76" s="226"/>
    </row>
    <row r="77" spans="2:7" ht="37.5" customHeight="1" x14ac:dyDescent="0.15">
      <c r="B77" s="251"/>
      <c r="C77" s="270" t="s">
        <v>230</v>
      </c>
      <c r="D77" s="271"/>
      <c r="E77" s="271"/>
      <c r="F77" s="271"/>
      <c r="G77" s="272"/>
    </row>
    <row r="78" spans="2:7" ht="37.5" customHeight="1" x14ac:dyDescent="0.15">
      <c r="B78" s="251"/>
      <c r="C78" s="273"/>
      <c r="D78" s="274"/>
      <c r="E78" s="274"/>
      <c r="F78" s="274"/>
      <c r="G78" s="275"/>
    </row>
    <row r="79" spans="2:7" ht="37.5" customHeight="1" x14ac:dyDescent="0.15">
      <c r="B79" s="251"/>
      <c r="C79" s="273"/>
      <c r="D79" s="274"/>
      <c r="E79" s="274"/>
      <c r="F79" s="274"/>
      <c r="G79" s="275"/>
    </row>
    <row r="80" spans="2:7" ht="37.5" customHeight="1" x14ac:dyDescent="0.15">
      <c r="B80" s="251"/>
      <c r="C80" s="273"/>
      <c r="D80" s="274"/>
      <c r="E80" s="274"/>
      <c r="F80" s="274"/>
      <c r="G80" s="275"/>
    </row>
    <row r="81" spans="2:7" ht="37.5" customHeight="1" x14ac:dyDescent="0.15">
      <c r="B81" s="251"/>
      <c r="C81" s="276"/>
      <c r="D81" s="277"/>
      <c r="E81" s="277"/>
      <c r="F81" s="277"/>
      <c r="G81" s="278"/>
    </row>
    <row r="82" spans="2:7" ht="18.75" customHeight="1" x14ac:dyDescent="0.15">
      <c r="B82" s="251"/>
      <c r="C82" s="74" t="s">
        <v>109</v>
      </c>
      <c r="D82" s="224" t="s">
        <v>110</v>
      </c>
      <c r="E82" s="225"/>
      <c r="F82" s="225"/>
      <c r="G82" s="226"/>
    </row>
    <row r="83" spans="2:7" ht="75" customHeight="1" x14ac:dyDescent="0.15">
      <c r="B83" s="251"/>
      <c r="C83" s="131" t="s">
        <v>176</v>
      </c>
      <c r="D83" s="220" t="s">
        <v>231</v>
      </c>
      <c r="E83" s="221"/>
      <c r="F83" s="221"/>
      <c r="G83" s="222"/>
    </row>
    <row r="84" spans="2:7" ht="18.75" customHeight="1" x14ac:dyDescent="0.15">
      <c r="B84" s="251"/>
      <c r="C84" s="131" t="s">
        <v>203</v>
      </c>
      <c r="D84" s="309" t="s">
        <v>232</v>
      </c>
      <c r="E84" s="310"/>
      <c r="F84" s="310"/>
      <c r="G84" s="311"/>
    </row>
    <row r="85" spans="2:7" ht="18.75" customHeight="1" x14ac:dyDescent="0.15">
      <c r="B85" s="251"/>
      <c r="C85" s="131"/>
      <c r="D85" s="217"/>
      <c r="E85" s="218"/>
      <c r="F85" s="218"/>
      <c r="G85" s="219"/>
    </row>
    <row r="86" spans="2:7" ht="15" customHeight="1" x14ac:dyDescent="0.15">
      <c r="B86" s="251"/>
      <c r="C86" s="131"/>
      <c r="D86" s="217"/>
      <c r="E86" s="218"/>
      <c r="F86" s="218"/>
      <c r="G86" s="219"/>
    </row>
    <row r="87" spans="2:7" ht="15" customHeight="1" x14ac:dyDescent="0.15">
      <c r="B87" s="251"/>
      <c r="C87" s="131"/>
      <c r="D87" s="217"/>
      <c r="E87" s="218"/>
      <c r="F87" s="218"/>
      <c r="G87" s="219"/>
    </row>
    <row r="88" spans="2:7" ht="15" customHeight="1" x14ac:dyDescent="0.15">
      <c r="B88" s="251"/>
      <c r="C88" s="131"/>
      <c r="D88" s="217"/>
      <c r="E88" s="218"/>
      <c r="F88" s="218"/>
      <c r="G88" s="219"/>
    </row>
    <row r="89" spans="2:7" ht="15" customHeight="1" x14ac:dyDescent="0.15">
      <c r="B89" s="251"/>
      <c r="C89" s="131"/>
      <c r="D89" s="217"/>
      <c r="E89" s="218"/>
      <c r="F89" s="218"/>
      <c r="G89" s="219"/>
    </row>
    <row r="90" spans="2:7" ht="15" customHeight="1" x14ac:dyDescent="0.15">
      <c r="B90" s="251"/>
      <c r="C90" s="131"/>
      <c r="D90" s="217"/>
      <c r="E90" s="218"/>
      <c r="F90" s="218"/>
      <c r="G90" s="219"/>
    </row>
    <row r="91" spans="2:7" ht="15" customHeight="1" x14ac:dyDescent="0.15">
      <c r="B91" s="251"/>
      <c r="C91" s="131"/>
      <c r="D91" s="217"/>
      <c r="E91" s="218"/>
      <c r="F91" s="218"/>
      <c r="G91" s="219"/>
    </row>
    <row r="92" spans="2:7" ht="15" customHeight="1" x14ac:dyDescent="0.15">
      <c r="B92" s="251"/>
      <c r="C92" s="131"/>
      <c r="D92" s="217"/>
      <c r="E92" s="218"/>
      <c r="F92" s="218"/>
      <c r="G92" s="219"/>
    </row>
    <row r="93" spans="2:7" ht="15" customHeight="1" x14ac:dyDescent="0.15">
      <c r="B93" s="251"/>
      <c r="C93" s="131"/>
      <c r="D93" s="217"/>
      <c r="E93" s="218"/>
      <c r="F93" s="218"/>
      <c r="G93" s="219"/>
    </row>
    <row r="94" spans="2:7" ht="15" customHeight="1" x14ac:dyDescent="0.15">
      <c r="B94" s="251"/>
      <c r="C94" s="131"/>
      <c r="D94" s="217"/>
      <c r="E94" s="218"/>
      <c r="F94" s="218"/>
      <c r="G94" s="219"/>
    </row>
    <row r="95" spans="2:7" ht="15" customHeight="1" x14ac:dyDescent="0.15">
      <c r="B95" s="251"/>
      <c r="C95" s="131"/>
      <c r="D95" s="217"/>
      <c r="E95" s="218"/>
      <c r="F95" s="218"/>
      <c r="G95" s="219"/>
    </row>
    <row r="96" spans="2:7" ht="15" customHeight="1" x14ac:dyDescent="0.15">
      <c r="B96" s="251"/>
      <c r="C96" s="131"/>
      <c r="D96" s="217"/>
      <c r="E96" s="218"/>
      <c r="F96" s="218"/>
      <c r="G96" s="219"/>
    </row>
    <row r="97" spans="2:7" ht="15" customHeight="1" x14ac:dyDescent="0.15">
      <c r="B97" s="251"/>
      <c r="C97" s="131"/>
      <c r="D97" s="217"/>
      <c r="E97" s="218"/>
      <c r="F97" s="218"/>
      <c r="G97" s="219"/>
    </row>
    <row r="98" spans="2:7" ht="15" customHeight="1" x14ac:dyDescent="0.15">
      <c r="B98" s="251"/>
      <c r="C98" s="131"/>
      <c r="D98" s="217"/>
      <c r="E98" s="218"/>
      <c r="F98" s="218"/>
      <c r="G98" s="219"/>
    </row>
    <row r="99" spans="2:7" ht="15" customHeight="1" x14ac:dyDescent="0.15">
      <c r="B99" s="251"/>
      <c r="C99" s="131"/>
      <c r="D99" s="217"/>
      <c r="E99" s="218"/>
      <c r="F99" s="218"/>
      <c r="G99" s="219"/>
    </row>
    <row r="100" spans="2:7" ht="15" customHeight="1" x14ac:dyDescent="0.15">
      <c r="B100" s="251"/>
      <c r="C100" s="131"/>
      <c r="D100" s="217"/>
      <c r="E100" s="218"/>
      <c r="F100" s="218"/>
      <c r="G100" s="219"/>
    </row>
    <row r="101" spans="2:7" ht="18.75" customHeight="1" x14ac:dyDescent="0.15">
      <c r="B101" s="251" t="s">
        <v>115</v>
      </c>
      <c r="C101" s="224" t="s">
        <v>108</v>
      </c>
      <c r="D101" s="225"/>
      <c r="E101" s="225"/>
      <c r="F101" s="225"/>
      <c r="G101" s="226"/>
    </row>
    <row r="102" spans="2:7" ht="37.5" customHeight="1" x14ac:dyDescent="0.15">
      <c r="B102" s="251"/>
      <c r="C102" s="270" t="s">
        <v>233</v>
      </c>
      <c r="D102" s="271"/>
      <c r="E102" s="271"/>
      <c r="F102" s="271"/>
      <c r="G102" s="272"/>
    </row>
    <row r="103" spans="2:7" ht="37.5" customHeight="1" x14ac:dyDescent="0.15">
      <c r="B103" s="251"/>
      <c r="C103" s="273"/>
      <c r="D103" s="274"/>
      <c r="E103" s="274"/>
      <c r="F103" s="274"/>
      <c r="G103" s="275"/>
    </row>
    <row r="104" spans="2:7" ht="37.5" customHeight="1" x14ac:dyDescent="0.15">
      <c r="B104" s="251"/>
      <c r="C104" s="273"/>
      <c r="D104" s="274"/>
      <c r="E104" s="274"/>
      <c r="F104" s="274"/>
      <c r="G104" s="275"/>
    </row>
    <row r="105" spans="2:7" ht="37.5" customHeight="1" x14ac:dyDescent="0.15">
      <c r="B105" s="251"/>
      <c r="C105" s="273"/>
      <c r="D105" s="274"/>
      <c r="E105" s="274"/>
      <c r="F105" s="274"/>
      <c r="G105" s="275"/>
    </row>
    <row r="106" spans="2:7" ht="37.5" customHeight="1" x14ac:dyDescent="0.15">
      <c r="B106" s="251"/>
      <c r="C106" s="276"/>
      <c r="D106" s="277"/>
      <c r="E106" s="277"/>
      <c r="F106" s="277"/>
      <c r="G106" s="278"/>
    </row>
    <row r="107" spans="2:7" ht="18.75" customHeight="1" x14ac:dyDescent="0.15">
      <c r="B107" s="251"/>
      <c r="C107" s="74" t="s">
        <v>109</v>
      </c>
      <c r="D107" s="224" t="s">
        <v>110</v>
      </c>
      <c r="E107" s="225"/>
      <c r="F107" s="225"/>
      <c r="G107" s="226"/>
    </row>
    <row r="108" spans="2:7" ht="37.5" customHeight="1" x14ac:dyDescent="0.15">
      <c r="B108" s="251"/>
      <c r="C108" s="131" t="s">
        <v>176</v>
      </c>
      <c r="D108" s="308" t="s">
        <v>254</v>
      </c>
      <c r="E108" s="265"/>
      <c r="F108" s="265"/>
      <c r="G108" s="266"/>
    </row>
    <row r="109" spans="2:7" ht="18.75" customHeight="1" x14ac:dyDescent="0.15">
      <c r="B109" s="251"/>
      <c r="C109" s="131" t="s">
        <v>175</v>
      </c>
      <c r="D109" s="309" t="s">
        <v>204</v>
      </c>
      <c r="E109" s="310"/>
      <c r="F109" s="310"/>
      <c r="G109" s="311"/>
    </row>
    <row r="110" spans="2:7" ht="18.75" customHeight="1" x14ac:dyDescent="0.15">
      <c r="B110" s="251"/>
      <c r="C110" s="131"/>
      <c r="D110" s="217"/>
      <c r="E110" s="218"/>
      <c r="F110" s="218"/>
      <c r="G110" s="219"/>
    </row>
    <row r="111" spans="2:7" ht="18.75" customHeight="1" x14ac:dyDescent="0.15">
      <c r="B111" s="251"/>
      <c r="C111" s="131"/>
      <c r="D111" s="217"/>
      <c r="E111" s="218"/>
      <c r="F111" s="218"/>
      <c r="G111" s="219"/>
    </row>
    <row r="112" spans="2:7" ht="18.75" customHeight="1" x14ac:dyDescent="0.15">
      <c r="B112" s="251"/>
      <c r="C112" s="131"/>
      <c r="D112" s="217"/>
      <c r="E112" s="218"/>
      <c r="F112" s="218"/>
      <c r="G112" s="219"/>
    </row>
    <row r="113" spans="1:7" ht="18.75" customHeight="1" x14ac:dyDescent="0.15">
      <c r="B113" s="251"/>
      <c r="C113" s="131"/>
      <c r="D113" s="217"/>
      <c r="E113" s="218"/>
      <c r="F113" s="218"/>
      <c r="G113" s="219"/>
    </row>
    <row r="114" spans="1:7" ht="18.75" customHeight="1" x14ac:dyDescent="0.15">
      <c r="B114" s="251"/>
      <c r="C114" s="131"/>
      <c r="D114" s="217"/>
      <c r="E114" s="218"/>
      <c r="F114" s="218"/>
      <c r="G114" s="219"/>
    </row>
    <row r="115" spans="1:7" ht="18.75" customHeight="1" x14ac:dyDescent="0.15">
      <c r="B115" s="251"/>
      <c r="C115" s="131"/>
      <c r="D115" s="217"/>
      <c r="E115" s="218"/>
      <c r="F115" s="218"/>
      <c r="G115" s="219"/>
    </row>
    <row r="116" spans="1:7" ht="18.75" customHeight="1" x14ac:dyDescent="0.15">
      <c r="B116" s="251"/>
      <c r="C116" s="131"/>
      <c r="D116" s="217"/>
      <c r="E116" s="218"/>
      <c r="F116" s="218"/>
      <c r="G116" s="219"/>
    </row>
    <row r="117" spans="1:7" ht="18.75" customHeight="1" x14ac:dyDescent="0.15">
      <c r="B117" s="251"/>
      <c r="C117" s="131"/>
      <c r="D117" s="217"/>
      <c r="E117" s="218"/>
      <c r="F117" s="218"/>
      <c r="G117" s="219"/>
    </row>
    <row r="118" spans="1:7" ht="18.75" customHeight="1" x14ac:dyDescent="0.15">
      <c r="B118" s="251"/>
      <c r="C118" s="131"/>
      <c r="D118" s="217"/>
      <c r="E118" s="218"/>
      <c r="F118" s="218"/>
      <c r="G118" s="219"/>
    </row>
    <row r="119" spans="1:7" ht="18.75" customHeight="1" x14ac:dyDescent="0.15">
      <c r="B119" s="251"/>
      <c r="C119" s="131"/>
      <c r="D119" s="217"/>
      <c r="E119" s="218"/>
      <c r="F119" s="218"/>
      <c r="G119" s="219"/>
    </row>
    <row r="120" spans="1:7" ht="18.75" customHeight="1" x14ac:dyDescent="0.15">
      <c r="B120" s="251"/>
      <c r="C120" s="131"/>
      <c r="D120" s="217"/>
      <c r="E120" s="218"/>
      <c r="F120" s="218"/>
      <c r="G120" s="219"/>
    </row>
    <row r="121" spans="1:7" ht="15" customHeight="1" x14ac:dyDescent="0.15">
      <c r="B121" s="251"/>
      <c r="C121" s="131"/>
      <c r="D121" s="217"/>
      <c r="E121" s="218"/>
      <c r="F121" s="218"/>
      <c r="G121" s="219"/>
    </row>
    <row r="122" spans="1:7" ht="15" customHeight="1" x14ac:dyDescent="0.15">
      <c r="B122" s="251"/>
      <c r="C122" s="131"/>
      <c r="D122" s="217"/>
      <c r="E122" s="218"/>
      <c r="F122" s="218"/>
      <c r="G122" s="219"/>
    </row>
    <row r="123" spans="1:7" ht="15" customHeight="1" x14ac:dyDescent="0.15">
      <c r="B123" s="251"/>
      <c r="C123" s="131"/>
      <c r="D123" s="217"/>
      <c r="E123" s="218"/>
      <c r="F123" s="218"/>
      <c r="G123" s="219"/>
    </row>
    <row r="124" spans="1:7" ht="15" customHeight="1" x14ac:dyDescent="0.15">
      <c r="B124" s="251"/>
      <c r="C124" s="131"/>
      <c r="D124" s="217"/>
      <c r="E124" s="218"/>
      <c r="F124" s="218"/>
      <c r="G124" s="219"/>
    </row>
    <row r="125" spans="1:7" ht="15" customHeight="1" x14ac:dyDescent="0.15">
      <c r="B125" s="251"/>
      <c r="C125" s="131"/>
      <c r="D125" s="217"/>
      <c r="E125" s="218"/>
      <c r="F125" s="218"/>
      <c r="G125" s="219"/>
    </row>
    <row r="126" spans="1:7" ht="18.75" customHeight="1" x14ac:dyDescent="0.15">
      <c r="A126" s="1" t="s">
        <v>12</v>
      </c>
      <c r="B126" s="1" t="s">
        <v>106</v>
      </c>
    </row>
    <row r="127" spans="1:7" ht="22.5" customHeight="1" x14ac:dyDescent="0.15">
      <c r="B127" s="131" t="s">
        <v>74</v>
      </c>
      <c r="C127" s="224" t="s">
        <v>105</v>
      </c>
      <c r="D127" s="225"/>
      <c r="E127" s="225"/>
      <c r="F127" s="225"/>
      <c r="G127" s="226"/>
    </row>
    <row r="128" spans="1:7" ht="45" customHeight="1" x14ac:dyDescent="0.15">
      <c r="B128" s="77" t="s">
        <v>76</v>
      </c>
      <c r="C128" s="248"/>
      <c r="D128" s="249"/>
      <c r="E128" s="249"/>
      <c r="F128" s="249"/>
      <c r="G128" s="250"/>
    </row>
    <row r="129" spans="1:7" ht="45" customHeight="1" x14ac:dyDescent="0.15">
      <c r="B129" s="77" t="s">
        <v>77</v>
      </c>
      <c r="C129" s="248"/>
      <c r="D129" s="249"/>
      <c r="E129" s="249"/>
      <c r="F129" s="249"/>
      <c r="G129" s="250"/>
    </row>
    <row r="130" spans="1:7" ht="45" customHeight="1" x14ac:dyDescent="0.15">
      <c r="B130" s="77" t="s">
        <v>78</v>
      </c>
      <c r="C130" s="248"/>
      <c r="D130" s="249"/>
      <c r="E130" s="249"/>
      <c r="F130" s="249"/>
      <c r="G130" s="250"/>
    </row>
    <row r="131" spans="1:7" ht="45" customHeight="1" x14ac:dyDescent="0.15">
      <c r="B131" s="77" t="s">
        <v>79</v>
      </c>
      <c r="C131" s="248"/>
      <c r="D131" s="249"/>
      <c r="E131" s="249"/>
      <c r="F131" s="249"/>
      <c r="G131" s="250"/>
    </row>
    <row r="132" spans="1:7" ht="45" customHeight="1" x14ac:dyDescent="0.15">
      <c r="B132" s="77" t="s">
        <v>80</v>
      </c>
      <c r="C132" s="248"/>
      <c r="D132" s="249"/>
      <c r="E132" s="249"/>
      <c r="F132" s="249"/>
      <c r="G132" s="250"/>
    </row>
    <row r="133" spans="1:7" ht="45" customHeight="1" x14ac:dyDescent="0.15">
      <c r="B133" s="77" t="s">
        <v>81</v>
      </c>
      <c r="C133" s="248"/>
      <c r="D133" s="249"/>
      <c r="E133" s="249"/>
      <c r="F133" s="249"/>
      <c r="G133" s="250"/>
    </row>
    <row r="134" spans="1:7" ht="45" customHeight="1" x14ac:dyDescent="0.15">
      <c r="B134" s="77" t="s">
        <v>82</v>
      </c>
      <c r="C134" s="248"/>
      <c r="D134" s="249"/>
      <c r="E134" s="249"/>
      <c r="F134" s="249"/>
      <c r="G134" s="250"/>
    </row>
    <row r="135" spans="1:7" ht="45" customHeight="1" x14ac:dyDescent="0.15">
      <c r="B135" s="77" t="s">
        <v>83</v>
      </c>
      <c r="C135" s="248"/>
      <c r="D135" s="249"/>
      <c r="E135" s="249"/>
      <c r="F135" s="249"/>
      <c r="G135" s="250"/>
    </row>
    <row r="136" spans="1:7" ht="45" customHeight="1" x14ac:dyDescent="0.15">
      <c r="B136" s="77" t="s">
        <v>84</v>
      </c>
      <c r="C136" s="248"/>
      <c r="D136" s="249"/>
      <c r="E136" s="249"/>
      <c r="F136" s="249"/>
      <c r="G136" s="250"/>
    </row>
    <row r="137" spans="1:7" ht="7.5" customHeight="1" x14ac:dyDescent="0.15"/>
    <row r="138" spans="1:7" ht="18.75" customHeight="1" x14ac:dyDescent="0.15">
      <c r="A138" s="1" t="s">
        <v>13</v>
      </c>
      <c r="B138" s="1" t="s">
        <v>100</v>
      </c>
      <c r="E138" s="245" t="s">
        <v>206</v>
      </c>
      <c r="F138" s="246"/>
      <c r="G138" s="247"/>
    </row>
    <row r="139" spans="1:7" ht="7.5" customHeight="1" x14ac:dyDescent="0.15"/>
    <row r="140" spans="1:7" ht="18.75" customHeight="1" x14ac:dyDescent="0.15">
      <c r="A140" s="1" t="s">
        <v>17</v>
      </c>
      <c r="B140" s="1" t="s">
        <v>102</v>
      </c>
    </row>
    <row r="141" spans="1:7" ht="18.75" customHeight="1" x14ac:dyDescent="0.15">
      <c r="B141" s="299" t="s">
        <v>222</v>
      </c>
      <c r="C141" s="300"/>
      <c r="D141" s="300"/>
      <c r="E141" s="300"/>
      <c r="F141" s="300"/>
      <c r="G141" s="301"/>
    </row>
    <row r="142" spans="1:7" ht="18.75" customHeight="1" x14ac:dyDescent="0.15">
      <c r="B142" s="302"/>
      <c r="C142" s="303"/>
      <c r="D142" s="303"/>
      <c r="E142" s="303"/>
      <c r="F142" s="303"/>
      <c r="G142" s="304"/>
    </row>
    <row r="143" spans="1:7" ht="18.75" customHeight="1" x14ac:dyDescent="0.15">
      <c r="B143" s="302"/>
      <c r="C143" s="303"/>
      <c r="D143" s="303"/>
      <c r="E143" s="303"/>
      <c r="F143" s="303"/>
      <c r="G143" s="304"/>
    </row>
    <row r="144" spans="1:7" ht="18.75" customHeight="1" x14ac:dyDescent="0.15">
      <c r="B144" s="305"/>
      <c r="C144" s="306"/>
      <c r="D144" s="306"/>
      <c r="E144" s="306"/>
      <c r="F144" s="306"/>
      <c r="G144" s="307"/>
    </row>
    <row r="145" ht="18.75" customHeight="1" x14ac:dyDescent="0.15"/>
    <row r="146" ht="18.75" customHeight="1" x14ac:dyDescent="0.15"/>
    <row r="147" ht="18.75" customHeight="1" x14ac:dyDescent="0.15"/>
    <row r="148" ht="18.75" customHeight="1" x14ac:dyDescent="0.15"/>
    <row r="149" ht="18.75" customHeight="1" x14ac:dyDescent="0.15"/>
    <row r="150" ht="18.75" customHeight="1" x14ac:dyDescent="0.15"/>
  </sheetData>
  <mergeCells count="120">
    <mergeCell ref="D16:G16"/>
    <mergeCell ref="D17:G17"/>
    <mergeCell ref="D18:G18"/>
    <mergeCell ref="D19:G19"/>
    <mergeCell ref="D20:G20"/>
    <mergeCell ref="D21:G21"/>
    <mergeCell ref="A3:G3"/>
    <mergeCell ref="C5:G5"/>
    <mergeCell ref="B6:B25"/>
    <mergeCell ref="C6:G9"/>
    <mergeCell ref="D10:G10"/>
    <mergeCell ref="D11:G11"/>
    <mergeCell ref="D12:G12"/>
    <mergeCell ref="D13:G13"/>
    <mergeCell ref="D14:G14"/>
    <mergeCell ref="D15:G15"/>
    <mergeCell ref="D22:G22"/>
    <mergeCell ref="D23:G23"/>
    <mergeCell ref="D24:G24"/>
    <mergeCell ref="D25:G25"/>
    <mergeCell ref="B26:B50"/>
    <mergeCell ref="C26:G26"/>
    <mergeCell ref="C27:G31"/>
    <mergeCell ref="D32:G32"/>
    <mergeCell ref="D33:G33"/>
    <mergeCell ref="D34:G34"/>
    <mergeCell ref="D41:G41"/>
    <mergeCell ref="D42:G42"/>
    <mergeCell ref="D43:G43"/>
    <mergeCell ref="D44:G44"/>
    <mergeCell ref="D45:G45"/>
    <mergeCell ref="D46:G46"/>
    <mergeCell ref="D35:G35"/>
    <mergeCell ref="D36:G36"/>
    <mergeCell ref="D37:G37"/>
    <mergeCell ref="D38:G38"/>
    <mergeCell ref="D39:G39"/>
    <mergeCell ref="D40:G40"/>
    <mergeCell ref="D47:G47"/>
    <mergeCell ref="D48:G48"/>
    <mergeCell ref="D49:G49"/>
    <mergeCell ref="D50:G50"/>
    <mergeCell ref="B51:B75"/>
    <mergeCell ref="C51:G51"/>
    <mergeCell ref="C52:G56"/>
    <mergeCell ref="D57:G57"/>
    <mergeCell ref="D58:G58"/>
    <mergeCell ref="D59:G59"/>
    <mergeCell ref="D66:G66"/>
    <mergeCell ref="D67:G67"/>
    <mergeCell ref="D68:G68"/>
    <mergeCell ref="D69:G69"/>
    <mergeCell ref="D70:G70"/>
    <mergeCell ref="D71:G71"/>
    <mergeCell ref="D60:G60"/>
    <mergeCell ref="D61:G61"/>
    <mergeCell ref="D62:G62"/>
    <mergeCell ref="D63:G63"/>
    <mergeCell ref="D64:G64"/>
    <mergeCell ref="D65:G65"/>
    <mergeCell ref="D85:G85"/>
    <mergeCell ref="D86:G86"/>
    <mergeCell ref="D87:G87"/>
    <mergeCell ref="D88:G88"/>
    <mergeCell ref="D89:G89"/>
    <mergeCell ref="D90:G90"/>
    <mergeCell ref="D72:G72"/>
    <mergeCell ref="D73:G73"/>
    <mergeCell ref="D74:G74"/>
    <mergeCell ref="D75:G75"/>
    <mergeCell ref="C76:G76"/>
    <mergeCell ref="C77:G81"/>
    <mergeCell ref="D82:G82"/>
    <mergeCell ref="D83:G83"/>
    <mergeCell ref="D84:G84"/>
    <mergeCell ref="B101:B125"/>
    <mergeCell ref="C101:G101"/>
    <mergeCell ref="C102:G106"/>
    <mergeCell ref="D107:G107"/>
    <mergeCell ref="D108:G108"/>
    <mergeCell ref="D109:G109"/>
    <mergeCell ref="D91:G91"/>
    <mergeCell ref="D92:G92"/>
    <mergeCell ref="D93:G93"/>
    <mergeCell ref="D94:G94"/>
    <mergeCell ref="D95:G95"/>
    <mergeCell ref="D96:G96"/>
    <mergeCell ref="B76:B100"/>
    <mergeCell ref="D110:G110"/>
    <mergeCell ref="D111:G111"/>
    <mergeCell ref="D112:G112"/>
    <mergeCell ref="D113:G113"/>
    <mergeCell ref="D114:G114"/>
    <mergeCell ref="D115:G115"/>
    <mergeCell ref="D97:G97"/>
    <mergeCell ref="D98:G98"/>
    <mergeCell ref="D99:G99"/>
    <mergeCell ref="D100:G100"/>
    <mergeCell ref="D122:G122"/>
    <mergeCell ref="D123:G123"/>
    <mergeCell ref="D124:G124"/>
    <mergeCell ref="D125:G125"/>
    <mergeCell ref="C127:G127"/>
    <mergeCell ref="C128:G128"/>
    <mergeCell ref="D116:G116"/>
    <mergeCell ref="D117:G117"/>
    <mergeCell ref="D118:G118"/>
    <mergeCell ref="D119:G119"/>
    <mergeCell ref="D120:G120"/>
    <mergeCell ref="D121:G121"/>
    <mergeCell ref="C135:G135"/>
    <mergeCell ref="C136:G136"/>
    <mergeCell ref="E138:G138"/>
    <mergeCell ref="B141:G144"/>
    <mergeCell ref="C129:G129"/>
    <mergeCell ref="C130:G130"/>
    <mergeCell ref="C131:G131"/>
    <mergeCell ref="C132:G132"/>
    <mergeCell ref="C133:G133"/>
    <mergeCell ref="C134:G134"/>
  </mergeCells>
  <phoneticPr fontId="1"/>
  <hyperlinks>
    <hyperlink ref="E138" r:id="rId1"/>
  </hyperlinks>
  <printOptions horizontalCentered="1"/>
  <pageMargins left="0.78740157480314965" right="0.78740157480314965" top="0.59055118110236227" bottom="0.39370078740157483" header="0.31496062992125984" footer="0.31496062992125984"/>
  <pageSetup paperSize="9" orientation="landscape"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50"/>
  <sheetViews>
    <sheetView workbookViewId="0"/>
  </sheetViews>
  <sheetFormatPr defaultRowHeight="14.25" x14ac:dyDescent="0.15"/>
  <cols>
    <col min="1" max="1" width="2.5" style="1" customWidth="1"/>
    <col min="2" max="2" width="19" style="1" customWidth="1"/>
    <col min="3" max="3" width="25" style="1" customWidth="1"/>
    <col min="4" max="4" width="10" style="1" customWidth="1"/>
    <col min="5" max="7" width="25" style="1" customWidth="1"/>
    <col min="8" max="16384" width="9" style="1"/>
  </cols>
  <sheetData>
    <row r="1" spans="1:7" ht="18.75" customHeight="1" x14ac:dyDescent="0.15">
      <c r="G1" s="129" t="s">
        <v>159</v>
      </c>
    </row>
    <row r="2" spans="1:7" ht="18.75" customHeight="1" x14ac:dyDescent="0.15">
      <c r="F2" s="129" t="s">
        <v>32</v>
      </c>
      <c r="G2" s="1" t="s">
        <v>155</v>
      </c>
    </row>
    <row r="3" spans="1:7" ht="18.75" customHeight="1" x14ac:dyDescent="0.15">
      <c r="A3" s="223" t="s">
        <v>96</v>
      </c>
      <c r="B3" s="223"/>
      <c r="C3" s="223"/>
      <c r="D3" s="223"/>
      <c r="E3" s="223"/>
      <c r="F3" s="223"/>
      <c r="G3" s="223"/>
    </row>
    <row r="4" spans="1:7" ht="18.75" customHeight="1" x14ac:dyDescent="0.15">
      <c r="A4" s="1" t="s">
        <v>7</v>
      </c>
      <c r="B4" s="1" t="s">
        <v>95</v>
      </c>
    </row>
    <row r="5" spans="1:7" s="130" customFormat="1" ht="18.75" customHeight="1" x14ac:dyDescent="0.15">
      <c r="B5" s="131" t="s">
        <v>74</v>
      </c>
      <c r="C5" s="224" t="s">
        <v>108</v>
      </c>
      <c r="D5" s="225"/>
      <c r="E5" s="225"/>
      <c r="F5" s="225"/>
      <c r="G5" s="226"/>
    </row>
    <row r="6" spans="1:7" s="130" customFormat="1" ht="45" customHeight="1" x14ac:dyDescent="0.15">
      <c r="B6" s="251" t="s">
        <v>111</v>
      </c>
      <c r="C6" s="227" t="s">
        <v>237</v>
      </c>
      <c r="D6" s="319"/>
      <c r="E6" s="319"/>
      <c r="F6" s="319"/>
      <c r="G6" s="320"/>
    </row>
    <row r="7" spans="1:7" s="130" customFormat="1" ht="45" customHeight="1" x14ac:dyDescent="0.15">
      <c r="B7" s="251"/>
      <c r="C7" s="321"/>
      <c r="D7" s="322"/>
      <c r="E7" s="322"/>
      <c r="F7" s="322"/>
      <c r="G7" s="323"/>
    </row>
    <row r="8" spans="1:7" s="130" customFormat="1" ht="45" customHeight="1" x14ac:dyDescent="0.15">
      <c r="B8" s="251"/>
      <c r="C8" s="321"/>
      <c r="D8" s="322"/>
      <c r="E8" s="322"/>
      <c r="F8" s="322"/>
      <c r="G8" s="323"/>
    </row>
    <row r="9" spans="1:7" s="130" customFormat="1" ht="45" customHeight="1" x14ac:dyDescent="0.15">
      <c r="B9" s="251"/>
      <c r="C9" s="324"/>
      <c r="D9" s="325"/>
      <c r="E9" s="325"/>
      <c r="F9" s="325"/>
      <c r="G9" s="326"/>
    </row>
    <row r="10" spans="1:7" s="130" customFormat="1" ht="18.75" customHeight="1" x14ac:dyDescent="0.15">
      <c r="B10" s="251"/>
      <c r="C10" s="74" t="s">
        <v>109</v>
      </c>
      <c r="D10" s="261" t="s">
        <v>110</v>
      </c>
      <c r="E10" s="262"/>
      <c r="F10" s="262"/>
      <c r="G10" s="263"/>
    </row>
    <row r="11" spans="1:7" s="130" customFormat="1" ht="56.25" customHeight="1" x14ac:dyDescent="0.15">
      <c r="B11" s="251"/>
      <c r="C11" s="133" t="s">
        <v>185</v>
      </c>
      <c r="D11" s="264" t="s">
        <v>220</v>
      </c>
      <c r="E11" s="265"/>
      <c r="F11" s="265"/>
      <c r="G11" s="266"/>
    </row>
    <row r="12" spans="1:7" s="130" customFormat="1" ht="18.75" customHeight="1" x14ac:dyDescent="0.15">
      <c r="B12" s="251"/>
      <c r="C12" s="134" t="s">
        <v>187</v>
      </c>
      <c r="D12" s="313" t="s">
        <v>211</v>
      </c>
      <c r="E12" s="314"/>
      <c r="F12" s="314"/>
      <c r="G12" s="315"/>
    </row>
    <row r="13" spans="1:7" s="130" customFormat="1" ht="18.75" customHeight="1" x14ac:dyDescent="0.15">
      <c r="B13" s="251"/>
      <c r="C13" s="126"/>
      <c r="D13" s="267"/>
      <c r="E13" s="268"/>
      <c r="F13" s="268"/>
      <c r="G13" s="269"/>
    </row>
    <row r="14" spans="1:7" s="130" customFormat="1" ht="18.75" customHeight="1" x14ac:dyDescent="0.15">
      <c r="B14" s="251"/>
      <c r="C14" s="126"/>
      <c r="D14" s="267"/>
      <c r="E14" s="268"/>
      <c r="F14" s="268"/>
      <c r="G14" s="269"/>
    </row>
    <row r="15" spans="1:7" s="130" customFormat="1" ht="18.75" customHeight="1" x14ac:dyDescent="0.15">
      <c r="B15" s="251"/>
      <c r="C15" s="131"/>
      <c r="D15" s="224"/>
      <c r="E15" s="225"/>
      <c r="F15" s="225"/>
      <c r="G15" s="226"/>
    </row>
    <row r="16" spans="1:7" s="130" customFormat="1" ht="15" customHeight="1" x14ac:dyDescent="0.15">
      <c r="B16" s="251"/>
      <c r="C16" s="131"/>
      <c r="D16" s="224"/>
      <c r="E16" s="225"/>
      <c r="F16" s="225"/>
      <c r="G16" s="226"/>
    </row>
    <row r="17" spans="2:8" s="130" customFormat="1" ht="15" customHeight="1" x14ac:dyDescent="0.15">
      <c r="B17" s="251"/>
      <c r="C17" s="131"/>
      <c r="D17" s="224"/>
      <c r="E17" s="225"/>
      <c r="F17" s="225"/>
      <c r="G17" s="226"/>
    </row>
    <row r="18" spans="2:8" s="130" customFormat="1" ht="15" customHeight="1" x14ac:dyDescent="0.15">
      <c r="B18" s="251"/>
      <c r="C18" s="131"/>
      <c r="D18" s="224"/>
      <c r="E18" s="225"/>
      <c r="F18" s="225"/>
      <c r="G18" s="226"/>
    </row>
    <row r="19" spans="2:8" s="130" customFormat="1" ht="15" customHeight="1" x14ac:dyDescent="0.15">
      <c r="B19" s="251"/>
      <c r="C19" s="131"/>
      <c r="D19" s="224"/>
      <c r="E19" s="225"/>
      <c r="F19" s="225"/>
      <c r="G19" s="226"/>
    </row>
    <row r="20" spans="2:8" s="130" customFormat="1" ht="15" customHeight="1" x14ac:dyDescent="0.15">
      <c r="B20" s="251"/>
      <c r="C20" s="131"/>
      <c r="D20" s="224"/>
      <c r="E20" s="225"/>
      <c r="F20" s="225"/>
      <c r="G20" s="226"/>
    </row>
    <row r="21" spans="2:8" s="130" customFormat="1" ht="15" customHeight="1" x14ac:dyDescent="0.15">
      <c r="B21" s="251"/>
      <c r="C21" s="131"/>
      <c r="D21" s="224"/>
      <c r="E21" s="225"/>
      <c r="F21" s="225"/>
      <c r="G21" s="226"/>
    </row>
    <row r="22" spans="2:8" s="130" customFormat="1" ht="15" customHeight="1" x14ac:dyDescent="0.15">
      <c r="B22" s="251"/>
      <c r="C22" s="131"/>
      <c r="D22" s="224"/>
      <c r="E22" s="225"/>
      <c r="F22" s="225"/>
      <c r="G22" s="226"/>
    </row>
    <row r="23" spans="2:8" s="130" customFormat="1" ht="15" customHeight="1" x14ac:dyDescent="0.15">
      <c r="B23" s="251"/>
      <c r="C23" s="131"/>
      <c r="D23" s="224"/>
      <c r="E23" s="225"/>
      <c r="F23" s="225"/>
      <c r="G23" s="226"/>
    </row>
    <row r="24" spans="2:8" s="130" customFormat="1" ht="15" customHeight="1" x14ac:dyDescent="0.15">
      <c r="B24" s="251"/>
      <c r="C24" s="131"/>
      <c r="D24" s="224"/>
      <c r="E24" s="225"/>
      <c r="F24" s="225"/>
      <c r="G24" s="226"/>
    </row>
    <row r="25" spans="2:8" s="130" customFormat="1" ht="15" customHeight="1" x14ac:dyDescent="0.15">
      <c r="B25" s="251"/>
      <c r="C25" s="131"/>
      <c r="D25" s="224"/>
      <c r="E25" s="225"/>
      <c r="F25" s="225"/>
      <c r="G25" s="226"/>
    </row>
    <row r="26" spans="2:8" ht="18.75" customHeight="1" x14ac:dyDescent="0.15">
      <c r="B26" s="251" t="s">
        <v>112</v>
      </c>
      <c r="C26" s="224" t="s">
        <v>108</v>
      </c>
      <c r="D26" s="225"/>
      <c r="E26" s="225"/>
      <c r="F26" s="225"/>
      <c r="G26" s="226"/>
    </row>
    <row r="27" spans="2:8" ht="37.5" customHeight="1" x14ac:dyDescent="0.15">
      <c r="B27" s="251"/>
      <c r="C27" s="252" t="s">
        <v>248</v>
      </c>
      <c r="D27" s="253"/>
      <c r="E27" s="253"/>
      <c r="F27" s="253"/>
      <c r="G27" s="254"/>
      <c r="H27" s="138"/>
    </row>
    <row r="28" spans="2:8" ht="37.5" customHeight="1" x14ac:dyDescent="0.15">
      <c r="B28" s="251"/>
      <c r="C28" s="255"/>
      <c r="D28" s="256"/>
      <c r="E28" s="256"/>
      <c r="F28" s="256"/>
      <c r="G28" s="257"/>
    </row>
    <row r="29" spans="2:8" ht="37.5" customHeight="1" x14ac:dyDescent="0.15">
      <c r="B29" s="251"/>
      <c r="C29" s="255"/>
      <c r="D29" s="256"/>
      <c r="E29" s="256"/>
      <c r="F29" s="256"/>
      <c r="G29" s="257"/>
    </row>
    <row r="30" spans="2:8" ht="37.5" customHeight="1" x14ac:dyDescent="0.15">
      <c r="B30" s="251"/>
      <c r="C30" s="255"/>
      <c r="D30" s="256"/>
      <c r="E30" s="256"/>
      <c r="F30" s="256"/>
      <c r="G30" s="257"/>
    </row>
    <row r="31" spans="2:8" ht="37.5" customHeight="1" x14ac:dyDescent="0.15">
      <c r="B31" s="251"/>
      <c r="C31" s="258"/>
      <c r="D31" s="259"/>
      <c r="E31" s="259"/>
      <c r="F31" s="259"/>
      <c r="G31" s="260"/>
    </row>
    <row r="32" spans="2:8" ht="18.75" customHeight="1" x14ac:dyDescent="0.15">
      <c r="B32" s="251"/>
      <c r="C32" s="74" t="s">
        <v>109</v>
      </c>
      <c r="D32" s="224" t="s">
        <v>110</v>
      </c>
      <c r="E32" s="225"/>
      <c r="F32" s="225"/>
      <c r="G32" s="226"/>
    </row>
    <row r="33" spans="2:7" ht="56.25" customHeight="1" x14ac:dyDescent="0.15">
      <c r="B33" s="251"/>
      <c r="C33" s="131" t="s">
        <v>183</v>
      </c>
      <c r="D33" s="220" t="s">
        <v>234</v>
      </c>
      <c r="E33" s="221"/>
      <c r="F33" s="221"/>
      <c r="G33" s="222"/>
    </row>
    <row r="34" spans="2:7" ht="18.75" customHeight="1" x14ac:dyDescent="0.15">
      <c r="B34" s="251"/>
      <c r="C34" s="131" t="s">
        <v>186</v>
      </c>
      <c r="D34" s="309" t="s">
        <v>212</v>
      </c>
      <c r="E34" s="310"/>
      <c r="F34" s="310"/>
      <c r="G34" s="311"/>
    </row>
    <row r="35" spans="2:7" ht="18.75" customHeight="1" x14ac:dyDescent="0.15">
      <c r="B35" s="251"/>
      <c r="C35" s="131"/>
      <c r="D35" s="217"/>
      <c r="E35" s="218"/>
      <c r="F35" s="218"/>
      <c r="G35" s="219"/>
    </row>
    <row r="36" spans="2:7" ht="18.75" customHeight="1" x14ac:dyDescent="0.15">
      <c r="B36" s="251"/>
      <c r="C36" s="131"/>
      <c r="D36" s="217"/>
      <c r="E36" s="218"/>
      <c r="F36" s="218"/>
      <c r="G36" s="219"/>
    </row>
    <row r="37" spans="2:7" ht="18.75" customHeight="1" x14ac:dyDescent="0.15">
      <c r="B37" s="251"/>
      <c r="C37" s="131"/>
      <c r="D37" s="217"/>
      <c r="E37" s="218"/>
      <c r="F37" s="218"/>
      <c r="G37" s="219"/>
    </row>
    <row r="38" spans="2:7" ht="18.75" customHeight="1" x14ac:dyDescent="0.15">
      <c r="B38" s="251"/>
      <c r="C38" s="131"/>
      <c r="D38" s="217"/>
      <c r="E38" s="218"/>
      <c r="F38" s="218"/>
      <c r="G38" s="219"/>
    </row>
    <row r="39" spans="2:7" ht="18.75" customHeight="1" x14ac:dyDescent="0.15">
      <c r="B39" s="251"/>
      <c r="C39" s="131"/>
      <c r="D39" s="217"/>
      <c r="E39" s="218"/>
      <c r="F39" s="218"/>
      <c r="G39" s="219"/>
    </row>
    <row r="40" spans="2:7" ht="18.75" customHeight="1" x14ac:dyDescent="0.15">
      <c r="B40" s="251"/>
      <c r="C40" s="131"/>
      <c r="D40" s="217"/>
      <c r="E40" s="218"/>
      <c r="F40" s="218"/>
      <c r="G40" s="219"/>
    </row>
    <row r="41" spans="2:7" ht="15" customHeight="1" x14ac:dyDescent="0.15">
      <c r="B41" s="251"/>
      <c r="C41" s="131"/>
      <c r="D41" s="217"/>
      <c r="E41" s="218"/>
      <c r="F41" s="218"/>
      <c r="G41" s="219"/>
    </row>
    <row r="42" spans="2:7" ht="15" customHeight="1" x14ac:dyDescent="0.15">
      <c r="B42" s="251"/>
      <c r="C42" s="131"/>
      <c r="D42" s="217"/>
      <c r="E42" s="218"/>
      <c r="F42" s="218"/>
      <c r="G42" s="219"/>
    </row>
    <row r="43" spans="2:7" ht="15" customHeight="1" x14ac:dyDescent="0.15">
      <c r="B43" s="251"/>
      <c r="C43" s="131"/>
      <c r="D43" s="217"/>
      <c r="E43" s="218"/>
      <c r="F43" s="218"/>
      <c r="G43" s="219"/>
    </row>
    <row r="44" spans="2:7" ht="15" customHeight="1" x14ac:dyDescent="0.15">
      <c r="B44" s="251"/>
      <c r="C44" s="131"/>
      <c r="D44" s="217"/>
      <c r="E44" s="218"/>
      <c r="F44" s="218"/>
      <c r="G44" s="219"/>
    </row>
    <row r="45" spans="2:7" ht="15" customHeight="1" x14ac:dyDescent="0.15">
      <c r="B45" s="251"/>
      <c r="C45" s="131"/>
      <c r="D45" s="217"/>
      <c r="E45" s="218"/>
      <c r="F45" s="218"/>
      <c r="G45" s="219"/>
    </row>
    <row r="46" spans="2:7" ht="15" customHeight="1" x14ac:dyDescent="0.15">
      <c r="B46" s="251"/>
      <c r="C46" s="131"/>
      <c r="D46" s="217"/>
      <c r="E46" s="218"/>
      <c r="F46" s="218"/>
      <c r="G46" s="219"/>
    </row>
    <row r="47" spans="2:7" ht="15" customHeight="1" x14ac:dyDescent="0.15">
      <c r="B47" s="251"/>
      <c r="C47" s="131"/>
      <c r="D47" s="217"/>
      <c r="E47" s="218"/>
      <c r="F47" s="218"/>
      <c r="G47" s="219"/>
    </row>
    <row r="48" spans="2:7" ht="15" customHeight="1" x14ac:dyDescent="0.15">
      <c r="B48" s="251"/>
      <c r="C48" s="131"/>
      <c r="D48" s="217"/>
      <c r="E48" s="218"/>
      <c r="F48" s="218"/>
      <c r="G48" s="219"/>
    </row>
    <row r="49" spans="2:8" ht="15" customHeight="1" x14ac:dyDescent="0.15">
      <c r="B49" s="251"/>
      <c r="C49" s="131"/>
      <c r="D49" s="217"/>
      <c r="E49" s="218"/>
      <c r="F49" s="218"/>
      <c r="G49" s="219"/>
    </row>
    <row r="50" spans="2:8" ht="15" customHeight="1" x14ac:dyDescent="0.15">
      <c r="B50" s="251"/>
      <c r="C50" s="131"/>
      <c r="D50" s="217"/>
      <c r="E50" s="218"/>
      <c r="F50" s="218"/>
      <c r="G50" s="219"/>
    </row>
    <row r="51" spans="2:8" ht="18.75" customHeight="1" x14ac:dyDescent="0.15">
      <c r="B51" s="251" t="s">
        <v>114</v>
      </c>
      <c r="C51" s="224" t="s">
        <v>108</v>
      </c>
      <c r="D51" s="225"/>
      <c r="E51" s="225"/>
      <c r="F51" s="225"/>
      <c r="G51" s="226"/>
    </row>
    <row r="52" spans="2:8" ht="37.5" customHeight="1" x14ac:dyDescent="0.15">
      <c r="B52" s="251"/>
      <c r="C52" s="252" t="s">
        <v>249</v>
      </c>
      <c r="D52" s="253"/>
      <c r="E52" s="253"/>
      <c r="F52" s="253"/>
      <c r="G52" s="254"/>
      <c r="H52" s="138"/>
    </row>
    <row r="53" spans="2:8" ht="37.5" customHeight="1" x14ac:dyDescent="0.15">
      <c r="B53" s="251"/>
      <c r="C53" s="255"/>
      <c r="D53" s="256"/>
      <c r="E53" s="256"/>
      <c r="F53" s="256"/>
      <c r="G53" s="257"/>
    </row>
    <row r="54" spans="2:8" ht="37.5" customHeight="1" x14ac:dyDescent="0.15">
      <c r="B54" s="251"/>
      <c r="C54" s="255"/>
      <c r="D54" s="256"/>
      <c r="E54" s="256"/>
      <c r="F54" s="256"/>
      <c r="G54" s="257"/>
    </row>
    <row r="55" spans="2:8" ht="37.5" customHeight="1" x14ac:dyDescent="0.15">
      <c r="B55" s="251"/>
      <c r="C55" s="255"/>
      <c r="D55" s="256"/>
      <c r="E55" s="256"/>
      <c r="F55" s="256"/>
      <c r="G55" s="257"/>
    </row>
    <row r="56" spans="2:8" ht="37.5" customHeight="1" x14ac:dyDescent="0.15">
      <c r="B56" s="251"/>
      <c r="C56" s="258"/>
      <c r="D56" s="259"/>
      <c r="E56" s="259"/>
      <c r="F56" s="259"/>
      <c r="G56" s="260"/>
    </row>
    <row r="57" spans="2:8" ht="18.75" customHeight="1" x14ac:dyDescent="0.15">
      <c r="B57" s="251"/>
      <c r="C57" s="74" t="s">
        <v>109</v>
      </c>
      <c r="D57" s="224" t="s">
        <v>110</v>
      </c>
      <c r="E57" s="225"/>
      <c r="F57" s="225"/>
      <c r="G57" s="226"/>
    </row>
    <row r="58" spans="2:8" ht="56.25" customHeight="1" x14ac:dyDescent="0.15">
      <c r="B58" s="251"/>
      <c r="C58" s="131" t="s">
        <v>183</v>
      </c>
      <c r="D58" s="220" t="s">
        <v>208</v>
      </c>
      <c r="E58" s="221"/>
      <c r="F58" s="221"/>
      <c r="G58" s="222"/>
    </row>
    <row r="59" spans="2:8" ht="18.75" customHeight="1" x14ac:dyDescent="0.15">
      <c r="B59" s="251"/>
      <c r="C59" s="131" t="s">
        <v>186</v>
      </c>
      <c r="D59" s="309" t="s">
        <v>213</v>
      </c>
      <c r="E59" s="310"/>
      <c r="F59" s="310"/>
      <c r="G59" s="311"/>
    </row>
    <row r="60" spans="2:8" ht="18.75" customHeight="1" x14ac:dyDescent="0.15">
      <c r="B60" s="251"/>
      <c r="C60" s="131"/>
      <c r="D60" s="217"/>
      <c r="E60" s="218"/>
      <c r="F60" s="218"/>
      <c r="G60" s="219"/>
    </row>
    <row r="61" spans="2:8" ht="18.75" customHeight="1" x14ac:dyDescent="0.15">
      <c r="B61" s="251"/>
      <c r="C61" s="131"/>
      <c r="D61" s="217"/>
      <c r="E61" s="218"/>
      <c r="F61" s="218"/>
      <c r="G61" s="219"/>
    </row>
    <row r="62" spans="2:8" ht="18.75" customHeight="1" x14ac:dyDescent="0.15">
      <c r="B62" s="251"/>
      <c r="C62" s="131"/>
      <c r="D62" s="217"/>
      <c r="E62" s="218"/>
      <c r="F62" s="218"/>
      <c r="G62" s="219"/>
    </row>
    <row r="63" spans="2:8" ht="18.75" customHeight="1" x14ac:dyDescent="0.15">
      <c r="B63" s="251"/>
      <c r="C63" s="131"/>
      <c r="D63" s="217"/>
      <c r="E63" s="218"/>
      <c r="F63" s="218"/>
      <c r="G63" s="219"/>
    </row>
    <row r="64" spans="2:8" ht="18.75" customHeight="1" x14ac:dyDescent="0.15">
      <c r="B64" s="251"/>
      <c r="C64" s="131"/>
      <c r="D64" s="217"/>
      <c r="E64" s="218"/>
      <c r="F64" s="218"/>
      <c r="G64" s="219"/>
    </row>
    <row r="65" spans="2:8" ht="18.75" customHeight="1" x14ac:dyDescent="0.15">
      <c r="B65" s="251"/>
      <c r="C65" s="131"/>
      <c r="D65" s="217"/>
      <c r="E65" s="218"/>
      <c r="F65" s="218"/>
      <c r="G65" s="219"/>
    </row>
    <row r="66" spans="2:8" ht="15" customHeight="1" x14ac:dyDescent="0.15">
      <c r="B66" s="251"/>
      <c r="C66" s="131"/>
      <c r="D66" s="217"/>
      <c r="E66" s="218"/>
      <c r="F66" s="218"/>
      <c r="G66" s="219"/>
    </row>
    <row r="67" spans="2:8" ht="15" customHeight="1" x14ac:dyDescent="0.15">
      <c r="B67" s="251"/>
      <c r="C67" s="131"/>
      <c r="D67" s="217"/>
      <c r="E67" s="218"/>
      <c r="F67" s="218"/>
      <c r="G67" s="219"/>
    </row>
    <row r="68" spans="2:8" ht="15" customHeight="1" x14ac:dyDescent="0.15">
      <c r="B68" s="251"/>
      <c r="C68" s="131"/>
      <c r="D68" s="217"/>
      <c r="E68" s="218"/>
      <c r="F68" s="218"/>
      <c r="G68" s="219"/>
    </row>
    <row r="69" spans="2:8" ht="15" customHeight="1" x14ac:dyDescent="0.15">
      <c r="B69" s="251"/>
      <c r="C69" s="131"/>
      <c r="D69" s="217"/>
      <c r="E69" s="218"/>
      <c r="F69" s="218"/>
      <c r="G69" s="219"/>
    </row>
    <row r="70" spans="2:8" ht="15" customHeight="1" x14ac:dyDescent="0.15">
      <c r="B70" s="251"/>
      <c r="C70" s="131"/>
      <c r="D70" s="217"/>
      <c r="E70" s="218"/>
      <c r="F70" s="218"/>
      <c r="G70" s="219"/>
    </row>
    <row r="71" spans="2:8" ht="15" customHeight="1" x14ac:dyDescent="0.15">
      <c r="B71" s="251"/>
      <c r="C71" s="131"/>
      <c r="D71" s="217"/>
      <c r="E71" s="218"/>
      <c r="F71" s="218"/>
      <c r="G71" s="219"/>
    </row>
    <row r="72" spans="2:8" ht="15" customHeight="1" x14ac:dyDescent="0.15">
      <c r="B72" s="251"/>
      <c r="C72" s="131"/>
      <c r="D72" s="217"/>
      <c r="E72" s="218"/>
      <c r="F72" s="218"/>
      <c r="G72" s="219"/>
    </row>
    <row r="73" spans="2:8" ht="15" customHeight="1" x14ac:dyDescent="0.15">
      <c r="B73" s="251"/>
      <c r="C73" s="131"/>
      <c r="D73" s="217"/>
      <c r="E73" s="218"/>
      <c r="F73" s="218"/>
      <c r="G73" s="219"/>
    </row>
    <row r="74" spans="2:8" ht="15" customHeight="1" x14ac:dyDescent="0.15">
      <c r="B74" s="251"/>
      <c r="C74" s="131"/>
      <c r="D74" s="217"/>
      <c r="E74" s="218"/>
      <c r="F74" s="218"/>
      <c r="G74" s="219"/>
    </row>
    <row r="75" spans="2:8" ht="15" customHeight="1" x14ac:dyDescent="0.15">
      <c r="B75" s="251"/>
      <c r="C75" s="131"/>
      <c r="D75" s="217"/>
      <c r="E75" s="218"/>
      <c r="F75" s="218"/>
      <c r="G75" s="219"/>
    </row>
    <row r="76" spans="2:8" ht="18.75" customHeight="1" x14ac:dyDescent="0.15">
      <c r="B76" s="251" t="s">
        <v>113</v>
      </c>
      <c r="C76" s="224" t="s">
        <v>108</v>
      </c>
      <c r="D76" s="225"/>
      <c r="E76" s="225"/>
      <c r="F76" s="225"/>
      <c r="G76" s="226"/>
    </row>
    <row r="77" spans="2:8" ht="37.5" customHeight="1" x14ac:dyDescent="0.15">
      <c r="B77" s="251"/>
      <c r="C77" s="252" t="s">
        <v>241</v>
      </c>
      <c r="D77" s="253"/>
      <c r="E77" s="253"/>
      <c r="F77" s="253"/>
      <c r="G77" s="254"/>
      <c r="H77" s="138"/>
    </row>
    <row r="78" spans="2:8" ht="37.5" customHeight="1" x14ac:dyDescent="0.15">
      <c r="B78" s="251"/>
      <c r="C78" s="255"/>
      <c r="D78" s="256"/>
      <c r="E78" s="256"/>
      <c r="F78" s="256"/>
      <c r="G78" s="257"/>
    </row>
    <row r="79" spans="2:8" ht="37.5" customHeight="1" x14ac:dyDescent="0.15">
      <c r="B79" s="251"/>
      <c r="C79" s="255"/>
      <c r="D79" s="256"/>
      <c r="E79" s="256"/>
      <c r="F79" s="256"/>
      <c r="G79" s="257"/>
    </row>
    <row r="80" spans="2:8" ht="37.5" customHeight="1" x14ac:dyDescent="0.15">
      <c r="B80" s="251"/>
      <c r="C80" s="255"/>
      <c r="D80" s="256"/>
      <c r="E80" s="256"/>
      <c r="F80" s="256"/>
      <c r="G80" s="257"/>
    </row>
    <row r="81" spans="2:7" ht="37.5" customHeight="1" x14ac:dyDescent="0.15">
      <c r="B81" s="251"/>
      <c r="C81" s="258"/>
      <c r="D81" s="259"/>
      <c r="E81" s="259"/>
      <c r="F81" s="259"/>
      <c r="G81" s="260"/>
    </row>
    <row r="82" spans="2:7" ht="18.75" customHeight="1" x14ac:dyDescent="0.15">
      <c r="B82" s="251"/>
      <c r="C82" s="74" t="s">
        <v>109</v>
      </c>
      <c r="D82" s="224" t="s">
        <v>110</v>
      </c>
      <c r="E82" s="225"/>
      <c r="F82" s="225"/>
      <c r="G82" s="226"/>
    </row>
    <row r="83" spans="2:7" ht="56.25" customHeight="1" x14ac:dyDescent="0.15">
      <c r="B83" s="251"/>
      <c r="C83" s="131" t="s">
        <v>183</v>
      </c>
      <c r="D83" s="220" t="s">
        <v>209</v>
      </c>
      <c r="E83" s="221"/>
      <c r="F83" s="221"/>
      <c r="G83" s="222"/>
    </row>
    <row r="84" spans="2:7" ht="18.75" customHeight="1" x14ac:dyDescent="0.15">
      <c r="B84" s="251"/>
      <c r="C84" s="131" t="s">
        <v>186</v>
      </c>
      <c r="D84" s="309" t="s">
        <v>214</v>
      </c>
      <c r="E84" s="310"/>
      <c r="F84" s="310"/>
      <c r="G84" s="311"/>
    </row>
    <row r="85" spans="2:7" ht="18.75" customHeight="1" x14ac:dyDescent="0.15">
      <c r="B85" s="251"/>
      <c r="C85" s="131"/>
      <c r="D85" s="217"/>
      <c r="E85" s="218"/>
      <c r="F85" s="218"/>
      <c r="G85" s="219"/>
    </row>
    <row r="86" spans="2:7" ht="18.75" customHeight="1" x14ac:dyDescent="0.15">
      <c r="B86" s="251"/>
      <c r="C86" s="131"/>
      <c r="D86" s="217"/>
      <c r="E86" s="218"/>
      <c r="F86" s="218"/>
      <c r="G86" s="219"/>
    </row>
    <row r="87" spans="2:7" ht="18.75" customHeight="1" x14ac:dyDescent="0.15">
      <c r="B87" s="251"/>
      <c r="C87" s="131"/>
      <c r="D87" s="217"/>
      <c r="E87" s="218"/>
      <c r="F87" s="218"/>
      <c r="G87" s="219"/>
    </row>
    <row r="88" spans="2:7" ht="18.75" customHeight="1" x14ac:dyDescent="0.15">
      <c r="B88" s="251"/>
      <c r="C88" s="131"/>
      <c r="D88" s="217"/>
      <c r="E88" s="218"/>
      <c r="F88" s="218"/>
      <c r="G88" s="219"/>
    </row>
    <row r="89" spans="2:7" ht="18.75" customHeight="1" x14ac:dyDescent="0.15">
      <c r="B89" s="251"/>
      <c r="C89" s="131"/>
      <c r="D89" s="217"/>
      <c r="E89" s="218"/>
      <c r="F89" s="218"/>
      <c r="G89" s="219"/>
    </row>
    <row r="90" spans="2:7" ht="18.75" customHeight="1" x14ac:dyDescent="0.15">
      <c r="B90" s="251"/>
      <c r="C90" s="131"/>
      <c r="D90" s="217"/>
      <c r="E90" s="218"/>
      <c r="F90" s="218"/>
      <c r="G90" s="219"/>
    </row>
    <row r="91" spans="2:7" ht="15" customHeight="1" x14ac:dyDescent="0.15">
      <c r="B91" s="251"/>
      <c r="C91" s="131"/>
      <c r="D91" s="217"/>
      <c r="E91" s="218"/>
      <c r="F91" s="218"/>
      <c r="G91" s="219"/>
    </row>
    <row r="92" spans="2:7" ht="15" customHeight="1" x14ac:dyDescent="0.15">
      <c r="B92" s="251"/>
      <c r="C92" s="131"/>
      <c r="D92" s="217"/>
      <c r="E92" s="218"/>
      <c r="F92" s="218"/>
      <c r="G92" s="219"/>
    </row>
    <row r="93" spans="2:7" ht="15" customHeight="1" x14ac:dyDescent="0.15">
      <c r="B93" s="251"/>
      <c r="C93" s="131"/>
      <c r="D93" s="217"/>
      <c r="E93" s="218"/>
      <c r="F93" s="218"/>
      <c r="G93" s="219"/>
    </row>
    <row r="94" spans="2:7" ht="15" customHeight="1" x14ac:dyDescent="0.15">
      <c r="B94" s="251"/>
      <c r="C94" s="131"/>
      <c r="D94" s="217"/>
      <c r="E94" s="218"/>
      <c r="F94" s="218"/>
      <c r="G94" s="219"/>
    </row>
    <row r="95" spans="2:7" ht="15" customHeight="1" x14ac:dyDescent="0.15">
      <c r="B95" s="251"/>
      <c r="C95" s="131"/>
      <c r="D95" s="217"/>
      <c r="E95" s="218"/>
      <c r="F95" s="218"/>
      <c r="G95" s="219"/>
    </row>
    <row r="96" spans="2:7" ht="15" customHeight="1" x14ac:dyDescent="0.15">
      <c r="B96" s="251"/>
      <c r="C96" s="131"/>
      <c r="D96" s="217"/>
      <c r="E96" s="218"/>
      <c r="F96" s="218"/>
      <c r="G96" s="219"/>
    </row>
    <row r="97" spans="2:8" ht="15" customHeight="1" x14ac:dyDescent="0.15">
      <c r="B97" s="251"/>
      <c r="C97" s="131"/>
      <c r="D97" s="217"/>
      <c r="E97" s="218"/>
      <c r="F97" s="218"/>
      <c r="G97" s="219"/>
    </row>
    <row r="98" spans="2:8" ht="15" customHeight="1" x14ac:dyDescent="0.15">
      <c r="B98" s="251"/>
      <c r="C98" s="131"/>
      <c r="D98" s="217"/>
      <c r="E98" s="218"/>
      <c r="F98" s="218"/>
      <c r="G98" s="219"/>
    </row>
    <row r="99" spans="2:8" ht="15" customHeight="1" x14ac:dyDescent="0.15">
      <c r="B99" s="251"/>
      <c r="C99" s="131"/>
      <c r="D99" s="217"/>
      <c r="E99" s="218"/>
      <c r="F99" s="218"/>
      <c r="G99" s="219"/>
    </row>
    <row r="100" spans="2:8" ht="15" customHeight="1" x14ac:dyDescent="0.15">
      <c r="B100" s="251"/>
      <c r="C100" s="131"/>
      <c r="D100" s="217"/>
      <c r="E100" s="218"/>
      <c r="F100" s="218"/>
      <c r="G100" s="219"/>
    </row>
    <row r="101" spans="2:8" ht="18.75" customHeight="1" x14ac:dyDescent="0.15">
      <c r="B101" s="251" t="s">
        <v>115</v>
      </c>
      <c r="C101" s="224" t="s">
        <v>108</v>
      </c>
      <c r="D101" s="225"/>
      <c r="E101" s="225"/>
      <c r="F101" s="225"/>
      <c r="G101" s="226"/>
    </row>
    <row r="102" spans="2:8" ht="37.5" customHeight="1" x14ac:dyDescent="0.15">
      <c r="B102" s="251"/>
      <c r="C102" s="252" t="s">
        <v>250</v>
      </c>
      <c r="D102" s="253"/>
      <c r="E102" s="253"/>
      <c r="F102" s="253"/>
      <c r="G102" s="254"/>
      <c r="H102" s="138"/>
    </row>
    <row r="103" spans="2:8" ht="37.5" customHeight="1" x14ac:dyDescent="0.15">
      <c r="B103" s="251"/>
      <c r="C103" s="255"/>
      <c r="D103" s="256"/>
      <c r="E103" s="256"/>
      <c r="F103" s="256"/>
      <c r="G103" s="257"/>
    </row>
    <row r="104" spans="2:8" ht="37.5" customHeight="1" x14ac:dyDescent="0.15">
      <c r="B104" s="251"/>
      <c r="C104" s="255"/>
      <c r="D104" s="256"/>
      <c r="E104" s="256"/>
      <c r="F104" s="256"/>
      <c r="G104" s="257"/>
    </row>
    <row r="105" spans="2:8" ht="37.5" customHeight="1" x14ac:dyDescent="0.15">
      <c r="B105" s="251"/>
      <c r="C105" s="255"/>
      <c r="D105" s="256"/>
      <c r="E105" s="256"/>
      <c r="F105" s="256"/>
      <c r="G105" s="257"/>
    </row>
    <row r="106" spans="2:8" ht="37.5" customHeight="1" x14ac:dyDescent="0.15">
      <c r="B106" s="251"/>
      <c r="C106" s="258"/>
      <c r="D106" s="259"/>
      <c r="E106" s="259"/>
      <c r="F106" s="259"/>
      <c r="G106" s="260"/>
    </row>
    <row r="107" spans="2:8" ht="18.75" customHeight="1" x14ac:dyDescent="0.15">
      <c r="B107" s="251"/>
      <c r="C107" s="74" t="s">
        <v>109</v>
      </c>
      <c r="D107" s="224" t="s">
        <v>110</v>
      </c>
      <c r="E107" s="225"/>
      <c r="F107" s="225"/>
      <c r="G107" s="226"/>
    </row>
    <row r="108" spans="2:8" ht="56.25" customHeight="1" x14ac:dyDescent="0.15">
      <c r="B108" s="251"/>
      <c r="C108" s="131" t="s">
        <v>183</v>
      </c>
      <c r="D108" s="220" t="s">
        <v>210</v>
      </c>
      <c r="E108" s="221"/>
      <c r="F108" s="221"/>
      <c r="G108" s="222"/>
    </row>
    <row r="109" spans="2:8" ht="63.75" customHeight="1" x14ac:dyDescent="0.15">
      <c r="B109" s="251"/>
      <c r="C109" s="131" t="s">
        <v>186</v>
      </c>
      <c r="D109" s="220" t="s">
        <v>215</v>
      </c>
      <c r="E109" s="221"/>
      <c r="F109" s="221"/>
      <c r="G109" s="222"/>
    </row>
    <row r="110" spans="2:8" ht="15" customHeight="1" x14ac:dyDescent="0.15">
      <c r="B110" s="251"/>
      <c r="C110" s="131"/>
      <c r="D110" s="217"/>
      <c r="E110" s="218"/>
      <c r="F110" s="218"/>
      <c r="G110" s="219"/>
    </row>
    <row r="111" spans="2:8" ht="13.5" customHeight="1" x14ac:dyDescent="0.15">
      <c r="B111" s="251"/>
      <c r="C111" s="131"/>
      <c r="D111" s="217"/>
      <c r="E111" s="218"/>
      <c r="F111" s="218"/>
      <c r="G111" s="219"/>
    </row>
    <row r="112" spans="2:8" ht="13.5" customHeight="1" x14ac:dyDescent="0.15">
      <c r="B112" s="251"/>
      <c r="C112" s="131"/>
      <c r="D112" s="217"/>
      <c r="E112" s="218"/>
      <c r="F112" s="218"/>
      <c r="G112" s="219"/>
    </row>
    <row r="113" spans="1:7" ht="13.5" customHeight="1" x14ac:dyDescent="0.15">
      <c r="B113" s="251"/>
      <c r="C113" s="131"/>
      <c r="D113" s="217"/>
      <c r="E113" s="218"/>
      <c r="F113" s="218"/>
      <c r="G113" s="219"/>
    </row>
    <row r="114" spans="1:7" ht="13.5" customHeight="1" x14ac:dyDescent="0.15">
      <c r="B114" s="251"/>
      <c r="C114" s="131"/>
      <c r="D114" s="217"/>
      <c r="E114" s="218"/>
      <c r="F114" s="218"/>
      <c r="G114" s="219"/>
    </row>
    <row r="115" spans="1:7" ht="13.5" customHeight="1" x14ac:dyDescent="0.15">
      <c r="B115" s="251"/>
      <c r="C115" s="131"/>
      <c r="D115" s="217"/>
      <c r="E115" s="218"/>
      <c r="F115" s="218"/>
      <c r="G115" s="219"/>
    </row>
    <row r="116" spans="1:7" ht="13.5" customHeight="1" x14ac:dyDescent="0.15">
      <c r="B116" s="251"/>
      <c r="C116" s="131"/>
      <c r="D116" s="217"/>
      <c r="E116" s="218"/>
      <c r="F116" s="218"/>
      <c r="G116" s="219"/>
    </row>
    <row r="117" spans="1:7" ht="13.5" customHeight="1" x14ac:dyDescent="0.15">
      <c r="B117" s="251"/>
      <c r="C117" s="131"/>
      <c r="D117" s="217"/>
      <c r="E117" s="218"/>
      <c r="F117" s="218"/>
      <c r="G117" s="219"/>
    </row>
    <row r="118" spans="1:7" ht="13.5" customHeight="1" x14ac:dyDescent="0.15">
      <c r="B118" s="251"/>
      <c r="C118" s="131"/>
      <c r="D118" s="217"/>
      <c r="E118" s="218"/>
      <c r="F118" s="218"/>
      <c r="G118" s="219"/>
    </row>
    <row r="119" spans="1:7" ht="13.5" customHeight="1" x14ac:dyDescent="0.15">
      <c r="B119" s="251"/>
      <c r="C119" s="131"/>
      <c r="D119" s="217"/>
      <c r="E119" s="218"/>
      <c r="F119" s="218"/>
      <c r="G119" s="219"/>
    </row>
    <row r="120" spans="1:7" ht="13.5" customHeight="1" x14ac:dyDescent="0.15">
      <c r="B120" s="251"/>
      <c r="C120" s="131"/>
      <c r="D120" s="217"/>
      <c r="E120" s="218"/>
      <c r="F120" s="218"/>
      <c r="G120" s="219"/>
    </row>
    <row r="121" spans="1:7" ht="13.5" customHeight="1" x14ac:dyDescent="0.15">
      <c r="B121" s="251"/>
      <c r="C121" s="131"/>
      <c r="D121" s="217"/>
      <c r="E121" s="218"/>
      <c r="F121" s="218"/>
      <c r="G121" s="219"/>
    </row>
    <row r="122" spans="1:7" ht="13.5" customHeight="1" x14ac:dyDescent="0.15">
      <c r="B122" s="251"/>
      <c r="C122" s="131"/>
      <c r="D122" s="217"/>
      <c r="E122" s="218"/>
      <c r="F122" s="218"/>
      <c r="G122" s="219"/>
    </row>
    <row r="123" spans="1:7" ht="13.5" customHeight="1" x14ac:dyDescent="0.15">
      <c r="B123" s="251"/>
      <c r="C123" s="131"/>
      <c r="D123" s="217"/>
      <c r="E123" s="218"/>
      <c r="F123" s="218"/>
      <c r="G123" s="219"/>
    </row>
    <row r="124" spans="1:7" ht="13.5" customHeight="1" x14ac:dyDescent="0.15">
      <c r="B124" s="251"/>
      <c r="C124" s="131"/>
      <c r="D124" s="217"/>
      <c r="E124" s="218"/>
      <c r="F124" s="218"/>
      <c r="G124" s="219"/>
    </row>
    <row r="125" spans="1:7" ht="13.5" customHeight="1" x14ac:dyDescent="0.15">
      <c r="B125" s="251"/>
      <c r="C125" s="131"/>
      <c r="D125" s="217"/>
      <c r="E125" s="218"/>
      <c r="F125" s="218"/>
      <c r="G125" s="219"/>
    </row>
    <row r="126" spans="1:7" ht="18.75" customHeight="1" x14ac:dyDescent="0.15">
      <c r="A126" s="1" t="s">
        <v>12</v>
      </c>
      <c r="B126" s="1" t="s">
        <v>106</v>
      </c>
    </row>
    <row r="127" spans="1:7" ht="22.5" customHeight="1" x14ac:dyDescent="0.15">
      <c r="B127" s="131" t="s">
        <v>74</v>
      </c>
      <c r="C127" s="224" t="s">
        <v>105</v>
      </c>
      <c r="D127" s="225"/>
      <c r="E127" s="225"/>
      <c r="F127" s="225"/>
      <c r="G127" s="226"/>
    </row>
    <row r="128" spans="1:7" ht="45" customHeight="1" x14ac:dyDescent="0.15">
      <c r="B128" s="77" t="s">
        <v>76</v>
      </c>
      <c r="C128" s="248"/>
      <c r="D128" s="249"/>
      <c r="E128" s="249"/>
      <c r="F128" s="249"/>
      <c r="G128" s="250"/>
    </row>
    <row r="129" spans="1:7" ht="45" customHeight="1" x14ac:dyDescent="0.15">
      <c r="B129" s="77" t="s">
        <v>77</v>
      </c>
      <c r="C129" s="248"/>
      <c r="D129" s="249"/>
      <c r="E129" s="249"/>
      <c r="F129" s="249"/>
      <c r="G129" s="250"/>
    </row>
    <row r="130" spans="1:7" ht="45" customHeight="1" x14ac:dyDescent="0.15">
      <c r="B130" s="77" t="s">
        <v>78</v>
      </c>
      <c r="C130" s="248"/>
      <c r="D130" s="249"/>
      <c r="E130" s="249"/>
      <c r="F130" s="249"/>
      <c r="G130" s="250"/>
    </row>
    <row r="131" spans="1:7" ht="45" customHeight="1" x14ac:dyDescent="0.15">
      <c r="B131" s="77" t="s">
        <v>79</v>
      </c>
      <c r="C131" s="248"/>
      <c r="D131" s="249"/>
      <c r="E131" s="249"/>
      <c r="F131" s="249"/>
      <c r="G131" s="250"/>
    </row>
    <row r="132" spans="1:7" ht="45" customHeight="1" x14ac:dyDescent="0.15">
      <c r="B132" s="77" t="s">
        <v>80</v>
      </c>
      <c r="C132" s="248"/>
      <c r="D132" s="249"/>
      <c r="E132" s="249"/>
      <c r="F132" s="249"/>
      <c r="G132" s="250"/>
    </row>
    <row r="133" spans="1:7" ht="45" customHeight="1" x14ac:dyDescent="0.15">
      <c r="B133" s="77" t="s">
        <v>81</v>
      </c>
      <c r="C133" s="248"/>
      <c r="D133" s="249"/>
      <c r="E133" s="249"/>
      <c r="F133" s="249"/>
      <c r="G133" s="250"/>
    </row>
    <row r="134" spans="1:7" ht="45" customHeight="1" x14ac:dyDescent="0.15">
      <c r="B134" s="77" t="s">
        <v>82</v>
      </c>
      <c r="C134" s="248"/>
      <c r="D134" s="249"/>
      <c r="E134" s="249"/>
      <c r="F134" s="249"/>
      <c r="G134" s="250"/>
    </row>
    <row r="135" spans="1:7" ht="45" customHeight="1" x14ac:dyDescent="0.15">
      <c r="B135" s="77" t="s">
        <v>83</v>
      </c>
      <c r="C135" s="248"/>
      <c r="D135" s="249"/>
      <c r="E135" s="249"/>
      <c r="F135" s="249"/>
      <c r="G135" s="250"/>
    </row>
    <row r="136" spans="1:7" ht="45" customHeight="1" x14ac:dyDescent="0.15">
      <c r="B136" s="77" t="s">
        <v>84</v>
      </c>
      <c r="C136" s="248"/>
      <c r="D136" s="249"/>
      <c r="E136" s="249"/>
      <c r="F136" s="249"/>
      <c r="G136" s="250"/>
    </row>
    <row r="137" spans="1:7" ht="7.5" customHeight="1" x14ac:dyDescent="0.15"/>
    <row r="138" spans="1:7" ht="18.75" customHeight="1" x14ac:dyDescent="0.15">
      <c r="A138" s="1" t="s">
        <v>13</v>
      </c>
      <c r="B138" s="1" t="s">
        <v>100</v>
      </c>
      <c r="E138" s="245" t="s">
        <v>207</v>
      </c>
      <c r="F138" s="246"/>
      <c r="G138" s="247"/>
    </row>
    <row r="139" spans="1:7" ht="7.5" customHeight="1" x14ac:dyDescent="0.15"/>
    <row r="140" spans="1:7" ht="18.75" customHeight="1" x14ac:dyDescent="0.15">
      <c r="A140" s="1" t="s">
        <v>17</v>
      </c>
      <c r="B140" s="1" t="s">
        <v>102</v>
      </c>
    </row>
    <row r="141" spans="1:7" ht="18.75" customHeight="1" x14ac:dyDescent="0.15">
      <c r="B141" s="236" t="s">
        <v>222</v>
      </c>
      <c r="C141" s="237"/>
      <c r="D141" s="237"/>
      <c r="E141" s="237"/>
      <c r="F141" s="237"/>
      <c r="G141" s="238"/>
    </row>
    <row r="142" spans="1:7" ht="18.75" customHeight="1" x14ac:dyDescent="0.15">
      <c r="B142" s="239"/>
      <c r="C142" s="240"/>
      <c r="D142" s="240"/>
      <c r="E142" s="240"/>
      <c r="F142" s="240"/>
      <c r="G142" s="241"/>
    </row>
    <row r="143" spans="1:7" ht="18.75" customHeight="1" x14ac:dyDescent="0.15">
      <c r="B143" s="239"/>
      <c r="C143" s="240"/>
      <c r="D143" s="240"/>
      <c r="E143" s="240"/>
      <c r="F143" s="240"/>
      <c r="G143" s="241"/>
    </row>
    <row r="144" spans="1:7" ht="18.75" customHeight="1" x14ac:dyDescent="0.15">
      <c r="B144" s="242"/>
      <c r="C144" s="243"/>
      <c r="D144" s="243"/>
      <c r="E144" s="243"/>
      <c r="F144" s="243"/>
      <c r="G144" s="244"/>
    </row>
    <row r="145" ht="18.75" customHeight="1" x14ac:dyDescent="0.15"/>
    <row r="146" ht="18.75" customHeight="1" x14ac:dyDescent="0.15"/>
    <row r="147" ht="18.75" customHeight="1" x14ac:dyDescent="0.15"/>
    <row r="148" ht="18.75" customHeight="1" x14ac:dyDescent="0.15"/>
    <row r="149" ht="18.75" customHeight="1" x14ac:dyDescent="0.15"/>
    <row r="150" ht="18.75" customHeight="1" x14ac:dyDescent="0.15"/>
  </sheetData>
  <mergeCells count="120">
    <mergeCell ref="D16:G16"/>
    <mergeCell ref="D17:G17"/>
    <mergeCell ref="D18:G18"/>
    <mergeCell ref="D19:G19"/>
    <mergeCell ref="D20:G20"/>
    <mergeCell ref="D21:G21"/>
    <mergeCell ref="A3:G3"/>
    <mergeCell ref="C5:G5"/>
    <mergeCell ref="B6:B25"/>
    <mergeCell ref="C6:G9"/>
    <mergeCell ref="D10:G10"/>
    <mergeCell ref="D11:G11"/>
    <mergeCell ref="D12:G12"/>
    <mergeCell ref="D13:G13"/>
    <mergeCell ref="D14:G14"/>
    <mergeCell ref="D15:G15"/>
    <mergeCell ref="D22:G22"/>
    <mergeCell ref="D23:G23"/>
    <mergeCell ref="D24:G24"/>
    <mergeCell ref="D25:G25"/>
    <mergeCell ref="B26:B50"/>
    <mergeCell ref="C26:G26"/>
    <mergeCell ref="C27:G31"/>
    <mergeCell ref="D32:G32"/>
    <mergeCell ref="D33:G33"/>
    <mergeCell ref="D34:G34"/>
    <mergeCell ref="D41:G41"/>
    <mergeCell ref="D42:G42"/>
    <mergeCell ref="D43:G43"/>
    <mergeCell ref="D44:G44"/>
    <mergeCell ref="D45:G45"/>
    <mergeCell ref="D46:G46"/>
    <mergeCell ref="D35:G35"/>
    <mergeCell ref="D36:G36"/>
    <mergeCell ref="D37:G37"/>
    <mergeCell ref="D38:G38"/>
    <mergeCell ref="D39:G39"/>
    <mergeCell ref="D40:G40"/>
    <mergeCell ref="D47:G47"/>
    <mergeCell ref="D48:G48"/>
    <mergeCell ref="D49:G49"/>
    <mergeCell ref="D50:G50"/>
    <mergeCell ref="B51:B75"/>
    <mergeCell ref="C51:G51"/>
    <mergeCell ref="C52:G56"/>
    <mergeCell ref="D57:G57"/>
    <mergeCell ref="D58:G58"/>
    <mergeCell ref="D59:G59"/>
    <mergeCell ref="D66:G66"/>
    <mergeCell ref="D67:G67"/>
    <mergeCell ref="D68:G68"/>
    <mergeCell ref="D69:G69"/>
    <mergeCell ref="D70:G70"/>
    <mergeCell ref="D71:G71"/>
    <mergeCell ref="D60:G60"/>
    <mergeCell ref="D61:G61"/>
    <mergeCell ref="D62:G62"/>
    <mergeCell ref="D63:G63"/>
    <mergeCell ref="D64:G64"/>
    <mergeCell ref="D65:G65"/>
    <mergeCell ref="D85:G85"/>
    <mergeCell ref="D86:G86"/>
    <mergeCell ref="D87:G87"/>
    <mergeCell ref="D88:G88"/>
    <mergeCell ref="D89:G89"/>
    <mergeCell ref="D90:G90"/>
    <mergeCell ref="D72:G72"/>
    <mergeCell ref="D73:G73"/>
    <mergeCell ref="D74:G74"/>
    <mergeCell ref="D75:G75"/>
    <mergeCell ref="C76:G76"/>
    <mergeCell ref="C77:G81"/>
    <mergeCell ref="D82:G82"/>
    <mergeCell ref="D83:G83"/>
    <mergeCell ref="D84:G84"/>
    <mergeCell ref="B101:B125"/>
    <mergeCell ref="C101:G101"/>
    <mergeCell ref="C102:G106"/>
    <mergeCell ref="D107:G107"/>
    <mergeCell ref="D108:G108"/>
    <mergeCell ref="D109:G109"/>
    <mergeCell ref="D91:G91"/>
    <mergeCell ref="D92:G92"/>
    <mergeCell ref="D93:G93"/>
    <mergeCell ref="D94:G94"/>
    <mergeCell ref="D95:G95"/>
    <mergeCell ref="D96:G96"/>
    <mergeCell ref="B76:B100"/>
    <mergeCell ref="D110:G110"/>
    <mergeCell ref="D111:G111"/>
    <mergeCell ref="D112:G112"/>
    <mergeCell ref="D113:G113"/>
    <mergeCell ref="D114:G114"/>
    <mergeCell ref="D115:G115"/>
    <mergeCell ref="D97:G97"/>
    <mergeCell ref="D98:G98"/>
    <mergeCell ref="D99:G99"/>
    <mergeCell ref="D100:G100"/>
    <mergeCell ref="D122:G122"/>
    <mergeCell ref="D123:G123"/>
    <mergeCell ref="D124:G124"/>
    <mergeCell ref="D125:G125"/>
    <mergeCell ref="C127:G127"/>
    <mergeCell ref="C128:G128"/>
    <mergeCell ref="D116:G116"/>
    <mergeCell ref="D117:G117"/>
    <mergeCell ref="D118:G118"/>
    <mergeCell ref="D119:G119"/>
    <mergeCell ref="D120:G120"/>
    <mergeCell ref="D121:G121"/>
    <mergeCell ref="C135:G135"/>
    <mergeCell ref="C136:G136"/>
    <mergeCell ref="E138:G138"/>
    <mergeCell ref="B141:G144"/>
    <mergeCell ref="C129:G129"/>
    <mergeCell ref="C130:G130"/>
    <mergeCell ref="C131:G131"/>
    <mergeCell ref="C132:G132"/>
    <mergeCell ref="C133:G133"/>
    <mergeCell ref="C134:G134"/>
  </mergeCells>
  <phoneticPr fontId="1"/>
  <hyperlinks>
    <hyperlink ref="E138" r:id="rId1"/>
  </hyperlinks>
  <printOptions horizontalCentered="1"/>
  <pageMargins left="0.78740157480314965" right="0.78740157480314965" top="0.59055118110236227" bottom="0.39370078740157483" header="0.31496062992125984" footer="0.31496062992125984"/>
  <pageSetup paperSize="9" orientation="landscape"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8"/>
  <sheetViews>
    <sheetView showZeros="0" zoomScaleNormal="100" workbookViewId="0"/>
  </sheetViews>
  <sheetFormatPr defaultColWidth="11.375" defaultRowHeight="18.75" customHeight="1" x14ac:dyDescent="0.15"/>
  <cols>
    <col min="1" max="1" width="2.75" style="2" customWidth="1"/>
    <col min="2" max="2" width="54.25" style="1" customWidth="1"/>
    <col min="3" max="3" width="1.25" style="1" customWidth="1"/>
    <col min="4" max="4" width="22.5" style="1" customWidth="1"/>
    <col min="5" max="5" width="6.25" style="1" customWidth="1"/>
    <col min="6" max="16384" width="11.375" style="1"/>
  </cols>
  <sheetData>
    <row r="1" spans="1:5" ht="18.75" customHeight="1" x14ac:dyDescent="0.15">
      <c r="E1" s="56" t="s">
        <v>107</v>
      </c>
    </row>
    <row r="2" spans="1:5" ht="18.75" customHeight="1" x14ac:dyDescent="0.15">
      <c r="B2" s="56" t="s">
        <v>88</v>
      </c>
      <c r="C2" s="56" t="s">
        <v>8</v>
      </c>
      <c r="D2" s="328" t="s">
        <v>177</v>
      </c>
      <c r="E2" s="328"/>
    </row>
    <row r="3" spans="1:5" ht="7.5" customHeight="1" x14ac:dyDescent="0.15">
      <c r="B3" s="56"/>
      <c r="C3" s="56"/>
      <c r="D3" s="57"/>
      <c r="E3" s="57"/>
    </row>
    <row r="4" spans="1:5" ht="18.75" customHeight="1" x14ac:dyDescent="0.15">
      <c r="B4" s="204" t="s">
        <v>85</v>
      </c>
      <c r="C4" s="204"/>
      <c r="D4" s="204"/>
      <c r="E4" s="204"/>
    </row>
    <row r="5" spans="1:5" ht="7.5" customHeight="1" x14ac:dyDescent="0.15">
      <c r="B5" s="58"/>
      <c r="C5" s="58"/>
      <c r="D5" s="58"/>
      <c r="E5" s="58"/>
    </row>
    <row r="6" spans="1:5" ht="18.75" customHeight="1" x14ac:dyDescent="0.15">
      <c r="A6" s="15" t="s">
        <v>7</v>
      </c>
      <c r="B6" s="5" t="s">
        <v>98</v>
      </c>
      <c r="C6" s="66"/>
      <c r="D6" s="66"/>
      <c r="E6" s="66"/>
    </row>
    <row r="7" spans="1:5" ht="18.75" customHeight="1" x14ac:dyDescent="0.15">
      <c r="A7" s="15"/>
      <c r="B7" s="158" t="s">
        <v>179</v>
      </c>
      <c r="C7" s="159"/>
      <c r="D7" s="159"/>
      <c r="E7" s="172"/>
    </row>
    <row r="8" spans="1:5" ht="7.5" customHeight="1" x14ac:dyDescent="0.15">
      <c r="B8" s="66"/>
      <c r="C8" s="66"/>
      <c r="D8" s="66"/>
      <c r="E8" s="66"/>
    </row>
    <row r="9" spans="1:5" s="5" customFormat="1" ht="18.75" customHeight="1" x14ac:dyDescent="0.15">
      <c r="A9" s="15" t="s">
        <v>12</v>
      </c>
      <c r="B9" s="15" t="s">
        <v>46</v>
      </c>
      <c r="C9" s="15"/>
      <c r="D9" s="15"/>
      <c r="E9" s="15"/>
    </row>
    <row r="10" spans="1:5" s="10" customFormat="1" ht="18.75" customHeight="1" x14ac:dyDescent="0.15">
      <c r="A10" s="9"/>
      <c r="B10" s="329" t="s">
        <v>235</v>
      </c>
      <c r="C10" s="300"/>
      <c r="D10" s="300"/>
      <c r="E10" s="301"/>
    </row>
    <row r="11" spans="1:5" s="10" customFormat="1" ht="18.75" customHeight="1" x14ac:dyDescent="0.15">
      <c r="A11" s="9"/>
      <c r="B11" s="302"/>
      <c r="C11" s="303"/>
      <c r="D11" s="303"/>
      <c r="E11" s="304"/>
    </row>
    <row r="12" spans="1:5" s="10" customFormat="1" ht="18.75" customHeight="1" x14ac:dyDescent="0.15">
      <c r="A12" s="9"/>
      <c r="B12" s="302"/>
      <c r="C12" s="303"/>
      <c r="D12" s="303"/>
      <c r="E12" s="304"/>
    </row>
    <row r="13" spans="1:5" s="10" customFormat="1" ht="18.75" customHeight="1" x14ac:dyDescent="0.15">
      <c r="A13" s="9"/>
      <c r="B13" s="302"/>
      <c r="C13" s="303"/>
      <c r="D13" s="303"/>
      <c r="E13" s="304"/>
    </row>
    <row r="14" spans="1:5" s="10" customFormat="1" ht="18.75" customHeight="1" x14ac:dyDescent="0.15">
      <c r="A14" s="9"/>
      <c r="B14" s="305"/>
      <c r="C14" s="306"/>
      <c r="D14" s="306"/>
      <c r="E14" s="307"/>
    </row>
    <row r="15" spans="1:5" s="10" customFormat="1" ht="7.5" customHeight="1" x14ac:dyDescent="0.15">
      <c r="A15" s="9"/>
      <c r="B15" s="9"/>
      <c r="C15" s="9"/>
      <c r="D15" s="9"/>
      <c r="E15" s="9"/>
    </row>
    <row r="16" spans="1:5" s="5" customFormat="1" ht="18.75" customHeight="1" x14ac:dyDescent="0.15">
      <c r="A16" s="11" t="s">
        <v>13</v>
      </c>
      <c r="B16" s="11" t="s">
        <v>19</v>
      </c>
      <c r="C16" s="11"/>
      <c r="D16" s="11"/>
      <c r="E16" s="11"/>
    </row>
    <row r="17" spans="1:5" s="10" customFormat="1" ht="18.75" customHeight="1" x14ac:dyDescent="0.15">
      <c r="A17" s="9"/>
      <c r="B17" s="329" t="s">
        <v>195</v>
      </c>
      <c r="C17" s="300"/>
      <c r="D17" s="300"/>
      <c r="E17" s="301"/>
    </row>
    <row r="18" spans="1:5" s="10" customFormat="1" ht="18.75" customHeight="1" x14ac:dyDescent="0.15">
      <c r="A18" s="9"/>
      <c r="B18" s="302"/>
      <c r="C18" s="303"/>
      <c r="D18" s="303"/>
      <c r="E18" s="304"/>
    </row>
    <row r="19" spans="1:5" s="10" customFormat="1" ht="18.75" customHeight="1" x14ac:dyDescent="0.15">
      <c r="A19" s="9"/>
      <c r="B19" s="302"/>
      <c r="C19" s="303"/>
      <c r="D19" s="303"/>
      <c r="E19" s="304"/>
    </row>
    <row r="20" spans="1:5" s="10" customFormat="1" ht="18.75" customHeight="1" x14ac:dyDescent="0.15">
      <c r="A20" s="9"/>
      <c r="B20" s="302"/>
      <c r="C20" s="303"/>
      <c r="D20" s="303"/>
      <c r="E20" s="304"/>
    </row>
    <row r="21" spans="1:5" s="10" customFormat="1" ht="18.75" customHeight="1" x14ac:dyDescent="0.15">
      <c r="A21" s="9"/>
      <c r="B21" s="302"/>
      <c r="C21" s="303"/>
      <c r="D21" s="303"/>
      <c r="E21" s="304"/>
    </row>
    <row r="22" spans="1:5" s="10" customFormat="1" ht="18.75" customHeight="1" x14ac:dyDescent="0.15">
      <c r="A22" s="9"/>
      <c r="B22" s="302"/>
      <c r="C22" s="303"/>
      <c r="D22" s="303"/>
      <c r="E22" s="304"/>
    </row>
    <row r="23" spans="1:5" s="10" customFormat="1" ht="18.75" customHeight="1" x14ac:dyDescent="0.15">
      <c r="A23" s="9"/>
      <c r="B23" s="302"/>
      <c r="C23" s="303"/>
      <c r="D23" s="303"/>
      <c r="E23" s="304"/>
    </row>
    <row r="24" spans="1:5" s="10" customFormat="1" ht="18.75" customHeight="1" x14ac:dyDescent="0.15">
      <c r="A24" s="9"/>
      <c r="B24" s="302"/>
      <c r="C24" s="303"/>
      <c r="D24" s="303"/>
      <c r="E24" s="304"/>
    </row>
    <row r="25" spans="1:5" s="10" customFormat="1" ht="18.75" customHeight="1" x14ac:dyDescent="0.15">
      <c r="A25" s="9"/>
      <c r="B25" s="302"/>
      <c r="C25" s="303"/>
      <c r="D25" s="303"/>
      <c r="E25" s="304"/>
    </row>
    <row r="26" spans="1:5" s="10" customFormat="1" ht="18.75" customHeight="1" x14ac:dyDescent="0.15">
      <c r="A26" s="9"/>
      <c r="B26" s="302"/>
      <c r="C26" s="303"/>
      <c r="D26" s="303"/>
      <c r="E26" s="304"/>
    </row>
    <row r="27" spans="1:5" s="10" customFormat="1" ht="18.75" customHeight="1" x14ac:dyDescent="0.15">
      <c r="A27" s="9"/>
      <c r="B27" s="302"/>
      <c r="C27" s="303"/>
      <c r="D27" s="303"/>
      <c r="E27" s="304"/>
    </row>
    <row r="28" spans="1:5" s="10" customFormat="1" ht="18.75" customHeight="1" x14ac:dyDescent="0.15">
      <c r="A28" s="9"/>
      <c r="B28" s="305"/>
      <c r="C28" s="306"/>
      <c r="D28" s="306"/>
      <c r="E28" s="307"/>
    </row>
    <row r="29" spans="1:5" ht="7.5" customHeight="1" x14ac:dyDescent="0.15">
      <c r="A29" s="8"/>
      <c r="B29" s="8"/>
      <c r="C29" s="8"/>
      <c r="D29" s="8"/>
      <c r="E29" s="8"/>
    </row>
    <row r="30" spans="1:5" s="5" customFormat="1" ht="18.75" customHeight="1" x14ac:dyDescent="0.15">
      <c r="A30" s="15" t="s">
        <v>17</v>
      </c>
      <c r="B30" s="15" t="s">
        <v>30</v>
      </c>
      <c r="C30" s="15"/>
      <c r="D30" s="15"/>
      <c r="E30" s="15"/>
    </row>
    <row r="31" spans="1:5" s="5" customFormat="1" ht="18.75" customHeight="1" x14ac:dyDescent="0.15">
      <c r="A31" s="15"/>
      <c r="B31" s="299" t="s">
        <v>255</v>
      </c>
      <c r="C31" s="300"/>
      <c r="D31" s="300"/>
      <c r="E31" s="301"/>
    </row>
    <row r="32" spans="1:5" s="5" customFormat="1" ht="18.75" customHeight="1" x14ac:dyDescent="0.15">
      <c r="A32" s="15"/>
      <c r="B32" s="302"/>
      <c r="C32" s="303"/>
      <c r="D32" s="303"/>
      <c r="E32" s="304"/>
    </row>
    <row r="33" spans="1:5" s="5" customFormat="1" ht="18.75" customHeight="1" x14ac:dyDescent="0.15">
      <c r="A33" s="15"/>
      <c r="B33" s="302"/>
      <c r="C33" s="303"/>
      <c r="D33" s="303"/>
      <c r="E33" s="304"/>
    </row>
    <row r="34" spans="1:5" s="5" customFormat="1" ht="18.75" customHeight="1" x14ac:dyDescent="0.15">
      <c r="A34" s="15"/>
      <c r="B34" s="302"/>
      <c r="C34" s="303"/>
      <c r="D34" s="303"/>
      <c r="E34" s="304"/>
    </row>
    <row r="35" spans="1:5" s="5" customFormat="1" ht="18.75" customHeight="1" x14ac:dyDescent="0.15">
      <c r="A35" s="15"/>
      <c r="B35" s="302"/>
      <c r="C35" s="303"/>
      <c r="D35" s="303"/>
      <c r="E35" s="304"/>
    </row>
    <row r="36" spans="1:5" s="5" customFormat="1" ht="18.75" customHeight="1" x14ac:dyDescent="0.15">
      <c r="A36" s="15"/>
      <c r="B36" s="302"/>
      <c r="C36" s="303"/>
      <c r="D36" s="303"/>
      <c r="E36" s="304"/>
    </row>
    <row r="37" spans="1:5" s="5" customFormat="1" ht="18.75" customHeight="1" x14ac:dyDescent="0.15">
      <c r="A37" s="15"/>
      <c r="B37" s="302"/>
      <c r="C37" s="303"/>
      <c r="D37" s="303"/>
      <c r="E37" s="304"/>
    </row>
    <row r="38" spans="1:5" s="5" customFormat="1" ht="18.75" customHeight="1" x14ac:dyDescent="0.15">
      <c r="A38" s="15"/>
      <c r="B38" s="302"/>
      <c r="C38" s="303"/>
      <c r="D38" s="303"/>
      <c r="E38" s="304"/>
    </row>
    <row r="39" spans="1:5" s="5" customFormat="1" ht="18.75" customHeight="1" x14ac:dyDescent="0.15">
      <c r="A39" s="15"/>
      <c r="B39" s="302"/>
      <c r="C39" s="303"/>
      <c r="D39" s="303"/>
      <c r="E39" s="304"/>
    </row>
    <row r="40" spans="1:5" s="5" customFormat="1" ht="18.75" customHeight="1" x14ac:dyDescent="0.15">
      <c r="A40" s="15"/>
      <c r="B40" s="302"/>
      <c r="C40" s="303"/>
      <c r="D40" s="303"/>
      <c r="E40" s="304"/>
    </row>
    <row r="41" spans="1:5" s="5" customFormat="1" ht="18.75" customHeight="1" x14ac:dyDescent="0.15">
      <c r="A41" s="15"/>
      <c r="B41" s="302"/>
      <c r="C41" s="303"/>
      <c r="D41" s="303"/>
      <c r="E41" s="304"/>
    </row>
    <row r="42" spans="1:5" s="5" customFormat="1" ht="18.75" customHeight="1" x14ac:dyDescent="0.15">
      <c r="A42" s="15"/>
      <c r="B42" s="302"/>
      <c r="C42" s="303"/>
      <c r="D42" s="303"/>
      <c r="E42" s="304"/>
    </row>
    <row r="43" spans="1:5" s="5" customFormat="1" ht="18.75" customHeight="1" x14ac:dyDescent="0.15">
      <c r="A43" s="15"/>
      <c r="B43" s="302"/>
      <c r="C43" s="303"/>
      <c r="D43" s="303"/>
      <c r="E43" s="304"/>
    </row>
    <row r="44" spans="1:5" s="5" customFormat="1" ht="18.75" customHeight="1" x14ac:dyDescent="0.15">
      <c r="A44" s="15"/>
      <c r="B44" s="302"/>
      <c r="C44" s="303"/>
      <c r="D44" s="303"/>
      <c r="E44" s="304"/>
    </row>
    <row r="45" spans="1:5" ht="18.75" customHeight="1" x14ac:dyDescent="0.15">
      <c r="A45" s="8"/>
      <c r="B45" s="302"/>
      <c r="C45" s="303"/>
      <c r="D45" s="303"/>
      <c r="E45" s="304"/>
    </row>
    <row r="46" spans="1:5" ht="18.75" customHeight="1" x14ac:dyDescent="0.15">
      <c r="A46" s="8"/>
      <c r="B46" s="305"/>
      <c r="C46" s="306"/>
      <c r="D46" s="306"/>
      <c r="E46" s="307"/>
    </row>
    <row r="47" spans="1:5" s="5" customFormat="1" ht="18.75" customHeight="1" x14ac:dyDescent="0.15">
      <c r="A47" s="7" t="s">
        <v>14</v>
      </c>
      <c r="B47" s="15" t="s">
        <v>86</v>
      </c>
      <c r="C47" s="7"/>
      <c r="D47" s="7"/>
      <c r="E47" s="7"/>
    </row>
    <row r="48" spans="1:5" ht="18.75" customHeight="1" x14ac:dyDescent="0.15">
      <c r="A48" s="8"/>
      <c r="B48" s="299" t="s">
        <v>256</v>
      </c>
      <c r="C48" s="330"/>
      <c r="D48" s="330"/>
      <c r="E48" s="331"/>
    </row>
    <row r="49" spans="1:5" ht="18.75" customHeight="1" x14ac:dyDescent="0.15">
      <c r="A49" s="8"/>
      <c r="B49" s="332"/>
      <c r="C49" s="333"/>
      <c r="D49" s="333"/>
      <c r="E49" s="334"/>
    </row>
    <row r="50" spans="1:5" ht="18.75" customHeight="1" x14ac:dyDescent="0.15">
      <c r="A50" s="8"/>
      <c r="B50" s="332"/>
      <c r="C50" s="333"/>
      <c r="D50" s="333"/>
      <c r="E50" s="334"/>
    </row>
    <row r="51" spans="1:5" ht="18.75" customHeight="1" x14ac:dyDescent="0.15">
      <c r="A51" s="8"/>
      <c r="B51" s="332"/>
      <c r="C51" s="333"/>
      <c r="D51" s="333"/>
      <c r="E51" s="334"/>
    </row>
    <row r="52" spans="1:5" ht="18.75" customHeight="1" x14ac:dyDescent="0.15">
      <c r="A52" s="8"/>
      <c r="B52" s="332"/>
      <c r="C52" s="333"/>
      <c r="D52" s="333"/>
      <c r="E52" s="334"/>
    </row>
    <row r="53" spans="1:5" ht="18.75" customHeight="1" x14ac:dyDescent="0.15">
      <c r="A53" s="8"/>
      <c r="B53" s="332"/>
      <c r="C53" s="333"/>
      <c r="D53" s="333"/>
      <c r="E53" s="334"/>
    </row>
    <row r="54" spans="1:5" ht="18.75" customHeight="1" x14ac:dyDescent="0.15">
      <c r="A54" s="8"/>
      <c r="B54" s="332"/>
      <c r="C54" s="333"/>
      <c r="D54" s="333"/>
      <c r="E54" s="334"/>
    </row>
    <row r="55" spans="1:5" ht="18.75" customHeight="1" x14ac:dyDescent="0.15">
      <c r="A55" s="8"/>
      <c r="B55" s="332"/>
      <c r="C55" s="333"/>
      <c r="D55" s="333"/>
      <c r="E55" s="334"/>
    </row>
    <row r="56" spans="1:5" ht="18.75" customHeight="1" x14ac:dyDescent="0.15">
      <c r="A56" s="8"/>
      <c r="B56" s="332"/>
      <c r="C56" s="333"/>
      <c r="D56" s="333"/>
      <c r="E56" s="334"/>
    </row>
    <row r="57" spans="1:5" ht="18.75" customHeight="1" x14ac:dyDescent="0.15">
      <c r="A57" s="8"/>
      <c r="B57" s="332"/>
      <c r="C57" s="333"/>
      <c r="D57" s="333"/>
      <c r="E57" s="334"/>
    </row>
    <row r="58" spans="1:5" ht="18.75" customHeight="1" x14ac:dyDescent="0.15">
      <c r="A58" s="8"/>
      <c r="B58" s="332"/>
      <c r="C58" s="333"/>
      <c r="D58" s="333"/>
      <c r="E58" s="334"/>
    </row>
    <row r="59" spans="1:5" ht="18.75" customHeight="1" x14ac:dyDescent="0.15">
      <c r="A59" s="8"/>
      <c r="B59" s="332"/>
      <c r="C59" s="333"/>
      <c r="D59" s="333"/>
      <c r="E59" s="334"/>
    </row>
    <row r="60" spans="1:5" ht="18.75" customHeight="1" x14ac:dyDescent="0.15">
      <c r="A60" s="8"/>
      <c r="B60" s="332"/>
      <c r="C60" s="333"/>
      <c r="D60" s="333"/>
      <c r="E60" s="334"/>
    </row>
    <row r="61" spans="1:5" ht="18.75" customHeight="1" x14ac:dyDescent="0.15">
      <c r="A61" s="8"/>
      <c r="B61" s="332"/>
      <c r="C61" s="333"/>
      <c r="D61" s="333"/>
      <c r="E61" s="334"/>
    </row>
    <row r="62" spans="1:5" ht="18.75" customHeight="1" x14ac:dyDescent="0.15">
      <c r="A62" s="8"/>
      <c r="B62" s="332"/>
      <c r="C62" s="333"/>
      <c r="D62" s="333"/>
      <c r="E62" s="334"/>
    </row>
    <row r="63" spans="1:5" ht="18.75" customHeight="1" x14ac:dyDescent="0.15">
      <c r="A63" s="8"/>
      <c r="B63" s="332"/>
      <c r="C63" s="333"/>
      <c r="D63" s="333"/>
      <c r="E63" s="334"/>
    </row>
    <row r="64" spans="1:5" ht="18.75" customHeight="1" x14ac:dyDescent="0.15">
      <c r="A64" s="8"/>
      <c r="B64" s="332"/>
      <c r="C64" s="333"/>
      <c r="D64" s="333"/>
      <c r="E64" s="334"/>
    </row>
    <row r="65" spans="1:5" ht="18.75" customHeight="1" x14ac:dyDescent="0.15">
      <c r="A65" s="8"/>
      <c r="B65" s="332"/>
      <c r="C65" s="333"/>
      <c r="D65" s="333"/>
      <c r="E65" s="334"/>
    </row>
    <row r="66" spans="1:5" ht="18.75" customHeight="1" x14ac:dyDescent="0.15">
      <c r="A66" s="8"/>
      <c r="B66" s="332"/>
      <c r="C66" s="333"/>
      <c r="D66" s="333"/>
      <c r="E66" s="334"/>
    </row>
    <row r="67" spans="1:5" ht="18.75" customHeight="1" x14ac:dyDescent="0.15">
      <c r="A67" s="8"/>
      <c r="B67" s="332"/>
      <c r="C67" s="333"/>
      <c r="D67" s="333"/>
      <c r="E67" s="334"/>
    </row>
    <row r="68" spans="1:5" ht="18.75" customHeight="1" x14ac:dyDescent="0.15">
      <c r="A68" s="8"/>
      <c r="B68" s="335"/>
      <c r="C68" s="336"/>
      <c r="D68" s="336"/>
      <c r="E68" s="337"/>
    </row>
    <row r="69" spans="1:5" ht="7.5" customHeight="1" x14ac:dyDescent="0.15">
      <c r="A69" s="8"/>
      <c r="B69" s="8"/>
      <c r="C69" s="8"/>
      <c r="D69" s="8"/>
      <c r="E69" s="8"/>
    </row>
    <row r="70" spans="1:5" s="5" customFormat="1" ht="18.75" customHeight="1" x14ac:dyDescent="0.15">
      <c r="A70" s="15" t="s">
        <v>18</v>
      </c>
      <c r="B70" s="15" t="s">
        <v>97</v>
      </c>
      <c r="C70" s="15"/>
      <c r="D70" s="15"/>
      <c r="E70" s="15"/>
    </row>
    <row r="71" spans="1:5" s="5" customFormat="1" ht="18.75" customHeight="1" x14ac:dyDescent="0.15">
      <c r="A71" s="15"/>
      <c r="B71" s="299" t="s">
        <v>236</v>
      </c>
      <c r="C71" s="300"/>
      <c r="D71" s="300"/>
      <c r="E71" s="301"/>
    </row>
    <row r="72" spans="1:5" s="5" customFormat="1" ht="18.75" customHeight="1" x14ac:dyDescent="0.15">
      <c r="A72" s="15"/>
      <c r="B72" s="302"/>
      <c r="C72" s="303"/>
      <c r="D72" s="303"/>
      <c r="E72" s="304"/>
    </row>
    <row r="73" spans="1:5" s="5" customFormat="1" ht="18.75" customHeight="1" x14ac:dyDescent="0.15">
      <c r="A73" s="15"/>
      <c r="B73" s="302"/>
      <c r="C73" s="303"/>
      <c r="D73" s="303"/>
      <c r="E73" s="304"/>
    </row>
    <row r="74" spans="1:5" s="5" customFormat="1" ht="18.75" customHeight="1" x14ac:dyDescent="0.15">
      <c r="A74" s="15"/>
      <c r="B74" s="302"/>
      <c r="C74" s="303"/>
      <c r="D74" s="303"/>
      <c r="E74" s="304"/>
    </row>
    <row r="75" spans="1:5" s="5" customFormat="1" ht="18.75" customHeight="1" x14ac:dyDescent="0.15">
      <c r="A75" s="15"/>
      <c r="B75" s="302"/>
      <c r="C75" s="303"/>
      <c r="D75" s="303"/>
      <c r="E75" s="304"/>
    </row>
    <row r="76" spans="1:5" s="5" customFormat="1" ht="18.75" customHeight="1" x14ac:dyDescent="0.15">
      <c r="A76" s="15"/>
      <c r="B76" s="302"/>
      <c r="C76" s="303"/>
      <c r="D76" s="303"/>
      <c r="E76" s="304"/>
    </row>
    <row r="77" spans="1:5" s="5" customFormat="1" ht="18.75" customHeight="1" x14ac:dyDescent="0.15">
      <c r="A77" s="15"/>
      <c r="B77" s="302"/>
      <c r="C77" s="303"/>
      <c r="D77" s="303"/>
      <c r="E77" s="304"/>
    </row>
    <row r="78" spans="1:5" s="5" customFormat="1" ht="18.75" customHeight="1" x14ac:dyDescent="0.15">
      <c r="A78" s="15"/>
      <c r="B78" s="302"/>
      <c r="C78" s="303"/>
      <c r="D78" s="303"/>
      <c r="E78" s="304"/>
    </row>
    <row r="79" spans="1:5" s="5" customFormat="1" ht="18.75" customHeight="1" x14ac:dyDescent="0.15">
      <c r="A79" s="15"/>
      <c r="B79" s="302"/>
      <c r="C79" s="303"/>
      <c r="D79" s="303"/>
      <c r="E79" s="304"/>
    </row>
    <row r="80" spans="1:5" s="5" customFormat="1" ht="18.75" customHeight="1" x14ac:dyDescent="0.15">
      <c r="A80" s="15"/>
      <c r="B80" s="302"/>
      <c r="C80" s="303"/>
      <c r="D80" s="303"/>
      <c r="E80" s="304"/>
    </row>
    <row r="81" spans="1:5" s="5" customFormat="1" ht="18.75" customHeight="1" x14ac:dyDescent="0.15">
      <c r="A81" s="15"/>
      <c r="B81" s="302"/>
      <c r="C81" s="303"/>
      <c r="D81" s="303"/>
      <c r="E81" s="304"/>
    </row>
    <row r="82" spans="1:5" s="5" customFormat="1" ht="18.75" customHeight="1" x14ac:dyDescent="0.15">
      <c r="A82" s="15"/>
      <c r="B82" s="302"/>
      <c r="C82" s="303"/>
      <c r="D82" s="303"/>
      <c r="E82" s="304"/>
    </row>
    <row r="83" spans="1:5" s="5" customFormat="1" ht="18.75" customHeight="1" x14ac:dyDescent="0.15">
      <c r="A83" s="15"/>
      <c r="B83" s="302"/>
      <c r="C83" s="303"/>
      <c r="D83" s="303"/>
      <c r="E83" s="304"/>
    </row>
    <row r="84" spans="1:5" s="5" customFormat="1" ht="18.75" customHeight="1" x14ac:dyDescent="0.15">
      <c r="A84" s="15"/>
      <c r="B84" s="302"/>
      <c r="C84" s="303"/>
      <c r="D84" s="303"/>
      <c r="E84" s="304"/>
    </row>
    <row r="85" spans="1:5" s="5" customFormat="1" ht="18.75" customHeight="1" x14ac:dyDescent="0.15">
      <c r="A85" s="15"/>
      <c r="B85" s="302"/>
      <c r="C85" s="303"/>
      <c r="D85" s="303"/>
      <c r="E85" s="304"/>
    </row>
    <row r="86" spans="1:5" s="5" customFormat="1" ht="18.75" customHeight="1" x14ac:dyDescent="0.15">
      <c r="A86" s="15"/>
      <c r="B86" s="302"/>
      <c r="C86" s="303"/>
      <c r="D86" s="303"/>
      <c r="E86" s="304"/>
    </row>
    <row r="87" spans="1:5" s="5" customFormat="1" ht="18.75" customHeight="1" x14ac:dyDescent="0.15">
      <c r="A87" s="15"/>
      <c r="B87" s="302"/>
      <c r="C87" s="303"/>
      <c r="D87" s="303"/>
      <c r="E87" s="304"/>
    </row>
    <row r="88" spans="1:5" ht="18.75" customHeight="1" x14ac:dyDescent="0.15">
      <c r="A88" s="8"/>
      <c r="B88" s="302"/>
      <c r="C88" s="303"/>
      <c r="D88" s="303"/>
      <c r="E88" s="304"/>
    </row>
    <row r="89" spans="1:5" ht="18.75" customHeight="1" x14ac:dyDescent="0.15">
      <c r="A89" s="8"/>
      <c r="B89" s="305"/>
      <c r="C89" s="306"/>
      <c r="D89" s="306"/>
      <c r="E89" s="307"/>
    </row>
    <row r="90" spans="1:5" ht="7.5" customHeight="1" x14ac:dyDescent="0.15">
      <c r="A90" s="8"/>
      <c r="B90" s="8"/>
      <c r="C90" s="8"/>
      <c r="D90" s="8"/>
      <c r="E90" s="8"/>
    </row>
    <row r="91" spans="1:5" s="5" customFormat="1" ht="18.75" customHeight="1" x14ac:dyDescent="0.15">
      <c r="A91" s="15" t="s">
        <v>15</v>
      </c>
      <c r="B91" s="15" t="s">
        <v>34</v>
      </c>
      <c r="C91" s="15"/>
      <c r="D91" s="15"/>
      <c r="E91" s="15"/>
    </row>
    <row r="92" spans="1:5" s="5" customFormat="1" ht="18.75" customHeight="1" x14ac:dyDescent="0.15">
      <c r="A92" s="15"/>
      <c r="B92" s="299" t="s">
        <v>251</v>
      </c>
      <c r="C92" s="300"/>
      <c r="D92" s="300"/>
      <c r="E92" s="301"/>
    </row>
    <row r="93" spans="1:5" s="5" customFormat="1" ht="18.75" customHeight="1" x14ac:dyDescent="0.15">
      <c r="A93" s="15"/>
      <c r="B93" s="302"/>
      <c r="C93" s="303"/>
      <c r="D93" s="303"/>
      <c r="E93" s="304"/>
    </row>
    <row r="94" spans="1:5" s="5" customFormat="1" ht="18.75" customHeight="1" x14ac:dyDescent="0.15">
      <c r="A94" s="15"/>
      <c r="B94" s="302"/>
      <c r="C94" s="303"/>
      <c r="D94" s="303"/>
      <c r="E94" s="304"/>
    </row>
    <row r="95" spans="1:5" s="5" customFormat="1" ht="18.75" customHeight="1" x14ac:dyDescent="0.15">
      <c r="A95" s="15"/>
      <c r="B95" s="302"/>
      <c r="C95" s="303"/>
      <c r="D95" s="303"/>
      <c r="E95" s="304"/>
    </row>
    <row r="96" spans="1:5" s="5" customFormat="1" ht="18.75" customHeight="1" x14ac:dyDescent="0.15">
      <c r="A96" s="15"/>
      <c r="B96" s="302"/>
      <c r="C96" s="303"/>
      <c r="D96" s="303"/>
      <c r="E96" s="304"/>
    </row>
    <row r="97" spans="1:5" s="5" customFormat="1" ht="18.75" customHeight="1" x14ac:dyDescent="0.15">
      <c r="A97" s="15"/>
      <c r="B97" s="302"/>
      <c r="C97" s="303"/>
      <c r="D97" s="303"/>
      <c r="E97" s="304"/>
    </row>
    <row r="98" spans="1:5" s="5" customFormat="1" ht="18.75" customHeight="1" x14ac:dyDescent="0.15">
      <c r="A98" s="15"/>
      <c r="B98" s="302"/>
      <c r="C98" s="303"/>
      <c r="D98" s="303"/>
      <c r="E98" s="304"/>
    </row>
    <row r="99" spans="1:5" s="5" customFormat="1" ht="18.75" customHeight="1" x14ac:dyDescent="0.15">
      <c r="A99" s="15"/>
      <c r="B99" s="302"/>
      <c r="C99" s="303"/>
      <c r="D99" s="303"/>
      <c r="E99" s="304"/>
    </row>
    <row r="100" spans="1:5" s="5" customFormat="1" ht="18.75" customHeight="1" x14ac:dyDescent="0.15">
      <c r="A100" s="15"/>
      <c r="B100" s="302"/>
      <c r="C100" s="303"/>
      <c r="D100" s="303"/>
      <c r="E100" s="304"/>
    </row>
    <row r="101" spans="1:5" s="5" customFormat="1" ht="18.75" customHeight="1" x14ac:dyDescent="0.15">
      <c r="A101" s="15"/>
      <c r="B101" s="302"/>
      <c r="C101" s="303"/>
      <c r="D101" s="303"/>
      <c r="E101" s="304"/>
    </row>
    <row r="102" spans="1:5" s="5" customFormat="1" ht="18.75" customHeight="1" x14ac:dyDescent="0.15">
      <c r="A102" s="15"/>
      <c r="B102" s="302"/>
      <c r="C102" s="303"/>
      <c r="D102" s="303"/>
      <c r="E102" s="304"/>
    </row>
    <row r="103" spans="1:5" s="5" customFormat="1" ht="18.75" customHeight="1" x14ac:dyDescent="0.15">
      <c r="A103" s="15"/>
      <c r="B103" s="302"/>
      <c r="C103" s="303"/>
      <c r="D103" s="303"/>
      <c r="E103" s="304"/>
    </row>
    <row r="104" spans="1:5" s="5" customFormat="1" ht="18.75" customHeight="1" x14ac:dyDescent="0.15">
      <c r="A104" s="15"/>
      <c r="B104" s="302"/>
      <c r="C104" s="303"/>
      <c r="D104" s="303"/>
      <c r="E104" s="304"/>
    </row>
    <row r="105" spans="1:5" s="5" customFormat="1" ht="18.75" customHeight="1" x14ac:dyDescent="0.15">
      <c r="A105" s="15"/>
      <c r="B105" s="302"/>
      <c r="C105" s="303"/>
      <c r="D105" s="303"/>
      <c r="E105" s="304"/>
    </row>
    <row r="106" spans="1:5" s="5" customFormat="1" ht="18.75" customHeight="1" x14ac:dyDescent="0.15">
      <c r="A106" s="15"/>
      <c r="B106" s="302"/>
      <c r="C106" s="303"/>
      <c r="D106" s="303"/>
      <c r="E106" s="304"/>
    </row>
    <row r="107" spans="1:5" s="5" customFormat="1" ht="18.75" customHeight="1" x14ac:dyDescent="0.15">
      <c r="A107" s="15"/>
      <c r="B107" s="302"/>
      <c r="C107" s="303"/>
      <c r="D107" s="303"/>
      <c r="E107" s="304"/>
    </row>
    <row r="108" spans="1:5" s="5" customFormat="1" ht="18.75" customHeight="1" x14ac:dyDescent="0.15">
      <c r="A108" s="15"/>
      <c r="B108" s="302"/>
      <c r="C108" s="303"/>
      <c r="D108" s="303"/>
      <c r="E108" s="304"/>
    </row>
    <row r="109" spans="1:5" s="5" customFormat="1" ht="18.75" customHeight="1" x14ac:dyDescent="0.15">
      <c r="A109" s="15"/>
      <c r="B109" s="302"/>
      <c r="C109" s="303"/>
      <c r="D109" s="303"/>
      <c r="E109" s="304"/>
    </row>
    <row r="110" spans="1:5" ht="18.75" customHeight="1" x14ac:dyDescent="0.15">
      <c r="A110" s="8"/>
      <c r="B110" s="302"/>
      <c r="C110" s="303"/>
      <c r="D110" s="303"/>
      <c r="E110" s="304"/>
    </row>
    <row r="111" spans="1:5" ht="18.75" customHeight="1" x14ac:dyDescent="0.15">
      <c r="A111" s="8"/>
      <c r="B111" s="305"/>
      <c r="C111" s="306"/>
      <c r="D111" s="306"/>
      <c r="E111" s="307"/>
    </row>
    <row r="112" spans="1:5" ht="7.5" customHeight="1" x14ac:dyDescent="0.15">
      <c r="A112" s="8"/>
      <c r="B112" s="8"/>
      <c r="C112" s="8"/>
      <c r="D112" s="8"/>
      <c r="E112" s="8"/>
    </row>
    <row r="113" spans="1:5" s="5" customFormat="1" ht="18.75" customHeight="1" x14ac:dyDescent="0.15">
      <c r="A113" s="15" t="s">
        <v>62</v>
      </c>
      <c r="B113" s="327" t="s">
        <v>134</v>
      </c>
      <c r="C113" s="327"/>
      <c r="D113" s="327"/>
      <c r="E113" s="327"/>
    </row>
    <row r="114" spans="1:5" ht="18.75" customHeight="1" x14ac:dyDescent="0.15">
      <c r="A114" s="8"/>
      <c r="B114" s="299" t="s">
        <v>252</v>
      </c>
      <c r="C114" s="300"/>
      <c r="D114" s="300"/>
      <c r="E114" s="301"/>
    </row>
    <row r="115" spans="1:5" ht="18.75" customHeight="1" x14ac:dyDescent="0.15">
      <c r="A115" s="8"/>
      <c r="B115" s="302"/>
      <c r="C115" s="303"/>
      <c r="D115" s="303"/>
      <c r="E115" s="304"/>
    </row>
    <row r="116" spans="1:5" ht="18.75" customHeight="1" x14ac:dyDescent="0.15">
      <c r="A116" s="8"/>
      <c r="B116" s="302"/>
      <c r="C116" s="303"/>
      <c r="D116" s="303"/>
      <c r="E116" s="304"/>
    </row>
    <row r="117" spans="1:5" ht="18.75" customHeight="1" x14ac:dyDescent="0.15">
      <c r="A117" s="8"/>
      <c r="B117" s="302"/>
      <c r="C117" s="303"/>
      <c r="D117" s="303"/>
      <c r="E117" s="304"/>
    </row>
    <row r="118" spans="1:5" ht="18.75" customHeight="1" x14ac:dyDescent="0.15">
      <c r="A118" s="8"/>
      <c r="B118" s="302"/>
      <c r="C118" s="303"/>
      <c r="D118" s="303"/>
      <c r="E118" s="304"/>
    </row>
    <row r="119" spans="1:5" ht="18.75" customHeight="1" x14ac:dyDescent="0.15">
      <c r="A119" s="8"/>
      <c r="B119" s="302"/>
      <c r="C119" s="303"/>
      <c r="D119" s="303"/>
      <c r="E119" s="304"/>
    </row>
    <row r="120" spans="1:5" ht="18.75" customHeight="1" x14ac:dyDescent="0.15">
      <c r="A120" s="8"/>
      <c r="B120" s="302"/>
      <c r="C120" s="303"/>
      <c r="D120" s="303"/>
      <c r="E120" s="304"/>
    </row>
    <row r="121" spans="1:5" ht="18.75" customHeight="1" x14ac:dyDescent="0.15">
      <c r="A121" s="8"/>
      <c r="B121" s="302"/>
      <c r="C121" s="303"/>
      <c r="D121" s="303"/>
      <c r="E121" s="304"/>
    </row>
    <row r="122" spans="1:5" ht="18.75" customHeight="1" x14ac:dyDescent="0.15">
      <c r="A122" s="8"/>
      <c r="B122" s="302"/>
      <c r="C122" s="303"/>
      <c r="D122" s="303"/>
      <c r="E122" s="304"/>
    </row>
    <row r="123" spans="1:5" ht="18.75" customHeight="1" x14ac:dyDescent="0.15">
      <c r="A123" s="8"/>
      <c r="B123" s="302"/>
      <c r="C123" s="303"/>
      <c r="D123" s="303"/>
      <c r="E123" s="304"/>
    </row>
    <row r="124" spans="1:5" ht="18.75" customHeight="1" x14ac:dyDescent="0.15">
      <c r="A124" s="8"/>
      <c r="B124" s="302"/>
      <c r="C124" s="303"/>
      <c r="D124" s="303"/>
      <c r="E124" s="304"/>
    </row>
    <row r="125" spans="1:5" ht="18.75" customHeight="1" x14ac:dyDescent="0.15">
      <c r="A125" s="8"/>
      <c r="B125" s="302"/>
      <c r="C125" s="303"/>
      <c r="D125" s="303"/>
      <c r="E125" s="304"/>
    </row>
    <row r="126" spans="1:5" ht="18.75" customHeight="1" x14ac:dyDescent="0.15">
      <c r="A126" s="8"/>
      <c r="B126" s="302"/>
      <c r="C126" s="303"/>
      <c r="D126" s="303"/>
      <c r="E126" s="304"/>
    </row>
    <row r="127" spans="1:5" ht="18.75" customHeight="1" x14ac:dyDescent="0.15">
      <c r="A127" s="8"/>
      <c r="B127" s="302"/>
      <c r="C127" s="303"/>
      <c r="D127" s="303"/>
      <c r="E127" s="304"/>
    </row>
    <row r="128" spans="1:5" ht="18.75" customHeight="1" x14ac:dyDescent="0.15">
      <c r="A128" s="8"/>
      <c r="B128" s="302"/>
      <c r="C128" s="303"/>
      <c r="D128" s="303"/>
      <c r="E128" s="304"/>
    </row>
    <row r="129" spans="1:5" ht="18.75" customHeight="1" x14ac:dyDescent="0.15">
      <c r="A129" s="8"/>
      <c r="B129" s="302"/>
      <c r="C129" s="303"/>
      <c r="D129" s="303"/>
      <c r="E129" s="304"/>
    </row>
    <row r="130" spans="1:5" ht="18.75" customHeight="1" x14ac:dyDescent="0.15">
      <c r="A130" s="8"/>
      <c r="B130" s="302"/>
      <c r="C130" s="303"/>
      <c r="D130" s="303"/>
      <c r="E130" s="304"/>
    </row>
    <row r="131" spans="1:5" ht="18.75" customHeight="1" x14ac:dyDescent="0.15">
      <c r="A131" s="8"/>
      <c r="B131" s="302"/>
      <c r="C131" s="303"/>
      <c r="D131" s="303"/>
      <c r="E131" s="304"/>
    </row>
    <row r="132" spans="1:5" ht="18.75" customHeight="1" x14ac:dyDescent="0.15">
      <c r="A132" s="8"/>
      <c r="B132" s="302"/>
      <c r="C132" s="303"/>
      <c r="D132" s="303"/>
      <c r="E132" s="304"/>
    </row>
    <row r="133" spans="1:5" ht="18.75" customHeight="1" x14ac:dyDescent="0.15">
      <c r="A133" s="8"/>
      <c r="B133" s="305"/>
      <c r="C133" s="306"/>
      <c r="D133" s="306"/>
      <c r="E133" s="307"/>
    </row>
    <row r="134" spans="1:5" ht="7.5" customHeight="1" x14ac:dyDescent="0.15">
      <c r="A134" s="8"/>
      <c r="B134" s="12"/>
      <c r="C134" s="12"/>
      <c r="D134" s="12"/>
      <c r="E134" s="12"/>
    </row>
    <row r="135" spans="1:5" ht="18.75" customHeight="1" x14ac:dyDescent="0.15">
      <c r="A135" s="8"/>
      <c r="B135" s="8"/>
      <c r="C135" s="8"/>
      <c r="D135" s="8"/>
      <c r="E135" s="8"/>
    </row>
    <row r="136" spans="1:5" ht="18.75" customHeight="1" x14ac:dyDescent="0.15">
      <c r="A136" s="8"/>
      <c r="B136" s="8"/>
      <c r="C136" s="8"/>
      <c r="D136" s="8"/>
      <c r="E136" s="8"/>
    </row>
    <row r="137" spans="1:5" ht="18.75" customHeight="1" x14ac:dyDescent="0.15">
      <c r="A137" s="8"/>
      <c r="B137" s="8"/>
      <c r="C137" s="8"/>
      <c r="D137" s="8"/>
      <c r="E137" s="8"/>
    </row>
    <row r="138" spans="1:5" ht="18.75" customHeight="1" x14ac:dyDescent="0.15">
      <c r="A138" s="8"/>
      <c r="B138" s="8"/>
      <c r="C138" s="8"/>
      <c r="D138" s="8"/>
      <c r="E138" s="8"/>
    </row>
    <row r="139" spans="1:5" ht="18.75" customHeight="1" x14ac:dyDescent="0.15">
      <c r="A139" s="8"/>
      <c r="B139" s="8"/>
      <c r="C139" s="8"/>
      <c r="D139" s="8"/>
      <c r="E139" s="8"/>
    </row>
    <row r="140" spans="1:5" ht="18.75" customHeight="1" x14ac:dyDescent="0.15">
      <c r="A140" s="8"/>
      <c r="B140" s="8"/>
      <c r="C140" s="8"/>
      <c r="D140" s="8"/>
      <c r="E140" s="8"/>
    </row>
    <row r="141" spans="1:5" ht="18.75" customHeight="1" x14ac:dyDescent="0.15">
      <c r="A141" s="8"/>
      <c r="B141" s="8"/>
      <c r="C141" s="8"/>
      <c r="D141" s="8"/>
      <c r="E141" s="8"/>
    </row>
    <row r="142" spans="1:5" ht="18.75" customHeight="1" x14ac:dyDescent="0.15">
      <c r="A142" s="8"/>
      <c r="B142" s="8"/>
      <c r="C142" s="8"/>
      <c r="D142" s="8"/>
      <c r="E142" s="8"/>
    </row>
    <row r="143" spans="1:5" ht="18.75" customHeight="1" x14ac:dyDescent="0.15">
      <c r="A143" s="8"/>
      <c r="B143" s="8"/>
      <c r="C143" s="8"/>
      <c r="D143" s="8"/>
      <c r="E143" s="8"/>
    </row>
    <row r="144" spans="1:5" ht="18.75" customHeight="1" x14ac:dyDescent="0.15">
      <c r="A144" s="8"/>
      <c r="B144" s="8"/>
      <c r="C144" s="8"/>
      <c r="D144" s="8"/>
      <c r="E144" s="8"/>
    </row>
    <row r="145" spans="1:5" ht="18.75" customHeight="1" x14ac:dyDescent="0.15">
      <c r="A145" s="8"/>
      <c r="B145" s="8"/>
      <c r="C145" s="8"/>
      <c r="D145" s="8"/>
      <c r="E145" s="8"/>
    </row>
    <row r="146" spans="1:5" ht="18.75" customHeight="1" x14ac:dyDescent="0.15">
      <c r="A146" s="8"/>
      <c r="B146" s="8"/>
      <c r="C146" s="8"/>
      <c r="D146" s="8"/>
      <c r="E146" s="8"/>
    </row>
    <row r="147" spans="1:5" ht="14.25" x14ac:dyDescent="0.15">
      <c r="A147" s="8"/>
      <c r="B147" s="8"/>
      <c r="C147" s="8"/>
      <c r="D147" s="8"/>
      <c r="E147" s="8"/>
    </row>
    <row r="148" spans="1:5" ht="7.5" customHeight="1" x14ac:dyDescent="0.15">
      <c r="A148" s="4"/>
      <c r="B148" s="4"/>
      <c r="C148" s="4"/>
      <c r="D148" s="4"/>
      <c r="E148" s="4"/>
    </row>
  </sheetData>
  <mergeCells count="11">
    <mergeCell ref="B71:E89"/>
    <mergeCell ref="B92:E111"/>
    <mergeCell ref="B113:E113"/>
    <mergeCell ref="B114:E133"/>
    <mergeCell ref="D2:E2"/>
    <mergeCell ref="B4:E4"/>
    <mergeCell ref="B10:E14"/>
    <mergeCell ref="B17:E28"/>
    <mergeCell ref="B31:E46"/>
    <mergeCell ref="B48:E68"/>
    <mergeCell ref="B7:E7"/>
  </mergeCells>
  <phoneticPr fontId="1"/>
  <printOptions horizontalCentered="1"/>
  <pageMargins left="0.78740157480314965" right="0.78740157480314965" top="0.78740157480314965" bottom="0.78740157480314965" header="0.31496062992125984" footer="0.31496062992125984"/>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8"/>
  <sheetViews>
    <sheetView showZeros="0" tabSelected="1" zoomScaleNormal="100" workbookViewId="0"/>
  </sheetViews>
  <sheetFormatPr defaultColWidth="11.375" defaultRowHeight="22.5" customHeight="1" x14ac:dyDescent="0.15"/>
  <cols>
    <col min="1" max="3" width="2.5" style="1" customWidth="1"/>
    <col min="4" max="4" width="22.5" style="1" customWidth="1"/>
    <col min="5" max="5" width="21.25" style="1" customWidth="1"/>
    <col min="6" max="7" width="7.5" style="1" customWidth="1"/>
    <col min="8" max="8" width="32.5" style="1" customWidth="1"/>
    <col min="9" max="9" width="24.875" style="1" customWidth="1"/>
    <col min="10" max="10" width="6.25" style="1" customWidth="1"/>
    <col min="11" max="11" width="4.125" style="1" customWidth="1"/>
    <col min="12" max="16384" width="11.375" style="1"/>
  </cols>
  <sheetData>
    <row r="1" spans="1:10" ht="18.75" customHeight="1" x14ac:dyDescent="0.15">
      <c r="J1" s="56" t="s">
        <v>9</v>
      </c>
    </row>
    <row r="2" spans="1:10" ht="18.75" customHeight="1" x14ac:dyDescent="0.15">
      <c r="D2" s="56"/>
      <c r="H2" s="56" t="s">
        <v>31</v>
      </c>
      <c r="I2" s="328" t="s">
        <v>178</v>
      </c>
      <c r="J2" s="328"/>
    </row>
    <row r="3" spans="1:10" ht="18.75" customHeight="1" x14ac:dyDescent="0.15">
      <c r="A3" s="204" t="s">
        <v>50</v>
      </c>
      <c r="B3" s="204"/>
      <c r="C3" s="204"/>
      <c r="D3" s="204"/>
      <c r="E3" s="204"/>
      <c r="F3" s="204"/>
      <c r="G3" s="204"/>
      <c r="H3" s="204"/>
      <c r="I3" s="204"/>
      <c r="J3" s="204"/>
    </row>
    <row r="4" spans="1:10" ht="7.5" customHeight="1" x14ac:dyDescent="0.15">
      <c r="B4" s="59"/>
      <c r="C4" s="59"/>
      <c r="D4" s="345"/>
      <c r="E4" s="346"/>
      <c r="F4" s="346"/>
      <c r="G4" s="346"/>
      <c r="H4" s="346"/>
      <c r="I4" s="346"/>
      <c r="J4" s="346"/>
    </row>
    <row r="5" spans="1:10" ht="18.75" customHeight="1" x14ac:dyDescent="0.15">
      <c r="A5" s="1" t="s">
        <v>7</v>
      </c>
      <c r="B5" s="5" t="s">
        <v>48</v>
      </c>
      <c r="C5" s="59"/>
      <c r="D5" s="59"/>
      <c r="E5" s="60"/>
      <c r="F5" s="64"/>
      <c r="G5" s="67"/>
      <c r="H5" s="64"/>
      <c r="I5" s="60"/>
      <c r="J5" s="60"/>
    </row>
    <row r="6" spans="1:10" ht="18.75" customHeight="1" x14ac:dyDescent="0.15">
      <c r="B6" s="224" t="s">
        <v>45</v>
      </c>
      <c r="C6" s="225"/>
      <c r="D6" s="226"/>
      <c r="E6" s="347" t="s">
        <v>47</v>
      </c>
      <c r="F6" s="347"/>
      <c r="G6" s="347"/>
      <c r="H6" s="347"/>
      <c r="I6" s="347"/>
      <c r="J6" s="348"/>
    </row>
    <row r="7" spans="1:10" ht="18.75" customHeight="1" x14ac:dyDescent="0.15">
      <c r="B7" s="6" t="s">
        <v>35</v>
      </c>
      <c r="C7" s="8"/>
      <c r="D7" s="19"/>
      <c r="E7" s="3"/>
      <c r="F7" s="3"/>
      <c r="G7" s="3"/>
      <c r="H7" s="3"/>
      <c r="I7" s="16"/>
      <c r="J7" s="17"/>
    </row>
    <row r="8" spans="1:10" ht="202.5" customHeight="1" x14ac:dyDescent="0.15">
      <c r="B8" s="18"/>
      <c r="C8" s="340" t="s">
        <v>36</v>
      </c>
      <c r="D8" s="341"/>
      <c r="E8" s="342" t="s">
        <v>257</v>
      </c>
      <c r="F8" s="343"/>
      <c r="G8" s="343"/>
      <c r="H8" s="343"/>
      <c r="I8" s="343"/>
      <c r="J8" s="344"/>
    </row>
    <row r="9" spans="1:10" ht="202.5" customHeight="1" x14ac:dyDescent="0.15">
      <c r="B9" s="18"/>
      <c r="C9" s="352" t="s">
        <v>37</v>
      </c>
      <c r="D9" s="353"/>
      <c r="E9" s="342" t="s">
        <v>258</v>
      </c>
      <c r="F9" s="343"/>
      <c r="G9" s="343"/>
      <c r="H9" s="343"/>
      <c r="I9" s="343"/>
      <c r="J9" s="344"/>
    </row>
    <row r="10" spans="1:10" ht="172.5" customHeight="1" x14ac:dyDescent="0.15">
      <c r="B10" s="18"/>
      <c r="C10" s="340" t="s">
        <v>38</v>
      </c>
      <c r="D10" s="341"/>
      <c r="E10" s="342" t="s">
        <v>259</v>
      </c>
      <c r="F10" s="343"/>
      <c r="G10" s="343"/>
      <c r="H10" s="343"/>
      <c r="I10" s="343"/>
      <c r="J10" s="344"/>
    </row>
    <row r="11" spans="1:10" ht="172.5" customHeight="1" x14ac:dyDescent="0.15">
      <c r="B11" s="18"/>
      <c r="C11" s="340" t="s">
        <v>39</v>
      </c>
      <c r="D11" s="341"/>
      <c r="E11" s="342" t="s">
        <v>260</v>
      </c>
      <c r="F11" s="343"/>
      <c r="G11" s="343"/>
      <c r="H11" s="343"/>
      <c r="I11" s="343"/>
      <c r="J11" s="344"/>
    </row>
    <row r="12" spans="1:10" ht="172.5" customHeight="1" x14ac:dyDescent="0.15">
      <c r="B12" s="18"/>
      <c r="C12" s="340" t="s">
        <v>40</v>
      </c>
      <c r="D12" s="341"/>
      <c r="E12" s="342" t="s">
        <v>261</v>
      </c>
      <c r="F12" s="343"/>
      <c r="G12" s="343"/>
      <c r="H12" s="343"/>
      <c r="I12" s="343"/>
      <c r="J12" s="344"/>
    </row>
    <row r="13" spans="1:10" ht="18.75" customHeight="1" x14ac:dyDescent="0.15">
      <c r="B13" s="21" t="s">
        <v>41</v>
      </c>
      <c r="C13" s="61"/>
      <c r="D13" s="20"/>
      <c r="E13" s="85"/>
      <c r="F13" s="85"/>
      <c r="G13" s="85"/>
      <c r="H13" s="85"/>
      <c r="I13" s="85"/>
      <c r="J13" s="86"/>
    </row>
    <row r="14" spans="1:10" ht="255" customHeight="1" x14ac:dyDescent="0.15">
      <c r="B14" s="18"/>
      <c r="C14" s="340" t="s">
        <v>42</v>
      </c>
      <c r="D14" s="341"/>
      <c r="E14" s="343" t="s">
        <v>262</v>
      </c>
      <c r="F14" s="343"/>
      <c r="G14" s="343"/>
      <c r="H14" s="343"/>
      <c r="I14" s="343"/>
      <c r="J14" s="344"/>
    </row>
    <row r="15" spans="1:10" ht="255" customHeight="1" x14ac:dyDescent="0.15">
      <c r="B15" s="145"/>
      <c r="C15" s="340" t="s">
        <v>43</v>
      </c>
      <c r="D15" s="341"/>
      <c r="E15" s="342" t="s">
        <v>263</v>
      </c>
      <c r="F15" s="343"/>
      <c r="G15" s="343"/>
      <c r="H15" s="343"/>
      <c r="I15" s="343"/>
      <c r="J15" s="344"/>
    </row>
    <row r="16" spans="1:10" ht="232.5" customHeight="1" x14ac:dyDescent="0.15">
      <c r="B16" s="354" t="s">
        <v>44</v>
      </c>
      <c r="C16" s="355"/>
      <c r="D16" s="341"/>
      <c r="E16" s="342" t="s">
        <v>264</v>
      </c>
      <c r="F16" s="343"/>
      <c r="G16" s="343"/>
      <c r="H16" s="343"/>
      <c r="I16" s="343"/>
      <c r="J16" s="344"/>
    </row>
    <row r="17" spans="1:10" ht="232.5" customHeight="1" x14ac:dyDescent="0.15">
      <c r="A17" s="84"/>
      <c r="B17" s="349" t="s">
        <v>87</v>
      </c>
      <c r="C17" s="350"/>
      <c r="D17" s="351"/>
      <c r="E17" s="336" t="s">
        <v>265</v>
      </c>
      <c r="F17" s="336"/>
      <c r="G17" s="336"/>
      <c r="H17" s="336"/>
      <c r="I17" s="336"/>
      <c r="J17" s="337"/>
    </row>
    <row r="18" spans="1:10" ht="7.5" customHeight="1" x14ac:dyDescent="0.15">
      <c r="B18" s="59"/>
      <c r="C18" s="59"/>
      <c r="D18" s="59"/>
      <c r="E18" s="60"/>
      <c r="F18" s="64"/>
      <c r="G18" s="67"/>
      <c r="H18" s="64"/>
      <c r="I18" s="60"/>
      <c r="J18" s="60"/>
    </row>
    <row r="19" spans="1:10" ht="18.75" customHeight="1" x14ac:dyDescent="0.15">
      <c r="B19" s="5"/>
      <c r="C19" s="82"/>
      <c r="D19" s="82"/>
      <c r="E19" s="83"/>
      <c r="F19" s="68"/>
      <c r="G19" s="68"/>
      <c r="H19" s="93" t="s">
        <v>116</v>
      </c>
      <c r="I19" s="88"/>
      <c r="J19" s="89"/>
    </row>
    <row r="20" spans="1:10" ht="18.75" customHeight="1" x14ac:dyDescent="0.15">
      <c r="A20" s="3" t="s">
        <v>12</v>
      </c>
      <c r="B20" s="90" t="s">
        <v>49</v>
      </c>
      <c r="C20" s="91"/>
      <c r="D20" s="91"/>
      <c r="E20" s="92"/>
      <c r="F20" s="137" t="s">
        <v>266</v>
      </c>
      <c r="G20" s="68"/>
      <c r="H20" s="365" t="s">
        <v>267</v>
      </c>
      <c r="I20" s="338"/>
      <c r="J20" s="339"/>
    </row>
    <row r="21" spans="1:10" ht="22.5" customHeight="1" x14ac:dyDescent="0.15">
      <c r="B21" s="59"/>
      <c r="C21" s="59"/>
      <c r="D21" s="59"/>
      <c r="E21" s="60"/>
      <c r="F21" s="64"/>
      <c r="G21" s="67"/>
      <c r="H21" s="64"/>
      <c r="I21" s="60"/>
      <c r="J21" s="60"/>
    </row>
    <row r="22" spans="1:10" ht="22.5" customHeight="1" x14ac:dyDescent="0.15">
      <c r="B22" s="59"/>
      <c r="C22" s="59"/>
      <c r="D22" s="59"/>
      <c r="E22" s="60"/>
      <c r="F22" s="64"/>
      <c r="G22" s="67"/>
      <c r="H22" s="64"/>
      <c r="I22" s="60"/>
      <c r="J22" s="60"/>
    </row>
    <row r="23" spans="1:10" ht="22.5" customHeight="1" x14ac:dyDescent="0.15">
      <c r="B23" s="59"/>
      <c r="C23" s="59"/>
      <c r="D23" s="59"/>
      <c r="E23" s="60"/>
      <c r="F23" s="64"/>
      <c r="G23" s="67"/>
      <c r="H23" s="64"/>
      <c r="I23" s="60"/>
      <c r="J23" s="60"/>
    </row>
    <row r="24" spans="1:10" ht="22.5" customHeight="1" x14ac:dyDescent="0.15">
      <c r="B24" s="59"/>
      <c r="C24" s="59"/>
      <c r="D24" s="59"/>
      <c r="E24" s="60"/>
      <c r="F24" s="64"/>
      <c r="G24" s="67"/>
      <c r="H24" s="64"/>
      <c r="I24" s="60"/>
      <c r="J24" s="60"/>
    </row>
    <row r="25" spans="1:10" ht="22.5" customHeight="1" x14ac:dyDescent="0.15">
      <c r="B25" s="59"/>
      <c r="C25" s="59"/>
      <c r="D25" s="59"/>
      <c r="E25" s="60"/>
      <c r="F25" s="64"/>
      <c r="G25" s="67"/>
      <c r="H25" s="64"/>
      <c r="I25" s="60"/>
      <c r="J25" s="60"/>
    </row>
    <row r="26" spans="1:10" ht="22.5" customHeight="1" x14ac:dyDescent="0.15">
      <c r="B26" s="14"/>
      <c r="C26" s="14"/>
      <c r="D26" s="14"/>
      <c r="E26" s="14"/>
      <c r="F26" s="14"/>
      <c r="G26" s="14"/>
      <c r="H26" s="14"/>
      <c r="I26" s="14"/>
      <c r="J26" s="14"/>
    </row>
    <row r="27" spans="1:10" ht="22.5" customHeight="1" x14ac:dyDescent="0.15">
      <c r="B27" s="14"/>
      <c r="C27" s="14"/>
      <c r="D27" s="14"/>
      <c r="E27" s="14"/>
      <c r="F27" s="14"/>
      <c r="G27" s="14"/>
      <c r="H27" s="14"/>
      <c r="I27" s="14"/>
      <c r="J27" s="14"/>
    </row>
    <row r="28" spans="1:10" ht="22.5" customHeight="1" x14ac:dyDescent="0.15">
      <c r="B28" s="14"/>
      <c r="C28" s="14"/>
      <c r="D28" s="14"/>
      <c r="E28" s="14"/>
      <c r="F28" s="14"/>
      <c r="G28" s="14"/>
      <c r="H28" s="14"/>
      <c r="I28" s="14"/>
      <c r="J28" s="14"/>
    </row>
  </sheetData>
  <mergeCells count="24">
    <mergeCell ref="B17:D17"/>
    <mergeCell ref="C9:D9"/>
    <mergeCell ref="C14:D14"/>
    <mergeCell ref="E14:J14"/>
    <mergeCell ref="C15:D15"/>
    <mergeCell ref="E15:J15"/>
    <mergeCell ref="B16:D16"/>
    <mergeCell ref="E16:J16"/>
    <mergeCell ref="H20:J20"/>
    <mergeCell ref="C12:D12"/>
    <mergeCell ref="E12:J12"/>
    <mergeCell ref="I2:J2"/>
    <mergeCell ref="A3:J3"/>
    <mergeCell ref="D4:J4"/>
    <mergeCell ref="B6:D6"/>
    <mergeCell ref="E6:J6"/>
    <mergeCell ref="C8:D8"/>
    <mergeCell ref="E8:J8"/>
    <mergeCell ref="E9:J9"/>
    <mergeCell ref="C10:D10"/>
    <mergeCell ref="E10:J10"/>
    <mergeCell ref="C11:D11"/>
    <mergeCell ref="E11:J11"/>
    <mergeCell ref="E17:J17"/>
  </mergeCells>
  <phoneticPr fontId="1"/>
  <dataValidations count="2">
    <dataValidation type="list" allowBlank="1" showInputMessage="1" showErrorMessage="1" sqref="F19:G19">
      <formula1>#REF!</formula1>
    </dataValidation>
    <dataValidation type="list" allowBlank="1" showInputMessage="1" showErrorMessage="1" sqref="F20">
      <formula1>"有,無,予定"</formula1>
    </dataValidation>
  </dataValidations>
  <hyperlinks>
    <hyperlink ref="H20" r:id="rId1"/>
  </hyperlinks>
  <printOptions horizontalCentered="1"/>
  <pageMargins left="0.78740157480314965" right="0.78740157480314965" top="0.78740157480314965" bottom="0.78740157480314965" header="0.31496062992125984" footer="0.31496062992125984"/>
  <pageSetup paperSize="9" orientation="landscape"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0"/>
  <sheetViews>
    <sheetView showZeros="0" workbookViewId="0"/>
  </sheetViews>
  <sheetFormatPr defaultColWidth="11.375" defaultRowHeight="18.75" customHeight="1" x14ac:dyDescent="0.15"/>
  <cols>
    <col min="1" max="1" width="2.5" style="1" customWidth="1"/>
    <col min="2" max="2" width="15" style="1" customWidth="1"/>
    <col min="3" max="3" width="37.5" style="1" customWidth="1"/>
    <col min="4" max="4" width="1.25" style="1" customWidth="1"/>
    <col min="5" max="5" width="21.125" style="1" customWidth="1"/>
    <col min="6" max="6" width="8.75" style="1" customWidth="1"/>
    <col min="7" max="7" width="2.25" style="1" customWidth="1"/>
    <col min="8" max="8" width="2.125" style="1" customWidth="1"/>
    <col min="9" max="16384" width="11.375" style="1"/>
  </cols>
  <sheetData>
    <row r="1" spans="1:6" ht="18.75" customHeight="1" x14ac:dyDescent="0.15">
      <c r="E1" s="194" t="s">
        <v>16</v>
      </c>
      <c r="F1" s="194"/>
    </row>
    <row r="2" spans="1:6" ht="18.75" customHeight="1" x14ac:dyDescent="0.15">
      <c r="C2" s="23" t="s">
        <v>88</v>
      </c>
      <c r="D2" s="23" t="s">
        <v>8</v>
      </c>
      <c r="E2" s="223"/>
      <c r="F2" s="223"/>
    </row>
    <row r="3" spans="1:6" ht="7.5" customHeight="1" x14ac:dyDescent="0.15">
      <c r="C3" s="23"/>
      <c r="D3" s="23"/>
      <c r="E3" s="22"/>
      <c r="F3" s="22"/>
    </row>
    <row r="4" spans="1:6" ht="18.75" customHeight="1" x14ac:dyDescent="0.15">
      <c r="A4" s="204" t="s">
        <v>126</v>
      </c>
      <c r="B4" s="204"/>
      <c r="C4" s="204"/>
      <c r="D4" s="204"/>
      <c r="E4" s="204"/>
      <c r="F4" s="204"/>
    </row>
    <row r="5" spans="1:6" ht="7.5" customHeight="1" x14ac:dyDescent="0.15">
      <c r="A5" s="24"/>
      <c r="B5" s="24"/>
      <c r="C5" s="24"/>
      <c r="D5" s="24"/>
      <c r="E5" s="24"/>
      <c r="F5" s="24"/>
    </row>
    <row r="6" spans="1:6" ht="18.75" customHeight="1" x14ac:dyDescent="0.15">
      <c r="A6" s="24" t="s">
        <v>7</v>
      </c>
      <c r="B6" s="5" t="s">
        <v>33</v>
      </c>
      <c r="C6" s="24"/>
      <c r="D6" s="24"/>
      <c r="E6" s="24"/>
      <c r="F6" s="24"/>
    </row>
    <row r="7" spans="1:6" ht="18.75" customHeight="1" x14ac:dyDescent="0.15">
      <c r="A7" s="24"/>
      <c r="B7" s="356"/>
      <c r="C7" s="357"/>
      <c r="D7" s="357"/>
      <c r="E7" s="357"/>
      <c r="F7" s="358"/>
    </row>
    <row r="8" spans="1:6" ht="18.75" customHeight="1" x14ac:dyDescent="0.15">
      <c r="A8" s="58"/>
      <c r="B8" s="359"/>
      <c r="C8" s="360"/>
      <c r="D8" s="360"/>
      <c r="E8" s="360"/>
      <c r="F8" s="361"/>
    </row>
    <row r="9" spans="1:6" ht="18.75" customHeight="1" x14ac:dyDescent="0.15">
      <c r="A9" s="58"/>
      <c r="B9" s="359"/>
      <c r="C9" s="360"/>
      <c r="D9" s="360"/>
      <c r="E9" s="360"/>
      <c r="F9" s="361"/>
    </row>
    <row r="10" spans="1:6" ht="18.75" customHeight="1" x14ac:dyDescent="0.15">
      <c r="A10" s="58"/>
      <c r="B10" s="359"/>
      <c r="C10" s="360"/>
      <c r="D10" s="360"/>
      <c r="E10" s="360"/>
      <c r="F10" s="361"/>
    </row>
    <row r="11" spans="1:6" ht="18.75" customHeight="1" x14ac:dyDescent="0.15">
      <c r="A11" s="58"/>
      <c r="B11" s="359"/>
      <c r="C11" s="360"/>
      <c r="D11" s="360"/>
      <c r="E11" s="360"/>
      <c r="F11" s="361"/>
    </row>
    <row r="12" spans="1:6" ht="18.75" customHeight="1" x14ac:dyDescent="0.15">
      <c r="A12" s="58"/>
      <c r="B12" s="359"/>
      <c r="C12" s="360"/>
      <c r="D12" s="360"/>
      <c r="E12" s="360"/>
      <c r="F12" s="361"/>
    </row>
    <row r="13" spans="1:6" ht="18.75" customHeight="1" x14ac:dyDescent="0.15">
      <c r="A13" s="58"/>
      <c r="B13" s="359"/>
      <c r="C13" s="360"/>
      <c r="D13" s="360"/>
      <c r="E13" s="360"/>
      <c r="F13" s="361"/>
    </row>
    <row r="14" spans="1:6" ht="18.75" customHeight="1" x14ac:dyDescent="0.15">
      <c r="A14" s="58"/>
      <c r="B14" s="359"/>
      <c r="C14" s="360"/>
      <c r="D14" s="360"/>
      <c r="E14" s="360"/>
      <c r="F14" s="361"/>
    </row>
    <row r="15" spans="1:6" ht="18.75" customHeight="1" x14ac:dyDescent="0.15">
      <c r="A15" s="58"/>
      <c r="B15" s="359"/>
      <c r="C15" s="360"/>
      <c r="D15" s="360"/>
      <c r="E15" s="360"/>
      <c r="F15" s="361"/>
    </row>
    <row r="16" spans="1:6" ht="18.75" customHeight="1" x14ac:dyDescent="0.15">
      <c r="A16" s="58"/>
      <c r="B16" s="359"/>
      <c r="C16" s="360"/>
      <c r="D16" s="360"/>
      <c r="E16" s="360"/>
      <c r="F16" s="361"/>
    </row>
    <row r="17" spans="1:6" ht="18.75" customHeight="1" x14ac:dyDescent="0.15">
      <c r="A17" s="58"/>
      <c r="B17" s="359"/>
      <c r="C17" s="360"/>
      <c r="D17" s="360"/>
      <c r="E17" s="360"/>
      <c r="F17" s="361"/>
    </row>
    <row r="18" spans="1:6" ht="18.75" customHeight="1" x14ac:dyDescent="0.15">
      <c r="A18" s="58"/>
      <c r="B18" s="359"/>
      <c r="C18" s="360"/>
      <c r="D18" s="360"/>
      <c r="E18" s="360"/>
      <c r="F18" s="361"/>
    </row>
    <row r="19" spans="1:6" ht="18.75" customHeight="1" x14ac:dyDescent="0.15">
      <c r="A19" s="58"/>
      <c r="B19" s="359"/>
      <c r="C19" s="360"/>
      <c r="D19" s="360"/>
      <c r="E19" s="360"/>
      <c r="F19" s="361"/>
    </row>
    <row r="20" spans="1:6" ht="18.75" customHeight="1" x14ac:dyDescent="0.15">
      <c r="A20" s="58"/>
      <c r="B20" s="359"/>
      <c r="C20" s="360"/>
      <c r="D20" s="360"/>
      <c r="E20" s="360"/>
      <c r="F20" s="361"/>
    </row>
    <row r="21" spans="1:6" ht="18.75" customHeight="1" x14ac:dyDescent="0.15">
      <c r="A21" s="58"/>
      <c r="B21" s="359"/>
      <c r="C21" s="360"/>
      <c r="D21" s="360"/>
      <c r="E21" s="360"/>
      <c r="F21" s="361"/>
    </row>
    <row r="22" spans="1:6" ht="18.75" customHeight="1" x14ac:dyDescent="0.15">
      <c r="A22" s="58"/>
      <c r="B22" s="359"/>
      <c r="C22" s="360"/>
      <c r="D22" s="360"/>
      <c r="E22" s="360"/>
      <c r="F22" s="361"/>
    </row>
    <row r="23" spans="1:6" ht="18.75" customHeight="1" x14ac:dyDescent="0.15">
      <c r="A23" s="58"/>
      <c r="B23" s="359"/>
      <c r="C23" s="360"/>
      <c r="D23" s="360"/>
      <c r="E23" s="360"/>
      <c r="F23" s="361"/>
    </row>
    <row r="24" spans="1:6" ht="18.75" customHeight="1" x14ac:dyDescent="0.15">
      <c r="A24" s="58"/>
      <c r="B24" s="359"/>
      <c r="C24" s="360"/>
      <c r="D24" s="360"/>
      <c r="E24" s="360"/>
      <c r="F24" s="361"/>
    </row>
    <row r="25" spans="1:6" ht="18.75" customHeight="1" x14ac:dyDescent="0.15">
      <c r="A25" s="58"/>
      <c r="B25" s="359"/>
      <c r="C25" s="360"/>
      <c r="D25" s="360"/>
      <c r="E25" s="360"/>
      <c r="F25" s="361"/>
    </row>
    <row r="26" spans="1:6" ht="18.75" customHeight="1" x14ac:dyDescent="0.15">
      <c r="A26" s="58"/>
      <c r="B26" s="359"/>
      <c r="C26" s="360"/>
      <c r="D26" s="360"/>
      <c r="E26" s="360"/>
      <c r="F26" s="361"/>
    </row>
    <row r="27" spans="1:6" ht="18.75" customHeight="1" x14ac:dyDescent="0.15">
      <c r="A27" s="58"/>
      <c r="B27" s="359"/>
      <c r="C27" s="360"/>
      <c r="D27" s="360"/>
      <c r="E27" s="360"/>
      <c r="F27" s="361"/>
    </row>
    <row r="28" spans="1:6" ht="18.75" customHeight="1" x14ac:dyDescent="0.15">
      <c r="A28" s="24"/>
      <c r="B28" s="359"/>
      <c r="C28" s="360"/>
      <c r="D28" s="360"/>
      <c r="E28" s="360"/>
      <c r="F28" s="361"/>
    </row>
    <row r="29" spans="1:6" ht="18.75" customHeight="1" x14ac:dyDescent="0.15">
      <c r="A29" s="24"/>
      <c r="B29" s="359"/>
      <c r="C29" s="360"/>
      <c r="D29" s="360"/>
      <c r="E29" s="360"/>
      <c r="F29" s="361"/>
    </row>
    <row r="30" spans="1:6" ht="18.75" customHeight="1" x14ac:dyDescent="0.15">
      <c r="A30" s="24"/>
      <c r="B30" s="359"/>
      <c r="C30" s="360"/>
      <c r="D30" s="360"/>
      <c r="E30" s="360"/>
      <c r="F30" s="361"/>
    </row>
    <row r="31" spans="1:6" ht="18.75" customHeight="1" x14ac:dyDescent="0.15">
      <c r="A31" s="24"/>
      <c r="B31" s="359"/>
      <c r="C31" s="360"/>
      <c r="D31" s="360"/>
      <c r="E31" s="360"/>
      <c r="F31" s="361"/>
    </row>
    <row r="32" spans="1:6" ht="18.75" customHeight="1" x14ac:dyDescent="0.15">
      <c r="A32" s="24"/>
      <c r="B32" s="359"/>
      <c r="C32" s="360"/>
      <c r="D32" s="360"/>
      <c r="E32" s="360"/>
      <c r="F32" s="361"/>
    </row>
    <row r="33" spans="1:6" ht="18.75" customHeight="1" x14ac:dyDescent="0.15">
      <c r="A33" s="24"/>
      <c r="B33" s="359"/>
      <c r="C33" s="360"/>
      <c r="D33" s="360"/>
      <c r="E33" s="360"/>
      <c r="F33" s="361"/>
    </row>
    <row r="34" spans="1:6" ht="18.75" customHeight="1" x14ac:dyDescent="0.15">
      <c r="A34" s="24"/>
      <c r="B34" s="359"/>
      <c r="C34" s="360"/>
      <c r="D34" s="360"/>
      <c r="E34" s="360"/>
      <c r="F34" s="361"/>
    </row>
    <row r="35" spans="1:6" ht="18.75" customHeight="1" x14ac:dyDescent="0.15">
      <c r="A35" s="24"/>
      <c r="B35" s="359"/>
      <c r="C35" s="360"/>
      <c r="D35" s="360"/>
      <c r="E35" s="360"/>
      <c r="F35" s="361"/>
    </row>
    <row r="36" spans="1:6" ht="18.75" customHeight="1" x14ac:dyDescent="0.15">
      <c r="A36" s="24"/>
      <c r="B36" s="359"/>
      <c r="C36" s="360"/>
      <c r="D36" s="360"/>
      <c r="E36" s="360"/>
      <c r="F36" s="361"/>
    </row>
    <row r="37" spans="1:6" ht="18.75" customHeight="1" x14ac:dyDescent="0.15">
      <c r="A37" s="24"/>
      <c r="B37" s="359"/>
      <c r="C37" s="360"/>
      <c r="D37" s="360"/>
      <c r="E37" s="360"/>
      <c r="F37" s="361"/>
    </row>
    <row r="38" spans="1:6" ht="18.75" customHeight="1" x14ac:dyDescent="0.15">
      <c r="A38" s="24"/>
      <c r="B38" s="359"/>
      <c r="C38" s="360"/>
      <c r="D38" s="360"/>
      <c r="E38" s="360"/>
      <c r="F38" s="361"/>
    </row>
    <row r="39" spans="1:6" ht="18.75" customHeight="1" x14ac:dyDescent="0.15">
      <c r="A39" s="24"/>
      <c r="B39" s="359"/>
      <c r="C39" s="360"/>
      <c r="D39" s="360"/>
      <c r="E39" s="360"/>
      <c r="F39" s="361"/>
    </row>
    <row r="40" spans="1:6" ht="18.75" customHeight="1" x14ac:dyDescent="0.15">
      <c r="A40" s="24"/>
      <c r="B40" s="359"/>
      <c r="C40" s="360"/>
      <c r="D40" s="360"/>
      <c r="E40" s="360"/>
      <c r="F40" s="361"/>
    </row>
    <row r="41" spans="1:6" ht="18.75" customHeight="1" x14ac:dyDescent="0.15">
      <c r="A41" s="24"/>
      <c r="B41" s="359"/>
      <c r="C41" s="360"/>
      <c r="D41" s="360"/>
      <c r="E41" s="360"/>
      <c r="F41" s="361"/>
    </row>
    <row r="42" spans="1:6" ht="18.75" customHeight="1" x14ac:dyDescent="0.15">
      <c r="A42" s="24"/>
      <c r="B42" s="359"/>
      <c r="C42" s="360"/>
      <c r="D42" s="360"/>
      <c r="E42" s="360"/>
      <c r="F42" s="361"/>
    </row>
    <row r="43" spans="1:6" ht="18.75" customHeight="1" x14ac:dyDescent="0.15">
      <c r="A43" s="24"/>
      <c r="B43" s="359"/>
      <c r="C43" s="360"/>
      <c r="D43" s="360"/>
      <c r="E43" s="360"/>
      <c r="F43" s="361"/>
    </row>
    <row r="44" spans="1:6" ht="18.75" customHeight="1" x14ac:dyDescent="0.15">
      <c r="A44" s="24"/>
      <c r="B44" s="362"/>
      <c r="C44" s="363"/>
      <c r="D44" s="363"/>
      <c r="E44" s="363"/>
      <c r="F44" s="364"/>
    </row>
    <row r="45" spans="1:6" ht="18.75" customHeight="1" x14ac:dyDescent="0.15">
      <c r="A45" s="24" t="s">
        <v>12</v>
      </c>
      <c r="B45" s="5" t="s">
        <v>93</v>
      </c>
      <c r="C45" s="24"/>
      <c r="D45" s="24"/>
      <c r="E45" s="24"/>
      <c r="F45" s="24"/>
    </row>
    <row r="46" spans="1:6" ht="18.75" customHeight="1" x14ac:dyDescent="0.15">
      <c r="A46" s="24"/>
      <c r="B46" s="356"/>
      <c r="C46" s="357"/>
      <c r="D46" s="357"/>
      <c r="E46" s="357"/>
      <c r="F46" s="358"/>
    </row>
    <row r="47" spans="1:6" ht="18.75" customHeight="1" x14ac:dyDescent="0.15">
      <c r="A47" s="58"/>
      <c r="B47" s="359"/>
      <c r="C47" s="360"/>
      <c r="D47" s="360"/>
      <c r="E47" s="360"/>
      <c r="F47" s="361"/>
    </row>
    <row r="48" spans="1:6" ht="18.75" customHeight="1" x14ac:dyDescent="0.15">
      <c r="A48" s="58"/>
      <c r="B48" s="359"/>
      <c r="C48" s="360"/>
      <c r="D48" s="360"/>
      <c r="E48" s="360"/>
      <c r="F48" s="361"/>
    </row>
    <row r="49" spans="1:6" ht="18.75" customHeight="1" x14ac:dyDescent="0.15">
      <c r="A49" s="58"/>
      <c r="B49" s="359"/>
      <c r="C49" s="360"/>
      <c r="D49" s="360"/>
      <c r="E49" s="360"/>
      <c r="F49" s="361"/>
    </row>
    <row r="50" spans="1:6" ht="18.75" customHeight="1" x14ac:dyDescent="0.15">
      <c r="A50" s="58"/>
      <c r="B50" s="359"/>
      <c r="C50" s="360"/>
      <c r="D50" s="360"/>
      <c r="E50" s="360"/>
      <c r="F50" s="361"/>
    </row>
    <row r="51" spans="1:6" ht="18.75" customHeight="1" x14ac:dyDescent="0.15">
      <c r="A51" s="58"/>
      <c r="B51" s="359"/>
      <c r="C51" s="360"/>
      <c r="D51" s="360"/>
      <c r="E51" s="360"/>
      <c r="F51" s="361"/>
    </row>
    <row r="52" spans="1:6" ht="18.75" customHeight="1" x14ac:dyDescent="0.15">
      <c r="A52" s="58"/>
      <c r="B52" s="359"/>
      <c r="C52" s="360"/>
      <c r="D52" s="360"/>
      <c r="E52" s="360"/>
      <c r="F52" s="361"/>
    </row>
    <row r="53" spans="1:6" ht="18.75" customHeight="1" x14ac:dyDescent="0.15">
      <c r="A53" s="58"/>
      <c r="B53" s="359"/>
      <c r="C53" s="360"/>
      <c r="D53" s="360"/>
      <c r="E53" s="360"/>
      <c r="F53" s="361"/>
    </row>
    <row r="54" spans="1:6" ht="18.75" customHeight="1" x14ac:dyDescent="0.15">
      <c r="A54" s="58"/>
      <c r="B54" s="359"/>
      <c r="C54" s="360"/>
      <c r="D54" s="360"/>
      <c r="E54" s="360"/>
      <c r="F54" s="361"/>
    </row>
    <row r="55" spans="1:6" ht="18.75" customHeight="1" x14ac:dyDescent="0.15">
      <c r="A55" s="58"/>
      <c r="B55" s="359"/>
      <c r="C55" s="360"/>
      <c r="D55" s="360"/>
      <c r="E55" s="360"/>
      <c r="F55" s="361"/>
    </row>
    <row r="56" spans="1:6" ht="18.75" customHeight="1" x14ac:dyDescent="0.15">
      <c r="A56" s="58"/>
      <c r="B56" s="359"/>
      <c r="C56" s="360"/>
      <c r="D56" s="360"/>
      <c r="E56" s="360"/>
      <c r="F56" s="361"/>
    </row>
    <row r="57" spans="1:6" ht="18.75" customHeight="1" x14ac:dyDescent="0.15">
      <c r="A57" s="58"/>
      <c r="B57" s="359"/>
      <c r="C57" s="360"/>
      <c r="D57" s="360"/>
      <c r="E57" s="360"/>
      <c r="F57" s="361"/>
    </row>
    <row r="58" spans="1:6" ht="18.75" customHeight="1" x14ac:dyDescent="0.15">
      <c r="A58" s="58"/>
      <c r="B58" s="359"/>
      <c r="C58" s="360"/>
      <c r="D58" s="360"/>
      <c r="E58" s="360"/>
      <c r="F58" s="361"/>
    </row>
    <row r="59" spans="1:6" ht="18.75" customHeight="1" x14ac:dyDescent="0.15">
      <c r="A59" s="58"/>
      <c r="B59" s="359"/>
      <c r="C59" s="360"/>
      <c r="D59" s="360"/>
      <c r="E59" s="360"/>
      <c r="F59" s="361"/>
    </row>
    <row r="60" spans="1:6" ht="18.75" customHeight="1" x14ac:dyDescent="0.15">
      <c r="A60" s="58"/>
      <c r="B60" s="359"/>
      <c r="C60" s="360"/>
      <c r="D60" s="360"/>
      <c r="E60" s="360"/>
      <c r="F60" s="361"/>
    </row>
    <row r="61" spans="1:6" ht="18.75" customHeight="1" x14ac:dyDescent="0.15">
      <c r="A61" s="58"/>
      <c r="B61" s="359"/>
      <c r="C61" s="360"/>
      <c r="D61" s="360"/>
      <c r="E61" s="360"/>
      <c r="F61" s="361"/>
    </row>
    <row r="62" spans="1:6" ht="18.75" customHeight="1" x14ac:dyDescent="0.15">
      <c r="A62" s="58"/>
      <c r="B62" s="359"/>
      <c r="C62" s="360"/>
      <c r="D62" s="360"/>
      <c r="E62" s="360"/>
      <c r="F62" s="361"/>
    </row>
    <row r="63" spans="1:6" ht="18.75" customHeight="1" x14ac:dyDescent="0.15">
      <c r="A63" s="58"/>
      <c r="B63" s="359"/>
      <c r="C63" s="360"/>
      <c r="D63" s="360"/>
      <c r="E63" s="360"/>
      <c r="F63" s="361"/>
    </row>
    <row r="64" spans="1:6" ht="18.75" customHeight="1" x14ac:dyDescent="0.15">
      <c r="A64" s="58"/>
      <c r="B64" s="359"/>
      <c r="C64" s="360"/>
      <c r="D64" s="360"/>
      <c r="E64" s="360"/>
      <c r="F64" s="361"/>
    </row>
    <row r="65" spans="1:6" ht="18.75" customHeight="1" x14ac:dyDescent="0.15">
      <c r="A65" s="58"/>
      <c r="B65" s="359"/>
      <c r="C65" s="360"/>
      <c r="D65" s="360"/>
      <c r="E65" s="360"/>
      <c r="F65" s="361"/>
    </row>
    <row r="66" spans="1:6" ht="18.75" customHeight="1" x14ac:dyDescent="0.15">
      <c r="A66" s="58"/>
      <c r="B66" s="359"/>
      <c r="C66" s="360"/>
      <c r="D66" s="360"/>
      <c r="E66" s="360"/>
      <c r="F66" s="361"/>
    </row>
    <row r="67" spans="1:6" ht="18.75" customHeight="1" x14ac:dyDescent="0.15">
      <c r="A67" s="58"/>
      <c r="B67" s="359"/>
      <c r="C67" s="360"/>
      <c r="D67" s="360"/>
      <c r="E67" s="360"/>
      <c r="F67" s="361"/>
    </row>
    <row r="68" spans="1:6" ht="18.75" customHeight="1" x14ac:dyDescent="0.15">
      <c r="A68" s="58"/>
      <c r="B68" s="359"/>
      <c r="C68" s="360"/>
      <c r="D68" s="360"/>
      <c r="E68" s="360"/>
      <c r="F68" s="361"/>
    </row>
    <row r="69" spans="1:6" ht="18.75" customHeight="1" x14ac:dyDescent="0.15">
      <c r="A69" s="58"/>
      <c r="B69" s="359"/>
      <c r="C69" s="360"/>
      <c r="D69" s="360"/>
      <c r="E69" s="360"/>
      <c r="F69" s="361"/>
    </row>
    <row r="70" spans="1:6" ht="18.75" customHeight="1" x14ac:dyDescent="0.15">
      <c r="A70" s="24"/>
      <c r="B70" s="359"/>
      <c r="C70" s="360"/>
      <c r="D70" s="360"/>
      <c r="E70" s="360"/>
      <c r="F70" s="361"/>
    </row>
    <row r="71" spans="1:6" ht="18.75" customHeight="1" x14ac:dyDescent="0.15">
      <c r="A71" s="24"/>
      <c r="B71" s="359"/>
      <c r="C71" s="360"/>
      <c r="D71" s="360"/>
      <c r="E71" s="360"/>
      <c r="F71" s="361"/>
    </row>
    <row r="72" spans="1:6" ht="18.75" customHeight="1" x14ac:dyDescent="0.15">
      <c r="A72" s="24"/>
      <c r="B72" s="359"/>
      <c r="C72" s="360"/>
      <c r="D72" s="360"/>
      <c r="E72" s="360"/>
      <c r="F72" s="361"/>
    </row>
    <row r="73" spans="1:6" ht="18.75" customHeight="1" x14ac:dyDescent="0.15">
      <c r="A73" s="24"/>
      <c r="B73" s="359"/>
      <c r="C73" s="360"/>
      <c r="D73" s="360"/>
      <c r="E73" s="360"/>
      <c r="F73" s="361"/>
    </row>
    <row r="74" spans="1:6" ht="18.75" customHeight="1" x14ac:dyDescent="0.15">
      <c r="A74" s="24"/>
      <c r="B74" s="359"/>
      <c r="C74" s="360"/>
      <c r="D74" s="360"/>
      <c r="E74" s="360"/>
      <c r="F74" s="361"/>
    </row>
    <row r="75" spans="1:6" ht="18.75" customHeight="1" x14ac:dyDescent="0.15">
      <c r="A75" s="24"/>
      <c r="B75" s="359"/>
      <c r="C75" s="360"/>
      <c r="D75" s="360"/>
      <c r="E75" s="360"/>
      <c r="F75" s="361"/>
    </row>
    <row r="76" spans="1:6" ht="18.75" customHeight="1" x14ac:dyDescent="0.15">
      <c r="A76" s="24"/>
      <c r="B76" s="359"/>
      <c r="C76" s="360"/>
      <c r="D76" s="360"/>
      <c r="E76" s="360"/>
      <c r="F76" s="361"/>
    </row>
    <row r="77" spans="1:6" ht="18.75" customHeight="1" x14ac:dyDescent="0.15">
      <c r="A77" s="24"/>
      <c r="B77" s="359"/>
      <c r="C77" s="360"/>
      <c r="D77" s="360"/>
      <c r="E77" s="360"/>
      <c r="F77" s="361"/>
    </row>
    <row r="78" spans="1:6" ht="18.75" customHeight="1" x14ac:dyDescent="0.15">
      <c r="A78" s="24"/>
      <c r="B78" s="359"/>
      <c r="C78" s="360"/>
      <c r="D78" s="360"/>
      <c r="E78" s="360"/>
      <c r="F78" s="361"/>
    </row>
    <row r="79" spans="1:6" ht="18.75" customHeight="1" x14ac:dyDescent="0.15">
      <c r="A79" s="24"/>
      <c r="B79" s="359"/>
      <c r="C79" s="360"/>
      <c r="D79" s="360"/>
      <c r="E79" s="360"/>
      <c r="F79" s="361"/>
    </row>
    <row r="80" spans="1:6" ht="18.75" customHeight="1" x14ac:dyDescent="0.15">
      <c r="A80" s="24"/>
      <c r="B80" s="359"/>
      <c r="C80" s="360"/>
      <c r="D80" s="360"/>
      <c r="E80" s="360"/>
      <c r="F80" s="361"/>
    </row>
    <row r="81" spans="1:6" ht="18.75" customHeight="1" x14ac:dyDescent="0.15">
      <c r="A81" s="24"/>
      <c r="B81" s="359"/>
      <c r="C81" s="360"/>
      <c r="D81" s="360"/>
      <c r="E81" s="360"/>
      <c r="F81" s="361"/>
    </row>
    <row r="82" spans="1:6" ht="18.75" customHeight="1" x14ac:dyDescent="0.15">
      <c r="A82" s="24"/>
      <c r="B82" s="359"/>
      <c r="C82" s="360"/>
      <c r="D82" s="360"/>
      <c r="E82" s="360"/>
      <c r="F82" s="361"/>
    </row>
    <row r="83" spans="1:6" ht="18.75" customHeight="1" x14ac:dyDescent="0.15">
      <c r="A83" s="58"/>
      <c r="B83" s="359"/>
      <c r="C83" s="360"/>
      <c r="D83" s="360"/>
      <c r="E83" s="360"/>
      <c r="F83" s="361"/>
    </row>
    <row r="84" spans="1:6" ht="18.75" customHeight="1" x14ac:dyDescent="0.15">
      <c r="A84" s="24"/>
      <c r="B84" s="359"/>
      <c r="C84" s="360"/>
      <c r="D84" s="360"/>
      <c r="E84" s="360"/>
      <c r="F84" s="361"/>
    </row>
    <row r="85" spans="1:6" ht="18.75" customHeight="1" x14ac:dyDescent="0.15">
      <c r="A85" s="24"/>
      <c r="B85" s="359"/>
      <c r="C85" s="360"/>
      <c r="D85" s="360"/>
      <c r="E85" s="360"/>
      <c r="F85" s="361"/>
    </row>
    <row r="86" spans="1:6" ht="18.75" customHeight="1" x14ac:dyDescent="0.15">
      <c r="A86" s="24"/>
      <c r="B86" s="359"/>
      <c r="C86" s="360"/>
      <c r="D86" s="360"/>
      <c r="E86" s="360"/>
      <c r="F86" s="361"/>
    </row>
    <row r="87" spans="1:6" ht="18.75" customHeight="1" x14ac:dyDescent="0.15">
      <c r="A87" s="24"/>
      <c r="B87" s="362"/>
      <c r="C87" s="363"/>
      <c r="D87" s="363"/>
      <c r="E87" s="363"/>
      <c r="F87" s="364"/>
    </row>
    <row r="88" spans="1:6" s="13" customFormat="1" ht="18.75" customHeight="1" x14ac:dyDescent="0.15">
      <c r="A88" s="5" t="s">
        <v>13</v>
      </c>
      <c r="B88" s="5" t="s">
        <v>94</v>
      </c>
      <c r="C88" s="5"/>
      <c r="D88" s="5"/>
      <c r="E88" s="5"/>
      <c r="F88" s="5"/>
    </row>
    <row r="89" spans="1:6" ht="18.75" customHeight="1" x14ac:dyDescent="0.15">
      <c r="A89" s="24"/>
      <c r="B89" s="356"/>
      <c r="C89" s="357"/>
      <c r="D89" s="357"/>
      <c r="E89" s="357"/>
      <c r="F89" s="358"/>
    </row>
    <row r="90" spans="1:6" ht="18.75" customHeight="1" x14ac:dyDescent="0.15">
      <c r="A90" s="24"/>
      <c r="B90" s="359"/>
      <c r="C90" s="360"/>
      <c r="D90" s="360"/>
      <c r="E90" s="360"/>
      <c r="F90" s="361"/>
    </row>
    <row r="91" spans="1:6" ht="18.75" customHeight="1" x14ac:dyDescent="0.15">
      <c r="A91" s="58"/>
      <c r="B91" s="359"/>
      <c r="C91" s="360"/>
      <c r="D91" s="360"/>
      <c r="E91" s="360"/>
      <c r="F91" s="361"/>
    </row>
    <row r="92" spans="1:6" ht="18.75" customHeight="1" x14ac:dyDescent="0.15">
      <c r="A92" s="58"/>
      <c r="B92" s="359"/>
      <c r="C92" s="360"/>
      <c r="D92" s="360"/>
      <c r="E92" s="360"/>
      <c r="F92" s="361"/>
    </row>
    <row r="93" spans="1:6" ht="18.75" customHeight="1" x14ac:dyDescent="0.15">
      <c r="A93" s="58"/>
      <c r="B93" s="359"/>
      <c r="C93" s="360"/>
      <c r="D93" s="360"/>
      <c r="E93" s="360"/>
      <c r="F93" s="361"/>
    </row>
    <row r="94" spans="1:6" ht="18.75" customHeight="1" x14ac:dyDescent="0.15">
      <c r="A94" s="58"/>
      <c r="B94" s="359"/>
      <c r="C94" s="360"/>
      <c r="D94" s="360"/>
      <c r="E94" s="360"/>
      <c r="F94" s="361"/>
    </row>
    <row r="95" spans="1:6" ht="18.75" customHeight="1" x14ac:dyDescent="0.15">
      <c r="A95" s="58"/>
      <c r="B95" s="359"/>
      <c r="C95" s="360"/>
      <c r="D95" s="360"/>
      <c r="E95" s="360"/>
      <c r="F95" s="361"/>
    </row>
    <row r="96" spans="1:6" ht="18.75" customHeight="1" x14ac:dyDescent="0.15">
      <c r="A96" s="58"/>
      <c r="B96" s="359"/>
      <c r="C96" s="360"/>
      <c r="D96" s="360"/>
      <c r="E96" s="360"/>
      <c r="F96" s="361"/>
    </row>
    <row r="97" spans="1:6" ht="18.75" customHeight="1" x14ac:dyDescent="0.15">
      <c r="A97" s="58"/>
      <c r="B97" s="359"/>
      <c r="C97" s="360"/>
      <c r="D97" s="360"/>
      <c r="E97" s="360"/>
      <c r="F97" s="361"/>
    </row>
    <row r="98" spans="1:6" ht="18.75" customHeight="1" x14ac:dyDescent="0.15">
      <c r="A98" s="58"/>
      <c r="B98" s="359"/>
      <c r="C98" s="360"/>
      <c r="D98" s="360"/>
      <c r="E98" s="360"/>
      <c r="F98" s="361"/>
    </row>
    <row r="99" spans="1:6" ht="18.75" customHeight="1" x14ac:dyDescent="0.15">
      <c r="A99" s="58"/>
      <c r="B99" s="359"/>
      <c r="C99" s="360"/>
      <c r="D99" s="360"/>
      <c r="E99" s="360"/>
      <c r="F99" s="361"/>
    </row>
    <row r="100" spans="1:6" ht="18.75" customHeight="1" x14ac:dyDescent="0.15">
      <c r="A100" s="58"/>
      <c r="B100" s="359"/>
      <c r="C100" s="360"/>
      <c r="D100" s="360"/>
      <c r="E100" s="360"/>
      <c r="F100" s="361"/>
    </row>
    <row r="101" spans="1:6" ht="18.75" customHeight="1" x14ac:dyDescent="0.15">
      <c r="A101" s="58"/>
      <c r="B101" s="359"/>
      <c r="C101" s="360"/>
      <c r="D101" s="360"/>
      <c r="E101" s="360"/>
      <c r="F101" s="361"/>
    </row>
    <row r="102" spans="1:6" ht="18.75" customHeight="1" x14ac:dyDescent="0.15">
      <c r="A102" s="58"/>
      <c r="B102" s="359"/>
      <c r="C102" s="360"/>
      <c r="D102" s="360"/>
      <c r="E102" s="360"/>
      <c r="F102" s="361"/>
    </row>
    <row r="103" spans="1:6" ht="18.75" customHeight="1" x14ac:dyDescent="0.15">
      <c r="A103" s="58"/>
      <c r="B103" s="359"/>
      <c r="C103" s="360"/>
      <c r="D103" s="360"/>
      <c r="E103" s="360"/>
      <c r="F103" s="361"/>
    </row>
    <row r="104" spans="1:6" ht="18.75" customHeight="1" x14ac:dyDescent="0.15">
      <c r="A104" s="58"/>
      <c r="B104" s="359"/>
      <c r="C104" s="360"/>
      <c r="D104" s="360"/>
      <c r="E104" s="360"/>
      <c r="F104" s="361"/>
    </row>
    <row r="105" spans="1:6" ht="18.75" customHeight="1" x14ac:dyDescent="0.15">
      <c r="A105" s="58"/>
      <c r="B105" s="359"/>
      <c r="C105" s="360"/>
      <c r="D105" s="360"/>
      <c r="E105" s="360"/>
      <c r="F105" s="361"/>
    </row>
    <row r="106" spans="1:6" ht="18.75" customHeight="1" x14ac:dyDescent="0.15">
      <c r="A106" s="58"/>
      <c r="B106" s="359"/>
      <c r="C106" s="360"/>
      <c r="D106" s="360"/>
      <c r="E106" s="360"/>
      <c r="F106" s="361"/>
    </row>
    <row r="107" spans="1:6" ht="18.75" customHeight="1" x14ac:dyDescent="0.15">
      <c r="A107" s="58"/>
      <c r="B107" s="359"/>
      <c r="C107" s="360"/>
      <c r="D107" s="360"/>
      <c r="E107" s="360"/>
      <c r="F107" s="361"/>
    </row>
    <row r="108" spans="1:6" ht="18.75" customHeight="1" x14ac:dyDescent="0.15">
      <c r="A108" s="58"/>
      <c r="B108" s="359"/>
      <c r="C108" s="360"/>
      <c r="D108" s="360"/>
      <c r="E108" s="360"/>
      <c r="F108" s="361"/>
    </row>
    <row r="109" spans="1:6" ht="18.75" customHeight="1" x14ac:dyDescent="0.15">
      <c r="A109" s="58"/>
      <c r="B109" s="359"/>
      <c r="C109" s="360"/>
      <c r="D109" s="360"/>
      <c r="E109" s="360"/>
      <c r="F109" s="361"/>
    </row>
    <row r="110" spans="1:6" ht="18.75" customHeight="1" x14ac:dyDescent="0.15">
      <c r="A110" s="58"/>
      <c r="B110" s="359"/>
      <c r="C110" s="360"/>
      <c r="D110" s="360"/>
      <c r="E110" s="360"/>
      <c r="F110" s="361"/>
    </row>
    <row r="111" spans="1:6" ht="18.75" customHeight="1" x14ac:dyDescent="0.15">
      <c r="A111" s="58"/>
      <c r="B111" s="359"/>
      <c r="C111" s="360"/>
      <c r="D111" s="360"/>
      <c r="E111" s="360"/>
      <c r="F111" s="361"/>
    </row>
    <row r="112" spans="1:6" ht="18.75" customHeight="1" x14ac:dyDescent="0.15">
      <c r="A112" s="58"/>
      <c r="B112" s="359"/>
      <c r="C112" s="360"/>
      <c r="D112" s="360"/>
      <c r="E112" s="360"/>
      <c r="F112" s="361"/>
    </row>
    <row r="113" spans="1:6" ht="18.75" customHeight="1" x14ac:dyDescent="0.15">
      <c r="A113" s="58"/>
      <c r="B113" s="359"/>
      <c r="C113" s="360"/>
      <c r="D113" s="360"/>
      <c r="E113" s="360"/>
      <c r="F113" s="361"/>
    </row>
    <row r="114" spans="1:6" ht="18.75" customHeight="1" x14ac:dyDescent="0.15">
      <c r="A114" s="58"/>
      <c r="B114" s="359"/>
      <c r="C114" s="360"/>
      <c r="D114" s="360"/>
      <c r="E114" s="360"/>
      <c r="F114" s="361"/>
    </row>
    <row r="115" spans="1:6" ht="18.75" customHeight="1" x14ac:dyDescent="0.15">
      <c r="A115" s="24"/>
      <c r="B115" s="359"/>
      <c r="C115" s="360"/>
      <c r="D115" s="360"/>
      <c r="E115" s="360"/>
      <c r="F115" s="361"/>
    </row>
    <row r="116" spans="1:6" ht="18.75" customHeight="1" x14ac:dyDescent="0.15">
      <c r="A116" s="24"/>
      <c r="B116" s="359"/>
      <c r="C116" s="360"/>
      <c r="D116" s="360"/>
      <c r="E116" s="360"/>
      <c r="F116" s="361"/>
    </row>
    <row r="117" spans="1:6" ht="18.75" customHeight="1" x14ac:dyDescent="0.15">
      <c r="A117" s="24"/>
      <c r="B117" s="359"/>
      <c r="C117" s="360"/>
      <c r="D117" s="360"/>
      <c r="E117" s="360"/>
      <c r="F117" s="361"/>
    </row>
    <row r="118" spans="1:6" ht="18.75" customHeight="1" x14ac:dyDescent="0.15">
      <c r="A118" s="24"/>
      <c r="B118" s="359"/>
      <c r="C118" s="360"/>
      <c r="D118" s="360"/>
      <c r="E118" s="360"/>
      <c r="F118" s="361"/>
    </row>
    <row r="119" spans="1:6" ht="18.75" customHeight="1" x14ac:dyDescent="0.15">
      <c r="A119" s="24"/>
      <c r="B119" s="359"/>
      <c r="C119" s="360"/>
      <c r="D119" s="360"/>
      <c r="E119" s="360"/>
      <c r="F119" s="361"/>
    </row>
    <row r="120" spans="1:6" ht="18.75" customHeight="1" x14ac:dyDescent="0.15">
      <c r="A120" s="24"/>
      <c r="B120" s="359"/>
      <c r="C120" s="360"/>
      <c r="D120" s="360"/>
      <c r="E120" s="360"/>
      <c r="F120" s="361"/>
    </row>
    <row r="121" spans="1:6" ht="18.75" customHeight="1" x14ac:dyDescent="0.15">
      <c r="A121" s="24"/>
      <c r="B121" s="359"/>
      <c r="C121" s="360"/>
      <c r="D121" s="360"/>
      <c r="E121" s="360"/>
      <c r="F121" s="361"/>
    </row>
    <row r="122" spans="1:6" ht="18.75" customHeight="1" x14ac:dyDescent="0.15">
      <c r="A122" s="24"/>
      <c r="B122" s="359"/>
      <c r="C122" s="360"/>
      <c r="D122" s="360"/>
      <c r="E122" s="360"/>
      <c r="F122" s="361"/>
    </row>
    <row r="123" spans="1:6" ht="18.75" customHeight="1" x14ac:dyDescent="0.15">
      <c r="A123" s="24"/>
      <c r="B123" s="359"/>
      <c r="C123" s="360"/>
      <c r="D123" s="360"/>
      <c r="E123" s="360"/>
      <c r="F123" s="361"/>
    </row>
    <row r="124" spans="1:6" ht="18.75" customHeight="1" x14ac:dyDescent="0.15">
      <c r="A124" s="24"/>
      <c r="B124" s="359"/>
      <c r="C124" s="360"/>
      <c r="D124" s="360"/>
      <c r="E124" s="360"/>
      <c r="F124" s="361"/>
    </row>
    <row r="125" spans="1:6" ht="18.75" customHeight="1" x14ac:dyDescent="0.15">
      <c r="A125" s="24"/>
      <c r="B125" s="359"/>
      <c r="C125" s="360"/>
      <c r="D125" s="360"/>
      <c r="E125" s="360"/>
      <c r="F125" s="361"/>
    </row>
    <row r="126" spans="1:6" ht="18.75" customHeight="1" x14ac:dyDescent="0.15">
      <c r="A126" s="24"/>
      <c r="B126" s="359"/>
      <c r="C126" s="360"/>
      <c r="D126" s="360"/>
      <c r="E126" s="360"/>
      <c r="F126" s="361"/>
    </row>
    <row r="127" spans="1:6" ht="18.75" customHeight="1" x14ac:dyDescent="0.15">
      <c r="A127" s="24"/>
      <c r="B127" s="359"/>
      <c r="C127" s="360"/>
      <c r="D127" s="360"/>
      <c r="E127" s="360"/>
      <c r="F127" s="361"/>
    </row>
    <row r="128" spans="1:6" ht="18.75" customHeight="1" x14ac:dyDescent="0.15">
      <c r="A128" s="24"/>
      <c r="B128" s="359"/>
      <c r="C128" s="360"/>
      <c r="D128" s="360"/>
      <c r="E128" s="360"/>
      <c r="F128" s="361"/>
    </row>
    <row r="129" spans="1:6" ht="18.75" customHeight="1" x14ac:dyDescent="0.15">
      <c r="A129" s="24"/>
      <c r="B129" s="359"/>
      <c r="C129" s="360"/>
      <c r="D129" s="360"/>
      <c r="E129" s="360"/>
      <c r="F129" s="361"/>
    </row>
    <row r="130" spans="1:6" ht="18.75" customHeight="1" x14ac:dyDescent="0.15">
      <c r="A130" s="24"/>
      <c r="B130" s="362"/>
      <c r="C130" s="363"/>
      <c r="D130" s="363"/>
      <c r="E130" s="363"/>
      <c r="F130" s="364"/>
    </row>
  </sheetData>
  <mergeCells count="6">
    <mergeCell ref="B89:F130"/>
    <mergeCell ref="E1:F1"/>
    <mergeCell ref="E2:F2"/>
    <mergeCell ref="A4:F4"/>
    <mergeCell ref="B7:F44"/>
    <mergeCell ref="B46:F87"/>
  </mergeCells>
  <phoneticPr fontId="1"/>
  <printOptions horizontalCentered="1"/>
  <pageMargins left="0.78740157480314965" right="0.78740157480314965" top="0.78740157480314965" bottom="0.78740157480314965" header="0.31496062992125984" footer="0.31496062992125984"/>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13</vt:i4>
      </vt:variant>
      <vt:variant>
        <vt:lpstr>名前付き一覧</vt:lpstr>
      </vt:variant>
      <vt:variant>
        <vt:i4>9</vt:i4>
      </vt:variant>
    </vt:vector>
  </HeadingPairs>
  <TitlesOfParts>
    <vt:vector size="22" baseType="lpstr">
      <vt:lpstr>様式１　大学等概要</vt:lpstr>
      <vt:lpstr>様式２－１　プログラムを構成する授業科目</vt:lpstr>
      <vt:lpstr>様式２－２　プログラムを構成する授業科目</vt:lpstr>
      <vt:lpstr>様式２－３　プログラムを構成する授業科目</vt:lpstr>
      <vt:lpstr>様式２－４　プログラムを構成する授業科目</vt:lpstr>
      <vt:lpstr>様式３　履修者等数の実績</vt:lpstr>
      <vt:lpstr>様式4－１　プログラムの授業内容・概要</vt:lpstr>
      <vt:lpstr>様式4－２　プログラムの授業内容・概要</vt:lpstr>
      <vt:lpstr>様式4－３　プログラムの授業内容・概要</vt:lpstr>
      <vt:lpstr>様式4－４　プログラムの授業内容・概要</vt:lpstr>
      <vt:lpstr>様式５　教育の質・履修者数を向上させるための体制・計画</vt:lpstr>
      <vt:lpstr>様式６　自己点検・評価</vt:lpstr>
      <vt:lpstr>様式７　特色ある取組</vt:lpstr>
      <vt:lpstr>'様式１　大学等概要'!Print_Area</vt:lpstr>
      <vt:lpstr>'様式２－１　プログラムを構成する授業科目'!Print_Area</vt:lpstr>
      <vt:lpstr>'様式２－２　プログラムを構成する授業科目'!Print_Area</vt:lpstr>
      <vt:lpstr>'様式２－３　プログラムを構成する授業科目'!Print_Area</vt:lpstr>
      <vt:lpstr>'様式２－４　プログラムを構成する授業科目'!Print_Area</vt:lpstr>
      <vt:lpstr>'様式３　履修者等数の実績'!Print_Area</vt:lpstr>
      <vt:lpstr>'様式５　教育の質・履修者数を向上させるための体制・計画'!Print_Area</vt:lpstr>
      <vt:lpstr>'様式６　自己点検・評価'!Print_Area</vt:lpstr>
      <vt:lpstr>'様式７　特色ある取組'!Print_Area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YU IWATA</cp:lastModifiedBy>
  <cp:lastPrinted>2021-05-11T00:32:00Z</cp:lastPrinted>
  <dcterms:created xsi:type="dcterms:W3CDTF">2011-06-14T05:32:50Z</dcterms:created>
  <dcterms:modified xsi:type="dcterms:W3CDTF">2021-07-12T01:40:05Z</dcterms:modified>
</cp:coreProperties>
</file>